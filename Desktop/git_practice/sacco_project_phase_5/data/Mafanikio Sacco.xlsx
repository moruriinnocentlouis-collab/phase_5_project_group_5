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272\AC\Temp\"/>
    </mc:Choice>
  </mc:AlternateContent>
  <xr:revisionPtr revIDLastSave="841" documentId="8_{859BE864-2FFF-4827-BA05-865C685C9D42}" xr6:coauthVersionLast="47" xr6:coauthVersionMax="47" xr10:uidLastSave="{AD3C393D-8388-45BF-B2DC-43D5670416A9}"/>
  <bookViews>
    <workbookView xWindow="-60" yWindow="-60" windowWidth="15480" windowHeight="11640" firstSheet="6" activeTab="6" xr2:uid="{00000000-000D-0000-FFFF-FFFF00000000}"/>
  </bookViews>
  <sheets>
    <sheet name="Evolutive SFP" sheetId="1" r:id="rId1"/>
    <sheet name="Evolutitve SCI" sheetId="2" r:id="rId2"/>
    <sheet name="FORM 4" sheetId="4" r:id="rId3"/>
    <sheet name="CAELS" sheetId="3" r:id="rId4"/>
    <sheet name="Financials" sheetId="5" r:id="rId5"/>
    <sheet name="CAELS Rating" sheetId="7" r:id="rId6"/>
    <sheet name="Compliance Status" sheetId="8" r:id="rId7"/>
    <sheet name="CashFlow Stmnt" sheetId="6" r:id="rId8"/>
    <sheet name="Sheet1" sheetId="9" r:id="rId9"/>
  </sheets>
  <externalReferences>
    <externalReference r:id="rId10"/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4" i="5" l="1"/>
  <c r="CR5" i="5"/>
  <c r="CR6" i="5"/>
  <c r="CR7" i="5"/>
  <c r="CR8" i="5"/>
  <c r="CR15" i="5"/>
  <c r="CR17" i="5"/>
  <c r="CR18" i="5"/>
  <c r="CR19" i="5"/>
  <c r="CR20" i="5"/>
  <c r="CR22" i="5"/>
  <c r="CR21" i="5" s="1"/>
  <c r="CR26" i="5"/>
  <c r="CR27" i="5"/>
  <c r="CR28" i="5"/>
  <c r="CR30" i="5"/>
  <c r="CR31" i="5"/>
  <c r="CR32" i="5"/>
  <c r="CR34" i="5"/>
  <c r="CR35" i="5"/>
  <c r="CR38" i="5"/>
  <c r="CR39" i="5"/>
  <c r="CR40" i="5"/>
  <c r="CR44" i="5"/>
  <c r="CR45" i="5"/>
  <c r="CR46" i="5"/>
  <c r="CR47" i="5"/>
  <c r="CS3" i="3"/>
  <c r="CS4" i="3"/>
  <c r="CS5" i="3"/>
  <c r="CS6" i="3"/>
  <c r="CS8" i="3"/>
  <c r="CS9" i="3"/>
  <c r="CS10" i="3"/>
  <c r="CS11" i="3"/>
  <c r="CS12" i="3"/>
  <c r="CS13" i="3"/>
  <c r="CS14" i="3"/>
  <c r="CS15" i="3"/>
  <c r="CS16" i="3"/>
  <c r="CS17" i="3"/>
  <c r="CS18" i="3"/>
  <c r="CS19" i="3"/>
  <c r="CS20" i="3"/>
  <c r="CQ4" i="2"/>
  <c r="CQ3" i="2" s="1"/>
  <c r="CQ7" i="2"/>
  <c r="CQ19" i="2"/>
  <c r="CQ20" i="2"/>
  <c r="CQ12" i="2"/>
  <c r="CQ23" i="2"/>
  <c r="CQ29" i="2"/>
  <c r="CQ30" i="2"/>
  <c r="CQ33" i="2"/>
  <c r="CQ35" i="2"/>
  <c r="CQ37" i="2"/>
  <c r="CQ39" i="2"/>
  <c r="CP4" i="1"/>
  <c r="CP17" i="1"/>
  <c r="CP14" i="1"/>
  <c r="CP8" i="1"/>
  <c r="CP31" i="1"/>
  <c r="CP21" i="1"/>
  <c r="CP27" i="1"/>
  <c r="CP38" i="1"/>
  <c r="CP48" i="1"/>
  <c r="CP49" i="1"/>
  <c r="CP51" i="1"/>
  <c r="CQ4" i="5"/>
  <c r="CQ5" i="5"/>
  <c r="CQ6" i="5"/>
  <c r="CQ7" i="5"/>
  <c r="CQ8" i="5"/>
  <c r="CQ15" i="5"/>
  <c r="CQ17" i="5"/>
  <c r="CQ18" i="5"/>
  <c r="CQ19" i="5"/>
  <c r="CQ20" i="5"/>
  <c r="CQ22" i="5"/>
  <c r="CQ21" i="5" s="1"/>
  <c r="CQ26" i="5"/>
  <c r="CQ27" i="5"/>
  <c r="CQ28" i="5"/>
  <c r="CQ30" i="5"/>
  <c r="CQ31" i="5"/>
  <c r="CQ32" i="5"/>
  <c r="CQ34" i="5"/>
  <c r="CQ35" i="5"/>
  <c r="CQ38" i="5"/>
  <c r="CQ39" i="5"/>
  <c r="CQ40" i="5"/>
  <c r="CQ44" i="5"/>
  <c r="CQ45" i="5"/>
  <c r="CQ46" i="5"/>
  <c r="CQ47" i="5"/>
  <c r="CR3" i="3"/>
  <c r="CR4" i="3"/>
  <c r="CR5" i="3"/>
  <c r="CR6" i="3"/>
  <c r="CR8" i="3"/>
  <c r="CR9" i="3"/>
  <c r="CR10" i="3"/>
  <c r="CR11" i="3"/>
  <c r="CR12" i="3"/>
  <c r="CR13" i="3"/>
  <c r="CR14" i="3"/>
  <c r="CR15" i="3"/>
  <c r="CR16" i="3"/>
  <c r="CR17" i="3"/>
  <c r="CR18" i="3"/>
  <c r="CR19" i="3"/>
  <c r="CR20" i="3"/>
  <c r="CP4" i="2"/>
  <c r="CP3" i="2" s="1"/>
  <c r="CP7" i="2"/>
  <c r="CP12" i="2"/>
  <c r="CP19" i="2"/>
  <c r="CP20" i="2"/>
  <c r="CP23" i="2"/>
  <c r="CP29" i="2"/>
  <c r="CP30" i="2"/>
  <c r="CP33" i="2"/>
  <c r="CP35" i="2"/>
  <c r="CP37" i="2"/>
  <c r="CP39" i="2"/>
  <c r="CO4" i="1"/>
  <c r="CO8" i="1"/>
  <c r="CO14" i="1"/>
  <c r="CO17" i="1"/>
  <c r="CO21" i="1"/>
  <c r="CO27" i="1"/>
  <c r="CO31" i="1"/>
  <c r="CO38" i="1"/>
  <c r="CO48" i="1"/>
  <c r="CO49" i="1"/>
  <c r="CO51" i="1"/>
  <c r="CP4" i="5"/>
  <c r="CP5" i="5"/>
  <c r="CP6" i="5"/>
  <c r="CP7" i="5"/>
  <c r="CP8" i="5"/>
  <c r="CP15" i="5"/>
  <c r="CP17" i="5"/>
  <c r="CP18" i="5"/>
  <c r="CP19" i="5"/>
  <c r="CP20" i="5"/>
  <c r="CP22" i="5"/>
  <c r="CP21" i="5" s="1"/>
  <c r="CP26" i="5"/>
  <c r="CP27" i="5"/>
  <c r="CP28" i="5"/>
  <c r="CP30" i="5"/>
  <c r="CP31" i="5"/>
  <c r="CP32" i="5"/>
  <c r="CP34" i="5"/>
  <c r="CP35" i="5"/>
  <c r="CP38" i="5"/>
  <c r="CP39" i="5"/>
  <c r="CP40" i="5"/>
  <c r="CP44" i="5"/>
  <c r="CP45" i="5"/>
  <c r="CP46" i="5"/>
  <c r="CP47" i="5"/>
  <c r="CQ3" i="3"/>
  <c r="CQ4" i="3"/>
  <c r="CQ5" i="3"/>
  <c r="CQ6" i="3"/>
  <c r="CQ8" i="3"/>
  <c r="CQ9" i="3"/>
  <c r="CQ10" i="3"/>
  <c r="CQ11" i="3"/>
  <c r="CQ12" i="3"/>
  <c r="CQ13" i="3"/>
  <c r="CQ14" i="3"/>
  <c r="CQ15" i="3"/>
  <c r="CQ16" i="3"/>
  <c r="CQ17" i="3"/>
  <c r="CQ18" i="3"/>
  <c r="CQ19" i="3"/>
  <c r="CQ20" i="3"/>
  <c r="CO3" i="2"/>
  <c r="CO4" i="2"/>
  <c r="CO7" i="2"/>
  <c r="CO12" i="2"/>
  <c r="CO19" i="2"/>
  <c r="CO20" i="2"/>
  <c r="CO23" i="2"/>
  <c r="CO29" i="2"/>
  <c r="CO30" i="2"/>
  <c r="CO33" i="2"/>
  <c r="CO35" i="2"/>
  <c r="CO37" i="2"/>
  <c r="CO39" i="2"/>
  <c r="CN4" i="1"/>
  <c r="CN8" i="1"/>
  <c r="CN14" i="1"/>
  <c r="CN17" i="1"/>
  <c r="CN21" i="1"/>
  <c r="CN27" i="1"/>
  <c r="CN31" i="1"/>
  <c r="CN38" i="1"/>
  <c r="CN48" i="1"/>
  <c r="CN49" i="1"/>
  <c r="CN51" i="1"/>
  <c r="CO4" i="5"/>
  <c r="CO5" i="5"/>
  <c r="CO6" i="5"/>
  <c r="CO7" i="5"/>
  <c r="CO8" i="5"/>
  <c r="CO15" i="5"/>
  <c r="CO17" i="5"/>
  <c r="CO18" i="5"/>
  <c r="CO19" i="5"/>
  <c r="CO20" i="5"/>
  <c r="CO22" i="5"/>
  <c r="CO21" i="5" s="1"/>
  <c r="CO26" i="5"/>
  <c r="CO27" i="5"/>
  <c r="CO28" i="5"/>
  <c r="CO30" i="5"/>
  <c r="CO31" i="5"/>
  <c r="CO32" i="5"/>
  <c r="CO34" i="5"/>
  <c r="CO35" i="5"/>
  <c r="CO38" i="5"/>
  <c r="CO39" i="5"/>
  <c r="CO40" i="5"/>
  <c r="CO44" i="5"/>
  <c r="CO45" i="5"/>
  <c r="CO46" i="5"/>
  <c r="CO47" i="5"/>
  <c r="CP3" i="3"/>
  <c r="CP4" i="3"/>
  <c r="CP5" i="3"/>
  <c r="CP6" i="3"/>
  <c r="CP8" i="3"/>
  <c r="CP9" i="3"/>
  <c r="CP10" i="3"/>
  <c r="CP11" i="3"/>
  <c r="CP12" i="3"/>
  <c r="CP13" i="3"/>
  <c r="CP14" i="3"/>
  <c r="CP15" i="3"/>
  <c r="CP16" i="3"/>
  <c r="CP17" i="3"/>
  <c r="CP18" i="3"/>
  <c r="CP19" i="3"/>
  <c r="CP20" i="3"/>
  <c r="CN3" i="2"/>
  <c r="CN4" i="2"/>
  <c r="CN7" i="2"/>
  <c r="CN12" i="2"/>
  <c r="CN19" i="2"/>
  <c r="CN20" i="2"/>
  <c r="CN23" i="2"/>
  <c r="CN30" i="2"/>
  <c r="CN29" i="2"/>
  <c r="CN33" i="2"/>
  <c r="CN35" i="2"/>
  <c r="CN37" i="2"/>
  <c r="CN39" i="2"/>
  <c r="CM4" i="1"/>
  <c r="CM8" i="1"/>
  <c r="CM14" i="1"/>
  <c r="CM17" i="1"/>
  <c r="CM21" i="1"/>
  <c r="CM27" i="1"/>
  <c r="CM31" i="1"/>
  <c r="CM38" i="1"/>
  <c r="CM48" i="1"/>
  <c r="CM49" i="1"/>
  <c r="CM51" i="1"/>
  <c r="CO3" i="3"/>
  <c r="CO4" i="3"/>
  <c r="CO5" i="3"/>
  <c r="CO6" i="3"/>
  <c r="CO8" i="3"/>
  <c r="CO9" i="3"/>
  <c r="CO10" i="3"/>
  <c r="CO11" i="3"/>
  <c r="CO12" i="3"/>
  <c r="CO13" i="3"/>
  <c r="CO14" i="3"/>
  <c r="CO15" i="3"/>
  <c r="CO16" i="3"/>
  <c r="CO17" i="3"/>
  <c r="CO18" i="3"/>
  <c r="CO19" i="3"/>
  <c r="CO20" i="3"/>
  <c r="CN3" i="3"/>
  <c r="CN4" i="5"/>
  <c r="CN5" i="5"/>
  <c r="CN6" i="5"/>
  <c r="CN7" i="5"/>
  <c r="CN8" i="5"/>
  <c r="CN15" i="5"/>
  <c r="CN17" i="5"/>
  <c r="CN18" i="5"/>
  <c r="CN19" i="5"/>
  <c r="CN20" i="5"/>
  <c r="CN22" i="5"/>
  <c r="CN21" i="5" s="1"/>
  <c r="CN26" i="5"/>
  <c r="CN27" i="5"/>
  <c r="CN28" i="5"/>
  <c r="CN30" i="5"/>
  <c r="CN31" i="5"/>
  <c r="CN32" i="5"/>
  <c r="CN34" i="5"/>
  <c r="CN35" i="5"/>
  <c r="CN38" i="5"/>
  <c r="CN39" i="5"/>
  <c r="CN40" i="5"/>
  <c r="CN44" i="5"/>
  <c r="CN45" i="5"/>
  <c r="CN46" i="5"/>
  <c r="CN47" i="5"/>
  <c r="CM30" i="2"/>
  <c r="CM23" i="2"/>
  <c r="CM20" i="2"/>
  <c r="CM12" i="2"/>
  <c r="CM39" i="2" s="1"/>
  <c r="CM7" i="2"/>
  <c r="CM4" i="2"/>
  <c r="CM3" i="2"/>
  <c r="CM19" i="2" s="1"/>
  <c r="CM29" i="2" s="1"/>
  <c r="CM33" i="2" s="1"/>
  <c r="CM35" i="2" s="1"/>
  <c r="CM37" i="2" s="1"/>
  <c r="CL51" i="1"/>
  <c r="CL48" i="1"/>
  <c r="CL31" i="1"/>
  <c r="CL38" i="1" s="1"/>
  <c r="CL49" i="1" s="1"/>
  <c r="CL21" i="1"/>
  <c r="CL17" i="1"/>
  <c r="CL14" i="1"/>
  <c r="CL8" i="1"/>
  <c r="CL4" i="1"/>
  <c r="CL27" i="1" s="1"/>
  <c r="CN4" i="3"/>
  <c r="CN5" i="3"/>
  <c r="CN6" i="3"/>
  <c r="CN8" i="3"/>
  <c r="CN9" i="3"/>
  <c r="CN10" i="3"/>
  <c r="CN11" i="3"/>
  <c r="CN12" i="3"/>
  <c r="CN13" i="3"/>
  <c r="CN14" i="3"/>
  <c r="CN15" i="3"/>
  <c r="CN16" i="3"/>
  <c r="CN17" i="3"/>
  <c r="CN18" i="3"/>
  <c r="CN19" i="3"/>
  <c r="CN20" i="3"/>
  <c r="CM4" i="5"/>
  <c r="CM5" i="5"/>
  <c r="CM6" i="5"/>
  <c r="CM7" i="5"/>
  <c r="CM8" i="5"/>
  <c r="CM15" i="5"/>
  <c r="CM17" i="5"/>
  <c r="CM18" i="5"/>
  <c r="CM19" i="5"/>
  <c r="CM20" i="5"/>
  <c r="CM22" i="5"/>
  <c r="CM21" i="5" s="1"/>
  <c r="CM26" i="5"/>
  <c r="CM27" i="5"/>
  <c r="CM28" i="5"/>
  <c r="CM30" i="5"/>
  <c r="CM31" i="5"/>
  <c r="CM32" i="5"/>
  <c r="CM34" i="5"/>
  <c r="CM35" i="5"/>
  <c r="CM38" i="5"/>
  <c r="CM39" i="5"/>
  <c r="CM40" i="5"/>
  <c r="CM44" i="5"/>
  <c r="CM45" i="5"/>
  <c r="CM46" i="5"/>
  <c r="CM47" i="5"/>
  <c r="CL30" i="2"/>
  <c r="CL23" i="2"/>
  <c r="CL20" i="2"/>
  <c r="CL12" i="2"/>
  <c r="CL39" i="2" s="1"/>
  <c r="CL7" i="2"/>
  <c r="CL4" i="2"/>
  <c r="CL3" i="2"/>
  <c r="CL19" i="2" s="1"/>
  <c r="CL29" i="2" s="1"/>
  <c r="CL33" i="2" s="1"/>
  <c r="CL35" i="2" s="1"/>
  <c r="CL37" i="2" s="1"/>
  <c r="CK48" i="1"/>
  <c r="CK31" i="1"/>
  <c r="CK38" i="1" s="1"/>
  <c r="CK49" i="1" s="1"/>
  <c r="CK21" i="1"/>
  <c r="CK17" i="1"/>
  <c r="CK14" i="1"/>
  <c r="CK8" i="1"/>
  <c r="CK4" i="1"/>
  <c r="CK27" i="1" s="1"/>
  <c r="CK51" i="1" s="1"/>
  <c r="CJ4" i="5"/>
  <c r="CK4" i="5"/>
  <c r="CL4" i="5"/>
  <c r="CJ5" i="5"/>
  <c r="CK5" i="5"/>
  <c r="CL5" i="5"/>
  <c r="CJ6" i="5"/>
  <c r="CK6" i="5"/>
  <c r="CL6" i="5"/>
  <c r="CJ7" i="5"/>
  <c r="CK7" i="5"/>
  <c r="CL7" i="5"/>
  <c r="CJ8" i="5"/>
  <c r="CK8" i="5"/>
  <c r="CL8" i="5"/>
  <c r="CJ15" i="5"/>
  <c r="CK15" i="5"/>
  <c r="CL15" i="5"/>
  <c r="CJ17" i="5"/>
  <c r="CK17" i="5"/>
  <c r="CL17" i="5"/>
  <c r="CJ18" i="5"/>
  <c r="CK18" i="5"/>
  <c r="CL18" i="5"/>
  <c r="CJ19" i="5"/>
  <c r="CK19" i="5"/>
  <c r="CL19" i="5"/>
  <c r="CJ20" i="5"/>
  <c r="CK20" i="5"/>
  <c r="CL20" i="5"/>
  <c r="CJ22" i="5"/>
  <c r="CJ21" i="5" s="1"/>
  <c r="CK22" i="5"/>
  <c r="CK21" i="5" s="1"/>
  <c r="CL22" i="5"/>
  <c r="CL21" i="5" s="1"/>
  <c r="CJ26" i="5"/>
  <c r="CK26" i="5"/>
  <c r="CL26" i="5"/>
  <c r="CJ27" i="5"/>
  <c r="CK27" i="5"/>
  <c r="CL27" i="5"/>
  <c r="CJ28" i="5"/>
  <c r="CK28" i="5"/>
  <c r="CL28" i="5"/>
  <c r="CJ30" i="5"/>
  <c r="CK30" i="5"/>
  <c r="CL30" i="5"/>
  <c r="CJ31" i="5"/>
  <c r="CK31" i="5"/>
  <c r="CL31" i="5"/>
  <c r="CJ32" i="5"/>
  <c r="CK32" i="5"/>
  <c r="CL32" i="5"/>
  <c r="CJ34" i="5"/>
  <c r="CK34" i="5"/>
  <c r="CL34" i="5"/>
  <c r="CJ35" i="5"/>
  <c r="CK35" i="5"/>
  <c r="CL35" i="5"/>
  <c r="CJ38" i="5"/>
  <c r="CK38" i="5"/>
  <c r="CL38" i="5"/>
  <c r="CJ39" i="5"/>
  <c r="CK39" i="5"/>
  <c r="CL39" i="5"/>
  <c r="CJ40" i="5"/>
  <c r="CK40" i="5"/>
  <c r="CL40" i="5"/>
  <c r="CJ44" i="5"/>
  <c r="CK44" i="5"/>
  <c r="CL44" i="5"/>
  <c r="CJ45" i="5"/>
  <c r="CK45" i="5"/>
  <c r="CL45" i="5"/>
  <c r="CJ46" i="5"/>
  <c r="CK46" i="5"/>
  <c r="CL46" i="5"/>
  <c r="CJ47" i="5"/>
  <c r="CK47" i="5"/>
  <c r="CL47" i="5"/>
  <c r="CK3" i="3"/>
  <c r="CL3" i="3"/>
  <c r="CM3" i="3"/>
  <c r="CK4" i="3"/>
  <c r="CL4" i="3"/>
  <c r="CM4" i="3"/>
  <c r="CK5" i="3"/>
  <c r="CL5" i="3"/>
  <c r="CM5" i="3"/>
  <c r="CK6" i="3"/>
  <c r="CL6" i="3"/>
  <c r="CM6" i="3"/>
  <c r="CK8" i="3"/>
  <c r="CL8" i="3"/>
  <c r="CM8" i="3"/>
  <c r="CK9" i="3"/>
  <c r="CL9" i="3"/>
  <c r="CM9" i="3"/>
  <c r="CK10" i="3"/>
  <c r="CL10" i="3"/>
  <c r="CM10" i="3"/>
  <c r="CK11" i="3"/>
  <c r="CL11" i="3"/>
  <c r="CM11" i="3"/>
  <c r="CK12" i="3"/>
  <c r="CL12" i="3"/>
  <c r="CM12" i="3"/>
  <c r="CK13" i="3"/>
  <c r="CL13" i="3"/>
  <c r="CM13" i="3"/>
  <c r="CK14" i="3"/>
  <c r="CL14" i="3"/>
  <c r="CM14" i="3"/>
  <c r="CK15" i="3"/>
  <c r="CL15" i="3"/>
  <c r="CM15" i="3"/>
  <c r="CK16" i="3"/>
  <c r="CL16" i="3"/>
  <c r="CM16" i="3"/>
  <c r="CK17" i="3"/>
  <c r="CL17" i="3"/>
  <c r="CM17" i="3"/>
  <c r="CK18" i="3"/>
  <c r="CL18" i="3"/>
  <c r="CM18" i="3"/>
  <c r="CK19" i="3"/>
  <c r="CL19" i="3"/>
  <c r="CM19" i="3"/>
  <c r="CK20" i="3"/>
  <c r="CL20" i="3"/>
  <c r="CM20" i="3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H51" i="1"/>
  <c r="CI51" i="1"/>
  <c r="CJ51" i="1"/>
  <c r="CK30" i="2"/>
  <c r="CI30" i="2"/>
  <c r="CJ30" i="2"/>
  <c r="CI23" i="2"/>
  <c r="CJ23" i="2"/>
  <c r="CK23" i="2"/>
  <c r="CI20" i="2"/>
  <c r="CJ20" i="2"/>
  <c r="CK20" i="2"/>
  <c r="CI12" i="2"/>
  <c r="CJ12" i="2"/>
  <c r="CK12" i="2"/>
  <c r="CI7" i="2"/>
  <c r="CJ7" i="2"/>
  <c r="CK7" i="2"/>
  <c r="CI4" i="2"/>
  <c r="CJ4" i="2"/>
  <c r="CK4" i="2"/>
  <c r="CI3" i="2"/>
  <c r="CI19" i="2" s="1"/>
  <c r="CI29" i="2" s="1"/>
  <c r="CI33" i="2" s="1"/>
  <c r="CI35" i="2" s="1"/>
  <c r="CI37" i="2" s="1"/>
  <c r="CJ3" i="2"/>
  <c r="CJ19" i="2" s="1"/>
  <c r="CJ29" i="2" s="1"/>
  <c r="CJ33" i="2" s="1"/>
  <c r="CJ35" i="2" s="1"/>
  <c r="CJ37" i="2" s="1"/>
  <c r="CK3" i="2"/>
  <c r="CK19" i="2" s="1"/>
  <c r="CK29" i="2" s="1"/>
  <c r="CK33" i="2" s="1"/>
  <c r="CK35" i="2" s="1"/>
  <c r="CK37" i="2" s="1"/>
  <c r="CH48" i="1"/>
  <c r="CI48" i="1"/>
  <c r="CJ48" i="1"/>
  <c r="CG48" i="1"/>
  <c r="CH31" i="1"/>
  <c r="CH38" i="1" s="1"/>
  <c r="CH49" i="1" s="1"/>
  <c r="CI31" i="1"/>
  <c r="CI38" i="1" s="1"/>
  <c r="CI49" i="1" s="1"/>
  <c r="CJ31" i="1"/>
  <c r="CJ38" i="1" s="1"/>
  <c r="CJ49" i="1" s="1"/>
  <c r="CH21" i="1"/>
  <c r="CI21" i="1"/>
  <c r="CJ21" i="1"/>
  <c r="CH17" i="1"/>
  <c r="CI17" i="1"/>
  <c r="CJ17" i="1"/>
  <c r="CH14" i="1"/>
  <c r="CI14" i="1"/>
  <c r="CJ14" i="1"/>
  <c r="CH8" i="1"/>
  <c r="CI8" i="1"/>
  <c r="CJ8" i="1"/>
  <c r="CJ4" i="1"/>
  <c r="CJ27" i="1" s="1"/>
  <c r="CH4" i="1"/>
  <c r="CH27" i="1" s="1"/>
  <c r="CI4" i="1"/>
  <c r="CI27" i="1" s="1"/>
  <c r="CG14" i="5"/>
  <c r="CI3" i="3"/>
  <c r="CJ3" i="3"/>
  <c r="CJ4" i="3"/>
  <c r="CJ5" i="3"/>
  <c r="CJ6" i="3"/>
  <c r="CJ8" i="3"/>
  <c r="CJ9" i="3"/>
  <c r="CJ10" i="3"/>
  <c r="CJ11" i="3"/>
  <c r="CJ12" i="3"/>
  <c r="CJ13" i="3"/>
  <c r="CJ14" i="3"/>
  <c r="CJ15" i="3"/>
  <c r="CJ16" i="3"/>
  <c r="CJ17" i="3"/>
  <c r="CJ18" i="3"/>
  <c r="CJ19" i="3"/>
  <c r="CJ20" i="3"/>
  <c r="CJ21" i="3"/>
  <c r="CJ22" i="3"/>
  <c r="CJ23" i="3"/>
  <c r="CJ24" i="3"/>
  <c r="CJ25" i="3"/>
  <c r="CJ26" i="3"/>
  <c r="CJ27" i="3"/>
  <c r="CJ28" i="3"/>
  <c r="CJ30" i="3"/>
  <c r="CJ32" i="3"/>
  <c r="CJ33" i="3"/>
  <c r="CJ34" i="3"/>
  <c r="CJ35" i="3"/>
  <c r="CJ36" i="3"/>
  <c r="CJ37" i="3"/>
  <c r="CJ38" i="3"/>
  <c r="CJ39" i="3"/>
  <c r="CI4" i="5"/>
  <c r="CI5" i="5"/>
  <c r="CI6" i="5"/>
  <c r="CI7" i="5"/>
  <c r="CI8" i="5"/>
  <c r="CI15" i="5"/>
  <c r="CI17" i="5"/>
  <c r="CI18" i="5"/>
  <c r="CI19" i="5"/>
  <c r="CI20" i="5"/>
  <c r="CI22" i="5"/>
  <c r="CI21" i="5" s="1"/>
  <c r="CI26" i="5"/>
  <c r="CI27" i="5"/>
  <c r="CI28" i="5"/>
  <c r="CI30" i="5"/>
  <c r="CI31" i="5"/>
  <c r="CI32" i="5"/>
  <c r="CI34" i="5"/>
  <c r="CI35" i="5"/>
  <c r="CI38" i="5"/>
  <c r="CI39" i="5"/>
  <c r="CI40" i="5"/>
  <c r="CI44" i="5"/>
  <c r="CI45" i="5"/>
  <c r="CI46" i="5"/>
  <c r="CI47" i="5"/>
  <c r="CG42" i="1"/>
  <c r="CG36" i="1"/>
  <c r="CH11" i="2"/>
  <c r="CH5" i="2"/>
  <c r="CH24" i="2"/>
  <c r="CH25" i="2"/>
  <c r="CH26" i="2"/>
  <c r="CH28" i="2"/>
  <c r="CH13" i="2"/>
  <c r="CH9" i="2"/>
  <c r="CH10" i="2"/>
  <c r="CH20" i="2"/>
  <c r="CH23" i="2"/>
  <c r="CH30" i="2"/>
  <c r="CH4" i="2"/>
  <c r="CH7" i="2"/>
  <c r="CH12" i="2"/>
  <c r="CG4" i="1"/>
  <c r="CG8" i="1"/>
  <c r="CG14" i="1"/>
  <c r="CG17" i="1"/>
  <c r="CG21" i="1"/>
  <c r="CG27" i="1"/>
  <c r="CG31" i="1"/>
  <c r="CG38" i="1"/>
  <c r="CG49" i="1"/>
  <c r="BW4" i="5"/>
  <c r="BX4" i="5"/>
  <c r="BY4" i="5"/>
  <c r="BZ4" i="5"/>
  <c r="CA4" i="5"/>
  <c r="CB4" i="5"/>
  <c r="CC4" i="5"/>
  <c r="CD4" i="5"/>
  <c r="CE4" i="5"/>
  <c r="CF4" i="5"/>
  <c r="CG4" i="5"/>
  <c r="CH4" i="5"/>
  <c r="BW5" i="5"/>
  <c r="BX5" i="5"/>
  <c r="BY5" i="5"/>
  <c r="BZ5" i="5"/>
  <c r="CA5" i="5"/>
  <c r="CB5" i="5"/>
  <c r="CC5" i="5"/>
  <c r="CD5" i="5"/>
  <c r="CE5" i="5"/>
  <c r="CF5" i="5"/>
  <c r="CG5" i="5"/>
  <c r="CH5" i="5"/>
  <c r="BW6" i="5"/>
  <c r="BX6" i="5"/>
  <c r="BY6" i="5"/>
  <c r="BZ6" i="5"/>
  <c r="CA6" i="5"/>
  <c r="CB6" i="5"/>
  <c r="CC6" i="5"/>
  <c r="CD6" i="5"/>
  <c r="CE6" i="5"/>
  <c r="CF6" i="5"/>
  <c r="CG6" i="5"/>
  <c r="CH6" i="5"/>
  <c r="BW7" i="5"/>
  <c r="BX7" i="5"/>
  <c r="BY7" i="5"/>
  <c r="BZ7" i="5"/>
  <c r="CA7" i="5"/>
  <c r="CB7" i="5"/>
  <c r="CC7" i="5"/>
  <c r="CD7" i="5"/>
  <c r="CE7" i="5"/>
  <c r="CF7" i="5"/>
  <c r="CG7" i="5"/>
  <c r="CH7" i="5"/>
  <c r="BW8" i="5"/>
  <c r="BX8" i="5"/>
  <c r="BY8" i="5"/>
  <c r="BZ8" i="5"/>
  <c r="CA8" i="5"/>
  <c r="CB8" i="5"/>
  <c r="CC8" i="5"/>
  <c r="CD8" i="5"/>
  <c r="CE8" i="5"/>
  <c r="CF8" i="5"/>
  <c r="CG8" i="5"/>
  <c r="CH8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H14" i="5" s="1"/>
  <c r="CH11" i="5" s="1"/>
  <c r="BW18" i="5"/>
  <c r="BX18" i="5"/>
  <c r="BY18" i="5"/>
  <c r="BZ18" i="5"/>
  <c r="CA18" i="5"/>
  <c r="CB18" i="5"/>
  <c r="CC18" i="5"/>
  <c r="CD18" i="5"/>
  <c r="CE18" i="5"/>
  <c r="CF18" i="5"/>
  <c r="CG18" i="5"/>
  <c r="CH18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BW22" i="5"/>
  <c r="BW21" i="5" s="1"/>
  <c r="BX22" i="5"/>
  <c r="BX21" i="5" s="1"/>
  <c r="BY22" i="5"/>
  <c r="BY21" i="5" s="1"/>
  <c r="BZ22" i="5"/>
  <c r="BZ21" i="5" s="1"/>
  <c r="CA22" i="5"/>
  <c r="CA21" i="5" s="1"/>
  <c r="CB22" i="5"/>
  <c r="CB21" i="5" s="1"/>
  <c r="CC22" i="5"/>
  <c r="CC21" i="5" s="1"/>
  <c r="CD22" i="5"/>
  <c r="CD21" i="5" s="1"/>
  <c r="CE22" i="5"/>
  <c r="CE21" i="5" s="1"/>
  <c r="CF22" i="5"/>
  <c r="CF21" i="5" s="1"/>
  <c r="CG22" i="5"/>
  <c r="CG21" i="5" s="1"/>
  <c r="CH22" i="5"/>
  <c r="CH21" i="5" s="1"/>
  <c r="BW26" i="5"/>
  <c r="BX26" i="5"/>
  <c r="BY26" i="5"/>
  <c r="BZ26" i="5"/>
  <c r="CA26" i="5"/>
  <c r="CB26" i="5"/>
  <c r="CC26" i="5"/>
  <c r="CD26" i="5"/>
  <c r="CE26" i="5"/>
  <c r="CF26" i="5"/>
  <c r="CG26" i="5"/>
  <c r="CH26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BX3" i="3"/>
  <c r="BY3" i="3"/>
  <c r="BZ3" i="3"/>
  <c r="CA3" i="3"/>
  <c r="CB3" i="3"/>
  <c r="CC3" i="3"/>
  <c r="CD3" i="3"/>
  <c r="CE3" i="3"/>
  <c r="CF3" i="3"/>
  <c r="CG3" i="3"/>
  <c r="CH3" i="3"/>
  <c r="BX4" i="3"/>
  <c r="BY4" i="3"/>
  <c r="BZ4" i="3"/>
  <c r="CA4" i="3"/>
  <c r="CB4" i="3"/>
  <c r="CC4" i="3"/>
  <c r="CD4" i="3"/>
  <c r="CE4" i="3"/>
  <c r="CF4" i="3"/>
  <c r="CG4" i="3"/>
  <c r="CH4" i="3"/>
  <c r="CI4" i="3"/>
  <c r="BX5" i="3"/>
  <c r="BY5" i="3"/>
  <c r="BZ5" i="3"/>
  <c r="CA5" i="3"/>
  <c r="CB5" i="3"/>
  <c r="CC5" i="3"/>
  <c r="CD5" i="3"/>
  <c r="CE5" i="3"/>
  <c r="CF5" i="3"/>
  <c r="CG5" i="3"/>
  <c r="CH5" i="3"/>
  <c r="CI5" i="3"/>
  <c r="BX6" i="3"/>
  <c r="BY6" i="3"/>
  <c r="BZ6" i="3"/>
  <c r="CA6" i="3"/>
  <c r="CB6" i="3"/>
  <c r="CC6" i="3"/>
  <c r="CD6" i="3"/>
  <c r="CE6" i="3"/>
  <c r="CF6" i="3"/>
  <c r="CG6" i="3"/>
  <c r="CH6" i="3"/>
  <c r="CI6" i="3"/>
  <c r="BX8" i="3"/>
  <c r="BY8" i="3"/>
  <c r="BZ8" i="3"/>
  <c r="CA8" i="3"/>
  <c r="CB8" i="3"/>
  <c r="CC8" i="3"/>
  <c r="CD8" i="3"/>
  <c r="CE8" i="3"/>
  <c r="CF8" i="3"/>
  <c r="CG8" i="3"/>
  <c r="CH8" i="3"/>
  <c r="CI8" i="3"/>
  <c r="BX9" i="3"/>
  <c r="BY9" i="3"/>
  <c r="BZ9" i="3"/>
  <c r="CA9" i="3"/>
  <c r="CB9" i="3"/>
  <c r="CC9" i="3"/>
  <c r="CD9" i="3"/>
  <c r="CE9" i="3"/>
  <c r="CF9" i="3"/>
  <c r="CG9" i="3"/>
  <c r="CH9" i="3"/>
  <c r="CI9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BY24" i="3"/>
  <c r="BZ24" i="3"/>
  <c r="CA24" i="3"/>
  <c r="CB24" i="3"/>
  <c r="CC24" i="3"/>
  <c r="CD24" i="3"/>
  <c r="CE24" i="3"/>
  <c r="CF24" i="3"/>
  <c r="CG24" i="3"/>
  <c r="CH24" i="3"/>
  <c r="CI24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BY35" i="3"/>
  <c r="BZ35" i="3"/>
  <c r="CA35" i="3"/>
  <c r="CB35" i="3"/>
  <c r="CC35" i="3"/>
  <c r="CD35" i="3"/>
  <c r="CE35" i="3"/>
  <c r="CF35" i="3"/>
  <c r="CG35" i="3"/>
  <c r="CH35" i="3"/>
  <c r="CI35" i="3"/>
  <c r="BY36" i="3"/>
  <c r="BZ36" i="3"/>
  <c r="CA36" i="3"/>
  <c r="CB36" i="3"/>
  <c r="CC36" i="3"/>
  <c r="CD36" i="3"/>
  <c r="CE36" i="3"/>
  <c r="CF36" i="3"/>
  <c r="CG36" i="3"/>
  <c r="CH36" i="3"/>
  <c r="CI36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C14" i="1"/>
  <c r="CD14" i="1"/>
  <c r="CE14" i="1"/>
  <c r="CF14" i="1"/>
  <c r="CC17" i="1"/>
  <c r="CD17" i="1"/>
  <c r="CE17" i="1"/>
  <c r="CF17" i="1"/>
  <c r="CC21" i="1"/>
  <c r="CD21" i="1"/>
  <c r="CE21" i="1"/>
  <c r="CF21" i="1"/>
  <c r="CC31" i="1"/>
  <c r="CD31" i="1"/>
  <c r="CE31" i="1"/>
  <c r="CF31" i="1"/>
  <c r="CC38" i="1"/>
  <c r="CD38" i="1"/>
  <c r="CE38" i="1"/>
  <c r="CF38" i="1"/>
  <c r="CC48" i="1"/>
  <c r="CD48" i="1"/>
  <c r="CE48" i="1"/>
  <c r="CF48" i="1"/>
  <c r="CC49" i="1"/>
  <c r="CD49" i="1"/>
  <c r="CE49" i="1"/>
  <c r="CF49" i="1"/>
  <c r="BU14" i="1"/>
  <c r="BV14" i="1"/>
  <c r="BW14" i="1"/>
  <c r="BX14" i="1"/>
  <c r="BY14" i="1"/>
  <c r="BZ14" i="1"/>
  <c r="CA14" i="1"/>
  <c r="CB14" i="1"/>
  <c r="BU17" i="1"/>
  <c r="BV17" i="1"/>
  <c r="BW17" i="1"/>
  <c r="BX17" i="1"/>
  <c r="BY17" i="1"/>
  <c r="BZ17" i="1"/>
  <c r="CA17" i="1"/>
  <c r="CB17" i="1"/>
  <c r="BU21" i="1"/>
  <c r="BV21" i="1"/>
  <c r="BW21" i="1"/>
  <c r="BX21" i="1"/>
  <c r="BY21" i="1"/>
  <c r="BZ21" i="1"/>
  <c r="CA21" i="1"/>
  <c r="CB21" i="1"/>
  <c r="BU31" i="1"/>
  <c r="BV31" i="1"/>
  <c r="BW31" i="1"/>
  <c r="BX31" i="1"/>
  <c r="BY31" i="1"/>
  <c r="BZ31" i="1"/>
  <c r="CA31" i="1"/>
  <c r="CB31" i="1"/>
  <c r="BU38" i="1"/>
  <c r="BV38" i="1"/>
  <c r="BW38" i="1"/>
  <c r="BX38" i="1"/>
  <c r="BY38" i="1"/>
  <c r="BZ38" i="1"/>
  <c r="CA38" i="1"/>
  <c r="CB38" i="1"/>
  <c r="BU48" i="1"/>
  <c r="BV48" i="1"/>
  <c r="BW48" i="1"/>
  <c r="BX48" i="1"/>
  <c r="BY48" i="1"/>
  <c r="BZ48" i="1"/>
  <c r="CA48" i="1"/>
  <c r="CB48" i="1"/>
  <c r="BU49" i="1"/>
  <c r="BV49" i="1"/>
  <c r="BW49" i="1"/>
  <c r="BX49" i="1"/>
  <c r="BY49" i="1"/>
  <c r="BZ49" i="1"/>
  <c r="CA49" i="1"/>
  <c r="CB49" i="1"/>
  <c r="BV4" i="2"/>
  <c r="BW4" i="2"/>
  <c r="BX4" i="2"/>
  <c r="BY4" i="2"/>
  <c r="BZ4" i="2"/>
  <c r="CA4" i="2"/>
  <c r="CB4" i="2"/>
  <c r="CC4" i="2"/>
  <c r="CD4" i="2"/>
  <c r="CE4" i="2"/>
  <c r="CF4" i="2"/>
  <c r="CG4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BT6" i="1"/>
  <c r="BT42" i="1"/>
  <c r="BT36" i="1"/>
  <c r="BT33" i="1"/>
  <c r="BT13" i="1"/>
  <c r="BT12" i="1"/>
  <c r="BT11" i="1"/>
  <c r="BT7" i="1"/>
  <c r="BT5" i="1"/>
  <c r="BU26" i="2"/>
  <c r="BU25" i="2"/>
  <c r="BU24" i="2"/>
  <c r="BU28" i="2"/>
  <c r="BU11" i="2"/>
  <c r="BU13" i="2"/>
  <c r="BU9" i="2"/>
  <c r="BU5" i="2"/>
  <c r="BN30" i="2"/>
  <c r="BO30" i="2"/>
  <c r="BP30" i="2"/>
  <c r="BQ30" i="2"/>
  <c r="BR30" i="2"/>
  <c r="BS30" i="2"/>
  <c r="BT30" i="2"/>
  <c r="BU30" i="2"/>
  <c r="BN23" i="2"/>
  <c r="BO23" i="2"/>
  <c r="BP23" i="2"/>
  <c r="BQ23" i="2"/>
  <c r="BR23" i="2"/>
  <c r="BS23" i="2"/>
  <c r="BT23" i="2"/>
  <c r="BU23" i="2"/>
  <c r="BN20" i="2"/>
  <c r="BO20" i="2"/>
  <c r="BP20" i="2"/>
  <c r="BQ20" i="2"/>
  <c r="BR20" i="2"/>
  <c r="BS20" i="2"/>
  <c r="BT20" i="2"/>
  <c r="BU20" i="2"/>
  <c r="BN12" i="2"/>
  <c r="BO12" i="2"/>
  <c r="BP12" i="2"/>
  <c r="BQ12" i="2"/>
  <c r="BR12" i="2"/>
  <c r="BS12" i="2"/>
  <c r="BT12" i="2"/>
  <c r="BU12" i="2"/>
  <c r="BN7" i="2"/>
  <c r="BO7" i="2"/>
  <c r="BP7" i="2"/>
  <c r="BQ7" i="2"/>
  <c r="BR7" i="2"/>
  <c r="BS7" i="2"/>
  <c r="BT7" i="2"/>
  <c r="BU7" i="2"/>
  <c r="BN4" i="2"/>
  <c r="BN3" i="2" s="1"/>
  <c r="BN19" i="2" s="1"/>
  <c r="BN29" i="2" s="1"/>
  <c r="BN33" i="2" s="1"/>
  <c r="BN35" i="2" s="1"/>
  <c r="BN37" i="2" s="1"/>
  <c r="BO4" i="2"/>
  <c r="BO3" i="2" s="1"/>
  <c r="BO19" i="2" s="1"/>
  <c r="BO29" i="2" s="1"/>
  <c r="BO33" i="2" s="1"/>
  <c r="BO35" i="2" s="1"/>
  <c r="BO37" i="2" s="1"/>
  <c r="BP4" i="2"/>
  <c r="BP3" i="2" s="1"/>
  <c r="BP19" i="2" s="1"/>
  <c r="BP29" i="2" s="1"/>
  <c r="BP33" i="2" s="1"/>
  <c r="BP35" i="2" s="1"/>
  <c r="BP37" i="2" s="1"/>
  <c r="BQ4" i="2"/>
  <c r="BQ3" i="2" s="1"/>
  <c r="BQ19" i="2" s="1"/>
  <c r="BQ29" i="2" s="1"/>
  <c r="BQ33" i="2" s="1"/>
  <c r="BQ35" i="2" s="1"/>
  <c r="BQ37" i="2" s="1"/>
  <c r="BR4" i="2"/>
  <c r="BR3" i="2" s="1"/>
  <c r="BR19" i="2" s="1"/>
  <c r="BR29" i="2" s="1"/>
  <c r="BR33" i="2" s="1"/>
  <c r="BR35" i="2" s="1"/>
  <c r="BR37" i="2" s="1"/>
  <c r="BS4" i="2"/>
  <c r="BS3" i="2" s="1"/>
  <c r="BS19" i="2" s="1"/>
  <c r="BS29" i="2" s="1"/>
  <c r="BS33" i="2" s="1"/>
  <c r="BS35" i="2" s="1"/>
  <c r="BS37" i="2" s="1"/>
  <c r="BT4" i="2"/>
  <c r="BT3" i="2" s="1"/>
  <c r="BT19" i="2" s="1"/>
  <c r="BT29" i="2" s="1"/>
  <c r="BT33" i="2" s="1"/>
  <c r="BT35" i="2" s="1"/>
  <c r="BT37" i="2" s="1"/>
  <c r="BU4" i="2"/>
  <c r="BU3" i="2" s="1"/>
  <c r="BU19" i="2" s="1"/>
  <c r="BU29" i="2" s="1"/>
  <c r="BU33" i="2" s="1"/>
  <c r="BU35" i="2" s="1"/>
  <c r="BU37" i="2" s="1"/>
  <c r="BM48" i="1"/>
  <c r="BN48" i="1"/>
  <c r="BO48" i="1"/>
  <c r="BP48" i="1"/>
  <c r="BQ48" i="1"/>
  <c r="BR48" i="1"/>
  <c r="BS48" i="1"/>
  <c r="BT48" i="1"/>
  <c r="BM31" i="1"/>
  <c r="BM38" i="1" s="1"/>
  <c r="BM49" i="1" s="1"/>
  <c r="BN31" i="1"/>
  <c r="BN38" i="1" s="1"/>
  <c r="BN49" i="1" s="1"/>
  <c r="BO31" i="1"/>
  <c r="BO38" i="1" s="1"/>
  <c r="BO49" i="1" s="1"/>
  <c r="BP31" i="1"/>
  <c r="BP38" i="1" s="1"/>
  <c r="BP49" i="1" s="1"/>
  <c r="BQ31" i="1"/>
  <c r="BQ38" i="1" s="1"/>
  <c r="BQ49" i="1" s="1"/>
  <c r="BR31" i="1"/>
  <c r="BR38" i="1" s="1"/>
  <c r="BR49" i="1" s="1"/>
  <c r="BS31" i="1"/>
  <c r="BS38" i="1" s="1"/>
  <c r="BS49" i="1" s="1"/>
  <c r="BT31" i="1"/>
  <c r="BT38" i="1" s="1"/>
  <c r="BT49" i="1" s="1"/>
  <c r="BM21" i="1"/>
  <c r="BN21" i="1"/>
  <c r="BO21" i="1"/>
  <c r="BP21" i="1"/>
  <c r="BQ21" i="1"/>
  <c r="BR21" i="1"/>
  <c r="BS21" i="1"/>
  <c r="BT21" i="1"/>
  <c r="BM17" i="1"/>
  <c r="BN17" i="1"/>
  <c r="BO17" i="1"/>
  <c r="BP17" i="1"/>
  <c r="BQ17" i="1"/>
  <c r="BR17" i="1"/>
  <c r="BS17" i="1"/>
  <c r="BT17" i="1"/>
  <c r="BM14" i="1"/>
  <c r="BN14" i="1"/>
  <c r="BO14" i="1"/>
  <c r="BP14" i="1"/>
  <c r="BQ14" i="1"/>
  <c r="BR14" i="1"/>
  <c r="BS14" i="1"/>
  <c r="BT14" i="1"/>
  <c r="BM8" i="1"/>
  <c r="BN8" i="1"/>
  <c r="BO8" i="1"/>
  <c r="BP8" i="1"/>
  <c r="BQ8" i="1"/>
  <c r="BR8" i="1"/>
  <c r="BS8" i="1"/>
  <c r="BT8" i="1"/>
  <c r="BP4" i="1"/>
  <c r="BQ4" i="1"/>
  <c r="BR4" i="1"/>
  <c r="BS4" i="1"/>
  <c r="BT4" i="1"/>
  <c r="BT27" i="1" s="1"/>
  <c r="BO4" i="1"/>
  <c r="BM4" i="1"/>
  <c r="BN4" i="1"/>
  <c r="BN3" i="3"/>
  <c r="BO3" i="3"/>
  <c r="BP3" i="3"/>
  <c r="BQ3" i="3"/>
  <c r="BR3" i="3"/>
  <c r="BS3" i="3"/>
  <c r="BT3" i="3"/>
  <c r="BU3" i="3"/>
  <c r="BV3" i="3"/>
  <c r="BW3" i="3"/>
  <c r="BW4" i="3"/>
  <c r="BP5" i="3"/>
  <c r="BQ5" i="3"/>
  <c r="BR5" i="3"/>
  <c r="BS5" i="3"/>
  <c r="BT5" i="3"/>
  <c r="BU5" i="3"/>
  <c r="BV5" i="3"/>
  <c r="BW5" i="3"/>
  <c r="BW6" i="3"/>
  <c r="BN8" i="3"/>
  <c r="BO8" i="3"/>
  <c r="BP8" i="3"/>
  <c r="BQ8" i="3"/>
  <c r="BR8" i="3"/>
  <c r="BS8" i="3"/>
  <c r="BT8" i="3"/>
  <c r="BU8" i="3"/>
  <c r="BV8" i="3"/>
  <c r="BW8" i="3"/>
  <c r="BP10" i="3"/>
  <c r="BQ10" i="3"/>
  <c r="BR10" i="3"/>
  <c r="BS10" i="3"/>
  <c r="BT10" i="3"/>
  <c r="BU10" i="3"/>
  <c r="BV10" i="3"/>
  <c r="BP12" i="3"/>
  <c r="BQ12" i="3"/>
  <c r="BR12" i="3"/>
  <c r="BS12" i="3"/>
  <c r="BT12" i="3"/>
  <c r="BU12" i="3"/>
  <c r="BV12" i="3"/>
  <c r="BW12" i="3"/>
  <c r="BP13" i="3"/>
  <c r="BQ13" i="3"/>
  <c r="BR13" i="3"/>
  <c r="BS13" i="3"/>
  <c r="BT13" i="3"/>
  <c r="BU13" i="3"/>
  <c r="BV13" i="3"/>
  <c r="BW13" i="3"/>
  <c r="BW14" i="3"/>
  <c r="BW15" i="3"/>
  <c r="BW16" i="3"/>
  <c r="BW17" i="3"/>
  <c r="BP18" i="3"/>
  <c r="BQ18" i="3"/>
  <c r="BR18" i="3"/>
  <c r="BS18" i="3"/>
  <c r="BT18" i="3"/>
  <c r="BU18" i="3"/>
  <c r="BV18" i="3"/>
  <c r="BW18" i="3"/>
  <c r="BN19" i="3"/>
  <c r="BO19" i="3"/>
  <c r="BP19" i="3"/>
  <c r="BQ19" i="3"/>
  <c r="BR19" i="3"/>
  <c r="BS19" i="3"/>
  <c r="BT19" i="3"/>
  <c r="BU19" i="3"/>
  <c r="BV19" i="3"/>
  <c r="BW19" i="3"/>
  <c r="BW20" i="3"/>
  <c r="BW21" i="3"/>
  <c r="BW22" i="3"/>
  <c r="BW23" i="3"/>
  <c r="BV4" i="5"/>
  <c r="BV5" i="5"/>
  <c r="BV6" i="5"/>
  <c r="BV7" i="5"/>
  <c r="BV8" i="5"/>
  <c r="BV15" i="5"/>
  <c r="BV17" i="5"/>
  <c r="BV18" i="5"/>
  <c r="BV19" i="5"/>
  <c r="BV20" i="5"/>
  <c r="BV22" i="5"/>
  <c r="BV21" i="5" s="1"/>
  <c r="BV26" i="5"/>
  <c r="BV27" i="5"/>
  <c r="BV28" i="5"/>
  <c r="BV30" i="5"/>
  <c r="BV31" i="5"/>
  <c r="BX35" i="3" s="1"/>
  <c r="BV32" i="5"/>
  <c r="BV34" i="5"/>
  <c r="BV35" i="5"/>
  <c r="BV38" i="5"/>
  <c r="BW38" i="3" s="1"/>
  <c r="BV39" i="5"/>
  <c r="BV40" i="5"/>
  <c r="BV44" i="5"/>
  <c r="BW33" i="3" s="1"/>
  <c r="BV45" i="5"/>
  <c r="BW34" i="3" s="1"/>
  <c r="BV46" i="5"/>
  <c r="BV47" i="5"/>
  <c r="BO5" i="5"/>
  <c r="BP5" i="5"/>
  <c r="BP25" i="3" s="1"/>
  <c r="BQ5" i="5"/>
  <c r="BQ25" i="3" s="1"/>
  <c r="BR5" i="5"/>
  <c r="BR25" i="3" s="1"/>
  <c r="BS5" i="5"/>
  <c r="BS25" i="3" s="1"/>
  <c r="BT5" i="5"/>
  <c r="BT25" i="3" s="1"/>
  <c r="BU5" i="5"/>
  <c r="BU25" i="3" s="1"/>
  <c r="BM6" i="5"/>
  <c r="BN6" i="5"/>
  <c r="BN26" i="3" s="1"/>
  <c r="BO6" i="5"/>
  <c r="BO26" i="3" s="1"/>
  <c r="BP6" i="5"/>
  <c r="BP26" i="3" s="1"/>
  <c r="BQ6" i="5"/>
  <c r="BQ26" i="3" s="1"/>
  <c r="BR6" i="5"/>
  <c r="BR26" i="3" s="1"/>
  <c r="BS6" i="5"/>
  <c r="BS26" i="3" s="1"/>
  <c r="BT6" i="5"/>
  <c r="BT26" i="3" s="1"/>
  <c r="BU6" i="5"/>
  <c r="BU26" i="3" s="1"/>
  <c r="BM7" i="5"/>
  <c r="BN7" i="5"/>
  <c r="BN27" i="3" s="1"/>
  <c r="BO7" i="5"/>
  <c r="BO27" i="3" s="1"/>
  <c r="BP7" i="5"/>
  <c r="BP27" i="3" s="1"/>
  <c r="BQ7" i="5"/>
  <c r="BQ27" i="3" s="1"/>
  <c r="BR7" i="5"/>
  <c r="BR27" i="3" s="1"/>
  <c r="BS7" i="5"/>
  <c r="BS27" i="3" s="1"/>
  <c r="BT7" i="5"/>
  <c r="BT27" i="3" s="1"/>
  <c r="BU7" i="5"/>
  <c r="BU27" i="3" s="1"/>
  <c r="BM8" i="5"/>
  <c r="BN8" i="5"/>
  <c r="BO8" i="5"/>
  <c r="BP8" i="5"/>
  <c r="BQ8" i="5"/>
  <c r="BR8" i="5"/>
  <c r="BS8" i="5"/>
  <c r="BT8" i="5"/>
  <c r="BU8" i="5"/>
  <c r="BM15" i="5"/>
  <c r="BN15" i="5"/>
  <c r="BO15" i="5"/>
  <c r="BP15" i="5"/>
  <c r="BQ15" i="5"/>
  <c r="BR15" i="5"/>
  <c r="BS15" i="5"/>
  <c r="BT15" i="5"/>
  <c r="BU15" i="5"/>
  <c r="BM17" i="5"/>
  <c r="BN17" i="5"/>
  <c r="BO17" i="5"/>
  <c r="BP17" i="5"/>
  <c r="BQ17" i="5"/>
  <c r="BR17" i="5"/>
  <c r="BS17" i="5"/>
  <c r="BT17" i="5"/>
  <c r="BU17" i="5"/>
  <c r="BM18" i="5"/>
  <c r="BN18" i="5"/>
  <c r="BO18" i="5"/>
  <c r="BP18" i="5"/>
  <c r="BQ18" i="5"/>
  <c r="BR18" i="5"/>
  <c r="BS18" i="5"/>
  <c r="BT18" i="5"/>
  <c r="BU18" i="5"/>
  <c r="BM19" i="5"/>
  <c r="BN19" i="5"/>
  <c r="BO19" i="5"/>
  <c r="BP19" i="5"/>
  <c r="BQ19" i="5"/>
  <c r="BR19" i="5"/>
  <c r="BS19" i="5"/>
  <c r="BT19" i="5"/>
  <c r="BU19" i="5"/>
  <c r="BM20" i="5"/>
  <c r="BN20" i="5"/>
  <c r="BO20" i="5"/>
  <c r="BP20" i="5"/>
  <c r="BQ20" i="5"/>
  <c r="BR20" i="5"/>
  <c r="BS20" i="5"/>
  <c r="BT20" i="5"/>
  <c r="BU20" i="5"/>
  <c r="BM22" i="5"/>
  <c r="BM21" i="5" s="1"/>
  <c r="BN22" i="5"/>
  <c r="BN21" i="5" s="1"/>
  <c r="BO22" i="5"/>
  <c r="BO21" i="5" s="1"/>
  <c r="BP22" i="5"/>
  <c r="BP21" i="5" s="1"/>
  <c r="BQ22" i="5"/>
  <c r="BQ21" i="5" s="1"/>
  <c r="BR22" i="5"/>
  <c r="BR21" i="5" s="1"/>
  <c r="BS22" i="5"/>
  <c r="BS21" i="5" s="1"/>
  <c r="BT22" i="5"/>
  <c r="BT21" i="5" s="1"/>
  <c r="BU22" i="5"/>
  <c r="BU21" i="5" s="1"/>
  <c r="BM26" i="5"/>
  <c r="BN26" i="5"/>
  <c r="BO26" i="5"/>
  <c r="BP26" i="5"/>
  <c r="BQ26" i="5"/>
  <c r="BR26" i="5"/>
  <c r="BS26" i="5"/>
  <c r="BT26" i="5"/>
  <c r="BU26" i="5"/>
  <c r="BM27" i="5"/>
  <c r="BN27" i="5"/>
  <c r="BO27" i="5"/>
  <c r="BP27" i="5"/>
  <c r="BQ27" i="5"/>
  <c r="BR27" i="5"/>
  <c r="BS27" i="5"/>
  <c r="BT27" i="5"/>
  <c r="BU27" i="5"/>
  <c r="BM28" i="5"/>
  <c r="BN28" i="5"/>
  <c r="BO28" i="5"/>
  <c r="BP28" i="5"/>
  <c r="BQ28" i="5"/>
  <c r="BR28" i="5"/>
  <c r="BS28" i="5"/>
  <c r="BT28" i="5"/>
  <c r="BU28" i="5"/>
  <c r="BO30" i="5"/>
  <c r="BP30" i="5"/>
  <c r="BQ30" i="5"/>
  <c r="BR30" i="5"/>
  <c r="BS30" i="5"/>
  <c r="BT30" i="5"/>
  <c r="BU30" i="5"/>
  <c r="BM31" i="5"/>
  <c r="BN31" i="5"/>
  <c r="BN28" i="3" s="1"/>
  <c r="BO31" i="5"/>
  <c r="BP31" i="5"/>
  <c r="BQ31" i="5"/>
  <c r="BR31" i="5"/>
  <c r="BS31" i="5"/>
  <c r="BT31" i="5"/>
  <c r="BU31" i="5"/>
  <c r="BM32" i="5"/>
  <c r="BN32" i="5"/>
  <c r="BO32" i="5"/>
  <c r="BP32" i="5"/>
  <c r="BQ32" i="5"/>
  <c r="BR32" i="5"/>
  <c r="BS32" i="5"/>
  <c r="BT32" i="5"/>
  <c r="BU32" i="5"/>
  <c r="BO34" i="5"/>
  <c r="BP34" i="5"/>
  <c r="BQ34" i="5"/>
  <c r="BR34" i="5"/>
  <c r="BS34" i="5"/>
  <c r="BT34" i="5"/>
  <c r="BU34" i="5"/>
  <c r="BM35" i="5"/>
  <c r="BN35" i="5"/>
  <c r="BO35" i="5"/>
  <c r="BP35" i="5"/>
  <c r="BQ35" i="5"/>
  <c r="BR35" i="5"/>
  <c r="BS35" i="5"/>
  <c r="BT35" i="5"/>
  <c r="BU35" i="5"/>
  <c r="BM38" i="5"/>
  <c r="BN38" i="5"/>
  <c r="BO38" i="5"/>
  <c r="BP38" i="5"/>
  <c r="BQ38" i="3" s="1"/>
  <c r="BQ38" i="5"/>
  <c r="BR38" i="3" s="1"/>
  <c r="BR38" i="5"/>
  <c r="BS38" i="3" s="1"/>
  <c r="BS38" i="5"/>
  <c r="BT38" i="3" s="1"/>
  <c r="BT38" i="5"/>
  <c r="BU38" i="3" s="1"/>
  <c r="BU38" i="5"/>
  <c r="BV38" i="3" s="1"/>
  <c r="BO39" i="5"/>
  <c r="BP39" i="5"/>
  <c r="BQ39" i="5"/>
  <c r="BR39" i="5"/>
  <c r="BS39" i="5"/>
  <c r="BT39" i="5"/>
  <c r="BU39" i="5"/>
  <c r="BM40" i="5"/>
  <c r="BN40" i="5"/>
  <c r="BO40" i="5"/>
  <c r="BP40" i="5"/>
  <c r="BQ40" i="5"/>
  <c r="BR40" i="5"/>
  <c r="BS40" i="5"/>
  <c r="BT40" i="5"/>
  <c r="BU40" i="5"/>
  <c r="BM44" i="5"/>
  <c r="BN33" i="3" s="1"/>
  <c r="BN44" i="5"/>
  <c r="BO33" i="3" s="1"/>
  <c r="BO44" i="5"/>
  <c r="BP33" i="3" s="1"/>
  <c r="BP44" i="5"/>
  <c r="BQ33" i="3" s="1"/>
  <c r="BQ44" i="5"/>
  <c r="BR33" i="3" s="1"/>
  <c r="BR44" i="5"/>
  <c r="BS33" i="3" s="1"/>
  <c r="BS44" i="5"/>
  <c r="BT33" i="3" s="1"/>
  <c r="BT44" i="5"/>
  <c r="BU33" i="3" s="1"/>
  <c r="BU44" i="5"/>
  <c r="BV33" i="3" s="1"/>
  <c r="BM45" i="5"/>
  <c r="BN34" i="3" s="1"/>
  <c r="BN45" i="5"/>
  <c r="BO34" i="3" s="1"/>
  <c r="BO45" i="5"/>
  <c r="BP34" i="3" s="1"/>
  <c r="BP45" i="5"/>
  <c r="BQ34" i="3" s="1"/>
  <c r="BQ45" i="5"/>
  <c r="BR34" i="3" s="1"/>
  <c r="BR45" i="5"/>
  <c r="BS34" i="3" s="1"/>
  <c r="BS45" i="5"/>
  <c r="BT34" i="3" s="1"/>
  <c r="BT45" i="5"/>
  <c r="BU34" i="3" s="1"/>
  <c r="BU45" i="5"/>
  <c r="BV34" i="3" s="1"/>
  <c r="BM46" i="5"/>
  <c r="BN46" i="5"/>
  <c r="BO46" i="5"/>
  <c r="BP46" i="5"/>
  <c r="BQ46" i="5"/>
  <c r="BR46" i="5"/>
  <c r="BS46" i="5"/>
  <c r="BT46" i="5"/>
  <c r="BU46" i="5"/>
  <c r="BO47" i="5"/>
  <c r="BP47" i="5"/>
  <c r="BQ47" i="5"/>
  <c r="BR47" i="5"/>
  <c r="BS47" i="5"/>
  <c r="BT47" i="5"/>
  <c r="BU47" i="5"/>
  <c r="BR39" i="2"/>
  <c r="BS39" i="2"/>
  <c r="BT32" i="3" s="1"/>
  <c r="BT39" i="2"/>
  <c r="BU39" i="2"/>
  <c r="BW32" i="3" s="1"/>
  <c r="BN39" i="2"/>
  <c r="BO39" i="2"/>
  <c r="BP32" i="3" s="1"/>
  <c r="BP39" i="2"/>
  <c r="BQ32" i="3" s="1"/>
  <c r="BQ39" i="2"/>
  <c r="BR32" i="3" s="1"/>
  <c r="BL4" i="2"/>
  <c r="BM4" i="2"/>
  <c r="BL7" i="2"/>
  <c r="BM7" i="2"/>
  <c r="BN39" i="5" s="1"/>
  <c r="BL12" i="2"/>
  <c r="BM12" i="2"/>
  <c r="BL20" i="2"/>
  <c r="BM20" i="2"/>
  <c r="BL23" i="2"/>
  <c r="BM23" i="2"/>
  <c r="BL30" i="2"/>
  <c r="BM30" i="2"/>
  <c r="BK4" i="1"/>
  <c r="BL4" i="1"/>
  <c r="BK8" i="1"/>
  <c r="BL8" i="1"/>
  <c r="BK14" i="1"/>
  <c r="BL14" i="1"/>
  <c r="BK17" i="1"/>
  <c r="BL17" i="1"/>
  <c r="BK21" i="1"/>
  <c r="BL21" i="1"/>
  <c r="BK31" i="1"/>
  <c r="BK38" i="1"/>
  <c r="BL31" i="1"/>
  <c r="BL38" i="1"/>
  <c r="BK48" i="1"/>
  <c r="BL48" i="1"/>
  <c r="BK3" i="3"/>
  <c r="BL3" i="3"/>
  <c r="BM3" i="3"/>
  <c r="BL19" i="3"/>
  <c r="BM19" i="3"/>
  <c r="BL44" i="5"/>
  <c r="BM33" i="3"/>
  <c r="AW44" i="5"/>
  <c r="AX44" i="5"/>
  <c r="AY44" i="5"/>
  <c r="AZ33" i="3"/>
  <c r="AZ44" i="5"/>
  <c r="BA44" i="5"/>
  <c r="BB44" i="5"/>
  <c r="BC44" i="5"/>
  <c r="BD44" i="5"/>
  <c r="BE44" i="5"/>
  <c r="BF44" i="5"/>
  <c r="BG33" i="3"/>
  <c r="BG44" i="5"/>
  <c r="BH33" i="3"/>
  <c r="BH44" i="5"/>
  <c r="BJ44" i="5"/>
  <c r="BK44" i="5"/>
  <c r="BL33" i="3"/>
  <c r="BJ6" i="5"/>
  <c r="BK6" i="5"/>
  <c r="BK26" i="3" s="1"/>
  <c r="BL6" i="5"/>
  <c r="BJ7" i="5"/>
  <c r="BK7" i="5"/>
  <c r="BK27" i="3" s="1"/>
  <c r="BL7" i="5"/>
  <c r="BJ8" i="5"/>
  <c r="BK8" i="5"/>
  <c r="BL8" i="5"/>
  <c r="BJ15" i="5"/>
  <c r="BK15" i="5"/>
  <c r="BL15" i="5"/>
  <c r="BJ17" i="5"/>
  <c r="BK17" i="5"/>
  <c r="BL17" i="5"/>
  <c r="BJ18" i="5"/>
  <c r="BK18" i="5"/>
  <c r="BL18" i="5"/>
  <c r="BJ19" i="5"/>
  <c r="BK19" i="5"/>
  <c r="BL19" i="5"/>
  <c r="BJ20" i="5"/>
  <c r="BK20" i="5"/>
  <c r="BL20" i="5"/>
  <c r="BJ22" i="5"/>
  <c r="BJ21" i="5"/>
  <c r="BK22" i="5"/>
  <c r="BK21" i="5"/>
  <c r="BL22" i="5"/>
  <c r="BL21" i="5" s="1"/>
  <c r="BJ26" i="5"/>
  <c r="BK26" i="5"/>
  <c r="BL26" i="5"/>
  <c r="BJ27" i="5"/>
  <c r="BK27" i="5"/>
  <c r="BL27" i="5"/>
  <c r="BJ28" i="5"/>
  <c r="BK28" i="5"/>
  <c r="BL28" i="5"/>
  <c r="BJ31" i="5"/>
  <c r="BK31" i="5"/>
  <c r="BK28" i="3" s="1"/>
  <c r="BL31" i="5"/>
  <c r="BN35" i="3" s="1"/>
  <c r="BJ32" i="5"/>
  <c r="BK32" i="5"/>
  <c r="BL32" i="5"/>
  <c r="BJ35" i="5"/>
  <c r="BK35" i="5"/>
  <c r="BL35" i="5"/>
  <c r="BJ38" i="5"/>
  <c r="BK38" i="5"/>
  <c r="BL38" i="5"/>
  <c r="BJ40" i="5"/>
  <c r="BK40" i="5"/>
  <c r="BL40" i="5"/>
  <c r="BJ45" i="5"/>
  <c r="BK45" i="5"/>
  <c r="BL34" i="3"/>
  <c r="BL45" i="5"/>
  <c r="BJ46" i="5"/>
  <c r="BK46" i="5"/>
  <c r="BL35" i="3"/>
  <c r="BL46" i="5"/>
  <c r="BM35" i="3" s="1"/>
  <c r="D24" i="4"/>
  <c r="D22" i="4"/>
  <c r="D25" i="4" s="1"/>
  <c r="BM8" i="3" s="1"/>
  <c r="C22" i="4"/>
  <c r="F21" i="4"/>
  <c r="F20" i="4"/>
  <c r="F19" i="4"/>
  <c r="F18" i="4"/>
  <c r="F17" i="4"/>
  <c r="F22" i="4"/>
  <c r="BI30" i="2"/>
  <c r="BJ30" i="2"/>
  <c r="BK30" i="2"/>
  <c r="BI23" i="2"/>
  <c r="BJ47" i="5"/>
  <c r="BJ23" i="2"/>
  <c r="BK23" i="2"/>
  <c r="BL47" i="5"/>
  <c r="BI20" i="2"/>
  <c r="BJ20" i="2"/>
  <c r="BK20" i="2"/>
  <c r="BI12" i="2"/>
  <c r="BJ12" i="2"/>
  <c r="BK12" i="2"/>
  <c r="BK39" i="2"/>
  <c r="BI7" i="2"/>
  <c r="BJ39" i="5"/>
  <c r="BJ7" i="2"/>
  <c r="BK39" i="5"/>
  <c r="BK7" i="2"/>
  <c r="BI4" i="2"/>
  <c r="BI3" i="2"/>
  <c r="BI19" i="2"/>
  <c r="BJ4" i="2"/>
  <c r="BJ3" i="2"/>
  <c r="BK4" i="2"/>
  <c r="BK3" i="2" s="1"/>
  <c r="BK19" i="2" s="1"/>
  <c r="BK29" i="2" s="1"/>
  <c r="BK33" i="2" s="1"/>
  <c r="BH48" i="1"/>
  <c r="BI48" i="1"/>
  <c r="BJ48" i="1"/>
  <c r="BH31" i="1"/>
  <c r="BI31" i="1"/>
  <c r="BI38" i="1"/>
  <c r="BI49" i="1"/>
  <c r="BJ31" i="1"/>
  <c r="BH21" i="1"/>
  <c r="BI21" i="1"/>
  <c r="BJ21" i="1"/>
  <c r="BH17" i="1"/>
  <c r="BI17" i="1"/>
  <c r="BJ17" i="1"/>
  <c r="BH14" i="1"/>
  <c r="BI14" i="1"/>
  <c r="BK30" i="5" s="1"/>
  <c r="BJ14" i="1"/>
  <c r="BH8" i="1"/>
  <c r="BI8" i="1"/>
  <c r="BJ8" i="1"/>
  <c r="BH4" i="1"/>
  <c r="BI4" i="1"/>
  <c r="BJ4" i="1"/>
  <c r="AW3" i="3"/>
  <c r="AX3" i="3"/>
  <c r="AY3" i="3"/>
  <c r="AU45" i="5"/>
  <c r="AV45" i="5"/>
  <c r="AW34" i="3"/>
  <c r="AW45" i="5"/>
  <c r="AX34" i="3"/>
  <c r="AX45" i="5"/>
  <c r="AY45" i="5"/>
  <c r="AZ45" i="5"/>
  <c r="BA34" i="3"/>
  <c r="AU46" i="5"/>
  <c r="AV46" i="5"/>
  <c r="AW46" i="5"/>
  <c r="AX46" i="5"/>
  <c r="AY46" i="5"/>
  <c r="AZ46" i="5"/>
  <c r="AU44" i="5"/>
  <c r="AV44" i="5"/>
  <c r="AU40" i="5"/>
  <c r="AV40" i="5"/>
  <c r="AW40" i="5"/>
  <c r="AX40" i="5"/>
  <c r="AY40" i="5"/>
  <c r="AU38" i="5"/>
  <c r="AW38" i="5"/>
  <c r="AX38" i="5"/>
  <c r="AU35" i="5"/>
  <c r="AV35" i="5"/>
  <c r="AW35" i="5"/>
  <c r="AX35" i="5"/>
  <c r="AY35" i="5"/>
  <c r="AU32" i="5"/>
  <c r="AV32" i="5"/>
  <c r="AW32" i="5"/>
  <c r="AX32" i="5"/>
  <c r="AU31" i="5"/>
  <c r="AV31" i="5"/>
  <c r="AW35" i="3" s="1"/>
  <c r="AW31" i="5"/>
  <c r="AU28" i="5"/>
  <c r="AV28" i="5"/>
  <c r="AW28" i="5"/>
  <c r="AU27" i="5"/>
  <c r="AV27" i="5"/>
  <c r="AW27" i="5"/>
  <c r="AX27" i="5"/>
  <c r="AU26" i="5"/>
  <c r="AU25" i="5"/>
  <c r="AV26" i="5"/>
  <c r="AW26" i="5"/>
  <c r="AX26" i="5"/>
  <c r="AV20" i="5"/>
  <c r="AW20" i="5"/>
  <c r="AX20" i="5"/>
  <c r="AV22" i="5"/>
  <c r="AV21" i="5"/>
  <c r="AW22" i="5"/>
  <c r="AW21" i="5"/>
  <c r="AX22" i="5"/>
  <c r="AX21" i="5"/>
  <c r="AU19" i="5"/>
  <c r="AV19" i="5"/>
  <c r="AW19" i="5"/>
  <c r="AU18" i="5"/>
  <c r="AV18" i="5"/>
  <c r="AW18" i="5"/>
  <c r="AU17" i="5"/>
  <c r="AV17" i="5"/>
  <c r="AW17" i="5"/>
  <c r="AX17" i="5"/>
  <c r="AU15" i="5"/>
  <c r="AV15" i="5"/>
  <c r="AW15" i="5"/>
  <c r="AW14" i="5"/>
  <c r="AW11" i="5"/>
  <c r="AW12" i="5"/>
  <c r="AX15" i="5"/>
  <c r="AU7" i="5"/>
  <c r="AV7" i="5"/>
  <c r="AW7" i="5"/>
  <c r="AV27" i="3"/>
  <c r="AX7" i="5"/>
  <c r="AW27" i="3" s="1"/>
  <c r="AU6" i="5"/>
  <c r="AV6" i="5"/>
  <c r="AW6" i="5"/>
  <c r="AX6" i="5"/>
  <c r="AW26" i="3" s="1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AT23" i="2"/>
  <c r="AU47" i="5"/>
  <c r="AU23" i="2"/>
  <c r="AV47" i="5"/>
  <c r="AV23" i="2"/>
  <c r="AW23" i="2"/>
  <c r="AX47" i="5"/>
  <c r="AX23" i="2"/>
  <c r="AY47" i="5"/>
  <c r="AY23" i="2"/>
  <c r="AZ23" i="2"/>
  <c r="BA23" i="2"/>
  <c r="BB23" i="2"/>
  <c r="BC23" i="2"/>
  <c r="BD23" i="2"/>
  <c r="BE23" i="2"/>
  <c r="BF47" i="5"/>
  <c r="BF23" i="2"/>
  <c r="BG23" i="2"/>
  <c r="BH23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AT12" i="2"/>
  <c r="AU12" i="2"/>
  <c r="AU39" i="2"/>
  <c r="AV12" i="2"/>
  <c r="AW12" i="2"/>
  <c r="AX12" i="2"/>
  <c r="AY12" i="2"/>
  <c r="AY39" i="2"/>
  <c r="AZ12" i="2"/>
  <c r="AZ39" i="2"/>
  <c r="BA12" i="2"/>
  <c r="BB12" i="2"/>
  <c r="BB39" i="2"/>
  <c r="BC12" i="2"/>
  <c r="BD12" i="2"/>
  <c r="BE12" i="2"/>
  <c r="BF12" i="2"/>
  <c r="BG12" i="2"/>
  <c r="BG39" i="2"/>
  <c r="AT7" i="2"/>
  <c r="AU39" i="5"/>
  <c r="AU7" i="2"/>
  <c r="AV39" i="5"/>
  <c r="AV7" i="2"/>
  <c r="AW39" i="5"/>
  <c r="AW37" i="5"/>
  <c r="AW7" i="2"/>
  <c r="AX39" i="5"/>
  <c r="AX7" i="2"/>
  <c r="AY39" i="5"/>
  <c r="AY7" i="2"/>
  <c r="AZ39" i="5"/>
  <c r="AZ7" i="2"/>
  <c r="BA7" i="2"/>
  <c r="BB7" i="2"/>
  <c r="BC7" i="2"/>
  <c r="BD7" i="2"/>
  <c r="BE7" i="2"/>
  <c r="BF7" i="2"/>
  <c r="BG39" i="5"/>
  <c r="BG7" i="2"/>
  <c r="BH7" i="2"/>
  <c r="BI39" i="5"/>
  <c r="AT4" i="2"/>
  <c r="AT3" i="2" s="1"/>
  <c r="AT19" i="2" s="1"/>
  <c r="AT29" i="2" s="1"/>
  <c r="AT33" i="2" s="1"/>
  <c r="AT35" i="2" s="1"/>
  <c r="AT37" i="2" s="1"/>
  <c r="AV4" i="2"/>
  <c r="AW4" i="2"/>
  <c r="AX4" i="2"/>
  <c r="AX3" i="2"/>
  <c r="AX19" i="2"/>
  <c r="AY4" i="2"/>
  <c r="AZ4" i="2"/>
  <c r="AZ3" i="2"/>
  <c r="AZ19" i="2"/>
  <c r="AZ29" i="2"/>
  <c r="AZ33" i="2"/>
  <c r="AZ35" i="2"/>
  <c r="AZ37" i="2"/>
  <c r="BA4" i="2"/>
  <c r="BB4" i="2"/>
  <c r="BC4" i="2"/>
  <c r="BD4" i="2"/>
  <c r="BD3" i="2"/>
  <c r="BD19" i="2"/>
  <c r="BD29" i="2"/>
  <c r="BD33" i="2"/>
  <c r="BD35" i="2"/>
  <c r="BD37" i="2"/>
  <c r="BE4" i="2"/>
  <c r="BE3" i="2"/>
  <c r="BF4" i="2"/>
  <c r="BG4" i="2"/>
  <c r="BG3" i="2"/>
  <c r="BG19" i="2"/>
  <c r="AU5" i="2"/>
  <c r="AU4" i="2"/>
  <c r="AU3" i="2"/>
  <c r="AU19" i="2"/>
  <c r="AW25" i="5"/>
  <c r="AV25" i="5"/>
  <c r="BA3" i="2"/>
  <c r="BA19" i="2"/>
  <c r="BA29" i="2"/>
  <c r="BG6" i="1"/>
  <c r="BG5" i="1"/>
  <c r="BG4" i="1" s="1"/>
  <c r="BH3" i="3"/>
  <c r="BI3" i="3"/>
  <c r="BH16" i="2"/>
  <c r="BH12" i="2"/>
  <c r="BH5" i="2"/>
  <c r="BG42" i="1"/>
  <c r="BG23" i="1"/>
  <c r="BG21" i="1"/>
  <c r="AV8" i="1"/>
  <c r="AW8" i="1"/>
  <c r="AX8" i="1"/>
  <c r="AY8" i="1"/>
  <c r="AZ8" i="1"/>
  <c r="BA8" i="1"/>
  <c r="BB8" i="1"/>
  <c r="BC8" i="1"/>
  <c r="BD8" i="1"/>
  <c r="BE8" i="1"/>
  <c r="BF8" i="1"/>
  <c r="AV14" i="1"/>
  <c r="AW30" i="5"/>
  <c r="AW14" i="1"/>
  <c r="AX30" i="5" s="1"/>
  <c r="AX14" i="1"/>
  <c r="AY14" i="1"/>
  <c r="AZ14" i="1"/>
  <c r="BB30" i="5"/>
  <c r="BA14" i="1"/>
  <c r="BB14" i="1"/>
  <c r="BC14" i="1"/>
  <c r="BD14" i="1"/>
  <c r="BF30" i="5"/>
  <c r="BE14" i="1"/>
  <c r="BF14" i="1"/>
  <c r="BG14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AV21" i="1"/>
  <c r="AW21" i="1"/>
  <c r="AX21" i="1"/>
  <c r="AY21" i="1"/>
  <c r="AZ21" i="1"/>
  <c r="BA21" i="1"/>
  <c r="BB21" i="1"/>
  <c r="BC21" i="1"/>
  <c r="BD21" i="1"/>
  <c r="BE21" i="1"/>
  <c r="BF21" i="1"/>
  <c r="AV31" i="1"/>
  <c r="AW5" i="5" s="1"/>
  <c r="AV38" i="1"/>
  <c r="AW31" i="1"/>
  <c r="AX31" i="1"/>
  <c r="AZ18" i="3"/>
  <c r="AY31" i="1"/>
  <c r="AZ31" i="1"/>
  <c r="AZ38" i="1"/>
  <c r="BA31" i="1"/>
  <c r="BB31" i="1"/>
  <c r="BB38" i="1"/>
  <c r="BC31" i="1"/>
  <c r="BC38" i="1"/>
  <c r="BD31" i="1"/>
  <c r="BE31" i="1"/>
  <c r="BG5" i="5"/>
  <c r="BF31" i="1"/>
  <c r="BI18" i="3"/>
  <c r="BG31" i="1"/>
  <c r="BJ18" i="3" s="1"/>
  <c r="AW38" i="1"/>
  <c r="AX38" i="1"/>
  <c r="AY38" i="1"/>
  <c r="BE38" i="1"/>
  <c r="BF38" i="1"/>
  <c r="BG38" i="1"/>
  <c r="BG43" i="1"/>
  <c r="BG39" i="1"/>
  <c r="BK34" i="3" s="1"/>
  <c r="BJ3" i="3"/>
  <c r="BJ19" i="3"/>
  <c r="BG11" i="1"/>
  <c r="BG8" i="1" s="1"/>
  <c r="BB18" i="3"/>
  <c r="BC18" i="3"/>
  <c r="BE18" i="3"/>
  <c r="AU3" i="3"/>
  <c r="AV3" i="3"/>
  <c r="AZ3" i="3"/>
  <c r="BA3" i="3"/>
  <c r="BA5" i="3" s="1"/>
  <c r="BB3" i="3"/>
  <c r="BB5" i="3"/>
  <c r="BC3" i="3"/>
  <c r="BC19" i="3"/>
  <c r="BD3" i="3"/>
  <c r="BE3" i="3"/>
  <c r="BE19" i="3"/>
  <c r="BF3" i="3"/>
  <c r="BG3" i="3"/>
  <c r="BG5" i="3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E45" i="5"/>
  <c r="BF34" i="3"/>
  <c r="BF45" i="5"/>
  <c r="BG34" i="3"/>
  <c r="BG45" i="5"/>
  <c r="BH34" i="3"/>
  <c r="BH45" i="5"/>
  <c r="BI45" i="5"/>
  <c r="BJ34" i="3"/>
  <c r="BE46" i="5"/>
  <c r="BF46" i="5"/>
  <c r="BG46" i="5"/>
  <c r="BH46" i="5"/>
  <c r="BI46" i="5"/>
  <c r="BF33" i="3"/>
  <c r="BI33" i="3"/>
  <c r="BE40" i="5"/>
  <c r="BF40" i="5"/>
  <c r="BG40" i="5"/>
  <c r="BH40" i="5"/>
  <c r="BI40" i="5"/>
  <c r="BF39" i="5"/>
  <c r="BE38" i="5"/>
  <c r="BF38" i="5"/>
  <c r="BF37" i="5"/>
  <c r="BG38" i="5"/>
  <c r="BH38" i="3" s="1"/>
  <c r="BH38" i="5"/>
  <c r="BI38" i="3"/>
  <c r="BE35" i="5"/>
  <c r="BF35" i="5"/>
  <c r="BG35" i="5"/>
  <c r="BH35" i="5"/>
  <c r="BI35" i="5"/>
  <c r="BE34" i="5"/>
  <c r="BF34" i="5"/>
  <c r="BG34" i="5"/>
  <c r="BH34" i="5"/>
  <c r="BE32" i="5"/>
  <c r="BF32" i="5"/>
  <c r="BG32" i="5"/>
  <c r="BH32" i="5"/>
  <c r="BI32" i="5"/>
  <c r="BE31" i="5"/>
  <c r="BF31" i="5"/>
  <c r="BG31" i="5"/>
  <c r="BH31" i="5"/>
  <c r="BH28" i="3"/>
  <c r="BI31" i="5"/>
  <c r="BJ28" i="3"/>
  <c r="BE30" i="5"/>
  <c r="BG30" i="5"/>
  <c r="BH30" i="5"/>
  <c r="BE28" i="5"/>
  <c r="BF28" i="5"/>
  <c r="BG28" i="5"/>
  <c r="BH28" i="5"/>
  <c r="BI28" i="5"/>
  <c r="BE27" i="5"/>
  <c r="BF27" i="5"/>
  <c r="BG27" i="5"/>
  <c r="BH27" i="5"/>
  <c r="BI27" i="5"/>
  <c r="BE26" i="5"/>
  <c r="BE25" i="5"/>
  <c r="BF26" i="5"/>
  <c r="BG26" i="5"/>
  <c r="BH26" i="5"/>
  <c r="BI26" i="5"/>
  <c r="BI25" i="5" s="1"/>
  <c r="BC20" i="5"/>
  <c r="BD20" i="5"/>
  <c r="BE20" i="5"/>
  <c r="BF20" i="5"/>
  <c r="BG20" i="5"/>
  <c r="BH20" i="5"/>
  <c r="BI20" i="5"/>
  <c r="BC22" i="5"/>
  <c r="BC21" i="5"/>
  <c r="BD22" i="5"/>
  <c r="BD21" i="5"/>
  <c r="BE22" i="5"/>
  <c r="BE21" i="5"/>
  <c r="BF22" i="5"/>
  <c r="BF21" i="5"/>
  <c r="BG22" i="5"/>
  <c r="BG21" i="5"/>
  <c r="BH22" i="5"/>
  <c r="BH21" i="5"/>
  <c r="BI22" i="5"/>
  <c r="BI21" i="5"/>
  <c r="BE19" i="5"/>
  <c r="BF19" i="5"/>
  <c r="BG19" i="5"/>
  <c r="BH19" i="5"/>
  <c r="BI19" i="5"/>
  <c r="BE18" i="5"/>
  <c r="BF18" i="5"/>
  <c r="BG18" i="5"/>
  <c r="BH18" i="5"/>
  <c r="BI18" i="5"/>
  <c r="BE17" i="5"/>
  <c r="BF17" i="5"/>
  <c r="BG17" i="5"/>
  <c r="BH17" i="5"/>
  <c r="BI17" i="5"/>
  <c r="BE15" i="5"/>
  <c r="BF15" i="5"/>
  <c r="BG15" i="5"/>
  <c r="BH15" i="5"/>
  <c r="BI15" i="5"/>
  <c r="BE7" i="5"/>
  <c r="BF7" i="5"/>
  <c r="BG7" i="5"/>
  <c r="BF27" i="3"/>
  <c r="BH7" i="5"/>
  <c r="BI7" i="5"/>
  <c r="BE6" i="5"/>
  <c r="BF6" i="5"/>
  <c r="BF26" i="3"/>
  <c r="BG6" i="5"/>
  <c r="BH6" i="5"/>
  <c r="BH26" i="3" s="1"/>
  <c r="BI6" i="5"/>
  <c r="BJ26" i="3"/>
  <c r="BB5" i="5"/>
  <c r="BD5" i="5"/>
  <c r="BC25" i="3"/>
  <c r="BF5" i="5"/>
  <c r="BE25" i="3" s="1"/>
  <c r="BH5" i="5"/>
  <c r="BG25" i="3"/>
  <c r="BD47" i="5"/>
  <c r="BE47" i="5"/>
  <c r="BE43" i="5" s="1"/>
  <c r="BE39" i="5"/>
  <c r="BE37" i="5"/>
  <c r="BH39" i="5"/>
  <c r="AX48" i="1"/>
  <c r="AX49" i="1"/>
  <c r="AY48" i="1"/>
  <c r="AY49" i="1"/>
  <c r="AZ48" i="1"/>
  <c r="AZ49" i="1"/>
  <c r="BA48" i="1"/>
  <c r="BB48" i="1"/>
  <c r="BB49" i="1"/>
  <c r="BC48" i="1"/>
  <c r="BC49" i="1" s="1"/>
  <c r="BD48" i="1"/>
  <c r="BE48" i="1"/>
  <c r="BE49" i="1"/>
  <c r="BF48" i="1"/>
  <c r="BF49" i="1" s="1"/>
  <c r="BG48" i="1"/>
  <c r="BA5" i="5"/>
  <c r="BC30" i="5"/>
  <c r="BI30" i="5"/>
  <c r="AW4" i="1"/>
  <c r="AX4" i="1"/>
  <c r="AZ12" i="3" s="1"/>
  <c r="AY4" i="1"/>
  <c r="AZ4" i="1"/>
  <c r="BC13" i="3"/>
  <c r="BA4" i="1"/>
  <c r="BD13" i="3"/>
  <c r="BB4" i="1"/>
  <c r="BB27" i="1" s="1"/>
  <c r="BE13" i="3"/>
  <c r="BC4" i="1"/>
  <c r="BF12" i="3"/>
  <c r="BD4" i="1"/>
  <c r="BE4" i="1"/>
  <c r="BH12" i="3"/>
  <c r="BF4" i="1"/>
  <c r="BC47" i="5"/>
  <c r="AV34" i="3"/>
  <c r="AY34" i="3"/>
  <c r="AZ34" i="3"/>
  <c r="BA45" i="5"/>
  <c r="BB34" i="3"/>
  <c r="BB45" i="5"/>
  <c r="BC34" i="3"/>
  <c r="BC45" i="5"/>
  <c r="BD34" i="3"/>
  <c r="BD45" i="5"/>
  <c r="BE34" i="3"/>
  <c r="BA46" i="5"/>
  <c r="BB46" i="5"/>
  <c r="BC46" i="5"/>
  <c r="BC43" i="5"/>
  <c r="BD46" i="5"/>
  <c r="AT44" i="5"/>
  <c r="AU33" i="3"/>
  <c r="AV33" i="3"/>
  <c r="AX33" i="3"/>
  <c r="AY33" i="3"/>
  <c r="BA33" i="3"/>
  <c r="BE33" i="3"/>
  <c r="AT40" i="5"/>
  <c r="AZ40" i="5"/>
  <c r="BA40" i="5"/>
  <c r="BB40" i="5"/>
  <c r="BC40" i="5"/>
  <c r="BD40" i="5"/>
  <c r="BB39" i="5"/>
  <c r="BC39" i="5"/>
  <c r="AT38" i="5"/>
  <c r="AY38" i="5"/>
  <c r="AZ38" i="5"/>
  <c r="AZ37" i="5" s="1"/>
  <c r="BA39" i="3" s="1"/>
  <c r="BA38" i="5"/>
  <c r="BB38" i="3"/>
  <c r="BB38" i="5"/>
  <c r="BC38" i="3"/>
  <c r="BC38" i="5"/>
  <c r="BD38" i="3"/>
  <c r="BD38" i="5"/>
  <c r="AT35" i="5"/>
  <c r="AZ35" i="5"/>
  <c r="BA35" i="5"/>
  <c r="BB35" i="5"/>
  <c r="BC35" i="5"/>
  <c r="BD35" i="5"/>
  <c r="AX34" i="5"/>
  <c r="AY34" i="5"/>
  <c r="AZ34" i="5"/>
  <c r="BA34" i="5"/>
  <c r="BB34" i="5"/>
  <c r="BC34" i="5"/>
  <c r="BD34" i="5"/>
  <c r="AT32" i="5"/>
  <c r="AY32" i="5"/>
  <c r="AZ32" i="5"/>
  <c r="BA32" i="5"/>
  <c r="BB32" i="5"/>
  <c r="BC32" i="5"/>
  <c r="BD32" i="5"/>
  <c r="AT31" i="5"/>
  <c r="AX31" i="5"/>
  <c r="AW28" i="3" s="1"/>
  <c r="AY31" i="5"/>
  <c r="AZ35" i="3" s="1"/>
  <c r="AX28" i="3"/>
  <c r="AZ31" i="5"/>
  <c r="AY28" i="3" s="1"/>
  <c r="BA31" i="5"/>
  <c r="AZ28" i="3"/>
  <c r="BB31" i="5"/>
  <c r="BA28" i="3"/>
  <c r="BC31" i="5"/>
  <c r="BB28" i="3"/>
  <c r="BD31" i="5"/>
  <c r="BC28" i="3"/>
  <c r="AY30" i="5"/>
  <c r="AZ30" i="5"/>
  <c r="BA30" i="5"/>
  <c r="AT28" i="5"/>
  <c r="AX28" i="5"/>
  <c r="AX25" i="5" s="1"/>
  <c r="AY28" i="5"/>
  <c r="AZ28" i="5"/>
  <c r="BA28" i="5"/>
  <c r="BB28" i="5"/>
  <c r="BC28" i="5"/>
  <c r="BD28" i="5"/>
  <c r="AT27" i="5"/>
  <c r="AY27" i="5"/>
  <c r="AZ27" i="5"/>
  <c r="BA27" i="5"/>
  <c r="BB27" i="5"/>
  <c r="BC27" i="5"/>
  <c r="BD27" i="5"/>
  <c r="AT26" i="5"/>
  <c r="AT25" i="5"/>
  <c r="AY26" i="5"/>
  <c r="AY25" i="5"/>
  <c r="AZ26" i="5"/>
  <c r="AZ25" i="5"/>
  <c r="BA26" i="5"/>
  <c r="BB26" i="5"/>
  <c r="BB25" i="5"/>
  <c r="BC26" i="5"/>
  <c r="BC25" i="5"/>
  <c r="BD26" i="5"/>
  <c r="BD25" i="5"/>
  <c r="AU20" i="5"/>
  <c r="AY20" i="5"/>
  <c r="AZ20" i="5"/>
  <c r="BA20" i="5"/>
  <c r="BB20" i="5"/>
  <c r="AU22" i="5"/>
  <c r="AU21" i="5"/>
  <c r="AY22" i="5"/>
  <c r="AY21" i="5"/>
  <c r="AZ22" i="5"/>
  <c r="AZ21" i="5"/>
  <c r="BA22" i="5"/>
  <c r="BA21" i="5"/>
  <c r="BB22" i="5"/>
  <c r="BB21" i="5"/>
  <c r="AS19" i="5"/>
  <c r="AT19" i="5"/>
  <c r="AX19" i="5"/>
  <c r="AY19" i="5"/>
  <c r="AZ19" i="5"/>
  <c r="BA19" i="5"/>
  <c r="BB19" i="5"/>
  <c r="BC19" i="5"/>
  <c r="BD19" i="5"/>
  <c r="AT18" i="5"/>
  <c r="AX18" i="5"/>
  <c r="AY18" i="5"/>
  <c r="AZ18" i="5"/>
  <c r="BA18" i="5"/>
  <c r="BB18" i="5"/>
  <c r="BC18" i="5"/>
  <c r="BD18" i="5"/>
  <c r="AS17" i="5"/>
  <c r="AT17" i="5"/>
  <c r="AY17" i="5"/>
  <c r="AZ17" i="5"/>
  <c r="BA17" i="5"/>
  <c r="BB17" i="5"/>
  <c r="BC17" i="5"/>
  <c r="BD17" i="5"/>
  <c r="AS15" i="5"/>
  <c r="AT15" i="5"/>
  <c r="AY15" i="5"/>
  <c r="AY14" i="5"/>
  <c r="AZ15" i="5"/>
  <c r="AZ14" i="5"/>
  <c r="AZ11" i="5"/>
  <c r="BA15" i="5"/>
  <c r="BA14" i="5" s="1"/>
  <c r="BA11" i="5" s="1"/>
  <c r="BB15" i="5"/>
  <c r="BB14" i="5"/>
  <c r="BB11" i="5"/>
  <c r="BC15" i="5"/>
  <c r="BD15" i="5"/>
  <c r="BD14" i="5" s="1"/>
  <c r="AT7" i="5"/>
  <c r="AY7" i="5"/>
  <c r="AX27" i="3"/>
  <c r="AZ7" i="5"/>
  <c r="AY27" i="3" s="1"/>
  <c r="BA7" i="5"/>
  <c r="AZ27" i="3"/>
  <c r="BB7" i="5"/>
  <c r="BA27" i="3"/>
  <c r="BC7" i="5"/>
  <c r="BD27" i="3" s="1"/>
  <c r="BB27" i="3"/>
  <c r="BD7" i="5"/>
  <c r="BC27" i="3"/>
  <c r="AT6" i="5"/>
  <c r="AV26" i="3"/>
  <c r="AY6" i="5"/>
  <c r="AX26" i="3"/>
  <c r="AZ6" i="5"/>
  <c r="AY26" i="3"/>
  <c r="BA6" i="5"/>
  <c r="AZ26" i="3"/>
  <c r="BB6" i="5"/>
  <c r="BA26" i="3"/>
  <c r="BC6" i="5"/>
  <c r="BD26" i="3" s="1"/>
  <c r="BB26" i="3"/>
  <c r="BD6" i="5"/>
  <c r="BE26" i="3" s="1"/>
  <c r="BC26" i="3"/>
  <c r="AX5" i="5"/>
  <c r="AZ5" i="5"/>
  <c r="BA25" i="3" s="1"/>
  <c r="AY25" i="3"/>
  <c r="AU48" i="1"/>
  <c r="AV48" i="1"/>
  <c r="AV49" i="1" s="1"/>
  <c r="AW48" i="1"/>
  <c r="AW49" i="1"/>
  <c r="AU31" i="1"/>
  <c r="AU21" i="1"/>
  <c r="AU17" i="1"/>
  <c r="AU14" i="1"/>
  <c r="AU8" i="1"/>
  <c r="AU4" i="1"/>
  <c r="AW12" i="3"/>
  <c r="AV4" i="1"/>
  <c r="AO30" i="2"/>
  <c r="AP30" i="2"/>
  <c r="AQ30" i="2"/>
  <c r="AR30" i="2"/>
  <c r="AS30" i="2"/>
  <c r="AO23" i="2"/>
  <c r="AP23" i="2"/>
  <c r="AQ47" i="5"/>
  <c r="AQ23" i="2"/>
  <c r="AR47" i="5"/>
  <c r="AR23" i="2"/>
  <c r="AS23" i="2"/>
  <c r="AT47" i="5"/>
  <c r="AP20" i="2"/>
  <c r="AQ20" i="2"/>
  <c r="AR20" i="2"/>
  <c r="AS20" i="2"/>
  <c r="AP12" i="2"/>
  <c r="AQ12" i="2"/>
  <c r="AR12" i="2"/>
  <c r="AS12" i="2"/>
  <c r="AO7" i="2"/>
  <c r="AP39" i="5"/>
  <c r="AP7" i="2"/>
  <c r="AQ7" i="2"/>
  <c r="AR39" i="5"/>
  <c r="AR7" i="2"/>
  <c r="AS39" i="5"/>
  <c r="AS7" i="2"/>
  <c r="AT39" i="5"/>
  <c r="AP4" i="2"/>
  <c r="AP3" i="2" s="1"/>
  <c r="AP19" i="2" s="1"/>
  <c r="AQ4" i="2"/>
  <c r="AR4" i="2"/>
  <c r="AS4" i="2"/>
  <c r="AS3" i="2"/>
  <c r="AS19" i="2"/>
  <c r="AO48" i="1"/>
  <c r="AP48" i="1"/>
  <c r="AQ48" i="1"/>
  <c r="AR48" i="1"/>
  <c r="AS48" i="1"/>
  <c r="AT48" i="1"/>
  <c r="AO31" i="1"/>
  <c r="AP31" i="1"/>
  <c r="AP38" i="1"/>
  <c r="AR18" i="3"/>
  <c r="AQ31" i="1"/>
  <c r="AQ38" i="1"/>
  <c r="AR31" i="1"/>
  <c r="AR38" i="1"/>
  <c r="AS31" i="1"/>
  <c r="AT5" i="5" s="1"/>
  <c r="AU18" i="3"/>
  <c r="AT31" i="1"/>
  <c r="AP21" i="1"/>
  <c r="AQ21" i="1"/>
  <c r="AR34" i="5"/>
  <c r="AR21" i="1"/>
  <c r="AS21" i="1"/>
  <c r="AT21" i="1"/>
  <c r="AU34" i="5"/>
  <c r="AP17" i="1"/>
  <c r="AQ17" i="1"/>
  <c r="AR17" i="1"/>
  <c r="AS17" i="1"/>
  <c r="AT17" i="1"/>
  <c r="AP14" i="1"/>
  <c r="AQ14" i="1"/>
  <c r="AR14" i="1"/>
  <c r="AS14" i="1"/>
  <c r="AT30" i="5" s="1"/>
  <c r="AT14" i="1"/>
  <c r="AU30" i="5"/>
  <c r="AO8" i="1"/>
  <c r="AP8" i="1"/>
  <c r="AQ8" i="1"/>
  <c r="AR8" i="1"/>
  <c r="AS8" i="1"/>
  <c r="AT8" i="1"/>
  <c r="AO4" i="1"/>
  <c r="AP4" i="1"/>
  <c r="AR13" i="3"/>
  <c r="AQ4" i="1"/>
  <c r="AS13" i="3"/>
  <c r="AR4" i="1"/>
  <c r="AT13" i="3"/>
  <c r="AT12" i="3"/>
  <c r="AS4" i="1"/>
  <c r="AU13" i="3"/>
  <c r="AT4" i="1"/>
  <c r="AS18" i="3"/>
  <c r="AT18" i="3"/>
  <c r="AR3" i="3"/>
  <c r="AR5" i="3"/>
  <c r="AS3" i="3"/>
  <c r="AS19" i="3"/>
  <c r="AT3" i="3"/>
  <c r="AT5" i="3"/>
  <c r="AR45" i="5"/>
  <c r="AS34" i="3"/>
  <c r="AS45" i="5"/>
  <c r="AT34" i="3"/>
  <c r="AT45" i="5"/>
  <c r="AU34" i="3"/>
  <c r="AR46" i="5"/>
  <c r="AS46" i="5"/>
  <c r="AT46" i="5"/>
  <c r="AQ44" i="5"/>
  <c r="AR44" i="5"/>
  <c r="AS33" i="3"/>
  <c r="AS44" i="5"/>
  <c r="AT33" i="3"/>
  <c r="AQ38" i="5"/>
  <c r="AR38" i="5"/>
  <c r="AS38" i="5"/>
  <c r="AT38" i="3"/>
  <c r="AQ35" i="5"/>
  <c r="AR35" i="5"/>
  <c r="AS35" i="5"/>
  <c r="AQ34" i="5"/>
  <c r="AQ32" i="5"/>
  <c r="AR32" i="5"/>
  <c r="AS32" i="5"/>
  <c r="AP31" i="5"/>
  <c r="AQ31" i="5"/>
  <c r="AR31" i="5"/>
  <c r="AS31" i="5"/>
  <c r="AT28" i="3" s="1"/>
  <c r="AP28" i="5"/>
  <c r="AQ28" i="5"/>
  <c r="AR28" i="5"/>
  <c r="AS28" i="5"/>
  <c r="AQ27" i="5"/>
  <c r="AR27" i="5"/>
  <c r="AS27" i="5"/>
  <c r="AQ20" i="5"/>
  <c r="AR20" i="5"/>
  <c r="AS20" i="5"/>
  <c r="AT20" i="5"/>
  <c r="AQ22" i="5"/>
  <c r="AQ21" i="5"/>
  <c r="AR22" i="5"/>
  <c r="AR21" i="5"/>
  <c r="AS22" i="5"/>
  <c r="AS21" i="5"/>
  <c r="AT22" i="5"/>
  <c r="AT21" i="5"/>
  <c r="AQ19" i="5"/>
  <c r="AR19" i="5"/>
  <c r="AP18" i="5"/>
  <c r="AQ18" i="5"/>
  <c r="AR18" i="5"/>
  <c r="AS18" i="5"/>
  <c r="AP17" i="5"/>
  <c r="AQ17" i="5"/>
  <c r="AR17" i="5"/>
  <c r="AP15" i="5"/>
  <c r="AQ15" i="5"/>
  <c r="AR15" i="5"/>
  <c r="AQ7" i="5"/>
  <c r="AR7" i="5"/>
  <c r="AR27" i="3"/>
  <c r="AS7" i="5"/>
  <c r="AP7" i="5"/>
  <c r="AQ27" i="3" s="1"/>
  <c r="AP6" i="5"/>
  <c r="AQ6" i="5"/>
  <c r="AR6" i="5"/>
  <c r="AS6" i="5"/>
  <c r="AQ5" i="5"/>
  <c r="AO20" i="2"/>
  <c r="AO12" i="2"/>
  <c r="AO4" i="2"/>
  <c r="AO3" i="2"/>
  <c r="AO19" i="2"/>
  <c r="AN21" i="1"/>
  <c r="AO21" i="1"/>
  <c r="AO17" i="1"/>
  <c r="AO14" i="1"/>
  <c r="AR38" i="3" s="1"/>
  <c r="AO3" i="3"/>
  <c r="AP3" i="3"/>
  <c r="AQ3" i="3"/>
  <c r="AQ19" i="3"/>
  <c r="AN30" i="2"/>
  <c r="AN23" i="2"/>
  <c r="AM20" i="2"/>
  <c r="AN20" i="2"/>
  <c r="AN12" i="2"/>
  <c r="AN7" i="2"/>
  <c r="AO39" i="5"/>
  <c r="AN4" i="2"/>
  <c r="AM48" i="1"/>
  <c r="AN48" i="1"/>
  <c r="AM31" i="1"/>
  <c r="AO5" i="3" s="1"/>
  <c r="AN31" i="1"/>
  <c r="AL21" i="1"/>
  <c r="AM34" i="5"/>
  <c r="AM21" i="1"/>
  <c r="AN34" i="5"/>
  <c r="AK17" i="1"/>
  <c r="AL17" i="1"/>
  <c r="AM17" i="1"/>
  <c r="AN17" i="1"/>
  <c r="AK14" i="1"/>
  <c r="AL30" i="5"/>
  <c r="AL14" i="1"/>
  <c r="AM30" i="5"/>
  <c r="AM14" i="1"/>
  <c r="AN30" i="5"/>
  <c r="AN14" i="1"/>
  <c r="AM8" i="1"/>
  <c r="AN8" i="1"/>
  <c r="AL4" i="1"/>
  <c r="AM4" i="1"/>
  <c r="AO12" i="3"/>
  <c r="AN4" i="1"/>
  <c r="AM3" i="3"/>
  <c r="AM19" i="3"/>
  <c r="AN3" i="3"/>
  <c r="AJ30" i="2"/>
  <c r="AK30" i="2"/>
  <c r="AL30" i="2"/>
  <c r="AM30" i="2"/>
  <c r="AJ23" i="2"/>
  <c r="AK47" i="5"/>
  <c r="AK23" i="2"/>
  <c r="AL47" i="5"/>
  <c r="AL23" i="2"/>
  <c r="AM23" i="2"/>
  <c r="AK20" i="2"/>
  <c r="AL20" i="2"/>
  <c r="AK12" i="2"/>
  <c r="AK39" i="2" s="1"/>
  <c r="AL12" i="2"/>
  <c r="AM12" i="2"/>
  <c r="AJ7" i="2"/>
  <c r="AK39" i="5"/>
  <c r="AK7" i="2"/>
  <c r="AL39" i="5"/>
  <c r="AL7" i="2"/>
  <c r="AM7" i="2"/>
  <c r="AN39" i="5"/>
  <c r="AJ4" i="2"/>
  <c r="AJ3" i="2"/>
  <c r="AK4" i="2"/>
  <c r="AL4" i="2"/>
  <c r="AM4" i="2"/>
  <c r="AJ48" i="1"/>
  <c r="AK48" i="1"/>
  <c r="AL48" i="1"/>
  <c r="AJ31" i="1"/>
  <c r="AK31" i="1"/>
  <c r="AL31" i="1"/>
  <c r="AJ21" i="1"/>
  <c r="AK21" i="1"/>
  <c r="AJ17" i="1"/>
  <c r="AJ14" i="1"/>
  <c r="AK30" i="5"/>
  <c r="AJ8" i="1"/>
  <c r="AK8" i="1"/>
  <c r="AL8" i="1"/>
  <c r="AJ4" i="1"/>
  <c r="AK4" i="1"/>
  <c r="AG8" i="3"/>
  <c r="AF11" i="7"/>
  <c r="AF12" i="7"/>
  <c r="AH8" i="3"/>
  <c r="AI8" i="3"/>
  <c r="AG3" i="3"/>
  <c r="AH3" i="3"/>
  <c r="AI3" i="3"/>
  <c r="AI19" i="3"/>
  <c r="AK3" i="3"/>
  <c r="AK19" i="3"/>
  <c r="AL3" i="3"/>
  <c r="AO47" i="5"/>
  <c r="AE45" i="5"/>
  <c r="AF34" i="3"/>
  <c r="AF45" i="5"/>
  <c r="AG34" i="3"/>
  <c r="AG45" i="5"/>
  <c r="AH34" i="3"/>
  <c r="AH45" i="5"/>
  <c r="AI34" i="3"/>
  <c r="AI45" i="5"/>
  <c r="AJ45" i="5"/>
  <c r="AK34" i="3"/>
  <c r="AK45" i="5"/>
  <c r="AL34" i="3"/>
  <c r="AL45" i="5"/>
  <c r="AM34" i="3"/>
  <c r="AM45" i="5"/>
  <c r="AN34" i="3"/>
  <c r="AN45" i="5"/>
  <c r="AO45" i="5"/>
  <c r="AP45" i="5"/>
  <c r="AQ34" i="3"/>
  <c r="AQ45" i="5"/>
  <c r="AR34" i="3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35" i="3"/>
  <c r="AE44" i="5"/>
  <c r="AF33" i="3"/>
  <c r="AF44" i="5"/>
  <c r="AG44" i="5"/>
  <c r="AH44" i="5"/>
  <c r="AI33" i="3"/>
  <c r="AI44" i="5"/>
  <c r="AJ44" i="5"/>
  <c r="AK33" i="3"/>
  <c r="AK44" i="5"/>
  <c r="AL33" i="3"/>
  <c r="AL44" i="5"/>
  <c r="AM33" i="3"/>
  <c r="AM44" i="5"/>
  <c r="AN33" i="3"/>
  <c r="AN44" i="5"/>
  <c r="AO33" i="3"/>
  <c r="AO44" i="5"/>
  <c r="AP44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D38" i="5"/>
  <c r="AE38" i="5"/>
  <c r="AF38" i="5"/>
  <c r="AG38" i="5"/>
  <c r="AH38" i="5"/>
  <c r="AI38" i="5"/>
  <c r="AJ38" i="5"/>
  <c r="AK38" i="5"/>
  <c r="AL38" i="5"/>
  <c r="AL37" i="5" s="1"/>
  <c r="AM38" i="3"/>
  <c r="AM38" i="5"/>
  <c r="AN38" i="5"/>
  <c r="AO38" i="5"/>
  <c r="AO37" i="5" s="1"/>
  <c r="AP38" i="5"/>
  <c r="AP37" i="5" s="1"/>
  <c r="AQ39" i="3" s="1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K34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D31" i="5"/>
  <c r="AE31" i="5"/>
  <c r="AF31" i="5"/>
  <c r="AG31" i="5"/>
  <c r="AH31" i="5"/>
  <c r="AI31" i="5"/>
  <c r="AJ31" i="5"/>
  <c r="AK31" i="5"/>
  <c r="AK28" i="3" s="1"/>
  <c r="AL31" i="5"/>
  <c r="AM31" i="5"/>
  <c r="AN31" i="5"/>
  <c r="AO31" i="5"/>
  <c r="AP35" i="3" s="1"/>
  <c r="AO30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D26" i="5"/>
  <c r="AD25" i="5" s="1"/>
  <c r="AE26" i="5"/>
  <c r="AE25" i="5" s="1"/>
  <c r="AF26" i="5"/>
  <c r="AF25" i="5" s="1"/>
  <c r="AG26" i="5"/>
  <c r="AH26" i="5"/>
  <c r="AH25" i="5"/>
  <c r="AI26" i="5"/>
  <c r="AJ26" i="5"/>
  <c r="AJ25" i="5"/>
  <c r="AK26" i="5"/>
  <c r="AK25" i="5" s="1"/>
  <c r="AL26" i="5"/>
  <c r="AM26" i="5"/>
  <c r="AN26" i="5"/>
  <c r="AO26" i="5"/>
  <c r="AP26" i="5"/>
  <c r="AQ26" i="5"/>
  <c r="AQ25" i="5" s="1"/>
  <c r="AR26" i="5"/>
  <c r="AR25" i="5" s="1"/>
  <c r="AS26" i="5"/>
  <c r="AS25" i="5"/>
  <c r="AM25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E22" i="5"/>
  <c r="AE21" i="5"/>
  <c r="AF22" i="5"/>
  <c r="AF21" i="5"/>
  <c r="AG22" i="5"/>
  <c r="AG21" i="5"/>
  <c r="AH22" i="5"/>
  <c r="AH21" i="5"/>
  <c r="AI22" i="5"/>
  <c r="AI21" i="5"/>
  <c r="AJ22" i="5"/>
  <c r="AJ21" i="5"/>
  <c r="AK22" i="5"/>
  <c r="AK21" i="5"/>
  <c r="AL22" i="5"/>
  <c r="AL21" i="5"/>
  <c r="AM22" i="5"/>
  <c r="AM21" i="5"/>
  <c r="AN22" i="5"/>
  <c r="AN21" i="5"/>
  <c r="AO22" i="5"/>
  <c r="AO21" i="5"/>
  <c r="AP22" i="5"/>
  <c r="AP21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P14" i="5" s="1"/>
  <c r="AD18" i="5"/>
  <c r="AE18" i="5"/>
  <c r="AF18" i="5"/>
  <c r="AG18" i="5"/>
  <c r="AH18" i="5"/>
  <c r="AJ18" i="5"/>
  <c r="AK18" i="5"/>
  <c r="AL18" i="5"/>
  <c r="AM18" i="5"/>
  <c r="AN18" i="5"/>
  <c r="AO18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D15" i="5"/>
  <c r="AE15" i="5"/>
  <c r="AE14" i="5" s="1"/>
  <c r="AE11" i="5" s="1"/>
  <c r="AF15" i="5"/>
  <c r="AG15" i="5"/>
  <c r="AH15" i="5"/>
  <c r="AH14" i="5" s="1"/>
  <c r="AH11" i="5" s="1"/>
  <c r="AI15" i="5"/>
  <c r="AJ15" i="5"/>
  <c r="AK15" i="5"/>
  <c r="AL15" i="5"/>
  <c r="AM15" i="5"/>
  <c r="AN15" i="5"/>
  <c r="AO15" i="5"/>
  <c r="AD7" i="5"/>
  <c r="AE7" i="5"/>
  <c r="AE27" i="3"/>
  <c r="AF7" i="5"/>
  <c r="AG7" i="5"/>
  <c r="AG27" i="3" s="1"/>
  <c r="AH7" i="5"/>
  <c r="AI7" i="5"/>
  <c r="AI27" i="3" s="1"/>
  <c r="AJ7" i="5"/>
  <c r="AK7" i="5"/>
  <c r="AK27" i="3" s="1"/>
  <c r="AL7" i="5"/>
  <c r="AL27" i="3" s="1"/>
  <c r="AM7" i="5"/>
  <c r="AM27" i="3"/>
  <c r="AN7" i="5"/>
  <c r="AN27" i="3"/>
  <c r="AO7" i="5"/>
  <c r="AO27" i="3"/>
  <c r="AD6" i="5"/>
  <c r="AE6" i="5"/>
  <c r="AF6" i="5"/>
  <c r="AG6" i="5"/>
  <c r="AH6" i="5"/>
  <c r="AH26" i="3"/>
  <c r="AI6" i="5"/>
  <c r="AJ6" i="5"/>
  <c r="AJ26" i="3"/>
  <c r="AK6" i="5"/>
  <c r="AL6" i="5"/>
  <c r="AL26" i="3" s="1"/>
  <c r="AM6" i="5"/>
  <c r="AN6" i="5"/>
  <c r="AO6" i="5"/>
  <c r="AO26" i="3" s="1"/>
  <c r="AP26" i="3"/>
  <c r="AF30" i="2"/>
  <c r="AG30" i="2"/>
  <c r="AH30" i="2"/>
  <c r="AI30" i="2"/>
  <c r="AF23" i="2"/>
  <c r="AG47" i="5"/>
  <c r="AG43" i="5"/>
  <c r="AG23" i="2"/>
  <c r="AH23" i="2"/>
  <c r="AI23" i="2"/>
  <c r="AF20" i="2"/>
  <c r="AG20" i="2"/>
  <c r="AH20" i="2"/>
  <c r="AI20" i="2"/>
  <c r="AJ20" i="2"/>
  <c r="AF12" i="2"/>
  <c r="AF39" i="2"/>
  <c r="AG12" i="2"/>
  <c r="AH12" i="2"/>
  <c r="AI12" i="2"/>
  <c r="AJ12" i="2"/>
  <c r="AJ39" i="2"/>
  <c r="AF7" i="2"/>
  <c r="AG39" i="5"/>
  <c r="AG37" i="5"/>
  <c r="AG7" i="2"/>
  <c r="AI7" i="2"/>
  <c r="AJ39" i="5"/>
  <c r="AF4" i="2"/>
  <c r="AG4" i="2"/>
  <c r="AH4" i="2"/>
  <c r="AI4" i="2"/>
  <c r="AI3" i="2"/>
  <c r="AI19" i="2"/>
  <c r="AG48" i="1"/>
  <c r="AI48" i="1"/>
  <c r="AG31" i="1"/>
  <c r="AH5" i="5"/>
  <c r="AH31" i="1"/>
  <c r="AI5" i="5"/>
  <c r="AI25" i="3"/>
  <c r="AI31" i="1"/>
  <c r="AI38" i="1"/>
  <c r="AG21" i="1"/>
  <c r="AH21" i="1"/>
  <c r="AI21" i="1"/>
  <c r="AJ34" i="5"/>
  <c r="AG17" i="1"/>
  <c r="AH17" i="1"/>
  <c r="AI17" i="1"/>
  <c r="AG14" i="1"/>
  <c r="AH14" i="1"/>
  <c r="AI14" i="1"/>
  <c r="AG8" i="1"/>
  <c r="AH8" i="1"/>
  <c r="AI8" i="1"/>
  <c r="AG4" i="1"/>
  <c r="AI13" i="3"/>
  <c r="AH4" i="1"/>
  <c r="AI4" i="1"/>
  <c r="AH42" i="1"/>
  <c r="AI18" i="5"/>
  <c r="AH53" i="1"/>
  <c r="C9" i="6"/>
  <c r="C16" i="6"/>
  <c r="C20" i="6" s="1"/>
  <c r="C22" i="6" s="1"/>
  <c r="C30" i="6"/>
  <c r="C39" i="6"/>
  <c r="AH11" i="2"/>
  <c r="AH7" i="2"/>
  <c r="AI39" i="5"/>
  <c r="AE30" i="2"/>
  <c r="AE23" i="2"/>
  <c r="AE20" i="2"/>
  <c r="AE12" i="2"/>
  <c r="AE7" i="2"/>
  <c r="AE4" i="2"/>
  <c r="AE48" i="1"/>
  <c r="AF48" i="1"/>
  <c r="AE31" i="1"/>
  <c r="AF31" i="1"/>
  <c r="AE21" i="1"/>
  <c r="AF21" i="1"/>
  <c r="AE17" i="1"/>
  <c r="AF17" i="1"/>
  <c r="AE14" i="1"/>
  <c r="AF14" i="1"/>
  <c r="AG30" i="5"/>
  <c r="AE8" i="1"/>
  <c r="AF8" i="1"/>
  <c r="AE4" i="1"/>
  <c r="AG12" i="3"/>
  <c r="AF19" i="7"/>
  <c r="AF4" i="1"/>
  <c r="AF27" i="1" s="1"/>
  <c r="AH13" i="3"/>
  <c r="S14" i="9"/>
  <c r="T14" i="9"/>
  <c r="U14" i="9"/>
  <c r="V14" i="9"/>
  <c r="S10" i="9"/>
  <c r="T10" i="9"/>
  <c r="U10" i="9"/>
  <c r="S11" i="9"/>
  <c r="T11" i="9"/>
  <c r="U11" i="9"/>
  <c r="V11" i="9"/>
  <c r="S12" i="9"/>
  <c r="T12" i="9"/>
  <c r="U12" i="9"/>
  <c r="S8" i="9"/>
  <c r="T8" i="9"/>
  <c r="U8" i="9"/>
  <c r="V8" i="9"/>
  <c r="S9" i="9"/>
  <c r="T9" i="9"/>
  <c r="U9" i="9"/>
  <c r="V9" i="9"/>
  <c r="T5" i="9"/>
  <c r="U5" i="9"/>
  <c r="S5" i="9"/>
  <c r="Q35" i="9"/>
  <c r="P35" i="9"/>
  <c r="O35" i="9"/>
  <c r="N35" i="9"/>
  <c r="M35" i="9"/>
  <c r="L35" i="9"/>
  <c r="K35" i="9"/>
  <c r="J35" i="9"/>
  <c r="I35" i="9"/>
  <c r="G35" i="9"/>
  <c r="F35" i="9"/>
  <c r="E35" i="9"/>
  <c r="D35" i="9"/>
  <c r="Q34" i="9"/>
  <c r="P34" i="9"/>
  <c r="O34" i="9"/>
  <c r="N34" i="9"/>
  <c r="M34" i="9"/>
  <c r="L34" i="9"/>
  <c r="K34" i="9"/>
  <c r="J34" i="9"/>
  <c r="I34" i="9"/>
  <c r="G34" i="9"/>
  <c r="F34" i="9"/>
  <c r="E34" i="9"/>
  <c r="D34" i="9"/>
  <c r="Q33" i="9"/>
  <c r="P33" i="9"/>
  <c r="O33" i="9"/>
  <c r="N33" i="9"/>
  <c r="M33" i="9"/>
  <c r="L33" i="9"/>
  <c r="K33" i="9"/>
  <c r="J33" i="9"/>
  <c r="I33" i="9"/>
  <c r="G33" i="9"/>
  <c r="F33" i="9"/>
  <c r="E33" i="9"/>
  <c r="D33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Q31" i="9"/>
  <c r="P31" i="9"/>
  <c r="O31" i="9"/>
  <c r="N31" i="9"/>
  <c r="M31" i="9"/>
  <c r="L31" i="9"/>
  <c r="K31" i="9"/>
  <c r="J31" i="9"/>
  <c r="I31" i="9"/>
  <c r="G31" i="9"/>
  <c r="F31" i="9"/>
  <c r="E31" i="9"/>
  <c r="D31" i="9"/>
  <c r="Q21" i="9"/>
  <c r="P21" i="9"/>
  <c r="O21" i="9"/>
  <c r="N21" i="9"/>
  <c r="M21" i="9"/>
  <c r="L21" i="9"/>
  <c r="K21" i="9"/>
  <c r="J21" i="9"/>
  <c r="I21" i="9"/>
  <c r="G21" i="9"/>
  <c r="F21" i="9"/>
  <c r="E21" i="9"/>
  <c r="D21" i="9"/>
  <c r="Q20" i="9"/>
  <c r="P20" i="9"/>
  <c r="O20" i="9"/>
  <c r="N20" i="9"/>
  <c r="M20" i="9"/>
  <c r="L20" i="9"/>
  <c r="K20" i="9"/>
  <c r="J20" i="9"/>
  <c r="I20" i="9"/>
  <c r="G20" i="9"/>
  <c r="F20" i="9"/>
  <c r="E20" i="9"/>
  <c r="D20" i="9"/>
  <c r="Q19" i="9"/>
  <c r="P19" i="9"/>
  <c r="O19" i="9"/>
  <c r="N19" i="9"/>
  <c r="M19" i="9"/>
  <c r="L19" i="9"/>
  <c r="K19" i="9"/>
  <c r="J19" i="9"/>
  <c r="I19" i="9"/>
  <c r="G19" i="9"/>
  <c r="F19" i="9"/>
  <c r="E19" i="9"/>
  <c r="D19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Q17" i="9"/>
  <c r="P17" i="9"/>
  <c r="O17" i="9"/>
  <c r="N17" i="9"/>
  <c r="M17" i="9"/>
  <c r="L17" i="9"/>
  <c r="K17" i="9"/>
  <c r="J17" i="9"/>
  <c r="I17" i="9"/>
  <c r="G17" i="9"/>
  <c r="F17" i="9"/>
  <c r="E17" i="9"/>
  <c r="D17" i="9"/>
  <c r="H35" i="9"/>
  <c r="H34" i="9"/>
  <c r="H33" i="9"/>
  <c r="H7" i="9"/>
  <c r="H26" i="9"/>
  <c r="Q7" i="9"/>
  <c r="Q27" i="9"/>
  <c r="P7" i="9"/>
  <c r="O7" i="9"/>
  <c r="O27" i="9"/>
  <c r="N7" i="9"/>
  <c r="N28" i="9"/>
  <c r="M7" i="9"/>
  <c r="M27" i="9"/>
  <c r="L7" i="9"/>
  <c r="K7" i="9"/>
  <c r="K28" i="9"/>
  <c r="J7" i="9"/>
  <c r="J28" i="9"/>
  <c r="I7" i="9"/>
  <c r="I27" i="9"/>
  <c r="G7" i="9"/>
  <c r="G27" i="9"/>
  <c r="F7" i="9"/>
  <c r="F28" i="9"/>
  <c r="E7" i="9"/>
  <c r="E27" i="9"/>
  <c r="D7" i="9"/>
  <c r="D27" i="9"/>
  <c r="X42" i="2"/>
  <c r="V7" i="3"/>
  <c r="AF8" i="3"/>
  <c r="AE11" i="7"/>
  <c r="AE12" i="7"/>
  <c r="AC8" i="3"/>
  <c r="AB11" i="7"/>
  <c r="AB12" i="7"/>
  <c r="Z8" i="3"/>
  <c r="Y11" i="7"/>
  <c r="Y12" i="7"/>
  <c r="Y8" i="3"/>
  <c r="X11" i="7"/>
  <c r="X12" i="7"/>
  <c r="AA8" i="3"/>
  <c r="Z11" i="7"/>
  <c r="Z12" i="7"/>
  <c r="AB8" i="3"/>
  <c r="AA11" i="7"/>
  <c r="AA12" i="7"/>
  <c r="AD8" i="3"/>
  <c r="AC11" i="7"/>
  <c r="AC12" i="7"/>
  <c r="AE8" i="3"/>
  <c r="AD11" i="7"/>
  <c r="AD12" i="7"/>
  <c r="AA3" i="3"/>
  <c r="AA19" i="3"/>
  <c r="Z28" i="7"/>
  <c r="AB3" i="3"/>
  <c r="AC3" i="3"/>
  <c r="AB5" i="7"/>
  <c r="AD3" i="3"/>
  <c r="AC5" i="7"/>
  <c r="AE3" i="3"/>
  <c r="AF3" i="3"/>
  <c r="AF19" i="3"/>
  <c r="AE28" i="7"/>
  <c r="AC45" i="5"/>
  <c r="AD45" i="5"/>
  <c r="AE34" i="3"/>
  <c r="AC46" i="5"/>
  <c r="AD46" i="5"/>
  <c r="AB44" i="5"/>
  <c r="AC33" i="3"/>
  <c r="AC44" i="5"/>
  <c r="AD44" i="5"/>
  <c r="AE33" i="3"/>
  <c r="AA40" i="5"/>
  <c r="AB40" i="5"/>
  <c r="AC40" i="5"/>
  <c r="AA38" i="5"/>
  <c r="AB38" i="5"/>
  <c r="AC38" i="5"/>
  <c r="AB35" i="5"/>
  <c r="AC35" i="5"/>
  <c r="AB32" i="5"/>
  <c r="AC32" i="5"/>
  <c r="AB31" i="5"/>
  <c r="AC31" i="5"/>
  <c r="AE35" i="3" s="1"/>
  <c r="AC28" i="3"/>
  <c r="AB28" i="5"/>
  <c r="AC28" i="5"/>
  <c r="AB27" i="5"/>
  <c r="AC27" i="5"/>
  <c r="AB26" i="5"/>
  <c r="AC26" i="5"/>
  <c r="AC20" i="5"/>
  <c r="AD20" i="5"/>
  <c r="AC22" i="5"/>
  <c r="AC21" i="5"/>
  <c r="AD22" i="5"/>
  <c r="AD21" i="5"/>
  <c r="AB19" i="5"/>
  <c r="AC19" i="5"/>
  <c r="AB18" i="5"/>
  <c r="AC18" i="5"/>
  <c r="AB17" i="5"/>
  <c r="AC17" i="5"/>
  <c r="AB15" i="5"/>
  <c r="AC15" i="5"/>
  <c r="AC14" i="5" s="1"/>
  <c r="AC11" i="5" s="1"/>
  <c r="AB8" i="5"/>
  <c r="AC8" i="5"/>
  <c r="AD8" i="5"/>
  <c r="AE8" i="5"/>
  <c r="AF8" i="5"/>
  <c r="AG8" i="5"/>
  <c r="AB7" i="5"/>
  <c r="AC7" i="5"/>
  <c r="AC27" i="3"/>
  <c r="AB6" i="5"/>
  <c r="AC6" i="5"/>
  <c r="AC26" i="3"/>
  <c r="Z30" i="2"/>
  <c r="AA30" i="2"/>
  <c r="AB30" i="2"/>
  <c r="AC30" i="2"/>
  <c r="AD30" i="2"/>
  <c r="Z23" i="2"/>
  <c r="AA47" i="5"/>
  <c r="AA23" i="2"/>
  <c r="AB23" i="2"/>
  <c r="AC23" i="2"/>
  <c r="AD47" i="5"/>
  <c r="AD23" i="2"/>
  <c r="AE47" i="5"/>
  <c r="Z20" i="2"/>
  <c r="AA20" i="2"/>
  <c r="AB20" i="2"/>
  <c r="AC20" i="2"/>
  <c r="AD20" i="2"/>
  <c r="AA12" i="2"/>
  <c r="AB12" i="2"/>
  <c r="AC12" i="2"/>
  <c r="AD12" i="2"/>
  <c r="AD39" i="2" s="1"/>
  <c r="Z7" i="2"/>
  <c r="AA39" i="5"/>
  <c r="AA7" i="2"/>
  <c r="AB39" i="5"/>
  <c r="AB7" i="2"/>
  <c r="AC39" i="5"/>
  <c r="AC7" i="2"/>
  <c r="AD39" i="5"/>
  <c r="AD37" i="5"/>
  <c r="AE39" i="3"/>
  <c r="AD7" i="2"/>
  <c r="AE39" i="5"/>
  <c r="Z4" i="2"/>
  <c r="Z3" i="2"/>
  <c r="AA4" i="2"/>
  <c r="AA3" i="2"/>
  <c r="AA19" i="2"/>
  <c r="AB4" i="2"/>
  <c r="AC4" i="2"/>
  <c r="AD4" i="2"/>
  <c r="AD3" i="2"/>
  <c r="AD19" i="2"/>
  <c r="Z48" i="1"/>
  <c r="AA48" i="1"/>
  <c r="AB48" i="1"/>
  <c r="AC48" i="1"/>
  <c r="AD48" i="1"/>
  <c r="Z31" i="1"/>
  <c r="AB5" i="3" s="1"/>
  <c r="AA31" i="1"/>
  <c r="AB31" i="1"/>
  <c r="AC5" i="5"/>
  <c r="AC31" i="1"/>
  <c r="AD31" i="1"/>
  <c r="AD38" i="1"/>
  <c r="Z21" i="1"/>
  <c r="AA34" i="5"/>
  <c r="AA21" i="1"/>
  <c r="AB34" i="5"/>
  <c r="AB21" i="1"/>
  <c r="AC21" i="1"/>
  <c r="AD34" i="5"/>
  <c r="AD21" i="1"/>
  <c r="Z17" i="1"/>
  <c r="AA17" i="1"/>
  <c r="AB17" i="1"/>
  <c r="AC17" i="1"/>
  <c r="AD17" i="1"/>
  <c r="Z14" i="1"/>
  <c r="AA14" i="1"/>
  <c r="AC38" i="3" s="1"/>
  <c r="AB30" i="5"/>
  <c r="AB14" i="1"/>
  <c r="AD38" i="3"/>
  <c r="AC14" i="1"/>
  <c r="AD14" i="1"/>
  <c r="AE30" i="5"/>
  <c r="Z8" i="1"/>
  <c r="AA8" i="1"/>
  <c r="AB8" i="1"/>
  <c r="AC8" i="1"/>
  <c r="AD8" i="1"/>
  <c r="Z4" i="1"/>
  <c r="AB12" i="3"/>
  <c r="AA19" i="7"/>
  <c r="AA4" i="1"/>
  <c r="AB4" i="1"/>
  <c r="AD12" i="3"/>
  <c r="AC19" i="7"/>
  <c r="AC4" i="1"/>
  <c r="AD4" i="1"/>
  <c r="X30" i="2"/>
  <c r="Y30" i="2"/>
  <c r="X23" i="2"/>
  <c r="Y47" i="5"/>
  <c r="Y23" i="2"/>
  <c r="X20" i="2"/>
  <c r="Y20" i="2"/>
  <c r="Y12" i="2"/>
  <c r="Y39" i="2"/>
  <c r="Z12" i="2"/>
  <c r="Z19" i="2" s="1"/>
  <c r="Z39" i="2"/>
  <c r="AA32" i="3"/>
  <c r="Y7" i="2"/>
  <c r="Z39" i="5"/>
  <c r="Y8" i="1"/>
  <c r="W8" i="3"/>
  <c r="V11" i="7"/>
  <c r="V12" i="7"/>
  <c r="AA45" i="5"/>
  <c r="AB34" i="3"/>
  <c r="AB45" i="5"/>
  <c r="AC34" i="3"/>
  <c r="AA46" i="5"/>
  <c r="AB46" i="5"/>
  <c r="AA44" i="5"/>
  <c r="AA43" i="5" s="1"/>
  <c r="Z38" i="5"/>
  <c r="Z35" i="5"/>
  <c r="AA35" i="5"/>
  <c r="Z32" i="5"/>
  <c r="AA32" i="5"/>
  <c r="Z31" i="5"/>
  <c r="AA31" i="5"/>
  <c r="AA28" i="3" s="1"/>
  <c r="Z28" i="5"/>
  <c r="AA28" i="5"/>
  <c r="Z27" i="5"/>
  <c r="AA27" i="5"/>
  <c r="Z26" i="5"/>
  <c r="Z25" i="5" s="1"/>
  <c r="AA26" i="5"/>
  <c r="AA20" i="5"/>
  <c r="AB20" i="5"/>
  <c r="AA22" i="5"/>
  <c r="AA21" i="5"/>
  <c r="AB22" i="5"/>
  <c r="AB21" i="5"/>
  <c r="AA19" i="5"/>
  <c r="AA18" i="5"/>
  <c r="AA17" i="5"/>
  <c r="AA15" i="5"/>
  <c r="AA14" i="5"/>
  <c r="AA11" i="5" s="1"/>
  <c r="Y31" i="1"/>
  <c r="Y17" i="1"/>
  <c r="Y14" i="1"/>
  <c r="S11" i="7"/>
  <c r="S12" i="7"/>
  <c r="T11" i="7"/>
  <c r="X45" i="5"/>
  <c r="Y34" i="3"/>
  <c r="Y45" i="5"/>
  <c r="Z45" i="5"/>
  <c r="AA34" i="3"/>
  <c r="X46" i="5"/>
  <c r="Y46" i="5"/>
  <c r="Z46" i="5"/>
  <c r="W44" i="5"/>
  <c r="X33" i="3"/>
  <c r="X44" i="5"/>
  <c r="Y33" i="3"/>
  <c r="Y44" i="5"/>
  <c r="Z44" i="5"/>
  <c r="U40" i="5"/>
  <c r="V40" i="5"/>
  <c r="W40" i="5"/>
  <c r="X40" i="5"/>
  <c r="Y40" i="5"/>
  <c r="Z40" i="5"/>
  <c r="U38" i="5"/>
  <c r="W38" i="5"/>
  <c r="X38" i="5"/>
  <c r="Y38" i="5"/>
  <c r="W35" i="5"/>
  <c r="X35" i="5"/>
  <c r="Y35" i="5"/>
  <c r="V32" i="5"/>
  <c r="W32" i="5"/>
  <c r="X32" i="5"/>
  <c r="Y32" i="5"/>
  <c r="V31" i="5"/>
  <c r="W31" i="5"/>
  <c r="X31" i="5"/>
  <c r="Y31" i="5"/>
  <c r="Y28" i="3"/>
  <c r="V28" i="5"/>
  <c r="W28" i="5"/>
  <c r="X28" i="5"/>
  <c r="Y28" i="5"/>
  <c r="V27" i="5"/>
  <c r="W27" i="5"/>
  <c r="X27" i="5"/>
  <c r="Y27" i="5"/>
  <c r="W26" i="5"/>
  <c r="W25" i="5"/>
  <c r="X26" i="5"/>
  <c r="X25" i="5"/>
  <c r="Y26" i="5"/>
  <c r="Y25" i="5"/>
  <c r="V20" i="5"/>
  <c r="W20" i="5"/>
  <c r="X20" i="5"/>
  <c r="Y20" i="5"/>
  <c r="Z20" i="5"/>
  <c r="V22" i="5"/>
  <c r="V21" i="5"/>
  <c r="W22" i="5"/>
  <c r="W21" i="5"/>
  <c r="X22" i="5"/>
  <c r="X21" i="5"/>
  <c r="Y22" i="5"/>
  <c r="Y21" i="5"/>
  <c r="Z22" i="5"/>
  <c r="Z21" i="5"/>
  <c r="W19" i="5"/>
  <c r="X19" i="5"/>
  <c r="Y19" i="5"/>
  <c r="Z19" i="5"/>
  <c r="W18" i="5"/>
  <c r="X18" i="5"/>
  <c r="Y18" i="5"/>
  <c r="Z18" i="5"/>
  <c r="W17" i="5"/>
  <c r="X17" i="5"/>
  <c r="Y17" i="5"/>
  <c r="Z17" i="5"/>
  <c r="W15" i="5"/>
  <c r="X15" i="5"/>
  <c r="X14" i="5"/>
  <c r="X11" i="5"/>
  <c r="Y15" i="5"/>
  <c r="Z15" i="5"/>
  <c r="V8" i="5"/>
  <c r="W8" i="5"/>
  <c r="X8" i="5"/>
  <c r="Y8" i="5"/>
  <c r="Z8" i="5"/>
  <c r="AA8" i="5"/>
  <c r="V7" i="5"/>
  <c r="W7" i="5"/>
  <c r="X7" i="5"/>
  <c r="X27" i="3"/>
  <c r="Y7" i="5"/>
  <c r="Z7" i="5"/>
  <c r="Z27" i="3"/>
  <c r="AA7" i="5"/>
  <c r="V6" i="5"/>
  <c r="W6" i="5"/>
  <c r="X6" i="5"/>
  <c r="X26" i="3" s="1"/>
  <c r="Y6" i="5"/>
  <c r="Y26" i="3"/>
  <c r="Z6" i="5"/>
  <c r="AA6" i="5"/>
  <c r="AB26" i="3" s="1"/>
  <c r="W30" i="2"/>
  <c r="X12" i="2"/>
  <c r="X7" i="2"/>
  <c r="Y39" i="5"/>
  <c r="X4" i="2"/>
  <c r="Y4" i="2"/>
  <c r="Y3" i="2"/>
  <c r="Y19" i="2"/>
  <c r="Y29" i="2"/>
  <c r="Y33" i="2"/>
  <c r="Y35" i="2"/>
  <c r="Y37" i="2"/>
  <c r="W48" i="1"/>
  <c r="X48" i="1"/>
  <c r="Y48" i="1"/>
  <c r="W31" i="1"/>
  <c r="X31" i="1"/>
  <c r="X38" i="1" s="1"/>
  <c r="Z18" i="3"/>
  <c r="Y27" i="7"/>
  <c r="W21" i="1"/>
  <c r="X21" i="1"/>
  <c r="Y34" i="5"/>
  <c r="Y21" i="1"/>
  <c r="W17" i="1"/>
  <c r="X17" i="1"/>
  <c r="W14" i="1"/>
  <c r="X14" i="1"/>
  <c r="Y30" i="5"/>
  <c r="W8" i="1"/>
  <c r="X8" i="1"/>
  <c r="W4" i="1"/>
  <c r="Y13" i="3"/>
  <c r="X20" i="7"/>
  <c r="X4" i="1"/>
  <c r="Y4" i="1"/>
  <c r="AA12" i="3"/>
  <c r="Z19" i="7"/>
  <c r="D10" i="4"/>
  <c r="U3" i="3"/>
  <c r="V3" i="3"/>
  <c r="X3" i="3"/>
  <c r="W5" i="7"/>
  <c r="Y3" i="3"/>
  <c r="X5" i="7"/>
  <c r="Z3" i="3"/>
  <c r="U45" i="5"/>
  <c r="V45" i="5"/>
  <c r="W34" i="3"/>
  <c r="W45" i="5"/>
  <c r="U46" i="5"/>
  <c r="V46" i="5"/>
  <c r="W46" i="5"/>
  <c r="U44" i="5"/>
  <c r="V33" i="3"/>
  <c r="V44" i="5"/>
  <c r="W33" i="3"/>
  <c r="T40" i="5"/>
  <c r="T38" i="5"/>
  <c r="T35" i="5"/>
  <c r="U35" i="5"/>
  <c r="T32" i="5"/>
  <c r="U32" i="5"/>
  <c r="T31" i="5"/>
  <c r="U31" i="5"/>
  <c r="V28" i="3" s="1"/>
  <c r="U28" i="3"/>
  <c r="T28" i="5"/>
  <c r="U28" i="5"/>
  <c r="T27" i="5"/>
  <c r="U27" i="5"/>
  <c r="T26" i="5"/>
  <c r="T25" i="5"/>
  <c r="U26" i="5"/>
  <c r="U25" i="5" s="1"/>
  <c r="T20" i="5"/>
  <c r="U20" i="5"/>
  <c r="T22" i="5"/>
  <c r="T21" i="5"/>
  <c r="U22" i="5"/>
  <c r="U21" i="5"/>
  <c r="T19" i="5"/>
  <c r="U19" i="5"/>
  <c r="V19" i="5"/>
  <c r="T18" i="5"/>
  <c r="U18" i="5"/>
  <c r="T17" i="5"/>
  <c r="U17" i="5"/>
  <c r="T15" i="5"/>
  <c r="U15" i="5"/>
  <c r="V15" i="5"/>
  <c r="T8" i="5"/>
  <c r="U8" i="5"/>
  <c r="T7" i="5"/>
  <c r="U7" i="5"/>
  <c r="T6" i="5"/>
  <c r="U6" i="5"/>
  <c r="U30" i="2"/>
  <c r="V30" i="2"/>
  <c r="U23" i="2"/>
  <c r="V23" i="2"/>
  <c r="W47" i="5"/>
  <c r="W23" i="2"/>
  <c r="U20" i="2"/>
  <c r="V20" i="2"/>
  <c r="W20" i="2"/>
  <c r="U12" i="2"/>
  <c r="V12" i="2"/>
  <c r="W12" i="2"/>
  <c r="V7" i="2"/>
  <c r="W7" i="2"/>
  <c r="V4" i="2"/>
  <c r="V3" i="2"/>
  <c r="W4" i="2"/>
  <c r="W3" i="2"/>
  <c r="W19" i="2"/>
  <c r="V48" i="1"/>
  <c r="U31" i="1"/>
  <c r="V31" i="1"/>
  <c r="V38" i="1"/>
  <c r="V21" i="1"/>
  <c r="T17" i="1"/>
  <c r="U17" i="1"/>
  <c r="V17" i="1"/>
  <c r="U14" i="1"/>
  <c r="V30" i="5"/>
  <c r="V14" i="1"/>
  <c r="V8" i="1"/>
  <c r="U4" i="1"/>
  <c r="V4" i="1"/>
  <c r="X13" i="3"/>
  <c r="W20" i="7"/>
  <c r="U11" i="2"/>
  <c r="U10" i="2"/>
  <c r="U5" i="2"/>
  <c r="U4" i="2"/>
  <c r="I30" i="2"/>
  <c r="J30" i="2"/>
  <c r="K30" i="2"/>
  <c r="L30" i="2"/>
  <c r="M30" i="2"/>
  <c r="N30" i="2"/>
  <c r="O30" i="2"/>
  <c r="P30" i="2"/>
  <c r="Q30" i="2"/>
  <c r="R30" i="2"/>
  <c r="S30" i="2"/>
  <c r="T30" i="2"/>
  <c r="I23" i="2"/>
  <c r="J23" i="2"/>
  <c r="K47" i="5"/>
  <c r="K23" i="2"/>
  <c r="L47" i="5"/>
  <c r="L23" i="2"/>
  <c r="M47" i="5"/>
  <c r="M23" i="2"/>
  <c r="N47" i="5"/>
  <c r="N23" i="2"/>
  <c r="O23" i="2"/>
  <c r="P23" i="2"/>
  <c r="Q47" i="5"/>
  <c r="Q23" i="2"/>
  <c r="R47" i="5"/>
  <c r="R23" i="2"/>
  <c r="S47" i="5"/>
  <c r="S23" i="2"/>
  <c r="T23" i="2"/>
  <c r="I20" i="2"/>
  <c r="J20" i="2"/>
  <c r="K20" i="2"/>
  <c r="L20" i="2"/>
  <c r="M20" i="2"/>
  <c r="N20" i="2"/>
  <c r="O20" i="2"/>
  <c r="P20" i="2"/>
  <c r="Q20" i="2"/>
  <c r="R20" i="2"/>
  <c r="S20" i="2"/>
  <c r="T20" i="2"/>
  <c r="I12" i="2"/>
  <c r="J12" i="2"/>
  <c r="K12" i="2"/>
  <c r="K39" i="2"/>
  <c r="L12" i="2"/>
  <c r="L39" i="2"/>
  <c r="M12" i="2"/>
  <c r="N12" i="2"/>
  <c r="N39" i="2"/>
  <c r="O12" i="2"/>
  <c r="O39" i="2"/>
  <c r="O41" i="2"/>
  <c r="P12" i="2"/>
  <c r="P39" i="2"/>
  <c r="Q12" i="2"/>
  <c r="R12" i="2"/>
  <c r="S12" i="2"/>
  <c r="T12" i="2"/>
  <c r="I7" i="2"/>
  <c r="J39" i="5"/>
  <c r="J7" i="2"/>
  <c r="K7" i="2"/>
  <c r="L39" i="5"/>
  <c r="L7" i="2"/>
  <c r="M39" i="5"/>
  <c r="M7" i="2"/>
  <c r="N7" i="2"/>
  <c r="O39" i="5"/>
  <c r="O7" i="2"/>
  <c r="P7" i="2"/>
  <c r="Q39" i="5"/>
  <c r="Q7" i="2"/>
  <c r="R7" i="2"/>
  <c r="S7" i="2"/>
  <c r="T39" i="5"/>
  <c r="T7" i="2"/>
  <c r="I4" i="2"/>
  <c r="I3" i="2"/>
  <c r="J4" i="2"/>
  <c r="J3" i="2"/>
  <c r="J19" i="2"/>
  <c r="K4" i="2"/>
  <c r="K3" i="2"/>
  <c r="K19" i="2"/>
  <c r="M10" i="3"/>
  <c r="L15" i="7"/>
  <c r="L4" i="2"/>
  <c r="L3" i="2"/>
  <c r="M4" i="2"/>
  <c r="M3" i="2"/>
  <c r="M19" i="2" s="1"/>
  <c r="N4" i="2"/>
  <c r="O4" i="2"/>
  <c r="P4" i="2"/>
  <c r="Q4" i="2"/>
  <c r="Q3" i="2"/>
  <c r="Q19" i="2"/>
  <c r="R4" i="2"/>
  <c r="S4" i="2"/>
  <c r="S3" i="2"/>
  <c r="S19" i="2"/>
  <c r="T4" i="2"/>
  <c r="U41" i="1"/>
  <c r="V17" i="5"/>
  <c r="U36" i="1"/>
  <c r="U32" i="1"/>
  <c r="U23" i="1"/>
  <c r="U21" i="1"/>
  <c r="U13" i="1"/>
  <c r="U8" i="1"/>
  <c r="I48" i="1"/>
  <c r="J48" i="1"/>
  <c r="K48" i="1"/>
  <c r="L48" i="1"/>
  <c r="M48" i="1"/>
  <c r="N48" i="1"/>
  <c r="O48" i="1"/>
  <c r="P48" i="1"/>
  <c r="Q48" i="1"/>
  <c r="R48" i="1"/>
  <c r="S48" i="1"/>
  <c r="T48" i="1"/>
  <c r="I31" i="1"/>
  <c r="J31" i="1"/>
  <c r="K31" i="1"/>
  <c r="L31" i="1"/>
  <c r="M5" i="5"/>
  <c r="M31" i="1"/>
  <c r="N31" i="1"/>
  <c r="N38" i="1"/>
  <c r="O31" i="1"/>
  <c r="Q18" i="3"/>
  <c r="O38" i="1"/>
  <c r="O49" i="1" s="1"/>
  <c r="P31" i="1"/>
  <c r="P38" i="1"/>
  <c r="Q31" i="1"/>
  <c r="Q38" i="1"/>
  <c r="R31" i="1"/>
  <c r="R38" i="1"/>
  <c r="T18" i="3"/>
  <c r="R11" i="8"/>
  <c r="S31" i="1"/>
  <c r="T31" i="1"/>
  <c r="U5" i="5"/>
  <c r="I21" i="1"/>
  <c r="J21" i="1"/>
  <c r="K34" i="5"/>
  <c r="K21" i="1"/>
  <c r="L34" i="5"/>
  <c r="L21" i="1"/>
  <c r="M21" i="1"/>
  <c r="N21" i="1"/>
  <c r="O21" i="1"/>
  <c r="P21" i="1"/>
  <c r="Q34" i="5"/>
  <c r="Q21" i="1"/>
  <c r="R21" i="1"/>
  <c r="S34" i="5"/>
  <c r="S21" i="1"/>
  <c r="T34" i="5"/>
  <c r="T21" i="1"/>
  <c r="I17" i="1"/>
  <c r="J17" i="1"/>
  <c r="K17" i="1"/>
  <c r="L17" i="1"/>
  <c r="M17" i="1"/>
  <c r="N17" i="1"/>
  <c r="O17" i="1"/>
  <c r="P17" i="1"/>
  <c r="Q17" i="1"/>
  <c r="R17" i="1"/>
  <c r="S17" i="1"/>
  <c r="I14" i="1"/>
  <c r="J14" i="1"/>
  <c r="K30" i="5"/>
  <c r="K14" i="1"/>
  <c r="L30" i="5"/>
  <c r="L14" i="1"/>
  <c r="M30" i="5"/>
  <c r="M14" i="1"/>
  <c r="N14" i="1"/>
  <c r="O30" i="5"/>
  <c r="O14" i="1"/>
  <c r="P14" i="1"/>
  <c r="Q30" i="5"/>
  <c r="Q14" i="1"/>
  <c r="R14" i="1"/>
  <c r="S30" i="5"/>
  <c r="S14" i="1"/>
  <c r="U38" i="3" s="1"/>
  <c r="T14" i="1"/>
  <c r="I8" i="1"/>
  <c r="J8" i="1"/>
  <c r="K8" i="1"/>
  <c r="L8" i="1"/>
  <c r="M8" i="1"/>
  <c r="N8" i="1"/>
  <c r="O8" i="1"/>
  <c r="P8" i="1"/>
  <c r="Q8" i="1"/>
  <c r="R8" i="1"/>
  <c r="S8" i="1"/>
  <c r="T8" i="1"/>
  <c r="I4" i="1"/>
  <c r="J4" i="1"/>
  <c r="L13" i="3"/>
  <c r="K20" i="7"/>
  <c r="K4" i="1"/>
  <c r="L4" i="1"/>
  <c r="L27" i="1" s="1"/>
  <c r="N12" i="3"/>
  <c r="L8" i="8"/>
  <c r="M4" i="1"/>
  <c r="N4" i="1"/>
  <c r="O4" i="1"/>
  <c r="P4" i="1"/>
  <c r="Q4" i="1"/>
  <c r="S12" i="3"/>
  <c r="Q8" i="8"/>
  <c r="R4" i="1"/>
  <c r="T13" i="3"/>
  <c r="S20" i="7"/>
  <c r="T12" i="3"/>
  <c r="S19" i="7"/>
  <c r="S4" i="1"/>
  <c r="T4" i="1"/>
  <c r="B30" i="2"/>
  <c r="C30" i="2"/>
  <c r="D30" i="2"/>
  <c r="B23" i="2"/>
  <c r="C23" i="2"/>
  <c r="D23" i="2"/>
  <c r="B20" i="2"/>
  <c r="C20" i="2"/>
  <c r="D20" i="2"/>
  <c r="B12" i="2"/>
  <c r="C12" i="2"/>
  <c r="D12" i="2"/>
  <c r="B7" i="2"/>
  <c r="C39" i="5"/>
  <c r="C7" i="2"/>
  <c r="D39" i="5"/>
  <c r="D7" i="2"/>
  <c r="B4" i="2"/>
  <c r="B3" i="2"/>
  <c r="B19" i="2"/>
  <c r="C4" i="2"/>
  <c r="C3" i="2"/>
  <c r="C19" i="2"/>
  <c r="D4" i="2"/>
  <c r="D3" i="2" s="1"/>
  <c r="D19" i="2" s="1"/>
  <c r="B48" i="1"/>
  <c r="C48" i="1"/>
  <c r="D48" i="1"/>
  <c r="B31" i="1"/>
  <c r="C5" i="5"/>
  <c r="C31" i="1"/>
  <c r="D31" i="1"/>
  <c r="D38" i="1"/>
  <c r="D49" i="1"/>
  <c r="B21" i="1"/>
  <c r="C21" i="1"/>
  <c r="D21" i="1"/>
  <c r="E34" i="5"/>
  <c r="B14" i="1"/>
  <c r="C14" i="1"/>
  <c r="D14" i="1"/>
  <c r="E30" i="5"/>
  <c r="B8" i="1"/>
  <c r="C8" i="1"/>
  <c r="D8" i="1"/>
  <c r="B4" i="1"/>
  <c r="B27" i="1"/>
  <c r="C4" i="1"/>
  <c r="D4" i="1"/>
  <c r="F13" i="3"/>
  <c r="E20" i="7"/>
  <c r="E23" i="2"/>
  <c r="F47" i="5"/>
  <c r="F23" i="2"/>
  <c r="G23" i="2"/>
  <c r="H23" i="2"/>
  <c r="E20" i="2"/>
  <c r="F20" i="2"/>
  <c r="G20" i="2"/>
  <c r="H20" i="2"/>
  <c r="E12" i="2"/>
  <c r="F12" i="2"/>
  <c r="G12" i="2"/>
  <c r="H12" i="2"/>
  <c r="E7" i="2"/>
  <c r="F7" i="2"/>
  <c r="G39" i="5"/>
  <c r="G7" i="2"/>
  <c r="H7" i="2"/>
  <c r="I39" i="5"/>
  <c r="E4" i="2"/>
  <c r="E3" i="2"/>
  <c r="F4" i="2"/>
  <c r="G4" i="2"/>
  <c r="G3" i="2"/>
  <c r="G19" i="2"/>
  <c r="H4" i="2"/>
  <c r="H3" i="2"/>
  <c r="H19" i="2"/>
  <c r="E30" i="2"/>
  <c r="F30" i="2"/>
  <c r="G30" i="2"/>
  <c r="H30" i="2"/>
  <c r="H21" i="1"/>
  <c r="I34" i="5"/>
  <c r="H17" i="1"/>
  <c r="H14" i="1"/>
  <c r="I30" i="5"/>
  <c r="E48" i="1"/>
  <c r="F48" i="1"/>
  <c r="G48" i="1"/>
  <c r="H48" i="1"/>
  <c r="E31" i="1"/>
  <c r="F31" i="1"/>
  <c r="G5" i="5"/>
  <c r="G31" i="1"/>
  <c r="H31" i="1"/>
  <c r="E21" i="1"/>
  <c r="F34" i="5"/>
  <c r="F21" i="1"/>
  <c r="G21" i="1"/>
  <c r="H34" i="5"/>
  <c r="E17" i="1"/>
  <c r="F17" i="1"/>
  <c r="G17" i="1"/>
  <c r="E14" i="1"/>
  <c r="F30" i="5"/>
  <c r="F14" i="1"/>
  <c r="G30" i="5"/>
  <c r="G14" i="1"/>
  <c r="H30" i="5"/>
  <c r="E8" i="1"/>
  <c r="F8" i="1"/>
  <c r="G8" i="1"/>
  <c r="H8" i="1"/>
  <c r="E4" i="1"/>
  <c r="F4" i="1"/>
  <c r="G4" i="1"/>
  <c r="H4" i="1"/>
  <c r="C8" i="4"/>
  <c r="D8" i="4"/>
  <c r="G12" i="7"/>
  <c r="J12" i="7"/>
  <c r="K12" i="7"/>
  <c r="Q12" i="7"/>
  <c r="C12" i="7"/>
  <c r="T12" i="7"/>
  <c r="M12" i="7"/>
  <c r="N12" i="7"/>
  <c r="P12" i="7"/>
  <c r="I12" i="7"/>
  <c r="H12" i="7"/>
  <c r="F12" i="7"/>
  <c r="E12" i="7"/>
  <c r="D12" i="7"/>
  <c r="L18" i="3"/>
  <c r="J11" i="8"/>
  <c r="P18" i="3"/>
  <c r="N11" i="8"/>
  <c r="D3" i="3"/>
  <c r="E3" i="3"/>
  <c r="D5" i="7"/>
  <c r="F3" i="3"/>
  <c r="F19" i="3"/>
  <c r="D12" i="8"/>
  <c r="G3" i="3"/>
  <c r="G19" i="3"/>
  <c r="H3" i="3"/>
  <c r="I3" i="3"/>
  <c r="I19" i="3"/>
  <c r="J3" i="3"/>
  <c r="K3" i="3"/>
  <c r="K19" i="3"/>
  <c r="I12" i="8"/>
  <c r="L3" i="3"/>
  <c r="J3" i="8"/>
  <c r="M3" i="3"/>
  <c r="N3" i="3"/>
  <c r="N5" i="3"/>
  <c r="L6" i="8"/>
  <c r="M5" i="7"/>
  <c r="O3" i="3"/>
  <c r="P3" i="3"/>
  <c r="Q3" i="3"/>
  <c r="R3" i="3"/>
  <c r="Q5" i="7"/>
  <c r="S3" i="3"/>
  <c r="S5" i="3"/>
  <c r="T3" i="3"/>
  <c r="C46" i="5"/>
  <c r="D46" i="5"/>
  <c r="E46" i="5"/>
  <c r="F46" i="5"/>
  <c r="C45" i="5"/>
  <c r="D45" i="5"/>
  <c r="E45" i="5"/>
  <c r="F45" i="5"/>
  <c r="C44" i="5"/>
  <c r="D44" i="5"/>
  <c r="E44" i="5"/>
  <c r="F44" i="5"/>
  <c r="C40" i="5"/>
  <c r="D40" i="5"/>
  <c r="E40" i="5"/>
  <c r="F40" i="5"/>
  <c r="G40" i="5"/>
  <c r="C38" i="5"/>
  <c r="D38" i="5"/>
  <c r="E38" i="5"/>
  <c r="F38" i="5"/>
  <c r="C35" i="5"/>
  <c r="D35" i="5"/>
  <c r="E35" i="5"/>
  <c r="F35" i="5"/>
  <c r="C32" i="5"/>
  <c r="D32" i="5"/>
  <c r="E32" i="5"/>
  <c r="F32" i="5"/>
  <c r="C31" i="5"/>
  <c r="D31" i="5"/>
  <c r="E31" i="5"/>
  <c r="E28" i="3"/>
  <c r="F31" i="5"/>
  <c r="C28" i="5"/>
  <c r="D28" i="5"/>
  <c r="E28" i="5"/>
  <c r="F28" i="5"/>
  <c r="C27" i="5"/>
  <c r="D27" i="5"/>
  <c r="E27" i="5"/>
  <c r="F27" i="5"/>
  <c r="C26" i="5"/>
  <c r="D26" i="5"/>
  <c r="E26" i="5"/>
  <c r="E25" i="5" s="1"/>
  <c r="F26" i="5"/>
  <c r="F25" i="5" s="1"/>
  <c r="C22" i="5"/>
  <c r="C21" i="5"/>
  <c r="D22" i="5"/>
  <c r="D21" i="5"/>
  <c r="E22" i="5"/>
  <c r="E21" i="5"/>
  <c r="F22" i="5"/>
  <c r="F21" i="5"/>
  <c r="C20" i="5"/>
  <c r="D20" i="5"/>
  <c r="E20" i="5"/>
  <c r="F20" i="5"/>
  <c r="C19" i="5"/>
  <c r="D19" i="5"/>
  <c r="E19" i="5"/>
  <c r="F19" i="5"/>
  <c r="C17" i="5"/>
  <c r="D17" i="5"/>
  <c r="E17" i="5"/>
  <c r="F17" i="5"/>
  <c r="C18" i="5"/>
  <c r="D18" i="5"/>
  <c r="E18" i="5"/>
  <c r="F18" i="5"/>
  <c r="C15" i="5"/>
  <c r="C14" i="5"/>
  <c r="D15" i="5"/>
  <c r="E15" i="5"/>
  <c r="F15" i="5"/>
  <c r="F14" i="5"/>
  <c r="H8" i="5"/>
  <c r="I8" i="5"/>
  <c r="J8" i="5"/>
  <c r="K8" i="5"/>
  <c r="L8" i="5"/>
  <c r="M8" i="5"/>
  <c r="N8" i="5"/>
  <c r="O8" i="5"/>
  <c r="P8" i="5"/>
  <c r="Q8" i="5"/>
  <c r="R8" i="5"/>
  <c r="S8" i="5"/>
  <c r="C8" i="5"/>
  <c r="D8" i="5"/>
  <c r="E8" i="5"/>
  <c r="F8" i="5"/>
  <c r="C7" i="5"/>
  <c r="D7" i="5"/>
  <c r="E7" i="5"/>
  <c r="F7" i="5"/>
  <c r="F27" i="3" s="1"/>
  <c r="G7" i="5"/>
  <c r="G27" i="3"/>
  <c r="H7" i="5"/>
  <c r="I7" i="5"/>
  <c r="J7" i="5"/>
  <c r="J27" i="3"/>
  <c r="K7" i="5"/>
  <c r="L7" i="5"/>
  <c r="M7" i="5"/>
  <c r="M27" i="3"/>
  <c r="N7" i="5"/>
  <c r="N27" i="3"/>
  <c r="O7" i="5"/>
  <c r="P7" i="5"/>
  <c r="P27" i="3"/>
  <c r="Q7" i="5"/>
  <c r="R7" i="5"/>
  <c r="R27" i="3"/>
  <c r="S7" i="5"/>
  <c r="D6" i="5"/>
  <c r="E6" i="5"/>
  <c r="E26" i="3"/>
  <c r="F6" i="5"/>
  <c r="F26" i="3" s="1"/>
  <c r="G6" i="5"/>
  <c r="H6" i="5"/>
  <c r="H26" i="3"/>
  <c r="I6" i="5"/>
  <c r="J6" i="5"/>
  <c r="J26" i="3"/>
  <c r="K6" i="5"/>
  <c r="K26" i="3"/>
  <c r="L6" i="5"/>
  <c r="M6" i="5"/>
  <c r="N6" i="5"/>
  <c r="O6" i="5"/>
  <c r="O26" i="3"/>
  <c r="P6" i="5"/>
  <c r="Q6" i="5"/>
  <c r="Q26" i="3" s="1"/>
  <c r="R6" i="5"/>
  <c r="S6" i="5"/>
  <c r="T26" i="3" s="1"/>
  <c r="K5" i="5"/>
  <c r="P5" i="5"/>
  <c r="R5" i="5"/>
  <c r="S5" i="5"/>
  <c r="S25" i="3"/>
  <c r="C6" i="5"/>
  <c r="D26" i="3"/>
  <c r="O47" i="5"/>
  <c r="C30" i="5"/>
  <c r="D30" i="5"/>
  <c r="E12" i="3"/>
  <c r="J30" i="5"/>
  <c r="I15" i="5"/>
  <c r="I17" i="5"/>
  <c r="I18" i="5"/>
  <c r="I19" i="5"/>
  <c r="I22" i="5"/>
  <c r="I21" i="5"/>
  <c r="I26" i="5"/>
  <c r="I27" i="5"/>
  <c r="I28" i="5"/>
  <c r="I25" i="5"/>
  <c r="I32" i="5"/>
  <c r="I35" i="5"/>
  <c r="I38" i="5"/>
  <c r="I40" i="5"/>
  <c r="I37" i="5" s="1"/>
  <c r="I45" i="5"/>
  <c r="I46" i="5"/>
  <c r="I20" i="5"/>
  <c r="B39" i="6"/>
  <c r="B30" i="6"/>
  <c r="B16" i="6"/>
  <c r="B9" i="6"/>
  <c r="B20" i="6"/>
  <c r="B22" i="6"/>
  <c r="B40" i="6"/>
  <c r="B42" i="6"/>
  <c r="N39" i="5"/>
  <c r="H15" i="5"/>
  <c r="H17" i="5"/>
  <c r="H19" i="5"/>
  <c r="H22" i="5"/>
  <c r="H21" i="5"/>
  <c r="H27" i="5"/>
  <c r="H31" i="5"/>
  <c r="H32" i="5"/>
  <c r="H35" i="5"/>
  <c r="H38" i="5"/>
  <c r="H40" i="5"/>
  <c r="H45" i="5"/>
  <c r="H46" i="5"/>
  <c r="H20" i="5"/>
  <c r="H18" i="5"/>
  <c r="H28" i="5"/>
  <c r="F7" i="4"/>
  <c r="F6" i="4"/>
  <c r="F5" i="4"/>
  <c r="F4" i="4"/>
  <c r="F3" i="4"/>
  <c r="F8" i="4"/>
  <c r="G46" i="5"/>
  <c r="G20" i="5"/>
  <c r="H12" i="3"/>
  <c r="F8" i="8"/>
  <c r="T44" i="5"/>
  <c r="U33" i="3"/>
  <c r="T45" i="5"/>
  <c r="U34" i="3"/>
  <c r="T46" i="5"/>
  <c r="J20" i="5"/>
  <c r="K20" i="5"/>
  <c r="L20" i="5"/>
  <c r="M20" i="5"/>
  <c r="N20" i="5"/>
  <c r="O20" i="5"/>
  <c r="P20" i="5"/>
  <c r="Q20" i="5"/>
  <c r="P15" i="5"/>
  <c r="Q15" i="5"/>
  <c r="P17" i="5"/>
  <c r="Q17" i="5"/>
  <c r="P18" i="5"/>
  <c r="Q18" i="5"/>
  <c r="P19" i="5"/>
  <c r="Q19" i="5"/>
  <c r="P22" i="5"/>
  <c r="P21" i="5"/>
  <c r="Q22" i="5"/>
  <c r="Q21" i="5"/>
  <c r="P26" i="5"/>
  <c r="Q26" i="5"/>
  <c r="R26" i="5"/>
  <c r="S26" i="5"/>
  <c r="P27" i="5"/>
  <c r="Q27" i="5"/>
  <c r="R27" i="5"/>
  <c r="S27" i="5"/>
  <c r="P28" i="5"/>
  <c r="Q28" i="5"/>
  <c r="Q25" i="5" s="1"/>
  <c r="R28" i="5"/>
  <c r="S28" i="5"/>
  <c r="P31" i="5"/>
  <c r="Q31" i="5"/>
  <c r="R31" i="5"/>
  <c r="P32" i="5"/>
  <c r="Q32" i="5"/>
  <c r="R32" i="5"/>
  <c r="P35" i="5"/>
  <c r="Q35" i="5"/>
  <c r="P38" i="5"/>
  <c r="Q38" i="3"/>
  <c r="Q38" i="5"/>
  <c r="R38" i="5"/>
  <c r="S38" i="3"/>
  <c r="S38" i="5"/>
  <c r="P40" i="5"/>
  <c r="Q40" i="5"/>
  <c r="R40" i="5"/>
  <c r="S40" i="5"/>
  <c r="P44" i="5"/>
  <c r="Q33" i="3"/>
  <c r="Q44" i="5"/>
  <c r="R44" i="5"/>
  <c r="S44" i="5"/>
  <c r="T33" i="3"/>
  <c r="P45" i="5"/>
  <c r="Q45" i="5"/>
  <c r="R34" i="3"/>
  <c r="R45" i="5"/>
  <c r="S34" i="3"/>
  <c r="S45" i="5"/>
  <c r="T34" i="3"/>
  <c r="P46" i="5"/>
  <c r="Q46" i="5"/>
  <c r="R35" i="3"/>
  <c r="R46" i="5"/>
  <c r="S46" i="5"/>
  <c r="O15" i="5"/>
  <c r="O17" i="5"/>
  <c r="O18" i="5"/>
  <c r="O19" i="5"/>
  <c r="O22" i="5"/>
  <c r="O21" i="5"/>
  <c r="O26" i="5"/>
  <c r="O27" i="5"/>
  <c r="O28" i="5"/>
  <c r="O31" i="5"/>
  <c r="Q35" i="3" s="1"/>
  <c r="O32" i="5"/>
  <c r="O35" i="5"/>
  <c r="O38" i="5"/>
  <c r="O40" i="5"/>
  <c r="O44" i="5"/>
  <c r="O45" i="5"/>
  <c r="P34" i="3"/>
  <c r="O46" i="5"/>
  <c r="G17" i="5"/>
  <c r="K17" i="5"/>
  <c r="L17" i="5"/>
  <c r="M17" i="5"/>
  <c r="N17" i="5"/>
  <c r="M46" i="5"/>
  <c r="N46" i="5"/>
  <c r="G45" i="5"/>
  <c r="M45" i="5"/>
  <c r="N34" i="3"/>
  <c r="N45" i="5"/>
  <c r="O34" i="3"/>
  <c r="M44" i="5"/>
  <c r="N33" i="3"/>
  <c r="N44" i="5"/>
  <c r="J40" i="5"/>
  <c r="K40" i="5"/>
  <c r="L40" i="5"/>
  <c r="M40" i="5"/>
  <c r="N40" i="5"/>
  <c r="G38" i="5"/>
  <c r="G37" i="5" s="1"/>
  <c r="H39" i="3" s="1"/>
  <c r="H38" i="3"/>
  <c r="J38" i="5"/>
  <c r="K38" i="3"/>
  <c r="K38" i="5"/>
  <c r="L38" i="5"/>
  <c r="M38" i="5"/>
  <c r="N38" i="5"/>
  <c r="K35" i="5"/>
  <c r="L35" i="5"/>
  <c r="M35" i="5"/>
  <c r="N35" i="5"/>
  <c r="K32" i="5"/>
  <c r="L32" i="5"/>
  <c r="M32" i="5"/>
  <c r="N32" i="5"/>
  <c r="K31" i="5"/>
  <c r="L31" i="5"/>
  <c r="M31" i="5"/>
  <c r="N31" i="5"/>
  <c r="K28" i="5"/>
  <c r="L28" i="5"/>
  <c r="M28" i="5"/>
  <c r="N28" i="5"/>
  <c r="K27" i="5"/>
  <c r="L27" i="5"/>
  <c r="M27" i="5"/>
  <c r="N27" i="5"/>
  <c r="K26" i="5"/>
  <c r="K25" i="5"/>
  <c r="L26" i="5"/>
  <c r="L25" i="5" s="1"/>
  <c r="M26" i="5"/>
  <c r="N26" i="5"/>
  <c r="N25" i="5"/>
  <c r="G22" i="5"/>
  <c r="G21" i="5"/>
  <c r="K22" i="5"/>
  <c r="K21" i="5"/>
  <c r="L22" i="5"/>
  <c r="L21" i="5"/>
  <c r="M22" i="5"/>
  <c r="M21" i="5"/>
  <c r="N22" i="5"/>
  <c r="N21" i="5"/>
  <c r="G19" i="5"/>
  <c r="K19" i="5"/>
  <c r="L19" i="5"/>
  <c r="M19" i="5"/>
  <c r="N19" i="5"/>
  <c r="K18" i="5"/>
  <c r="L18" i="5"/>
  <c r="M18" i="5"/>
  <c r="N18" i="5"/>
  <c r="G15" i="5"/>
  <c r="K15" i="5"/>
  <c r="L15" i="5"/>
  <c r="M15" i="5"/>
  <c r="M14" i="5"/>
  <c r="M11" i="5"/>
  <c r="N15" i="5"/>
  <c r="N14" i="5" s="1"/>
  <c r="N11" i="5" s="1"/>
  <c r="N29" i="3" s="1"/>
  <c r="G8" i="5"/>
  <c r="S7" i="3"/>
  <c r="S8" i="3"/>
  <c r="R11" i="7"/>
  <c r="R12" i="7"/>
  <c r="V8" i="3"/>
  <c r="U11" i="7"/>
  <c r="U12" i="7"/>
  <c r="M7" i="3"/>
  <c r="P7" i="3"/>
  <c r="M8" i="3"/>
  <c r="L11" i="7"/>
  <c r="L12" i="7"/>
  <c r="P8" i="3"/>
  <c r="O11" i="7"/>
  <c r="O12" i="7"/>
  <c r="L45" i="5"/>
  <c r="M34" i="3"/>
  <c r="L46" i="5"/>
  <c r="M35" i="3"/>
  <c r="L44" i="5"/>
  <c r="M33" i="3"/>
  <c r="G35" i="5"/>
  <c r="G32" i="5"/>
  <c r="G31" i="5"/>
  <c r="H28" i="3" s="1"/>
  <c r="G26" i="5"/>
  <c r="J44" i="5"/>
  <c r="K33" i="3"/>
  <c r="J46" i="5"/>
  <c r="J45" i="5"/>
  <c r="J27" i="5"/>
  <c r="J35" i="5"/>
  <c r="J26" i="5"/>
  <c r="J18" i="5"/>
  <c r="J17" i="5"/>
  <c r="J31" i="5"/>
  <c r="K35" i="3" s="1"/>
  <c r="J19" i="5"/>
  <c r="J28" i="5"/>
  <c r="J32" i="5"/>
  <c r="J22" i="5"/>
  <c r="J21" i="5"/>
  <c r="J15" i="5"/>
  <c r="J14" i="5"/>
  <c r="J11" i="5"/>
  <c r="S31" i="5"/>
  <c r="T35" i="3" s="1"/>
  <c r="S35" i="5"/>
  <c r="S19" i="5"/>
  <c r="S32" i="5"/>
  <c r="S17" i="5"/>
  <c r="S20" i="5"/>
  <c r="S18" i="5"/>
  <c r="S22" i="5"/>
  <c r="S21" i="5"/>
  <c r="S15" i="5"/>
  <c r="S14" i="5" s="1"/>
  <c r="S11" i="5" s="1"/>
  <c r="R19" i="5"/>
  <c r="R35" i="5"/>
  <c r="R17" i="5"/>
  <c r="R20" i="5"/>
  <c r="R22" i="5"/>
  <c r="R21" i="5"/>
  <c r="R18" i="5"/>
  <c r="R15" i="5"/>
  <c r="G27" i="5"/>
  <c r="G28" i="5"/>
  <c r="K44" i="5"/>
  <c r="L33" i="3"/>
  <c r="K45" i="5"/>
  <c r="L34" i="3"/>
  <c r="K46" i="5"/>
  <c r="G18" i="5"/>
  <c r="G44" i="5"/>
  <c r="H33" i="3"/>
  <c r="H44" i="5"/>
  <c r="P39" i="5"/>
  <c r="H26" i="5"/>
  <c r="H25" i="5"/>
  <c r="G34" i="5"/>
  <c r="J34" i="5"/>
  <c r="I31" i="5"/>
  <c r="I28" i="3"/>
  <c r="J47" i="5"/>
  <c r="I44" i="5"/>
  <c r="M19" i="3"/>
  <c r="K12" i="8"/>
  <c r="T3" i="8"/>
  <c r="S19" i="3"/>
  <c r="Q12" i="8"/>
  <c r="R5" i="7"/>
  <c r="P34" i="5"/>
  <c r="R13" i="3"/>
  <c r="Q20" i="7"/>
  <c r="L19" i="3"/>
  <c r="N19" i="3"/>
  <c r="L12" i="8"/>
  <c r="M34" i="5"/>
  <c r="L5" i="7"/>
  <c r="H5" i="5"/>
  <c r="H5" i="7"/>
  <c r="F38" i="1"/>
  <c r="F49" i="1"/>
  <c r="F27" i="1"/>
  <c r="H23" i="3"/>
  <c r="H17" i="3"/>
  <c r="G26" i="7"/>
  <c r="G12" i="3"/>
  <c r="F19" i="7"/>
  <c r="H13" i="3"/>
  <c r="G20" i="7"/>
  <c r="G4" i="5"/>
  <c r="AA5" i="7"/>
  <c r="AA5" i="5"/>
  <c r="AA8" i="7"/>
  <c r="H47" i="5"/>
  <c r="H43" i="5" s="1"/>
  <c r="U19" i="3"/>
  <c r="S12" i="8"/>
  <c r="U5" i="3"/>
  <c r="S3" i="8"/>
  <c r="I18" i="3"/>
  <c r="G11" i="8"/>
  <c r="G38" i="1"/>
  <c r="G49" i="1"/>
  <c r="V12" i="3"/>
  <c r="V13" i="3"/>
  <c r="U20" i="7"/>
  <c r="P38" i="3"/>
  <c r="M27" i="1"/>
  <c r="N34" i="5"/>
  <c r="H16" i="3"/>
  <c r="H20" i="3"/>
  <c r="H22" i="3"/>
  <c r="T5" i="7"/>
  <c r="S5" i="7"/>
  <c r="D47" i="5"/>
  <c r="D43" i="5"/>
  <c r="W30" i="5"/>
  <c r="H4" i="3"/>
  <c r="G6" i="7"/>
  <c r="P28" i="3"/>
  <c r="L27" i="3"/>
  <c r="G18" i="3"/>
  <c r="E11" i="8"/>
  <c r="U18" i="3"/>
  <c r="S11" i="8"/>
  <c r="T5" i="5"/>
  <c r="T25" i="3"/>
  <c r="M38" i="1"/>
  <c r="O18" i="3"/>
  <c r="N27" i="7"/>
  <c r="N5" i="5"/>
  <c r="N25" i="3"/>
  <c r="P5" i="7"/>
  <c r="Q19" i="3"/>
  <c r="P28" i="7"/>
  <c r="K12" i="3"/>
  <c r="J19" i="7"/>
  <c r="Y5" i="3"/>
  <c r="X8" i="7"/>
  <c r="Y19" i="3"/>
  <c r="X28" i="7"/>
  <c r="I27" i="1"/>
  <c r="AC12" i="3"/>
  <c r="AB19" i="7"/>
  <c r="O3" i="8"/>
  <c r="R12" i="3"/>
  <c r="P8" i="8"/>
  <c r="R34" i="5"/>
  <c r="Q5" i="3"/>
  <c r="O12" i="3"/>
  <c r="O13" i="3"/>
  <c r="N20" i="7"/>
  <c r="R27" i="1"/>
  <c r="T14" i="3"/>
  <c r="X34" i="5"/>
  <c r="J38" i="1"/>
  <c r="J49" i="1"/>
  <c r="U38" i="1"/>
  <c r="V5" i="5"/>
  <c r="V25" i="3"/>
  <c r="X30" i="5"/>
  <c r="Y18" i="3"/>
  <c r="X27" i="7"/>
  <c r="W38" i="1"/>
  <c r="W49" i="1"/>
  <c r="AB27" i="3"/>
  <c r="W18" i="3"/>
  <c r="U11" i="8"/>
  <c r="X3" i="2"/>
  <c r="X19" i="2"/>
  <c r="X5" i="5"/>
  <c r="AC34" i="5"/>
  <c r="AB27" i="1"/>
  <c r="AD17" i="3"/>
  <c r="AC26" i="7"/>
  <c r="S27" i="1"/>
  <c r="U30" i="5"/>
  <c r="Y5" i="5"/>
  <c r="Y25" i="3"/>
  <c r="W28" i="3"/>
  <c r="AC30" i="5"/>
  <c r="AD27" i="1"/>
  <c r="V18" i="3"/>
  <c r="T11" i="8"/>
  <c r="V35" i="5"/>
  <c r="V26" i="3"/>
  <c r="Y27" i="1"/>
  <c r="Z34" i="5"/>
  <c r="AA33" i="3"/>
  <c r="Z5" i="3"/>
  <c r="Y8" i="7"/>
  <c r="AA18" i="3"/>
  <c r="Z27" i="7"/>
  <c r="AD34" i="3"/>
  <c r="AB38" i="1"/>
  <c r="AB19" i="3"/>
  <c r="AA28" i="7"/>
  <c r="AD18" i="3"/>
  <c r="AC27" i="7"/>
  <c r="AE13" i="3"/>
  <c r="AD20" i="7"/>
  <c r="AE12" i="3"/>
  <c r="AD19" i="7"/>
  <c r="AB49" i="1"/>
  <c r="AB18" i="3"/>
  <c r="AA27" i="7"/>
  <c r="Z38" i="1"/>
  <c r="Z49" i="1"/>
  <c r="AC47" i="5"/>
  <c r="H27" i="7"/>
  <c r="K23" i="3"/>
  <c r="J4" i="5"/>
  <c r="T23" i="3"/>
  <c r="T22" i="3"/>
  <c r="T17" i="3"/>
  <c r="S26" i="7"/>
  <c r="O14" i="3"/>
  <c r="N21" i="7"/>
  <c r="N4" i="5"/>
  <c r="O16" i="3"/>
  <c r="M9" i="8"/>
  <c r="AD21" i="3"/>
  <c r="D24" i="9"/>
  <c r="O24" i="9"/>
  <c r="J25" i="9"/>
  <c r="D26" i="9"/>
  <c r="O26" i="9"/>
  <c r="J27" i="9"/>
  <c r="D28" i="9"/>
  <c r="O28" i="9"/>
  <c r="K27" i="9"/>
  <c r="F25" i="9"/>
  <c r="F27" i="9"/>
  <c r="N27" i="9"/>
  <c r="O25" i="9"/>
  <c r="H28" i="9"/>
  <c r="H25" i="9"/>
  <c r="E24" i="9"/>
  <c r="I24" i="9"/>
  <c r="M24" i="9"/>
  <c r="E26" i="9"/>
  <c r="I26" i="9"/>
  <c r="M26" i="9"/>
  <c r="E28" i="9"/>
  <c r="I28" i="9"/>
  <c r="M28" i="9"/>
  <c r="H17" i="9"/>
  <c r="H19" i="9"/>
  <c r="H21" i="9"/>
  <c r="F24" i="9"/>
  <c r="J24" i="9"/>
  <c r="D25" i="9"/>
  <c r="L25" i="9"/>
  <c r="F26" i="9"/>
  <c r="J26" i="9"/>
  <c r="H31" i="9"/>
  <c r="H20" i="9"/>
  <c r="E25" i="9"/>
  <c r="I25" i="9"/>
  <c r="M25" i="9"/>
  <c r="V5" i="9"/>
  <c r="U7" i="9"/>
  <c r="T7" i="9"/>
  <c r="S7" i="9"/>
  <c r="V7" i="9" s="1"/>
  <c r="Q25" i="9"/>
  <c r="N24" i="9"/>
  <c r="K24" i="9"/>
  <c r="G26" i="9"/>
  <c r="K26" i="9"/>
  <c r="K25" i="9"/>
  <c r="N26" i="9"/>
  <c r="Q28" i="9"/>
  <c r="Q26" i="9"/>
  <c r="Q24" i="9"/>
  <c r="G25" i="9"/>
  <c r="N25" i="9"/>
  <c r="G28" i="9"/>
  <c r="G24" i="9"/>
  <c r="H24" i="9"/>
  <c r="D34" i="5"/>
  <c r="C27" i="1"/>
  <c r="E17" i="3"/>
  <c r="D26" i="7"/>
  <c r="R38" i="3"/>
  <c r="H27" i="9"/>
  <c r="L28" i="9"/>
  <c r="K15" i="3"/>
  <c r="J22" i="7"/>
  <c r="R19" i="7"/>
  <c r="F5" i="5"/>
  <c r="G25" i="3" s="1"/>
  <c r="E38" i="1"/>
  <c r="U12" i="3"/>
  <c r="T19" i="7"/>
  <c r="Q13" i="3"/>
  <c r="P20" i="7"/>
  <c r="Q12" i="3"/>
  <c r="P19" i="7"/>
  <c r="AB5" i="5"/>
  <c r="AB25" i="3" s="1"/>
  <c r="AA38" i="1"/>
  <c r="AA49" i="1"/>
  <c r="AC18" i="3"/>
  <c r="AB27" i="7"/>
  <c r="AC13" i="3"/>
  <c r="AB20" i="7"/>
  <c r="V38" i="5"/>
  <c r="L28" i="3"/>
  <c r="K27" i="7"/>
  <c r="AA30" i="5"/>
  <c r="Z27" i="1"/>
  <c r="AB23" i="3"/>
  <c r="C3" i="8"/>
  <c r="E5" i="3"/>
  <c r="D27" i="1"/>
  <c r="D51" i="1" s="1"/>
  <c r="N30" i="5"/>
  <c r="B38" i="1"/>
  <c r="B49" i="1"/>
  <c r="L38" i="1"/>
  <c r="L49" i="1"/>
  <c r="L51" i="1"/>
  <c r="N18" i="3"/>
  <c r="M27" i="7"/>
  <c r="T38" i="1"/>
  <c r="Q49" i="1"/>
  <c r="W12" i="3"/>
  <c r="V19" i="7"/>
  <c r="V49" i="1"/>
  <c r="T49" i="1"/>
  <c r="U26" i="3"/>
  <c r="X49" i="1"/>
  <c r="AB13" i="3"/>
  <c r="AA20" i="7"/>
  <c r="X18" i="3"/>
  <c r="W27" i="7"/>
  <c r="V19" i="3"/>
  <c r="U28" i="7"/>
  <c r="L11" i="8"/>
  <c r="AB4" i="3"/>
  <c r="AA6" i="7"/>
  <c r="E23" i="3"/>
  <c r="E6" i="3"/>
  <c r="D7" i="7"/>
  <c r="E4" i="3"/>
  <c r="C4" i="8"/>
  <c r="E21" i="3"/>
  <c r="E14" i="3"/>
  <c r="C13" i="8"/>
  <c r="E15" i="3"/>
  <c r="D22" i="7"/>
  <c r="D4" i="5"/>
  <c r="E20" i="3"/>
  <c r="E22" i="3"/>
  <c r="AF10" i="3"/>
  <c r="AE15" i="7"/>
  <c r="E16" i="3"/>
  <c r="D25" i="7"/>
  <c r="R19" i="3"/>
  <c r="D18" i="3"/>
  <c r="C27" i="7"/>
  <c r="F12" i="3"/>
  <c r="E19" i="7"/>
  <c r="E5" i="5"/>
  <c r="L12" i="3"/>
  <c r="K19" i="7"/>
  <c r="E27" i="1"/>
  <c r="F11" i="3" s="1"/>
  <c r="E16" i="7" s="1"/>
  <c r="R49" i="1"/>
  <c r="R14" i="8"/>
  <c r="P49" i="1"/>
  <c r="U42" i="1"/>
  <c r="W3" i="3"/>
  <c r="U3" i="8"/>
  <c r="V18" i="5"/>
  <c r="W5" i="5"/>
  <c r="X25" i="3"/>
  <c r="X5" i="3"/>
  <c r="W8" i="7"/>
  <c r="X12" i="3"/>
  <c r="W19" i="7"/>
  <c r="X27" i="1"/>
  <c r="Z17" i="3"/>
  <c r="Y26" i="7"/>
  <c r="AD49" i="1"/>
  <c r="AF38" i="1"/>
  <c r="AF49" i="1"/>
  <c r="R51" i="1"/>
  <c r="Q28" i="7"/>
  <c r="P12" i="8"/>
  <c r="AM5" i="3"/>
  <c r="F16" i="3"/>
  <c r="Z4" i="3"/>
  <c r="Y6" i="7"/>
  <c r="AB16" i="3"/>
  <c r="AA25" i="7"/>
  <c r="F4" i="5"/>
  <c r="AB22" i="3"/>
  <c r="T27" i="7"/>
  <c r="U27" i="7"/>
  <c r="AD20" i="3"/>
  <c r="AA23" i="3"/>
  <c r="AD30" i="5"/>
  <c r="AE38" i="3"/>
  <c r="AD15" i="3"/>
  <c r="AC22" i="7"/>
  <c r="T16" i="3"/>
  <c r="R9" i="8"/>
  <c r="T20" i="3"/>
  <c r="E19" i="3"/>
  <c r="C12" i="8"/>
  <c r="K6" i="3"/>
  <c r="I5" i="8"/>
  <c r="K21" i="3"/>
  <c r="AD16" i="3"/>
  <c r="AC25" i="7"/>
  <c r="J27" i="1"/>
  <c r="J14" i="8"/>
  <c r="L5" i="3"/>
  <c r="J6" i="8"/>
  <c r="K5" i="7"/>
  <c r="W27" i="1"/>
  <c r="H27" i="1"/>
  <c r="D12" i="3"/>
  <c r="D13" i="3"/>
  <c r="C20" i="7"/>
  <c r="AF38" i="3"/>
  <c r="S27" i="3"/>
  <c r="J19" i="3"/>
  <c r="I28" i="7"/>
  <c r="W26" i="3"/>
  <c r="AF13" i="3"/>
  <c r="AE20" i="7"/>
  <c r="AF12" i="3"/>
  <c r="AE19" i="7"/>
  <c r="M12" i="3"/>
  <c r="K8" i="8"/>
  <c r="S27" i="7"/>
  <c r="N13" i="3"/>
  <c r="M20" i="7"/>
  <c r="M26" i="3"/>
  <c r="F3" i="8"/>
  <c r="G5" i="7"/>
  <c r="H19" i="3"/>
  <c r="F12" i="8"/>
  <c r="H6" i="3"/>
  <c r="G7" i="7"/>
  <c r="R28" i="7"/>
  <c r="R39" i="5"/>
  <c r="AA13" i="3"/>
  <c r="Z20" i="7"/>
  <c r="AG5" i="3"/>
  <c r="AF8" i="7"/>
  <c r="AF9" i="7"/>
  <c r="AG19" i="3"/>
  <c r="S18" i="3"/>
  <c r="R27" i="7"/>
  <c r="R18" i="3"/>
  <c r="P11" i="8"/>
  <c r="AF18" i="3"/>
  <c r="AE27" i="7"/>
  <c r="AF5" i="3"/>
  <c r="AE8" i="7"/>
  <c r="AE9" i="7"/>
  <c r="AE5" i="5"/>
  <c r="V12" i="9"/>
  <c r="AI26" i="3"/>
  <c r="AN5" i="3"/>
  <c r="AL38" i="1"/>
  <c r="AL49" i="1"/>
  <c r="AM5" i="5"/>
  <c r="AE34" i="5"/>
  <c r="AE18" i="3"/>
  <c r="AD27" i="7"/>
  <c r="AK13" i="3"/>
  <c r="AK12" i="3"/>
  <c r="AM47" i="5"/>
  <c r="AM43" i="5"/>
  <c r="AD13" i="3"/>
  <c r="AC20" i="7"/>
  <c r="Q5" i="5"/>
  <c r="AK27" i="1"/>
  <c r="AM4" i="3"/>
  <c r="AM20" i="3"/>
  <c r="AL34" i="5"/>
  <c r="AE27" i="1"/>
  <c r="AI49" i="1"/>
  <c r="AH18" i="3"/>
  <c r="AG5" i="5"/>
  <c r="AI27" i="1"/>
  <c r="AK17" i="3"/>
  <c r="AG38" i="1"/>
  <c r="AG49" i="1"/>
  <c r="AH34" i="5"/>
  <c r="AH19" i="3"/>
  <c r="AF5" i="5"/>
  <c r="AG34" i="5"/>
  <c r="AI5" i="3"/>
  <c r="AK18" i="3"/>
  <c r="AL19" i="3"/>
  <c r="AH48" i="1"/>
  <c r="AF34" i="5"/>
  <c r="AH5" i="3"/>
  <c r="AJ18" i="3"/>
  <c r="AI47" i="5"/>
  <c r="AI18" i="3"/>
  <c r="AJ3" i="3"/>
  <c r="AJ19" i="3"/>
  <c r="AJ12" i="3"/>
  <c r="AL18" i="3"/>
  <c r="AJ5" i="5"/>
  <c r="AI12" i="3"/>
  <c r="AH12" i="3"/>
  <c r="AG20" i="3"/>
  <c r="J21" i="3"/>
  <c r="AM22" i="3"/>
  <c r="AM23" i="3"/>
  <c r="AK15" i="3"/>
  <c r="N20" i="3"/>
  <c r="N14" i="3"/>
  <c r="L13" i="8"/>
  <c r="AK6" i="3"/>
  <c r="Q27" i="7"/>
  <c r="L22" i="3"/>
  <c r="L16" i="3"/>
  <c r="K25" i="7"/>
  <c r="L14" i="3"/>
  <c r="K21" i="7"/>
  <c r="L20" i="3"/>
  <c r="K4" i="5"/>
  <c r="L15" i="3"/>
  <c r="K22" i="7"/>
  <c r="K23" i="7"/>
  <c r="L21" i="3"/>
  <c r="Q11" i="8"/>
  <c r="AK14" i="3"/>
  <c r="AJ4" i="5"/>
  <c r="AK22" i="3"/>
  <c r="AK23" i="3"/>
  <c r="AK20" i="3"/>
  <c r="K8" i="7"/>
  <c r="AK16" i="3"/>
  <c r="AJ5" i="3"/>
  <c r="AK4" i="3"/>
  <c r="G28" i="7"/>
  <c r="F5" i="8"/>
  <c r="X4" i="5"/>
  <c r="Y17" i="3"/>
  <c r="X26" i="7"/>
  <c r="Y23" i="3"/>
  <c r="Y14" i="3"/>
  <c r="X21" i="7"/>
  <c r="Y20" i="3"/>
  <c r="Y15" i="3"/>
  <c r="X22" i="7"/>
  <c r="Y22" i="3"/>
  <c r="Y16" i="3"/>
  <c r="X25" i="7"/>
  <c r="Y6" i="3"/>
  <c r="X7" i="7"/>
  <c r="Y21" i="3"/>
  <c r="AP5" i="5"/>
  <c r="AP30" i="5"/>
  <c r="AR3" i="2"/>
  <c r="AR19" i="2"/>
  <c r="AS5" i="5"/>
  <c r="AR5" i="5"/>
  <c r="AS25" i="3"/>
  <c r="AR25" i="3"/>
  <c r="AS30" i="5"/>
  <c r="AS12" i="3"/>
  <c r="AR12" i="3"/>
  <c r="AQ12" i="3"/>
  <c r="AG22" i="3"/>
  <c r="AF4" i="5"/>
  <c r="AK21" i="3"/>
  <c r="AG4" i="3"/>
  <c r="AG16" i="3"/>
  <c r="Z22" i="3"/>
  <c r="Z20" i="3"/>
  <c r="Z23" i="3"/>
  <c r="Z21" i="3"/>
  <c r="AG17" i="3"/>
  <c r="AG21" i="3"/>
  <c r="AG14" i="3"/>
  <c r="AF21" i="7"/>
  <c r="AM14" i="3"/>
  <c r="AM17" i="3"/>
  <c r="AM16" i="3"/>
  <c r="AG6" i="3"/>
  <c r="F14" i="3"/>
  <c r="E21" i="7"/>
  <c r="U48" i="1"/>
  <c r="U49" i="1"/>
  <c r="G15" i="3"/>
  <c r="F22" i="7"/>
  <c r="M13" i="8"/>
  <c r="AB20" i="3"/>
  <c r="E14" i="5"/>
  <c r="E11" i="5" s="1"/>
  <c r="E12" i="5" s="1"/>
  <c r="AN19" i="3"/>
  <c r="AJ28" i="3"/>
  <c r="AM15" i="3"/>
  <c r="AM27" i="1"/>
  <c r="S4" i="5"/>
  <c r="T15" i="3"/>
  <c r="S22" i="7"/>
  <c r="V26" i="5"/>
  <c r="AI34" i="5"/>
  <c r="AH27" i="1"/>
  <c r="AL27" i="1"/>
  <c r="AO34" i="5"/>
  <c r="AN27" i="1"/>
  <c r="T21" i="3"/>
  <c r="Y12" i="3"/>
  <c r="X19" i="7"/>
  <c r="AM18" i="3"/>
  <c r="AK38" i="1"/>
  <c r="AK49" i="1"/>
  <c r="AL5" i="5"/>
  <c r="AP12" i="3"/>
  <c r="AP15" i="3"/>
  <c r="AP13" i="3"/>
  <c r="AQ33" i="3"/>
  <c r="AQ18" i="3"/>
  <c r="AO38" i="1"/>
  <c r="AO49" i="1"/>
  <c r="AQ13" i="3"/>
  <c r="AP21" i="3"/>
  <c r="AR30" i="5"/>
  <c r="AQ27" i="1"/>
  <c r="AS14" i="3"/>
  <c r="AT27" i="1"/>
  <c r="AA27" i="1"/>
  <c r="AC14" i="3"/>
  <c r="AB21" i="7"/>
  <c r="AC5" i="3"/>
  <c r="AB8" i="7"/>
  <c r="AO4" i="3"/>
  <c r="AS38" i="1"/>
  <c r="AS49" i="1" s="1"/>
  <c r="T4" i="3"/>
  <c r="AG13" i="3"/>
  <c r="AF20" i="7"/>
  <c r="AO18" i="3"/>
  <c r="AK5" i="3"/>
  <c r="AN12" i="3"/>
  <c r="AO13" i="3"/>
  <c r="AN18" i="3"/>
  <c r="AO19" i="3"/>
  <c r="AS5" i="3"/>
  <c r="AM12" i="3"/>
  <c r="AN13" i="3"/>
  <c r="AJ13" i="3"/>
  <c r="AM13" i="3"/>
  <c r="AQ38" i="3"/>
  <c r="AN17" i="3"/>
  <c r="AJ17" i="3"/>
  <c r="AJ23" i="3"/>
  <c r="AJ21" i="3"/>
  <c r="AN16" i="3"/>
  <c r="AS17" i="3"/>
  <c r="AS21" i="3"/>
  <c r="AR4" i="5"/>
  <c r="AS6" i="3"/>
  <c r="AC20" i="3"/>
  <c r="AC17" i="3"/>
  <c r="AB26" i="7"/>
  <c r="AC21" i="3"/>
  <c r="AP22" i="3"/>
  <c r="AP20" i="3"/>
  <c r="AP14" i="3"/>
  <c r="AP23" i="3"/>
  <c r="AP4" i="3"/>
  <c r="AP6" i="3"/>
  <c r="AO4" i="5"/>
  <c r="AN23" i="3"/>
  <c r="AN22" i="3"/>
  <c r="AM4" i="5"/>
  <c r="AN15" i="3"/>
  <c r="AT25" i="3"/>
  <c r="AO23" i="3"/>
  <c r="AJ6" i="3"/>
  <c r="AH23" i="3"/>
  <c r="AH20" i="3"/>
  <c r="AH4" i="3"/>
  <c r="AH14" i="3"/>
  <c r="AH15" i="3"/>
  <c r="AH21" i="3"/>
  <c r="AH22" i="3"/>
  <c r="AH6" i="3"/>
  <c r="AH17" i="3"/>
  <c r="AN4" i="3"/>
  <c r="AH16" i="3"/>
  <c r="V34" i="5"/>
  <c r="AE4" i="5"/>
  <c r="AF11" i="3"/>
  <c r="AE16" i="7"/>
  <c r="AF6" i="3"/>
  <c r="AF16" i="3"/>
  <c r="AE25" i="7"/>
  <c r="AF4" i="3"/>
  <c r="AF15" i="3"/>
  <c r="AE22" i="7"/>
  <c r="AF23" i="3"/>
  <c r="AF20" i="3"/>
  <c r="AF22" i="3"/>
  <c r="AF21" i="3"/>
  <c r="AF14" i="3"/>
  <c r="AE21" i="7"/>
  <c r="AD51" i="1"/>
  <c r="AF17" i="3"/>
  <c r="AE26" i="7"/>
  <c r="U23" i="3"/>
  <c r="T4" i="5"/>
  <c r="U6" i="3"/>
  <c r="S5" i="8"/>
  <c r="U16" i="3"/>
  <c r="T25" i="7"/>
  <c r="U15" i="3"/>
  <c r="T22" i="7"/>
  <c r="U4" i="3"/>
  <c r="T6" i="7"/>
  <c r="U20" i="3"/>
  <c r="U22" i="3"/>
  <c r="U17" i="3"/>
  <c r="T26" i="7"/>
  <c r="AO22" i="3"/>
  <c r="AN20" i="3"/>
  <c r="AC23" i="3"/>
  <c r="AC16" i="3"/>
  <c r="AB25" i="7"/>
  <c r="AC6" i="3"/>
  <c r="AC15" i="3"/>
  <c r="AB22" i="7"/>
  <c r="AB23" i="7" s="1"/>
  <c r="AC4" i="3"/>
  <c r="AB6" i="7"/>
  <c r="AC22" i="3"/>
  <c r="U14" i="3"/>
  <c r="S13" i="8"/>
  <c r="V5" i="7"/>
  <c r="W5" i="3"/>
  <c r="V8" i="7"/>
  <c r="W19" i="3"/>
  <c r="V28" i="7"/>
  <c r="AO14" i="3"/>
  <c r="AB4" i="5"/>
  <c r="AO16" i="3"/>
  <c r="U21" i="3"/>
  <c r="AO20" i="3"/>
  <c r="AS16" i="3"/>
  <c r="AS15" i="3"/>
  <c r="AS22" i="3"/>
  <c r="AS23" i="3"/>
  <c r="AS20" i="3"/>
  <c r="AG4" i="5"/>
  <c r="AH24" i="3"/>
  <c r="AN4" i="5"/>
  <c r="AP24" i="3"/>
  <c r="AN21" i="3"/>
  <c r="AN14" i="3"/>
  <c r="AN6" i="3"/>
  <c r="AF51" i="1"/>
  <c r="S21" i="7"/>
  <c r="S23" i="7" s="1"/>
  <c r="R13" i="8"/>
  <c r="AG23" i="3"/>
  <c r="AG15" i="3"/>
  <c r="AF22" i="7"/>
  <c r="G14" i="3"/>
  <c r="F21" i="7"/>
  <c r="G16" i="3"/>
  <c r="E9" i="8"/>
  <c r="G21" i="3"/>
  <c r="G22" i="3"/>
  <c r="G20" i="3"/>
  <c r="G17" i="3"/>
  <c r="F26" i="7"/>
  <c r="AA15" i="3"/>
  <c r="Z22" i="7"/>
  <c r="AA22" i="3"/>
  <c r="AA17" i="3"/>
  <c r="Z26" i="7"/>
  <c r="AA6" i="3"/>
  <c r="Z7" i="7"/>
  <c r="AA16" i="3"/>
  <c r="Z25" i="7"/>
  <c r="AA20" i="3"/>
  <c r="AA21" i="3"/>
  <c r="AA14" i="3"/>
  <c r="Z21" i="7"/>
  <c r="Z23" i="7" s="1"/>
  <c r="Z4" i="5"/>
  <c r="X8" i="3"/>
  <c r="W11" i="7"/>
  <c r="W12" i="7"/>
  <c r="X7" i="3"/>
  <c r="L4" i="3"/>
  <c r="B8" i="8"/>
  <c r="C19" i="7"/>
  <c r="AB14" i="3"/>
  <c r="AA21" i="7"/>
  <c r="AB17" i="3"/>
  <c r="AA26" i="7"/>
  <c r="AA29" i="7"/>
  <c r="AB21" i="3"/>
  <c r="AB6" i="3"/>
  <c r="AA7" i="7"/>
  <c r="AA4" i="5"/>
  <c r="AB36" i="3"/>
  <c r="AB15" i="3"/>
  <c r="AA22" i="7"/>
  <c r="AA23" i="7" s="1"/>
  <c r="E49" i="1"/>
  <c r="E14" i="8"/>
  <c r="J16" i="3"/>
  <c r="I25" i="7"/>
  <c r="J22" i="3"/>
  <c r="J6" i="3"/>
  <c r="I7" i="7"/>
  <c r="J17" i="3"/>
  <c r="I26" i="7"/>
  <c r="H10" i="8"/>
  <c r="I4" i="5"/>
  <c r="J15" i="3"/>
  <c r="I22" i="7"/>
  <c r="G23" i="3"/>
  <c r="L6" i="3"/>
  <c r="K7" i="7"/>
  <c r="L23" i="3"/>
  <c r="J51" i="1"/>
  <c r="L17" i="3"/>
  <c r="K26" i="7"/>
  <c r="K17" i="3"/>
  <c r="J26" i="7"/>
  <c r="K22" i="3"/>
  <c r="K14" i="3"/>
  <c r="J21" i="7"/>
  <c r="K16" i="3"/>
  <c r="J25" i="7"/>
  <c r="K20" i="3"/>
  <c r="O17" i="3"/>
  <c r="N26" i="7"/>
  <c r="O15" i="3"/>
  <c r="N22" i="7"/>
  <c r="O22" i="3"/>
  <c r="O20" i="3"/>
  <c r="O23" i="3"/>
  <c r="O21" i="3"/>
  <c r="E13" i="3"/>
  <c r="D20" i="7"/>
  <c r="C38" i="1"/>
  <c r="C49" i="1"/>
  <c r="D5" i="5"/>
  <c r="E18" i="3"/>
  <c r="D27" i="7"/>
  <c r="Z12" i="3"/>
  <c r="Y19" i="7"/>
  <c r="Z13" i="3"/>
  <c r="Y20" i="7"/>
  <c r="L27" i="9"/>
  <c r="L24" i="9"/>
  <c r="L26" i="9"/>
  <c r="AP49" i="1"/>
  <c r="K13" i="3"/>
  <c r="J20" i="7"/>
  <c r="J23" i="7"/>
  <c r="K18" i="3"/>
  <c r="I11" i="8"/>
  <c r="J5" i="5"/>
  <c r="K5" i="3"/>
  <c r="J8" i="7"/>
  <c r="I38" i="1"/>
  <c r="I49" i="1"/>
  <c r="M49" i="1"/>
  <c r="M14" i="8"/>
  <c r="M51" i="1"/>
  <c r="V27" i="1"/>
  <c r="W34" i="5"/>
  <c r="W39" i="5"/>
  <c r="AL4" i="5"/>
  <c r="AN24" i="3"/>
  <c r="H38" i="1"/>
  <c r="H49" i="1"/>
  <c r="H51" i="1"/>
  <c r="J18" i="3"/>
  <c r="I5" i="5"/>
  <c r="I25" i="3"/>
  <c r="P30" i="5"/>
  <c r="Z28" i="3"/>
  <c r="AM21" i="3"/>
  <c r="U19" i="7"/>
  <c r="T8" i="8"/>
  <c r="F10" i="8"/>
  <c r="J25" i="5"/>
  <c r="C34" i="5"/>
  <c r="Z19" i="3"/>
  <c r="Y28" i="7"/>
  <c r="Y5" i="7"/>
  <c r="P27" i="9"/>
  <c r="P24" i="9"/>
  <c r="P26" i="9"/>
  <c r="P28" i="9"/>
  <c r="P25" i="9"/>
  <c r="S33" i="3"/>
  <c r="C8" i="8"/>
  <c r="D19" i="7"/>
  <c r="G13" i="3"/>
  <c r="F20" i="7"/>
  <c r="F23" i="7"/>
  <c r="E47" i="5"/>
  <c r="W27" i="3"/>
  <c r="V27" i="3"/>
  <c r="P12" i="3"/>
  <c r="N8" i="8"/>
  <c r="O19" i="7"/>
  <c r="P13" i="3"/>
  <c r="O20" i="7"/>
  <c r="Z5" i="5"/>
  <c r="Y38" i="1"/>
  <c r="Y49" i="1"/>
  <c r="N49" i="1"/>
  <c r="V10" i="9"/>
  <c r="AE38" i="1"/>
  <c r="AE49" i="1"/>
  <c r="AE51" i="1"/>
  <c r="AG18" i="3"/>
  <c r="AF27" i="7"/>
  <c r="AN26" i="3"/>
  <c r="K25" i="3"/>
  <c r="G39" i="2"/>
  <c r="S13" i="3"/>
  <c r="R20" i="7"/>
  <c r="AS27" i="1"/>
  <c r="AN5" i="5"/>
  <c r="AN25" i="3"/>
  <c r="AM38" i="1"/>
  <c r="AM49" i="1"/>
  <c r="AP27" i="1"/>
  <c r="AQ30" i="5"/>
  <c r="AR49" i="1"/>
  <c r="D28" i="3"/>
  <c r="AQ49" i="1"/>
  <c r="AJ30" i="5"/>
  <c r="AK5" i="5"/>
  <c r="AJ38" i="1"/>
  <c r="AJ49" i="1"/>
  <c r="AP19" i="3"/>
  <c r="AR28" i="3"/>
  <c r="X39" i="5"/>
  <c r="X37" i="5"/>
  <c r="Y39" i="3"/>
  <c r="AH38" i="1"/>
  <c r="AH49" i="1"/>
  <c r="AH51" i="1"/>
  <c r="AO5" i="5"/>
  <c r="AP25" i="3" s="1"/>
  <c r="AO25" i="3"/>
  <c r="AN38" i="1"/>
  <c r="AN49" i="1"/>
  <c r="H5" i="8"/>
  <c r="J27" i="7"/>
  <c r="I27" i="7"/>
  <c r="H11" i="8"/>
  <c r="I13" i="8"/>
  <c r="I6" i="8"/>
  <c r="AR23" i="3"/>
  <c r="AR4" i="3"/>
  <c r="AR17" i="3"/>
  <c r="AR11" i="3"/>
  <c r="J10" i="8"/>
  <c r="H14" i="8"/>
  <c r="E13" i="8"/>
  <c r="X4" i="3"/>
  <c r="W6" i="7"/>
  <c r="X21" i="3"/>
  <c r="X22" i="3"/>
  <c r="X23" i="3"/>
  <c r="X15" i="3"/>
  <c r="W22" i="7"/>
  <c r="X14" i="3"/>
  <c r="W21" i="7"/>
  <c r="X17" i="3"/>
  <c r="W26" i="7"/>
  <c r="X20" i="3"/>
  <c r="X16" i="3"/>
  <c r="W25" i="7"/>
  <c r="W4" i="5"/>
  <c r="H9" i="8"/>
  <c r="M10" i="8"/>
  <c r="I10" i="8"/>
  <c r="E10" i="8"/>
  <c r="T7" i="7"/>
  <c r="H39" i="5"/>
  <c r="H37" i="5"/>
  <c r="H30" i="3"/>
  <c r="AS39" i="2"/>
  <c r="AP38" i="3"/>
  <c r="AN3" i="2"/>
  <c r="AN19" i="2"/>
  <c r="P32" i="3"/>
  <c r="F39" i="5"/>
  <c r="F37" i="5"/>
  <c r="AP39" i="2"/>
  <c r="P3" i="2"/>
  <c r="P19" i="2"/>
  <c r="R10" i="3"/>
  <c r="Q15" i="7"/>
  <c r="E11" i="3"/>
  <c r="D16" i="7"/>
  <c r="AF3" i="2"/>
  <c r="AF19" i="2"/>
  <c r="AF29" i="2"/>
  <c r="AF33" i="2"/>
  <c r="AM3" i="2"/>
  <c r="AM19" i="2"/>
  <c r="AM29" i="2"/>
  <c r="AM33" i="2"/>
  <c r="AO9" i="3"/>
  <c r="AS35" i="3"/>
  <c r="AQ3" i="2"/>
  <c r="AQ19" i="2"/>
  <c r="V38" i="3"/>
  <c r="AQ39" i="5"/>
  <c r="AQ37" i="5"/>
  <c r="BA39" i="5"/>
  <c r="K39" i="5"/>
  <c r="BB37" i="5"/>
  <c r="BC39" i="3"/>
  <c r="AH3" i="2"/>
  <c r="AA29" i="2"/>
  <c r="AA33" i="2"/>
  <c r="AA35" i="2"/>
  <c r="AA37" i="2"/>
  <c r="V34" i="3"/>
  <c r="AB33" i="3"/>
  <c r="AU38" i="3"/>
  <c r="AC39" i="2"/>
  <c r="M39" i="2"/>
  <c r="AU11" i="3"/>
  <c r="AY38" i="3"/>
  <c r="BE14" i="3"/>
  <c r="BE22" i="3"/>
  <c r="BE17" i="3"/>
  <c r="BE21" i="3"/>
  <c r="BE16" i="3"/>
  <c r="BE20" i="3"/>
  <c r="BE15" i="3"/>
  <c r="BE23" i="3"/>
  <c r="BI5" i="5"/>
  <c r="BH37" i="5"/>
  <c r="BH25" i="5"/>
  <c r="O32" i="3"/>
  <c r="G14" i="5"/>
  <c r="J12" i="5"/>
  <c r="AJ25" i="3"/>
  <c r="AA35" i="3"/>
  <c r="Y27" i="3"/>
  <c r="AO25" i="5"/>
  <c r="AY11" i="5"/>
  <c r="BG25" i="5"/>
  <c r="BD43" i="5"/>
  <c r="U24" i="3"/>
  <c r="I27" i="3"/>
  <c r="O35" i="3"/>
  <c r="V25" i="5"/>
  <c r="AP27" i="3"/>
  <c r="AJ27" i="3"/>
  <c r="AI14" i="5"/>
  <c r="AI11" i="5"/>
  <c r="AI29" i="3"/>
  <c r="AQ14" i="5"/>
  <c r="AQ11" i="5"/>
  <c r="AQ12" i="5"/>
  <c r="AU35" i="3"/>
  <c r="BF25" i="5"/>
  <c r="AC24" i="3"/>
  <c r="Q27" i="3"/>
  <c r="P25" i="5"/>
  <c r="AO14" i="5"/>
  <c r="AO11" i="5"/>
  <c r="AK14" i="5"/>
  <c r="AK11" i="5"/>
  <c r="AN25" i="5"/>
  <c r="BD11" i="5"/>
  <c r="BD12" i="5"/>
  <c r="AH25" i="3"/>
  <c r="L35" i="3"/>
  <c r="C25" i="5"/>
  <c r="AC25" i="5"/>
  <c r="AN14" i="5"/>
  <c r="AN11" i="5"/>
  <c r="BC14" i="5"/>
  <c r="BC11" i="5"/>
  <c r="AK25" i="3"/>
  <c r="N26" i="3"/>
  <c r="F25" i="3"/>
  <c r="O38" i="3"/>
  <c r="AB25" i="5"/>
  <c r="AG26" i="3"/>
  <c r="AP11" i="5"/>
  <c r="AS28" i="3"/>
  <c r="BA25" i="5"/>
  <c r="BH27" i="3"/>
  <c r="BI26" i="3"/>
  <c r="M25" i="5"/>
  <c r="AM26" i="3"/>
  <c r="AF26" i="3"/>
  <c r="AH28" i="3"/>
  <c r="L24" i="3"/>
  <c r="V35" i="3"/>
  <c r="I26" i="3"/>
  <c r="D25" i="5"/>
  <c r="AJ14" i="5"/>
  <c r="AJ11" i="5"/>
  <c r="AO28" i="3"/>
  <c r="AQ26" i="3"/>
  <c r="AP28" i="3"/>
  <c r="AU26" i="3"/>
  <c r="AV28" i="3"/>
  <c r="AY35" i="3"/>
  <c r="BI28" i="3"/>
  <c r="BI34" i="3"/>
  <c r="BI27" i="3"/>
  <c r="BJ27" i="3"/>
  <c r="AV38" i="3"/>
  <c r="BC33" i="3"/>
  <c r="AA25" i="3"/>
  <c r="Z25" i="3"/>
  <c r="AO34" i="3"/>
  <c r="S12" i="5"/>
  <c r="D27" i="3"/>
  <c r="E27" i="3"/>
  <c r="AB28" i="3"/>
  <c r="AC35" i="3"/>
  <c r="AF28" i="3"/>
  <c r="AP33" i="3"/>
  <c r="AJ34" i="3"/>
  <c r="BI25" i="3"/>
  <c r="J25" i="3"/>
  <c r="K28" i="3"/>
  <c r="J28" i="3"/>
  <c r="H34" i="3"/>
  <c r="K14" i="5"/>
  <c r="K11" i="5"/>
  <c r="K12" i="5"/>
  <c r="AG25" i="5"/>
  <c r="AG24" i="3"/>
  <c r="I14" i="5"/>
  <c r="O27" i="3"/>
  <c r="AS27" i="3"/>
  <c r="AT27" i="3"/>
  <c r="AC25" i="3"/>
  <c r="G26" i="3"/>
  <c r="AI28" i="3"/>
  <c r="AJ35" i="3"/>
  <c r="AX35" i="3"/>
  <c r="AU28" i="3"/>
  <c r="U25" i="3"/>
  <c r="AA25" i="5"/>
  <c r="AP25" i="5"/>
  <c r="AV35" i="3"/>
  <c r="AO24" i="3"/>
  <c r="AQ35" i="3"/>
  <c r="H24" i="3"/>
  <c r="S26" i="3"/>
  <c r="Q28" i="3"/>
  <c r="AK26" i="3"/>
  <c r="AD27" i="3"/>
  <c r="AG28" i="3"/>
  <c r="AK35" i="3"/>
  <c r="AR26" i="3"/>
  <c r="AS26" i="3"/>
  <c r="AQ28" i="3"/>
  <c r="BG26" i="3"/>
  <c r="AO35" i="3"/>
  <c r="Z35" i="3"/>
  <c r="AI35" i="3"/>
  <c r="BB35" i="3"/>
  <c r="BJ13" i="3"/>
  <c r="BJ12" i="3"/>
  <c r="AP12" i="5"/>
  <c r="K29" i="3"/>
  <c r="E12" i="8"/>
  <c r="F28" i="7"/>
  <c r="BA19" i="3"/>
  <c r="I29" i="7"/>
  <c r="AD4" i="3"/>
  <c r="AC6" i="7"/>
  <c r="AD19" i="3"/>
  <c r="AC28" i="7"/>
  <c r="AC29" i="7" s="1"/>
  <c r="E8" i="8"/>
  <c r="BE6" i="3"/>
  <c r="G5" i="3"/>
  <c r="E6" i="8"/>
  <c r="J9" i="8"/>
  <c r="AD5" i="3"/>
  <c r="AC8" i="7"/>
  <c r="N25" i="7"/>
  <c r="O8" i="8"/>
  <c r="Q19" i="7"/>
  <c r="T19" i="3"/>
  <c r="BH5" i="3"/>
  <c r="BH19" i="3"/>
  <c r="S9" i="8"/>
  <c r="L19" i="7"/>
  <c r="F25" i="7"/>
  <c r="J13" i="8"/>
  <c r="M19" i="7"/>
  <c r="G6" i="3"/>
  <c r="AC19" i="3"/>
  <c r="AB28" i="7"/>
  <c r="AB29" i="7" s="1"/>
  <c r="L3" i="8"/>
  <c r="E3" i="8"/>
  <c r="P3" i="8"/>
  <c r="AU4" i="3"/>
  <c r="X6" i="3"/>
  <c r="W7" i="7"/>
  <c r="W9" i="7" s="1"/>
  <c r="R8" i="8"/>
  <c r="G4" i="3"/>
  <c r="F6" i="7"/>
  <c r="M11" i="8"/>
  <c r="BE4" i="3"/>
  <c r="F5" i="7"/>
  <c r="X23" i="7"/>
  <c r="AD6" i="3"/>
  <c r="X19" i="3"/>
  <c r="W28" i="7"/>
  <c r="W29" i="7"/>
  <c r="AB9" i="7"/>
  <c r="S25" i="7"/>
  <c r="J8" i="8"/>
  <c r="D21" i="7"/>
  <c r="D23" i="7" s="1"/>
  <c r="AA9" i="7"/>
  <c r="Q3" i="8"/>
  <c r="O27" i="7"/>
  <c r="AL5" i="3"/>
  <c r="BC5" i="3"/>
  <c r="D6" i="7"/>
  <c r="AQ5" i="3"/>
  <c r="AU19" i="3"/>
  <c r="M21" i="7"/>
  <c r="T28" i="7"/>
  <c r="AU5" i="3"/>
  <c r="T12" i="8"/>
  <c r="AR19" i="3"/>
  <c r="AE29" i="7"/>
  <c r="K3" i="8"/>
  <c r="BB19" i="3"/>
  <c r="F8" i="7"/>
  <c r="E28" i="7"/>
  <c r="BE5" i="3"/>
  <c r="W23" i="7"/>
  <c r="Z29" i="7"/>
  <c r="S4" i="8"/>
  <c r="J28" i="7"/>
  <c r="J29" i="7"/>
  <c r="M28" i="7"/>
  <c r="B11" i="8"/>
  <c r="R10" i="8"/>
  <c r="V27" i="7"/>
  <c r="AE19" i="3"/>
  <c r="AD28" i="7"/>
  <c r="AE5" i="3"/>
  <c r="AD8" i="7"/>
  <c r="Q6" i="8"/>
  <c r="R8" i="7"/>
  <c r="BF5" i="3"/>
  <c r="BF19" i="3"/>
  <c r="U6" i="8"/>
  <c r="J7" i="7"/>
  <c r="C10" i="8"/>
  <c r="M8" i="7"/>
  <c r="E5" i="7"/>
  <c r="F5" i="3"/>
  <c r="D3" i="8"/>
  <c r="F4" i="3"/>
  <c r="E6" i="7"/>
  <c r="U12" i="8"/>
  <c r="C9" i="8"/>
  <c r="U8" i="8"/>
  <c r="N19" i="7"/>
  <c r="N23" i="7"/>
  <c r="M8" i="8"/>
  <c r="F27" i="7"/>
  <c r="F29" i="7"/>
  <c r="BD19" i="3"/>
  <c r="BD5" i="3"/>
  <c r="AV5" i="3"/>
  <c r="AV4" i="3"/>
  <c r="AV19" i="3"/>
  <c r="AV6" i="3"/>
  <c r="S6" i="7"/>
  <c r="R4" i="8"/>
  <c r="D8" i="8"/>
  <c r="H12" i="8"/>
  <c r="S8" i="8"/>
  <c r="B3" i="8"/>
  <c r="C5" i="7"/>
  <c r="D19" i="3"/>
  <c r="B12" i="8"/>
  <c r="D5" i="3"/>
  <c r="AA4" i="3"/>
  <c r="Z6" i="7"/>
  <c r="AA5" i="3"/>
  <c r="Z8" i="7"/>
  <c r="Z5" i="7"/>
  <c r="S10" i="8"/>
  <c r="I9" i="8"/>
  <c r="I8" i="8"/>
  <c r="J5" i="7"/>
  <c r="I3" i="8"/>
  <c r="K4" i="3"/>
  <c r="X29" i="7"/>
  <c r="J5" i="8"/>
  <c r="C5" i="8"/>
  <c r="S28" i="7"/>
  <c r="S29" i="7" s="1"/>
  <c r="R12" i="8"/>
  <c r="L28" i="7"/>
  <c r="N3" i="8"/>
  <c r="O5" i="7"/>
  <c r="P5" i="3"/>
  <c r="P19" i="3"/>
  <c r="J4" i="3"/>
  <c r="I6" i="7"/>
  <c r="J5" i="3"/>
  <c r="I5" i="7"/>
  <c r="H3" i="8"/>
  <c r="BI19" i="3"/>
  <c r="BI5" i="3"/>
  <c r="BG19" i="3"/>
  <c r="Y4" i="3"/>
  <c r="X6" i="7"/>
  <c r="X9" i="7"/>
  <c r="G19" i="7"/>
  <c r="N5" i="7"/>
  <c r="AT19" i="3"/>
  <c r="AZ12" i="5"/>
  <c r="M12" i="5"/>
  <c r="AI12" i="5"/>
  <c r="AJ29" i="3"/>
  <c r="AA12" i="5"/>
  <c r="AE12" i="5"/>
  <c r="AH12" i="5"/>
  <c r="X12" i="5"/>
  <c r="AK29" i="3"/>
  <c r="AK12" i="5"/>
  <c r="AC12" i="5"/>
  <c r="AD28" i="3"/>
  <c r="I11" i="5"/>
  <c r="I12" i="5"/>
  <c r="X28" i="3"/>
  <c r="AD26" i="3"/>
  <c r="AE26" i="3"/>
  <c r="BA38" i="3"/>
  <c r="AE28" i="3"/>
  <c r="M28" i="3"/>
  <c r="AM28" i="3"/>
  <c r="J37" i="5"/>
  <c r="AB14" i="5"/>
  <c r="AB11" i="5"/>
  <c r="AB29" i="3"/>
  <c r="AF14" i="5"/>
  <c r="AF11" i="5"/>
  <c r="AF12" i="5"/>
  <c r="BH25" i="3"/>
  <c r="BF14" i="5"/>
  <c r="BF11" i="5"/>
  <c r="BF12" i="5"/>
  <c r="BH14" i="5"/>
  <c r="BH11" i="5"/>
  <c r="AL25" i="3"/>
  <c r="AM25" i="3"/>
  <c r="L26" i="3"/>
  <c r="AF27" i="3"/>
  <c r="AA26" i="3"/>
  <c r="Z26" i="3"/>
  <c r="AT14" i="5"/>
  <c r="AT11" i="5"/>
  <c r="AT12" i="5"/>
  <c r="BG14" i="5"/>
  <c r="BG11" i="5"/>
  <c r="R37" i="5"/>
  <c r="AL28" i="3"/>
  <c r="AQ29" i="3"/>
  <c r="R28" i="3"/>
  <c r="G28" i="3"/>
  <c r="F28" i="3"/>
  <c r="H35" i="3"/>
  <c r="V14" i="5"/>
  <c r="V11" i="5"/>
  <c r="AT26" i="3"/>
  <c r="BE14" i="5"/>
  <c r="BE11" i="5"/>
  <c r="AH38" i="3"/>
  <c r="BG35" i="3"/>
  <c r="N12" i="5"/>
  <c r="S35" i="3"/>
  <c r="BE28" i="3"/>
  <c r="AJ12" i="5"/>
  <c r="R43" i="5"/>
  <c r="O25" i="5"/>
  <c r="H14" i="5"/>
  <c r="H11" i="5"/>
  <c r="F11" i="5"/>
  <c r="U14" i="5"/>
  <c r="U11" i="5"/>
  <c r="AG14" i="5"/>
  <c r="AG11" i="5"/>
  <c r="AH29" i="3"/>
  <c r="AF35" i="3"/>
  <c r="R26" i="3"/>
  <c r="Z34" i="3"/>
  <c r="AL25" i="5"/>
  <c r="AH33" i="3"/>
  <c r="AM35" i="3"/>
  <c r="AS38" i="3"/>
  <c r="BC35" i="3"/>
  <c r="BG28" i="3"/>
  <c r="BH35" i="3"/>
  <c r="BF28" i="3"/>
  <c r="BI35" i="3"/>
  <c r="AB24" i="3"/>
  <c r="K36" i="3"/>
  <c r="H27" i="3"/>
  <c r="X35" i="3"/>
  <c r="BE35" i="3"/>
  <c r="E43" i="5"/>
  <c r="W35" i="3"/>
  <c r="BD35" i="3"/>
  <c r="AF25" i="3"/>
  <c r="AB35" i="3"/>
  <c r="AP36" i="3"/>
  <c r="W37" i="5"/>
  <c r="AJ33" i="3"/>
  <c r="BF30" i="3"/>
  <c r="AA9" i="3"/>
  <c r="Z14" i="7"/>
  <c r="AE3" i="2"/>
  <c r="AF39" i="5"/>
  <c r="AF37" i="5"/>
  <c r="AD33" i="3"/>
  <c r="BF10" i="3"/>
  <c r="Q39" i="2"/>
  <c r="AC3" i="2"/>
  <c r="AC19" i="2"/>
  <c r="AE10" i="3"/>
  <c r="AD15" i="7"/>
  <c r="AN38" i="3"/>
  <c r="O33" i="3"/>
  <c r="I47" i="5"/>
  <c r="I43" i="5"/>
  <c r="J11" i="3"/>
  <c r="I16" i="7"/>
  <c r="AH47" i="5"/>
  <c r="AH43" i="5"/>
  <c r="AM39" i="5"/>
  <c r="AM37" i="5"/>
  <c r="AM30" i="3"/>
  <c r="AL3" i="2"/>
  <c r="AL19" i="2" s="1"/>
  <c r="X47" i="5"/>
  <c r="Y36" i="3"/>
  <c r="W39" i="2"/>
  <c r="Y11" i="3"/>
  <c r="X16" i="7"/>
  <c r="AP47" i="5"/>
  <c r="AP43" i="5"/>
  <c r="BB33" i="3"/>
  <c r="U47" i="5"/>
  <c r="T39" i="2"/>
  <c r="G47" i="5"/>
  <c r="G43" i="5"/>
  <c r="F39" i="2"/>
  <c r="J39" i="2"/>
  <c r="V47" i="5"/>
  <c r="BB47" i="5"/>
  <c r="AB39" i="2"/>
  <c r="N37" i="5"/>
  <c r="N3" i="2"/>
  <c r="N19" i="2"/>
  <c r="AB47" i="5"/>
  <c r="AC36" i="3"/>
  <c r="AC11" i="3"/>
  <c r="AB16" i="7"/>
  <c r="AF47" i="5"/>
  <c r="AG37" i="3" s="1"/>
  <c r="AG33" i="3"/>
  <c r="AM39" i="2"/>
  <c r="AM11" i="3"/>
  <c r="U39" i="5"/>
  <c r="U37" i="5"/>
  <c r="V39" i="3"/>
  <c r="Y38" i="3"/>
  <c r="AN39" i="2"/>
  <c r="AS47" i="5"/>
  <c r="AN47" i="5"/>
  <c r="AO36" i="3"/>
  <c r="AG39" i="2"/>
  <c r="BG47" i="5"/>
  <c r="AD43" i="5"/>
  <c r="BH47" i="5"/>
  <c r="BG49" i="1"/>
  <c r="BJ5" i="3"/>
  <c r="E4" i="8"/>
  <c r="E5" i="8"/>
  <c r="F7" i="7"/>
  <c r="F9" i="7"/>
  <c r="N12" i="8"/>
  <c r="O28" i="7"/>
  <c r="B6" i="8"/>
  <c r="C8" i="7"/>
  <c r="H4" i="8"/>
  <c r="N6" i="8"/>
  <c r="O8" i="7"/>
  <c r="C28" i="7"/>
  <c r="I4" i="8"/>
  <c r="J6" i="7"/>
  <c r="J9" i="7"/>
  <c r="D4" i="8"/>
  <c r="E8" i="7"/>
  <c r="D6" i="8"/>
  <c r="I8" i="7"/>
  <c r="I9" i="7" s="1"/>
  <c r="H6" i="8"/>
  <c r="J29" i="3"/>
  <c r="AB12" i="5"/>
  <c r="K39" i="3"/>
  <c r="BF29" i="3"/>
  <c r="AH39" i="3"/>
  <c r="AG29" i="3"/>
  <c r="AG12" i="5"/>
  <c r="X39" i="3"/>
  <c r="X37" i="3"/>
  <c r="S39" i="3"/>
  <c r="AC29" i="3"/>
  <c r="X30" i="3"/>
  <c r="BB43" i="5"/>
  <c r="AO32" i="3"/>
  <c r="L32" i="3"/>
  <c r="K41" i="2"/>
  <c r="AN43" i="5"/>
  <c r="AV10" i="3"/>
  <c r="BG43" i="5"/>
  <c r="P10" i="3"/>
  <c r="O15" i="7"/>
  <c r="N29" i="2"/>
  <c r="N33" i="2"/>
  <c r="AG30" i="3"/>
  <c r="Y37" i="3"/>
  <c r="Q41" i="2"/>
  <c r="R32" i="3"/>
  <c r="BH43" i="5"/>
  <c r="V37" i="3"/>
  <c r="AG36" i="3"/>
  <c r="H36" i="3"/>
  <c r="H37" i="3"/>
  <c r="AC29" i="2"/>
  <c r="AV9" i="3"/>
  <c r="BK5" i="3"/>
  <c r="BK19" i="3"/>
  <c r="BD33" i="3"/>
  <c r="BJ14" i="5"/>
  <c r="BJ11" i="5"/>
  <c r="BJ12" i="5"/>
  <c r="BK14" i="5"/>
  <c r="BK11" i="5"/>
  <c r="BK29" i="3" s="1"/>
  <c r="BK12" i="5"/>
  <c r="K6" i="7"/>
  <c r="K9" i="7"/>
  <c r="J4" i="8"/>
  <c r="BB29" i="3"/>
  <c r="BC29" i="3"/>
  <c r="BD29" i="3"/>
  <c r="BC12" i="5"/>
  <c r="AO12" i="5"/>
  <c r="AP29" i="3"/>
  <c r="AO29" i="3"/>
  <c r="D4" i="3"/>
  <c r="D20" i="3"/>
  <c r="D23" i="3"/>
  <c r="D14" i="3"/>
  <c r="B51" i="1"/>
  <c r="C4" i="5"/>
  <c r="D21" i="3"/>
  <c r="B14" i="8"/>
  <c r="D15" i="3"/>
  <c r="C22" i="7"/>
  <c r="D22" i="3"/>
  <c r="D11" i="3"/>
  <c r="C16" i="7"/>
  <c r="D6" i="3"/>
  <c r="D16" i="3"/>
  <c r="D17" i="3"/>
  <c r="BH12" i="5"/>
  <c r="BH29" i="3"/>
  <c r="BE29" i="3"/>
  <c r="BE12" i="5"/>
  <c r="Z9" i="7"/>
  <c r="U12" i="5"/>
  <c r="BG12" i="5"/>
  <c r="BG29" i="3"/>
  <c r="H12" i="5"/>
  <c r="F12" i="5"/>
  <c r="F29" i="3"/>
  <c r="V12" i="5"/>
  <c r="V29" i="3"/>
  <c r="AQ25" i="3"/>
  <c r="AN12" i="5"/>
  <c r="U35" i="3"/>
  <c r="AR15" i="3"/>
  <c r="AR6" i="3"/>
  <c r="AR22" i="3"/>
  <c r="AR14" i="3"/>
  <c r="AR16" i="3"/>
  <c r="AR21" i="3"/>
  <c r="AF23" i="7"/>
  <c r="AE23" i="7"/>
  <c r="D25" i="3"/>
  <c r="E25" i="3"/>
  <c r="I29" i="3"/>
  <c r="I51" i="1"/>
  <c r="I14" i="8"/>
  <c r="C51" i="1"/>
  <c r="C14" i="8"/>
  <c r="E51" i="1"/>
  <c r="J12" i="8"/>
  <c r="K28" i="7"/>
  <c r="K27" i="3"/>
  <c r="H28" i="7"/>
  <c r="G12" i="8"/>
  <c r="BA29" i="3"/>
  <c r="BB12" i="5"/>
  <c r="F51" i="1"/>
  <c r="F14" i="8"/>
  <c r="AZ29" i="3"/>
  <c r="BA12" i="5"/>
  <c r="BD28" i="3"/>
  <c r="BF35" i="3"/>
  <c r="S28" i="3"/>
  <c r="T28" i="3"/>
  <c r="AF29" i="3"/>
  <c r="Y24" i="3"/>
  <c r="AX29" i="3"/>
  <c r="AY12" i="5"/>
  <c r="AR20" i="3"/>
  <c r="AC9" i="7"/>
  <c r="S6" i="8"/>
  <c r="T8" i="7"/>
  <c r="T9" i="7"/>
  <c r="D14" i="5"/>
  <c r="D11" i="5"/>
  <c r="R30" i="5"/>
  <c r="Q27" i="1"/>
  <c r="T38" i="3"/>
  <c r="T27" i="1"/>
  <c r="U34" i="5"/>
  <c r="O34" i="5"/>
  <c r="N27" i="1"/>
  <c r="AQ4" i="5"/>
  <c r="D9" i="8"/>
  <c r="E25" i="7"/>
  <c r="N16" i="3"/>
  <c r="N15" i="3"/>
  <c r="M22" i="7"/>
  <c r="M23" i="7"/>
  <c r="N6" i="3"/>
  <c r="M4" i="5"/>
  <c r="N23" i="3"/>
  <c r="N21" i="3"/>
  <c r="N22" i="3"/>
  <c r="N4" i="3"/>
  <c r="N17" i="3"/>
  <c r="L14" i="8"/>
  <c r="N38" i="3"/>
  <c r="K27" i="1"/>
  <c r="M38" i="3"/>
  <c r="W38" i="3"/>
  <c r="X38" i="3"/>
  <c r="U27" i="1"/>
  <c r="U51" i="1" s="1"/>
  <c r="T21" i="7"/>
  <c r="AJ14" i="3"/>
  <c r="AI4" i="5"/>
  <c r="F17" i="3"/>
  <c r="O14" i="5"/>
  <c r="O11" i="5"/>
  <c r="M3" i="8"/>
  <c r="O19" i="3"/>
  <c r="O4" i="3"/>
  <c r="O5" i="3"/>
  <c r="O6" i="3"/>
  <c r="BG12" i="3"/>
  <c r="BD27" i="1"/>
  <c r="BG13" i="3"/>
  <c r="C11" i="8"/>
  <c r="D13" i="8"/>
  <c r="AS4" i="3"/>
  <c r="AJ16" i="3"/>
  <c r="Z16" i="3"/>
  <c r="Y25" i="7"/>
  <c r="Y29" i="7"/>
  <c r="Z14" i="3"/>
  <c r="Y21" i="7"/>
  <c r="D28" i="7"/>
  <c r="D29" i="7" s="1"/>
  <c r="AD22" i="3"/>
  <c r="W25" i="3"/>
  <c r="O12" i="8"/>
  <c r="F4" i="8"/>
  <c r="H25" i="3"/>
  <c r="AP18" i="3"/>
  <c r="AP5" i="3"/>
  <c r="AS34" i="5"/>
  <c r="AR27" i="1"/>
  <c r="AJ15" i="3"/>
  <c r="AV23" i="3"/>
  <c r="AV17" i="3"/>
  <c r="AU4" i="5"/>
  <c r="AV21" i="3"/>
  <c r="AV15" i="3"/>
  <c r="AV20" i="3"/>
  <c r="AV14" i="3"/>
  <c r="AV22" i="3"/>
  <c r="J20" i="3"/>
  <c r="J14" i="3"/>
  <c r="P14" i="5"/>
  <c r="P11" i="5"/>
  <c r="R3" i="8"/>
  <c r="T5" i="3"/>
  <c r="T6" i="3"/>
  <c r="K38" i="1"/>
  <c r="K49" i="1"/>
  <c r="K51" i="1"/>
  <c r="M13" i="3"/>
  <c r="L20" i="7"/>
  <c r="M5" i="3"/>
  <c r="M18" i="3"/>
  <c r="L5" i="5"/>
  <c r="K24" i="3"/>
  <c r="AU23" i="3"/>
  <c r="AU22" i="3"/>
  <c r="AT4" i="5"/>
  <c r="AU20" i="3"/>
  <c r="AU14" i="3"/>
  <c r="AJ20" i="3"/>
  <c r="AJ4" i="3"/>
  <c r="AO21" i="3"/>
  <c r="Z15" i="3"/>
  <c r="Y22" i="7"/>
  <c r="Y23" i="7" s="1"/>
  <c r="J23" i="3"/>
  <c r="L14" i="5"/>
  <c r="L11" i="5"/>
  <c r="Q14" i="5"/>
  <c r="Q11" i="5"/>
  <c r="P26" i="3"/>
  <c r="AI38" i="3"/>
  <c r="AH30" i="5"/>
  <c r="AG27" i="1"/>
  <c r="AG51" i="1"/>
  <c r="K29" i="7"/>
  <c r="E4" i="5"/>
  <c r="D14" i="8"/>
  <c r="F23" i="3"/>
  <c r="F15" i="3"/>
  <c r="E22" i="7"/>
  <c r="E23" i="7" s="1"/>
  <c r="F20" i="3"/>
  <c r="F22" i="3"/>
  <c r="AD14" i="3"/>
  <c r="AC21" i="7"/>
  <c r="AC23" i="7"/>
  <c r="AD23" i="3"/>
  <c r="AC4" i="5"/>
  <c r="P8" i="7"/>
  <c r="O6" i="8"/>
  <c r="F9" i="8"/>
  <c r="G25" i="7"/>
  <c r="J13" i="3"/>
  <c r="I20" i="7"/>
  <c r="J12" i="3"/>
  <c r="F18" i="3"/>
  <c r="F21" i="3"/>
  <c r="O11" i="8"/>
  <c r="P27" i="7"/>
  <c r="BG17" i="3"/>
  <c r="AO17" i="3"/>
  <c r="AO6" i="3"/>
  <c r="AJ22" i="3"/>
  <c r="AO15" i="3"/>
  <c r="F6" i="3"/>
  <c r="Y4" i="5"/>
  <c r="AG25" i="3"/>
  <c r="C6" i="8"/>
  <c r="D8" i="7"/>
  <c r="D9" i="7" s="1"/>
  <c r="R14" i="5"/>
  <c r="R11" i="5"/>
  <c r="I13" i="3"/>
  <c r="H20" i="7"/>
  <c r="I12" i="3"/>
  <c r="G27" i="1"/>
  <c r="H21" i="3"/>
  <c r="H5" i="3"/>
  <c r="H18" i="3"/>
  <c r="S38" i="1"/>
  <c r="S49" i="1"/>
  <c r="U13" i="3"/>
  <c r="T20" i="7"/>
  <c r="T23" i="7"/>
  <c r="T27" i="3"/>
  <c r="U27" i="3"/>
  <c r="AV16" i="3"/>
  <c r="R5" i="3"/>
  <c r="N35" i="3"/>
  <c r="V5" i="3"/>
  <c r="AC27" i="1"/>
  <c r="AD11" i="3"/>
  <c r="AC16" i="7"/>
  <c r="AR14" i="5"/>
  <c r="AR11" i="5"/>
  <c r="AS14" i="5"/>
  <c r="AS11" i="5"/>
  <c r="H15" i="3"/>
  <c r="G22" i="7"/>
  <c r="I5" i="3"/>
  <c r="G3" i="8"/>
  <c r="O5" i="5"/>
  <c r="Y14" i="5"/>
  <c r="Y11" i="5"/>
  <c r="AM14" i="5"/>
  <c r="AM11" i="5"/>
  <c r="AN28" i="3"/>
  <c r="AL13" i="3"/>
  <c r="AU6" i="3"/>
  <c r="BG21" i="3"/>
  <c r="BD4" i="5"/>
  <c r="BD30" i="5"/>
  <c r="BF38" i="3"/>
  <c r="BE38" i="3"/>
  <c r="AU27" i="3"/>
  <c r="AF30" i="5"/>
  <c r="AG38" i="3"/>
  <c r="AL14" i="5"/>
  <c r="AL11" i="5"/>
  <c r="AD14" i="5"/>
  <c r="AD11" i="5"/>
  <c r="AP34" i="5"/>
  <c r="AO27" i="1"/>
  <c r="AQ11" i="3" s="1"/>
  <c r="AV5" i="5"/>
  <c r="AW25" i="3"/>
  <c r="AU38" i="1"/>
  <c r="AU49" i="1"/>
  <c r="AW18" i="3"/>
  <c r="AM6" i="3"/>
  <c r="H14" i="3"/>
  <c r="T30" i="5"/>
  <c r="W13" i="3"/>
  <c r="V20" i="7"/>
  <c r="T14" i="5"/>
  <c r="T11" i="5"/>
  <c r="U29" i="3"/>
  <c r="AA27" i="3"/>
  <c r="Z30" i="5"/>
  <c r="AN35" i="3"/>
  <c r="BE27" i="3"/>
  <c r="Z6" i="3"/>
  <c r="Y7" i="7"/>
  <c r="Y9" i="7"/>
  <c r="W14" i="5"/>
  <c r="W11" i="5"/>
  <c r="BG27" i="1"/>
  <c r="BI34" i="5"/>
  <c r="AV14" i="5"/>
  <c r="AV11" i="5"/>
  <c r="AW19" i="3"/>
  <c r="AW5" i="3"/>
  <c r="Z14" i="5"/>
  <c r="Z11" i="5"/>
  <c r="AC38" i="1"/>
  <c r="AC49" i="1"/>
  <c r="AD5" i="5"/>
  <c r="AD25" i="3"/>
  <c r="AJ38" i="3"/>
  <c r="AI30" i="5"/>
  <c r="AI25" i="5"/>
  <c r="AU17" i="3"/>
  <c r="BI14" i="5"/>
  <c r="BI11" i="5"/>
  <c r="BA38" i="1"/>
  <c r="BA49" i="1"/>
  <c r="BC5" i="5"/>
  <c r="BB25" i="3"/>
  <c r="BD18" i="3"/>
  <c r="AU14" i="5"/>
  <c r="AU11" i="5"/>
  <c r="AY5" i="5"/>
  <c r="AZ25" i="3" s="1"/>
  <c r="AX25" i="3"/>
  <c r="BG27" i="3"/>
  <c r="BE12" i="3"/>
  <c r="BF18" i="3"/>
  <c r="BE27" i="1"/>
  <c r="BD38" i="1"/>
  <c r="BD49" i="1"/>
  <c r="BH18" i="3"/>
  <c r="AV34" i="5"/>
  <c r="AY18" i="3"/>
  <c r="AH27" i="3"/>
  <c r="AL12" i="3"/>
  <c r="BE5" i="5"/>
  <c r="BF25" i="3" s="1"/>
  <c r="BG38" i="3"/>
  <c r="BD12" i="3"/>
  <c r="BB13" i="3"/>
  <c r="BC27" i="1"/>
  <c r="BI13" i="3"/>
  <c r="BG18" i="3"/>
  <c r="BC12" i="3"/>
  <c r="AX18" i="3"/>
  <c r="BA35" i="3"/>
  <c r="BA13" i="3"/>
  <c r="BH13" i="3"/>
  <c r="BG16" i="3"/>
  <c r="AT34" i="5"/>
  <c r="AU12" i="3"/>
  <c r="AZ13" i="3"/>
  <c r="AU15" i="3"/>
  <c r="AU21" i="3"/>
  <c r="AV27" i="1"/>
  <c r="AZ5" i="3"/>
  <c r="BA12" i="3"/>
  <c r="AZ19" i="3"/>
  <c r="U5" i="7"/>
  <c r="BF13" i="3"/>
  <c r="AX13" i="3"/>
  <c r="AU16" i="3"/>
  <c r="BA18" i="3"/>
  <c r="AX5" i="3"/>
  <c r="AY12" i="3"/>
  <c r="AX17" i="3"/>
  <c r="AX19" i="3"/>
  <c r="AW34" i="5"/>
  <c r="D11" i="4"/>
  <c r="BJ23" i="3"/>
  <c r="BJ17" i="3"/>
  <c r="BJ22" i="3"/>
  <c r="BJ20" i="3"/>
  <c r="BJ14" i="3"/>
  <c r="BJ6" i="3"/>
  <c r="BJ4" i="3"/>
  <c r="BJ15" i="3"/>
  <c r="BJ21" i="3"/>
  <c r="BJ16" i="3"/>
  <c r="BI4" i="5"/>
  <c r="H19" i="7"/>
  <c r="G8" i="8"/>
  <c r="AK24" i="3"/>
  <c r="C26" i="7"/>
  <c r="B10" i="8"/>
  <c r="D24" i="3"/>
  <c r="E24" i="3"/>
  <c r="BH21" i="3"/>
  <c r="BH15" i="3"/>
  <c r="BH20" i="3"/>
  <c r="BH23" i="3"/>
  <c r="BH6" i="3"/>
  <c r="BH17" i="3"/>
  <c r="BH14" i="3"/>
  <c r="BG4" i="5"/>
  <c r="BH22" i="3"/>
  <c r="AM29" i="3"/>
  <c r="AM12" i="5"/>
  <c r="M5" i="8"/>
  <c r="N7" i="7"/>
  <c r="AS24" i="3"/>
  <c r="C25" i="7"/>
  <c r="C29" i="7"/>
  <c r="C25" i="3"/>
  <c r="B9" i="8"/>
  <c r="W12" i="5"/>
  <c r="X29" i="3"/>
  <c r="W29" i="3"/>
  <c r="AR29" i="3"/>
  <c r="AR12" i="5"/>
  <c r="I21" i="7"/>
  <c r="H13" i="8"/>
  <c r="Y12" i="5"/>
  <c r="Y29" i="3"/>
  <c r="R12" i="5"/>
  <c r="R29" i="3"/>
  <c r="S29" i="3"/>
  <c r="E27" i="7"/>
  <c r="D11" i="8"/>
  <c r="AD24" i="3"/>
  <c r="AD36" i="3"/>
  <c r="F24" i="3"/>
  <c r="G24" i="3"/>
  <c r="N8" i="7"/>
  <c r="M6" i="8"/>
  <c r="M4" i="3"/>
  <c r="K14" i="8"/>
  <c r="M21" i="3"/>
  <c r="M6" i="3"/>
  <c r="M22" i="3"/>
  <c r="M23" i="3"/>
  <c r="M11" i="3"/>
  <c r="L16" i="7"/>
  <c r="M15" i="3"/>
  <c r="L22" i="7"/>
  <c r="L4" i="5"/>
  <c r="M17" i="3"/>
  <c r="M20" i="3"/>
  <c r="L11" i="3"/>
  <c r="K16" i="7"/>
  <c r="M14" i="3"/>
  <c r="M16" i="3"/>
  <c r="P21" i="3"/>
  <c r="P22" i="3"/>
  <c r="P15" i="3"/>
  <c r="O22" i="7"/>
  <c r="P4" i="3"/>
  <c r="N14" i="8"/>
  <c r="P23" i="3"/>
  <c r="P17" i="3"/>
  <c r="P16" i="3"/>
  <c r="N51" i="1"/>
  <c r="O4" i="5"/>
  <c r="O11" i="3"/>
  <c r="N16" i="7"/>
  <c r="P14" i="3"/>
  <c r="P20" i="3"/>
  <c r="P6" i="3"/>
  <c r="S16" i="3"/>
  <c r="S14" i="3"/>
  <c r="S21" i="3"/>
  <c r="S20" i="3"/>
  <c r="S22" i="3"/>
  <c r="S4" i="3"/>
  <c r="S17" i="3"/>
  <c r="Q14" i="8"/>
  <c r="S23" i="3"/>
  <c r="R4" i="5"/>
  <c r="S6" i="3"/>
  <c r="S15" i="3"/>
  <c r="R22" i="7"/>
  <c r="Q51" i="1"/>
  <c r="S11" i="3"/>
  <c r="R16" i="7"/>
  <c r="BG50" i="1"/>
  <c r="C7" i="7"/>
  <c r="B5" i="8"/>
  <c r="B13" i="8"/>
  <c r="C21" i="7"/>
  <c r="C23" i="7"/>
  <c r="K6" i="8"/>
  <c r="L8" i="7"/>
  <c r="AD12" i="5"/>
  <c r="AE29" i="3"/>
  <c r="AD29" i="3"/>
  <c r="AX21" i="3"/>
  <c r="AX22" i="3"/>
  <c r="AX14" i="3"/>
  <c r="AX6" i="3"/>
  <c r="AX23" i="3"/>
  <c r="AX20" i="3"/>
  <c r="AW4" i="5"/>
  <c r="AX4" i="5"/>
  <c r="BE11" i="3"/>
  <c r="BF15" i="3"/>
  <c r="BF14" i="3"/>
  <c r="BF20" i="3"/>
  <c r="BE4" i="5"/>
  <c r="BF17" i="3"/>
  <c r="BF21" i="3"/>
  <c r="BF9" i="3"/>
  <c r="BF16" i="3"/>
  <c r="BF4" i="3"/>
  <c r="BF22" i="3"/>
  <c r="BF23" i="3"/>
  <c r="BF6" i="3"/>
  <c r="AL29" i="3"/>
  <c r="AL12" i="5"/>
  <c r="P25" i="3"/>
  <c r="O25" i="3"/>
  <c r="AE11" i="3"/>
  <c r="AD16" i="7"/>
  <c r="AE15" i="3"/>
  <c r="AD22" i="7"/>
  <c r="AE21" i="3"/>
  <c r="AD4" i="5"/>
  <c r="AE23" i="3"/>
  <c r="AE20" i="3"/>
  <c r="AE14" i="3"/>
  <c r="AD21" i="7"/>
  <c r="AD23" i="7"/>
  <c r="AE17" i="3"/>
  <c r="AD26" i="7"/>
  <c r="AE22" i="3"/>
  <c r="AE4" i="3"/>
  <c r="AD6" i="7"/>
  <c r="AD9" i="7"/>
  <c r="AE16" i="3"/>
  <c r="AD25" i="7"/>
  <c r="AD29" i="7"/>
  <c r="AE6" i="3"/>
  <c r="S14" i="8"/>
  <c r="S51" i="1"/>
  <c r="H8" i="8"/>
  <c r="I19" i="7"/>
  <c r="Q12" i="5"/>
  <c r="Q29" i="3"/>
  <c r="R5" i="8"/>
  <c r="S7" i="7"/>
  <c r="N6" i="7"/>
  <c r="M4" i="8"/>
  <c r="W11" i="3"/>
  <c r="V16" i="7"/>
  <c r="W22" i="3"/>
  <c r="W21" i="3"/>
  <c r="W4" i="3"/>
  <c r="W23" i="3"/>
  <c r="W20" i="3"/>
  <c r="U14" i="8"/>
  <c r="V4" i="5"/>
  <c r="W15" i="3"/>
  <c r="V22" i="7"/>
  <c r="W17" i="3"/>
  <c r="W6" i="3"/>
  <c r="W16" i="3"/>
  <c r="W14" i="3"/>
  <c r="O24" i="3"/>
  <c r="O36" i="3"/>
  <c r="N24" i="3"/>
  <c r="AU12" i="5"/>
  <c r="AV29" i="3"/>
  <c r="AU29" i="3"/>
  <c r="T6" i="8"/>
  <c r="U8" i="7"/>
  <c r="L12" i="5"/>
  <c r="L29" i="3"/>
  <c r="M29" i="3"/>
  <c r="AS4" i="5"/>
  <c r="AT36" i="3" s="1"/>
  <c r="AT23" i="3"/>
  <c r="AT15" i="3"/>
  <c r="AT20" i="3"/>
  <c r="AT21" i="3"/>
  <c r="AT17" i="3"/>
  <c r="AT14" i="3"/>
  <c r="AT16" i="3"/>
  <c r="AT4" i="3"/>
  <c r="AT22" i="3"/>
  <c r="AT6" i="3"/>
  <c r="AT11" i="3"/>
  <c r="N28" i="7"/>
  <c r="N29" i="7"/>
  <c r="M12" i="8"/>
  <c r="L5" i="8"/>
  <c r="M7" i="7"/>
  <c r="AQ23" i="3"/>
  <c r="AQ17" i="3"/>
  <c r="AQ20" i="3"/>
  <c r="AQ22" i="3"/>
  <c r="AQ16" i="3"/>
  <c r="AQ21" i="3"/>
  <c r="AP4" i="5"/>
  <c r="AQ14" i="3"/>
  <c r="AQ6" i="3"/>
  <c r="AQ15" i="3"/>
  <c r="AP11" i="3"/>
  <c r="AQ4" i="3"/>
  <c r="T12" i="5"/>
  <c r="T29" i="3"/>
  <c r="G27" i="7"/>
  <c r="G29" i="7"/>
  <c r="F11" i="8"/>
  <c r="S8" i="7"/>
  <c r="S9" i="7" s="1"/>
  <c r="R6" i="8"/>
  <c r="BF36" i="3"/>
  <c r="F6" i="8"/>
  <c r="G8" i="7"/>
  <c r="G9" i="7"/>
  <c r="AX16" i="3"/>
  <c r="AE25" i="3"/>
  <c r="AU24" i="3"/>
  <c r="AV36" i="3"/>
  <c r="BF11" i="3"/>
  <c r="BG23" i="3"/>
  <c r="BG20" i="3"/>
  <c r="BG14" i="3"/>
  <c r="BG4" i="3"/>
  <c r="BG6" i="3"/>
  <c r="BF4" i="5"/>
  <c r="BG22" i="3"/>
  <c r="L10" i="8"/>
  <c r="M26" i="7"/>
  <c r="V21" i="3"/>
  <c r="V15" i="3"/>
  <c r="U22" i="7"/>
  <c r="V4" i="3"/>
  <c r="V23" i="3"/>
  <c r="V22" i="3"/>
  <c r="V14" i="3"/>
  <c r="T14" i="8"/>
  <c r="V17" i="3"/>
  <c r="V6" i="3"/>
  <c r="T51" i="1"/>
  <c r="V16" i="3"/>
  <c r="U11" i="3"/>
  <c r="T16" i="7"/>
  <c r="V11" i="3"/>
  <c r="U16" i="7"/>
  <c r="U4" i="5"/>
  <c r="V20" i="3"/>
  <c r="D12" i="5"/>
  <c r="E29" i="3"/>
  <c r="AN29" i="3"/>
  <c r="B4" i="8"/>
  <c r="C6" i="7"/>
  <c r="C9" i="7"/>
  <c r="Z29" i="3"/>
  <c r="Z12" i="5"/>
  <c r="AA29" i="3"/>
  <c r="Q8" i="7"/>
  <c r="P6" i="8"/>
  <c r="Z24" i="3"/>
  <c r="AA24" i="3"/>
  <c r="Z36" i="3"/>
  <c r="BJ29" i="3"/>
  <c r="BI29" i="3"/>
  <c r="BI12" i="5"/>
  <c r="AV12" i="5"/>
  <c r="M25" i="3"/>
  <c r="L25" i="3"/>
  <c r="P29" i="3"/>
  <c r="P12" i="5"/>
  <c r="O29" i="3"/>
  <c r="O12" i="5"/>
  <c r="L4" i="8"/>
  <c r="M6" i="7"/>
  <c r="L9" i="8"/>
  <c r="M25" i="7"/>
  <c r="M29" i="7"/>
  <c r="BD25" i="3"/>
  <c r="G21" i="7"/>
  <c r="G23" i="7"/>
  <c r="F13" i="8"/>
  <c r="H8" i="7"/>
  <c r="G6" i="8"/>
  <c r="AS29" i="3"/>
  <c r="AT29" i="3"/>
  <c r="AS12" i="5"/>
  <c r="I23" i="3"/>
  <c r="I6" i="3"/>
  <c r="I14" i="3"/>
  <c r="I4" i="3"/>
  <c r="H11" i="3"/>
  <c r="G16" i="7"/>
  <c r="I21" i="3"/>
  <c r="I16" i="3"/>
  <c r="I22" i="3"/>
  <c r="G51" i="1"/>
  <c r="G14" i="8"/>
  <c r="I15" i="3"/>
  <c r="H22" i="7"/>
  <c r="H4" i="5"/>
  <c r="I20" i="3"/>
  <c r="I11" i="3"/>
  <c r="H16" i="7"/>
  <c r="I17" i="3"/>
  <c r="E7" i="7"/>
  <c r="E9" i="7"/>
  <c r="D5" i="8"/>
  <c r="AI22" i="3"/>
  <c r="AI15" i="3"/>
  <c r="AH4" i="5"/>
  <c r="AJ36" i="3" s="1"/>
  <c r="AI6" i="3"/>
  <c r="AI23" i="3"/>
  <c r="AI20" i="3"/>
  <c r="AI17" i="3"/>
  <c r="AI4" i="3"/>
  <c r="AI11" i="3"/>
  <c r="AI21" i="3"/>
  <c r="AI16" i="3"/>
  <c r="AI14" i="3"/>
  <c r="L27" i="7"/>
  <c r="K11" i="8"/>
  <c r="AV24" i="3"/>
  <c r="BG15" i="3"/>
  <c r="D10" i="8"/>
  <c r="E26" i="7"/>
  <c r="E29" i="7"/>
  <c r="R26" i="7"/>
  <c r="Q10" i="8"/>
  <c r="N5" i="8"/>
  <c r="O7" i="7"/>
  <c r="O26" i="7"/>
  <c r="N10" i="8"/>
  <c r="L25" i="7"/>
  <c r="K9" i="8"/>
  <c r="G10" i="8"/>
  <c r="H26" i="7"/>
  <c r="H25" i="7"/>
  <c r="G9" i="8"/>
  <c r="T4" i="8"/>
  <c r="U6" i="7"/>
  <c r="N9" i="7"/>
  <c r="BF24" i="3"/>
  <c r="O21" i="7"/>
  <c r="O23" i="7"/>
  <c r="N13" i="8"/>
  <c r="L21" i="7"/>
  <c r="L23" i="7"/>
  <c r="K13" i="8"/>
  <c r="W24" i="3"/>
  <c r="X36" i="3"/>
  <c r="X24" i="3"/>
  <c r="AE24" i="3"/>
  <c r="AF24" i="3"/>
  <c r="AF36" i="3"/>
  <c r="AI24" i="3"/>
  <c r="AI36" i="3"/>
  <c r="BH36" i="3"/>
  <c r="BG24" i="3"/>
  <c r="V21" i="7"/>
  <c r="V23" i="7"/>
  <c r="U13" i="8"/>
  <c r="I23" i="7"/>
  <c r="R6" i="7"/>
  <c r="Q4" i="8"/>
  <c r="I24" i="3"/>
  <c r="J24" i="3"/>
  <c r="V25" i="7"/>
  <c r="U9" i="8"/>
  <c r="Q5" i="8"/>
  <c r="R7" i="7"/>
  <c r="R9" i="7" s="1"/>
  <c r="N4" i="8"/>
  <c r="O6" i="7"/>
  <c r="K5" i="8"/>
  <c r="L7" i="7"/>
  <c r="AE36" i="3"/>
  <c r="AY36" i="3"/>
  <c r="T5" i="8"/>
  <c r="U7" i="7"/>
  <c r="T10" i="8"/>
  <c r="U26" i="7"/>
  <c r="AR36" i="3"/>
  <c r="AQ24" i="3"/>
  <c r="G4" i="8"/>
  <c r="H6" i="7"/>
  <c r="M9" i="7"/>
  <c r="V24" i="3"/>
  <c r="V36" i="3"/>
  <c r="W36" i="3"/>
  <c r="AT24" i="3"/>
  <c r="AU36" i="3"/>
  <c r="V7" i="7"/>
  <c r="U5" i="8"/>
  <c r="V6" i="7"/>
  <c r="V9" i="7"/>
  <c r="U4" i="8"/>
  <c r="T36" i="3"/>
  <c r="T24" i="3"/>
  <c r="R21" i="7"/>
  <c r="R23" i="7"/>
  <c r="Q13" i="8"/>
  <c r="P36" i="3"/>
  <c r="P24" i="3"/>
  <c r="BH24" i="3"/>
  <c r="U25" i="7"/>
  <c r="T9" i="8"/>
  <c r="H21" i="7"/>
  <c r="H23" i="7" s="1"/>
  <c r="G13" i="8"/>
  <c r="Q9" i="8"/>
  <c r="R25" i="7"/>
  <c r="R29" i="7"/>
  <c r="K10" i="8"/>
  <c r="L26" i="7"/>
  <c r="AR24" i="3"/>
  <c r="H7" i="7"/>
  <c r="G5" i="8"/>
  <c r="U21" i="7"/>
  <c r="U23" i="7"/>
  <c r="T13" i="8"/>
  <c r="U10" i="8"/>
  <c r="V26" i="7"/>
  <c r="AY24" i="3"/>
  <c r="O25" i="7"/>
  <c r="O29" i="7"/>
  <c r="N9" i="8"/>
  <c r="M24" i="3"/>
  <c r="M36" i="3"/>
  <c r="N36" i="3"/>
  <c r="L6" i="7"/>
  <c r="L9" i="7"/>
  <c r="K4" i="8"/>
  <c r="AJ24" i="3"/>
  <c r="L29" i="7"/>
  <c r="V29" i="7"/>
  <c r="U9" i="7"/>
  <c r="U29" i="7"/>
  <c r="H9" i="7"/>
  <c r="O9" i="7"/>
  <c r="H29" i="7"/>
  <c r="BL39" i="2"/>
  <c r="BM32" i="3"/>
  <c r="BM3" i="2"/>
  <c r="BM19" i="2"/>
  <c r="BM29" i="2"/>
  <c r="BM33" i="2"/>
  <c r="BM35" i="2"/>
  <c r="BM37" i="2"/>
  <c r="BN38" i="2" s="1"/>
  <c r="BK49" i="1"/>
  <c r="BK27" i="1"/>
  <c r="BL27" i="1"/>
  <c r="BL49" i="1"/>
  <c r="BK50" i="1"/>
  <c r="BL50" i="1"/>
  <c r="AP39" i="3"/>
  <c r="AP37" i="3"/>
  <c r="AS36" i="3"/>
  <c r="AK43" i="5"/>
  <c r="BG29" i="2"/>
  <c r="BG33" i="2"/>
  <c r="BI10" i="3"/>
  <c r="AN10" i="3"/>
  <c r="AL29" i="2"/>
  <c r="AL33" i="2"/>
  <c r="AN37" i="3"/>
  <c r="N41" i="2"/>
  <c r="AE37" i="5"/>
  <c r="AI37" i="5"/>
  <c r="AU29" i="2"/>
  <c r="AU33" i="2"/>
  <c r="AV3" i="2"/>
  <c r="AV19" i="2"/>
  <c r="AV29" i="2"/>
  <c r="AV33" i="2"/>
  <c r="BA39" i="2"/>
  <c r="BC32" i="3"/>
  <c r="AN39" i="3"/>
  <c r="AC9" i="3"/>
  <c r="AB14" i="7"/>
  <c r="Y35" i="3"/>
  <c r="AN36" i="3"/>
  <c r="E39" i="5"/>
  <c r="E37" i="5"/>
  <c r="T3" i="2"/>
  <c r="T19" i="2"/>
  <c r="M37" i="5"/>
  <c r="N43" i="5"/>
  <c r="AX37" i="5"/>
  <c r="AY39" i="3"/>
  <c r="BA32" i="3"/>
  <c r="BJ37" i="5"/>
  <c r="BK39" i="3"/>
  <c r="AN11" i="3"/>
  <c r="AD35" i="3"/>
  <c r="BA37" i="5"/>
  <c r="BB39" i="3"/>
  <c r="D10" i="3"/>
  <c r="C15" i="7"/>
  <c r="L37" i="5"/>
  <c r="M43" i="5"/>
  <c r="AR43" i="5"/>
  <c r="AQ39" i="2"/>
  <c r="AR32" i="3"/>
  <c r="BF3" i="2"/>
  <c r="BF19" i="2"/>
  <c r="AB43" i="5"/>
  <c r="AL39" i="2"/>
  <c r="AI43" i="5"/>
  <c r="AD32" i="3"/>
  <c r="G11" i="3"/>
  <c r="F16" i="7"/>
  <c r="F43" i="5"/>
  <c r="T37" i="5"/>
  <c r="K29" i="2"/>
  <c r="K33" i="2"/>
  <c r="K35" i="2"/>
  <c r="K37" i="2"/>
  <c r="V19" i="2"/>
  <c r="AC37" i="5"/>
  <c r="AQ43" i="5"/>
  <c r="BE19" i="2"/>
  <c r="BG10" i="3"/>
  <c r="AX39" i="2"/>
  <c r="BJ19" i="2"/>
  <c r="BL10" i="3"/>
  <c r="C17" i="7"/>
  <c r="C30" i="7"/>
  <c r="AE43" i="5"/>
  <c r="H39" i="2"/>
  <c r="AO43" i="5"/>
  <c r="AK3" i="2"/>
  <c r="AK19" i="2"/>
  <c r="BL43" i="5"/>
  <c r="AS11" i="3"/>
  <c r="N30" i="3"/>
  <c r="BC37" i="3"/>
  <c r="BF43" i="5"/>
  <c r="C37" i="5"/>
  <c r="AJ19" i="2"/>
  <c r="AM37" i="3"/>
  <c r="AR39" i="2"/>
  <c r="BD11" i="3"/>
  <c r="O39" i="3"/>
  <c r="AP30" i="3"/>
  <c r="AM35" i="2"/>
  <c r="AM37" i="2"/>
  <c r="AQ29" i="2"/>
  <c r="AQ33" i="2"/>
  <c r="AQ35" i="2"/>
  <c r="AQ37" i="2"/>
  <c r="Q43" i="5"/>
  <c r="O3" i="2"/>
  <c r="O19" i="2"/>
  <c r="AA37" i="5"/>
  <c r="AJ37" i="5"/>
  <c r="AJ30" i="3"/>
  <c r="BB3" i="2"/>
  <c r="BB19" i="2"/>
  <c r="BB29" i="2"/>
  <c r="BB33" i="2"/>
  <c r="BC39" i="2"/>
  <c r="BD32" i="3"/>
  <c r="AH11" i="3"/>
  <c r="O37" i="3"/>
  <c r="AS43" i="5"/>
  <c r="AH32" i="3"/>
  <c r="AS10" i="3"/>
  <c r="E39" i="2"/>
  <c r="C39" i="2"/>
  <c r="E32" i="3"/>
  <c r="AD29" i="2"/>
  <c r="AG3" i="2"/>
  <c r="AG19" i="2"/>
  <c r="AT37" i="5"/>
  <c r="BC37" i="5"/>
  <c r="BC30" i="3"/>
  <c r="BF39" i="2"/>
  <c r="BH32" i="3"/>
  <c r="AT39" i="2"/>
  <c r="AU32" i="3"/>
  <c r="AC33" i="2"/>
  <c r="AS37" i="5"/>
  <c r="AT37" i="3"/>
  <c r="AT43" i="5"/>
  <c r="BA33" i="2"/>
  <c r="BC10" i="3"/>
  <c r="AH19" i="2"/>
  <c r="AJ10" i="3"/>
  <c r="AB11" i="3"/>
  <c r="AA16" i="7"/>
  <c r="K37" i="5"/>
  <c r="L37" i="3" s="1"/>
  <c r="L30" i="3"/>
  <c r="F3" i="2"/>
  <c r="F19" i="2"/>
  <c r="H10" i="3"/>
  <c r="G15" i="7"/>
  <c r="L19" i="2"/>
  <c r="L29" i="2"/>
  <c r="L33" i="2"/>
  <c r="S37" i="3"/>
  <c r="U7" i="2"/>
  <c r="V39" i="5"/>
  <c r="V37" i="5"/>
  <c r="AK37" i="5"/>
  <c r="AL37" i="3"/>
  <c r="AR37" i="5"/>
  <c r="AS37" i="3" s="1"/>
  <c r="AS39" i="3"/>
  <c r="AY3" i="2"/>
  <c r="AY19" i="2"/>
  <c r="AY29" i="2"/>
  <c r="AY33" i="2"/>
  <c r="BD39" i="2"/>
  <c r="U43" i="5"/>
  <c r="AB37" i="5"/>
  <c r="AC37" i="3" s="1"/>
  <c r="P29" i="2"/>
  <c r="P33" i="2"/>
  <c r="Z37" i="5"/>
  <c r="AA39" i="3"/>
  <c r="AC10" i="3"/>
  <c r="AB15" i="7"/>
  <c r="AB17" i="7" s="1"/>
  <c r="AB30" i="7" s="1"/>
  <c r="AA39" i="2"/>
  <c r="P9" i="3"/>
  <c r="O14" i="7"/>
  <c r="N35" i="2"/>
  <c r="N37" i="2"/>
  <c r="AE9" i="3"/>
  <c r="AD14" i="7"/>
  <c r="AD17" i="7"/>
  <c r="AD30" i="7"/>
  <c r="AC35" i="2"/>
  <c r="AC37" i="2"/>
  <c r="AY35" i="2"/>
  <c r="AY37" i="2"/>
  <c r="AZ38" i="2"/>
  <c r="AR29" i="2"/>
  <c r="AR33" i="2"/>
  <c r="AT10" i="3"/>
  <c r="D29" i="2"/>
  <c r="D33" i="2"/>
  <c r="F10" i="3"/>
  <c r="E15" i="7"/>
  <c r="U10" i="3"/>
  <c r="T15" i="7"/>
  <c r="T47" i="5"/>
  <c r="T43" i="5"/>
  <c r="S39" i="2"/>
  <c r="AD39" i="3"/>
  <c r="AD37" i="3"/>
  <c r="AX30" i="3"/>
  <c r="BI47" i="5"/>
  <c r="AW47" i="5"/>
  <c r="AF30" i="3"/>
  <c r="V43" i="5"/>
  <c r="BA30" i="3"/>
  <c r="AL43" i="5"/>
  <c r="N10" i="3"/>
  <c r="M15" i="7"/>
  <c r="C47" i="5"/>
  <c r="C43" i="5"/>
  <c r="P37" i="5"/>
  <c r="E19" i="2"/>
  <c r="B39" i="2"/>
  <c r="D32" i="3"/>
  <c r="T11" i="3"/>
  <c r="S16" i="7"/>
  <c r="R39" i="2"/>
  <c r="Y43" i="5"/>
  <c r="Z33" i="3"/>
  <c r="AX39" i="3"/>
  <c r="AZ32" i="3"/>
  <c r="AW10" i="3"/>
  <c r="AU37" i="5"/>
  <c r="AV30" i="3" s="1"/>
  <c r="BI39" i="3"/>
  <c r="E10" i="3"/>
  <c r="D15" i="7"/>
  <c r="C29" i="2"/>
  <c r="C33" i="2"/>
  <c r="Z11" i="3"/>
  <c r="Y16" i="7"/>
  <c r="X39" i="2"/>
  <c r="Y37" i="5"/>
  <c r="Z38" i="3"/>
  <c r="AP29" i="2"/>
  <c r="AP33" i="2"/>
  <c r="AR10" i="3"/>
  <c r="BK10" i="3"/>
  <c r="BI29" i="2"/>
  <c r="BI33" i="2"/>
  <c r="AQ36" i="3"/>
  <c r="N11" i="3"/>
  <c r="M16" i="7"/>
  <c r="N37" i="3"/>
  <c r="AG39" i="3"/>
  <c r="AH37" i="3"/>
  <c r="S43" i="5"/>
  <c r="Q32" i="3"/>
  <c r="V39" i="2"/>
  <c r="X11" i="3"/>
  <c r="W16" i="7"/>
  <c r="AD33" i="2"/>
  <c r="AE37" i="3"/>
  <c r="BG37" i="5"/>
  <c r="AU43" i="5"/>
  <c r="BK33" i="3"/>
  <c r="BJ43" i="5"/>
  <c r="BB30" i="3"/>
  <c r="P33" i="3"/>
  <c r="O43" i="5"/>
  <c r="B29" i="2"/>
  <c r="B33" i="2"/>
  <c r="B35" i="2"/>
  <c r="B37" i="2"/>
  <c r="M29" i="2"/>
  <c r="M33" i="2"/>
  <c r="O10" i="3"/>
  <c r="N15" i="7"/>
  <c r="P47" i="5"/>
  <c r="U39" i="2"/>
  <c r="AN37" i="5"/>
  <c r="AO38" i="3"/>
  <c r="BD37" i="3"/>
  <c r="BD39" i="3"/>
  <c r="AV39" i="2"/>
  <c r="AV32" i="3"/>
  <c r="BK35" i="2"/>
  <c r="BK37" i="2"/>
  <c r="I19" i="2"/>
  <c r="AE39" i="2"/>
  <c r="AE19" i="2"/>
  <c r="AG11" i="3"/>
  <c r="AF16" i="7"/>
  <c r="AI39" i="2"/>
  <c r="AK32" i="3"/>
  <c r="AK10" i="3"/>
  <c r="AJ47" i="5"/>
  <c r="AL30" i="3"/>
  <c r="AM39" i="3"/>
  <c r="BK37" i="5"/>
  <c r="BB32" i="3"/>
  <c r="AH36" i="3"/>
  <c r="P41" i="2"/>
  <c r="Q34" i="3"/>
  <c r="G30" i="3"/>
  <c r="AB3" i="2"/>
  <c r="AB19" i="2"/>
  <c r="AO29" i="2"/>
  <c r="AO33" i="2"/>
  <c r="AR30" i="3"/>
  <c r="BG39" i="3"/>
  <c r="BG37" i="3"/>
  <c r="BA35" i="2"/>
  <c r="BA37" i="2"/>
  <c r="BA38" i="2"/>
  <c r="BC3" i="2"/>
  <c r="BC19" i="2"/>
  <c r="BD39" i="5"/>
  <c r="BD37" i="5"/>
  <c r="AS9" i="3"/>
  <c r="X29" i="2"/>
  <c r="X33" i="2"/>
  <c r="Z10" i="3"/>
  <c r="Y15" i="7"/>
  <c r="D37" i="5"/>
  <c r="E30" i="3" s="1"/>
  <c r="S29" i="2"/>
  <c r="S33" i="2"/>
  <c r="M39" i="3"/>
  <c r="L41" i="2"/>
  <c r="N32" i="3"/>
  <c r="M41" i="2"/>
  <c r="M32" i="3"/>
  <c r="BE39" i="2"/>
  <c r="AW43" i="5"/>
  <c r="L38" i="3"/>
  <c r="AQ37" i="3"/>
  <c r="L43" i="5"/>
  <c r="M37" i="3"/>
  <c r="AB10" i="3"/>
  <c r="AA15" i="7"/>
  <c r="Z29" i="2"/>
  <c r="Z33" i="2"/>
  <c r="AH39" i="2"/>
  <c r="AI32" i="3"/>
  <c r="AJ11" i="3"/>
  <c r="BB10" i="3"/>
  <c r="AV43" i="5"/>
  <c r="AW33" i="3"/>
  <c r="J10" i="3"/>
  <c r="I15" i="7"/>
  <c r="H29" i="2"/>
  <c r="H33" i="2"/>
  <c r="AR39" i="3"/>
  <c r="AQ30" i="3"/>
  <c r="K43" i="5"/>
  <c r="L36" i="3"/>
  <c r="Q29" i="2"/>
  <c r="Q33" i="2"/>
  <c r="S10" i="3"/>
  <c r="R15" i="7"/>
  <c r="R3" i="2"/>
  <c r="R19" i="2"/>
  <c r="S39" i="5"/>
  <c r="S37" i="5"/>
  <c r="X10" i="3"/>
  <c r="W15" i="7"/>
  <c r="V29" i="2"/>
  <c r="V33" i="2"/>
  <c r="AF39" i="3"/>
  <c r="AF37" i="3"/>
  <c r="AE30" i="3"/>
  <c r="AJ39" i="3"/>
  <c r="AJ37" i="3"/>
  <c r="AF43" i="5"/>
  <c r="AG35" i="3"/>
  <c r="AR37" i="3"/>
  <c r="BH4" i="2"/>
  <c r="BH3" i="2"/>
  <c r="BH19" i="2"/>
  <c r="BH29" i="2"/>
  <c r="BH33" i="2"/>
  <c r="BI38" i="5"/>
  <c r="AZ10" i="3"/>
  <c r="AX29" i="2"/>
  <c r="AX33" i="2"/>
  <c r="BA10" i="3"/>
  <c r="BI39" i="2"/>
  <c r="BI37" i="3"/>
  <c r="AO10" i="3"/>
  <c r="J30" i="3"/>
  <c r="K37" i="3"/>
  <c r="J29" i="2"/>
  <c r="J33" i="2"/>
  <c r="L10" i="3"/>
  <c r="K15" i="7"/>
  <c r="J43" i="5"/>
  <c r="K34" i="3"/>
  <c r="K11" i="3"/>
  <c r="J16" i="7"/>
  <c r="I39" i="2"/>
  <c r="W43" i="5"/>
  <c r="X34" i="3"/>
  <c r="AS29" i="2"/>
  <c r="AS33" i="2"/>
  <c r="AU10" i="3"/>
  <c r="AO39" i="2"/>
  <c r="AQ10" i="3"/>
  <c r="AY37" i="5"/>
  <c r="AZ37" i="3"/>
  <c r="AZ38" i="3"/>
  <c r="BH39" i="2"/>
  <c r="BJ32" i="3" s="1"/>
  <c r="BI32" i="3"/>
  <c r="AF35" i="2"/>
  <c r="AF37" i="2"/>
  <c r="AH9" i="3"/>
  <c r="AN29" i="2"/>
  <c r="AN33" i="2"/>
  <c r="AP10" i="3"/>
  <c r="I10" i="3"/>
  <c r="H15" i="7"/>
  <c r="G29" i="2"/>
  <c r="G33" i="2"/>
  <c r="D39" i="2"/>
  <c r="F32" i="3"/>
  <c r="W29" i="2"/>
  <c r="W33" i="2"/>
  <c r="Y10" i="3"/>
  <c r="X15" i="7"/>
  <c r="AA10" i="3"/>
  <c r="Z15" i="7"/>
  <c r="Z47" i="5"/>
  <c r="AD30" i="3"/>
  <c r="AI29" i="2"/>
  <c r="AI33" i="2"/>
  <c r="BF37" i="3"/>
  <c r="BE30" i="3"/>
  <c r="BF39" i="3"/>
  <c r="AX43" i="5"/>
  <c r="AH39" i="5"/>
  <c r="AH37" i="5" s="1"/>
  <c r="AI37" i="3" s="1"/>
  <c r="AP34" i="3"/>
  <c r="BK47" i="5"/>
  <c r="BK43" i="5"/>
  <c r="BL39" i="5"/>
  <c r="BL37" i="5"/>
  <c r="BM38" i="3"/>
  <c r="BM34" i="3"/>
  <c r="AY43" i="5"/>
  <c r="AR33" i="3"/>
  <c r="BL38" i="3"/>
  <c r="AV38" i="5"/>
  <c r="AW3" i="2"/>
  <c r="AW19" i="2"/>
  <c r="AW29" i="2"/>
  <c r="AW33" i="2"/>
  <c r="BJ39" i="2"/>
  <c r="AH10" i="3"/>
  <c r="BI44" i="5"/>
  <c r="BK37" i="3"/>
  <c r="BA47" i="5"/>
  <c r="BM10" i="3"/>
  <c r="AZ47" i="5"/>
  <c r="R33" i="3"/>
  <c r="AW39" i="2"/>
  <c r="AY32" i="3" s="1"/>
  <c r="O29" i="2"/>
  <c r="O33" i="2"/>
  <c r="Q10" i="3"/>
  <c r="P15" i="7"/>
  <c r="Z30" i="3"/>
  <c r="BJ29" i="2"/>
  <c r="BJ33" i="2"/>
  <c r="BF29" i="2"/>
  <c r="BF33" i="2"/>
  <c r="BH10" i="3"/>
  <c r="AU35" i="2"/>
  <c r="AU37" i="2"/>
  <c r="AU38" i="2"/>
  <c r="F30" i="3"/>
  <c r="AY10" i="3"/>
  <c r="D30" i="3"/>
  <c r="AL39" i="3"/>
  <c r="AS30" i="3"/>
  <c r="P35" i="2"/>
  <c r="P37" i="2"/>
  <c r="BE29" i="2"/>
  <c r="BE33" i="2"/>
  <c r="BG9" i="3"/>
  <c r="AH29" i="2"/>
  <c r="AH33" i="2"/>
  <c r="F29" i="2"/>
  <c r="F33" i="2"/>
  <c r="BE32" i="3"/>
  <c r="U3" i="2"/>
  <c r="U19" i="2"/>
  <c r="AT39" i="3"/>
  <c r="T30" i="3"/>
  <c r="AX10" i="3"/>
  <c r="M30" i="3"/>
  <c r="N39" i="3"/>
  <c r="AC39" i="3"/>
  <c r="AB30" i="3"/>
  <c r="AY37" i="3"/>
  <c r="BD10" i="3"/>
  <c r="AK39" i="3"/>
  <c r="M9" i="3"/>
  <c r="L14" i="7"/>
  <c r="L17" i="7"/>
  <c r="L30" i="7"/>
  <c r="V30" i="3"/>
  <c r="W39" i="3"/>
  <c r="W37" i="3"/>
  <c r="W30" i="3"/>
  <c r="G32" i="3"/>
  <c r="AN9" i="3"/>
  <c r="AL35" i="2"/>
  <c r="AL37" i="2"/>
  <c r="AM38" i="2"/>
  <c r="AK30" i="3"/>
  <c r="AC30" i="3"/>
  <c r="AM10" i="3"/>
  <c r="AK29" i="2"/>
  <c r="AK33" i="2"/>
  <c r="T29" i="2"/>
  <c r="T33" i="2"/>
  <c r="V10" i="3"/>
  <c r="U15" i="7"/>
  <c r="BG35" i="2"/>
  <c r="BG37" i="2"/>
  <c r="U39" i="3"/>
  <c r="U30" i="3"/>
  <c r="AB32" i="3"/>
  <c r="AC32" i="3"/>
  <c r="AT32" i="3"/>
  <c r="AS32" i="3"/>
  <c r="AL10" i="3"/>
  <c r="AJ29" i="2"/>
  <c r="AJ33" i="2"/>
  <c r="L39" i="3"/>
  <c r="K30" i="3"/>
  <c r="AU39" i="3"/>
  <c r="AT30" i="3"/>
  <c r="AU37" i="3"/>
  <c r="AM32" i="3"/>
  <c r="AN32" i="3"/>
  <c r="AI10" i="3"/>
  <c r="AG29" i="2"/>
  <c r="AG33" i="2"/>
  <c r="AB39" i="3"/>
  <c r="AB37" i="3"/>
  <c r="AA30" i="3"/>
  <c r="BL30" i="3"/>
  <c r="BM39" i="3"/>
  <c r="BM37" i="3"/>
  <c r="BB37" i="3"/>
  <c r="Q39" i="3"/>
  <c r="BB35" i="2"/>
  <c r="BB37" i="2"/>
  <c r="I29" i="2"/>
  <c r="I33" i="2"/>
  <c r="K10" i="3"/>
  <c r="J15" i="7"/>
  <c r="Q37" i="3"/>
  <c r="BJ33" i="3"/>
  <c r="BI43" i="5"/>
  <c r="BL37" i="3"/>
  <c r="AH30" i="3"/>
  <c r="AI39" i="3"/>
  <c r="BF32" i="3"/>
  <c r="BG32" i="3"/>
  <c r="BI35" i="2"/>
  <c r="BI37" i="2"/>
  <c r="C35" i="2"/>
  <c r="C37" i="2"/>
  <c r="E9" i="3"/>
  <c r="D14" i="7"/>
  <c r="D17" i="7"/>
  <c r="D30" i="7"/>
  <c r="BK32" i="3"/>
  <c r="AD10" i="3"/>
  <c r="AC15" i="7"/>
  <c r="AB29" i="2"/>
  <c r="AB33" i="2"/>
  <c r="M35" i="2"/>
  <c r="M37" i="2"/>
  <c r="O9" i="3"/>
  <c r="N14" i="7"/>
  <c r="N17" i="7"/>
  <c r="N30" i="7"/>
  <c r="Y9" i="3"/>
  <c r="X14" i="7"/>
  <c r="X17" i="7"/>
  <c r="X30" i="7"/>
  <c r="W35" i="2"/>
  <c r="W37" i="2"/>
  <c r="J41" i="2"/>
  <c r="I32" i="3"/>
  <c r="H32" i="3"/>
  <c r="J32" i="3"/>
  <c r="K32" i="3"/>
  <c r="J9" i="3"/>
  <c r="I14" i="7"/>
  <c r="I17" i="7"/>
  <c r="I30" i="7"/>
  <c r="H35" i="2"/>
  <c r="H37" i="2"/>
  <c r="BE10" i="3"/>
  <c r="BC29" i="2"/>
  <c r="BC33" i="2"/>
  <c r="T32" i="3"/>
  <c r="S41" i="2"/>
  <c r="U32" i="3"/>
  <c r="T41" i="2"/>
  <c r="AV37" i="5"/>
  <c r="AW38" i="3"/>
  <c r="AX35" i="2"/>
  <c r="AX37" i="2"/>
  <c r="AY38" i="2"/>
  <c r="AH35" i="2"/>
  <c r="AH37" i="2"/>
  <c r="AJ9" i="3"/>
  <c r="U36" i="3"/>
  <c r="U37" i="3"/>
  <c r="U41" i="2"/>
  <c r="V32" i="3"/>
  <c r="Y32" i="3"/>
  <c r="Z32" i="3"/>
  <c r="AS35" i="2"/>
  <c r="AS37" i="2"/>
  <c r="AT38" i="2"/>
  <c r="AU9" i="3"/>
  <c r="AR35" i="2"/>
  <c r="AR37" i="2"/>
  <c r="AT9" i="3"/>
  <c r="AA37" i="3"/>
  <c r="AA36" i="3"/>
  <c r="L35" i="2"/>
  <c r="L37" i="2"/>
  <c r="N9" i="3"/>
  <c r="M14" i="7"/>
  <c r="M17" i="7"/>
  <c r="M30" i="7"/>
  <c r="AB9" i="3"/>
  <c r="AA14" i="7"/>
  <c r="AA17" i="7"/>
  <c r="AA30" i="7"/>
  <c r="Z35" i="2"/>
  <c r="Z37" i="2"/>
  <c r="AA38" i="2"/>
  <c r="BE39" i="3"/>
  <c r="BD30" i="3"/>
  <c r="AK37" i="3"/>
  <c r="AK36" i="3"/>
  <c r="AJ43" i="5"/>
  <c r="BG30" i="3"/>
  <c r="BH39" i="3"/>
  <c r="BH37" i="3"/>
  <c r="AW35" i="2"/>
  <c r="AW37" i="2"/>
  <c r="BE35" i="2"/>
  <c r="BE37" i="2"/>
  <c r="AW32" i="3"/>
  <c r="AX32" i="3"/>
  <c r="V35" i="2"/>
  <c r="V37" i="2"/>
  <c r="X9" i="3"/>
  <c r="W14" i="7"/>
  <c r="W17" i="7"/>
  <c r="W30" i="7"/>
  <c r="BJ35" i="2"/>
  <c r="BJ37" i="2"/>
  <c r="BK38" i="2"/>
  <c r="P43" i="5"/>
  <c r="AJ32" i="3"/>
  <c r="BE37" i="3"/>
  <c r="BH30" i="3"/>
  <c r="Z43" i="5"/>
  <c r="AK9" i="3"/>
  <c r="AI35" i="2"/>
  <c r="AI37" i="2"/>
  <c r="AV35" i="2"/>
  <c r="AV37" i="2"/>
  <c r="BI37" i="5"/>
  <c r="BJ38" i="3"/>
  <c r="R41" i="2"/>
  <c r="S32" i="3"/>
  <c r="AX36" i="3"/>
  <c r="AX37" i="3"/>
  <c r="AZ39" i="3"/>
  <c r="AY30" i="3"/>
  <c r="AZ30" i="3"/>
  <c r="BH35" i="2"/>
  <c r="BH37" i="2"/>
  <c r="AE29" i="2"/>
  <c r="AE33" i="2"/>
  <c r="AG10" i="3"/>
  <c r="AF15" i="7"/>
  <c r="AD35" i="2"/>
  <c r="AD37" i="2"/>
  <c r="AF9" i="3"/>
  <c r="AE14" i="7"/>
  <c r="AE17" i="7"/>
  <c r="AE30" i="7"/>
  <c r="AD38" i="2"/>
  <c r="L9" i="3"/>
  <c r="K14" i="7"/>
  <c r="K17" i="7"/>
  <c r="K30" i="7"/>
  <c r="J35" i="2"/>
  <c r="J37" i="2"/>
  <c r="R29" i="2"/>
  <c r="R33" i="2"/>
  <c r="T10" i="3"/>
  <c r="S15" i="7"/>
  <c r="AG32" i="3"/>
  <c r="AF32" i="3"/>
  <c r="H9" i="3"/>
  <c r="G14" i="7"/>
  <c r="G17" i="7"/>
  <c r="G30" i="7"/>
  <c r="F35" i="2"/>
  <c r="F37" i="2"/>
  <c r="AZ43" i="5"/>
  <c r="BA37" i="3"/>
  <c r="G35" i="2"/>
  <c r="G37" i="2"/>
  <c r="I9" i="3"/>
  <c r="H14" i="7"/>
  <c r="H17" i="7"/>
  <c r="H30" i="7"/>
  <c r="T39" i="3"/>
  <c r="T37" i="3"/>
  <c r="S30" i="3"/>
  <c r="AP35" i="2"/>
  <c r="AP37" i="2"/>
  <c r="AQ38" i="2"/>
  <c r="AR9" i="3"/>
  <c r="D35" i="2"/>
  <c r="D37" i="2"/>
  <c r="F9" i="3"/>
  <c r="E14" i="7"/>
  <c r="E17" i="7"/>
  <c r="E30" i="7"/>
  <c r="S35" i="2"/>
  <c r="S37" i="2"/>
  <c r="U9" i="3"/>
  <c r="T14" i="7"/>
  <c r="T17" i="7"/>
  <c r="T30" i="7"/>
  <c r="AQ32" i="3"/>
  <c r="AP32" i="3"/>
  <c r="BL32" i="3"/>
  <c r="AO35" i="2"/>
  <c r="AO37" i="2"/>
  <c r="AQ9" i="3"/>
  <c r="BK30" i="3"/>
  <c r="BL39" i="3"/>
  <c r="AO39" i="3"/>
  <c r="AN30" i="3"/>
  <c r="AO30" i="3"/>
  <c r="AO37" i="3"/>
  <c r="W32" i="3"/>
  <c r="X32" i="3"/>
  <c r="Z39" i="3"/>
  <c r="Y30" i="3"/>
  <c r="Z37" i="3"/>
  <c r="AV39" i="3"/>
  <c r="AU30" i="3"/>
  <c r="AV37" i="3"/>
  <c r="E29" i="2"/>
  <c r="E33" i="2"/>
  <c r="G10" i="3"/>
  <c r="F15" i="7"/>
  <c r="BJ10" i="3"/>
  <c r="AN35" i="2"/>
  <c r="AN37" i="2"/>
  <c r="AP9" i="3"/>
  <c r="Q35" i="2"/>
  <c r="Q37" i="2"/>
  <c r="X35" i="2"/>
  <c r="X37" i="2"/>
  <c r="Z9" i="3"/>
  <c r="Y14" i="7"/>
  <c r="Y17" i="7"/>
  <c r="Y30" i="7"/>
  <c r="AI30" i="3"/>
  <c r="BA43" i="5"/>
  <c r="AG35" i="2"/>
  <c r="AG37" i="2"/>
  <c r="AG38" i="2"/>
  <c r="AI9" i="3"/>
  <c r="O35" i="2"/>
  <c r="O37" i="2"/>
  <c r="W10" i="3"/>
  <c r="V15" i="7"/>
  <c r="U29" i="2"/>
  <c r="U33" i="2"/>
  <c r="T35" i="2"/>
  <c r="T37" i="2"/>
  <c r="V9" i="3"/>
  <c r="U14" i="7"/>
  <c r="U17" i="7"/>
  <c r="U30" i="7"/>
  <c r="AJ35" i="2"/>
  <c r="AJ37" i="2"/>
  <c r="AJ38" i="2" s="1"/>
  <c r="AK35" i="2"/>
  <c r="AK37" i="2"/>
  <c r="AL38" i="2"/>
  <c r="BF35" i="2"/>
  <c r="BF37" i="2"/>
  <c r="BG38" i="2"/>
  <c r="BH9" i="3"/>
  <c r="AW39" i="3"/>
  <c r="AW37" i="3"/>
  <c r="AW30" i="3"/>
  <c r="BJ38" i="2"/>
  <c r="T9" i="3"/>
  <c r="S14" i="7"/>
  <c r="S17" i="7"/>
  <c r="S30" i="7"/>
  <c r="R35" i="2"/>
  <c r="R37" i="2"/>
  <c r="BE38" i="2"/>
  <c r="AP38" i="2"/>
  <c r="AX38" i="2"/>
  <c r="AO38" i="2"/>
  <c r="AN38" i="2"/>
  <c r="BB38" i="2"/>
  <c r="AI38" i="2"/>
  <c r="AD9" i="3"/>
  <c r="AC14" i="7"/>
  <c r="AC17" i="7"/>
  <c r="AC30" i="7"/>
  <c r="AB35" i="2"/>
  <c r="AB37" i="2"/>
  <c r="AW38" i="2"/>
  <c r="AV38" i="2"/>
  <c r="I35" i="2"/>
  <c r="I37" i="2"/>
  <c r="K9" i="3"/>
  <c r="J14" i="7"/>
  <c r="J17" i="7"/>
  <c r="J30" i="7"/>
  <c r="BC35" i="2"/>
  <c r="BC37" i="2"/>
  <c r="BD38" i="2"/>
  <c r="BJ39" i="3"/>
  <c r="BI30" i="3"/>
  <c r="BJ30" i="3"/>
  <c r="AS38" i="2"/>
  <c r="AR38" i="2"/>
  <c r="E35" i="2"/>
  <c r="E37" i="2"/>
  <c r="G9" i="3"/>
  <c r="F14" i="7"/>
  <c r="F17" i="7"/>
  <c r="F30" i="7"/>
  <c r="BJ37" i="3"/>
  <c r="AE35" i="2"/>
  <c r="AE37" i="2"/>
  <c r="AE38" i="2" s="1"/>
  <c r="AF38" i="2"/>
  <c r="AG9" i="3"/>
  <c r="AF14" i="7"/>
  <c r="AF17" i="7"/>
  <c r="BI38" i="2"/>
  <c r="BH38" i="2"/>
  <c r="BF38" i="2"/>
  <c r="AK38" i="2"/>
  <c r="AH38" i="2"/>
  <c r="W9" i="3"/>
  <c r="V14" i="7"/>
  <c r="V17" i="7"/>
  <c r="V30" i="7"/>
  <c r="U35" i="2"/>
  <c r="U37" i="2"/>
  <c r="BC38" i="2"/>
  <c r="AC38" i="2"/>
  <c r="AB38" i="2"/>
  <c r="CR43" i="5" l="1"/>
  <c r="CR37" i="5"/>
  <c r="CR25" i="5"/>
  <c r="CR14" i="5"/>
  <c r="CR11" i="5" s="1"/>
  <c r="CR12" i="5" s="1"/>
  <c r="CQ43" i="5"/>
  <c r="CQ37" i="5"/>
  <c r="CQ25" i="5"/>
  <c r="CQ14" i="5"/>
  <c r="CQ11" i="5" s="1"/>
  <c r="CQ12" i="5" s="1"/>
  <c r="CP43" i="5"/>
  <c r="CP37" i="5"/>
  <c r="CP25" i="5"/>
  <c r="CP14" i="5"/>
  <c r="CP11" i="5" s="1"/>
  <c r="CP12" i="5" s="1"/>
  <c r="CO43" i="5"/>
  <c r="CO37" i="5"/>
  <c r="CO25" i="5"/>
  <c r="CO14" i="5"/>
  <c r="CO11" i="5" s="1"/>
  <c r="CO12" i="5" s="1"/>
  <c r="CN43" i="5"/>
  <c r="CN37" i="5"/>
  <c r="CN25" i="5"/>
  <c r="CN14" i="5"/>
  <c r="CN11" i="5" s="1"/>
  <c r="CN12" i="5" s="1"/>
  <c r="CM43" i="5"/>
  <c r="CM37" i="5"/>
  <c r="CM25" i="5"/>
  <c r="CM14" i="5"/>
  <c r="CM11" i="5" s="1"/>
  <c r="CM12" i="5" s="1"/>
  <c r="CL43" i="5"/>
  <c r="CK43" i="5"/>
  <c r="CJ43" i="5"/>
  <c r="CL37" i="5"/>
  <c r="CK37" i="5"/>
  <c r="CJ37" i="5"/>
  <c r="CL25" i="5"/>
  <c r="CK25" i="5"/>
  <c r="CJ25" i="5"/>
  <c r="CL14" i="5"/>
  <c r="CL11" i="5" s="1"/>
  <c r="CL12" i="5" s="1"/>
  <c r="CK14" i="5"/>
  <c r="CK11" i="5" s="1"/>
  <c r="CK12" i="5" s="1"/>
  <c r="CJ14" i="5"/>
  <c r="CJ11" i="5" s="1"/>
  <c r="CJ12" i="5" s="1"/>
  <c r="CG51" i="1"/>
  <c r="CI43" i="5"/>
  <c r="CI37" i="5"/>
  <c r="CI25" i="5"/>
  <c r="CI14" i="5"/>
  <c r="CI11" i="5" s="1"/>
  <c r="BX24" i="3"/>
  <c r="BX36" i="3"/>
  <c r="CH3" i="2"/>
  <c r="CH43" i="5"/>
  <c r="CG43" i="5"/>
  <c r="CF43" i="5"/>
  <c r="CE43" i="5"/>
  <c r="CD43" i="5"/>
  <c r="CC43" i="5"/>
  <c r="CB43" i="5"/>
  <c r="CA43" i="5"/>
  <c r="BZ43" i="5"/>
  <c r="BY43" i="5"/>
  <c r="BX43" i="5"/>
  <c r="BW43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CF14" i="5"/>
  <c r="CF11" i="5" s="1"/>
  <c r="CE14" i="5"/>
  <c r="CE11" i="5" s="1"/>
  <c r="CD14" i="5"/>
  <c r="CD11" i="5" s="1"/>
  <c r="CC14" i="5"/>
  <c r="CC11" i="5" s="1"/>
  <c r="CB14" i="5"/>
  <c r="CB11" i="5" s="1"/>
  <c r="CA14" i="5"/>
  <c r="CA11" i="5" s="1"/>
  <c r="BZ14" i="5"/>
  <c r="BZ11" i="5" s="1"/>
  <c r="BY14" i="5"/>
  <c r="BY11" i="5" s="1"/>
  <c r="BX14" i="5"/>
  <c r="BX11" i="5" s="1"/>
  <c r="BW14" i="5"/>
  <c r="BW11" i="5" s="1"/>
  <c r="BW12" i="5" s="1"/>
  <c r="CF8" i="1"/>
  <c r="CE8" i="1"/>
  <c r="CD8" i="1"/>
  <c r="CC8" i="1"/>
  <c r="CF4" i="1"/>
  <c r="CE4" i="1"/>
  <c r="CD4" i="1"/>
  <c r="CC4" i="1"/>
  <c r="CB8" i="1"/>
  <c r="CA8" i="1"/>
  <c r="BZ8" i="1"/>
  <c r="BY8" i="1"/>
  <c r="BX8" i="1"/>
  <c r="BW8" i="1"/>
  <c r="BV8" i="1"/>
  <c r="BU8" i="1"/>
  <c r="CB4" i="1"/>
  <c r="CA4" i="1"/>
  <c r="BZ4" i="1"/>
  <c r="BY4" i="1"/>
  <c r="BX4" i="1"/>
  <c r="BW4" i="1"/>
  <c r="BV4" i="1"/>
  <c r="BU4" i="1"/>
  <c r="CG23" i="2"/>
  <c r="CF23" i="2"/>
  <c r="CE23" i="2"/>
  <c r="CD23" i="2"/>
  <c r="CC23" i="2"/>
  <c r="CB23" i="2"/>
  <c r="CA23" i="2"/>
  <c r="BZ23" i="2"/>
  <c r="BY23" i="2"/>
  <c r="BX23" i="2"/>
  <c r="BW23" i="2"/>
  <c r="BV23" i="2"/>
  <c r="CG7" i="2"/>
  <c r="CF7" i="2"/>
  <c r="CE7" i="2"/>
  <c r="CD7" i="2"/>
  <c r="CC7" i="2"/>
  <c r="CB7" i="2"/>
  <c r="CA7" i="2"/>
  <c r="BZ7" i="2"/>
  <c r="BY7" i="2"/>
  <c r="BX7" i="2"/>
  <c r="BW7" i="2"/>
  <c r="BV7" i="2"/>
  <c r="CG3" i="2"/>
  <c r="CG19" i="2" s="1"/>
  <c r="CG29" i="2" s="1"/>
  <c r="CG33" i="2" s="1"/>
  <c r="CG35" i="2" s="1"/>
  <c r="CG37" i="2" s="1"/>
  <c r="CF3" i="2"/>
  <c r="CF19" i="2" s="1"/>
  <c r="CF29" i="2" s="1"/>
  <c r="CF33" i="2" s="1"/>
  <c r="CF35" i="2" s="1"/>
  <c r="CF37" i="2" s="1"/>
  <c r="CE3" i="2"/>
  <c r="CE19" i="2" s="1"/>
  <c r="CE29" i="2" s="1"/>
  <c r="CE33" i="2" s="1"/>
  <c r="CE35" i="2" s="1"/>
  <c r="CE37" i="2" s="1"/>
  <c r="CD3" i="2"/>
  <c r="CD19" i="2" s="1"/>
  <c r="CD29" i="2" s="1"/>
  <c r="CD33" i="2" s="1"/>
  <c r="CD35" i="2" s="1"/>
  <c r="CD37" i="2" s="1"/>
  <c r="CC3" i="2"/>
  <c r="CC19" i="2" s="1"/>
  <c r="CC29" i="2" s="1"/>
  <c r="CC33" i="2" s="1"/>
  <c r="CC35" i="2" s="1"/>
  <c r="CC37" i="2" s="1"/>
  <c r="CB3" i="2"/>
  <c r="CB19" i="2" s="1"/>
  <c r="CB29" i="2" s="1"/>
  <c r="CB33" i="2" s="1"/>
  <c r="CB35" i="2" s="1"/>
  <c r="CB37" i="2" s="1"/>
  <c r="CA3" i="2"/>
  <c r="CA19" i="2" s="1"/>
  <c r="CA29" i="2" s="1"/>
  <c r="CA33" i="2" s="1"/>
  <c r="CA35" i="2" s="1"/>
  <c r="CA37" i="2" s="1"/>
  <c r="BZ3" i="2"/>
  <c r="BZ19" i="2" s="1"/>
  <c r="BZ29" i="2" s="1"/>
  <c r="BZ33" i="2" s="1"/>
  <c r="BZ35" i="2" s="1"/>
  <c r="BZ37" i="2" s="1"/>
  <c r="BY3" i="2"/>
  <c r="BY19" i="2" s="1"/>
  <c r="BY29" i="2" s="1"/>
  <c r="BY33" i="2" s="1"/>
  <c r="BY35" i="2" s="1"/>
  <c r="BY37" i="2" s="1"/>
  <c r="BX3" i="2"/>
  <c r="BX19" i="2" s="1"/>
  <c r="BX29" i="2" s="1"/>
  <c r="BX33" i="2" s="1"/>
  <c r="BX35" i="2" s="1"/>
  <c r="BX37" i="2" s="1"/>
  <c r="BW3" i="2"/>
  <c r="BW19" i="2" s="1"/>
  <c r="BW29" i="2" s="1"/>
  <c r="BW33" i="2" s="1"/>
  <c r="BW35" i="2" s="1"/>
  <c r="BW37" i="2" s="1"/>
  <c r="BV3" i="2"/>
  <c r="BV19" i="2" s="1"/>
  <c r="BV29" i="2" s="1"/>
  <c r="BV33" i="2" s="1"/>
  <c r="BV35" i="2" s="1"/>
  <c r="BV37" i="2" s="1"/>
  <c r="BO10" i="3"/>
  <c r="BN47" i="5"/>
  <c r="BM47" i="5"/>
  <c r="BM39" i="2"/>
  <c r="BN32" i="3" s="1"/>
  <c r="BL3" i="2"/>
  <c r="BL19" i="2" s="1"/>
  <c r="BM39" i="5"/>
  <c r="BO32" i="3"/>
  <c r="BT50" i="1"/>
  <c r="BO4" i="3"/>
  <c r="BO6" i="3"/>
  <c r="BO14" i="3"/>
  <c r="BO20" i="3"/>
  <c r="BO22" i="3"/>
  <c r="BO23" i="3"/>
  <c r="BN4" i="5"/>
  <c r="BN4" i="3"/>
  <c r="BN6" i="3"/>
  <c r="BO9" i="3"/>
  <c r="BN11" i="3"/>
  <c r="BN14" i="3"/>
  <c r="BN20" i="3"/>
  <c r="BN22" i="3"/>
  <c r="BN23" i="3"/>
  <c r="BM4" i="5"/>
  <c r="BO5" i="3"/>
  <c r="BO18" i="3"/>
  <c r="BO21" i="3"/>
  <c r="BN5" i="5"/>
  <c r="BN5" i="3"/>
  <c r="BN18" i="3"/>
  <c r="BN21" i="3"/>
  <c r="BM5" i="5"/>
  <c r="BO16" i="3"/>
  <c r="BO17" i="3"/>
  <c r="BN34" i="5"/>
  <c r="BN16" i="3"/>
  <c r="BN17" i="3"/>
  <c r="BM34" i="5"/>
  <c r="BO38" i="3"/>
  <c r="BN30" i="5"/>
  <c r="BN38" i="3"/>
  <c r="BM30" i="5"/>
  <c r="BO12" i="3"/>
  <c r="BO13" i="3"/>
  <c r="BO15" i="3"/>
  <c r="BN12" i="3"/>
  <c r="BN13" i="3"/>
  <c r="BN15" i="3"/>
  <c r="BP38" i="3"/>
  <c r="BO35" i="3"/>
  <c r="BO25" i="3"/>
  <c r="BS27" i="1"/>
  <c r="BR27" i="1"/>
  <c r="BQ27" i="1"/>
  <c r="BP27" i="1"/>
  <c r="BO27" i="1"/>
  <c r="BN27" i="1"/>
  <c r="BM27" i="1"/>
  <c r="BS50" i="1"/>
  <c r="BR50" i="1"/>
  <c r="BQ50" i="1"/>
  <c r="BP50" i="1"/>
  <c r="BO50" i="1"/>
  <c r="BN50" i="1"/>
  <c r="BM50" i="1"/>
  <c r="BU32" i="3"/>
  <c r="BV32" i="3"/>
  <c r="BS32" i="3"/>
  <c r="BO28" i="3"/>
  <c r="BP35" i="3"/>
  <c r="BU28" i="3"/>
  <c r="BW35" i="3"/>
  <c r="BT28" i="3"/>
  <c r="BV35" i="3"/>
  <c r="BS28" i="3"/>
  <c r="BU35" i="3"/>
  <c r="BR28" i="3"/>
  <c r="BT35" i="3"/>
  <c r="BQ28" i="3"/>
  <c r="BS35" i="3"/>
  <c r="BP28" i="3"/>
  <c r="BQ35" i="3"/>
  <c r="BR35" i="3"/>
  <c r="BV28" i="3"/>
  <c r="BW28" i="3"/>
  <c r="BV27" i="3"/>
  <c r="BW27" i="3"/>
  <c r="BV26" i="3"/>
  <c r="BW26" i="3"/>
  <c r="BV25" i="3"/>
  <c r="BW25" i="3"/>
  <c r="BV43" i="5"/>
  <c r="BV37" i="5"/>
  <c r="BV25" i="5"/>
  <c r="BV14" i="5"/>
  <c r="BV11" i="5" s="1"/>
  <c r="BU43" i="5"/>
  <c r="BT43" i="5"/>
  <c r="BS43" i="5"/>
  <c r="BR43" i="5"/>
  <c r="BQ43" i="5"/>
  <c r="BP43" i="5"/>
  <c r="BO43" i="5"/>
  <c r="BN43" i="5"/>
  <c r="BM43" i="5"/>
  <c r="BU37" i="5"/>
  <c r="BT37" i="5"/>
  <c r="BS37" i="5"/>
  <c r="BR37" i="5"/>
  <c r="BQ37" i="5"/>
  <c r="BP37" i="5"/>
  <c r="BO37" i="5"/>
  <c r="BN37" i="5"/>
  <c r="BM37" i="5"/>
  <c r="BU25" i="5"/>
  <c r="BT25" i="5"/>
  <c r="BS25" i="5"/>
  <c r="BR25" i="5"/>
  <c r="BQ25" i="5"/>
  <c r="BP25" i="5"/>
  <c r="BO25" i="5"/>
  <c r="BN25" i="5"/>
  <c r="BM25" i="5"/>
  <c r="BU14" i="5"/>
  <c r="BU11" i="5" s="1"/>
  <c r="BT14" i="5"/>
  <c r="BT11" i="5" s="1"/>
  <c r="BS14" i="5"/>
  <c r="BS11" i="5" s="1"/>
  <c r="BR14" i="5"/>
  <c r="BR11" i="5" s="1"/>
  <c r="BQ14" i="5"/>
  <c r="BQ11" i="5" s="1"/>
  <c r="BP14" i="5"/>
  <c r="BP11" i="5" s="1"/>
  <c r="BO14" i="5"/>
  <c r="BO11" i="5" s="1"/>
  <c r="BN14" i="5"/>
  <c r="BN11" i="5" s="1"/>
  <c r="BM14" i="5"/>
  <c r="BM11" i="5" s="1"/>
  <c r="BM12" i="5" s="1"/>
  <c r="BT38" i="2"/>
  <c r="BQ38" i="2"/>
  <c r="BP38" i="2"/>
  <c r="BG36" i="3"/>
  <c r="AX4" i="3"/>
  <c r="AX15" i="3"/>
  <c r="BH16" i="3"/>
  <c r="BH4" i="3"/>
  <c r="T29" i="7"/>
  <c r="AO11" i="3"/>
  <c r="AP16" i="3"/>
  <c r="AP17" i="3"/>
  <c r="Q25" i="3"/>
  <c r="R25" i="3"/>
  <c r="G25" i="5"/>
  <c r="G11" i="5" s="1"/>
  <c r="O28" i="3"/>
  <c r="P35" i="3"/>
  <c r="N28" i="3"/>
  <c r="O37" i="5"/>
  <c r="Q37" i="5"/>
  <c r="S25" i="5"/>
  <c r="R25" i="5"/>
  <c r="I30" i="3"/>
  <c r="C11" i="5"/>
  <c r="P27" i="1"/>
  <c r="O27" i="1"/>
  <c r="Q11" i="3"/>
  <c r="P16" i="7" s="1"/>
  <c r="X43" i="5"/>
  <c r="AA38" i="3"/>
  <c r="AA11" i="3"/>
  <c r="Z16" i="7" s="1"/>
  <c r="Z17" i="7" s="1"/>
  <c r="Z30" i="7" s="1"/>
  <c r="AB38" i="3"/>
  <c r="AE32" i="3"/>
  <c r="AC43" i="5"/>
  <c r="C40" i="6"/>
  <c r="C42" i="6" s="1"/>
  <c r="AK38" i="3"/>
  <c r="AL38" i="3"/>
  <c r="AL35" i="3"/>
  <c r="AH35" i="3"/>
  <c r="AJ27" i="1"/>
  <c r="AL32" i="3"/>
  <c r="AT35" i="3"/>
  <c r="AV13" i="3"/>
  <c r="AV12" i="3"/>
  <c r="AU5" i="5"/>
  <c r="AU25" i="3" s="1"/>
  <c r="AV18" i="3"/>
  <c r="AT38" i="1"/>
  <c r="AT49" i="1" s="1"/>
  <c r="AX12" i="3"/>
  <c r="AY13" i="3"/>
  <c r="AV30" i="5"/>
  <c r="AX38" i="3"/>
  <c r="AU27" i="1"/>
  <c r="BF27" i="1"/>
  <c r="BI12" i="3"/>
  <c r="BB12" i="3"/>
  <c r="AZ27" i="1"/>
  <c r="BJ35" i="3"/>
  <c r="AV25" i="3"/>
  <c r="BA27" i="1"/>
  <c r="AY27" i="1"/>
  <c r="AX27" i="1"/>
  <c r="AW27" i="1"/>
  <c r="AX14" i="5"/>
  <c r="AX11" i="5" s="1"/>
  <c r="AY19" i="3"/>
  <c r="AY5" i="3"/>
  <c r="BM12" i="3"/>
  <c r="BM13" i="3"/>
  <c r="BL12" i="3"/>
  <c r="BL13" i="3"/>
  <c r="BK12" i="3"/>
  <c r="BK13" i="3"/>
  <c r="BL30" i="5"/>
  <c r="BJ27" i="1"/>
  <c r="BJ30" i="5"/>
  <c r="BH27" i="1"/>
  <c r="BI27" i="1"/>
  <c r="BM16" i="3"/>
  <c r="BM17" i="3"/>
  <c r="BL34" i="5"/>
  <c r="BL16" i="3"/>
  <c r="BL17" i="3"/>
  <c r="BK34" i="5"/>
  <c r="BK16" i="3"/>
  <c r="BK17" i="3"/>
  <c r="BJ34" i="5"/>
  <c r="BM5" i="3"/>
  <c r="BM18" i="3"/>
  <c r="BM21" i="3"/>
  <c r="BL5" i="5"/>
  <c r="BJ38" i="1"/>
  <c r="BJ49" i="1" s="1"/>
  <c r="BJ50" i="1" s="1"/>
  <c r="BL5" i="3"/>
  <c r="BL18" i="3"/>
  <c r="BL21" i="3"/>
  <c r="BK5" i="5"/>
  <c r="BK18" i="3"/>
  <c r="BK21" i="3"/>
  <c r="BJ5" i="5"/>
  <c r="BJ25" i="3" s="1"/>
  <c r="BH38" i="1"/>
  <c r="BH49" i="1" s="1"/>
  <c r="BH50" i="1" s="1"/>
  <c r="BK35" i="3"/>
  <c r="BK38" i="3"/>
  <c r="BL28" i="3"/>
  <c r="BM28" i="3"/>
  <c r="BL25" i="5"/>
  <c r="BK25" i="5"/>
  <c r="BJ25" i="5"/>
  <c r="BL14" i="5"/>
  <c r="BL11" i="5" s="1"/>
  <c r="BL27" i="3"/>
  <c r="BM27" i="3"/>
  <c r="BL26" i="3"/>
  <c r="BM26" i="3"/>
  <c r="CI12" i="5" l="1"/>
  <c r="CJ29" i="3"/>
  <c r="CH19" i="2"/>
  <c r="CH29" i="2" s="1"/>
  <c r="CH33" i="2" s="1"/>
  <c r="CH35" i="2" s="1"/>
  <c r="CH37" i="2" s="1"/>
  <c r="BX12" i="5"/>
  <c r="BX29" i="3"/>
  <c r="BY12" i="5"/>
  <c r="BY29" i="3"/>
  <c r="BZ12" i="5"/>
  <c r="BZ29" i="3"/>
  <c r="CA12" i="5"/>
  <c r="CA29" i="3"/>
  <c r="CB12" i="5"/>
  <c r="CB29" i="3"/>
  <c r="CC12" i="5"/>
  <c r="CC29" i="3"/>
  <c r="CD12" i="5"/>
  <c r="CD29" i="3"/>
  <c r="CE12" i="5"/>
  <c r="CE29" i="3"/>
  <c r="CF12" i="5"/>
  <c r="CF29" i="3"/>
  <c r="CH12" i="5"/>
  <c r="CI29" i="3"/>
  <c r="BX37" i="3"/>
  <c r="BX39" i="3"/>
  <c r="BX30" i="3"/>
  <c r="BY37" i="3"/>
  <c r="BY39" i="3"/>
  <c r="BY30" i="3"/>
  <c r="BZ37" i="3"/>
  <c r="BZ39" i="3"/>
  <c r="BZ30" i="3"/>
  <c r="CA37" i="3"/>
  <c r="CA39" i="3"/>
  <c r="CA30" i="3"/>
  <c r="CB37" i="3"/>
  <c r="CB39" i="3"/>
  <c r="CB30" i="3"/>
  <c r="CC37" i="3"/>
  <c r="CC39" i="3"/>
  <c r="CC30" i="3"/>
  <c r="CD37" i="3"/>
  <c r="CD39" i="3"/>
  <c r="CD30" i="3"/>
  <c r="CE37" i="3"/>
  <c r="CE39" i="3"/>
  <c r="CE30" i="3"/>
  <c r="CF37" i="3"/>
  <c r="CF39" i="3"/>
  <c r="CF30" i="3"/>
  <c r="CG37" i="3"/>
  <c r="CG39" i="3"/>
  <c r="CG30" i="3"/>
  <c r="CH37" i="3"/>
  <c r="CH39" i="3"/>
  <c r="CH30" i="3"/>
  <c r="CI37" i="3"/>
  <c r="CI39" i="3"/>
  <c r="CI30" i="3"/>
  <c r="CC27" i="1"/>
  <c r="CD27" i="1"/>
  <c r="CE27" i="1"/>
  <c r="CF27" i="1"/>
  <c r="BU27" i="1"/>
  <c r="BW11" i="3" s="1"/>
  <c r="BV27" i="1"/>
  <c r="BW27" i="1"/>
  <c r="BX27" i="1"/>
  <c r="BY27" i="1"/>
  <c r="BZ27" i="1"/>
  <c r="CA27" i="1"/>
  <c r="CB27" i="1"/>
  <c r="BM30" i="3"/>
  <c r="BN39" i="3"/>
  <c r="BN30" i="3"/>
  <c r="BO39" i="3"/>
  <c r="BL29" i="2"/>
  <c r="BL33" i="2" s="1"/>
  <c r="BN10" i="3"/>
  <c r="BN37" i="3"/>
  <c r="BO37" i="3"/>
  <c r="BN12" i="5"/>
  <c r="BN29" i="3"/>
  <c r="BP4" i="3"/>
  <c r="BP6" i="3"/>
  <c r="BQ9" i="3"/>
  <c r="BP11" i="3"/>
  <c r="BP14" i="3"/>
  <c r="BP15" i="3"/>
  <c r="BP16" i="3"/>
  <c r="BP17" i="3"/>
  <c r="BP20" i="3"/>
  <c r="BP21" i="3"/>
  <c r="BP22" i="3"/>
  <c r="BP23" i="3"/>
  <c r="BO4" i="5"/>
  <c r="BP9" i="3"/>
  <c r="BO11" i="3"/>
  <c r="BQ4" i="3"/>
  <c r="BQ6" i="3"/>
  <c r="BR9" i="3"/>
  <c r="BQ11" i="3"/>
  <c r="BQ14" i="3"/>
  <c r="BQ15" i="3"/>
  <c r="BQ16" i="3"/>
  <c r="BQ17" i="3"/>
  <c r="BQ20" i="3"/>
  <c r="BQ21" i="3"/>
  <c r="BQ22" i="3"/>
  <c r="BQ23" i="3"/>
  <c r="BP4" i="5"/>
  <c r="BR4" i="3"/>
  <c r="BR6" i="3"/>
  <c r="BS9" i="3"/>
  <c r="BR11" i="3"/>
  <c r="BR14" i="3"/>
  <c r="BR15" i="3"/>
  <c r="BR16" i="3"/>
  <c r="BR17" i="3"/>
  <c r="BR20" i="3"/>
  <c r="BR21" i="3"/>
  <c r="BR22" i="3"/>
  <c r="BR23" i="3"/>
  <c r="BQ4" i="5"/>
  <c r="BS4" i="3"/>
  <c r="BS6" i="3"/>
  <c r="BT9" i="3"/>
  <c r="BS11" i="3"/>
  <c r="BS14" i="3"/>
  <c r="BS15" i="3"/>
  <c r="BS16" i="3"/>
  <c r="BS17" i="3"/>
  <c r="BS20" i="3"/>
  <c r="BS21" i="3"/>
  <c r="BS22" i="3"/>
  <c r="BS23" i="3"/>
  <c r="BR4" i="5"/>
  <c r="BT4" i="3"/>
  <c r="BT6" i="3"/>
  <c r="BU9" i="3"/>
  <c r="BT11" i="3"/>
  <c r="BT14" i="3"/>
  <c r="BT15" i="3"/>
  <c r="BT16" i="3"/>
  <c r="BT17" i="3"/>
  <c r="BT20" i="3"/>
  <c r="BT21" i="3"/>
  <c r="BT22" i="3"/>
  <c r="BT23" i="3"/>
  <c r="BS4" i="5"/>
  <c r="BU4" i="3"/>
  <c r="BU6" i="3"/>
  <c r="BV9" i="3"/>
  <c r="BU11" i="3"/>
  <c r="BU14" i="3"/>
  <c r="BU15" i="3"/>
  <c r="BU16" i="3"/>
  <c r="BU17" i="3"/>
  <c r="BU20" i="3"/>
  <c r="BU21" i="3"/>
  <c r="BU22" i="3"/>
  <c r="BU23" i="3"/>
  <c r="BT4" i="5"/>
  <c r="BV4" i="3"/>
  <c r="BV6" i="3"/>
  <c r="BV11" i="3"/>
  <c r="BV14" i="3"/>
  <c r="BV15" i="3"/>
  <c r="BV16" i="3"/>
  <c r="BV17" i="3"/>
  <c r="BV20" i="3"/>
  <c r="BV21" i="3"/>
  <c r="BV22" i="3"/>
  <c r="BV23" i="3"/>
  <c r="BU4" i="5"/>
  <c r="BN25" i="3"/>
  <c r="BO36" i="3"/>
  <c r="BO24" i="3"/>
  <c r="BW30" i="3"/>
  <c r="BW37" i="3"/>
  <c r="BW39" i="3"/>
  <c r="BW10" i="3"/>
  <c r="BO30" i="3"/>
  <c r="BP39" i="3"/>
  <c r="BP37" i="3"/>
  <c r="BP30" i="3"/>
  <c r="BQ39" i="3"/>
  <c r="BQ37" i="3"/>
  <c r="BQ30" i="3"/>
  <c r="BR39" i="3"/>
  <c r="BR37" i="3"/>
  <c r="BR30" i="3"/>
  <c r="BS39" i="3"/>
  <c r="BS37" i="3"/>
  <c r="BS30" i="3"/>
  <c r="BT39" i="3"/>
  <c r="BT37" i="3"/>
  <c r="BT30" i="3"/>
  <c r="BU39" i="3"/>
  <c r="BU37" i="3"/>
  <c r="BU30" i="3"/>
  <c r="BV30" i="3"/>
  <c r="BV39" i="3"/>
  <c r="BV37" i="3"/>
  <c r="BO12" i="5"/>
  <c r="BO29" i="3"/>
  <c r="BP12" i="5"/>
  <c r="BP29" i="3"/>
  <c r="BQ12" i="5"/>
  <c r="BQ29" i="3"/>
  <c r="BR12" i="5"/>
  <c r="BR29" i="3"/>
  <c r="BS12" i="5"/>
  <c r="BS29" i="3"/>
  <c r="BT12" i="5"/>
  <c r="BT29" i="3"/>
  <c r="BU12" i="5"/>
  <c r="BU29" i="3"/>
  <c r="BV12" i="5"/>
  <c r="BV29" i="3"/>
  <c r="BW29" i="3"/>
  <c r="BR38" i="2"/>
  <c r="BS38" i="2"/>
  <c r="BO38" i="2"/>
  <c r="BL29" i="3"/>
  <c r="BM29" i="3"/>
  <c r="BL12" i="5"/>
  <c r="BK25" i="3"/>
  <c r="BL25" i="3"/>
  <c r="BM25" i="3"/>
  <c r="BL4" i="3"/>
  <c r="BL6" i="3"/>
  <c r="BL14" i="3"/>
  <c r="BL20" i="3"/>
  <c r="BL22" i="3"/>
  <c r="BL23" i="3"/>
  <c r="BK4" i="5"/>
  <c r="BI50" i="1"/>
  <c r="BL11" i="3"/>
  <c r="BM9" i="3"/>
  <c r="BL15" i="3"/>
  <c r="BK6" i="3"/>
  <c r="BK14" i="3"/>
  <c r="BK20" i="3"/>
  <c r="BK22" i="3"/>
  <c r="BK23" i="3"/>
  <c r="BJ4" i="5"/>
  <c r="BK4" i="3"/>
  <c r="BJ11" i="3"/>
  <c r="BK11" i="3"/>
  <c r="BK9" i="3"/>
  <c r="BL9" i="3"/>
  <c r="BK15" i="3"/>
  <c r="BM4" i="3"/>
  <c r="BM6" i="3"/>
  <c r="BM14" i="3"/>
  <c r="BM20" i="3"/>
  <c r="BM22" i="3"/>
  <c r="BM23" i="3"/>
  <c r="BL4" i="5"/>
  <c r="BM11" i="3"/>
  <c r="BM15" i="3"/>
  <c r="AX12" i="5"/>
  <c r="AY29" i="3"/>
  <c r="AW29" i="3"/>
  <c r="AY21" i="3"/>
  <c r="AY15" i="3"/>
  <c r="AY4" i="5"/>
  <c r="AY16" i="3"/>
  <c r="AY11" i="3"/>
  <c r="AY4" i="3"/>
  <c r="AY22" i="3"/>
  <c r="AY14" i="3"/>
  <c r="AY23" i="3"/>
  <c r="AY20" i="3"/>
  <c r="AY6" i="3"/>
  <c r="AY17" i="3"/>
  <c r="AX11" i="3"/>
  <c r="AZ9" i="3"/>
  <c r="AY9" i="3"/>
  <c r="AZ4" i="3"/>
  <c r="AZ15" i="3"/>
  <c r="AZ4" i="5"/>
  <c r="BA20" i="3"/>
  <c r="BA4" i="3"/>
  <c r="AZ23" i="3"/>
  <c r="AZ20" i="3"/>
  <c r="AZ22" i="3"/>
  <c r="AZ14" i="3"/>
  <c r="AZ21" i="3"/>
  <c r="AZ16" i="3"/>
  <c r="AZ6" i="3"/>
  <c r="AZ17" i="3"/>
  <c r="AZ11" i="3"/>
  <c r="BA9" i="3"/>
  <c r="BA21" i="3"/>
  <c r="BA6" i="3"/>
  <c r="BA15" i="3"/>
  <c r="BB4" i="3"/>
  <c r="BB21" i="3"/>
  <c r="BB15" i="3"/>
  <c r="BB22" i="3"/>
  <c r="BB14" i="3"/>
  <c r="BB6" i="3"/>
  <c r="BB20" i="3"/>
  <c r="BA4" i="5"/>
  <c r="BA23" i="3"/>
  <c r="BA17" i="3"/>
  <c r="BB9" i="3"/>
  <c r="BA22" i="3"/>
  <c r="BA14" i="3"/>
  <c r="BA16" i="3"/>
  <c r="BA11" i="3"/>
  <c r="BC9" i="3"/>
  <c r="BD20" i="3"/>
  <c r="BD16" i="3"/>
  <c r="BD4" i="3"/>
  <c r="BD21" i="3"/>
  <c r="BD17" i="3"/>
  <c r="BC4" i="5"/>
  <c r="BD22" i="3"/>
  <c r="BD14" i="3"/>
  <c r="BD6" i="3"/>
  <c r="BD23" i="3"/>
  <c r="BD15" i="3"/>
  <c r="BC16" i="3"/>
  <c r="BC11" i="3"/>
  <c r="BE9" i="3"/>
  <c r="BC15" i="3"/>
  <c r="BC23" i="3"/>
  <c r="BC14" i="3"/>
  <c r="BC22" i="3"/>
  <c r="BC6" i="3"/>
  <c r="BB4" i="5"/>
  <c r="BC17" i="3"/>
  <c r="BC21" i="3"/>
  <c r="BC4" i="3"/>
  <c r="BB23" i="3"/>
  <c r="BB11" i="3"/>
  <c r="BC20" i="3"/>
  <c r="BB17" i="3"/>
  <c r="BB16" i="3"/>
  <c r="BD9" i="3"/>
  <c r="BI15" i="3"/>
  <c r="BI22" i="3"/>
  <c r="BH4" i="5"/>
  <c r="BI4" i="3"/>
  <c r="BI17" i="3"/>
  <c r="BI14" i="3"/>
  <c r="BI6" i="3"/>
  <c r="BI20" i="3"/>
  <c r="BI23" i="3"/>
  <c r="BI16" i="3"/>
  <c r="BI21" i="3"/>
  <c r="BI11" i="3"/>
  <c r="BG11" i="3"/>
  <c r="BH11" i="3"/>
  <c r="BI9" i="3"/>
  <c r="BJ9" i="3"/>
  <c r="AW14" i="3"/>
  <c r="AV11" i="3"/>
  <c r="AW17" i="3"/>
  <c r="AW23" i="3"/>
  <c r="AW20" i="3"/>
  <c r="AV4" i="5"/>
  <c r="AW21" i="3"/>
  <c r="AW6" i="3"/>
  <c r="AW4" i="3"/>
  <c r="AW22" i="3"/>
  <c r="AW16" i="3"/>
  <c r="AW15" i="3"/>
  <c r="AW11" i="3"/>
  <c r="AW9" i="3"/>
  <c r="AX9" i="3"/>
  <c r="AL20" i="3"/>
  <c r="AL14" i="3"/>
  <c r="AL16" i="3"/>
  <c r="AL22" i="3"/>
  <c r="AL11" i="3"/>
  <c r="AL4" i="3"/>
  <c r="AL23" i="3"/>
  <c r="AL21" i="3"/>
  <c r="AK4" i="5"/>
  <c r="AL15" i="3"/>
  <c r="AL17" i="3"/>
  <c r="AL6" i="3"/>
  <c r="AK11" i="3"/>
  <c r="AL9" i="3"/>
  <c r="AM9" i="3"/>
  <c r="Q17" i="3"/>
  <c r="Q15" i="3"/>
  <c r="P22" i="7" s="1"/>
  <c r="O51" i="1"/>
  <c r="O14" i="8"/>
  <c r="Q16" i="3"/>
  <c r="Q6" i="3"/>
  <c r="Q21" i="3"/>
  <c r="Q22" i="3"/>
  <c r="Q23" i="3"/>
  <c r="Q20" i="3"/>
  <c r="P4" i="5"/>
  <c r="Q4" i="3"/>
  <c r="Q14" i="3"/>
  <c r="P11" i="3"/>
  <c r="O16" i="7" s="1"/>
  <c r="O17" i="7" s="1"/>
  <c r="O30" i="7" s="1"/>
  <c r="R9" i="3"/>
  <c r="Q14" i="7" s="1"/>
  <c r="Q9" i="3"/>
  <c r="P14" i="7" s="1"/>
  <c r="P17" i="7" s="1"/>
  <c r="R4" i="3"/>
  <c r="P51" i="1"/>
  <c r="R17" i="3"/>
  <c r="R23" i="3"/>
  <c r="R6" i="3"/>
  <c r="R15" i="3"/>
  <c r="Q22" i="7" s="1"/>
  <c r="R21" i="3"/>
  <c r="Q4" i="5"/>
  <c r="R22" i="3"/>
  <c r="R16" i="3"/>
  <c r="R20" i="3"/>
  <c r="R14" i="3"/>
  <c r="P14" i="8"/>
  <c r="R11" i="3"/>
  <c r="Q16" i="7" s="1"/>
  <c r="S9" i="3"/>
  <c r="R14" i="7" s="1"/>
  <c r="R17" i="7" s="1"/>
  <c r="R30" i="7" s="1"/>
  <c r="C12" i="5"/>
  <c r="D29" i="3"/>
  <c r="R37" i="3"/>
  <c r="R39" i="3"/>
  <c r="R30" i="3"/>
  <c r="Q30" i="3"/>
  <c r="P39" i="3"/>
  <c r="P37" i="3"/>
  <c r="O30" i="3"/>
  <c r="P30" i="3"/>
  <c r="G12" i="5"/>
  <c r="G29" i="3"/>
  <c r="H29" i="3"/>
  <c r="BL35" i="2" l="1"/>
  <c r="BL37" i="2" s="1"/>
  <c r="BN9" i="3"/>
  <c r="BM24" i="3"/>
  <c r="BN36" i="3"/>
  <c r="BN24" i="3"/>
  <c r="BV24" i="3"/>
  <c r="BW36" i="3"/>
  <c r="BW24" i="3"/>
  <c r="BU24" i="3"/>
  <c r="BV36" i="3"/>
  <c r="BT24" i="3"/>
  <c r="BU36" i="3"/>
  <c r="BS24" i="3"/>
  <c r="BT36" i="3"/>
  <c r="BR24" i="3"/>
  <c r="BS36" i="3"/>
  <c r="BQ24" i="3"/>
  <c r="BR36" i="3"/>
  <c r="BP24" i="3"/>
  <c r="BP36" i="3"/>
  <c r="BQ36" i="3"/>
  <c r="BU38" i="2"/>
  <c r="BW9" i="3"/>
  <c r="Q21" i="7"/>
  <c r="Q23" i="7" s="1"/>
  <c r="P13" i="8"/>
  <c r="P9" i="8"/>
  <c r="Q25" i="7"/>
  <c r="S36" i="3"/>
  <c r="R24" i="3"/>
  <c r="S24" i="3"/>
  <c r="Q7" i="7"/>
  <c r="P5" i="8"/>
  <c r="P10" i="8"/>
  <c r="Q26" i="7"/>
  <c r="P4" i="8"/>
  <c r="Q6" i="7"/>
  <c r="Q9" i="7" s="1"/>
  <c r="Q17" i="7"/>
  <c r="P21" i="7"/>
  <c r="P23" i="7" s="1"/>
  <c r="O13" i="8"/>
  <c r="O4" i="8"/>
  <c r="P6" i="7"/>
  <c r="R36" i="3"/>
  <c r="Q24" i="3"/>
  <c r="Q36" i="3"/>
  <c r="P7" i="7"/>
  <c r="O5" i="8"/>
  <c r="P25" i="7"/>
  <c r="O9" i="8"/>
  <c r="P26" i="7"/>
  <c r="O10" i="8"/>
  <c r="AL24" i="3"/>
  <c r="AM36" i="3"/>
  <c r="AM24" i="3"/>
  <c r="AL36" i="3"/>
  <c r="AW24" i="3"/>
  <c r="AX24" i="3"/>
  <c r="AW36" i="3"/>
  <c r="BJ24" i="3"/>
  <c r="BI36" i="3"/>
  <c r="BI24" i="3"/>
  <c r="BJ36" i="3"/>
  <c r="BD36" i="3"/>
  <c r="BC24" i="3"/>
  <c r="BD24" i="3"/>
  <c r="BE36" i="3"/>
  <c r="BE24" i="3"/>
  <c r="BB24" i="3"/>
  <c r="BC36" i="3"/>
  <c r="BA24" i="3"/>
  <c r="BB36" i="3"/>
  <c r="AZ24" i="3"/>
  <c r="BA36" i="3"/>
  <c r="AZ36" i="3"/>
  <c r="BK24" i="3"/>
  <c r="BL36" i="3"/>
  <c r="BK36" i="3"/>
  <c r="BL24" i="3"/>
  <c r="BM36" i="3"/>
  <c r="BM38" i="2" l="1"/>
  <c r="BL38" i="2"/>
  <c r="P29" i="7"/>
  <c r="P9" i="7"/>
  <c r="P30" i="7" s="1"/>
  <c r="Q30" i="7"/>
  <c r="Q29" i="7"/>
  <c r="CG11" i="5"/>
  <c r="CG29" i="3"/>
  <c r="CH29" i="3" l="1"/>
  <c r="CG12" i="5"/>
</calcChain>
</file>

<file path=xl/sharedStrings.xml><?xml version="1.0" encoding="utf-8"?>
<sst xmlns="http://schemas.openxmlformats.org/spreadsheetml/2006/main" count="400" uniqueCount="297">
  <si>
    <t>2010 Audited</t>
  </si>
  <si>
    <t>2011 Audited</t>
  </si>
  <si>
    <t>2012 Audited</t>
  </si>
  <si>
    <t>2013 Audited</t>
  </si>
  <si>
    <t>2014 Audited</t>
  </si>
  <si>
    <t>2015 Audited</t>
  </si>
  <si>
    <t>Audited-2016</t>
  </si>
  <si>
    <t>Audited 2017</t>
  </si>
  <si>
    <t>Audited 2018</t>
  </si>
  <si>
    <t>Aud-19</t>
  </si>
  <si>
    <t>Audited 2020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</si>
  <si>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</si>
  <si>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</si>
  <si>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</si>
  <si>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</si>
  <si>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</si>
  <si>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</si>
  <si>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</si>
  <si>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</si>
  <si>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</si>
  <si>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</si>
  <si>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</si>
  <si>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</si>
  <si>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</si>
  <si>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</si>
  <si>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</si>
  <si>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</si>
  <si>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</si>
  <si>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-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</si>
  <si>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</si>
  <si>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</si>
  <si>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</si>
  <si>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</si>
  <si>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</si>
  <si>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</si>
  <si>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</si>
  <si>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</si>
  <si>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</si>
  <si>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</si>
  <si>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</si>
  <si>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</si>
  <si>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</si>
  <si>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</si>
  <si>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</si>
  <si>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</si>
  <si>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</si>
  <si>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</si>
  <si>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</si>
  <si>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</si>
  <si>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</si>
  <si>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</si>
  <si>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</si>
  <si>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</si>
  <si>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</si>
  <si>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</si>
  <si>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</si>
  <si>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</si>
  <si>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</si>
  <si>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</si>
  <si>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</si>
  <si>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Audited -19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</si>
  <si>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</si>
  <si>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</si>
  <si>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</si>
  <si>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</si>
  <si>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</si>
  <si>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</si>
  <si>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</si>
  <si>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</si>
  <si>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</si>
  <si>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</si>
  <si>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</si>
  <si>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</si>
  <si>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</si>
  <si>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</si>
  <si>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</si>
  <si>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</si>
  <si>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</si>
  <si>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</si>
  <si>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</si>
  <si>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</si>
  <si>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</si>
  <si>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</si>
  <si>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</si>
  <si>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</si>
  <si>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</si>
  <si>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</si>
  <si>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</si>
  <si>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</si>
  <si>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</si>
  <si>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</si>
  <si>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</si>
  <si>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</si>
  <si>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</si>
  <si>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</si>
  <si>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</si>
  <si>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</si>
  <si>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</si>
  <si>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</si>
  <si>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</si>
  <si>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</si>
  <si>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</si>
  <si>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</si>
  <si>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</si>
  <si>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</si>
  <si>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</si>
  <si>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</si>
  <si>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</si>
  <si>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NPL</t>
  </si>
  <si>
    <t>NPL%</t>
  </si>
  <si>
    <t>MAFANIKIO  SACCO 2017 CAELS</t>
  </si>
  <si>
    <t>2016 Audited</t>
  </si>
  <si>
    <t>Audited-19</t>
  </si>
  <si>
    <t>CAPITAL ADEQUACY</t>
  </si>
  <si>
    <t>Core Capital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</si>
  <si>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</si>
  <si>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</si>
  <si>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</si>
  <si>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</si>
  <si>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</si>
  <si>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</si>
  <si>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</si>
  <si>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</si>
  <si>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</si>
  <si>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</si>
  <si>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</si>
  <si>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</si>
  <si>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</si>
  <si>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</si>
  <si>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</si>
  <si>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</si>
  <si>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</si>
  <si>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</si>
  <si>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</si>
  <si>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</si>
  <si>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</si>
  <si>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</si>
  <si>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</si>
  <si>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</si>
  <si>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</si>
  <si>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</si>
  <si>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</si>
  <si>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</si>
  <si>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</si>
  <si>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</si>
  <si>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</si>
  <si>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</si>
  <si>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</si>
  <si>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</si>
  <si>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Deposits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</si>
  <si>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</si>
  <si>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</si>
  <si>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</si>
  <si>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</si>
  <si>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</si>
  <si>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</si>
  <si>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</si>
  <si>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</si>
  <si>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</si>
  <si>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</si>
  <si>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</si>
  <si>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</si>
  <si>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</si>
  <si>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</si>
  <si>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</si>
  <si>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</si>
  <si>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MAFANIKIO Sacco Financial Performance</t>
  </si>
  <si>
    <t>Year</t>
  </si>
  <si>
    <t>Audited-18</t>
  </si>
  <si>
    <t>Audited 19</t>
  </si>
  <si>
    <t>Deposits-Members(BOSA)</t>
  </si>
  <si>
    <t>Deposits-Customers(FOSA)</t>
  </si>
  <si>
    <t>External Borrowing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</si>
  <si>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</si>
  <si>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</si>
  <si>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</si>
  <si>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</si>
  <si>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</si>
  <si>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</si>
  <si>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</si>
  <si>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</si>
  <si>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</si>
  <si>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</si>
  <si>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</si>
  <si>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</si>
  <si>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</si>
  <si>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</si>
  <si>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</si>
  <si>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</si>
  <si>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</si>
  <si>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</si>
  <si>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</si>
  <si>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</si>
  <si>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</si>
  <si>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</si>
  <si>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</si>
  <si>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</si>
  <si>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</si>
  <si>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</si>
  <si>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</si>
  <si>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</si>
  <si>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</si>
  <si>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</si>
  <si>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</si>
  <si>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</si>
  <si>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</si>
  <si>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</si>
  <si>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</si>
  <si>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</si>
  <si>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APPLIED RATE(All Instances)</t>
  </si>
  <si>
    <t>CAELS RATINGS ECO-PILLAR SACCO</t>
  </si>
  <si>
    <t>FINANCIAL SOUNDNESS INDICATORS</t>
  </si>
  <si>
    <t>Prude.  Std</t>
  </si>
  <si>
    <t>Audited</t>
  </si>
  <si>
    <t>CAPITAL</t>
  </si>
  <si>
    <t>CORE CAPITAL</t>
  </si>
  <si>
    <t>≥ Ksh.10M</t>
  </si>
  <si>
    <t>≥ 10%</t>
  </si>
  <si>
    <t>≥ 8%</t>
  </si>
  <si>
    <t>Asset Quality</t>
  </si>
  <si>
    <t>≤ 6%</t>
  </si>
  <si>
    <t>Earnings</t>
  </si>
  <si>
    <t>CIR</t>
  </si>
  <si>
    <t>OER</t>
  </si>
  <si>
    <t>MIN LIQ</t>
  </si>
  <si>
    <t>TECH LIQ</t>
  </si>
  <si>
    <t>EB</t>
  </si>
  <si>
    <t>≤ 25%</t>
  </si>
  <si>
    <t>LIQ/TA</t>
  </si>
  <si>
    <t>NEA</t>
  </si>
  <si>
    <t>≤ 10%</t>
  </si>
  <si>
    <t>LB</t>
  </si>
  <si>
    <t>≤ 5%</t>
  </si>
  <si>
    <t>FITD</t>
  </si>
  <si>
    <t>FICC</t>
  </si>
  <si>
    <t>≤ 40%</t>
  </si>
  <si>
    <t>FINAL RATING</t>
  </si>
  <si>
    <t>2011 audited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</si>
  <si>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</si>
  <si>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</si>
  <si>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</si>
  <si>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</si>
  <si>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</si>
  <si>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</si>
  <si>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</si>
  <si>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</si>
  <si>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</si>
  <si>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 (Max 25%)</t>
  </si>
  <si>
    <t>A=S+L</t>
  </si>
  <si>
    <t>STATEMENT OF CASHFLOWS FOR THE YEAR ENDED 31ST DECEMBER 2015</t>
  </si>
  <si>
    <t>Audited -2017</t>
  </si>
  <si>
    <t>Audited -2018</t>
  </si>
  <si>
    <t>Cash flows from operating activities</t>
  </si>
  <si>
    <t>Interest receipts</t>
  </si>
  <si>
    <t>Non interest receipts</t>
  </si>
  <si>
    <t>Interest Payments</t>
  </si>
  <si>
    <t>Payment to employees and suppliers</t>
  </si>
  <si>
    <t>Prior year adjustment</t>
  </si>
  <si>
    <t>(Increase)/Decrease in Operating assets</t>
  </si>
  <si>
    <t>Net loans to members</t>
  </si>
  <si>
    <t>Recievables and prepayments</t>
  </si>
  <si>
    <t>Trade and Other Receivables</t>
  </si>
  <si>
    <t>Short term investments</t>
  </si>
  <si>
    <t>Increase/(Decrease) in Operating liabilities</t>
  </si>
  <si>
    <t>Deposits from members</t>
  </si>
  <si>
    <t>Trade and Accrued Expenses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</si>
  <si>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</si>
  <si>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</si>
  <si>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</si>
  <si>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</si>
  <si>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</si>
  <si>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</si>
  <si>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</si>
  <si>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Increase in Other Assets</t>
  </si>
  <si>
    <t>Purchase of Investment Securities</t>
  </si>
  <si>
    <t>Dividends Received</t>
  </si>
  <si>
    <t>Net Cash from investing activities</t>
  </si>
  <si>
    <t>Cashflow from financing activities</t>
  </si>
  <si>
    <t>Share capital contributions</t>
  </si>
  <si>
    <t>Proceeds from long-term borrowings</t>
  </si>
  <si>
    <t>Prior Year Adjustments</t>
  </si>
  <si>
    <t>Payment of Sinking Fund</t>
  </si>
  <si>
    <t>Repayments of long term borrowings</t>
  </si>
  <si>
    <t>Dividend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</si>
  <si>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</si>
  <si>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</si>
  <si>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</si>
  <si>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</si>
  <si>
    <t>Annual Average growth</t>
  </si>
  <si>
    <t>FINANCIAL INCOME</t>
  </si>
  <si>
    <t>OPERATING EXPENSES</t>
  </si>
  <si>
    <t>Personnel Expenses</t>
  </si>
  <si>
    <t>Depreciation and Amortization Charges</t>
  </si>
  <si>
    <t>TOTAL EXPENSES</t>
  </si>
  <si>
    <t>% of  Total Income</t>
  </si>
  <si>
    <t>% of Operating Expenses</t>
  </si>
  <si>
    <t>% of  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</si>
</sst>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[$-10409]#,##0.00;\-\ #,##0.00"/>
    <numFmt numFmtId="165" formatCode="[$-10409]0.00;\-\ 0.00"/>
    <numFmt numFmtId="166" formatCode="_(* #,##0.00_);_(* \(#,##0.00\);_(* \-??_);_(@_)"/>
    <numFmt numFmtId="167" formatCode="d/mmm/yy"/>
    <numFmt numFmtId="168" formatCode="\£#,##0;&quot;-£&quot;#,##0"/>
    <numFmt numFmtId="169" formatCode="_-* #,##0.00_-;\-* #,##0.00_-;_-* \-??_-;_-@_-"/>
    <numFmt numFmtId="170" formatCode="0.0%"/>
    <numFmt numFmtId="171" formatCode="_(* #,##0.0_);_(* \(#,##0.0\);_(* \-??_);_(@_)"/>
    <numFmt numFmtId="172" formatCode="#,##0.00_);\-#,##0.00"/>
    <numFmt numFmtId="173" formatCode="0.0"/>
    <numFmt numFmtId="174" formatCode="_(* #,##0_);_(* \(#,##0\);_(* &quot;-&quot;??_);_(@_)"/>
  </numFmts>
  <fonts count="6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u/>
      <sz val="10"/>
      <color indexed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.5"/>
      <name val="Cambria"/>
      <family val="1"/>
    </font>
    <font>
      <sz val="11"/>
      <color indexed="8"/>
      <name val="Cambria"/>
      <family val="1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 val="singleAccounting"/>
      <sz val="11"/>
      <name val="Arial"/>
      <family val="2"/>
    </font>
    <font>
      <sz val="10"/>
      <name val="Tahoma"/>
      <family val="2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u val="singleAccounting"/>
      <sz val="11"/>
      <color theme="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2"/>
      <name val="Cambria"/>
      <family val="1"/>
      <scheme val="major"/>
    </font>
    <font>
      <b/>
      <u/>
      <sz val="11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mbria"/>
      <family val="1"/>
      <scheme val="major"/>
    </font>
    <font>
      <i/>
      <sz val="14"/>
      <color theme="1"/>
      <name val="Cambria"/>
      <family val="1"/>
      <scheme val="major"/>
    </font>
    <font>
      <sz val="14"/>
      <color theme="1"/>
      <name val="Cambria"/>
      <family val="1"/>
    </font>
    <font>
      <sz val="14"/>
      <color rgb="FF000000"/>
      <name val="Cambria"/>
      <family val="1"/>
      <scheme val="major"/>
    </font>
    <font>
      <sz val="11"/>
      <name val="Calibri"/>
      <family val="2"/>
      <scheme val="minor"/>
    </font>
    <font>
      <sz val="14"/>
      <color theme="1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AA520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0.39997558519241921"/>
      </left>
      <right style="thin">
        <color theme="3"/>
      </right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3"/>
      </left>
      <right/>
      <top style="thin">
        <color indexed="64"/>
      </top>
      <bottom style="thin">
        <color indexed="64"/>
      </bottom>
      <diagonal/>
    </border>
  </borders>
  <cellStyleXfs count="444">
    <xf numFmtId="0" fontId="0" fillId="0" borderId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2" applyNumberFormat="0" applyAlignment="0" applyProtection="0"/>
    <xf numFmtId="43" fontId="35" fillId="0" borderId="0" applyFont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7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8" fontId="1" fillId="0" borderId="0" applyFill="0" applyBorder="0" applyAlignment="0" applyProtection="0"/>
    <xf numFmtId="166" fontId="1" fillId="0" borderId="0" applyFill="0" applyBorder="0" applyAlignment="0" applyProtection="0"/>
    <xf numFmtId="169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43" fontId="1" fillId="0" borderId="0" applyFill="0" applyBorder="0" applyAlignment="0" applyProtection="0"/>
    <xf numFmtId="166" fontId="1" fillId="0" borderId="0" applyFill="0" applyBorder="0" applyAlignment="0" applyProtection="0"/>
    <xf numFmtId="43" fontId="20" fillId="0" borderId="0" applyFont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9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166" fontId="1" fillId="0" borderId="0" applyFill="0" applyBorder="0" applyAlignment="0" applyProtection="0"/>
    <xf numFmtId="0" fontId="12" fillId="6" borderId="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7" borderId="3" applyNumberFormat="0" applyAlignment="0" applyProtection="0"/>
    <xf numFmtId="9" fontId="3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ill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</cellStyleXfs>
  <cellXfs count="278">
    <xf numFmtId="0" fontId="0" fillId="0" borderId="0" xfId="0"/>
    <xf numFmtId="0" fontId="17" fillId="0" borderId="5" xfId="278" applyFont="1" applyBorder="1" applyAlignment="1">
      <alignment horizontal="left" vertical="top" wrapText="1"/>
    </xf>
    <xf numFmtId="0" fontId="0" fillId="0" borderId="6" xfId="0" applyBorder="1"/>
    <xf numFmtId="17" fontId="36" fillId="0" borderId="0" xfId="0" applyNumberFormat="1" applyFont="1"/>
    <xf numFmtId="0" fontId="16" fillId="0" borderId="5" xfId="241" applyFont="1" applyBorder="1" applyAlignment="1">
      <alignment wrapText="1"/>
    </xf>
    <xf numFmtId="0" fontId="17" fillId="0" borderId="5" xfId="241" applyFont="1" applyBorder="1" applyAlignment="1">
      <alignment wrapText="1"/>
    </xf>
    <xf numFmtId="43" fontId="1" fillId="0" borderId="5" xfId="93" applyBorder="1" applyAlignment="1">
      <alignment wrapText="1"/>
    </xf>
    <xf numFmtId="43" fontId="1" fillId="0" borderId="5" xfId="93" applyBorder="1" applyAlignment="1">
      <alignment horizontal="center" wrapText="1"/>
    </xf>
    <xf numFmtId="0" fontId="6" fillId="0" borderId="7" xfId="0" applyFont="1" applyBorder="1" applyAlignment="1" applyProtection="1">
      <alignment vertical="top" wrapText="1" readingOrder="1"/>
      <protection locked="0"/>
    </xf>
    <xf numFmtId="0" fontId="8" fillId="0" borderId="7" xfId="0" applyFont="1" applyBorder="1" applyAlignment="1" applyProtection="1">
      <alignment vertical="top" wrapText="1" readingOrder="1"/>
      <protection locked="0"/>
    </xf>
    <xf numFmtId="0" fontId="7" fillId="0" borderId="7" xfId="0" applyFont="1" applyBorder="1" applyAlignment="1" applyProtection="1">
      <alignment vertical="top" wrapText="1" readingOrder="1"/>
      <protection locked="0"/>
    </xf>
    <xf numFmtId="164" fontId="7" fillId="0" borderId="7" xfId="0" applyNumberFormat="1" applyFont="1" applyBorder="1" applyAlignment="1" applyProtection="1">
      <alignment vertical="top" wrapText="1" readingOrder="1"/>
      <protection locked="0"/>
    </xf>
    <xf numFmtId="165" fontId="7" fillId="0" borderId="7" xfId="0" applyNumberFormat="1" applyFont="1" applyBorder="1" applyAlignment="1" applyProtection="1">
      <alignment vertical="top" wrapText="1" readingOrder="1"/>
      <protection locked="0"/>
    </xf>
    <xf numFmtId="0" fontId="2" fillId="0" borderId="7" xfId="0" applyFont="1" applyBorder="1" applyAlignment="1" applyProtection="1">
      <alignment vertical="top" wrapText="1" readingOrder="1"/>
      <protection locked="0"/>
    </xf>
    <xf numFmtId="0" fontId="3" fillId="8" borderId="7" xfId="0" applyFont="1" applyFill="1" applyBorder="1" applyAlignment="1" applyProtection="1">
      <alignment vertical="top" wrapText="1" readingOrder="1"/>
      <protection locked="0"/>
    </xf>
    <xf numFmtId="0" fontId="3" fillId="0" borderId="7" xfId="0" applyFont="1" applyBorder="1" applyAlignment="1" applyProtection="1">
      <alignment vertical="top" wrapText="1" readingOrder="1"/>
      <protection locked="0"/>
    </xf>
    <xf numFmtId="0" fontId="4" fillId="0" borderId="7" xfId="0" applyFont="1" applyBorder="1" applyAlignment="1" applyProtection="1">
      <alignment vertical="top" wrapText="1" readingOrder="1"/>
      <protection locked="0"/>
    </xf>
    <xf numFmtId="164" fontId="4" fillId="0" borderId="7" xfId="0" applyNumberFormat="1" applyFont="1" applyBorder="1" applyAlignment="1" applyProtection="1">
      <alignment vertical="top" wrapText="1" readingOrder="1"/>
      <protection locked="0"/>
    </xf>
    <xf numFmtId="0" fontId="3" fillId="9" borderId="7" xfId="0" applyFont="1" applyFill="1" applyBorder="1" applyAlignment="1" applyProtection="1">
      <alignment vertical="top" wrapText="1" readingOrder="1"/>
      <protection locked="0"/>
    </xf>
    <xf numFmtId="164" fontId="0" fillId="0" borderId="0" xfId="0" applyNumberFormat="1"/>
    <xf numFmtId="1" fontId="16" fillId="0" borderId="5" xfId="241" applyNumberFormat="1" applyFont="1" applyBorder="1" applyAlignment="1">
      <alignment wrapText="1"/>
    </xf>
    <xf numFmtId="43" fontId="8" fillId="0" borderId="7" xfId="27" applyFont="1" applyBorder="1" applyAlignment="1" applyProtection="1">
      <alignment vertical="top" wrapText="1" readingOrder="1"/>
      <protection locked="0"/>
    </xf>
    <xf numFmtId="43" fontId="7" fillId="0" borderId="7" xfId="27" applyFont="1" applyBorder="1" applyAlignment="1" applyProtection="1">
      <alignment vertical="top" wrapText="1" readingOrder="1"/>
      <protection locked="0"/>
    </xf>
    <xf numFmtId="43" fontId="3" fillId="0" borderId="7" xfId="27" applyFont="1" applyBorder="1" applyAlignment="1" applyProtection="1">
      <alignment vertical="top" wrapText="1" readingOrder="1"/>
      <protection locked="0"/>
    </xf>
    <xf numFmtId="43" fontId="4" fillId="0" borderId="7" xfId="27" applyFont="1" applyBorder="1" applyAlignment="1" applyProtection="1">
      <alignment vertical="top" wrapText="1" readingOrder="1"/>
      <protection locked="0"/>
    </xf>
    <xf numFmtId="0" fontId="21" fillId="11" borderId="7" xfId="0" applyFont="1" applyFill="1" applyBorder="1" applyAlignment="1" applyProtection="1">
      <alignment vertical="top" wrapText="1" readingOrder="1"/>
      <protection locked="0"/>
    </xf>
    <xf numFmtId="10" fontId="35" fillId="0" borderId="0" xfId="438" applyNumberFormat="1" applyFont="1"/>
    <xf numFmtId="164" fontId="8" fillId="0" borderId="7" xfId="0" applyNumberFormat="1" applyFont="1" applyBorder="1" applyAlignment="1" applyProtection="1">
      <alignment vertical="top" wrapText="1" readingOrder="1"/>
      <protection locked="0"/>
    </xf>
    <xf numFmtId="0" fontId="36" fillId="0" borderId="0" xfId="0" applyFont="1"/>
    <xf numFmtId="43" fontId="16" fillId="0" borderId="5" xfId="27" applyFont="1" applyBorder="1" applyAlignment="1">
      <alignment wrapText="1"/>
    </xf>
    <xf numFmtId="17" fontId="8" fillId="8" borderId="7" xfId="0" applyNumberFormat="1" applyFont="1" applyFill="1" applyBorder="1" applyAlignment="1" applyProtection="1">
      <alignment vertical="top" wrapText="1" readingOrder="1"/>
      <protection locked="0"/>
    </xf>
    <xf numFmtId="17" fontId="3" fillId="8" borderId="7" xfId="0" applyNumberFormat="1" applyFont="1" applyFill="1" applyBorder="1" applyAlignment="1" applyProtection="1">
      <alignment vertical="top" wrapText="1" readingOrder="1"/>
      <protection locked="0"/>
    </xf>
    <xf numFmtId="164" fontId="3" fillId="10" borderId="7" xfId="0" applyNumberFormat="1" applyFont="1" applyFill="1" applyBorder="1" applyAlignment="1" applyProtection="1">
      <alignment vertical="top" wrapText="1" readingOrder="1"/>
      <protection locked="0"/>
    </xf>
    <xf numFmtId="0" fontId="37" fillId="0" borderId="6" xfId="0" applyFont="1" applyBorder="1"/>
    <xf numFmtId="43" fontId="37" fillId="0" borderId="6" xfId="27" applyFont="1" applyBorder="1"/>
    <xf numFmtId="0" fontId="38" fillId="0" borderId="6" xfId="0" applyFont="1" applyBorder="1"/>
    <xf numFmtId="0" fontId="39" fillId="0" borderId="6" xfId="0" applyFont="1" applyBorder="1"/>
    <xf numFmtId="173" fontId="38" fillId="0" borderId="6" xfId="0" applyNumberFormat="1" applyFont="1" applyBorder="1"/>
    <xf numFmtId="9" fontId="39" fillId="0" borderId="6" xfId="438" applyFont="1" applyBorder="1"/>
    <xf numFmtId="0" fontId="40" fillId="0" borderId="6" xfId="0" applyFont="1" applyBorder="1"/>
    <xf numFmtId="0" fontId="41" fillId="0" borderId="6" xfId="0" applyFont="1" applyBorder="1"/>
    <xf numFmtId="173" fontId="38" fillId="0" borderId="6" xfId="0" applyNumberFormat="1" applyFont="1" applyBorder="1" applyAlignment="1">
      <alignment horizontal="right"/>
    </xf>
    <xf numFmtId="174" fontId="39" fillId="0" borderId="6" xfId="0" applyNumberFormat="1" applyFont="1" applyBorder="1"/>
    <xf numFmtId="0" fontId="42" fillId="0" borderId="6" xfId="0" applyFont="1" applyBorder="1"/>
    <xf numFmtId="43" fontId="0" fillId="0" borderId="0" xfId="0" applyNumberFormat="1"/>
    <xf numFmtId="173" fontId="42" fillId="0" borderId="6" xfId="0" applyNumberFormat="1" applyFont="1" applyBorder="1"/>
    <xf numFmtId="0" fontId="0" fillId="0" borderId="8" xfId="0" applyBorder="1"/>
    <xf numFmtId="0" fontId="37" fillId="0" borderId="9" xfId="0" applyFont="1" applyBorder="1"/>
    <xf numFmtId="0" fontId="21" fillId="11" borderId="6" xfId="0" applyFont="1" applyFill="1" applyBorder="1" applyAlignment="1" applyProtection="1">
      <alignment horizontal="center" vertical="top" readingOrder="1"/>
      <protection locked="0"/>
    </xf>
    <xf numFmtId="0" fontId="21" fillId="11" borderId="6" xfId="0" applyFont="1" applyFill="1" applyBorder="1" applyAlignment="1" applyProtection="1">
      <alignment vertical="top" readingOrder="1"/>
      <protection locked="0"/>
    </xf>
    <xf numFmtId="17" fontId="8" fillId="8" borderId="6" xfId="0" applyNumberFormat="1" applyFont="1" applyFill="1" applyBorder="1" applyAlignment="1" applyProtection="1">
      <alignment vertical="top" wrapText="1" readingOrder="1"/>
      <protection locked="0"/>
    </xf>
    <xf numFmtId="174" fontId="0" fillId="0" borderId="6" xfId="0" applyNumberFormat="1" applyBorder="1"/>
    <xf numFmtId="174" fontId="36" fillId="0" borderId="6" xfId="0" applyNumberFormat="1" applyFont="1" applyBorder="1"/>
    <xf numFmtId="43" fontId="8" fillId="12" borderId="7" xfId="27" applyFont="1" applyFill="1" applyBorder="1" applyAlignment="1" applyProtection="1">
      <alignment vertical="top" wrapText="1" readingOrder="1"/>
      <protection locked="0"/>
    </xf>
    <xf numFmtId="43" fontId="3" fillId="12" borderId="7" xfId="27" applyFont="1" applyFill="1" applyBorder="1" applyAlignment="1" applyProtection="1">
      <alignment vertical="top" wrapText="1" readingOrder="1"/>
      <protection locked="0"/>
    </xf>
    <xf numFmtId="43" fontId="3" fillId="13" borderId="7" xfId="27" applyFont="1" applyFill="1" applyBorder="1" applyAlignment="1" applyProtection="1">
      <alignment vertical="top" wrapText="1" readingOrder="1"/>
      <protection locked="0"/>
    </xf>
    <xf numFmtId="43" fontId="36" fillId="0" borderId="0" xfId="0" applyNumberFormat="1" applyFont="1"/>
    <xf numFmtId="43" fontId="8" fillId="0" borderId="7" xfId="27" applyFont="1" applyFill="1" applyBorder="1" applyAlignment="1" applyProtection="1">
      <alignment vertical="top" wrapText="1" readingOrder="1"/>
      <protection locked="0"/>
    </xf>
    <xf numFmtId="43" fontId="7" fillId="0" borderId="7" xfId="27" applyFont="1" applyFill="1" applyBorder="1" applyAlignment="1" applyProtection="1">
      <alignment vertical="top" wrapText="1" readingOrder="1"/>
      <protection locked="0"/>
    </xf>
    <xf numFmtId="164" fontId="7" fillId="11" borderId="7" xfId="0" applyNumberFormat="1" applyFont="1" applyFill="1" applyBorder="1" applyAlignment="1" applyProtection="1">
      <alignment vertical="top" wrapText="1" readingOrder="1"/>
      <protection locked="0"/>
    </xf>
    <xf numFmtId="4" fontId="0" fillId="0" borderId="0" xfId="0" applyNumberFormat="1"/>
    <xf numFmtId="0" fontId="43" fillId="0" borderId="6" xfId="0" applyFont="1" applyBorder="1"/>
    <xf numFmtId="0" fontId="44" fillId="0" borderId="6" xfId="0" applyFont="1" applyBorder="1"/>
    <xf numFmtId="0" fontId="44" fillId="12" borderId="6" xfId="0" applyFont="1" applyFill="1" applyBorder="1"/>
    <xf numFmtId="0" fontId="43" fillId="12" borderId="26" xfId="0" applyFont="1" applyFill="1" applyBorder="1"/>
    <xf numFmtId="0" fontId="43" fillId="0" borderId="27" xfId="0" applyFont="1" applyBorder="1"/>
    <xf numFmtId="174" fontId="43" fillId="0" borderId="10" xfId="27" applyNumberFormat="1" applyFont="1" applyBorder="1"/>
    <xf numFmtId="0" fontId="43" fillId="0" borderId="28" xfId="0" applyFont="1" applyBorder="1"/>
    <xf numFmtId="0" fontId="44" fillId="12" borderId="28" xfId="0" applyFont="1" applyFill="1" applyBorder="1"/>
    <xf numFmtId="0" fontId="44" fillId="12" borderId="30" xfId="0" applyFont="1" applyFill="1" applyBorder="1"/>
    <xf numFmtId="0" fontId="43" fillId="0" borderId="31" xfId="0" applyFont="1" applyBorder="1"/>
    <xf numFmtId="0" fontId="44" fillId="12" borderId="31" xfId="0" applyFont="1" applyFill="1" applyBorder="1"/>
    <xf numFmtId="0" fontId="43" fillId="0" borderId="0" xfId="0" applyFont="1"/>
    <xf numFmtId="164" fontId="7" fillId="0" borderId="11" xfId="0" applyNumberFormat="1" applyFont="1" applyBorder="1" applyAlignment="1" applyProtection="1">
      <alignment vertical="top" wrapText="1" readingOrder="1"/>
      <protection locked="0"/>
    </xf>
    <xf numFmtId="164" fontId="7" fillId="0" borderId="12" xfId="0" applyNumberFormat="1" applyFont="1" applyBorder="1" applyAlignment="1" applyProtection="1">
      <alignment vertical="top" wrapText="1" readingOrder="1"/>
      <protection locked="0"/>
    </xf>
    <xf numFmtId="43" fontId="35" fillId="0" borderId="0" xfId="27" applyFont="1"/>
    <xf numFmtId="164" fontId="4" fillId="0" borderId="11" xfId="0" applyNumberFormat="1" applyFont="1" applyBorder="1" applyAlignment="1" applyProtection="1">
      <alignment vertical="top" wrapText="1" readingOrder="1"/>
      <protection locked="0"/>
    </xf>
    <xf numFmtId="164" fontId="4" fillId="0" borderId="12" xfId="0" applyNumberFormat="1" applyFont="1" applyBorder="1" applyAlignment="1" applyProtection="1">
      <alignment vertical="top" wrapText="1" readingOrder="1"/>
      <protection locked="0"/>
    </xf>
    <xf numFmtId="43" fontId="46" fillId="0" borderId="0" xfId="27" applyFont="1"/>
    <xf numFmtId="43" fontId="35" fillId="0" borderId="0" xfId="27" applyFont="1" applyFill="1" applyBorder="1"/>
    <xf numFmtId="43" fontId="47" fillId="12" borderId="29" xfId="27" applyFont="1" applyFill="1" applyBorder="1"/>
    <xf numFmtId="43" fontId="44" fillId="12" borderId="29" xfId="27" applyFont="1" applyFill="1" applyBorder="1"/>
    <xf numFmtId="43" fontId="43" fillId="12" borderId="29" xfId="27" applyFont="1" applyFill="1" applyBorder="1"/>
    <xf numFmtId="43" fontId="47" fillId="12" borderId="32" xfId="27" applyFont="1" applyFill="1" applyBorder="1"/>
    <xf numFmtId="43" fontId="36" fillId="0" borderId="0" xfId="27" applyFont="1"/>
    <xf numFmtId="0" fontId="37" fillId="0" borderId="0" xfId="0" applyFont="1"/>
    <xf numFmtId="0" fontId="48" fillId="14" borderId="8" xfId="413" applyFont="1" applyFill="1" applyBorder="1" applyAlignment="1">
      <alignment horizontal="center" wrapText="1"/>
    </xf>
    <xf numFmtId="0" fontId="48" fillId="14" borderId="6" xfId="413" applyFont="1" applyFill="1" applyBorder="1" applyAlignment="1">
      <alignment horizontal="center"/>
    </xf>
    <xf numFmtId="0" fontId="48" fillId="14" borderId="13" xfId="413" applyFont="1" applyFill="1" applyBorder="1" applyAlignment="1">
      <alignment horizontal="center"/>
    </xf>
    <xf numFmtId="17" fontId="36" fillId="14" borderId="14" xfId="0" applyNumberFormat="1" applyFont="1" applyFill="1" applyBorder="1"/>
    <xf numFmtId="0" fontId="36" fillId="0" borderId="8" xfId="0" applyFont="1" applyBorder="1"/>
    <xf numFmtId="0" fontId="36" fillId="0" borderId="6" xfId="0" applyFont="1" applyBorder="1"/>
    <xf numFmtId="0" fontId="36" fillId="0" borderId="14" xfId="0" applyFont="1" applyBorder="1"/>
    <xf numFmtId="0" fontId="49" fillId="0" borderId="6" xfId="413" applyFont="1" applyBorder="1" applyAlignment="1">
      <alignment horizontal="center"/>
    </xf>
    <xf numFmtId="43" fontId="35" fillId="0" borderId="6" xfId="27" applyFont="1" applyFill="1" applyBorder="1" applyAlignment="1">
      <alignment horizontal="center"/>
    </xf>
    <xf numFmtId="170" fontId="35" fillId="0" borderId="6" xfId="438" applyNumberFormat="1" applyFont="1" applyFill="1" applyBorder="1" applyAlignment="1">
      <alignment horizontal="center"/>
    </xf>
    <xf numFmtId="0" fontId="36" fillId="0" borderId="6" xfId="0" applyFont="1" applyBorder="1" applyAlignment="1">
      <alignment horizontal="center"/>
    </xf>
    <xf numFmtId="170" fontId="1" fillId="0" borderId="6" xfId="440" applyNumberFormat="1" applyFont="1" applyFill="1" applyBorder="1" applyAlignment="1">
      <alignment horizontal="right"/>
    </xf>
    <xf numFmtId="170" fontId="1" fillId="0" borderId="6" xfId="440" applyNumberFormat="1" applyFont="1" applyFill="1" applyBorder="1" applyAlignment="1">
      <alignment horizontal="center"/>
    </xf>
    <xf numFmtId="9" fontId="49" fillId="0" borderId="6" xfId="413" applyNumberFormat="1" applyFont="1" applyBorder="1" applyAlignment="1">
      <alignment horizontal="center"/>
    </xf>
    <xf numFmtId="0" fontId="36" fillId="0" borderId="15" xfId="0" applyFont="1" applyBorder="1"/>
    <xf numFmtId="0" fontId="36" fillId="0" borderId="16" xfId="0" applyFont="1" applyBorder="1"/>
    <xf numFmtId="17" fontId="50" fillId="0" borderId="0" xfId="0" applyNumberFormat="1" applyFont="1" applyAlignment="1">
      <alignment horizontal="center" vertical="center"/>
    </xf>
    <xf numFmtId="174" fontId="1" fillId="0" borderId="6" xfId="30" applyNumberFormat="1" applyFont="1" applyFill="1" applyBorder="1"/>
    <xf numFmtId="0" fontId="1" fillId="0" borderId="6" xfId="0" applyFont="1" applyBorder="1"/>
    <xf numFmtId="0" fontId="35" fillId="15" borderId="6" xfId="438" applyNumberFormat="1" applyFont="1" applyFill="1" applyBorder="1" applyAlignment="1">
      <alignment horizontal="right"/>
    </xf>
    <xf numFmtId="0" fontId="35" fillId="15" borderId="6" xfId="438" applyNumberFormat="1" applyFont="1" applyFill="1" applyBorder="1" applyAlignment="1">
      <alignment horizontal="center"/>
    </xf>
    <xf numFmtId="2" fontId="1" fillId="15" borderId="6" xfId="440" applyNumberFormat="1" applyFont="1" applyFill="1" applyBorder="1" applyAlignment="1">
      <alignment horizontal="center"/>
    </xf>
    <xf numFmtId="2" fontId="35" fillId="15" borderId="6" xfId="438" applyNumberFormat="1" applyFont="1" applyFill="1" applyBorder="1" applyAlignment="1">
      <alignment horizontal="center"/>
    </xf>
    <xf numFmtId="2" fontId="0" fillId="15" borderId="6" xfId="0" applyNumberFormat="1" applyFill="1" applyBorder="1" applyAlignment="1">
      <alignment horizontal="center"/>
    </xf>
    <xf numFmtId="2" fontId="36" fillId="16" borderId="17" xfId="0" applyNumberFormat="1" applyFont="1" applyFill="1" applyBorder="1"/>
    <xf numFmtId="174" fontId="35" fillId="0" borderId="6" xfId="27" applyNumberFormat="1" applyFont="1" applyBorder="1"/>
    <xf numFmtId="170" fontId="35" fillId="0" borderId="0" xfId="438" applyNumberFormat="1" applyFont="1"/>
    <xf numFmtId="17" fontId="0" fillId="0" borderId="0" xfId="0" applyNumberFormat="1"/>
    <xf numFmtId="17" fontId="0" fillId="11" borderId="0" xfId="0" applyNumberFormat="1" applyFill="1"/>
    <xf numFmtId="43" fontId="8" fillId="12" borderId="18" xfId="27" applyFont="1" applyFill="1" applyBorder="1" applyAlignment="1" applyProtection="1">
      <alignment vertical="top" wrapText="1" readingOrder="1"/>
      <protection locked="0"/>
    </xf>
    <xf numFmtId="164" fontId="7" fillId="0" borderId="18" xfId="0" applyNumberFormat="1" applyFont="1" applyBorder="1" applyAlignment="1" applyProtection="1">
      <alignment vertical="top" wrapText="1" readingOrder="1"/>
      <protection locked="0"/>
    </xf>
    <xf numFmtId="17" fontId="8" fillId="8" borderId="19" xfId="0" applyNumberFormat="1" applyFont="1" applyFill="1" applyBorder="1" applyAlignment="1" applyProtection="1">
      <alignment vertical="top" wrapText="1" readingOrder="1"/>
      <protection locked="0"/>
    </xf>
    <xf numFmtId="43" fontId="8" fillId="12" borderId="6" xfId="27" applyFont="1" applyFill="1" applyBorder="1" applyAlignment="1" applyProtection="1">
      <alignment vertical="top" wrapText="1" readingOrder="1"/>
      <protection locked="0"/>
    </xf>
    <xf numFmtId="43" fontId="36" fillId="0" borderId="6" xfId="27" applyFont="1" applyBorder="1"/>
    <xf numFmtId="166" fontId="26" fillId="0" borderId="5" xfId="28" applyFont="1" applyFill="1" applyBorder="1" applyAlignment="1" applyProtection="1">
      <protection locked="0"/>
    </xf>
    <xf numFmtId="172" fontId="27" fillId="0" borderId="6" xfId="0" applyNumberFormat="1" applyFont="1" applyBorder="1" applyAlignment="1" applyProtection="1">
      <alignment horizontal="right" vertical="center"/>
      <protection locked="0"/>
    </xf>
    <xf numFmtId="171" fontId="16" fillId="0" borderId="6" xfId="28" applyNumberFormat="1" applyFont="1" applyBorder="1" applyAlignment="1" applyProtection="1">
      <alignment horizontal="right" vertical="center"/>
      <protection locked="0"/>
    </xf>
    <xf numFmtId="171" fontId="16" fillId="0" borderId="6" xfId="28" applyNumberFormat="1" applyFont="1" applyFill="1" applyBorder="1" applyAlignment="1" applyProtection="1">
      <protection locked="0"/>
    </xf>
    <xf numFmtId="17" fontId="44" fillId="0" borderId="6" xfId="0" applyNumberFormat="1" applyFont="1" applyBorder="1"/>
    <xf numFmtId="174" fontId="44" fillId="0" borderId="6" xfId="27" applyNumberFormat="1" applyFont="1" applyBorder="1"/>
    <xf numFmtId="174" fontId="43" fillId="0" borderId="6" xfId="0" applyNumberFormat="1" applyFont="1" applyBorder="1"/>
    <xf numFmtId="174" fontId="44" fillId="0" borderId="6" xfId="0" applyNumberFormat="1" applyFont="1" applyBorder="1"/>
    <xf numFmtId="43" fontId="29" fillId="0" borderId="6" xfId="27" applyFont="1" applyBorder="1"/>
    <xf numFmtId="174" fontId="29" fillId="0" borderId="6" xfId="27" applyNumberFormat="1" applyFont="1" applyBorder="1"/>
    <xf numFmtId="174" fontId="43" fillId="0" borderId="6" xfId="27" applyNumberFormat="1" applyFont="1" applyBorder="1"/>
    <xf numFmtId="174" fontId="29" fillId="0" borderId="6" xfId="28" applyNumberFormat="1" applyFont="1" applyFill="1" applyBorder="1" applyAlignment="1" applyProtection="1">
      <protection locked="0"/>
    </xf>
    <xf numFmtId="174" fontId="28" fillId="0" borderId="6" xfId="0" applyNumberFormat="1" applyFont="1" applyBorder="1" applyAlignment="1" applyProtection="1">
      <alignment horizontal="right" vertical="center"/>
      <protection locked="0"/>
    </xf>
    <xf numFmtId="43" fontId="30" fillId="0" borderId="6" xfId="27" applyFont="1" applyFill="1" applyBorder="1"/>
    <xf numFmtId="174" fontId="30" fillId="0" borderId="6" xfId="27" applyNumberFormat="1" applyFont="1" applyFill="1" applyBorder="1"/>
    <xf numFmtId="0" fontId="51" fillId="0" borderId="6" xfId="0" applyFont="1" applyBorder="1"/>
    <xf numFmtId="9" fontId="43" fillId="0" borderId="6" xfId="438" applyFont="1" applyBorder="1"/>
    <xf numFmtId="43" fontId="29" fillId="11" borderId="6" xfId="27" applyFont="1" applyFill="1" applyBorder="1"/>
    <xf numFmtId="9" fontId="43" fillId="11" borderId="6" xfId="438" applyFont="1" applyFill="1" applyBorder="1"/>
    <xf numFmtId="43" fontId="31" fillId="0" borderId="6" xfId="27" applyFont="1" applyFill="1" applyBorder="1"/>
    <xf numFmtId="9" fontId="35" fillId="0" borderId="0" xfId="438" applyFont="1"/>
    <xf numFmtId="0" fontId="43" fillId="0" borderId="20" xfId="0" applyFont="1" applyBorder="1"/>
    <xf numFmtId="174" fontId="43" fillId="0" borderId="20" xfId="0" applyNumberFormat="1" applyFont="1" applyBorder="1"/>
    <xf numFmtId="9" fontId="35" fillId="0" borderId="6" xfId="438" applyFont="1" applyBorder="1"/>
    <xf numFmtId="0" fontId="36" fillId="17" borderId="6" xfId="0" applyFont="1" applyFill="1" applyBorder="1" applyAlignment="1">
      <alignment wrapText="1"/>
    </xf>
    <xf numFmtId="9" fontId="35" fillId="17" borderId="6" xfId="438" applyFont="1" applyFill="1" applyBorder="1"/>
    <xf numFmtId="0" fontId="44" fillId="0" borderId="0" xfId="0" applyFont="1" applyAlignment="1">
      <alignment horizontal="center"/>
    </xf>
    <xf numFmtId="43" fontId="35" fillId="0" borderId="6" xfId="27" applyFont="1" applyBorder="1"/>
    <xf numFmtId="164" fontId="4" fillId="10" borderId="7" xfId="0" applyNumberFormat="1" applyFont="1" applyFill="1" applyBorder="1" applyAlignment="1" applyProtection="1">
      <alignment vertical="top" wrapText="1" readingOrder="1"/>
      <protection locked="0"/>
    </xf>
    <xf numFmtId="17" fontId="0" fillId="11" borderId="6" xfId="0" applyNumberFormat="1" applyFill="1" applyBorder="1"/>
    <xf numFmtId="174" fontId="32" fillId="0" borderId="0" xfId="278" applyNumberFormat="1" applyFont="1" applyAlignment="1">
      <alignment vertical="center"/>
    </xf>
    <xf numFmtId="174" fontId="32" fillId="0" borderId="10" xfId="278" applyNumberFormat="1" applyFont="1" applyBorder="1" applyAlignment="1">
      <alignment vertical="center"/>
    </xf>
    <xf numFmtId="174" fontId="32" fillId="0" borderId="21" xfId="278" applyNumberFormat="1" applyFont="1" applyBorder="1" applyAlignment="1">
      <alignment vertical="center"/>
    </xf>
    <xf numFmtId="3" fontId="32" fillId="0" borderId="0" xfId="278" applyNumberFormat="1" applyFont="1" applyAlignment="1">
      <alignment vertical="center"/>
    </xf>
    <xf numFmtId="3" fontId="32" fillId="0" borderId="22" xfId="436" applyNumberFormat="1" applyFont="1" applyBorder="1" applyAlignment="1">
      <alignment vertical="center"/>
    </xf>
    <xf numFmtId="3" fontId="32" fillId="0" borderId="10" xfId="278" applyNumberFormat="1" applyFont="1" applyBorder="1" applyAlignment="1">
      <alignment vertical="center"/>
    </xf>
    <xf numFmtId="3" fontId="32" fillId="0" borderId="21" xfId="278" applyNumberFormat="1" applyFont="1" applyBorder="1" applyAlignment="1">
      <alignment vertical="center"/>
    </xf>
    <xf numFmtId="3" fontId="32" fillId="0" borderId="22" xfId="436" applyNumberFormat="1" applyFont="1" applyBorder="1" applyAlignment="1">
      <alignment horizontal="right" vertical="center"/>
    </xf>
    <xf numFmtId="43" fontId="32" fillId="0" borderId="0" xfId="27" applyFont="1" applyFill="1" applyAlignment="1">
      <alignment vertical="center"/>
    </xf>
    <xf numFmtId="0" fontId="52" fillId="0" borderId="0" xfId="0" applyFont="1"/>
    <xf numFmtId="0" fontId="54" fillId="0" borderId="6" xfId="241" applyFont="1" applyBorder="1"/>
    <xf numFmtId="0" fontId="52" fillId="0" borderId="6" xfId="0" applyFont="1" applyBorder="1"/>
    <xf numFmtId="9" fontId="52" fillId="0" borderId="6" xfId="438" applyFont="1" applyBorder="1"/>
    <xf numFmtId="0" fontId="55" fillId="0" borderId="6" xfId="241" applyFont="1" applyBorder="1"/>
    <xf numFmtId="0" fontId="52" fillId="0" borderId="8" xfId="0" applyFont="1" applyBorder="1"/>
    <xf numFmtId="0" fontId="54" fillId="0" borderId="8" xfId="241" applyFont="1" applyBorder="1"/>
    <xf numFmtId="0" fontId="52" fillId="0" borderId="16" xfId="0" applyFont="1" applyBorder="1"/>
    <xf numFmtId="164" fontId="33" fillId="0" borderId="7" xfId="0" applyNumberFormat="1" applyFont="1" applyBorder="1" applyAlignment="1" applyProtection="1">
      <alignment vertical="top" wrapText="1" readingOrder="1"/>
      <protection locked="0"/>
    </xf>
    <xf numFmtId="165" fontId="33" fillId="0" borderId="7" xfId="0" applyNumberFormat="1" applyFont="1" applyBorder="1" applyAlignment="1" applyProtection="1">
      <alignment vertical="top" wrapText="1" readingOrder="1"/>
      <protection locked="0"/>
    </xf>
    <xf numFmtId="164" fontId="34" fillId="10" borderId="7" xfId="0" applyNumberFormat="1" applyFont="1" applyFill="1" applyBorder="1" applyAlignment="1" applyProtection="1">
      <alignment vertical="top" wrapText="1" readingOrder="1"/>
      <protection locked="0"/>
    </xf>
    <xf numFmtId="164" fontId="34" fillId="0" borderId="7" xfId="0" applyNumberFormat="1" applyFont="1" applyBorder="1" applyAlignment="1" applyProtection="1">
      <alignment vertical="top" wrapText="1" readingOrder="1"/>
      <protection locked="0"/>
    </xf>
    <xf numFmtId="43" fontId="21" fillId="0" borderId="5" xfId="93" applyFont="1" applyBorder="1" applyAlignment="1">
      <alignment wrapText="1"/>
    </xf>
    <xf numFmtId="17" fontId="36" fillId="11" borderId="0" xfId="0" applyNumberFormat="1" applyFont="1" applyFill="1"/>
    <xf numFmtId="43" fontId="36" fillId="11" borderId="0" xfId="27" applyFont="1" applyFill="1"/>
    <xf numFmtId="0" fontId="56" fillId="0" borderId="6" xfId="0" applyFont="1" applyBorder="1" applyAlignment="1">
      <alignment horizontal="left" vertical="top" wrapText="1"/>
    </xf>
    <xf numFmtId="0" fontId="56" fillId="0" borderId="6" xfId="0" applyFont="1" applyBorder="1" applyAlignment="1">
      <alignment horizontal="center" vertical="center" wrapText="1"/>
    </xf>
    <xf numFmtId="170" fontId="52" fillId="0" borderId="6" xfId="438" applyNumberFormat="1" applyFont="1" applyBorder="1"/>
    <xf numFmtId="9" fontId="56" fillId="0" borderId="6" xfId="0" applyNumberFormat="1" applyFont="1" applyBorder="1" applyAlignment="1">
      <alignment horizontal="center" vertical="center" wrapText="1"/>
    </xf>
    <xf numFmtId="9" fontId="56" fillId="0" borderId="6" xfId="438" applyFont="1" applyBorder="1" applyAlignment="1">
      <alignment horizontal="center" vertical="center" wrapText="1"/>
    </xf>
    <xf numFmtId="9" fontId="52" fillId="0" borderId="14" xfId="438" applyFont="1" applyBorder="1"/>
    <xf numFmtId="170" fontId="56" fillId="0" borderId="6" xfId="438" applyNumberFormat="1" applyFont="1" applyBorder="1" applyAlignment="1">
      <alignment horizontal="center" vertical="center" wrapText="1"/>
    </xf>
    <xf numFmtId="170" fontId="52" fillId="0" borderId="14" xfId="438" applyNumberFormat="1" applyFont="1" applyBorder="1"/>
    <xf numFmtId="10" fontId="52" fillId="0" borderId="14" xfId="438" applyNumberFormat="1" applyFont="1" applyBorder="1"/>
    <xf numFmtId="0" fontId="52" fillId="0" borderId="6" xfId="0" applyFont="1" applyBorder="1" applyAlignment="1">
      <alignment horizontal="center" vertical="center"/>
    </xf>
    <xf numFmtId="0" fontId="57" fillId="0" borderId="6" xfId="0" applyFont="1" applyBorder="1" applyAlignment="1">
      <alignment vertical="top" wrapText="1"/>
    </xf>
    <xf numFmtId="0" fontId="57" fillId="0" borderId="6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top" wrapText="1"/>
    </xf>
    <xf numFmtId="0" fontId="54" fillId="0" borderId="15" xfId="241" applyFont="1" applyBorder="1"/>
    <xf numFmtId="0" fontId="53" fillId="0" borderId="23" xfId="0" applyFont="1" applyBorder="1"/>
    <xf numFmtId="164" fontId="7" fillId="0" borderId="7" xfId="355" applyNumberFormat="1" applyFont="1" applyBorder="1" applyAlignment="1" applyProtection="1">
      <alignment vertical="top" wrapText="1" readingOrder="1"/>
      <protection locked="0"/>
    </xf>
    <xf numFmtId="164" fontId="7" fillId="0" borderId="6" xfId="0" applyNumberFormat="1" applyFont="1" applyBorder="1" applyAlignment="1" applyProtection="1">
      <alignment vertical="top" wrapText="1" readingOrder="1"/>
      <protection locked="0"/>
    </xf>
    <xf numFmtId="164" fontId="7" fillId="0" borderId="7" xfId="356" applyNumberFormat="1" applyFont="1" applyBorder="1" applyAlignment="1" applyProtection="1">
      <alignment vertical="top" wrapText="1" readingOrder="1"/>
      <protection locked="0"/>
    </xf>
    <xf numFmtId="164" fontId="7" fillId="0" borderId="7" xfId="357" applyNumberFormat="1" applyFont="1" applyBorder="1" applyAlignment="1" applyProtection="1">
      <alignment vertical="top" wrapText="1" readingOrder="1"/>
      <protection locked="0"/>
    </xf>
    <xf numFmtId="43" fontId="7" fillId="0" borderId="11" xfId="27" applyFont="1" applyFill="1" applyBorder="1" applyAlignment="1" applyProtection="1">
      <alignment vertical="top" wrapText="1" readingOrder="1"/>
      <protection locked="0"/>
    </xf>
    <xf numFmtId="43" fontId="7" fillId="0" borderId="6" xfId="27" applyFont="1" applyBorder="1" applyAlignment="1" applyProtection="1">
      <alignment vertical="top" wrapText="1" readingOrder="1"/>
      <protection locked="0"/>
    </xf>
    <xf numFmtId="164" fontId="7" fillId="0" borderId="7" xfId="358" applyNumberFormat="1" applyFont="1" applyBorder="1" applyAlignment="1" applyProtection="1">
      <alignment vertical="top" wrapText="1" readingOrder="1"/>
      <protection locked="0"/>
    </xf>
    <xf numFmtId="164" fontId="7" fillId="0" borderId="7" xfId="359" applyNumberFormat="1" applyFont="1" applyBorder="1" applyAlignment="1" applyProtection="1">
      <alignment vertical="top" wrapText="1" readingOrder="1"/>
      <protection locked="0"/>
    </xf>
    <xf numFmtId="164" fontId="7" fillId="0" borderId="7" xfId="360" applyNumberFormat="1" applyFont="1" applyBorder="1" applyAlignment="1" applyProtection="1">
      <alignment vertical="top" wrapText="1" readingOrder="1"/>
      <protection locked="0"/>
    </xf>
    <xf numFmtId="164" fontId="7" fillId="0" borderId="7" xfId="361" applyNumberFormat="1" applyFont="1" applyBorder="1" applyAlignment="1" applyProtection="1">
      <alignment vertical="top" wrapText="1" readingOrder="1"/>
      <protection locked="0"/>
    </xf>
    <xf numFmtId="164" fontId="7" fillId="0" borderId="7" xfId="362" applyNumberFormat="1" applyFont="1" applyBorder="1" applyAlignment="1" applyProtection="1">
      <alignment vertical="top" wrapText="1" readingOrder="1"/>
      <protection locked="0"/>
    </xf>
    <xf numFmtId="164" fontId="7" fillId="0" borderId="7" xfId="363" applyNumberFormat="1" applyFont="1" applyBorder="1" applyAlignment="1" applyProtection="1">
      <alignment vertical="top" wrapText="1" readingOrder="1"/>
      <protection locked="0"/>
    </xf>
    <xf numFmtId="165" fontId="7" fillId="0" borderId="7" xfId="363" applyNumberFormat="1" applyFont="1" applyBorder="1" applyAlignment="1" applyProtection="1">
      <alignment vertical="top" wrapText="1" readingOrder="1"/>
      <protection locked="0"/>
    </xf>
    <xf numFmtId="165" fontId="7" fillId="0" borderId="18" xfId="0" applyNumberFormat="1" applyFont="1" applyBorder="1" applyAlignment="1" applyProtection="1">
      <alignment vertical="top" wrapText="1" readingOrder="1"/>
      <protection locked="0"/>
    </xf>
    <xf numFmtId="165" fontId="7" fillId="0" borderId="6" xfId="0" applyNumberFormat="1" applyFont="1" applyBorder="1" applyAlignment="1" applyProtection="1">
      <alignment vertical="top" wrapText="1" readingOrder="1"/>
      <protection locked="0"/>
    </xf>
    <xf numFmtId="164" fontId="4" fillId="0" borderId="7" xfId="277" applyNumberFormat="1" applyFont="1" applyBorder="1" applyAlignment="1" applyProtection="1">
      <alignment vertical="top" wrapText="1" readingOrder="1"/>
      <protection locked="0"/>
    </xf>
    <xf numFmtId="164" fontId="4" fillId="0" borderId="7" xfId="299" applyNumberFormat="1" applyFont="1" applyBorder="1" applyAlignment="1" applyProtection="1">
      <alignment vertical="top" wrapText="1" readingOrder="1"/>
      <protection locked="0"/>
    </xf>
    <xf numFmtId="164" fontId="4" fillId="0" borderId="7" xfId="276" applyNumberFormat="1" applyFont="1" applyBorder="1" applyAlignment="1" applyProtection="1">
      <alignment vertical="top" wrapText="1" readingOrder="1"/>
      <protection locked="0"/>
    </xf>
    <xf numFmtId="43" fontId="4" fillId="0" borderId="11" xfId="27" applyFont="1" applyFill="1" applyBorder="1" applyAlignment="1" applyProtection="1">
      <alignment vertical="top" wrapText="1" readingOrder="1"/>
      <protection locked="0"/>
    </xf>
    <xf numFmtId="164" fontId="4" fillId="0" borderId="7" xfId="317" applyNumberFormat="1" applyFont="1" applyBorder="1" applyAlignment="1" applyProtection="1">
      <alignment vertical="top" wrapText="1" readingOrder="1"/>
      <protection locked="0"/>
    </xf>
    <xf numFmtId="164" fontId="4" fillId="10" borderId="7" xfId="277" applyNumberFormat="1" applyFont="1" applyFill="1" applyBorder="1" applyAlignment="1" applyProtection="1">
      <alignment vertical="top" wrapText="1" readingOrder="1"/>
      <protection locked="0"/>
    </xf>
    <xf numFmtId="164" fontId="4" fillId="10" borderId="7" xfId="317" applyNumberFormat="1" applyFont="1" applyFill="1" applyBorder="1" applyAlignment="1" applyProtection="1">
      <alignment vertical="top" wrapText="1" readingOrder="1"/>
      <protection locked="0"/>
    </xf>
    <xf numFmtId="164" fontId="4" fillId="10" borderId="7" xfId="276" applyNumberFormat="1" applyFont="1" applyFill="1" applyBorder="1" applyAlignment="1" applyProtection="1">
      <alignment vertical="top" wrapText="1" readingOrder="1"/>
      <protection locked="0"/>
    </xf>
    <xf numFmtId="164" fontId="4" fillId="0" borderId="7" xfId="318" applyNumberFormat="1" applyFont="1" applyBorder="1" applyAlignment="1" applyProtection="1">
      <alignment vertical="top" wrapText="1" readingOrder="1"/>
      <protection locked="0"/>
    </xf>
    <xf numFmtId="164" fontId="4" fillId="0" borderId="7" xfId="319" applyNumberFormat="1" applyFont="1" applyBorder="1" applyAlignment="1" applyProtection="1">
      <alignment vertical="top" wrapText="1" readingOrder="1"/>
      <protection locked="0"/>
    </xf>
    <xf numFmtId="43" fontId="4" fillId="0" borderId="12" xfId="27" applyFont="1" applyFill="1" applyBorder="1" applyAlignment="1" applyProtection="1">
      <alignment vertical="top" wrapText="1" readingOrder="1"/>
      <protection locked="0"/>
    </xf>
    <xf numFmtId="164" fontId="4" fillId="0" borderId="7" xfId="322" applyNumberFormat="1" applyFont="1" applyBorder="1" applyAlignment="1" applyProtection="1">
      <alignment vertical="top" wrapText="1" readingOrder="1"/>
      <protection locked="0"/>
    </xf>
    <xf numFmtId="164" fontId="4" fillId="0" borderId="7" xfId="323" applyNumberFormat="1" applyFont="1" applyBorder="1" applyAlignment="1" applyProtection="1">
      <alignment vertical="top" wrapText="1" readingOrder="1"/>
      <protection locked="0"/>
    </xf>
    <xf numFmtId="0" fontId="61" fillId="0" borderId="35" xfId="0" applyFont="1" applyBorder="1" applyAlignment="1">
      <alignment wrapText="1" readingOrder="1"/>
    </xf>
    <xf numFmtId="4" fontId="61" fillId="0" borderId="35" xfId="0" applyNumberFormat="1" applyFont="1" applyBorder="1" applyAlignment="1">
      <alignment wrapText="1" readingOrder="1"/>
    </xf>
    <xf numFmtId="0" fontId="61" fillId="0" borderId="36" xfId="0" applyFont="1" applyBorder="1" applyAlignment="1">
      <alignment wrapText="1" readingOrder="1"/>
    </xf>
    <xf numFmtId="4" fontId="61" fillId="0" borderId="36" xfId="0" applyNumberFormat="1" applyFont="1" applyBorder="1" applyAlignment="1">
      <alignment wrapText="1" readingOrder="1"/>
    </xf>
    <xf numFmtId="4" fontId="61" fillId="0" borderId="34" xfId="0" applyNumberFormat="1" applyFont="1" applyBorder="1" applyAlignment="1">
      <alignment wrapText="1" readingOrder="1"/>
    </xf>
    <xf numFmtId="0" fontId="61" fillId="0" borderId="34" xfId="0" applyFont="1" applyBorder="1" applyAlignment="1">
      <alignment wrapText="1" readingOrder="1"/>
    </xf>
    <xf numFmtId="4" fontId="62" fillId="18" borderId="35" xfId="0" applyNumberFormat="1" applyFont="1" applyFill="1" applyBorder="1" applyAlignment="1">
      <alignment wrapText="1" readingOrder="1"/>
    </xf>
    <xf numFmtId="4" fontId="62" fillId="18" borderId="36" xfId="0" applyNumberFormat="1" applyFont="1" applyFill="1" applyBorder="1" applyAlignment="1">
      <alignment wrapText="1" readingOrder="1"/>
    </xf>
    <xf numFmtId="0" fontId="62" fillId="0" borderId="35" xfId="0" applyFont="1" applyBorder="1" applyAlignment="1">
      <alignment wrapText="1" readingOrder="1"/>
    </xf>
    <xf numFmtId="4" fontId="62" fillId="0" borderId="35" xfId="0" applyNumberFormat="1" applyFont="1" applyBorder="1" applyAlignment="1">
      <alignment wrapText="1" readingOrder="1"/>
    </xf>
    <xf numFmtId="0" fontId="62" fillId="0" borderId="36" xfId="0" applyFont="1" applyBorder="1" applyAlignment="1">
      <alignment wrapText="1" readingOrder="1"/>
    </xf>
    <xf numFmtId="4" fontId="62" fillId="0" borderId="36" xfId="0" applyNumberFormat="1" applyFont="1" applyBorder="1" applyAlignment="1">
      <alignment wrapText="1" readingOrder="1"/>
    </xf>
    <xf numFmtId="43" fontId="36" fillId="11" borderId="0" xfId="0" applyNumberFormat="1" applyFont="1" applyFill="1"/>
    <xf numFmtId="43" fontId="61" fillId="0" borderId="33" xfId="0" applyNumberFormat="1" applyFont="1" applyBorder="1" applyAlignment="1">
      <alignment wrapText="1" readingOrder="1"/>
    </xf>
    <xf numFmtId="0" fontId="16" fillId="0" borderId="37" xfId="0" applyFont="1" applyBorder="1"/>
    <xf numFmtId="0" fontId="16" fillId="19" borderId="38" xfId="0" applyFont="1" applyFill="1" applyBorder="1"/>
    <xf numFmtId="0" fontId="16" fillId="0" borderId="38" xfId="0" applyFont="1" applyBorder="1"/>
    <xf numFmtId="0" fontId="62" fillId="0" borderId="39" xfId="0" applyFont="1" applyBorder="1" applyAlignment="1">
      <alignment wrapText="1" readingOrder="1"/>
    </xf>
    <xf numFmtId="4" fontId="62" fillId="0" borderId="39" xfId="0" applyNumberFormat="1" applyFont="1" applyBorder="1" applyAlignment="1">
      <alignment wrapText="1" readingOrder="1"/>
    </xf>
    <xf numFmtId="0" fontId="62" fillId="0" borderId="33" xfId="0" applyFont="1" applyBorder="1" applyAlignment="1">
      <alignment wrapText="1" readingOrder="1"/>
    </xf>
    <xf numFmtId="4" fontId="62" fillId="0" borderId="33" xfId="0" applyNumberFormat="1" applyFont="1" applyBorder="1" applyAlignment="1">
      <alignment wrapText="1" readingOrder="1"/>
    </xf>
    <xf numFmtId="4" fontId="62" fillId="18" borderId="39" xfId="0" applyNumberFormat="1" applyFont="1" applyFill="1" applyBorder="1" applyAlignment="1">
      <alignment wrapText="1" readingOrder="1"/>
    </xf>
    <xf numFmtId="4" fontId="62" fillId="18" borderId="33" xfId="0" applyNumberFormat="1" applyFont="1" applyFill="1" applyBorder="1" applyAlignment="1">
      <alignment wrapText="1" readingOrder="1"/>
    </xf>
    <xf numFmtId="0" fontId="61" fillId="0" borderId="39" xfId="0" applyFont="1" applyBorder="1" applyAlignment="1">
      <alignment wrapText="1" readingOrder="1"/>
    </xf>
    <xf numFmtId="4" fontId="61" fillId="0" borderId="39" xfId="0" applyNumberFormat="1" applyFont="1" applyBorder="1" applyAlignment="1">
      <alignment wrapText="1" readingOrder="1"/>
    </xf>
    <xf numFmtId="0" fontId="61" fillId="0" borderId="33" xfId="0" applyFont="1" applyBorder="1" applyAlignment="1">
      <alignment wrapText="1" readingOrder="1"/>
    </xf>
    <xf numFmtId="4" fontId="61" fillId="0" borderId="33" xfId="0" applyNumberFormat="1" applyFont="1" applyBorder="1" applyAlignment="1">
      <alignment wrapText="1" readingOrder="1"/>
    </xf>
    <xf numFmtId="43" fontId="62" fillId="0" borderId="36" xfId="0" applyNumberFormat="1" applyFont="1" applyBorder="1" applyAlignment="1">
      <alignment wrapText="1" readingOrder="1"/>
    </xf>
    <xf numFmtId="43" fontId="61" fillId="0" borderId="36" xfId="0" applyNumberFormat="1" applyFont="1" applyBorder="1" applyAlignment="1">
      <alignment wrapText="1" readingOrder="1"/>
    </xf>
    <xf numFmtId="0" fontId="53" fillId="0" borderId="40" xfId="0" applyFont="1" applyBorder="1"/>
    <xf numFmtId="17" fontId="53" fillId="0" borderId="41" xfId="0" applyNumberFormat="1" applyFont="1" applyBorder="1"/>
    <xf numFmtId="17" fontId="53" fillId="0" borderId="42" xfId="0" applyNumberFormat="1" applyFont="1" applyBorder="1"/>
    <xf numFmtId="0" fontId="53" fillId="0" borderId="42" xfId="0" applyFont="1" applyBorder="1"/>
    <xf numFmtId="17" fontId="36" fillId="0" borderId="42" xfId="0" applyNumberFormat="1" applyFont="1" applyBorder="1"/>
    <xf numFmtId="0" fontId="53" fillId="0" borderId="43" xfId="0" applyFont="1" applyBorder="1"/>
    <xf numFmtId="0" fontId="56" fillId="0" borderId="20" xfId="0" applyFont="1" applyBorder="1" applyAlignment="1">
      <alignment horizontal="center" vertical="center" wrapText="1"/>
    </xf>
    <xf numFmtId="43" fontId="52" fillId="0" borderId="20" xfId="27" applyFont="1" applyBorder="1"/>
    <xf numFmtId="17" fontId="36" fillId="0" borderId="44" xfId="0" applyNumberFormat="1" applyFont="1" applyBorder="1"/>
    <xf numFmtId="0" fontId="36" fillId="0" borderId="42" xfId="0" applyFont="1" applyBorder="1"/>
    <xf numFmtId="174" fontId="45" fillId="0" borderId="0" xfId="27" applyNumberFormat="1" applyFont="1" applyBorder="1"/>
    <xf numFmtId="43" fontId="47" fillId="12" borderId="45" xfId="27" applyFont="1" applyFill="1" applyBorder="1"/>
    <xf numFmtId="0" fontId="5" fillId="0" borderId="0" xfId="0" applyFont="1" applyAlignment="1" applyProtection="1">
      <alignment vertical="top" wrapText="1" readingOrder="1"/>
      <protection locked="0"/>
    </xf>
    <xf numFmtId="0" fontId="18" fillId="0" borderId="0" xfId="0" applyFont="1" applyAlignment="1" applyProtection="1">
      <alignment vertical="top" wrapText="1" readingOrder="1"/>
      <protection locked="0"/>
    </xf>
    <xf numFmtId="0" fontId="59" fillId="0" borderId="8" xfId="241" applyFont="1" applyBorder="1" applyAlignment="1">
      <alignment horizontal="left" vertical="top"/>
    </xf>
    <xf numFmtId="0" fontId="59" fillId="0" borderId="8" xfId="241" applyFont="1" applyBorder="1" applyAlignment="1">
      <alignment horizontal="left" vertical="top" wrapText="1"/>
    </xf>
    <xf numFmtId="0" fontId="56" fillId="0" borderId="8" xfId="0" applyFont="1" applyBorder="1" applyAlignment="1">
      <alignment horizontal="center" vertical="top" wrapText="1"/>
    </xf>
    <xf numFmtId="0" fontId="53" fillId="0" borderId="0" xfId="0" applyFont="1" applyAlignment="1">
      <alignment horizontal="center"/>
    </xf>
    <xf numFmtId="0" fontId="56" fillId="0" borderId="8" xfId="0" applyFont="1" applyBorder="1" applyAlignment="1">
      <alignment horizontal="center" vertical="top"/>
    </xf>
    <xf numFmtId="0" fontId="60" fillId="0" borderId="24" xfId="0" applyFont="1" applyBorder="1" applyAlignment="1">
      <alignment horizontal="center" wrapText="1"/>
    </xf>
    <xf numFmtId="0" fontId="60" fillId="0" borderId="0" xfId="0" applyFont="1" applyAlignment="1">
      <alignment horizontal="center" wrapText="1"/>
    </xf>
    <xf numFmtId="0" fontId="60" fillId="0" borderId="25" xfId="0" applyFont="1" applyBorder="1" applyAlignment="1">
      <alignment horizontal="center" wrapText="1"/>
    </xf>
    <xf numFmtId="0" fontId="61" fillId="0" borderId="39" xfId="0" applyFont="1" applyFill="1" applyBorder="1" applyAlignment="1">
      <alignment wrapText="1" readingOrder="1"/>
    </xf>
    <xf numFmtId="4" fontId="61" fillId="0" borderId="39" xfId="0" applyNumberFormat="1" applyFont="1" applyFill="1" applyBorder="1" applyAlignment="1">
      <alignment wrapText="1" readingOrder="1"/>
    </xf>
    <xf numFmtId="0" fontId="61" fillId="0" borderId="35" xfId="0" applyFont="1" applyFill="1" applyBorder="1" applyAlignment="1">
      <alignment wrapText="1" readingOrder="1"/>
    </xf>
    <xf numFmtId="4" fontId="61" fillId="0" borderId="35" xfId="0" applyNumberFormat="1" applyFont="1" applyFill="1" applyBorder="1" applyAlignment="1">
      <alignment wrapText="1" readingOrder="1"/>
    </xf>
    <xf numFmtId="0" fontId="62" fillId="0" borderId="39" xfId="0" applyFont="1" applyFill="1" applyBorder="1" applyAlignment="1">
      <alignment wrapText="1" readingOrder="1"/>
    </xf>
    <xf numFmtId="4" fontId="62" fillId="0" borderId="39" xfId="0" applyNumberFormat="1" applyFont="1" applyFill="1" applyBorder="1" applyAlignment="1">
      <alignment wrapText="1" readingOrder="1"/>
    </xf>
    <xf numFmtId="0" fontId="62" fillId="0" borderId="35" xfId="0" applyFont="1" applyFill="1" applyBorder="1" applyAlignment="1">
      <alignment wrapText="1" readingOrder="1"/>
    </xf>
    <xf numFmtId="4" fontId="62" fillId="0" borderId="35" xfId="0" applyNumberFormat="1" applyFont="1" applyFill="1" applyBorder="1" applyAlignment="1">
      <alignment wrapText="1" readingOrder="1"/>
    </xf>
    <xf numFmtId="0" fontId="58" fillId="0" borderId="0" xfId="0" applyFont="1" applyAlignment="1"/>
    <xf numFmtId="0" fontId="0" fillId="0" borderId="0" xfId="0" applyAlignment="1"/>
  </cellXfs>
  <cellStyles count="444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30" xr:uid="{00000000-0005-0000-0000-00001D000000}"/>
    <cellStyle name="Comma 10 11" xfId="31" xr:uid="{00000000-0005-0000-0000-00001E000000}"/>
    <cellStyle name="Comma 10 12" xfId="32" xr:uid="{00000000-0005-0000-0000-00001F000000}"/>
    <cellStyle name="Comma 10 13" xfId="33" xr:uid="{00000000-0005-0000-0000-000020000000}"/>
    <cellStyle name="Comma 10 14" xfId="34" xr:uid="{00000000-0005-0000-0000-000021000000}"/>
    <cellStyle name="Comma 10 15" xfId="35" xr:uid="{00000000-0005-0000-0000-000022000000}"/>
    <cellStyle name="Comma 10 16" xfId="36" xr:uid="{00000000-0005-0000-0000-000023000000}"/>
    <cellStyle name="Comma 10 2" xfId="37" xr:uid="{00000000-0005-0000-0000-000024000000}"/>
    <cellStyle name="Comma 10 3" xfId="38" xr:uid="{00000000-0005-0000-0000-000025000000}"/>
    <cellStyle name="Comma 10 4" xfId="39" xr:uid="{00000000-0005-0000-0000-000026000000}"/>
    <cellStyle name="Comma 10 5" xfId="40" xr:uid="{00000000-0005-0000-0000-000027000000}"/>
    <cellStyle name="Comma 10 6" xfId="41" xr:uid="{00000000-0005-0000-0000-000028000000}"/>
    <cellStyle name="Comma 10 7" xfId="42" xr:uid="{00000000-0005-0000-0000-000029000000}"/>
    <cellStyle name="Comma 10 8" xfId="43" xr:uid="{00000000-0005-0000-0000-00002A000000}"/>
    <cellStyle name="Comma 10 9" xfId="44" xr:uid="{00000000-0005-0000-0000-00002B000000}"/>
    <cellStyle name="Comma 11" xfId="45" xr:uid="{00000000-0005-0000-0000-00002C000000}"/>
    <cellStyle name="Comma 11 10" xfId="46" xr:uid="{00000000-0005-0000-0000-00002D000000}"/>
    <cellStyle name="Comma 11 11" xfId="47" xr:uid="{00000000-0005-0000-0000-00002E000000}"/>
    <cellStyle name="Comma 11 12" xfId="48" xr:uid="{00000000-0005-0000-0000-00002F000000}"/>
    <cellStyle name="Comma 11 13" xfId="49" xr:uid="{00000000-0005-0000-0000-000030000000}"/>
    <cellStyle name="Comma 11 14" xfId="50" xr:uid="{00000000-0005-0000-0000-000031000000}"/>
    <cellStyle name="Comma 11 15" xfId="51" xr:uid="{00000000-0005-0000-0000-000032000000}"/>
    <cellStyle name="Comma 11 16" xfId="52" xr:uid="{00000000-0005-0000-0000-000033000000}"/>
    <cellStyle name="Comma 11 17" xfId="53" xr:uid="{00000000-0005-0000-0000-000034000000}"/>
    <cellStyle name="Comma 11 2" xfId="54" xr:uid="{00000000-0005-0000-0000-000035000000}"/>
    <cellStyle name="Comma 11 2 2" xfId="55" xr:uid="{00000000-0005-0000-0000-000036000000}"/>
    <cellStyle name="Comma 11 3" xfId="56" xr:uid="{00000000-0005-0000-0000-000037000000}"/>
    <cellStyle name="Comma 11 4" xfId="57" xr:uid="{00000000-0005-0000-0000-000038000000}"/>
    <cellStyle name="Comma 11 5" xfId="58" xr:uid="{00000000-0005-0000-0000-000039000000}"/>
    <cellStyle name="Comma 11 6" xfId="59" xr:uid="{00000000-0005-0000-0000-00003A000000}"/>
    <cellStyle name="Comma 11 7" xfId="60" xr:uid="{00000000-0005-0000-0000-00003B000000}"/>
    <cellStyle name="Comma 11 8" xfId="61" xr:uid="{00000000-0005-0000-0000-00003C000000}"/>
    <cellStyle name="Comma 11 9" xfId="62" xr:uid="{00000000-0005-0000-0000-00003D000000}"/>
    <cellStyle name="Comma 12" xfId="63" xr:uid="{00000000-0005-0000-0000-00003E000000}"/>
    <cellStyle name="Comma 13" xfId="64" xr:uid="{00000000-0005-0000-0000-00003F000000}"/>
    <cellStyle name="Comma 14" xfId="65" xr:uid="{00000000-0005-0000-0000-000040000000}"/>
    <cellStyle name="Comma 15" xfId="66" xr:uid="{00000000-0005-0000-0000-000041000000}"/>
    <cellStyle name="Comma 16" xfId="67" xr:uid="{00000000-0005-0000-0000-000042000000}"/>
    <cellStyle name="Comma 16 10" xfId="68" xr:uid="{00000000-0005-0000-0000-000043000000}"/>
    <cellStyle name="Comma 16 11" xfId="69" xr:uid="{00000000-0005-0000-0000-000044000000}"/>
    <cellStyle name="Comma 16 12" xfId="70" xr:uid="{00000000-0005-0000-0000-000045000000}"/>
    <cellStyle name="Comma 16 13" xfId="71" xr:uid="{00000000-0005-0000-0000-000046000000}"/>
    <cellStyle name="Comma 16 14" xfId="72" xr:uid="{00000000-0005-0000-0000-000047000000}"/>
    <cellStyle name="Comma 16 15" xfId="73" xr:uid="{00000000-0005-0000-0000-000048000000}"/>
    <cellStyle name="Comma 16 16" xfId="74" xr:uid="{00000000-0005-0000-0000-000049000000}"/>
    <cellStyle name="Comma 16 2" xfId="75" xr:uid="{00000000-0005-0000-0000-00004A000000}"/>
    <cellStyle name="Comma 16 3" xfId="76" xr:uid="{00000000-0005-0000-0000-00004B000000}"/>
    <cellStyle name="Comma 16 4" xfId="77" xr:uid="{00000000-0005-0000-0000-00004C000000}"/>
    <cellStyle name="Comma 16 5" xfId="78" xr:uid="{00000000-0005-0000-0000-00004D000000}"/>
    <cellStyle name="Comma 16 6" xfId="79" xr:uid="{00000000-0005-0000-0000-00004E000000}"/>
    <cellStyle name="Comma 16 7" xfId="80" xr:uid="{00000000-0005-0000-0000-00004F000000}"/>
    <cellStyle name="Comma 16 8" xfId="81" xr:uid="{00000000-0005-0000-0000-000050000000}"/>
    <cellStyle name="Comma 16 9" xfId="82" xr:uid="{00000000-0005-0000-0000-000051000000}"/>
    <cellStyle name="Comma 17" xfId="83" xr:uid="{00000000-0005-0000-0000-000052000000}"/>
    <cellStyle name="Comma 17 10" xfId="84" xr:uid="{00000000-0005-0000-0000-000053000000}"/>
    <cellStyle name="Comma 17 2" xfId="85" xr:uid="{00000000-0005-0000-0000-000054000000}"/>
    <cellStyle name="Comma 17 3" xfId="86" xr:uid="{00000000-0005-0000-0000-000055000000}"/>
    <cellStyle name="Comma 17 4" xfId="87" xr:uid="{00000000-0005-0000-0000-000056000000}"/>
    <cellStyle name="Comma 17 5" xfId="88" xr:uid="{00000000-0005-0000-0000-000057000000}"/>
    <cellStyle name="Comma 17 6" xfId="89" xr:uid="{00000000-0005-0000-0000-000058000000}"/>
    <cellStyle name="Comma 17 7" xfId="90" xr:uid="{00000000-0005-0000-0000-000059000000}"/>
    <cellStyle name="Comma 17 8" xfId="91" xr:uid="{00000000-0005-0000-0000-00005A000000}"/>
    <cellStyle name="Comma 17 9" xfId="92" xr:uid="{00000000-0005-0000-0000-00005B000000}"/>
    <cellStyle name="Comma 18" xfId="93" xr:uid="{00000000-0005-0000-0000-00005C000000}"/>
    <cellStyle name="Comma 18 2" xfId="94" xr:uid="{00000000-0005-0000-0000-00005D000000}"/>
    <cellStyle name="Comma 18 3" xfId="95" xr:uid="{00000000-0005-0000-0000-00005E000000}"/>
    <cellStyle name="Comma 2" xfId="96" xr:uid="{00000000-0005-0000-0000-00005F000000}"/>
    <cellStyle name="Comma 2 10" xfId="97" xr:uid="{00000000-0005-0000-0000-000060000000}"/>
    <cellStyle name="Comma 2 11" xfId="98" xr:uid="{00000000-0005-0000-0000-000061000000}"/>
    <cellStyle name="Comma 2 12" xfId="99" xr:uid="{00000000-0005-0000-0000-000062000000}"/>
    <cellStyle name="Comma 2 13" xfId="100" xr:uid="{00000000-0005-0000-0000-000063000000}"/>
    <cellStyle name="Comma 2 14" xfId="101" xr:uid="{00000000-0005-0000-0000-000064000000}"/>
    <cellStyle name="Comma 2 15" xfId="102" xr:uid="{00000000-0005-0000-0000-000065000000}"/>
    <cellStyle name="Comma 2 16" xfId="103" xr:uid="{00000000-0005-0000-0000-000066000000}"/>
    <cellStyle name="Comma 2 17" xfId="104" xr:uid="{00000000-0005-0000-0000-000067000000}"/>
    <cellStyle name="Comma 2 18" xfId="105" xr:uid="{00000000-0005-0000-0000-000068000000}"/>
    <cellStyle name="Comma 2 19" xfId="106" xr:uid="{00000000-0005-0000-0000-000069000000}"/>
    <cellStyle name="Comma 2 2" xfId="107" xr:uid="{00000000-0005-0000-0000-00006A000000}"/>
    <cellStyle name="Comma 2 20" xfId="108" xr:uid="{00000000-0005-0000-0000-00006B000000}"/>
    <cellStyle name="Comma 2 21" xfId="109" xr:uid="{00000000-0005-0000-0000-00006C000000}"/>
    <cellStyle name="Comma 2 22" xfId="110" xr:uid="{00000000-0005-0000-0000-00006D000000}"/>
    <cellStyle name="Comma 2 23" xfId="111" xr:uid="{00000000-0005-0000-0000-00006E000000}"/>
    <cellStyle name="Comma 2 24" xfId="112" xr:uid="{00000000-0005-0000-0000-00006F000000}"/>
    <cellStyle name="Comma 2 25" xfId="113" xr:uid="{00000000-0005-0000-0000-000070000000}"/>
    <cellStyle name="Comma 2 26" xfId="114" xr:uid="{00000000-0005-0000-0000-000071000000}"/>
    <cellStyle name="Comma 2 3" xfId="115" xr:uid="{00000000-0005-0000-0000-000072000000}"/>
    <cellStyle name="Comma 2 4" xfId="116" xr:uid="{00000000-0005-0000-0000-000073000000}"/>
    <cellStyle name="Comma 2 5" xfId="117" xr:uid="{00000000-0005-0000-0000-000074000000}"/>
    <cellStyle name="Comma 2 6" xfId="118" xr:uid="{00000000-0005-0000-0000-000075000000}"/>
    <cellStyle name="Comma 2 7" xfId="119" xr:uid="{00000000-0005-0000-0000-000076000000}"/>
    <cellStyle name="Comma 2 8" xfId="120" xr:uid="{00000000-0005-0000-0000-000077000000}"/>
    <cellStyle name="Comma 2 9" xfId="121" xr:uid="{00000000-0005-0000-0000-000078000000}"/>
    <cellStyle name="Comma 24" xfId="122" xr:uid="{00000000-0005-0000-0000-000079000000}"/>
    <cellStyle name="Comma 3" xfId="123" xr:uid="{00000000-0005-0000-0000-00007A000000}"/>
    <cellStyle name="Comma 3 10" xfId="124" xr:uid="{00000000-0005-0000-0000-00007B000000}"/>
    <cellStyle name="Comma 3 11" xfId="125" xr:uid="{00000000-0005-0000-0000-00007C000000}"/>
    <cellStyle name="Comma 3 12" xfId="126" xr:uid="{00000000-0005-0000-0000-00007D000000}"/>
    <cellStyle name="Comma 3 13" xfId="127" xr:uid="{00000000-0005-0000-0000-00007E000000}"/>
    <cellStyle name="Comma 3 14" xfId="128" xr:uid="{00000000-0005-0000-0000-00007F000000}"/>
    <cellStyle name="Comma 3 15" xfId="129" xr:uid="{00000000-0005-0000-0000-000080000000}"/>
    <cellStyle name="Comma 3 16" xfId="130" xr:uid="{00000000-0005-0000-0000-000081000000}"/>
    <cellStyle name="Comma 3 17" xfId="131" xr:uid="{00000000-0005-0000-0000-000082000000}"/>
    <cellStyle name="Comma 3 18" xfId="132" xr:uid="{00000000-0005-0000-0000-000083000000}"/>
    <cellStyle name="Comma 3 19" xfId="133" xr:uid="{00000000-0005-0000-0000-000084000000}"/>
    <cellStyle name="Comma 3 2" xfId="134" xr:uid="{00000000-0005-0000-0000-000085000000}"/>
    <cellStyle name="Comma 3 20" xfId="135" xr:uid="{00000000-0005-0000-0000-000086000000}"/>
    <cellStyle name="Comma 3 3" xfId="136" xr:uid="{00000000-0005-0000-0000-000087000000}"/>
    <cellStyle name="Comma 3 4" xfId="137" xr:uid="{00000000-0005-0000-0000-000088000000}"/>
    <cellStyle name="Comma 3 5" xfId="138" xr:uid="{00000000-0005-0000-0000-000089000000}"/>
    <cellStyle name="Comma 3 6" xfId="139" xr:uid="{00000000-0005-0000-0000-00008A000000}"/>
    <cellStyle name="Comma 3 7" xfId="140" xr:uid="{00000000-0005-0000-0000-00008B000000}"/>
    <cellStyle name="Comma 3 8" xfId="141" xr:uid="{00000000-0005-0000-0000-00008C000000}"/>
    <cellStyle name="Comma 3 9" xfId="142" xr:uid="{00000000-0005-0000-0000-00008D000000}"/>
    <cellStyle name="Comma 4" xfId="143" xr:uid="{00000000-0005-0000-0000-00008E000000}"/>
    <cellStyle name="Comma 5" xfId="144" xr:uid="{00000000-0005-0000-0000-00008F000000}"/>
    <cellStyle name="Comma 5 10" xfId="145" xr:uid="{00000000-0005-0000-0000-000090000000}"/>
    <cellStyle name="Comma 5 11" xfId="146" xr:uid="{00000000-0005-0000-0000-000091000000}"/>
    <cellStyle name="Comma 5 12" xfId="147" xr:uid="{00000000-0005-0000-0000-000092000000}"/>
    <cellStyle name="Comma 5 13" xfId="148" xr:uid="{00000000-0005-0000-0000-000093000000}"/>
    <cellStyle name="Comma 5 14" xfId="149" xr:uid="{00000000-0005-0000-0000-000094000000}"/>
    <cellStyle name="Comma 5 15" xfId="150" xr:uid="{00000000-0005-0000-0000-000095000000}"/>
    <cellStyle name="Comma 5 16" xfId="151" xr:uid="{00000000-0005-0000-0000-000096000000}"/>
    <cellStyle name="Comma 5 17" xfId="152" xr:uid="{00000000-0005-0000-0000-000097000000}"/>
    <cellStyle name="Comma 5 18" xfId="153" xr:uid="{00000000-0005-0000-0000-000098000000}"/>
    <cellStyle name="Comma 5 19" xfId="154" xr:uid="{00000000-0005-0000-0000-000099000000}"/>
    <cellStyle name="Comma 5 2" xfId="155" xr:uid="{00000000-0005-0000-0000-00009A000000}"/>
    <cellStyle name="Comma 5 20" xfId="156" xr:uid="{00000000-0005-0000-0000-00009B000000}"/>
    <cellStyle name="Comma 5 3" xfId="157" xr:uid="{00000000-0005-0000-0000-00009C000000}"/>
    <cellStyle name="Comma 5 4" xfId="158" xr:uid="{00000000-0005-0000-0000-00009D000000}"/>
    <cellStyle name="Comma 5 5" xfId="159" xr:uid="{00000000-0005-0000-0000-00009E000000}"/>
    <cellStyle name="Comma 5 6" xfId="160" xr:uid="{00000000-0005-0000-0000-00009F000000}"/>
    <cellStyle name="Comma 5 7" xfId="161" xr:uid="{00000000-0005-0000-0000-0000A0000000}"/>
    <cellStyle name="Comma 5 8" xfId="162" xr:uid="{00000000-0005-0000-0000-0000A1000000}"/>
    <cellStyle name="Comma 5 9" xfId="163" xr:uid="{00000000-0005-0000-0000-0000A2000000}"/>
    <cellStyle name="Comma 6" xfId="164" xr:uid="{00000000-0005-0000-0000-0000A3000000}"/>
    <cellStyle name="Comma 6 10" xfId="165" xr:uid="{00000000-0005-0000-0000-0000A4000000}"/>
    <cellStyle name="Comma 6 11" xfId="166" xr:uid="{00000000-0005-0000-0000-0000A5000000}"/>
    <cellStyle name="Comma 6 12" xfId="167" xr:uid="{00000000-0005-0000-0000-0000A6000000}"/>
    <cellStyle name="Comma 6 13" xfId="168" xr:uid="{00000000-0005-0000-0000-0000A7000000}"/>
    <cellStyle name="Comma 6 14" xfId="169" xr:uid="{00000000-0005-0000-0000-0000A8000000}"/>
    <cellStyle name="Comma 6 15" xfId="170" xr:uid="{00000000-0005-0000-0000-0000A9000000}"/>
    <cellStyle name="Comma 6 16" xfId="171" xr:uid="{00000000-0005-0000-0000-0000AA000000}"/>
    <cellStyle name="Comma 6 17" xfId="172" xr:uid="{00000000-0005-0000-0000-0000AB000000}"/>
    <cellStyle name="Comma 6 18" xfId="173" xr:uid="{00000000-0005-0000-0000-0000AC000000}"/>
    <cellStyle name="Comma 6 19" xfId="174" xr:uid="{00000000-0005-0000-0000-0000AD000000}"/>
    <cellStyle name="Comma 6 2" xfId="175" xr:uid="{00000000-0005-0000-0000-0000AE000000}"/>
    <cellStyle name="Comma 6 3" xfId="176" xr:uid="{00000000-0005-0000-0000-0000AF000000}"/>
    <cellStyle name="Comma 6 4" xfId="177" xr:uid="{00000000-0005-0000-0000-0000B0000000}"/>
    <cellStyle name="Comma 6 5" xfId="178" xr:uid="{00000000-0005-0000-0000-0000B1000000}"/>
    <cellStyle name="Comma 6 6" xfId="179" xr:uid="{00000000-0005-0000-0000-0000B2000000}"/>
    <cellStyle name="Comma 6 7" xfId="180" xr:uid="{00000000-0005-0000-0000-0000B3000000}"/>
    <cellStyle name="Comma 6 8" xfId="181" xr:uid="{00000000-0005-0000-0000-0000B4000000}"/>
    <cellStyle name="Comma 6 9" xfId="182" xr:uid="{00000000-0005-0000-0000-0000B5000000}"/>
    <cellStyle name="Comma 7" xfId="183" xr:uid="{00000000-0005-0000-0000-0000B6000000}"/>
    <cellStyle name="Comma 7 10" xfId="184" xr:uid="{00000000-0005-0000-0000-0000B7000000}"/>
    <cellStyle name="Comma 7 11" xfId="185" xr:uid="{00000000-0005-0000-0000-0000B8000000}"/>
    <cellStyle name="Comma 7 12" xfId="186" xr:uid="{00000000-0005-0000-0000-0000B9000000}"/>
    <cellStyle name="Comma 7 13" xfId="187" xr:uid="{00000000-0005-0000-0000-0000BA000000}"/>
    <cellStyle name="Comma 7 14" xfId="188" xr:uid="{00000000-0005-0000-0000-0000BB000000}"/>
    <cellStyle name="Comma 7 15" xfId="189" xr:uid="{00000000-0005-0000-0000-0000BC000000}"/>
    <cellStyle name="Comma 7 16" xfId="190" xr:uid="{00000000-0005-0000-0000-0000BD000000}"/>
    <cellStyle name="Comma 7 17" xfId="191" xr:uid="{00000000-0005-0000-0000-0000BE000000}"/>
    <cellStyle name="Comma 7 18" xfId="192" xr:uid="{00000000-0005-0000-0000-0000BF000000}"/>
    <cellStyle name="Comma 7 19" xfId="193" xr:uid="{00000000-0005-0000-0000-0000C0000000}"/>
    <cellStyle name="Comma 7 2" xfId="194" xr:uid="{00000000-0005-0000-0000-0000C1000000}"/>
    <cellStyle name="Comma 7 3" xfId="195" xr:uid="{00000000-0005-0000-0000-0000C2000000}"/>
    <cellStyle name="Comma 7 4" xfId="196" xr:uid="{00000000-0005-0000-0000-0000C3000000}"/>
    <cellStyle name="Comma 7 5" xfId="197" xr:uid="{00000000-0005-0000-0000-0000C4000000}"/>
    <cellStyle name="Comma 7 6" xfId="198" xr:uid="{00000000-0005-0000-0000-0000C5000000}"/>
    <cellStyle name="Comma 7 7" xfId="199" xr:uid="{00000000-0005-0000-0000-0000C6000000}"/>
    <cellStyle name="Comma 7 8" xfId="200" xr:uid="{00000000-0005-0000-0000-0000C7000000}"/>
    <cellStyle name="Comma 7 9" xfId="201" xr:uid="{00000000-0005-0000-0000-0000C8000000}"/>
    <cellStyle name="Comma 8" xfId="202" xr:uid="{00000000-0005-0000-0000-0000C9000000}"/>
    <cellStyle name="Comma 8 10" xfId="203" xr:uid="{00000000-0005-0000-0000-0000CA000000}"/>
    <cellStyle name="Comma 8 11" xfId="204" xr:uid="{00000000-0005-0000-0000-0000CB000000}"/>
    <cellStyle name="Comma 8 12" xfId="205" xr:uid="{00000000-0005-0000-0000-0000CC000000}"/>
    <cellStyle name="Comma 8 13" xfId="206" xr:uid="{00000000-0005-0000-0000-0000CD000000}"/>
    <cellStyle name="Comma 8 14" xfId="207" xr:uid="{00000000-0005-0000-0000-0000CE000000}"/>
    <cellStyle name="Comma 8 15" xfId="208" xr:uid="{00000000-0005-0000-0000-0000CF000000}"/>
    <cellStyle name="Comma 8 16" xfId="209" xr:uid="{00000000-0005-0000-0000-0000D0000000}"/>
    <cellStyle name="Comma 8 17" xfId="210" xr:uid="{00000000-0005-0000-0000-0000D1000000}"/>
    <cellStyle name="Comma 8 18" xfId="211" xr:uid="{00000000-0005-0000-0000-0000D2000000}"/>
    <cellStyle name="Comma 8 19" xfId="212" xr:uid="{00000000-0005-0000-0000-0000D3000000}"/>
    <cellStyle name="Comma 8 2" xfId="213" xr:uid="{00000000-0005-0000-0000-0000D4000000}"/>
    <cellStyle name="Comma 8 3" xfId="214" xr:uid="{00000000-0005-0000-0000-0000D5000000}"/>
    <cellStyle name="Comma 8 4" xfId="215" xr:uid="{00000000-0005-0000-0000-0000D6000000}"/>
    <cellStyle name="Comma 8 5" xfId="216" xr:uid="{00000000-0005-0000-0000-0000D7000000}"/>
    <cellStyle name="Comma 8 6" xfId="217" xr:uid="{00000000-0005-0000-0000-0000D8000000}"/>
    <cellStyle name="Comma 8 7" xfId="218" xr:uid="{00000000-0005-0000-0000-0000D9000000}"/>
    <cellStyle name="Comma 8 8" xfId="219" xr:uid="{00000000-0005-0000-0000-0000DA000000}"/>
    <cellStyle name="Comma 8 9" xfId="220" xr:uid="{00000000-0005-0000-0000-0000DB000000}"/>
    <cellStyle name="Comma 9" xfId="221" xr:uid="{00000000-0005-0000-0000-0000DC000000}"/>
    <cellStyle name="Comma 9 10" xfId="222" xr:uid="{00000000-0005-0000-0000-0000DD000000}"/>
    <cellStyle name="Comma 9 11" xfId="223" xr:uid="{00000000-0005-0000-0000-0000DE000000}"/>
    <cellStyle name="Comma 9 12" xfId="224" xr:uid="{00000000-0005-0000-0000-0000DF000000}"/>
    <cellStyle name="Comma 9 13" xfId="225" xr:uid="{00000000-0005-0000-0000-0000E0000000}"/>
    <cellStyle name="Comma 9 14" xfId="226" xr:uid="{00000000-0005-0000-0000-0000E1000000}"/>
    <cellStyle name="Comma 9 15" xfId="227" xr:uid="{00000000-0005-0000-0000-0000E2000000}"/>
    <cellStyle name="Comma 9 16" xfId="228" xr:uid="{00000000-0005-0000-0000-0000E3000000}"/>
    <cellStyle name="Comma 9 17" xfId="229" xr:uid="{00000000-0005-0000-0000-0000E4000000}"/>
    <cellStyle name="Comma 9 18" xfId="230" xr:uid="{00000000-0005-0000-0000-0000E5000000}"/>
    <cellStyle name="Comma 9 19" xfId="231" xr:uid="{00000000-0005-0000-0000-0000E6000000}"/>
    <cellStyle name="Comma 9 2" xfId="232" xr:uid="{00000000-0005-0000-0000-0000E7000000}"/>
    <cellStyle name="Comma 9 3" xfId="233" xr:uid="{00000000-0005-0000-0000-0000E8000000}"/>
    <cellStyle name="Comma 9 4" xfId="234" xr:uid="{00000000-0005-0000-0000-0000E9000000}"/>
    <cellStyle name="Comma 9 5" xfId="235" xr:uid="{00000000-0005-0000-0000-0000EA000000}"/>
    <cellStyle name="Comma 9 6" xfId="236" xr:uid="{00000000-0005-0000-0000-0000EB000000}"/>
    <cellStyle name="Comma 9 7" xfId="237" xr:uid="{00000000-0005-0000-0000-0000EC000000}"/>
    <cellStyle name="Comma 9 8" xfId="238" xr:uid="{00000000-0005-0000-0000-0000ED000000}"/>
    <cellStyle name="Comma 9 9" xfId="239" xr:uid="{00000000-0005-0000-0000-0000EE000000}"/>
    <cellStyle name="Input 2" xfId="240" xr:uid="{00000000-0005-0000-0000-0000EF000000}"/>
    <cellStyle name="Normal" xfId="0" builtinId="0"/>
    <cellStyle name="Normal 10" xfId="241" xr:uid="{00000000-0005-0000-0000-0000F1000000}"/>
    <cellStyle name="Normal 10 2" xfId="242" xr:uid="{00000000-0005-0000-0000-0000F2000000}"/>
    <cellStyle name="Normal 10 3" xfId="243" xr:uid="{00000000-0005-0000-0000-0000F3000000}"/>
    <cellStyle name="Normal 10 4" xfId="244" xr:uid="{00000000-0005-0000-0000-0000F4000000}"/>
    <cellStyle name="Normal 10 5" xfId="245" xr:uid="{00000000-0005-0000-0000-0000F5000000}"/>
    <cellStyle name="Normal 11" xfId="246" xr:uid="{00000000-0005-0000-0000-0000F6000000}"/>
    <cellStyle name="Normal 12" xfId="247" xr:uid="{00000000-0005-0000-0000-0000F7000000}"/>
    <cellStyle name="Normal 12 2" xfId="248" xr:uid="{00000000-0005-0000-0000-0000F8000000}"/>
    <cellStyle name="Normal 12 3" xfId="249" xr:uid="{00000000-0005-0000-0000-0000F9000000}"/>
    <cellStyle name="Normal 12 4" xfId="250" xr:uid="{00000000-0005-0000-0000-0000FA000000}"/>
    <cellStyle name="Normal 12 5" xfId="251" xr:uid="{00000000-0005-0000-0000-0000FB000000}"/>
    <cellStyle name="Normal 13" xfId="252" xr:uid="{00000000-0005-0000-0000-0000FC000000}"/>
    <cellStyle name="Normal 13 2" xfId="253" xr:uid="{00000000-0005-0000-0000-0000FD000000}"/>
    <cellStyle name="Normal 13 3" xfId="254" xr:uid="{00000000-0005-0000-0000-0000FE000000}"/>
    <cellStyle name="Normal 13 4" xfId="255" xr:uid="{00000000-0005-0000-0000-0000FF000000}"/>
    <cellStyle name="Normal 13 5" xfId="256" xr:uid="{00000000-0005-0000-0000-000000010000}"/>
    <cellStyle name="Normal 14" xfId="257" xr:uid="{00000000-0005-0000-0000-000001010000}"/>
    <cellStyle name="Normal 14 10" xfId="258" xr:uid="{00000000-0005-0000-0000-000002010000}"/>
    <cellStyle name="Normal 14 11" xfId="259" xr:uid="{00000000-0005-0000-0000-000003010000}"/>
    <cellStyle name="Normal 14 12" xfId="260" xr:uid="{00000000-0005-0000-0000-000004010000}"/>
    <cellStyle name="Normal 14 2" xfId="261" xr:uid="{00000000-0005-0000-0000-000005010000}"/>
    <cellStyle name="Normal 14 3" xfId="262" xr:uid="{00000000-0005-0000-0000-000006010000}"/>
    <cellStyle name="Normal 14 4" xfId="263" xr:uid="{00000000-0005-0000-0000-000007010000}"/>
    <cellStyle name="Normal 14 5" xfId="264" xr:uid="{00000000-0005-0000-0000-000008010000}"/>
    <cellStyle name="Normal 14 6" xfId="265" xr:uid="{00000000-0005-0000-0000-000009010000}"/>
    <cellStyle name="Normal 14 7" xfId="266" xr:uid="{00000000-0005-0000-0000-00000A010000}"/>
    <cellStyle name="Normal 14 8" xfId="267" xr:uid="{00000000-0005-0000-0000-00000B010000}"/>
    <cellStyle name="Normal 14 9" xfId="268" xr:uid="{00000000-0005-0000-0000-00000C010000}"/>
    <cellStyle name="Normal 15" xfId="269" xr:uid="{00000000-0005-0000-0000-00000D010000}"/>
    <cellStyle name="Normal 16" xfId="270" xr:uid="{00000000-0005-0000-0000-00000E010000}"/>
    <cellStyle name="Normal 17" xfId="271" xr:uid="{00000000-0005-0000-0000-00000F010000}"/>
    <cellStyle name="Normal 17 2" xfId="272" xr:uid="{00000000-0005-0000-0000-000010010000}"/>
    <cellStyle name="Normal 17 3" xfId="273" xr:uid="{00000000-0005-0000-0000-000011010000}"/>
    <cellStyle name="Normal 17 4" xfId="274" xr:uid="{00000000-0005-0000-0000-000012010000}"/>
    <cellStyle name="Normal 17 5" xfId="275" xr:uid="{00000000-0005-0000-0000-000013010000}"/>
    <cellStyle name="Normal 18" xfId="276" xr:uid="{00000000-0005-0000-0000-000014010000}"/>
    <cellStyle name="Normal 19" xfId="277" xr:uid="{00000000-0005-0000-0000-000015010000}"/>
    <cellStyle name="Normal 2" xfId="278" xr:uid="{00000000-0005-0000-0000-000016010000}"/>
    <cellStyle name="Normal 2 10" xfId="279" xr:uid="{00000000-0005-0000-0000-000017010000}"/>
    <cellStyle name="Normal 2 11" xfId="280" xr:uid="{00000000-0005-0000-0000-000018010000}"/>
    <cellStyle name="Normal 2 12" xfId="281" xr:uid="{00000000-0005-0000-0000-000019010000}"/>
    <cellStyle name="Normal 2 13" xfId="282" xr:uid="{00000000-0005-0000-0000-00001A010000}"/>
    <cellStyle name="Normal 2 14" xfId="283" xr:uid="{00000000-0005-0000-0000-00001B010000}"/>
    <cellStyle name="Normal 2 15" xfId="284" xr:uid="{00000000-0005-0000-0000-00001C010000}"/>
    <cellStyle name="Normal 2 16" xfId="285" xr:uid="{00000000-0005-0000-0000-00001D010000}"/>
    <cellStyle name="Normal 2 17" xfId="286" xr:uid="{00000000-0005-0000-0000-00001E010000}"/>
    <cellStyle name="Normal 2 18" xfId="287" xr:uid="{00000000-0005-0000-0000-00001F010000}"/>
    <cellStyle name="Normal 2 19" xfId="288" xr:uid="{00000000-0005-0000-0000-000020010000}"/>
    <cellStyle name="Normal 2 2" xfId="289" xr:uid="{00000000-0005-0000-0000-000021010000}"/>
    <cellStyle name="Normal 2 20" xfId="290" xr:uid="{00000000-0005-0000-0000-000022010000}"/>
    <cellStyle name="Normal 2 3" xfId="291" xr:uid="{00000000-0005-0000-0000-000023010000}"/>
    <cellStyle name="Normal 2 4" xfId="292" xr:uid="{00000000-0005-0000-0000-000024010000}"/>
    <cellStyle name="Normal 2 5" xfId="293" xr:uid="{00000000-0005-0000-0000-000025010000}"/>
    <cellStyle name="Normal 2 6" xfId="294" xr:uid="{00000000-0005-0000-0000-000026010000}"/>
    <cellStyle name="Normal 2 7" xfId="295" xr:uid="{00000000-0005-0000-0000-000027010000}"/>
    <cellStyle name="Normal 2 8" xfId="296" xr:uid="{00000000-0005-0000-0000-000028010000}"/>
    <cellStyle name="Normal 2 9" xfId="297" xr:uid="{00000000-0005-0000-0000-000029010000}"/>
    <cellStyle name="Normal 2_deposits mobilized" xfId="298" xr:uid="{00000000-0005-0000-0000-00002A010000}"/>
    <cellStyle name="Normal 20" xfId="299" xr:uid="{00000000-0005-0000-0000-00002B010000}"/>
    <cellStyle name="Normal 21" xfId="300" xr:uid="{00000000-0005-0000-0000-00002C010000}"/>
    <cellStyle name="Normal 21 10" xfId="301" xr:uid="{00000000-0005-0000-0000-00002D010000}"/>
    <cellStyle name="Normal 21 11" xfId="302" xr:uid="{00000000-0005-0000-0000-00002E010000}"/>
    <cellStyle name="Normal 21 12" xfId="303" xr:uid="{00000000-0005-0000-0000-00002F010000}"/>
    <cellStyle name="Normal 21 13" xfId="304" xr:uid="{00000000-0005-0000-0000-000030010000}"/>
    <cellStyle name="Normal 21 14" xfId="305" xr:uid="{00000000-0005-0000-0000-000031010000}"/>
    <cellStyle name="Normal 21 15" xfId="306" xr:uid="{00000000-0005-0000-0000-000032010000}"/>
    <cellStyle name="Normal 21 16" xfId="307" xr:uid="{00000000-0005-0000-0000-000033010000}"/>
    <cellStyle name="Normal 21 2" xfId="308" xr:uid="{00000000-0005-0000-0000-000034010000}"/>
    <cellStyle name="Normal 21 3" xfId="309" xr:uid="{00000000-0005-0000-0000-000035010000}"/>
    <cellStyle name="Normal 21 4" xfId="310" xr:uid="{00000000-0005-0000-0000-000036010000}"/>
    <cellStyle name="Normal 21 5" xfId="311" xr:uid="{00000000-0005-0000-0000-000037010000}"/>
    <cellStyle name="Normal 21 6" xfId="312" xr:uid="{00000000-0005-0000-0000-000038010000}"/>
    <cellStyle name="Normal 21 7" xfId="313" xr:uid="{00000000-0005-0000-0000-000039010000}"/>
    <cellStyle name="Normal 21 8" xfId="314" xr:uid="{00000000-0005-0000-0000-00003A010000}"/>
    <cellStyle name="Normal 21 9" xfId="315" xr:uid="{00000000-0005-0000-0000-00003B010000}"/>
    <cellStyle name="Normal 22" xfId="316" xr:uid="{00000000-0005-0000-0000-00003C010000}"/>
    <cellStyle name="Normal 23" xfId="317" xr:uid="{00000000-0005-0000-0000-00003D010000}"/>
    <cellStyle name="Normal 24" xfId="318" xr:uid="{00000000-0005-0000-0000-00003E010000}"/>
    <cellStyle name="Normal 25" xfId="319" xr:uid="{00000000-0005-0000-0000-00003F010000}"/>
    <cellStyle name="Normal 26" xfId="320" xr:uid="{00000000-0005-0000-0000-000040010000}"/>
    <cellStyle name="Normal 27" xfId="321" xr:uid="{00000000-0005-0000-0000-000041010000}"/>
    <cellStyle name="Normal 28" xfId="322" xr:uid="{00000000-0005-0000-0000-000042010000}"/>
    <cellStyle name="Normal 29" xfId="323" xr:uid="{00000000-0005-0000-0000-000043010000}"/>
    <cellStyle name="Normal 3" xfId="324" xr:uid="{00000000-0005-0000-0000-000044010000}"/>
    <cellStyle name="Normal 3 10" xfId="325" xr:uid="{00000000-0005-0000-0000-000045010000}"/>
    <cellStyle name="Normal 3 11" xfId="326" xr:uid="{00000000-0005-0000-0000-000046010000}"/>
    <cellStyle name="Normal 3 12" xfId="327" xr:uid="{00000000-0005-0000-0000-000047010000}"/>
    <cellStyle name="Normal 3 13" xfId="328" xr:uid="{00000000-0005-0000-0000-000048010000}"/>
    <cellStyle name="Normal 3 14" xfId="329" xr:uid="{00000000-0005-0000-0000-000049010000}"/>
    <cellStyle name="Normal 3 15" xfId="330" xr:uid="{00000000-0005-0000-0000-00004A010000}"/>
    <cellStyle name="Normal 3 16" xfId="331" xr:uid="{00000000-0005-0000-0000-00004B010000}"/>
    <cellStyle name="Normal 3 17" xfId="332" xr:uid="{00000000-0005-0000-0000-00004C010000}"/>
    <cellStyle name="Normal 3 18" xfId="333" xr:uid="{00000000-0005-0000-0000-00004D010000}"/>
    <cellStyle name="Normal 3 19" xfId="334" xr:uid="{00000000-0005-0000-0000-00004E010000}"/>
    <cellStyle name="Normal 3 2" xfId="335" xr:uid="{00000000-0005-0000-0000-00004F010000}"/>
    <cellStyle name="Normal 3 20" xfId="336" xr:uid="{00000000-0005-0000-0000-000050010000}"/>
    <cellStyle name="Normal 3 21" xfId="337" xr:uid="{00000000-0005-0000-0000-000051010000}"/>
    <cellStyle name="Normal 3 22" xfId="338" xr:uid="{00000000-0005-0000-0000-000052010000}"/>
    <cellStyle name="Normal 3 23" xfId="339" xr:uid="{00000000-0005-0000-0000-000053010000}"/>
    <cellStyle name="Normal 3 24" xfId="340" xr:uid="{00000000-0005-0000-0000-000054010000}"/>
    <cellStyle name="Normal 3 25" xfId="341" xr:uid="{00000000-0005-0000-0000-000055010000}"/>
    <cellStyle name="Normal 3 26" xfId="342" xr:uid="{00000000-0005-0000-0000-000056010000}"/>
    <cellStyle name="Normal 3 27" xfId="343" xr:uid="{00000000-0005-0000-0000-000057010000}"/>
    <cellStyle name="Normal 3 28" xfId="344" xr:uid="{00000000-0005-0000-0000-000058010000}"/>
    <cellStyle name="Normal 3 29" xfId="345" xr:uid="{00000000-0005-0000-0000-000059010000}"/>
    <cellStyle name="Normal 3 3" xfId="346" xr:uid="{00000000-0005-0000-0000-00005A010000}"/>
    <cellStyle name="Normal 3 30" xfId="347" xr:uid="{00000000-0005-0000-0000-00005B010000}"/>
    <cellStyle name="Normal 3 4" xfId="348" xr:uid="{00000000-0005-0000-0000-00005C010000}"/>
    <cellStyle name="Normal 3 5" xfId="349" xr:uid="{00000000-0005-0000-0000-00005D010000}"/>
    <cellStyle name="Normal 3 6" xfId="350" xr:uid="{00000000-0005-0000-0000-00005E010000}"/>
    <cellStyle name="Normal 3 7" xfId="351" xr:uid="{00000000-0005-0000-0000-00005F010000}"/>
    <cellStyle name="Normal 3 8" xfId="352" xr:uid="{00000000-0005-0000-0000-000060010000}"/>
    <cellStyle name="Normal 3 9" xfId="353" xr:uid="{00000000-0005-0000-0000-000061010000}"/>
    <cellStyle name="Normal 3_deposits mobilized" xfId="354" xr:uid="{00000000-0005-0000-0000-000062010000}"/>
    <cellStyle name="Normal 30" xfId="355" xr:uid="{00000000-0005-0000-0000-000063010000}"/>
    <cellStyle name="Normal 31" xfId="356" xr:uid="{00000000-0005-0000-0000-000064010000}"/>
    <cellStyle name="Normal 32" xfId="357" xr:uid="{00000000-0005-0000-0000-000065010000}"/>
    <cellStyle name="Normal 33" xfId="358" xr:uid="{00000000-0005-0000-0000-000066010000}"/>
    <cellStyle name="Normal 34" xfId="359" xr:uid="{00000000-0005-0000-0000-000067010000}"/>
    <cellStyle name="Normal 35" xfId="360" xr:uid="{00000000-0005-0000-0000-000068010000}"/>
    <cellStyle name="Normal 36" xfId="361" xr:uid="{00000000-0005-0000-0000-000069010000}"/>
    <cellStyle name="Normal 37" xfId="362" xr:uid="{00000000-0005-0000-0000-00006A010000}"/>
    <cellStyle name="Normal 38" xfId="363" xr:uid="{00000000-0005-0000-0000-00006B010000}"/>
    <cellStyle name="Normal 4" xfId="364" xr:uid="{00000000-0005-0000-0000-00006C010000}"/>
    <cellStyle name="Normal 4 10" xfId="365" xr:uid="{00000000-0005-0000-0000-00006D010000}"/>
    <cellStyle name="Normal 4 11" xfId="366" xr:uid="{00000000-0005-0000-0000-00006E010000}"/>
    <cellStyle name="Normal 4 12" xfId="367" xr:uid="{00000000-0005-0000-0000-00006F010000}"/>
    <cellStyle name="Normal 4 13" xfId="368" xr:uid="{00000000-0005-0000-0000-000070010000}"/>
    <cellStyle name="Normal 4 14" xfId="369" xr:uid="{00000000-0005-0000-0000-000071010000}"/>
    <cellStyle name="Normal 4 15" xfId="370" xr:uid="{00000000-0005-0000-0000-000072010000}"/>
    <cellStyle name="Normal 4 16" xfId="371" xr:uid="{00000000-0005-0000-0000-000073010000}"/>
    <cellStyle name="Normal 4 17" xfId="372" xr:uid="{00000000-0005-0000-0000-000074010000}"/>
    <cellStyle name="Normal 4 18" xfId="373" xr:uid="{00000000-0005-0000-0000-000075010000}"/>
    <cellStyle name="Normal 4 19" xfId="374" xr:uid="{00000000-0005-0000-0000-000076010000}"/>
    <cellStyle name="Normal 4 2" xfId="375" xr:uid="{00000000-0005-0000-0000-000077010000}"/>
    <cellStyle name="Normal 4 20" xfId="376" xr:uid="{00000000-0005-0000-0000-000078010000}"/>
    <cellStyle name="Normal 4 21" xfId="377" xr:uid="{00000000-0005-0000-0000-000079010000}"/>
    <cellStyle name="Normal 4 22" xfId="378" xr:uid="{00000000-0005-0000-0000-00007A010000}"/>
    <cellStyle name="Normal 4 23" xfId="379" xr:uid="{00000000-0005-0000-0000-00007B010000}"/>
    <cellStyle name="Normal 4 24" xfId="380" xr:uid="{00000000-0005-0000-0000-00007C010000}"/>
    <cellStyle name="Normal 4 25" xfId="381" xr:uid="{00000000-0005-0000-0000-00007D010000}"/>
    <cellStyle name="Normal 4 26" xfId="382" xr:uid="{00000000-0005-0000-0000-00007E010000}"/>
    <cellStyle name="Normal 4 27" xfId="383" xr:uid="{00000000-0005-0000-0000-00007F010000}"/>
    <cellStyle name="Normal 4 28" xfId="384" xr:uid="{00000000-0005-0000-0000-000080010000}"/>
    <cellStyle name="Normal 4 29" xfId="385" xr:uid="{00000000-0005-0000-0000-000081010000}"/>
    <cellStyle name="Normal 4 3" xfId="386" xr:uid="{00000000-0005-0000-0000-000082010000}"/>
    <cellStyle name="Normal 4 30" xfId="387" xr:uid="{00000000-0005-0000-0000-000083010000}"/>
    <cellStyle name="Normal 4 4" xfId="388" xr:uid="{00000000-0005-0000-0000-000084010000}"/>
    <cellStyle name="Normal 4 5" xfId="389" xr:uid="{00000000-0005-0000-0000-000085010000}"/>
    <cellStyle name="Normal 4 6" xfId="390" xr:uid="{00000000-0005-0000-0000-000086010000}"/>
    <cellStyle name="Normal 4 7" xfId="391" xr:uid="{00000000-0005-0000-0000-000087010000}"/>
    <cellStyle name="Normal 4 8" xfId="392" xr:uid="{00000000-0005-0000-0000-000088010000}"/>
    <cellStyle name="Normal 4 9" xfId="393" xr:uid="{00000000-0005-0000-0000-000089010000}"/>
    <cellStyle name="Normal 5" xfId="394" xr:uid="{00000000-0005-0000-0000-00008A010000}"/>
    <cellStyle name="Normal 5 10" xfId="395" xr:uid="{00000000-0005-0000-0000-00008B010000}"/>
    <cellStyle name="Normal 5 11" xfId="396" xr:uid="{00000000-0005-0000-0000-00008C010000}"/>
    <cellStyle name="Normal 5 12" xfId="397" xr:uid="{00000000-0005-0000-0000-00008D010000}"/>
    <cellStyle name="Normal 5 13" xfId="398" xr:uid="{00000000-0005-0000-0000-00008E010000}"/>
    <cellStyle name="Normal 5 14" xfId="399" xr:uid="{00000000-0005-0000-0000-00008F010000}"/>
    <cellStyle name="Normal 5 15" xfId="400" xr:uid="{00000000-0005-0000-0000-000090010000}"/>
    <cellStyle name="Normal 5 2" xfId="401" xr:uid="{00000000-0005-0000-0000-000091010000}"/>
    <cellStyle name="Normal 5 3" xfId="402" xr:uid="{00000000-0005-0000-0000-000092010000}"/>
    <cellStyle name="Normal 5 4" xfId="403" xr:uid="{00000000-0005-0000-0000-000093010000}"/>
    <cellStyle name="Normal 5 5" xfId="404" xr:uid="{00000000-0005-0000-0000-000094010000}"/>
    <cellStyle name="Normal 5 6" xfId="405" xr:uid="{00000000-0005-0000-0000-000095010000}"/>
    <cellStyle name="Normal 5 7" xfId="406" xr:uid="{00000000-0005-0000-0000-000096010000}"/>
    <cellStyle name="Normal 5 8" xfId="407" xr:uid="{00000000-0005-0000-0000-000097010000}"/>
    <cellStyle name="Normal 5 9" xfId="408" xr:uid="{00000000-0005-0000-0000-000098010000}"/>
    <cellStyle name="Normal 6" xfId="409" xr:uid="{00000000-0005-0000-0000-000099010000}"/>
    <cellStyle name="Normal 6 2" xfId="410" xr:uid="{00000000-0005-0000-0000-00009A010000}"/>
    <cellStyle name="Normal 6 3" xfId="411" xr:uid="{00000000-0005-0000-0000-00009B010000}"/>
    <cellStyle name="Normal 6 4" xfId="412" xr:uid="{00000000-0005-0000-0000-00009C010000}"/>
    <cellStyle name="Normal 7" xfId="413" xr:uid="{00000000-0005-0000-0000-00009D010000}"/>
    <cellStyle name="Normal 7 2" xfId="414" xr:uid="{00000000-0005-0000-0000-00009E010000}"/>
    <cellStyle name="Normal 7 3" xfId="415" xr:uid="{00000000-0005-0000-0000-00009F010000}"/>
    <cellStyle name="Normal 7 4" xfId="416" xr:uid="{00000000-0005-0000-0000-0000A0010000}"/>
    <cellStyle name="Normal 7 5" xfId="417" xr:uid="{00000000-0005-0000-0000-0000A1010000}"/>
    <cellStyle name="Normal 8" xfId="418" xr:uid="{00000000-0005-0000-0000-0000A2010000}"/>
    <cellStyle name="Normal 9" xfId="419" xr:uid="{00000000-0005-0000-0000-0000A3010000}"/>
    <cellStyle name="Normal 9 10" xfId="420" xr:uid="{00000000-0005-0000-0000-0000A4010000}"/>
    <cellStyle name="Normal 9 11" xfId="421" xr:uid="{00000000-0005-0000-0000-0000A5010000}"/>
    <cellStyle name="Normal 9 12" xfId="422" xr:uid="{00000000-0005-0000-0000-0000A6010000}"/>
    <cellStyle name="Normal 9 13" xfId="423" xr:uid="{00000000-0005-0000-0000-0000A7010000}"/>
    <cellStyle name="Normal 9 14" xfId="424" xr:uid="{00000000-0005-0000-0000-0000A8010000}"/>
    <cellStyle name="Normal 9 2" xfId="425" xr:uid="{00000000-0005-0000-0000-0000A9010000}"/>
    <cellStyle name="Normal 9 2 2" xfId="426" xr:uid="{00000000-0005-0000-0000-0000AA010000}"/>
    <cellStyle name="Normal 9 2 3" xfId="427" xr:uid="{00000000-0005-0000-0000-0000AB010000}"/>
    <cellStyle name="Normal 9 2 4" xfId="428" xr:uid="{00000000-0005-0000-0000-0000AC010000}"/>
    <cellStyle name="Normal 9 3" xfId="429" xr:uid="{00000000-0005-0000-0000-0000AD010000}"/>
    <cellStyle name="Normal 9 4" xfId="430" xr:uid="{00000000-0005-0000-0000-0000AE010000}"/>
    <cellStyle name="Normal 9 5" xfId="431" xr:uid="{00000000-0005-0000-0000-0000AF010000}"/>
    <cellStyle name="Normal 9 6" xfId="432" xr:uid="{00000000-0005-0000-0000-0000B0010000}"/>
    <cellStyle name="Normal 9 7" xfId="433" xr:uid="{00000000-0005-0000-0000-0000B1010000}"/>
    <cellStyle name="Normal 9 8" xfId="434" xr:uid="{00000000-0005-0000-0000-0000B2010000}"/>
    <cellStyle name="Normal 9 9" xfId="435" xr:uid="{00000000-0005-0000-0000-0000B3010000}"/>
    <cellStyle name="Normal_Booster 2009 Acoounts" xfId="436" xr:uid="{00000000-0005-0000-0000-0000B4010000}"/>
    <cellStyle name="Note 2" xfId="437" xr:uid="{00000000-0005-0000-0000-0000B5010000}"/>
    <cellStyle name="Percent" xfId="438" builtinId="5"/>
    <cellStyle name="Percent 2" xfId="439" xr:uid="{00000000-0005-0000-0000-0000B7010000}"/>
    <cellStyle name="Percent 2 2" xfId="440" xr:uid="{00000000-0005-0000-0000-0000B8010000}"/>
    <cellStyle name="Percent 3" xfId="441" xr:uid="{00000000-0005-0000-0000-0000B9010000}"/>
    <cellStyle name="Total 2" xfId="442" xr:uid="{00000000-0005-0000-0000-0000BA010000}"/>
    <cellStyle name="Total 2 2" xfId="443" xr:uid="{00000000-0005-0000-0000-0000B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EXCEL%20RETURNS\saccos\2484\2018\3\form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EXCEL%20RETURNS\saccos\2484\2018\6\form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 Analysis"/>
    </sheetNames>
    <sheetDataSet>
      <sheetData sheetId="0">
        <row r="12">
          <cell r="D12">
            <v>23856163.359999999</v>
          </cell>
        </row>
        <row r="13">
          <cell r="D13">
            <v>6177957.6900000004</v>
          </cell>
        </row>
        <row r="14">
          <cell r="D14">
            <v>8540057.7799999993</v>
          </cell>
        </row>
        <row r="15">
          <cell r="D15">
            <v>568074380.71000004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 Analysis"/>
    </sheetNames>
    <sheetDataSet>
      <sheetData sheetId="0">
        <row r="12">
          <cell r="D12">
            <v>18912421.84</v>
          </cell>
        </row>
        <row r="13">
          <cell r="D13">
            <v>5760670.5</v>
          </cell>
        </row>
        <row r="14">
          <cell r="D14">
            <v>8297000.3099999996</v>
          </cell>
        </row>
        <row r="15">
          <cell r="D15">
            <v>596748184.38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P59"/>
  <sheetViews>
    <sheetView workbookViewId="0">
      <pane xSplit="1" ySplit="3" topLeftCell="CN4" activePane="bottomRight" state="frozen"/>
      <selection pane="bottomRight" activeCell="CQ5" sqref="CQ5"/>
      <selection pane="bottomLeft" activeCell="A4" sqref="A4"/>
      <selection pane="topRight" activeCell="B1" sqref="B1"/>
    </sheetView>
  </sheetViews>
  <sheetFormatPr defaultRowHeight="15"/>
  <cols>
    <col min="1" max="1" width="46.28515625" customWidth="1"/>
    <col min="2" max="8" width="16.5703125" customWidth="1"/>
    <col min="9" max="14" width="16.5703125" hidden="1" customWidth="1"/>
    <col min="15" max="15" width="0.140625" hidden="1" customWidth="1"/>
    <col min="16" max="20" width="15" hidden="1" customWidth="1"/>
    <col min="21" max="21" width="16.5703125" bestFit="1" customWidth="1"/>
    <col min="22" max="22" width="14.5703125" hidden="1" customWidth="1"/>
    <col min="23" max="23" width="15.140625" hidden="1" customWidth="1"/>
    <col min="24" max="26" width="15.28515625" hidden="1" customWidth="1"/>
    <col min="27" max="28" width="15" hidden="1" customWidth="1"/>
    <col min="29" max="33" width="15.28515625" hidden="1" customWidth="1"/>
    <col min="34" max="34" width="15.28515625" bestFit="1" customWidth="1"/>
    <col min="35" max="40" width="15" hidden="1" customWidth="1"/>
    <col min="41" max="45" width="14.85546875" hidden="1" customWidth="1"/>
    <col min="46" max="46" width="22.7109375" style="2" hidden="1" customWidth="1"/>
    <col min="47" max="47" width="14.85546875" bestFit="1" customWidth="1"/>
    <col min="48" max="52" width="14.85546875" hidden="1" customWidth="1"/>
    <col min="53" max="53" width="5.7109375" hidden="1" customWidth="1"/>
    <col min="54" max="54" width="16.42578125" hidden="1" customWidth="1"/>
    <col min="55" max="58" width="14.85546875" hidden="1" customWidth="1"/>
    <col min="59" max="59" width="16.42578125" style="75" bestFit="1" customWidth="1"/>
    <col min="60" max="60" width="14.7109375" bestFit="1" customWidth="1"/>
    <col min="61" max="62" width="14.85546875" bestFit="1" customWidth="1"/>
    <col min="63" max="64" width="15" bestFit="1" customWidth="1"/>
    <col min="65" max="65" width="20.42578125" customWidth="1"/>
    <col min="66" max="66" width="19.28515625" customWidth="1"/>
    <col min="67" max="67" width="20" customWidth="1"/>
    <col min="68" max="68" width="22" customWidth="1"/>
    <col min="69" max="69" width="21.5703125" customWidth="1"/>
    <col min="70" max="70" width="19.28515625" customWidth="1"/>
    <col min="71" max="71" width="19.5703125" customWidth="1"/>
    <col min="72" max="72" width="23.5703125" style="44" customWidth="1"/>
    <col min="73" max="73" width="17.85546875" customWidth="1"/>
    <col min="74" max="74" width="16.7109375" customWidth="1"/>
    <col min="75" max="75" width="16.42578125" customWidth="1"/>
    <col min="76" max="76" width="21" customWidth="1"/>
    <col min="77" max="77" width="16.5703125" customWidth="1"/>
    <col min="78" max="78" width="16.42578125" customWidth="1"/>
    <col min="79" max="79" width="18.28515625" customWidth="1"/>
    <col min="80" max="80" width="17.5703125" customWidth="1"/>
    <col min="81" max="81" width="18" customWidth="1"/>
    <col min="82" max="82" width="16.85546875" customWidth="1"/>
    <col min="83" max="83" width="17.7109375" customWidth="1"/>
    <col min="84" max="84" width="25.5703125" customWidth="1"/>
    <col min="85" max="85" width="20.140625" customWidth="1"/>
    <col min="86" max="86" width="17.85546875" customWidth="1"/>
    <col min="87" max="88" width="16.5703125" customWidth="1"/>
    <col min="89" max="89" width="18.7109375" customWidth="1"/>
    <col min="90" max="90" width="19.140625" customWidth="1"/>
    <col min="91" max="91" width="16.85546875" customWidth="1"/>
    <col min="92" max="92" width="18" customWidth="1"/>
    <col min="93" max="93" width="17.85546875" customWidth="1"/>
    <col min="94" max="94" width="17.5703125" customWidth="1"/>
  </cols>
  <sheetData>
    <row r="1" spans="1:94" ht="15" customHeight="1">
      <c r="A1" s="258"/>
      <c r="B1" s="258"/>
      <c r="C1" s="258"/>
      <c r="D1" s="258"/>
      <c r="E1" s="258"/>
      <c r="F1" s="258"/>
      <c r="G1" s="258"/>
      <c r="H1" s="258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</row>
    <row r="3" spans="1:94">
      <c r="A3" s="8"/>
      <c r="B3" s="25" t="s">
        <v>0</v>
      </c>
      <c r="C3" s="25" t="s">
        <v>1</v>
      </c>
      <c r="D3" s="25" t="s">
        <v>2</v>
      </c>
      <c r="E3" s="25" t="s">
        <v>3</v>
      </c>
      <c r="F3" s="25" t="s">
        <v>4</v>
      </c>
      <c r="G3" s="25" t="s">
        <v>5</v>
      </c>
      <c r="H3" s="30" t="s">
        <v>6</v>
      </c>
      <c r="I3" s="30">
        <v>42736</v>
      </c>
      <c r="J3" s="30">
        <v>42767</v>
      </c>
      <c r="K3" s="30">
        <v>42795</v>
      </c>
      <c r="L3" s="30">
        <v>42826</v>
      </c>
      <c r="M3" s="30">
        <v>42856</v>
      </c>
      <c r="N3" s="30">
        <v>42887</v>
      </c>
      <c r="O3" s="30">
        <v>42917</v>
      </c>
      <c r="P3" s="30">
        <v>42948</v>
      </c>
      <c r="Q3" s="30">
        <v>42979</v>
      </c>
      <c r="R3" s="30">
        <v>43009</v>
      </c>
      <c r="S3" s="30">
        <v>43040</v>
      </c>
      <c r="T3" s="30">
        <v>43070</v>
      </c>
      <c r="U3" s="30" t="s">
        <v>7</v>
      </c>
      <c r="V3" s="30">
        <v>43101</v>
      </c>
      <c r="W3" s="117">
        <v>43132</v>
      </c>
      <c r="X3" s="117">
        <v>43160</v>
      </c>
      <c r="Y3" s="117">
        <v>43191</v>
      </c>
      <c r="Z3" s="117">
        <v>43221</v>
      </c>
      <c r="AA3" s="117">
        <v>43252</v>
      </c>
      <c r="AB3" s="117">
        <v>43282</v>
      </c>
      <c r="AC3" s="117">
        <v>43313</v>
      </c>
      <c r="AD3" s="117">
        <v>43344</v>
      </c>
      <c r="AE3" s="117">
        <v>43374</v>
      </c>
      <c r="AF3" s="117">
        <v>43405</v>
      </c>
      <c r="AG3" s="117">
        <v>43435</v>
      </c>
      <c r="AH3" s="117" t="s">
        <v>8</v>
      </c>
      <c r="AI3" s="114">
        <v>43466</v>
      </c>
      <c r="AJ3" s="114">
        <v>43497</v>
      </c>
      <c r="AK3" s="114">
        <v>43525</v>
      </c>
      <c r="AL3" s="114">
        <v>43556</v>
      </c>
      <c r="AM3" s="114">
        <v>43586</v>
      </c>
      <c r="AN3" s="114">
        <v>43617</v>
      </c>
      <c r="AO3" s="114">
        <v>43647</v>
      </c>
      <c r="AP3" s="114">
        <v>43678</v>
      </c>
      <c r="AQ3" s="114">
        <v>43709</v>
      </c>
      <c r="AR3" s="114">
        <v>43739</v>
      </c>
      <c r="AS3" s="114">
        <v>43770</v>
      </c>
      <c r="AT3" s="149">
        <v>43800</v>
      </c>
      <c r="AU3" s="172" t="s">
        <v>9</v>
      </c>
      <c r="AV3" s="172">
        <v>43862</v>
      </c>
      <c r="AW3" s="172">
        <v>43891</v>
      </c>
      <c r="AX3" s="172">
        <v>43922</v>
      </c>
      <c r="AY3" s="172">
        <v>43952</v>
      </c>
      <c r="AZ3" s="172">
        <v>43983</v>
      </c>
      <c r="BA3" s="172">
        <v>44013</v>
      </c>
      <c r="BB3" s="172">
        <v>44044</v>
      </c>
      <c r="BC3" s="172">
        <v>44075</v>
      </c>
      <c r="BD3" s="172">
        <v>44105</v>
      </c>
      <c r="BE3" s="172">
        <v>44136</v>
      </c>
      <c r="BF3" s="172">
        <v>44166</v>
      </c>
      <c r="BG3" s="173" t="s">
        <v>10</v>
      </c>
      <c r="BH3" s="172">
        <v>44197</v>
      </c>
      <c r="BI3" s="172">
        <v>44228</v>
      </c>
      <c r="BJ3" s="172">
        <v>44256</v>
      </c>
      <c r="BK3" s="172">
        <v>44287</v>
      </c>
      <c r="BL3" s="172">
        <v>44317</v>
      </c>
      <c r="BM3" s="172">
        <v>44348</v>
      </c>
      <c r="BN3" s="172">
        <v>44378</v>
      </c>
      <c r="BO3" s="172">
        <v>44409</v>
      </c>
      <c r="BP3" s="172">
        <v>44440</v>
      </c>
      <c r="BQ3" s="172">
        <v>44470</v>
      </c>
      <c r="BR3" s="172">
        <v>44501</v>
      </c>
      <c r="BS3" s="172">
        <v>44531</v>
      </c>
      <c r="BT3" s="229" t="s">
        <v>11</v>
      </c>
      <c r="BU3" s="172">
        <v>44562</v>
      </c>
      <c r="BV3" s="172">
        <v>44593</v>
      </c>
      <c r="BW3" s="172">
        <v>44621</v>
      </c>
      <c r="BX3" s="172">
        <v>44652</v>
      </c>
      <c r="BY3" s="172">
        <v>44682</v>
      </c>
      <c r="BZ3" s="172">
        <v>44713</v>
      </c>
      <c r="CA3" s="172">
        <v>44743</v>
      </c>
      <c r="CB3" s="172">
        <v>44774</v>
      </c>
      <c r="CC3" s="172">
        <v>44805</v>
      </c>
      <c r="CD3" s="172">
        <v>44835</v>
      </c>
      <c r="CE3" s="172">
        <v>44866</v>
      </c>
      <c r="CF3" s="172">
        <v>44896</v>
      </c>
      <c r="CG3" s="172" t="s">
        <v>12</v>
      </c>
      <c r="CH3" s="172">
        <v>44927</v>
      </c>
      <c r="CI3" s="172">
        <v>44958</v>
      </c>
      <c r="CJ3" s="172">
        <v>44986</v>
      </c>
      <c r="CK3" s="172">
        <v>45017</v>
      </c>
      <c r="CL3" s="172">
        <v>45047</v>
      </c>
      <c r="CM3" s="172">
        <v>45078</v>
      </c>
      <c r="CN3" s="172">
        <v>45108</v>
      </c>
      <c r="CO3" s="172">
        <v>45139</v>
      </c>
      <c r="CP3" s="172">
        <v>45170</v>
      </c>
    </row>
    <row r="4" spans="1:94">
      <c r="A4" s="9" t="s">
        <v>13</v>
      </c>
      <c r="B4" s="53">
        <f>SUM(B5:B6)</f>
        <v>57280489</v>
      </c>
      <c r="C4" s="53">
        <f>SUM(C5:C6)</f>
        <v>19846649</v>
      </c>
      <c r="D4" s="53">
        <f>SUM(D5:D6)</f>
        <v>12419314</v>
      </c>
      <c r="E4" s="53">
        <f t="shared" ref="E4:BJ4" si="0">SUM(E5:E6)</f>
        <v>40164453.199999996</v>
      </c>
      <c r="F4" s="53">
        <f t="shared" si="0"/>
        <v>49731794</v>
      </c>
      <c r="G4" s="53">
        <f t="shared" si="0"/>
        <v>72857216</v>
      </c>
      <c r="H4" s="53">
        <f t="shared" si="0"/>
        <v>36146766</v>
      </c>
      <c r="I4" s="53">
        <f t="shared" si="0"/>
        <v>24906108.190000001</v>
      </c>
      <c r="J4" s="53">
        <f t="shared" si="0"/>
        <v>59905690.700000003</v>
      </c>
      <c r="K4" s="53">
        <f t="shared" si="0"/>
        <v>50749892.849999994</v>
      </c>
      <c r="L4" s="53">
        <f t="shared" si="0"/>
        <v>16745762.830000002</v>
      </c>
      <c r="M4" s="53">
        <f t="shared" si="0"/>
        <v>40968012.210000001</v>
      </c>
      <c r="N4" s="53">
        <f t="shared" si="0"/>
        <v>31218266.09</v>
      </c>
      <c r="O4" s="53">
        <f t="shared" si="0"/>
        <v>38745751.509999998</v>
      </c>
      <c r="P4" s="53">
        <f t="shared" si="0"/>
        <v>27746094.57</v>
      </c>
      <c r="Q4" s="53">
        <f t="shared" si="0"/>
        <v>42074178.730000004</v>
      </c>
      <c r="R4" s="53">
        <f t="shared" si="0"/>
        <v>41050704.630000003</v>
      </c>
      <c r="S4" s="53">
        <f t="shared" si="0"/>
        <v>55969683.579999998</v>
      </c>
      <c r="T4" s="53">
        <f t="shared" si="0"/>
        <v>49345096.240000002</v>
      </c>
      <c r="U4" s="53">
        <f t="shared" si="0"/>
        <v>49345097</v>
      </c>
      <c r="V4" s="115">
        <f t="shared" si="0"/>
        <v>59501321.890000001</v>
      </c>
      <c r="W4" s="115">
        <f t="shared" si="0"/>
        <v>72848455.459999993</v>
      </c>
      <c r="X4" s="115">
        <f t="shared" si="0"/>
        <v>64846240.75</v>
      </c>
      <c r="Y4" s="115">
        <f t="shared" si="0"/>
        <v>43343999.700000003</v>
      </c>
      <c r="Z4" s="115">
        <f t="shared" si="0"/>
        <v>42980955.689999998</v>
      </c>
      <c r="AA4" s="115">
        <f t="shared" si="0"/>
        <v>61136583.170000002</v>
      </c>
      <c r="AB4" s="115">
        <f t="shared" si="0"/>
        <v>64558992.109999999</v>
      </c>
      <c r="AC4" s="115">
        <f t="shared" si="0"/>
        <v>53240294.530000001</v>
      </c>
      <c r="AD4" s="115">
        <f t="shared" si="0"/>
        <v>59355681.399999999</v>
      </c>
      <c r="AE4" s="115">
        <f t="shared" si="0"/>
        <v>66966336.43</v>
      </c>
      <c r="AF4" s="115">
        <f t="shared" si="0"/>
        <v>61910665.439999998</v>
      </c>
      <c r="AG4" s="115">
        <f t="shared" si="0"/>
        <v>60967748.290000007</v>
      </c>
      <c r="AH4" s="115">
        <f t="shared" si="0"/>
        <v>60967448.290000007</v>
      </c>
      <c r="AI4" s="115">
        <f t="shared" si="0"/>
        <v>66374420.409999996</v>
      </c>
      <c r="AJ4" s="115">
        <f t="shared" si="0"/>
        <v>69847542.150000006</v>
      </c>
      <c r="AK4" s="115">
        <f t="shared" si="0"/>
        <v>66925285.540000007</v>
      </c>
      <c r="AL4" s="115">
        <f t="shared" si="0"/>
        <v>45322002.5</v>
      </c>
      <c r="AM4" s="115">
        <f t="shared" si="0"/>
        <v>46183846.729999997</v>
      </c>
      <c r="AN4" s="115">
        <f t="shared" si="0"/>
        <v>67531014.629999995</v>
      </c>
      <c r="AO4" s="115">
        <f t="shared" si="0"/>
        <v>57124619.789999999</v>
      </c>
      <c r="AP4" s="115">
        <f t="shared" si="0"/>
        <v>61755124.799999997</v>
      </c>
      <c r="AQ4" s="115">
        <f t="shared" si="0"/>
        <v>74900764.960000008</v>
      </c>
      <c r="AR4" s="115">
        <f t="shared" si="0"/>
        <v>79527947.210000008</v>
      </c>
      <c r="AS4" s="115">
        <f t="shared" si="0"/>
        <v>69832834.420000002</v>
      </c>
      <c r="AT4" s="115">
        <f t="shared" si="0"/>
        <v>71000412.219999999</v>
      </c>
      <c r="AU4" s="115">
        <f t="shared" si="0"/>
        <v>71047900.790000007</v>
      </c>
      <c r="AV4" s="115">
        <f t="shared" si="0"/>
        <v>98189501.24000001</v>
      </c>
      <c r="AW4" s="115">
        <f t="shared" si="0"/>
        <v>78582584.449999988</v>
      </c>
      <c r="AX4" s="115">
        <f t="shared" si="0"/>
        <v>103102806.97</v>
      </c>
      <c r="AY4" s="115">
        <f t="shared" si="0"/>
        <v>111699918.94</v>
      </c>
      <c r="AZ4" s="115">
        <f t="shared" si="0"/>
        <v>113237045.20999999</v>
      </c>
      <c r="BA4" s="115">
        <f t="shared" si="0"/>
        <v>0</v>
      </c>
      <c r="BB4" s="115">
        <f t="shared" si="0"/>
        <v>581776872.95000005</v>
      </c>
      <c r="BC4" s="115">
        <f t="shared" si="0"/>
        <v>109734825.61</v>
      </c>
      <c r="BD4" s="115">
        <f t="shared" si="0"/>
        <v>110893262.02</v>
      </c>
      <c r="BE4" s="115">
        <f t="shared" si="0"/>
        <v>114720362.57000001</v>
      </c>
      <c r="BF4" s="115">
        <f t="shared" si="0"/>
        <v>113169311.01000001</v>
      </c>
      <c r="BG4" s="115">
        <f t="shared" si="0"/>
        <v>113169311</v>
      </c>
      <c r="BH4" s="115">
        <f t="shared" si="0"/>
        <v>120120959.05</v>
      </c>
      <c r="BI4" s="115">
        <f t="shared" si="0"/>
        <v>103202063.23999999</v>
      </c>
      <c r="BJ4" s="115">
        <f t="shared" si="0"/>
        <v>106037933.59</v>
      </c>
      <c r="BK4" s="115">
        <f>SUM(BK5:BK6)</f>
        <v>108679269.37</v>
      </c>
      <c r="BL4" s="115">
        <f>SUM(BL5:BL6)</f>
        <v>113726017.27</v>
      </c>
      <c r="BM4" s="115">
        <f t="shared" ref="BM4:BO4" si="1">SUM(BM5:BM6)</f>
        <v>114052167.14</v>
      </c>
      <c r="BN4" s="115">
        <f t="shared" si="1"/>
        <v>124258062.98999999</v>
      </c>
      <c r="BO4" s="115">
        <f t="shared" si="1"/>
        <v>141708613.69</v>
      </c>
      <c r="BP4" s="115">
        <f t="shared" ref="BP4" si="2">SUM(BP5:BP6)</f>
        <v>140556387.42999998</v>
      </c>
      <c r="BQ4" s="115">
        <f t="shared" ref="BQ4" si="3">SUM(BQ5:BQ6)</f>
        <v>146691703.14999998</v>
      </c>
      <c r="BR4" s="115">
        <f t="shared" ref="BR4" si="4">SUM(BR5:BR6)</f>
        <v>160700079.97999999</v>
      </c>
      <c r="BS4" s="115">
        <f t="shared" ref="BS4" si="5">SUM(BS5:BS6)</f>
        <v>160342824</v>
      </c>
      <c r="BT4" s="115">
        <f t="shared" ref="BT4:CB4" si="6">SUM(BT5:BT6)</f>
        <v>160342825</v>
      </c>
      <c r="BU4" s="115">
        <f t="shared" si="6"/>
        <v>163934932.19</v>
      </c>
      <c r="BV4" s="115">
        <f t="shared" si="6"/>
        <v>142846042.41999999</v>
      </c>
      <c r="BW4" s="115">
        <f t="shared" si="6"/>
        <v>108069009.93000001</v>
      </c>
      <c r="BX4" s="115">
        <f t="shared" si="6"/>
        <v>101478090.59</v>
      </c>
      <c r="BY4" s="115">
        <f t="shared" si="6"/>
        <v>109536884.40000001</v>
      </c>
      <c r="BZ4" s="115">
        <f t="shared" si="6"/>
        <v>134562317.73999998</v>
      </c>
      <c r="CA4" s="115">
        <f t="shared" si="6"/>
        <v>145442687.22999999</v>
      </c>
      <c r="CB4" s="115">
        <f t="shared" si="6"/>
        <v>149285423.81999999</v>
      </c>
      <c r="CC4" s="115">
        <f t="shared" ref="CC4:CF4" si="7">SUM(CC5:CC6)</f>
        <v>163220495.00999999</v>
      </c>
      <c r="CD4" s="115">
        <f t="shared" si="7"/>
        <v>171865327.67999998</v>
      </c>
      <c r="CE4" s="115">
        <f t="shared" si="7"/>
        <v>178109349.63999999</v>
      </c>
      <c r="CF4" s="115">
        <f t="shared" si="7"/>
        <v>173487260.95999998</v>
      </c>
      <c r="CG4" s="115">
        <f t="shared" ref="CG4:CO4" si="8">SUM(CG5:CG6)</f>
        <v>173487261</v>
      </c>
      <c r="CH4" s="115">
        <f t="shared" si="8"/>
        <v>175092553.73999998</v>
      </c>
      <c r="CI4" s="115">
        <f t="shared" si="8"/>
        <v>190796009.75</v>
      </c>
      <c r="CJ4" s="115">
        <f t="shared" si="8"/>
        <v>148039644.44</v>
      </c>
      <c r="CK4" s="115">
        <f t="shared" si="8"/>
        <v>84686535.640000001</v>
      </c>
      <c r="CL4" s="115">
        <f t="shared" si="8"/>
        <v>117256938.56</v>
      </c>
      <c r="CM4" s="115">
        <f t="shared" si="8"/>
        <v>148657264.59999999</v>
      </c>
      <c r="CN4" s="115">
        <f t="shared" si="8"/>
        <v>161610212.41999999</v>
      </c>
      <c r="CO4" s="115">
        <f t="shared" si="8"/>
        <v>123103331.88</v>
      </c>
      <c r="CP4" s="115">
        <f t="shared" ref="CP4" si="9">SUM(CP5:CP6)</f>
        <v>120380672.27</v>
      </c>
    </row>
    <row r="5" spans="1:94">
      <c r="A5" s="10" t="s">
        <v>14</v>
      </c>
      <c r="B5" s="22">
        <v>42792387</v>
      </c>
      <c r="C5" s="22">
        <v>3657881</v>
      </c>
      <c r="D5" s="22">
        <v>5498182</v>
      </c>
      <c r="E5" s="22">
        <v>2528632.75</v>
      </c>
      <c r="F5" s="11">
        <v>4097074</v>
      </c>
      <c r="G5" s="11">
        <v>2142692</v>
      </c>
      <c r="H5" s="73">
        <v>616773</v>
      </c>
      <c r="I5" s="11">
        <v>1274435.1000000001</v>
      </c>
      <c r="J5" s="11">
        <v>9622851.9100000001</v>
      </c>
      <c r="K5" s="11">
        <v>11215420.369999999</v>
      </c>
      <c r="L5" s="11">
        <v>3718678.37</v>
      </c>
      <c r="M5" s="11">
        <v>3130207.37</v>
      </c>
      <c r="N5" s="11">
        <v>3057417.15</v>
      </c>
      <c r="O5" s="189">
        <v>607114.25</v>
      </c>
      <c r="P5" s="11">
        <v>4984664.25</v>
      </c>
      <c r="Q5" s="11">
        <v>1307731.6000000001</v>
      </c>
      <c r="R5" s="11">
        <v>4788129.5999999996</v>
      </c>
      <c r="S5" s="11">
        <v>2171891.6</v>
      </c>
      <c r="T5" s="11">
        <v>2275034.6</v>
      </c>
      <c r="U5" s="11">
        <v>2295202</v>
      </c>
      <c r="V5" s="116">
        <v>2566469.6</v>
      </c>
      <c r="W5" s="118">
        <v>659071.6</v>
      </c>
      <c r="X5" s="147">
        <v>3304159.6</v>
      </c>
      <c r="Y5" s="147">
        <v>3112409.6</v>
      </c>
      <c r="Z5" s="147">
        <v>863851.4</v>
      </c>
      <c r="AA5" s="120">
        <v>5539159.4000000004</v>
      </c>
      <c r="AB5" s="22">
        <v>5260229.4000000004</v>
      </c>
      <c r="AC5" s="75">
        <v>8493587.5999999996</v>
      </c>
      <c r="AD5" s="75">
        <v>4785883.4000000004</v>
      </c>
      <c r="AE5" s="75">
        <v>4834666.07</v>
      </c>
      <c r="AF5" s="75">
        <v>3608998.07</v>
      </c>
      <c r="AG5" s="75">
        <v>5697079.7699999996</v>
      </c>
      <c r="AH5" s="75">
        <v>5716646.8399999999</v>
      </c>
      <c r="AI5" s="11">
        <v>5873655.7699999996</v>
      </c>
      <c r="AJ5" s="11">
        <v>4339155.7699999996</v>
      </c>
      <c r="AK5" s="11">
        <v>2439301.77</v>
      </c>
      <c r="AL5" s="11">
        <v>3908512.77</v>
      </c>
      <c r="AM5" s="11">
        <v>5401982.4000000004</v>
      </c>
      <c r="AN5" s="11">
        <v>3462266.6</v>
      </c>
      <c r="AO5" s="11">
        <v>5281359.4000000004</v>
      </c>
      <c r="AP5" s="11">
        <v>4332265.4000000004</v>
      </c>
      <c r="AQ5" s="11">
        <v>2000357.4</v>
      </c>
      <c r="AR5" s="11">
        <v>3160732.4</v>
      </c>
      <c r="AS5" s="116">
        <v>3938515.4</v>
      </c>
      <c r="AT5" s="190">
        <v>4423576.4000000004</v>
      </c>
      <c r="AU5" s="150">
        <v>4470464.47</v>
      </c>
      <c r="AV5" s="11">
        <v>3697628.4</v>
      </c>
      <c r="AW5" s="11">
        <v>5093580.5999999996</v>
      </c>
      <c r="AX5" s="11">
        <v>4414958.5999999996</v>
      </c>
      <c r="AY5" s="11">
        <v>4487148.5999999996</v>
      </c>
      <c r="AZ5" s="11">
        <v>2322674.6</v>
      </c>
      <c r="BB5" s="11">
        <v>30536363</v>
      </c>
      <c r="BC5" s="11">
        <v>6523160.5999999996</v>
      </c>
      <c r="BD5" s="11">
        <v>1758342.6</v>
      </c>
      <c r="BE5" s="11">
        <v>2799575.17</v>
      </c>
      <c r="BF5" s="11">
        <v>6916205.1699999999</v>
      </c>
      <c r="BG5" s="75">
        <f>475+6000000+915730+5+1957116</f>
        <v>8873326</v>
      </c>
      <c r="BH5" s="167">
        <v>7868919.1699999999</v>
      </c>
      <c r="BI5" s="167">
        <v>2464328.17</v>
      </c>
      <c r="BJ5" s="167">
        <v>3543201.17</v>
      </c>
      <c r="BK5" s="167">
        <v>4686877.17</v>
      </c>
      <c r="BL5" s="167">
        <v>3687249.17</v>
      </c>
      <c r="BM5" s="218">
        <v>5268448.17</v>
      </c>
      <c r="BN5" s="218">
        <v>3586157.17</v>
      </c>
      <c r="BO5" s="220">
        <v>5172829.17</v>
      </c>
      <c r="BP5" s="220">
        <v>4712634.67</v>
      </c>
      <c r="BQ5" s="220">
        <v>4083501.67</v>
      </c>
      <c r="BR5" s="220">
        <v>4409943.67</v>
      </c>
      <c r="BS5" s="221">
        <v>4494213</v>
      </c>
      <c r="BT5" s="230">
        <f>317+2100000+276861+5+2117030</f>
        <v>4494213</v>
      </c>
      <c r="BU5" s="241">
        <v>4715834.17</v>
      </c>
      <c r="BV5" s="243">
        <v>3959109.17</v>
      </c>
      <c r="BW5" s="243">
        <v>5722311.1699999999</v>
      </c>
      <c r="BX5" s="243">
        <v>2235063.17</v>
      </c>
      <c r="BY5" s="243">
        <v>5149850.17</v>
      </c>
      <c r="BZ5" s="243">
        <v>6884467.1699999999</v>
      </c>
      <c r="CA5" s="243">
        <v>2690159.17</v>
      </c>
      <c r="CB5" s="243">
        <v>5924509.1699999999</v>
      </c>
      <c r="CC5" s="243">
        <v>4803588.17</v>
      </c>
      <c r="CD5" s="243">
        <v>2460256.17</v>
      </c>
      <c r="CE5" s="243">
        <v>4997653.17</v>
      </c>
      <c r="CF5" s="243">
        <v>6682379.6699999999</v>
      </c>
      <c r="CG5" s="243">
        <v>7358553</v>
      </c>
      <c r="CH5" s="241">
        <v>5464582.1699999999</v>
      </c>
      <c r="CI5" s="243">
        <v>5945150.1699999999</v>
      </c>
      <c r="CJ5" s="243">
        <v>4436375.17</v>
      </c>
      <c r="CK5" s="241">
        <v>6245041.1699999999</v>
      </c>
      <c r="CL5" s="241">
        <v>6015164.1699999999</v>
      </c>
      <c r="CM5" s="241">
        <v>3560673.17</v>
      </c>
      <c r="CN5" s="241">
        <v>6412658.1699999999</v>
      </c>
      <c r="CO5" s="241">
        <v>3050344.17</v>
      </c>
      <c r="CP5" s="269">
        <v>3095541.17</v>
      </c>
    </row>
    <row r="6" spans="1:94">
      <c r="A6" s="10" t="s">
        <v>15</v>
      </c>
      <c r="B6" s="22">
        <v>14488102</v>
      </c>
      <c r="C6" s="22">
        <v>16188768</v>
      </c>
      <c r="D6" s="22">
        <v>6921132</v>
      </c>
      <c r="E6" s="22">
        <v>37635820.449999996</v>
      </c>
      <c r="F6" s="11">
        <v>45634720</v>
      </c>
      <c r="G6" s="11">
        <v>70714524</v>
      </c>
      <c r="H6" s="73">
        <v>35529993</v>
      </c>
      <c r="I6" s="11">
        <v>23631673.09</v>
      </c>
      <c r="J6" s="11">
        <v>50282838.789999999</v>
      </c>
      <c r="K6" s="11">
        <v>39534472.479999997</v>
      </c>
      <c r="L6" s="11">
        <v>13027084.460000001</v>
      </c>
      <c r="M6" s="11">
        <v>37837804.840000004</v>
      </c>
      <c r="N6" s="11">
        <v>28160848.940000001</v>
      </c>
      <c r="O6" s="189">
        <v>38138637.259999998</v>
      </c>
      <c r="P6" s="11">
        <v>22761430.32</v>
      </c>
      <c r="Q6" s="11">
        <v>40766447.130000003</v>
      </c>
      <c r="R6" s="11">
        <v>36262575.030000001</v>
      </c>
      <c r="S6" s="11">
        <v>53797791.979999997</v>
      </c>
      <c r="T6" s="11">
        <v>47070061.640000001</v>
      </c>
      <c r="U6" s="11">
        <v>47049895</v>
      </c>
      <c r="V6" s="116">
        <v>56934852.289999999</v>
      </c>
      <c r="W6" s="118">
        <v>72189383.859999999</v>
      </c>
      <c r="X6" s="147">
        <v>61542081.149999999</v>
      </c>
      <c r="Y6" s="147">
        <v>40231590.100000001</v>
      </c>
      <c r="Z6" s="147">
        <v>42117104.289999999</v>
      </c>
      <c r="AA6" s="120">
        <v>55597423.770000003</v>
      </c>
      <c r="AB6" s="22">
        <v>59298762.710000001</v>
      </c>
      <c r="AC6" s="75">
        <v>44746706.93</v>
      </c>
      <c r="AD6" s="75">
        <v>54569798</v>
      </c>
      <c r="AE6" s="75">
        <v>62131670.359999999</v>
      </c>
      <c r="AF6" s="75">
        <v>58301667.369999997</v>
      </c>
      <c r="AG6" s="75">
        <v>55270668.520000003</v>
      </c>
      <c r="AH6" s="75">
        <v>55250801.450000003</v>
      </c>
      <c r="AI6" s="11">
        <v>60500764.640000001</v>
      </c>
      <c r="AJ6" s="11">
        <v>65508386.380000003</v>
      </c>
      <c r="AK6" s="11">
        <v>64485983.770000003</v>
      </c>
      <c r="AL6" s="11">
        <v>41413489.729999997</v>
      </c>
      <c r="AM6" s="11">
        <v>40781864.329999998</v>
      </c>
      <c r="AN6" s="11">
        <v>64068748.030000001</v>
      </c>
      <c r="AO6" s="11">
        <v>51843260.390000001</v>
      </c>
      <c r="AP6" s="11">
        <v>57422859.399999999</v>
      </c>
      <c r="AQ6" s="11">
        <v>72900407.560000002</v>
      </c>
      <c r="AR6" s="11">
        <v>76367214.810000002</v>
      </c>
      <c r="AS6" s="116">
        <v>65894319.020000003</v>
      </c>
      <c r="AT6" s="190">
        <v>66576835.82</v>
      </c>
      <c r="AU6" s="150">
        <v>66577436.32</v>
      </c>
      <c r="AV6" s="11">
        <v>94491872.840000004</v>
      </c>
      <c r="AW6" s="11">
        <v>73489003.849999994</v>
      </c>
      <c r="AX6" s="11">
        <v>98687848.370000005</v>
      </c>
      <c r="AY6" s="11">
        <v>107212770.34</v>
      </c>
      <c r="AZ6" s="11">
        <v>110914370.61</v>
      </c>
      <c r="BB6" s="11">
        <v>551240509.95000005</v>
      </c>
      <c r="BC6" s="11">
        <v>103211665.01000001</v>
      </c>
      <c r="BD6" s="11">
        <v>109134919.42</v>
      </c>
      <c r="BE6" s="11">
        <v>111920787.40000001</v>
      </c>
      <c r="BF6" s="11">
        <v>106253105.84</v>
      </c>
      <c r="BG6" s="75">
        <f>2271280+939631+526483+21879119+17128282+3928427+42456814+16190387-(1024438)</f>
        <v>104295985</v>
      </c>
      <c r="BH6" s="167">
        <v>112252039.88</v>
      </c>
      <c r="BI6" s="167">
        <v>100737735.06999999</v>
      </c>
      <c r="BJ6" s="167">
        <v>102494732.42</v>
      </c>
      <c r="BK6" s="167">
        <v>103992392.2</v>
      </c>
      <c r="BL6" s="167">
        <v>110038768.09999999</v>
      </c>
      <c r="BM6" s="218">
        <v>108783718.97</v>
      </c>
      <c r="BN6" s="218">
        <v>120671905.81999999</v>
      </c>
      <c r="BO6" s="220">
        <v>136535784.52000001</v>
      </c>
      <c r="BP6" s="220">
        <v>135843752.75999999</v>
      </c>
      <c r="BQ6" s="220">
        <v>142608201.47999999</v>
      </c>
      <c r="BR6" s="220">
        <v>156290136.31</v>
      </c>
      <c r="BS6" s="221">
        <v>155848611</v>
      </c>
      <c r="BT6" s="230">
        <f>160342825-4494213</f>
        <v>155848612</v>
      </c>
      <c r="BU6" s="218">
        <v>159219098.02000001</v>
      </c>
      <c r="BV6" s="220">
        <v>138886933.25</v>
      </c>
      <c r="BW6" s="220">
        <v>102346698.76000001</v>
      </c>
      <c r="BX6" s="220">
        <v>99243027.420000002</v>
      </c>
      <c r="BY6" s="220">
        <v>104387034.23</v>
      </c>
      <c r="BZ6" s="220">
        <v>127677850.56999999</v>
      </c>
      <c r="CA6" s="220">
        <v>142752528.06</v>
      </c>
      <c r="CB6" s="220">
        <v>143360914.65000001</v>
      </c>
      <c r="CC6" s="220">
        <v>158416906.84</v>
      </c>
      <c r="CD6" s="220">
        <v>169405071.50999999</v>
      </c>
      <c r="CE6" s="220">
        <v>173111696.47</v>
      </c>
      <c r="CF6" s="243">
        <v>166804881.28999999</v>
      </c>
      <c r="CG6" s="243">
        <v>166128708</v>
      </c>
      <c r="CH6" s="218">
        <v>169627971.56999999</v>
      </c>
      <c r="CI6" s="220">
        <v>184850859.58000001</v>
      </c>
      <c r="CJ6" s="220">
        <v>143603269.27000001</v>
      </c>
      <c r="CK6" s="218">
        <v>78441494.469999999</v>
      </c>
      <c r="CL6" s="218">
        <v>111241774.39</v>
      </c>
      <c r="CM6" s="218">
        <v>145096591.43000001</v>
      </c>
      <c r="CN6" s="218">
        <v>155197554.25</v>
      </c>
      <c r="CO6" s="218">
        <v>120052987.70999999</v>
      </c>
      <c r="CP6" s="271">
        <v>117285131.09999999</v>
      </c>
    </row>
    <row r="7" spans="1:94" s="28" customFormat="1" ht="14.25">
      <c r="A7" s="9" t="s">
        <v>16</v>
      </c>
      <c r="B7" s="21">
        <v>12265847</v>
      </c>
      <c r="C7" s="21">
        <v>18760041</v>
      </c>
      <c r="D7" s="21">
        <v>35908122</v>
      </c>
      <c r="E7" s="21">
        <v>28737958.890000001</v>
      </c>
      <c r="F7" s="27">
        <v>61660581</v>
      </c>
      <c r="G7" s="27">
        <v>32276918</v>
      </c>
      <c r="H7" s="84">
        <v>39005377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189">
        <v>0</v>
      </c>
      <c r="P7" s="11">
        <v>0</v>
      </c>
      <c r="Q7" s="27">
        <v>0</v>
      </c>
      <c r="R7" s="27">
        <v>0</v>
      </c>
      <c r="S7" s="27">
        <v>0</v>
      </c>
      <c r="T7" s="27">
        <v>0</v>
      </c>
      <c r="U7" s="27">
        <v>18725028</v>
      </c>
      <c r="V7" s="116">
        <v>0</v>
      </c>
      <c r="W7" s="118">
        <v>0</v>
      </c>
      <c r="X7" s="119">
        <v>0</v>
      </c>
      <c r="Y7" s="119">
        <v>0</v>
      </c>
      <c r="Z7" s="119">
        <v>0</v>
      </c>
      <c r="AA7" s="119">
        <v>0</v>
      </c>
      <c r="AB7" s="22">
        <v>0</v>
      </c>
      <c r="AC7" s="84">
        <v>0</v>
      </c>
      <c r="AD7" s="84">
        <v>0</v>
      </c>
      <c r="AE7" s="84">
        <v>0</v>
      </c>
      <c r="AF7" s="84">
        <v>0</v>
      </c>
      <c r="AG7" s="84">
        <v>0</v>
      </c>
      <c r="AH7" s="84">
        <v>12540116.879999999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6">
        <v>0</v>
      </c>
      <c r="AT7" s="190">
        <v>0</v>
      </c>
      <c r="AU7" s="151">
        <v>12920590.129999999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84">
        <v>14085464</v>
      </c>
      <c r="BH7" s="167">
        <v>0</v>
      </c>
      <c r="BI7" s="167">
        <v>0</v>
      </c>
      <c r="BJ7" s="167">
        <v>0</v>
      </c>
      <c r="BK7" s="167">
        <v>0</v>
      </c>
      <c r="BL7" s="167">
        <v>0</v>
      </c>
      <c r="BM7" s="217">
        <v>0</v>
      </c>
      <c r="BN7" s="217">
        <v>0</v>
      </c>
      <c r="BO7" s="219">
        <v>0</v>
      </c>
      <c r="BP7" s="219">
        <v>0</v>
      </c>
      <c r="BQ7" s="219">
        <v>0</v>
      </c>
      <c r="BR7" s="219">
        <v>0</v>
      </c>
      <c r="BS7" s="222">
        <v>0</v>
      </c>
      <c r="BT7" s="230">
        <f>7618001+5173177-538512</f>
        <v>12252666</v>
      </c>
      <c r="BU7" s="217">
        <v>0</v>
      </c>
      <c r="BV7" s="219">
        <v>0</v>
      </c>
      <c r="BW7" s="219">
        <v>0</v>
      </c>
      <c r="BX7" s="219">
        <v>0</v>
      </c>
      <c r="BY7" s="219">
        <v>0</v>
      </c>
      <c r="BZ7" s="219">
        <v>0</v>
      </c>
      <c r="CA7" s="219">
        <v>0</v>
      </c>
      <c r="CB7" s="219">
        <v>0</v>
      </c>
      <c r="CC7" s="219">
        <v>0</v>
      </c>
      <c r="CD7" s="219">
        <v>0</v>
      </c>
      <c r="CE7" s="219">
        <v>0</v>
      </c>
      <c r="CF7" s="242">
        <v>0</v>
      </c>
      <c r="CG7" s="230">
        <v>1747956</v>
      </c>
      <c r="CH7" s="217">
        <v>0</v>
      </c>
      <c r="CI7" s="219">
        <v>0</v>
      </c>
      <c r="CJ7" s="219">
        <v>0</v>
      </c>
      <c r="CK7" s="217">
        <v>0</v>
      </c>
      <c r="CL7" s="217">
        <v>0</v>
      </c>
      <c r="CM7" s="217">
        <v>0</v>
      </c>
      <c r="CN7" s="217">
        <v>0</v>
      </c>
      <c r="CO7" s="217">
        <v>0</v>
      </c>
      <c r="CP7" s="270">
        <v>0</v>
      </c>
    </row>
    <row r="8" spans="1:94">
      <c r="A8" s="9" t="s">
        <v>17</v>
      </c>
      <c r="B8" s="53">
        <f>SUM(B9:B13)</f>
        <v>12265847</v>
      </c>
      <c r="C8" s="53">
        <f>SUM(C9:C13)</f>
        <v>13675347</v>
      </c>
      <c r="D8" s="53">
        <f>SUM(D9:D13)</f>
        <v>25329658</v>
      </c>
      <c r="E8" s="53">
        <f t="shared" ref="E8:BJ8" si="10">SUM(E9:E13)</f>
        <v>27684832.68</v>
      </c>
      <c r="F8" s="53">
        <f t="shared" si="10"/>
        <v>14582790</v>
      </c>
      <c r="G8" s="53">
        <f t="shared" si="10"/>
        <v>28191601</v>
      </c>
      <c r="H8" s="53">
        <f t="shared" si="10"/>
        <v>32411253</v>
      </c>
      <c r="I8" s="53">
        <f t="shared" si="10"/>
        <v>39637678.18</v>
      </c>
      <c r="J8" s="53">
        <f t="shared" si="10"/>
        <v>33411253.390000001</v>
      </c>
      <c r="K8" s="53">
        <f t="shared" si="10"/>
        <v>33611253.369999997</v>
      </c>
      <c r="L8" s="53">
        <f t="shared" si="10"/>
        <v>34211253.369999997</v>
      </c>
      <c r="M8" s="53">
        <f t="shared" si="10"/>
        <v>34611253.369999997</v>
      </c>
      <c r="N8" s="53">
        <f t="shared" si="10"/>
        <v>35073701.75</v>
      </c>
      <c r="O8" s="53">
        <f t="shared" si="10"/>
        <v>35473701.75</v>
      </c>
      <c r="P8" s="53">
        <f t="shared" si="10"/>
        <v>35873701.75</v>
      </c>
      <c r="Q8" s="53">
        <f t="shared" si="10"/>
        <v>36502785.25</v>
      </c>
      <c r="R8" s="53">
        <f t="shared" si="10"/>
        <v>36722785.25</v>
      </c>
      <c r="S8" s="53">
        <f t="shared" si="10"/>
        <v>36942785.25</v>
      </c>
      <c r="T8" s="53">
        <f t="shared" si="10"/>
        <v>36762785.25</v>
      </c>
      <c r="U8" s="53">
        <f t="shared" si="10"/>
        <v>36762785</v>
      </c>
      <c r="V8" s="115">
        <f t="shared" si="10"/>
        <v>37086034.560000002</v>
      </c>
      <c r="W8" s="115">
        <f t="shared" si="10"/>
        <v>37306034.560000002</v>
      </c>
      <c r="X8" s="115">
        <f t="shared" si="10"/>
        <v>37526034.560000002</v>
      </c>
      <c r="Y8" s="115">
        <f t="shared" si="10"/>
        <v>37946034.560000002</v>
      </c>
      <c r="Z8" s="115">
        <f t="shared" si="10"/>
        <v>38366034.560000002</v>
      </c>
      <c r="AA8" s="115">
        <f t="shared" si="10"/>
        <v>38786034.560000002</v>
      </c>
      <c r="AB8" s="115">
        <f t="shared" si="10"/>
        <v>39206034.560000002</v>
      </c>
      <c r="AC8" s="115">
        <f t="shared" si="10"/>
        <v>39626034.560000002</v>
      </c>
      <c r="AD8" s="115">
        <f t="shared" si="10"/>
        <v>40046034.560000002</v>
      </c>
      <c r="AE8" s="115">
        <f t="shared" si="10"/>
        <v>40466034.560000002</v>
      </c>
      <c r="AF8" s="115">
        <f t="shared" si="10"/>
        <v>40886034.560000002</v>
      </c>
      <c r="AG8" s="115">
        <f t="shared" si="10"/>
        <v>41343229.539999999</v>
      </c>
      <c r="AH8" s="115">
        <f t="shared" si="10"/>
        <v>41343229.539999999</v>
      </c>
      <c r="AI8" s="115">
        <f t="shared" si="10"/>
        <v>41763229.539999999</v>
      </c>
      <c r="AJ8" s="115">
        <f t="shared" si="10"/>
        <v>42183229.539999999</v>
      </c>
      <c r="AK8" s="115">
        <f t="shared" si="10"/>
        <v>42603229.539999999</v>
      </c>
      <c r="AL8" s="115">
        <f t="shared" si="10"/>
        <v>43023229.539999999</v>
      </c>
      <c r="AM8" s="115">
        <f t="shared" si="10"/>
        <v>43443229.539999999</v>
      </c>
      <c r="AN8" s="115">
        <f t="shared" si="10"/>
        <v>43863229.539999999</v>
      </c>
      <c r="AO8" s="115">
        <f t="shared" si="10"/>
        <v>44283229.519999996</v>
      </c>
      <c r="AP8" s="115">
        <f t="shared" si="10"/>
        <v>44703229.539999999</v>
      </c>
      <c r="AQ8" s="115">
        <f t="shared" si="10"/>
        <v>45123229.539999999</v>
      </c>
      <c r="AR8" s="115">
        <f t="shared" si="10"/>
        <v>45543229.539999999</v>
      </c>
      <c r="AS8" s="115">
        <f t="shared" si="10"/>
        <v>46157679.810000002</v>
      </c>
      <c r="AT8" s="115">
        <f t="shared" si="10"/>
        <v>46427679.810000002</v>
      </c>
      <c r="AU8" s="115">
        <f t="shared" si="10"/>
        <v>46427679.810000002</v>
      </c>
      <c r="AV8" s="115">
        <f t="shared" si="10"/>
        <v>46897679.810000002</v>
      </c>
      <c r="AW8" s="115">
        <f t="shared" si="10"/>
        <v>47317679.810000002</v>
      </c>
      <c r="AX8" s="115">
        <f t="shared" si="10"/>
        <v>42337679.810000002</v>
      </c>
      <c r="AY8" s="115">
        <f t="shared" si="10"/>
        <v>42957679.810000002</v>
      </c>
      <c r="AZ8" s="115">
        <f t="shared" si="10"/>
        <v>43927679.810000002</v>
      </c>
      <c r="BA8" s="115">
        <f t="shared" si="10"/>
        <v>0</v>
      </c>
      <c r="BB8" s="115">
        <f t="shared" si="10"/>
        <v>229981645.55000001</v>
      </c>
      <c r="BC8" s="115">
        <f t="shared" si="10"/>
        <v>46966329.219999999</v>
      </c>
      <c r="BD8" s="115">
        <f t="shared" si="10"/>
        <v>47936329.109999999</v>
      </c>
      <c r="BE8" s="115">
        <f t="shared" si="10"/>
        <v>48906329.109999999</v>
      </c>
      <c r="BF8" s="115">
        <f t="shared" si="10"/>
        <v>56376338.109999999</v>
      </c>
      <c r="BG8" s="115">
        <f t="shared" si="10"/>
        <v>56376329</v>
      </c>
      <c r="BH8" s="115">
        <f t="shared" si="10"/>
        <v>57346329.109999999</v>
      </c>
      <c r="BI8" s="115">
        <f t="shared" si="10"/>
        <v>58316329.109999999</v>
      </c>
      <c r="BJ8" s="115">
        <f t="shared" si="10"/>
        <v>59423701.619999997</v>
      </c>
      <c r="BK8" s="115">
        <f>SUM(BK9:BK13)</f>
        <v>60393701.619999997</v>
      </c>
      <c r="BL8" s="115">
        <f>SUM(BL9:BL13)</f>
        <v>61411453.619999997</v>
      </c>
      <c r="BM8" s="115">
        <f t="shared" ref="BM8:BT8" si="11">SUM(BM9:BM13)</f>
        <v>62381453.620000005</v>
      </c>
      <c r="BN8" s="115">
        <f t="shared" si="11"/>
        <v>63351453.620000005</v>
      </c>
      <c r="BO8" s="115">
        <f t="shared" si="11"/>
        <v>56370194.380000003</v>
      </c>
      <c r="BP8" s="115">
        <f t="shared" si="11"/>
        <v>57340194.380000003</v>
      </c>
      <c r="BQ8" s="115">
        <f t="shared" si="11"/>
        <v>58359928.850000001</v>
      </c>
      <c r="BR8" s="115">
        <f t="shared" si="11"/>
        <v>59329928.850000001</v>
      </c>
      <c r="BS8" s="115">
        <f t="shared" si="11"/>
        <v>56349663</v>
      </c>
      <c r="BT8" s="115">
        <f t="shared" si="11"/>
        <v>57378479</v>
      </c>
      <c r="BU8" s="115">
        <f t="shared" ref="BU8:CB8" si="12">SUM(BU9:BU13)</f>
        <v>58348479.25</v>
      </c>
      <c r="BV8" s="115">
        <f t="shared" si="12"/>
        <v>59318479.25</v>
      </c>
      <c r="BW8" s="115">
        <f t="shared" si="12"/>
        <v>60288479.25</v>
      </c>
      <c r="BX8" s="115">
        <f t="shared" si="12"/>
        <v>61258479.25</v>
      </c>
      <c r="BY8" s="115">
        <f t="shared" si="12"/>
        <v>62228479.200000003</v>
      </c>
      <c r="BZ8" s="115">
        <f t="shared" si="12"/>
        <v>63198479.25</v>
      </c>
      <c r="CA8" s="115">
        <f t="shared" si="12"/>
        <v>64168479.25</v>
      </c>
      <c r="CB8" s="115">
        <f t="shared" si="12"/>
        <v>65138479.25</v>
      </c>
      <c r="CC8" s="115">
        <f t="shared" ref="CC8:CF8" si="13">SUM(CC9:CC13)</f>
        <v>66161224.739999995</v>
      </c>
      <c r="CD8" s="115">
        <f t="shared" si="13"/>
        <v>67131224.739999995</v>
      </c>
      <c r="CE8" s="115">
        <f t="shared" si="13"/>
        <v>68101224.739999995</v>
      </c>
      <c r="CF8" s="115">
        <f t="shared" si="13"/>
        <v>69123901.099999994</v>
      </c>
      <c r="CG8" s="115">
        <f t="shared" ref="CG8:CP8" si="14">SUM(CG9:CG13)</f>
        <v>70453252</v>
      </c>
      <c r="CH8" s="115">
        <f t="shared" si="14"/>
        <v>71423252.25</v>
      </c>
      <c r="CI8" s="115">
        <f t="shared" si="14"/>
        <v>72393252.25</v>
      </c>
      <c r="CJ8" s="115">
        <f t="shared" si="14"/>
        <v>63793237</v>
      </c>
      <c r="CK8" s="115">
        <f t="shared" si="14"/>
        <v>94763234</v>
      </c>
      <c r="CL8" s="115">
        <f t="shared" si="14"/>
        <v>95733237</v>
      </c>
      <c r="CM8" s="115">
        <f t="shared" si="14"/>
        <v>97030871.789999992</v>
      </c>
      <c r="CN8" s="115">
        <f t="shared" si="14"/>
        <v>98000871.789999992</v>
      </c>
      <c r="CO8" s="115">
        <f t="shared" si="14"/>
        <v>128650871.79000001</v>
      </c>
      <c r="CP8" s="115">
        <f t="shared" si="14"/>
        <v>129303888.16</v>
      </c>
    </row>
    <row r="9" spans="1:94">
      <c r="A9" s="10" t="s">
        <v>18</v>
      </c>
      <c r="B9" s="22">
        <v>3323677</v>
      </c>
      <c r="C9" s="22"/>
      <c r="D9" s="22"/>
      <c r="E9" s="22"/>
      <c r="F9" s="11"/>
      <c r="G9" s="11"/>
      <c r="H9" s="11"/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9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6">
        <v>0</v>
      </c>
      <c r="W9" s="118">
        <v>0</v>
      </c>
      <c r="X9" s="147">
        <v>0</v>
      </c>
      <c r="Y9" s="147">
        <v>0</v>
      </c>
      <c r="Z9" s="147">
        <v>0</v>
      </c>
      <c r="AA9" s="147">
        <v>0</v>
      </c>
      <c r="AB9" s="22">
        <v>0</v>
      </c>
      <c r="AC9" s="75">
        <v>0</v>
      </c>
      <c r="AD9" s="75">
        <v>0</v>
      </c>
      <c r="AE9" s="75">
        <v>0</v>
      </c>
      <c r="AF9" s="75">
        <v>0</v>
      </c>
      <c r="AG9" s="75">
        <v>0</v>
      </c>
      <c r="AH9" s="75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6">
        <v>0</v>
      </c>
      <c r="AT9" s="190">
        <v>0</v>
      </c>
      <c r="AU9" s="190"/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67">
        <v>0</v>
      </c>
      <c r="BI9" s="167">
        <v>0</v>
      </c>
      <c r="BJ9" s="167">
        <v>0</v>
      </c>
      <c r="BK9" s="167">
        <v>0</v>
      </c>
      <c r="BL9" s="167">
        <v>0</v>
      </c>
      <c r="BM9" s="217">
        <v>0</v>
      </c>
      <c r="BN9" s="217">
        <v>0</v>
      </c>
      <c r="BO9" s="219">
        <v>0</v>
      </c>
      <c r="BP9" s="219">
        <v>0</v>
      </c>
      <c r="BQ9" s="219">
        <v>0</v>
      </c>
      <c r="BR9" s="219">
        <v>0</v>
      </c>
      <c r="BS9" s="222">
        <v>0</v>
      </c>
      <c r="BT9" s="230"/>
      <c r="BU9" s="240">
        <v>0</v>
      </c>
      <c r="BV9" s="242">
        <v>0</v>
      </c>
      <c r="BW9" s="242">
        <v>0</v>
      </c>
      <c r="BX9" s="242">
        <v>0</v>
      </c>
      <c r="BY9" s="242">
        <v>0</v>
      </c>
      <c r="BZ9" s="242">
        <v>0</v>
      </c>
      <c r="CA9" s="242">
        <v>0</v>
      </c>
      <c r="CB9" s="242">
        <v>0</v>
      </c>
      <c r="CC9" s="242">
        <v>0</v>
      </c>
      <c r="CD9" s="242">
        <v>0</v>
      </c>
      <c r="CE9" s="242">
        <v>0</v>
      </c>
      <c r="CF9" s="242">
        <v>0</v>
      </c>
      <c r="CG9" s="242">
        <v>0</v>
      </c>
      <c r="CH9" s="240">
        <v>0</v>
      </c>
      <c r="CI9" s="242">
        <v>0</v>
      </c>
      <c r="CJ9" s="242">
        <v>0</v>
      </c>
      <c r="CK9" s="240">
        <v>0</v>
      </c>
      <c r="CL9" s="240">
        <v>0</v>
      </c>
      <c r="CM9" s="240">
        <v>0</v>
      </c>
      <c r="CN9" s="240">
        <v>0</v>
      </c>
      <c r="CO9" s="240">
        <v>0</v>
      </c>
      <c r="CP9" s="268">
        <v>0</v>
      </c>
    </row>
    <row r="10" spans="1:94">
      <c r="A10" s="10" t="s">
        <v>19</v>
      </c>
      <c r="B10" s="22">
        <v>8942170</v>
      </c>
      <c r="C10" s="22"/>
      <c r="D10" s="22"/>
      <c r="E10" s="22"/>
      <c r="F10" s="11"/>
      <c r="G10" s="11">
        <v>139800</v>
      </c>
      <c r="H10" s="73"/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9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/>
      <c r="V10" s="116">
        <v>0</v>
      </c>
      <c r="W10" s="118">
        <v>0</v>
      </c>
      <c r="X10" s="147">
        <v>0</v>
      </c>
      <c r="Y10" s="147">
        <v>0</v>
      </c>
      <c r="Z10" s="147">
        <v>0</v>
      </c>
      <c r="AA10" s="147">
        <v>0</v>
      </c>
      <c r="AB10" s="22">
        <v>0</v>
      </c>
      <c r="AC10" s="75">
        <v>0</v>
      </c>
      <c r="AD10" s="75">
        <v>0</v>
      </c>
      <c r="AE10" s="75">
        <v>0</v>
      </c>
      <c r="AF10" s="75">
        <v>0</v>
      </c>
      <c r="AG10" s="75">
        <v>0</v>
      </c>
      <c r="AH10" s="75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6">
        <v>0</v>
      </c>
      <c r="AT10" s="190">
        <v>0</v>
      </c>
      <c r="AU10" s="190"/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67">
        <v>0</v>
      </c>
      <c r="BI10" s="167">
        <v>0</v>
      </c>
      <c r="BJ10" s="167">
        <v>0</v>
      </c>
      <c r="BK10" s="167">
        <v>0</v>
      </c>
      <c r="BL10" s="167">
        <v>0</v>
      </c>
      <c r="BM10" s="217">
        <v>0</v>
      </c>
      <c r="BN10" s="217">
        <v>0</v>
      </c>
      <c r="BO10" s="219">
        <v>0</v>
      </c>
      <c r="BP10" s="219">
        <v>0</v>
      </c>
      <c r="BQ10" s="219">
        <v>0</v>
      </c>
      <c r="BR10" s="219">
        <v>0</v>
      </c>
      <c r="BS10" s="222">
        <v>0</v>
      </c>
      <c r="BT10" s="230"/>
      <c r="BU10" s="240">
        <v>0</v>
      </c>
      <c r="BV10" s="242">
        <v>0</v>
      </c>
      <c r="BW10" s="242">
        <v>0</v>
      </c>
      <c r="BX10" s="242">
        <v>0</v>
      </c>
      <c r="BY10" s="242">
        <v>0</v>
      </c>
      <c r="BZ10" s="242">
        <v>0</v>
      </c>
      <c r="CA10" s="242">
        <v>0</v>
      </c>
      <c r="CB10" s="242">
        <v>0</v>
      </c>
      <c r="CC10" s="242">
        <v>0</v>
      </c>
      <c r="CD10" s="242">
        <v>0</v>
      </c>
      <c r="CE10" s="242">
        <v>0</v>
      </c>
      <c r="CF10" s="242">
        <v>0</v>
      </c>
      <c r="CG10" s="242">
        <v>0</v>
      </c>
      <c r="CH10" s="217">
        <v>0</v>
      </c>
      <c r="CI10" s="219">
        <v>0</v>
      </c>
      <c r="CJ10" s="219">
        <v>0</v>
      </c>
      <c r="CK10" s="217">
        <v>0</v>
      </c>
      <c r="CL10" s="217">
        <v>0</v>
      </c>
      <c r="CM10" s="217">
        <v>0</v>
      </c>
      <c r="CN10" s="217">
        <v>0</v>
      </c>
      <c r="CO10" s="217">
        <v>0</v>
      </c>
      <c r="CP10" s="270">
        <v>0</v>
      </c>
    </row>
    <row r="11" spans="1:94">
      <c r="A11" s="231" t="s">
        <v>20</v>
      </c>
      <c r="B11" s="22"/>
      <c r="C11" s="22">
        <v>3676702</v>
      </c>
      <c r="D11" s="22">
        <v>15331014</v>
      </c>
      <c r="E11" s="22">
        <v>17343283.68</v>
      </c>
      <c r="F11" s="11"/>
      <c r="G11" s="11">
        <v>12208811</v>
      </c>
      <c r="H11" s="11">
        <v>6774463</v>
      </c>
      <c r="I11" s="11">
        <v>13600888.18</v>
      </c>
      <c r="J11" s="11">
        <v>7174463.3899999997</v>
      </c>
      <c r="K11" s="11">
        <v>7374463.3700000001</v>
      </c>
      <c r="L11" s="11">
        <v>7574463.3700000001</v>
      </c>
      <c r="M11" s="11">
        <v>7774463.3700000001</v>
      </c>
      <c r="N11" s="11">
        <v>8036911.75</v>
      </c>
      <c r="O11" s="191">
        <v>8236911.75</v>
      </c>
      <c r="P11" s="11">
        <v>8436911.75</v>
      </c>
      <c r="Q11" s="11">
        <v>8669496.25</v>
      </c>
      <c r="R11" s="11">
        <v>8869496.25</v>
      </c>
      <c r="S11" s="11">
        <v>9069496.25</v>
      </c>
      <c r="T11" s="11">
        <v>9269496.25</v>
      </c>
      <c r="U11" s="11">
        <v>9269496</v>
      </c>
      <c r="V11" s="116">
        <v>9572745.5600000005</v>
      </c>
      <c r="W11" s="118">
        <v>9772745.5600000005</v>
      </c>
      <c r="X11" s="147">
        <v>9972745.5600000005</v>
      </c>
      <c r="Y11" s="147">
        <v>10172745.560000001</v>
      </c>
      <c r="Z11" s="147">
        <v>10372745.560000001</v>
      </c>
      <c r="AA11" s="120">
        <v>10572745.560000001</v>
      </c>
      <c r="AB11" s="22">
        <v>10772745.560000001</v>
      </c>
      <c r="AC11" s="75">
        <v>10972745.560000001</v>
      </c>
      <c r="AD11" s="75">
        <v>11172745.560000001</v>
      </c>
      <c r="AE11" s="75">
        <v>11372745.560000001</v>
      </c>
      <c r="AF11" s="75">
        <v>11572745.560000001</v>
      </c>
      <c r="AG11" s="75">
        <v>11809940.539999999</v>
      </c>
      <c r="AH11" s="75">
        <v>11809940.539999999</v>
      </c>
      <c r="AI11" s="11">
        <v>12009940.539999999</v>
      </c>
      <c r="AJ11" s="11">
        <v>12209940.539999999</v>
      </c>
      <c r="AK11" s="11">
        <v>12409940.539999999</v>
      </c>
      <c r="AL11" s="11">
        <v>12609940.539999999</v>
      </c>
      <c r="AM11" s="11">
        <v>12809940.539999999</v>
      </c>
      <c r="AN11" s="11">
        <v>13009940.539999999</v>
      </c>
      <c r="AO11" s="11">
        <v>13209940.52</v>
      </c>
      <c r="AP11" s="11">
        <v>13409940.539999999</v>
      </c>
      <c r="AQ11" s="11">
        <v>13609940.539999999</v>
      </c>
      <c r="AR11" s="11">
        <v>13809940.539999999</v>
      </c>
      <c r="AS11" s="116">
        <v>14204390.810000001</v>
      </c>
      <c r="AT11" s="190">
        <v>14254390.810000001</v>
      </c>
      <c r="AU11" s="190">
        <v>46262879.810000002</v>
      </c>
      <c r="AV11" s="11">
        <v>14504390.810000001</v>
      </c>
      <c r="AW11" s="11">
        <v>14704390.810000001</v>
      </c>
      <c r="AX11" s="11">
        <v>9304390.8100000005</v>
      </c>
      <c r="AY11" s="11">
        <v>9504390.8100000005</v>
      </c>
      <c r="AZ11" s="11">
        <v>10054390.810000001</v>
      </c>
      <c r="BB11" s="11">
        <v>56415200.549999997</v>
      </c>
      <c r="BC11" s="11">
        <v>11833040.109999999</v>
      </c>
      <c r="BD11" s="11">
        <v>12383040.109999999</v>
      </c>
      <c r="BE11" s="11">
        <v>12933040.109999999</v>
      </c>
      <c r="BF11" s="11">
        <v>13483040.109999999</v>
      </c>
      <c r="BG11" s="75">
        <f>13483040+42334539+558750</f>
        <v>56376329</v>
      </c>
      <c r="BH11" s="167">
        <v>14033040.109999999</v>
      </c>
      <c r="BI11" s="167">
        <v>14583040.109999999</v>
      </c>
      <c r="BJ11" s="167">
        <v>15270412.619999999</v>
      </c>
      <c r="BK11" s="167">
        <v>15820412.619999999</v>
      </c>
      <c r="BL11" s="167">
        <v>16418164.619999999</v>
      </c>
      <c r="BM11" s="218">
        <v>16968164.620000001</v>
      </c>
      <c r="BN11" s="218">
        <v>17518164.620000001</v>
      </c>
      <c r="BO11" s="220">
        <v>10116905.380000001</v>
      </c>
      <c r="BP11" s="220">
        <v>10666905.380000001</v>
      </c>
      <c r="BQ11" s="220">
        <v>11266639.85</v>
      </c>
      <c r="BR11" s="220">
        <v>11816639.85</v>
      </c>
      <c r="BS11" s="221">
        <v>12416374</v>
      </c>
      <c r="BT11" s="230">
        <f>10296359+2120015</f>
        <v>12416374</v>
      </c>
      <c r="BU11" s="217">
        <v>0</v>
      </c>
      <c r="BV11" s="219">
        <v>0</v>
      </c>
      <c r="BW11" s="219">
        <v>0</v>
      </c>
      <c r="BX11" s="219">
        <v>0</v>
      </c>
      <c r="BY11" s="219">
        <v>0</v>
      </c>
      <c r="BZ11" s="219">
        <v>0</v>
      </c>
      <c r="CA11" s="219">
        <v>0</v>
      </c>
      <c r="CB11" s="219">
        <v>0</v>
      </c>
      <c r="CC11" s="219">
        <v>0</v>
      </c>
      <c r="CD11" s="219">
        <v>0</v>
      </c>
      <c r="CE11" s="219">
        <v>0</v>
      </c>
      <c r="CF11" s="242">
        <v>0</v>
      </c>
      <c r="CG11" s="230">
        <v>19548923</v>
      </c>
      <c r="CH11" s="218">
        <v>20098923.25</v>
      </c>
      <c r="CI11" s="220">
        <v>20648923.25</v>
      </c>
      <c r="CJ11" s="220">
        <v>11628908</v>
      </c>
      <c r="CK11" s="218">
        <v>42178905</v>
      </c>
      <c r="CL11" s="218">
        <v>42728908</v>
      </c>
      <c r="CM11" s="218">
        <v>43606542.789999999</v>
      </c>
      <c r="CN11" s="218">
        <v>44156542.789999999</v>
      </c>
      <c r="CO11" s="218">
        <v>74706542.790000007</v>
      </c>
      <c r="CP11" s="271">
        <v>75259559.159999996</v>
      </c>
    </row>
    <row r="12" spans="1:94">
      <c r="A12" s="232" t="s">
        <v>21</v>
      </c>
      <c r="B12" s="22"/>
      <c r="C12" s="22"/>
      <c r="D12" s="22"/>
      <c r="E12" s="22"/>
      <c r="F12" s="11"/>
      <c r="G12" s="11"/>
      <c r="H12" s="73"/>
      <c r="I12" s="11"/>
      <c r="J12" s="11"/>
      <c r="K12" s="11"/>
      <c r="L12" s="11"/>
      <c r="M12" s="11"/>
      <c r="N12" s="11"/>
      <c r="O12" s="191"/>
      <c r="P12" s="11"/>
      <c r="Q12" s="11"/>
      <c r="R12" s="11"/>
      <c r="S12" s="11"/>
      <c r="T12" s="11"/>
      <c r="U12" s="11"/>
      <c r="V12" s="116"/>
      <c r="W12" s="118"/>
      <c r="X12" s="147"/>
      <c r="Y12" s="147"/>
      <c r="Z12" s="147"/>
      <c r="AA12" s="120"/>
      <c r="AB12" s="22"/>
      <c r="AC12" s="75"/>
      <c r="AD12" s="75"/>
      <c r="AE12" s="75"/>
      <c r="AF12" s="75"/>
      <c r="AG12" s="75"/>
      <c r="AH12" s="75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6"/>
      <c r="AT12" s="190"/>
      <c r="AU12" s="190"/>
      <c r="AV12" s="11"/>
      <c r="AW12" s="11"/>
      <c r="AX12" s="11"/>
      <c r="AY12" s="11"/>
      <c r="AZ12" s="11"/>
      <c r="BB12" s="11"/>
      <c r="BC12" s="11"/>
      <c r="BD12" s="11"/>
      <c r="BE12" s="11"/>
      <c r="BF12" s="11"/>
      <c r="BH12" s="167"/>
      <c r="BI12" s="167"/>
      <c r="BJ12" s="167"/>
      <c r="BK12" s="167"/>
      <c r="BL12" s="167"/>
      <c r="BM12" s="218"/>
      <c r="BN12" s="218"/>
      <c r="BO12" s="220"/>
      <c r="BP12" s="220"/>
      <c r="BQ12" s="220"/>
      <c r="BR12" s="220"/>
      <c r="BS12" s="221"/>
      <c r="BT12" s="230">
        <f>2232936+18375400+23770019+25000+418950</f>
        <v>44822305</v>
      </c>
      <c r="BU12" s="218">
        <v>12967373.25</v>
      </c>
      <c r="BV12" s="220">
        <v>13517373.25</v>
      </c>
      <c r="BW12" s="220">
        <v>14067373.25</v>
      </c>
      <c r="BX12" s="220">
        <v>14617373.25</v>
      </c>
      <c r="BY12" s="220">
        <v>15167373.199999999</v>
      </c>
      <c r="BZ12" s="220">
        <v>15717373.25</v>
      </c>
      <c r="CA12" s="220">
        <v>16267373.25</v>
      </c>
      <c r="CB12" s="220">
        <v>16817373.25</v>
      </c>
      <c r="CC12" s="220">
        <v>17420118.739999998</v>
      </c>
      <c r="CD12" s="220">
        <v>17970118.739999998</v>
      </c>
      <c r="CE12" s="220">
        <v>18520118.739999998</v>
      </c>
      <c r="CF12" s="243">
        <v>19122795.100000001</v>
      </c>
      <c r="CG12" s="243">
        <v>50345579</v>
      </c>
      <c r="CH12" s="218">
        <v>51324329</v>
      </c>
      <c r="CI12" s="220">
        <v>51744329</v>
      </c>
      <c r="CJ12" s="220">
        <v>52164329</v>
      </c>
      <c r="CK12" s="218">
        <v>52584329</v>
      </c>
      <c r="CL12" s="218">
        <v>53004329</v>
      </c>
      <c r="CM12" s="218">
        <v>53424329</v>
      </c>
      <c r="CN12" s="218">
        <v>53844329</v>
      </c>
      <c r="CO12" s="218">
        <v>53944329</v>
      </c>
      <c r="CP12" s="271">
        <v>54044329</v>
      </c>
    </row>
    <row r="13" spans="1:94">
      <c r="A13" s="233" t="s">
        <v>22</v>
      </c>
      <c r="B13" s="11"/>
      <c r="C13" s="11">
        <v>9998645</v>
      </c>
      <c r="D13" s="11">
        <v>9998644</v>
      </c>
      <c r="E13" s="11">
        <v>10341549</v>
      </c>
      <c r="F13" s="11">
        <v>14582790</v>
      </c>
      <c r="G13" s="11">
        <v>15842990</v>
      </c>
      <c r="H13" s="73">
        <v>25636790</v>
      </c>
      <c r="I13" s="11">
        <v>26036790</v>
      </c>
      <c r="J13" s="11">
        <v>26236790</v>
      </c>
      <c r="K13" s="11">
        <v>26236790</v>
      </c>
      <c r="L13" s="11">
        <v>26636790</v>
      </c>
      <c r="M13" s="11">
        <v>26836790</v>
      </c>
      <c r="N13" s="11">
        <v>27036790</v>
      </c>
      <c r="O13" s="191">
        <v>27236790</v>
      </c>
      <c r="P13" s="11">
        <v>27436790</v>
      </c>
      <c r="Q13" s="11">
        <v>27833289</v>
      </c>
      <c r="R13" s="11">
        <v>27853289</v>
      </c>
      <c r="S13" s="11">
        <v>27873289</v>
      </c>
      <c r="T13" s="11">
        <v>27493289</v>
      </c>
      <c r="U13" s="11">
        <f>26934539+558750</f>
        <v>27493289</v>
      </c>
      <c r="V13" s="116">
        <v>27513289</v>
      </c>
      <c r="W13" s="118">
        <v>27533289</v>
      </c>
      <c r="X13" s="147">
        <v>27553289</v>
      </c>
      <c r="Y13" s="147">
        <v>27773289</v>
      </c>
      <c r="Z13" s="147">
        <v>27993289</v>
      </c>
      <c r="AA13" s="120">
        <v>28213289</v>
      </c>
      <c r="AB13" s="22">
        <v>28433289</v>
      </c>
      <c r="AC13" s="75">
        <v>28653289</v>
      </c>
      <c r="AD13" s="75">
        <v>28873289</v>
      </c>
      <c r="AE13" s="75">
        <v>29093289</v>
      </c>
      <c r="AF13" s="75">
        <v>29313289</v>
      </c>
      <c r="AG13" s="75">
        <v>29533289</v>
      </c>
      <c r="AH13" s="75">
        <v>29533289</v>
      </c>
      <c r="AI13" s="11">
        <v>29753289</v>
      </c>
      <c r="AJ13" s="11">
        <v>29973289</v>
      </c>
      <c r="AK13" s="11">
        <v>30193289</v>
      </c>
      <c r="AL13" s="11">
        <v>30413289</v>
      </c>
      <c r="AM13" s="11">
        <v>30633289</v>
      </c>
      <c r="AN13" s="11">
        <v>30853289</v>
      </c>
      <c r="AO13" s="11">
        <v>31073289</v>
      </c>
      <c r="AP13" s="11">
        <v>31293289</v>
      </c>
      <c r="AQ13" s="11">
        <v>31513289</v>
      </c>
      <c r="AR13" s="11">
        <v>31733289</v>
      </c>
      <c r="AS13" s="116">
        <v>31953289</v>
      </c>
      <c r="AT13" s="190">
        <v>32173289</v>
      </c>
      <c r="AU13" s="190">
        <v>164800</v>
      </c>
      <c r="AV13" s="11">
        <v>32393289</v>
      </c>
      <c r="AW13" s="11">
        <v>32613289</v>
      </c>
      <c r="AX13" s="11">
        <v>33033289</v>
      </c>
      <c r="AY13" s="11">
        <v>33453289</v>
      </c>
      <c r="AZ13" s="11">
        <v>33873289</v>
      </c>
      <c r="BB13" s="11">
        <v>173566445</v>
      </c>
      <c r="BC13" s="11">
        <v>35133289.109999999</v>
      </c>
      <c r="BD13" s="11">
        <v>35553289</v>
      </c>
      <c r="BE13" s="11">
        <v>35973289</v>
      </c>
      <c r="BF13" s="11">
        <v>42893298</v>
      </c>
      <c r="BH13" s="167">
        <v>43313289</v>
      </c>
      <c r="BI13" s="167">
        <v>43733289</v>
      </c>
      <c r="BJ13" s="167">
        <v>44153289</v>
      </c>
      <c r="BK13" s="167">
        <v>44573289</v>
      </c>
      <c r="BL13" s="167">
        <v>44993289</v>
      </c>
      <c r="BM13" s="218">
        <v>45413289</v>
      </c>
      <c r="BN13" s="218">
        <v>45833289</v>
      </c>
      <c r="BO13" s="220">
        <v>46253289</v>
      </c>
      <c r="BP13" s="220">
        <v>46673289</v>
      </c>
      <c r="BQ13" s="220">
        <v>47093289</v>
      </c>
      <c r="BR13" s="220">
        <v>47513289</v>
      </c>
      <c r="BS13" s="221">
        <v>43933289</v>
      </c>
      <c r="BT13" s="230">
        <f>91050+48750</f>
        <v>139800</v>
      </c>
      <c r="BU13" s="218">
        <v>45381106</v>
      </c>
      <c r="BV13" s="220">
        <v>45801106</v>
      </c>
      <c r="BW13" s="220">
        <v>46221106</v>
      </c>
      <c r="BX13" s="220">
        <v>46641106</v>
      </c>
      <c r="BY13" s="220">
        <v>47061106</v>
      </c>
      <c r="BZ13" s="220">
        <v>47481106</v>
      </c>
      <c r="CA13" s="220">
        <v>47901106</v>
      </c>
      <c r="CB13" s="220">
        <v>48321106</v>
      </c>
      <c r="CC13" s="220">
        <v>48741106</v>
      </c>
      <c r="CD13" s="220">
        <v>49161106</v>
      </c>
      <c r="CE13" s="220">
        <v>49581106</v>
      </c>
      <c r="CF13" s="243">
        <v>50001106</v>
      </c>
      <c r="CG13" s="243">
        <v>558750</v>
      </c>
    </row>
    <row r="14" spans="1:94">
      <c r="A14" s="9" t="s">
        <v>23</v>
      </c>
      <c r="B14" s="53">
        <f>B15-B16</f>
        <v>263143330</v>
      </c>
      <c r="C14" s="53">
        <f>C15-C16</f>
        <v>294845459</v>
      </c>
      <c r="D14" s="53">
        <f>D15-D16</f>
        <v>318026558</v>
      </c>
      <c r="E14" s="53">
        <f t="shared" ref="E14:BJ14" si="15">E15-E16</f>
        <v>351690198.05000001</v>
      </c>
      <c r="F14" s="53">
        <f t="shared" si="15"/>
        <v>350184189</v>
      </c>
      <c r="G14" s="53">
        <f t="shared" si="15"/>
        <v>376107614</v>
      </c>
      <c r="H14" s="53">
        <f t="shared" si="15"/>
        <v>468334250</v>
      </c>
      <c r="I14" s="53">
        <f t="shared" si="15"/>
        <v>490992594.75</v>
      </c>
      <c r="J14" s="53">
        <f t="shared" si="15"/>
        <v>474773060.31</v>
      </c>
      <c r="K14" s="53">
        <f t="shared" si="15"/>
        <v>472790661.16000003</v>
      </c>
      <c r="L14" s="53">
        <f t="shared" si="15"/>
        <v>482367281.81</v>
      </c>
      <c r="M14" s="53">
        <f t="shared" si="15"/>
        <v>483058226.95999998</v>
      </c>
      <c r="N14" s="53">
        <f t="shared" si="15"/>
        <v>486988138.39999998</v>
      </c>
      <c r="O14" s="53">
        <f t="shared" si="15"/>
        <v>504734645.75</v>
      </c>
      <c r="P14" s="53">
        <f t="shared" si="15"/>
        <v>506100934.66999996</v>
      </c>
      <c r="Q14" s="53">
        <f t="shared" si="15"/>
        <v>514438047.29000002</v>
      </c>
      <c r="R14" s="53">
        <f t="shared" si="15"/>
        <v>531777136.57999998</v>
      </c>
      <c r="S14" s="53">
        <f t="shared" si="15"/>
        <v>539595812.36000001</v>
      </c>
      <c r="T14" s="53">
        <f t="shared" si="15"/>
        <v>551940772.53000009</v>
      </c>
      <c r="U14" s="53">
        <f t="shared" si="15"/>
        <v>551940772</v>
      </c>
      <c r="V14" s="115">
        <f t="shared" si="15"/>
        <v>547833738.01999998</v>
      </c>
      <c r="W14" s="115">
        <f t="shared" si="15"/>
        <v>548629793.03000009</v>
      </c>
      <c r="X14" s="115">
        <f t="shared" si="15"/>
        <v>544801786.21999991</v>
      </c>
      <c r="Y14" s="115">
        <f t="shared" si="15"/>
        <v>555960980.39999998</v>
      </c>
      <c r="Z14" s="115">
        <f t="shared" si="15"/>
        <v>567666848.59000003</v>
      </c>
      <c r="AA14" s="115">
        <f t="shared" si="15"/>
        <v>574898750.69000006</v>
      </c>
      <c r="AB14" s="115">
        <f t="shared" si="15"/>
        <v>583357154.63999999</v>
      </c>
      <c r="AC14" s="115">
        <f t="shared" si="15"/>
        <v>604407550.94000006</v>
      </c>
      <c r="AD14" s="115">
        <f t="shared" si="15"/>
        <v>613777327.38</v>
      </c>
      <c r="AE14" s="115">
        <f t="shared" si="15"/>
        <v>613673083.3499999</v>
      </c>
      <c r="AF14" s="115">
        <f t="shared" si="15"/>
        <v>634471629.7700001</v>
      </c>
      <c r="AG14" s="115">
        <f t="shared" si="15"/>
        <v>640827787.48000002</v>
      </c>
      <c r="AH14" s="115">
        <f t="shared" si="15"/>
        <v>640827787.46999991</v>
      </c>
      <c r="AI14" s="115">
        <f t="shared" si="15"/>
        <v>648410536.71000004</v>
      </c>
      <c r="AJ14" s="115">
        <f t="shared" si="15"/>
        <v>648498011.6400001</v>
      </c>
      <c r="AK14" s="115">
        <f t="shared" si="15"/>
        <v>638320353.00999999</v>
      </c>
      <c r="AL14" s="115">
        <f t="shared" si="15"/>
        <v>642348393.47000003</v>
      </c>
      <c r="AM14" s="115">
        <f t="shared" si="15"/>
        <v>654752099.16999996</v>
      </c>
      <c r="AN14" s="115">
        <f t="shared" si="15"/>
        <v>653060430.16999996</v>
      </c>
      <c r="AO14" s="115">
        <f t="shared" si="15"/>
        <v>660019159.01999998</v>
      </c>
      <c r="AP14" s="115">
        <f t="shared" si="15"/>
        <v>673537132.30999994</v>
      </c>
      <c r="AQ14" s="115">
        <f t="shared" si="15"/>
        <v>669845482.16999996</v>
      </c>
      <c r="AR14" s="115">
        <f t="shared" si="15"/>
        <v>678240129.72000003</v>
      </c>
      <c r="AS14" s="115">
        <f t="shared" si="15"/>
        <v>695320542.27999997</v>
      </c>
      <c r="AT14" s="115">
        <f t="shared" si="15"/>
        <v>704403830.77999997</v>
      </c>
      <c r="AU14" s="115">
        <f t="shared" si="15"/>
        <v>704403830.78000009</v>
      </c>
      <c r="AV14" s="115">
        <f t="shared" si="15"/>
        <v>701606254.94999993</v>
      </c>
      <c r="AW14" s="115">
        <f t="shared" si="15"/>
        <v>701272178.26999998</v>
      </c>
      <c r="AX14" s="115">
        <f t="shared" si="15"/>
        <v>698632607.26000011</v>
      </c>
      <c r="AY14" s="115">
        <f t="shared" si="15"/>
        <v>689101682.85000002</v>
      </c>
      <c r="AZ14" s="115">
        <f t="shared" si="15"/>
        <v>681443950.80000007</v>
      </c>
      <c r="BA14" s="115">
        <f t="shared" si="15"/>
        <v>0</v>
      </c>
      <c r="BB14" s="115">
        <f t="shared" si="15"/>
        <v>3508172049.3500004</v>
      </c>
      <c r="BC14" s="115">
        <f t="shared" si="15"/>
        <v>705720654.43999994</v>
      </c>
      <c r="BD14" s="115">
        <f t="shared" si="15"/>
        <v>718610727.19000006</v>
      </c>
      <c r="BE14" s="115">
        <f t="shared" si="15"/>
        <v>717568251.63999999</v>
      </c>
      <c r="BF14" s="115">
        <f t="shared" si="15"/>
        <v>729214361.96000004</v>
      </c>
      <c r="BG14" s="115">
        <f t="shared" si="15"/>
        <v>729214362</v>
      </c>
      <c r="BH14" s="115">
        <f t="shared" si="15"/>
        <v>733392309.27999997</v>
      </c>
      <c r="BI14" s="115">
        <f t="shared" si="15"/>
        <v>719870200.81000006</v>
      </c>
      <c r="BJ14" s="115">
        <f t="shared" si="15"/>
        <v>726193472.95999992</v>
      </c>
      <c r="BK14" s="115">
        <f>BK15-BK16</f>
        <v>744490887.01999998</v>
      </c>
      <c r="BL14" s="115">
        <f>BL15-BL16</f>
        <v>745478460.6500001</v>
      </c>
      <c r="BM14" s="115">
        <f t="shared" ref="BM14:BT14" si="16">BM15-BM16</f>
        <v>756148319.28999996</v>
      </c>
      <c r="BN14" s="115">
        <f t="shared" si="16"/>
        <v>766646062.01999998</v>
      </c>
      <c r="BO14" s="115">
        <f t="shared" si="16"/>
        <v>773969958.5</v>
      </c>
      <c r="BP14" s="115">
        <f t="shared" si="16"/>
        <v>783962663.12</v>
      </c>
      <c r="BQ14" s="115">
        <f t="shared" si="16"/>
        <v>796476369.57999992</v>
      </c>
      <c r="BR14" s="115">
        <f t="shared" si="16"/>
        <v>803527307.09000003</v>
      </c>
      <c r="BS14" s="115">
        <f t="shared" si="16"/>
        <v>816173018.79999995</v>
      </c>
      <c r="BT14" s="115">
        <f t="shared" si="16"/>
        <v>806427604</v>
      </c>
      <c r="BU14" s="115">
        <f t="shared" ref="BU14:CB14" si="17">BU15-BU16</f>
        <v>800986095.98000002</v>
      </c>
      <c r="BV14" s="115">
        <f t="shared" si="17"/>
        <v>804806178.52999997</v>
      </c>
      <c r="BW14" s="115">
        <f t="shared" si="17"/>
        <v>810604346.07000005</v>
      </c>
      <c r="BX14" s="115">
        <f t="shared" si="17"/>
        <v>830139856.79000008</v>
      </c>
      <c r="BY14" s="115">
        <f t="shared" si="17"/>
        <v>828188078.90999997</v>
      </c>
      <c r="BZ14" s="115">
        <f t="shared" si="17"/>
        <v>824693309.33999991</v>
      </c>
      <c r="CA14" s="115">
        <f t="shared" si="17"/>
        <v>828398997.33000004</v>
      </c>
      <c r="CB14" s="115">
        <f t="shared" si="17"/>
        <v>824759912.58999991</v>
      </c>
      <c r="CC14" s="115">
        <f t="shared" ref="CC14:CF14" si="18">CC15-CC16</f>
        <v>823887386.26999998</v>
      </c>
      <c r="CD14" s="115">
        <f t="shared" si="18"/>
        <v>827388530.13999999</v>
      </c>
      <c r="CE14" s="115">
        <f t="shared" si="18"/>
        <v>830925413.33000004</v>
      </c>
      <c r="CF14" s="115">
        <f t="shared" si="18"/>
        <v>824642574.07000005</v>
      </c>
      <c r="CG14" s="115">
        <f t="shared" ref="CG14:CP14" si="19">CG15-CG16</f>
        <v>824642574.07000005</v>
      </c>
      <c r="CH14" s="115">
        <f t="shared" si="19"/>
        <v>111958072.66000001</v>
      </c>
      <c r="CI14" s="115">
        <f t="shared" si="19"/>
        <v>834814988.28999996</v>
      </c>
      <c r="CJ14" s="115">
        <f t="shared" si="19"/>
        <v>825399842.81000006</v>
      </c>
      <c r="CK14" s="115">
        <f t="shared" si="19"/>
        <v>849168606.13</v>
      </c>
      <c r="CL14" s="115">
        <f t="shared" si="19"/>
        <v>828911591.57000005</v>
      </c>
      <c r="CM14" s="115">
        <f t="shared" si="19"/>
        <v>825836059.84000003</v>
      </c>
      <c r="CN14" s="115">
        <f t="shared" si="19"/>
        <v>826788399.53999996</v>
      </c>
      <c r="CO14" s="115">
        <f t="shared" si="19"/>
        <v>841246324.49000001</v>
      </c>
      <c r="CP14" s="115">
        <f t="shared" si="19"/>
        <v>850775485.57000005</v>
      </c>
    </row>
    <row r="15" spans="1:94" ht="14.25">
      <c r="A15" s="10" t="s">
        <v>24</v>
      </c>
      <c r="B15" s="22">
        <v>263143330</v>
      </c>
      <c r="C15" s="22">
        <v>296918859</v>
      </c>
      <c r="D15" s="22">
        <v>325298062</v>
      </c>
      <c r="E15" s="22">
        <v>359151994.25</v>
      </c>
      <c r="F15" s="11">
        <v>360786989</v>
      </c>
      <c r="G15" s="11">
        <v>389781182</v>
      </c>
      <c r="H15" s="44">
        <v>491527931</v>
      </c>
      <c r="I15" s="11">
        <v>504684561.10000002</v>
      </c>
      <c r="J15" s="11">
        <v>496885913.99000001</v>
      </c>
      <c r="K15" s="11">
        <v>494560153.48000002</v>
      </c>
      <c r="L15" s="11">
        <v>504651604.94</v>
      </c>
      <c r="M15" s="11">
        <v>504932884.94999999</v>
      </c>
      <c r="N15" s="11">
        <v>509122430.58999997</v>
      </c>
      <c r="O15" s="192">
        <v>526538565.16000003</v>
      </c>
      <c r="P15" s="11">
        <v>528160450.44999999</v>
      </c>
      <c r="Q15" s="11">
        <v>537193156.09000003</v>
      </c>
      <c r="R15" s="58">
        <v>554532245.38</v>
      </c>
      <c r="S15" s="11">
        <v>560420110.48000002</v>
      </c>
      <c r="T15" s="11">
        <v>574184811.34000003</v>
      </c>
      <c r="U15" s="11">
        <v>574184811</v>
      </c>
      <c r="V15" s="116">
        <v>572677141.85000002</v>
      </c>
      <c r="W15" s="118">
        <v>572805477.07000005</v>
      </c>
      <c r="X15" s="147">
        <v>568068004.30999994</v>
      </c>
      <c r="Y15" s="147">
        <v>578585063.66999996</v>
      </c>
      <c r="Z15" s="147">
        <v>589566320.19000006</v>
      </c>
      <c r="AA15" s="120">
        <v>596744540.21000004</v>
      </c>
      <c r="AB15" s="22">
        <v>605202944.15999997</v>
      </c>
      <c r="AC15" s="75">
        <v>626253340.46000004</v>
      </c>
      <c r="AD15" s="75">
        <v>636709171.95000005</v>
      </c>
      <c r="AE15" s="75">
        <v>634774041.79999995</v>
      </c>
      <c r="AF15" s="75">
        <v>655206042.33000004</v>
      </c>
      <c r="AG15" s="75">
        <v>661054784.78999996</v>
      </c>
      <c r="AH15" s="75">
        <v>661054784.78999996</v>
      </c>
      <c r="AI15" s="11">
        <v>668637534.01999998</v>
      </c>
      <c r="AJ15" s="11">
        <v>668725008.95000005</v>
      </c>
      <c r="AK15" s="11">
        <v>658410622.36000001</v>
      </c>
      <c r="AL15" s="11">
        <v>662438662.82000005</v>
      </c>
      <c r="AM15" s="11">
        <v>673808903.02999997</v>
      </c>
      <c r="AN15" s="11">
        <v>672706727.30999994</v>
      </c>
      <c r="AO15" s="11">
        <v>679665456.15999997</v>
      </c>
      <c r="AP15" s="11">
        <v>696247390.25999999</v>
      </c>
      <c r="AQ15" s="11">
        <v>694144920.04999995</v>
      </c>
      <c r="AR15" s="11">
        <v>703079239.38</v>
      </c>
      <c r="AS15" s="116">
        <v>721493014.90999997</v>
      </c>
      <c r="AT15" s="190">
        <v>731291820.90999997</v>
      </c>
      <c r="AU15" s="153">
        <v>731291820.91000009</v>
      </c>
      <c r="AV15" s="11">
        <v>725988217.53999996</v>
      </c>
      <c r="AW15" s="11">
        <v>724381794.25999999</v>
      </c>
      <c r="AX15" s="11">
        <v>723479402.69000006</v>
      </c>
      <c r="AY15" s="11">
        <v>715369427.45000005</v>
      </c>
      <c r="AZ15" s="11">
        <v>711140838.20000005</v>
      </c>
      <c r="BB15" s="11">
        <v>3666217564.0500002</v>
      </c>
      <c r="BC15" s="11">
        <v>739032842.38999999</v>
      </c>
      <c r="BD15" s="11">
        <v>751375401.95000005</v>
      </c>
      <c r="BE15" s="11">
        <v>756948205.28999996</v>
      </c>
      <c r="BF15" s="11">
        <v>764103963.84000003</v>
      </c>
      <c r="BG15" s="193">
        <v>764103964</v>
      </c>
      <c r="BH15" s="167">
        <v>763567310.13</v>
      </c>
      <c r="BI15" s="167">
        <v>752977189.12</v>
      </c>
      <c r="BJ15" s="167">
        <v>758213855.65999997</v>
      </c>
      <c r="BK15" s="167">
        <v>773490828.62</v>
      </c>
      <c r="BL15" s="167">
        <v>776013767.69000006</v>
      </c>
      <c r="BM15" s="218">
        <v>785834216.39999998</v>
      </c>
      <c r="BN15" s="218">
        <v>801999899.47000003</v>
      </c>
      <c r="BO15" s="220">
        <v>803200646.36000001</v>
      </c>
      <c r="BP15" s="220">
        <v>812682246.66999996</v>
      </c>
      <c r="BQ15" s="220">
        <v>822559717.26999998</v>
      </c>
      <c r="BR15" s="220">
        <v>830088890.74000001</v>
      </c>
      <c r="BS15" s="221">
        <v>841317205.87</v>
      </c>
      <c r="BT15" s="230">
        <v>841317206</v>
      </c>
      <c r="BU15" s="241">
        <v>835875697.86000001</v>
      </c>
      <c r="BV15" s="243">
        <v>832153861.63999999</v>
      </c>
      <c r="BW15" s="243">
        <v>838383149.85000002</v>
      </c>
      <c r="BX15" s="243">
        <v>856719034.84000003</v>
      </c>
      <c r="BY15" s="243">
        <v>853328652.50999999</v>
      </c>
      <c r="BZ15" s="243">
        <v>844536714.03999996</v>
      </c>
      <c r="CA15" s="243">
        <v>848168998.86000001</v>
      </c>
      <c r="CB15" s="243">
        <v>846008086.91999996</v>
      </c>
      <c r="CC15" s="243">
        <v>842616213.02999997</v>
      </c>
      <c r="CD15" s="243">
        <v>844134516.21000004</v>
      </c>
      <c r="CE15" s="243">
        <v>847639210.88999999</v>
      </c>
      <c r="CF15" s="243">
        <v>851512505.69000006</v>
      </c>
      <c r="CG15" s="243">
        <v>851512505.69000006</v>
      </c>
      <c r="CH15" s="241">
        <v>85088141.040000007</v>
      </c>
      <c r="CI15" s="243">
        <v>851508298.67999995</v>
      </c>
      <c r="CJ15" s="243">
        <v>841470876.97000003</v>
      </c>
      <c r="CK15" s="241">
        <v>865116640.28999996</v>
      </c>
      <c r="CL15" s="241">
        <v>845043852.13</v>
      </c>
      <c r="CM15" s="241">
        <v>841002629.71000004</v>
      </c>
      <c r="CN15" s="241">
        <v>846436264.91999996</v>
      </c>
      <c r="CO15" s="241">
        <v>859475647.02999997</v>
      </c>
      <c r="CP15" s="269">
        <v>870441241.19000006</v>
      </c>
    </row>
    <row r="16" spans="1:94" ht="14.25">
      <c r="A16" s="10" t="s">
        <v>25</v>
      </c>
      <c r="B16" s="22"/>
      <c r="C16" s="22">
        <v>2073400</v>
      </c>
      <c r="D16" s="22">
        <v>7271504</v>
      </c>
      <c r="E16" s="22">
        <v>7461796.2000000002</v>
      </c>
      <c r="F16" s="11">
        <v>10602800</v>
      </c>
      <c r="G16" s="11">
        <v>13673568</v>
      </c>
      <c r="H16" s="19">
        <v>23193681</v>
      </c>
      <c r="I16" s="59">
        <v>13691966.35</v>
      </c>
      <c r="J16" s="11">
        <v>22112853.68</v>
      </c>
      <c r="K16" s="11">
        <v>21769492.32</v>
      </c>
      <c r="L16" s="11">
        <v>22284323.129999999</v>
      </c>
      <c r="M16" s="11">
        <v>21874657.989999998</v>
      </c>
      <c r="N16" s="11">
        <v>22134292.190000001</v>
      </c>
      <c r="O16" s="192">
        <v>21803919.41</v>
      </c>
      <c r="P16" s="11">
        <v>22059515.780000001</v>
      </c>
      <c r="Q16" s="11">
        <v>22755108.800000001</v>
      </c>
      <c r="R16" s="58">
        <v>22755108.800000001</v>
      </c>
      <c r="S16" s="11">
        <v>20824298.120000001</v>
      </c>
      <c r="T16" s="11">
        <v>22244038.809999999</v>
      </c>
      <c r="U16" s="11">
        <v>22244039</v>
      </c>
      <c r="V16" s="116">
        <v>24843403.829999998</v>
      </c>
      <c r="W16" s="118">
        <v>24175684.039999999</v>
      </c>
      <c r="X16" s="147">
        <v>23266218.09</v>
      </c>
      <c r="Y16" s="147">
        <v>22624083.27</v>
      </c>
      <c r="Z16" s="147">
        <v>21899471.600000001</v>
      </c>
      <c r="AA16" s="120">
        <v>21845789.52</v>
      </c>
      <c r="AB16" s="22">
        <v>21845789.52</v>
      </c>
      <c r="AC16" s="75">
        <v>21845789.52</v>
      </c>
      <c r="AD16" s="75">
        <v>22931844.57</v>
      </c>
      <c r="AE16" s="75">
        <v>21100958.449999999</v>
      </c>
      <c r="AF16" s="75">
        <v>20734412.559999999</v>
      </c>
      <c r="AG16" s="75">
        <v>20226997.309999999</v>
      </c>
      <c r="AH16" s="75">
        <v>20226997.32</v>
      </c>
      <c r="AI16" s="11">
        <v>20226997.309999999</v>
      </c>
      <c r="AJ16" s="11">
        <v>20226997.309999999</v>
      </c>
      <c r="AK16" s="11">
        <v>20090269.350000001</v>
      </c>
      <c r="AL16" s="11">
        <v>20090269.350000001</v>
      </c>
      <c r="AM16" s="11">
        <v>19056803.859999999</v>
      </c>
      <c r="AN16" s="11">
        <v>19646297.140000001</v>
      </c>
      <c r="AO16" s="11">
        <v>19646297.140000001</v>
      </c>
      <c r="AP16" s="11">
        <v>22710257.949999999</v>
      </c>
      <c r="AQ16" s="11">
        <v>24299437.879999999</v>
      </c>
      <c r="AR16" s="11">
        <v>24839109.66</v>
      </c>
      <c r="AS16" s="116">
        <v>26172472.629999999</v>
      </c>
      <c r="AT16" s="190">
        <v>26887990.129999999</v>
      </c>
      <c r="AU16" s="190">
        <v>26887990.129999999</v>
      </c>
      <c r="AV16" s="11">
        <v>24381962.59</v>
      </c>
      <c r="AW16" s="11">
        <v>23109615.989999998</v>
      </c>
      <c r="AX16" s="11">
        <v>24846795.43</v>
      </c>
      <c r="AY16" s="11">
        <v>26267744.600000001</v>
      </c>
      <c r="AZ16" s="11">
        <v>29696887.399999999</v>
      </c>
      <c r="BB16" s="11">
        <v>158045514.69999999</v>
      </c>
      <c r="BC16" s="11">
        <v>33312187.949999999</v>
      </c>
      <c r="BD16" s="11">
        <v>32764674.760000002</v>
      </c>
      <c r="BE16" s="11">
        <v>39379953.649999999</v>
      </c>
      <c r="BF16" s="11">
        <v>34889601.880000003</v>
      </c>
      <c r="BG16" s="193">
        <v>34889602</v>
      </c>
      <c r="BH16" s="167">
        <v>30175000.850000001</v>
      </c>
      <c r="BI16" s="167">
        <v>33106988.309999999</v>
      </c>
      <c r="BJ16" s="167">
        <v>32020382.699999999</v>
      </c>
      <c r="BK16" s="167">
        <v>28999941.600000001</v>
      </c>
      <c r="BL16" s="167">
        <v>30535307.039999999</v>
      </c>
      <c r="BM16" s="218">
        <v>29685897.109999999</v>
      </c>
      <c r="BN16" s="218">
        <v>35353837.450000003</v>
      </c>
      <c r="BO16" s="220">
        <v>29230687.859999999</v>
      </c>
      <c r="BP16" s="220">
        <v>28719583.550000001</v>
      </c>
      <c r="BQ16" s="220">
        <v>26083347.690000001</v>
      </c>
      <c r="BR16" s="220">
        <v>26561583.649999999</v>
      </c>
      <c r="BS16" s="221">
        <v>25144187.07</v>
      </c>
      <c r="BT16" s="230">
        <v>34889602</v>
      </c>
      <c r="BU16" s="218">
        <v>34889601.880000003</v>
      </c>
      <c r="BV16" s="220">
        <v>27347683.109999999</v>
      </c>
      <c r="BW16" s="220">
        <v>27778803.780000001</v>
      </c>
      <c r="BX16" s="220">
        <v>26579178.050000001</v>
      </c>
      <c r="BY16" s="220">
        <v>25140573.600000001</v>
      </c>
      <c r="BZ16" s="220">
        <v>19843404.699999999</v>
      </c>
      <c r="CA16" s="220">
        <v>19770001.530000001</v>
      </c>
      <c r="CB16" s="220">
        <v>21248174.329999998</v>
      </c>
      <c r="CC16" s="220">
        <v>18728826.760000002</v>
      </c>
      <c r="CD16" s="220">
        <v>16745986.07</v>
      </c>
      <c r="CE16" s="220">
        <v>16713797.560000001</v>
      </c>
      <c r="CF16" s="243">
        <v>26869931.620000001</v>
      </c>
      <c r="CG16" s="243">
        <v>26869931.620000001</v>
      </c>
      <c r="CH16" s="218">
        <v>-26869931.620000001</v>
      </c>
      <c r="CI16" s="220">
        <v>16693310.390000001</v>
      </c>
      <c r="CJ16" s="220">
        <v>16071034.16</v>
      </c>
      <c r="CK16" s="218">
        <v>15948034.16</v>
      </c>
      <c r="CL16" s="218">
        <v>16132260.560000001</v>
      </c>
      <c r="CM16" s="218">
        <v>15166569.869999999</v>
      </c>
      <c r="CN16" s="218">
        <v>19647865.379999999</v>
      </c>
      <c r="CO16" s="218">
        <v>18229322.539999999</v>
      </c>
      <c r="CP16" s="271">
        <v>19665755.620000001</v>
      </c>
    </row>
    <row r="17" spans="1:94">
      <c r="A17" s="9" t="s">
        <v>26</v>
      </c>
      <c r="B17" s="53"/>
      <c r="C17" s="53"/>
      <c r="D17" s="53"/>
      <c r="E17" s="53">
        <f t="shared" ref="E17:BJ17" si="20">SUM(E18:E20)</f>
        <v>0</v>
      </c>
      <c r="F17" s="53">
        <f t="shared" si="20"/>
        <v>0</v>
      </c>
      <c r="G17" s="53">
        <f t="shared" si="20"/>
        <v>0</v>
      </c>
      <c r="H17" s="53">
        <f t="shared" si="20"/>
        <v>0</v>
      </c>
      <c r="I17" s="53">
        <f t="shared" si="20"/>
        <v>0</v>
      </c>
      <c r="J17" s="53">
        <f t="shared" si="20"/>
        <v>0</v>
      </c>
      <c r="K17" s="53">
        <f t="shared" si="20"/>
        <v>0</v>
      </c>
      <c r="L17" s="53">
        <f t="shared" si="20"/>
        <v>0</v>
      </c>
      <c r="M17" s="53">
        <f t="shared" si="20"/>
        <v>0</v>
      </c>
      <c r="N17" s="53">
        <f t="shared" si="20"/>
        <v>0</v>
      </c>
      <c r="O17" s="53">
        <f t="shared" si="20"/>
        <v>0</v>
      </c>
      <c r="P17" s="53">
        <f t="shared" si="20"/>
        <v>0</v>
      </c>
      <c r="Q17" s="53">
        <f t="shared" si="20"/>
        <v>0</v>
      </c>
      <c r="R17" s="53">
        <f t="shared" si="20"/>
        <v>0</v>
      </c>
      <c r="S17" s="53">
        <f t="shared" si="20"/>
        <v>0</v>
      </c>
      <c r="T17" s="53">
        <f t="shared" si="20"/>
        <v>0</v>
      </c>
      <c r="U17" s="53">
        <f t="shared" si="20"/>
        <v>0</v>
      </c>
      <c r="V17" s="115">
        <f t="shared" si="20"/>
        <v>0</v>
      </c>
      <c r="W17" s="115">
        <f t="shared" si="20"/>
        <v>0</v>
      </c>
      <c r="X17" s="115">
        <f t="shared" si="20"/>
        <v>0</v>
      </c>
      <c r="Y17" s="115">
        <f t="shared" si="20"/>
        <v>0</v>
      </c>
      <c r="Z17" s="115">
        <f t="shared" si="20"/>
        <v>0</v>
      </c>
      <c r="AA17" s="115">
        <f t="shared" si="20"/>
        <v>0</v>
      </c>
      <c r="AB17" s="115">
        <f t="shared" si="20"/>
        <v>0</v>
      </c>
      <c r="AC17" s="115">
        <f t="shared" si="20"/>
        <v>0</v>
      </c>
      <c r="AD17" s="115">
        <f t="shared" si="20"/>
        <v>0</v>
      </c>
      <c r="AE17" s="115">
        <f t="shared" si="20"/>
        <v>0</v>
      </c>
      <c r="AF17" s="115">
        <f t="shared" si="20"/>
        <v>0</v>
      </c>
      <c r="AG17" s="115">
        <f t="shared" si="20"/>
        <v>0</v>
      </c>
      <c r="AH17" s="115">
        <f t="shared" si="20"/>
        <v>0</v>
      </c>
      <c r="AI17" s="115">
        <f t="shared" si="20"/>
        <v>0</v>
      </c>
      <c r="AJ17" s="115">
        <f t="shared" si="20"/>
        <v>0</v>
      </c>
      <c r="AK17" s="115">
        <f t="shared" si="20"/>
        <v>0</v>
      </c>
      <c r="AL17" s="115">
        <f t="shared" si="20"/>
        <v>0</v>
      </c>
      <c r="AM17" s="115">
        <f t="shared" si="20"/>
        <v>0</v>
      </c>
      <c r="AN17" s="115">
        <f t="shared" si="20"/>
        <v>0</v>
      </c>
      <c r="AO17" s="115">
        <f t="shared" si="20"/>
        <v>0</v>
      </c>
      <c r="AP17" s="115">
        <f t="shared" si="20"/>
        <v>0</v>
      </c>
      <c r="AQ17" s="115">
        <f t="shared" si="20"/>
        <v>0</v>
      </c>
      <c r="AR17" s="115">
        <f t="shared" si="20"/>
        <v>0</v>
      </c>
      <c r="AS17" s="115">
        <f t="shared" si="20"/>
        <v>0</v>
      </c>
      <c r="AT17" s="115">
        <f t="shared" si="20"/>
        <v>0</v>
      </c>
      <c r="AU17" s="115">
        <f t="shared" si="20"/>
        <v>0</v>
      </c>
      <c r="AV17" s="115">
        <f t="shared" si="20"/>
        <v>0</v>
      </c>
      <c r="AW17" s="115">
        <f t="shared" si="20"/>
        <v>0</v>
      </c>
      <c r="AX17" s="115">
        <f t="shared" si="20"/>
        <v>0</v>
      </c>
      <c r="AY17" s="115">
        <f t="shared" si="20"/>
        <v>0</v>
      </c>
      <c r="AZ17" s="115">
        <f t="shared" si="20"/>
        <v>0</v>
      </c>
      <c r="BA17" s="115">
        <f t="shared" si="20"/>
        <v>0</v>
      </c>
      <c r="BB17" s="115">
        <f t="shared" si="20"/>
        <v>0</v>
      </c>
      <c r="BC17" s="115">
        <f t="shared" si="20"/>
        <v>0</v>
      </c>
      <c r="BD17" s="115">
        <f t="shared" si="20"/>
        <v>0</v>
      </c>
      <c r="BE17" s="115">
        <f t="shared" si="20"/>
        <v>0</v>
      </c>
      <c r="BF17" s="115">
        <f t="shared" si="20"/>
        <v>0</v>
      </c>
      <c r="BG17" s="115">
        <f t="shared" si="20"/>
        <v>979706</v>
      </c>
      <c r="BH17" s="115">
        <f t="shared" si="20"/>
        <v>0</v>
      </c>
      <c r="BI17" s="115">
        <f t="shared" si="20"/>
        <v>0</v>
      </c>
      <c r="BJ17" s="115">
        <f t="shared" si="20"/>
        <v>0</v>
      </c>
      <c r="BK17" s="115">
        <f>SUM(BK18:BK20)</f>
        <v>0</v>
      </c>
      <c r="BL17" s="115">
        <f>SUM(BL18:BL20)</f>
        <v>0</v>
      </c>
      <c r="BM17" s="115">
        <f t="shared" ref="BM17:BT17" si="21">SUM(BM18:BM20)</f>
        <v>0</v>
      </c>
      <c r="BN17" s="115">
        <f t="shared" si="21"/>
        <v>0</v>
      </c>
      <c r="BO17" s="115">
        <f t="shared" si="21"/>
        <v>0</v>
      </c>
      <c r="BP17" s="115">
        <f t="shared" si="21"/>
        <v>0</v>
      </c>
      <c r="BQ17" s="115">
        <f t="shared" si="21"/>
        <v>0</v>
      </c>
      <c r="BR17" s="115">
        <f t="shared" si="21"/>
        <v>0</v>
      </c>
      <c r="BS17" s="115">
        <f t="shared" si="21"/>
        <v>0</v>
      </c>
      <c r="BT17" s="115">
        <f t="shared" si="21"/>
        <v>928581</v>
      </c>
      <c r="BU17" s="115">
        <f t="shared" ref="BU17:CB17" si="22">SUM(BU18:BU20)</f>
        <v>0</v>
      </c>
      <c r="BV17" s="115">
        <f t="shared" si="22"/>
        <v>0</v>
      </c>
      <c r="BW17" s="115">
        <f t="shared" si="22"/>
        <v>0</v>
      </c>
      <c r="BX17" s="115">
        <f t="shared" si="22"/>
        <v>0</v>
      </c>
      <c r="BY17" s="115">
        <f t="shared" si="22"/>
        <v>0</v>
      </c>
      <c r="BZ17" s="115">
        <f t="shared" si="22"/>
        <v>0</v>
      </c>
      <c r="CA17" s="115">
        <f t="shared" si="22"/>
        <v>0</v>
      </c>
      <c r="CB17" s="115">
        <f t="shared" si="22"/>
        <v>0</v>
      </c>
      <c r="CC17" s="115">
        <f t="shared" ref="CC17:CF17" si="23">SUM(CC18:CC20)</f>
        <v>0</v>
      </c>
      <c r="CD17" s="115">
        <f t="shared" si="23"/>
        <v>0</v>
      </c>
      <c r="CE17" s="115">
        <f t="shared" si="23"/>
        <v>0</v>
      </c>
      <c r="CF17" s="115">
        <f t="shared" si="23"/>
        <v>0</v>
      </c>
      <c r="CG17" s="115">
        <f t="shared" ref="CG17:CP17" si="24">SUM(CG18:CG20)</f>
        <v>3538581</v>
      </c>
      <c r="CH17" s="115">
        <f t="shared" si="24"/>
        <v>0</v>
      </c>
      <c r="CI17" s="115">
        <f t="shared" si="24"/>
        <v>0</v>
      </c>
      <c r="CJ17" s="115">
        <f t="shared" si="24"/>
        <v>0</v>
      </c>
      <c r="CK17" s="115">
        <f t="shared" si="24"/>
        <v>0</v>
      </c>
      <c r="CL17" s="115">
        <f t="shared" si="24"/>
        <v>0</v>
      </c>
      <c r="CM17" s="115">
        <f t="shared" si="24"/>
        <v>0</v>
      </c>
      <c r="CN17" s="115">
        <f t="shared" si="24"/>
        <v>0</v>
      </c>
      <c r="CO17" s="115">
        <f t="shared" si="24"/>
        <v>0</v>
      </c>
      <c r="CP17" s="115">
        <f t="shared" si="24"/>
        <v>0</v>
      </c>
    </row>
    <row r="18" spans="1:94">
      <c r="A18" s="10" t="s">
        <v>27</v>
      </c>
      <c r="B18" s="22"/>
      <c r="C18" s="22"/>
      <c r="D18" s="22"/>
      <c r="E18" s="22"/>
      <c r="F18" s="11"/>
      <c r="G18" s="11"/>
      <c r="H18" s="11" t="s">
        <v>28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57">
        <v>0</v>
      </c>
      <c r="S18" s="11">
        <v>0</v>
      </c>
      <c r="T18" s="11">
        <v>0</v>
      </c>
      <c r="U18" s="11"/>
      <c r="V18" s="116">
        <v>0</v>
      </c>
      <c r="W18" s="118">
        <v>0</v>
      </c>
      <c r="X18" s="147">
        <v>0</v>
      </c>
      <c r="Y18" s="147">
        <v>0</v>
      </c>
      <c r="Z18" s="147">
        <v>0</v>
      </c>
      <c r="AA18" s="147">
        <v>0</v>
      </c>
      <c r="AB18" s="22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6">
        <v>0</v>
      </c>
      <c r="AT18" s="190">
        <v>0</v>
      </c>
      <c r="AU18" s="190">
        <v>0</v>
      </c>
      <c r="AV18" s="190">
        <v>0</v>
      </c>
      <c r="AW18" s="190">
        <v>0</v>
      </c>
      <c r="AX18" s="190">
        <v>0</v>
      </c>
      <c r="AY18" s="190">
        <v>0</v>
      </c>
      <c r="AZ18" s="190">
        <v>0</v>
      </c>
      <c r="BA18" s="190">
        <v>0</v>
      </c>
      <c r="BB18" s="190">
        <v>0</v>
      </c>
      <c r="BC18" s="190">
        <v>0</v>
      </c>
      <c r="BD18" s="190">
        <v>0</v>
      </c>
      <c r="BE18" s="190">
        <v>0</v>
      </c>
      <c r="BF18" s="190">
        <v>0</v>
      </c>
      <c r="BG18" s="194">
        <v>979706</v>
      </c>
      <c r="BH18" s="167">
        <v>0</v>
      </c>
      <c r="BI18" s="167">
        <v>0</v>
      </c>
      <c r="BJ18" s="167">
        <v>0</v>
      </c>
      <c r="BK18" s="167">
        <v>0</v>
      </c>
      <c r="BL18" s="167">
        <v>0</v>
      </c>
      <c r="BM18" s="217">
        <v>0</v>
      </c>
      <c r="BN18" s="217">
        <v>0</v>
      </c>
      <c r="BO18" s="219">
        <v>0</v>
      </c>
      <c r="BP18" s="219">
        <v>0</v>
      </c>
      <c r="BQ18" s="219">
        <v>0</v>
      </c>
      <c r="BR18" s="219">
        <v>0</v>
      </c>
      <c r="BS18" s="222">
        <v>0</v>
      </c>
      <c r="BT18" s="230">
        <v>928581</v>
      </c>
      <c r="BU18" s="240">
        <v>0</v>
      </c>
      <c r="BV18" s="242">
        <v>0</v>
      </c>
      <c r="BW18" s="242">
        <v>0</v>
      </c>
      <c r="BX18" s="242">
        <v>0</v>
      </c>
      <c r="BY18" s="242">
        <v>0</v>
      </c>
      <c r="BZ18" s="242">
        <v>0</v>
      </c>
      <c r="CA18" s="242">
        <v>0</v>
      </c>
      <c r="CB18" s="242">
        <v>0</v>
      </c>
      <c r="CC18" s="242">
        <v>0</v>
      </c>
      <c r="CD18" s="242">
        <v>0</v>
      </c>
      <c r="CE18" s="242">
        <v>0</v>
      </c>
      <c r="CF18" s="242">
        <v>0</v>
      </c>
      <c r="CG18" s="230">
        <v>3538581</v>
      </c>
      <c r="CH18" s="240">
        <v>0</v>
      </c>
      <c r="CI18" s="242">
        <v>0</v>
      </c>
      <c r="CJ18" s="242">
        <v>0</v>
      </c>
      <c r="CK18" s="240">
        <v>0</v>
      </c>
      <c r="CL18" s="240">
        <v>0</v>
      </c>
      <c r="CM18" s="240">
        <v>0</v>
      </c>
      <c r="CN18" s="240">
        <v>0</v>
      </c>
      <c r="CO18" s="240">
        <v>0</v>
      </c>
      <c r="CP18" s="268">
        <v>0</v>
      </c>
    </row>
    <row r="19" spans="1:94">
      <c r="A19" s="10" t="s">
        <v>29</v>
      </c>
      <c r="B19" s="22"/>
      <c r="C19" s="22"/>
      <c r="D19" s="22"/>
      <c r="E19" s="22"/>
      <c r="F19" s="11"/>
      <c r="G19" s="11"/>
      <c r="H19" s="11" t="s">
        <v>28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57">
        <v>0</v>
      </c>
      <c r="S19" s="11">
        <v>0</v>
      </c>
      <c r="T19" s="11">
        <v>0</v>
      </c>
      <c r="U19" s="11"/>
      <c r="V19" s="116">
        <v>0</v>
      </c>
      <c r="W19" s="118">
        <v>0</v>
      </c>
      <c r="X19" s="147">
        <v>0</v>
      </c>
      <c r="Y19" s="147">
        <v>0</v>
      </c>
      <c r="Z19" s="147">
        <v>0</v>
      </c>
      <c r="AA19" s="147">
        <v>0</v>
      </c>
      <c r="AB19" s="22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6">
        <v>0</v>
      </c>
      <c r="AT19" s="190">
        <v>0</v>
      </c>
      <c r="AU19" s="190">
        <v>0</v>
      </c>
      <c r="AV19" s="190">
        <v>0</v>
      </c>
      <c r="AW19" s="190">
        <v>0</v>
      </c>
      <c r="AX19" s="190">
        <v>0</v>
      </c>
      <c r="AY19" s="190">
        <v>0</v>
      </c>
      <c r="AZ19" s="190">
        <v>0</v>
      </c>
      <c r="BA19" s="190">
        <v>0</v>
      </c>
      <c r="BB19" s="190">
        <v>0</v>
      </c>
      <c r="BC19" s="190">
        <v>0</v>
      </c>
      <c r="BD19" s="190">
        <v>0</v>
      </c>
      <c r="BE19" s="190">
        <v>0</v>
      </c>
      <c r="BF19" s="190">
        <v>0</v>
      </c>
      <c r="BG19" s="194">
        <v>0</v>
      </c>
      <c r="BH19" s="167">
        <v>0</v>
      </c>
      <c r="BI19" s="167">
        <v>0</v>
      </c>
      <c r="BJ19" s="167">
        <v>0</v>
      </c>
      <c r="BK19" s="167">
        <v>0</v>
      </c>
      <c r="BL19" s="167">
        <v>0</v>
      </c>
      <c r="BM19" s="217">
        <v>0</v>
      </c>
      <c r="BN19" s="217">
        <v>0</v>
      </c>
      <c r="BO19" s="219">
        <v>0</v>
      </c>
      <c r="BP19" s="219">
        <v>0</v>
      </c>
      <c r="BQ19" s="219">
        <v>0</v>
      </c>
      <c r="BR19" s="219">
        <v>0</v>
      </c>
      <c r="BS19" s="222">
        <v>0</v>
      </c>
      <c r="BT19" s="230"/>
      <c r="BU19" s="217">
        <v>0</v>
      </c>
      <c r="BV19" s="219">
        <v>0</v>
      </c>
      <c r="BW19" s="219">
        <v>0</v>
      </c>
      <c r="BX19" s="219">
        <v>0</v>
      </c>
      <c r="BY19" s="219">
        <v>0</v>
      </c>
      <c r="BZ19" s="219">
        <v>0</v>
      </c>
      <c r="CA19" s="219">
        <v>0</v>
      </c>
      <c r="CB19" s="219">
        <v>0</v>
      </c>
      <c r="CC19" s="219">
        <v>0</v>
      </c>
      <c r="CD19" s="219">
        <v>0</v>
      </c>
      <c r="CE19" s="219">
        <v>0</v>
      </c>
      <c r="CF19" s="242">
        <v>0</v>
      </c>
      <c r="CG19" s="242">
        <v>0</v>
      </c>
      <c r="CH19" s="217">
        <v>0</v>
      </c>
      <c r="CI19" s="219">
        <v>0</v>
      </c>
      <c r="CJ19" s="219">
        <v>0</v>
      </c>
      <c r="CK19" s="217">
        <v>0</v>
      </c>
      <c r="CL19" s="217">
        <v>0</v>
      </c>
      <c r="CM19" s="217">
        <v>0</v>
      </c>
      <c r="CN19" s="217">
        <v>0</v>
      </c>
      <c r="CO19" s="217">
        <v>0</v>
      </c>
      <c r="CP19" s="270">
        <v>0</v>
      </c>
    </row>
    <row r="20" spans="1:94">
      <c r="A20" s="10" t="s">
        <v>30</v>
      </c>
      <c r="B20" s="22"/>
      <c r="C20" s="22"/>
      <c r="D20" s="22"/>
      <c r="E20" s="22"/>
      <c r="F20" s="11"/>
      <c r="G20" s="11"/>
      <c r="H20" s="11" t="s">
        <v>28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57">
        <v>0</v>
      </c>
      <c r="S20" s="11">
        <v>0</v>
      </c>
      <c r="T20" s="11">
        <v>0</v>
      </c>
      <c r="U20" s="11"/>
      <c r="V20" s="116">
        <v>0</v>
      </c>
      <c r="W20" s="118">
        <v>0</v>
      </c>
      <c r="X20" s="147">
        <v>0</v>
      </c>
      <c r="Y20" s="147">
        <v>0</v>
      </c>
      <c r="Z20" s="147">
        <v>0</v>
      </c>
      <c r="AA20" s="147">
        <v>0</v>
      </c>
      <c r="AB20" s="22">
        <v>0</v>
      </c>
      <c r="AC20" s="75">
        <v>0</v>
      </c>
      <c r="AD20" s="75">
        <v>0</v>
      </c>
      <c r="AE20" s="75">
        <v>0</v>
      </c>
      <c r="AF20" s="75">
        <v>0</v>
      </c>
      <c r="AG20" s="75">
        <v>0</v>
      </c>
      <c r="AH20" s="75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6">
        <v>0</v>
      </c>
      <c r="AT20" s="190">
        <v>0</v>
      </c>
      <c r="AU20" s="190">
        <v>0</v>
      </c>
      <c r="AV20" s="190">
        <v>0</v>
      </c>
      <c r="AW20" s="190">
        <v>0</v>
      </c>
      <c r="AX20" s="190">
        <v>0</v>
      </c>
      <c r="AY20" s="190">
        <v>0</v>
      </c>
      <c r="AZ20" s="190">
        <v>0</v>
      </c>
      <c r="BA20" s="190">
        <v>0</v>
      </c>
      <c r="BB20" s="190">
        <v>0</v>
      </c>
      <c r="BC20" s="190">
        <v>0</v>
      </c>
      <c r="BD20" s="190">
        <v>0</v>
      </c>
      <c r="BE20" s="190">
        <v>0</v>
      </c>
      <c r="BF20" s="190">
        <v>0</v>
      </c>
      <c r="BG20" s="194">
        <v>0</v>
      </c>
      <c r="BH20" s="167">
        <v>0</v>
      </c>
      <c r="BI20" s="167">
        <v>0</v>
      </c>
      <c r="BJ20" s="167">
        <v>0</v>
      </c>
      <c r="BK20" s="167">
        <v>0</v>
      </c>
      <c r="BL20" s="167">
        <v>0</v>
      </c>
      <c r="BM20" s="217">
        <v>0</v>
      </c>
      <c r="BN20" s="217">
        <v>0</v>
      </c>
      <c r="BO20" s="219">
        <v>0</v>
      </c>
      <c r="BP20" s="219">
        <v>0</v>
      </c>
      <c r="BQ20" s="219">
        <v>0</v>
      </c>
      <c r="BR20" s="219">
        <v>0</v>
      </c>
      <c r="BS20" s="222">
        <v>0</v>
      </c>
      <c r="BT20" s="230"/>
      <c r="BU20" s="217">
        <v>0</v>
      </c>
      <c r="BV20" s="219">
        <v>0</v>
      </c>
      <c r="BW20" s="219">
        <v>0</v>
      </c>
      <c r="BX20" s="219">
        <v>0</v>
      </c>
      <c r="BY20" s="219">
        <v>0</v>
      </c>
      <c r="BZ20" s="219">
        <v>0</v>
      </c>
      <c r="CA20" s="219">
        <v>0</v>
      </c>
      <c r="CB20" s="219">
        <v>0</v>
      </c>
      <c r="CC20" s="219">
        <v>0</v>
      </c>
      <c r="CD20" s="219">
        <v>0</v>
      </c>
      <c r="CE20" s="219">
        <v>0</v>
      </c>
      <c r="CF20" s="242">
        <v>0</v>
      </c>
      <c r="CG20" s="242">
        <v>0</v>
      </c>
      <c r="CH20" s="217">
        <v>0</v>
      </c>
      <c r="CI20" s="219">
        <v>0</v>
      </c>
      <c r="CJ20" s="219">
        <v>0</v>
      </c>
      <c r="CK20" s="217">
        <v>0</v>
      </c>
      <c r="CL20" s="217">
        <v>0</v>
      </c>
      <c r="CM20" s="217">
        <v>0</v>
      </c>
      <c r="CN20" s="217">
        <v>0</v>
      </c>
      <c r="CO20" s="217">
        <v>0</v>
      </c>
      <c r="CP20" s="270">
        <v>0</v>
      </c>
    </row>
    <row r="21" spans="1:94">
      <c r="A21" s="9" t="s">
        <v>31</v>
      </c>
      <c r="B21" s="53">
        <f>SUM(B22:B26)</f>
        <v>75849622</v>
      </c>
      <c r="C21" s="53">
        <f>SUM(C22:C26)</f>
        <v>75797990</v>
      </c>
      <c r="D21" s="53">
        <f>SUM(D22:D26)</f>
        <v>62974319</v>
      </c>
      <c r="E21" s="53">
        <f t="shared" ref="E21:BJ21" si="25">SUM(E22:E26)</f>
        <v>60255948.875</v>
      </c>
      <c r="F21" s="53">
        <f t="shared" si="25"/>
        <v>58284975</v>
      </c>
      <c r="G21" s="53">
        <f t="shared" si="25"/>
        <v>94755272</v>
      </c>
      <c r="H21" s="53">
        <f t="shared" si="25"/>
        <v>121086191</v>
      </c>
      <c r="I21" s="53">
        <f t="shared" si="25"/>
        <v>152264728.44</v>
      </c>
      <c r="J21" s="53">
        <f t="shared" si="25"/>
        <v>143539098.95000002</v>
      </c>
      <c r="K21" s="53">
        <f t="shared" si="25"/>
        <v>144461293.28999999</v>
      </c>
      <c r="L21" s="53">
        <f t="shared" si="25"/>
        <v>149610590.57999998</v>
      </c>
      <c r="M21" s="53">
        <f t="shared" si="25"/>
        <v>135663770.81999999</v>
      </c>
      <c r="N21" s="53">
        <f t="shared" si="25"/>
        <v>154425329.21000001</v>
      </c>
      <c r="O21" s="53">
        <f t="shared" si="25"/>
        <v>121631486.63</v>
      </c>
      <c r="P21" s="53">
        <f t="shared" si="25"/>
        <v>159472468.19999999</v>
      </c>
      <c r="Q21" s="53">
        <f t="shared" si="25"/>
        <v>146286244.36000001</v>
      </c>
      <c r="R21" s="53">
        <f t="shared" si="25"/>
        <v>147252916.84</v>
      </c>
      <c r="S21" s="53">
        <f t="shared" si="25"/>
        <v>144110910.63999999</v>
      </c>
      <c r="T21" s="53">
        <f t="shared" si="25"/>
        <v>147646417.26999998</v>
      </c>
      <c r="U21" s="53">
        <f t="shared" si="25"/>
        <v>128544504</v>
      </c>
      <c r="V21" s="115">
        <f t="shared" si="25"/>
        <v>146896803.67000002</v>
      </c>
      <c r="W21" s="115">
        <f t="shared" si="25"/>
        <v>144801807.50999999</v>
      </c>
      <c r="X21" s="115">
        <f t="shared" si="25"/>
        <v>145104898.37</v>
      </c>
      <c r="Y21" s="115">
        <f t="shared" si="25"/>
        <v>144919243.56</v>
      </c>
      <c r="Z21" s="115">
        <f t="shared" si="25"/>
        <v>144797727.63999999</v>
      </c>
      <c r="AA21" s="115">
        <f t="shared" si="25"/>
        <v>144497729.41000003</v>
      </c>
      <c r="AB21" s="115">
        <f t="shared" si="25"/>
        <v>144431629.72</v>
      </c>
      <c r="AC21" s="115">
        <f t="shared" si="25"/>
        <v>144153923.19</v>
      </c>
      <c r="AD21" s="115">
        <f t="shared" si="25"/>
        <v>143858453.47</v>
      </c>
      <c r="AE21" s="115">
        <f t="shared" si="25"/>
        <v>143519998.56</v>
      </c>
      <c r="AF21" s="115">
        <f t="shared" si="25"/>
        <v>143053485.96000001</v>
      </c>
      <c r="AG21" s="115">
        <f t="shared" si="25"/>
        <v>137846685.20999998</v>
      </c>
      <c r="AH21" s="115">
        <f t="shared" si="25"/>
        <v>125306866.985</v>
      </c>
      <c r="AI21" s="115">
        <f t="shared" si="25"/>
        <v>79661603.030000001</v>
      </c>
      <c r="AJ21" s="115">
        <f t="shared" si="25"/>
        <v>79682337.319999993</v>
      </c>
      <c r="AK21" s="115">
        <f t="shared" si="25"/>
        <v>76873016.010000005</v>
      </c>
      <c r="AL21" s="115">
        <f t="shared" si="25"/>
        <v>77878638.300000012</v>
      </c>
      <c r="AM21" s="115">
        <f t="shared" si="25"/>
        <v>77646615.199999988</v>
      </c>
      <c r="AN21" s="115">
        <f t="shared" si="25"/>
        <v>77901496.890000001</v>
      </c>
      <c r="AO21" s="115">
        <f t="shared" si="25"/>
        <v>79940470.670000002</v>
      </c>
      <c r="AP21" s="115">
        <f t="shared" si="25"/>
        <v>78025535.870000005</v>
      </c>
      <c r="AQ21" s="115">
        <f t="shared" si="25"/>
        <v>78528032.760000005</v>
      </c>
      <c r="AR21" s="115">
        <f t="shared" si="25"/>
        <v>78759068.090000004</v>
      </c>
      <c r="AS21" s="115">
        <f t="shared" si="25"/>
        <v>78560778.670000002</v>
      </c>
      <c r="AT21" s="115">
        <f t="shared" si="25"/>
        <v>71548081.039999992</v>
      </c>
      <c r="AU21" s="115">
        <f t="shared" si="25"/>
        <v>57450345.186835483</v>
      </c>
      <c r="AV21" s="115">
        <f t="shared" si="25"/>
        <v>71721149.049999997</v>
      </c>
      <c r="AW21" s="115">
        <f t="shared" si="25"/>
        <v>71637492.700000003</v>
      </c>
      <c r="AX21" s="115">
        <f t="shared" si="25"/>
        <v>70673703.400000006</v>
      </c>
      <c r="AY21" s="115">
        <f t="shared" si="25"/>
        <v>70239102.849999994</v>
      </c>
      <c r="AZ21" s="115">
        <f t="shared" si="25"/>
        <v>70949593.239999995</v>
      </c>
      <c r="BA21" s="115">
        <f t="shared" si="25"/>
        <v>0</v>
      </c>
      <c r="BB21" s="115">
        <f t="shared" si="25"/>
        <v>360479647.25</v>
      </c>
      <c r="BC21" s="115">
        <f t="shared" si="25"/>
        <v>72903339.210000008</v>
      </c>
      <c r="BD21" s="115">
        <f t="shared" si="25"/>
        <v>73222398.210000008</v>
      </c>
      <c r="BE21" s="115">
        <f t="shared" si="25"/>
        <v>73409672.49000001</v>
      </c>
      <c r="BF21" s="115">
        <f t="shared" si="25"/>
        <v>71361600.810000002</v>
      </c>
      <c r="BG21" s="115">
        <f t="shared" si="25"/>
        <v>56154991</v>
      </c>
      <c r="BH21" s="115">
        <f t="shared" si="25"/>
        <v>71676350.010000005</v>
      </c>
      <c r="BI21" s="115">
        <f t="shared" si="25"/>
        <v>73117808</v>
      </c>
      <c r="BJ21" s="115">
        <f t="shared" si="25"/>
        <v>71477133.459999993</v>
      </c>
      <c r="BK21" s="115">
        <f>SUM(BK22:BK26)</f>
        <v>70225515.800000012</v>
      </c>
      <c r="BL21" s="115">
        <f>SUM(BL22:BL26)</f>
        <v>69800595.609999999</v>
      </c>
      <c r="BM21" s="115">
        <f t="shared" ref="BM21:BT21" si="26">SUM(BM22:BM26)</f>
        <v>70087473.670000002</v>
      </c>
      <c r="BN21" s="115">
        <f t="shared" si="26"/>
        <v>70054603.840000004</v>
      </c>
      <c r="BO21" s="115">
        <f t="shared" si="26"/>
        <v>70134424.460000008</v>
      </c>
      <c r="BP21" s="115">
        <f t="shared" si="26"/>
        <v>70719915.969999999</v>
      </c>
      <c r="BQ21" s="115">
        <f t="shared" si="26"/>
        <v>70794255.359999999</v>
      </c>
      <c r="BR21" s="115">
        <f t="shared" si="26"/>
        <v>71163666.359999999</v>
      </c>
      <c r="BS21" s="115">
        <f t="shared" si="26"/>
        <v>66763798.509999998</v>
      </c>
      <c r="BT21" s="115">
        <f t="shared" si="26"/>
        <v>53582551</v>
      </c>
      <c r="BU21" s="115">
        <f t="shared" ref="BU21:CB21" si="27">SUM(BU22:BU26)</f>
        <v>68168685.849999994</v>
      </c>
      <c r="BV21" s="115">
        <f t="shared" si="27"/>
        <v>64806924.770000003</v>
      </c>
      <c r="BW21" s="115">
        <f t="shared" si="27"/>
        <v>64560841.259999998</v>
      </c>
      <c r="BX21" s="115">
        <f t="shared" si="27"/>
        <v>63601689.039999999</v>
      </c>
      <c r="BY21" s="115">
        <f t="shared" si="27"/>
        <v>63548265.789999999</v>
      </c>
      <c r="BZ21" s="115">
        <f t="shared" si="27"/>
        <v>62762010.669999994</v>
      </c>
      <c r="CA21" s="115">
        <f t="shared" si="27"/>
        <v>63288025.189999998</v>
      </c>
      <c r="CB21" s="115">
        <f t="shared" si="27"/>
        <v>59306717.120000005</v>
      </c>
      <c r="CC21" s="115">
        <f t="shared" ref="CC21:CF21" si="28">SUM(CC22:CC26)</f>
        <v>59310824.859999999</v>
      </c>
      <c r="CD21" s="115">
        <f t="shared" si="28"/>
        <v>60136058.130000003</v>
      </c>
      <c r="CE21" s="115">
        <f t="shared" si="28"/>
        <v>59501109.020000003</v>
      </c>
      <c r="CF21" s="115">
        <f t="shared" si="28"/>
        <v>57140806.789999999</v>
      </c>
      <c r="CG21" s="115">
        <f t="shared" ref="CG21:CP21" si="29">SUM(CG22:CG26)</f>
        <v>51854265</v>
      </c>
      <c r="CH21" s="115">
        <f t="shared" si="29"/>
        <v>55378746.530000001</v>
      </c>
      <c r="CI21" s="115">
        <f t="shared" si="29"/>
        <v>56062684.07</v>
      </c>
      <c r="CJ21" s="115">
        <f t="shared" si="29"/>
        <v>53349406.700000003</v>
      </c>
      <c r="CK21" s="115">
        <f t="shared" si="29"/>
        <v>55702386.539999999</v>
      </c>
      <c r="CL21" s="115">
        <f t="shared" si="29"/>
        <v>54692546.810000002</v>
      </c>
      <c r="CM21" s="115">
        <f t="shared" si="29"/>
        <v>54299834.909999996</v>
      </c>
      <c r="CN21" s="115">
        <f t="shared" si="29"/>
        <v>54213543.629999995</v>
      </c>
      <c r="CO21" s="115">
        <f t="shared" si="29"/>
        <v>53935958.609999999</v>
      </c>
      <c r="CP21" s="115">
        <f t="shared" si="29"/>
        <v>56380372.970000006</v>
      </c>
    </row>
    <row r="22" spans="1:94" ht="14.25">
      <c r="A22" s="10" t="s">
        <v>32</v>
      </c>
      <c r="B22" s="22"/>
      <c r="C22" s="22"/>
      <c r="D22" s="22"/>
      <c r="E22" s="22"/>
      <c r="F22" s="11"/>
      <c r="G22" s="11">
        <v>16170871</v>
      </c>
      <c r="H22" s="73">
        <v>15847454</v>
      </c>
      <c r="I22" s="11">
        <v>16150520.15</v>
      </c>
      <c r="J22" s="11">
        <v>16123568.699999999</v>
      </c>
      <c r="K22" s="11">
        <v>16096617.25</v>
      </c>
      <c r="L22" s="11">
        <v>16069665.800000001</v>
      </c>
      <c r="M22" s="11">
        <v>16042714.35</v>
      </c>
      <c r="N22" s="11">
        <v>16015762.9</v>
      </c>
      <c r="O22" s="195">
        <v>16015762.9</v>
      </c>
      <c r="P22" s="11">
        <v>16015762.9</v>
      </c>
      <c r="Q22" s="11">
        <v>15961860</v>
      </c>
      <c r="R22" s="58">
        <v>15934908.550000001</v>
      </c>
      <c r="S22" s="11">
        <v>15907957.1</v>
      </c>
      <c r="T22" s="11">
        <v>15881005.65</v>
      </c>
      <c r="U22" s="11">
        <v>15530505</v>
      </c>
      <c r="V22" s="116">
        <v>15504620.83</v>
      </c>
      <c r="W22" s="118">
        <v>15478736.66</v>
      </c>
      <c r="X22" s="147">
        <v>15452852.49</v>
      </c>
      <c r="Y22" s="147">
        <v>15426968.32</v>
      </c>
      <c r="Z22" s="147">
        <v>15401084.15</v>
      </c>
      <c r="AA22">
        <v>15375199.98</v>
      </c>
      <c r="AB22" s="22">
        <v>15349315.810000001</v>
      </c>
      <c r="AC22" s="75">
        <v>15323431.640000001</v>
      </c>
      <c r="AD22" s="75">
        <v>15297547.470000001</v>
      </c>
      <c r="AE22" s="75">
        <v>15271663.300000001</v>
      </c>
      <c r="AF22" s="75">
        <v>15245779.130000001</v>
      </c>
      <c r="AG22" s="75">
        <v>15219895</v>
      </c>
      <c r="AH22" s="75">
        <v>15219894.9</v>
      </c>
      <c r="AI22" s="11">
        <v>15194528.51</v>
      </c>
      <c r="AJ22" s="11">
        <v>15169192.02</v>
      </c>
      <c r="AK22" s="11">
        <v>15143825.529999999</v>
      </c>
      <c r="AL22" s="11">
        <v>15118459.039999999</v>
      </c>
      <c r="AM22" s="11">
        <v>15093092.550000001</v>
      </c>
      <c r="AN22" s="11">
        <v>15064726.060000001</v>
      </c>
      <c r="AO22" s="11">
        <v>15042359.57</v>
      </c>
      <c r="AP22" s="11">
        <v>15016993.08</v>
      </c>
      <c r="AQ22" s="11">
        <v>14991626.59</v>
      </c>
      <c r="AR22" s="11">
        <v>14966260.1</v>
      </c>
      <c r="AS22" s="116">
        <v>14940893.609999999</v>
      </c>
      <c r="AT22" s="190">
        <v>14915527.119999999</v>
      </c>
      <c r="AU22" s="154">
        <v>14915497.1</v>
      </c>
      <c r="AV22" s="11">
        <v>14865808.800000001</v>
      </c>
      <c r="AW22" s="11">
        <v>14840949.640000001</v>
      </c>
      <c r="AX22" s="11">
        <v>14816090.48</v>
      </c>
      <c r="AY22" s="11">
        <v>14791231.32</v>
      </c>
      <c r="AZ22" s="11">
        <v>14766372.16</v>
      </c>
      <c r="BB22" s="11">
        <v>73582819.200000003</v>
      </c>
      <c r="BC22" s="11">
        <v>14691794.68</v>
      </c>
      <c r="BD22" s="11">
        <v>14666935.52</v>
      </c>
      <c r="BE22" s="11">
        <v>14642076.359999999</v>
      </c>
      <c r="BF22" s="11">
        <v>14617217.359999999</v>
      </c>
      <c r="BG22" s="193">
        <v>14617187</v>
      </c>
      <c r="BH22" s="167">
        <v>14592825.18</v>
      </c>
      <c r="BI22" s="167">
        <v>14568363.199999999</v>
      </c>
      <c r="BJ22" s="167">
        <v>14544001.220000001</v>
      </c>
      <c r="BK22" s="167">
        <v>14519739.24</v>
      </c>
      <c r="BL22" s="167">
        <v>14495377.26</v>
      </c>
      <c r="BM22" s="218">
        <v>14471015.279999999</v>
      </c>
      <c r="BN22" s="218">
        <v>14291535.6</v>
      </c>
      <c r="BO22" s="220">
        <v>14287168.27</v>
      </c>
      <c r="BP22" s="220">
        <v>14397929.34</v>
      </c>
      <c r="BQ22" s="220">
        <v>14373567.359999999</v>
      </c>
      <c r="BR22" s="220">
        <v>14349205.380000001</v>
      </c>
      <c r="BS22" s="221">
        <v>14324843.4</v>
      </c>
      <c r="BT22" s="230">
        <v>14324843</v>
      </c>
      <c r="BU22" s="241">
        <v>14300968.4</v>
      </c>
      <c r="BV22" s="243">
        <v>14277093.4</v>
      </c>
      <c r="BW22" s="243">
        <v>14253218.4</v>
      </c>
      <c r="BX22" s="243">
        <v>14229343.4</v>
      </c>
      <c r="BY22" s="243">
        <v>14205468.4</v>
      </c>
      <c r="BZ22" s="243">
        <v>14181593.4</v>
      </c>
      <c r="CA22" s="243">
        <v>14157718.4</v>
      </c>
      <c r="CB22" s="243">
        <v>14133843.4</v>
      </c>
      <c r="CC22" s="243">
        <v>14109968.4</v>
      </c>
      <c r="CD22" s="243">
        <v>14231488.439999999</v>
      </c>
      <c r="CE22" s="243">
        <v>14062218.4</v>
      </c>
      <c r="CF22" s="243">
        <v>14038343.4</v>
      </c>
      <c r="CG22" s="243">
        <v>14038346</v>
      </c>
      <c r="CH22" s="241">
        <v>14014946.16</v>
      </c>
      <c r="CI22" s="243">
        <v>13991548.92</v>
      </c>
      <c r="CJ22" s="243">
        <v>13968151.68</v>
      </c>
      <c r="CK22" s="241">
        <v>13944754.439999999</v>
      </c>
      <c r="CL22" s="241">
        <v>13921357.199999999</v>
      </c>
      <c r="CM22" s="241">
        <v>13897959.960000001</v>
      </c>
      <c r="CN22" s="241">
        <v>13874562.720000001</v>
      </c>
      <c r="CO22" s="241">
        <v>13851165.48</v>
      </c>
      <c r="CP22" s="269">
        <v>13827768.24</v>
      </c>
    </row>
    <row r="23" spans="1:94" ht="14.25">
      <c r="A23" s="10" t="s">
        <v>33</v>
      </c>
      <c r="B23" s="22">
        <v>75849622</v>
      </c>
      <c r="C23" s="22">
        <v>70621990</v>
      </c>
      <c r="D23" s="22">
        <v>58833519</v>
      </c>
      <c r="E23" s="22">
        <v>56943308.875</v>
      </c>
      <c r="F23" s="11">
        <v>55634863</v>
      </c>
      <c r="G23" s="11">
        <v>39960484</v>
      </c>
      <c r="H23" s="73">
        <v>40147340</v>
      </c>
      <c r="I23" s="59">
        <v>40050733.670000002</v>
      </c>
      <c r="J23" s="11">
        <v>39871667.920000002</v>
      </c>
      <c r="K23" s="11">
        <v>39938621.119999997</v>
      </c>
      <c r="L23" s="11">
        <v>39759555.369999997</v>
      </c>
      <c r="M23" s="11">
        <v>40309490.030000001</v>
      </c>
      <c r="N23" s="11">
        <v>40108424.280000001</v>
      </c>
      <c r="O23" s="195">
        <v>39931107.079999998</v>
      </c>
      <c r="P23" s="11">
        <v>41103170.07</v>
      </c>
      <c r="Q23" s="11">
        <v>40503243.5</v>
      </c>
      <c r="R23" s="58">
        <v>40307337.920000002</v>
      </c>
      <c r="S23" s="11">
        <v>40229745.079999998</v>
      </c>
      <c r="T23" s="11">
        <v>39762188.969999999</v>
      </c>
      <c r="U23" s="11">
        <f>55643190-U22</f>
        <v>40112685</v>
      </c>
      <c r="V23" s="116">
        <v>39921069.25</v>
      </c>
      <c r="W23" s="118">
        <v>39767349.859999999</v>
      </c>
      <c r="X23" s="147">
        <v>39600182.479999997</v>
      </c>
      <c r="Y23" s="147">
        <v>39611875.100000001</v>
      </c>
      <c r="Z23" s="147">
        <v>39775707.719999999</v>
      </c>
      <c r="AA23">
        <v>39591540.340000004</v>
      </c>
      <c r="AB23" s="22">
        <v>39631731.359999999</v>
      </c>
      <c r="AC23" s="75">
        <v>39455063.979999997</v>
      </c>
      <c r="AD23" s="75">
        <v>39270896.600000001</v>
      </c>
      <c r="AE23" s="75">
        <v>39102429.920000002</v>
      </c>
      <c r="AF23" s="75">
        <v>38918261.670000002</v>
      </c>
      <c r="AG23" s="75">
        <v>38647964.090000004</v>
      </c>
      <c r="AH23" s="75">
        <v>38648262.735000007</v>
      </c>
      <c r="AI23" s="11">
        <v>38542408.969999999</v>
      </c>
      <c r="AJ23" s="11">
        <v>38333876.189999998</v>
      </c>
      <c r="AK23" s="11">
        <v>38435617.259999998</v>
      </c>
      <c r="AL23" s="11">
        <v>38365183.310000002</v>
      </c>
      <c r="AM23" s="11">
        <v>38262941.609999999</v>
      </c>
      <c r="AN23" s="11">
        <v>38100512.659999996</v>
      </c>
      <c r="AO23" s="11">
        <v>37953163.710000001</v>
      </c>
      <c r="AP23" s="11">
        <v>37858274.759999998</v>
      </c>
      <c r="AQ23" s="11">
        <v>37713255.829999998</v>
      </c>
      <c r="AR23" s="11">
        <v>37550856.880000003</v>
      </c>
      <c r="AS23" s="116">
        <v>37388457.93</v>
      </c>
      <c r="AT23" s="190">
        <v>37319284.159999996</v>
      </c>
      <c r="AU23" s="190">
        <v>37330511.506835483</v>
      </c>
      <c r="AV23" s="11">
        <v>37491017.810000002</v>
      </c>
      <c r="AW23" s="11">
        <v>37535196.539999999</v>
      </c>
      <c r="AX23" s="11">
        <v>37465949.270000003</v>
      </c>
      <c r="AY23" s="11">
        <v>37396702</v>
      </c>
      <c r="AZ23" s="11">
        <v>37304454.729999997</v>
      </c>
      <c r="BB23" s="11">
        <v>188004011.84999999</v>
      </c>
      <c r="BC23" s="11">
        <v>37687360.100000001</v>
      </c>
      <c r="BD23" s="11">
        <v>37553884.899999999</v>
      </c>
      <c r="BE23" s="11">
        <v>37069517.859999999</v>
      </c>
      <c r="BF23" s="11">
        <v>37026332.710000001</v>
      </c>
      <c r="BG23" s="193">
        <f>51643280-14617187</f>
        <v>37026093</v>
      </c>
      <c r="BH23" s="167">
        <v>36954800.030000001</v>
      </c>
      <c r="BI23" s="167">
        <v>36720311.07</v>
      </c>
      <c r="BJ23" s="167">
        <v>36567420.079999998</v>
      </c>
      <c r="BK23" s="167">
        <v>36414529.090000004</v>
      </c>
      <c r="BL23" s="167">
        <v>36351638.100000001</v>
      </c>
      <c r="BM23" s="218">
        <v>36198747.109999999</v>
      </c>
      <c r="BN23" s="218">
        <v>36200973.82</v>
      </c>
      <c r="BO23" s="220">
        <v>36147058.18</v>
      </c>
      <c r="BP23" s="220">
        <v>35859044.140000001</v>
      </c>
      <c r="BQ23" s="220">
        <v>35855533.149999999</v>
      </c>
      <c r="BR23" s="220">
        <v>35879535.159999996</v>
      </c>
      <c r="BS23" s="221">
        <v>35648339.219999999</v>
      </c>
      <c r="BT23" s="230">
        <v>35648339</v>
      </c>
      <c r="BU23" s="218">
        <v>35851380.170000002</v>
      </c>
      <c r="BV23" s="220">
        <v>35716983.170000002</v>
      </c>
      <c r="BW23" s="220">
        <v>35814844.859999999</v>
      </c>
      <c r="BX23" s="220">
        <v>35693220.859999999</v>
      </c>
      <c r="BY23" s="220">
        <v>35556596.859999999</v>
      </c>
      <c r="BZ23" s="220">
        <v>35889185.939999998</v>
      </c>
      <c r="CA23" s="220">
        <v>35762684.950000003</v>
      </c>
      <c r="CB23" s="220">
        <v>35624583.950000003</v>
      </c>
      <c r="CC23" s="220">
        <v>35502977.950000003</v>
      </c>
      <c r="CD23" s="220">
        <v>35265404.950000003</v>
      </c>
      <c r="CE23" s="220">
        <v>34960541.130000003</v>
      </c>
      <c r="CF23" s="243">
        <v>34928432.5</v>
      </c>
      <c r="CG23" s="243">
        <v>34928424</v>
      </c>
      <c r="CH23" s="218">
        <v>34804740.18</v>
      </c>
      <c r="CI23" s="220">
        <v>34681047.850000001</v>
      </c>
      <c r="CJ23" s="220">
        <v>34542013.030000001</v>
      </c>
      <c r="CK23" s="218">
        <v>34858404.780000001</v>
      </c>
      <c r="CL23" s="218">
        <v>35209810.299999997</v>
      </c>
      <c r="CM23" s="218">
        <v>35086117.969999999</v>
      </c>
      <c r="CN23" s="218">
        <v>35136111.07</v>
      </c>
      <c r="CO23" s="218">
        <v>34989220.049999997</v>
      </c>
      <c r="CP23" s="271">
        <v>34966224.560000002</v>
      </c>
    </row>
    <row r="24" spans="1:94">
      <c r="A24" s="10" t="s">
        <v>34</v>
      </c>
      <c r="B24" s="22"/>
      <c r="C24" s="22"/>
      <c r="D24" s="22"/>
      <c r="E24" s="22"/>
      <c r="F24" s="11"/>
      <c r="G24" s="11"/>
      <c r="H24" s="11"/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95">
        <v>0</v>
      </c>
      <c r="P24" s="11">
        <v>0</v>
      </c>
      <c r="Q24" s="11">
        <v>0</v>
      </c>
      <c r="R24" s="58">
        <v>0</v>
      </c>
      <c r="S24" s="11">
        <v>0</v>
      </c>
      <c r="T24" s="11">
        <v>0</v>
      </c>
      <c r="U24" s="11"/>
      <c r="V24" s="116">
        <v>0</v>
      </c>
      <c r="W24" s="118">
        <v>0</v>
      </c>
      <c r="X24" s="147">
        <v>0</v>
      </c>
      <c r="Y24" s="147">
        <v>0</v>
      </c>
      <c r="Z24" s="147">
        <v>0</v>
      </c>
      <c r="AA24">
        <v>0</v>
      </c>
      <c r="AB24" s="22">
        <v>0</v>
      </c>
      <c r="AC24" s="75">
        <v>0</v>
      </c>
      <c r="AD24" s="75">
        <v>0</v>
      </c>
      <c r="AE24" s="75">
        <v>0</v>
      </c>
      <c r="AF24" s="75">
        <v>0</v>
      </c>
      <c r="AG24" s="75">
        <v>0</v>
      </c>
      <c r="AH24" s="75"/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6">
        <v>0</v>
      </c>
      <c r="AT24" s="190">
        <v>0</v>
      </c>
      <c r="AU24" s="190"/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67">
        <v>0</v>
      </c>
      <c r="BI24" s="167">
        <v>0</v>
      </c>
      <c r="BJ24" s="167">
        <v>0</v>
      </c>
      <c r="BK24" s="167">
        <v>0</v>
      </c>
      <c r="BL24" s="167">
        <v>0</v>
      </c>
      <c r="BM24" s="217">
        <v>0</v>
      </c>
      <c r="BN24" s="217">
        <v>0</v>
      </c>
      <c r="BO24" s="219">
        <v>0</v>
      </c>
      <c r="BP24" s="219">
        <v>0</v>
      </c>
      <c r="BQ24" s="219">
        <v>0</v>
      </c>
      <c r="BR24" s="219">
        <v>0</v>
      </c>
      <c r="BS24" s="222">
        <v>0</v>
      </c>
      <c r="BT24" s="230"/>
      <c r="BU24" s="217">
        <v>0</v>
      </c>
      <c r="BV24" s="219">
        <v>0</v>
      </c>
      <c r="BW24" s="219">
        <v>0</v>
      </c>
      <c r="BX24" s="219">
        <v>0</v>
      </c>
      <c r="BY24" s="219">
        <v>0</v>
      </c>
      <c r="BZ24" s="219">
        <v>0</v>
      </c>
      <c r="CA24" s="219">
        <v>0</v>
      </c>
      <c r="CB24" s="219">
        <v>0</v>
      </c>
      <c r="CC24" s="219">
        <v>0</v>
      </c>
      <c r="CD24" s="219">
        <v>0</v>
      </c>
      <c r="CE24" s="219">
        <v>0</v>
      </c>
      <c r="CF24" s="242">
        <v>0</v>
      </c>
      <c r="CG24" s="242">
        <v>0</v>
      </c>
      <c r="CH24" s="217">
        <v>0</v>
      </c>
      <c r="CI24" s="219">
        <v>0</v>
      </c>
      <c r="CJ24" s="219">
        <v>0</v>
      </c>
      <c r="CK24" s="217">
        <v>0</v>
      </c>
      <c r="CL24" s="217">
        <v>0</v>
      </c>
      <c r="CM24" s="217">
        <v>0</v>
      </c>
      <c r="CN24" s="217">
        <v>0</v>
      </c>
      <c r="CO24" s="217">
        <v>0</v>
      </c>
      <c r="CP24" s="270">
        <v>0</v>
      </c>
    </row>
    <row r="25" spans="1:94" ht="14.25">
      <c r="A25" s="10" t="s">
        <v>35</v>
      </c>
      <c r="B25" s="22"/>
      <c r="C25" s="22">
        <v>5176000</v>
      </c>
      <c r="D25" s="22">
        <v>4140800</v>
      </c>
      <c r="E25" s="22">
        <v>3312640</v>
      </c>
      <c r="F25" s="11">
        <v>2650112</v>
      </c>
      <c r="G25" s="11">
        <v>2120090</v>
      </c>
      <c r="H25" s="73">
        <v>2108549</v>
      </c>
      <c r="I25" s="11">
        <v>1660737.21</v>
      </c>
      <c r="J25" s="11">
        <v>1625402.38</v>
      </c>
      <c r="K25" s="11">
        <v>1590066.55</v>
      </c>
      <c r="L25" s="11">
        <v>1554732.72</v>
      </c>
      <c r="M25" s="11">
        <v>6536465.2800000003</v>
      </c>
      <c r="N25" s="11">
        <v>6863050.4500000002</v>
      </c>
      <c r="O25" s="195">
        <v>6827715.6200000001</v>
      </c>
      <c r="P25" s="11">
        <v>7047207.7300000004</v>
      </c>
      <c r="Q25" s="11">
        <v>7529686.1699999999</v>
      </c>
      <c r="R25" s="58">
        <v>7784512.1100000003</v>
      </c>
      <c r="S25" s="11">
        <v>7678507.6200000001</v>
      </c>
      <c r="T25" s="11">
        <v>7522411.1900000004</v>
      </c>
      <c r="U25" s="11">
        <v>7522411</v>
      </c>
      <c r="V25" s="116">
        <v>7397037.6900000004</v>
      </c>
      <c r="W25" s="118">
        <v>7271664.1900000004</v>
      </c>
      <c r="X25" s="147">
        <v>7273704.1600000001</v>
      </c>
      <c r="Y25" s="147">
        <v>7273704.1600000001</v>
      </c>
      <c r="Z25" s="147">
        <v>7022957.1600000001</v>
      </c>
      <c r="AA25">
        <v>6897583.6600000001</v>
      </c>
      <c r="AB25" s="22">
        <v>6772210.1600000001</v>
      </c>
      <c r="AC25" s="75">
        <v>6646836.6600000001</v>
      </c>
      <c r="AD25" s="75">
        <v>6521463.1600000001</v>
      </c>
      <c r="AE25" s="75">
        <v>6521463.1600000001</v>
      </c>
      <c r="AF25" s="75">
        <v>6396089.6600000001</v>
      </c>
      <c r="AG25" s="75">
        <v>6119858.6600000001</v>
      </c>
      <c r="AH25" s="75">
        <v>6119859.2000000002</v>
      </c>
      <c r="AI25" s="11">
        <v>6017861.0099999998</v>
      </c>
      <c r="AJ25" s="11">
        <v>5915863.3600000003</v>
      </c>
      <c r="AK25" s="11">
        <v>5813865.71</v>
      </c>
      <c r="AL25" s="11">
        <v>5711868.0599999996</v>
      </c>
      <c r="AM25" s="11">
        <v>5609870.4100000001</v>
      </c>
      <c r="AN25" s="11">
        <v>5609870.4100000001</v>
      </c>
      <c r="AO25" s="11">
        <v>5405875.1100000003</v>
      </c>
      <c r="AP25" s="11">
        <v>5303877.46</v>
      </c>
      <c r="AQ25" s="11">
        <v>5201879.8099999996</v>
      </c>
      <c r="AR25" s="11">
        <v>5099882.16</v>
      </c>
      <c r="AS25" s="116">
        <v>4997884.51</v>
      </c>
      <c r="AT25" s="190">
        <v>4895886.8600000003</v>
      </c>
      <c r="AU25" s="152">
        <v>4895879.3599999994</v>
      </c>
      <c r="AV25" s="11">
        <v>4732690.9000000004</v>
      </c>
      <c r="AW25" s="11">
        <v>5151092.93</v>
      </c>
      <c r="AX25" s="11">
        <v>5269494.96</v>
      </c>
      <c r="AY25" s="11">
        <v>5187896.99</v>
      </c>
      <c r="AZ25" s="11">
        <v>5106299.0199999996</v>
      </c>
      <c r="BB25" s="11">
        <v>24715515.399999999</v>
      </c>
      <c r="BC25" s="11">
        <v>4861505.1100000003</v>
      </c>
      <c r="BD25" s="11">
        <v>4779907.1399999997</v>
      </c>
      <c r="BE25" s="11">
        <v>4698309.17</v>
      </c>
      <c r="BF25" s="11">
        <v>4511711.17</v>
      </c>
      <c r="BG25" s="193">
        <v>4511711</v>
      </c>
      <c r="BH25" s="167">
        <v>4430113.2</v>
      </c>
      <c r="BI25" s="167">
        <v>4361320.79</v>
      </c>
      <c r="BJ25" s="167">
        <v>4286125.5999999996</v>
      </c>
      <c r="BK25" s="167">
        <v>4210930.41</v>
      </c>
      <c r="BL25" s="167">
        <v>4135735.22</v>
      </c>
      <c r="BM25" s="218">
        <v>4060540.03</v>
      </c>
      <c r="BN25" s="218">
        <v>3985344.84</v>
      </c>
      <c r="BO25" s="220">
        <v>3910149.65</v>
      </c>
      <c r="BP25" s="220">
        <v>3834954.46</v>
      </c>
      <c r="BQ25" s="220">
        <v>3759759.27</v>
      </c>
      <c r="BR25" s="220">
        <v>3684564.08</v>
      </c>
      <c r="BS25" s="221">
        <v>3609368.89</v>
      </c>
      <c r="BT25" s="230">
        <v>3609369</v>
      </c>
      <c r="BU25" s="218">
        <v>3564251.89</v>
      </c>
      <c r="BV25" s="220">
        <v>3519134.89</v>
      </c>
      <c r="BW25" s="220">
        <v>3474017.89</v>
      </c>
      <c r="BX25" s="220">
        <v>3474017.89</v>
      </c>
      <c r="BY25" s="220">
        <v>3428900.89</v>
      </c>
      <c r="BZ25" s="220">
        <v>3428900.89</v>
      </c>
      <c r="CA25" s="220">
        <v>3428900.89</v>
      </c>
      <c r="CB25" s="220">
        <v>3428900.89</v>
      </c>
      <c r="CC25" s="220">
        <v>3428900.89</v>
      </c>
      <c r="CD25" s="220">
        <v>3203315.89</v>
      </c>
      <c r="CE25" s="220">
        <v>3158198.89</v>
      </c>
      <c r="CF25" s="243">
        <v>2887494.89</v>
      </c>
      <c r="CG25" s="243">
        <v>2887495</v>
      </c>
      <c r="CH25" s="218">
        <v>2839369.97</v>
      </c>
      <c r="CI25" s="220">
        <v>2791245.05</v>
      </c>
      <c r="CJ25" s="220">
        <v>2887888.13</v>
      </c>
      <c r="CK25" s="218">
        <v>2781855.21</v>
      </c>
      <c r="CL25" s="218">
        <v>2733730.29</v>
      </c>
      <c r="CM25" s="218">
        <v>2685605.37</v>
      </c>
      <c r="CN25" s="218">
        <v>2625499.65</v>
      </c>
      <c r="CO25" s="218">
        <v>2577374.73</v>
      </c>
      <c r="CP25" s="271">
        <v>4179249.81</v>
      </c>
    </row>
    <row r="26" spans="1:94">
      <c r="A26" s="10" t="s">
        <v>36</v>
      </c>
      <c r="B26" s="22"/>
      <c r="C26" s="22"/>
      <c r="D26" s="22"/>
      <c r="E26" s="22"/>
      <c r="F26" s="11"/>
      <c r="G26" s="11">
        <v>36503827</v>
      </c>
      <c r="H26" s="73">
        <v>62982848</v>
      </c>
      <c r="I26" s="11">
        <v>94402737.409999996</v>
      </c>
      <c r="J26" s="11">
        <v>85918459.950000003</v>
      </c>
      <c r="K26" s="11">
        <v>86835988.370000005</v>
      </c>
      <c r="L26" s="11">
        <v>92226636.689999998</v>
      </c>
      <c r="M26" s="11">
        <v>72775101.159999996</v>
      </c>
      <c r="N26" s="11">
        <v>91438091.579999998</v>
      </c>
      <c r="O26" s="195">
        <v>58856901.030000001</v>
      </c>
      <c r="P26" s="11">
        <v>95306327.5</v>
      </c>
      <c r="Q26" s="11">
        <v>82291454.689999998</v>
      </c>
      <c r="R26" s="58">
        <v>83226158.260000005</v>
      </c>
      <c r="S26" s="11">
        <v>80294700.840000004</v>
      </c>
      <c r="T26" s="11">
        <v>84480811.459999993</v>
      </c>
      <c r="U26" s="11">
        <v>65378903</v>
      </c>
      <c r="V26" s="116">
        <v>84074075.900000006</v>
      </c>
      <c r="W26" s="118">
        <v>82284056.799999997</v>
      </c>
      <c r="X26" s="147">
        <v>82778159.239999995</v>
      </c>
      <c r="Y26" s="147">
        <v>82606695.980000004</v>
      </c>
      <c r="Z26" s="147">
        <v>82597978.609999999</v>
      </c>
      <c r="AA26">
        <v>82633405.430000007</v>
      </c>
      <c r="AB26" s="22">
        <v>82678372.390000001</v>
      </c>
      <c r="AC26" s="75">
        <v>82728590.909999996</v>
      </c>
      <c r="AD26" s="75">
        <v>82768546.239999995</v>
      </c>
      <c r="AE26" s="75">
        <v>82624442.180000007</v>
      </c>
      <c r="AF26" s="75">
        <v>82493355.5</v>
      </c>
      <c r="AG26" s="75">
        <v>77858967.459999993</v>
      </c>
      <c r="AH26" s="75">
        <v>65318850.149999991</v>
      </c>
      <c r="AI26" s="11">
        <v>19906804.539999999</v>
      </c>
      <c r="AJ26" s="11">
        <v>20263405.75</v>
      </c>
      <c r="AK26" s="11">
        <v>17479707.510000002</v>
      </c>
      <c r="AL26" s="11">
        <v>18683127.890000001</v>
      </c>
      <c r="AM26" s="11">
        <v>18680710.629999999</v>
      </c>
      <c r="AN26" s="11">
        <v>19126387.760000002</v>
      </c>
      <c r="AO26" s="11">
        <v>21539072.280000001</v>
      </c>
      <c r="AP26" s="11">
        <v>19846390.57</v>
      </c>
      <c r="AQ26" s="11">
        <v>20621270.530000001</v>
      </c>
      <c r="AR26" s="11">
        <v>21142068.949999999</v>
      </c>
      <c r="AS26" s="116">
        <v>21233542.620000001</v>
      </c>
      <c r="AT26" s="190">
        <v>14417382.9</v>
      </c>
      <c r="AU26" s="152">
        <v>308457.21999999997</v>
      </c>
      <c r="AV26" s="11">
        <v>14631631.539999999</v>
      </c>
      <c r="AW26" s="11">
        <v>14110253.59</v>
      </c>
      <c r="AX26" s="11">
        <v>13122168.689999999</v>
      </c>
      <c r="AY26" s="11">
        <v>12863272.539999999</v>
      </c>
      <c r="AZ26" s="11">
        <v>13772467.33</v>
      </c>
      <c r="BB26" s="11">
        <v>74177300.799999997</v>
      </c>
      <c r="BC26" s="11">
        <v>15662679.32</v>
      </c>
      <c r="BD26" s="11">
        <v>16221670.65</v>
      </c>
      <c r="BE26" s="11">
        <v>16999769.100000001</v>
      </c>
      <c r="BF26" s="11">
        <v>15206339.57</v>
      </c>
      <c r="BG26" s="193">
        <v>0</v>
      </c>
      <c r="BH26" s="167">
        <v>15698611.6</v>
      </c>
      <c r="BI26" s="167">
        <v>17467812.940000001</v>
      </c>
      <c r="BJ26" s="167">
        <v>16079586.560000001</v>
      </c>
      <c r="BK26" s="167">
        <v>15080317.060000001</v>
      </c>
      <c r="BL26" s="167">
        <v>14817845.029999999</v>
      </c>
      <c r="BM26" s="218">
        <v>15357171.25</v>
      </c>
      <c r="BN26" s="218">
        <v>15576749.58</v>
      </c>
      <c r="BO26" s="220">
        <v>15790048.359999999</v>
      </c>
      <c r="BP26" s="220">
        <v>16627988.029999999</v>
      </c>
      <c r="BQ26" s="220">
        <v>16805395.579999998</v>
      </c>
      <c r="BR26" s="220">
        <v>17250361.739999998</v>
      </c>
      <c r="BS26" s="221">
        <v>13181247</v>
      </c>
      <c r="BT26" s="230"/>
      <c r="BU26" s="218">
        <v>14452085.390000001</v>
      </c>
      <c r="BV26" s="220">
        <v>11293713.310000001</v>
      </c>
      <c r="BW26" s="220">
        <v>11018760.109999999</v>
      </c>
      <c r="BX26" s="220">
        <v>10205106.890000001</v>
      </c>
      <c r="BY26" s="220">
        <v>10357299.640000001</v>
      </c>
      <c r="BZ26" s="220">
        <v>9262330.4399999995</v>
      </c>
      <c r="CA26" s="220">
        <v>9938720.9499999993</v>
      </c>
      <c r="CB26" s="220">
        <v>6119388.8799999999</v>
      </c>
      <c r="CC26" s="220">
        <v>6268977.6200000001</v>
      </c>
      <c r="CD26" s="220">
        <v>7435848.8499999996</v>
      </c>
      <c r="CE26" s="220">
        <v>7320150.5999999996</v>
      </c>
      <c r="CF26" s="243">
        <v>5286536</v>
      </c>
      <c r="CG26" s="243"/>
      <c r="CH26" s="218">
        <v>3719690.22</v>
      </c>
      <c r="CI26" s="220">
        <v>4598842.25</v>
      </c>
      <c r="CJ26" s="220">
        <v>1951353.86</v>
      </c>
      <c r="CK26" s="218">
        <v>4117372.11</v>
      </c>
      <c r="CL26" s="218">
        <v>2827649.02</v>
      </c>
      <c r="CM26" s="218">
        <v>2630151.61</v>
      </c>
      <c r="CN26" s="218">
        <v>2577370.19</v>
      </c>
      <c r="CO26" s="218">
        <v>2518198.35</v>
      </c>
      <c r="CP26" s="271">
        <v>3407130.36</v>
      </c>
    </row>
    <row r="27" spans="1:94">
      <c r="A27" s="9" t="s">
        <v>37</v>
      </c>
      <c r="B27" s="53">
        <f>B21+B17+B14+B8+B7+B4</f>
        <v>420805135</v>
      </c>
      <c r="C27" s="53">
        <f>C21+C17+C14+C8+C7+C4</f>
        <v>422925486</v>
      </c>
      <c r="D27" s="53">
        <f>D21+D17+D14+D8+D7+D4</f>
        <v>454657971</v>
      </c>
      <c r="E27" s="53">
        <f>E21+E17+E14+E8+E7+E4</f>
        <v>508533391.69499999</v>
      </c>
      <c r="F27" s="53">
        <f>F21+F17+F14+F8+F7+F4</f>
        <v>534444329</v>
      </c>
      <c r="G27" s="53">
        <f>G21+G17+G14+G8+G7+G4</f>
        <v>604188621</v>
      </c>
      <c r="H27" s="53">
        <f>H21+H17+H14+H8+H7+H4</f>
        <v>696983837</v>
      </c>
      <c r="I27" s="53">
        <f>I21+I17+I14+I8+I7+I4</f>
        <v>707801109.56000006</v>
      </c>
      <c r="J27" s="53">
        <f>J21+J17+J14+J8+J7+J4</f>
        <v>711629103.35000002</v>
      </c>
      <c r="K27" s="53">
        <f>K21+K17+K14+K8+K7+K4</f>
        <v>701613100.67000008</v>
      </c>
      <c r="L27" s="53">
        <f>L21+L17+L14+L8+L7+L4</f>
        <v>682934888.59000003</v>
      </c>
      <c r="M27" s="53">
        <f>M21+M17+M14+M8+M7+M4</f>
        <v>694301263.36000001</v>
      </c>
      <c r="N27" s="53">
        <f>N21+N17+N14+N8+N7+N4</f>
        <v>707705435.45000005</v>
      </c>
      <c r="O27" s="53">
        <f>O21+O17+O14+O8+O7+O4</f>
        <v>700585585.63999999</v>
      </c>
      <c r="P27" s="53">
        <f>P21+P17+P14+P8+P7+P4</f>
        <v>729193199.18999994</v>
      </c>
      <c r="Q27" s="53">
        <f>Q21+Q17+Q14+Q8+Q7+Q4</f>
        <v>739301255.63000011</v>
      </c>
      <c r="R27" s="53">
        <f>R21+R17+R14+R8+R7+R4</f>
        <v>756803543.29999995</v>
      </c>
      <c r="S27" s="53">
        <f>S21+S17+S14+S8+S7+S4</f>
        <v>776619191.83000004</v>
      </c>
      <c r="T27" s="53">
        <f>T21+T17+T14+T8+T7+T4</f>
        <v>785695071.29000008</v>
      </c>
      <c r="U27" s="53">
        <f>U21+U17+U14+U8+U7+U4</f>
        <v>785318186</v>
      </c>
      <c r="V27" s="115">
        <f>V21+V17+V14+V8+V7+V4</f>
        <v>791317898.13999999</v>
      </c>
      <c r="W27" s="115">
        <f>W21+W17+W14+W8+W7+W4</f>
        <v>803586090.56000018</v>
      </c>
      <c r="X27" s="115">
        <f>X21+X17+X14+X8+X7+X4</f>
        <v>792278959.89999986</v>
      </c>
      <c r="Y27" s="115">
        <f>Y21+Y17+Y14+Y8+Y7+Y4</f>
        <v>782170258.22000003</v>
      </c>
      <c r="Z27" s="115">
        <f>Z21+Z17+Z14+Z8+Z7+Z4</f>
        <v>793811566.48000002</v>
      </c>
      <c r="AA27" s="115">
        <f>AA21+AA17+AA14+AA8+AA7+AA4</f>
        <v>819319097.83000004</v>
      </c>
      <c r="AB27" s="115">
        <f>AB21+AB17+AB14+AB8+AB7+AB4</f>
        <v>831553811.03000009</v>
      </c>
      <c r="AC27" s="115">
        <f>AC21+AC17+AC14+AC8+AC7+AC4</f>
        <v>841427803.22000003</v>
      </c>
      <c r="AD27" s="115">
        <f>AD21+AD17+AD14+AD8+AD7+AD4</f>
        <v>857037496.81000006</v>
      </c>
      <c r="AE27" s="115">
        <f>AE21+AE17+AE14+AE8+AE7+AE4</f>
        <v>864625452.89999974</v>
      </c>
      <c r="AF27" s="115">
        <f>AF21+AF17+AF14+AF8+AF7+AF4</f>
        <v>880321815.73000026</v>
      </c>
      <c r="AG27" s="115">
        <f>AG21+AG17+AG14+AG8+AG7+AG4</f>
        <v>880985450.51999998</v>
      </c>
      <c r="AH27" s="115">
        <f>AH21+AH17+AH14+AH8+AH7+AH4</f>
        <v>880985449.16499984</v>
      </c>
      <c r="AI27" s="115">
        <f>AI21+AI17+AI14+AI8+AI7+AI4</f>
        <v>836209789.68999994</v>
      </c>
      <c r="AJ27" s="115">
        <f>AJ21+AJ17+AJ14+AJ8+AJ7+AJ4</f>
        <v>840211120.64999998</v>
      </c>
      <c r="AK27" s="115">
        <f>AK21+AK17+AK14+AK8+AK7+AK4</f>
        <v>824721884.0999999</v>
      </c>
      <c r="AL27" s="115">
        <f>AL21+AL17+AL14+AL8+AL7+AL4</f>
        <v>808572263.80999994</v>
      </c>
      <c r="AM27" s="115">
        <f>AM21+AM17+AM14+AM8+AM7+AM4</f>
        <v>822025790.63999987</v>
      </c>
      <c r="AN27" s="115">
        <f>AN21+AN17+AN14+AN8+AN7+AN4</f>
        <v>842356171.2299999</v>
      </c>
      <c r="AO27" s="115">
        <f>AO21+AO17+AO14+AO8+AO7+AO4</f>
        <v>841367478.99999988</v>
      </c>
      <c r="AP27" s="115">
        <f>AP21+AP17+AP14+AP8+AP7+AP4</f>
        <v>858021022.51999986</v>
      </c>
      <c r="AQ27" s="115">
        <f>AQ21+AQ17+AQ14+AQ8+AQ7+AQ4</f>
        <v>868397509.42999995</v>
      </c>
      <c r="AR27" s="115">
        <f>AR21+AR17+AR14+AR8+AR7+AR4</f>
        <v>882070374.56000006</v>
      </c>
      <c r="AS27" s="115">
        <f>AS21+AS17+AS14+AS8+AS7+AS4</f>
        <v>889871835.17999995</v>
      </c>
      <c r="AT27" s="115">
        <f>AT21+AT17+AT14+AT8+AT7+AT4</f>
        <v>893380003.8499999</v>
      </c>
      <c r="AU27" s="115">
        <f>AU21+AU17+AU14+AU8+AU7+AU4</f>
        <v>892250346.69683564</v>
      </c>
      <c r="AV27" s="115">
        <f>AV21+AV17+AV14+AV8+AV7+AV4</f>
        <v>918414585.04999995</v>
      </c>
      <c r="AW27" s="115">
        <f>AW21+AW17+AW14+AW8+AW7+AW4</f>
        <v>898809935.23000002</v>
      </c>
      <c r="AX27" s="115">
        <f>AX21+AX17+AX14+AX8+AX7+AX4</f>
        <v>914746797.44000006</v>
      </c>
      <c r="AY27" s="115">
        <f>AY21+AY17+AY14+AY8+AY7+AY4</f>
        <v>913998384.45000005</v>
      </c>
      <c r="AZ27" s="115">
        <f>AZ21+AZ17+AZ14+AZ8+AZ7+AZ4</f>
        <v>909558269.06000018</v>
      </c>
      <c r="BA27" s="115">
        <f>BA21+BA17+BA14+BA8+BA7+BA4</f>
        <v>0</v>
      </c>
      <c r="BB27" s="115">
        <f>BB21+BB17+BB14+BB8+BB7+BB4</f>
        <v>4680410215.1000004</v>
      </c>
      <c r="BC27" s="115">
        <f>BC21+BC17+BC14+BC8+BC7+BC4</f>
        <v>935325148.48000002</v>
      </c>
      <c r="BD27" s="115">
        <f>BD21+BD17+BD14+BD8+BD7+BD4</f>
        <v>950662716.53000009</v>
      </c>
      <c r="BE27" s="115">
        <f>BE21+BE17+BE14+BE8+BE7+BE4</f>
        <v>954604615.81000006</v>
      </c>
      <c r="BF27" s="115">
        <f>BF21+BF17+BF14+BF8+BF7+BF4</f>
        <v>970121611.88999999</v>
      </c>
      <c r="BG27" s="115">
        <f>BG21+BG17+BG14+BG8+BG7+BG4</f>
        <v>969980163</v>
      </c>
      <c r="BH27" s="115">
        <f>BH21+BH17+BH14+BH8+BH7+BH4</f>
        <v>982535947.44999993</v>
      </c>
      <c r="BI27" s="115">
        <f>BI21+BI17+BI14+BI8+BI7+BI4</f>
        <v>954506401.16000009</v>
      </c>
      <c r="BJ27" s="115">
        <f>BJ21+BJ17+BJ14+BJ8+BJ7+BJ4</f>
        <v>963132241.63</v>
      </c>
      <c r="BK27" s="115">
        <f>BK21+BK17+BK14+BK8+BK7+BK4</f>
        <v>983789373.80999994</v>
      </c>
      <c r="BL27" s="115">
        <f>BL21+BL17+BL14+BL8+BL7+BL4</f>
        <v>990416527.1500001</v>
      </c>
      <c r="BM27" s="115">
        <f>BM21+BM17+BM14+BM8+BM7+BM4</f>
        <v>1002669413.7199999</v>
      </c>
      <c r="BN27" s="115">
        <f>BN21+BN17+BN14+BN8+BN7+BN4</f>
        <v>1024310182.47</v>
      </c>
      <c r="BO27" s="115">
        <f>BO21+BO17+BO14+BO8+BO7+BO4</f>
        <v>1042183191.03</v>
      </c>
      <c r="BP27" s="115">
        <f>BP21+BP17+BP14+BP8+BP7+BP4</f>
        <v>1052579160.9</v>
      </c>
      <c r="BQ27" s="115">
        <f>BQ21+BQ17+BQ14+BQ8+BQ7+BQ4</f>
        <v>1072322256.9399999</v>
      </c>
      <c r="BR27" s="115">
        <f>BR21+BR17+BR14+BR8+BR7+BR4</f>
        <v>1094720982.28</v>
      </c>
      <c r="BS27" s="115">
        <f>BS21+BS17+BS14+BS8+BS7+BS4</f>
        <v>1099629304.3099999</v>
      </c>
      <c r="BT27" s="115">
        <f>BT21+BT17+BT14+BT8+BT7+BT4</f>
        <v>1090912706</v>
      </c>
      <c r="BU27" s="115">
        <f t="shared" ref="BU27:CB27" si="30">BU21+BU17+BU14+BU8+BU7+BU4</f>
        <v>1091438193.27</v>
      </c>
      <c r="BV27" s="115">
        <f t="shared" si="30"/>
        <v>1071777624.9699999</v>
      </c>
      <c r="BW27" s="115">
        <f t="shared" si="30"/>
        <v>1043522676.51</v>
      </c>
      <c r="BX27" s="115">
        <f t="shared" si="30"/>
        <v>1056478115.6700001</v>
      </c>
      <c r="BY27" s="115">
        <f t="shared" si="30"/>
        <v>1063501708.3</v>
      </c>
      <c r="BZ27" s="115">
        <f t="shared" si="30"/>
        <v>1085216116.9999998</v>
      </c>
      <c r="CA27" s="115">
        <f t="shared" si="30"/>
        <v>1101298189</v>
      </c>
      <c r="CB27" s="115">
        <f t="shared" si="30"/>
        <v>1098490532.78</v>
      </c>
      <c r="CC27" s="115">
        <f t="shared" ref="CC27:CF27" si="31">CC21+CC17+CC14+CC8+CC7+CC4</f>
        <v>1112579930.8800001</v>
      </c>
      <c r="CD27" s="115">
        <f t="shared" si="31"/>
        <v>1126521140.6900001</v>
      </c>
      <c r="CE27" s="115">
        <f t="shared" si="31"/>
        <v>1136637096.73</v>
      </c>
      <c r="CF27" s="115">
        <f t="shared" si="31"/>
        <v>1124394542.9200001</v>
      </c>
      <c r="CG27" s="115">
        <f t="shared" ref="CG27:CP27" si="32">CG21+CG17+CG14+CG8+CG7+CG4</f>
        <v>1125723889.0700002</v>
      </c>
      <c r="CH27" s="115">
        <f t="shared" si="32"/>
        <v>413852625.17999995</v>
      </c>
      <c r="CI27" s="115">
        <f t="shared" si="32"/>
        <v>1154066934.3600001</v>
      </c>
      <c r="CJ27" s="115">
        <f t="shared" si="32"/>
        <v>1090582130.95</v>
      </c>
      <c r="CK27" s="115">
        <f t="shared" si="32"/>
        <v>1084320762.3099999</v>
      </c>
      <c r="CL27" s="115">
        <f t="shared" si="32"/>
        <v>1096594313.9400001</v>
      </c>
      <c r="CM27" s="115">
        <f t="shared" si="32"/>
        <v>1125824031.1399999</v>
      </c>
      <c r="CN27" s="115">
        <f t="shared" si="32"/>
        <v>1140613027.3799999</v>
      </c>
      <c r="CO27" s="115">
        <f t="shared" si="32"/>
        <v>1146936486.77</v>
      </c>
      <c r="CP27" s="115">
        <f t="shared" si="32"/>
        <v>1156840418.97</v>
      </c>
    </row>
    <row r="28" spans="1:94" ht="14.25">
      <c r="A28" s="10" t="s">
        <v>38</v>
      </c>
      <c r="B28" s="22">
        <v>19165989</v>
      </c>
      <c r="C28" s="22">
        <v>235081887</v>
      </c>
      <c r="D28" s="22">
        <v>260205324</v>
      </c>
      <c r="E28" s="22">
        <v>285414633.38</v>
      </c>
      <c r="F28" s="11">
        <v>19567215</v>
      </c>
      <c r="G28" s="11">
        <v>28830199</v>
      </c>
      <c r="H28" s="60">
        <v>54834830</v>
      </c>
      <c r="I28" s="22">
        <v>43919039.439999998</v>
      </c>
      <c r="J28" s="11">
        <v>55039629.710000001</v>
      </c>
      <c r="K28" s="11">
        <v>72708020.560000002</v>
      </c>
      <c r="L28" s="11">
        <v>50526228.210000001</v>
      </c>
      <c r="M28" s="11">
        <v>54138098.710000001</v>
      </c>
      <c r="N28" s="11">
        <v>50634340.390000001</v>
      </c>
      <c r="O28" s="196">
        <v>46788237.990000002</v>
      </c>
      <c r="P28" s="11">
        <v>54745232.539999999</v>
      </c>
      <c r="Q28" s="11">
        <v>50228623.979999997</v>
      </c>
      <c r="R28" s="58">
        <v>56773229.340000004</v>
      </c>
      <c r="S28" s="11">
        <v>61033583.030000001</v>
      </c>
      <c r="T28" s="11">
        <v>62681790.399999999</v>
      </c>
      <c r="U28" s="11">
        <v>64599717</v>
      </c>
      <c r="V28" s="116">
        <v>60397153.579999998</v>
      </c>
      <c r="W28" s="118">
        <v>61852949.32</v>
      </c>
      <c r="X28" s="147">
        <v>85444461.560000002</v>
      </c>
      <c r="Y28" s="147">
        <v>69606051.489999995</v>
      </c>
      <c r="Z28" s="147">
        <v>70386670.540000007</v>
      </c>
      <c r="AA28" s="120">
        <v>72834295.670000002</v>
      </c>
      <c r="AB28" s="22">
        <v>74577504.599999994</v>
      </c>
      <c r="AC28" s="75">
        <v>71697862.650000006</v>
      </c>
      <c r="AD28" s="75">
        <v>80470899.069999993</v>
      </c>
      <c r="AE28" s="75">
        <v>76840379.989999995</v>
      </c>
      <c r="AF28" s="75">
        <v>77750309.299999997</v>
      </c>
      <c r="AG28" s="75">
        <v>70831455.189999998</v>
      </c>
      <c r="AH28" s="75">
        <v>72798560.559999987</v>
      </c>
      <c r="AI28" s="11">
        <v>71956116.700000003</v>
      </c>
      <c r="AJ28" s="11">
        <v>66223067.039999999</v>
      </c>
      <c r="AK28" s="11">
        <v>89842957.780000001</v>
      </c>
      <c r="AL28" s="11">
        <v>67744169.299999997</v>
      </c>
      <c r="AM28" s="11">
        <v>69653589.730000004</v>
      </c>
      <c r="AN28" s="11">
        <v>67632784.560000002</v>
      </c>
      <c r="AO28" s="11">
        <v>61977586.469999999</v>
      </c>
      <c r="AP28" s="11">
        <v>71764765.129999995</v>
      </c>
      <c r="AQ28" s="11">
        <v>74129752.829999998</v>
      </c>
      <c r="AR28" s="11">
        <v>76889878.409999996</v>
      </c>
      <c r="AS28" s="116">
        <v>72938532.829999998</v>
      </c>
      <c r="AT28" s="190">
        <v>71278580.930000007</v>
      </c>
      <c r="AU28" s="155">
        <v>73210628.849999994</v>
      </c>
      <c r="AV28" s="11">
        <v>74781439.709999993</v>
      </c>
      <c r="AW28" s="11">
        <v>91036349.269999996</v>
      </c>
      <c r="AX28" s="11">
        <v>98064263.549999997</v>
      </c>
      <c r="AY28" s="11">
        <v>91550546.620000005</v>
      </c>
      <c r="AZ28" s="11">
        <v>78399938.510000005</v>
      </c>
      <c r="BB28" s="11">
        <v>410115837.5</v>
      </c>
      <c r="BC28" s="11">
        <v>69749431.269999996</v>
      </c>
      <c r="BD28" s="11">
        <v>73860265.359999999</v>
      </c>
      <c r="BE28" s="11">
        <v>73073009.120000005</v>
      </c>
      <c r="BF28" s="11">
        <v>73990296.049999997</v>
      </c>
      <c r="BG28" s="193">
        <v>75859507</v>
      </c>
      <c r="BH28" s="167">
        <v>74432409.280000001</v>
      </c>
      <c r="BI28" s="167">
        <v>95573927.329999998</v>
      </c>
      <c r="BJ28" s="167">
        <v>91749622.290000007</v>
      </c>
      <c r="BK28" s="167">
        <v>86264426.319999993</v>
      </c>
      <c r="BL28" s="167">
        <v>85119677.989999995</v>
      </c>
      <c r="BM28" s="218">
        <v>86369091.569999993</v>
      </c>
      <c r="BN28" s="218">
        <v>99663296.719999999</v>
      </c>
      <c r="BO28" s="220">
        <v>95883995.200000003</v>
      </c>
      <c r="BP28" s="220">
        <v>92671215.069999993</v>
      </c>
      <c r="BQ28" s="220">
        <v>96654167.849999994</v>
      </c>
      <c r="BR28" s="220">
        <v>101712343.66</v>
      </c>
      <c r="BS28" s="221">
        <v>96070398</v>
      </c>
      <c r="BT28" s="230">
        <v>96070398</v>
      </c>
      <c r="BU28" s="241">
        <v>87331704.189999998</v>
      </c>
      <c r="BV28" s="243">
        <v>130391138.15000001</v>
      </c>
      <c r="BW28" s="243">
        <v>100113925.48999999</v>
      </c>
      <c r="BX28" s="243">
        <v>99225297.480000004</v>
      </c>
      <c r="BY28" s="243">
        <v>95577507.859999999</v>
      </c>
      <c r="BZ28" s="243">
        <v>96559931.280000001</v>
      </c>
      <c r="CA28" s="243">
        <v>110025750.03</v>
      </c>
      <c r="CB28" s="243">
        <v>100654307.58</v>
      </c>
      <c r="CC28" s="243">
        <v>98093602.069999993</v>
      </c>
      <c r="CD28" s="243">
        <v>96614088.689999998</v>
      </c>
      <c r="CE28" s="243">
        <v>98168403.959999993</v>
      </c>
      <c r="CF28" s="243">
        <v>90703690.269999996</v>
      </c>
      <c r="CG28" s="243">
        <v>92429113</v>
      </c>
      <c r="CH28" s="241">
        <v>87160713.840000004</v>
      </c>
      <c r="CI28" s="243">
        <v>88445961.180000007</v>
      </c>
      <c r="CJ28" s="243">
        <v>103483735.52</v>
      </c>
      <c r="CK28" s="241">
        <v>88144694.25</v>
      </c>
      <c r="CL28" s="241">
        <v>95035160.069999993</v>
      </c>
      <c r="CM28" s="241">
        <v>100540437.08</v>
      </c>
      <c r="CN28" s="241">
        <v>103447963.42</v>
      </c>
      <c r="CO28" s="241">
        <v>98320437.25</v>
      </c>
      <c r="CP28" s="269">
        <v>93558471.959999993</v>
      </c>
    </row>
    <row r="29" spans="1:94" ht="14.25">
      <c r="A29" s="10" t="s">
        <v>39</v>
      </c>
      <c r="B29" s="22"/>
      <c r="C29" s="22">
        <v>14522500</v>
      </c>
      <c r="D29" s="22">
        <v>19478821</v>
      </c>
      <c r="E29" s="22">
        <v>7732655.4900000021</v>
      </c>
      <c r="F29" s="11">
        <v>2611021</v>
      </c>
      <c r="G29" s="11">
        <v>633522</v>
      </c>
      <c r="H29" s="73">
        <v>5613058</v>
      </c>
      <c r="I29" s="11">
        <v>3082059.05</v>
      </c>
      <c r="J29" s="11">
        <v>2902059.05</v>
      </c>
      <c r="K29" s="11">
        <v>2416061.0699999998</v>
      </c>
      <c r="L29" s="11">
        <v>2925171.51</v>
      </c>
      <c r="M29" s="11">
        <v>2950383.79</v>
      </c>
      <c r="N29" s="11">
        <v>2761384.8</v>
      </c>
      <c r="O29" s="196">
        <v>2167616.06</v>
      </c>
      <c r="P29" s="11">
        <v>3786713.14</v>
      </c>
      <c r="Q29" s="11">
        <v>3801771.22</v>
      </c>
      <c r="R29" s="58">
        <v>3795213.14</v>
      </c>
      <c r="S29" s="11">
        <v>3801213.14</v>
      </c>
      <c r="T29" s="11">
        <v>3904555.51</v>
      </c>
      <c r="U29" s="11">
        <v>3904556</v>
      </c>
      <c r="V29" s="116">
        <v>6272519.0599999996</v>
      </c>
      <c r="W29" s="118">
        <v>7143591.5099999998</v>
      </c>
      <c r="X29" s="147">
        <v>7143591.5099999998</v>
      </c>
      <c r="Y29" s="147">
        <v>5433591.5099999998</v>
      </c>
      <c r="Z29" s="147">
        <v>5393591.5099999998</v>
      </c>
      <c r="AA29" s="120">
        <v>5400678.8099999996</v>
      </c>
      <c r="AB29" s="22">
        <v>5500678.8099999996</v>
      </c>
      <c r="AC29" s="75">
        <v>5561878.8099999996</v>
      </c>
      <c r="AD29" s="75">
        <v>3983114.68</v>
      </c>
      <c r="AE29" s="75">
        <v>3683114.68</v>
      </c>
      <c r="AF29" s="75">
        <v>3671914.68</v>
      </c>
      <c r="AG29" s="75">
        <v>3871914.68</v>
      </c>
      <c r="AH29" s="75">
        <v>3871914.68</v>
      </c>
      <c r="AI29" s="11">
        <v>5171914.68</v>
      </c>
      <c r="AJ29" s="11">
        <v>3271914.54</v>
      </c>
      <c r="AK29" s="11">
        <v>1769446.08</v>
      </c>
      <c r="AL29" s="11">
        <v>3809446.08</v>
      </c>
      <c r="AM29" s="11">
        <v>3809446.08</v>
      </c>
      <c r="AN29" s="11">
        <v>3609446.08</v>
      </c>
      <c r="AO29" s="11">
        <v>3074315.47</v>
      </c>
      <c r="AP29" s="11">
        <v>2274315.4700000002</v>
      </c>
      <c r="AQ29" s="11">
        <v>2274315.4700000002</v>
      </c>
      <c r="AR29" s="11">
        <v>2274315.4700000002</v>
      </c>
      <c r="AS29" s="116">
        <v>2274315.4700000002</v>
      </c>
      <c r="AT29" s="190">
        <v>2854315.47</v>
      </c>
      <c r="AU29" s="155">
        <v>2854315.47</v>
      </c>
      <c r="AV29" s="11">
        <v>4351393.47</v>
      </c>
      <c r="AW29" s="11">
        <v>3771393.47</v>
      </c>
      <c r="AX29" s="11">
        <v>6074315.4699999997</v>
      </c>
      <c r="AY29" s="11">
        <v>9774315.4700000007</v>
      </c>
      <c r="AZ29" s="11">
        <v>10374315.470000001</v>
      </c>
      <c r="BB29" s="11">
        <v>63584577.350000001</v>
      </c>
      <c r="BC29" s="11">
        <v>13672600.470000001</v>
      </c>
      <c r="BD29" s="11">
        <v>13772600.470000001</v>
      </c>
      <c r="BE29" s="11">
        <v>12272600.470000001</v>
      </c>
      <c r="BF29" s="11">
        <v>14211000.470000001</v>
      </c>
      <c r="BG29" s="193">
        <v>14211000</v>
      </c>
      <c r="BH29" s="167">
        <v>13511000.470000001</v>
      </c>
      <c r="BI29" s="167">
        <v>14521000.470000001</v>
      </c>
      <c r="BJ29" s="167">
        <v>14521000.470000001</v>
      </c>
      <c r="BK29" s="167">
        <v>13121000.470000001</v>
      </c>
      <c r="BL29" s="167">
        <v>12921000.470000001</v>
      </c>
      <c r="BM29" s="218">
        <v>12421000.470000001</v>
      </c>
      <c r="BN29" s="218">
        <v>13621000.470000001</v>
      </c>
      <c r="BO29" s="220">
        <v>14521000.470000001</v>
      </c>
      <c r="BP29" s="220">
        <v>14521000.470000001</v>
      </c>
      <c r="BQ29" s="220">
        <v>16321000.470000001</v>
      </c>
      <c r="BR29" s="220">
        <v>19971000.469999999</v>
      </c>
      <c r="BS29" s="221">
        <v>22220000.469999999</v>
      </c>
      <c r="BT29" s="230">
        <v>22220000</v>
      </c>
      <c r="BU29" s="218">
        <v>22420000.469999999</v>
      </c>
      <c r="BV29" s="220">
        <v>21454540.469999999</v>
      </c>
      <c r="BW29" s="220">
        <v>20164500.469999999</v>
      </c>
      <c r="BX29" s="220">
        <v>20764500.469999999</v>
      </c>
      <c r="BY29" s="220">
        <v>22764500.469999999</v>
      </c>
      <c r="BZ29" s="220">
        <v>23112500.469999999</v>
      </c>
      <c r="CA29" s="220">
        <v>21012500.469999999</v>
      </c>
      <c r="CB29" s="220">
        <v>23113478.469999999</v>
      </c>
      <c r="CC29" s="220">
        <v>25451022.469999999</v>
      </c>
      <c r="CD29" s="220">
        <v>25351000.469999999</v>
      </c>
      <c r="CE29" s="220">
        <v>23201000.469999999</v>
      </c>
      <c r="CF29" s="243">
        <v>19126000.469999999</v>
      </c>
      <c r="CG29" s="243">
        <v>19126000</v>
      </c>
      <c r="CH29" s="218">
        <v>18532000.469999999</v>
      </c>
      <c r="CI29" s="220">
        <v>18082000.469999999</v>
      </c>
      <c r="CJ29" s="220">
        <v>19233000.469999999</v>
      </c>
      <c r="CK29" s="218">
        <v>19233000.469999999</v>
      </c>
      <c r="CL29" s="218">
        <v>20733000.469999999</v>
      </c>
      <c r="CM29" s="218">
        <v>20783000.469999999</v>
      </c>
      <c r="CN29" s="218">
        <v>27093000.469999999</v>
      </c>
      <c r="CO29" s="218">
        <v>26763000.469999999</v>
      </c>
      <c r="CP29" s="271">
        <v>26161978.469999999</v>
      </c>
    </row>
    <row r="30" spans="1:94" ht="14.25">
      <c r="A30" s="10" t="s">
        <v>40</v>
      </c>
      <c r="B30" s="22">
        <v>230364164</v>
      </c>
      <c r="C30" s="22">
        <v>2051000</v>
      </c>
      <c r="D30" s="22">
        <v>2136500</v>
      </c>
      <c r="E30" s="22">
        <v>474445.83000000007</v>
      </c>
      <c r="F30" s="11">
        <v>300022565</v>
      </c>
      <c r="G30" s="11">
        <v>340939649</v>
      </c>
      <c r="H30" s="73">
        <v>380380553</v>
      </c>
      <c r="I30" s="11">
        <v>381542859.82999998</v>
      </c>
      <c r="J30" s="11">
        <v>387569209.19</v>
      </c>
      <c r="K30" s="11">
        <v>390120576.75</v>
      </c>
      <c r="L30" s="11">
        <v>393378152.36000001</v>
      </c>
      <c r="M30" s="11">
        <v>395878542.04000002</v>
      </c>
      <c r="N30" s="11">
        <v>399036332.60000002</v>
      </c>
      <c r="O30" s="196">
        <v>396763224.86000001</v>
      </c>
      <c r="P30" s="11">
        <v>403027847.77999997</v>
      </c>
      <c r="Q30" s="11">
        <v>404415262.37</v>
      </c>
      <c r="R30" s="58">
        <v>407637272.56</v>
      </c>
      <c r="S30" s="11">
        <v>413067863.07999998</v>
      </c>
      <c r="T30" s="11">
        <v>416613539.06</v>
      </c>
      <c r="U30" s="11">
        <v>414695613</v>
      </c>
      <c r="V30" s="116">
        <v>418752945.69</v>
      </c>
      <c r="W30" s="118">
        <v>422701456.27999997</v>
      </c>
      <c r="X30" s="147">
        <v>427570201.69</v>
      </c>
      <c r="Y30" s="147">
        <v>432700715.38999999</v>
      </c>
      <c r="Z30" s="147">
        <v>437237206.20999998</v>
      </c>
      <c r="AA30" s="120">
        <v>441866453.92000002</v>
      </c>
      <c r="AB30" s="22">
        <v>445865703.37</v>
      </c>
      <c r="AC30" s="75">
        <v>451273416.19</v>
      </c>
      <c r="AD30" s="75">
        <v>451723153.47000003</v>
      </c>
      <c r="AE30" s="75">
        <v>453664937.77999997</v>
      </c>
      <c r="AF30" s="75">
        <v>457555267.74000001</v>
      </c>
      <c r="AG30" s="75">
        <v>460738689.29000002</v>
      </c>
      <c r="AH30" s="75">
        <v>458771583.92000002</v>
      </c>
      <c r="AI30" s="11">
        <v>463416714.60000002</v>
      </c>
      <c r="AJ30" s="11">
        <v>467865030.88999999</v>
      </c>
      <c r="AK30" s="11">
        <v>469191887.01999998</v>
      </c>
      <c r="AL30" s="11">
        <v>471935585.48000002</v>
      </c>
      <c r="AM30" s="11">
        <v>474435017.80000001</v>
      </c>
      <c r="AN30" s="11">
        <v>478558946.36000001</v>
      </c>
      <c r="AO30" s="11">
        <v>479120209.19</v>
      </c>
      <c r="AP30" s="11">
        <v>482964528.54000002</v>
      </c>
      <c r="AQ30" s="11">
        <v>485555302.14999998</v>
      </c>
      <c r="AR30" s="11">
        <v>489084123.12</v>
      </c>
      <c r="AS30" s="116">
        <v>491994946.77999997</v>
      </c>
      <c r="AT30" s="190">
        <v>493790487.83999997</v>
      </c>
      <c r="AU30" s="153">
        <v>491858439.92000002</v>
      </c>
      <c r="AV30" s="11">
        <v>497602095.24000001</v>
      </c>
      <c r="AW30" s="11">
        <v>499927350.60000002</v>
      </c>
      <c r="AX30" s="11">
        <v>503969711.37</v>
      </c>
      <c r="AY30" s="11">
        <v>508120733.62</v>
      </c>
      <c r="AZ30" s="11">
        <v>511631169.13999999</v>
      </c>
      <c r="BB30" s="11">
        <v>2587018000.3499999</v>
      </c>
      <c r="BC30" s="11">
        <v>520617077.32999998</v>
      </c>
      <c r="BD30" s="11">
        <v>524327409.32999998</v>
      </c>
      <c r="BE30" s="11">
        <v>528247839.42000002</v>
      </c>
      <c r="BF30" s="11">
        <v>530267908.56999999</v>
      </c>
      <c r="BG30" s="193">
        <v>528398698</v>
      </c>
      <c r="BH30" s="167">
        <v>534299008.60000002</v>
      </c>
      <c r="BI30" s="167">
        <v>536643275.38999999</v>
      </c>
      <c r="BJ30" s="167">
        <v>542231990.5</v>
      </c>
      <c r="BK30" s="167">
        <v>547449426.63</v>
      </c>
      <c r="BL30" s="167">
        <v>551735390.11000001</v>
      </c>
      <c r="BM30" s="218">
        <v>553975711.61000001</v>
      </c>
      <c r="BN30" s="218">
        <v>557885828.11000001</v>
      </c>
      <c r="BO30" s="220">
        <v>563280914.85000002</v>
      </c>
      <c r="BP30" s="220">
        <v>566618672.12</v>
      </c>
      <c r="BQ30" s="220">
        <v>571326421.95000005</v>
      </c>
      <c r="BR30" s="220">
        <v>575226141.72000003</v>
      </c>
      <c r="BS30" s="221">
        <v>578555889</v>
      </c>
      <c r="BT30" s="230">
        <v>578555889</v>
      </c>
      <c r="BU30" s="218">
        <v>580877545.89999998</v>
      </c>
      <c r="BV30" s="220">
        <v>584640519.48000002</v>
      </c>
      <c r="BW30" s="220">
        <v>590029174.96000004</v>
      </c>
      <c r="BX30" s="220">
        <v>593966037.30999994</v>
      </c>
      <c r="BY30" s="220">
        <v>597202108.45000005</v>
      </c>
      <c r="BZ30" s="220">
        <v>592570979.22000003</v>
      </c>
      <c r="CA30" s="220">
        <v>596224458.62</v>
      </c>
      <c r="CB30" s="220">
        <v>597047954.38</v>
      </c>
      <c r="CC30" s="220">
        <v>599531015.48000002</v>
      </c>
      <c r="CD30" s="220">
        <v>604283533.97000003</v>
      </c>
      <c r="CE30" s="220">
        <v>608079581.38999999</v>
      </c>
      <c r="CF30" s="243">
        <v>609722238.77999997</v>
      </c>
      <c r="CG30" s="243">
        <v>607996816</v>
      </c>
      <c r="CH30" s="218">
        <v>612914097.02999997</v>
      </c>
      <c r="CI30" s="220">
        <v>617481430.89999998</v>
      </c>
      <c r="CJ30" s="220">
        <v>621454216.26999998</v>
      </c>
      <c r="CK30" s="218">
        <v>624731589</v>
      </c>
      <c r="CL30" s="218">
        <v>631087028.24000001</v>
      </c>
      <c r="CM30" s="218">
        <v>632926184.69000006</v>
      </c>
      <c r="CN30" s="218">
        <v>637099767.21000004</v>
      </c>
      <c r="CO30" s="218">
        <v>640908125.22000003</v>
      </c>
      <c r="CP30" s="271">
        <v>647882927.27999997</v>
      </c>
    </row>
    <row r="31" spans="1:94">
      <c r="A31" s="9" t="s">
        <v>41</v>
      </c>
      <c r="B31" s="53">
        <f>SUM(B28:B30)</f>
        <v>249530153</v>
      </c>
      <c r="C31" s="53">
        <f>SUM(C28:C30)</f>
        <v>251655387</v>
      </c>
      <c r="D31" s="53">
        <f>SUM(D28:D30)</f>
        <v>281820645</v>
      </c>
      <c r="E31" s="53">
        <f t="shared" ref="E31:BJ31" si="33">SUM(E28:E30)</f>
        <v>293621734.69999999</v>
      </c>
      <c r="F31" s="53">
        <f t="shared" si="33"/>
        <v>322200801</v>
      </c>
      <c r="G31" s="53">
        <f t="shared" si="33"/>
        <v>370403370</v>
      </c>
      <c r="H31" s="53">
        <f t="shared" si="33"/>
        <v>440828441</v>
      </c>
      <c r="I31" s="53">
        <f t="shared" si="33"/>
        <v>428543958.31999999</v>
      </c>
      <c r="J31" s="53">
        <f t="shared" si="33"/>
        <v>445510897.94999999</v>
      </c>
      <c r="K31" s="53">
        <f t="shared" si="33"/>
        <v>465244658.38</v>
      </c>
      <c r="L31" s="53">
        <f t="shared" si="33"/>
        <v>446829552.08000004</v>
      </c>
      <c r="M31" s="53">
        <f t="shared" si="33"/>
        <v>452967024.54000002</v>
      </c>
      <c r="N31" s="53">
        <f t="shared" si="33"/>
        <v>452432057.79000002</v>
      </c>
      <c r="O31" s="53">
        <f t="shared" si="33"/>
        <v>445719078.91000003</v>
      </c>
      <c r="P31" s="53">
        <f t="shared" si="33"/>
        <v>461559793.45999998</v>
      </c>
      <c r="Q31" s="53">
        <f t="shared" si="33"/>
        <v>458445657.56999999</v>
      </c>
      <c r="R31" s="53">
        <f t="shared" si="33"/>
        <v>468205715.04000002</v>
      </c>
      <c r="S31" s="53">
        <f t="shared" si="33"/>
        <v>477902659.25</v>
      </c>
      <c r="T31" s="53">
        <f t="shared" si="33"/>
        <v>483199884.97000003</v>
      </c>
      <c r="U31" s="53">
        <f t="shared" si="33"/>
        <v>483199886</v>
      </c>
      <c r="V31" s="115">
        <f t="shared" si="33"/>
        <v>485422618.32999998</v>
      </c>
      <c r="W31" s="115">
        <f t="shared" si="33"/>
        <v>491697997.10999995</v>
      </c>
      <c r="X31" s="115">
        <f t="shared" si="33"/>
        <v>520158254.75999999</v>
      </c>
      <c r="Y31" s="115">
        <f t="shared" si="33"/>
        <v>507740358.38999999</v>
      </c>
      <c r="Z31" s="115">
        <f t="shared" si="33"/>
        <v>513017468.25999999</v>
      </c>
      <c r="AA31" s="115">
        <f t="shared" si="33"/>
        <v>520101428.40000004</v>
      </c>
      <c r="AB31" s="115">
        <f t="shared" si="33"/>
        <v>525943886.77999997</v>
      </c>
      <c r="AC31" s="115">
        <f t="shared" si="33"/>
        <v>528533157.64999998</v>
      </c>
      <c r="AD31" s="115">
        <f t="shared" si="33"/>
        <v>536177167.22000003</v>
      </c>
      <c r="AE31" s="115">
        <f t="shared" si="33"/>
        <v>534188432.44999999</v>
      </c>
      <c r="AF31" s="115">
        <f t="shared" si="33"/>
        <v>538977491.72000003</v>
      </c>
      <c r="AG31" s="115">
        <f t="shared" si="33"/>
        <v>535442059.16000003</v>
      </c>
      <c r="AH31" s="115">
        <f t="shared" si="33"/>
        <v>535442059.16000003</v>
      </c>
      <c r="AI31" s="115">
        <f t="shared" si="33"/>
        <v>540544745.98000002</v>
      </c>
      <c r="AJ31" s="115">
        <f t="shared" si="33"/>
        <v>537360012.47000003</v>
      </c>
      <c r="AK31" s="115">
        <f t="shared" si="33"/>
        <v>560804290.88</v>
      </c>
      <c r="AL31" s="115">
        <f t="shared" si="33"/>
        <v>543489200.86000001</v>
      </c>
      <c r="AM31" s="115">
        <f t="shared" si="33"/>
        <v>547898053.61000001</v>
      </c>
      <c r="AN31" s="115">
        <f t="shared" si="33"/>
        <v>549801177</v>
      </c>
      <c r="AO31" s="115">
        <f t="shared" si="33"/>
        <v>544172111.13</v>
      </c>
      <c r="AP31" s="115">
        <f t="shared" si="33"/>
        <v>557003609.13999999</v>
      </c>
      <c r="AQ31" s="115">
        <f t="shared" si="33"/>
        <v>561959370.44999993</v>
      </c>
      <c r="AR31" s="115">
        <f t="shared" si="33"/>
        <v>568248317</v>
      </c>
      <c r="AS31" s="115">
        <f t="shared" si="33"/>
        <v>567207795.07999992</v>
      </c>
      <c r="AT31" s="115">
        <f t="shared" si="33"/>
        <v>567923384.24000001</v>
      </c>
      <c r="AU31" s="115">
        <f t="shared" si="33"/>
        <v>567923384.24000001</v>
      </c>
      <c r="AV31" s="115">
        <f t="shared" si="33"/>
        <v>576734928.41999996</v>
      </c>
      <c r="AW31" s="115">
        <f t="shared" si="33"/>
        <v>594735093.34000003</v>
      </c>
      <c r="AX31" s="115">
        <f t="shared" si="33"/>
        <v>608108290.38999999</v>
      </c>
      <c r="AY31" s="115">
        <f t="shared" si="33"/>
        <v>609445595.71000004</v>
      </c>
      <c r="AZ31" s="115">
        <f t="shared" si="33"/>
        <v>600405423.12</v>
      </c>
      <c r="BA31" s="115">
        <f t="shared" si="33"/>
        <v>0</v>
      </c>
      <c r="BB31" s="115">
        <f t="shared" si="33"/>
        <v>3060718415.1999998</v>
      </c>
      <c r="BC31" s="115">
        <f t="shared" si="33"/>
        <v>604039109.06999993</v>
      </c>
      <c r="BD31" s="115">
        <f t="shared" si="33"/>
        <v>611960275.15999997</v>
      </c>
      <c r="BE31" s="115">
        <f t="shared" si="33"/>
        <v>613593449.00999999</v>
      </c>
      <c r="BF31" s="115">
        <f t="shared" si="33"/>
        <v>618469205.09000003</v>
      </c>
      <c r="BG31" s="115">
        <f t="shared" si="33"/>
        <v>618469205</v>
      </c>
      <c r="BH31" s="115">
        <f t="shared" si="33"/>
        <v>622242418.35000002</v>
      </c>
      <c r="BI31" s="115">
        <f t="shared" si="33"/>
        <v>646738203.18999994</v>
      </c>
      <c r="BJ31" s="115">
        <f t="shared" si="33"/>
        <v>648502613.25999999</v>
      </c>
      <c r="BK31" s="115">
        <f>SUM(BK28:BK30)</f>
        <v>646834853.41999996</v>
      </c>
      <c r="BL31" s="115">
        <f>SUM(BL28:BL30)</f>
        <v>649776068.57000005</v>
      </c>
      <c r="BM31" s="115">
        <f t="shared" ref="BM31:BT31" si="34">SUM(BM28:BM30)</f>
        <v>652765803.64999998</v>
      </c>
      <c r="BN31" s="115">
        <f t="shared" si="34"/>
        <v>671170125.29999995</v>
      </c>
      <c r="BO31" s="115">
        <f t="shared" si="34"/>
        <v>673685910.51999998</v>
      </c>
      <c r="BP31" s="115">
        <f t="shared" si="34"/>
        <v>673810887.65999997</v>
      </c>
      <c r="BQ31" s="115">
        <f t="shared" si="34"/>
        <v>684301590.26999998</v>
      </c>
      <c r="BR31" s="115">
        <f t="shared" si="34"/>
        <v>696909485.85000002</v>
      </c>
      <c r="BS31" s="115">
        <f t="shared" si="34"/>
        <v>696846287.47000003</v>
      </c>
      <c r="BT31" s="115">
        <f t="shared" si="34"/>
        <v>696846287</v>
      </c>
      <c r="BU31" s="115">
        <f t="shared" ref="BU31:CB31" si="35">SUM(BU28:BU30)</f>
        <v>690629250.55999994</v>
      </c>
      <c r="BV31" s="115">
        <f t="shared" si="35"/>
        <v>736486198.10000002</v>
      </c>
      <c r="BW31" s="115">
        <f t="shared" si="35"/>
        <v>710307600.92000008</v>
      </c>
      <c r="BX31" s="115">
        <f t="shared" si="35"/>
        <v>713955835.25999999</v>
      </c>
      <c r="BY31" s="115">
        <f t="shared" si="35"/>
        <v>715544116.78000009</v>
      </c>
      <c r="BZ31" s="115">
        <f t="shared" si="35"/>
        <v>712243410.97000003</v>
      </c>
      <c r="CA31" s="115">
        <f t="shared" si="35"/>
        <v>727262709.12</v>
      </c>
      <c r="CB31" s="115">
        <f t="shared" si="35"/>
        <v>720815740.42999995</v>
      </c>
      <c r="CC31" s="115">
        <f t="shared" ref="CC31:CF31" si="36">SUM(CC28:CC30)</f>
        <v>723075640.01999998</v>
      </c>
      <c r="CD31" s="115">
        <f t="shared" si="36"/>
        <v>726248623.13</v>
      </c>
      <c r="CE31" s="115">
        <f t="shared" si="36"/>
        <v>729448985.81999993</v>
      </c>
      <c r="CF31" s="115">
        <f t="shared" si="36"/>
        <v>719551929.51999998</v>
      </c>
      <c r="CG31" s="115">
        <f t="shared" ref="CG31:CP31" si="37">SUM(CG28:CG30)</f>
        <v>719551929</v>
      </c>
      <c r="CH31" s="115">
        <f t="shared" si="37"/>
        <v>718606811.33999991</v>
      </c>
      <c r="CI31" s="115">
        <f t="shared" si="37"/>
        <v>724009392.54999995</v>
      </c>
      <c r="CJ31" s="115">
        <f t="shared" si="37"/>
        <v>744170952.25999999</v>
      </c>
      <c r="CK31" s="115">
        <f t="shared" si="37"/>
        <v>732109283.72000003</v>
      </c>
      <c r="CL31" s="115">
        <f t="shared" si="37"/>
        <v>746855188.77999997</v>
      </c>
      <c r="CM31" s="115">
        <f t="shared" si="37"/>
        <v>754249622.24000001</v>
      </c>
      <c r="CN31" s="115">
        <f t="shared" si="37"/>
        <v>767640731.10000002</v>
      </c>
      <c r="CO31" s="115">
        <f t="shared" si="37"/>
        <v>765991562.94000006</v>
      </c>
      <c r="CP31" s="115">
        <f t="shared" si="37"/>
        <v>767603377.70999992</v>
      </c>
    </row>
    <row r="32" spans="1:94" ht="14.25">
      <c r="A32" s="10" t="s">
        <v>42</v>
      </c>
      <c r="B32" s="22">
        <v>135550</v>
      </c>
      <c r="C32" s="22">
        <v>140547</v>
      </c>
      <c r="D32" s="22">
        <v>367209</v>
      </c>
      <c r="E32" s="22">
        <v>957101.88450000004</v>
      </c>
      <c r="F32" s="11">
        <v>780541</v>
      </c>
      <c r="G32" s="11">
        <v>613419</v>
      </c>
      <c r="H32" s="73"/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97">
        <v>0</v>
      </c>
      <c r="P32" s="11">
        <v>0</v>
      </c>
      <c r="Q32" s="11">
        <v>0</v>
      </c>
      <c r="R32" s="57">
        <v>0</v>
      </c>
      <c r="S32" s="11">
        <v>0</v>
      </c>
      <c r="T32" s="11">
        <v>0</v>
      </c>
      <c r="U32" s="11">
        <f>1370163+1872695</f>
        <v>3242858</v>
      </c>
      <c r="V32" s="116">
        <v>0</v>
      </c>
      <c r="W32" s="118">
        <v>0</v>
      </c>
      <c r="X32" s="147">
        <v>0</v>
      </c>
      <c r="Y32" s="147">
        <v>0</v>
      </c>
      <c r="Z32" s="147">
        <v>0</v>
      </c>
      <c r="AA32" s="147">
        <v>0</v>
      </c>
      <c r="AB32" s="22">
        <v>0</v>
      </c>
      <c r="AC32" s="75">
        <v>0</v>
      </c>
      <c r="AD32" s="75">
        <v>0</v>
      </c>
      <c r="AE32" s="75">
        <v>0</v>
      </c>
      <c r="AF32" s="75">
        <v>0</v>
      </c>
      <c r="AG32" s="75">
        <v>0</v>
      </c>
      <c r="AH32" s="75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6">
        <v>0</v>
      </c>
      <c r="AT32" s="190">
        <v>0</v>
      </c>
      <c r="AU32" s="190">
        <v>-141169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93">
        <v>32123</v>
      </c>
      <c r="BH32" s="167">
        <v>0</v>
      </c>
      <c r="BI32" s="167">
        <v>0</v>
      </c>
      <c r="BJ32" s="167">
        <v>0</v>
      </c>
      <c r="BK32" s="167">
        <v>0</v>
      </c>
      <c r="BL32" s="167">
        <v>0</v>
      </c>
      <c r="BM32" s="217">
        <v>0</v>
      </c>
      <c r="BN32" s="217">
        <v>0</v>
      </c>
      <c r="BO32" s="219">
        <v>0</v>
      </c>
      <c r="BP32" s="219">
        <v>0</v>
      </c>
      <c r="BQ32" s="219">
        <v>0</v>
      </c>
      <c r="BR32" s="219">
        <v>0</v>
      </c>
      <c r="BS32" s="222">
        <v>0</v>
      </c>
      <c r="BT32" s="230">
        <v>1043645</v>
      </c>
      <c r="BU32" s="240">
        <v>0</v>
      </c>
      <c r="BV32" s="242">
        <v>0</v>
      </c>
      <c r="BW32" s="242">
        <v>0</v>
      </c>
      <c r="BX32" s="242">
        <v>0</v>
      </c>
      <c r="BY32" s="242">
        <v>0</v>
      </c>
      <c r="BZ32" s="242">
        <v>0</v>
      </c>
      <c r="CA32" s="242">
        <v>0</v>
      </c>
      <c r="CB32" s="242">
        <v>0</v>
      </c>
      <c r="CC32" s="242">
        <v>0</v>
      </c>
      <c r="CD32" s="242">
        <v>0</v>
      </c>
      <c r="CE32" s="242">
        <v>0</v>
      </c>
      <c r="CF32" s="242">
        <v>0</v>
      </c>
      <c r="CG32" s="230">
        <v>2517171</v>
      </c>
      <c r="CH32" s="240">
        <v>0</v>
      </c>
      <c r="CI32" s="242">
        <v>0</v>
      </c>
      <c r="CJ32" s="242">
        <v>0</v>
      </c>
      <c r="CK32" s="240">
        <v>0</v>
      </c>
      <c r="CL32" s="240">
        <v>0</v>
      </c>
      <c r="CM32" s="240">
        <v>0</v>
      </c>
      <c r="CN32" s="240">
        <v>0</v>
      </c>
      <c r="CO32" s="240">
        <v>0</v>
      </c>
      <c r="CP32" s="268">
        <v>0</v>
      </c>
    </row>
    <row r="33" spans="1:94" ht="14.25">
      <c r="A33" s="10" t="s">
        <v>43</v>
      </c>
      <c r="B33" s="22"/>
      <c r="C33" s="22">
        <v>18506917</v>
      </c>
      <c r="D33" s="22"/>
      <c r="E33" s="22"/>
      <c r="F33" s="11">
        <v>1</v>
      </c>
      <c r="G33" s="11">
        <v>35477551</v>
      </c>
      <c r="H33" s="74">
        <v>37389190</v>
      </c>
      <c r="I33" s="11">
        <v>0</v>
      </c>
      <c r="J33" s="11">
        <v>0</v>
      </c>
      <c r="K33" s="11">
        <v>78235.27</v>
      </c>
      <c r="L33" s="11">
        <v>0</v>
      </c>
      <c r="M33" s="11">
        <v>0</v>
      </c>
      <c r="N33" s="11">
        <v>0</v>
      </c>
      <c r="O33" s="197">
        <v>0</v>
      </c>
      <c r="P33" s="11">
        <v>0</v>
      </c>
      <c r="Q33" s="11">
        <v>0</v>
      </c>
      <c r="R33" s="57">
        <v>0</v>
      </c>
      <c r="S33" s="11">
        <v>0</v>
      </c>
      <c r="T33" s="11">
        <v>0</v>
      </c>
      <c r="U33" s="11">
        <v>0</v>
      </c>
      <c r="V33" s="116">
        <v>0</v>
      </c>
      <c r="W33" s="118">
        <v>0</v>
      </c>
      <c r="X33" s="147">
        <v>0</v>
      </c>
      <c r="Y33" s="147">
        <v>0</v>
      </c>
      <c r="Z33" s="147">
        <v>0</v>
      </c>
      <c r="AA33" s="147">
        <v>0</v>
      </c>
      <c r="AB33" s="22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6">
        <v>0</v>
      </c>
      <c r="AT33" s="190">
        <v>0</v>
      </c>
      <c r="AU33" s="190"/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67">
        <v>0</v>
      </c>
      <c r="BI33" s="167">
        <v>0</v>
      </c>
      <c r="BJ33" s="167">
        <v>0</v>
      </c>
      <c r="BK33" s="167">
        <v>0</v>
      </c>
      <c r="BL33" s="167">
        <v>0</v>
      </c>
      <c r="BM33" s="217">
        <v>0</v>
      </c>
      <c r="BN33" s="217">
        <v>0</v>
      </c>
      <c r="BO33" s="219">
        <v>0</v>
      </c>
      <c r="BP33" s="219">
        <v>0</v>
      </c>
      <c r="BQ33" s="219">
        <v>0</v>
      </c>
      <c r="BR33" s="219">
        <v>0</v>
      </c>
      <c r="BS33" s="222">
        <v>0</v>
      </c>
      <c r="BT33" s="230">
        <f>77767126</f>
        <v>77767126</v>
      </c>
      <c r="BU33" s="217">
        <v>0</v>
      </c>
      <c r="BV33" s="219">
        <v>0</v>
      </c>
      <c r="BW33" s="219">
        <v>0</v>
      </c>
      <c r="BX33" s="219">
        <v>0</v>
      </c>
      <c r="BY33" s="219">
        <v>0</v>
      </c>
      <c r="BZ33" s="219">
        <v>0</v>
      </c>
      <c r="CA33" s="219">
        <v>0</v>
      </c>
      <c r="CB33" s="219">
        <v>0</v>
      </c>
      <c r="CC33" s="219">
        <v>0</v>
      </c>
      <c r="CD33" s="219">
        <v>0</v>
      </c>
      <c r="CE33" s="219">
        <v>0</v>
      </c>
      <c r="CF33" s="242">
        <v>0</v>
      </c>
      <c r="CG33" s="230">
        <v>80985972</v>
      </c>
      <c r="CH33" s="217">
        <v>0</v>
      </c>
      <c r="CI33" s="219">
        <v>0</v>
      </c>
      <c r="CJ33" s="219">
        <v>0</v>
      </c>
      <c r="CK33" s="217">
        <v>0</v>
      </c>
      <c r="CL33" s="217">
        <v>0</v>
      </c>
      <c r="CM33" s="217">
        <v>0</v>
      </c>
      <c r="CN33" s="217">
        <v>0</v>
      </c>
      <c r="CO33" s="217">
        <v>0</v>
      </c>
      <c r="CP33" s="270">
        <v>0</v>
      </c>
    </row>
    <row r="34" spans="1:94">
      <c r="A34" s="10" t="s">
        <v>44</v>
      </c>
      <c r="B34" s="22"/>
      <c r="C34" s="22"/>
      <c r="D34" s="22"/>
      <c r="E34" s="22"/>
      <c r="F34" s="11"/>
      <c r="G34" s="11"/>
      <c r="H34" s="11"/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97">
        <v>0</v>
      </c>
      <c r="P34" s="11">
        <v>0</v>
      </c>
      <c r="Q34" s="11">
        <v>0</v>
      </c>
      <c r="R34" s="57">
        <v>0</v>
      </c>
      <c r="S34" s="11">
        <v>0</v>
      </c>
      <c r="T34" s="11">
        <v>0</v>
      </c>
      <c r="U34" s="11"/>
      <c r="V34" s="116">
        <v>0</v>
      </c>
      <c r="W34" s="118">
        <v>0</v>
      </c>
      <c r="X34" s="147">
        <v>0</v>
      </c>
      <c r="Y34" s="147">
        <v>0</v>
      </c>
      <c r="Z34" s="147">
        <v>0</v>
      </c>
      <c r="AA34" s="147">
        <v>0</v>
      </c>
      <c r="AB34" s="22">
        <v>0</v>
      </c>
      <c r="AC34" s="75">
        <v>0</v>
      </c>
      <c r="AD34" s="75">
        <v>0</v>
      </c>
      <c r="AE34" s="75">
        <v>0</v>
      </c>
      <c r="AF34" s="75">
        <v>0</v>
      </c>
      <c r="AG34" s="75">
        <v>0</v>
      </c>
      <c r="AH34" s="75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6">
        <v>0</v>
      </c>
      <c r="AT34" s="190">
        <v>0</v>
      </c>
      <c r="AU34" s="190"/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67">
        <v>0</v>
      </c>
      <c r="BI34" s="167">
        <v>0</v>
      </c>
      <c r="BJ34" s="167">
        <v>0</v>
      </c>
      <c r="BK34" s="167">
        <v>0</v>
      </c>
      <c r="BL34" s="167">
        <v>0</v>
      </c>
      <c r="BM34" s="217">
        <v>0</v>
      </c>
      <c r="BN34" s="217">
        <v>0</v>
      </c>
      <c r="BO34" s="219">
        <v>0</v>
      </c>
      <c r="BP34" s="219">
        <v>0</v>
      </c>
      <c r="BQ34" s="219">
        <v>0</v>
      </c>
      <c r="BR34" s="219">
        <v>0</v>
      </c>
      <c r="BS34" s="222">
        <v>0</v>
      </c>
      <c r="BT34" s="230"/>
      <c r="BU34" s="217">
        <v>0</v>
      </c>
      <c r="BV34" s="219">
        <v>0</v>
      </c>
      <c r="BW34" s="219">
        <v>0</v>
      </c>
      <c r="BX34" s="219">
        <v>0</v>
      </c>
      <c r="BY34" s="219">
        <v>0</v>
      </c>
      <c r="BZ34" s="219">
        <v>0</v>
      </c>
      <c r="CA34" s="219">
        <v>0</v>
      </c>
      <c r="CB34" s="219">
        <v>0</v>
      </c>
      <c r="CC34" s="219">
        <v>0</v>
      </c>
      <c r="CD34" s="219">
        <v>0</v>
      </c>
      <c r="CE34" s="219">
        <v>0</v>
      </c>
      <c r="CF34" s="242">
        <v>0</v>
      </c>
      <c r="CG34" s="242">
        <v>0</v>
      </c>
      <c r="CH34" s="217">
        <v>0</v>
      </c>
      <c r="CI34" s="219">
        <v>0</v>
      </c>
      <c r="CJ34" s="219">
        <v>0</v>
      </c>
      <c r="CK34" s="217">
        <v>0</v>
      </c>
      <c r="CL34" s="217">
        <v>0</v>
      </c>
      <c r="CM34" s="217">
        <v>0</v>
      </c>
      <c r="CN34" s="217">
        <v>0</v>
      </c>
      <c r="CO34" s="217">
        <v>0</v>
      </c>
      <c r="CP34" s="270">
        <v>0</v>
      </c>
    </row>
    <row r="35" spans="1:94">
      <c r="A35" s="10" t="s">
        <v>45</v>
      </c>
      <c r="B35" s="22"/>
      <c r="C35" s="22"/>
      <c r="D35" s="22"/>
      <c r="E35" s="22"/>
      <c r="F35" s="11"/>
      <c r="G35" s="11"/>
      <c r="H35" s="11"/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97">
        <v>0</v>
      </c>
      <c r="P35" s="11">
        <v>0</v>
      </c>
      <c r="Q35" s="11">
        <v>0</v>
      </c>
      <c r="R35" s="57">
        <v>0</v>
      </c>
      <c r="S35" s="11">
        <v>0</v>
      </c>
      <c r="T35" s="11">
        <v>0</v>
      </c>
      <c r="U35" s="11"/>
      <c r="V35" s="116">
        <v>0</v>
      </c>
      <c r="W35" s="118">
        <v>0</v>
      </c>
      <c r="X35" s="147">
        <v>0</v>
      </c>
      <c r="Y35" s="147">
        <v>0</v>
      </c>
      <c r="Z35" s="147">
        <v>0</v>
      </c>
      <c r="AA35" s="147">
        <v>0</v>
      </c>
      <c r="AB35" s="22">
        <v>0</v>
      </c>
      <c r="AC35" s="75">
        <v>0</v>
      </c>
      <c r="AD35" s="75">
        <v>0</v>
      </c>
      <c r="AE35" s="75">
        <v>0</v>
      </c>
      <c r="AF35" s="75">
        <v>0</v>
      </c>
      <c r="AG35" s="75">
        <v>0</v>
      </c>
      <c r="AH35" s="75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6">
        <v>0</v>
      </c>
      <c r="AT35" s="190">
        <v>0</v>
      </c>
      <c r="AU35" s="190"/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67">
        <v>0</v>
      </c>
      <c r="BI35" s="167">
        <v>0</v>
      </c>
      <c r="BJ35" s="167">
        <v>0</v>
      </c>
      <c r="BK35" s="167">
        <v>0</v>
      </c>
      <c r="BL35" s="167">
        <v>0</v>
      </c>
      <c r="BM35" s="217">
        <v>0</v>
      </c>
      <c r="BN35" s="217">
        <v>0</v>
      </c>
      <c r="BO35" s="219">
        <v>0</v>
      </c>
      <c r="BP35" s="219">
        <v>0</v>
      </c>
      <c r="BQ35" s="219">
        <v>0</v>
      </c>
      <c r="BR35" s="219">
        <v>0</v>
      </c>
      <c r="BS35" s="222">
        <v>0</v>
      </c>
      <c r="BT35" s="230"/>
      <c r="BU35" s="217">
        <v>0</v>
      </c>
      <c r="BV35" s="219">
        <v>0</v>
      </c>
      <c r="BW35" s="219">
        <v>0</v>
      </c>
      <c r="BX35" s="219">
        <v>0</v>
      </c>
      <c r="BY35" s="219">
        <v>0</v>
      </c>
      <c r="BZ35" s="219">
        <v>0</v>
      </c>
      <c r="CA35" s="219">
        <v>0</v>
      </c>
      <c r="CB35" s="219">
        <v>0</v>
      </c>
      <c r="CC35" s="219">
        <v>0</v>
      </c>
      <c r="CD35" s="219">
        <v>0</v>
      </c>
      <c r="CE35" s="219">
        <v>0</v>
      </c>
      <c r="CF35" s="242">
        <v>0</v>
      </c>
      <c r="CG35" s="242">
        <v>0</v>
      </c>
      <c r="CH35" s="217">
        <v>0</v>
      </c>
      <c r="CI35" s="219">
        <v>0</v>
      </c>
      <c r="CJ35" s="219">
        <v>0</v>
      </c>
      <c r="CK35" s="217">
        <v>0</v>
      </c>
      <c r="CL35" s="217">
        <v>0</v>
      </c>
      <c r="CM35" s="217">
        <v>0</v>
      </c>
      <c r="CN35" s="217">
        <v>0</v>
      </c>
      <c r="CO35" s="217">
        <v>0</v>
      </c>
      <c r="CP35" s="270">
        <v>0</v>
      </c>
    </row>
    <row r="36" spans="1:94" ht="14.25">
      <c r="A36" s="10" t="s">
        <v>46</v>
      </c>
      <c r="B36" s="22">
        <v>23813301</v>
      </c>
      <c r="C36" s="22">
        <v>4745318</v>
      </c>
      <c r="D36" s="22">
        <v>24806615</v>
      </c>
      <c r="E36" s="22">
        <v>37504104.119999997</v>
      </c>
      <c r="F36" s="11">
        <v>50368944</v>
      </c>
      <c r="G36" s="11">
        <v>27658614</v>
      </c>
      <c r="H36" s="73">
        <v>33476442</v>
      </c>
      <c r="I36" s="11">
        <v>85762467.859999999</v>
      </c>
      <c r="J36" s="11">
        <v>75420023.599999994</v>
      </c>
      <c r="K36" s="11">
        <v>42081590.68</v>
      </c>
      <c r="L36" s="11">
        <v>41771383.909999996</v>
      </c>
      <c r="M36" s="11">
        <v>44542335.560000002</v>
      </c>
      <c r="N36" s="11">
        <v>47583624.899999999</v>
      </c>
      <c r="O36" s="197">
        <v>50005481.5</v>
      </c>
      <c r="P36" s="11">
        <v>53568285.420000002</v>
      </c>
      <c r="Q36" s="11">
        <v>56681503.130000003</v>
      </c>
      <c r="R36" s="57">
        <v>61003355.060000002</v>
      </c>
      <c r="S36" s="11">
        <v>64544164.520000003</v>
      </c>
      <c r="T36" s="11">
        <v>97172958.420000002</v>
      </c>
      <c r="U36" s="11">
        <f>99234827-1872695</f>
        <v>97362132</v>
      </c>
      <c r="V36" s="116">
        <v>103863646.95</v>
      </c>
      <c r="W36" s="118">
        <v>105895599.62</v>
      </c>
      <c r="X36" s="147">
        <v>64613289.399999999</v>
      </c>
      <c r="Y36" s="147">
        <v>66364444.950000003</v>
      </c>
      <c r="Z36" s="147">
        <v>68142261.200000003</v>
      </c>
      <c r="AA36" s="120">
        <v>72179503.280000001</v>
      </c>
      <c r="AB36" s="22">
        <v>76011610.920000002</v>
      </c>
      <c r="AC36" s="75">
        <v>78352880.790000007</v>
      </c>
      <c r="AD36" s="75">
        <v>82757925.319999993</v>
      </c>
      <c r="AE36" s="75">
        <v>85631242.599999994</v>
      </c>
      <c r="AF36" s="75">
        <v>89352890.959999993</v>
      </c>
      <c r="AG36" s="75">
        <v>108233489.68000001</v>
      </c>
      <c r="AH36" s="75">
        <v>108260535.61</v>
      </c>
      <c r="AI36" s="11">
        <v>53958232.770000003</v>
      </c>
      <c r="AJ36" s="11">
        <v>57713691.240000002</v>
      </c>
      <c r="AK36" s="11">
        <v>15868285.83</v>
      </c>
      <c r="AL36" s="11">
        <v>17484199.5</v>
      </c>
      <c r="AM36" s="11">
        <v>15910658.529999999</v>
      </c>
      <c r="AN36" s="11">
        <v>19949567.390000001</v>
      </c>
      <c r="AO36" s="11">
        <v>20719215.41</v>
      </c>
      <c r="AP36" s="11">
        <v>25234579.190000001</v>
      </c>
      <c r="AQ36" s="11">
        <v>28738625.359999999</v>
      </c>
      <c r="AR36" s="11">
        <v>33624447.469999999</v>
      </c>
      <c r="AS36" s="116">
        <v>48141126.82</v>
      </c>
      <c r="AT36" s="190">
        <v>59894224.460000001</v>
      </c>
      <c r="AU36" s="156">
        <v>59830494.780000001</v>
      </c>
      <c r="AV36" s="11">
        <v>69178370.930000007</v>
      </c>
      <c r="AW36" s="11">
        <v>28908854.039999999</v>
      </c>
      <c r="AX36" s="11">
        <v>19151176.190000001</v>
      </c>
      <c r="AY36" s="11">
        <v>20696931.780000001</v>
      </c>
      <c r="AZ36" s="11">
        <v>25013434.140000001</v>
      </c>
      <c r="BB36" s="11">
        <v>185542057.15000001</v>
      </c>
      <c r="BC36" s="11">
        <v>43147512.75</v>
      </c>
      <c r="BD36" s="11">
        <v>49707266.649999999</v>
      </c>
      <c r="BE36" s="11">
        <v>52539743.68</v>
      </c>
      <c r="BF36" s="11">
        <v>60950909.659999996</v>
      </c>
      <c r="BG36" s="193">
        <v>60777338</v>
      </c>
      <c r="BH36" s="167">
        <v>66477412.189999998</v>
      </c>
      <c r="BI36" s="167">
        <v>17834655.579999998</v>
      </c>
      <c r="BJ36" s="167">
        <v>23741301.16</v>
      </c>
      <c r="BK36" s="167">
        <v>27703288.039999999</v>
      </c>
      <c r="BL36" s="167">
        <v>31503844.489999998</v>
      </c>
      <c r="BM36" s="218">
        <v>37965512.549999997</v>
      </c>
      <c r="BN36" s="218">
        <v>45501864.07</v>
      </c>
      <c r="BO36" s="220">
        <v>51899397.399999999</v>
      </c>
      <c r="BP36" s="220">
        <v>58120447.359999999</v>
      </c>
      <c r="BQ36" s="220">
        <v>61316585.380000003</v>
      </c>
      <c r="BR36" s="220">
        <v>68015118.370000005</v>
      </c>
      <c r="BS36" s="221">
        <v>82540334</v>
      </c>
      <c r="BT36" s="230">
        <f>3740379</f>
        <v>3740379</v>
      </c>
      <c r="BU36" s="218">
        <v>88322646.049999997</v>
      </c>
      <c r="BV36" s="220">
        <v>21196818.129999999</v>
      </c>
      <c r="BW36" s="220">
        <v>18826454.050000001</v>
      </c>
      <c r="BX36" s="220">
        <v>26886657.550000001</v>
      </c>
      <c r="BY36" s="220">
        <v>32149570.719999999</v>
      </c>
      <c r="BZ36" s="220">
        <v>38707340.020000003</v>
      </c>
      <c r="CA36" s="220">
        <v>41159180.649999999</v>
      </c>
      <c r="CB36" s="220">
        <v>43566771.899999999</v>
      </c>
      <c r="CC36" s="220">
        <v>50323031.229999997</v>
      </c>
      <c r="CD36" s="220">
        <v>58248332.119999997</v>
      </c>
      <c r="CE36" s="220">
        <v>65191920.229999997</v>
      </c>
      <c r="CF36" s="243">
        <v>86141666.469999999</v>
      </c>
      <c r="CG36" s="243">
        <f>2702447</f>
        <v>2702447</v>
      </c>
      <c r="CH36" s="218">
        <v>90353059.459999993</v>
      </c>
      <c r="CI36" s="220">
        <v>96801810.370000005</v>
      </c>
      <c r="CJ36" s="220">
        <v>20654991.460000001</v>
      </c>
      <c r="CK36" s="218">
        <v>29598136.41</v>
      </c>
      <c r="CL36" s="218">
        <v>29759880.539999999</v>
      </c>
      <c r="CM36" s="218">
        <v>38537428.75</v>
      </c>
      <c r="CN36" s="218">
        <v>47122284.32</v>
      </c>
      <c r="CO36" s="218">
        <v>54353885.140000001</v>
      </c>
      <c r="CP36" s="271">
        <v>60722400.5</v>
      </c>
    </row>
    <row r="37" spans="1:94">
      <c r="A37" s="10" t="s">
        <v>47</v>
      </c>
      <c r="B37" s="22">
        <v>98196182</v>
      </c>
      <c r="C37" s="22">
        <v>73980442</v>
      </c>
      <c r="D37" s="22">
        <v>75498160</v>
      </c>
      <c r="E37" s="22">
        <v>75604045.310000002</v>
      </c>
      <c r="F37" s="11">
        <v>14235893</v>
      </c>
      <c r="G37" s="11"/>
      <c r="H37" s="74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97">
        <v>0</v>
      </c>
      <c r="P37" s="11">
        <v>0</v>
      </c>
      <c r="Q37" s="11">
        <v>0</v>
      </c>
      <c r="R37" s="57">
        <v>0</v>
      </c>
      <c r="S37" s="11">
        <v>0</v>
      </c>
      <c r="T37" s="11">
        <v>0</v>
      </c>
      <c r="U37" s="11"/>
      <c r="V37" s="116">
        <v>0</v>
      </c>
      <c r="W37" s="118">
        <v>0</v>
      </c>
      <c r="X37" s="147">
        <v>0</v>
      </c>
      <c r="Y37" s="147">
        <v>0</v>
      </c>
      <c r="Z37" s="147">
        <v>0</v>
      </c>
      <c r="AB37" s="22">
        <v>0</v>
      </c>
      <c r="AC37" s="75">
        <v>0</v>
      </c>
      <c r="AD37" s="75">
        <v>0</v>
      </c>
      <c r="AE37" s="75">
        <v>0</v>
      </c>
      <c r="AF37" s="75">
        <v>0</v>
      </c>
      <c r="AG37" s="75">
        <v>0</v>
      </c>
      <c r="AH37" s="75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6">
        <v>0</v>
      </c>
      <c r="AT37" s="190">
        <v>0</v>
      </c>
      <c r="AU37" s="190"/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67">
        <v>0</v>
      </c>
      <c r="BI37" s="167">
        <v>0</v>
      </c>
      <c r="BJ37" s="167">
        <v>0</v>
      </c>
      <c r="BK37" s="167">
        <v>0</v>
      </c>
      <c r="BL37" s="167">
        <v>0</v>
      </c>
      <c r="BM37" s="217">
        <v>0</v>
      </c>
      <c r="BN37" s="217">
        <v>0</v>
      </c>
      <c r="BO37" s="219">
        <v>0</v>
      </c>
      <c r="BP37" s="219">
        <v>0</v>
      </c>
      <c r="BQ37" s="219">
        <v>0</v>
      </c>
      <c r="BR37" s="219">
        <v>0</v>
      </c>
      <c r="BS37" s="222">
        <v>0</v>
      </c>
      <c r="BT37" s="230"/>
      <c r="BU37" s="217">
        <v>0</v>
      </c>
      <c r="BV37" s="219">
        <v>0</v>
      </c>
      <c r="BW37" s="219">
        <v>0</v>
      </c>
      <c r="BX37" s="219">
        <v>0</v>
      </c>
      <c r="BY37" s="219">
        <v>0</v>
      </c>
      <c r="BZ37" s="219">
        <v>0</v>
      </c>
      <c r="CA37" s="219">
        <v>0</v>
      </c>
      <c r="CB37" s="219">
        <v>0</v>
      </c>
      <c r="CC37" s="219">
        <v>0</v>
      </c>
      <c r="CD37" s="219">
        <v>0</v>
      </c>
      <c r="CE37" s="219">
        <v>0</v>
      </c>
      <c r="CF37" s="242">
        <v>0</v>
      </c>
      <c r="CG37" s="242">
        <v>0</v>
      </c>
      <c r="CH37" s="217">
        <v>0</v>
      </c>
      <c r="CI37" s="219">
        <v>0</v>
      </c>
      <c r="CJ37" s="219">
        <v>0</v>
      </c>
      <c r="CK37" s="217">
        <v>0</v>
      </c>
      <c r="CL37" s="217">
        <v>0</v>
      </c>
      <c r="CM37" s="217">
        <v>0</v>
      </c>
      <c r="CN37" s="217">
        <v>0</v>
      </c>
      <c r="CO37" s="217">
        <v>0</v>
      </c>
      <c r="CP37" s="270">
        <v>0</v>
      </c>
    </row>
    <row r="38" spans="1:94">
      <c r="A38" s="9" t="s">
        <v>48</v>
      </c>
      <c r="B38" s="53">
        <f>SUM(B31:B37)</f>
        <v>371675186</v>
      </c>
      <c r="C38" s="53">
        <f>SUM(C31:C37)</f>
        <v>349028611</v>
      </c>
      <c r="D38" s="53">
        <f>SUM(D31:D37)</f>
        <v>382492629</v>
      </c>
      <c r="E38" s="53">
        <f t="shared" ref="E38:BJ38" si="38">SUM(E31:E37)</f>
        <v>407686986.01450002</v>
      </c>
      <c r="F38" s="53">
        <f t="shared" si="38"/>
        <v>387586180</v>
      </c>
      <c r="G38" s="53">
        <f t="shared" si="38"/>
        <v>434152954</v>
      </c>
      <c r="H38" s="53">
        <f t="shared" si="38"/>
        <v>511694073</v>
      </c>
      <c r="I38" s="53">
        <f t="shared" si="38"/>
        <v>514306426.18000001</v>
      </c>
      <c r="J38" s="53">
        <f t="shared" si="38"/>
        <v>520930921.54999995</v>
      </c>
      <c r="K38" s="53">
        <f t="shared" si="38"/>
        <v>507404484.32999998</v>
      </c>
      <c r="L38" s="53">
        <f t="shared" si="38"/>
        <v>488600935.99000001</v>
      </c>
      <c r="M38" s="53">
        <f t="shared" si="38"/>
        <v>497509360.10000002</v>
      </c>
      <c r="N38" s="53">
        <f t="shared" si="38"/>
        <v>500015682.69</v>
      </c>
      <c r="O38" s="53">
        <f t="shared" si="38"/>
        <v>495724560.41000003</v>
      </c>
      <c r="P38" s="53">
        <f t="shared" si="38"/>
        <v>515128078.88</v>
      </c>
      <c r="Q38" s="53">
        <f t="shared" si="38"/>
        <v>515127160.69999999</v>
      </c>
      <c r="R38" s="53">
        <f t="shared" si="38"/>
        <v>529209070.10000002</v>
      </c>
      <c r="S38" s="53">
        <f t="shared" si="38"/>
        <v>542446823.76999998</v>
      </c>
      <c r="T38" s="53">
        <f t="shared" si="38"/>
        <v>580372843.38999999</v>
      </c>
      <c r="U38" s="53">
        <f t="shared" si="38"/>
        <v>583804876</v>
      </c>
      <c r="V38" s="115">
        <f t="shared" si="38"/>
        <v>589286265.27999997</v>
      </c>
      <c r="W38" s="115">
        <f t="shared" si="38"/>
        <v>597593596.73000002</v>
      </c>
      <c r="X38" s="115">
        <f t="shared" si="38"/>
        <v>584771544.15999997</v>
      </c>
      <c r="Y38" s="115">
        <f t="shared" si="38"/>
        <v>574104803.34000003</v>
      </c>
      <c r="Z38" s="115">
        <f t="shared" si="38"/>
        <v>581159729.46000004</v>
      </c>
      <c r="AA38" s="115">
        <f t="shared" si="38"/>
        <v>592280931.68000007</v>
      </c>
      <c r="AB38" s="115">
        <f t="shared" si="38"/>
        <v>601955497.69999993</v>
      </c>
      <c r="AC38" s="115">
        <f t="shared" si="38"/>
        <v>606886038.43999994</v>
      </c>
      <c r="AD38" s="115">
        <f t="shared" si="38"/>
        <v>618935092.53999996</v>
      </c>
      <c r="AE38" s="115">
        <f t="shared" si="38"/>
        <v>619819675.04999995</v>
      </c>
      <c r="AF38" s="115">
        <f t="shared" si="38"/>
        <v>628330382.68000007</v>
      </c>
      <c r="AG38" s="115">
        <f t="shared" si="38"/>
        <v>643675548.84000003</v>
      </c>
      <c r="AH38" s="115">
        <f t="shared" si="38"/>
        <v>643702594.76999998</v>
      </c>
      <c r="AI38" s="115">
        <f t="shared" si="38"/>
        <v>594502978.75</v>
      </c>
      <c r="AJ38" s="115">
        <f t="shared" si="38"/>
        <v>595073703.71000004</v>
      </c>
      <c r="AK38" s="115">
        <f t="shared" si="38"/>
        <v>576672576.71000004</v>
      </c>
      <c r="AL38" s="115">
        <f t="shared" si="38"/>
        <v>560973400.36000001</v>
      </c>
      <c r="AM38" s="115">
        <f t="shared" si="38"/>
        <v>563808712.13999999</v>
      </c>
      <c r="AN38" s="115">
        <f t="shared" si="38"/>
        <v>569750744.38999999</v>
      </c>
      <c r="AO38" s="115">
        <f t="shared" si="38"/>
        <v>564891326.53999996</v>
      </c>
      <c r="AP38" s="115">
        <f t="shared" si="38"/>
        <v>582238188.33000004</v>
      </c>
      <c r="AQ38" s="115">
        <f t="shared" si="38"/>
        <v>590697995.80999994</v>
      </c>
      <c r="AR38" s="115">
        <f t="shared" si="38"/>
        <v>601872764.47000003</v>
      </c>
      <c r="AS38" s="115">
        <f t="shared" si="38"/>
        <v>615348921.89999998</v>
      </c>
      <c r="AT38" s="115">
        <f t="shared" si="38"/>
        <v>627817608.70000005</v>
      </c>
      <c r="AU38" s="115">
        <f t="shared" si="38"/>
        <v>627612710.01999998</v>
      </c>
      <c r="AV38" s="115">
        <f t="shared" si="38"/>
        <v>645913299.3499999</v>
      </c>
      <c r="AW38" s="115">
        <f t="shared" si="38"/>
        <v>623643947.38</v>
      </c>
      <c r="AX38" s="115">
        <f t="shared" si="38"/>
        <v>627259466.58000004</v>
      </c>
      <c r="AY38" s="115">
        <f t="shared" si="38"/>
        <v>630142527.49000001</v>
      </c>
      <c r="AZ38" s="115">
        <f t="shared" si="38"/>
        <v>625418857.25999999</v>
      </c>
      <c r="BA38" s="115">
        <f t="shared" si="38"/>
        <v>0</v>
      </c>
      <c r="BB38" s="115">
        <f t="shared" si="38"/>
        <v>3246260472.3499999</v>
      </c>
      <c r="BC38" s="115">
        <f t="shared" si="38"/>
        <v>647186621.81999993</v>
      </c>
      <c r="BD38" s="115">
        <f t="shared" si="38"/>
        <v>661667541.80999994</v>
      </c>
      <c r="BE38" s="115">
        <f t="shared" si="38"/>
        <v>666133192.68999994</v>
      </c>
      <c r="BF38" s="115">
        <f t="shared" si="38"/>
        <v>679420114.75</v>
      </c>
      <c r="BG38" s="115">
        <f t="shared" si="38"/>
        <v>679278666</v>
      </c>
      <c r="BH38" s="115">
        <f t="shared" si="38"/>
        <v>688719830.53999996</v>
      </c>
      <c r="BI38" s="115">
        <f t="shared" si="38"/>
        <v>664572858.76999998</v>
      </c>
      <c r="BJ38" s="115">
        <f t="shared" si="38"/>
        <v>672243914.41999996</v>
      </c>
      <c r="BK38" s="115">
        <f>SUM(BK31:BK37)</f>
        <v>674538141.45999992</v>
      </c>
      <c r="BL38" s="115">
        <f>SUM(BL31:BL37)</f>
        <v>681279913.06000006</v>
      </c>
      <c r="BM38" s="115">
        <f t="shared" ref="BM38:BT38" si="39">SUM(BM31:BM37)</f>
        <v>690731316.19999993</v>
      </c>
      <c r="BN38" s="115">
        <f t="shared" si="39"/>
        <v>716671989.37</v>
      </c>
      <c r="BO38" s="115">
        <f t="shared" si="39"/>
        <v>725585307.91999996</v>
      </c>
      <c r="BP38" s="115">
        <f t="shared" si="39"/>
        <v>731931335.01999998</v>
      </c>
      <c r="BQ38" s="115">
        <f t="shared" si="39"/>
        <v>745618175.64999998</v>
      </c>
      <c r="BR38" s="115">
        <f t="shared" si="39"/>
        <v>764924604.22000003</v>
      </c>
      <c r="BS38" s="115">
        <f t="shared" si="39"/>
        <v>779386621.47000003</v>
      </c>
      <c r="BT38" s="115">
        <f t="shared" si="39"/>
        <v>779397437</v>
      </c>
      <c r="BU38" s="115">
        <f t="shared" ref="BU38:CB38" si="40">SUM(BU31:BU37)</f>
        <v>778951896.6099999</v>
      </c>
      <c r="BV38" s="115">
        <f t="shared" si="40"/>
        <v>757683016.23000002</v>
      </c>
      <c r="BW38" s="115">
        <f t="shared" si="40"/>
        <v>729134054.97000003</v>
      </c>
      <c r="BX38" s="115">
        <f t="shared" si="40"/>
        <v>740842492.80999994</v>
      </c>
      <c r="BY38" s="115">
        <f t="shared" si="40"/>
        <v>747693687.50000012</v>
      </c>
      <c r="BZ38" s="115">
        <f t="shared" si="40"/>
        <v>750950750.99000001</v>
      </c>
      <c r="CA38" s="115">
        <f t="shared" si="40"/>
        <v>768421889.76999998</v>
      </c>
      <c r="CB38" s="115">
        <f t="shared" si="40"/>
        <v>764382512.32999992</v>
      </c>
      <c r="CC38" s="115">
        <f t="shared" ref="CC38:CF38" si="41">SUM(CC31:CC37)</f>
        <v>773398671.25</v>
      </c>
      <c r="CD38" s="115">
        <f t="shared" si="41"/>
        <v>784496955.25</v>
      </c>
      <c r="CE38" s="115">
        <f t="shared" si="41"/>
        <v>794640906.04999995</v>
      </c>
      <c r="CF38" s="115">
        <f t="shared" si="41"/>
        <v>805693595.99000001</v>
      </c>
      <c r="CG38" s="115">
        <f t="shared" ref="CG38:CP38" si="42">SUM(CG31:CG37)</f>
        <v>805757519</v>
      </c>
      <c r="CH38" s="115">
        <f t="shared" si="42"/>
        <v>808959870.79999995</v>
      </c>
      <c r="CI38" s="115">
        <f t="shared" si="42"/>
        <v>820811202.91999996</v>
      </c>
      <c r="CJ38" s="115">
        <f t="shared" si="42"/>
        <v>764825943.72000003</v>
      </c>
      <c r="CK38" s="115">
        <f t="shared" si="42"/>
        <v>761707420.13</v>
      </c>
      <c r="CL38" s="115">
        <f t="shared" si="42"/>
        <v>776615069.31999993</v>
      </c>
      <c r="CM38" s="115">
        <f t="shared" si="42"/>
        <v>792787050.99000001</v>
      </c>
      <c r="CN38" s="115">
        <f t="shared" si="42"/>
        <v>814763015.42000008</v>
      </c>
      <c r="CO38" s="115">
        <f t="shared" si="42"/>
        <v>820345448.08000004</v>
      </c>
      <c r="CP38" s="115">
        <f t="shared" si="42"/>
        <v>828325778.20999992</v>
      </c>
    </row>
    <row r="39" spans="1:94">
      <c r="A39" s="10" t="s">
        <v>49</v>
      </c>
      <c r="B39" s="22">
        <v>5058510</v>
      </c>
      <c r="C39" s="22">
        <v>41027979</v>
      </c>
      <c r="D39" s="22">
        <v>41319195</v>
      </c>
      <c r="E39" s="22">
        <v>44676736.519999996</v>
      </c>
      <c r="F39" s="11">
        <v>67258769</v>
      </c>
      <c r="G39" s="11">
        <v>67556532</v>
      </c>
      <c r="H39" s="73">
        <v>73461221</v>
      </c>
      <c r="I39" s="59">
        <v>73503821.730000004</v>
      </c>
      <c r="J39" s="11">
        <v>73685121.730000004</v>
      </c>
      <c r="K39" s="11">
        <v>73880951.140000001</v>
      </c>
      <c r="L39" s="11">
        <v>74103901.140000001</v>
      </c>
      <c r="M39" s="11">
        <v>74324906.739999995</v>
      </c>
      <c r="N39" s="11">
        <v>74536156.739999995</v>
      </c>
      <c r="O39" s="198">
        <v>74697356.739999995</v>
      </c>
      <c r="P39" s="11">
        <v>74738056.739999995</v>
      </c>
      <c r="Q39" s="11">
        <v>74882756.739999995</v>
      </c>
      <c r="R39" s="58">
        <v>74901756.739999995</v>
      </c>
      <c r="S39" s="11">
        <v>75043106.739999995</v>
      </c>
      <c r="T39" s="11">
        <v>75112906.739999995</v>
      </c>
      <c r="U39" s="11">
        <v>75112907</v>
      </c>
      <c r="V39" s="116">
        <v>75199406.739999995</v>
      </c>
      <c r="W39" s="118">
        <v>75263206.739999995</v>
      </c>
      <c r="X39" s="147">
        <v>75291929.989999995</v>
      </c>
      <c r="Y39" s="147">
        <v>75479349.989999995</v>
      </c>
      <c r="Z39" s="147">
        <v>75537149.989999995</v>
      </c>
      <c r="AA39" s="120">
        <v>75550949.989999995</v>
      </c>
      <c r="AB39" s="22">
        <v>75613869.989999995</v>
      </c>
      <c r="AC39" s="75">
        <v>75709870.239999995</v>
      </c>
      <c r="AD39" s="75">
        <v>75727049.989999995</v>
      </c>
      <c r="AE39" s="75">
        <v>76050949.989999995</v>
      </c>
      <c r="AF39" s="75">
        <v>76225449.989999995</v>
      </c>
      <c r="AG39" s="75">
        <v>76348049.989999995</v>
      </c>
      <c r="AH39" s="75">
        <v>76348049.99000001</v>
      </c>
      <c r="AI39" s="11">
        <v>76556814.989999995</v>
      </c>
      <c r="AJ39" s="11">
        <v>76756314.989999995</v>
      </c>
      <c r="AK39" s="11">
        <v>78671844.769999996</v>
      </c>
      <c r="AL39" s="11">
        <v>78779389.439999998</v>
      </c>
      <c r="AM39" s="11">
        <v>79033795.799999997</v>
      </c>
      <c r="AN39" s="11">
        <v>79083295.799999997</v>
      </c>
      <c r="AO39" s="11">
        <v>79167295.799999997</v>
      </c>
      <c r="AP39" s="11">
        <v>79255401.670000002</v>
      </c>
      <c r="AQ39" s="11">
        <v>79406107.540000007</v>
      </c>
      <c r="AR39" s="11">
        <v>79623746.040000007</v>
      </c>
      <c r="AS39" s="116">
        <v>79681766.629999995</v>
      </c>
      <c r="AT39" s="190">
        <v>80370014.430000007</v>
      </c>
      <c r="AU39" s="157">
        <v>80370014.430000007</v>
      </c>
      <c r="AV39" s="11">
        <v>81185589.290000007</v>
      </c>
      <c r="AW39" s="11">
        <v>81282835.540000007</v>
      </c>
      <c r="AX39" s="11">
        <v>81366779.519999996</v>
      </c>
      <c r="AY39" s="11">
        <v>82735267.620000005</v>
      </c>
      <c r="AZ39" s="11">
        <v>83348480.870000005</v>
      </c>
      <c r="BB39" s="11">
        <v>420356850</v>
      </c>
      <c r="BC39" s="11">
        <v>84224873.120000005</v>
      </c>
      <c r="BD39" s="11">
        <v>84471578.120000005</v>
      </c>
      <c r="BE39" s="11">
        <v>84643828.120000005</v>
      </c>
      <c r="BF39" s="11">
        <v>84738607.120000005</v>
      </c>
      <c r="BG39" s="75">
        <f>39709604+4368593+40660411</f>
        <v>84738608</v>
      </c>
      <c r="BH39" s="167">
        <v>84761007.120000005</v>
      </c>
      <c r="BI39" s="167">
        <v>84996324.120000005</v>
      </c>
      <c r="BJ39" s="167">
        <v>85232929.879999995</v>
      </c>
      <c r="BK39" s="167">
        <v>85548339.879999995</v>
      </c>
      <c r="BL39" s="167">
        <v>85923419.879999995</v>
      </c>
      <c r="BM39" s="218">
        <v>86199469.879999995</v>
      </c>
      <c r="BN39" s="218">
        <v>86369569.879999995</v>
      </c>
      <c r="BO39" s="220">
        <v>86700569.879999995</v>
      </c>
      <c r="BP39" s="220">
        <v>86951558.379999995</v>
      </c>
      <c r="BQ39" s="220">
        <v>87164925.430000007</v>
      </c>
      <c r="BR39" s="220">
        <v>87701751.299999997</v>
      </c>
      <c r="BS39" s="221">
        <v>87852651.299999997</v>
      </c>
      <c r="BT39" s="230">
        <v>87852651</v>
      </c>
      <c r="BU39" s="241">
        <v>88822454.799999997</v>
      </c>
      <c r="BV39" s="243">
        <v>88951166.799999997</v>
      </c>
      <c r="BW39" s="243">
        <v>89094868.799999997</v>
      </c>
      <c r="BX39" s="243">
        <v>89371616.799999997</v>
      </c>
      <c r="BY39" s="243">
        <v>89534757.349999994</v>
      </c>
      <c r="BZ39" s="243">
        <v>89881934.099999994</v>
      </c>
      <c r="CA39" s="243">
        <v>89947434.099999994</v>
      </c>
      <c r="CB39" s="243">
        <v>90048555.359999999</v>
      </c>
      <c r="CC39" s="243">
        <v>90251549.480000004</v>
      </c>
      <c r="CD39" s="243">
        <v>91231117.090000004</v>
      </c>
      <c r="CE39" s="243">
        <v>91406814.090000004</v>
      </c>
      <c r="CF39" s="243">
        <v>91740614.090000004</v>
      </c>
      <c r="CG39" s="243">
        <v>91740614.090000004</v>
      </c>
      <c r="CH39" s="241">
        <v>91886264.090000004</v>
      </c>
      <c r="CI39" s="243">
        <v>92080154.090000004</v>
      </c>
      <c r="CJ39" s="243">
        <v>92661204.140000001</v>
      </c>
      <c r="CK39" s="241">
        <v>92868404.140000001</v>
      </c>
      <c r="CL39" s="241">
        <v>93156629.890000001</v>
      </c>
      <c r="CM39" s="241">
        <v>93331729.890000001</v>
      </c>
      <c r="CN39" s="241">
        <v>93680929.890000001</v>
      </c>
      <c r="CO39" s="241">
        <v>94227145.989999995</v>
      </c>
      <c r="CP39" s="269">
        <v>94719938.629999995</v>
      </c>
    </row>
    <row r="40" spans="1:94">
      <c r="A40" s="10" t="s">
        <v>50</v>
      </c>
      <c r="B40" s="22">
        <v>5058510</v>
      </c>
      <c r="C40" s="22"/>
      <c r="D40" s="22"/>
      <c r="E40" s="22"/>
      <c r="F40" s="11"/>
      <c r="G40" s="11"/>
      <c r="H40" s="11"/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98">
        <v>0</v>
      </c>
      <c r="P40" s="11">
        <v>0</v>
      </c>
      <c r="Q40" s="11">
        <v>0</v>
      </c>
      <c r="R40" s="58">
        <v>0</v>
      </c>
      <c r="S40" s="11">
        <v>0</v>
      </c>
      <c r="T40" s="11">
        <v>0</v>
      </c>
      <c r="U40" s="11">
        <v>0</v>
      </c>
      <c r="V40" s="116">
        <v>0</v>
      </c>
      <c r="W40" s="118">
        <v>0</v>
      </c>
      <c r="X40" s="147">
        <v>0</v>
      </c>
      <c r="Y40" s="147">
        <v>0</v>
      </c>
      <c r="Z40" s="147">
        <v>0</v>
      </c>
      <c r="AB40" s="22">
        <v>0</v>
      </c>
      <c r="AC40" s="75">
        <v>0</v>
      </c>
      <c r="AD40" s="75">
        <v>0</v>
      </c>
      <c r="AE40" s="75">
        <v>0</v>
      </c>
      <c r="AF40" s="75">
        <v>0</v>
      </c>
      <c r="AG40" s="75">
        <v>0</v>
      </c>
      <c r="AH40" s="75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6">
        <v>0</v>
      </c>
      <c r="AT40" s="190">
        <v>0</v>
      </c>
      <c r="AU40" s="190"/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67">
        <v>0</v>
      </c>
      <c r="BI40" s="167">
        <v>0</v>
      </c>
      <c r="BJ40" s="167">
        <v>0</v>
      </c>
      <c r="BK40" s="167">
        <v>0</v>
      </c>
      <c r="BL40" s="167">
        <v>0</v>
      </c>
      <c r="BM40" s="217">
        <v>0</v>
      </c>
      <c r="BN40" s="217">
        <v>0</v>
      </c>
      <c r="BO40" s="219">
        <v>0</v>
      </c>
      <c r="BP40" s="219">
        <v>0</v>
      </c>
      <c r="BQ40" s="219">
        <v>0</v>
      </c>
      <c r="BR40" s="219">
        <v>0</v>
      </c>
      <c r="BS40" s="222">
        <v>0</v>
      </c>
      <c r="BT40" s="230"/>
      <c r="BU40" s="217">
        <v>0</v>
      </c>
      <c r="BV40" s="219">
        <v>0</v>
      </c>
      <c r="BW40" s="219">
        <v>0</v>
      </c>
      <c r="BX40" s="219">
        <v>0</v>
      </c>
      <c r="BY40" s="219">
        <v>0</v>
      </c>
      <c r="BZ40" s="219">
        <v>0</v>
      </c>
      <c r="CA40" s="219">
        <v>0</v>
      </c>
      <c r="CB40" s="219">
        <v>0</v>
      </c>
      <c r="CC40" s="219">
        <v>0</v>
      </c>
      <c r="CD40" s="219">
        <v>0</v>
      </c>
      <c r="CE40" s="219">
        <v>0</v>
      </c>
      <c r="CF40" s="219">
        <v>0</v>
      </c>
      <c r="CG40" s="219">
        <v>0</v>
      </c>
      <c r="CH40" s="217">
        <v>0</v>
      </c>
      <c r="CI40" s="219">
        <v>0</v>
      </c>
      <c r="CJ40" s="219">
        <v>0</v>
      </c>
      <c r="CK40" s="217">
        <v>0</v>
      </c>
      <c r="CL40" s="217">
        <v>0</v>
      </c>
      <c r="CM40" s="217">
        <v>0</v>
      </c>
      <c r="CN40" s="217">
        <v>0</v>
      </c>
      <c r="CO40" s="217">
        <v>0</v>
      </c>
      <c r="CP40" s="270">
        <v>0</v>
      </c>
    </row>
    <row r="41" spans="1:94" ht="14.25">
      <c r="A41" s="10" t="s">
        <v>51</v>
      </c>
      <c r="B41" s="22">
        <v>11835925</v>
      </c>
      <c r="C41" s="22">
        <v>22842014</v>
      </c>
      <c r="D41" s="22">
        <v>28642685</v>
      </c>
      <c r="E41" s="22">
        <v>28642685</v>
      </c>
      <c r="F41" s="11">
        <v>41987254</v>
      </c>
      <c r="G41" s="11">
        <v>66804781</v>
      </c>
      <c r="H41" s="11">
        <v>85290511</v>
      </c>
      <c r="I41" s="11">
        <v>105228157.15000001</v>
      </c>
      <c r="J41" s="11">
        <v>92673149.780000001</v>
      </c>
      <c r="K41" s="11">
        <v>87459634.780000001</v>
      </c>
      <c r="L41" s="11">
        <v>87459634.780000001</v>
      </c>
      <c r="M41" s="11">
        <v>87459634.780000001</v>
      </c>
      <c r="N41" s="11">
        <v>87459996.680000007</v>
      </c>
      <c r="O41" s="199">
        <v>87459996.680000007</v>
      </c>
      <c r="P41" s="11">
        <v>87459996.780000001</v>
      </c>
      <c r="Q41" s="11">
        <v>87459996.780000001</v>
      </c>
      <c r="R41" s="58">
        <v>87459996.780000001</v>
      </c>
      <c r="S41" s="11">
        <v>87459996.780000001</v>
      </c>
      <c r="T41" s="11">
        <v>87459996.780000001</v>
      </c>
      <c r="U41" s="11">
        <f>92673511+4241241-9454756</f>
        <v>87459996</v>
      </c>
      <c r="V41" s="116">
        <v>98395372.939999998</v>
      </c>
      <c r="W41" s="118">
        <v>98395372.939999998</v>
      </c>
      <c r="X41" s="147">
        <v>98395372.939999998</v>
      </c>
      <c r="Y41" s="147">
        <v>98395372.939999998</v>
      </c>
      <c r="Z41" s="147">
        <v>98395372.939999998</v>
      </c>
      <c r="AA41" s="120">
        <v>98395372.939999998</v>
      </c>
      <c r="AB41" s="22">
        <v>98395372.939999998</v>
      </c>
      <c r="AC41" s="75">
        <v>98395372.939999998</v>
      </c>
      <c r="AD41" s="75">
        <v>98395372.939999998</v>
      </c>
      <c r="AE41" s="75">
        <v>98395372.939999998</v>
      </c>
      <c r="AF41" s="75">
        <v>98395372.939999998</v>
      </c>
      <c r="AG41" s="75">
        <v>99109746.939999998</v>
      </c>
      <c r="AH41" s="75">
        <v>99117196.76000002</v>
      </c>
      <c r="AI41" s="11">
        <v>126743226.76000001</v>
      </c>
      <c r="AJ41" s="11">
        <v>126743226.76000001</v>
      </c>
      <c r="AK41" s="11">
        <v>126743226.76000001</v>
      </c>
      <c r="AL41" s="11">
        <v>126640401.72</v>
      </c>
      <c r="AM41" s="11">
        <v>131853916.76000001</v>
      </c>
      <c r="AN41" s="11">
        <v>131853916.76000001</v>
      </c>
      <c r="AO41" s="11">
        <v>131853916.76000001</v>
      </c>
      <c r="AP41" s="11">
        <v>131853916.76000001</v>
      </c>
      <c r="AQ41" s="11">
        <v>131853916.76000001</v>
      </c>
      <c r="AR41" s="11">
        <v>131853916.76000001</v>
      </c>
      <c r="AS41" s="116">
        <v>131853916.76000001</v>
      </c>
      <c r="AT41" s="190">
        <v>126640401.76000001</v>
      </c>
      <c r="AU41" s="150">
        <v>126743227.01000001</v>
      </c>
      <c r="AV41" s="11">
        <v>145388912.91</v>
      </c>
      <c r="AW41" s="11">
        <v>145388912.91</v>
      </c>
      <c r="AX41" s="11">
        <v>145388912.91</v>
      </c>
      <c r="AY41" s="11">
        <v>145388912.91</v>
      </c>
      <c r="AZ41" s="11">
        <v>145388912.91</v>
      </c>
      <c r="BB41" s="11">
        <v>726944564.54999995</v>
      </c>
      <c r="BC41" s="11">
        <v>145388912.91</v>
      </c>
      <c r="BD41" s="11">
        <v>145388912.91</v>
      </c>
      <c r="BE41" s="11">
        <v>145388912.91</v>
      </c>
      <c r="BF41" s="11">
        <v>145388912.91</v>
      </c>
      <c r="BG41" s="193">
        <v>145388913</v>
      </c>
      <c r="BH41" s="167">
        <v>162744966.84</v>
      </c>
      <c r="BI41" s="167">
        <v>162744966.84</v>
      </c>
      <c r="BJ41" s="167">
        <v>162744966.84</v>
      </c>
      <c r="BK41" s="167">
        <v>162744966.84</v>
      </c>
      <c r="BL41" s="167">
        <v>162744966.84</v>
      </c>
      <c r="BM41" s="218">
        <v>162744966.84</v>
      </c>
      <c r="BN41" s="218">
        <v>162744966.84</v>
      </c>
      <c r="BO41" s="220">
        <v>162744966.84</v>
      </c>
      <c r="BP41" s="220">
        <v>162744966.84</v>
      </c>
      <c r="BQ41" s="220">
        <v>162744966.84</v>
      </c>
      <c r="BR41" s="220">
        <v>162744966.84</v>
      </c>
      <c r="BS41" s="221">
        <v>162744966.83000001</v>
      </c>
      <c r="BT41" s="230">
        <v>162744967</v>
      </c>
      <c r="BU41" s="218">
        <v>176904748.84</v>
      </c>
      <c r="BV41" s="220">
        <v>176904748.84</v>
      </c>
      <c r="BW41" s="220">
        <v>176904748.84</v>
      </c>
      <c r="BX41" s="220">
        <v>176904748.84</v>
      </c>
      <c r="BY41" s="220">
        <v>176904748.84</v>
      </c>
      <c r="BZ41" s="220">
        <v>176904748.84</v>
      </c>
      <c r="CA41" s="220">
        <v>176904748.84</v>
      </c>
      <c r="CB41" s="220">
        <v>176904748.84</v>
      </c>
      <c r="CC41" s="220">
        <v>176904748.84</v>
      </c>
      <c r="CD41" s="220">
        <v>176904748.84</v>
      </c>
      <c r="CE41" s="220">
        <v>176971948.84</v>
      </c>
      <c r="CF41" s="219">
        <v>177039148.84</v>
      </c>
      <c r="CG41" s="245">
        <v>176904749</v>
      </c>
      <c r="CH41" s="218">
        <v>177106348.84</v>
      </c>
      <c r="CI41" s="220">
        <v>178556893.38</v>
      </c>
      <c r="CJ41" s="220">
        <v>178591893.38</v>
      </c>
      <c r="CK41" s="218">
        <v>178591893.38</v>
      </c>
      <c r="CL41" s="218">
        <v>178726293.38</v>
      </c>
      <c r="CM41" s="218">
        <v>178726293.38</v>
      </c>
      <c r="CN41" s="218">
        <v>178726293.38</v>
      </c>
      <c r="CO41" s="218">
        <v>178773293.38</v>
      </c>
      <c r="CP41" s="271">
        <v>178830493.38</v>
      </c>
    </row>
    <row r="42" spans="1:94" ht="14.25">
      <c r="A42" s="10" t="s">
        <v>52</v>
      </c>
      <c r="B42" s="22"/>
      <c r="C42" s="22"/>
      <c r="D42" s="22"/>
      <c r="E42" s="22">
        <v>13344568.290400006</v>
      </c>
      <c r="F42" s="59">
        <v>19604846</v>
      </c>
      <c r="G42" s="11">
        <v>18304471</v>
      </c>
      <c r="H42" s="60">
        <v>7382638</v>
      </c>
      <c r="I42" s="11">
        <v>-2547032.5</v>
      </c>
      <c r="J42" s="11">
        <v>5184516.21</v>
      </c>
      <c r="K42" s="11">
        <v>8499121.4199999999</v>
      </c>
      <c r="L42" s="11">
        <v>8401507.6799999997</v>
      </c>
      <c r="M42" s="11">
        <v>10638452.84</v>
      </c>
      <c r="N42" s="11">
        <v>21324690.34</v>
      </c>
      <c r="O42" s="199">
        <v>18334762.710000001</v>
      </c>
      <c r="P42" s="11">
        <v>27498157.789999999</v>
      </c>
      <c r="Q42" s="11">
        <v>37462432.409999996</v>
      </c>
      <c r="R42" s="58">
        <v>40863810.68</v>
      </c>
      <c r="S42" s="11">
        <v>47300355.539999999</v>
      </c>
      <c r="T42" s="11">
        <v>18380415.379999999</v>
      </c>
      <c r="U42" s="11">
        <f>104330710+4241241-9454756-U41</f>
        <v>11657199</v>
      </c>
      <c r="V42" s="116">
        <v>439270.18</v>
      </c>
      <c r="W42" s="118">
        <v>4336331.1500000004</v>
      </c>
      <c r="X42" s="147">
        <v>5822529.8099999996</v>
      </c>
      <c r="Y42" s="147">
        <v>6193148.9500000002</v>
      </c>
      <c r="Z42" s="147">
        <v>10721731.09</v>
      </c>
      <c r="AA42" s="120">
        <v>25094260.219999999</v>
      </c>
      <c r="AB42" s="22">
        <v>27591487.399999999</v>
      </c>
      <c r="AC42" s="75">
        <v>32438938.600000001</v>
      </c>
      <c r="AD42" s="75">
        <v>35982398.340000004</v>
      </c>
      <c r="AE42" s="75">
        <v>42361871.920000002</v>
      </c>
      <c r="AF42" s="75">
        <v>49373027.119999997</v>
      </c>
      <c r="AG42" s="75">
        <v>34568895.75</v>
      </c>
      <c r="AH42" s="75">
        <f>126743228-99117196</f>
        <v>27626032</v>
      </c>
      <c r="AI42" s="11">
        <v>4215190.1900000004</v>
      </c>
      <c r="AJ42" s="11">
        <v>7446296.1900000004</v>
      </c>
      <c r="AK42" s="11">
        <v>8442656.8599999994</v>
      </c>
      <c r="AL42" s="11">
        <v>7987493.29</v>
      </c>
      <c r="AM42" s="11">
        <v>13137786.939999999</v>
      </c>
      <c r="AN42" s="11">
        <v>27479635.280000001</v>
      </c>
      <c r="AO42" s="11">
        <v>31263360.899999999</v>
      </c>
      <c r="AP42" s="11">
        <v>30481936.760000002</v>
      </c>
      <c r="AQ42" s="11">
        <v>32247910.32</v>
      </c>
      <c r="AR42" s="11">
        <v>34528368.289999999</v>
      </c>
      <c r="AS42" s="116">
        <v>28795650.890000001</v>
      </c>
      <c r="AT42" s="190">
        <v>24360399.960000001</v>
      </c>
      <c r="AU42" s="190">
        <v>18645685.672000032</v>
      </c>
      <c r="AV42" s="11">
        <v>7048076.5</v>
      </c>
      <c r="AW42" s="11">
        <v>9615532.4000000004</v>
      </c>
      <c r="AX42" s="11">
        <v>21852931.43</v>
      </c>
      <c r="AY42" s="11">
        <v>16852969.43</v>
      </c>
      <c r="AZ42" s="11">
        <v>16523321.02</v>
      </c>
      <c r="BB42" s="11">
        <v>92455243.200000003</v>
      </c>
      <c r="BC42" s="11">
        <v>19646033.52</v>
      </c>
      <c r="BD42" s="11">
        <v>20255976.690000001</v>
      </c>
      <c r="BE42" s="11">
        <v>19559975.09</v>
      </c>
      <c r="BF42" s="11">
        <v>21695270.109999999</v>
      </c>
      <c r="BG42" s="193">
        <f>162745129-BG41</f>
        <v>17356216</v>
      </c>
      <c r="BH42" s="167">
        <v>3092219.95</v>
      </c>
      <c r="BI42" s="167">
        <v>-1025671.57</v>
      </c>
      <c r="BJ42" s="167">
        <v>-307492.51</v>
      </c>
      <c r="BK42" s="167">
        <v>17740002.629999999</v>
      </c>
      <c r="BL42" s="167">
        <v>17250304.370000001</v>
      </c>
      <c r="BM42" s="218">
        <v>19775737.800000001</v>
      </c>
      <c r="BN42" s="218">
        <v>15305733.380000001</v>
      </c>
      <c r="BO42" s="220">
        <v>23934423.390000001</v>
      </c>
      <c r="BP42" s="220">
        <v>27733377.66</v>
      </c>
      <c r="BQ42" s="220">
        <v>33576266.020000003</v>
      </c>
      <c r="BR42" s="220">
        <v>36131736.920000002</v>
      </c>
      <c r="BS42" s="221">
        <v>26427141.710000001</v>
      </c>
      <c r="BT42" s="230">
        <f>17699727-3539945</f>
        <v>14159782</v>
      </c>
      <c r="BU42" s="218">
        <v>1225.02</v>
      </c>
      <c r="BV42" s="220">
        <v>1480825.1</v>
      </c>
      <c r="BW42" s="220">
        <v>1631135.9</v>
      </c>
      <c r="BX42" s="220">
        <v>2601389.2200000002</v>
      </c>
      <c r="BY42" s="220">
        <v>2610646.66</v>
      </c>
      <c r="BZ42" s="220">
        <v>20720815.109999999</v>
      </c>
      <c r="CA42" s="220">
        <v>19266249.23</v>
      </c>
      <c r="CB42" s="220">
        <v>20396851.239999998</v>
      </c>
      <c r="CC42" s="220">
        <v>25267096.300000001</v>
      </c>
      <c r="CD42" s="220">
        <v>27310451.510000002</v>
      </c>
      <c r="CE42" s="220">
        <v>26859559.75</v>
      </c>
      <c r="CF42" s="220">
        <v>2530653</v>
      </c>
      <c r="CG42" s="245">
        <f>4368747-873749</f>
        <v>3494998</v>
      </c>
      <c r="CH42" s="218">
        <v>6402410.21</v>
      </c>
      <c r="CI42" s="220">
        <v>12808216.970000001</v>
      </c>
      <c r="CJ42" s="220">
        <v>4692622.71</v>
      </c>
      <c r="CK42" s="218">
        <v>1342571.66</v>
      </c>
      <c r="CL42" s="218">
        <v>-1714145.65</v>
      </c>
      <c r="CM42" s="218">
        <v>11168489.880000001</v>
      </c>
      <c r="CN42" s="218">
        <v>3632321.69</v>
      </c>
      <c r="CO42" s="218">
        <v>3780132.32</v>
      </c>
      <c r="CP42" s="271">
        <v>5153741.75</v>
      </c>
    </row>
    <row r="43" spans="1:94">
      <c r="A43" s="10" t="s">
        <v>53</v>
      </c>
      <c r="B43" s="22">
        <v>6638993</v>
      </c>
      <c r="C43" s="22">
        <v>9477422</v>
      </c>
      <c r="D43" s="22">
        <v>11070308</v>
      </c>
      <c r="E43" s="22">
        <v>14182415.865100002</v>
      </c>
      <c r="F43" s="11">
        <v>18007281</v>
      </c>
      <c r="G43" s="11">
        <v>22583399</v>
      </c>
      <c r="H43" s="73">
        <v>24368909</v>
      </c>
      <c r="I43" s="59">
        <v>22523249</v>
      </c>
      <c r="J43" s="11">
        <v>24368909</v>
      </c>
      <c r="K43" s="11">
        <v>24368909</v>
      </c>
      <c r="L43" s="11">
        <v>24368909</v>
      </c>
      <c r="M43" s="11">
        <v>24368909</v>
      </c>
      <c r="N43" s="11">
        <v>24368909</v>
      </c>
      <c r="O43" s="200">
        <v>24368909</v>
      </c>
      <c r="P43" s="11">
        <v>24368909</v>
      </c>
      <c r="Q43" s="11">
        <v>24368909</v>
      </c>
      <c r="R43" s="58">
        <v>24368909</v>
      </c>
      <c r="S43" s="11">
        <v>24368909</v>
      </c>
      <c r="T43" s="11">
        <v>24368909</v>
      </c>
      <c r="U43" s="11">
        <v>27283209</v>
      </c>
      <c r="V43" s="116">
        <v>27997583</v>
      </c>
      <c r="W43" s="118">
        <v>27997583</v>
      </c>
      <c r="X43" s="147">
        <v>27997583</v>
      </c>
      <c r="Y43" s="147">
        <v>27997583</v>
      </c>
      <c r="Z43" s="147">
        <v>27997583</v>
      </c>
      <c r="AA43" s="120">
        <v>27997583</v>
      </c>
      <c r="AB43" s="22">
        <v>27997583</v>
      </c>
      <c r="AC43" s="75">
        <v>27997583</v>
      </c>
      <c r="AD43" s="75">
        <v>27997583</v>
      </c>
      <c r="AE43" s="75">
        <v>27997583</v>
      </c>
      <c r="AF43" s="75">
        <v>27997583</v>
      </c>
      <c r="AG43" s="75">
        <v>27283209</v>
      </c>
      <c r="AH43" s="75">
        <v>34191578.751999997</v>
      </c>
      <c r="AI43" s="11">
        <v>34191579</v>
      </c>
      <c r="AJ43" s="11">
        <v>34191579</v>
      </c>
      <c r="AK43" s="11">
        <v>34191579</v>
      </c>
      <c r="AL43" s="11">
        <v>34191579</v>
      </c>
      <c r="AM43" s="11">
        <v>34191579</v>
      </c>
      <c r="AN43" s="11">
        <v>34191579</v>
      </c>
      <c r="AO43" s="11">
        <v>34191579</v>
      </c>
      <c r="AP43" s="11">
        <v>34191579</v>
      </c>
      <c r="AQ43" s="11">
        <v>34191579</v>
      </c>
      <c r="AR43" s="11">
        <v>34191579</v>
      </c>
      <c r="AS43" s="116">
        <v>34191579</v>
      </c>
      <c r="AT43" s="190">
        <v>34191579</v>
      </c>
      <c r="AU43" s="152">
        <v>38878706.730500005</v>
      </c>
      <c r="AV43" s="11">
        <v>38878707</v>
      </c>
      <c r="AW43" s="11">
        <v>38878707</v>
      </c>
      <c r="AX43" s="11">
        <v>38878707</v>
      </c>
      <c r="AY43" s="11">
        <v>38878707</v>
      </c>
      <c r="AZ43" s="11">
        <v>38878707</v>
      </c>
      <c r="BB43" s="11">
        <v>194393535</v>
      </c>
      <c r="BC43" s="11">
        <v>38878707</v>
      </c>
      <c r="BD43" s="11">
        <v>38878707</v>
      </c>
      <c r="BE43" s="11">
        <v>38878707</v>
      </c>
      <c r="BF43" s="11">
        <v>38878707</v>
      </c>
      <c r="BG43" s="75">
        <f>38878707+4339054</f>
        <v>43217761</v>
      </c>
      <c r="BH43" s="167">
        <v>43217923</v>
      </c>
      <c r="BI43" s="167">
        <v>43217923</v>
      </c>
      <c r="BJ43" s="167">
        <v>43217923</v>
      </c>
      <c r="BK43" s="167">
        <v>43217923</v>
      </c>
      <c r="BL43" s="167">
        <v>43217923</v>
      </c>
      <c r="BM43" s="218">
        <v>43217923</v>
      </c>
      <c r="BN43" s="218">
        <v>43217923</v>
      </c>
      <c r="BO43" s="220">
        <v>43217923</v>
      </c>
      <c r="BP43" s="220">
        <v>43217923</v>
      </c>
      <c r="BQ43" s="220">
        <v>43217923</v>
      </c>
      <c r="BR43" s="220">
        <v>43217923</v>
      </c>
      <c r="BS43" s="221">
        <v>43217923</v>
      </c>
      <c r="BT43" s="230">
        <v>46757868</v>
      </c>
      <c r="BU43" s="218">
        <v>46757868</v>
      </c>
      <c r="BV43" s="220">
        <v>46757868</v>
      </c>
      <c r="BW43" s="220">
        <v>46757868</v>
      </c>
      <c r="BX43" s="220">
        <v>46757868</v>
      </c>
      <c r="BY43" s="220">
        <v>46757868</v>
      </c>
      <c r="BZ43" s="220">
        <v>46757868</v>
      </c>
      <c r="CA43" s="220">
        <v>46757868</v>
      </c>
      <c r="CB43" s="220">
        <v>46757868</v>
      </c>
      <c r="CC43" s="220">
        <v>46757868</v>
      </c>
      <c r="CD43" s="220">
        <v>46757868</v>
      </c>
      <c r="CE43" s="220">
        <v>46757868</v>
      </c>
      <c r="CF43" s="220">
        <v>47390531</v>
      </c>
      <c r="CG43" s="220">
        <v>47631616</v>
      </c>
      <c r="CH43" s="218">
        <v>46757868</v>
      </c>
      <c r="CI43" s="220">
        <v>49810467</v>
      </c>
      <c r="CJ43" s="220">
        <v>49810467</v>
      </c>
      <c r="CK43" s="218">
        <v>49810467</v>
      </c>
      <c r="CL43" s="218">
        <v>49810467</v>
      </c>
      <c r="CM43" s="218">
        <v>49810467</v>
      </c>
      <c r="CN43" s="218">
        <v>49810467</v>
      </c>
      <c r="CO43" s="218">
        <v>49810467</v>
      </c>
      <c r="CP43" s="271">
        <v>49810467</v>
      </c>
    </row>
    <row r="44" spans="1:94">
      <c r="A44" s="10" t="s">
        <v>54</v>
      </c>
      <c r="B44" s="22">
        <v>27818777</v>
      </c>
      <c r="C44" s="22"/>
      <c r="D44" s="22"/>
      <c r="E44" s="22"/>
      <c r="F44" s="11"/>
      <c r="G44" s="11"/>
      <c r="H44" s="75"/>
      <c r="I44" s="59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200">
        <v>0</v>
      </c>
      <c r="P44" s="11">
        <v>0</v>
      </c>
      <c r="Q44" s="11">
        <v>0</v>
      </c>
      <c r="R44" s="58">
        <v>0</v>
      </c>
      <c r="S44" s="11">
        <v>0</v>
      </c>
      <c r="T44" s="11">
        <v>0</v>
      </c>
      <c r="U44" s="11"/>
      <c r="V44" s="116">
        <v>0</v>
      </c>
      <c r="W44" s="118">
        <v>0</v>
      </c>
      <c r="X44" s="147">
        <v>0</v>
      </c>
      <c r="Y44" s="147">
        <v>0</v>
      </c>
      <c r="Z44" s="147">
        <v>0</v>
      </c>
      <c r="AA44" s="147">
        <v>0</v>
      </c>
      <c r="AB44" s="22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/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6">
        <v>0</v>
      </c>
      <c r="AT44" s="190">
        <v>0</v>
      </c>
      <c r="AU44" s="190"/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67">
        <v>0</v>
      </c>
      <c r="BI44" s="167">
        <v>0</v>
      </c>
      <c r="BJ44" s="167">
        <v>0</v>
      </c>
      <c r="BK44" s="167">
        <v>0</v>
      </c>
      <c r="BL44" s="167">
        <v>0</v>
      </c>
      <c r="BM44" s="217">
        <v>0</v>
      </c>
      <c r="BN44" s="217">
        <v>0</v>
      </c>
      <c r="BO44" s="219">
        <v>0</v>
      </c>
      <c r="BP44" s="219">
        <v>0</v>
      </c>
      <c r="BQ44" s="219">
        <v>0</v>
      </c>
      <c r="BR44" s="219">
        <v>0</v>
      </c>
      <c r="BS44" s="222">
        <v>0</v>
      </c>
      <c r="BT44" s="230"/>
      <c r="BU44" s="217">
        <v>0</v>
      </c>
      <c r="BV44" s="219">
        <v>0</v>
      </c>
      <c r="BW44" s="219">
        <v>0</v>
      </c>
      <c r="BX44" s="219">
        <v>0</v>
      </c>
      <c r="BY44" s="219">
        <v>0</v>
      </c>
      <c r="BZ44" s="219">
        <v>0</v>
      </c>
      <c r="CA44" s="219">
        <v>0</v>
      </c>
      <c r="CB44" s="219">
        <v>0</v>
      </c>
      <c r="CC44" s="219">
        <v>0</v>
      </c>
      <c r="CD44" s="219">
        <v>0</v>
      </c>
      <c r="CE44" s="219">
        <v>0</v>
      </c>
      <c r="CF44" s="219">
        <v>0</v>
      </c>
      <c r="CG44" s="219">
        <v>0</v>
      </c>
      <c r="CH44" s="217">
        <v>0</v>
      </c>
      <c r="CI44" s="219">
        <v>0</v>
      </c>
      <c r="CJ44" s="219">
        <v>0</v>
      </c>
      <c r="CK44" s="217">
        <v>0</v>
      </c>
      <c r="CL44" s="217">
        <v>0</v>
      </c>
      <c r="CM44" s="217">
        <v>0</v>
      </c>
      <c r="CN44" s="217">
        <v>0</v>
      </c>
      <c r="CO44" s="217">
        <v>0</v>
      </c>
      <c r="CP44" s="270">
        <v>0</v>
      </c>
    </row>
    <row r="45" spans="1:94">
      <c r="A45" s="10" t="s">
        <v>55</v>
      </c>
      <c r="B45" s="22"/>
      <c r="C45" s="22"/>
      <c r="D45" s="22">
        <v>-9454756</v>
      </c>
      <c r="E45" s="22"/>
      <c r="F45" s="11"/>
      <c r="G45" s="11">
        <v>-5213515</v>
      </c>
      <c r="H45" s="73">
        <v>-5213515</v>
      </c>
      <c r="I45" s="11">
        <v>-5213515</v>
      </c>
      <c r="J45" s="11">
        <v>-5213515</v>
      </c>
      <c r="K45" s="11">
        <v>0</v>
      </c>
      <c r="L45" s="11">
        <v>0</v>
      </c>
      <c r="M45" s="11">
        <v>0</v>
      </c>
      <c r="N45" s="11">
        <v>0</v>
      </c>
      <c r="O45" s="200">
        <v>0</v>
      </c>
      <c r="P45" s="11">
        <v>0</v>
      </c>
      <c r="Q45" s="11">
        <v>0</v>
      </c>
      <c r="R45" s="58">
        <v>0</v>
      </c>
      <c r="S45" s="11">
        <v>0</v>
      </c>
      <c r="T45" s="11">
        <v>0</v>
      </c>
      <c r="U45" s="11"/>
      <c r="V45" s="116">
        <v>0</v>
      </c>
      <c r="W45" s="118">
        <v>0</v>
      </c>
      <c r="X45" s="147">
        <v>0</v>
      </c>
      <c r="Y45" s="147">
        <v>0</v>
      </c>
      <c r="Z45" s="147">
        <v>0</v>
      </c>
      <c r="AA45" s="147">
        <v>0</v>
      </c>
      <c r="AB45" s="22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6">
        <v>0</v>
      </c>
      <c r="AT45" s="190">
        <v>0</v>
      </c>
      <c r="AU45" s="190"/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67">
        <v>0</v>
      </c>
      <c r="BI45" s="167">
        <v>0</v>
      </c>
      <c r="BJ45" s="167">
        <v>0</v>
      </c>
      <c r="BK45" s="167">
        <v>0</v>
      </c>
      <c r="BL45" s="167">
        <v>0</v>
      </c>
      <c r="BM45" s="217">
        <v>0</v>
      </c>
      <c r="BN45" s="217">
        <v>0</v>
      </c>
      <c r="BO45" s="219">
        <v>0</v>
      </c>
      <c r="BP45" s="219">
        <v>0</v>
      </c>
      <c r="BQ45" s="219">
        <v>0</v>
      </c>
      <c r="BR45" s="219">
        <v>0</v>
      </c>
      <c r="BS45" s="222">
        <v>0</v>
      </c>
      <c r="BT45" s="230"/>
      <c r="BU45" s="217">
        <v>0</v>
      </c>
      <c r="BV45" s="219">
        <v>0</v>
      </c>
      <c r="BW45" s="219">
        <v>0</v>
      </c>
      <c r="BX45" s="219">
        <v>0</v>
      </c>
      <c r="BY45" s="219">
        <v>0</v>
      </c>
      <c r="BZ45" s="219">
        <v>0</v>
      </c>
      <c r="CA45" s="219">
        <v>0</v>
      </c>
      <c r="CB45" s="219">
        <v>0</v>
      </c>
      <c r="CC45" s="219">
        <v>0</v>
      </c>
      <c r="CD45" s="219">
        <v>0</v>
      </c>
      <c r="CE45" s="219">
        <v>0</v>
      </c>
      <c r="CF45" s="219">
        <v>0</v>
      </c>
      <c r="CG45" s="219">
        <v>0</v>
      </c>
      <c r="CH45" s="217">
        <v>0</v>
      </c>
      <c r="CI45" s="219">
        <v>0</v>
      </c>
      <c r="CJ45" s="219">
        <v>0</v>
      </c>
      <c r="CK45" s="217">
        <v>0</v>
      </c>
      <c r="CL45" s="217">
        <v>0</v>
      </c>
      <c r="CM45" s="217">
        <v>0</v>
      </c>
      <c r="CN45" s="217">
        <v>0</v>
      </c>
      <c r="CO45" s="217">
        <v>0</v>
      </c>
      <c r="CP45" s="270">
        <v>0</v>
      </c>
    </row>
    <row r="46" spans="1:94">
      <c r="A46" s="10" t="s">
        <v>56</v>
      </c>
      <c r="B46" s="22">
        <v>0</v>
      </c>
      <c r="C46" s="22">
        <v>549460</v>
      </c>
      <c r="D46" s="22">
        <v>587910</v>
      </c>
      <c r="E46" s="22"/>
      <c r="F46" s="12"/>
      <c r="G46" s="22"/>
      <c r="H46" s="22"/>
      <c r="I46" s="2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201">
        <v>0</v>
      </c>
      <c r="P46" s="12">
        <v>0</v>
      </c>
      <c r="Q46" s="12">
        <v>0</v>
      </c>
      <c r="R46" s="58">
        <v>0</v>
      </c>
      <c r="S46" s="12">
        <v>0</v>
      </c>
      <c r="T46" s="22">
        <v>0</v>
      </c>
      <c r="U46" s="22"/>
      <c r="V46" s="116">
        <v>0</v>
      </c>
      <c r="W46" s="118">
        <v>0</v>
      </c>
      <c r="X46" s="147">
        <v>0</v>
      </c>
      <c r="Y46" s="147">
        <v>0</v>
      </c>
      <c r="Z46" s="147">
        <v>0</v>
      </c>
      <c r="AA46" s="147">
        <v>0</v>
      </c>
      <c r="AB46" s="22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202">
        <v>0</v>
      </c>
      <c r="AT46" s="203">
        <v>0</v>
      </c>
      <c r="AU46" s="203"/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68">
        <v>0</v>
      </c>
      <c r="BI46" s="168">
        <v>0</v>
      </c>
      <c r="BJ46" s="168">
        <v>0</v>
      </c>
      <c r="BK46" s="168">
        <v>0</v>
      </c>
      <c r="BL46" s="168">
        <v>0</v>
      </c>
      <c r="BM46" s="217">
        <v>0</v>
      </c>
      <c r="BN46" s="217">
        <v>0</v>
      </c>
      <c r="BO46" s="219">
        <v>0</v>
      </c>
      <c r="BP46" s="219">
        <v>0</v>
      </c>
      <c r="BQ46" s="219">
        <v>0</v>
      </c>
      <c r="BR46" s="219">
        <v>0</v>
      </c>
      <c r="BS46" s="222">
        <v>0</v>
      </c>
      <c r="BT46" s="230"/>
      <c r="BU46" s="217">
        <v>0</v>
      </c>
      <c r="BV46" s="219">
        <v>0</v>
      </c>
      <c r="BW46" s="219">
        <v>0</v>
      </c>
      <c r="BX46" s="219">
        <v>0</v>
      </c>
      <c r="BY46" s="219">
        <v>0</v>
      </c>
      <c r="BZ46" s="219">
        <v>0</v>
      </c>
      <c r="CA46" s="219">
        <v>0</v>
      </c>
      <c r="CB46" s="219">
        <v>0</v>
      </c>
      <c r="CC46" s="219">
        <v>0</v>
      </c>
      <c r="CD46" s="219">
        <v>0</v>
      </c>
      <c r="CE46" s="219">
        <v>0</v>
      </c>
      <c r="CF46" s="219">
        <v>0</v>
      </c>
      <c r="CG46" s="219">
        <v>0</v>
      </c>
      <c r="CH46" s="217">
        <v>0</v>
      </c>
      <c r="CI46" s="219">
        <v>0</v>
      </c>
      <c r="CJ46" s="219">
        <v>0</v>
      </c>
      <c r="CK46" s="217">
        <v>0</v>
      </c>
      <c r="CL46" s="217">
        <v>0</v>
      </c>
      <c r="CM46" s="217">
        <v>0</v>
      </c>
      <c r="CN46" s="217">
        <v>0</v>
      </c>
      <c r="CO46" s="217">
        <v>0</v>
      </c>
      <c r="CP46" s="270">
        <v>0</v>
      </c>
    </row>
    <row r="47" spans="1:94">
      <c r="A47" s="10" t="s">
        <v>57</v>
      </c>
      <c r="B47" s="22"/>
      <c r="C47" s="22"/>
      <c r="D47" s="22"/>
      <c r="E47" s="22"/>
      <c r="F47" s="12"/>
      <c r="G47" s="12"/>
      <c r="H47" s="12"/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201">
        <v>0</v>
      </c>
      <c r="P47" s="12">
        <v>0</v>
      </c>
      <c r="Q47" s="12">
        <v>0</v>
      </c>
      <c r="R47" s="58">
        <v>0</v>
      </c>
      <c r="S47" s="12">
        <v>0</v>
      </c>
      <c r="T47" s="12">
        <v>0</v>
      </c>
      <c r="U47" s="12"/>
      <c r="V47" s="116">
        <v>0</v>
      </c>
      <c r="W47" s="118">
        <v>0</v>
      </c>
      <c r="X47" s="147">
        <v>0</v>
      </c>
      <c r="Y47" s="147">
        <v>0</v>
      </c>
      <c r="Z47" s="147">
        <v>0</v>
      </c>
      <c r="AA47" s="147">
        <v>0</v>
      </c>
      <c r="AB47" s="22">
        <v>0</v>
      </c>
      <c r="AC47" s="75">
        <v>0</v>
      </c>
      <c r="AD47" s="75">
        <v>0</v>
      </c>
      <c r="AE47" s="75">
        <v>0</v>
      </c>
      <c r="AF47" s="75">
        <v>0</v>
      </c>
      <c r="AG47" s="75">
        <v>0</v>
      </c>
      <c r="AH47" s="75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202">
        <v>0</v>
      </c>
      <c r="AT47" s="203">
        <v>0</v>
      </c>
      <c r="AU47" s="203"/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68">
        <v>0</v>
      </c>
      <c r="BI47" s="168">
        <v>0</v>
      </c>
      <c r="BJ47" s="168">
        <v>0</v>
      </c>
      <c r="BK47" s="168">
        <v>0</v>
      </c>
      <c r="BL47" s="168">
        <v>0</v>
      </c>
      <c r="BM47" s="217">
        <v>0</v>
      </c>
      <c r="BN47" s="217">
        <v>0</v>
      </c>
      <c r="BO47" s="219">
        <v>0</v>
      </c>
      <c r="BP47" s="219">
        <v>0</v>
      </c>
      <c r="BQ47" s="219">
        <v>0</v>
      </c>
      <c r="BR47" s="219">
        <v>0</v>
      </c>
      <c r="BS47" s="222">
        <v>0</v>
      </c>
      <c r="BT47" s="230"/>
      <c r="BU47" s="217">
        <v>0</v>
      </c>
      <c r="BV47" s="219">
        <v>0</v>
      </c>
      <c r="BW47" s="219">
        <v>0</v>
      </c>
      <c r="BX47" s="219">
        <v>0</v>
      </c>
      <c r="BY47" s="219">
        <v>0</v>
      </c>
      <c r="BZ47" s="219">
        <v>0</v>
      </c>
      <c r="CA47" s="219">
        <v>0</v>
      </c>
      <c r="CB47" s="219">
        <v>0</v>
      </c>
      <c r="CC47" s="219">
        <v>0</v>
      </c>
      <c r="CD47" s="219">
        <v>0</v>
      </c>
      <c r="CE47" s="219">
        <v>0</v>
      </c>
      <c r="CF47" s="219">
        <v>0</v>
      </c>
      <c r="CG47" s="245">
        <v>194400</v>
      </c>
      <c r="CH47" s="217">
        <v>0</v>
      </c>
      <c r="CI47" s="219">
        <v>0</v>
      </c>
      <c r="CJ47" s="219">
        <v>0</v>
      </c>
      <c r="CK47" s="217">
        <v>0</v>
      </c>
      <c r="CL47" s="217">
        <v>0</v>
      </c>
      <c r="CM47" s="217">
        <v>0</v>
      </c>
      <c r="CN47" s="217">
        <v>0</v>
      </c>
      <c r="CO47" s="217">
        <v>0</v>
      </c>
      <c r="CP47" s="270">
        <v>0</v>
      </c>
    </row>
    <row r="48" spans="1:94">
      <c r="A48" s="9" t="s">
        <v>58</v>
      </c>
      <c r="B48" s="53">
        <f t="shared" ref="B48:H48" si="43">SUM(B39:B47)</f>
        <v>56410715</v>
      </c>
      <c r="C48" s="53">
        <f t="shared" si="43"/>
        <v>73896875</v>
      </c>
      <c r="D48" s="53">
        <f t="shared" si="43"/>
        <v>72165342</v>
      </c>
      <c r="E48" s="53">
        <f t="shared" si="43"/>
        <v>100846405.67550001</v>
      </c>
      <c r="F48" s="53">
        <f t="shared" si="43"/>
        <v>146858150</v>
      </c>
      <c r="G48" s="53">
        <f t="shared" si="43"/>
        <v>170035668</v>
      </c>
      <c r="H48" s="53">
        <f t="shared" si="43"/>
        <v>185289764</v>
      </c>
      <c r="I48" s="53">
        <f t="shared" ref="I48:AD48" si="44">SUM(I39:I47)</f>
        <v>193494680.38</v>
      </c>
      <c r="J48" s="53">
        <f t="shared" si="44"/>
        <v>190698181.72</v>
      </c>
      <c r="K48" s="53">
        <f t="shared" si="44"/>
        <v>194208616.34</v>
      </c>
      <c r="L48" s="53">
        <f t="shared" si="44"/>
        <v>194333952.60000002</v>
      </c>
      <c r="M48" s="53">
        <f t="shared" si="44"/>
        <v>196791903.35999998</v>
      </c>
      <c r="N48" s="53">
        <f t="shared" si="44"/>
        <v>207689752.76000002</v>
      </c>
      <c r="O48" s="53">
        <f t="shared" si="44"/>
        <v>204861025.13000003</v>
      </c>
      <c r="P48" s="53">
        <f t="shared" si="44"/>
        <v>214065120.30999997</v>
      </c>
      <c r="Q48" s="53">
        <f t="shared" si="44"/>
        <v>224174094.92999998</v>
      </c>
      <c r="R48" s="53">
        <f t="shared" si="44"/>
        <v>227594473.19999999</v>
      </c>
      <c r="S48" s="53">
        <f t="shared" si="44"/>
        <v>234172368.05999997</v>
      </c>
      <c r="T48" s="53">
        <f t="shared" si="44"/>
        <v>205322227.89999998</v>
      </c>
      <c r="U48" s="53">
        <f t="shared" si="44"/>
        <v>201513311</v>
      </c>
      <c r="V48" s="115">
        <f t="shared" si="44"/>
        <v>202031632.86000001</v>
      </c>
      <c r="W48" s="115">
        <f t="shared" si="44"/>
        <v>205992493.83000001</v>
      </c>
      <c r="X48" s="115">
        <f t="shared" si="44"/>
        <v>207507415.74000001</v>
      </c>
      <c r="Y48" s="115">
        <f t="shared" si="44"/>
        <v>208065454.88</v>
      </c>
      <c r="Z48" s="115">
        <f t="shared" si="44"/>
        <v>212651837.02000001</v>
      </c>
      <c r="AA48" s="115">
        <f t="shared" si="44"/>
        <v>227038166.15000001</v>
      </c>
      <c r="AB48" s="115">
        <f t="shared" si="44"/>
        <v>229598313.33000001</v>
      </c>
      <c r="AC48" s="115">
        <f t="shared" si="44"/>
        <v>234541764.78</v>
      </c>
      <c r="AD48" s="115">
        <f t="shared" si="44"/>
        <v>238102404.27000001</v>
      </c>
      <c r="AE48" s="115">
        <f>SUM(AE39:AE47)</f>
        <v>244805777.85000002</v>
      </c>
      <c r="AF48" s="115">
        <f>SUM(AF39:AF47)</f>
        <v>251991433.05000001</v>
      </c>
      <c r="AG48" s="115">
        <f t="shared" ref="AG48:BG48" si="45">SUM(AG39:AG47)</f>
        <v>237309901.68000001</v>
      </c>
      <c r="AH48" s="115">
        <f t="shared" si="45"/>
        <v>237282857.50200003</v>
      </c>
      <c r="AI48" s="115">
        <f t="shared" si="45"/>
        <v>241706810.94</v>
      </c>
      <c r="AJ48" s="115">
        <f t="shared" si="45"/>
        <v>245137416.94</v>
      </c>
      <c r="AK48" s="115">
        <f t="shared" si="45"/>
        <v>248049307.38999999</v>
      </c>
      <c r="AL48" s="115">
        <f t="shared" si="45"/>
        <v>247598863.44999999</v>
      </c>
      <c r="AM48" s="115">
        <f t="shared" si="45"/>
        <v>258217078.5</v>
      </c>
      <c r="AN48" s="115">
        <f t="shared" si="45"/>
        <v>272608426.84000003</v>
      </c>
      <c r="AO48" s="115">
        <f t="shared" si="45"/>
        <v>276476152.46000004</v>
      </c>
      <c r="AP48" s="115">
        <f t="shared" si="45"/>
        <v>275782834.19</v>
      </c>
      <c r="AQ48" s="115">
        <f t="shared" si="45"/>
        <v>277699513.62</v>
      </c>
      <c r="AR48" s="115">
        <f t="shared" si="45"/>
        <v>280197610.09000003</v>
      </c>
      <c r="AS48" s="115">
        <f t="shared" si="45"/>
        <v>274522913.27999997</v>
      </c>
      <c r="AT48" s="115">
        <f t="shared" si="45"/>
        <v>265562395.15000001</v>
      </c>
      <c r="AU48" s="115">
        <f t="shared" si="45"/>
        <v>264637633.84250003</v>
      </c>
      <c r="AV48" s="115">
        <f t="shared" si="45"/>
        <v>272501285.69999999</v>
      </c>
      <c r="AW48" s="115">
        <f t="shared" si="45"/>
        <v>275165987.85000002</v>
      </c>
      <c r="AX48" s="115">
        <f t="shared" si="45"/>
        <v>287487330.86000001</v>
      </c>
      <c r="AY48" s="115">
        <f t="shared" si="45"/>
        <v>283855856.96000004</v>
      </c>
      <c r="AZ48" s="115">
        <f t="shared" si="45"/>
        <v>284139421.80000001</v>
      </c>
      <c r="BA48" s="115">
        <f t="shared" si="45"/>
        <v>0</v>
      </c>
      <c r="BB48" s="115">
        <f t="shared" si="45"/>
        <v>1434150192.75</v>
      </c>
      <c r="BC48" s="115">
        <f t="shared" si="45"/>
        <v>288138526.55000001</v>
      </c>
      <c r="BD48" s="115">
        <f t="shared" si="45"/>
        <v>288995174.72000003</v>
      </c>
      <c r="BE48" s="115">
        <f t="shared" si="45"/>
        <v>288471423.12</v>
      </c>
      <c r="BF48" s="115">
        <f t="shared" si="45"/>
        <v>290701497.13999999</v>
      </c>
      <c r="BG48" s="115">
        <f t="shared" si="45"/>
        <v>290701498</v>
      </c>
      <c r="BH48" s="115">
        <f>SUM(BH39:BH47)</f>
        <v>293816116.90999997</v>
      </c>
      <c r="BI48" s="115">
        <f>SUM(BI39:BI47)</f>
        <v>289933542.38999999</v>
      </c>
      <c r="BJ48" s="115">
        <f>SUM(BJ39:BJ47)</f>
        <v>290888327.21000004</v>
      </c>
      <c r="BK48" s="115">
        <f>SUM(BK39:BK47)</f>
        <v>309251232.35000002</v>
      </c>
      <c r="BL48" s="115">
        <f>SUM(BL39:BL47)</f>
        <v>309136614.09000003</v>
      </c>
      <c r="BM48" s="115">
        <f t="shared" ref="BM48:BT48" si="46">SUM(BM39:BM47)</f>
        <v>311938097.51999998</v>
      </c>
      <c r="BN48" s="115">
        <f t="shared" si="46"/>
        <v>307638193.10000002</v>
      </c>
      <c r="BO48" s="115">
        <f t="shared" si="46"/>
        <v>316597883.11000001</v>
      </c>
      <c r="BP48" s="115">
        <f t="shared" si="46"/>
        <v>320647825.88</v>
      </c>
      <c r="BQ48" s="115">
        <f t="shared" si="46"/>
        <v>326704081.29000002</v>
      </c>
      <c r="BR48" s="115">
        <f t="shared" si="46"/>
        <v>329796378.06</v>
      </c>
      <c r="BS48" s="115">
        <f t="shared" si="46"/>
        <v>320242682.83999997</v>
      </c>
      <c r="BT48" s="115">
        <f t="shared" si="46"/>
        <v>311515268</v>
      </c>
      <c r="BU48" s="115">
        <f t="shared" ref="BU48:CB48" si="47">SUM(BU39:BU47)</f>
        <v>312486296.65999997</v>
      </c>
      <c r="BV48" s="115">
        <f t="shared" si="47"/>
        <v>314094608.74000001</v>
      </c>
      <c r="BW48" s="115">
        <f t="shared" si="47"/>
        <v>314388621.53999996</v>
      </c>
      <c r="BX48" s="115">
        <f t="shared" si="47"/>
        <v>315635622.86000001</v>
      </c>
      <c r="BY48" s="115">
        <f t="shared" si="47"/>
        <v>315808020.85000002</v>
      </c>
      <c r="BZ48" s="115">
        <f t="shared" si="47"/>
        <v>334265366.05000001</v>
      </c>
      <c r="CA48" s="115">
        <f t="shared" si="47"/>
        <v>332876300.17000002</v>
      </c>
      <c r="CB48" s="115">
        <f t="shared" si="47"/>
        <v>334108023.44</v>
      </c>
      <c r="CC48" s="115">
        <f t="shared" ref="CC48:CF48" si="48">SUM(CC39:CC47)</f>
        <v>339181262.62</v>
      </c>
      <c r="CD48" s="115">
        <f t="shared" si="48"/>
        <v>342204185.44</v>
      </c>
      <c r="CE48" s="115">
        <f t="shared" si="48"/>
        <v>341996190.68000001</v>
      </c>
      <c r="CF48" s="115">
        <f t="shared" si="48"/>
        <v>318700946.93000001</v>
      </c>
      <c r="CG48" s="115">
        <f>SUM(CG39:CG47)</f>
        <v>319966377.09000003</v>
      </c>
      <c r="CH48" s="115">
        <f t="shared" ref="CH48:CN48" si="49">SUM(CH39:CH47)</f>
        <v>322152891.13999999</v>
      </c>
      <c r="CI48" s="115">
        <f t="shared" si="49"/>
        <v>333255731.44000006</v>
      </c>
      <c r="CJ48" s="115">
        <f t="shared" si="49"/>
        <v>325756187.22999996</v>
      </c>
      <c r="CK48" s="115">
        <f t="shared" si="49"/>
        <v>322613336.18000001</v>
      </c>
      <c r="CL48" s="115">
        <f t="shared" si="49"/>
        <v>319979244.62</v>
      </c>
      <c r="CM48" s="115">
        <f t="shared" si="49"/>
        <v>333036980.14999998</v>
      </c>
      <c r="CN48" s="115">
        <f t="shared" si="49"/>
        <v>325850011.95999998</v>
      </c>
      <c r="CO48" s="115">
        <f t="shared" ref="CO48:CP48" si="50">SUM(CO39:CO47)</f>
        <v>326591038.69</v>
      </c>
      <c r="CP48" s="115">
        <f t="shared" si="50"/>
        <v>328514640.75999999</v>
      </c>
    </row>
    <row r="49" spans="1:94">
      <c r="A49" s="9" t="s">
        <v>59</v>
      </c>
      <c r="B49" s="53">
        <f t="shared" ref="B49:H49" si="51">B48+B38</f>
        <v>428085901</v>
      </c>
      <c r="C49" s="53">
        <f t="shared" si="51"/>
        <v>422925486</v>
      </c>
      <c r="D49" s="53">
        <f t="shared" si="51"/>
        <v>454657971</v>
      </c>
      <c r="E49" s="53">
        <f t="shared" si="51"/>
        <v>508533391.69000006</v>
      </c>
      <c r="F49" s="53">
        <f t="shared" si="51"/>
        <v>534444330</v>
      </c>
      <c r="G49" s="53">
        <f t="shared" si="51"/>
        <v>604188622</v>
      </c>
      <c r="H49" s="53">
        <f t="shared" si="51"/>
        <v>696983837</v>
      </c>
      <c r="I49" s="53">
        <f t="shared" ref="I49:AD49" si="52">I48+I38</f>
        <v>707801106.55999994</v>
      </c>
      <c r="J49" s="53">
        <f t="shared" si="52"/>
        <v>711629103.26999998</v>
      </c>
      <c r="K49" s="53">
        <f t="shared" si="52"/>
        <v>701613100.66999996</v>
      </c>
      <c r="L49" s="53">
        <f t="shared" si="52"/>
        <v>682934888.59000003</v>
      </c>
      <c r="M49" s="53">
        <f t="shared" si="52"/>
        <v>694301263.46000004</v>
      </c>
      <c r="N49" s="53">
        <f t="shared" si="52"/>
        <v>707705435.45000005</v>
      </c>
      <c r="O49" s="53">
        <f t="shared" si="52"/>
        <v>700585585.54000008</v>
      </c>
      <c r="P49" s="53">
        <f t="shared" si="52"/>
        <v>729193199.18999994</v>
      </c>
      <c r="Q49" s="53">
        <f t="shared" si="52"/>
        <v>739301255.63</v>
      </c>
      <c r="R49" s="53">
        <f t="shared" si="52"/>
        <v>756803543.29999995</v>
      </c>
      <c r="S49" s="53">
        <f t="shared" si="52"/>
        <v>776619191.82999992</v>
      </c>
      <c r="T49" s="53">
        <f t="shared" si="52"/>
        <v>785695071.28999996</v>
      </c>
      <c r="U49" s="53">
        <f t="shared" si="52"/>
        <v>785318187</v>
      </c>
      <c r="V49" s="115">
        <f t="shared" si="52"/>
        <v>791317898.13999999</v>
      </c>
      <c r="W49" s="118">
        <f t="shared" si="52"/>
        <v>803586090.56000006</v>
      </c>
      <c r="X49" s="118">
        <f t="shared" si="52"/>
        <v>792278959.89999998</v>
      </c>
      <c r="Y49" s="118">
        <f t="shared" si="52"/>
        <v>782170258.22000003</v>
      </c>
      <c r="Z49" s="118">
        <f t="shared" si="52"/>
        <v>793811566.48000002</v>
      </c>
      <c r="AA49" s="118">
        <f t="shared" si="52"/>
        <v>819319097.83000004</v>
      </c>
      <c r="AB49" s="118">
        <f t="shared" si="52"/>
        <v>831553811.02999997</v>
      </c>
      <c r="AC49" s="118">
        <f t="shared" si="52"/>
        <v>841427803.21999991</v>
      </c>
      <c r="AD49" s="118">
        <f t="shared" si="52"/>
        <v>857037496.80999994</v>
      </c>
      <c r="AE49" s="118">
        <f>AE48+AE38</f>
        <v>864625452.89999998</v>
      </c>
      <c r="AF49" s="118">
        <f>AF48+AF38</f>
        <v>880321815.73000002</v>
      </c>
      <c r="AG49" s="118">
        <f t="shared" ref="AG49:BG49" si="53">AG48+AG38</f>
        <v>880985450.51999998</v>
      </c>
      <c r="AH49" s="118">
        <f t="shared" si="53"/>
        <v>880985452.27200007</v>
      </c>
      <c r="AI49" s="118">
        <f t="shared" si="53"/>
        <v>836209789.69000006</v>
      </c>
      <c r="AJ49" s="118">
        <f t="shared" si="53"/>
        <v>840211120.6500001</v>
      </c>
      <c r="AK49" s="118">
        <f t="shared" si="53"/>
        <v>824721884.10000002</v>
      </c>
      <c r="AL49" s="118">
        <f t="shared" si="53"/>
        <v>808572263.80999994</v>
      </c>
      <c r="AM49" s="118">
        <f t="shared" si="53"/>
        <v>822025790.63999999</v>
      </c>
      <c r="AN49" s="118">
        <f t="shared" si="53"/>
        <v>842359171.23000002</v>
      </c>
      <c r="AO49" s="118">
        <f t="shared" si="53"/>
        <v>841367479</v>
      </c>
      <c r="AP49" s="118">
        <f t="shared" si="53"/>
        <v>858021022.51999998</v>
      </c>
      <c r="AQ49" s="118">
        <f t="shared" si="53"/>
        <v>868397509.42999995</v>
      </c>
      <c r="AR49" s="118">
        <f t="shared" si="53"/>
        <v>882070374.56000006</v>
      </c>
      <c r="AS49" s="118">
        <f t="shared" si="53"/>
        <v>889871835.17999995</v>
      </c>
      <c r="AT49" s="118">
        <f t="shared" si="53"/>
        <v>893380003.85000002</v>
      </c>
      <c r="AU49" s="118">
        <f t="shared" si="53"/>
        <v>892250343.86249995</v>
      </c>
      <c r="AV49" s="118">
        <f t="shared" si="53"/>
        <v>918414585.04999995</v>
      </c>
      <c r="AW49" s="118">
        <f t="shared" si="53"/>
        <v>898809935.23000002</v>
      </c>
      <c r="AX49" s="118">
        <f t="shared" si="53"/>
        <v>914746797.44000006</v>
      </c>
      <c r="AY49" s="118">
        <f t="shared" si="53"/>
        <v>913998384.45000005</v>
      </c>
      <c r="AZ49" s="118">
        <f t="shared" si="53"/>
        <v>909558279.05999994</v>
      </c>
      <c r="BA49" s="118">
        <f t="shared" si="53"/>
        <v>0</v>
      </c>
      <c r="BB49" s="118">
        <f t="shared" si="53"/>
        <v>4680410665.1000004</v>
      </c>
      <c r="BC49" s="118">
        <f t="shared" si="53"/>
        <v>935325148.36999989</v>
      </c>
      <c r="BD49" s="118">
        <f t="shared" si="53"/>
        <v>950662716.52999997</v>
      </c>
      <c r="BE49" s="118">
        <f t="shared" si="53"/>
        <v>954604615.80999994</v>
      </c>
      <c r="BF49" s="118">
        <f t="shared" si="53"/>
        <v>970121611.88999999</v>
      </c>
      <c r="BG49" s="118">
        <f t="shared" si="53"/>
        <v>969980164</v>
      </c>
      <c r="BH49" s="118">
        <f>BH48+BH38</f>
        <v>982535947.44999993</v>
      </c>
      <c r="BI49" s="118">
        <f>BI48+BI38</f>
        <v>954506401.15999997</v>
      </c>
      <c r="BJ49" s="118">
        <f>BJ48+BJ38</f>
        <v>963132241.63</v>
      </c>
      <c r="BK49" s="118">
        <f>BK48+BK38</f>
        <v>983789373.80999994</v>
      </c>
      <c r="BL49" s="118">
        <f>BL48+BL38</f>
        <v>990416527.1500001</v>
      </c>
      <c r="BM49" s="118">
        <f t="shared" ref="BM49:BT49" si="54">BM48+BM38</f>
        <v>1002669413.7199999</v>
      </c>
      <c r="BN49" s="118">
        <f t="shared" si="54"/>
        <v>1024310182.47</v>
      </c>
      <c r="BO49" s="118">
        <f t="shared" si="54"/>
        <v>1042183191.03</v>
      </c>
      <c r="BP49" s="118">
        <f t="shared" si="54"/>
        <v>1052579160.9</v>
      </c>
      <c r="BQ49" s="118">
        <f t="shared" si="54"/>
        <v>1072322256.9400001</v>
      </c>
      <c r="BR49" s="118">
        <f t="shared" si="54"/>
        <v>1094720982.28</v>
      </c>
      <c r="BS49" s="118">
        <f t="shared" si="54"/>
        <v>1099629304.3099999</v>
      </c>
      <c r="BT49" s="118">
        <f t="shared" si="54"/>
        <v>1090912705</v>
      </c>
      <c r="BU49" s="118">
        <f t="shared" ref="BU49:CB49" si="55">BU48+BU38</f>
        <v>1091438193.27</v>
      </c>
      <c r="BV49" s="118">
        <f t="shared" si="55"/>
        <v>1071777624.97</v>
      </c>
      <c r="BW49" s="118">
        <f t="shared" si="55"/>
        <v>1043522676.51</v>
      </c>
      <c r="BX49" s="118">
        <f t="shared" si="55"/>
        <v>1056478115.67</v>
      </c>
      <c r="BY49" s="118">
        <f t="shared" si="55"/>
        <v>1063501708.3500001</v>
      </c>
      <c r="BZ49" s="118">
        <f t="shared" si="55"/>
        <v>1085216117.04</v>
      </c>
      <c r="CA49" s="118">
        <f t="shared" si="55"/>
        <v>1101298189.9400001</v>
      </c>
      <c r="CB49" s="118">
        <f t="shared" si="55"/>
        <v>1098490535.77</v>
      </c>
      <c r="CC49" s="118">
        <f t="shared" ref="CC49:CF49" si="56">CC48+CC38</f>
        <v>1112579933.8699999</v>
      </c>
      <c r="CD49" s="118">
        <f t="shared" si="56"/>
        <v>1126701140.6900001</v>
      </c>
      <c r="CE49" s="118">
        <f t="shared" si="56"/>
        <v>1136637096.73</v>
      </c>
      <c r="CF49" s="118">
        <f t="shared" si="56"/>
        <v>1124394542.9200001</v>
      </c>
      <c r="CG49" s="118">
        <f t="shared" ref="CG49:CN49" si="57">CG48+CG38</f>
        <v>1125723896.0900002</v>
      </c>
      <c r="CH49" s="118">
        <f t="shared" si="57"/>
        <v>1131112761.9400001</v>
      </c>
      <c r="CI49" s="118">
        <f t="shared" si="57"/>
        <v>1154066934.3600001</v>
      </c>
      <c r="CJ49" s="118">
        <f t="shared" si="57"/>
        <v>1090582130.95</v>
      </c>
      <c r="CK49" s="118">
        <f t="shared" si="57"/>
        <v>1084320756.3099999</v>
      </c>
      <c r="CL49" s="118">
        <f t="shared" si="57"/>
        <v>1096594313.9400001</v>
      </c>
      <c r="CM49" s="118">
        <f t="shared" si="57"/>
        <v>1125824031.1399999</v>
      </c>
      <c r="CN49" s="118">
        <f t="shared" si="57"/>
        <v>1140613027.3800001</v>
      </c>
      <c r="CO49" s="118">
        <f t="shared" ref="CO49:CP49" si="58">CO48+CO38</f>
        <v>1146936486.77</v>
      </c>
      <c r="CP49" s="118">
        <f t="shared" si="58"/>
        <v>1156840418.9699998</v>
      </c>
    </row>
    <row r="50" spans="1:94">
      <c r="BG50" s="75">
        <f t="shared" ref="BG50:BL50" si="59">BG49-BG27</f>
        <v>1</v>
      </c>
      <c r="BH50" s="75">
        <f t="shared" si="59"/>
        <v>0</v>
      </c>
      <c r="BI50" s="75">
        <f t="shared" si="59"/>
        <v>0</v>
      </c>
      <c r="BJ50" s="75">
        <f t="shared" si="59"/>
        <v>0</v>
      </c>
      <c r="BK50" s="75">
        <f t="shared" si="59"/>
        <v>0</v>
      </c>
      <c r="BL50" s="75">
        <f t="shared" si="59"/>
        <v>0</v>
      </c>
      <c r="BM50" s="75">
        <f t="shared" ref="BM50:BT50" si="60">BM49-BM27</f>
        <v>0</v>
      </c>
      <c r="BN50" s="75">
        <f t="shared" si="60"/>
        <v>0</v>
      </c>
      <c r="BO50" s="75">
        <f t="shared" si="60"/>
        <v>0</v>
      </c>
      <c r="BP50" s="75">
        <f t="shared" si="60"/>
        <v>0</v>
      </c>
      <c r="BQ50" s="75">
        <f t="shared" si="60"/>
        <v>0</v>
      </c>
      <c r="BR50" s="75">
        <f t="shared" si="60"/>
        <v>0</v>
      </c>
      <c r="BS50" s="75">
        <f t="shared" si="60"/>
        <v>0</v>
      </c>
      <c r="BT50" s="75">
        <f t="shared" si="60"/>
        <v>-1</v>
      </c>
    </row>
    <row r="51" spans="1:94">
      <c r="B51" s="19">
        <f t="shared" ref="B51:I51" si="61">B49-B27</f>
        <v>7280766</v>
      </c>
      <c r="C51" s="19">
        <f t="shared" si="61"/>
        <v>0</v>
      </c>
      <c r="D51" s="19">
        <f t="shared" si="61"/>
        <v>0</v>
      </c>
      <c r="E51" s="19">
        <f t="shared" si="61"/>
        <v>-4.9999356269836426E-3</v>
      </c>
      <c r="F51" s="19">
        <f t="shared" si="61"/>
        <v>1</v>
      </c>
      <c r="G51" s="19">
        <f t="shared" si="61"/>
        <v>1</v>
      </c>
      <c r="H51" s="19">
        <f t="shared" si="61"/>
        <v>0</v>
      </c>
      <c r="I51" s="19">
        <f t="shared" si="61"/>
        <v>-3.0000001192092896</v>
      </c>
      <c r="J51" s="19">
        <f t="shared" ref="J51:T51" si="62">J49-J27</f>
        <v>-8.0000042915344238E-2</v>
      </c>
      <c r="K51" s="19">
        <f t="shared" si="62"/>
        <v>0</v>
      </c>
      <c r="L51" s="19">
        <f t="shared" si="62"/>
        <v>0</v>
      </c>
      <c r="M51" s="19">
        <f t="shared" si="62"/>
        <v>0.10000002384185791</v>
      </c>
      <c r="N51" s="19">
        <f t="shared" si="62"/>
        <v>0</v>
      </c>
      <c r="O51" s="19">
        <f t="shared" si="62"/>
        <v>-9.9999904632568359E-2</v>
      </c>
      <c r="P51" s="19">
        <f t="shared" si="62"/>
        <v>0</v>
      </c>
      <c r="Q51" s="19">
        <f t="shared" si="62"/>
        <v>0</v>
      </c>
      <c r="R51" s="19">
        <f t="shared" si="62"/>
        <v>0</v>
      </c>
      <c r="S51" s="19">
        <f t="shared" si="62"/>
        <v>0</v>
      </c>
      <c r="T51" s="19">
        <f t="shared" si="62"/>
        <v>0</v>
      </c>
      <c r="U51" s="19">
        <f>U49-U27</f>
        <v>1</v>
      </c>
      <c r="V51" s="19"/>
      <c r="AD51" s="44">
        <f>AD49-AD27</f>
        <v>0</v>
      </c>
      <c r="AE51" s="44">
        <f>AE49-AE27</f>
        <v>0</v>
      </c>
      <c r="AF51" s="44">
        <f>AF49-AF27</f>
        <v>0</v>
      </c>
      <c r="AG51" s="44">
        <f>AG49-AG27</f>
        <v>0</v>
      </c>
      <c r="AH51" s="44">
        <f>AH49-AH27</f>
        <v>3.1070002317428589</v>
      </c>
      <c r="CG51" s="44">
        <f>CG27-CG49</f>
        <v>-7.0199999809265137</v>
      </c>
      <c r="CH51" s="44">
        <f t="shared" ref="CH51:CO51" si="63">CH27-CH49</f>
        <v>-717260136.76000011</v>
      </c>
      <c r="CI51" s="44">
        <f t="shared" si="63"/>
        <v>0</v>
      </c>
      <c r="CJ51" s="44">
        <f t="shared" si="63"/>
        <v>0</v>
      </c>
      <c r="CK51" s="44">
        <f t="shared" si="63"/>
        <v>6</v>
      </c>
      <c r="CL51" s="44">
        <f t="shared" si="63"/>
        <v>0</v>
      </c>
      <c r="CM51" s="44">
        <f t="shared" si="63"/>
        <v>0</v>
      </c>
      <c r="CN51" s="44">
        <f t="shared" si="63"/>
        <v>0</v>
      </c>
      <c r="CO51" s="44">
        <f t="shared" si="63"/>
        <v>0</v>
      </c>
      <c r="CP51" s="44">
        <f t="shared" ref="CP51" si="64">CP27-CP49</f>
        <v>0</v>
      </c>
    </row>
    <row r="53" spans="1:94">
      <c r="U53" s="75"/>
      <c r="AH53" s="44">
        <f>126775228-AH41</f>
        <v>27658031.23999998</v>
      </c>
    </row>
    <row r="54" spans="1:94">
      <c r="N54" s="44"/>
      <c r="O54" s="44"/>
      <c r="P54" s="44"/>
      <c r="Q54" s="44"/>
      <c r="R54" s="44"/>
      <c r="S54" s="44"/>
      <c r="T54" s="44"/>
      <c r="U54" s="75"/>
    </row>
    <row r="55" spans="1:94">
      <c r="N55" s="112"/>
      <c r="O55" s="112"/>
      <c r="P55" s="112"/>
      <c r="Q55" s="112"/>
      <c r="R55" s="112"/>
      <c r="S55" s="112"/>
      <c r="T55" s="112"/>
    </row>
    <row r="57" spans="1:94">
      <c r="U57" s="44"/>
    </row>
    <row r="58" spans="1:94">
      <c r="U58" s="140"/>
    </row>
    <row r="59" spans="1:94">
      <c r="J59" s="26"/>
    </row>
  </sheetData>
  <mergeCells count="1">
    <mergeCell ref="A1:T1"/>
  </mergeCells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43"/>
  <sheetViews>
    <sheetView workbookViewId="0">
      <pane xSplit="1" ySplit="2" topLeftCell="CO3" activePane="bottomRight" state="frozen"/>
      <selection pane="bottomRight" activeCell="CP2" sqref="CP2:CQ4"/>
      <selection pane="bottomLeft" activeCell="A3" sqref="A3"/>
      <selection pane="topRight" activeCell="B1" sqref="B1"/>
    </sheetView>
  </sheetViews>
  <sheetFormatPr defaultRowHeight="15"/>
  <cols>
    <col min="1" max="1" width="41" customWidth="1"/>
    <col min="2" max="2" width="15.28515625" bestFit="1" customWidth="1"/>
    <col min="3" max="5" width="15.28515625" customWidth="1"/>
    <col min="6" max="7" width="15.28515625" bestFit="1" customWidth="1"/>
    <col min="8" max="8" width="15.28515625" customWidth="1"/>
    <col min="9" max="11" width="14.28515625" hidden="1" customWidth="1"/>
    <col min="12" max="20" width="15.28515625" hidden="1" customWidth="1"/>
    <col min="21" max="21" width="15.28515625" bestFit="1" customWidth="1"/>
    <col min="22" max="22" width="15" hidden="1" customWidth="1"/>
    <col min="23" max="26" width="14.28515625" hidden="1" customWidth="1"/>
    <col min="27" max="27" width="15" hidden="1" customWidth="1"/>
    <col min="28" max="29" width="14" hidden="1" customWidth="1"/>
    <col min="30" max="30" width="14.28515625" hidden="1" customWidth="1"/>
    <col min="31" max="31" width="15" hidden="1" customWidth="1"/>
    <col min="32" max="32" width="14.28515625" hidden="1" customWidth="1"/>
    <col min="33" max="34" width="15.28515625" hidden="1" customWidth="1"/>
    <col min="35" max="39" width="14.28515625" hidden="1" customWidth="1"/>
    <col min="40" max="40" width="15" hidden="1" customWidth="1"/>
    <col min="41" max="44" width="14.140625" hidden="1" customWidth="1"/>
    <col min="45" max="47" width="15.140625" hidden="1" customWidth="1"/>
    <col min="48" max="48" width="0.42578125" customWidth="1"/>
    <col min="49" max="50" width="14.140625" customWidth="1"/>
    <col min="51" max="51" width="8.85546875" customWidth="1"/>
    <col min="52" max="52" width="14.140625" customWidth="1"/>
    <col min="53" max="53" width="12.5703125" customWidth="1"/>
    <col min="54" max="54" width="13.7109375" customWidth="1"/>
    <col min="55" max="55" width="14.28515625" customWidth="1"/>
    <col min="56" max="56" width="13.7109375" customWidth="1"/>
    <col min="57" max="57" width="3.5703125" customWidth="1"/>
    <col min="58" max="58" width="12.85546875" customWidth="1"/>
    <col min="59" max="59" width="15.140625" customWidth="1"/>
    <col min="60" max="60" width="19.28515625" style="75" customWidth="1"/>
    <col min="61" max="61" width="16.140625" bestFit="1" customWidth="1"/>
    <col min="62" max="63" width="14.85546875" bestFit="1" customWidth="1"/>
    <col min="64" max="64" width="15" bestFit="1" customWidth="1"/>
    <col min="65" max="65" width="14.85546875" bestFit="1" customWidth="1"/>
    <col min="66" max="66" width="19.85546875" customWidth="1"/>
    <col min="67" max="67" width="20" customWidth="1"/>
    <col min="68" max="68" width="17.42578125" customWidth="1"/>
    <col min="69" max="69" width="20" customWidth="1"/>
    <col min="70" max="70" width="17.7109375" customWidth="1"/>
    <col min="71" max="71" width="16.5703125" customWidth="1"/>
    <col min="72" max="72" width="17.7109375" customWidth="1"/>
    <col min="73" max="73" width="17.5703125" customWidth="1"/>
    <col min="74" max="74" width="16.5703125" customWidth="1"/>
    <col min="75" max="75" width="15.42578125" customWidth="1"/>
    <col min="76" max="76" width="16.85546875" customWidth="1"/>
    <col min="77" max="77" width="16.28515625" customWidth="1"/>
    <col min="78" max="78" width="14.5703125" customWidth="1"/>
    <col min="79" max="79" width="16.28515625" customWidth="1"/>
    <col min="80" max="80" width="15.140625" customWidth="1"/>
    <col min="81" max="81" width="15.7109375" customWidth="1"/>
    <col min="82" max="82" width="15.85546875" customWidth="1"/>
    <col min="83" max="83" width="15.42578125" customWidth="1"/>
    <col min="84" max="84" width="15" customWidth="1"/>
    <col min="85" max="85" width="14.7109375" customWidth="1"/>
    <col min="86" max="86" width="15.85546875" bestFit="1" customWidth="1"/>
    <col min="87" max="87" width="17" customWidth="1"/>
    <col min="88" max="88" width="14.7109375" customWidth="1"/>
    <col min="89" max="89" width="14" customWidth="1"/>
    <col min="90" max="90" width="16.140625" customWidth="1"/>
    <col min="91" max="91" width="18.5703125" customWidth="1"/>
    <col min="92" max="92" width="14.85546875" bestFit="1" customWidth="1"/>
    <col min="93" max="95" width="17.5703125" customWidth="1"/>
  </cols>
  <sheetData>
    <row r="1" spans="1:95" ht="15" customHeight="1">
      <c r="A1" s="259"/>
      <c r="B1" s="259"/>
      <c r="C1" s="259"/>
      <c r="D1" s="259"/>
      <c r="E1" s="259"/>
      <c r="F1" s="259"/>
      <c r="G1" s="259"/>
      <c r="H1" s="259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</row>
    <row r="2" spans="1:95">
      <c r="A2" s="13"/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31" t="s">
        <v>6</v>
      </c>
      <c r="I2" s="31">
        <v>42736</v>
      </c>
      <c r="J2" s="31">
        <v>42767</v>
      </c>
      <c r="K2" s="31">
        <v>42795</v>
      </c>
      <c r="L2" s="31">
        <v>42826</v>
      </c>
      <c r="M2" s="31">
        <v>42856</v>
      </c>
      <c r="N2" s="31">
        <v>42887</v>
      </c>
      <c r="O2" s="31">
        <v>42917</v>
      </c>
      <c r="P2" s="31">
        <v>42948</v>
      </c>
      <c r="Q2" s="31">
        <v>42979</v>
      </c>
      <c r="R2" s="31">
        <v>43009</v>
      </c>
      <c r="S2" s="31">
        <v>43040</v>
      </c>
      <c r="T2" s="31">
        <v>43070</v>
      </c>
      <c r="U2" s="31" t="s">
        <v>7</v>
      </c>
      <c r="V2" s="31">
        <v>43101</v>
      </c>
      <c r="W2" s="31">
        <v>43132</v>
      </c>
      <c r="X2" s="31">
        <v>43160</v>
      </c>
      <c r="Y2" s="31">
        <v>43191</v>
      </c>
      <c r="Z2" s="31">
        <v>43221</v>
      </c>
      <c r="AA2" s="31">
        <v>43252</v>
      </c>
      <c r="AB2" s="31">
        <v>43282</v>
      </c>
      <c r="AC2" s="31">
        <v>43313</v>
      </c>
      <c r="AD2" s="31">
        <v>43344</v>
      </c>
      <c r="AE2" s="31">
        <v>43374</v>
      </c>
      <c r="AF2" s="31">
        <v>43405</v>
      </c>
      <c r="AG2" s="31">
        <v>43435</v>
      </c>
      <c r="AH2" s="31" t="s">
        <v>8</v>
      </c>
      <c r="AI2" s="31">
        <v>43466</v>
      </c>
      <c r="AJ2" s="31">
        <v>43497</v>
      </c>
      <c r="AK2" s="31">
        <v>43525</v>
      </c>
      <c r="AL2" s="31">
        <v>43556</v>
      </c>
      <c r="AM2" s="31">
        <v>43586</v>
      </c>
      <c r="AN2" s="31">
        <v>43617</v>
      </c>
      <c r="AO2" s="31">
        <v>43647</v>
      </c>
      <c r="AP2" s="31">
        <v>43678</v>
      </c>
      <c r="AQ2" s="31">
        <v>43709</v>
      </c>
      <c r="AR2" s="31">
        <v>43739</v>
      </c>
      <c r="AS2" s="31">
        <v>43770</v>
      </c>
      <c r="AT2" s="31">
        <v>43800</v>
      </c>
      <c r="AU2" s="31" t="s">
        <v>60</v>
      </c>
      <c r="AV2" s="31">
        <v>43831</v>
      </c>
      <c r="AW2" s="31">
        <v>43862</v>
      </c>
      <c r="AX2" s="31">
        <v>43891</v>
      </c>
      <c r="AY2" s="31">
        <v>43922</v>
      </c>
      <c r="AZ2" s="31">
        <v>43952</v>
      </c>
      <c r="BA2" s="31">
        <v>43983</v>
      </c>
      <c r="BB2" s="31">
        <v>44013</v>
      </c>
      <c r="BC2" s="31">
        <v>44044</v>
      </c>
      <c r="BD2" s="31">
        <v>44075</v>
      </c>
      <c r="BE2" s="31">
        <v>44105</v>
      </c>
      <c r="BF2" s="31">
        <v>44136</v>
      </c>
      <c r="BG2" s="31">
        <v>44166</v>
      </c>
      <c r="BH2" s="173" t="s">
        <v>10</v>
      </c>
      <c r="BI2" s="31">
        <v>44197</v>
      </c>
      <c r="BJ2" s="31">
        <v>44228</v>
      </c>
      <c r="BK2" s="31">
        <v>44256</v>
      </c>
      <c r="BL2" s="31">
        <v>44287</v>
      </c>
      <c r="BM2" s="31">
        <v>44317</v>
      </c>
      <c r="BN2" s="31">
        <v>44348</v>
      </c>
      <c r="BO2" s="31">
        <v>44378</v>
      </c>
      <c r="BP2" s="31">
        <v>44409</v>
      </c>
      <c r="BQ2" s="31">
        <v>44440</v>
      </c>
      <c r="BR2" s="31">
        <v>44470</v>
      </c>
      <c r="BS2" s="31">
        <v>44501</v>
      </c>
      <c r="BT2" s="31">
        <v>44531</v>
      </c>
      <c r="BU2" s="31" t="s">
        <v>11</v>
      </c>
      <c r="BV2" s="31">
        <v>44562</v>
      </c>
      <c r="BW2" s="31">
        <v>44593</v>
      </c>
      <c r="BX2" s="31">
        <v>44621</v>
      </c>
      <c r="BY2" s="31">
        <v>44652</v>
      </c>
      <c r="BZ2" s="31">
        <v>44682</v>
      </c>
      <c r="CA2" s="31">
        <v>44713</v>
      </c>
      <c r="CB2" s="31">
        <v>44743</v>
      </c>
      <c r="CC2" s="31">
        <v>44774</v>
      </c>
      <c r="CD2" s="31">
        <v>44805</v>
      </c>
      <c r="CE2" s="31">
        <v>44835</v>
      </c>
      <c r="CF2" s="31">
        <v>44866</v>
      </c>
      <c r="CG2" s="31">
        <v>44896</v>
      </c>
      <c r="CH2" s="31" t="s">
        <v>12</v>
      </c>
      <c r="CI2" s="113">
        <v>44927</v>
      </c>
      <c r="CJ2" s="113">
        <v>44958</v>
      </c>
      <c r="CK2" s="113">
        <v>44986</v>
      </c>
      <c r="CL2" s="113">
        <v>45017</v>
      </c>
      <c r="CM2" s="113">
        <v>45047</v>
      </c>
      <c r="CN2" s="113">
        <v>45078</v>
      </c>
      <c r="CO2" s="113">
        <v>45108</v>
      </c>
      <c r="CP2" s="113">
        <v>45139</v>
      </c>
      <c r="CQ2" s="113">
        <v>45170</v>
      </c>
    </row>
    <row r="3" spans="1:95">
      <c r="A3" s="15" t="s">
        <v>61</v>
      </c>
      <c r="B3" s="54">
        <f t="shared" ref="B3:H3" si="0">B4+B7</f>
        <v>53102019</v>
      </c>
      <c r="C3" s="54">
        <f t="shared" si="0"/>
        <v>67876418</v>
      </c>
      <c r="D3" s="54">
        <f t="shared" si="0"/>
        <v>76649112</v>
      </c>
      <c r="E3" s="54">
        <f t="shared" si="0"/>
        <v>93967037.88000001</v>
      </c>
      <c r="F3" s="54">
        <f t="shared" si="0"/>
        <v>97400688</v>
      </c>
      <c r="G3" s="54">
        <f t="shared" si="0"/>
        <v>109849160</v>
      </c>
      <c r="H3" s="54">
        <f t="shared" si="0"/>
        <v>121408969</v>
      </c>
      <c r="I3" s="54">
        <f t="shared" ref="I3:AD3" si="1">I4+I7</f>
        <v>3091134.11</v>
      </c>
      <c r="J3" s="54">
        <f t="shared" si="1"/>
        <v>15614133.609999999</v>
      </c>
      <c r="K3" s="54">
        <f t="shared" si="1"/>
        <v>26002726.080000002</v>
      </c>
      <c r="L3" s="54">
        <f t="shared" si="1"/>
        <v>33390966.120000001</v>
      </c>
      <c r="M3" s="54">
        <f t="shared" si="1"/>
        <v>43876600.839999996</v>
      </c>
      <c r="N3" s="54">
        <f t="shared" si="1"/>
        <v>60825499.820000008</v>
      </c>
      <c r="O3" s="54">
        <f t="shared" si="1"/>
        <v>65087853.719999999</v>
      </c>
      <c r="P3" s="54">
        <f t="shared" si="1"/>
        <v>80627628.049999997</v>
      </c>
      <c r="Q3" s="54">
        <f t="shared" si="1"/>
        <v>98018181.310000002</v>
      </c>
      <c r="R3" s="54">
        <f t="shared" si="1"/>
        <v>109614071.71000001</v>
      </c>
      <c r="S3" s="54">
        <f t="shared" si="1"/>
        <v>120925702.11000001</v>
      </c>
      <c r="T3" s="54">
        <f t="shared" si="1"/>
        <v>134278378.44</v>
      </c>
      <c r="U3" s="54">
        <f t="shared" si="1"/>
        <v>134278379</v>
      </c>
      <c r="V3" s="54">
        <f t="shared" si="1"/>
        <v>9796657.1100000013</v>
      </c>
      <c r="W3" s="54">
        <f t="shared" si="1"/>
        <v>18963772.66</v>
      </c>
      <c r="X3" s="54">
        <f t="shared" si="1"/>
        <v>29749222.170000002</v>
      </c>
      <c r="Y3" s="54">
        <f t="shared" si="1"/>
        <v>41069758.300000004</v>
      </c>
      <c r="Z3" s="54">
        <f t="shared" si="1"/>
        <v>51906601.800000004</v>
      </c>
      <c r="AA3" s="54">
        <f t="shared" si="1"/>
        <v>72483894.120000005</v>
      </c>
      <c r="AB3" s="54">
        <f t="shared" si="1"/>
        <v>83600073.770000011</v>
      </c>
      <c r="AC3" s="54">
        <f t="shared" si="1"/>
        <v>97549833.930000007</v>
      </c>
      <c r="AD3" s="54">
        <f t="shared" si="1"/>
        <v>109084223.58000001</v>
      </c>
      <c r="AE3" s="54">
        <f>AE4+AE7</f>
        <v>121788387.58</v>
      </c>
      <c r="AF3" s="54">
        <f t="shared" ref="AF3:BH3" si="2">AF4+AF7</f>
        <v>135374591.10999998</v>
      </c>
      <c r="AG3" s="54">
        <f t="shared" si="2"/>
        <v>154540516.44999999</v>
      </c>
      <c r="AH3" s="54">
        <f t="shared" si="2"/>
        <v>154553469.44999999</v>
      </c>
      <c r="AI3" s="54">
        <f t="shared" si="2"/>
        <v>11193968.880000001</v>
      </c>
      <c r="AJ3" s="54">
        <f t="shared" si="2"/>
        <v>21522874.649999999</v>
      </c>
      <c r="AK3" s="54">
        <f t="shared" si="2"/>
        <v>32173972.299999997</v>
      </c>
      <c r="AL3" s="54">
        <f t="shared" si="2"/>
        <v>44123311.649999999</v>
      </c>
      <c r="AM3" s="54">
        <f t="shared" si="2"/>
        <v>55467092.729999997</v>
      </c>
      <c r="AN3" s="54">
        <f t="shared" si="2"/>
        <v>79758781.170000002</v>
      </c>
      <c r="AO3" s="54">
        <f t="shared" si="2"/>
        <v>90933526.319999993</v>
      </c>
      <c r="AP3" s="54">
        <f t="shared" si="2"/>
        <v>105178967.06999999</v>
      </c>
      <c r="AQ3" s="54">
        <f t="shared" si="2"/>
        <v>116324938.47</v>
      </c>
      <c r="AR3" s="54">
        <f t="shared" si="2"/>
        <v>127760950.67</v>
      </c>
      <c r="AS3" s="54">
        <f t="shared" si="2"/>
        <v>141717259.12</v>
      </c>
      <c r="AT3" s="54">
        <f t="shared" si="2"/>
        <v>162789592.74000001</v>
      </c>
      <c r="AU3" s="54">
        <f t="shared" si="2"/>
        <v>162789593</v>
      </c>
      <c r="AV3" s="54">
        <f t="shared" si="2"/>
        <v>11583281.33</v>
      </c>
      <c r="AW3" s="54">
        <f t="shared" si="2"/>
        <v>22393087.329999998</v>
      </c>
      <c r="AX3" s="54">
        <f t="shared" si="2"/>
        <v>34741974.18</v>
      </c>
      <c r="AY3" s="54">
        <f t="shared" si="2"/>
        <v>58095433.109999999</v>
      </c>
      <c r="AZ3" s="54">
        <f t="shared" si="2"/>
        <v>68056794.609999999</v>
      </c>
      <c r="BA3" s="54">
        <f t="shared" si="2"/>
        <v>79019462.320000008</v>
      </c>
      <c r="BB3" s="54">
        <f t="shared" si="2"/>
        <v>0</v>
      </c>
      <c r="BC3" s="54">
        <f t="shared" si="2"/>
        <v>520524320.79999995</v>
      </c>
      <c r="BD3" s="54">
        <f t="shared" si="2"/>
        <v>116683839.19</v>
      </c>
      <c r="BE3" s="54">
        <f t="shared" si="2"/>
        <v>129326684.66000001</v>
      </c>
      <c r="BF3" s="54">
        <f t="shared" si="2"/>
        <v>145818088.61000001</v>
      </c>
      <c r="BG3" s="54">
        <f t="shared" si="2"/>
        <v>159925802.09999999</v>
      </c>
      <c r="BH3" s="54">
        <f t="shared" si="2"/>
        <v>159925802</v>
      </c>
      <c r="BI3" s="54">
        <f>BI4+BI7</f>
        <v>11180608.700000001</v>
      </c>
      <c r="BJ3" s="54">
        <f>BJ4+BJ7</f>
        <v>23347161.719999999</v>
      </c>
      <c r="BK3" s="54">
        <f>BK4+BK7</f>
        <v>36796106.18</v>
      </c>
      <c r="BL3" s="54">
        <f>BL4+BL7</f>
        <v>63444017.920000002</v>
      </c>
      <c r="BM3" s="54">
        <f>BM4+BM7</f>
        <v>75624120.170000002</v>
      </c>
      <c r="BN3" s="54">
        <f t="shared" ref="BN3:BU3" si="3">BN4+BN7</f>
        <v>88890299.11999999</v>
      </c>
      <c r="BO3" s="54">
        <f t="shared" si="3"/>
        <v>103801256.50999999</v>
      </c>
      <c r="BP3" s="54">
        <f t="shared" si="3"/>
        <v>116400442.38999999</v>
      </c>
      <c r="BQ3" s="54">
        <f t="shared" si="3"/>
        <v>129540327.99000001</v>
      </c>
      <c r="BR3" s="54">
        <f t="shared" si="3"/>
        <v>144438554.13</v>
      </c>
      <c r="BS3" s="54">
        <f t="shared" si="3"/>
        <v>158598091.04000002</v>
      </c>
      <c r="BT3" s="54">
        <f t="shared" si="3"/>
        <v>182115217.46000001</v>
      </c>
      <c r="BU3" s="54">
        <f t="shared" si="3"/>
        <v>183144036</v>
      </c>
      <c r="BV3" s="54">
        <f t="shared" ref="BV3:CG3" si="4">BV4+BV7</f>
        <v>12133624.73</v>
      </c>
      <c r="BW3" s="54">
        <f t="shared" si="4"/>
        <v>25634449.640000001</v>
      </c>
      <c r="BX3" s="54">
        <f t="shared" si="4"/>
        <v>41009322.280000001</v>
      </c>
      <c r="BY3" s="54">
        <f t="shared" si="4"/>
        <v>55155264.07</v>
      </c>
      <c r="BZ3" s="54">
        <f t="shared" si="4"/>
        <v>67455980.709999993</v>
      </c>
      <c r="CA3" s="54">
        <f t="shared" si="4"/>
        <v>93290262.430000007</v>
      </c>
      <c r="CB3" s="54">
        <f t="shared" si="4"/>
        <v>106173283.45999999</v>
      </c>
      <c r="CC3" s="54">
        <f t="shared" si="4"/>
        <v>119458425.15000001</v>
      </c>
      <c r="CD3" s="54">
        <f t="shared" si="4"/>
        <v>133807510.99000001</v>
      </c>
      <c r="CE3" s="54">
        <f t="shared" si="4"/>
        <v>146695178.75999999</v>
      </c>
      <c r="CF3" s="54">
        <f t="shared" si="4"/>
        <v>160711743.81</v>
      </c>
      <c r="CG3" s="54">
        <f t="shared" si="4"/>
        <v>177859980.63</v>
      </c>
      <c r="CH3" s="54">
        <f t="shared" ref="CH3:CO3" si="5">CH4+CH7</f>
        <v>179189636</v>
      </c>
      <c r="CI3" s="54">
        <f t="shared" si="5"/>
        <v>13220437.16</v>
      </c>
      <c r="CJ3" s="54">
        <f t="shared" si="5"/>
        <v>25335756.260000002</v>
      </c>
      <c r="CK3" s="54">
        <f t="shared" si="5"/>
        <v>40226454.520000003</v>
      </c>
      <c r="CL3" s="54">
        <f t="shared" si="5"/>
        <v>51204530.050000004</v>
      </c>
      <c r="CM3" s="54">
        <f t="shared" si="5"/>
        <v>62632013</v>
      </c>
      <c r="CN3" s="54">
        <f t="shared" si="5"/>
        <v>92441550.760000005</v>
      </c>
      <c r="CO3" s="54">
        <f t="shared" si="5"/>
        <v>104890473.89</v>
      </c>
      <c r="CP3" s="54">
        <f t="shared" ref="CP3:CQ3" si="6">CP4+CP7</f>
        <v>117356638.69999999</v>
      </c>
      <c r="CQ3" s="54">
        <f t="shared" si="6"/>
        <v>132180213.02</v>
      </c>
    </row>
    <row r="4" spans="1:95">
      <c r="A4" s="15" t="s">
        <v>62</v>
      </c>
      <c r="B4" s="54">
        <f t="shared" ref="B4:H4" si="7">SUM(B5:B6)</f>
        <v>50952511</v>
      </c>
      <c r="C4" s="54">
        <f t="shared" si="7"/>
        <v>64376963</v>
      </c>
      <c r="D4" s="54">
        <f t="shared" si="7"/>
        <v>71327939</v>
      </c>
      <c r="E4" s="54">
        <f t="shared" si="7"/>
        <v>91151179.020000011</v>
      </c>
      <c r="F4" s="54">
        <f t="shared" si="7"/>
        <v>96129457</v>
      </c>
      <c r="G4" s="54">
        <f t="shared" si="7"/>
        <v>100764347</v>
      </c>
      <c r="H4" s="54">
        <f t="shared" si="7"/>
        <v>110622193</v>
      </c>
      <c r="I4" s="54">
        <f t="shared" ref="I4:AD4" si="8">SUM(I5:I6)</f>
        <v>3028199.36</v>
      </c>
      <c r="J4" s="54">
        <f t="shared" si="8"/>
        <v>15479712.859999999</v>
      </c>
      <c r="K4" s="54">
        <f t="shared" si="8"/>
        <v>25263218.030000001</v>
      </c>
      <c r="L4" s="54">
        <f t="shared" si="8"/>
        <v>32601894.07</v>
      </c>
      <c r="M4" s="54">
        <f t="shared" si="8"/>
        <v>43038687.789999999</v>
      </c>
      <c r="N4" s="54">
        <f t="shared" si="8"/>
        <v>51767285.590000004</v>
      </c>
      <c r="O4" s="54">
        <f t="shared" si="8"/>
        <v>55604665.689999998</v>
      </c>
      <c r="P4" s="54">
        <f t="shared" si="8"/>
        <v>71076129.019999996</v>
      </c>
      <c r="Q4" s="54">
        <f t="shared" si="8"/>
        <v>87621105.609999999</v>
      </c>
      <c r="R4" s="54">
        <f t="shared" si="8"/>
        <v>99171193.010000005</v>
      </c>
      <c r="S4" s="54">
        <f t="shared" si="8"/>
        <v>110422158.41000001</v>
      </c>
      <c r="T4" s="54">
        <f t="shared" si="8"/>
        <v>121870033.96000001</v>
      </c>
      <c r="U4" s="54">
        <f t="shared" si="8"/>
        <v>117850753</v>
      </c>
      <c r="V4" s="54">
        <f t="shared" si="8"/>
        <v>9627241.8000000007</v>
      </c>
      <c r="W4" s="54">
        <f t="shared" si="8"/>
        <v>18746742.350000001</v>
      </c>
      <c r="X4" s="54">
        <f t="shared" si="8"/>
        <v>27936774.550000001</v>
      </c>
      <c r="Y4" s="54">
        <f t="shared" si="8"/>
        <v>39124859.600000001</v>
      </c>
      <c r="Z4" s="54">
        <f t="shared" si="8"/>
        <v>49861888.100000001</v>
      </c>
      <c r="AA4" s="54">
        <f t="shared" si="8"/>
        <v>60020333.219999999</v>
      </c>
      <c r="AB4" s="54">
        <f t="shared" si="8"/>
        <v>70597399.120000005</v>
      </c>
      <c r="AC4" s="54">
        <f t="shared" si="8"/>
        <v>84437937.280000001</v>
      </c>
      <c r="AD4" s="54">
        <f t="shared" si="8"/>
        <v>95831546.430000007</v>
      </c>
      <c r="AE4" s="54">
        <f>SUM(AE5:AE6)</f>
        <v>107384254.31</v>
      </c>
      <c r="AF4" s="54">
        <f t="shared" ref="AF4:BH4" si="9">SUM(AF5:AF6)</f>
        <v>120703161.20999999</v>
      </c>
      <c r="AG4" s="54">
        <f t="shared" si="9"/>
        <v>138910679.06999999</v>
      </c>
      <c r="AH4" s="54">
        <f t="shared" si="9"/>
        <v>136089050.06999999</v>
      </c>
      <c r="AI4" s="54">
        <f t="shared" si="9"/>
        <v>11136297.880000001</v>
      </c>
      <c r="AJ4" s="54">
        <f t="shared" si="9"/>
        <v>21354504.649999999</v>
      </c>
      <c r="AK4" s="54">
        <f t="shared" si="9"/>
        <v>31430105.899999999</v>
      </c>
      <c r="AL4" s="54">
        <f t="shared" si="9"/>
        <v>42781912.899999999</v>
      </c>
      <c r="AM4" s="54">
        <f t="shared" si="9"/>
        <v>53998447.979999997</v>
      </c>
      <c r="AN4" s="54">
        <f t="shared" si="9"/>
        <v>64610497.479999997</v>
      </c>
      <c r="AO4" s="54">
        <f t="shared" si="9"/>
        <v>75692256.629999995</v>
      </c>
      <c r="AP4" s="54">
        <f t="shared" si="9"/>
        <v>89732511.379999995</v>
      </c>
      <c r="AQ4" s="54">
        <f t="shared" si="9"/>
        <v>100710297.78</v>
      </c>
      <c r="AR4" s="54">
        <f t="shared" si="9"/>
        <v>112064134.98</v>
      </c>
      <c r="AS4" s="54">
        <f t="shared" si="9"/>
        <v>125378723.93000001</v>
      </c>
      <c r="AT4" s="54">
        <f t="shared" si="9"/>
        <v>145634404.79000002</v>
      </c>
      <c r="AU4" s="54">
        <f t="shared" si="9"/>
        <v>160623919</v>
      </c>
      <c r="AV4" s="54">
        <f t="shared" si="9"/>
        <v>11517536.33</v>
      </c>
      <c r="AW4" s="54">
        <f t="shared" si="9"/>
        <v>22241207.329999998</v>
      </c>
      <c r="AX4" s="54">
        <f t="shared" si="9"/>
        <v>33711078.93</v>
      </c>
      <c r="AY4" s="54">
        <f t="shared" si="9"/>
        <v>43788244.729999997</v>
      </c>
      <c r="AZ4" s="54">
        <f t="shared" si="9"/>
        <v>53703640.229999997</v>
      </c>
      <c r="BA4" s="54">
        <f t="shared" si="9"/>
        <v>64139543.730000004</v>
      </c>
      <c r="BB4" s="54">
        <f t="shared" si="9"/>
        <v>0</v>
      </c>
      <c r="BC4" s="54">
        <f t="shared" si="9"/>
        <v>443259695.89999998</v>
      </c>
      <c r="BD4" s="54">
        <f t="shared" si="9"/>
        <v>101065625.08</v>
      </c>
      <c r="BE4" s="54">
        <f t="shared" si="9"/>
        <v>113518257.68000001</v>
      </c>
      <c r="BF4" s="54">
        <f t="shared" si="9"/>
        <v>128763467.61</v>
      </c>
      <c r="BG4" s="54">
        <f t="shared" si="9"/>
        <v>141305933.91</v>
      </c>
      <c r="BH4" s="54">
        <f t="shared" si="9"/>
        <v>157602050</v>
      </c>
      <c r="BI4" s="54">
        <f>SUM(BI5:BI6)</f>
        <v>11097918.700000001</v>
      </c>
      <c r="BJ4" s="54">
        <f>SUM(BJ5:BJ6)</f>
        <v>22573049.969999999</v>
      </c>
      <c r="BK4" s="54">
        <f>SUM(BK5:BK6)</f>
        <v>34368268.969999999</v>
      </c>
      <c r="BL4" s="54">
        <f>SUM(BL5:BL6)</f>
        <v>47629486.07</v>
      </c>
      <c r="BM4" s="54">
        <f>SUM(BM5:BM6)</f>
        <v>59593042.82</v>
      </c>
      <c r="BN4" s="54">
        <f t="shared" ref="BN4:BU4" si="10">SUM(BN5:BN6)</f>
        <v>72632625.519999996</v>
      </c>
      <c r="BO4" s="54">
        <f t="shared" si="10"/>
        <v>86362625.519999996</v>
      </c>
      <c r="BP4" s="54">
        <f t="shared" si="10"/>
        <v>98537655.819999993</v>
      </c>
      <c r="BQ4" s="54">
        <f t="shared" si="10"/>
        <v>111501295.92</v>
      </c>
      <c r="BR4" s="54">
        <f t="shared" si="10"/>
        <v>124883300.92</v>
      </c>
      <c r="BS4" s="54">
        <f t="shared" si="10"/>
        <v>138366547.92000002</v>
      </c>
      <c r="BT4" s="54">
        <f t="shared" si="10"/>
        <v>158475098</v>
      </c>
      <c r="BU4" s="54">
        <f t="shared" si="10"/>
        <v>158475099</v>
      </c>
      <c r="BV4" s="54">
        <f t="shared" ref="BV4:CG4" si="11">SUM(BV5:BV6)</f>
        <v>11871536</v>
      </c>
      <c r="BW4" s="54">
        <f t="shared" si="11"/>
        <v>23841749.5</v>
      </c>
      <c r="BX4" s="54">
        <f t="shared" si="11"/>
        <v>37641625.5</v>
      </c>
      <c r="BY4" s="54">
        <f t="shared" si="11"/>
        <v>51492909</v>
      </c>
      <c r="BZ4" s="54">
        <f t="shared" si="11"/>
        <v>63391338.899999999</v>
      </c>
      <c r="CA4" s="54">
        <f t="shared" si="11"/>
        <v>75847566</v>
      </c>
      <c r="CB4" s="54">
        <f t="shared" si="11"/>
        <v>88378421.799999997</v>
      </c>
      <c r="CC4" s="54">
        <f t="shared" si="11"/>
        <v>101256962.2</v>
      </c>
      <c r="CD4" s="54">
        <f t="shared" si="11"/>
        <v>113893144.40000001</v>
      </c>
      <c r="CE4" s="54">
        <f t="shared" si="11"/>
        <v>125665236.90000001</v>
      </c>
      <c r="CF4" s="54">
        <f t="shared" si="11"/>
        <v>138902885.80000001</v>
      </c>
      <c r="CG4" s="54">
        <f t="shared" si="11"/>
        <v>152797991.30000001</v>
      </c>
      <c r="CH4" s="54">
        <f t="shared" ref="CH4:CO4" si="12">SUM(CH5:CH6)</f>
        <v>153079599</v>
      </c>
      <c r="CI4" s="54">
        <f t="shared" si="12"/>
        <v>12895896.5</v>
      </c>
      <c r="CJ4" s="54">
        <f t="shared" si="12"/>
        <v>24729356.600000001</v>
      </c>
      <c r="CK4" s="54">
        <f t="shared" si="12"/>
        <v>35960037.100000001</v>
      </c>
      <c r="CL4" s="54">
        <f t="shared" si="12"/>
        <v>46559921.170000002</v>
      </c>
      <c r="CM4" s="54">
        <f t="shared" si="12"/>
        <v>57328877.890000001</v>
      </c>
      <c r="CN4" s="54">
        <f t="shared" si="12"/>
        <v>67877542.340000004</v>
      </c>
      <c r="CO4" s="54">
        <f t="shared" si="12"/>
        <v>79204020.340000004</v>
      </c>
      <c r="CP4" s="54">
        <f t="shared" ref="CP4:CQ4" si="13">SUM(CP5:CP6)</f>
        <v>91318883.239999995</v>
      </c>
      <c r="CQ4" s="54">
        <f t="shared" si="13"/>
        <v>104591366.95999999</v>
      </c>
    </row>
    <row r="5" spans="1:95" ht="14.25">
      <c r="A5" s="16" t="s">
        <v>63</v>
      </c>
      <c r="B5" s="24">
        <v>50952511</v>
      </c>
      <c r="C5" s="24">
        <v>64376963</v>
      </c>
      <c r="D5" s="24">
        <v>71327939</v>
      </c>
      <c r="E5" s="24">
        <v>86602623.99000001</v>
      </c>
      <c r="F5" s="17">
        <v>88158935</v>
      </c>
      <c r="G5" s="17">
        <v>100764347</v>
      </c>
      <c r="H5" s="76">
        <v>110622193</v>
      </c>
      <c r="I5" s="17">
        <v>2868188.86</v>
      </c>
      <c r="J5" s="17">
        <v>14794809.859999999</v>
      </c>
      <c r="K5" s="17">
        <v>24180326.030000001</v>
      </c>
      <c r="L5" s="17">
        <v>31297315.07</v>
      </c>
      <c r="M5" s="17">
        <v>41273173.789999999</v>
      </c>
      <c r="N5" s="204">
        <v>49549690.090000004</v>
      </c>
      <c r="O5" s="205">
        <v>53182015.689999998</v>
      </c>
      <c r="P5" s="206">
        <v>68046944.519999996</v>
      </c>
      <c r="Q5" s="17">
        <v>84380465.209999993</v>
      </c>
      <c r="R5" s="17">
        <v>95511940.109999999</v>
      </c>
      <c r="S5" s="17">
        <v>106203359.51000001</v>
      </c>
      <c r="T5" s="17">
        <v>117210423.06</v>
      </c>
      <c r="U5" s="17">
        <f>98585000+19265753</f>
        <v>117850753</v>
      </c>
      <c r="V5" s="17">
        <v>9208005.3000000007</v>
      </c>
      <c r="W5" s="75">
        <v>18006762.350000001</v>
      </c>
      <c r="X5" s="75">
        <v>26799724.550000001</v>
      </c>
      <c r="Y5" s="75">
        <v>37559024.100000001</v>
      </c>
      <c r="Z5" s="75">
        <v>47882224.100000001</v>
      </c>
      <c r="AA5" s="121">
        <v>57664038.719999999</v>
      </c>
      <c r="AB5" s="17">
        <v>67846813.120000005</v>
      </c>
      <c r="AC5" s="17">
        <v>81255070.780000001</v>
      </c>
      <c r="AD5" s="17">
        <v>92271849.430000007</v>
      </c>
      <c r="AE5" s="17">
        <v>103416021.81</v>
      </c>
      <c r="AF5" s="17">
        <v>116267646.70999999</v>
      </c>
      <c r="AG5" s="17">
        <v>134078395.56999999</v>
      </c>
      <c r="AH5" s="17">
        <v>135079270.56999999</v>
      </c>
      <c r="AI5" s="17">
        <v>10779775.880000001</v>
      </c>
      <c r="AJ5" s="17">
        <v>20634638.649999999</v>
      </c>
      <c r="AK5" s="17">
        <v>29869063.899999999</v>
      </c>
      <c r="AL5" s="17">
        <v>40819244.399999999</v>
      </c>
      <c r="AM5" s="17">
        <v>51565484.979999997</v>
      </c>
      <c r="AN5" s="17">
        <v>61723671.479999997</v>
      </c>
      <c r="AO5" s="17">
        <v>72536460.129999995</v>
      </c>
      <c r="AP5" s="17">
        <v>85936392.379999995</v>
      </c>
      <c r="AQ5" s="17">
        <v>96493685.280000001</v>
      </c>
      <c r="AR5" s="17">
        <v>107454299.48</v>
      </c>
      <c r="AS5" s="17">
        <v>120306106.43000001</v>
      </c>
      <c r="AT5" s="17">
        <v>139999791.49000001</v>
      </c>
      <c r="AU5" s="17">
        <f>130842649+14178970</f>
        <v>145021619</v>
      </c>
      <c r="AV5" s="17">
        <v>11133372.33</v>
      </c>
      <c r="AW5" s="17">
        <v>21508769.829999998</v>
      </c>
      <c r="AX5" s="17">
        <v>32179727.43</v>
      </c>
      <c r="AY5" s="17">
        <v>42120328.93</v>
      </c>
      <c r="AZ5" s="17">
        <v>51676830.93</v>
      </c>
      <c r="BA5" s="17">
        <v>61706602.630000003</v>
      </c>
      <c r="BC5" s="17">
        <v>426831812.39999998</v>
      </c>
      <c r="BD5" s="17">
        <v>97119582.079999998</v>
      </c>
      <c r="BE5" s="17">
        <v>108864689.98</v>
      </c>
      <c r="BF5" s="17">
        <v>123769546.61</v>
      </c>
      <c r="BG5" s="17">
        <v>135532528.21000001</v>
      </c>
      <c r="BH5" s="207">
        <f>127900472+12767459</f>
        <v>140667931</v>
      </c>
      <c r="BI5" s="170">
        <v>10709522.9</v>
      </c>
      <c r="BJ5" s="170">
        <v>21229623.469999999</v>
      </c>
      <c r="BK5" s="170">
        <v>32780903.469999999</v>
      </c>
      <c r="BL5" s="170">
        <v>45271097.770000003</v>
      </c>
      <c r="BM5" s="170">
        <v>56726775.020000003</v>
      </c>
      <c r="BN5" s="226">
        <v>69182392.019999996</v>
      </c>
      <c r="BO5" s="228">
        <v>82435360.019999996</v>
      </c>
      <c r="BP5" s="228">
        <v>94223478.819999993</v>
      </c>
      <c r="BQ5" s="228">
        <v>106808230.92</v>
      </c>
      <c r="BR5" s="228">
        <v>119771131.92</v>
      </c>
      <c r="BS5" s="228">
        <v>132763241.92</v>
      </c>
      <c r="BT5" s="228">
        <v>141785212</v>
      </c>
      <c r="BU5" s="170">
        <f>16202154+473815+2790361+20140471+26083517+931116+65625875+9537904+10679252+6010634</f>
        <v>158475099</v>
      </c>
      <c r="BV5" s="235">
        <v>11517400</v>
      </c>
      <c r="BW5" s="237">
        <v>23255633.5</v>
      </c>
      <c r="BX5" s="237">
        <v>36328633</v>
      </c>
      <c r="BY5" s="237">
        <v>49802954</v>
      </c>
      <c r="BZ5" s="237">
        <v>61411495.100000001</v>
      </c>
      <c r="CA5" s="237">
        <v>73628123.5</v>
      </c>
      <c r="CB5" s="237">
        <v>85826149.299999997</v>
      </c>
      <c r="CC5" s="237">
        <v>98360828.200000003</v>
      </c>
      <c r="CD5" s="237">
        <v>110656719.40000001</v>
      </c>
      <c r="CE5" s="237">
        <v>122543807.90000001</v>
      </c>
      <c r="CF5" s="237">
        <v>135454111.80000001</v>
      </c>
      <c r="CG5" s="237">
        <v>148990857.30000001</v>
      </c>
      <c r="CH5" s="237">
        <f>9125570+503604+2728651+16012771+23253585+2653613+66090976+18588530+14122299</f>
        <v>153079599</v>
      </c>
      <c r="CI5" s="235">
        <v>12585432</v>
      </c>
      <c r="CJ5" s="237">
        <v>24092713.100000001</v>
      </c>
      <c r="CK5" s="237">
        <v>35041788.100000001</v>
      </c>
      <c r="CL5" s="235">
        <v>45499155.670000002</v>
      </c>
      <c r="CM5" s="235">
        <v>55867888.390000001</v>
      </c>
      <c r="CN5" s="235">
        <v>65409827.340000004</v>
      </c>
      <c r="CO5" s="235">
        <v>75335349.340000004</v>
      </c>
      <c r="CP5" s="235">
        <v>85254973.939999998</v>
      </c>
      <c r="CQ5" s="273">
        <v>96635029.959999993</v>
      </c>
    </row>
    <row r="6" spans="1:95" ht="14.25">
      <c r="A6" s="16" t="s">
        <v>64</v>
      </c>
      <c r="B6" s="24"/>
      <c r="C6" s="24"/>
      <c r="D6" s="24"/>
      <c r="E6" s="24">
        <v>4548555.03</v>
      </c>
      <c r="F6" s="17">
        <v>7970522</v>
      </c>
      <c r="G6" s="17"/>
      <c r="H6" s="76"/>
      <c r="I6" s="17">
        <v>160010.5</v>
      </c>
      <c r="J6" s="17">
        <v>684903</v>
      </c>
      <c r="K6" s="17">
        <v>1082892</v>
      </c>
      <c r="L6" s="17">
        <v>1304579</v>
      </c>
      <c r="M6" s="17">
        <v>1765514</v>
      </c>
      <c r="N6" s="204">
        <v>2217595.5</v>
      </c>
      <c r="O6" s="205">
        <v>2422650</v>
      </c>
      <c r="P6" s="206">
        <v>3029184.5</v>
      </c>
      <c r="Q6" s="17">
        <v>3240640.4</v>
      </c>
      <c r="R6" s="17">
        <v>3659252.9</v>
      </c>
      <c r="S6" s="17">
        <v>4218798.9000000004</v>
      </c>
      <c r="T6" s="17">
        <v>4659610.9000000004</v>
      </c>
      <c r="U6" s="17"/>
      <c r="V6" s="17">
        <v>419236.5</v>
      </c>
      <c r="W6" s="75">
        <v>739980</v>
      </c>
      <c r="X6" s="75">
        <v>1137050</v>
      </c>
      <c r="Y6" s="75">
        <v>1565835.5</v>
      </c>
      <c r="Z6" s="75">
        <v>1979664</v>
      </c>
      <c r="AA6" s="122">
        <v>2356294.5</v>
      </c>
      <c r="AB6" s="17">
        <v>2750586</v>
      </c>
      <c r="AC6" s="17">
        <v>3182866.5</v>
      </c>
      <c r="AD6" s="17">
        <v>3559697</v>
      </c>
      <c r="AE6" s="17">
        <v>3968232.5</v>
      </c>
      <c r="AF6" s="17">
        <v>4435514.5</v>
      </c>
      <c r="AG6" s="17">
        <v>4832283.5</v>
      </c>
      <c r="AH6" s="17">
        <v>1009779.5</v>
      </c>
      <c r="AI6" s="17">
        <v>356522</v>
      </c>
      <c r="AJ6" s="17">
        <v>719866</v>
      </c>
      <c r="AK6" s="17">
        <v>1561042</v>
      </c>
      <c r="AL6" s="17">
        <v>1962668.5</v>
      </c>
      <c r="AM6" s="17">
        <v>2432963</v>
      </c>
      <c r="AN6" s="17">
        <v>2886826</v>
      </c>
      <c r="AO6" s="17">
        <v>3155796.5</v>
      </c>
      <c r="AP6" s="17">
        <v>3796119</v>
      </c>
      <c r="AQ6" s="17">
        <v>4216612.5</v>
      </c>
      <c r="AR6" s="17">
        <v>4609835.5</v>
      </c>
      <c r="AS6" s="17">
        <v>5072617.5</v>
      </c>
      <c r="AT6" s="17">
        <v>5634613.2999999998</v>
      </c>
      <c r="AU6" s="17">
        <v>15602300</v>
      </c>
      <c r="AV6" s="17">
        <v>384164</v>
      </c>
      <c r="AW6" s="17">
        <v>732437.5</v>
      </c>
      <c r="AX6" s="17">
        <v>1531351.5</v>
      </c>
      <c r="AY6" s="17">
        <v>1667915.8</v>
      </c>
      <c r="AZ6" s="17">
        <v>2026809.3</v>
      </c>
      <c r="BA6" s="17">
        <v>2432941.1</v>
      </c>
      <c r="BC6" s="17">
        <v>16427883.5</v>
      </c>
      <c r="BD6" s="17">
        <v>3946043</v>
      </c>
      <c r="BE6" s="17">
        <v>4653567.7</v>
      </c>
      <c r="BF6" s="17">
        <v>4993921</v>
      </c>
      <c r="BG6" s="17">
        <v>5773405.7000000002</v>
      </c>
      <c r="BH6" s="207">
        <v>16934119</v>
      </c>
      <c r="BI6" s="170">
        <v>388395.8</v>
      </c>
      <c r="BJ6" s="170">
        <v>1343426.5</v>
      </c>
      <c r="BK6" s="170">
        <v>1587365.5</v>
      </c>
      <c r="BL6" s="170">
        <v>2358388.2999999998</v>
      </c>
      <c r="BM6" s="170">
        <v>2866267.8</v>
      </c>
      <c r="BN6" s="226">
        <v>3450233.5</v>
      </c>
      <c r="BO6" s="228">
        <v>3927265.5</v>
      </c>
      <c r="BP6" s="228">
        <v>4314177</v>
      </c>
      <c r="BQ6" s="228">
        <v>4693065</v>
      </c>
      <c r="BR6" s="228">
        <v>5112169</v>
      </c>
      <c r="BS6" s="228">
        <v>5603306</v>
      </c>
      <c r="BT6" s="228">
        <v>16689886</v>
      </c>
      <c r="BU6" s="170"/>
      <c r="BV6" s="226">
        <v>354136</v>
      </c>
      <c r="BW6" s="228">
        <v>586116</v>
      </c>
      <c r="BX6" s="228">
        <v>1312992.5</v>
      </c>
      <c r="BY6" s="228">
        <v>1689955</v>
      </c>
      <c r="BZ6" s="228">
        <v>1979843.8</v>
      </c>
      <c r="CA6" s="228">
        <v>2219442.5</v>
      </c>
      <c r="CB6" s="228">
        <v>2552272.5</v>
      </c>
      <c r="CC6" s="228">
        <v>2896134</v>
      </c>
      <c r="CD6" s="228">
        <v>3236425</v>
      </c>
      <c r="CE6" s="228">
        <v>3121429</v>
      </c>
      <c r="CF6" s="228">
        <v>3448774</v>
      </c>
      <c r="CG6" s="228">
        <v>3807134</v>
      </c>
      <c r="CH6" s="228">
        <v>0</v>
      </c>
      <c r="CI6" s="226">
        <v>310464.5</v>
      </c>
      <c r="CJ6" s="228">
        <v>636643.5</v>
      </c>
      <c r="CK6" s="228">
        <v>918249</v>
      </c>
      <c r="CL6" s="226">
        <v>1060765.5</v>
      </c>
      <c r="CM6" s="226">
        <v>1460989.5</v>
      </c>
      <c r="CN6" s="226">
        <v>2467715</v>
      </c>
      <c r="CO6" s="226">
        <v>3868671</v>
      </c>
      <c r="CP6" s="226">
        <v>6063909.2999999998</v>
      </c>
      <c r="CQ6" s="275">
        <v>7956337</v>
      </c>
    </row>
    <row r="7" spans="1:95">
      <c r="A7" s="15" t="s">
        <v>65</v>
      </c>
      <c r="B7" s="54">
        <f>SUM(B8:B11)</f>
        <v>2149508</v>
      </c>
      <c r="C7" s="54">
        <f>SUM(C8:C11)</f>
        <v>3499455</v>
      </c>
      <c r="D7" s="54">
        <f>SUM(D8:D11)</f>
        <v>5321173</v>
      </c>
      <c r="E7" s="54">
        <f t="shared" ref="E7:BK7" si="14">SUM(E8:E11)</f>
        <v>2815858.8600000003</v>
      </c>
      <c r="F7" s="54">
        <f t="shared" si="14"/>
        <v>1271231</v>
      </c>
      <c r="G7" s="54">
        <f t="shared" si="14"/>
        <v>9084813</v>
      </c>
      <c r="H7" s="54">
        <f t="shared" si="14"/>
        <v>10786776</v>
      </c>
      <c r="I7" s="54">
        <f t="shared" si="14"/>
        <v>62934.75</v>
      </c>
      <c r="J7" s="54">
        <f t="shared" si="14"/>
        <v>134420.75</v>
      </c>
      <c r="K7" s="54">
        <f t="shared" si="14"/>
        <v>739508.05</v>
      </c>
      <c r="L7" s="54">
        <f t="shared" si="14"/>
        <v>789072.05</v>
      </c>
      <c r="M7" s="54">
        <f t="shared" si="14"/>
        <v>837913.05</v>
      </c>
      <c r="N7" s="54">
        <f t="shared" si="14"/>
        <v>9058214.2300000004</v>
      </c>
      <c r="O7" s="54">
        <f t="shared" si="14"/>
        <v>9483188.0300000012</v>
      </c>
      <c r="P7" s="54">
        <f t="shared" si="14"/>
        <v>9551499.0300000012</v>
      </c>
      <c r="Q7" s="54">
        <f t="shared" si="14"/>
        <v>10397075.700000001</v>
      </c>
      <c r="R7" s="54">
        <f t="shared" si="14"/>
        <v>10442878.700000001</v>
      </c>
      <c r="S7" s="54">
        <f t="shared" si="14"/>
        <v>10503543.700000001</v>
      </c>
      <c r="T7" s="54">
        <f t="shared" si="14"/>
        <v>12408344.48</v>
      </c>
      <c r="U7" s="54">
        <f t="shared" si="14"/>
        <v>16427626</v>
      </c>
      <c r="V7" s="54">
        <f t="shared" si="14"/>
        <v>169415.31</v>
      </c>
      <c r="W7" s="54">
        <f t="shared" si="14"/>
        <v>217030.31</v>
      </c>
      <c r="X7" s="54">
        <f t="shared" si="14"/>
        <v>1812447.62</v>
      </c>
      <c r="Y7" s="54">
        <f t="shared" si="14"/>
        <v>1944898.7</v>
      </c>
      <c r="Z7" s="54">
        <f t="shared" si="14"/>
        <v>2044713.7</v>
      </c>
      <c r="AA7" s="54">
        <f t="shared" si="14"/>
        <v>12463560.899999999</v>
      </c>
      <c r="AB7" s="54">
        <f t="shared" si="14"/>
        <v>13002674.649999999</v>
      </c>
      <c r="AC7" s="54">
        <f t="shared" si="14"/>
        <v>13111896.649999999</v>
      </c>
      <c r="AD7" s="54">
        <f t="shared" si="14"/>
        <v>13252677.149999999</v>
      </c>
      <c r="AE7" s="54">
        <f t="shared" si="14"/>
        <v>14404133.27</v>
      </c>
      <c r="AF7" s="54">
        <f t="shared" si="14"/>
        <v>14671429.9</v>
      </c>
      <c r="AG7" s="54">
        <f t="shared" si="14"/>
        <v>15629837.380000001</v>
      </c>
      <c r="AH7" s="54">
        <f t="shared" si="14"/>
        <v>18464419.379999999</v>
      </c>
      <c r="AI7" s="54">
        <f t="shared" si="14"/>
        <v>57671</v>
      </c>
      <c r="AJ7" s="54">
        <f t="shared" si="14"/>
        <v>168370</v>
      </c>
      <c r="AK7" s="54">
        <f t="shared" si="14"/>
        <v>743866.4</v>
      </c>
      <c r="AL7" s="54">
        <f t="shared" si="14"/>
        <v>1341398.75</v>
      </c>
      <c r="AM7" s="54">
        <f t="shared" si="14"/>
        <v>1468644.75</v>
      </c>
      <c r="AN7" s="54">
        <f t="shared" si="14"/>
        <v>15148283.689999999</v>
      </c>
      <c r="AO7" s="54">
        <f t="shared" si="14"/>
        <v>15241269.689999999</v>
      </c>
      <c r="AP7" s="54">
        <f t="shared" si="14"/>
        <v>15446455.689999999</v>
      </c>
      <c r="AQ7" s="54">
        <f t="shared" si="14"/>
        <v>15614640.689999999</v>
      </c>
      <c r="AR7" s="54">
        <f t="shared" si="14"/>
        <v>15696815.689999999</v>
      </c>
      <c r="AS7" s="54">
        <f t="shared" si="14"/>
        <v>16338535.189999999</v>
      </c>
      <c r="AT7" s="54">
        <f t="shared" si="14"/>
        <v>17155187.949999999</v>
      </c>
      <c r="AU7" s="54">
        <f t="shared" si="14"/>
        <v>2165674</v>
      </c>
      <c r="AV7" s="54">
        <f t="shared" si="14"/>
        <v>65745</v>
      </c>
      <c r="AW7" s="54">
        <f t="shared" si="14"/>
        <v>151880</v>
      </c>
      <c r="AX7" s="54">
        <f t="shared" si="14"/>
        <v>1030895.25</v>
      </c>
      <c r="AY7" s="54">
        <f t="shared" si="14"/>
        <v>14307188.379999999</v>
      </c>
      <c r="AZ7" s="54">
        <f t="shared" si="14"/>
        <v>14353154.379999999</v>
      </c>
      <c r="BA7" s="54">
        <f t="shared" si="14"/>
        <v>14879918.59</v>
      </c>
      <c r="BB7" s="54">
        <f t="shared" si="14"/>
        <v>0</v>
      </c>
      <c r="BC7" s="54">
        <f t="shared" si="14"/>
        <v>77264624.899999991</v>
      </c>
      <c r="BD7" s="54">
        <f t="shared" si="14"/>
        <v>15618214.109999999</v>
      </c>
      <c r="BE7" s="54">
        <f t="shared" si="14"/>
        <v>15808426.98</v>
      </c>
      <c r="BF7" s="54">
        <f t="shared" si="14"/>
        <v>17054621</v>
      </c>
      <c r="BG7" s="54">
        <f t="shared" si="14"/>
        <v>18619868.189999998</v>
      </c>
      <c r="BH7" s="54">
        <f t="shared" si="14"/>
        <v>2323752</v>
      </c>
      <c r="BI7" s="54">
        <f t="shared" si="14"/>
        <v>82690</v>
      </c>
      <c r="BJ7" s="54">
        <f t="shared" si="14"/>
        <v>774111.75</v>
      </c>
      <c r="BK7" s="54">
        <f t="shared" si="14"/>
        <v>2427837.21</v>
      </c>
      <c r="BL7" s="54">
        <f>SUM(BL8:BL11)</f>
        <v>15814531.85</v>
      </c>
      <c r="BM7" s="54">
        <f>SUM(BM8:BM11)</f>
        <v>16031077.35</v>
      </c>
      <c r="BN7" s="54">
        <f t="shared" ref="BN7:BU7" si="15">SUM(BN8:BN11)</f>
        <v>16257673.6</v>
      </c>
      <c r="BO7" s="54">
        <f t="shared" si="15"/>
        <v>17438630.990000002</v>
      </c>
      <c r="BP7" s="54">
        <f t="shared" si="15"/>
        <v>17862786.57</v>
      </c>
      <c r="BQ7" s="54">
        <f t="shared" si="15"/>
        <v>18039032.07</v>
      </c>
      <c r="BR7" s="54">
        <f t="shared" si="15"/>
        <v>19555253.210000001</v>
      </c>
      <c r="BS7" s="54">
        <f t="shared" si="15"/>
        <v>20231543.120000001</v>
      </c>
      <c r="BT7" s="54">
        <f t="shared" si="15"/>
        <v>23640119.460000001</v>
      </c>
      <c r="BU7" s="54">
        <f t="shared" si="15"/>
        <v>24668937</v>
      </c>
      <c r="BV7" s="54">
        <f t="shared" ref="BV7:CG7" si="16">SUM(BV8:BV11)</f>
        <v>262088.73</v>
      </c>
      <c r="BW7" s="54">
        <f t="shared" si="16"/>
        <v>1792700.1400000001</v>
      </c>
      <c r="BX7" s="54">
        <f t="shared" si="16"/>
        <v>3367696.7800000003</v>
      </c>
      <c r="BY7" s="54">
        <f t="shared" si="16"/>
        <v>3662355.0700000003</v>
      </c>
      <c r="BZ7" s="54">
        <f t="shared" si="16"/>
        <v>4064641.81</v>
      </c>
      <c r="CA7" s="54">
        <f t="shared" si="16"/>
        <v>17442696.43</v>
      </c>
      <c r="CB7" s="54">
        <f t="shared" si="16"/>
        <v>17794861.66</v>
      </c>
      <c r="CC7" s="54">
        <f t="shared" si="16"/>
        <v>18201462.949999999</v>
      </c>
      <c r="CD7" s="54">
        <f t="shared" si="16"/>
        <v>19914366.589999996</v>
      </c>
      <c r="CE7" s="54">
        <f t="shared" si="16"/>
        <v>21029941.859999999</v>
      </c>
      <c r="CF7" s="54">
        <f t="shared" si="16"/>
        <v>21808858.009999998</v>
      </c>
      <c r="CG7" s="54">
        <f t="shared" si="16"/>
        <v>25061989.329999998</v>
      </c>
      <c r="CH7" s="54">
        <f t="shared" ref="CH7:CQ7" si="17">SUM(CH8:CH11)</f>
        <v>26110037</v>
      </c>
      <c r="CI7" s="54">
        <f t="shared" si="17"/>
        <v>324540.66000000003</v>
      </c>
      <c r="CJ7" s="54">
        <f t="shared" si="17"/>
        <v>606399.66</v>
      </c>
      <c r="CK7" s="54">
        <f t="shared" si="17"/>
        <v>4266417.42</v>
      </c>
      <c r="CL7" s="54">
        <f t="shared" si="17"/>
        <v>4644608.88</v>
      </c>
      <c r="CM7" s="54">
        <f t="shared" si="17"/>
        <v>5303135.1099999994</v>
      </c>
      <c r="CN7" s="54">
        <f t="shared" si="17"/>
        <v>24564008.420000002</v>
      </c>
      <c r="CO7" s="54">
        <f t="shared" si="17"/>
        <v>25686453.550000001</v>
      </c>
      <c r="CP7" s="54">
        <f t="shared" si="17"/>
        <v>26037755.460000001</v>
      </c>
      <c r="CQ7" s="54">
        <f t="shared" si="17"/>
        <v>27588846.059999999</v>
      </c>
    </row>
    <row r="8" spans="1:95" ht="14.25">
      <c r="A8" s="16" t="s">
        <v>66</v>
      </c>
      <c r="B8" s="24"/>
      <c r="C8" s="24"/>
      <c r="D8" s="24"/>
      <c r="E8" s="24"/>
      <c r="F8" s="17"/>
      <c r="G8" s="17"/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204">
        <v>0</v>
      </c>
      <c r="O8" s="208">
        <v>0</v>
      </c>
      <c r="P8" s="206">
        <v>0</v>
      </c>
      <c r="Q8" s="17">
        <v>0</v>
      </c>
      <c r="R8" s="17">
        <v>0</v>
      </c>
      <c r="S8" s="17">
        <v>0</v>
      </c>
      <c r="T8" s="17">
        <v>0</v>
      </c>
      <c r="U8" s="17"/>
      <c r="V8" s="17">
        <v>0</v>
      </c>
      <c r="W8" s="75">
        <v>0</v>
      </c>
      <c r="X8" s="75">
        <v>0</v>
      </c>
      <c r="Y8" s="75">
        <v>0</v>
      </c>
      <c r="Z8" s="75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/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0">
        <v>0</v>
      </c>
      <c r="BJ8" s="170">
        <v>0</v>
      </c>
      <c r="BK8" s="170">
        <v>0</v>
      </c>
      <c r="BL8" s="170">
        <v>0</v>
      </c>
      <c r="BM8" s="170">
        <v>0</v>
      </c>
      <c r="BN8" s="225">
        <v>0</v>
      </c>
      <c r="BO8" s="227">
        <v>0</v>
      </c>
      <c r="BP8" s="227">
        <v>0</v>
      </c>
      <c r="BQ8" s="227">
        <v>0</v>
      </c>
      <c r="BR8" s="227">
        <v>0</v>
      </c>
      <c r="BS8" s="227">
        <v>0</v>
      </c>
      <c r="BT8" s="227">
        <v>0</v>
      </c>
      <c r="BU8" s="170"/>
      <c r="BV8" s="234">
        <v>0</v>
      </c>
      <c r="BW8" s="236">
        <v>0</v>
      </c>
      <c r="BX8" s="236">
        <v>0</v>
      </c>
      <c r="BY8" s="236">
        <v>0</v>
      </c>
      <c r="BZ8" s="236">
        <v>0</v>
      </c>
      <c r="CA8" s="236">
        <v>0</v>
      </c>
      <c r="CB8" s="236">
        <v>0</v>
      </c>
      <c r="CC8" s="236">
        <v>0</v>
      </c>
      <c r="CD8" s="236">
        <v>0</v>
      </c>
      <c r="CE8" s="236">
        <v>0</v>
      </c>
      <c r="CF8" s="236">
        <v>0</v>
      </c>
      <c r="CG8" s="236">
        <v>0</v>
      </c>
      <c r="CH8" s="236">
        <v>0</v>
      </c>
      <c r="CI8" s="234">
        <v>0</v>
      </c>
      <c r="CJ8" s="236">
        <v>0</v>
      </c>
      <c r="CK8" s="236">
        <v>0</v>
      </c>
      <c r="CL8" s="234">
        <v>0</v>
      </c>
      <c r="CM8" s="234">
        <v>0</v>
      </c>
      <c r="CN8" s="234">
        <v>0</v>
      </c>
      <c r="CO8" s="234">
        <v>0</v>
      </c>
      <c r="CP8" s="234">
        <v>0</v>
      </c>
      <c r="CQ8" s="272">
        <v>0</v>
      </c>
    </row>
    <row r="9" spans="1:95" ht="14.25">
      <c r="A9" s="16" t="s">
        <v>67</v>
      </c>
      <c r="B9" s="24"/>
      <c r="C9" s="24"/>
      <c r="D9" s="24">
        <v>192164</v>
      </c>
      <c r="E9" s="24"/>
      <c r="F9" s="17"/>
      <c r="G9" s="17">
        <v>3023515</v>
      </c>
      <c r="H9" s="76">
        <v>1911481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204">
        <v>0</v>
      </c>
      <c r="O9" s="208">
        <v>0</v>
      </c>
      <c r="P9" s="206">
        <v>0</v>
      </c>
      <c r="Q9" s="17">
        <v>0</v>
      </c>
      <c r="R9" s="17">
        <v>0</v>
      </c>
      <c r="S9" s="17">
        <v>0</v>
      </c>
      <c r="T9" s="17">
        <v>0</v>
      </c>
      <c r="U9" s="17">
        <v>2754941</v>
      </c>
      <c r="V9" s="17">
        <v>0</v>
      </c>
      <c r="W9" s="75">
        <v>0</v>
      </c>
      <c r="X9" s="75">
        <v>0</v>
      </c>
      <c r="Y9" s="75">
        <v>0</v>
      </c>
      <c r="Z9" s="75">
        <v>0</v>
      </c>
      <c r="AA9" s="121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3122591.94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/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0">
        <v>0</v>
      </c>
      <c r="BJ9" s="170">
        <v>0</v>
      </c>
      <c r="BK9" s="170">
        <v>0</v>
      </c>
      <c r="BL9" s="170">
        <v>0</v>
      </c>
      <c r="BM9" s="170">
        <v>0</v>
      </c>
      <c r="BN9" s="225">
        <v>0</v>
      </c>
      <c r="BO9" s="227">
        <v>0</v>
      </c>
      <c r="BP9" s="227">
        <v>0</v>
      </c>
      <c r="BQ9" s="227">
        <v>0</v>
      </c>
      <c r="BR9" s="227">
        <v>0</v>
      </c>
      <c r="BS9" s="227">
        <v>0</v>
      </c>
      <c r="BT9" s="227">
        <v>0</v>
      </c>
      <c r="BU9" s="170">
        <f>5866877+13846281</f>
        <v>19713158</v>
      </c>
      <c r="BV9" s="225">
        <v>0</v>
      </c>
      <c r="BW9" s="227">
        <v>0</v>
      </c>
      <c r="BX9" s="227">
        <v>0</v>
      </c>
      <c r="BY9" s="227">
        <v>0</v>
      </c>
      <c r="BZ9" s="227">
        <v>0</v>
      </c>
      <c r="CA9" s="227">
        <v>0</v>
      </c>
      <c r="CB9" s="227">
        <v>0</v>
      </c>
      <c r="CC9" s="227">
        <v>0</v>
      </c>
      <c r="CD9" s="227">
        <v>0</v>
      </c>
      <c r="CE9" s="227">
        <v>0</v>
      </c>
      <c r="CF9" s="227">
        <v>0</v>
      </c>
      <c r="CG9" s="227">
        <v>0</v>
      </c>
      <c r="CH9" s="244">
        <f>7362474</f>
        <v>7362474</v>
      </c>
      <c r="CI9" s="225">
        <v>0</v>
      </c>
      <c r="CJ9" s="227">
        <v>0</v>
      </c>
      <c r="CK9" s="227">
        <v>0</v>
      </c>
      <c r="CL9" s="225">
        <v>0</v>
      </c>
      <c r="CM9" s="225">
        <v>0</v>
      </c>
      <c r="CN9" s="225">
        <v>0</v>
      </c>
      <c r="CO9" s="225">
        <v>0</v>
      </c>
      <c r="CP9" s="225">
        <v>0</v>
      </c>
      <c r="CQ9" s="274">
        <v>0</v>
      </c>
    </row>
    <row r="10" spans="1:95">
      <c r="A10" s="16" t="s">
        <v>68</v>
      </c>
      <c r="B10" s="24"/>
      <c r="C10" s="24">
        <v>2985205</v>
      </c>
      <c r="D10" s="24">
        <v>3645569</v>
      </c>
      <c r="E10" s="24"/>
      <c r="F10" s="17"/>
      <c r="G10" s="17">
        <v>5162510</v>
      </c>
      <c r="H10" s="76">
        <v>7897142</v>
      </c>
      <c r="I10" s="17">
        <v>0</v>
      </c>
      <c r="J10" s="17">
        <v>0</v>
      </c>
      <c r="K10" s="17">
        <v>148904</v>
      </c>
      <c r="L10" s="17">
        <v>148904</v>
      </c>
      <c r="M10" s="17">
        <v>148904</v>
      </c>
      <c r="N10" s="204">
        <v>8322808.1799999997</v>
      </c>
      <c r="O10" s="208">
        <v>8700966.9800000004</v>
      </c>
      <c r="P10" s="206">
        <v>8700966.9800000004</v>
      </c>
      <c r="Q10" s="17">
        <v>9499936.6500000004</v>
      </c>
      <c r="R10" s="17">
        <v>9499936.6500000004</v>
      </c>
      <c r="S10" s="17">
        <v>9499936.6500000004</v>
      </c>
      <c r="T10" s="17">
        <v>11323411.43</v>
      </c>
      <c r="U10" s="17">
        <f>8568471</f>
        <v>8568471</v>
      </c>
      <c r="V10" s="17">
        <v>103249.31</v>
      </c>
      <c r="W10" s="75">
        <v>103249.31</v>
      </c>
      <c r="X10" s="75">
        <v>1117870.5900000001</v>
      </c>
      <c r="Y10" s="75">
        <v>1161616.67</v>
      </c>
      <c r="Z10" s="75">
        <v>1161616.67</v>
      </c>
      <c r="AA10" s="121">
        <v>11514808.869999999</v>
      </c>
      <c r="AB10" s="17">
        <v>11935897.619999999</v>
      </c>
      <c r="AC10" s="17">
        <v>11935897.619999999</v>
      </c>
      <c r="AD10" s="17">
        <v>11935897.619999999</v>
      </c>
      <c r="AE10" s="17">
        <v>13000653.74</v>
      </c>
      <c r="AF10" s="17">
        <v>13000653.74</v>
      </c>
      <c r="AG10" s="17">
        <v>13896872.890000001</v>
      </c>
      <c r="AH10" s="17">
        <v>10774280.949999999</v>
      </c>
      <c r="AI10" s="17">
        <v>0</v>
      </c>
      <c r="AJ10" s="17">
        <v>0</v>
      </c>
      <c r="AK10" s="17">
        <v>405545.5</v>
      </c>
      <c r="AL10" s="17">
        <v>911783.55</v>
      </c>
      <c r="AM10" s="17">
        <v>911783.55</v>
      </c>
      <c r="AN10" s="17">
        <v>14471442.49</v>
      </c>
      <c r="AO10" s="17">
        <v>14471442.49</v>
      </c>
      <c r="AP10" s="17">
        <v>14471442.49</v>
      </c>
      <c r="AQ10" s="17">
        <v>14471442.49</v>
      </c>
      <c r="AR10" s="17">
        <v>14471442.49</v>
      </c>
      <c r="AS10" s="17">
        <v>15037041.99</v>
      </c>
      <c r="AT10" s="17">
        <v>15602299.75</v>
      </c>
      <c r="AU10" s="17"/>
      <c r="AV10" s="17">
        <v>0</v>
      </c>
      <c r="AW10" s="17">
        <v>0</v>
      </c>
      <c r="AX10" s="17">
        <v>661492.71</v>
      </c>
      <c r="AY10" s="17">
        <v>13634505.51</v>
      </c>
      <c r="AZ10" s="17">
        <v>13634505.51</v>
      </c>
      <c r="BA10" s="17">
        <v>14013960.720000001</v>
      </c>
      <c r="BC10" s="17">
        <v>72157760.549999997</v>
      </c>
      <c r="BD10" s="17">
        <v>14431552.109999999</v>
      </c>
      <c r="BE10" s="17">
        <v>14431552.109999999</v>
      </c>
      <c r="BF10" s="17">
        <v>15345940.359999999</v>
      </c>
      <c r="BG10" s="17">
        <v>16934119.449999999</v>
      </c>
      <c r="BI10" s="170">
        <v>0</v>
      </c>
      <c r="BJ10" s="170">
        <v>0</v>
      </c>
      <c r="BK10" s="170">
        <v>898828.96</v>
      </c>
      <c r="BL10" s="170">
        <v>14140931.35</v>
      </c>
      <c r="BM10" s="170">
        <v>14188683.35</v>
      </c>
      <c r="BN10" s="226">
        <v>14238957.35</v>
      </c>
      <c r="BO10" s="228">
        <v>15230177.74</v>
      </c>
      <c r="BP10" s="228">
        <v>15443936.32</v>
      </c>
      <c r="BQ10" s="228">
        <v>15443936.32</v>
      </c>
      <c r="BR10" s="228">
        <v>16803422.960000001</v>
      </c>
      <c r="BS10" s="228">
        <v>17176797.870000001</v>
      </c>
      <c r="BT10" s="228">
        <v>18684341.460000001</v>
      </c>
      <c r="BU10" s="170"/>
      <c r="BV10" s="226">
        <v>196712.23</v>
      </c>
      <c r="BW10" s="228">
        <v>368583.64</v>
      </c>
      <c r="BX10" s="228">
        <v>1794054.03</v>
      </c>
      <c r="BY10" s="228">
        <v>1984724.82</v>
      </c>
      <c r="BZ10" s="228">
        <v>2183937.31</v>
      </c>
      <c r="CA10" s="228">
        <v>15259033.67</v>
      </c>
      <c r="CB10" s="228">
        <v>15458456.9</v>
      </c>
      <c r="CC10" s="228">
        <v>15710336.189999999</v>
      </c>
      <c r="CD10" s="228">
        <v>17276218.829999998</v>
      </c>
      <c r="CE10" s="228">
        <v>17835289.25</v>
      </c>
      <c r="CF10" s="228">
        <v>18200130.449999999</v>
      </c>
      <c r="CG10" s="228">
        <v>20071347.289999999</v>
      </c>
      <c r="CH10" s="228">
        <f>14038227</f>
        <v>14038227</v>
      </c>
      <c r="CI10" s="226">
        <v>212475.66</v>
      </c>
      <c r="CJ10" s="228">
        <v>212475.66</v>
      </c>
      <c r="CK10" s="228">
        <v>2126424.19</v>
      </c>
      <c r="CL10" s="226">
        <v>2349875.62</v>
      </c>
      <c r="CM10" s="226">
        <v>2503122.02</v>
      </c>
      <c r="CN10" s="226">
        <v>21506463.34</v>
      </c>
      <c r="CO10" s="226">
        <v>22321501.300000001</v>
      </c>
      <c r="CP10" s="226">
        <v>22572105.710000001</v>
      </c>
      <c r="CQ10" s="275">
        <v>23831346.809999999</v>
      </c>
    </row>
    <row r="11" spans="1:95" s="28" customFormat="1" ht="14.25">
      <c r="A11" s="15" t="s">
        <v>69</v>
      </c>
      <c r="B11" s="23">
        <v>2149508</v>
      </c>
      <c r="C11" s="23">
        <v>514250</v>
      </c>
      <c r="D11" s="23">
        <v>1483440</v>
      </c>
      <c r="E11" s="23">
        <v>2815858.8600000003</v>
      </c>
      <c r="F11" s="32">
        <v>1271231</v>
      </c>
      <c r="G11" s="32">
        <v>898788</v>
      </c>
      <c r="H11" s="28">
        <v>978153</v>
      </c>
      <c r="I11" s="32">
        <v>62934.75</v>
      </c>
      <c r="J11" s="32">
        <v>134420.75</v>
      </c>
      <c r="K11" s="32">
        <v>590604.05000000005</v>
      </c>
      <c r="L11" s="32">
        <v>640168.05000000005</v>
      </c>
      <c r="M11" s="32">
        <v>689009.05</v>
      </c>
      <c r="N11" s="209">
        <v>735406.05</v>
      </c>
      <c r="O11" s="210">
        <v>782221.05</v>
      </c>
      <c r="P11" s="211">
        <v>850532.05</v>
      </c>
      <c r="Q11" s="32">
        <v>897139.05</v>
      </c>
      <c r="R11" s="32">
        <v>942942.05</v>
      </c>
      <c r="S11" s="32">
        <v>1003607.05</v>
      </c>
      <c r="T11" s="32">
        <v>1084933.05</v>
      </c>
      <c r="U11" s="32">
        <f>2352540+1207016+269395+1275263</f>
        <v>5104214</v>
      </c>
      <c r="V11" s="17">
        <v>66166</v>
      </c>
      <c r="W11" s="84">
        <v>113781</v>
      </c>
      <c r="X11" s="84">
        <v>694577.03</v>
      </c>
      <c r="Y11" s="84">
        <v>783282.03</v>
      </c>
      <c r="Z11" s="84">
        <v>883097.03</v>
      </c>
      <c r="AA11" s="121">
        <v>948752.03</v>
      </c>
      <c r="AB11" s="148">
        <v>1066777.03</v>
      </c>
      <c r="AC11" s="148">
        <v>1175999.03</v>
      </c>
      <c r="AD11" s="148">
        <v>1316779.53</v>
      </c>
      <c r="AE11" s="148">
        <v>1403479.53</v>
      </c>
      <c r="AF11" s="148">
        <v>1670776.16</v>
      </c>
      <c r="AG11" s="148">
        <v>1732964.49</v>
      </c>
      <c r="AH11" s="148">
        <f>2538450+2029096.49</f>
        <v>4567546.49</v>
      </c>
      <c r="AI11" s="148">
        <v>57671</v>
      </c>
      <c r="AJ11" s="148">
        <v>168370</v>
      </c>
      <c r="AK11" s="148">
        <v>338320.9</v>
      </c>
      <c r="AL11" s="148">
        <v>429615.2</v>
      </c>
      <c r="AM11" s="148">
        <v>556861.19999999995</v>
      </c>
      <c r="AN11" s="148">
        <v>676841.2</v>
      </c>
      <c r="AO11" s="148">
        <v>769827.2</v>
      </c>
      <c r="AP11" s="148">
        <v>975013.2</v>
      </c>
      <c r="AQ11" s="148">
        <v>1143198.2</v>
      </c>
      <c r="AR11" s="148">
        <v>1225373.2</v>
      </c>
      <c r="AS11" s="148">
        <v>1301493.2</v>
      </c>
      <c r="AT11" s="148">
        <v>1552888.2</v>
      </c>
      <c r="AU11" s="148">
        <v>2165674</v>
      </c>
      <c r="AV11" s="148">
        <v>65745</v>
      </c>
      <c r="AW11" s="148">
        <v>151880</v>
      </c>
      <c r="AX11" s="148">
        <v>369402.54</v>
      </c>
      <c r="AY11" s="148">
        <v>672682.87</v>
      </c>
      <c r="AZ11" s="148">
        <v>718648.87</v>
      </c>
      <c r="BA11" s="148">
        <v>865957.87</v>
      </c>
      <c r="BC11" s="148">
        <v>5106864.3499999996</v>
      </c>
      <c r="BD11" s="148">
        <v>1186662</v>
      </c>
      <c r="BE11" s="148">
        <v>1376874.87</v>
      </c>
      <c r="BF11" s="148">
        <v>1708680.64</v>
      </c>
      <c r="BG11" s="148">
        <v>1685748.74</v>
      </c>
      <c r="BH11" s="84">
        <v>2323752</v>
      </c>
      <c r="BI11" s="169">
        <v>82690</v>
      </c>
      <c r="BJ11" s="169">
        <v>774111.75</v>
      </c>
      <c r="BK11" s="169">
        <v>1529008.25</v>
      </c>
      <c r="BL11" s="169">
        <v>1673600.5</v>
      </c>
      <c r="BM11" s="169">
        <v>1842394</v>
      </c>
      <c r="BN11" s="223">
        <v>2018716.25</v>
      </c>
      <c r="BO11" s="224">
        <v>2208453.25</v>
      </c>
      <c r="BP11" s="224">
        <v>2418850.25</v>
      </c>
      <c r="BQ11" s="224">
        <v>2595095.75</v>
      </c>
      <c r="BR11" s="224">
        <v>2751830.25</v>
      </c>
      <c r="BS11" s="224">
        <v>3054745.25</v>
      </c>
      <c r="BT11" s="224">
        <v>4955778</v>
      </c>
      <c r="BU11" s="169">
        <f>427500+4255971+272308</f>
        <v>4955779</v>
      </c>
      <c r="BV11" s="238">
        <v>65376.5</v>
      </c>
      <c r="BW11" s="239">
        <v>1424116.5</v>
      </c>
      <c r="BX11" s="239">
        <v>1573642.75</v>
      </c>
      <c r="BY11" s="239">
        <v>1677630.25</v>
      </c>
      <c r="BZ11" s="239">
        <v>1880704.5</v>
      </c>
      <c r="CA11" s="239">
        <v>2183662.7599999998</v>
      </c>
      <c r="CB11" s="239">
        <v>2336404.7599999998</v>
      </c>
      <c r="CC11" s="239">
        <v>2491126.7599999998</v>
      </c>
      <c r="CD11" s="239">
        <v>2638147.7599999998</v>
      </c>
      <c r="CE11" s="239">
        <v>3194652.61</v>
      </c>
      <c r="CF11" s="239">
        <v>3608727.56</v>
      </c>
      <c r="CG11" s="239">
        <v>4990642.04</v>
      </c>
      <c r="CH11" s="239">
        <f>463500+4122116+123720</f>
        <v>4709336</v>
      </c>
      <c r="CI11" s="223">
        <v>112065</v>
      </c>
      <c r="CJ11" s="224">
        <v>393924</v>
      </c>
      <c r="CK11" s="224">
        <v>2139993.23</v>
      </c>
      <c r="CL11" s="238">
        <v>2294733.2599999998</v>
      </c>
      <c r="CM11" s="223">
        <v>2800013.09</v>
      </c>
      <c r="CN11" s="223">
        <v>3057545.08</v>
      </c>
      <c r="CO11" s="223">
        <v>3364952.25</v>
      </c>
      <c r="CP11" s="223">
        <v>3465649.75</v>
      </c>
      <c r="CQ11" s="223">
        <v>3757499.25</v>
      </c>
    </row>
    <row r="12" spans="1:95">
      <c r="A12" s="15" t="s">
        <v>70</v>
      </c>
      <c r="B12" s="54">
        <f>SUM(B13:B18)</f>
        <v>24208136</v>
      </c>
      <c r="C12" s="54">
        <f>SUM(C13:C18)</f>
        <v>28170518</v>
      </c>
      <c r="D12" s="54">
        <f>SUM(D13:D18)</f>
        <v>34989634</v>
      </c>
      <c r="E12" s="54">
        <f t="shared" ref="E12:BK12" si="18">SUM(E13:E18)</f>
        <v>39113126.960000001</v>
      </c>
      <c r="F12" s="54">
        <f t="shared" si="18"/>
        <v>35705528</v>
      </c>
      <c r="G12" s="54">
        <f t="shared" si="18"/>
        <v>35360127</v>
      </c>
      <c r="H12" s="54">
        <f t="shared" si="18"/>
        <v>37075248</v>
      </c>
      <c r="I12" s="54">
        <f t="shared" si="18"/>
        <v>2576230</v>
      </c>
      <c r="J12" s="54">
        <f t="shared" si="18"/>
        <v>5186707.84</v>
      </c>
      <c r="K12" s="54">
        <f t="shared" si="18"/>
        <v>7719929.8399999999</v>
      </c>
      <c r="L12" s="54">
        <f t="shared" si="18"/>
        <v>10814295.34</v>
      </c>
      <c r="M12" s="54">
        <f t="shared" si="18"/>
        <v>13959617.310000001</v>
      </c>
      <c r="N12" s="54">
        <f t="shared" si="18"/>
        <v>16992626.309999999</v>
      </c>
      <c r="O12" s="54">
        <f t="shared" si="18"/>
        <v>20062075.809999999</v>
      </c>
      <c r="P12" s="54">
        <f t="shared" si="18"/>
        <v>23146703.370000001</v>
      </c>
      <c r="Q12" s="54">
        <f t="shared" si="18"/>
        <v>26272138.120000001</v>
      </c>
      <c r="R12" s="54">
        <f t="shared" si="18"/>
        <v>29361243.379999999</v>
      </c>
      <c r="S12" s="54">
        <f t="shared" si="18"/>
        <v>32454127.879999999</v>
      </c>
      <c r="T12" s="54">
        <f t="shared" si="18"/>
        <v>42782450.009999998</v>
      </c>
      <c r="U12" s="54">
        <f t="shared" si="18"/>
        <v>45285994</v>
      </c>
      <c r="V12" s="54">
        <f t="shared" si="18"/>
        <v>3032407.26</v>
      </c>
      <c r="W12" s="54">
        <f t="shared" si="18"/>
        <v>6101627.2599999998</v>
      </c>
      <c r="X12" s="54">
        <f t="shared" si="18"/>
        <v>9198168.2599999998</v>
      </c>
      <c r="Y12" s="54">
        <f t="shared" si="18"/>
        <v>12349355.26</v>
      </c>
      <c r="Z12" s="54">
        <f t="shared" si="18"/>
        <v>15384184.76</v>
      </c>
      <c r="AA12" s="54">
        <f t="shared" si="18"/>
        <v>18411961.760000002</v>
      </c>
      <c r="AB12" s="54">
        <f t="shared" si="18"/>
        <v>21553098.760000002</v>
      </c>
      <c r="AC12" s="54">
        <f t="shared" si="18"/>
        <v>24605630.760000002</v>
      </c>
      <c r="AD12" s="54">
        <f t="shared" si="18"/>
        <v>27607384.760000002</v>
      </c>
      <c r="AE12" s="54">
        <f t="shared" si="18"/>
        <v>27644629.760000002</v>
      </c>
      <c r="AF12" s="54">
        <f t="shared" si="18"/>
        <v>33795934.759999998</v>
      </c>
      <c r="AG12" s="54">
        <f t="shared" si="18"/>
        <v>45524606.82</v>
      </c>
      <c r="AH12" s="54">
        <f t="shared" si="18"/>
        <v>45463149.57</v>
      </c>
      <c r="AI12" s="54">
        <f t="shared" si="18"/>
        <v>3056130</v>
      </c>
      <c r="AJ12" s="54">
        <f t="shared" si="18"/>
        <v>6102799</v>
      </c>
      <c r="AK12" s="54">
        <f t="shared" si="18"/>
        <v>9173438</v>
      </c>
      <c r="AL12" s="54">
        <f t="shared" si="18"/>
        <v>12497034.51</v>
      </c>
      <c r="AM12" s="54">
        <f t="shared" si="18"/>
        <v>15602206.25</v>
      </c>
      <c r="AN12" s="54">
        <f t="shared" si="18"/>
        <v>18695390.57</v>
      </c>
      <c r="AO12" s="54">
        <f t="shared" si="18"/>
        <v>21743053.57</v>
      </c>
      <c r="AP12" s="54">
        <f t="shared" si="18"/>
        <v>25006424.920000002</v>
      </c>
      <c r="AQ12" s="54">
        <f t="shared" si="18"/>
        <v>28035262.920000002</v>
      </c>
      <c r="AR12" s="54">
        <f t="shared" si="18"/>
        <v>31133930.920000002</v>
      </c>
      <c r="AS12" s="54">
        <f t="shared" si="18"/>
        <v>44234740.920000002</v>
      </c>
      <c r="AT12" s="54">
        <f t="shared" si="18"/>
        <v>56178006.689999998</v>
      </c>
      <c r="AU12" s="54">
        <f t="shared" si="18"/>
        <v>59095341</v>
      </c>
      <c r="AV12" s="54">
        <f t="shared" si="18"/>
        <v>3695600.21</v>
      </c>
      <c r="AW12" s="54">
        <f t="shared" si="18"/>
        <v>7226086.21</v>
      </c>
      <c r="AX12" s="54">
        <f t="shared" si="18"/>
        <v>10933291.209999999</v>
      </c>
      <c r="AY12" s="54">
        <f t="shared" si="18"/>
        <v>14507601.209999999</v>
      </c>
      <c r="AZ12" s="54">
        <f t="shared" si="18"/>
        <v>18061245.210000001</v>
      </c>
      <c r="BA12" s="54">
        <f t="shared" si="18"/>
        <v>21778891.210000001</v>
      </c>
      <c r="BB12" s="54">
        <f t="shared" si="18"/>
        <v>0</v>
      </c>
      <c r="BC12" s="54">
        <f t="shared" si="18"/>
        <v>159875837.09999999</v>
      </c>
      <c r="BD12" s="54">
        <f t="shared" si="18"/>
        <v>37023918.259999998</v>
      </c>
      <c r="BE12" s="54">
        <f t="shared" si="18"/>
        <v>42186596.259999998</v>
      </c>
      <c r="BF12" s="54">
        <f t="shared" si="18"/>
        <v>47327367.259999998</v>
      </c>
      <c r="BG12" s="54">
        <f t="shared" si="18"/>
        <v>53825653.709999993</v>
      </c>
      <c r="BH12" s="54">
        <f t="shared" si="18"/>
        <v>61981504.25</v>
      </c>
      <c r="BI12" s="54">
        <f t="shared" si="18"/>
        <v>5044659</v>
      </c>
      <c r="BJ12" s="54">
        <f t="shared" si="18"/>
        <v>10277080</v>
      </c>
      <c r="BK12" s="54">
        <f t="shared" si="18"/>
        <v>15435759.029999999</v>
      </c>
      <c r="BL12" s="54">
        <f>SUM(BL13:BL18)</f>
        <v>20534831.989999998</v>
      </c>
      <c r="BM12" s="54">
        <f>SUM(BM13:BM18)</f>
        <v>25752659.370000001</v>
      </c>
      <c r="BN12" s="54">
        <f t="shared" ref="BN12:BU12" si="19">SUM(BN13:BN18)</f>
        <v>30912591.34</v>
      </c>
      <c r="BO12" s="54">
        <f t="shared" si="19"/>
        <v>35960204.340000004</v>
      </c>
      <c r="BP12" s="54">
        <f t="shared" si="19"/>
        <v>41135739.649999999</v>
      </c>
      <c r="BQ12" s="54">
        <f t="shared" si="19"/>
        <v>46325374.649999999</v>
      </c>
      <c r="BR12" s="54">
        <f t="shared" si="19"/>
        <v>51387578.649999999</v>
      </c>
      <c r="BS12" s="54">
        <f t="shared" si="19"/>
        <v>56618197.649999999</v>
      </c>
      <c r="BT12" s="54">
        <f t="shared" si="19"/>
        <v>78441607.700000003</v>
      </c>
      <c r="BU12" s="54">
        <f t="shared" si="19"/>
        <v>78441608</v>
      </c>
      <c r="BV12" s="54">
        <f t="shared" ref="BV12:CG12" si="20">SUM(BV13:BV18)</f>
        <v>5052440</v>
      </c>
      <c r="BW12" s="54">
        <f t="shared" si="20"/>
        <v>10237298</v>
      </c>
      <c r="BX12" s="54">
        <f t="shared" si="20"/>
        <v>16031712.65</v>
      </c>
      <c r="BY12" s="54">
        <f t="shared" si="20"/>
        <v>21727286.649999999</v>
      </c>
      <c r="BZ12" s="54">
        <f t="shared" si="20"/>
        <v>27331673.649999999</v>
      </c>
      <c r="CA12" s="54">
        <f t="shared" si="20"/>
        <v>32947545.649999999</v>
      </c>
      <c r="CB12" s="54">
        <f t="shared" si="20"/>
        <v>38580341.530000001</v>
      </c>
      <c r="CC12" s="54">
        <f t="shared" si="20"/>
        <v>44309051.93</v>
      </c>
      <c r="CD12" s="54">
        <f t="shared" si="20"/>
        <v>49894585.18</v>
      </c>
      <c r="CE12" s="54">
        <f t="shared" si="20"/>
        <v>55505116.18</v>
      </c>
      <c r="CF12" s="54">
        <f t="shared" si="20"/>
        <v>61220037.18</v>
      </c>
      <c r="CG12" s="54">
        <f t="shared" si="20"/>
        <v>83207079.719999999</v>
      </c>
      <c r="CH12" s="54">
        <f t="shared" ref="CH12:CQ12" si="21">SUM(CH13:CH18)</f>
        <v>83207079</v>
      </c>
      <c r="CI12" s="54">
        <f t="shared" si="21"/>
        <v>5662051.75</v>
      </c>
      <c r="CJ12" s="54">
        <f t="shared" si="21"/>
        <v>11235862.75</v>
      </c>
      <c r="CK12" s="54">
        <f t="shared" si="21"/>
        <v>16846089.59</v>
      </c>
      <c r="CL12" s="54">
        <f t="shared" si="21"/>
        <v>23810123.449999999</v>
      </c>
      <c r="CM12" s="54">
        <f t="shared" si="21"/>
        <v>30685684.530000001</v>
      </c>
      <c r="CN12" s="54">
        <f t="shared" si="21"/>
        <v>38694163.219999999</v>
      </c>
      <c r="CO12" s="54">
        <f t="shared" si="21"/>
        <v>45650291.719999999</v>
      </c>
      <c r="CP12" s="54">
        <f t="shared" si="21"/>
        <v>51366837.349999994</v>
      </c>
      <c r="CQ12" s="54">
        <f t="shared" si="21"/>
        <v>57047544.099999994</v>
      </c>
    </row>
    <row r="13" spans="1:95" ht="14.25">
      <c r="A13" s="16" t="s">
        <v>71</v>
      </c>
      <c r="B13" s="24">
        <v>24208136</v>
      </c>
      <c r="C13" s="24">
        <v>16622609</v>
      </c>
      <c r="D13" s="24">
        <v>18348921</v>
      </c>
      <c r="E13" s="24">
        <v>23984697.329999998</v>
      </c>
      <c r="F13" s="17">
        <v>28323856</v>
      </c>
      <c r="G13" s="17">
        <v>33281648</v>
      </c>
      <c r="H13" s="75">
        <v>35950953</v>
      </c>
      <c r="I13" s="17">
        <v>2500000</v>
      </c>
      <c r="J13" s="17">
        <v>5000000</v>
      </c>
      <c r="K13" s="17">
        <v>7500000</v>
      </c>
      <c r="L13" s="17">
        <v>10500000</v>
      </c>
      <c r="M13" s="17">
        <v>13500000</v>
      </c>
      <c r="N13" s="204">
        <v>16500000</v>
      </c>
      <c r="O13" s="212">
        <v>19500000</v>
      </c>
      <c r="P13" s="206">
        <v>22500000</v>
      </c>
      <c r="Q13" s="17">
        <v>25500000</v>
      </c>
      <c r="R13" s="17">
        <v>28500000</v>
      </c>
      <c r="S13" s="17">
        <v>31500000</v>
      </c>
      <c r="T13" s="17">
        <v>41271904.159999996</v>
      </c>
      <c r="U13" s="17">
        <v>44018009</v>
      </c>
      <c r="V13" s="17">
        <v>3000000</v>
      </c>
      <c r="W13" s="75">
        <v>6000000</v>
      </c>
      <c r="X13" s="75">
        <v>9000000</v>
      </c>
      <c r="Y13" s="75">
        <v>12000000</v>
      </c>
      <c r="Z13" s="75">
        <v>15000000</v>
      </c>
      <c r="AA13" s="121">
        <v>18000000</v>
      </c>
      <c r="AB13" s="17">
        <v>20998521</v>
      </c>
      <c r="AC13" s="17">
        <v>23998521</v>
      </c>
      <c r="AD13" s="17">
        <v>26998521</v>
      </c>
      <c r="AE13" s="17">
        <v>26998521</v>
      </c>
      <c r="AF13" s="17">
        <v>32998521</v>
      </c>
      <c r="AG13" s="17">
        <v>44528105.369999997</v>
      </c>
      <c r="AH13" s="17">
        <v>44528105.369999997</v>
      </c>
      <c r="AI13" s="17">
        <v>3000000</v>
      </c>
      <c r="AJ13" s="17">
        <v>6000000</v>
      </c>
      <c r="AK13" s="17">
        <v>9000000</v>
      </c>
      <c r="AL13" s="17">
        <v>12000000</v>
      </c>
      <c r="AM13" s="17">
        <v>15000000</v>
      </c>
      <c r="AN13" s="17">
        <v>18000000</v>
      </c>
      <c r="AO13" s="17">
        <v>21000000</v>
      </c>
      <c r="AP13" s="17">
        <v>24000000</v>
      </c>
      <c r="AQ13" s="17">
        <v>27000000</v>
      </c>
      <c r="AR13" s="17">
        <v>30000000</v>
      </c>
      <c r="AS13" s="17">
        <v>43000000</v>
      </c>
      <c r="AT13" s="17">
        <v>54334918.909999996</v>
      </c>
      <c r="AU13" s="17">
        <v>54408213</v>
      </c>
      <c r="AV13" s="17">
        <v>3556219.6</v>
      </c>
      <c r="AW13" s="17">
        <v>7056219.5999999996</v>
      </c>
      <c r="AX13" s="17">
        <v>10556219.6</v>
      </c>
      <c r="AY13" s="17">
        <v>14056219.6</v>
      </c>
      <c r="AZ13" s="17">
        <v>17556219.600000001</v>
      </c>
      <c r="BA13" s="17">
        <v>21056219.600000001</v>
      </c>
      <c r="BC13" s="17">
        <v>155281098</v>
      </c>
      <c r="BD13" s="17">
        <v>36056219.600000001</v>
      </c>
      <c r="BE13" s="17">
        <v>41056219.600000001</v>
      </c>
      <c r="BF13" s="17">
        <v>46056219.600000001</v>
      </c>
      <c r="BG13" s="17">
        <v>52341453.159999996</v>
      </c>
      <c r="BH13" s="207">
        <v>56353562</v>
      </c>
      <c r="BI13" s="170">
        <v>5000000</v>
      </c>
      <c r="BJ13" s="170">
        <v>10000000</v>
      </c>
      <c r="BK13" s="170">
        <v>15000000</v>
      </c>
      <c r="BL13" s="170">
        <v>20000000</v>
      </c>
      <c r="BM13" s="170">
        <v>25000000</v>
      </c>
      <c r="BN13" s="226">
        <v>30000000</v>
      </c>
      <c r="BO13" s="228">
        <v>35000000</v>
      </c>
      <c r="BP13" s="228">
        <v>40000000</v>
      </c>
      <c r="BQ13" s="228">
        <v>45000000</v>
      </c>
      <c r="BR13" s="228">
        <v>50000000</v>
      </c>
      <c r="BS13" s="228">
        <v>55000000</v>
      </c>
      <c r="BT13" s="228">
        <v>75922159.700000003</v>
      </c>
      <c r="BU13" s="170">
        <f>75922160+1158317</f>
        <v>77080477</v>
      </c>
      <c r="BV13" s="235">
        <v>5000000</v>
      </c>
      <c r="BW13" s="237">
        <v>10000000</v>
      </c>
      <c r="BX13" s="237">
        <v>15416667</v>
      </c>
      <c r="BY13" s="237">
        <v>20833334</v>
      </c>
      <c r="BZ13" s="237">
        <v>26250001</v>
      </c>
      <c r="CA13" s="237">
        <v>31666668</v>
      </c>
      <c r="CB13" s="237">
        <v>37083335</v>
      </c>
      <c r="CC13" s="237">
        <v>42500002</v>
      </c>
      <c r="CD13" s="237">
        <v>47916669</v>
      </c>
      <c r="CE13" s="237">
        <v>53333336</v>
      </c>
      <c r="CF13" s="237">
        <v>58750003</v>
      </c>
      <c r="CG13" s="237">
        <v>80488582.390000001</v>
      </c>
      <c r="CH13" s="237">
        <f>80488582+1465241</f>
        <v>81953823</v>
      </c>
      <c r="CI13" s="235">
        <v>5416667</v>
      </c>
      <c r="CJ13" s="237">
        <v>10833334</v>
      </c>
      <c r="CK13" s="237">
        <v>16250001</v>
      </c>
      <c r="CL13" s="235">
        <v>22916668</v>
      </c>
      <c r="CM13" s="235">
        <v>29583335</v>
      </c>
      <c r="CN13" s="235">
        <v>37215692.689999998</v>
      </c>
      <c r="CO13" s="235">
        <v>43882359.689999998</v>
      </c>
      <c r="CP13" s="235">
        <v>49299026.689999998</v>
      </c>
      <c r="CQ13" s="273">
        <v>54715693.689999998</v>
      </c>
    </row>
    <row r="14" spans="1:95" ht="14.25">
      <c r="A14" s="16" t="s">
        <v>72</v>
      </c>
      <c r="B14" s="24"/>
      <c r="C14" s="24">
        <v>10569123</v>
      </c>
      <c r="D14" s="24">
        <v>15436251</v>
      </c>
      <c r="E14" s="24">
        <v>14077264.32</v>
      </c>
      <c r="F14" s="17">
        <v>6809774</v>
      </c>
      <c r="G14" s="17">
        <v>1293620</v>
      </c>
      <c r="H14" s="75"/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204">
        <v>0</v>
      </c>
      <c r="O14" s="212">
        <v>0</v>
      </c>
      <c r="P14" s="206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75">
        <v>0</v>
      </c>
      <c r="X14" s="75">
        <v>0</v>
      </c>
      <c r="Y14" s="75">
        <v>0</v>
      </c>
      <c r="Z14" s="75">
        <v>0</v>
      </c>
      <c r="AA14" s="121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-61659.54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0">
        <v>0</v>
      </c>
      <c r="BJ14" s="170">
        <v>0</v>
      </c>
      <c r="BK14" s="170">
        <v>0</v>
      </c>
      <c r="BL14" s="170">
        <v>0</v>
      </c>
      <c r="BM14" s="170">
        <v>0</v>
      </c>
      <c r="BN14" s="225">
        <v>0</v>
      </c>
      <c r="BO14" s="227">
        <v>0</v>
      </c>
      <c r="BP14" s="227">
        <v>0</v>
      </c>
      <c r="BQ14" s="227">
        <v>0</v>
      </c>
      <c r="BR14" s="227">
        <v>0</v>
      </c>
      <c r="BS14" s="227">
        <v>0</v>
      </c>
      <c r="BT14" s="227">
        <v>0</v>
      </c>
      <c r="BU14" s="170"/>
      <c r="BV14" s="225">
        <v>0</v>
      </c>
      <c r="BW14" s="227">
        <v>0</v>
      </c>
      <c r="BX14" s="227">
        <v>0</v>
      </c>
      <c r="BY14" s="227">
        <v>0</v>
      </c>
      <c r="BZ14" s="227">
        <v>0</v>
      </c>
      <c r="CA14" s="227">
        <v>0</v>
      </c>
      <c r="CB14" s="227">
        <v>0</v>
      </c>
      <c r="CC14" s="227">
        <v>0</v>
      </c>
      <c r="CD14" s="227">
        <v>0</v>
      </c>
      <c r="CE14" s="227">
        <v>0</v>
      </c>
      <c r="CF14" s="227">
        <v>0</v>
      </c>
      <c r="CG14" s="227">
        <v>0</v>
      </c>
      <c r="CH14" s="227">
        <v>0</v>
      </c>
      <c r="CI14" s="225">
        <v>0</v>
      </c>
      <c r="CJ14" s="227">
        <v>0</v>
      </c>
      <c r="CK14" s="227">
        <v>0</v>
      </c>
      <c r="CL14" s="225">
        <v>0</v>
      </c>
      <c r="CM14" s="225">
        <v>0</v>
      </c>
      <c r="CN14" s="225">
        <v>0</v>
      </c>
      <c r="CO14" s="225">
        <v>0</v>
      </c>
      <c r="CP14" s="225">
        <v>0</v>
      </c>
      <c r="CQ14" s="274">
        <v>0</v>
      </c>
    </row>
    <row r="15" spans="1:95" ht="14.25">
      <c r="A15" s="16" t="s">
        <v>73</v>
      </c>
      <c r="B15" s="24"/>
      <c r="C15" s="24"/>
      <c r="D15" s="24"/>
      <c r="E15" s="24"/>
      <c r="F15" s="17"/>
      <c r="G15" s="17"/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204">
        <v>0</v>
      </c>
      <c r="O15" s="212">
        <v>0</v>
      </c>
      <c r="P15" s="206">
        <v>0</v>
      </c>
      <c r="Q15" s="17">
        <v>0</v>
      </c>
      <c r="R15" s="17">
        <v>0</v>
      </c>
      <c r="S15" s="17">
        <v>0</v>
      </c>
      <c r="T15" s="17">
        <v>0</v>
      </c>
      <c r="U15" s="17"/>
      <c r="V15" s="17">
        <v>0</v>
      </c>
      <c r="W15" s="75">
        <v>0</v>
      </c>
      <c r="X15" s="75">
        <v>0</v>
      </c>
      <c r="Y15" s="75">
        <v>0</v>
      </c>
      <c r="Z15" s="75">
        <v>0</v>
      </c>
      <c r="AA15" s="123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0">
        <v>0</v>
      </c>
      <c r="BJ15" s="170">
        <v>0</v>
      </c>
      <c r="BK15" s="170">
        <v>0</v>
      </c>
      <c r="BL15" s="170">
        <v>0</v>
      </c>
      <c r="BM15" s="170">
        <v>0</v>
      </c>
      <c r="BN15" s="225">
        <v>0</v>
      </c>
      <c r="BO15" s="227">
        <v>0</v>
      </c>
      <c r="BP15" s="227">
        <v>0</v>
      </c>
      <c r="BQ15" s="227">
        <v>0</v>
      </c>
      <c r="BR15" s="227">
        <v>0</v>
      </c>
      <c r="BS15" s="227">
        <v>0</v>
      </c>
      <c r="BT15" s="227">
        <v>0</v>
      </c>
      <c r="BU15" s="170"/>
      <c r="BV15" s="225">
        <v>0</v>
      </c>
      <c r="BW15" s="227">
        <v>0</v>
      </c>
      <c r="BX15" s="227">
        <v>0</v>
      </c>
      <c r="BY15" s="227">
        <v>0</v>
      </c>
      <c r="BZ15" s="227">
        <v>0</v>
      </c>
      <c r="CA15" s="227">
        <v>0</v>
      </c>
      <c r="CB15" s="227">
        <v>0</v>
      </c>
      <c r="CC15" s="227">
        <v>0</v>
      </c>
      <c r="CD15" s="227">
        <v>0</v>
      </c>
      <c r="CE15" s="227">
        <v>0</v>
      </c>
      <c r="CF15" s="227">
        <v>0</v>
      </c>
      <c r="CG15" s="227">
        <v>0</v>
      </c>
      <c r="CH15" s="227">
        <v>0</v>
      </c>
      <c r="CI15" s="225">
        <v>0</v>
      </c>
      <c r="CJ15" s="227">
        <v>0</v>
      </c>
      <c r="CK15" s="227">
        <v>0</v>
      </c>
      <c r="CL15" s="225">
        <v>0</v>
      </c>
      <c r="CM15" s="225">
        <v>0</v>
      </c>
      <c r="CN15" s="225">
        <v>0</v>
      </c>
      <c r="CO15" s="225">
        <v>0</v>
      </c>
      <c r="CP15" s="225">
        <v>0</v>
      </c>
      <c r="CQ15" s="274">
        <v>0</v>
      </c>
    </row>
    <row r="16" spans="1:95" ht="14.25">
      <c r="A16" s="16" t="s">
        <v>74</v>
      </c>
      <c r="B16" s="24"/>
      <c r="C16" s="24"/>
      <c r="D16" s="24">
        <v>1204462</v>
      </c>
      <c r="E16" s="24">
        <v>1051165.31</v>
      </c>
      <c r="F16" s="17">
        <v>571898</v>
      </c>
      <c r="G16" s="17">
        <v>784859</v>
      </c>
      <c r="H16" s="76">
        <v>1124295</v>
      </c>
      <c r="I16" s="17">
        <v>76230</v>
      </c>
      <c r="J16" s="17">
        <v>186707.84</v>
      </c>
      <c r="K16" s="17">
        <v>219929.84</v>
      </c>
      <c r="L16" s="17">
        <v>314295.34000000003</v>
      </c>
      <c r="M16" s="17">
        <v>459617.31</v>
      </c>
      <c r="N16" s="204">
        <v>492626.31</v>
      </c>
      <c r="O16" s="212">
        <v>562075.81000000006</v>
      </c>
      <c r="P16" s="206">
        <v>646703.37</v>
      </c>
      <c r="Q16" s="17">
        <v>772138.12</v>
      </c>
      <c r="R16" s="17">
        <v>861243.38</v>
      </c>
      <c r="S16" s="17">
        <v>954127.88</v>
      </c>
      <c r="T16" s="17">
        <v>1510545.85</v>
      </c>
      <c r="U16" s="17">
        <v>1267985</v>
      </c>
      <c r="V16" s="17">
        <v>32407.26</v>
      </c>
      <c r="W16" s="75">
        <v>101627.26</v>
      </c>
      <c r="X16" s="75">
        <v>198168.26</v>
      </c>
      <c r="Y16" s="75">
        <v>349355.26</v>
      </c>
      <c r="Z16" s="75">
        <v>384184.76</v>
      </c>
      <c r="AA16" s="121">
        <v>411961.76</v>
      </c>
      <c r="AB16" s="17">
        <v>554577.76</v>
      </c>
      <c r="AC16" s="17">
        <v>607109.76</v>
      </c>
      <c r="AD16" s="17">
        <v>608863.76</v>
      </c>
      <c r="AE16" s="17">
        <v>646108.76</v>
      </c>
      <c r="AF16" s="17">
        <v>797413.76</v>
      </c>
      <c r="AG16" s="17">
        <v>996501.45</v>
      </c>
      <c r="AH16" s="17">
        <v>996703.74</v>
      </c>
      <c r="AI16" s="17">
        <v>56130</v>
      </c>
      <c r="AJ16" s="17">
        <v>102799</v>
      </c>
      <c r="AK16" s="17">
        <v>173438</v>
      </c>
      <c r="AL16" s="17">
        <v>497034.51</v>
      </c>
      <c r="AM16" s="17">
        <v>602206.25</v>
      </c>
      <c r="AN16" s="17">
        <v>695390.57</v>
      </c>
      <c r="AO16" s="17">
        <v>743053.57</v>
      </c>
      <c r="AP16" s="17">
        <v>1006424.92</v>
      </c>
      <c r="AQ16" s="17">
        <v>1035262.92</v>
      </c>
      <c r="AR16" s="17">
        <v>1133930.92</v>
      </c>
      <c r="AS16" s="17">
        <v>1234740.92</v>
      </c>
      <c r="AT16" s="17">
        <v>1843087.78</v>
      </c>
      <c r="AU16" s="17"/>
      <c r="AV16" s="17">
        <v>139380.60999999999</v>
      </c>
      <c r="AW16" s="17">
        <v>169866.61</v>
      </c>
      <c r="AX16" s="17">
        <v>377071.61</v>
      </c>
      <c r="AY16" s="17">
        <v>451381.61</v>
      </c>
      <c r="AZ16" s="17">
        <v>505025.61</v>
      </c>
      <c r="BA16" s="17">
        <v>722671.61</v>
      </c>
      <c r="BC16" s="17">
        <v>4594739.0999999996</v>
      </c>
      <c r="BD16" s="17">
        <v>967698.66</v>
      </c>
      <c r="BE16" s="17">
        <v>1130376.6599999999</v>
      </c>
      <c r="BF16" s="17">
        <v>1271147.6599999999</v>
      </c>
      <c r="BG16" s="17">
        <v>1484200.55</v>
      </c>
      <c r="BH16" s="207">
        <f>9290500-BH21</f>
        <v>1288888.25</v>
      </c>
      <c r="BI16" s="170">
        <v>44659</v>
      </c>
      <c r="BJ16" s="170">
        <v>277080</v>
      </c>
      <c r="BK16" s="170">
        <v>435759.03</v>
      </c>
      <c r="BL16" s="170">
        <v>534831.99</v>
      </c>
      <c r="BM16" s="170">
        <v>752659.37</v>
      </c>
      <c r="BN16" s="226">
        <v>912591.34</v>
      </c>
      <c r="BO16" s="228">
        <v>960204.34</v>
      </c>
      <c r="BP16" s="228">
        <v>1135739.6499999999</v>
      </c>
      <c r="BQ16" s="228">
        <v>1325374.6499999999</v>
      </c>
      <c r="BR16" s="228">
        <v>1387578.65</v>
      </c>
      <c r="BS16" s="228">
        <v>1618197.65</v>
      </c>
      <c r="BT16" s="228">
        <v>2519448</v>
      </c>
      <c r="BU16" s="170">
        <v>1361131</v>
      </c>
      <c r="BV16" s="226">
        <v>52440</v>
      </c>
      <c r="BW16" s="228">
        <v>237298</v>
      </c>
      <c r="BX16" s="228">
        <v>615045.65</v>
      </c>
      <c r="BY16" s="228">
        <v>893952.65</v>
      </c>
      <c r="BZ16" s="228">
        <v>1081672.6499999999</v>
      </c>
      <c r="CA16" s="228">
        <v>1280877.6499999999</v>
      </c>
      <c r="CB16" s="228">
        <v>1497006.53</v>
      </c>
      <c r="CC16" s="228">
        <v>1809049.93</v>
      </c>
      <c r="CD16" s="228">
        <v>1977916.18</v>
      </c>
      <c r="CE16" s="228">
        <v>2171780.1800000002</v>
      </c>
      <c r="CF16" s="228">
        <v>2470034.1800000002</v>
      </c>
      <c r="CG16" s="228">
        <v>2718497.33</v>
      </c>
      <c r="CH16" s="228">
        <v>1253256</v>
      </c>
      <c r="CI16" s="226">
        <v>245384.75</v>
      </c>
      <c r="CJ16" s="228">
        <v>402528.75</v>
      </c>
      <c r="CK16" s="228">
        <v>596088.59</v>
      </c>
      <c r="CL16" s="226">
        <v>893455.45</v>
      </c>
      <c r="CM16" s="226">
        <v>1102349.53</v>
      </c>
      <c r="CN16" s="226">
        <v>1478470.53</v>
      </c>
      <c r="CO16" s="226">
        <v>1767932.03</v>
      </c>
      <c r="CP16" s="226">
        <v>2067810.66</v>
      </c>
      <c r="CQ16" s="275">
        <v>2331850.41</v>
      </c>
    </row>
    <row r="17" spans="1:95" ht="14.25">
      <c r="A17" s="16" t="s">
        <v>75</v>
      </c>
      <c r="B17" s="24"/>
      <c r="C17" s="24">
        <v>891886</v>
      </c>
      <c r="D17" s="24"/>
      <c r="E17" s="24"/>
      <c r="F17" s="17"/>
      <c r="G17" s="17"/>
      <c r="H17" s="76"/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204">
        <v>0</v>
      </c>
      <c r="O17" s="212">
        <v>0</v>
      </c>
      <c r="P17" s="206">
        <v>0</v>
      </c>
      <c r="Q17" s="17">
        <v>0</v>
      </c>
      <c r="R17" s="17">
        <v>0</v>
      </c>
      <c r="S17" s="17">
        <v>0</v>
      </c>
      <c r="T17" s="17">
        <v>0</v>
      </c>
      <c r="U17" s="17"/>
      <c r="V17" s="17">
        <v>0</v>
      </c>
      <c r="W17" s="75">
        <v>0</v>
      </c>
      <c r="X17" s="75">
        <v>0</v>
      </c>
      <c r="Y17" s="75">
        <v>0</v>
      </c>
      <c r="Z17" s="75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0">
        <v>0</v>
      </c>
      <c r="BJ17" s="170">
        <v>0</v>
      </c>
      <c r="BK17" s="170">
        <v>0</v>
      </c>
      <c r="BL17" s="170">
        <v>0</v>
      </c>
      <c r="BM17" s="170">
        <v>0</v>
      </c>
      <c r="BN17" s="225">
        <v>0</v>
      </c>
      <c r="BO17" s="227">
        <v>0</v>
      </c>
      <c r="BP17" s="227">
        <v>0</v>
      </c>
      <c r="BQ17" s="227">
        <v>0</v>
      </c>
      <c r="BR17" s="227">
        <v>0</v>
      </c>
      <c r="BS17" s="227">
        <v>0</v>
      </c>
      <c r="BT17" s="227">
        <v>0</v>
      </c>
      <c r="BU17" s="170"/>
      <c r="BV17" s="225">
        <v>0</v>
      </c>
      <c r="BW17" s="227">
        <v>0</v>
      </c>
      <c r="BX17" s="227">
        <v>0</v>
      </c>
      <c r="BY17" s="227">
        <v>0</v>
      </c>
      <c r="BZ17" s="227">
        <v>0</v>
      </c>
      <c r="CA17" s="227">
        <v>0</v>
      </c>
      <c r="CB17" s="227">
        <v>0</v>
      </c>
      <c r="CC17" s="227">
        <v>0</v>
      </c>
      <c r="CD17" s="227">
        <v>0</v>
      </c>
      <c r="CE17" s="227">
        <v>0</v>
      </c>
      <c r="CF17" s="227">
        <v>0</v>
      </c>
      <c r="CG17" s="227">
        <v>0</v>
      </c>
      <c r="CH17" s="227">
        <v>0</v>
      </c>
      <c r="CI17" s="225">
        <v>0</v>
      </c>
      <c r="CJ17" s="227">
        <v>0</v>
      </c>
      <c r="CK17" s="227">
        <v>0</v>
      </c>
      <c r="CL17" s="225">
        <v>0</v>
      </c>
      <c r="CM17" s="225">
        <v>0</v>
      </c>
      <c r="CN17" s="225">
        <v>0</v>
      </c>
      <c r="CO17" s="225">
        <v>0</v>
      </c>
      <c r="CP17" s="225">
        <v>0</v>
      </c>
      <c r="CQ17" s="274">
        <v>0</v>
      </c>
    </row>
    <row r="18" spans="1:95" ht="14.25">
      <c r="A18" s="16" t="s">
        <v>76</v>
      </c>
      <c r="B18" s="24"/>
      <c r="C18" s="24">
        <v>86900</v>
      </c>
      <c r="D18" s="24"/>
      <c r="E18" s="24"/>
      <c r="F18" s="17"/>
      <c r="G18" s="17"/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204">
        <v>0</v>
      </c>
      <c r="O18" s="212">
        <v>0</v>
      </c>
      <c r="P18" s="206">
        <v>0</v>
      </c>
      <c r="Q18" s="17">
        <v>0</v>
      </c>
      <c r="R18" s="17">
        <v>0</v>
      </c>
      <c r="S18" s="17">
        <v>0</v>
      </c>
      <c r="T18" s="17">
        <v>0</v>
      </c>
      <c r="U18" s="17"/>
      <c r="V18" s="17">
        <v>0</v>
      </c>
      <c r="W18" s="75">
        <v>0</v>
      </c>
      <c r="X18" s="75">
        <v>0</v>
      </c>
      <c r="Y18" s="75">
        <v>0</v>
      </c>
      <c r="Z18" s="75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4687128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4339054</v>
      </c>
      <c r="BI18" s="170">
        <v>0</v>
      </c>
      <c r="BJ18" s="170">
        <v>0</v>
      </c>
      <c r="BK18" s="170">
        <v>0</v>
      </c>
      <c r="BL18" s="170">
        <v>0</v>
      </c>
      <c r="BM18" s="170">
        <v>0</v>
      </c>
      <c r="BN18" s="225">
        <v>0</v>
      </c>
      <c r="BO18" s="227">
        <v>0</v>
      </c>
      <c r="BP18" s="227">
        <v>0</v>
      </c>
      <c r="BQ18" s="227">
        <v>0</v>
      </c>
      <c r="BR18" s="227">
        <v>0</v>
      </c>
      <c r="BS18" s="227">
        <v>0</v>
      </c>
      <c r="BT18" s="227">
        <v>0</v>
      </c>
      <c r="BU18" s="170"/>
      <c r="BV18" s="225">
        <v>0</v>
      </c>
      <c r="BW18" s="227">
        <v>0</v>
      </c>
      <c r="BX18" s="227">
        <v>0</v>
      </c>
      <c r="BY18" s="227">
        <v>0</v>
      </c>
      <c r="BZ18" s="227">
        <v>0</v>
      </c>
      <c r="CA18" s="227">
        <v>0</v>
      </c>
      <c r="CB18" s="227">
        <v>0</v>
      </c>
      <c r="CC18" s="227">
        <v>0</v>
      </c>
      <c r="CD18" s="227">
        <v>0</v>
      </c>
      <c r="CE18" s="227">
        <v>0</v>
      </c>
      <c r="CF18" s="227">
        <v>0</v>
      </c>
      <c r="CG18" s="227">
        <v>0</v>
      </c>
      <c r="CH18" s="227">
        <v>0</v>
      </c>
      <c r="CI18" s="225">
        <v>0</v>
      </c>
      <c r="CJ18" s="227">
        <v>0</v>
      </c>
      <c r="CK18" s="227">
        <v>0</v>
      </c>
      <c r="CL18" s="225">
        <v>0</v>
      </c>
      <c r="CM18" s="225">
        <v>0</v>
      </c>
      <c r="CN18" s="225">
        <v>0</v>
      </c>
      <c r="CO18" s="225">
        <v>0</v>
      </c>
      <c r="CP18" s="225">
        <v>0</v>
      </c>
      <c r="CQ18" s="274">
        <v>0</v>
      </c>
    </row>
    <row r="19" spans="1:95">
      <c r="A19" s="15" t="s">
        <v>77</v>
      </c>
      <c r="B19" s="54">
        <f t="shared" ref="B19:H19" si="22">B3-B12</f>
        <v>28893883</v>
      </c>
      <c r="C19" s="54">
        <f t="shared" si="22"/>
        <v>39705900</v>
      </c>
      <c r="D19" s="54">
        <f t="shared" si="22"/>
        <v>41659478</v>
      </c>
      <c r="E19" s="54">
        <f t="shared" si="22"/>
        <v>54853910.920000009</v>
      </c>
      <c r="F19" s="54">
        <f t="shared" si="22"/>
        <v>61695160</v>
      </c>
      <c r="G19" s="54">
        <f t="shared" si="22"/>
        <v>74489033</v>
      </c>
      <c r="H19" s="54">
        <f t="shared" si="22"/>
        <v>84333721</v>
      </c>
      <c r="I19" s="54">
        <f t="shared" ref="I19:AD19" si="23">I3-I12</f>
        <v>514904.10999999987</v>
      </c>
      <c r="J19" s="54">
        <f t="shared" si="23"/>
        <v>10427425.77</v>
      </c>
      <c r="K19" s="54">
        <f t="shared" si="23"/>
        <v>18282796.240000002</v>
      </c>
      <c r="L19" s="54">
        <f t="shared" si="23"/>
        <v>22576670.780000001</v>
      </c>
      <c r="M19" s="54">
        <f t="shared" si="23"/>
        <v>29916983.529999994</v>
      </c>
      <c r="N19" s="54">
        <f t="shared" si="23"/>
        <v>43832873.510000005</v>
      </c>
      <c r="O19" s="54">
        <f t="shared" si="23"/>
        <v>45025777.909999996</v>
      </c>
      <c r="P19" s="54">
        <f t="shared" si="23"/>
        <v>57480924.679999992</v>
      </c>
      <c r="Q19" s="54">
        <f t="shared" si="23"/>
        <v>71746043.189999998</v>
      </c>
      <c r="R19" s="54">
        <f t="shared" si="23"/>
        <v>80252828.330000013</v>
      </c>
      <c r="S19" s="54">
        <f t="shared" si="23"/>
        <v>88471574.230000019</v>
      </c>
      <c r="T19" s="54">
        <f t="shared" si="23"/>
        <v>91495928.430000007</v>
      </c>
      <c r="U19" s="54">
        <f t="shared" si="23"/>
        <v>88992385</v>
      </c>
      <c r="V19" s="54">
        <f t="shared" si="23"/>
        <v>6764249.8500000015</v>
      </c>
      <c r="W19" s="54">
        <f t="shared" si="23"/>
        <v>12862145.4</v>
      </c>
      <c r="X19" s="54">
        <f t="shared" si="23"/>
        <v>20551053.910000004</v>
      </c>
      <c r="Y19" s="54">
        <f t="shared" si="23"/>
        <v>28720403.040000007</v>
      </c>
      <c r="Z19" s="54">
        <f t="shared" si="23"/>
        <v>36522417.040000007</v>
      </c>
      <c r="AA19" s="54">
        <f t="shared" si="23"/>
        <v>54071932.359999999</v>
      </c>
      <c r="AB19" s="54">
        <f t="shared" si="23"/>
        <v>62046975.010000005</v>
      </c>
      <c r="AC19" s="54">
        <f t="shared" si="23"/>
        <v>72944203.170000002</v>
      </c>
      <c r="AD19" s="54">
        <f t="shared" si="23"/>
        <v>81476838.820000008</v>
      </c>
      <c r="AE19" s="54">
        <f>AE3-AE12</f>
        <v>94143757.819999993</v>
      </c>
      <c r="AF19" s="54">
        <f t="shared" ref="AF19:BH19" si="24">AF3-AF12</f>
        <v>101578656.34999999</v>
      </c>
      <c r="AG19" s="54">
        <f t="shared" si="24"/>
        <v>109015909.63</v>
      </c>
      <c r="AH19" s="54">
        <f t="shared" si="24"/>
        <v>109090319.88</v>
      </c>
      <c r="AI19" s="54">
        <f t="shared" si="24"/>
        <v>8137838.8800000008</v>
      </c>
      <c r="AJ19" s="54">
        <f t="shared" si="24"/>
        <v>15420075.649999999</v>
      </c>
      <c r="AK19" s="54">
        <f t="shared" si="24"/>
        <v>23000534.299999997</v>
      </c>
      <c r="AL19" s="54">
        <f t="shared" si="24"/>
        <v>31626277.140000001</v>
      </c>
      <c r="AM19" s="54">
        <f t="shared" si="24"/>
        <v>39864886.479999997</v>
      </c>
      <c r="AN19" s="54">
        <f t="shared" si="24"/>
        <v>61063390.600000001</v>
      </c>
      <c r="AO19" s="54">
        <f t="shared" si="24"/>
        <v>69190472.75</v>
      </c>
      <c r="AP19" s="54">
        <f t="shared" si="24"/>
        <v>80172542.149999991</v>
      </c>
      <c r="AQ19" s="54">
        <f t="shared" si="24"/>
        <v>88289675.549999997</v>
      </c>
      <c r="AR19" s="54">
        <f t="shared" si="24"/>
        <v>96627019.75</v>
      </c>
      <c r="AS19" s="54">
        <f t="shared" si="24"/>
        <v>97482518.200000003</v>
      </c>
      <c r="AT19" s="54">
        <f t="shared" si="24"/>
        <v>106611586.05000001</v>
      </c>
      <c r="AU19" s="54">
        <f t="shared" si="24"/>
        <v>103694252</v>
      </c>
      <c r="AV19" s="54">
        <f t="shared" si="24"/>
        <v>7887681.1200000001</v>
      </c>
      <c r="AW19" s="54">
        <f t="shared" si="24"/>
        <v>15167001.119999997</v>
      </c>
      <c r="AX19" s="54">
        <f t="shared" si="24"/>
        <v>23808682.969999999</v>
      </c>
      <c r="AY19" s="54">
        <f t="shared" si="24"/>
        <v>43587831.899999999</v>
      </c>
      <c r="AZ19" s="54">
        <f t="shared" si="24"/>
        <v>49995549.399999999</v>
      </c>
      <c r="BA19" s="54">
        <f t="shared" si="24"/>
        <v>57240571.110000007</v>
      </c>
      <c r="BB19" s="54">
        <f t="shared" si="24"/>
        <v>0</v>
      </c>
      <c r="BC19" s="54">
        <f t="shared" si="24"/>
        <v>360648483.69999993</v>
      </c>
      <c r="BD19" s="54">
        <f t="shared" si="24"/>
        <v>79659920.930000007</v>
      </c>
      <c r="BE19" s="54">
        <f t="shared" si="24"/>
        <v>87140088.400000006</v>
      </c>
      <c r="BF19" s="54">
        <f t="shared" si="24"/>
        <v>98490721.350000024</v>
      </c>
      <c r="BG19" s="54">
        <f t="shared" si="24"/>
        <v>106100148.39</v>
      </c>
      <c r="BH19" s="54">
        <f t="shared" si="24"/>
        <v>97944297.75</v>
      </c>
      <c r="BI19" s="54">
        <f>BI3-BI12</f>
        <v>6135949.7000000011</v>
      </c>
      <c r="BJ19" s="54">
        <f>BJ3-BJ12</f>
        <v>13070081.719999999</v>
      </c>
      <c r="BK19" s="54">
        <f>BK3-BK12</f>
        <v>21360347.149999999</v>
      </c>
      <c r="BL19" s="54">
        <f>BL3-BL12</f>
        <v>42909185.930000007</v>
      </c>
      <c r="BM19" s="54">
        <f>BM3-BM12</f>
        <v>49871460.799999997</v>
      </c>
      <c r="BN19" s="54">
        <f t="shared" ref="BN19:BU19" si="25">BN3-BN12</f>
        <v>57977707.779999986</v>
      </c>
      <c r="BO19" s="54">
        <f t="shared" si="25"/>
        <v>67841052.169999987</v>
      </c>
      <c r="BP19" s="54">
        <f t="shared" si="25"/>
        <v>75264702.73999998</v>
      </c>
      <c r="BQ19" s="54">
        <f t="shared" si="25"/>
        <v>83214953.340000004</v>
      </c>
      <c r="BR19" s="54">
        <f t="shared" si="25"/>
        <v>93050975.479999989</v>
      </c>
      <c r="BS19" s="54">
        <f t="shared" si="25"/>
        <v>101979893.39000002</v>
      </c>
      <c r="BT19" s="54">
        <f t="shared" si="25"/>
        <v>103673609.76000001</v>
      </c>
      <c r="BU19" s="54">
        <f t="shared" si="25"/>
        <v>104702428</v>
      </c>
      <c r="BV19" s="54">
        <f t="shared" ref="BV19:CG19" si="26">BV3-BV12</f>
        <v>7081184.7300000004</v>
      </c>
      <c r="BW19" s="54">
        <f t="shared" si="26"/>
        <v>15397151.640000001</v>
      </c>
      <c r="BX19" s="54">
        <f t="shared" si="26"/>
        <v>24977609.630000003</v>
      </c>
      <c r="BY19" s="54">
        <f t="shared" si="26"/>
        <v>33427977.420000002</v>
      </c>
      <c r="BZ19" s="54">
        <f t="shared" si="26"/>
        <v>40124307.059999995</v>
      </c>
      <c r="CA19" s="54">
        <f t="shared" si="26"/>
        <v>60342716.780000009</v>
      </c>
      <c r="CB19" s="54">
        <f t="shared" si="26"/>
        <v>67592941.929999992</v>
      </c>
      <c r="CC19" s="54">
        <f t="shared" si="26"/>
        <v>75149373.219999999</v>
      </c>
      <c r="CD19" s="54">
        <f t="shared" si="26"/>
        <v>83912925.810000002</v>
      </c>
      <c r="CE19" s="54">
        <f t="shared" si="26"/>
        <v>91190062.579999983</v>
      </c>
      <c r="CF19" s="54">
        <f t="shared" si="26"/>
        <v>99491706.629999995</v>
      </c>
      <c r="CG19" s="54">
        <f t="shared" si="26"/>
        <v>94652900.909999996</v>
      </c>
      <c r="CH19" s="54">
        <f t="shared" ref="CH19:CO19" si="27">CH3-CH12</f>
        <v>95982557</v>
      </c>
      <c r="CI19" s="54">
        <f t="shared" si="27"/>
        <v>7558385.4100000001</v>
      </c>
      <c r="CJ19" s="54">
        <f t="shared" si="27"/>
        <v>14099893.510000002</v>
      </c>
      <c r="CK19" s="54">
        <f t="shared" si="27"/>
        <v>23380364.930000003</v>
      </c>
      <c r="CL19" s="54">
        <f t="shared" si="27"/>
        <v>27394406.600000005</v>
      </c>
      <c r="CM19" s="54">
        <f t="shared" si="27"/>
        <v>31946328.469999999</v>
      </c>
      <c r="CN19" s="54">
        <f t="shared" si="27"/>
        <v>53747387.540000007</v>
      </c>
      <c r="CO19" s="54">
        <f t="shared" si="27"/>
        <v>59240182.170000002</v>
      </c>
      <c r="CP19" s="54">
        <f t="shared" ref="CP19:CQ19" si="28">CP3-CP12</f>
        <v>65989801.349999994</v>
      </c>
      <c r="CQ19" s="54">
        <f t="shared" si="28"/>
        <v>75132668.920000002</v>
      </c>
    </row>
    <row r="20" spans="1:95">
      <c r="A20" s="15" t="s">
        <v>78</v>
      </c>
      <c r="B20" s="54">
        <f t="shared" ref="B20:H20" si="29">B21-B22</f>
        <v>0</v>
      </c>
      <c r="C20" s="54">
        <f t="shared" si="29"/>
        <v>2073400</v>
      </c>
      <c r="D20" s="54">
        <f t="shared" si="29"/>
        <v>5198104</v>
      </c>
      <c r="E20" s="54">
        <f t="shared" si="29"/>
        <v>190292</v>
      </c>
      <c r="F20" s="54">
        <f t="shared" si="29"/>
        <v>3141004</v>
      </c>
      <c r="G20" s="54">
        <f t="shared" si="29"/>
        <v>3070768</v>
      </c>
      <c r="H20" s="54">
        <f t="shared" si="29"/>
        <v>9520113</v>
      </c>
      <c r="I20" s="54">
        <f t="shared" ref="I20:AD20" si="30">I21-I22</f>
        <v>138917.5</v>
      </c>
      <c r="J20" s="54">
        <f t="shared" si="30"/>
        <v>-1080827.2</v>
      </c>
      <c r="K20" s="54">
        <f t="shared" si="30"/>
        <v>-1424188.5</v>
      </c>
      <c r="L20" s="54">
        <f t="shared" si="30"/>
        <v>-909357.7</v>
      </c>
      <c r="M20" s="54">
        <f t="shared" si="30"/>
        <v>-1319022.8999999999</v>
      </c>
      <c r="N20" s="54">
        <f t="shared" si="30"/>
        <v>-1059388.7</v>
      </c>
      <c r="O20" s="54">
        <f t="shared" si="30"/>
        <v>-1389761.4</v>
      </c>
      <c r="P20" s="54">
        <f t="shared" si="30"/>
        <v>-1134165.1000000001</v>
      </c>
      <c r="Q20" s="54">
        <f t="shared" si="30"/>
        <v>-438572.1</v>
      </c>
      <c r="R20" s="54">
        <f t="shared" si="30"/>
        <v>-438572.1</v>
      </c>
      <c r="S20" s="54">
        <f t="shared" si="30"/>
        <v>-2369382.7000000002</v>
      </c>
      <c r="T20" s="54">
        <f t="shared" si="30"/>
        <v>-949642</v>
      </c>
      <c r="U20" s="54">
        <f t="shared" si="30"/>
        <v>-949642</v>
      </c>
      <c r="V20" s="54">
        <f t="shared" si="30"/>
        <v>2599365</v>
      </c>
      <c r="W20" s="54">
        <f t="shared" si="30"/>
        <v>1931645.2</v>
      </c>
      <c r="X20" s="54">
        <f t="shared" si="30"/>
        <v>1022179.3</v>
      </c>
      <c r="Y20" s="54">
        <f t="shared" si="30"/>
        <v>380044.5</v>
      </c>
      <c r="Z20" s="54">
        <f t="shared" si="30"/>
        <v>-344567.2</v>
      </c>
      <c r="AA20" s="54">
        <f t="shared" si="30"/>
        <v>-398249.29</v>
      </c>
      <c r="AB20" s="54">
        <f t="shared" si="30"/>
        <v>-398249.3</v>
      </c>
      <c r="AC20" s="54">
        <f t="shared" si="30"/>
        <v>-398249.3</v>
      </c>
      <c r="AD20" s="54">
        <f t="shared" si="30"/>
        <v>687805.8</v>
      </c>
      <c r="AE20" s="54">
        <f>AE21-AE22</f>
        <v>-1143080.3999999999</v>
      </c>
      <c r="AF20" s="54">
        <f t="shared" ref="AF20:BH20" si="31">AF21-AF22</f>
        <v>-1509626.3</v>
      </c>
      <c r="AG20" s="54">
        <f t="shared" si="31"/>
        <v>-2017041.5</v>
      </c>
      <c r="AH20" s="54">
        <f t="shared" si="31"/>
        <v>-2017041.5</v>
      </c>
      <c r="AI20" s="54">
        <f t="shared" si="31"/>
        <v>0</v>
      </c>
      <c r="AJ20" s="54">
        <f t="shared" si="31"/>
        <v>0</v>
      </c>
      <c r="AK20" s="54">
        <f t="shared" si="31"/>
        <v>-136728</v>
      </c>
      <c r="AL20" s="54">
        <f t="shared" si="31"/>
        <v>-136728</v>
      </c>
      <c r="AM20" s="54">
        <f t="shared" si="31"/>
        <v>-1170193.5</v>
      </c>
      <c r="AN20" s="54">
        <f t="shared" si="31"/>
        <v>-580700.19999999995</v>
      </c>
      <c r="AO20" s="54">
        <f t="shared" si="31"/>
        <v>-580700.19999999995</v>
      </c>
      <c r="AP20" s="54">
        <f t="shared" si="31"/>
        <v>2483260.6</v>
      </c>
      <c r="AQ20" s="54">
        <f t="shared" si="31"/>
        <v>4072440.6</v>
      </c>
      <c r="AR20" s="54">
        <f t="shared" si="31"/>
        <v>4612112.4000000004</v>
      </c>
      <c r="AS20" s="54">
        <f t="shared" si="31"/>
        <v>5945475.2999999998</v>
      </c>
      <c r="AT20" s="54">
        <f t="shared" si="31"/>
        <v>6660992.7999999998</v>
      </c>
      <c r="AU20" s="54">
        <f t="shared" si="31"/>
        <v>6660993</v>
      </c>
      <c r="AV20" s="54">
        <f t="shared" si="31"/>
        <v>0</v>
      </c>
      <c r="AW20" s="54">
        <f t="shared" si="31"/>
        <v>-2506027.5</v>
      </c>
      <c r="AX20" s="54">
        <f t="shared" si="31"/>
        <v>-3778374.1</v>
      </c>
      <c r="AY20" s="54">
        <f t="shared" si="31"/>
        <v>-2041194.7</v>
      </c>
      <c r="AZ20" s="54">
        <f t="shared" si="31"/>
        <v>-620245.5</v>
      </c>
      <c r="BA20" s="54">
        <f t="shared" si="31"/>
        <v>2808897.3</v>
      </c>
      <c r="BB20" s="54">
        <f t="shared" si="31"/>
        <v>0</v>
      </c>
      <c r="BC20" s="54">
        <f t="shared" si="31"/>
        <v>23605564</v>
      </c>
      <c r="BD20" s="54">
        <f t="shared" si="31"/>
        <v>6424197.7999999998</v>
      </c>
      <c r="BE20" s="54">
        <f t="shared" si="31"/>
        <v>5876684.5999999996</v>
      </c>
      <c r="BF20" s="54">
        <f t="shared" si="31"/>
        <v>12491963.5</v>
      </c>
      <c r="BG20" s="54">
        <f t="shared" si="31"/>
        <v>8001611.7999999998</v>
      </c>
      <c r="BH20" s="54">
        <f t="shared" si="31"/>
        <v>8001611.75</v>
      </c>
      <c r="BI20" s="54">
        <f>BI21-BI22</f>
        <v>-4714601</v>
      </c>
      <c r="BJ20" s="54">
        <f>BJ21-BJ22</f>
        <v>-1782613.6</v>
      </c>
      <c r="BK20" s="54">
        <f>BK21-BK22</f>
        <v>-2869219.2</v>
      </c>
      <c r="BL20" s="54">
        <f>BL21-BL22</f>
        <v>-5889660.2999999998</v>
      </c>
      <c r="BM20" s="54">
        <f>BM21-BM22</f>
        <v>-4354294.8</v>
      </c>
      <c r="BN20" s="54">
        <f t="shared" ref="BN20:BU20" si="32">BN21-BN22</f>
        <v>-5203704.8</v>
      </c>
      <c r="BO20" s="54">
        <f t="shared" si="32"/>
        <v>464235.6</v>
      </c>
      <c r="BP20" s="54">
        <f t="shared" si="32"/>
        <v>-5658914</v>
      </c>
      <c r="BQ20" s="54">
        <f t="shared" si="32"/>
        <v>-6170018.2999999998</v>
      </c>
      <c r="BR20" s="54">
        <f t="shared" si="32"/>
        <v>-8806254.1999999993</v>
      </c>
      <c r="BS20" s="54">
        <f t="shared" si="32"/>
        <v>-8328018.2000000002</v>
      </c>
      <c r="BT20" s="54">
        <f t="shared" si="32"/>
        <v>-9745414.8000000007</v>
      </c>
      <c r="BU20" s="54">
        <f t="shared" si="32"/>
        <v>0</v>
      </c>
      <c r="BV20" s="54">
        <f t="shared" ref="BV20:CG20" si="33">BV21-BV22</f>
        <v>0</v>
      </c>
      <c r="BW20" s="54">
        <f t="shared" si="33"/>
        <v>-7541918.7999999998</v>
      </c>
      <c r="BX20" s="54">
        <f t="shared" si="33"/>
        <v>-7110798.0999999996</v>
      </c>
      <c r="BY20" s="54">
        <f t="shared" si="33"/>
        <v>-8310423.7999999998</v>
      </c>
      <c r="BZ20" s="54">
        <f t="shared" si="33"/>
        <v>-9749028.3000000007</v>
      </c>
      <c r="CA20" s="54">
        <f t="shared" si="33"/>
        <v>-15046197.199999999</v>
      </c>
      <c r="CB20" s="54">
        <f t="shared" si="33"/>
        <v>-15119600.4</v>
      </c>
      <c r="CC20" s="54">
        <f t="shared" si="33"/>
        <v>-13641427.6</v>
      </c>
      <c r="CD20" s="54">
        <f t="shared" si="33"/>
        <v>-16160775.1</v>
      </c>
      <c r="CE20" s="54">
        <f t="shared" si="33"/>
        <v>-18143615.800000001</v>
      </c>
      <c r="CF20" s="54">
        <f t="shared" si="33"/>
        <v>-18175804.300000001</v>
      </c>
      <c r="CG20" s="54">
        <f t="shared" si="33"/>
        <v>-6268875.2000000002</v>
      </c>
      <c r="CH20" s="54">
        <f t="shared" ref="CH20:CO20" si="34">CH21-CH22</f>
        <v>-8019670</v>
      </c>
      <c r="CI20" s="54">
        <f t="shared" si="34"/>
        <v>0</v>
      </c>
      <c r="CJ20" s="54">
        <f t="shared" si="34"/>
        <v>-10176621.199999999</v>
      </c>
      <c r="CK20" s="54">
        <f t="shared" si="34"/>
        <v>-10798897.5</v>
      </c>
      <c r="CL20" s="54">
        <f t="shared" si="34"/>
        <v>-10921897.5</v>
      </c>
      <c r="CM20" s="54">
        <f t="shared" si="34"/>
        <v>-10737671.1</v>
      </c>
      <c r="CN20" s="54">
        <f t="shared" si="34"/>
        <v>-11703361.800000001</v>
      </c>
      <c r="CO20" s="54">
        <f t="shared" si="34"/>
        <v>-7222066.2000000002</v>
      </c>
      <c r="CP20" s="54">
        <f t="shared" ref="CP20:CQ20" si="35">CP21-CP22</f>
        <v>-8640609.0999999996</v>
      </c>
      <c r="CQ20" s="54">
        <f t="shared" si="35"/>
        <v>-7204176</v>
      </c>
    </row>
    <row r="21" spans="1:95" ht="14.25">
      <c r="A21" s="16" t="s">
        <v>79</v>
      </c>
      <c r="B21" s="24"/>
      <c r="C21" s="24">
        <v>2073400</v>
      </c>
      <c r="D21" s="24">
        <v>5198104</v>
      </c>
      <c r="E21" s="24">
        <v>190292</v>
      </c>
      <c r="F21" s="17">
        <v>3141004</v>
      </c>
      <c r="G21" s="17">
        <v>3070768</v>
      </c>
      <c r="H21" s="76">
        <v>9520113</v>
      </c>
      <c r="I21" s="17">
        <v>138917.5</v>
      </c>
      <c r="J21" s="17">
        <v>-1080827.2</v>
      </c>
      <c r="K21" s="17">
        <v>-1424188.5</v>
      </c>
      <c r="L21" s="17">
        <v>-909357.7</v>
      </c>
      <c r="M21" s="17">
        <v>-1319022.8999999999</v>
      </c>
      <c r="N21" s="17">
        <v>-1059388.7</v>
      </c>
      <c r="O21" s="17">
        <v>-1389761.4</v>
      </c>
      <c r="P21" s="206">
        <v>-1134165.1000000001</v>
      </c>
      <c r="Q21" s="17">
        <v>-438572.1</v>
      </c>
      <c r="R21" s="17">
        <v>-438572.1</v>
      </c>
      <c r="S21" s="17">
        <v>-2369382.7000000002</v>
      </c>
      <c r="T21" s="17">
        <v>-949642</v>
      </c>
      <c r="U21" s="17">
        <v>-949642</v>
      </c>
      <c r="V21" s="17">
        <v>2599365</v>
      </c>
      <c r="W21" s="75">
        <v>1931645.2</v>
      </c>
      <c r="X21" s="75">
        <v>1022179.3</v>
      </c>
      <c r="Y21" s="75">
        <v>380044.5</v>
      </c>
      <c r="Z21" s="75">
        <v>-344567.2</v>
      </c>
      <c r="AA21" s="123">
        <v>-398249.29</v>
      </c>
      <c r="AB21" s="17">
        <v>-398249.3</v>
      </c>
      <c r="AC21" s="17">
        <v>-398249.3</v>
      </c>
      <c r="AD21" s="17">
        <v>687805.8</v>
      </c>
      <c r="AE21" s="17">
        <v>-1143080.3999999999</v>
      </c>
      <c r="AF21" s="17">
        <v>-1509626.3</v>
      </c>
      <c r="AG21" s="17">
        <v>-2017041.5</v>
      </c>
      <c r="AH21" s="17">
        <v>-2017041.5</v>
      </c>
      <c r="AI21" s="17">
        <v>0</v>
      </c>
      <c r="AJ21" s="17">
        <v>0</v>
      </c>
      <c r="AK21" s="17">
        <v>-136728</v>
      </c>
      <c r="AL21" s="17">
        <v>-136728</v>
      </c>
      <c r="AM21" s="17">
        <v>-1170193.5</v>
      </c>
      <c r="AN21" s="17">
        <v>-580700.19999999995</v>
      </c>
      <c r="AO21" s="17">
        <v>-580700.19999999995</v>
      </c>
      <c r="AP21" s="17">
        <v>2483260.6</v>
      </c>
      <c r="AQ21" s="17">
        <v>4072440.6</v>
      </c>
      <c r="AR21" s="17">
        <v>4612112.4000000004</v>
      </c>
      <c r="AS21" s="17">
        <v>5945475.2999999998</v>
      </c>
      <c r="AT21" s="17">
        <v>6660992.7999999998</v>
      </c>
      <c r="AU21" s="17">
        <v>6660993</v>
      </c>
      <c r="AV21" s="17">
        <v>0</v>
      </c>
      <c r="AW21" s="17">
        <v>-2506027.5</v>
      </c>
      <c r="AX21" s="17">
        <v>-3778374.1</v>
      </c>
      <c r="AY21" s="17">
        <v>-2041194.7</v>
      </c>
      <c r="AZ21" s="17">
        <v>-620245.5</v>
      </c>
      <c r="BA21" s="17">
        <v>2808897.3</v>
      </c>
      <c r="BC21" s="17">
        <v>23605564</v>
      </c>
      <c r="BD21" s="17">
        <v>6424197.7999999998</v>
      </c>
      <c r="BE21" s="17">
        <v>5876684.5999999996</v>
      </c>
      <c r="BF21" s="17">
        <v>12491963.5</v>
      </c>
      <c r="BG21" s="17">
        <v>8001611.7999999998</v>
      </c>
      <c r="BH21" s="158">
        <v>8001611.75</v>
      </c>
      <c r="BI21" s="170">
        <v>-4714601</v>
      </c>
      <c r="BJ21" s="170">
        <v>-1782613.6</v>
      </c>
      <c r="BK21" s="170">
        <v>-2869219.2</v>
      </c>
      <c r="BL21" s="170">
        <v>-5889660.2999999998</v>
      </c>
      <c r="BM21" s="170">
        <v>-4354294.8</v>
      </c>
      <c r="BN21" s="226">
        <v>-5203704.8</v>
      </c>
      <c r="BO21" s="228">
        <v>464235.6</v>
      </c>
      <c r="BP21" s="228">
        <v>-5658914</v>
      </c>
      <c r="BQ21" s="228">
        <v>-6170018.2999999998</v>
      </c>
      <c r="BR21" s="228">
        <v>-8806254.1999999993</v>
      </c>
      <c r="BS21" s="228">
        <v>-8328018.2000000002</v>
      </c>
      <c r="BT21" s="228">
        <v>-9745414.8000000007</v>
      </c>
      <c r="BU21" s="170"/>
      <c r="BV21" s="234">
        <v>0</v>
      </c>
      <c r="BW21" s="237">
        <v>-7541918.7999999998</v>
      </c>
      <c r="BX21" s="237">
        <v>-7110798.0999999996</v>
      </c>
      <c r="BY21" s="237">
        <v>-8310423.7999999998</v>
      </c>
      <c r="BZ21" s="237">
        <v>-9749028.3000000007</v>
      </c>
      <c r="CA21" s="237">
        <v>-15046197.199999999</v>
      </c>
      <c r="CB21" s="237">
        <v>-15119600.4</v>
      </c>
      <c r="CC21" s="237">
        <v>-13641427.6</v>
      </c>
      <c r="CD21" s="237">
        <v>-16160775.1</v>
      </c>
      <c r="CE21" s="237">
        <v>-18143615.800000001</v>
      </c>
      <c r="CF21" s="237">
        <v>-18175804.300000001</v>
      </c>
      <c r="CG21" s="237">
        <v>-6268875.2000000002</v>
      </c>
      <c r="CH21" s="237">
        <v>0</v>
      </c>
      <c r="CI21" s="234">
        <v>0</v>
      </c>
      <c r="CJ21" s="237">
        <v>-10176621.199999999</v>
      </c>
      <c r="CK21" s="237">
        <v>-10798897.5</v>
      </c>
      <c r="CL21" s="235">
        <v>-10921897.5</v>
      </c>
      <c r="CM21" s="60">
        <v>-10737671.1</v>
      </c>
      <c r="CN21" s="60">
        <v>-11703361.800000001</v>
      </c>
      <c r="CO21" s="60">
        <v>-7222066.2000000002</v>
      </c>
      <c r="CP21" s="60">
        <v>-8640609.0999999996</v>
      </c>
      <c r="CQ21" s="60">
        <v>-7204176</v>
      </c>
    </row>
    <row r="22" spans="1:95" ht="14.25">
      <c r="A22" s="16" t="s">
        <v>80</v>
      </c>
      <c r="B22" s="24"/>
      <c r="C22" s="24"/>
      <c r="D22" s="24"/>
      <c r="E22" s="24"/>
      <c r="F22" s="17"/>
      <c r="G22" s="17"/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206">
        <v>0</v>
      </c>
      <c r="Q22" s="17">
        <v>0</v>
      </c>
      <c r="R22" s="17">
        <v>0</v>
      </c>
      <c r="S22" s="17">
        <v>0</v>
      </c>
      <c r="T22" s="17">
        <v>0</v>
      </c>
      <c r="U22" s="17"/>
      <c r="V22" s="17">
        <v>0</v>
      </c>
      <c r="W22" s="75">
        <v>0</v>
      </c>
      <c r="X22" s="75">
        <v>0</v>
      </c>
      <c r="Y22" s="75">
        <v>0</v>
      </c>
      <c r="Z22" s="75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0">
        <v>0</v>
      </c>
      <c r="BJ22" s="170">
        <v>0</v>
      </c>
      <c r="BK22" s="170">
        <v>0</v>
      </c>
      <c r="BL22" s="170">
        <v>0</v>
      </c>
      <c r="BM22" s="170">
        <v>0</v>
      </c>
      <c r="BN22" s="225">
        <v>0</v>
      </c>
      <c r="BO22" s="227">
        <v>0</v>
      </c>
      <c r="BP22" s="227">
        <v>0</v>
      </c>
      <c r="BQ22" s="227">
        <v>0</v>
      </c>
      <c r="BR22" s="227">
        <v>0</v>
      </c>
      <c r="BS22" s="227">
        <v>0</v>
      </c>
      <c r="BT22" s="227">
        <v>0</v>
      </c>
      <c r="BU22" s="170"/>
      <c r="BV22" s="225">
        <v>0</v>
      </c>
      <c r="BW22" s="227">
        <v>0</v>
      </c>
      <c r="BX22" s="227">
        <v>0</v>
      </c>
      <c r="BY22" s="227">
        <v>0</v>
      </c>
      <c r="BZ22" s="227">
        <v>0</v>
      </c>
      <c r="CA22" s="227">
        <v>0</v>
      </c>
      <c r="CB22" s="227">
        <v>0</v>
      </c>
      <c r="CC22" s="227">
        <v>0</v>
      </c>
      <c r="CD22" s="227">
        <v>0</v>
      </c>
      <c r="CE22" s="227">
        <v>0</v>
      </c>
      <c r="CF22" s="227">
        <v>0</v>
      </c>
      <c r="CG22" s="227">
        <v>0</v>
      </c>
      <c r="CH22" s="227">
        <v>8019670</v>
      </c>
      <c r="CI22" s="225">
        <v>0</v>
      </c>
      <c r="CJ22" s="227">
        <v>0</v>
      </c>
      <c r="CK22" s="227">
        <v>0</v>
      </c>
      <c r="CL22" s="225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>
      <c r="A23" s="15" t="s">
        <v>81</v>
      </c>
      <c r="B23" s="54">
        <f>SUM(B24:B28)</f>
        <v>20100930</v>
      </c>
      <c r="C23" s="54">
        <f>SUM(C24:C28)</f>
        <v>23299810</v>
      </c>
      <c r="D23" s="54">
        <f>SUM(D24:D28)</f>
        <v>28129736</v>
      </c>
      <c r="E23" s="54">
        <f t="shared" ref="E23:BK23" si="36">SUM(E24:E28)</f>
        <v>38145977.835000001</v>
      </c>
      <c r="F23" s="54">
        <f t="shared" si="36"/>
        <v>38649289</v>
      </c>
      <c r="G23" s="54">
        <f t="shared" si="36"/>
        <v>48225009</v>
      </c>
      <c r="H23" s="54">
        <f t="shared" si="36"/>
        <v>65005570</v>
      </c>
      <c r="I23" s="54">
        <f t="shared" si="36"/>
        <v>2923019.11</v>
      </c>
      <c r="J23" s="54">
        <f t="shared" si="36"/>
        <v>6323736.7699999996</v>
      </c>
      <c r="K23" s="54">
        <f t="shared" si="36"/>
        <v>11207863.779999999</v>
      </c>
      <c r="L23" s="54">
        <f t="shared" si="36"/>
        <v>15084521.199999999</v>
      </c>
      <c r="M23" s="54">
        <f t="shared" si="36"/>
        <v>20597554.880000003</v>
      </c>
      <c r="N23" s="54">
        <f t="shared" si="36"/>
        <v>23567571.75</v>
      </c>
      <c r="O23" s="54">
        <f t="shared" si="36"/>
        <v>28080776.610000003</v>
      </c>
      <c r="P23" s="54">
        <f t="shared" si="36"/>
        <v>31116931.879999995</v>
      </c>
      <c r="Q23" s="54">
        <f t="shared" si="36"/>
        <v>34722182.879999995</v>
      </c>
      <c r="R23" s="54">
        <f t="shared" si="36"/>
        <v>39827589.700000003</v>
      </c>
      <c r="S23" s="54">
        <f t="shared" si="36"/>
        <v>43540601.379999995</v>
      </c>
      <c r="T23" s="54">
        <f t="shared" si="36"/>
        <v>74065155.069999993</v>
      </c>
      <c r="U23" s="54">
        <f t="shared" si="36"/>
        <v>74000365</v>
      </c>
      <c r="V23" s="54">
        <f t="shared" si="36"/>
        <v>3725614.6100000003</v>
      </c>
      <c r="W23" s="54">
        <f t="shared" si="36"/>
        <v>6594169.0300000003</v>
      </c>
      <c r="X23" s="54">
        <f t="shared" si="36"/>
        <v>13706344.859999999</v>
      </c>
      <c r="Y23" s="54">
        <f t="shared" si="36"/>
        <v>22147209.68</v>
      </c>
      <c r="Z23" s="54">
        <f t="shared" si="36"/>
        <v>26145253.119999997</v>
      </c>
      <c r="AA23" s="54">
        <f t="shared" si="36"/>
        <v>29375921.43</v>
      </c>
      <c r="AB23" s="54">
        <f t="shared" si="36"/>
        <v>34853736.880000003</v>
      </c>
      <c r="AC23" s="54">
        <f t="shared" si="36"/>
        <v>40903513.849999994</v>
      </c>
      <c r="AD23" s="54">
        <f t="shared" si="36"/>
        <v>44806634.719999999</v>
      </c>
      <c r="AE23" s="54">
        <f t="shared" si="36"/>
        <v>48924966.269999996</v>
      </c>
      <c r="AF23" s="54">
        <f t="shared" si="36"/>
        <v>53715255.469999999</v>
      </c>
      <c r="AG23" s="54">
        <f t="shared" si="36"/>
        <v>76464055.370000005</v>
      </c>
      <c r="AH23" s="54">
        <f t="shared" si="36"/>
        <v>75488394.290000007</v>
      </c>
      <c r="AI23" s="54">
        <f t="shared" si="36"/>
        <v>3922648.7199999997</v>
      </c>
      <c r="AJ23" s="54">
        <f t="shared" si="36"/>
        <v>7973779.459999999</v>
      </c>
      <c r="AK23" s="54">
        <f t="shared" si="36"/>
        <v>14694583.4</v>
      </c>
      <c r="AL23" s="54">
        <f t="shared" si="36"/>
        <v>23775509.84</v>
      </c>
      <c r="AM23" s="54">
        <f t="shared" si="36"/>
        <v>27897293.049999997</v>
      </c>
      <c r="AN23" s="54">
        <f t="shared" si="36"/>
        <v>34164455.509999998</v>
      </c>
      <c r="AO23" s="54">
        <f t="shared" si="36"/>
        <v>38507812.009999998</v>
      </c>
      <c r="AP23" s="54">
        <f t="shared" si="36"/>
        <v>47207344.689999998</v>
      </c>
      <c r="AQ23" s="54">
        <f t="shared" si="36"/>
        <v>51969324.649999999</v>
      </c>
      <c r="AR23" s="54">
        <f t="shared" si="36"/>
        <v>57486539.109999999</v>
      </c>
      <c r="AS23" s="54">
        <f t="shared" si="36"/>
        <v>62741391.950000003</v>
      </c>
      <c r="AT23" s="54">
        <f t="shared" si="36"/>
        <v>75590193.320000008</v>
      </c>
      <c r="AU23" s="54">
        <f t="shared" si="36"/>
        <v>75578993</v>
      </c>
      <c r="AV23" s="54">
        <f t="shared" si="36"/>
        <v>4156946.04</v>
      </c>
      <c r="AW23" s="54">
        <f t="shared" si="36"/>
        <v>10624952.170000002</v>
      </c>
      <c r="AX23" s="54">
        <f t="shared" si="36"/>
        <v>17971524.73</v>
      </c>
      <c r="AY23" s="54">
        <f t="shared" si="36"/>
        <v>23776095.18</v>
      </c>
      <c r="AZ23" s="54">
        <f t="shared" si="36"/>
        <v>33762825.450000003</v>
      </c>
      <c r="BA23" s="54">
        <f t="shared" si="36"/>
        <v>37908352.770000003</v>
      </c>
      <c r="BB23" s="54">
        <f t="shared" si="36"/>
        <v>0</v>
      </c>
      <c r="BC23" s="54">
        <f t="shared" si="36"/>
        <v>244587677.94999999</v>
      </c>
      <c r="BD23" s="54">
        <f t="shared" si="36"/>
        <v>53521316.609999999</v>
      </c>
      <c r="BE23" s="54">
        <f t="shared" si="36"/>
        <v>61007427.030000001</v>
      </c>
      <c r="BF23" s="54">
        <f t="shared" si="36"/>
        <v>66370408.390000001</v>
      </c>
      <c r="BG23" s="54">
        <f t="shared" si="36"/>
        <v>75132056.479999989</v>
      </c>
      <c r="BH23" s="54">
        <f t="shared" si="36"/>
        <v>71383632</v>
      </c>
      <c r="BI23" s="54">
        <f t="shared" si="36"/>
        <v>7758330.7300000004</v>
      </c>
      <c r="BJ23" s="54">
        <f t="shared" si="36"/>
        <v>15878366.890000001</v>
      </c>
      <c r="BK23" s="54">
        <f t="shared" si="36"/>
        <v>24518057.580000002</v>
      </c>
      <c r="BL23" s="54">
        <f>SUM(BL24:BL28)</f>
        <v>30666985.170000002</v>
      </c>
      <c r="BM23" s="54">
        <f>SUM(BM24:BM28)</f>
        <v>36583592.840000004</v>
      </c>
      <c r="BN23" s="54">
        <f t="shared" ref="BN23:BU23" si="37">SUM(BN24:BN28)</f>
        <v>42734173.530000001</v>
      </c>
      <c r="BO23" s="54">
        <f t="shared" si="37"/>
        <v>51399581.979999997</v>
      </c>
      <c r="BP23" s="54">
        <f t="shared" si="37"/>
        <v>56317692.18</v>
      </c>
      <c r="BQ23" s="54">
        <f t="shared" si="37"/>
        <v>60980092.780000001</v>
      </c>
      <c r="BR23" s="54">
        <f t="shared" si="37"/>
        <v>67588902.409999996</v>
      </c>
      <c r="BS23" s="54">
        <f t="shared" si="37"/>
        <v>73484113.5</v>
      </c>
      <c r="BT23" s="54">
        <f t="shared" si="37"/>
        <v>84625268.560000002</v>
      </c>
      <c r="BU23" s="54">
        <f t="shared" si="37"/>
        <v>84635936</v>
      </c>
      <c r="BV23" s="54">
        <f t="shared" ref="BV23:CG23" si="38">SUM(BV24:BV28)</f>
        <v>7079959.71</v>
      </c>
      <c r="BW23" s="54">
        <f t="shared" si="38"/>
        <v>21404623.260000002</v>
      </c>
      <c r="BX23" s="54">
        <f t="shared" si="38"/>
        <v>30310394.480000004</v>
      </c>
      <c r="BY23" s="54">
        <f t="shared" si="38"/>
        <v>38987734.710000001</v>
      </c>
      <c r="BZ23" s="54">
        <f t="shared" si="38"/>
        <v>47113411.310000002</v>
      </c>
      <c r="CA23" s="54">
        <f t="shared" si="38"/>
        <v>54518821.530000001</v>
      </c>
      <c r="CB23" s="54">
        <f t="shared" si="38"/>
        <v>63297015.730000004</v>
      </c>
      <c r="CC23" s="54">
        <f t="shared" si="38"/>
        <v>68244672.210000008</v>
      </c>
      <c r="CD23" s="54">
        <f t="shared" si="38"/>
        <v>74657327.310000002</v>
      </c>
      <c r="CE23" s="54">
        <f t="shared" si="38"/>
        <v>81873949.510000005</v>
      </c>
      <c r="CF23" s="54">
        <f t="shared" si="38"/>
        <v>90583884.670000002</v>
      </c>
      <c r="CG23" s="54">
        <f t="shared" si="38"/>
        <v>95081110.729999989</v>
      </c>
      <c r="CH23" s="54">
        <f t="shared" ref="CH23:CQ23" si="39">SUM(CH24:CH28)</f>
        <v>95365517</v>
      </c>
      <c r="CI23" s="54">
        <f t="shared" si="39"/>
        <v>5524718.75</v>
      </c>
      <c r="CJ23" s="54">
        <f t="shared" si="39"/>
        <v>11467697.810000001</v>
      </c>
      <c r="CK23" s="54">
        <f t="shared" si="39"/>
        <v>29486639.629999999</v>
      </c>
      <c r="CL23" s="54">
        <f t="shared" si="39"/>
        <v>36973732.359999999</v>
      </c>
      <c r="CM23" s="54">
        <f t="shared" si="39"/>
        <v>44281110.590000004</v>
      </c>
      <c r="CN23" s="54">
        <f t="shared" si="39"/>
        <v>54165224.829999998</v>
      </c>
      <c r="CO23" s="54">
        <f t="shared" si="39"/>
        <v>62657065.530000001</v>
      </c>
      <c r="CP23" s="54">
        <f t="shared" si="39"/>
        <v>70677416.829999998</v>
      </c>
      <c r="CQ23" s="54">
        <f t="shared" si="39"/>
        <v>76726170.359999999</v>
      </c>
    </row>
    <row r="24" spans="1:95" ht="14.25">
      <c r="A24" s="16" t="s">
        <v>82</v>
      </c>
      <c r="B24" s="24"/>
      <c r="C24" s="24">
        <v>9045654</v>
      </c>
      <c r="D24" s="24">
        <v>9375585</v>
      </c>
      <c r="E24" s="24">
        <v>11911818</v>
      </c>
      <c r="F24" s="17">
        <v>13893168</v>
      </c>
      <c r="G24" s="17">
        <v>15300933</v>
      </c>
      <c r="H24" s="76">
        <v>16492855</v>
      </c>
      <c r="I24" s="17">
        <v>1043818.2</v>
      </c>
      <c r="J24" s="17">
        <v>1136318.2</v>
      </c>
      <c r="K24" s="17">
        <v>3356086.3</v>
      </c>
      <c r="L24" s="17">
        <v>6052757.0999999996</v>
      </c>
      <c r="M24" s="17">
        <v>9522323.8000000007</v>
      </c>
      <c r="N24" s="204">
        <v>10568723.4</v>
      </c>
      <c r="O24" s="213">
        <v>12400623.1</v>
      </c>
      <c r="P24" s="206">
        <v>13539022.699999999</v>
      </c>
      <c r="Q24" s="17">
        <v>15407469</v>
      </c>
      <c r="R24" s="17">
        <v>16647938.6</v>
      </c>
      <c r="S24" s="17">
        <v>17548299.5</v>
      </c>
      <c r="T24" s="17">
        <v>19177251.399999999</v>
      </c>
      <c r="U24" s="17">
        <v>19184551</v>
      </c>
      <c r="V24" s="17">
        <v>1300252.2</v>
      </c>
      <c r="W24" s="75">
        <v>2604604</v>
      </c>
      <c r="X24" s="75">
        <v>4594615.8</v>
      </c>
      <c r="Y24" s="75">
        <v>9853087.3000000007</v>
      </c>
      <c r="Z24" s="75">
        <v>11675981.699999999</v>
      </c>
      <c r="AA24" s="123">
        <v>13503510.23</v>
      </c>
      <c r="AB24" s="17">
        <v>14968800.699999999</v>
      </c>
      <c r="AC24" s="17">
        <v>16552869.4</v>
      </c>
      <c r="AD24" s="17">
        <v>18022758.899999999</v>
      </c>
      <c r="AE24" s="17">
        <v>18352862.399999999</v>
      </c>
      <c r="AF24" s="17">
        <v>20702785.899999999</v>
      </c>
      <c r="AG24" s="17">
        <v>22034715.399999999</v>
      </c>
      <c r="AH24" s="17">
        <v>22043865</v>
      </c>
      <c r="AI24" s="17">
        <v>1499992.9</v>
      </c>
      <c r="AJ24" s="17">
        <v>3433227.2</v>
      </c>
      <c r="AK24" s="17">
        <v>5709069.7999999998</v>
      </c>
      <c r="AL24" s="17">
        <v>11488002</v>
      </c>
      <c r="AM24" s="17">
        <v>13485005.9</v>
      </c>
      <c r="AN24" s="17">
        <v>16505955.699999999</v>
      </c>
      <c r="AO24" s="17">
        <v>18352507.5</v>
      </c>
      <c r="AP24" s="17">
        <v>20508622.300000001</v>
      </c>
      <c r="AQ24" s="17">
        <v>22417580.899999999</v>
      </c>
      <c r="AR24" s="17">
        <v>24320639.5</v>
      </c>
      <c r="AS24" s="17">
        <v>26203630</v>
      </c>
      <c r="AT24" s="17">
        <v>28344011.100000001</v>
      </c>
      <c r="AU24" s="17">
        <v>28356411</v>
      </c>
      <c r="AV24" s="17">
        <v>2055038.7</v>
      </c>
      <c r="AW24" s="17">
        <v>4095403.4</v>
      </c>
      <c r="AX24" s="17">
        <v>8685120.0999999996</v>
      </c>
      <c r="AY24" s="17">
        <v>11458781.800000001</v>
      </c>
      <c r="AZ24" s="17">
        <v>17563578.800000001</v>
      </c>
      <c r="BA24" s="17">
        <v>19548377.5</v>
      </c>
      <c r="BC24" s="17">
        <v>120538246.5</v>
      </c>
      <c r="BD24" s="17">
        <v>26125923</v>
      </c>
      <c r="BE24" s="17">
        <v>30072170</v>
      </c>
      <c r="BF24" s="17">
        <v>32216959.699999999</v>
      </c>
      <c r="BG24" s="17">
        <v>34571522.399999999</v>
      </c>
      <c r="BH24" s="207">
        <v>34593722</v>
      </c>
      <c r="BI24" s="170">
        <v>2090165.7</v>
      </c>
      <c r="BJ24" s="170">
        <v>4864953.7</v>
      </c>
      <c r="BK24" s="170">
        <v>10352588.4</v>
      </c>
      <c r="BL24" s="170">
        <v>12888375.4</v>
      </c>
      <c r="BM24" s="170">
        <v>15017694.1</v>
      </c>
      <c r="BN24" s="226">
        <v>17515079.100000001</v>
      </c>
      <c r="BO24" s="228">
        <v>22543198.800000001</v>
      </c>
      <c r="BP24" s="228">
        <v>24669666.800000001</v>
      </c>
      <c r="BQ24" s="228">
        <v>27030395.399999999</v>
      </c>
      <c r="BR24" s="228">
        <v>29371722</v>
      </c>
      <c r="BS24" s="228">
        <v>31995376</v>
      </c>
      <c r="BT24" s="228">
        <v>34231876</v>
      </c>
      <c r="BU24" s="170">
        <f>15126818+2538437+4479237+2294970+376636+1662165+40800+1493082+4309157+667240+1254000</f>
        <v>34242542</v>
      </c>
      <c r="BV24" s="235">
        <v>2565410.7000000002</v>
      </c>
      <c r="BW24" s="237">
        <v>10241413.300000001</v>
      </c>
      <c r="BX24" s="237">
        <v>13888031.1</v>
      </c>
      <c r="BY24" s="237">
        <v>17792622.800000001</v>
      </c>
      <c r="BZ24" s="237">
        <v>22076076.399999999</v>
      </c>
      <c r="CA24" s="237">
        <v>24751513.800000001</v>
      </c>
      <c r="CB24" s="237">
        <v>27709706.199999999</v>
      </c>
      <c r="CC24" s="237">
        <v>30244793.600000001</v>
      </c>
      <c r="CD24" s="237">
        <v>32870561</v>
      </c>
      <c r="CE24" s="237">
        <v>35293210.200000003</v>
      </c>
      <c r="CF24" s="237">
        <v>37924979.799999997</v>
      </c>
      <c r="CG24" s="237">
        <v>40514261.299999997</v>
      </c>
      <c r="CH24" s="237">
        <f>17307293+4373562+5149449+2573795+544989+1922000+44600+1647904+4391009+865460+1705000</f>
        <v>40525061</v>
      </c>
      <c r="CI24" s="235">
        <v>2354740</v>
      </c>
      <c r="CJ24" s="237">
        <v>4983521.4000000004</v>
      </c>
      <c r="CK24" s="237">
        <v>13247592.800000001</v>
      </c>
      <c r="CL24" s="235">
        <v>16867090</v>
      </c>
      <c r="CM24" s="235">
        <v>20145847.199999999</v>
      </c>
      <c r="CN24" s="235">
        <v>24518476.399999999</v>
      </c>
      <c r="CO24" s="235">
        <v>27455670.600000001</v>
      </c>
      <c r="CP24" s="235">
        <v>30947146.800000001</v>
      </c>
      <c r="CQ24" s="273">
        <v>34208908.100000001</v>
      </c>
    </row>
    <row r="25" spans="1:95" ht="14.25">
      <c r="A25" s="16" t="s">
        <v>83</v>
      </c>
      <c r="B25" s="24">
        <v>8990937</v>
      </c>
      <c r="C25" s="24">
        <v>3271895</v>
      </c>
      <c r="D25" s="24">
        <v>4220753</v>
      </c>
      <c r="E25" s="24">
        <v>5415126</v>
      </c>
      <c r="F25" s="17">
        <v>6469083</v>
      </c>
      <c r="G25" s="17">
        <v>7582971</v>
      </c>
      <c r="H25" s="76">
        <v>7969188</v>
      </c>
      <c r="I25" s="17">
        <v>274075</v>
      </c>
      <c r="J25" s="17">
        <v>656595</v>
      </c>
      <c r="K25" s="17">
        <v>1926395</v>
      </c>
      <c r="L25" s="17">
        <v>2508777</v>
      </c>
      <c r="M25" s="17">
        <v>2901073</v>
      </c>
      <c r="N25" s="204">
        <v>3222419</v>
      </c>
      <c r="O25" s="213">
        <v>4390045</v>
      </c>
      <c r="P25" s="206">
        <v>4695113</v>
      </c>
      <c r="Q25" s="17">
        <v>4945720</v>
      </c>
      <c r="R25" s="17">
        <v>5797580</v>
      </c>
      <c r="S25" s="17">
        <v>7530690</v>
      </c>
      <c r="T25" s="17">
        <v>9089570</v>
      </c>
      <c r="U25" s="17">
        <v>9863038</v>
      </c>
      <c r="V25" s="17">
        <v>292730</v>
      </c>
      <c r="W25" s="75">
        <v>743850</v>
      </c>
      <c r="X25" s="75">
        <v>2234704</v>
      </c>
      <c r="Y25" s="75">
        <v>3331799</v>
      </c>
      <c r="Z25" s="75">
        <v>3780464</v>
      </c>
      <c r="AA25" s="121">
        <v>4073029</v>
      </c>
      <c r="AB25" s="17">
        <v>5309894</v>
      </c>
      <c r="AC25" s="17">
        <v>6690159</v>
      </c>
      <c r="AD25" s="17">
        <v>7399049</v>
      </c>
      <c r="AE25" s="17">
        <v>8462379</v>
      </c>
      <c r="AF25" s="17">
        <v>9066124</v>
      </c>
      <c r="AG25" s="17">
        <v>9428534</v>
      </c>
      <c r="AH25" s="17">
        <v>11136854</v>
      </c>
      <c r="AI25" s="17">
        <v>611500</v>
      </c>
      <c r="AJ25" s="17">
        <v>1271810.5600000001</v>
      </c>
      <c r="AK25" s="17">
        <v>3102505</v>
      </c>
      <c r="AL25" s="17">
        <v>3503840</v>
      </c>
      <c r="AM25" s="17">
        <v>4014205</v>
      </c>
      <c r="AN25" s="17">
        <v>5229995</v>
      </c>
      <c r="AO25" s="17">
        <v>5645033</v>
      </c>
      <c r="AP25" s="17">
        <v>8310798</v>
      </c>
      <c r="AQ25" s="17">
        <v>9099408</v>
      </c>
      <c r="AR25" s="17">
        <v>9815438</v>
      </c>
      <c r="AS25" s="17">
        <v>10812673</v>
      </c>
      <c r="AT25" s="17">
        <v>11223718</v>
      </c>
      <c r="AU25" s="17">
        <v>13213173</v>
      </c>
      <c r="AV25" s="17">
        <v>629085</v>
      </c>
      <c r="AW25" s="17">
        <v>1589430</v>
      </c>
      <c r="AX25" s="17">
        <v>2404286</v>
      </c>
      <c r="AY25" s="17">
        <v>2834696</v>
      </c>
      <c r="AZ25" s="17">
        <v>3467811</v>
      </c>
      <c r="BA25" s="17">
        <v>3846186</v>
      </c>
      <c r="BC25" s="17">
        <v>28726680</v>
      </c>
      <c r="BD25" s="17">
        <v>6410526</v>
      </c>
      <c r="BE25" s="17">
        <v>7901021</v>
      </c>
      <c r="BF25" s="17">
        <v>9323185</v>
      </c>
      <c r="BG25" s="17">
        <v>9915710</v>
      </c>
      <c r="BH25" s="207">
        <v>11689480</v>
      </c>
      <c r="BI25" s="170">
        <v>1015735</v>
      </c>
      <c r="BJ25" s="170">
        <v>4576450</v>
      </c>
      <c r="BK25" s="170">
        <v>5189628</v>
      </c>
      <c r="BL25" s="170">
        <v>6137510.7800000003</v>
      </c>
      <c r="BM25" s="170">
        <v>6748964.7800000003</v>
      </c>
      <c r="BN25" s="226">
        <v>8936538.7799999993</v>
      </c>
      <c r="BO25" s="228">
        <v>10365977.779999999</v>
      </c>
      <c r="BP25" s="228">
        <v>11440504.279999999</v>
      </c>
      <c r="BQ25" s="228">
        <v>11962678.279999999</v>
      </c>
      <c r="BR25" s="228">
        <v>13853104.779999999</v>
      </c>
      <c r="BS25" s="228">
        <v>15518932.279999999</v>
      </c>
      <c r="BT25" s="228">
        <v>18064165</v>
      </c>
      <c r="BU25" s="170">
        <f>2391818+3625378+603012+1388000+511810+10000+4547950+1649800+1500000+1836398</f>
        <v>18064166</v>
      </c>
      <c r="BV25" s="226">
        <v>1039651</v>
      </c>
      <c r="BW25" s="228">
        <v>4395415</v>
      </c>
      <c r="BX25" s="228">
        <v>6216352</v>
      </c>
      <c r="BY25" s="228">
        <v>8133077</v>
      </c>
      <c r="BZ25" s="228">
        <v>9772474</v>
      </c>
      <c r="CA25" s="228">
        <v>11642629</v>
      </c>
      <c r="CB25" s="228">
        <v>13821309</v>
      </c>
      <c r="CC25" s="228">
        <v>14669966</v>
      </c>
      <c r="CD25" s="228">
        <v>15772105</v>
      </c>
      <c r="CE25" s="228">
        <v>16351334</v>
      </c>
      <c r="CF25" s="228">
        <v>19064564</v>
      </c>
      <c r="CG25" s="228">
        <v>19395206</v>
      </c>
      <c r="CH25" s="228">
        <f>2695375+4190927+1281520+1740000+521896+42100+5032034+2124300+1700000+2331050</f>
        <v>21659202</v>
      </c>
      <c r="CI25" s="226">
        <v>108555</v>
      </c>
      <c r="CJ25" s="228">
        <v>1510710</v>
      </c>
      <c r="CK25" s="228">
        <v>5660123</v>
      </c>
      <c r="CL25" s="226">
        <v>6396128</v>
      </c>
      <c r="CM25" s="226">
        <v>7956743</v>
      </c>
      <c r="CN25" s="226">
        <v>10464753</v>
      </c>
      <c r="CO25" s="226">
        <v>12416198</v>
      </c>
      <c r="CP25" s="226">
        <v>14901242.75</v>
      </c>
      <c r="CQ25" s="275">
        <v>15750832.75</v>
      </c>
    </row>
    <row r="26" spans="1:95" ht="14.25">
      <c r="A26" s="16" t="s">
        <v>84</v>
      </c>
      <c r="B26" s="24"/>
      <c r="C26" s="24">
        <v>1226651</v>
      </c>
      <c r="D26" s="24">
        <v>1473628</v>
      </c>
      <c r="E26" s="24">
        <v>1361305</v>
      </c>
      <c r="F26" s="17">
        <v>1465539</v>
      </c>
      <c r="G26" s="17">
        <v>3168809</v>
      </c>
      <c r="H26" s="76">
        <v>2675207</v>
      </c>
      <c r="I26" s="17">
        <v>95680</v>
      </c>
      <c r="J26" s="17">
        <v>980448</v>
      </c>
      <c r="K26" s="17">
        <v>1204234</v>
      </c>
      <c r="L26" s="17">
        <v>1381863</v>
      </c>
      <c r="M26" s="17">
        <v>1554937</v>
      </c>
      <c r="N26" s="204">
        <v>2039977</v>
      </c>
      <c r="O26" s="213">
        <v>2214917</v>
      </c>
      <c r="P26" s="206">
        <v>2294107</v>
      </c>
      <c r="Q26" s="17">
        <v>2468011</v>
      </c>
      <c r="R26" s="17">
        <v>2554860</v>
      </c>
      <c r="S26" s="17">
        <v>2562940</v>
      </c>
      <c r="T26" s="17">
        <v>3231915</v>
      </c>
      <c r="U26" s="17">
        <v>2687767</v>
      </c>
      <c r="V26" s="17">
        <v>3840</v>
      </c>
      <c r="W26" s="75">
        <v>28500</v>
      </c>
      <c r="X26" s="75">
        <v>298040</v>
      </c>
      <c r="Y26" s="75">
        <v>517180</v>
      </c>
      <c r="Z26" s="75">
        <v>729240</v>
      </c>
      <c r="AA26" s="121">
        <v>968315</v>
      </c>
      <c r="AB26" s="17">
        <v>1498855</v>
      </c>
      <c r="AC26" s="17">
        <v>1900780</v>
      </c>
      <c r="AD26" s="17">
        <v>2042140</v>
      </c>
      <c r="AE26" s="17">
        <v>3163701</v>
      </c>
      <c r="AF26" s="17">
        <v>3548602.22</v>
      </c>
      <c r="AG26" s="17">
        <v>4120506.22</v>
      </c>
      <c r="AH26" s="17">
        <v>3953531</v>
      </c>
      <c r="AI26" s="17">
        <v>61990</v>
      </c>
      <c r="AJ26" s="17">
        <v>130170</v>
      </c>
      <c r="AK26" s="17">
        <v>181075</v>
      </c>
      <c r="AL26" s="17">
        <v>450790</v>
      </c>
      <c r="AM26" s="17">
        <v>786670</v>
      </c>
      <c r="AN26" s="17">
        <v>1339425</v>
      </c>
      <c r="AO26" s="17">
        <v>1814445</v>
      </c>
      <c r="AP26" s="17">
        <v>2360575</v>
      </c>
      <c r="AQ26" s="17">
        <v>2938452</v>
      </c>
      <c r="AR26" s="17">
        <v>3805052</v>
      </c>
      <c r="AS26" s="17">
        <v>4319577</v>
      </c>
      <c r="AT26" s="17">
        <v>5222752</v>
      </c>
      <c r="AU26" s="17">
        <v>4457347</v>
      </c>
      <c r="AV26" s="17">
        <v>31097</v>
      </c>
      <c r="AW26" s="17">
        <v>232807</v>
      </c>
      <c r="AX26" s="17">
        <v>266897</v>
      </c>
      <c r="AY26" s="17">
        <v>594497</v>
      </c>
      <c r="AZ26" s="17">
        <v>916197</v>
      </c>
      <c r="BA26" s="17">
        <v>923457</v>
      </c>
      <c r="BC26" s="17">
        <v>6731300</v>
      </c>
      <c r="BD26" s="17">
        <v>1501955</v>
      </c>
      <c r="BE26" s="17">
        <v>1621380</v>
      </c>
      <c r="BF26" s="17">
        <v>1751945</v>
      </c>
      <c r="BG26" s="17">
        <v>2116680</v>
      </c>
      <c r="BH26" s="207">
        <v>1935410</v>
      </c>
      <c r="BI26" s="170">
        <v>43830</v>
      </c>
      <c r="BJ26" s="170">
        <v>116440</v>
      </c>
      <c r="BK26" s="170">
        <v>357156</v>
      </c>
      <c r="BL26" s="170">
        <v>933496</v>
      </c>
      <c r="BM26" s="170">
        <v>1592229</v>
      </c>
      <c r="BN26" s="226">
        <v>1649739</v>
      </c>
      <c r="BO26" s="228">
        <v>2027597</v>
      </c>
      <c r="BP26" s="228">
        <v>2359757</v>
      </c>
      <c r="BQ26" s="228">
        <v>2466897</v>
      </c>
      <c r="BR26" s="228">
        <v>3042172</v>
      </c>
      <c r="BS26" s="228">
        <v>3317392</v>
      </c>
      <c r="BT26" s="228">
        <v>3831552</v>
      </c>
      <c r="BU26" s="170">
        <f>2025004+1806548</f>
        <v>3831552</v>
      </c>
      <c r="BV26" s="226">
        <v>324255</v>
      </c>
      <c r="BW26" s="228">
        <v>386210</v>
      </c>
      <c r="BX26" s="228">
        <v>521403</v>
      </c>
      <c r="BY26" s="228">
        <v>1000443</v>
      </c>
      <c r="BZ26" s="228">
        <v>1482083</v>
      </c>
      <c r="CA26" s="228">
        <v>2433933</v>
      </c>
      <c r="CB26" s="228">
        <v>3548493</v>
      </c>
      <c r="CC26" s="228">
        <v>3995623</v>
      </c>
      <c r="CD26" s="228">
        <v>4103263</v>
      </c>
      <c r="CE26" s="228">
        <v>5181661</v>
      </c>
      <c r="CF26" s="228">
        <v>5554874</v>
      </c>
      <c r="CG26" s="228">
        <v>5973091</v>
      </c>
      <c r="CH26" s="228">
        <f>2009750+3501445</f>
        <v>5511195</v>
      </c>
      <c r="CI26" s="226">
        <v>43660</v>
      </c>
      <c r="CJ26" s="228">
        <v>92480</v>
      </c>
      <c r="CK26" s="228">
        <v>733570</v>
      </c>
      <c r="CL26" s="226">
        <v>814580</v>
      </c>
      <c r="CM26" s="226">
        <v>1352310</v>
      </c>
      <c r="CN26" s="226">
        <v>2628362</v>
      </c>
      <c r="CO26" s="226">
        <v>3599212</v>
      </c>
      <c r="CP26" s="226">
        <v>3903397</v>
      </c>
      <c r="CQ26" s="275">
        <v>4397642</v>
      </c>
    </row>
    <row r="27" spans="1:95" ht="14.25">
      <c r="A27" s="16" t="s">
        <v>85</v>
      </c>
      <c r="B27" s="24"/>
      <c r="C27" s="24">
        <v>3046514</v>
      </c>
      <c r="D27" s="24">
        <v>3424915</v>
      </c>
      <c r="E27" s="24">
        <v>3005880.125</v>
      </c>
      <c r="F27" s="17">
        <v>2794665</v>
      </c>
      <c r="G27" s="17">
        <v>2777823</v>
      </c>
      <c r="H27" s="77">
        <v>2791594</v>
      </c>
      <c r="I27" s="17">
        <v>241352.03</v>
      </c>
      <c r="J27" s="17">
        <v>482704.06</v>
      </c>
      <c r="K27" s="17">
        <v>724056.09</v>
      </c>
      <c r="L27" s="17">
        <v>965408.12</v>
      </c>
      <c r="M27" s="17">
        <v>1206760.1499999999</v>
      </c>
      <c r="N27" s="204">
        <v>1448112.18</v>
      </c>
      <c r="O27" s="213">
        <v>1689464.21</v>
      </c>
      <c r="P27" s="206">
        <v>1930816.24</v>
      </c>
      <c r="Q27" s="17">
        <v>2172168.27</v>
      </c>
      <c r="R27" s="17">
        <v>2413520.2999999998</v>
      </c>
      <c r="S27" s="17">
        <v>2624069.08</v>
      </c>
      <c r="T27" s="17">
        <v>3576056.07</v>
      </c>
      <c r="U27" s="17">
        <v>3576056</v>
      </c>
      <c r="V27" s="17">
        <v>335425.05</v>
      </c>
      <c r="W27" s="75">
        <v>670850.1</v>
      </c>
      <c r="X27" s="75">
        <v>1006275.15</v>
      </c>
      <c r="Y27" s="75">
        <v>1216326.7</v>
      </c>
      <c r="Z27" s="75">
        <v>1677125.25</v>
      </c>
      <c r="AA27" s="121">
        <v>2012550.3</v>
      </c>
      <c r="AB27" s="17">
        <v>2347975.35</v>
      </c>
      <c r="AC27" s="17">
        <v>2683400.4</v>
      </c>
      <c r="AD27" s="17">
        <v>3018825.45</v>
      </c>
      <c r="AE27" s="17">
        <v>3213177.17</v>
      </c>
      <c r="AF27" s="17">
        <v>3539121</v>
      </c>
      <c r="AG27" s="17">
        <v>4648471</v>
      </c>
      <c r="AH27" s="17">
        <v>4120504</v>
      </c>
      <c r="AI27" s="17">
        <v>243719.29</v>
      </c>
      <c r="AJ27" s="17">
        <v>579586.18000000005</v>
      </c>
      <c r="AK27" s="17">
        <v>869379.27</v>
      </c>
      <c r="AL27" s="17">
        <v>1159172.3600000001</v>
      </c>
      <c r="AM27" s="17">
        <v>1448965.45</v>
      </c>
      <c r="AN27" s="17">
        <v>1636760.89</v>
      </c>
      <c r="AO27" s="17">
        <v>2028551.63</v>
      </c>
      <c r="AP27" s="17">
        <v>2318344.7200000002</v>
      </c>
      <c r="AQ27" s="17">
        <v>2608137.79</v>
      </c>
      <c r="AR27" s="17">
        <v>2897900.88</v>
      </c>
      <c r="AS27" s="17">
        <v>3187663.97</v>
      </c>
      <c r="AT27" s="17">
        <v>3575739.88</v>
      </c>
      <c r="AU27" s="17">
        <v>3543217</v>
      </c>
      <c r="AV27" s="17">
        <v>250204.41</v>
      </c>
      <c r="AW27" s="17">
        <v>500408.82</v>
      </c>
      <c r="AX27" s="17">
        <v>750613.22</v>
      </c>
      <c r="AY27" s="17">
        <v>1000817.62</v>
      </c>
      <c r="AZ27" s="17">
        <v>1251022.02</v>
      </c>
      <c r="BA27" s="17">
        <v>1501226.42</v>
      </c>
      <c r="BC27" s="17">
        <v>10008176.1</v>
      </c>
      <c r="BD27" s="17">
        <v>2251839.62</v>
      </c>
      <c r="BE27" s="17">
        <v>2503571.9500000002</v>
      </c>
      <c r="BF27" s="17">
        <v>3110396.12</v>
      </c>
      <c r="BG27" s="17">
        <v>3344074.55</v>
      </c>
      <c r="BH27" s="214">
        <v>3344084</v>
      </c>
      <c r="BI27" s="170">
        <v>177252.97</v>
      </c>
      <c r="BJ27" s="170">
        <v>504896.32</v>
      </c>
      <c r="BK27" s="170">
        <v>757344.48</v>
      </c>
      <c r="BL27" s="170">
        <v>1009792.64</v>
      </c>
      <c r="BM27" s="170">
        <v>1262240.8</v>
      </c>
      <c r="BN27" s="226">
        <v>1514688.96</v>
      </c>
      <c r="BO27" s="228">
        <v>1767137.12</v>
      </c>
      <c r="BP27" s="228">
        <v>2019585.28</v>
      </c>
      <c r="BQ27" s="228">
        <v>2272033.44</v>
      </c>
      <c r="BR27" s="228">
        <v>2524481.6</v>
      </c>
      <c r="BS27" s="228">
        <v>2776929.76</v>
      </c>
      <c r="BT27" s="228">
        <v>3051580.56</v>
      </c>
      <c r="BU27" s="170">
        <v>3051580</v>
      </c>
      <c r="BV27" s="226">
        <v>203389</v>
      </c>
      <c r="BW27" s="228">
        <v>406778</v>
      </c>
      <c r="BX27" s="228">
        <v>612394</v>
      </c>
      <c r="BY27" s="228">
        <v>772893</v>
      </c>
      <c r="BZ27" s="228">
        <v>978509</v>
      </c>
      <c r="CA27" s="228">
        <v>1140443</v>
      </c>
      <c r="CB27" s="228">
        <v>1302419</v>
      </c>
      <c r="CC27" s="228">
        <v>1464395</v>
      </c>
      <c r="CD27" s="228">
        <v>1626371</v>
      </c>
      <c r="CE27" s="228">
        <v>2013912</v>
      </c>
      <c r="CF27" s="228">
        <v>2458371.2000000002</v>
      </c>
      <c r="CG27" s="228">
        <v>2784727.33</v>
      </c>
      <c r="CH27" s="228">
        <v>2784734</v>
      </c>
      <c r="CI27" s="226">
        <v>195214.48</v>
      </c>
      <c r="CJ27" s="228">
        <v>390428.97</v>
      </c>
      <c r="CK27" s="228">
        <v>600984.82999999996</v>
      </c>
      <c r="CL27" s="226">
        <v>780857.95</v>
      </c>
      <c r="CM27" s="226">
        <v>976072.44</v>
      </c>
      <c r="CN27" s="226">
        <v>1171286.93</v>
      </c>
      <c r="CO27" s="226">
        <v>1429467.19</v>
      </c>
      <c r="CP27" s="226">
        <v>1647880.37</v>
      </c>
      <c r="CQ27" s="275">
        <v>1866535.95</v>
      </c>
    </row>
    <row r="28" spans="1:95" ht="14.25">
      <c r="A28" s="16" t="s">
        <v>86</v>
      </c>
      <c r="B28" s="24">
        <v>11109993</v>
      </c>
      <c r="C28" s="24">
        <v>6709096</v>
      </c>
      <c r="D28" s="24">
        <v>9634855</v>
      </c>
      <c r="E28" s="24">
        <v>16451848.710000001</v>
      </c>
      <c r="F28" s="17">
        <v>14026834</v>
      </c>
      <c r="G28" s="17">
        <v>19394473</v>
      </c>
      <c r="H28" s="60">
        <v>35076726</v>
      </c>
      <c r="I28" s="17">
        <v>1268093.8799999999</v>
      </c>
      <c r="J28" s="17">
        <v>3067671.51</v>
      </c>
      <c r="K28" s="17">
        <v>3997092.39</v>
      </c>
      <c r="L28" s="17">
        <v>4175715.98</v>
      </c>
      <c r="M28" s="17">
        <v>5412460.9299999997</v>
      </c>
      <c r="N28" s="204">
        <v>6288340.1699999999</v>
      </c>
      <c r="O28" s="213">
        <v>7385727.2999999998</v>
      </c>
      <c r="P28" s="206">
        <v>8657872.9399999995</v>
      </c>
      <c r="Q28" s="17">
        <v>9728814.6099999994</v>
      </c>
      <c r="R28" s="17">
        <v>12413690.800000001</v>
      </c>
      <c r="S28" s="17">
        <v>13274602.800000001</v>
      </c>
      <c r="T28" s="17">
        <v>38990362.600000001</v>
      </c>
      <c r="U28" s="17">
        <v>38688953</v>
      </c>
      <c r="V28" s="17">
        <v>1793367.36</v>
      </c>
      <c r="W28" s="75">
        <v>2546364.9300000002</v>
      </c>
      <c r="X28" s="75">
        <v>5572709.9100000001</v>
      </c>
      <c r="Y28" s="75">
        <v>7228816.6799999997</v>
      </c>
      <c r="Z28" s="75">
        <v>8282442.1699999999</v>
      </c>
      <c r="AA28" s="121">
        <v>8818516.9000000004</v>
      </c>
      <c r="AB28" s="17">
        <v>10728211.83</v>
      </c>
      <c r="AC28" s="17">
        <v>13076305.050000001</v>
      </c>
      <c r="AD28" s="17">
        <v>14323861.369999999</v>
      </c>
      <c r="AE28" s="17">
        <v>15732846.699999999</v>
      </c>
      <c r="AF28" s="17">
        <v>16858622.350000001</v>
      </c>
      <c r="AG28" s="17">
        <v>36231828.75</v>
      </c>
      <c r="AH28" s="17">
        <v>34233640.290000007</v>
      </c>
      <c r="AI28" s="17">
        <v>1505446.53</v>
      </c>
      <c r="AJ28" s="17">
        <v>2558985.52</v>
      </c>
      <c r="AK28" s="17">
        <v>4832554.33</v>
      </c>
      <c r="AL28" s="17">
        <v>7173705.4800000004</v>
      </c>
      <c r="AM28" s="17">
        <v>8162446.7000000002</v>
      </c>
      <c r="AN28" s="17">
        <v>9452318.9199999999</v>
      </c>
      <c r="AO28" s="17">
        <v>10667274.880000001</v>
      </c>
      <c r="AP28" s="17">
        <v>13709004.67</v>
      </c>
      <c r="AQ28" s="17">
        <v>14905745.960000001</v>
      </c>
      <c r="AR28" s="17">
        <v>16647508.73</v>
      </c>
      <c r="AS28" s="17">
        <v>18217847.98</v>
      </c>
      <c r="AT28" s="17">
        <v>27223972.34</v>
      </c>
      <c r="AU28" s="17">
        <v>26008845</v>
      </c>
      <c r="AV28" s="17">
        <v>1191520.93</v>
      </c>
      <c r="AW28" s="17">
        <v>4206902.95</v>
      </c>
      <c r="AX28" s="17">
        <v>5864608.4100000001</v>
      </c>
      <c r="AY28" s="17">
        <v>7887302.7599999998</v>
      </c>
      <c r="AZ28" s="17">
        <v>10564216.630000001</v>
      </c>
      <c r="BA28" s="17">
        <v>12089105.85</v>
      </c>
      <c r="BC28" s="17">
        <v>78583275.349999994</v>
      </c>
      <c r="BD28" s="17">
        <v>17231072.989999998</v>
      </c>
      <c r="BE28" s="17">
        <v>18909284.079999998</v>
      </c>
      <c r="BF28" s="17">
        <v>19967922.57</v>
      </c>
      <c r="BG28" s="17">
        <v>25184069.530000001</v>
      </c>
      <c r="BH28" s="207">
        <v>19820936</v>
      </c>
      <c r="BI28" s="170">
        <v>4431347.0599999996</v>
      </c>
      <c r="BJ28" s="170">
        <v>5815626.8700000001</v>
      </c>
      <c r="BK28" s="170">
        <v>7861340.7000000002</v>
      </c>
      <c r="BL28" s="170">
        <v>9697810.3499999996</v>
      </c>
      <c r="BM28" s="170">
        <v>11962464.16</v>
      </c>
      <c r="BN28" s="226">
        <v>13118127.689999999</v>
      </c>
      <c r="BO28" s="228">
        <v>14695671.279999999</v>
      </c>
      <c r="BP28" s="228">
        <v>15828178.82</v>
      </c>
      <c r="BQ28" s="228">
        <v>17248088.66</v>
      </c>
      <c r="BR28" s="228">
        <v>18797422.030000001</v>
      </c>
      <c r="BS28" s="228">
        <v>19875483.460000001</v>
      </c>
      <c r="BT28" s="228">
        <v>25446095</v>
      </c>
      <c r="BU28" s="170">
        <f>357001+1506585+299300+1238985+1200000+448270+349735+136375+1770074+1377500+1040276+3747582+831671+169848+350000+227730+1005454+777017+1135230+80000+748164+432442+30000+6186857</f>
        <v>25446096</v>
      </c>
      <c r="BV28" s="226">
        <v>2947254.01</v>
      </c>
      <c r="BW28" s="228">
        <v>5974806.96</v>
      </c>
      <c r="BX28" s="228">
        <v>9072214.3800000008</v>
      </c>
      <c r="BY28" s="228">
        <v>11288698.91</v>
      </c>
      <c r="BZ28" s="228">
        <v>12804268.91</v>
      </c>
      <c r="CA28" s="228">
        <v>14550302.73</v>
      </c>
      <c r="CB28" s="228">
        <v>16915088.530000001</v>
      </c>
      <c r="CC28" s="228">
        <v>17869894.609999999</v>
      </c>
      <c r="CD28" s="228">
        <v>20285027.309999999</v>
      </c>
      <c r="CE28" s="228">
        <v>23033832.309999999</v>
      </c>
      <c r="CF28" s="228">
        <v>25581095.670000002</v>
      </c>
      <c r="CG28" s="228">
        <v>26413825.100000001</v>
      </c>
      <c r="CH28" s="228">
        <f>24885325</f>
        <v>24885325</v>
      </c>
      <c r="CI28" s="226">
        <v>2822549.27</v>
      </c>
      <c r="CJ28" s="228">
        <v>4490557.4400000004</v>
      </c>
      <c r="CK28" s="228">
        <v>9244369</v>
      </c>
      <c r="CL28" s="226">
        <v>12115076.41</v>
      </c>
      <c r="CM28" s="226">
        <v>13850137.949999999</v>
      </c>
      <c r="CN28" s="226">
        <v>15382346.5</v>
      </c>
      <c r="CO28" s="226">
        <v>17756517.739999998</v>
      </c>
      <c r="CP28" s="226">
        <v>19277749.91</v>
      </c>
      <c r="CQ28" s="275">
        <v>20502251.559999999</v>
      </c>
    </row>
    <row r="29" spans="1:95">
      <c r="A29" s="15" t="s">
        <v>87</v>
      </c>
      <c r="B29" s="54">
        <f t="shared" ref="B29:H29" si="40">B19-B20-B23</f>
        <v>8792953</v>
      </c>
      <c r="C29" s="54">
        <f t="shared" si="40"/>
        <v>14332690</v>
      </c>
      <c r="D29" s="54">
        <f t="shared" si="40"/>
        <v>8331638</v>
      </c>
      <c r="E29" s="54">
        <f t="shared" si="40"/>
        <v>16517641.085000008</v>
      </c>
      <c r="F29" s="54">
        <f t="shared" si="40"/>
        <v>19904867</v>
      </c>
      <c r="G29" s="54">
        <f t="shared" si="40"/>
        <v>23193256</v>
      </c>
      <c r="H29" s="54">
        <f t="shared" si="40"/>
        <v>9808038</v>
      </c>
      <c r="I29" s="54">
        <f t="shared" ref="I29:AD29" si="41">I19-I20-I23</f>
        <v>-2547032.5</v>
      </c>
      <c r="J29" s="54">
        <f t="shared" si="41"/>
        <v>5184516.1999999993</v>
      </c>
      <c r="K29" s="54">
        <f t="shared" si="41"/>
        <v>8499120.9600000028</v>
      </c>
      <c r="L29" s="54">
        <f t="shared" si="41"/>
        <v>8401507.2800000012</v>
      </c>
      <c r="M29" s="54">
        <f t="shared" si="41"/>
        <v>10638451.54999999</v>
      </c>
      <c r="N29" s="54">
        <f t="shared" si="41"/>
        <v>21324690.460000008</v>
      </c>
      <c r="O29" s="54">
        <f t="shared" si="41"/>
        <v>18334762.699999992</v>
      </c>
      <c r="P29" s="54">
        <f t="shared" si="41"/>
        <v>27498157.899999999</v>
      </c>
      <c r="Q29" s="54">
        <f t="shared" si="41"/>
        <v>37462432.409999996</v>
      </c>
      <c r="R29" s="54">
        <f t="shared" si="41"/>
        <v>40863810.730000004</v>
      </c>
      <c r="S29" s="54">
        <f t="shared" si="41"/>
        <v>47300355.550000027</v>
      </c>
      <c r="T29" s="54">
        <f t="shared" si="41"/>
        <v>18380415.360000014</v>
      </c>
      <c r="U29" s="54">
        <f t="shared" si="41"/>
        <v>15941662</v>
      </c>
      <c r="V29" s="54">
        <f t="shared" si="41"/>
        <v>439270.24000000115</v>
      </c>
      <c r="W29" s="54">
        <f t="shared" si="41"/>
        <v>4336331.1700000009</v>
      </c>
      <c r="X29" s="54">
        <f t="shared" si="41"/>
        <v>5822529.7500000037</v>
      </c>
      <c r="Y29" s="54">
        <f t="shared" si="41"/>
        <v>6193148.8600000069</v>
      </c>
      <c r="Z29" s="54">
        <f t="shared" si="41"/>
        <v>10721731.120000012</v>
      </c>
      <c r="AA29" s="54">
        <f t="shared" si="41"/>
        <v>25094260.219999999</v>
      </c>
      <c r="AB29" s="54">
        <f t="shared" si="41"/>
        <v>27591487.43</v>
      </c>
      <c r="AC29" s="54">
        <f t="shared" si="41"/>
        <v>32438938.620000005</v>
      </c>
      <c r="AD29" s="54">
        <f t="shared" si="41"/>
        <v>35982398.300000012</v>
      </c>
      <c r="AE29" s="54">
        <f>AE19-AE20-AE23</f>
        <v>46361871.950000003</v>
      </c>
      <c r="AF29" s="54">
        <f t="shared" ref="AF29:BH29" si="42">AF19-AF20-AF23</f>
        <v>49373027.179999992</v>
      </c>
      <c r="AG29" s="54">
        <f t="shared" si="42"/>
        <v>34568895.75999999</v>
      </c>
      <c r="AH29" s="54">
        <f t="shared" si="42"/>
        <v>35618967.089999989</v>
      </c>
      <c r="AI29" s="54">
        <f t="shared" si="42"/>
        <v>4215190.1600000011</v>
      </c>
      <c r="AJ29" s="54">
        <f t="shared" si="42"/>
        <v>7446296.1899999995</v>
      </c>
      <c r="AK29" s="54">
        <f t="shared" si="42"/>
        <v>8442678.8999999966</v>
      </c>
      <c r="AL29" s="54">
        <f t="shared" si="42"/>
        <v>7987495.3000000007</v>
      </c>
      <c r="AM29" s="54">
        <f t="shared" si="42"/>
        <v>13137786.93</v>
      </c>
      <c r="AN29" s="54">
        <f t="shared" si="42"/>
        <v>27479635.290000007</v>
      </c>
      <c r="AO29" s="54">
        <f t="shared" si="42"/>
        <v>31263360.940000005</v>
      </c>
      <c r="AP29" s="54">
        <f t="shared" si="42"/>
        <v>30481936.859999999</v>
      </c>
      <c r="AQ29" s="54">
        <f t="shared" si="42"/>
        <v>32247910.300000004</v>
      </c>
      <c r="AR29" s="54">
        <f t="shared" si="42"/>
        <v>34528368.239999995</v>
      </c>
      <c r="AS29" s="54">
        <f t="shared" si="42"/>
        <v>28795650.950000003</v>
      </c>
      <c r="AT29" s="54">
        <f t="shared" si="42"/>
        <v>24360399.930000007</v>
      </c>
      <c r="AU29" s="54">
        <f t="shared" si="42"/>
        <v>21454266</v>
      </c>
      <c r="AV29" s="54">
        <f t="shared" si="42"/>
        <v>3730735.08</v>
      </c>
      <c r="AW29" s="54">
        <f t="shared" si="42"/>
        <v>7048076.4499999955</v>
      </c>
      <c r="AX29" s="54">
        <f t="shared" si="42"/>
        <v>9615532.3399999999</v>
      </c>
      <c r="AY29" s="54">
        <f t="shared" si="42"/>
        <v>21852931.420000002</v>
      </c>
      <c r="AZ29" s="54">
        <f t="shared" si="42"/>
        <v>16852969.449999996</v>
      </c>
      <c r="BA29" s="54">
        <f t="shared" si="42"/>
        <v>16523321.040000007</v>
      </c>
      <c r="BB29" s="54">
        <f t="shared" si="42"/>
        <v>0</v>
      </c>
      <c r="BC29" s="54">
        <f t="shared" si="42"/>
        <v>92455241.74999994</v>
      </c>
      <c r="BD29" s="54">
        <f t="shared" si="42"/>
        <v>19714406.520000011</v>
      </c>
      <c r="BE29" s="54">
        <f t="shared" si="42"/>
        <v>20255976.770000011</v>
      </c>
      <c r="BF29" s="54">
        <f t="shared" si="42"/>
        <v>19628349.460000023</v>
      </c>
      <c r="BG29" s="54">
        <f t="shared" si="42"/>
        <v>22966480.110000014</v>
      </c>
      <c r="BH29" s="54">
        <f t="shared" si="42"/>
        <v>18559054</v>
      </c>
      <c r="BI29" s="54">
        <f>BI19-BI20-BI23</f>
        <v>3092219.9700000007</v>
      </c>
      <c r="BJ29" s="54">
        <f>BJ19-BJ20-BJ23</f>
        <v>-1025671.5700000022</v>
      </c>
      <c r="BK29" s="54">
        <f>BK19-BK20-BK23</f>
        <v>-288491.23000000417</v>
      </c>
      <c r="BL29" s="54">
        <f>BL19-BL20-BL23</f>
        <v>18131861.060000002</v>
      </c>
      <c r="BM29" s="54">
        <f>BM19-BM20-BM23</f>
        <v>17642162.75999999</v>
      </c>
      <c r="BN29" s="54">
        <f t="shared" ref="BN29:BU29" si="43">BN19-BN20-BN23</f>
        <v>20447239.049999982</v>
      </c>
      <c r="BO29" s="54">
        <f t="shared" si="43"/>
        <v>15977234.589999996</v>
      </c>
      <c r="BP29" s="54">
        <f t="shared" si="43"/>
        <v>24605924.55999998</v>
      </c>
      <c r="BQ29" s="54">
        <f t="shared" si="43"/>
        <v>28404878.859999999</v>
      </c>
      <c r="BR29" s="54">
        <f t="shared" si="43"/>
        <v>34268327.269999996</v>
      </c>
      <c r="BS29" s="54">
        <f t="shared" si="43"/>
        <v>36823798.090000018</v>
      </c>
      <c r="BT29" s="54">
        <f t="shared" si="43"/>
        <v>28793756</v>
      </c>
      <c r="BU29" s="54">
        <f t="shared" si="43"/>
        <v>20066492</v>
      </c>
      <c r="BV29" s="54">
        <f t="shared" ref="BV29:CG29" si="44">BV19-BV20-BV23</f>
        <v>1225.0200000004843</v>
      </c>
      <c r="BW29" s="54">
        <f t="shared" si="44"/>
        <v>1534447.1799999997</v>
      </c>
      <c r="BX29" s="54">
        <f t="shared" si="44"/>
        <v>1778013.25</v>
      </c>
      <c r="BY29" s="54">
        <f t="shared" si="44"/>
        <v>2750666.5099999979</v>
      </c>
      <c r="BZ29" s="54">
        <f t="shared" si="44"/>
        <v>2759924.049999997</v>
      </c>
      <c r="CA29" s="54">
        <f t="shared" si="44"/>
        <v>20870092.450000003</v>
      </c>
      <c r="CB29" s="54">
        <f t="shared" si="44"/>
        <v>19415526.599999994</v>
      </c>
      <c r="CC29" s="54">
        <f t="shared" si="44"/>
        <v>20546128.609999985</v>
      </c>
      <c r="CD29" s="54">
        <f t="shared" si="44"/>
        <v>25416373.599999994</v>
      </c>
      <c r="CE29" s="54">
        <f t="shared" si="44"/>
        <v>27459728.869999975</v>
      </c>
      <c r="CF29" s="54">
        <f t="shared" si="44"/>
        <v>27083626.25999999</v>
      </c>
      <c r="CG29" s="54">
        <f t="shared" si="44"/>
        <v>5840665.3800000101</v>
      </c>
      <c r="CH29" s="54">
        <f t="shared" ref="CH29:CO29" si="45">CH19-CH20-CH23</f>
        <v>8636710</v>
      </c>
      <c r="CI29" s="54">
        <f t="shared" si="45"/>
        <v>2033666.6600000001</v>
      </c>
      <c r="CJ29" s="54">
        <f t="shared" si="45"/>
        <v>12808816.9</v>
      </c>
      <c r="CK29" s="54">
        <f t="shared" si="45"/>
        <v>4692622.8000000082</v>
      </c>
      <c r="CL29" s="54">
        <f t="shared" si="45"/>
        <v>1342571.7400000095</v>
      </c>
      <c r="CM29" s="54">
        <f t="shared" si="45"/>
        <v>-1597111.0200000033</v>
      </c>
      <c r="CN29" s="54">
        <f t="shared" si="45"/>
        <v>11285524.510000005</v>
      </c>
      <c r="CO29" s="54">
        <f t="shared" si="45"/>
        <v>3805182.8400000036</v>
      </c>
      <c r="CP29" s="54">
        <f t="shared" ref="CP29:CQ29" si="46">CP19-CP20-CP23</f>
        <v>3952993.6199999899</v>
      </c>
      <c r="CQ29" s="54">
        <f t="shared" si="46"/>
        <v>5610674.5600000024</v>
      </c>
    </row>
    <row r="30" spans="1:95">
      <c r="A30" s="15" t="s">
        <v>88</v>
      </c>
      <c r="B30" s="54">
        <f t="shared" ref="B30:H30" si="47">B31-B32</f>
        <v>0</v>
      </c>
      <c r="C30" s="54">
        <f t="shared" si="47"/>
        <v>0</v>
      </c>
      <c r="D30" s="54">
        <f t="shared" si="47"/>
        <v>0</v>
      </c>
      <c r="E30" s="54">
        <f t="shared" si="47"/>
        <v>0</v>
      </c>
      <c r="F30" s="54">
        <f t="shared" si="47"/>
        <v>0</v>
      </c>
      <c r="G30" s="54">
        <f t="shared" si="47"/>
        <v>0</v>
      </c>
      <c r="H30" s="54">
        <f t="shared" si="47"/>
        <v>0</v>
      </c>
      <c r="I30" s="54">
        <f t="shared" ref="I30:AD30" si="48">I31-I32</f>
        <v>0</v>
      </c>
      <c r="J30" s="54">
        <f t="shared" si="48"/>
        <v>0</v>
      </c>
      <c r="K30" s="54">
        <f t="shared" si="48"/>
        <v>0</v>
      </c>
      <c r="L30" s="54">
        <f t="shared" si="48"/>
        <v>0</v>
      </c>
      <c r="M30" s="54">
        <f t="shared" si="48"/>
        <v>0</v>
      </c>
      <c r="N30" s="54">
        <f t="shared" si="48"/>
        <v>0</v>
      </c>
      <c r="O30" s="54">
        <f t="shared" si="48"/>
        <v>0</v>
      </c>
      <c r="P30" s="54">
        <f t="shared" si="48"/>
        <v>0</v>
      </c>
      <c r="Q30" s="54">
        <f t="shared" si="48"/>
        <v>0</v>
      </c>
      <c r="R30" s="54">
        <f t="shared" si="48"/>
        <v>0</v>
      </c>
      <c r="S30" s="54">
        <f t="shared" si="48"/>
        <v>0</v>
      </c>
      <c r="T30" s="54">
        <f t="shared" si="48"/>
        <v>0</v>
      </c>
      <c r="U30" s="54">
        <f t="shared" si="48"/>
        <v>0</v>
      </c>
      <c r="V30" s="54">
        <f t="shared" si="48"/>
        <v>0</v>
      </c>
      <c r="W30" s="54">
        <f t="shared" si="48"/>
        <v>0</v>
      </c>
      <c r="X30" s="54">
        <f t="shared" si="48"/>
        <v>0</v>
      </c>
      <c r="Y30" s="54">
        <f t="shared" si="48"/>
        <v>0</v>
      </c>
      <c r="Z30" s="54">
        <f t="shared" si="48"/>
        <v>0</v>
      </c>
      <c r="AA30" s="54">
        <f t="shared" si="48"/>
        <v>0</v>
      </c>
      <c r="AB30" s="54">
        <f t="shared" si="48"/>
        <v>0</v>
      </c>
      <c r="AC30" s="54">
        <f t="shared" si="48"/>
        <v>0</v>
      </c>
      <c r="AD30" s="54">
        <f t="shared" si="48"/>
        <v>0</v>
      </c>
      <c r="AE30" s="54">
        <f>AE31-AE32</f>
        <v>0</v>
      </c>
      <c r="AF30" s="54">
        <f t="shared" ref="AF30:BH30" si="49">AF31-AF32</f>
        <v>0</v>
      </c>
      <c r="AG30" s="54">
        <f t="shared" si="49"/>
        <v>0</v>
      </c>
      <c r="AH30" s="54">
        <f t="shared" si="49"/>
        <v>0</v>
      </c>
      <c r="AI30" s="54">
        <f t="shared" si="49"/>
        <v>0</v>
      </c>
      <c r="AJ30" s="54">
        <f t="shared" si="49"/>
        <v>0</v>
      </c>
      <c r="AK30" s="54">
        <f t="shared" si="49"/>
        <v>0</v>
      </c>
      <c r="AL30" s="54">
        <f t="shared" si="49"/>
        <v>0</v>
      </c>
      <c r="AM30" s="54">
        <f t="shared" si="49"/>
        <v>0</v>
      </c>
      <c r="AN30" s="54">
        <f t="shared" si="49"/>
        <v>0</v>
      </c>
      <c r="AO30" s="54">
        <f t="shared" si="49"/>
        <v>0</v>
      </c>
      <c r="AP30" s="54">
        <f t="shared" si="49"/>
        <v>0</v>
      </c>
      <c r="AQ30" s="54">
        <f t="shared" si="49"/>
        <v>0</v>
      </c>
      <c r="AR30" s="54">
        <f t="shared" si="49"/>
        <v>0</v>
      </c>
      <c r="AS30" s="54">
        <f t="shared" si="49"/>
        <v>0</v>
      </c>
      <c r="AT30" s="54">
        <f t="shared" si="49"/>
        <v>0</v>
      </c>
      <c r="AU30" s="54">
        <f t="shared" si="49"/>
        <v>0</v>
      </c>
      <c r="AV30" s="54">
        <f t="shared" si="49"/>
        <v>0</v>
      </c>
      <c r="AW30" s="54">
        <f t="shared" si="49"/>
        <v>0</v>
      </c>
      <c r="AX30" s="54">
        <f t="shared" si="49"/>
        <v>0</v>
      </c>
      <c r="AY30" s="54">
        <f t="shared" si="49"/>
        <v>0</v>
      </c>
      <c r="AZ30" s="54">
        <f t="shared" si="49"/>
        <v>0</v>
      </c>
      <c r="BA30" s="54">
        <f t="shared" si="49"/>
        <v>0</v>
      </c>
      <c r="BB30" s="54">
        <f t="shared" si="49"/>
        <v>0</v>
      </c>
      <c r="BC30" s="54">
        <f t="shared" si="49"/>
        <v>0</v>
      </c>
      <c r="BD30" s="54">
        <f t="shared" si="49"/>
        <v>0</v>
      </c>
      <c r="BE30" s="54">
        <f t="shared" si="49"/>
        <v>0</v>
      </c>
      <c r="BF30" s="54">
        <f t="shared" si="49"/>
        <v>0</v>
      </c>
      <c r="BG30" s="54">
        <f t="shared" si="49"/>
        <v>0</v>
      </c>
      <c r="BH30" s="54">
        <f t="shared" si="49"/>
        <v>0</v>
      </c>
      <c r="BI30" s="54">
        <f>BI31-BI32</f>
        <v>0</v>
      </c>
      <c r="BJ30" s="54">
        <f>BJ31-BJ32</f>
        <v>0</v>
      </c>
      <c r="BK30" s="54">
        <f>BK31-BK32</f>
        <v>0</v>
      </c>
      <c r="BL30" s="54">
        <f>BL31-BL32</f>
        <v>0</v>
      </c>
      <c r="BM30" s="54">
        <f>BM31-BM32</f>
        <v>0</v>
      </c>
      <c r="BN30" s="54">
        <f t="shared" ref="BN30:BU30" si="50">BN31-BN32</f>
        <v>0</v>
      </c>
      <c r="BO30" s="54">
        <f t="shared" si="50"/>
        <v>0</v>
      </c>
      <c r="BP30" s="54">
        <f t="shared" si="50"/>
        <v>0</v>
      </c>
      <c r="BQ30" s="54">
        <f t="shared" si="50"/>
        <v>0</v>
      </c>
      <c r="BR30" s="54">
        <f t="shared" si="50"/>
        <v>0</v>
      </c>
      <c r="BS30" s="54">
        <f t="shared" si="50"/>
        <v>0</v>
      </c>
      <c r="BT30" s="54">
        <f t="shared" si="50"/>
        <v>0</v>
      </c>
      <c r="BU30" s="54">
        <f t="shared" si="50"/>
        <v>0</v>
      </c>
      <c r="BV30" s="54">
        <f t="shared" ref="BV30:CG30" si="51">BV31-BV32</f>
        <v>0</v>
      </c>
      <c r="BW30" s="54">
        <f t="shared" si="51"/>
        <v>0</v>
      </c>
      <c r="BX30" s="54">
        <f t="shared" si="51"/>
        <v>0</v>
      </c>
      <c r="BY30" s="54">
        <f t="shared" si="51"/>
        <v>0</v>
      </c>
      <c r="BZ30" s="54">
        <f t="shared" si="51"/>
        <v>0</v>
      </c>
      <c r="CA30" s="54">
        <f t="shared" si="51"/>
        <v>0</v>
      </c>
      <c r="CB30" s="54">
        <f t="shared" si="51"/>
        <v>0</v>
      </c>
      <c r="CC30" s="54">
        <f t="shared" si="51"/>
        <v>0</v>
      </c>
      <c r="CD30" s="54">
        <f t="shared" si="51"/>
        <v>0</v>
      </c>
      <c r="CE30" s="54">
        <f t="shared" si="51"/>
        <v>0</v>
      </c>
      <c r="CF30" s="54">
        <f t="shared" si="51"/>
        <v>0</v>
      </c>
      <c r="CG30" s="54">
        <f t="shared" si="51"/>
        <v>0</v>
      </c>
      <c r="CH30" s="54">
        <f t="shared" ref="CH30:CO30" si="52">CH31-CH32</f>
        <v>0</v>
      </c>
      <c r="CI30" s="54">
        <f t="shared" si="52"/>
        <v>0</v>
      </c>
      <c r="CJ30" s="54">
        <f t="shared" si="52"/>
        <v>0</v>
      </c>
      <c r="CK30" s="54">
        <f t="shared" si="52"/>
        <v>0</v>
      </c>
      <c r="CL30" s="54">
        <f t="shared" si="52"/>
        <v>0</v>
      </c>
      <c r="CM30" s="54">
        <f t="shared" si="52"/>
        <v>0</v>
      </c>
      <c r="CN30" s="54">
        <f t="shared" si="52"/>
        <v>0</v>
      </c>
      <c r="CO30" s="54">
        <f t="shared" si="52"/>
        <v>0</v>
      </c>
      <c r="CP30" s="54">
        <f t="shared" ref="CP30:CQ30" si="53">CP31-CP32</f>
        <v>0</v>
      </c>
      <c r="CQ30" s="54">
        <f t="shared" si="53"/>
        <v>0</v>
      </c>
    </row>
    <row r="31" spans="1:95" ht="14.25">
      <c r="A31" s="16" t="s">
        <v>89</v>
      </c>
      <c r="B31" s="24"/>
      <c r="C31" s="24"/>
      <c r="D31" s="24"/>
      <c r="E31" s="24"/>
      <c r="F31" s="17"/>
      <c r="G31" s="17"/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204">
        <v>0</v>
      </c>
      <c r="O31" s="215">
        <v>0</v>
      </c>
      <c r="P31" s="206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75">
        <v>0</v>
      </c>
      <c r="X31" s="75">
        <v>0</v>
      </c>
      <c r="Y31" s="75">
        <v>0</v>
      </c>
      <c r="Z31" s="75">
        <v>0</v>
      </c>
      <c r="AA31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0">
        <v>0</v>
      </c>
      <c r="BJ31" s="170">
        <v>0</v>
      </c>
      <c r="BK31" s="170">
        <v>0</v>
      </c>
      <c r="BL31" s="170">
        <v>0</v>
      </c>
      <c r="BM31" s="170">
        <v>0</v>
      </c>
      <c r="BN31" s="225">
        <v>0</v>
      </c>
      <c r="BO31" s="227">
        <v>0</v>
      </c>
      <c r="BP31" s="227">
        <v>0</v>
      </c>
      <c r="BQ31" s="227">
        <v>0</v>
      </c>
      <c r="BR31" s="227">
        <v>0</v>
      </c>
      <c r="BS31" s="227">
        <v>0</v>
      </c>
      <c r="BT31" s="227">
        <v>0</v>
      </c>
      <c r="BU31" s="170"/>
      <c r="BV31" s="234">
        <v>0</v>
      </c>
      <c r="BW31" s="236">
        <v>0</v>
      </c>
      <c r="BX31" s="236">
        <v>0</v>
      </c>
      <c r="BY31" s="236">
        <v>0</v>
      </c>
      <c r="BZ31" s="236">
        <v>0</v>
      </c>
      <c r="CA31" s="236">
        <v>0</v>
      </c>
      <c r="CB31" s="236">
        <v>0</v>
      </c>
      <c r="CC31" s="236">
        <v>0</v>
      </c>
      <c r="CD31" s="236">
        <v>0</v>
      </c>
      <c r="CE31" s="236">
        <v>0</v>
      </c>
      <c r="CF31" s="236">
        <v>0</v>
      </c>
      <c r="CG31" s="236">
        <v>0</v>
      </c>
      <c r="CH31" s="236">
        <v>0</v>
      </c>
      <c r="CI31" s="234">
        <v>0</v>
      </c>
      <c r="CJ31" s="236">
        <v>0</v>
      </c>
      <c r="CK31" s="236">
        <v>0</v>
      </c>
      <c r="CL31" s="234">
        <v>0</v>
      </c>
      <c r="CM31" s="234">
        <v>0</v>
      </c>
      <c r="CN31" s="234">
        <v>0</v>
      </c>
      <c r="CO31" s="234">
        <v>0</v>
      </c>
      <c r="CP31" s="234">
        <v>0</v>
      </c>
      <c r="CQ31" s="272">
        <v>0</v>
      </c>
    </row>
    <row r="32" spans="1:95" ht="14.25">
      <c r="A32" s="16" t="s">
        <v>90</v>
      </c>
      <c r="B32" s="24"/>
      <c r="C32" s="24"/>
      <c r="D32" s="24"/>
      <c r="E32" s="24"/>
      <c r="F32" s="17"/>
      <c r="G32" s="17"/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204">
        <v>0</v>
      </c>
      <c r="O32" s="215">
        <v>0</v>
      </c>
      <c r="P32" s="206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75">
        <v>0</v>
      </c>
      <c r="X32" s="75">
        <v>0</v>
      </c>
      <c r="Y32" s="75">
        <v>0</v>
      </c>
      <c r="Z32" s="75">
        <v>0</v>
      </c>
      <c r="AA32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0">
        <v>0</v>
      </c>
      <c r="BJ32" s="170">
        <v>0</v>
      </c>
      <c r="BK32" s="170">
        <v>0</v>
      </c>
      <c r="BL32" s="170">
        <v>0</v>
      </c>
      <c r="BM32" s="170">
        <v>0</v>
      </c>
      <c r="BN32" s="225">
        <v>0</v>
      </c>
      <c r="BO32" s="227">
        <v>0</v>
      </c>
      <c r="BP32" s="227">
        <v>0</v>
      </c>
      <c r="BQ32" s="227">
        <v>0</v>
      </c>
      <c r="BR32" s="227">
        <v>0</v>
      </c>
      <c r="BS32" s="227">
        <v>0</v>
      </c>
      <c r="BT32" s="227">
        <v>0</v>
      </c>
      <c r="BU32" s="170"/>
      <c r="BV32" s="225">
        <v>0</v>
      </c>
      <c r="BW32" s="227">
        <v>0</v>
      </c>
      <c r="BX32" s="227">
        <v>0</v>
      </c>
      <c r="BY32" s="227">
        <v>0</v>
      </c>
      <c r="BZ32" s="227">
        <v>0</v>
      </c>
      <c r="CA32" s="227">
        <v>0</v>
      </c>
      <c r="CB32" s="227">
        <v>0</v>
      </c>
      <c r="CC32" s="227">
        <v>0</v>
      </c>
      <c r="CD32" s="227">
        <v>0</v>
      </c>
      <c r="CE32" s="227">
        <v>0</v>
      </c>
      <c r="CF32" s="227">
        <v>0</v>
      </c>
      <c r="CG32" s="227">
        <v>0</v>
      </c>
      <c r="CH32" s="227">
        <v>0</v>
      </c>
      <c r="CI32" s="225">
        <v>0</v>
      </c>
      <c r="CJ32" s="227">
        <v>0</v>
      </c>
      <c r="CK32" s="227">
        <v>0</v>
      </c>
      <c r="CL32" s="225">
        <v>0</v>
      </c>
      <c r="CM32" s="225">
        <v>0</v>
      </c>
      <c r="CN32" s="225">
        <v>0</v>
      </c>
      <c r="CO32" s="225">
        <v>0</v>
      </c>
      <c r="CP32" s="225">
        <v>0</v>
      </c>
      <c r="CQ32" s="274">
        <v>0</v>
      </c>
    </row>
    <row r="33" spans="1:95">
      <c r="A33" s="18" t="s">
        <v>91</v>
      </c>
      <c r="B33" s="55">
        <f>B29+B30</f>
        <v>8792953</v>
      </c>
      <c r="C33" s="55">
        <f>C29+C30</f>
        <v>14332690</v>
      </c>
      <c r="D33" s="55">
        <f>D29+D30</f>
        <v>8331638</v>
      </c>
      <c r="E33" s="55">
        <f t="shared" ref="E33:BK33" si="54">E29+E30</f>
        <v>16517641.085000008</v>
      </c>
      <c r="F33" s="55">
        <f t="shared" si="54"/>
        <v>19904867</v>
      </c>
      <c r="G33" s="55">
        <f t="shared" si="54"/>
        <v>23193256</v>
      </c>
      <c r="H33" s="55">
        <f t="shared" si="54"/>
        <v>9808038</v>
      </c>
      <c r="I33" s="55">
        <f t="shared" si="54"/>
        <v>-2547032.5</v>
      </c>
      <c r="J33" s="55">
        <f t="shared" si="54"/>
        <v>5184516.1999999993</v>
      </c>
      <c r="K33" s="55">
        <f t="shared" si="54"/>
        <v>8499120.9600000028</v>
      </c>
      <c r="L33" s="55">
        <f t="shared" si="54"/>
        <v>8401507.2800000012</v>
      </c>
      <c r="M33" s="55">
        <f t="shared" si="54"/>
        <v>10638451.54999999</v>
      </c>
      <c r="N33" s="55">
        <f t="shared" si="54"/>
        <v>21324690.460000008</v>
      </c>
      <c r="O33" s="55">
        <f t="shared" si="54"/>
        <v>18334762.699999992</v>
      </c>
      <c r="P33" s="55">
        <f t="shared" si="54"/>
        <v>27498157.899999999</v>
      </c>
      <c r="Q33" s="55">
        <f t="shared" si="54"/>
        <v>37462432.409999996</v>
      </c>
      <c r="R33" s="55">
        <f t="shared" si="54"/>
        <v>40863810.730000004</v>
      </c>
      <c r="S33" s="55">
        <f t="shared" si="54"/>
        <v>47300355.550000027</v>
      </c>
      <c r="T33" s="55">
        <f t="shared" si="54"/>
        <v>18380415.360000014</v>
      </c>
      <c r="U33" s="55">
        <f t="shared" si="54"/>
        <v>15941662</v>
      </c>
      <c r="V33" s="55">
        <f t="shared" si="54"/>
        <v>439270.24000000115</v>
      </c>
      <c r="W33" s="55">
        <f t="shared" si="54"/>
        <v>4336331.1700000009</v>
      </c>
      <c r="X33" s="55">
        <f t="shared" si="54"/>
        <v>5822529.7500000037</v>
      </c>
      <c r="Y33" s="55">
        <f t="shared" si="54"/>
        <v>6193148.8600000069</v>
      </c>
      <c r="Z33" s="55">
        <f t="shared" si="54"/>
        <v>10721731.120000012</v>
      </c>
      <c r="AA33" s="55">
        <f t="shared" si="54"/>
        <v>25094260.219999999</v>
      </c>
      <c r="AB33" s="55">
        <f t="shared" si="54"/>
        <v>27591487.43</v>
      </c>
      <c r="AC33" s="55">
        <f t="shared" si="54"/>
        <v>32438938.620000005</v>
      </c>
      <c r="AD33" s="55">
        <f t="shared" si="54"/>
        <v>35982398.300000012</v>
      </c>
      <c r="AE33" s="55">
        <f t="shared" si="54"/>
        <v>46361871.950000003</v>
      </c>
      <c r="AF33" s="55">
        <f t="shared" si="54"/>
        <v>49373027.179999992</v>
      </c>
      <c r="AG33" s="55">
        <f t="shared" si="54"/>
        <v>34568895.75999999</v>
      </c>
      <c r="AH33" s="55">
        <f t="shared" si="54"/>
        <v>35618967.089999989</v>
      </c>
      <c r="AI33" s="55">
        <f t="shared" si="54"/>
        <v>4215190.1600000011</v>
      </c>
      <c r="AJ33" s="55">
        <f t="shared" si="54"/>
        <v>7446296.1899999995</v>
      </c>
      <c r="AK33" s="55">
        <f t="shared" si="54"/>
        <v>8442678.8999999966</v>
      </c>
      <c r="AL33" s="55">
        <f t="shared" si="54"/>
        <v>7987495.3000000007</v>
      </c>
      <c r="AM33" s="55">
        <f t="shared" si="54"/>
        <v>13137786.93</v>
      </c>
      <c r="AN33" s="55">
        <f t="shared" si="54"/>
        <v>27479635.290000007</v>
      </c>
      <c r="AO33" s="55">
        <f t="shared" si="54"/>
        <v>31263360.940000005</v>
      </c>
      <c r="AP33" s="55">
        <f t="shared" si="54"/>
        <v>30481936.859999999</v>
      </c>
      <c r="AQ33" s="55">
        <f t="shared" si="54"/>
        <v>32247910.300000004</v>
      </c>
      <c r="AR33" s="55">
        <f t="shared" si="54"/>
        <v>34528368.239999995</v>
      </c>
      <c r="AS33" s="55">
        <f t="shared" si="54"/>
        <v>28795650.950000003</v>
      </c>
      <c r="AT33" s="55">
        <f t="shared" si="54"/>
        <v>24360399.930000007</v>
      </c>
      <c r="AU33" s="55">
        <f t="shared" si="54"/>
        <v>21454266</v>
      </c>
      <c r="AV33" s="55">
        <f t="shared" si="54"/>
        <v>3730735.08</v>
      </c>
      <c r="AW33" s="55">
        <f t="shared" si="54"/>
        <v>7048076.4499999955</v>
      </c>
      <c r="AX33" s="55">
        <f t="shared" si="54"/>
        <v>9615532.3399999999</v>
      </c>
      <c r="AY33" s="55">
        <f t="shared" si="54"/>
        <v>21852931.420000002</v>
      </c>
      <c r="AZ33" s="55">
        <f t="shared" si="54"/>
        <v>16852969.449999996</v>
      </c>
      <c r="BA33" s="55">
        <f t="shared" si="54"/>
        <v>16523321.040000007</v>
      </c>
      <c r="BB33" s="55">
        <f t="shared" si="54"/>
        <v>0</v>
      </c>
      <c r="BC33" s="55">
        <f t="shared" si="54"/>
        <v>92455241.74999994</v>
      </c>
      <c r="BD33" s="55">
        <f t="shared" si="54"/>
        <v>19714406.520000011</v>
      </c>
      <c r="BE33" s="55">
        <f t="shared" si="54"/>
        <v>20255976.770000011</v>
      </c>
      <c r="BF33" s="55">
        <f t="shared" si="54"/>
        <v>19628349.460000023</v>
      </c>
      <c r="BG33" s="55">
        <f t="shared" si="54"/>
        <v>22966480.110000014</v>
      </c>
      <c r="BH33" s="55">
        <f t="shared" si="54"/>
        <v>18559054</v>
      </c>
      <c r="BI33" s="55">
        <f t="shared" si="54"/>
        <v>3092219.9700000007</v>
      </c>
      <c r="BJ33" s="55">
        <f t="shared" si="54"/>
        <v>-1025671.5700000022</v>
      </c>
      <c r="BK33" s="55">
        <f t="shared" si="54"/>
        <v>-288491.23000000417</v>
      </c>
      <c r="BL33" s="55">
        <f>BL29+BL30</f>
        <v>18131861.060000002</v>
      </c>
      <c r="BM33" s="55">
        <f>BM29+BM30</f>
        <v>17642162.75999999</v>
      </c>
      <c r="BN33" s="55">
        <f t="shared" ref="BN33:BU33" si="55">BN29+BN30</f>
        <v>20447239.049999982</v>
      </c>
      <c r="BO33" s="55">
        <f t="shared" si="55"/>
        <v>15977234.589999996</v>
      </c>
      <c r="BP33" s="55">
        <f t="shared" si="55"/>
        <v>24605924.55999998</v>
      </c>
      <c r="BQ33" s="55">
        <f t="shared" si="55"/>
        <v>28404878.859999999</v>
      </c>
      <c r="BR33" s="55">
        <f t="shared" si="55"/>
        <v>34268327.269999996</v>
      </c>
      <c r="BS33" s="55">
        <f t="shared" si="55"/>
        <v>36823798.090000018</v>
      </c>
      <c r="BT33" s="55">
        <f t="shared" si="55"/>
        <v>28793756</v>
      </c>
      <c r="BU33" s="55">
        <f t="shared" si="55"/>
        <v>20066492</v>
      </c>
      <c r="BV33" s="55">
        <f t="shared" ref="BV33:CG33" si="56">BV29+BV30</f>
        <v>1225.0200000004843</v>
      </c>
      <c r="BW33" s="55">
        <f t="shared" si="56"/>
        <v>1534447.1799999997</v>
      </c>
      <c r="BX33" s="55">
        <f t="shared" si="56"/>
        <v>1778013.25</v>
      </c>
      <c r="BY33" s="55">
        <f t="shared" si="56"/>
        <v>2750666.5099999979</v>
      </c>
      <c r="BZ33" s="55">
        <f t="shared" si="56"/>
        <v>2759924.049999997</v>
      </c>
      <c r="CA33" s="55">
        <f t="shared" si="56"/>
        <v>20870092.450000003</v>
      </c>
      <c r="CB33" s="55">
        <f t="shared" si="56"/>
        <v>19415526.599999994</v>
      </c>
      <c r="CC33" s="55">
        <f t="shared" si="56"/>
        <v>20546128.609999985</v>
      </c>
      <c r="CD33" s="55">
        <f t="shared" si="56"/>
        <v>25416373.599999994</v>
      </c>
      <c r="CE33" s="55">
        <f t="shared" si="56"/>
        <v>27459728.869999975</v>
      </c>
      <c r="CF33" s="55">
        <f t="shared" si="56"/>
        <v>27083626.25999999</v>
      </c>
      <c r="CG33" s="55">
        <f t="shared" si="56"/>
        <v>5840665.3800000101</v>
      </c>
      <c r="CH33" s="55">
        <f t="shared" ref="CH33:CQ33" si="57">CH29+CH30</f>
        <v>8636710</v>
      </c>
      <c r="CI33" s="55">
        <f t="shared" si="57"/>
        <v>2033666.6600000001</v>
      </c>
      <c r="CJ33" s="55">
        <f t="shared" si="57"/>
        <v>12808816.9</v>
      </c>
      <c r="CK33" s="55">
        <f t="shared" si="57"/>
        <v>4692622.8000000082</v>
      </c>
      <c r="CL33" s="55">
        <f t="shared" si="57"/>
        <v>1342571.7400000095</v>
      </c>
      <c r="CM33" s="55">
        <f t="shared" si="57"/>
        <v>-1597111.0200000033</v>
      </c>
      <c r="CN33" s="55">
        <f t="shared" si="57"/>
        <v>11285524.510000005</v>
      </c>
      <c r="CO33" s="55">
        <f t="shared" si="57"/>
        <v>3805182.8400000036</v>
      </c>
      <c r="CP33" s="55">
        <f t="shared" si="57"/>
        <v>3952993.6199999899</v>
      </c>
      <c r="CQ33" s="55">
        <f t="shared" si="57"/>
        <v>5610674.5600000024</v>
      </c>
    </row>
    <row r="34" spans="1:95" ht="14.25">
      <c r="A34" s="16" t="s">
        <v>92</v>
      </c>
      <c r="B34" s="24">
        <v>135550</v>
      </c>
      <c r="C34" s="24">
        <v>140547</v>
      </c>
      <c r="D34" s="24">
        <v>367209</v>
      </c>
      <c r="E34" s="24">
        <v>957101.88450000004</v>
      </c>
      <c r="F34" s="17">
        <v>780541</v>
      </c>
      <c r="G34" s="17">
        <v>613419</v>
      </c>
      <c r="H34" s="76">
        <v>579740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204">
        <v>0</v>
      </c>
      <c r="O34" s="216">
        <v>0</v>
      </c>
      <c r="P34" s="206">
        <v>0</v>
      </c>
      <c r="Q34" s="17">
        <v>0</v>
      </c>
      <c r="R34" s="17">
        <v>0</v>
      </c>
      <c r="S34" s="17">
        <v>0</v>
      </c>
      <c r="T34" s="17">
        <v>0</v>
      </c>
      <c r="U34" s="17">
        <v>1370163</v>
      </c>
      <c r="V34" s="17">
        <v>0</v>
      </c>
      <c r="W34" s="75">
        <v>0</v>
      </c>
      <c r="X34" s="75">
        <v>0</v>
      </c>
      <c r="Y34" s="75">
        <v>0</v>
      </c>
      <c r="Z34" s="75">
        <v>0</v>
      </c>
      <c r="AA34">
        <v>0</v>
      </c>
      <c r="AB34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1077117.7379999999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C34" s="17">
        <v>0</v>
      </c>
      <c r="BD34" s="17">
        <v>68373</v>
      </c>
      <c r="BE34" s="17">
        <v>68373</v>
      </c>
      <c r="BF34" s="17">
        <v>68373</v>
      </c>
      <c r="BG34" s="17">
        <v>1271210</v>
      </c>
      <c r="BH34" s="207">
        <v>1202836</v>
      </c>
      <c r="BI34" s="170">
        <v>0</v>
      </c>
      <c r="BJ34" s="170">
        <v>0</v>
      </c>
      <c r="BK34" s="170">
        <v>19001.2</v>
      </c>
      <c r="BL34" s="170">
        <v>391858.4</v>
      </c>
      <c r="BM34" s="170">
        <v>391858.4</v>
      </c>
      <c r="BN34" s="226">
        <v>671501.2</v>
      </c>
      <c r="BO34" s="228">
        <v>671501.2</v>
      </c>
      <c r="BP34" s="228">
        <v>671501.2</v>
      </c>
      <c r="BQ34" s="228">
        <v>671501.2</v>
      </c>
      <c r="BR34" s="228">
        <v>692061.2</v>
      </c>
      <c r="BS34" s="228">
        <v>692061.2</v>
      </c>
      <c r="BT34" s="228">
        <v>2366615</v>
      </c>
      <c r="BU34" s="170">
        <v>2366765</v>
      </c>
      <c r="BV34" s="234">
        <v>0</v>
      </c>
      <c r="BW34" s="237">
        <v>53622.1</v>
      </c>
      <c r="BX34" s="237">
        <v>146877.4</v>
      </c>
      <c r="BY34" s="237">
        <v>149277.4</v>
      </c>
      <c r="BZ34" s="237">
        <v>149277.4</v>
      </c>
      <c r="CA34" s="237">
        <v>149277.4</v>
      </c>
      <c r="CB34" s="237">
        <v>149277.4</v>
      </c>
      <c r="CC34" s="237">
        <v>149277.4</v>
      </c>
      <c r="CD34" s="237">
        <v>149277.4</v>
      </c>
      <c r="CE34" s="237">
        <v>149277.4</v>
      </c>
      <c r="CF34" s="237">
        <v>224069.5</v>
      </c>
      <c r="CG34" s="237">
        <v>2677349</v>
      </c>
      <c r="CH34" s="237">
        <v>2517172</v>
      </c>
      <c r="CI34" s="234">
        <v>0</v>
      </c>
      <c r="CJ34" s="236">
        <v>0</v>
      </c>
      <c r="CK34" s="236">
        <v>0</v>
      </c>
      <c r="CL34" s="234">
        <v>0</v>
      </c>
      <c r="CM34" s="235">
        <v>117034.6</v>
      </c>
      <c r="CN34" s="235">
        <v>117034.6</v>
      </c>
      <c r="CO34" s="235">
        <v>172861.2</v>
      </c>
      <c r="CP34" s="235">
        <v>172861.2</v>
      </c>
      <c r="CQ34" s="273">
        <v>456723.3</v>
      </c>
    </row>
    <row r="35" spans="1:95">
      <c r="A35" s="15" t="s">
        <v>93</v>
      </c>
      <c r="B35" s="54">
        <f>B33-B34</f>
        <v>8657403</v>
      </c>
      <c r="C35" s="54">
        <f>C33-C34</f>
        <v>14192143</v>
      </c>
      <c r="D35" s="54">
        <f>D33-D34</f>
        <v>7964429</v>
      </c>
      <c r="E35" s="54">
        <f t="shared" ref="E35:BK35" si="58">E33-E34</f>
        <v>15560539.200500008</v>
      </c>
      <c r="F35" s="54">
        <f t="shared" si="58"/>
        <v>19124326</v>
      </c>
      <c r="G35" s="54">
        <f t="shared" si="58"/>
        <v>22579837</v>
      </c>
      <c r="H35" s="54">
        <f t="shared" si="58"/>
        <v>9228298</v>
      </c>
      <c r="I35" s="54">
        <f t="shared" si="58"/>
        <v>-2547032.5</v>
      </c>
      <c r="J35" s="54">
        <f t="shared" si="58"/>
        <v>5184516.1999999993</v>
      </c>
      <c r="K35" s="54">
        <f t="shared" si="58"/>
        <v>8499120.9600000028</v>
      </c>
      <c r="L35" s="54">
        <f t="shared" si="58"/>
        <v>8401507.2800000012</v>
      </c>
      <c r="M35" s="54">
        <f t="shared" si="58"/>
        <v>10638451.54999999</v>
      </c>
      <c r="N35" s="54">
        <f t="shared" si="58"/>
        <v>21324690.460000008</v>
      </c>
      <c r="O35" s="54">
        <f t="shared" si="58"/>
        <v>18334762.699999992</v>
      </c>
      <c r="P35" s="54">
        <f t="shared" si="58"/>
        <v>27498157.899999999</v>
      </c>
      <c r="Q35" s="54">
        <f t="shared" si="58"/>
        <v>37462432.409999996</v>
      </c>
      <c r="R35" s="54">
        <f t="shared" si="58"/>
        <v>40863810.730000004</v>
      </c>
      <c r="S35" s="54">
        <f t="shared" si="58"/>
        <v>47300355.550000027</v>
      </c>
      <c r="T35" s="54">
        <f t="shared" si="58"/>
        <v>18380415.360000014</v>
      </c>
      <c r="U35" s="54">
        <f t="shared" si="58"/>
        <v>14571499</v>
      </c>
      <c r="V35" s="54">
        <f t="shared" si="58"/>
        <v>439270.24000000115</v>
      </c>
      <c r="W35" s="54">
        <f t="shared" si="58"/>
        <v>4336331.1700000009</v>
      </c>
      <c r="X35" s="54">
        <f t="shared" si="58"/>
        <v>5822529.7500000037</v>
      </c>
      <c r="Y35" s="54">
        <f t="shared" si="58"/>
        <v>6193148.8600000069</v>
      </c>
      <c r="Z35" s="54">
        <f t="shared" si="58"/>
        <v>10721731.120000012</v>
      </c>
      <c r="AA35" s="54">
        <f t="shared" si="58"/>
        <v>25094260.219999999</v>
      </c>
      <c r="AB35" s="54">
        <f t="shared" si="58"/>
        <v>27591487.43</v>
      </c>
      <c r="AC35" s="54">
        <f t="shared" si="58"/>
        <v>32438938.620000005</v>
      </c>
      <c r="AD35" s="54">
        <f t="shared" si="58"/>
        <v>35982398.300000012</v>
      </c>
      <c r="AE35" s="54">
        <f t="shared" si="58"/>
        <v>46361871.950000003</v>
      </c>
      <c r="AF35" s="54">
        <f t="shared" si="58"/>
        <v>49373027.179999992</v>
      </c>
      <c r="AG35" s="54">
        <f t="shared" si="58"/>
        <v>34568895.75999999</v>
      </c>
      <c r="AH35" s="54">
        <f t="shared" si="58"/>
        <v>34541849.351999991</v>
      </c>
      <c r="AI35" s="54">
        <f t="shared" si="58"/>
        <v>4215190.1600000011</v>
      </c>
      <c r="AJ35" s="54">
        <f t="shared" si="58"/>
        <v>7446296.1899999995</v>
      </c>
      <c r="AK35" s="54">
        <f t="shared" si="58"/>
        <v>8442678.8999999966</v>
      </c>
      <c r="AL35" s="54">
        <f t="shared" si="58"/>
        <v>7987495.3000000007</v>
      </c>
      <c r="AM35" s="54">
        <f t="shared" si="58"/>
        <v>13137786.93</v>
      </c>
      <c r="AN35" s="54">
        <f t="shared" si="58"/>
        <v>27479635.290000007</v>
      </c>
      <c r="AO35" s="54">
        <f t="shared" si="58"/>
        <v>31263360.940000005</v>
      </c>
      <c r="AP35" s="54">
        <f t="shared" si="58"/>
        <v>30481936.859999999</v>
      </c>
      <c r="AQ35" s="54">
        <f t="shared" si="58"/>
        <v>32247910.300000004</v>
      </c>
      <c r="AR35" s="54">
        <f t="shared" si="58"/>
        <v>34528368.239999995</v>
      </c>
      <c r="AS35" s="54">
        <f t="shared" si="58"/>
        <v>28795650.950000003</v>
      </c>
      <c r="AT35" s="54">
        <f t="shared" si="58"/>
        <v>24360399.930000007</v>
      </c>
      <c r="AU35" s="54">
        <f t="shared" si="58"/>
        <v>21454266</v>
      </c>
      <c r="AV35" s="54">
        <f t="shared" si="58"/>
        <v>3730735.08</v>
      </c>
      <c r="AW35" s="54">
        <f t="shared" si="58"/>
        <v>7048076.4499999955</v>
      </c>
      <c r="AX35" s="54">
        <f t="shared" si="58"/>
        <v>9615532.3399999999</v>
      </c>
      <c r="AY35" s="54">
        <f t="shared" si="58"/>
        <v>21852931.420000002</v>
      </c>
      <c r="AZ35" s="54">
        <f t="shared" si="58"/>
        <v>16852969.449999996</v>
      </c>
      <c r="BA35" s="54">
        <f t="shared" si="58"/>
        <v>16523321.040000007</v>
      </c>
      <c r="BB35" s="54">
        <f t="shared" si="58"/>
        <v>0</v>
      </c>
      <c r="BC35" s="54">
        <f t="shared" si="58"/>
        <v>92455241.74999994</v>
      </c>
      <c r="BD35" s="54">
        <f t="shared" si="58"/>
        <v>19646033.520000011</v>
      </c>
      <c r="BE35" s="54">
        <f t="shared" si="58"/>
        <v>20187603.770000011</v>
      </c>
      <c r="BF35" s="54">
        <f t="shared" si="58"/>
        <v>19559976.460000023</v>
      </c>
      <c r="BG35" s="54">
        <f t="shared" si="58"/>
        <v>21695270.110000014</v>
      </c>
      <c r="BH35" s="54">
        <f t="shared" si="58"/>
        <v>17356218</v>
      </c>
      <c r="BI35" s="54">
        <f t="shared" si="58"/>
        <v>3092219.9700000007</v>
      </c>
      <c r="BJ35" s="54">
        <f t="shared" si="58"/>
        <v>-1025671.5700000022</v>
      </c>
      <c r="BK35" s="54">
        <f t="shared" si="58"/>
        <v>-307492.43000000418</v>
      </c>
      <c r="BL35" s="54">
        <f>BL33-BL34</f>
        <v>17740002.660000004</v>
      </c>
      <c r="BM35" s="54">
        <f>BM33-BM34</f>
        <v>17250304.359999992</v>
      </c>
      <c r="BN35" s="54">
        <f t="shared" ref="BN35:BU35" si="59">BN33-BN34</f>
        <v>19775737.849999983</v>
      </c>
      <c r="BO35" s="54">
        <f t="shared" si="59"/>
        <v>15305733.389999997</v>
      </c>
      <c r="BP35" s="54">
        <f t="shared" si="59"/>
        <v>23934423.359999981</v>
      </c>
      <c r="BQ35" s="54">
        <f t="shared" si="59"/>
        <v>27733377.66</v>
      </c>
      <c r="BR35" s="54">
        <f t="shared" si="59"/>
        <v>33576266.069999993</v>
      </c>
      <c r="BS35" s="54">
        <f t="shared" si="59"/>
        <v>36131736.890000015</v>
      </c>
      <c r="BT35" s="54">
        <f t="shared" si="59"/>
        <v>26427141</v>
      </c>
      <c r="BU35" s="54">
        <f t="shared" si="59"/>
        <v>17699727</v>
      </c>
      <c r="BV35" s="54">
        <f t="shared" ref="BV35:CG35" si="60">BV33-BV34</f>
        <v>1225.0200000004843</v>
      </c>
      <c r="BW35" s="54">
        <f t="shared" si="60"/>
        <v>1480825.0799999996</v>
      </c>
      <c r="BX35" s="54">
        <f t="shared" si="60"/>
        <v>1631135.85</v>
      </c>
      <c r="BY35" s="54">
        <f t="shared" si="60"/>
        <v>2601389.109999998</v>
      </c>
      <c r="BZ35" s="54">
        <f t="shared" si="60"/>
        <v>2610646.6499999971</v>
      </c>
      <c r="CA35" s="54">
        <f t="shared" si="60"/>
        <v>20720815.050000004</v>
      </c>
      <c r="CB35" s="54">
        <f t="shared" si="60"/>
        <v>19266249.199999996</v>
      </c>
      <c r="CC35" s="54">
        <f t="shared" si="60"/>
        <v>20396851.209999986</v>
      </c>
      <c r="CD35" s="54">
        <f t="shared" si="60"/>
        <v>25267096.199999996</v>
      </c>
      <c r="CE35" s="54">
        <f t="shared" si="60"/>
        <v>27310451.469999976</v>
      </c>
      <c r="CF35" s="54">
        <f t="shared" si="60"/>
        <v>26859556.75999999</v>
      </c>
      <c r="CG35" s="54">
        <f t="shared" si="60"/>
        <v>3163316.3800000101</v>
      </c>
      <c r="CH35" s="54">
        <f t="shared" ref="CH35:CQ35" si="61">CH33-CH34</f>
        <v>6119538</v>
      </c>
      <c r="CI35" s="54">
        <f t="shared" si="61"/>
        <v>2033666.6600000001</v>
      </c>
      <c r="CJ35" s="54">
        <f t="shared" si="61"/>
        <v>12808816.9</v>
      </c>
      <c r="CK35" s="54">
        <f t="shared" si="61"/>
        <v>4692622.8000000082</v>
      </c>
      <c r="CL35" s="54">
        <f t="shared" si="61"/>
        <v>1342571.7400000095</v>
      </c>
      <c r="CM35" s="54">
        <f t="shared" si="61"/>
        <v>-1714145.6200000034</v>
      </c>
      <c r="CN35" s="54">
        <f t="shared" si="61"/>
        <v>11168489.910000006</v>
      </c>
      <c r="CO35" s="54">
        <f t="shared" si="61"/>
        <v>3632321.6400000034</v>
      </c>
      <c r="CP35" s="54">
        <f t="shared" si="61"/>
        <v>3780132.4199999897</v>
      </c>
      <c r="CQ35" s="54">
        <f t="shared" si="61"/>
        <v>5153951.2600000026</v>
      </c>
    </row>
    <row r="36" spans="1:95" ht="14.25">
      <c r="A36" s="16" t="s">
        <v>94</v>
      </c>
      <c r="B36" s="24"/>
      <c r="C36" s="24"/>
      <c r="D36" s="24"/>
      <c r="E36" s="24"/>
      <c r="F36" s="17"/>
      <c r="G36" s="17"/>
      <c r="H36" s="76"/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204">
        <v>0</v>
      </c>
      <c r="O36" s="206">
        <v>0</v>
      </c>
      <c r="P36" s="206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24">
        <v>0</v>
      </c>
      <c r="X36" s="24">
        <v>0</v>
      </c>
      <c r="Y36" s="24">
        <v>0</v>
      </c>
      <c r="Z36" s="24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0">
        <v>0</v>
      </c>
      <c r="BJ36" s="170">
        <v>0</v>
      </c>
      <c r="BK36" s="170">
        <v>0</v>
      </c>
      <c r="BL36" s="170">
        <v>0</v>
      </c>
      <c r="BM36" s="170">
        <v>0</v>
      </c>
      <c r="BN36" s="170"/>
      <c r="BO36" s="170"/>
      <c r="BP36" s="170"/>
      <c r="BQ36" s="170"/>
      <c r="BR36" s="170"/>
      <c r="BS36" s="170"/>
      <c r="BT36" s="170"/>
      <c r="BU36" s="170"/>
      <c r="BV36" s="234">
        <v>0</v>
      </c>
      <c r="BW36" s="236">
        <v>0</v>
      </c>
      <c r="BX36" s="236">
        <v>0</v>
      </c>
      <c r="BY36" s="236">
        <v>0</v>
      </c>
      <c r="BZ36" s="236">
        <v>0</v>
      </c>
      <c r="CA36" s="236">
        <v>0</v>
      </c>
      <c r="CB36" s="236">
        <v>0</v>
      </c>
      <c r="CC36" s="236">
        <v>0</v>
      </c>
      <c r="CD36" s="236">
        <v>0</v>
      </c>
      <c r="CE36" s="236">
        <v>0</v>
      </c>
      <c r="CF36" s="236">
        <v>0</v>
      </c>
      <c r="CG36" s="236">
        <v>0</v>
      </c>
      <c r="CH36" s="236">
        <v>0</v>
      </c>
      <c r="CI36" s="234">
        <v>0</v>
      </c>
      <c r="CJ36" s="236">
        <v>0</v>
      </c>
      <c r="CK36" s="236">
        <v>0</v>
      </c>
      <c r="CL36" s="234">
        <v>0</v>
      </c>
      <c r="CM36">
        <v>0</v>
      </c>
      <c r="CN36" s="234">
        <v>0</v>
      </c>
      <c r="CO36" s="234">
        <v>0</v>
      </c>
      <c r="CP36" s="234">
        <v>0</v>
      </c>
      <c r="CQ36" s="225">
        <v>0</v>
      </c>
    </row>
    <row r="37" spans="1:95">
      <c r="A37" s="15" t="s">
        <v>95</v>
      </c>
      <c r="B37" s="54">
        <f>B35-B36</f>
        <v>8657403</v>
      </c>
      <c r="C37" s="54">
        <f>C35-C36</f>
        <v>14192143</v>
      </c>
      <c r="D37" s="54">
        <f>D35-D36</f>
        <v>7964429</v>
      </c>
      <c r="E37" s="54">
        <f t="shared" ref="E37:BH37" si="62">E35-E36</f>
        <v>15560539.200500008</v>
      </c>
      <c r="F37" s="54">
        <f t="shared" si="62"/>
        <v>19124326</v>
      </c>
      <c r="G37" s="54">
        <f t="shared" si="62"/>
        <v>22579837</v>
      </c>
      <c r="H37" s="54">
        <f t="shared" si="62"/>
        <v>9228298</v>
      </c>
      <c r="I37" s="54">
        <f t="shared" si="62"/>
        <v>-2547032.5</v>
      </c>
      <c r="J37" s="54">
        <f t="shared" si="62"/>
        <v>5184516.1999999993</v>
      </c>
      <c r="K37" s="54">
        <f t="shared" si="62"/>
        <v>8499120.9600000028</v>
      </c>
      <c r="L37" s="54">
        <f t="shared" si="62"/>
        <v>8401507.2800000012</v>
      </c>
      <c r="M37" s="54">
        <f t="shared" si="62"/>
        <v>10638451.54999999</v>
      </c>
      <c r="N37" s="54">
        <f t="shared" si="62"/>
        <v>21324690.460000008</v>
      </c>
      <c r="O37" s="54">
        <f t="shared" si="62"/>
        <v>18334762.699999992</v>
      </c>
      <c r="P37" s="54">
        <f t="shared" si="62"/>
        <v>27498157.899999999</v>
      </c>
      <c r="Q37" s="54">
        <f t="shared" si="62"/>
        <v>37462432.409999996</v>
      </c>
      <c r="R37" s="54">
        <f t="shared" si="62"/>
        <v>40863810.730000004</v>
      </c>
      <c r="S37" s="54">
        <f t="shared" si="62"/>
        <v>47300355.550000027</v>
      </c>
      <c r="T37" s="54">
        <f t="shared" si="62"/>
        <v>18380415.360000014</v>
      </c>
      <c r="U37" s="54">
        <f t="shared" si="62"/>
        <v>14571499</v>
      </c>
      <c r="V37" s="54">
        <f t="shared" si="62"/>
        <v>439270.24000000115</v>
      </c>
      <c r="W37" s="54">
        <f t="shared" si="62"/>
        <v>4336331.1700000009</v>
      </c>
      <c r="X37" s="54">
        <f t="shared" si="62"/>
        <v>5822529.7500000037</v>
      </c>
      <c r="Y37" s="54">
        <f t="shared" si="62"/>
        <v>6193148.8600000069</v>
      </c>
      <c r="Z37" s="54">
        <f t="shared" si="62"/>
        <v>10721731.120000012</v>
      </c>
      <c r="AA37" s="54">
        <f t="shared" si="62"/>
        <v>25094260.219999999</v>
      </c>
      <c r="AB37" s="54">
        <f t="shared" si="62"/>
        <v>27591487.43</v>
      </c>
      <c r="AC37" s="54">
        <f t="shared" si="62"/>
        <v>32438938.620000005</v>
      </c>
      <c r="AD37" s="54">
        <f t="shared" si="62"/>
        <v>35982398.300000012</v>
      </c>
      <c r="AE37" s="54">
        <f t="shared" si="62"/>
        <v>46361871.950000003</v>
      </c>
      <c r="AF37" s="54">
        <f t="shared" si="62"/>
        <v>49373027.179999992</v>
      </c>
      <c r="AG37" s="54">
        <f t="shared" si="62"/>
        <v>34568895.75999999</v>
      </c>
      <c r="AH37" s="54">
        <f t="shared" si="62"/>
        <v>34541849.351999991</v>
      </c>
      <c r="AI37" s="54">
        <f t="shared" si="62"/>
        <v>4215190.1600000011</v>
      </c>
      <c r="AJ37" s="54">
        <f t="shared" si="62"/>
        <v>7446296.1899999995</v>
      </c>
      <c r="AK37" s="54">
        <f t="shared" si="62"/>
        <v>8442678.8999999966</v>
      </c>
      <c r="AL37" s="54">
        <f t="shared" si="62"/>
        <v>7987495.3000000007</v>
      </c>
      <c r="AM37" s="54">
        <f t="shared" si="62"/>
        <v>13137786.93</v>
      </c>
      <c r="AN37" s="54">
        <f t="shared" si="62"/>
        <v>27479635.290000007</v>
      </c>
      <c r="AO37" s="54">
        <f t="shared" si="62"/>
        <v>31263360.940000005</v>
      </c>
      <c r="AP37" s="54">
        <f t="shared" si="62"/>
        <v>30481936.859999999</v>
      </c>
      <c r="AQ37" s="54">
        <f t="shared" si="62"/>
        <v>32247910.300000004</v>
      </c>
      <c r="AR37" s="54">
        <f t="shared" si="62"/>
        <v>34528368.239999995</v>
      </c>
      <c r="AS37" s="54">
        <f t="shared" si="62"/>
        <v>28795650.950000003</v>
      </c>
      <c r="AT37" s="54">
        <f t="shared" si="62"/>
        <v>24360399.930000007</v>
      </c>
      <c r="AU37" s="54">
        <f t="shared" si="62"/>
        <v>21454266</v>
      </c>
      <c r="AV37" s="54">
        <f t="shared" si="62"/>
        <v>3730735.08</v>
      </c>
      <c r="AW37" s="54">
        <f t="shared" si="62"/>
        <v>7048076.4499999955</v>
      </c>
      <c r="AX37" s="54">
        <f t="shared" si="62"/>
        <v>9615532.3399999999</v>
      </c>
      <c r="AY37" s="54">
        <f t="shared" si="62"/>
        <v>21852931.420000002</v>
      </c>
      <c r="AZ37" s="54">
        <f t="shared" si="62"/>
        <v>16852969.449999996</v>
      </c>
      <c r="BA37" s="54">
        <f t="shared" si="62"/>
        <v>16523321.040000007</v>
      </c>
      <c r="BB37" s="54">
        <f t="shared" si="62"/>
        <v>0</v>
      </c>
      <c r="BC37" s="54">
        <f t="shared" si="62"/>
        <v>92455241.74999994</v>
      </c>
      <c r="BD37" s="54">
        <f t="shared" si="62"/>
        <v>19646033.520000011</v>
      </c>
      <c r="BE37" s="54">
        <f t="shared" si="62"/>
        <v>20187603.770000011</v>
      </c>
      <c r="BF37" s="54">
        <f t="shared" si="62"/>
        <v>19559976.460000023</v>
      </c>
      <c r="BG37" s="54">
        <f t="shared" si="62"/>
        <v>21695270.110000014</v>
      </c>
      <c r="BH37" s="54">
        <f t="shared" si="62"/>
        <v>17356218</v>
      </c>
      <c r="BI37" s="54">
        <f>BI35-BI36</f>
        <v>3092219.9700000007</v>
      </c>
      <c r="BJ37" s="54">
        <f>BJ35-BJ36</f>
        <v>-1025671.5700000022</v>
      </c>
      <c r="BK37" s="54">
        <f>BK35-BK36</f>
        <v>-307492.43000000418</v>
      </c>
      <c r="BL37" s="54">
        <f>BL35-BL36</f>
        <v>17740002.660000004</v>
      </c>
      <c r="BM37" s="54">
        <f>BM35-BM36</f>
        <v>17250304.359999992</v>
      </c>
      <c r="BN37" s="54">
        <f t="shared" ref="BN37:BU37" si="63">BN35-BN36</f>
        <v>19775737.849999983</v>
      </c>
      <c r="BO37" s="54">
        <f t="shared" si="63"/>
        <v>15305733.389999997</v>
      </c>
      <c r="BP37" s="54">
        <f t="shared" si="63"/>
        <v>23934423.359999981</v>
      </c>
      <c r="BQ37" s="54">
        <f t="shared" si="63"/>
        <v>27733377.66</v>
      </c>
      <c r="BR37" s="54">
        <f t="shared" si="63"/>
        <v>33576266.069999993</v>
      </c>
      <c r="BS37" s="54">
        <f t="shared" si="63"/>
        <v>36131736.890000015</v>
      </c>
      <c r="BT37" s="54">
        <f t="shared" si="63"/>
        <v>26427141</v>
      </c>
      <c r="BU37" s="54">
        <f t="shared" si="63"/>
        <v>17699727</v>
      </c>
      <c r="BV37" s="54">
        <f t="shared" ref="BV37:CG37" si="64">BV35-BV36</f>
        <v>1225.0200000004843</v>
      </c>
      <c r="BW37" s="54">
        <f t="shared" si="64"/>
        <v>1480825.0799999996</v>
      </c>
      <c r="BX37" s="54">
        <f t="shared" si="64"/>
        <v>1631135.85</v>
      </c>
      <c r="BY37" s="54">
        <f t="shared" si="64"/>
        <v>2601389.109999998</v>
      </c>
      <c r="BZ37" s="54">
        <f t="shared" si="64"/>
        <v>2610646.6499999971</v>
      </c>
      <c r="CA37" s="54">
        <f t="shared" si="64"/>
        <v>20720815.050000004</v>
      </c>
      <c r="CB37" s="54">
        <f t="shared" si="64"/>
        <v>19266249.199999996</v>
      </c>
      <c r="CC37" s="54">
        <f t="shared" si="64"/>
        <v>20396851.209999986</v>
      </c>
      <c r="CD37" s="54">
        <f t="shared" si="64"/>
        <v>25267096.199999996</v>
      </c>
      <c r="CE37" s="54">
        <f t="shared" si="64"/>
        <v>27310451.469999976</v>
      </c>
      <c r="CF37" s="54">
        <f t="shared" si="64"/>
        <v>26859556.75999999</v>
      </c>
      <c r="CG37" s="54">
        <f t="shared" si="64"/>
        <v>3163316.3800000101</v>
      </c>
      <c r="CH37" s="54">
        <f t="shared" ref="CH37:CP37" si="65">CH35-CH36</f>
        <v>6119538</v>
      </c>
      <c r="CI37" s="54">
        <f t="shared" si="65"/>
        <v>2033666.6600000001</v>
      </c>
      <c r="CJ37" s="54">
        <f t="shared" si="65"/>
        <v>12808816.9</v>
      </c>
      <c r="CK37" s="54">
        <f t="shared" si="65"/>
        <v>4692622.8000000082</v>
      </c>
      <c r="CL37" s="54">
        <f t="shared" si="65"/>
        <v>1342571.7400000095</v>
      </c>
      <c r="CM37" s="54">
        <f t="shared" si="65"/>
        <v>-1714145.6200000034</v>
      </c>
      <c r="CN37" s="54">
        <f t="shared" si="65"/>
        <v>11168489.910000006</v>
      </c>
      <c r="CO37" s="54">
        <f t="shared" si="65"/>
        <v>3632321.6400000034</v>
      </c>
      <c r="CP37" s="54">
        <f t="shared" si="65"/>
        <v>3780132.4199999897</v>
      </c>
      <c r="CQ37" s="54">
        <f t="shared" ref="CQ37" si="66">CQ35-CQ36</f>
        <v>5153951.2600000026</v>
      </c>
    </row>
    <row r="38" spans="1:95">
      <c r="AA38" s="44">
        <f t="shared" ref="AA38:AN38" si="67">Z37-AA37</f>
        <v>-14372529.099999987</v>
      </c>
      <c r="AB38" s="44">
        <f t="shared" si="67"/>
        <v>-2497227.2100000009</v>
      </c>
      <c r="AC38" s="44">
        <f t="shared" si="67"/>
        <v>-4847451.1900000051</v>
      </c>
      <c r="AD38" s="44">
        <f t="shared" si="67"/>
        <v>-3543459.6800000072</v>
      </c>
      <c r="AE38" s="44">
        <f t="shared" si="67"/>
        <v>-10379473.649999991</v>
      </c>
      <c r="AF38" s="44">
        <f t="shared" si="67"/>
        <v>-3011155.2299999893</v>
      </c>
      <c r="AG38" s="44">
        <f t="shared" si="67"/>
        <v>14804131.420000002</v>
      </c>
      <c r="AH38" s="44">
        <f t="shared" si="67"/>
        <v>27046.407999999821</v>
      </c>
      <c r="AI38" s="44">
        <f t="shared" si="67"/>
        <v>30326659.19199999</v>
      </c>
      <c r="AJ38" s="44">
        <f t="shared" si="67"/>
        <v>-3231106.0299999984</v>
      </c>
      <c r="AK38" s="44">
        <f t="shared" si="67"/>
        <v>-996382.70999999717</v>
      </c>
      <c r="AL38" s="44">
        <f t="shared" si="67"/>
        <v>455183.5999999959</v>
      </c>
      <c r="AM38" s="44">
        <f t="shared" si="67"/>
        <v>-5150291.629999999</v>
      </c>
      <c r="AN38" s="44">
        <f t="shared" si="67"/>
        <v>-14341848.360000007</v>
      </c>
      <c r="AO38" s="44">
        <f>AN37-AO37</f>
        <v>-3783725.6499999985</v>
      </c>
      <c r="AP38" s="44">
        <f>AO37-AP37</f>
        <v>781424.08000000566</v>
      </c>
      <c r="AQ38" s="44">
        <f>AP37-AQ37</f>
        <v>-1765973.4400000051</v>
      </c>
      <c r="AR38" s="44">
        <f>AQ37-AR37</f>
        <v>-2280457.9399999902</v>
      </c>
      <c r="AS38" s="44">
        <f>AR37-AS37</f>
        <v>5732717.2899999917</v>
      </c>
      <c r="AT38" s="44">
        <f t="shared" ref="AT38:BH38" si="68">AS37-AT37</f>
        <v>4435251.0199999958</v>
      </c>
      <c r="AU38" s="44">
        <f t="shared" si="68"/>
        <v>2906133.9300000072</v>
      </c>
      <c r="AV38" s="44">
        <f t="shared" si="68"/>
        <v>17723530.920000002</v>
      </c>
      <c r="AW38" s="44">
        <f t="shared" si="68"/>
        <v>-3317341.3699999955</v>
      </c>
      <c r="AX38" s="44">
        <f t="shared" si="68"/>
        <v>-2567455.8900000043</v>
      </c>
      <c r="AY38" s="44">
        <f t="shared" si="68"/>
        <v>-12237399.080000002</v>
      </c>
      <c r="AZ38" s="44">
        <f t="shared" si="68"/>
        <v>4999961.9700000063</v>
      </c>
      <c r="BA38" s="44">
        <f t="shared" si="68"/>
        <v>329648.40999998897</v>
      </c>
      <c r="BB38" s="44">
        <f t="shared" si="68"/>
        <v>16523321.040000007</v>
      </c>
      <c r="BC38" s="44">
        <f t="shared" si="68"/>
        <v>-92455241.74999994</v>
      </c>
      <c r="BD38" s="44">
        <f t="shared" si="68"/>
        <v>72809208.22999993</v>
      </c>
      <c r="BE38" s="44">
        <f t="shared" si="68"/>
        <v>-541570.25</v>
      </c>
      <c r="BF38" s="44">
        <f t="shared" si="68"/>
        <v>627627.30999998748</v>
      </c>
      <c r="BG38" s="44">
        <f t="shared" si="68"/>
        <v>-2135293.6499999911</v>
      </c>
      <c r="BH38" s="44">
        <f t="shared" si="68"/>
        <v>4339052.1100000143</v>
      </c>
      <c r="BI38" s="44">
        <f>BH37-BI37</f>
        <v>14263998.029999999</v>
      </c>
      <c r="BJ38" s="44">
        <f>BI37-BJ37</f>
        <v>4117891.5400000028</v>
      </c>
      <c r="BK38" s="44">
        <f>BJ37-BK37</f>
        <v>-718179.13999999803</v>
      </c>
      <c r="BL38" s="44">
        <f>BK37-BL37</f>
        <v>-18047495.090000007</v>
      </c>
      <c r="BM38" s="44">
        <f>BL37-BM37</f>
        <v>489698.30000001192</v>
      </c>
      <c r="BN38" s="44">
        <f>BM37-BN37</f>
        <v>-2525433.4899999909</v>
      </c>
      <c r="BO38" s="44">
        <f t="shared" ref="BN38:BQ38" si="69">BN37-BO37</f>
        <v>4470004.459999986</v>
      </c>
      <c r="BP38" s="44">
        <f t="shared" si="69"/>
        <v>-8628689.9699999839</v>
      </c>
      <c r="BQ38" s="44">
        <f t="shared" si="69"/>
        <v>-3798954.3000000194</v>
      </c>
      <c r="BR38" s="44">
        <f t="shared" ref="BR38" si="70">BQ37-BR37</f>
        <v>-5842888.4099999927</v>
      </c>
      <c r="BS38" s="44">
        <f t="shared" ref="BS38" si="71">BR37-BS37</f>
        <v>-2555470.8200000226</v>
      </c>
      <c r="BT38" s="44">
        <f t="shared" ref="BT38" si="72">BS37-BT37</f>
        <v>9704595.8900000155</v>
      </c>
      <c r="BU38" s="44">
        <f t="shared" ref="BU38" si="73">BT37-BU37</f>
        <v>8727414</v>
      </c>
    </row>
    <row r="39" spans="1:95" s="28" customFormat="1">
      <c r="A39" s="28" t="s">
        <v>96</v>
      </c>
      <c r="B39" s="56">
        <f>B12+B23+B20+B34+B36</f>
        <v>44444616</v>
      </c>
      <c r="C39" s="56">
        <f t="shared" ref="C39:AD39" si="74">C12+C23+C20+C34+C36</f>
        <v>53684275</v>
      </c>
      <c r="D39" s="56">
        <f t="shared" si="74"/>
        <v>68684683</v>
      </c>
      <c r="E39" s="56">
        <f t="shared" si="74"/>
        <v>78406498.679499999</v>
      </c>
      <c r="F39" s="56">
        <f t="shared" si="74"/>
        <v>78276362</v>
      </c>
      <c r="G39" s="56">
        <f t="shared" si="74"/>
        <v>87269323</v>
      </c>
      <c r="H39" s="56">
        <f t="shared" si="74"/>
        <v>112180671</v>
      </c>
      <c r="I39" s="56">
        <f t="shared" si="74"/>
        <v>5638166.6099999994</v>
      </c>
      <c r="J39" s="56">
        <f t="shared" si="74"/>
        <v>10429617.41</v>
      </c>
      <c r="K39" s="56">
        <f t="shared" si="74"/>
        <v>17503605.119999997</v>
      </c>
      <c r="L39" s="56">
        <f t="shared" si="74"/>
        <v>24989458.84</v>
      </c>
      <c r="M39" s="56">
        <f t="shared" si="74"/>
        <v>33238149.290000007</v>
      </c>
      <c r="N39" s="56">
        <f t="shared" si="74"/>
        <v>39500809.359999999</v>
      </c>
      <c r="O39" s="56">
        <f t="shared" si="74"/>
        <v>46753091.020000003</v>
      </c>
      <c r="P39" s="56">
        <f t="shared" si="74"/>
        <v>53129470.149999999</v>
      </c>
      <c r="Q39" s="56">
        <f t="shared" si="74"/>
        <v>60555748.899999999</v>
      </c>
      <c r="R39" s="56">
        <f t="shared" si="74"/>
        <v>68750260.980000004</v>
      </c>
      <c r="S39" s="56">
        <f t="shared" si="74"/>
        <v>73625346.559999987</v>
      </c>
      <c r="T39" s="56">
        <f t="shared" si="74"/>
        <v>115897963.07999998</v>
      </c>
      <c r="U39" s="56">
        <f t="shared" si="74"/>
        <v>119706880</v>
      </c>
      <c r="V39" s="56">
        <f t="shared" si="74"/>
        <v>9357386.870000001</v>
      </c>
      <c r="W39" s="56">
        <f t="shared" si="74"/>
        <v>14627441.489999998</v>
      </c>
      <c r="X39" s="56">
        <f t="shared" si="74"/>
        <v>23926692.419999998</v>
      </c>
      <c r="Y39" s="56">
        <f t="shared" si="74"/>
        <v>34876609.439999998</v>
      </c>
      <c r="Z39" s="56">
        <f t="shared" si="74"/>
        <v>41184870.679999992</v>
      </c>
      <c r="AA39" s="56">
        <f t="shared" si="74"/>
        <v>47389633.899999999</v>
      </c>
      <c r="AB39" s="56">
        <f t="shared" si="74"/>
        <v>56008586.340000004</v>
      </c>
      <c r="AC39" s="56">
        <f t="shared" si="74"/>
        <v>65110895.310000002</v>
      </c>
      <c r="AD39" s="56">
        <f t="shared" si="74"/>
        <v>73101825.280000001</v>
      </c>
      <c r="AE39" s="56">
        <f>AE12+AE23+AE20+AE34+AE36</f>
        <v>75426515.629999995</v>
      </c>
      <c r="AF39" s="56">
        <f t="shared" ref="AF39:BH39" si="75">AF12+AF23+AF20+AF34+AF36</f>
        <v>86001563.929999992</v>
      </c>
      <c r="AG39" s="56">
        <f t="shared" si="75"/>
        <v>119971620.69</v>
      </c>
      <c r="AH39" s="56">
        <f t="shared" si="75"/>
        <v>120011620.09800002</v>
      </c>
      <c r="AI39" s="56">
        <f t="shared" si="75"/>
        <v>6978778.7199999997</v>
      </c>
      <c r="AJ39" s="56">
        <f t="shared" si="75"/>
        <v>14076578.459999999</v>
      </c>
      <c r="AK39" s="56">
        <f t="shared" si="75"/>
        <v>23731293.399999999</v>
      </c>
      <c r="AL39" s="56">
        <f t="shared" si="75"/>
        <v>36135816.350000001</v>
      </c>
      <c r="AM39" s="56">
        <f t="shared" si="75"/>
        <v>42329305.799999997</v>
      </c>
      <c r="AN39" s="56">
        <f t="shared" si="75"/>
        <v>52279145.879999995</v>
      </c>
      <c r="AO39" s="56">
        <f t="shared" si="75"/>
        <v>59670165.379999995</v>
      </c>
      <c r="AP39" s="56">
        <f t="shared" si="75"/>
        <v>74697030.209999993</v>
      </c>
      <c r="AQ39" s="56">
        <f t="shared" si="75"/>
        <v>84077028.169999987</v>
      </c>
      <c r="AR39" s="56">
        <f t="shared" si="75"/>
        <v>93232582.430000007</v>
      </c>
      <c r="AS39" s="56">
        <f t="shared" si="75"/>
        <v>112921608.17</v>
      </c>
      <c r="AT39" s="56">
        <f t="shared" si="75"/>
        <v>138429192.81</v>
      </c>
      <c r="AU39" s="56">
        <f t="shared" si="75"/>
        <v>141335327</v>
      </c>
      <c r="AV39" s="56">
        <f t="shared" si="75"/>
        <v>7852546.25</v>
      </c>
      <c r="AW39" s="56">
        <f t="shared" si="75"/>
        <v>15345010.880000003</v>
      </c>
      <c r="AX39" s="56">
        <f t="shared" si="75"/>
        <v>25126441.839999996</v>
      </c>
      <c r="AY39" s="56">
        <f t="shared" si="75"/>
        <v>36242501.689999998</v>
      </c>
      <c r="AZ39" s="56">
        <f t="shared" si="75"/>
        <v>51203825.160000004</v>
      </c>
      <c r="BA39" s="56">
        <f t="shared" si="75"/>
        <v>62496141.280000001</v>
      </c>
      <c r="BB39" s="56">
        <f t="shared" si="75"/>
        <v>0</v>
      </c>
      <c r="BC39" s="56">
        <f t="shared" si="75"/>
        <v>428069079.04999995</v>
      </c>
      <c r="BD39" s="56">
        <f t="shared" si="75"/>
        <v>97037805.670000002</v>
      </c>
      <c r="BE39" s="56">
        <f t="shared" si="75"/>
        <v>109139080.88999999</v>
      </c>
      <c r="BF39" s="56">
        <f t="shared" si="75"/>
        <v>126258112.15000001</v>
      </c>
      <c r="BG39" s="56">
        <f t="shared" si="75"/>
        <v>138230531.98999998</v>
      </c>
      <c r="BH39" s="56">
        <f t="shared" si="75"/>
        <v>142569584</v>
      </c>
      <c r="BI39" s="56">
        <f>BI12+BI23+BI20+BI34+BI36</f>
        <v>8088388.7300000004</v>
      </c>
      <c r="BJ39" s="56">
        <f>BJ12+BJ23+BJ20+BJ34+BJ36</f>
        <v>24372833.289999999</v>
      </c>
      <c r="BK39" s="56">
        <f>BK12+BK23+BK20+BK34+BK36</f>
        <v>37103598.609999999</v>
      </c>
      <c r="BL39" s="56">
        <f>BL12+BL23+BL20+BL34+BL36</f>
        <v>45704015.259999998</v>
      </c>
      <c r="BM39" s="56">
        <f>BM12+BM23+BM20+BM34+BM36</f>
        <v>58373815.81000001</v>
      </c>
      <c r="BN39" s="56">
        <f>BN12+BN23+BN20+BN34+BN36</f>
        <v>69114561.270000011</v>
      </c>
      <c r="BO39" s="56">
        <f t="shared" ref="BN39:BQ39" si="76">BO12+BO23+BO20+BO34+BO36</f>
        <v>88495523.11999999</v>
      </c>
      <c r="BP39" s="56">
        <f t="shared" si="76"/>
        <v>92466019.030000001</v>
      </c>
      <c r="BQ39" s="56">
        <f t="shared" si="76"/>
        <v>101806950.33000001</v>
      </c>
      <c r="BR39" s="56">
        <f t="shared" ref="BR39:CP39" si="77">BR12+BR23+BR20+BR34+BR36</f>
        <v>110862288.06</v>
      </c>
      <c r="BS39" s="56">
        <f t="shared" si="77"/>
        <v>122466354.15000001</v>
      </c>
      <c r="BT39" s="56">
        <f t="shared" si="77"/>
        <v>155688076.45999998</v>
      </c>
      <c r="BU39" s="56">
        <f t="shared" si="77"/>
        <v>165444309</v>
      </c>
      <c r="BV39" s="56">
        <f t="shared" si="77"/>
        <v>12132399.710000001</v>
      </c>
      <c r="BW39" s="56">
        <f t="shared" si="77"/>
        <v>24153624.560000002</v>
      </c>
      <c r="BX39" s="56">
        <f t="shared" si="77"/>
        <v>39378186.43</v>
      </c>
      <c r="BY39" s="56">
        <f t="shared" si="77"/>
        <v>52553874.960000001</v>
      </c>
      <c r="BZ39" s="56">
        <f t="shared" si="77"/>
        <v>64845334.06000001</v>
      </c>
      <c r="CA39" s="56">
        <f t="shared" si="77"/>
        <v>72569447.38000001</v>
      </c>
      <c r="CB39" s="56">
        <f t="shared" si="77"/>
        <v>86907034.260000005</v>
      </c>
      <c r="CC39" s="56">
        <f t="shared" si="77"/>
        <v>99061573.940000027</v>
      </c>
      <c r="CD39" s="56">
        <f t="shared" si="77"/>
        <v>108540414.79000002</v>
      </c>
      <c r="CE39" s="56">
        <f t="shared" si="77"/>
        <v>119384727.29000001</v>
      </c>
      <c r="CF39" s="56">
        <f t="shared" si="77"/>
        <v>133852187.05</v>
      </c>
      <c r="CG39" s="56">
        <f t="shared" si="77"/>
        <v>174696664.25</v>
      </c>
      <c r="CH39" s="56">
        <f t="shared" si="77"/>
        <v>173070098</v>
      </c>
      <c r="CI39" s="56">
        <f t="shared" si="77"/>
        <v>11186770.5</v>
      </c>
      <c r="CJ39" s="56">
        <f t="shared" si="77"/>
        <v>12526939.360000003</v>
      </c>
      <c r="CK39" s="56">
        <f t="shared" si="77"/>
        <v>35533831.719999999</v>
      </c>
      <c r="CL39" s="56">
        <f t="shared" si="77"/>
        <v>49861958.310000002</v>
      </c>
      <c r="CM39" s="56">
        <f t="shared" si="77"/>
        <v>64346158.620000005</v>
      </c>
      <c r="CN39" s="56">
        <f t="shared" si="77"/>
        <v>81273060.849999994</v>
      </c>
      <c r="CO39" s="56">
        <f t="shared" si="77"/>
        <v>101258152.25</v>
      </c>
      <c r="CP39" s="56">
        <f t="shared" si="77"/>
        <v>113576506.28</v>
      </c>
      <c r="CQ39" s="56">
        <f t="shared" ref="CQ39" si="78">CQ12+CQ23+CQ20+CQ34+CQ36</f>
        <v>127026261.75999999</v>
      </c>
    </row>
    <row r="40" spans="1:95">
      <c r="BI40" s="44"/>
    </row>
    <row r="41" spans="1:95">
      <c r="F41" s="44"/>
      <c r="G41" s="44"/>
      <c r="H41" s="44"/>
      <c r="I41" s="44"/>
      <c r="J41" s="44">
        <f t="shared" ref="J41:R41" si="79">J39-I39</f>
        <v>4791450.8000000007</v>
      </c>
      <c r="K41" s="44">
        <f t="shared" si="79"/>
        <v>7073987.7099999972</v>
      </c>
      <c r="L41" s="44">
        <f t="shared" si="79"/>
        <v>7485853.7200000025</v>
      </c>
      <c r="M41" s="44">
        <f t="shared" si="79"/>
        <v>8248690.4500000067</v>
      </c>
      <c r="N41" s="44">
        <f t="shared" si="79"/>
        <v>6262660.0699999928</v>
      </c>
      <c r="O41" s="44">
        <f t="shared" si="79"/>
        <v>7252281.6600000039</v>
      </c>
      <c r="P41" s="44">
        <f t="shared" si="79"/>
        <v>6376379.1299999952</v>
      </c>
      <c r="Q41" s="44">
        <f t="shared" si="79"/>
        <v>7426278.75</v>
      </c>
      <c r="R41" s="44">
        <f t="shared" si="79"/>
        <v>8194512.0800000057</v>
      </c>
      <c r="S41" s="44">
        <f>S39-R39</f>
        <v>4875085.5799999833</v>
      </c>
      <c r="T41" s="44">
        <f>T39-S39</f>
        <v>42272616.519999996</v>
      </c>
      <c r="U41" s="44">
        <f>U39-T39</f>
        <v>3808916.9200000167</v>
      </c>
      <c r="V41" s="44"/>
    </row>
    <row r="42" spans="1:95">
      <c r="K42" s="44"/>
      <c r="L42" s="44"/>
      <c r="M42" s="44"/>
      <c r="N42" s="44"/>
      <c r="X42" s="75">
        <f>135000*12</f>
        <v>1620000</v>
      </c>
    </row>
    <row r="43" spans="1:95">
      <c r="J43" s="60"/>
      <c r="K43" s="60"/>
      <c r="L43" s="60"/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5"/>
  <sheetViews>
    <sheetView workbookViewId="0">
      <selection activeCell="D33" sqref="D33"/>
    </sheetView>
  </sheetViews>
  <sheetFormatPr defaultRowHeight="15"/>
  <cols>
    <col min="2" max="2" width="19.42578125" customWidth="1"/>
    <col min="3" max="3" width="10.28515625" bestFit="1" customWidth="1"/>
    <col min="4" max="4" width="19.5703125" customWidth="1"/>
    <col min="5" max="5" width="12" customWidth="1"/>
    <col min="6" max="6" width="16.7109375" customWidth="1"/>
    <col min="8" max="8" width="14.28515625" bestFit="1" customWidth="1"/>
    <col min="9" max="9" width="9.5703125" bestFit="1" customWidth="1"/>
    <col min="10" max="10" width="20.28515625" customWidth="1"/>
    <col min="11" max="11" width="9.28515625" bestFit="1" customWidth="1"/>
    <col min="12" max="12" width="14.28515625" bestFit="1" customWidth="1"/>
  </cols>
  <sheetData>
    <row r="1" spans="2:8">
      <c r="D1" s="3" t="s">
        <v>10</v>
      </c>
    </row>
    <row r="2" spans="2:8" ht="49.5" customHeight="1"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</row>
    <row r="3" spans="2:8">
      <c r="B3" s="4" t="s">
        <v>102</v>
      </c>
      <c r="C3" s="20"/>
      <c r="D3" s="29"/>
      <c r="E3" s="7">
        <v>0.01</v>
      </c>
      <c r="F3" s="6">
        <f>D3*E3</f>
        <v>0</v>
      </c>
    </row>
    <row r="4" spans="2:8">
      <c r="B4" s="4" t="s">
        <v>103</v>
      </c>
      <c r="C4" s="20"/>
      <c r="D4" s="29"/>
      <c r="E4" s="7">
        <v>0.05</v>
      </c>
      <c r="F4" s="6">
        <f>D4*E4</f>
        <v>0</v>
      </c>
      <c r="H4" s="140"/>
    </row>
    <row r="5" spans="2:8">
      <c r="B5" s="4" t="s">
        <v>104</v>
      </c>
      <c r="C5" s="20"/>
      <c r="D5" s="29"/>
      <c r="E5" s="7">
        <v>0.25</v>
      </c>
      <c r="F5" s="6">
        <f>D5*E5</f>
        <v>0</v>
      </c>
    </row>
    <row r="6" spans="2:8">
      <c r="B6" s="4" t="s">
        <v>105</v>
      </c>
      <c r="C6" s="20"/>
      <c r="D6" s="29"/>
      <c r="E6" s="7">
        <v>0.5</v>
      </c>
      <c r="F6" s="6">
        <f>D6*E6</f>
        <v>0</v>
      </c>
    </row>
    <row r="7" spans="2:8">
      <c r="B7" s="4" t="s">
        <v>106</v>
      </c>
      <c r="C7" s="20"/>
      <c r="D7" s="29"/>
      <c r="E7" s="7">
        <v>1</v>
      </c>
      <c r="F7" s="6">
        <f>D7*E7</f>
        <v>0</v>
      </c>
    </row>
    <row r="8" spans="2:8">
      <c r="B8" s="5" t="s">
        <v>107</v>
      </c>
      <c r="C8" s="6">
        <f>SUM(C3:C7)</f>
        <v>0</v>
      </c>
      <c r="D8" s="6">
        <f>SUM(D3:D7)</f>
        <v>0</v>
      </c>
      <c r="E8" s="6"/>
      <c r="F8" s="6">
        <f>SUM(F3:F7)</f>
        <v>0</v>
      </c>
    </row>
    <row r="10" spans="2:8">
      <c r="D10" s="44">
        <f>SUM(D5:D7)</f>
        <v>0</v>
      </c>
      <c r="F10" s="44"/>
    </row>
    <row r="11" spans="2:8">
      <c r="D11" s="140" t="e">
        <f>D10/D8</f>
        <v>#DIV/0!</v>
      </c>
    </row>
    <row r="15" spans="2:8">
      <c r="D15" s="3">
        <v>44256</v>
      </c>
    </row>
    <row r="16" spans="2:8" ht="57">
      <c r="B16" s="1" t="s">
        <v>97</v>
      </c>
      <c r="C16" s="1" t="s">
        <v>98</v>
      </c>
      <c r="D16" s="1" t="s">
        <v>99</v>
      </c>
      <c r="E16" s="1" t="s">
        <v>100</v>
      </c>
      <c r="F16" s="1" t="s">
        <v>101</v>
      </c>
    </row>
    <row r="17" spans="2:6">
      <c r="B17" s="4" t="s">
        <v>102</v>
      </c>
      <c r="C17" s="167">
        <v>3223</v>
      </c>
      <c r="D17" s="167">
        <v>683637917.23000002</v>
      </c>
      <c r="E17" s="7">
        <v>0.01</v>
      </c>
      <c r="F17" s="6">
        <f>D17*E17</f>
        <v>6836379.1723000007</v>
      </c>
    </row>
    <row r="18" spans="2:6">
      <c r="B18" s="4" t="s">
        <v>103</v>
      </c>
      <c r="C18" s="167">
        <v>163</v>
      </c>
      <c r="D18" s="167">
        <v>18912975.09</v>
      </c>
      <c r="E18" s="7">
        <v>0.05</v>
      </c>
      <c r="F18" s="6">
        <f>D18*E18</f>
        <v>945648.75450000004</v>
      </c>
    </row>
    <row r="19" spans="2:6">
      <c r="B19" s="4" t="s">
        <v>104</v>
      </c>
      <c r="C19" s="167">
        <v>196</v>
      </c>
      <c r="D19" s="167">
        <v>34944392.780000001</v>
      </c>
      <c r="E19" s="7">
        <v>0.25</v>
      </c>
      <c r="F19" s="6">
        <f>D19*E19</f>
        <v>8736098.1950000003</v>
      </c>
    </row>
    <row r="20" spans="2:6">
      <c r="B20" s="4" t="s">
        <v>105</v>
      </c>
      <c r="C20" s="167">
        <v>86</v>
      </c>
      <c r="D20" s="167">
        <v>12059530.699999999</v>
      </c>
      <c r="E20" s="7">
        <v>0.5</v>
      </c>
      <c r="F20" s="6">
        <f>D20*E20</f>
        <v>6029765.3499999996</v>
      </c>
    </row>
    <row r="21" spans="2:6">
      <c r="B21" s="4" t="s">
        <v>106</v>
      </c>
      <c r="C21" s="167">
        <v>379</v>
      </c>
      <c r="D21" s="167">
        <v>9472491.2300000004</v>
      </c>
      <c r="E21" s="7">
        <v>1</v>
      </c>
      <c r="F21" s="6">
        <f>D21*E21</f>
        <v>9472491.2300000004</v>
      </c>
    </row>
    <row r="22" spans="2:6" s="28" customFormat="1">
      <c r="B22" s="5" t="s">
        <v>107</v>
      </c>
      <c r="C22" s="171">
        <f>SUM(C17:C21)</f>
        <v>4047</v>
      </c>
      <c r="D22" s="171">
        <f>SUM(D17:D21)</f>
        <v>759027307.03000009</v>
      </c>
      <c r="E22" s="171"/>
      <c r="F22" s="171">
        <f>SUM(F17:F21)</f>
        <v>32020382.7018</v>
      </c>
    </row>
    <row r="24" spans="2:6">
      <c r="C24" t="s">
        <v>108</v>
      </c>
      <c r="D24" s="44">
        <f>SUM(D19:D21)</f>
        <v>56476414.710000008</v>
      </c>
      <c r="F24" s="44"/>
    </row>
    <row r="25" spans="2:6">
      <c r="C25" t="s">
        <v>109</v>
      </c>
      <c r="D25" s="140">
        <f>D24/D22</f>
        <v>7.4406301574296077E-2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S48"/>
  <sheetViews>
    <sheetView workbookViewId="0">
      <pane xSplit="3" ySplit="2" topLeftCell="CJ3" activePane="bottomRight" state="frozen"/>
      <selection pane="bottomRight" activeCell="CX7" sqref="CX7"/>
      <selection pane="bottomLeft" activeCell="A3" sqref="A3"/>
      <selection pane="topRight" activeCell="D1" sqref="D1"/>
    </sheetView>
  </sheetViews>
  <sheetFormatPr defaultColWidth="8.85546875" defaultRowHeight="15"/>
  <cols>
    <col min="1" max="1" width="20.42578125" customWidth="1"/>
    <col min="2" max="2" width="25.28515625" customWidth="1"/>
    <col min="3" max="3" width="10.42578125" customWidth="1"/>
    <col min="4" max="10" width="12.5703125" hidden="1" customWidth="1"/>
    <col min="11" max="12" width="8" hidden="1" customWidth="1"/>
    <col min="13" max="14" width="9.5703125" hidden="1" customWidth="1"/>
    <col min="15" max="17" width="8" hidden="1" customWidth="1"/>
    <col min="18" max="19" width="9.5703125" hidden="1" customWidth="1"/>
    <col min="20" max="20" width="8" hidden="1" customWidth="1"/>
    <col min="21" max="22" width="9.85546875" hidden="1" customWidth="1"/>
    <col min="23" max="23" width="15.7109375" hidden="1" customWidth="1"/>
    <col min="24" max="24" width="8.85546875" hidden="1" customWidth="1"/>
    <col min="25" max="25" width="4.5703125" hidden="1" customWidth="1"/>
    <col min="26" max="35" width="8" hidden="1" customWidth="1"/>
    <col min="36" max="36" width="18.7109375" hidden="1" customWidth="1"/>
    <col min="37" max="47" width="0" hidden="1" customWidth="1"/>
    <col min="48" max="48" width="3.7109375" hidden="1" customWidth="1"/>
    <col min="49" max="49" width="13.28515625" hidden="1" customWidth="1"/>
    <col min="50" max="55" width="9.85546875" hidden="1" customWidth="1"/>
    <col min="56" max="56" width="9.28515625" hidden="1" customWidth="1"/>
    <col min="57" max="57" width="11.85546875" hidden="1" customWidth="1"/>
    <col min="58" max="61" width="9.85546875" hidden="1" customWidth="1"/>
    <col min="62" max="62" width="15.140625" hidden="1" customWidth="1"/>
    <col min="63" max="65" width="9.85546875" hidden="1" customWidth="1"/>
    <col min="66" max="74" width="10.28515625" hidden="1" customWidth="1"/>
    <col min="75" max="75" width="14.140625" bestFit="1" customWidth="1"/>
    <col min="76" max="76" width="11.140625" customWidth="1"/>
    <col min="77" max="77" width="12.7109375" customWidth="1"/>
    <col min="78" max="78" width="11.5703125" customWidth="1"/>
    <col min="79" max="79" width="10.42578125" customWidth="1"/>
    <col min="80" max="80" width="10.85546875" customWidth="1"/>
    <col min="81" max="81" width="11.42578125" customWidth="1"/>
    <col min="82" max="82" width="10.7109375" customWidth="1"/>
    <col min="83" max="83" width="11.7109375" customWidth="1"/>
    <col min="84" max="84" width="11.140625" customWidth="1"/>
    <col min="85" max="85" width="10.5703125" customWidth="1"/>
    <col min="86" max="86" width="11.42578125" customWidth="1"/>
    <col min="87" max="87" width="13.42578125" customWidth="1"/>
    <col min="88" max="88" width="13.28515625" customWidth="1"/>
    <col min="89" max="91" width="10.28515625" bestFit="1" customWidth="1"/>
    <col min="92" max="92" width="11.28515625" customWidth="1"/>
    <col min="93" max="93" width="10.28515625" bestFit="1" customWidth="1"/>
    <col min="94" max="94" width="13.140625" customWidth="1"/>
    <col min="95" max="95" width="12.140625" customWidth="1"/>
    <col min="96" max="96" width="12.28515625" customWidth="1"/>
    <col min="97" max="97" width="10.42578125" customWidth="1"/>
  </cols>
  <sheetData>
    <row r="1" spans="1:97" ht="18.75">
      <c r="A1" s="263" t="s">
        <v>110</v>
      </c>
      <c r="B1" s="263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  <c r="BA1" s="159"/>
      <c r="BB1" s="159"/>
      <c r="BC1" s="159"/>
      <c r="BD1" s="159"/>
      <c r="BE1" s="159"/>
      <c r="BF1" s="159"/>
      <c r="BG1" s="159"/>
      <c r="BH1" s="159"/>
      <c r="BI1" s="159"/>
      <c r="BJ1" s="159"/>
    </row>
    <row r="2" spans="1:97" s="28" customFormat="1" ht="18.75">
      <c r="A2" s="188"/>
      <c r="B2" s="251"/>
      <c r="C2" s="246"/>
      <c r="D2" s="247" t="s">
        <v>0</v>
      </c>
      <c r="E2" s="247" t="s">
        <v>1</v>
      </c>
      <c r="F2" s="247" t="s">
        <v>2</v>
      </c>
      <c r="G2" s="247" t="s">
        <v>3</v>
      </c>
      <c r="H2" s="247" t="s">
        <v>4</v>
      </c>
      <c r="I2" s="247" t="s">
        <v>5</v>
      </c>
      <c r="J2" s="247" t="s">
        <v>111</v>
      </c>
      <c r="K2" s="247">
        <v>42736</v>
      </c>
      <c r="L2" s="247">
        <v>42767</v>
      </c>
      <c r="M2" s="247">
        <v>42795</v>
      </c>
      <c r="N2" s="247">
        <v>42826</v>
      </c>
      <c r="O2" s="247">
        <v>42856</v>
      </c>
      <c r="P2" s="247">
        <v>42887</v>
      </c>
      <c r="Q2" s="247">
        <v>42917</v>
      </c>
      <c r="R2" s="247">
        <v>42948</v>
      </c>
      <c r="S2" s="247">
        <v>42979</v>
      </c>
      <c r="T2" s="247">
        <v>43009</v>
      </c>
      <c r="U2" s="247">
        <v>43040</v>
      </c>
      <c r="V2" s="247">
        <v>43070</v>
      </c>
      <c r="W2" s="247" t="s">
        <v>7</v>
      </c>
      <c r="X2" s="248">
        <v>43101</v>
      </c>
      <c r="Y2" s="248">
        <v>43132</v>
      </c>
      <c r="Z2" s="248">
        <v>43160</v>
      </c>
      <c r="AA2" s="248">
        <v>43191</v>
      </c>
      <c r="AB2" s="248">
        <v>43221</v>
      </c>
      <c r="AC2" s="248">
        <v>43252</v>
      </c>
      <c r="AD2" s="248">
        <v>43282</v>
      </c>
      <c r="AE2" s="248">
        <v>43313</v>
      </c>
      <c r="AF2" s="248">
        <v>43344</v>
      </c>
      <c r="AG2" s="248">
        <v>43374</v>
      </c>
      <c r="AH2" s="248">
        <v>43405</v>
      </c>
      <c r="AI2" s="248">
        <v>43435</v>
      </c>
      <c r="AJ2" s="248" t="s">
        <v>8</v>
      </c>
      <c r="AK2" s="248">
        <v>43466</v>
      </c>
      <c r="AL2" s="248">
        <v>43497</v>
      </c>
      <c r="AM2" s="248">
        <v>43525</v>
      </c>
      <c r="AN2" s="248">
        <v>43556</v>
      </c>
      <c r="AO2" s="248">
        <v>43586</v>
      </c>
      <c r="AP2" s="248">
        <v>43617</v>
      </c>
      <c r="AQ2" s="248">
        <v>43647</v>
      </c>
      <c r="AR2" s="248">
        <v>43678</v>
      </c>
      <c r="AS2" s="248">
        <v>43709</v>
      </c>
      <c r="AT2" s="248">
        <v>43739</v>
      </c>
      <c r="AU2" s="248">
        <v>43770</v>
      </c>
      <c r="AV2" s="248">
        <v>43800</v>
      </c>
      <c r="AW2" s="248" t="s">
        <v>112</v>
      </c>
      <c r="AX2" s="248">
        <v>43831</v>
      </c>
      <c r="AY2" s="248">
        <v>43862</v>
      </c>
      <c r="AZ2" s="248">
        <v>43891</v>
      </c>
      <c r="BA2" s="248">
        <v>43922</v>
      </c>
      <c r="BB2" s="248">
        <v>43952</v>
      </c>
      <c r="BC2" s="248">
        <v>43983</v>
      </c>
      <c r="BD2" s="248">
        <v>44013</v>
      </c>
      <c r="BE2" s="248">
        <v>44044</v>
      </c>
      <c r="BF2" s="248">
        <v>44075</v>
      </c>
      <c r="BG2" s="248">
        <v>44105</v>
      </c>
      <c r="BH2" s="248">
        <v>44136</v>
      </c>
      <c r="BI2" s="248">
        <v>44166</v>
      </c>
      <c r="BJ2" s="249" t="s">
        <v>10</v>
      </c>
      <c r="BK2" s="250">
        <v>44197</v>
      </c>
      <c r="BL2" s="250">
        <v>44228</v>
      </c>
      <c r="BM2" s="250">
        <v>44256</v>
      </c>
      <c r="BN2" s="250">
        <v>44287</v>
      </c>
      <c r="BO2" s="250">
        <v>44317</v>
      </c>
      <c r="BP2" s="250">
        <v>44348</v>
      </c>
      <c r="BQ2" s="250">
        <v>44378</v>
      </c>
      <c r="BR2" s="250">
        <v>44409</v>
      </c>
      <c r="BS2" s="250">
        <v>44440</v>
      </c>
      <c r="BT2" s="250">
        <v>44470</v>
      </c>
      <c r="BU2" s="250">
        <v>44501</v>
      </c>
      <c r="BV2" s="250">
        <v>44531</v>
      </c>
      <c r="BW2" s="250" t="s">
        <v>11</v>
      </c>
      <c r="BX2" s="250">
        <v>44562</v>
      </c>
      <c r="BY2" s="250">
        <v>44593</v>
      </c>
      <c r="BZ2" s="250">
        <v>44621</v>
      </c>
      <c r="CA2" s="250">
        <v>44652</v>
      </c>
      <c r="CB2" s="250">
        <v>44682</v>
      </c>
      <c r="CC2" s="250">
        <v>44713</v>
      </c>
      <c r="CD2" s="250">
        <v>44743</v>
      </c>
      <c r="CE2" s="250">
        <v>44774</v>
      </c>
      <c r="CF2" s="250">
        <v>44805</v>
      </c>
      <c r="CG2" s="250">
        <v>44835</v>
      </c>
      <c r="CH2" s="250">
        <v>44866</v>
      </c>
      <c r="CI2" s="250">
        <v>44896</v>
      </c>
      <c r="CJ2" s="255" t="s">
        <v>12</v>
      </c>
      <c r="CK2" s="254">
        <v>44927</v>
      </c>
      <c r="CL2" s="254">
        <v>44958</v>
      </c>
      <c r="CM2" s="254">
        <v>44986</v>
      </c>
      <c r="CN2" s="254">
        <v>45017</v>
      </c>
      <c r="CO2" s="254">
        <v>45047</v>
      </c>
      <c r="CP2" s="254">
        <v>45078</v>
      </c>
      <c r="CQ2" s="254">
        <v>45108</v>
      </c>
      <c r="CR2" s="254">
        <v>45139</v>
      </c>
      <c r="CS2" s="254">
        <v>45170</v>
      </c>
    </row>
    <row r="3" spans="1:97" ht="18.75">
      <c r="A3" s="264" t="s">
        <v>113</v>
      </c>
      <c r="B3" s="174" t="s">
        <v>114</v>
      </c>
      <c r="C3" s="252" t="s">
        <v>115</v>
      </c>
      <c r="D3" s="253">
        <f>(('Evolutive SFP'!B39+'Evolutive SFP'!B40+'Evolutive SFP'!B41+'Evolutive SFP'!B42+'Evolutive SFP'!B43+'Evolutive SFP'!B44)-'Evolutive SFP'!B10)/1000000</f>
        <v>47.468544999999999</v>
      </c>
      <c r="E3" s="253">
        <f>(('Evolutive SFP'!C39+'Evolutive SFP'!C40+'Evolutive SFP'!C41+'Evolutive SFP'!C42+'Evolutive SFP'!C43+'Evolutive SFP'!C44)-'Evolutive SFP'!C10)/1000000</f>
        <v>73.347414999999998</v>
      </c>
      <c r="F3" s="253">
        <f>(('Evolutive SFP'!D39+'Evolutive SFP'!D40+'Evolutive SFP'!D41+'Evolutive SFP'!D42+'Evolutive SFP'!D43+'Evolutive SFP'!D44)-'Evolutive SFP'!D10)/1000000</f>
        <v>81.032188000000005</v>
      </c>
      <c r="G3" s="253">
        <f>(('Evolutive SFP'!E39+'Evolutive SFP'!E40+'Evolutive SFP'!E41+'Evolutive SFP'!E42+'Evolutive SFP'!E43+'Evolutive SFP'!E44)-'Evolutive SFP'!E10)/1000000</f>
        <v>100.84640567550001</v>
      </c>
      <c r="H3" s="253">
        <f>(('Evolutive SFP'!F39+'Evolutive SFP'!F40+'Evolutive SFP'!F41+'Evolutive SFP'!F42+'Evolutive SFP'!F43+'Evolutive SFP'!F44)-'Evolutive SFP'!F10)/1000000</f>
        <v>146.85814999999999</v>
      </c>
      <c r="I3" s="253">
        <f>(('Evolutive SFP'!G39+'Evolutive SFP'!G40+'Evolutive SFP'!G41+'Evolutive SFP'!G42+'Evolutive SFP'!G43+'Evolutive SFP'!G44)-'Evolutive SFP'!G10)/1000000</f>
        <v>175.10938300000001</v>
      </c>
      <c r="J3" s="253">
        <f>(('Evolutive SFP'!H39+'Evolutive SFP'!H40+'Evolutive SFP'!H41+'Evolutive SFP'!H42+'Evolutive SFP'!H43+'Evolutive SFP'!H44)-'Evolutive SFP'!H10)/1000000</f>
        <v>190.50327899999999</v>
      </c>
      <c r="K3" s="253">
        <f>(('Evolutive SFP'!I39+'Evolutive SFP'!I40+'Evolutive SFP'!I41+'Evolutive SFP'!I42+'Evolutive SFP'!I43+'Evolutive SFP'!I44)-'Evolutive SFP'!I10)/1000000</f>
        <v>198.70819538000001</v>
      </c>
      <c r="L3" s="253">
        <f>(('Evolutive SFP'!J39+'Evolutive SFP'!J40+'Evolutive SFP'!J41+'Evolutive SFP'!J42+'Evolutive SFP'!J43+'Evolutive SFP'!J44)-'Evolutive SFP'!J10)/1000000</f>
        <v>195.91169672000001</v>
      </c>
      <c r="M3" s="253">
        <f>(('Evolutive SFP'!K39+'Evolutive SFP'!K40+'Evolutive SFP'!K41+'Evolutive SFP'!K42+'Evolutive SFP'!K43+'Evolutive SFP'!K44)-'Evolutive SFP'!K10)/1000000</f>
        <v>194.20861633999999</v>
      </c>
      <c r="N3" s="253">
        <f>(('Evolutive SFP'!L39+'Evolutive SFP'!L40+'Evolutive SFP'!L41+'Evolutive SFP'!L42+'Evolutive SFP'!L43+'Evolutive SFP'!L44)-'Evolutive SFP'!L10)/1000000</f>
        <v>194.33395260000003</v>
      </c>
      <c r="O3" s="253">
        <f>(('Evolutive SFP'!M39+'Evolutive SFP'!M40+'Evolutive SFP'!M41+'Evolutive SFP'!M42+'Evolutive SFP'!M43+'Evolutive SFP'!M44)-'Evolutive SFP'!M10)/1000000</f>
        <v>196.79190335999999</v>
      </c>
      <c r="P3" s="253">
        <f>(('Evolutive SFP'!N39+'Evolutive SFP'!N40+'Evolutive SFP'!N41+'Evolutive SFP'!N42+'Evolutive SFP'!N43+'Evolutive SFP'!N44)-'Evolutive SFP'!N10)/1000000</f>
        <v>207.68975276000003</v>
      </c>
      <c r="Q3" s="253">
        <f>(('Evolutive SFP'!O39+'Evolutive SFP'!O40+'Evolutive SFP'!O41+'Evolutive SFP'!O42+'Evolutive SFP'!O43+'Evolutive SFP'!O44)-'Evolutive SFP'!O10)/1000000</f>
        <v>204.86102513000003</v>
      </c>
      <c r="R3" s="253">
        <f>(('Evolutive SFP'!P39+'Evolutive SFP'!P40+'Evolutive SFP'!P41+'Evolutive SFP'!P42+'Evolutive SFP'!P43+'Evolutive SFP'!P44)-'Evolutive SFP'!P10)/1000000</f>
        <v>214.06512030999997</v>
      </c>
      <c r="S3" s="253">
        <f>(('Evolutive SFP'!Q39+'Evolutive SFP'!Q40+'Evolutive SFP'!Q41+'Evolutive SFP'!Q42+'Evolutive SFP'!Q43+'Evolutive SFP'!Q44)-'Evolutive SFP'!Q10)/1000000</f>
        <v>224.17409492999997</v>
      </c>
      <c r="T3" s="253">
        <f>(('Evolutive SFP'!R39+'Evolutive SFP'!R40+'Evolutive SFP'!R41+'Evolutive SFP'!R42+'Evolutive SFP'!R43+'Evolutive SFP'!R44)-'Evolutive SFP'!R10)/1000000</f>
        <v>227.59447319999998</v>
      </c>
      <c r="U3" s="253">
        <f>(('Evolutive SFP'!S39+'Evolutive SFP'!S40+'Evolutive SFP'!S41+'Evolutive SFP'!S42+'Evolutive SFP'!S43+'Evolutive SFP'!S44)-'Evolutive SFP'!S10)/1000000</f>
        <v>234.17236805999997</v>
      </c>
      <c r="V3" s="253">
        <f>(('Evolutive SFP'!T39+'Evolutive SFP'!T40+'Evolutive SFP'!T41+'Evolutive SFP'!T42+'Evolutive SFP'!T43+'Evolutive SFP'!T44)-'Evolutive SFP'!T10)/1000000</f>
        <v>205.32222789999997</v>
      </c>
      <c r="W3" s="253">
        <f>(('Evolutive SFP'!U39+'Evolutive SFP'!U40+'Evolutive SFP'!U41+'Evolutive SFP'!U42+'Evolutive SFP'!U43+'Evolutive SFP'!U44)-'Evolutive SFP'!U10)/1000000</f>
        <v>201.51331099999999</v>
      </c>
      <c r="X3" s="253">
        <f>(('Evolutive SFP'!V39+'Evolutive SFP'!V40+'Evolutive SFP'!V41+'Evolutive SFP'!V42+'Evolutive SFP'!V43+'Evolutive SFP'!V44)-'Evolutive SFP'!V10)/1000000</f>
        <v>202.03163286</v>
      </c>
      <c r="Y3" s="253">
        <f>(('Evolutive SFP'!W39+'Evolutive SFP'!W40+'Evolutive SFP'!W41+'Evolutive SFP'!W42+'Evolutive SFP'!W43+'Evolutive SFP'!W44)-'Evolutive SFP'!W10)/1000000</f>
        <v>205.99249383</v>
      </c>
      <c r="Z3" s="253">
        <f>(('Evolutive SFP'!X39+'Evolutive SFP'!X40+'Evolutive SFP'!X41+'Evolutive SFP'!X42+'Evolutive SFP'!X43+'Evolutive SFP'!X44)-'Evolutive SFP'!X10)/1000000</f>
        <v>207.50741574</v>
      </c>
      <c r="AA3" s="253">
        <f>(('Evolutive SFP'!Y39+'Evolutive SFP'!Y40+'Evolutive SFP'!Y41+'Evolutive SFP'!Y42+'Evolutive SFP'!Y43+'Evolutive SFP'!Y44)-'Evolutive SFP'!Y10)/1000000</f>
        <v>208.06545488</v>
      </c>
      <c r="AB3" s="253">
        <f>(('Evolutive SFP'!Z39+'Evolutive SFP'!Z40+'Evolutive SFP'!Z41+'Evolutive SFP'!Z42+'Evolutive SFP'!Z43+'Evolutive SFP'!Z44)-'Evolutive SFP'!Z10)/1000000</f>
        <v>212.65183702000002</v>
      </c>
      <c r="AC3" s="253">
        <f>(('Evolutive SFP'!AA39+'Evolutive SFP'!AA40+'Evolutive SFP'!AA41+'Evolutive SFP'!AA42+'Evolutive SFP'!AA43+'Evolutive SFP'!AA44)-'Evolutive SFP'!AA10)/1000000</f>
        <v>227.03816615</v>
      </c>
      <c r="AD3" s="253">
        <f>(('Evolutive SFP'!AB39+'Evolutive SFP'!AB40+'Evolutive SFP'!AB41+'Evolutive SFP'!AB42+'Evolutive SFP'!AB43+'Evolutive SFP'!AB44)-'Evolutive SFP'!AB10)/1000000</f>
        <v>229.59831333000002</v>
      </c>
      <c r="AE3" s="253">
        <f>(('Evolutive SFP'!AC39+'Evolutive SFP'!AC40+'Evolutive SFP'!AC41+'Evolutive SFP'!AC42+'Evolutive SFP'!AC43+'Evolutive SFP'!AC44)-'Evolutive SFP'!AC10)/1000000</f>
        <v>234.54176477999999</v>
      </c>
      <c r="AF3" s="253">
        <f>(('Evolutive SFP'!AD39+'Evolutive SFP'!AD40+'Evolutive SFP'!AD41+'Evolutive SFP'!AD42+'Evolutive SFP'!AD43+'Evolutive SFP'!AD44)-'Evolutive SFP'!AD10)/1000000</f>
        <v>238.10240427000002</v>
      </c>
      <c r="AG3" s="253">
        <f>(('Evolutive SFP'!AE39+'Evolutive SFP'!AE40+'Evolutive SFP'!AE41+'Evolutive SFP'!AE42+'Evolutive SFP'!AE43+'Evolutive SFP'!AE44)-'Evolutive SFP'!AE10)/1000000</f>
        <v>244.80577785000003</v>
      </c>
      <c r="AH3" s="253">
        <f>(('Evolutive SFP'!AF39+'Evolutive SFP'!AF40+'Evolutive SFP'!AF41+'Evolutive SFP'!AF42+'Evolutive SFP'!AF43+'Evolutive SFP'!AF44)-'Evolutive SFP'!AF10)/1000000</f>
        <v>251.99143305000001</v>
      </c>
      <c r="AI3" s="253">
        <f>(('Evolutive SFP'!AG39+'Evolutive SFP'!AG40+'Evolutive SFP'!AG41+'Evolutive SFP'!AG42+'Evolutive SFP'!AG43+'Evolutive SFP'!AG44)-'Evolutive SFP'!AG10)/1000000</f>
        <v>237.30990168</v>
      </c>
      <c r="AJ3" s="253">
        <f>(('Evolutive SFP'!AH39+'Evolutive SFP'!AH40+'Evolutive SFP'!AH41+'Evolutive SFP'!AH42+'Evolutive SFP'!AH43+'Evolutive SFP'!AH44)-'Evolutive SFP'!AH10)/1000000</f>
        <v>237.28285750200004</v>
      </c>
      <c r="AK3" s="253">
        <f>(('Evolutive SFP'!AI39+'Evolutive SFP'!AI40+'Evolutive SFP'!AI41+'Evolutive SFP'!AI42+'Evolutive SFP'!AI43+'Evolutive SFP'!AI44)-'Evolutive SFP'!AI10)/1000000</f>
        <v>241.70681094</v>
      </c>
      <c r="AL3" s="253">
        <f>(('Evolutive SFP'!AJ39+'Evolutive SFP'!AJ40+'Evolutive SFP'!AJ41+'Evolutive SFP'!AJ42+'Evolutive SFP'!AJ43+'Evolutive SFP'!AJ44)-'Evolutive SFP'!AJ10)/1000000</f>
        <v>245.13741694000001</v>
      </c>
      <c r="AM3" s="253">
        <f>(('Evolutive SFP'!AK39+'Evolutive SFP'!AK40+'Evolutive SFP'!AK41+'Evolutive SFP'!AK42+'Evolutive SFP'!AK43+'Evolutive SFP'!AK44)-'Evolutive SFP'!AK10)/1000000</f>
        <v>248.04930739</v>
      </c>
      <c r="AN3" s="253">
        <f>(('Evolutive SFP'!AL39+'Evolutive SFP'!AL40+'Evolutive SFP'!AL41+'Evolutive SFP'!AL42+'Evolutive SFP'!AL43+'Evolutive SFP'!AL44)-'Evolutive SFP'!AL10)/1000000</f>
        <v>247.59886344999998</v>
      </c>
      <c r="AO3" s="253">
        <f>(('Evolutive SFP'!AM39+'Evolutive SFP'!AM40+'Evolutive SFP'!AM41+'Evolutive SFP'!AM42+'Evolutive SFP'!AM43+'Evolutive SFP'!AM44)-'Evolutive SFP'!AM10)/1000000</f>
        <v>258.21707850000001</v>
      </c>
      <c r="AP3" s="253">
        <f>(('Evolutive SFP'!AN39+'Evolutive SFP'!AN40+'Evolutive SFP'!AN41+'Evolutive SFP'!AN42+'Evolutive SFP'!AN43+'Evolutive SFP'!AN44)-'Evolutive SFP'!AN10)/1000000</f>
        <v>272.60842684000005</v>
      </c>
      <c r="AQ3" s="253">
        <f>(('Evolutive SFP'!AO39+'Evolutive SFP'!AO40+'Evolutive SFP'!AO41+'Evolutive SFP'!AO42+'Evolutive SFP'!AO43+'Evolutive SFP'!AO44)-'Evolutive SFP'!AO10)/1000000</f>
        <v>276.47615246000004</v>
      </c>
      <c r="AR3" s="253">
        <f>(('Evolutive SFP'!AP39+'Evolutive SFP'!AP40+'Evolutive SFP'!AP41+'Evolutive SFP'!AP42+'Evolutive SFP'!AP43+'Evolutive SFP'!AP44)-'Evolutive SFP'!AP10)/1000000</f>
        <v>275.78283419000002</v>
      </c>
      <c r="AS3" s="253">
        <f>(('Evolutive SFP'!AQ39+'Evolutive SFP'!AQ40+'Evolutive SFP'!AQ41+'Evolutive SFP'!AQ42+'Evolutive SFP'!AQ43+'Evolutive SFP'!AQ44)-'Evolutive SFP'!AQ10)/1000000</f>
        <v>277.69951362</v>
      </c>
      <c r="AT3" s="253">
        <f>(('Evolutive SFP'!AR39+'Evolutive SFP'!AR40+'Evolutive SFP'!AR41+'Evolutive SFP'!AR42+'Evolutive SFP'!AR43+'Evolutive SFP'!AR44)-'Evolutive SFP'!AR10)/1000000</f>
        <v>280.19761009000001</v>
      </c>
      <c r="AU3" s="253">
        <f>(('Evolutive SFP'!AS39+'Evolutive SFP'!AS40+'Evolutive SFP'!AS41+'Evolutive SFP'!AS42+'Evolutive SFP'!AS43+'Evolutive SFP'!AS44)-'Evolutive SFP'!AS10)/1000000</f>
        <v>274.52291327999995</v>
      </c>
      <c r="AV3" s="253">
        <f>(('Evolutive SFP'!AT39+'Evolutive SFP'!AT40+'Evolutive SFP'!AT41+'Evolutive SFP'!AT42+'Evolutive SFP'!AT43+'Evolutive SFP'!AT44)-'Evolutive SFP'!AT10)/1000000</f>
        <v>265.56239514999999</v>
      </c>
      <c r="AW3" s="253">
        <f>(('Evolutive SFP'!AU39+'Evolutive SFP'!AU40+'Evolutive SFP'!AU41+'Evolutive SFP'!AU42+'Evolutive SFP'!AU43+'Evolutive SFP'!AU44)-'Evolutive SFP'!AU10)/1000000</f>
        <v>264.63763384250001</v>
      </c>
      <c r="AX3" s="253">
        <f>(('Evolutive SFP'!AV39+'Evolutive SFP'!AV40+'Evolutive SFP'!AV41+'Evolutive SFP'!AV42+'Evolutive SFP'!AV43+'Evolutive SFP'!AV44)-'Evolutive SFP'!AV10)/1000000</f>
        <v>272.50128569999998</v>
      </c>
      <c r="AY3" s="253">
        <f>(('Evolutive SFP'!AW39+'Evolutive SFP'!AW40+'Evolutive SFP'!AW41+'Evolutive SFP'!AW42+'Evolutive SFP'!AW43+'Evolutive SFP'!AW44)-'Evolutive SFP'!AW10)/1000000</f>
        <v>275.16598785000002</v>
      </c>
      <c r="AZ3" s="253">
        <f>(('Evolutive SFP'!AW39+'Evolutive SFP'!AW40+'Evolutive SFP'!AW41+'Evolutive SFP'!AW42+'Evolutive SFP'!AW43+'Evolutive SFP'!AW44)-'Evolutive SFP'!AW10)/1000000</f>
        <v>275.16598785000002</v>
      </c>
      <c r="BA3" s="253">
        <f>(('Evolutive SFP'!AX39+'Evolutive SFP'!AX40+'Evolutive SFP'!AX41+'Evolutive SFP'!AX42+'Evolutive SFP'!AX43+'Evolutive SFP'!AX44)-'Evolutive SFP'!AX10)/1000000</f>
        <v>287.48733085999999</v>
      </c>
      <c r="BB3" s="253">
        <f>(('Evolutive SFP'!AY39+'Evolutive SFP'!AY40+'Evolutive SFP'!AY41+'Evolutive SFP'!AY42+'Evolutive SFP'!AY43+'Evolutive SFP'!AY44)-'Evolutive SFP'!AY10)/1000000</f>
        <v>283.85585696000004</v>
      </c>
      <c r="BC3" s="253">
        <f>(('Evolutive SFP'!AZ39+'Evolutive SFP'!AZ40+'Evolutive SFP'!AZ41+'Evolutive SFP'!AZ42+'Evolutive SFP'!AZ43+'Evolutive SFP'!AZ44)-'Evolutive SFP'!AZ10)/1000000</f>
        <v>284.13942180000004</v>
      </c>
      <c r="BD3" s="253">
        <f>(('Evolutive SFP'!BA39+'Evolutive SFP'!BA40+'Evolutive SFP'!BA41+'Evolutive SFP'!BA42+'Evolutive SFP'!BA43+'Evolutive SFP'!BA44)-'Evolutive SFP'!BA10)/1000000</f>
        <v>0</v>
      </c>
      <c r="BE3" s="253">
        <f>(('Evolutive SFP'!BB39+'Evolutive SFP'!BB40+'Evolutive SFP'!BB41+'Evolutive SFP'!BB42+'Evolutive SFP'!BB43+'Evolutive SFP'!BB44)-'Evolutive SFP'!BB10)/1000000</f>
        <v>1434.1501927500001</v>
      </c>
      <c r="BF3" s="253">
        <f>(('Evolutive SFP'!BC39+'Evolutive SFP'!BC40+'Evolutive SFP'!BC41+'Evolutive SFP'!BC42+'Evolutive SFP'!BC43+'Evolutive SFP'!BC44)-'Evolutive SFP'!BC10)/1000000</f>
        <v>288.13852654999999</v>
      </c>
      <c r="BG3" s="253">
        <f>(('Evolutive SFP'!BD39+'Evolutive SFP'!BD40+'Evolutive SFP'!BD41+'Evolutive SFP'!BD42+'Evolutive SFP'!BD43+'Evolutive SFP'!BD44)-'Evolutive SFP'!BD10)/1000000</f>
        <v>288.99517472000002</v>
      </c>
      <c r="BH3" s="253">
        <f>(('Evolutive SFP'!BE39+'Evolutive SFP'!BE40+'Evolutive SFP'!BE41+'Evolutive SFP'!BE42+'Evolutive SFP'!BE43+'Evolutive SFP'!BE44)-'Evolutive SFP'!BE10)/1000000</f>
        <v>288.47142312</v>
      </c>
      <c r="BI3" s="253">
        <f>(('Evolutive SFP'!BF39+'Evolutive SFP'!BF40+'Evolutive SFP'!BF41+'Evolutive SFP'!BF42+'Evolutive SFP'!BF43+'Evolutive SFP'!BF44)-'Evolutive SFP'!BF10)/1000000</f>
        <v>290.70149713999996</v>
      </c>
      <c r="BJ3" s="253">
        <f>(('Evolutive SFP'!BG39+'Evolutive SFP'!BG40+'Evolutive SFP'!BG41+'Evolutive SFP'!BG42+'Evolutive SFP'!BG43+'Evolutive SFP'!BG44)-'Evolutive SFP'!BG10)/1000000</f>
        <v>290.70149800000002</v>
      </c>
      <c r="BK3" s="253">
        <f>(('Evolutive SFP'!BH39+'Evolutive SFP'!BH40+'Evolutive SFP'!BH41+'Evolutive SFP'!BH42+'Evolutive SFP'!BH43+'Evolutive SFP'!BH44)-'Evolutive SFP'!BH10)/1000000</f>
        <v>293.81611690999995</v>
      </c>
      <c r="BL3" s="253">
        <f>(('Evolutive SFP'!BI39+'Evolutive SFP'!BI40+'Evolutive SFP'!BI41+'Evolutive SFP'!BI42+'Evolutive SFP'!BI43+'Evolutive SFP'!BI44)-'Evolutive SFP'!BI10)/1000000</f>
        <v>289.93354239000001</v>
      </c>
      <c r="BM3" s="253">
        <f>(('Evolutive SFP'!BJ39+'Evolutive SFP'!BJ40+'Evolutive SFP'!BJ41+'Evolutive SFP'!BJ42+'Evolutive SFP'!BJ43+'Evolutive SFP'!BJ44)-'Evolutive SFP'!BJ10)/1000000</f>
        <v>290.88832721000006</v>
      </c>
      <c r="BN3" s="253">
        <f>(('Evolutive SFP'!BK39+'Evolutive SFP'!BK40+'Evolutive SFP'!BK41+'Evolutive SFP'!BK42+'Evolutive SFP'!BK43+'Evolutive SFP'!BK44)-'Evolutive SFP'!BK10)/1000000</f>
        <v>309.25123235000001</v>
      </c>
      <c r="BO3" s="253">
        <f>(('Evolutive SFP'!BL39+'Evolutive SFP'!BL40+'Evolutive SFP'!BL41+'Evolutive SFP'!BL42+'Evolutive SFP'!BL43+'Evolutive SFP'!BL44)-'Evolutive SFP'!BL10)/1000000</f>
        <v>309.13661409000002</v>
      </c>
      <c r="BP3" s="253">
        <f>(('Evolutive SFP'!BM39+'Evolutive SFP'!BM40+'Evolutive SFP'!BM41+'Evolutive SFP'!BM42+'Evolutive SFP'!BM43+'Evolutive SFP'!BM44)-'Evolutive SFP'!BM10)/1000000</f>
        <v>311.93809751999999</v>
      </c>
      <c r="BQ3" s="253">
        <f>(('Evolutive SFP'!BN39+'Evolutive SFP'!BN40+'Evolutive SFP'!BN41+'Evolutive SFP'!BN42+'Evolutive SFP'!BN43+'Evolutive SFP'!BN44)-'Evolutive SFP'!BN10)/1000000</f>
        <v>307.63819310000002</v>
      </c>
      <c r="BR3" s="253">
        <f>(('Evolutive SFP'!BO39+'Evolutive SFP'!BO40+'Evolutive SFP'!BO41+'Evolutive SFP'!BO42+'Evolutive SFP'!BO43+'Evolutive SFP'!BO44)-'Evolutive SFP'!BO10)/1000000</f>
        <v>316.59788311</v>
      </c>
      <c r="BS3" s="253">
        <f>(('Evolutive SFP'!BP39+'Evolutive SFP'!BP40+'Evolutive SFP'!BP41+'Evolutive SFP'!BP42+'Evolutive SFP'!BP43+'Evolutive SFP'!BP44)-'Evolutive SFP'!BP10)/1000000</f>
        <v>320.64782587999997</v>
      </c>
      <c r="BT3" s="253">
        <f>(('Evolutive SFP'!BQ39+'Evolutive SFP'!BQ40+'Evolutive SFP'!BQ41+'Evolutive SFP'!BQ42+'Evolutive SFP'!BQ43+'Evolutive SFP'!BQ44)-'Evolutive SFP'!BQ10)/1000000</f>
        <v>326.70408129000003</v>
      </c>
      <c r="BU3" s="253">
        <f>(('Evolutive SFP'!BR39+'Evolutive SFP'!BR40+'Evolutive SFP'!BR41+'Evolutive SFP'!BR42+'Evolutive SFP'!BR43+'Evolutive SFP'!BR44)-'Evolutive SFP'!BR10)/1000000</f>
        <v>329.79637806</v>
      </c>
      <c r="BV3" s="253">
        <f>(('Evolutive SFP'!BS39+'Evolutive SFP'!BS40+'Evolutive SFP'!BS41+'Evolutive SFP'!BS42+'Evolutive SFP'!BS43+'Evolutive SFP'!BS44)-'Evolutive SFP'!BS10)/1000000</f>
        <v>320.24268283999999</v>
      </c>
      <c r="BW3" s="253">
        <f>(('Evolutive SFP'!BT39+'Evolutive SFP'!BT40+'Evolutive SFP'!BT41+'Evolutive SFP'!BT42+'Evolutive SFP'!BT43+'Evolutive SFP'!BT44)-'Evolutive SFP'!BT10)/1000000</f>
        <v>311.51526799999999</v>
      </c>
      <c r="BX3" s="253">
        <f>(('Evolutive SFP'!BU39+'Evolutive SFP'!BU40+'Evolutive SFP'!BU41+'Evolutive SFP'!BU42+'Evolutive SFP'!BU43+'Evolutive SFP'!BU44)-'Evolutive SFP'!BU10)/1000000</f>
        <v>312.48629665999999</v>
      </c>
      <c r="BY3" s="253">
        <f>(('Evolutive SFP'!BV39+'Evolutive SFP'!BV40+'Evolutive SFP'!BV41+'Evolutive SFP'!BV42+'Evolutive SFP'!BV43+'Evolutive SFP'!BV44)-'Evolutive SFP'!BV10)/1000000</f>
        <v>314.09460874000001</v>
      </c>
      <c r="BZ3" s="253">
        <f>(('Evolutive SFP'!BW39+'Evolutive SFP'!BW40+'Evolutive SFP'!BW41+'Evolutive SFP'!BW42+'Evolutive SFP'!BW43+'Evolutive SFP'!BW44)-'Evolutive SFP'!BW10)/1000000</f>
        <v>314.38862153999997</v>
      </c>
      <c r="CA3" s="253">
        <f>(('Evolutive SFP'!BX39+'Evolutive SFP'!BX40+'Evolutive SFP'!BX41+'Evolutive SFP'!BX42+'Evolutive SFP'!BX43+'Evolutive SFP'!BX44)-'Evolutive SFP'!BX10)/1000000</f>
        <v>315.63562286000001</v>
      </c>
      <c r="CB3" s="253">
        <f>(('Evolutive SFP'!BY39+'Evolutive SFP'!BY40+'Evolutive SFP'!BY41+'Evolutive SFP'!BY42+'Evolutive SFP'!BY43+'Evolutive SFP'!BY44)-'Evolutive SFP'!BY10)/1000000</f>
        <v>315.80802085000005</v>
      </c>
      <c r="CC3" s="253">
        <f>(('Evolutive SFP'!BZ39+'Evolutive SFP'!BZ40+'Evolutive SFP'!BZ41+'Evolutive SFP'!BZ42+'Evolutive SFP'!BZ43+'Evolutive SFP'!BZ44)-'Evolutive SFP'!BZ10)/1000000</f>
        <v>334.26536605000001</v>
      </c>
      <c r="CD3" s="253">
        <f>(('Evolutive SFP'!CA39+'Evolutive SFP'!CA40+'Evolutive SFP'!CA41+'Evolutive SFP'!CA42+'Evolutive SFP'!CA43+'Evolutive SFP'!CA44)-'Evolutive SFP'!CA10)/1000000</f>
        <v>332.87630017000004</v>
      </c>
      <c r="CE3" s="253">
        <f>(('Evolutive SFP'!CB39+'Evolutive SFP'!CB40+'Evolutive SFP'!CB41+'Evolutive SFP'!CB42+'Evolutive SFP'!CB43+'Evolutive SFP'!CB44)-'Evolutive SFP'!CB10)/1000000</f>
        <v>334.10802344000001</v>
      </c>
      <c r="CF3" s="253">
        <f>(('Evolutive SFP'!CC39+'Evolutive SFP'!CC40+'Evolutive SFP'!CC41+'Evolutive SFP'!CC42+'Evolutive SFP'!CC43+'Evolutive SFP'!CC44)-'Evolutive SFP'!CC10)/1000000</f>
        <v>339.18126261999998</v>
      </c>
      <c r="CG3" s="253">
        <f>(('Evolutive SFP'!CD39+'Evolutive SFP'!CD40+'Evolutive SFP'!CD41+'Evolutive SFP'!CD42+'Evolutive SFP'!CD43+'Evolutive SFP'!CD44)-'Evolutive SFP'!CD10)/1000000</f>
        <v>342.20418544</v>
      </c>
      <c r="CH3" s="253">
        <f>(('Evolutive SFP'!CE39+'Evolutive SFP'!CE40+'Evolutive SFP'!CE41+'Evolutive SFP'!CE42+'Evolutive SFP'!CE43+'Evolutive SFP'!CE44)-'Evolutive SFP'!CE10)/1000000</f>
        <v>341.99619067999998</v>
      </c>
      <c r="CI3" s="253">
        <f>(('Evolutive SFP'!CF39+'Evolutive SFP'!CF40+'Evolutive SFP'!CF41+'Evolutive SFP'!CF42+'Evolutive SFP'!CF43+'Evolutive SFP'!CF44)-'Evolutive SFP'!CF10)/1000000</f>
        <v>318.70094692999999</v>
      </c>
      <c r="CJ3" s="253">
        <f>(('Evolutive SFP'!CG39+'Evolutive SFP'!CG40+'Evolutive SFP'!CG41+'Evolutive SFP'!CG42+'Evolutive SFP'!CG43+'Evolutive SFP'!CG44)-'Evolutive SFP'!CG10)/1000000</f>
        <v>319.77197709000001</v>
      </c>
      <c r="CK3" s="253">
        <f>(('Evolutive SFP'!CH39+'Evolutive SFP'!CH40+'Evolutive SFP'!CH41+'Evolutive SFP'!CH42+'Evolutive SFP'!CH43+'Evolutive SFP'!CH44)-'Evolutive SFP'!CH10)/1000000</f>
        <v>322.15289114000001</v>
      </c>
      <c r="CL3" s="253">
        <f>(('Evolutive SFP'!CI39+'Evolutive SFP'!CI40+'Evolutive SFP'!CI41+'Evolutive SFP'!CI42+'Evolutive SFP'!CI43+'Evolutive SFP'!CI44)-'Evolutive SFP'!CI10)/1000000</f>
        <v>333.25573144000003</v>
      </c>
      <c r="CM3" s="253">
        <f>(('Evolutive SFP'!CJ39+'Evolutive SFP'!CJ40+'Evolutive SFP'!CJ41+'Evolutive SFP'!CJ42+'Evolutive SFP'!CJ43+'Evolutive SFP'!CJ44)-'Evolutive SFP'!CJ10)/1000000</f>
        <v>325.75618722999997</v>
      </c>
      <c r="CN3" s="253">
        <f>(('Evolutive SFP'!CK39+'Evolutive SFP'!CK40+'Evolutive SFP'!CK41+'Evolutive SFP'!CK42+'Evolutive SFP'!CK43+'Evolutive SFP'!CK44)-'Evolutive SFP'!CK10)/1000000</f>
        <v>322.61333618000003</v>
      </c>
      <c r="CO3" s="253">
        <f>(('Evolutive SFP'!CL39+'Evolutive SFP'!CL40+'Evolutive SFP'!CL41+'Evolutive SFP'!CL42+'Evolutive SFP'!CL43+'Evolutive SFP'!CL44)-'Evolutive SFP'!CL10)/1000000</f>
        <v>319.97924462000003</v>
      </c>
      <c r="CP3" s="253">
        <f>(('Evolutive SFP'!CM39+'Evolutive SFP'!CM40+'Evolutive SFP'!CM41+'Evolutive SFP'!CM42+'Evolutive SFP'!CM43+'Evolutive SFP'!CM44)-'Evolutive SFP'!CM10)/1000000</f>
        <v>333.03698014999998</v>
      </c>
      <c r="CQ3" s="253">
        <f>(('Evolutive SFP'!CN39+'Evolutive SFP'!CN40+'Evolutive SFP'!CN41+'Evolutive SFP'!CN42+'Evolutive SFP'!CN43+'Evolutive SFP'!CN44)-'Evolutive SFP'!CN10)/1000000</f>
        <v>325.85001195999996</v>
      </c>
      <c r="CR3" s="253">
        <f>(('Evolutive SFP'!CO39+'Evolutive SFP'!CO40+'Evolutive SFP'!CO41+'Evolutive SFP'!CO42+'Evolutive SFP'!CO43+'Evolutive SFP'!CO44)-'Evolutive SFP'!CO10)/1000000</f>
        <v>326.59103869</v>
      </c>
      <c r="CS3" s="253">
        <f>(('Evolutive SFP'!CP39+'Evolutive SFP'!CP40+'Evolutive SFP'!CP41+'Evolutive SFP'!CP42+'Evolutive SFP'!CP43+'Evolutive SFP'!CP44)-'Evolutive SFP'!CP10)/1000000</f>
        <v>328.51464075999996</v>
      </c>
    </row>
    <row r="4" spans="1:97" ht="36.75">
      <c r="A4" s="264"/>
      <c r="B4" s="174" t="s">
        <v>116</v>
      </c>
      <c r="C4" s="175" t="s">
        <v>117</v>
      </c>
      <c r="D4" s="176">
        <f>D3/(('Evolutive SFP'!B27)/1000000)</f>
        <v>0.11280410111915577</v>
      </c>
      <c r="E4" s="176">
        <f>E3/(('Evolutive SFP'!C27)/1000000)</f>
        <v>0.17342869471810454</v>
      </c>
      <c r="F4" s="176">
        <f>F3/(('Evolutive SFP'!D27)/1000000)</f>
        <v>0.1782266960409235</v>
      </c>
      <c r="G4" s="176">
        <f>G3/(('Evolutive SFP'!E27)/1000000)</f>
        <v>0.19830832610493365</v>
      </c>
      <c r="H4" s="176">
        <f>H3/(('Evolutive SFP'!F27)/1000000)</f>
        <v>0.274786618607754</v>
      </c>
      <c r="I4" s="176">
        <f>I3/(('Evolutive SFP'!G27)/1000000)</f>
        <v>0.28982568839210232</v>
      </c>
      <c r="J4" s="176">
        <f>J3/(('Evolutive SFP'!H27)/1000000)</f>
        <v>0.27332524642174738</v>
      </c>
      <c r="K4" s="176">
        <f>K3/(('Evolutive SFP'!I27)/1000000)</f>
        <v>0.28074015807000591</v>
      </c>
      <c r="L4" s="176">
        <f>L3/(('Evolutive SFP'!J27)/1000000)</f>
        <v>0.27530028746399499</v>
      </c>
      <c r="M4" s="176">
        <f>M3/(('Evolutive SFP'!K27)/1000000)</f>
        <v>0.27680300746172204</v>
      </c>
      <c r="N4" s="176">
        <f>N3/(('Evolutive SFP'!L27)/1000000)</f>
        <v>0.28455707249226275</v>
      </c>
      <c r="O4" s="176">
        <f>O3/(('Evolutive SFP'!M27)/1000000)</f>
        <v>0.28343878046202264</v>
      </c>
      <c r="P4" s="176">
        <f>P3/(('Evolutive SFP'!N27)/1000000)</f>
        <v>0.29346920675823107</v>
      </c>
      <c r="Q4" s="176">
        <f>Q3/(('Evolutive SFP'!O27)/1000000)</f>
        <v>0.29241398813944347</v>
      </c>
      <c r="R4" s="176">
        <f>R3/(('Evolutive SFP'!P27)/1000000)</f>
        <v>0.29356434007857873</v>
      </c>
      <c r="S4" s="176">
        <f>S3/(('Evolutive SFP'!Q27)/1000000)</f>
        <v>0.30322428539495533</v>
      </c>
      <c r="T4" s="176">
        <f>T3/(('Evolutive SFP'!R27)/1000000)</f>
        <v>0.30073124685382269</v>
      </c>
      <c r="U4" s="176">
        <f>U3/(('Evolutive SFP'!S27)/1000000)</f>
        <v>0.30152791808840551</v>
      </c>
      <c r="V4" s="176">
        <f>V3/(('Evolutive SFP'!T27)/1000000)</f>
        <v>0.26132558979005677</v>
      </c>
      <c r="W4" s="176">
        <f>W3/(('Evolutive SFP'!U27)/1000000)</f>
        <v>0.25660084611869666</v>
      </c>
      <c r="X4" s="176">
        <f>X3/(('Evolutive SFP'!V27)/1000000)</f>
        <v>0.25531032892706862</v>
      </c>
      <c r="Y4" s="176">
        <f>Y3/(('Evolutive SFP'!W27)/1000000)</f>
        <v>0.25634153732856263</v>
      </c>
      <c r="Z4" s="176">
        <f>Z3/(('Evolutive SFP'!X27)/1000000)</f>
        <v>0.26191206158774077</v>
      </c>
      <c r="AA4" s="176">
        <f>AA3/(('Evolutive SFP'!Y27)/1000000)</f>
        <v>0.26601044042955374</v>
      </c>
      <c r="AB4" s="176">
        <f>AB3/(('Evolutive SFP'!Z27)/1000000)</f>
        <v>0.26788704775739464</v>
      </c>
      <c r="AC4" s="176">
        <f>AC3/(('Evolutive SFP'!AA27)/1000000)</f>
        <v>0.27710591239886856</v>
      </c>
      <c r="AD4" s="176">
        <f>AD3/(('Evolutive SFP'!AB27)/1000000)</f>
        <v>0.27610758351959108</v>
      </c>
      <c r="AE4" s="176">
        <f>AE3/(('Evolutive SFP'!AC27)/1000000)</f>
        <v>0.27874258953941011</v>
      </c>
      <c r="AF4" s="176">
        <f>AF3/(('Evolutive SFP'!AD27)/1000000)</f>
        <v>0.27782028809269921</v>
      </c>
      <c r="AG4" s="176">
        <f>AG3/(('Evolutive SFP'!AE27)/1000000)</f>
        <v>0.2831350581097381</v>
      </c>
      <c r="AH4" s="176">
        <f>AH3/(('Evolutive SFP'!AF27)/1000000)</f>
        <v>0.28624921994127567</v>
      </c>
      <c r="AI4" s="176">
        <f>AI3/(('Evolutive SFP'!AG27)/1000000)</f>
        <v>0.26936869563501675</v>
      </c>
      <c r="AJ4" s="176">
        <f>AJ3/(('Evolutive SFP'!AH27)/1000000)</f>
        <v>0.26933799840496492</v>
      </c>
      <c r="AK4" s="176">
        <f>AK3/(('Evolutive SFP'!AI27)/1000000)</f>
        <v>0.28905044394374485</v>
      </c>
      <c r="AL4" s="176">
        <f>AL3/(('Evolutive SFP'!AJ27)/1000000)</f>
        <v>0.29175692979445217</v>
      </c>
      <c r="AM4" s="176">
        <f>AM3/(('Evolutive SFP'!AK27)/1000000)</f>
        <v>0.3007672188312191</v>
      </c>
      <c r="AN4" s="176">
        <f>AN3/(('Evolutive SFP'!AL27)/1000000)</f>
        <v>0.30621735932829536</v>
      </c>
      <c r="AO4" s="176">
        <f>AO3/(('Evolutive SFP'!AM27)/1000000)</f>
        <v>0.31412284315186928</v>
      </c>
      <c r="AP4" s="176">
        <f>AP3/(('Evolutive SFP'!AN27)/1000000)</f>
        <v>0.32362608140205112</v>
      </c>
      <c r="AQ4" s="176">
        <f>AQ3/(('Evolutive SFP'!AO27)/1000000)</f>
        <v>0.32860332656142521</v>
      </c>
      <c r="AR4" s="176">
        <f>AR3/(('Evolutive SFP'!AP27)/1000000)</f>
        <v>0.32141733937943429</v>
      </c>
      <c r="AS4" s="176">
        <f>AS3/(('Evolutive SFP'!AQ27)/1000000)</f>
        <v>0.3197838669554417</v>
      </c>
      <c r="AT4" s="176">
        <f>AT3/(('Evolutive SFP'!AR27)/1000000)</f>
        <v>0.31765901924749479</v>
      </c>
      <c r="AU4" s="176">
        <f>AU3/(('Evolutive SFP'!AS27)/1000000)</f>
        <v>0.30849713680899954</v>
      </c>
      <c r="AV4" s="176">
        <f>AV3/(('Evolutive SFP'!AT27)/1000000)</f>
        <v>0.29725580828490134</v>
      </c>
      <c r="AW4" s="176">
        <f>AW3/(('Evolutive SFP'!AU27)/1000000)</f>
        <v>0.29659571982482763</v>
      </c>
      <c r="AX4" s="176">
        <f>AX3/(('Evolutive SFP'!AV27)/1000000)</f>
        <v>0.29670836040257853</v>
      </c>
      <c r="AY4" s="176">
        <f>AY3/(('Evolutive SFP'!AW27)/1000000)</f>
        <v>0.30614479998998528</v>
      </c>
      <c r="AZ4" s="176">
        <f>AZ3/(('Evolutive SFP'!AX27)/1000000)</f>
        <v>0.30081109725672328</v>
      </c>
      <c r="BA4" s="176">
        <f>BA3/(('Evolutive SFP'!AX27)/1000000)</f>
        <v>0.31428077328563353</v>
      </c>
      <c r="BB4" s="176">
        <f>BB3/(('Evolutive SFP'!AY27)/1000000)</f>
        <v>0.31056494386564015</v>
      </c>
      <c r="BC4" s="176">
        <f>BC3/(('Evolutive SFP'!AZ27)/1000000)</f>
        <v>0.31239276412015821</v>
      </c>
      <c r="BD4" s="176" t="e">
        <f>BD3/(('Evolutive SFP'!BA27)/1000000)</f>
        <v>#DIV/0!</v>
      </c>
      <c r="BE4" s="176">
        <f>BE3/(('Evolutive SFP'!BB27)/1000000)</f>
        <v>0.30641549070274354</v>
      </c>
      <c r="BF4" s="176">
        <f>BF3/(('Evolutive SFP'!BC27)/1000000)</f>
        <v>0.30806241767181697</v>
      </c>
      <c r="BG4" s="176">
        <f>BG3/(('Evolutive SFP'!BD27)/1000000)</f>
        <v>0.30399338240049745</v>
      </c>
      <c r="BH4" s="176">
        <f>BH3/(('Evolutive SFP'!BE27)/1000000)</f>
        <v>0.30218942831658796</v>
      </c>
      <c r="BI4" s="176">
        <f>BI3/(('Evolutive SFP'!BF27)/1000000)</f>
        <v>0.29965469645981041</v>
      </c>
      <c r="BJ4" s="176">
        <f>BJ3/(('Evolutive SFP'!BG27)/1000000)</f>
        <v>0.29969839496604223</v>
      </c>
      <c r="BK4" s="176">
        <f>BK3/(('Evolutive SFP'!BH27)/1000000)</f>
        <v>0.29903854171702138</v>
      </c>
      <c r="BL4" s="176">
        <f>BL3/(('Evolutive SFP'!BI27)/1000000)</f>
        <v>0.30375232899187188</v>
      </c>
      <c r="BM4" s="176">
        <f>BM3/(('Evolutive SFP'!BJ27)/1000000)</f>
        <v>0.30202324731409902</v>
      </c>
      <c r="BN4" s="176">
        <f>BN3/(('Evolutive SFP'!BK27)/1000000)</f>
        <v>0.3143469939630858</v>
      </c>
      <c r="BO4" s="176">
        <f>BO3/(('Evolutive SFP'!BL27)/1000000)</f>
        <v>0.31212788318422396</v>
      </c>
      <c r="BP4" s="176">
        <f>BP3/(('Evolutive SFP'!BM27)/1000000)</f>
        <v>0.31110762256393126</v>
      </c>
      <c r="BQ4" s="176">
        <f>BQ3/(('Evolutive SFP'!BN27)/1000000)</f>
        <v>0.30033694711319553</v>
      </c>
      <c r="BR4" s="176">
        <f>BR3/(('Evolutive SFP'!BO27)/1000000)</f>
        <v>0.30378333275276026</v>
      </c>
      <c r="BS4" s="176">
        <f>BS3/(('Evolutive SFP'!BP27)/1000000)</f>
        <v>0.30463060432037475</v>
      </c>
      <c r="BT4" s="176">
        <f>BT3/(('Evolutive SFP'!BQ27)/1000000)</f>
        <v>0.30466968224858942</v>
      </c>
      <c r="BU4" s="176">
        <f>BU3/(('Evolutive SFP'!BR27)/1000000)</f>
        <v>0.30126067134762108</v>
      </c>
      <c r="BV4" s="176">
        <f>BV3/(('Evolutive SFP'!BS27)/1000000)</f>
        <v>0.29122785431854892</v>
      </c>
      <c r="BW4" s="176">
        <f>BW3/(('Evolutive SFP'!BT27)/1000000)</f>
        <v>0.28555471605259675</v>
      </c>
      <c r="BX4" s="176">
        <f>BX3/(('Evolutive SFP'!BU27)/1000000)</f>
        <v>0.28630691008143705</v>
      </c>
      <c r="BY4" s="176">
        <f>BY3/(('Evolutive SFP'!BV27)/1000000)</f>
        <v>0.29305949426663191</v>
      </c>
      <c r="BZ4" s="176">
        <f>BZ3/(('Evolutive SFP'!BW27)/1000000)</f>
        <v>0.30127627182137928</v>
      </c>
      <c r="CA4" s="176">
        <f>CA3/(('Evolutive SFP'!BX27)/1000000)</f>
        <v>0.2987621022891036</v>
      </c>
      <c r="CB4" s="176">
        <f>CB3/(('Evolutive SFP'!BY27)/1000000)</f>
        <v>0.29695111760075771</v>
      </c>
      <c r="CC4" s="176">
        <f>CC3/(('Evolutive SFP'!BZ27)/1000000)</f>
        <v>0.30801732559414258</v>
      </c>
      <c r="CD4" s="176">
        <f>CD3/(('Evolutive SFP'!CA27)/1000000)</f>
        <v>0.3022581018427517</v>
      </c>
      <c r="CE4" s="176">
        <f>CE3/(('Evolutive SFP'!CB27)/1000000)</f>
        <v>0.30415193710814936</v>
      </c>
      <c r="CF4" s="176">
        <f>CF3/(('Evolutive SFP'!CC27)/1000000)</f>
        <v>0.30486013023057412</v>
      </c>
      <c r="CG4" s="176">
        <f>CG3/(('Evolutive SFP'!CD27)/1000000)</f>
        <v>0.30377076210962023</v>
      </c>
      <c r="CH4" s="176">
        <f>CH3/(('Evolutive SFP'!CE27)/1000000)</f>
        <v>0.30088424147328241</v>
      </c>
      <c r="CI4" s="176">
        <f>CI3/(('Evolutive SFP'!CF27)/1000000)</f>
        <v>0.28344227472177919</v>
      </c>
      <c r="CJ4" s="176">
        <f>CJ3/(('Evolutive SFP'!CG27)/1000000)</f>
        <v>0.28405897768961336</v>
      </c>
      <c r="CK4" s="176">
        <f>CK3/(('Evolutive SFP'!CH27)/1000000)</f>
        <v>0.77842418179631867</v>
      </c>
      <c r="CL4" s="176">
        <f>CL3/(('Evolutive SFP'!CI27)/1000000)</f>
        <v>0.28876638045678904</v>
      </c>
      <c r="CM4" s="176">
        <f>CM3/(('Evolutive SFP'!CJ27)/1000000)</f>
        <v>0.2986993624645542</v>
      </c>
      <c r="CN4" s="176">
        <f>CN3/(('Evolutive SFP'!CK27)/1000000)</f>
        <v>0.2975257390559557</v>
      </c>
      <c r="CO4" s="176">
        <f>CO3/(('Evolutive SFP'!CL27)/1000000)</f>
        <v>0.29179363831491434</v>
      </c>
      <c r="CP4" s="176">
        <f>CP3/(('Evolutive SFP'!CM27)/1000000)</f>
        <v>0.29581619412828625</v>
      </c>
      <c r="CQ4" s="176">
        <f>CQ3/(('Evolutive SFP'!CN27)/1000000)</f>
        <v>0.28567972146388759</v>
      </c>
      <c r="CR4" s="176">
        <f>CR3/(('Evolutive SFP'!CO27)/1000000)</f>
        <v>0.2847507621016967</v>
      </c>
      <c r="CS4" s="176">
        <f>CS3/(('Evolutive SFP'!CP27)/1000000)</f>
        <v>0.28397576309833211</v>
      </c>
    </row>
    <row r="5" spans="1:97" ht="18.75">
      <c r="A5" s="264"/>
      <c r="B5" s="174" t="s">
        <v>118</v>
      </c>
      <c r="C5" s="175" t="s">
        <v>119</v>
      </c>
      <c r="D5" s="176">
        <f>D3/('Evolutive SFP'!B31/1000000)</f>
        <v>0.19023169917264465</v>
      </c>
      <c r="E5" s="176">
        <f>E3/('Evolutive SFP'!C31/1000000)</f>
        <v>0.29145974530638602</v>
      </c>
      <c r="F5" s="176">
        <f>F3/('Evolutive SFP'!D31/1000000)</f>
        <v>0.28753105720838867</v>
      </c>
      <c r="G5" s="176">
        <f>G3/('Evolutive SFP'!E31/1000000)</f>
        <v>0.34345688264030277</v>
      </c>
      <c r="H5" s="176">
        <f>H3/('Evolutive SFP'!F31/1000000)</f>
        <v>0.45579697363942923</v>
      </c>
      <c r="I5" s="176">
        <f>I3/('Evolutive SFP'!G31/1000000)</f>
        <v>0.47275321226154071</v>
      </c>
      <c r="J5" s="176">
        <f>J3/('Evolutive SFP'!H31/1000000)</f>
        <v>0.43214833999333541</v>
      </c>
      <c r="K5" s="176">
        <f>K3/('Evolutive SFP'!I31/1000000)</f>
        <v>0.46368217664060896</v>
      </c>
      <c r="L5" s="176">
        <f>L3/('Evolutive SFP'!J31/1000000)</f>
        <v>0.43974613779703164</v>
      </c>
      <c r="M5" s="176">
        <f>M3/('Evolutive SFP'!K31/1000000)</f>
        <v>0.41743330706093856</v>
      </c>
      <c r="N5" s="176">
        <f>N3/('Evolutive SFP'!L31/1000000)</f>
        <v>0.43491741245710314</v>
      </c>
      <c r="O5" s="176">
        <f>O3/('Evolutive SFP'!M31/1000000)</f>
        <v>0.43445083791661737</v>
      </c>
      <c r="P5" s="176">
        <f>P3/('Evolutive SFP'!N31/1000000)</f>
        <v>0.45905180498151371</v>
      </c>
      <c r="Q5" s="176">
        <f>Q3/('Evolutive SFP'!O31/1000000)</f>
        <v>0.45961915211479143</v>
      </c>
      <c r="R5" s="176">
        <f>R3/('Evolutive SFP'!P31/1000000)</f>
        <v>0.46378632485576632</v>
      </c>
      <c r="S5" s="176">
        <f>S3/('Evolutive SFP'!Q31/1000000)</f>
        <v>0.488987279579087</v>
      </c>
      <c r="T5" s="176">
        <f>T3/('Evolutive SFP'!R31/1000000)</f>
        <v>0.48609930611495417</v>
      </c>
      <c r="U5" s="176">
        <f>U3/('Evolutive SFP'!S31/1000000)</f>
        <v>0.49000013606850412</v>
      </c>
      <c r="V5" s="176">
        <f>V3/('Evolutive SFP'!T31/1000000)</f>
        <v>0.4249219304196391</v>
      </c>
      <c r="W5" s="176">
        <f>W3/('Evolutive SFP'!U31/1000000)</f>
        <v>0.41703923539419047</v>
      </c>
      <c r="X5" s="176">
        <f>X3/('Evolutive SFP'!V31/1000000)</f>
        <v>0.41619740249238835</v>
      </c>
      <c r="Y5" s="176">
        <f>Y3/('Evolutive SFP'!W31/1000000)</f>
        <v>0.41894108790505508</v>
      </c>
      <c r="Z5" s="176">
        <f>Z3/('Evolutive SFP'!X31/1000000)</f>
        <v>0.39893131338604543</v>
      </c>
      <c r="AA5" s="176">
        <f>AA3/('Evolutive SFP'!Y31/1000000)</f>
        <v>0.40978711154606118</v>
      </c>
      <c r="AB5" s="176">
        <f>AB3/('Evolutive SFP'!Z31/1000000)</f>
        <v>0.41451188346714724</v>
      </c>
      <c r="AC5" s="176">
        <f>AC3/('Evolutive SFP'!AA31/1000000)</f>
        <v>0.43652671143096594</v>
      </c>
      <c r="AD5" s="176">
        <f>AD3/('Evolutive SFP'!AB31/1000000)</f>
        <v>0.43654526481080669</v>
      </c>
      <c r="AE5" s="176">
        <f>AE3/('Evolutive SFP'!AC31/1000000)</f>
        <v>0.44375979327926274</v>
      </c>
      <c r="AF5" s="176">
        <f>AF3/('Evolutive SFP'!AD31/1000000)</f>
        <v>0.44407412106809036</v>
      </c>
      <c r="AG5" s="176">
        <f>AG3/('Evolutive SFP'!AE31/1000000)</f>
        <v>0.45827607446912255</v>
      </c>
      <c r="AH5" s="176">
        <f>AH3/('Evolutive SFP'!AF31/1000000)</f>
        <v>0.46753609737178065</v>
      </c>
      <c r="AI5" s="176">
        <f>AI3/('Evolutive SFP'!AG31/1000000)</f>
        <v>0.44320369985931085</v>
      </c>
      <c r="AJ5" s="176">
        <f>AJ3/('Evolutive SFP'!AH31/1000000)</f>
        <v>0.44315319172768897</v>
      </c>
      <c r="AK5" s="176">
        <f>AK3/('Evolutive SFP'!AI31/1000000)</f>
        <v>0.44715412135176513</v>
      </c>
      <c r="AL5" s="176">
        <f>AL3/('Evolutive SFP'!AJ31/1000000)</f>
        <v>0.45618842349882827</v>
      </c>
      <c r="AM5" s="176">
        <f>AM3/('Evolutive SFP'!AK31/1000000)</f>
        <v>0.44230993133231433</v>
      </c>
      <c r="AN5" s="176">
        <f>AN3/('Evolutive SFP'!AL31/1000000)</f>
        <v>0.455572738259026</v>
      </c>
      <c r="AO5" s="176">
        <f>AO3/('Evolutive SFP'!AM31/1000000)</f>
        <v>0.47128672350386158</v>
      </c>
      <c r="AP5" s="176">
        <f>AP3/('Evolutive SFP'!AN31/1000000)</f>
        <v>0.49583092624045078</v>
      </c>
      <c r="AQ5" s="176">
        <f>AQ3/('Evolutive SFP'!AO31/1000000)</f>
        <v>0.50806747866200608</v>
      </c>
      <c r="AR5" s="176">
        <f>AR3/('Evolutive SFP'!AP31/1000000)</f>
        <v>0.49511857672843806</v>
      </c>
      <c r="AS5" s="176">
        <f>AS3/('Evolutive SFP'!AQ31/1000000)</f>
        <v>0.49416297373531953</v>
      </c>
      <c r="AT5" s="176">
        <f>AT3/('Evolutive SFP'!AR31/1000000)</f>
        <v>0.49309008352065209</v>
      </c>
      <c r="AU5" s="176">
        <f>AU3/('Evolutive SFP'!AS31/1000000)</f>
        <v>0.48399002210694375</v>
      </c>
      <c r="AV5" s="176">
        <f>AV3/('Evolutive SFP'!AT31/1000000)</f>
        <v>0.46760250153350857</v>
      </c>
      <c r="AW5" s="176">
        <f>AW3/('Evolutive SFP'!AU31/1000000)</f>
        <v>0.46597418100091154</v>
      </c>
      <c r="AX5" s="176">
        <f>AX3/('Evolutive SFP'!AV31/1000000)</f>
        <v>0.47248965212933031</v>
      </c>
      <c r="AY5" s="176">
        <f>AY3/('Evolutive SFP'!AW31/1000000)</f>
        <v>0.4626698355812211</v>
      </c>
      <c r="AZ5" s="176">
        <f>AZ3/('Evolutive SFP'!AX31/1000000)</f>
        <v>0.45249504438350441</v>
      </c>
      <c r="BA5" s="176">
        <f>BA3/('Evolutive SFP'!AY31/1000000)</f>
        <v>0.47171943301202984</v>
      </c>
      <c r="BB5" s="176">
        <f>BB3/('Evolutive SFP'!AZ31/1000000)</f>
        <v>0.47277363932681732</v>
      </c>
      <c r="BC5" s="176">
        <f>BC3/('Evolutive SFP'!AZ31/1000000)</f>
        <v>0.4732459282653923</v>
      </c>
      <c r="BD5" s="176" t="e">
        <f>BD3/('Evolutive SFP'!BA31/1000000)</f>
        <v>#DIV/0!</v>
      </c>
      <c r="BE5" s="176">
        <f>BE3/('Evolutive SFP'!BB31/1000000)</f>
        <v>0.46856652530588533</v>
      </c>
      <c r="BF5" s="176">
        <f>BF3/('Evolutive SFP'!BC31/1000000)</f>
        <v>0.4770196535678432</v>
      </c>
      <c r="BG5" s="176">
        <f>BG3/('Evolutive SFP'!BD31/1000000)</f>
        <v>0.47224499113842128</v>
      </c>
      <c r="BH5" s="176">
        <f>BH3/('Evolutive SFP'!BE31/1000000)</f>
        <v>0.47013445724597147</v>
      </c>
      <c r="BI5" s="176">
        <f>BI3/('Evolutive SFP'!BF31/1000000)</f>
        <v>0.47003390750505819</v>
      </c>
      <c r="BJ5" s="176">
        <f>BJ3/('Evolutive SFP'!BG31/1000000)</f>
        <v>0.470033908963988</v>
      </c>
      <c r="BK5" s="176">
        <f>BK3/('Evolutive SFP'!BH31/1000000)</f>
        <v>0.47218914726050348</v>
      </c>
      <c r="BL5" s="176">
        <f>BL3/('Evolutive SFP'!BI31/1000000)</f>
        <v>0.44830124609914657</v>
      </c>
      <c r="BM5" s="176">
        <f>BM3/('Evolutive SFP'!BJ31/1000000)</f>
        <v>0.44855382424399898</v>
      </c>
      <c r="BN5" s="176">
        <f>BN3/('Evolutive SFP'!BK31/1000000)</f>
        <v>0.47809920989090299</v>
      </c>
      <c r="BO5" s="176">
        <f>BO3/('Evolutive SFP'!BL31/1000000)</f>
        <v>0.47575869448429359</v>
      </c>
      <c r="BP5" s="176">
        <f>BP3/('Evolutive SFP'!BM31/1000000)</f>
        <v>0.47787138323694267</v>
      </c>
      <c r="BQ5" s="176">
        <f>BQ3/('Evolutive SFP'!BN31/1000000)</f>
        <v>0.45836097511415863</v>
      </c>
      <c r="BR5" s="176">
        <f>BR3/('Evolutive SFP'!BO31/1000000)</f>
        <v>0.46994879685939495</v>
      </c>
      <c r="BS5" s="176">
        <f>BS3/('Evolutive SFP'!BP31/1000000)</f>
        <v>0.47587213527157568</v>
      </c>
      <c r="BT5" s="176">
        <f>BT3/('Evolutive SFP'!BQ31/1000000)</f>
        <v>0.47742703792503932</v>
      </c>
      <c r="BU5" s="176">
        <f>BU3/('Evolutive SFP'!BR31/1000000)</f>
        <v>0.47322698966818777</v>
      </c>
      <c r="BV5" s="176">
        <f>BV3/('Evolutive SFP'!BS31/1000000)</f>
        <v>0.45956000426247057</v>
      </c>
      <c r="BW5" s="176">
        <f>BW3/('Evolutive SFP'!BT31/1000000)</f>
        <v>0.44703584393210666</v>
      </c>
      <c r="BX5" s="176">
        <f>BX3/('Evolutive SFP'!BU31/1000000)</f>
        <v>0.4524660610691178</v>
      </c>
      <c r="BY5" s="176">
        <f>BY3/('Evolutive SFP'!BV31/1000000)</f>
        <v>0.4264772504227598</v>
      </c>
      <c r="BZ5" s="176">
        <f>BZ3/('Evolutive SFP'!BW31/1000000)</f>
        <v>0.44260911910952322</v>
      </c>
      <c r="CA5" s="176">
        <f>CA3/('Evolutive SFP'!BX31/1000000)</f>
        <v>0.44209404457777923</v>
      </c>
      <c r="CB5" s="176">
        <f>CB3/('Evolutive SFP'!BY31/1000000)</f>
        <v>0.44135366840993512</v>
      </c>
      <c r="CC5" s="176">
        <f>CC3/('Evolutive SFP'!BZ31/1000000)</f>
        <v>0.46931338486482593</v>
      </c>
      <c r="CD5" s="176">
        <f>CD3/('Evolutive SFP'!CA31/1000000)</f>
        <v>0.45771121768746525</v>
      </c>
      <c r="CE5" s="176">
        <f>CE3/('Evolutive SFP'!CB31/1000000)</f>
        <v>0.46351377293826734</v>
      </c>
      <c r="CF5" s="176">
        <f>CF3/('Evolutive SFP'!CC31/1000000)</f>
        <v>0.46908130193767605</v>
      </c>
      <c r="CG5" s="176">
        <f>CG3/('Evolutive SFP'!CD31/1000000)</f>
        <v>0.4711942639769312</v>
      </c>
      <c r="CH5" s="176">
        <f>CH3/('Evolutive SFP'!CE31/1000000)</f>
        <v>0.46884182078277853</v>
      </c>
      <c r="CI5" s="176">
        <f>CI3/('Evolutive SFP'!CF31/1000000)</f>
        <v>0.4429158395038974</v>
      </c>
      <c r="CJ5" s="176">
        <f>CJ3/('Evolutive SFP'!CG31/1000000)</f>
        <v>0.44440430801763581</v>
      </c>
      <c r="CK5" s="176">
        <f>CK3/('Evolutive SFP'!CH31/1000000)</f>
        <v>0.44830202839195932</v>
      </c>
      <c r="CL5" s="176">
        <f>CL3/('Evolutive SFP'!CI31/1000000)</f>
        <v>0.46029200017178712</v>
      </c>
      <c r="CM5" s="176">
        <f>CM3/('Evolutive SFP'!CJ31/1000000)</f>
        <v>0.43774375530340048</v>
      </c>
      <c r="CN5" s="176">
        <f>CN3/('Evolutive SFP'!CK31/1000000)</f>
        <v>0.44066281271661295</v>
      </c>
      <c r="CO5" s="176">
        <f>CO3/('Evolutive SFP'!CL31/1000000)</f>
        <v>0.42843545767244562</v>
      </c>
      <c r="CP5" s="176">
        <f>CP3/('Evolutive SFP'!CM31/1000000)</f>
        <v>0.44154742717793311</v>
      </c>
      <c r="CQ5" s="176">
        <f>CQ3/('Evolutive SFP'!CN31/1000000)</f>
        <v>0.42448244179678851</v>
      </c>
      <c r="CR5" s="176">
        <f>CR3/('Evolutive SFP'!CO31/1000000)</f>
        <v>0.42636375449944974</v>
      </c>
      <c r="CS5" s="176">
        <f>CS3/('Evolutive SFP'!CP31/1000000)</f>
        <v>0.42797445959664943</v>
      </c>
    </row>
    <row r="6" spans="1:97" ht="18.75">
      <c r="A6" s="264"/>
      <c r="B6" s="174" t="s">
        <v>120</v>
      </c>
      <c r="C6" s="175" t="s">
        <v>119</v>
      </c>
      <c r="D6" s="176">
        <f>((D3*1000000)-'Evolutive SFP'!B39)/'Evolutive SFP'!B27</f>
        <v>0.10078307385673894</v>
      </c>
      <c r="E6" s="176">
        <f>((E3*1000000)-'Evolutive SFP'!C39)/'Evolutive SFP'!C27</f>
        <v>7.6418747675092824E-2</v>
      </c>
      <c r="F6" s="176">
        <f>((F3*1000000)-'Evolutive SFP'!D39)/'Evolutive SFP'!D27</f>
        <v>8.7346963064681427E-2</v>
      </c>
      <c r="G6" s="176">
        <f>((G3*1000000)-'Evolutive SFP'!E39)/'Evolutive SFP'!E27</f>
        <v>0.11045423972707097</v>
      </c>
      <c r="H6" s="176">
        <f>((H3*1000000)-'Evolutive SFP'!F39)/'Evolutive SFP'!F27</f>
        <v>0.1489385828996232</v>
      </c>
      <c r="I6" s="176">
        <f>((I3*1000000)-'Evolutive SFP'!G39)/'Evolutive SFP'!G27</f>
        <v>0.17801204336153825</v>
      </c>
      <c r="J6" s="176">
        <f>((J3*1000000)-'Evolutive SFP'!H39)/'Evolutive SFP'!H27</f>
        <v>0.16792650243336993</v>
      </c>
      <c r="K6" s="176">
        <f>((K3*1000000)-'Evolutive SFP'!I39)/'Evolutive SFP'!I27</f>
        <v>0.17689202794247169</v>
      </c>
      <c r="L6" s="176">
        <f>((L3*1000000)-'Evolutive SFP'!J39)/'Evolutive SFP'!J27</f>
        <v>0.17175600943611968</v>
      </c>
      <c r="M6" s="176">
        <f>((M3*1000000)-'Evolutive SFP'!K39)/'Evolutive SFP'!K27</f>
        <v>0.17150145156225563</v>
      </c>
      <c r="N6" s="176">
        <f>((N3*1000000)-'Evolutive SFP'!L39)/'Evolutive SFP'!L27</f>
        <v>0.17604906919930421</v>
      </c>
      <c r="O6" s="176">
        <f>((O3*1000000)-'Evolutive SFP'!M39)/'Evolutive SFP'!M27</f>
        <v>0.17638884311881195</v>
      </c>
      <c r="P6" s="176">
        <f>((P3*1000000)-'Evolutive SFP'!N39)/'Evolutive SFP'!N27</f>
        <v>0.18814833029413328</v>
      </c>
      <c r="Q6" s="176">
        <f>((Q3*1000000)-'Evolutive SFP'!O39)/'Evolutive SFP'!O27</f>
        <v>0.18579267266981053</v>
      </c>
      <c r="R6" s="176">
        <f>((R3*1000000)-'Evolutive SFP'!P39)/'Evolutive SFP'!P27</f>
        <v>0.19107016319511322</v>
      </c>
      <c r="S6" s="176">
        <f>((S3*1000000)-'Evolutive SFP'!Q39)/'Evolutive SFP'!Q27</f>
        <v>0.20193572924853276</v>
      </c>
      <c r="T6" s="176">
        <f>((T3*1000000)-'Evolutive SFP'!R39)/'Evolutive SFP'!R27</f>
        <v>0.2017600443494118</v>
      </c>
      <c r="U6" s="176">
        <f>((U3*1000000)-'Evolutive SFP'!S39)/'Evolutive SFP'!S27</f>
        <v>0.20489998572535018</v>
      </c>
      <c r="V6" s="176">
        <f>((V3*1000000)-'Evolutive SFP'!T39)/'Evolutive SFP'!T27</f>
        <v>0.16572500696257991</v>
      </c>
      <c r="W6" s="176">
        <f>((W3*1000000)-'Evolutive SFP'!U39)/'Evolutive SFP'!U27</f>
        <v>0.16095438289009648</v>
      </c>
      <c r="X6" s="176">
        <f>((X3*1000000)-'Evolutive SFP'!V39)/'Evolutive SFP'!V27</f>
        <v>0.16027973892429367</v>
      </c>
      <c r="Y6" s="176">
        <f>((Y3*1000000)-'Evolutive SFP'!W39)/'Evolutive SFP'!W27</f>
        <v>0.16268236673795319</v>
      </c>
      <c r="Z6" s="176">
        <f>((Z3*1000000)-'Evolutive SFP'!X39)/'Evolutive SFP'!X27</f>
        <v>0.16687996582250275</v>
      </c>
      <c r="AA6" s="176">
        <f>((AA3*1000000)-'Evolutive SFP'!Y39)/'Evolutive SFP'!Y27</f>
        <v>0.16951054261731807</v>
      </c>
      <c r="AB6" s="176">
        <f>((AB3*1000000)-'Evolutive SFP'!Z39)/'Evolutive SFP'!Z27</f>
        <v>0.17272951518961599</v>
      </c>
      <c r="AC6" s="176">
        <f>((AC3*1000000)-'Evolutive SFP'!AA39)/'Evolutive SFP'!AA27</f>
        <v>0.18489403769693649</v>
      </c>
      <c r="AD6" s="176">
        <f>((AD3*1000000)-'Evolutive SFP'!AB39)/'Evolutive SFP'!AB27</f>
        <v>0.185176763424688</v>
      </c>
      <c r="AE6" s="176">
        <f>((AE3*1000000)-'Evolutive SFP'!AC39)/'Evolutive SFP'!AC27</f>
        <v>0.18876473291252985</v>
      </c>
      <c r="AF6" s="176">
        <f>((AF3*1000000)-'Evolutive SFP'!AD39)/'Evolutive SFP'!AD27</f>
        <v>0.1894612019711871</v>
      </c>
      <c r="AG6" s="176">
        <f>((AG3*1000000)-'Evolutive SFP'!AE39)/'Evolutive SFP'!AE27</f>
        <v>0.19517679857097353</v>
      </c>
      <c r="AH6" s="176">
        <f>((AH3*1000000)-'Evolutive SFP'!AF39)/'Evolutive SFP'!AF27</f>
        <v>0.19966105567229114</v>
      </c>
      <c r="AI6" s="176">
        <f>((AI3*1000000)-'Evolutive SFP'!AG39)/'Evolutive SFP'!AG27</f>
        <v>0.18270659475135778</v>
      </c>
      <c r="AJ6" s="176">
        <f>((AJ3*1000000)-'Evolutive SFP'!AH39)/'Evolutive SFP'!AH27</f>
        <v>0.18267589738801523</v>
      </c>
      <c r="AK6" s="176">
        <f>((AK3*1000000)-'Evolutive SFP'!AI39)/'Evolutive SFP'!AI27</f>
        <v>0.19749828091730959</v>
      </c>
      <c r="AL6" s="176">
        <f>((AL3*1000000)-'Evolutive SFP'!AJ39)/'Evolutive SFP'!AJ27</f>
        <v>0.20040332460696048</v>
      </c>
      <c r="AM6" s="176">
        <f>((AM3*1000000)-'Evolutive SFP'!AK39)/'Evolutive SFP'!AK27</f>
        <v>0.20537524938463073</v>
      </c>
      <c r="AN6" s="176">
        <f>((AN3*1000000)-'Evolutive SFP'!AL39)/'Evolutive SFP'!AL27</f>
        <v>0.20878711967501962</v>
      </c>
      <c r="AO6" s="176">
        <f>((AO3*1000000)-'Evolutive SFP'!AM39)/'Evolutive SFP'!AM27</f>
        <v>0.21797768967868306</v>
      </c>
      <c r="AP6" s="176">
        <f>((AP3*1000000)-'Evolutive SFP'!AN39)/'Evolutive SFP'!AN27</f>
        <v>0.22974264052392065</v>
      </c>
      <c r="AQ6" s="176">
        <f>((AQ3*1000000)-'Evolutive SFP'!AO39)/'Evolutive SFP'!AO27</f>
        <v>0.23450972563678094</v>
      </c>
      <c r="AR6" s="176">
        <f>((AR3*1000000)-'Evolutive SFP'!AP39)/'Evolutive SFP'!AP27</f>
        <v>0.22904733958942022</v>
      </c>
      <c r="AS6" s="176">
        <f>((AS3*1000000)-'Evolutive SFP'!AQ39)/'Evolutive SFP'!AQ27</f>
        <v>0.22834405203459887</v>
      </c>
      <c r="AT6" s="176">
        <f>((AT3*1000000)-'Evolutive SFP'!AR39)/'Evolutive SFP'!AR27</f>
        <v>0.22738986574631478</v>
      </c>
      <c r="AU6" s="176">
        <f>((AU3*1000000)-'Evolutive SFP'!AS39)/'Evolutive SFP'!AS27</f>
        <v>0.21895416727127703</v>
      </c>
      <c r="AV6" s="176">
        <f>((AV3*1000000)-'Evolutive SFP'!AT39)/'Evolutive SFP'!AT27</f>
        <v>0.20729407410275336</v>
      </c>
      <c r="AW6" s="176">
        <f>((AW3*1000000)-'Evolutive SFP'!AU39)/'Evolutive SFP'!AU27</f>
        <v>0.20652008720945841</v>
      </c>
      <c r="AX6" s="176">
        <f>((AX3*1000000)-'Evolutive SFP'!AV39)/'Evolutive SFP'!AV27</f>
        <v>0.20831082119583766</v>
      </c>
      <c r="AY6" s="176">
        <f>((AY3*1000000)-'Evolutive SFP'!AW39)/'Evolutive SFP'!AW27</f>
        <v>0.21571095813531085</v>
      </c>
      <c r="AZ6" s="176">
        <f>((AZ3*1000000)-'Evolutive SFP'!AX39)/'Evolutive SFP'!AX27</f>
        <v>0.21186104053314458</v>
      </c>
      <c r="BA6" s="176">
        <f>((BA3*1000000)-'Evolutive SFP'!AY39)/'Evolutive SFP'!AY27</f>
        <v>0.2240179706260749</v>
      </c>
      <c r="BB6" s="176">
        <f>((BB3*1000000)-'Evolutive SFP'!AY39)/'Evolutive SFP'!AY27</f>
        <v>0.22004479741069199</v>
      </c>
      <c r="BC6" s="176">
        <f>((BC3*1000000)-'Evolutive SFP'!AZ39)/'Evolutive SFP'!AZ27</f>
        <v>0.22075654497376085</v>
      </c>
      <c r="BD6" s="176" t="e">
        <f>((BD3*1000000)-'Evolutive SFP'!BA39)/'Evolutive SFP'!BA27</f>
        <v>#DIV/0!</v>
      </c>
      <c r="BE6" s="176">
        <f>((BE3*1000000)-'Evolutive SFP'!BB39)/'Evolutive SFP'!BB27</f>
        <v>0.21660352322949958</v>
      </c>
      <c r="BF6" s="176">
        <f>((BF3*1000000)-'Evolutive SFP'!BC39)/'Evolutive SFP'!BC27</f>
        <v>0.21801365414089502</v>
      </c>
      <c r="BG6" s="176">
        <f>((BG3*1000000)-'Evolutive SFP'!BD39)/'Evolutive SFP'!BD27</f>
        <v>0.21513791699597579</v>
      </c>
      <c r="BH6" s="176">
        <f>((BH3*1000000)-'Evolutive SFP'!BE39)/'Evolutive SFP'!BE27</f>
        <v>0.21352043728287279</v>
      </c>
      <c r="BI6" s="176">
        <f>((BI3*1000000)-'Evolutive SFP'!BF39)/'Evolutive SFP'!BF27</f>
        <v>0.21230625881918161</v>
      </c>
      <c r="BJ6" s="176">
        <f>((BJ3*1000000)-'Evolutive SFP'!BG39)/'Evolutive SFP'!BG27</f>
        <v>0.21233721869423428</v>
      </c>
      <c r="BK6" s="176">
        <f>((BK3*1000000)-'Evolutive SFP'!BH39)/'Evolutive SFP'!BH27</f>
        <v>0.2127709528924269</v>
      </c>
      <c r="BL6" s="176">
        <f>((BL3*1000000)-'Evolutive SFP'!BI39)/'Evolutive SFP'!BI27</f>
        <v>0.21470491766314218</v>
      </c>
      <c r="BM6" s="176">
        <f>((BM3*1000000)-'Evolutive SFP'!BJ39)/'Evolutive SFP'!BJ27</f>
        <v>0.21352768440390898</v>
      </c>
      <c r="BN6" s="176">
        <f>((BN3*1000000)-'Evolutive SFP'!BK39)/'Evolutive SFP'!BK27</f>
        <v>0.22738901072253698</v>
      </c>
      <c r="BO6" s="176">
        <f>((BO3*1000000)-'Evolutive SFP'!BL39)/'Evolutive SFP'!BL27</f>
        <v>0.2253730507227229</v>
      </c>
      <c r="BP6" s="176">
        <f>((BP3*1000000)-'Evolutive SFP'!BM39)/'Evolutive SFP'!BM27</f>
        <v>0.22513764212921183</v>
      </c>
      <c r="BQ6" s="176">
        <f>((BQ3*1000000)-'Evolutive SFP'!BN39)/'Evolutive SFP'!BN27</f>
        <v>0.21601720553674233</v>
      </c>
      <c r="BR6" s="176">
        <f>((BR3*1000000)-'Evolutive SFP'!BO39)/'Evolutive SFP'!BO27</f>
        <v>0.22059203718569884</v>
      </c>
      <c r="BS6" s="176">
        <f>((BS3*1000000)-'Evolutive SFP'!BP39)/'Evolutive SFP'!BP27</f>
        <v>0.22202251021213432</v>
      </c>
      <c r="BT6" s="176">
        <f>((BT3*1000000)-'Evolutive SFP'!BQ39)/'Evolutive SFP'!BQ27</f>
        <v>0.22338355313406782</v>
      </c>
      <c r="BU6" s="176">
        <f>((BU3*1000000)-'Evolutive SFP'!BR39)/'Evolutive SFP'!BR27</f>
        <v>0.22114733405016507</v>
      </c>
      <c r="BV6" s="176">
        <f>((BV3*1000000)-'Evolutive SFP'!BS39)/'Evolutive SFP'!BS27</f>
        <v>0.21133488406424475</v>
      </c>
      <c r="BW6" s="176">
        <f>((BW3*1000000)-'Evolutive SFP'!BT39)/'Evolutive SFP'!BT27</f>
        <v>0.20502338617000213</v>
      </c>
      <c r="BX6" s="176">
        <f>((BX3*1000000)-'Evolutive SFP'!BU39)/'Evolutive SFP'!BU27</f>
        <v>0.20492579720881179</v>
      </c>
      <c r="BY6" s="176">
        <f>((BY3*1000000)-'Evolutive SFP'!BV39)/'Evolutive SFP'!BV27</f>
        <v>0.21006544332953581</v>
      </c>
      <c r="BZ6" s="176">
        <f>((BZ3*1000000)-'Evolutive SFP'!BW39)/'Evolutive SFP'!BW27</f>
        <v>0.21589732337535933</v>
      </c>
      <c r="CA6" s="176">
        <f>((CA3*1000000)-'Evolutive SFP'!BX39)/'Evolutive SFP'!BX27</f>
        <v>0.21416819023885536</v>
      </c>
      <c r="CB6" s="176">
        <f>((CB3*1000000)-'Evolutive SFP'!BY39)/'Evolutive SFP'!BY27</f>
        <v>0.21276248240512585</v>
      </c>
      <c r="CC6" s="176">
        <f>((CC3*1000000)-'Evolutive SFP'!BZ39)/'Evolutive SFP'!BZ27</f>
        <v>0.22519333073082259</v>
      </c>
      <c r="CD6" s="176">
        <f>((CD3*1000000)-'Evolutive SFP'!CA39)/'Evolutive SFP'!CA27</f>
        <v>0.22058409656569408</v>
      </c>
      <c r="CE6" s="176">
        <f>((CE3*1000000)-'Evolutive SFP'!CB39)/'Evolutive SFP'!CB27</f>
        <v>0.22217712469705822</v>
      </c>
      <c r="CF6" s="176">
        <f>((CF3*1000000)-'Evolutive SFP'!CC39)/'Evolutive SFP'!CC27</f>
        <v>0.22374097018189776</v>
      </c>
      <c r="CG6" s="176">
        <f>((CG3*1000000)-'Evolutive SFP'!CD39)/'Evolutive SFP'!CD27</f>
        <v>0.22278593741816305</v>
      </c>
      <c r="CH6" s="176">
        <f>((CH3*1000000)-'Evolutive SFP'!CE39)/'Evolutive SFP'!CE27</f>
        <v>0.22046559742852181</v>
      </c>
      <c r="CI6" s="176">
        <f>((CI3*1000000)-'Evolutive SFP'!CF39)/'Evolutive SFP'!CF27</f>
        <v>0.20185115115428667</v>
      </c>
      <c r="CJ6" s="176">
        <f>((CJ3*1000000)-'Evolutive SFP'!CG39)/'Evolutive SFP'!CG27</f>
        <v>0.20256420354407217</v>
      </c>
      <c r="CK6" s="176">
        <f>((CK3*1000000)-'Evolutive SFP'!CH39)/'Evolutive SFP'!CH27</f>
        <v>0.55639764747136355</v>
      </c>
      <c r="CL6" s="176">
        <f>((CL3*1000000)-'Evolutive SFP'!CI39)/'Evolutive SFP'!CI27</f>
        <v>0.20897884704039849</v>
      </c>
      <c r="CM6" s="176">
        <f>((CM3*1000000)-'Evolutive SFP'!CJ39)/'Evolutive SFP'!CJ27</f>
        <v>0.21373446022534059</v>
      </c>
      <c r="CN6" s="176">
        <f>((CN3*1000000)-'Evolutive SFP'!CK39)/'Evolutive SFP'!CK27</f>
        <v>0.21187912288109217</v>
      </c>
      <c r="CO6" s="176">
        <f>((CO3*1000000)-'Evolutive SFP'!CL39)/'Evolutive SFP'!CL27</f>
        <v>0.20684277845198693</v>
      </c>
      <c r="CP6" s="176">
        <f>((CP3*1000000)-'Evolutive SFP'!CM39)/'Evolutive SFP'!CM27</f>
        <v>0.2129153789844728</v>
      </c>
      <c r="CQ6" s="176">
        <f>((CQ3*1000000)-'Evolutive SFP'!CN39)/'Evolutive SFP'!CN27</f>
        <v>0.20354763315591337</v>
      </c>
      <c r="CR6" s="176">
        <f>((CR3*1000000)-'Evolutive SFP'!CO39)/'Evolutive SFP'!CO27</f>
        <v>0.20259525734889006</v>
      </c>
      <c r="CS6" s="176">
        <f>((CS3*1000000)-'Evolutive SFP'!CP39)/'Evolutive SFP'!CP27</f>
        <v>0.20209762582306776</v>
      </c>
    </row>
    <row r="7" spans="1:97" ht="18.75">
      <c r="A7" s="264" t="s">
        <v>121</v>
      </c>
      <c r="B7" s="174" t="s">
        <v>122</v>
      </c>
      <c r="C7" s="175"/>
      <c r="D7" s="175"/>
      <c r="E7" s="175"/>
      <c r="F7" s="175"/>
      <c r="G7" s="175"/>
      <c r="H7" s="175"/>
      <c r="I7" s="177"/>
      <c r="J7" s="178"/>
      <c r="K7" s="161"/>
      <c r="L7" s="161"/>
      <c r="M7" s="162" t="e">
        <f>'Evolutive SFP'!K16/('FORM 4'!#REF!+'FORM 4'!#REF!+'FORM 4'!#REF!)</f>
        <v>#REF!</v>
      </c>
      <c r="N7" s="161"/>
      <c r="O7" s="161"/>
      <c r="P7" s="162" t="e">
        <f>'Evolutive SFP'!N16/('FORM 4'!#REF!+'FORM 4'!#REF!+'FORM 4'!#REF!)</f>
        <v>#REF!</v>
      </c>
      <c r="Q7" s="161"/>
      <c r="R7" s="161"/>
      <c r="S7" s="162" t="e">
        <f>'Evolutive SFP'!Q16/('FORM 4'!#REF!+'FORM 4'!#REF!+'FORM 4'!#REF!)</f>
        <v>#REF!</v>
      </c>
      <c r="T7" s="161"/>
      <c r="U7" s="161"/>
      <c r="V7" s="179" t="e">
        <f>'Evolutive SFP'!T16/('FORM 4'!#REF!+'FORM 4'!#REF!+'FORM 4'!#REF!)</f>
        <v>#REF!</v>
      </c>
      <c r="W7" s="179"/>
      <c r="X7" s="179" t="e">
        <f>'Evolutive SFP'!V16/('FORM 4'!#REF!+'FORM 4'!#REF!+'FORM 4'!#REF!)</f>
        <v>#REF!</v>
      </c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159"/>
      <c r="BS7" s="159"/>
      <c r="BT7" s="159"/>
      <c r="BU7" s="159"/>
      <c r="BV7" s="159"/>
      <c r="BW7" s="159"/>
      <c r="BX7" s="159"/>
      <c r="BY7" s="159"/>
      <c r="BZ7" s="159"/>
      <c r="CA7" s="159"/>
      <c r="CB7" s="159"/>
      <c r="CC7" s="159"/>
      <c r="CD7" s="159"/>
      <c r="CE7" s="159"/>
      <c r="CF7" s="159"/>
      <c r="CG7" s="159"/>
      <c r="CH7" s="159"/>
      <c r="CI7" s="159"/>
      <c r="CJ7" s="159"/>
      <c r="CK7" s="159"/>
      <c r="CL7" s="159"/>
      <c r="CM7" s="159"/>
    </row>
    <row r="8" spans="1:97" ht="18.75">
      <c r="A8" s="264"/>
      <c r="B8" s="174" t="s">
        <v>123</v>
      </c>
      <c r="C8" s="175"/>
      <c r="D8" s="175"/>
      <c r="E8" s="175"/>
      <c r="F8" s="175"/>
      <c r="G8" s="175"/>
      <c r="H8" s="175"/>
      <c r="I8" s="178"/>
      <c r="J8" s="180"/>
      <c r="K8" s="161"/>
      <c r="L8" s="161"/>
      <c r="M8" s="162" t="e">
        <f>('FORM 4'!#REF!+'FORM 4'!#REF!+'FORM 4'!#REF!)/'Evolutive SFP'!K15</f>
        <v>#REF!</v>
      </c>
      <c r="N8" s="161"/>
      <c r="O8" s="161"/>
      <c r="P8" s="162" t="e">
        <f>('FORM 4'!#REF!+'FORM 4'!#REF!+'FORM 4'!#REF!)/'Evolutive SFP'!N15</f>
        <v>#REF!</v>
      </c>
      <c r="Q8" s="161"/>
      <c r="R8" s="161"/>
      <c r="S8" s="176" t="e">
        <f>('FORM 4'!#REF!+'FORM 4'!#REF!+'FORM 4'!#REF!)/'Evolutive SFP'!Q15</f>
        <v>#REF!</v>
      </c>
      <c r="T8" s="161"/>
      <c r="U8" s="161"/>
      <c r="V8" s="181" t="e">
        <f>('FORM 4'!#REF!+'FORM 4'!#REF!+'FORM 4'!#REF!)/'Evolutive SFP'!T15</f>
        <v>#REF!</v>
      </c>
      <c r="W8" s="181" t="e">
        <f>('FORM 4'!#REF!+'FORM 4'!#REF!+'FORM 4'!#REF!)/'Evolutive SFP'!U15</f>
        <v>#REF!</v>
      </c>
      <c r="X8" s="181" t="e">
        <f>('FORM 4'!#REF!+'FORM 4'!#REF!+'FORM 4'!#REF!)/'Evolutive SFP'!V15</f>
        <v>#REF!</v>
      </c>
      <c r="Y8" s="181" t="e">
        <f>('FORM 4'!#REF!+'FORM 4'!#REF!+'FORM 4'!#REF!)/'Evolutive SFP'!W15</f>
        <v>#REF!</v>
      </c>
      <c r="Z8" s="181">
        <f>SUM('[1]Portfolio Analysis'!$D$12+'[1]Portfolio Analysis'!$D$13+'[1]Portfolio Analysis'!$D$14)/'[1]Portfolio Analysis'!$D$15</f>
        <v>6.7903394590315067E-2</v>
      </c>
      <c r="AA8" s="181" t="e">
        <f>('FORM 4'!#REF!+'FORM 4'!#REF!+'FORM 4'!#REF!)/'Evolutive SFP'!Y15</f>
        <v>#REF!</v>
      </c>
      <c r="AB8" s="181" t="e">
        <f>('FORM 4'!#REF!+'FORM 4'!#REF!+'FORM 4'!#REF!)/'Evolutive SFP'!Z15</f>
        <v>#REF!</v>
      </c>
      <c r="AC8" s="181">
        <f>SUM('[2]Portfolio Analysis'!$D$12+'[2]Portfolio Analysis'!$D$13+'[2]Portfolio Analysis'!$D$14)/'[2]Portfolio Analysis'!$D$15</f>
        <v>5.5249590217446146E-2</v>
      </c>
      <c r="AD8" s="181" t="e">
        <f>('FORM 4'!#REF!+'FORM 4'!#REF!+'FORM 4'!#REF!)/'Evolutive SFP'!AB15</f>
        <v>#REF!</v>
      </c>
      <c r="AE8" s="181" t="e">
        <f>('FORM 4'!#REF!+'FORM 4'!#REF!+'FORM 4'!#REF!)/'Evolutive SFP'!AC15</f>
        <v>#REF!</v>
      </c>
      <c r="AF8" s="181">
        <f>SUM(17474421.05+5860841.49+9041777.98)/636660719.4</f>
        <v>5.085446539015738E-2</v>
      </c>
      <c r="AG8" s="181">
        <f>SUM(17474421.05+5860841.49+9041777.98)/636660719.4</f>
        <v>5.085446539015738E-2</v>
      </c>
      <c r="AH8" s="181">
        <f>SUM(17474421.05+5860841.49+9041777.98)/636660719.4</f>
        <v>5.085446539015738E-2</v>
      </c>
      <c r="AI8" s="181">
        <f>SUM(17474421.05+5860841.49+9041777.98)/636660719.4</f>
        <v>5.085446539015738E-2</v>
      </c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181">
        <f>'FORM 4'!D25</f>
        <v>7.4406301574296077E-2</v>
      </c>
      <c r="BN8" s="181">
        <f>'FORM 4'!E25</f>
        <v>0</v>
      </c>
      <c r="BO8" s="181">
        <f>'FORM 4'!F25</f>
        <v>0</v>
      </c>
      <c r="BP8" s="181">
        <f>'FORM 4'!G25</f>
        <v>0</v>
      </c>
      <c r="BQ8" s="181">
        <f>'FORM 4'!H25</f>
        <v>0</v>
      </c>
      <c r="BR8" s="181">
        <f>'FORM 4'!I25</f>
        <v>0</v>
      </c>
      <c r="BS8" s="181">
        <f>'FORM 4'!J25</f>
        <v>0</v>
      </c>
      <c r="BT8" s="181">
        <f>'FORM 4'!K25</f>
        <v>0</v>
      </c>
      <c r="BU8" s="181">
        <f>'FORM 4'!L25</f>
        <v>0</v>
      </c>
      <c r="BV8" s="181">
        <f>'FORM 4'!M25</f>
        <v>0</v>
      </c>
      <c r="BW8" s="181">
        <f>'FORM 4'!N25</f>
        <v>0</v>
      </c>
      <c r="BX8" s="181">
        <f>'FORM 4'!O25</f>
        <v>0</v>
      </c>
      <c r="BY8" s="181">
        <f>'FORM 4'!P25</f>
        <v>0</v>
      </c>
      <c r="BZ8" s="181">
        <f>'FORM 4'!Q25</f>
        <v>0</v>
      </c>
      <c r="CA8" s="181">
        <f>'FORM 4'!R25</f>
        <v>0</v>
      </c>
      <c r="CB8" s="181">
        <f>'FORM 4'!S25</f>
        <v>0</v>
      </c>
      <c r="CC8" s="181">
        <f>'FORM 4'!T25</f>
        <v>0</v>
      </c>
      <c r="CD8" s="181">
        <f>'FORM 4'!U25</f>
        <v>0</v>
      </c>
      <c r="CE8" s="181">
        <f>'FORM 4'!V25</f>
        <v>0</v>
      </c>
      <c r="CF8" s="181">
        <f>'FORM 4'!W25</f>
        <v>0</v>
      </c>
      <c r="CG8" s="181">
        <f>'FORM 4'!X25</f>
        <v>0</v>
      </c>
      <c r="CH8" s="181">
        <f>'FORM 4'!Y25</f>
        <v>0</v>
      </c>
      <c r="CI8" s="181">
        <f>'FORM 4'!Z25</f>
        <v>0</v>
      </c>
      <c r="CJ8" s="181">
        <f>'FORM 4'!AA25</f>
        <v>0</v>
      </c>
      <c r="CK8" s="181">
        <f>'FORM 4'!AB25</f>
        <v>0</v>
      </c>
      <c r="CL8" s="181">
        <f>'FORM 4'!AC25</f>
        <v>0</v>
      </c>
      <c r="CM8" s="181">
        <f>'FORM 4'!AD25</f>
        <v>0</v>
      </c>
      <c r="CN8" s="181">
        <f>'FORM 4'!AE25</f>
        <v>0</v>
      </c>
      <c r="CO8" s="181">
        <f>'FORM 4'!AF25</f>
        <v>0</v>
      </c>
      <c r="CP8" s="181">
        <f>'FORM 4'!AG25</f>
        <v>0</v>
      </c>
      <c r="CQ8" s="181">
        <f>'FORM 4'!AH25</f>
        <v>0</v>
      </c>
      <c r="CR8" s="181">
        <f>'FORM 4'!AI25</f>
        <v>0</v>
      </c>
      <c r="CS8" s="181">
        <f>'FORM 4'!AJ25</f>
        <v>0</v>
      </c>
    </row>
    <row r="9" spans="1:97" ht="18.75">
      <c r="A9" s="262" t="s">
        <v>124</v>
      </c>
      <c r="B9" s="174" t="s">
        <v>125</v>
      </c>
      <c r="C9" s="175"/>
      <c r="D9" s="175"/>
      <c r="E9" s="182">
        <f>'Evolutitve SCI'!C33/(('Evolutive SFP'!B27+'Evolutive SFP'!C27)/2)</f>
        <v>3.3974564021423612E-2</v>
      </c>
      <c r="F9" s="182">
        <f>'Evolutitve SCI'!D33/(('Evolutive SFP'!C27+'Evolutive SFP'!D27)/2)</f>
        <v>1.8987682444428756E-2</v>
      </c>
      <c r="G9" s="182">
        <f>'Evolutitve SCI'!E33/(('Evolutive SFP'!D27+'Evolutive SFP'!E27)/2)</f>
        <v>3.4297735060214433E-2</v>
      </c>
      <c r="H9" s="182">
        <f>'Evolutitve SCI'!F33/(('Evolutive SFP'!E27+'Evolutive SFP'!F27)/2)</f>
        <v>3.8169304300644441E-2</v>
      </c>
      <c r="I9" s="182">
        <f>'Evolutitve SCI'!G33/(('Evolutive SFP'!F27+'Evolutive SFP'!G27)/2)</f>
        <v>4.0738775388504261E-2</v>
      </c>
      <c r="J9" s="182">
        <f>'Evolutitve SCI'!H33/(('Evolutive SFP'!G27+'Evolutive SFP'!H27)/2)</f>
        <v>1.5075692602771031E-2</v>
      </c>
      <c r="K9" s="182">
        <f>'Evolutitve SCI'!I33/(('Evolutive SFP'!H27+'Evolutive SFP'!I27)/2)</f>
        <v>-3.6262240796886462E-3</v>
      </c>
      <c r="L9" s="182">
        <f>'Evolutitve SCI'!J33/(('Evolutive SFP'!I27+'Evolutive SFP'!J27)/2)</f>
        <v>7.3050667131723604E-3</v>
      </c>
      <c r="M9" s="182">
        <f>'Evolutitve SCI'!K33/(('Evolutive SFP'!J27+'Evolutive SFP'!K27)/2)</f>
        <v>1.2027833496373173E-2</v>
      </c>
      <c r="N9" s="182">
        <f>'Evolutitve SCI'!L33/(('Evolutive SFP'!K27+'Evolutive SFP'!L27)/2)</f>
        <v>1.21361012332846E-2</v>
      </c>
      <c r="O9" s="182">
        <f>'Evolutitve SCI'!M33/(('Evolutive SFP'!L27+'Evolutive SFP'!M27)/2)</f>
        <v>1.5448986776795289E-2</v>
      </c>
      <c r="P9" s="182">
        <f>'Evolutitve SCI'!N33/(('Evolutive SFP'!M27+'Evolutive SFP'!N27)/2)</f>
        <v>3.0420240471176141E-2</v>
      </c>
      <c r="Q9" s="182">
        <f>'Evolutitve SCI'!O33/(('Evolutive SFP'!N27+'Evolutive SFP'!O27)/2)</f>
        <v>2.6038315128657296E-2</v>
      </c>
      <c r="R9" s="182">
        <f>'Evolutitve SCI'!P33/(('Evolutive SFP'!O27+'Evolutive SFP'!P27)/2)</f>
        <v>3.8464912463041644E-2</v>
      </c>
      <c r="S9" s="182">
        <f>'Evolutitve SCI'!Q33/(('Evolutive SFP'!P27+'Evolutive SFP'!Q27)/2)</f>
        <v>5.1021551068222364E-2</v>
      </c>
      <c r="T9" s="182">
        <f>'Evolutitve SCI'!R33/(('Evolutive SFP'!Q27+'Evolutive SFP'!R27)/2)</f>
        <v>5.4626936240329438E-2</v>
      </c>
      <c r="U9" s="182">
        <f>'Evolutitve SCI'!S33/(('Evolutive SFP'!R27+'Evolutive SFP'!S27)/2)</f>
        <v>6.1692518920413698E-2</v>
      </c>
      <c r="V9" s="182">
        <f>'Evolutitve SCI'!T33/(('Evolutive SFP'!S27+'Evolutive SFP'!T27)/2)</f>
        <v>2.3529728677370756E-2</v>
      </c>
      <c r="W9" s="182">
        <f>'Evolutitve SCI'!U33/(('Evolutive SFP'!T27+'Evolutive SFP'!U27)/2)</f>
        <v>2.0294751716480597E-2</v>
      </c>
      <c r="X9" s="182">
        <f>'Evolutitve SCI'!V33/(('Evolutive SFP'!U27+'Evolutive SFP'!V27)/2)</f>
        <v>5.5722464355445445E-4</v>
      </c>
      <c r="Y9" s="182">
        <f>'Evolutitve SCI'!W33/(('Evolutive SFP'!V27+'Evolutive SFP'!W27)/2)</f>
        <v>5.437733181085749E-3</v>
      </c>
      <c r="Z9" s="182">
        <f>'Evolutitve SCI'!X33/(('Evolutive SFP'!W27+'Evolutive SFP'!X27)/2)</f>
        <v>7.2970201939339284E-3</v>
      </c>
      <c r="AA9" s="182">
        <f>'Evolutitve SCI'!Y33/(('Evolutive SFP'!X27+'Evolutive SFP'!Y27)/2)</f>
        <v>7.8670671479580019E-3</v>
      </c>
      <c r="AB9" s="182">
        <f>'Evolutitve SCI'!Z33/(('Evolutive SFP'!Y27+'Evolutive SFP'!Z27)/2)</f>
        <v>1.3606414683165492E-2</v>
      </c>
      <c r="AC9" s="182">
        <f>'Evolutitve SCI'!AA33/(('Evolutive SFP'!Z27+'Evolutive SFP'!AA27)/2)</f>
        <v>3.1112495441568969E-2</v>
      </c>
      <c r="AD9" s="182">
        <f>'Evolutitve SCI'!AB33/(('Evolutive SFP'!AA27+'Evolutive SFP'!AB27)/2)</f>
        <v>3.3426543354028539E-2</v>
      </c>
      <c r="AE9" s="182">
        <f>'Evolutitve SCI'!AC33/(('Evolutive SFP'!AB27+'Evolutive SFP'!AC27)/2)</f>
        <v>3.8779790935768804E-2</v>
      </c>
      <c r="AF9" s="182">
        <f>'Evolutitve SCI'!AD33/(('Evolutive SFP'!AC27+'Evolutive SFP'!AD27)/2)</f>
        <v>4.2370483870779636E-2</v>
      </c>
      <c r="AG9" s="182">
        <f>'Evolutitve SCI'!AE33/(('Evolutive SFP'!AD27+'Evolutive SFP'!AE27)/2)</f>
        <v>5.3857082720876678E-2</v>
      </c>
      <c r="AH9" s="182">
        <f>'Evolutitve SCI'!AF33/(('Evolutive SFP'!AE27+'Evolutive SFP'!AF27)/2)</f>
        <v>5.6589706826801638E-2</v>
      </c>
      <c r="AI9" s="182">
        <f>'Evolutitve SCI'!AG33/(('Evolutive SFP'!AF27+'Evolutive SFP'!AG27)/2)</f>
        <v>3.92536798347521E-2</v>
      </c>
      <c r="AJ9" s="182">
        <f>'Evolutitve SCI'!AH33/(('Evolutive SFP'!AG27+'Evolutive SFP'!AH27)/2)</f>
        <v>4.043082334261916E-2</v>
      </c>
      <c r="AK9" s="182">
        <f>'Evolutitve SCI'!AI33/(('Evolutive SFP'!AH27+'Evolutive SFP'!AI27)/2)</f>
        <v>4.9093895261561838E-3</v>
      </c>
      <c r="AL9" s="182">
        <f>'Evolutitve SCI'!AJ33/(('Evolutive SFP'!AI27+'Evolutive SFP'!AJ27)/2)</f>
        <v>8.8835639594710067E-3</v>
      </c>
      <c r="AM9" s="182">
        <f>'Evolutitve SCI'!AK33/(('Evolutive SFP'!AJ27+'Evolutive SFP'!AK27)/2)</f>
        <v>1.0141764114127483E-2</v>
      </c>
      <c r="AN9" s="182">
        <f>'Evolutitve SCI'!AL33/(('Evolutive SFP'!AK27+'Evolutive SFP'!AL27)/2)</f>
        <v>9.780841142694327E-3</v>
      </c>
      <c r="AO9" s="182">
        <f>'Evolutitve SCI'!AM33/(('Evolutive SFP'!AL27+'Evolutive SFP'!AM27)/2)</f>
        <v>1.6114071636656492E-2</v>
      </c>
      <c r="AP9" s="182">
        <f>'Evolutitve SCI'!AN33/(('Evolutive SFP'!AM27+'Evolutive SFP'!AN27)/2)</f>
        <v>3.3020828054547688E-2</v>
      </c>
      <c r="AQ9" s="182">
        <f>'Evolutitve SCI'!AO33/(('Evolutive SFP'!AN27+'Evolutive SFP'!AO27)/2)</f>
        <v>3.7135976483705473E-2</v>
      </c>
      <c r="AR9" s="182">
        <f>'Evolutitve SCI'!AP33/(('Evolutive SFP'!AO27+'Evolutive SFP'!AP27)/2)</f>
        <v>3.587400624723041E-2</v>
      </c>
      <c r="AS9" s="182">
        <f>'Evolutitve SCI'!AQ33/(('Evolutive SFP'!AP27+'Evolutive SFP'!AQ27)/2)</f>
        <v>3.7358160496082954E-2</v>
      </c>
      <c r="AT9" s="182">
        <f>'Evolutitve SCI'!AR33/(('Evolutive SFP'!AQ27+'Evolutive SFP'!AR27)/2)</f>
        <v>3.9450444713440107E-2</v>
      </c>
      <c r="AU9" s="182">
        <f>'Evolutitve SCI'!AS33/(('Evolutive SFP'!AR27+'Evolutive SFP'!AS27)/2)</f>
        <v>3.2501794688016644E-2</v>
      </c>
      <c r="AV9" s="182">
        <f>'Evolutitve SCI'!AT33/(('Evolutive SFP'!AS27+'Evolutive SFP'!AT27)/2)</f>
        <v>2.7321323210580121E-2</v>
      </c>
      <c r="AW9" s="182">
        <f>'Evolutitve SCI'!AU33/(('Evolutive SFP'!AT27+'Evolutive SFP'!AU27)/2)</f>
        <v>2.4029907414409479E-2</v>
      </c>
      <c r="AX9" s="182">
        <f>'Evolutitve SCI'!AV33/(('Evolutive SFP'!AU27+'Evolutive SFP'!AV27)/2)</f>
        <v>4.1208453475716023E-3</v>
      </c>
      <c r="AY9" s="182">
        <f>'Evolutitve SCI'!AW33/(('Evolutive SFP'!AV27+'Evolutive SFP'!AW27)/2)</f>
        <v>7.7569682461845939E-3</v>
      </c>
      <c r="AZ9" s="182">
        <f>'Evolutitve SCI'!AX33/(('Evolutive SFP'!AW27+'Evolutive SFP'!AX27)/2)</f>
        <v>1.0604060150733282E-2</v>
      </c>
      <c r="BA9" s="182">
        <f>'Evolutitve SCI'!AY33/(('Evolutive SFP'!AX27+'Evolutive SFP'!AY27)/2)</f>
        <v>2.3899372790051693E-2</v>
      </c>
      <c r="BB9" s="182">
        <f>'Evolutitve SCI'!AZ33/(('Evolutive SFP'!AY27+'Evolutive SFP'!AZ27)/2)</f>
        <v>1.8483625850133287E-2</v>
      </c>
      <c r="BC9" s="182">
        <f>'Evolutitve SCI'!BA33/(('Evolutive SFP'!AY27+'Evolutive SFP'!AZ27)/2)</f>
        <v>1.8122081382221662E-2</v>
      </c>
      <c r="BD9" s="182">
        <f>'Evolutitve SCI'!BB33/(('Evolutive SFP'!AZ27+'Evolutive SFP'!BA27)/2)</f>
        <v>0</v>
      </c>
      <c r="BE9" s="182">
        <f>'Evolutitve SCI'!BC33/(('Evolutive SFP'!BA27+'Evolutive SFP'!BB27)/2)</f>
        <v>3.9507324145101483E-2</v>
      </c>
      <c r="BF9" s="182">
        <f>'Evolutitve SCI'!BD33/(('Evolutive SFP'!BB27+'Evolutive SFP'!BC27)/2)</f>
        <v>7.0211308915497711E-3</v>
      </c>
      <c r="BG9" s="182">
        <f>'Evolutitve SCI'!BE33/(('Evolutive SFP'!BC27+'Evolutive SFP'!BD27)/2)</f>
        <v>2.148049533700749E-2</v>
      </c>
      <c r="BH9" s="182">
        <f>'Evolutitve SCI'!BF33/(('Evolutive SFP'!BD27+'Evolutive SFP'!BE27)/2)</f>
        <v>2.0604299592848204E-2</v>
      </c>
      <c r="BI9" s="182">
        <f>'Evolutitve SCI'!BG33/(('Evolutive SFP'!BE27+'Evolutive SFP'!BF27)/2)</f>
        <v>2.3864672055146655E-2</v>
      </c>
      <c r="BJ9" s="182">
        <f>'Evolutitve SCI'!BH33/(('Evolutive SFP'!BF27+'Evolutive SFP'!BG27)/2)</f>
        <v>1.9132041669362696E-2</v>
      </c>
      <c r="BK9" s="182">
        <f>'Evolutitve SCI'!BI33/(('Evolutive SFP'!BG27+'Evolutive SFP'!BH27)/2)</f>
        <v>3.1674206972738691E-3</v>
      </c>
      <c r="BL9" s="182">
        <f>'Evolutitve SCI'!BJ33/(('Evolutive SFP'!BH27+'Evolutive SFP'!BI27)/2)</f>
        <v>-1.0590078949342667E-3</v>
      </c>
      <c r="BM9" s="182">
        <f>'Evolutitve SCI'!BK33/(('Evolutive SFP'!BI27+'Evolutive SFP'!BJ27)/2)</f>
        <v>-3.0088174441486446E-4</v>
      </c>
      <c r="BN9" s="182">
        <f>'Evolutitve SCI'!BL33/(('Evolutive SFP'!BJ27+'Evolutive SFP'!BK27)/2)</f>
        <v>1.862618496420796E-2</v>
      </c>
      <c r="BO9" s="182">
        <f>'Evolutitve SCI'!BM33/(('Evolutive SFP'!BK27+'Evolutive SFP'!BL27)/2)</f>
        <v>1.7872667436989332E-2</v>
      </c>
      <c r="BP9" s="182">
        <f>'Evolutitve SCI'!BN33/(('Evolutive SFP'!BL27+'Evolutive SFP'!BM27)/2)</f>
        <v>2.0518170973675705E-2</v>
      </c>
      <c r="BQ9" s="182">
        <f>'Evolutitve SCI'!BO33/(('Evolutive SFP'!BM27+'Evolutive SFP'!BN27)/2)</f>
        <v>1.5764573674082866E-2</v>
      </c>
      <c r="BR9" s="182">
        <f>'Evolutitve SCI'!BP33/(('Evolutive SFP'!BN27+'Evolutive SFP'!BO27)/2)</f>
        <v>2.3814181913707433E-2</v>
      </c>
      <c r="BS9" s="182">
        <f>'Evolutitve SCI'!BQ33/(('Evolutive SFP'!BO27+'Evolutive SFP'!BP27)/2)</f>
        <v>2.7119905829727457E-2</v>
      </c>
      <c r="BT9" s="182">
        <f>'Evolutitve SCI'!BR33/(('Evolutive SFP'!BP27+'Evolutive SFP'!BQ27)/2)</f>
        <v>3.2254039629597837E-2</v>
      </c>
      <c r="BU9" s="182">
        <f>'Evolutitve SCI'!BS33/(('Evolutive SFP'!BQ27+'Evolutive SFP'!BR27)/2)</f>
        <v>3.3985291500924816E-2</v>
      </c>
      <c r="BV9" s="182">
        <f>'Evolutitve SCI'!BT33/(('Evolutive SFP'!BR27+'Evolutive SFP'!BS27)/2)</f>
        <v>2.6243536572955476E-2</v>
      </c>
      <c r="BW9" s="182">
        <f>'Evolutitve SCI'!BU33/(('Evolutive SFP'!BS27+'Evolutive SFP'!BT27)/2)</f>
        <v>1.832102913850097E-2</v>
      </c>
      <c r="BX9" s="182">
        <f>'Evolutitve SCI'!BV33/(('Evolutive SFP'!BT27+'Evolutive SFP'!BU27)/2)</f>
        <v>1.1226608886868335E-6</v>
      </c>
      <c r="BY9" s="182">
        <f>'Evolutitve SCI'!BW33/(('Evolutive SFP'!BU27+'Evolutive SFP'!BV27)/2)</f>
        <v>1.4186722998803065E-3</v>
      </c>
      <c r="BZ9" s="182">
        <f>'Evolutitve SCI'!BX33/(('Evolutive SFP'!BV27+'Evolutive SFP'!BW27)/2)</f>
        <v>1.6810977134130674E-3</v>
      </c>
      <c r="CA9" s="182">
        <f>'Evolutitve SCI'!BY33/(('Evolutive SFP'!BW27+'Evolutive SFP'!BX27)/2)</f>
        <v>2.6196814022575155E-3</v>
      </c>
      <c r="CB9" s="182">
        <f>'Evolutitve SCI'!BZ33/(('Evolutive SFP'!BX27+'Evolutive SFP'!BY27)/2)</f>
        <v>2.6037267136171131E-3</v>
      </c>
      <c r="CC9" s="182">
        <f>'Evolutitve SCI'!CA33/(('Evolutive SFP'!BY27+'Evolutive SFP'!BZ27)/2)</f>
        <v>1.9425624159920732E-2</v>
      </c>
      <c r="CD9" s="182">
        <f>'Evolutitve SCI'!CB33/(('Evolutive SFP'!BZ27+'Evolutive SFP'!CA27)/2)</f>
        <v>1.7759341017547399E-2</v>
      </c>
      <c r="CE9" s="182">
        <f>'Evolutitve SCI'!CC33/(('Evolutive SFP'!CA27+'Evolutive SFP'!CB27)/2)</f>
        <v>1.8680092689424013E-2</v>
      </c>
      <c r="CF9" s="182">
        <f>'Evolutitve SCI'!CD33/(('Evolutive SFP'!CB27+'Evolutive SFP'!CC27)/2)</f>
        <v>2.2990107296651324E-2</v>
      </c>
      <c r="CG9" s="182">
        <f>'Evolutitve SCI'!CE33/(('Evolutive SFP'!CC27+'Evolutive SFP'!CD27)/2)</f>
        <v>2.4527458111344585E-2</v>
      </c>
      <c r="CH9" s="182">
        <f>'Evolutitve SCI'!CF33/(('Evolutive SFP'!CD27+'Evolutive SFP'!CE27)/2)</f>
        <v>2.3934363768461298E-2</v>
      </c>
      <c r="CI9" s="182">
        <f>'Evolutitve SCI'!CG33/(('Evolutive SFP'!CE27+'Evolutive SFP'!CF27)/2)</f>
        <v>5.1663720910195884E-3</v>
      </c>
      <c r="CJ9" s="182">
        <f>'Evolutitve SCI'!CH33/(('Evolutive SFP'!CF27+'Evolutive SFP'!CG27)/2)</f>
        <v>7.6766714828976458E-3</v>
      </c>
      <c r="CK9" s="182">
        <f>'Evolutitve SCI'!CI33/(('Evolutive SFP'!CG27+'Evolutive SFP'!CH27)/2)</f>
        <v>2.641852017326589E-3</v>
      </c>
      <c r="CL9" s="182">
        <f>'Evolutitve SCI'!CJ33/(('Evolutive SFP'!CH27+'Evolutive SFP'!CI27)/2)</f>
        <v>1.6338614850570372E-2</v>
      </c>
      <c r="CM9" s="182">
        <f>'Evolutitve SCI'!CK33/(('Evolutive SFP'!CI27+'Evolutive SFP'!CJ27)/2)</f>
        <v>4.1811638821607306E-3</v>
      </c>
      <c r="CN9" s="182">
        <f>'Evolutitve SCI'!CL33/(('Evolutive SFP'!CJ27+'Evolutive SFP'!CK27)/2)</f>
        <v>1.2346038475194679E-3</v>
      </c>
      <c r="CO9" s="182">
        <f>'Evolutitve SCI'!CM33/(('Evolutive SFP'!CK27+'Evolutive SFP'!CL27)/2)</f>
        <v>-1.4646246774048391E-3</v>
      </c>
      <c r="CP9" s="182">
        <f>'Evolutitve SCI'!CN33/(('Evolutive SFP'!CL27+'Evolutive SFP'!CM27)/2)</f>
        <v>1.0156075731631672E-2</v>
      </c>
      <c r="CQ9" s="182">
        <f>'Evolutitve SCI'!CO33/(('Evolutive SFP'!CM27+'Evolutive SFP'!CN27)/2)</f>
        <v>3.3578544135567717E-3</v>
      </c>
      <c r="CR9" s="182">
        <f>'Evolutitve SCI'!CP33/(('Evolutive SFP'!CN27+'Evolutive SFP'!CO27)/2)</f>
        <v>3.4560944762490361E-3</v>
      </c>
      <c r="CS9" s="182">
        <f>'Evolutitve SCI'!CQ33/(('Evolutive SFP'!CO27+'Evolutive SFP'!CP27)/2)</f>
        <v>4.8708488621625355E-3</v>
      </c>
    </row>
    <row r="10" spans="1:97" ht="18.75">
      <c r="A10" s="262"/>
      <c r="B10" s="174" t="s">
        <v>126</v>
      </c>
      <c r="C10" s="175"/>
      <c r="D10" s="162">
        <f>'Evolutitve SCI'!B23/'Evolutitve SCI'!B19</f>
        <v>0.69568115853448986</v>
      </c>
      <c r="E10" s="162">
        <f>'Evolutitve SCI'!C23/'Evolutitve SCI'!C19</f>
        <v>0.5868097688252879</v>
      </c>
      <c r="F10" s="162">
        <f>'Evolutitve SCI'!D23/'Evolutitve SCI'!D19</f>
        <v>0.67523016010906334</v>
      </c>
      <c r="G10" s="162">
        <f>'Evolutitve SCI'!E23/'Evolutitve SCI'!E19</f>
        <v>0.69541035808062657</v>
      </c>
      <c r="H10" s="162">
        <f>'Evolutitve SCI'!F23/'Evolutitve SCI'!F19</f>
        <v>0.62645577059853641</v>
      </c>
      <c r="I10" s="162">
        <f>'Evolutitve SCI'!G23/'Evolutitve SCI'!G19</f>
        <v>0.64741086113978685</v>
      </c>
      <c r="J10" s="162">
        <f>'Evolutitve SCI'!H23/'Evolutitve SCI'!H19</f>
        <v>0.770813492268413</v>
      </c>
      <c r="K10" s="162">
        <f>'Evolutitve SCI'!I23/'Evolutitve SCI'!I19</f>
        <v>5.6768222533706334</v>
      </c>
      <c r="L10" s="162">
        <f>'Evolutitve SCI'!J23/'Evolutitve SCI'!J19</f>
        <v>0.60645234111314128</v>
      </c>
      <c r="M10" s="162">
        <f>'Evolutitve SCI'!K23/'Evolutitve SCI'!K19</f>
        <v>0.61302787784063817</v>
      </c>
      <c r="N10" s="162">
        <f>'Evolutitve SCI'!L23/'Evolutitve SCI'!L19</f>
        <v>0.66814639532073639</v>
      </c>
      <c r="O10" s="162">
        <f>'Evolutitve SCI'!M23/'Evolutitve SCI'!M19</f>
        <v>0.68849036398824426</v>
      </c>
      <c r="P10" s="162">
        <f>'Evolutitve SCI'!N23/'Evolutitve SCI'!N19</f>
        <v>0.5376688741298995</v>
      </c>
      <c r="Q10" s="162">
        <f>'Evolutitve SCI'!O23/'Evolutitve SCI'!O19</f>
        <v>0.62365999908162395</v>
      </c>
      <c r="R10" s="162">
        <f>'Evolutitve SCI'!P23/'Evolutitve SCI'!P19</f>
        <v>0.5413436205703015</v>
      </c>
      <c r="S10" s="162">
        <f>'Evolutitve SCI'!Q23/'Evolutitve SCI'!Q19</f>
        <v>0.48395955144240754</v>
      </c>
      <c r="T10" s="162">
        <f>'Evolutitve SCI'!R23/'Evolutitve SCI'!R19</f>
        <v>0.49627646188653646</v>
      </c>
      <c r="U10" s="162">
        <f>'Evolutitve SCI'!S23/'Evolutitve SCI'!S19</f>
        <v>0.49214227009013384</v>
      </c>
      <c r="V10" s="162">
        <f>'Evolutitve SCI'!T23/'Evolutitve SCI'!T19</f>
        <v>0.80949126743562561</v>
      </c>
      <c r="W10" s="162">
        <f>'Evolutitve SCI'!U23/'Evolutitve SCI'!U19</f>
        <v>0.83153592298936585</v>
      </c>
      <c r="X10" s="162">
        <f>'Evolutitve SCI'!V23/'Evolutitve SCI'!V19</f>
        <v>0.55078015931064395</v>
      </c>
      <c r="Y10" s="162">
        <f>'Evolutitve SCI'!W23/'Evolutitve SCI'!W19</f>
        <v>0.51268033636130406</v>
      </c>
      <c r="Z10" s="162">
        <f>'Evolutitve SCI'!X23/'Evolutitve SCI'!X19</f>
        <v>0.66694121479242408</v>
      </c>
      <c r="AA10" s="162">
        <f>'Evolutitve SCI'!Y23/'Evolutitve SCI'!Y19</f>
        <v>0.77113157671063082</v>
      </c>
      <c r="AB10" s="162">
        <f>'Evolutitve SCI'!Z23/'Evolutitve SCI'!Z19</f>
        <v>0.71586864284927387</v>
      </c>
      <c r="AC10" s="162">
        <f>'Evolutitve SCI'!AA23/'Evolutitve SCI'!AA19</f>
        <v>0.54327485902336636</v>
      </c>
      <c r="AD10" s="162">
        <f>'Evolutitve SCI'!AB23/'Evolutitve SCI'!AB19</f>
        <v>0.56173144419019116</v>
      </c>
      <c r="AE10" s="162">
        <f>'Evolutitve SCI'!AC23/'Evolutitve SCI'!AC19</f>
        <v>0.56075071181012659</v>
      </c>
      <c r="AF10" s="162">
        <f>'Evolutitve SCI'!AD23/'Evolutitve SCI'!AD19</f>
        <v>0.54993094195747538</v>
      </c>
      <c r="AG10" s="162">
        <f>'Evolutitve SCI'!AE23/'Evolutitve SCI'!AE19</f>
        <v>0.51968359244319784</v>
      </c>
      <c r="AH10" s="162">
        <f>'Evolutitve SCI'!AF23/'Evolutitve SCI'!AF19</f>
        <v>0.52880454812198352</v>
      </c>
      <c r="AI10" s="162">
        <f>'Evolutitve SCI'!AG23/'Evolutitve SCI'!AG19</f>
        <v>0.70140271846117708</v>
      </c>
      <c r="AJ10" s="162">
        <f>'Evolutitve SCI'!AH23/'Evolutitve SCI'!AH19</f>
        <v>0.69198068511521182</v>
      </c>
      <c r="AK10" s="162">
        <f>'Evolutitve SCI'!AI23/'Evolutitve SCI'!AI19</f>
        <v>0.48202585205275034</v>
      </c>
      <c r="AL10" s="162">
        <f>'Evolutitve SCI'!AJ23/'Evolutitve SCI'!AJ19</f>
        <v>0.51710378346944097</v>
      </c>
      <c r="AM10" s="162">
        <f>'Evolutitve SCI'!AK23/'Evolutitve SCI'!AK19</f>
        <v>0.63888008897254189</v>
      </c>
      <c r="AN10" s="162">
        <f>'Evolutitve SCI'!AL23/'Evolutitve SCI'!AL19</f>
        <v>0.75176441839021968</v>
      </c>
      <c r="AO10" s="162">
        <f>'Evolutitve SCI'!AM23/'Evolutitve SCI'!AM19</f>
        <v>0.69979612419054349</v>
      </c>
      <c r="AP10" s="162">
        <f>'Evolutitve SCI'!AN23/'Evolutitve SCI'!AN19</f>
        <v>0.55949162295616117</v>
      </c>
      <c r="AQ10" s="162">
        <f>'Evolutitve SCI'!AO23/'Evolutitve SCI'!AO19</f>
        <v>0.55654789567831064</v>
      </c>
      <c r="AR10" s="162">
        <f>'Evolutitve SCI'!AP23/'Evolutitve SCI'!AP19</f>
        <v>0.58882185127268039</v>
      </c>
      <c r="AS10" s="162">
        <f>'Evolutitve SCI'!AQ23/'Evolutitve SCI'!AQ19</f>
        <v>0.58862289759541431</v>
      </c>
      <c r="AT10" s="162">
        <f>'Evolutitve SCI'!AR23/'Evolutitve SCI'!AR19</f>
        <v>0.59493234147894747</v>
      </c>
      <c r="AU10" s="162">
        <f>'Evolutitve SCI'!AS23/'Evolutitve SCI'!AS19</f>
        <v>0.64361685672990754</v>
      </c>
      <c r="AV10" s="162">
        <f>'Evolutitve SCI'!AT23/'Evolutitve SCI'!AT19</f>
        <v>0.70902418883955809</v>
      </c>
      <c r="AW10" s="162">
        <f>'Evolutitve SCI'!AU23/'Evolutitve SCI'!AU19</f>
        <v>0.72886386219363442</v>
      </c>
      <c r="AX10" s="162">
        <f>'Evolutitve SCI'!AV23/'Evolutitve SCI'!AV19</f>
        <v>0.52701750701605443</v>
      </c>
      <c r="AY10" s="162">
        <f>'Evolutitve SCI'!AW23/'Evolutitve SCI'!AW19</f>
        <v>0.70053084890917472</v>
      </c>
      <c r="AZ10" s="162">
        <f>'Evolutitve SCI'!AX23/'Evolutitve SCI'!AX19</f>
        <v>0.75483069570227479</v>
      </c>
      <c r="BA10" s="162">
        <f>'Evolutitve SCI'!AY23/'Evolutitve SCI'!AY19</f>
        <v>0.5454755179048032</v>
      </c>
      <c r="BB10" s="162">
        <f>'Evolutitve SCI'!AZ23/'Evolutitve SCI'!AZ19</f>
        <v>0.67531662028300476</v>
      </c>
      <c r="BC10" s="162">
        <f>'Evolutitve SCI'!BA23/'Evolutitve SCI'!BA19</f>
        <v>0.66226370622946773</v>
      </c>
      <c r="BD10" s="162" t="e">
        <f>'Evolutitve SCI'!BB23/'Evolutitve SCI'!BB19</f>
        <v>#DIV/0!</v>
      </c>
      <c r="BE10" s="162">
        <f>'Evolutitve SCI'!BC23/'Evolutitve SCI'!BC19</f>
        <v>0.67818856588748788</v>
      </c>
      <c r="BF10" s="162">
        <f>'Evolutitve SCI'!BD23/'Evolutitve SCI'!BD19</f>
        <v>0.67187258015271034</v>
      </c>
      <c r="BG10" s="162">
        <f>'Evolutitve SCI'!BE23/'Evolutitve SCI'!BE19</f>
        <v>0.70010747234908699</v>
      </c>
      <c r="BH10" s="162">
        <f>'Evolutitve SCI'!BF23/'Evolutitve SCI'!BF19</f>
        <v>0.67387473134797982</v>
      </c>
      <c r="BI10" s="162">
        <f>'Evolutitve SCI'!BG23/'Evolutitve SCI'!BG19</f>
        <v>0.70812395288865804</v>
      </c>
      <c r="BJ10" s="162">
        <f>'Evolutitve SCI'!BH23/'Evolutitve SCI'!BH19</f>
        <v>0.72881866162545439</v>
      </c>
      <c r="BK10" s="162">
        <f>'Evolutitve SCI'!BI23/'Evolutitve SCI'!BI19</f>
        <v>1.2644058555434377</v>
      </c>
      <c r="BL10" s="162">
        <f>'Evolutitve SCI'!BJ23/'Evolutitve SCI'!BJ19</f>
        <v>1.2148636274938305</v>
      </c>
      <c r="BM10" s="162">
        <f>'Evolutitve SCI'!BK23/'Evolutitve SCI'!BK19</f>
        <v>1.1478304827082364</v>
      </c>
      <c r="BN10" s="162">
        <f>'Evolutitve SCI'!BL23/'Evolutitve SCI'!BL19</f>
        <v>0.71469510561278549</v>
      </c>
      <c r="BO10" s="162">
        <f>'Evolutitve SCI'!BM23/'Evolutitve SCI'!BM19</f>
        <v>0.73355767513431258</v>
      </c>
      <c r="BP10" s="162">
        <f>'Evolutitve SCI'!BN23/'Evolutitve SCI'!BN19</f>
        <v>0.73707939079201745</v>
      </c>
      <c r="BQ10" s="162">
        <f>'Evolutitve SCI'!BO23/'Evolutitve SCI'!BO19</f>
        <v>0.75764718169759493</v>
      </c>
      <c r="BR10" s="162">
        <f>'Evolutitve SCI'!BP23/'Evolutitve SCI'!BP19</f>
        <v>0.74826167020878365</v>
      </c>
      <c r="BS10" s="162">
        <f>'Evolutitve SCI'!BQ23/'Evolutitve SCI'!BQ19</f>
        <v>0.73280210265632528</v>
      </c>
      <c r="BT10" s="162">
        <f>'Evolutitve SCI'!BR23/'Evolutitve SCI'!BR19</f>
        <v>0.72636425423102946</v>
      </c>
      <c r="BU10" s="162">
        <f>'Evolutitve SCI'!BS23/'Evolutitve SCI'!BS19</f>
        <v>0.72057452755883866</v>
      </c>
      <c r="BV10" s="162">
        <f>'Evolutitve SCI'!BT23/'Evolutitve SCI'!BT19</f>
        <v>0.81626624900882583</v>
      </c>
      <c r="BW10" s="162">
        <f>'Evolutitve SCI'!BU23/'Evolutitve SCI'!BU19</f>
        <v>0.80834740527698168</v>
      </c>
      <c r="BX10" s="162">
        <f>'Evolutitve SCI'!BV23/'Evolutitve SCI'!BV19</f>
        <v>0.99982700352459231</v>
      </c>
      <c r="BY10" s="162">
        <f>'Evolutitve SCI'!BW23/'Evolutitve SCI'!BW19</f>
        <v>1.3901677245545399</v>
      </c>
      <c r="BZ10" s="162">
        <f>'Evolutitve SCI'!BX23/'Evolutitve SCI'!BX19</f>
        <v>1.213502610097442</v>
      </c>
      <c r="CA10" s="162">
        <f>'Evolutitve SCI'!BY23/'Evolutitve SCI'!BY19</f>
        <v>1.166320481198889</v>
      </c>
      <c r="CB10" s="162">
        <f>'Evolutitve SCI'!BZ23/'Evolutitve SCI'!BZ19</f>
        <v>1.1741862916049572</v>
      </c>
      <c r="CC10" s="162">
        <f>'Evolutitve SCI'!CA23/'Evolutitve SCI'!CA19</f>
        <v>0.90348635989935611</v>
      </c>
      <c r="CD10" s="162">
        <f>'Evolutitve SCI'!CB23/'Evolutitve SCI'!CB19</f>
        <v>0.93644416003598574</v>
      </c>
      <c r="CE10" s="162">
        <f>'Evolutitve SCI'!CC23/'Evolutitve SCI'!CC19</f>
        <v>0.90812031139918548</v>
      </c>
      <c r="CF10" s="162">
        <f>'Evolutitve SCI'!CD23/'Evolutitve SCI'!CD19</f>
        <v>0.88969996683279751</v>
      </c>
      <c r="CG10" s="162">
        <f>'Evolutitve SCI'!CE23/'Evolutitve SCI'!CE19</f>
        <v>0.89783850557370704</v>
      </c>
      <c r="CH10" s="162">
        <f>'Evolutitve SCI'!CF23/'Evolutitve SCI'!CF19</f>
        <v>0.9104666885137741</v>
      </c>
      <c r="CI10" s="162">
        <f>'Evolutitve SCI'!CG23/'Evolutitve SCI'!CG19</f>
        <v>1.0045240010172234</v>
      </c>
      <c r="CJ10" s="162">
        <f>'Evolutitve SCI'!CH23/'Evolutitve SCI'!CH19</f>
        <v>0.99357133192440372</v>
      </c>
      <c r="CK10" s="162">
        <f>'Evolutitve SCI'!CI23/'Evolutitve SCI'!CI19</f>
        <v>0.73093901016090157</v>
      </c>
      <c r="CL10" s="162">
        <f>'Evolutitve SCI'!CJ23/'Evolutitve SCI'!CJ19</f>
        <v>0.81331804398854635</v>
      </c>
      <c r="CM10" s="162">
        <f>'Evolutitve SCI'!CK23/'Evolutitve SCI'!CK19</f>
        <v>1.2611710603440951</v>
      </c>
      <c r="CN10" s="162">
        <f>'Evolutitve SCI'!CL23/'Evolutitve SCI'!CL19</f>
        <v>1.3496818127829056</v>
      </c>
      <c r="CO10" s="162">
        <f>'Evolutitve SCI'!CM23/'Evolutitve SCI'!CM19</f>
        <v>1.3861095378012935</v>
      </c>
      <c r="CP10" s="162">
        <f>'Evolutitve SCI'!CN23/'Evolutitve SCI'!CN19</f>
        <v>1.0077740948746399</v>
      </c>
      <c r="CQ10" s="162">
        <f>'Evolutitve SCI'!CO23/'Evolutitve SCI'!CO19</f>
        <v>1.0576784748938592</v>
      </c>
      <c r="CR10" s="162">
        <f>'Evolutitve SCI'!CP23/'Evolutitve SCI'!CP19</f>
        <v>1.0710354537231837</v>
      </c>
      <c r="CS10" s="162">
        <f>'Evolutitve SCI'!CQ23/'Evolutitve SCI'!CQ19</f>
        <v>1.0212091685668285</v>
      </c>
    </row>
    <row r="11" spans="1:97" ht="18.75" customHeight="1">
      <c r="A11" s="262"/>
      <c r="B11" s="174" t="s">
        <v>127</v>
      </c>
      <c r="C11" s="175"/>
      <c r="D11" s="162">
        <f>('Evolutitve SCI'!B23+'Evolutitve SCI'!B12)/(('Evolutive SFP'!B27+'Evolutive SFP'!C27)/2)</f>
        <v>0.10503130951318169</v>
      </c>
      <c r="E11" s="162">
        <f>('Evolutitve SCI'!C23+'Evolutitve SCI'!C12)/(('Evolutive SFP'!C27+'Evolutive SFP'!D27)/2)</f>
        <v>0.11730013274395623</v>
      </c>
      <c r="F11" s="162">
        <f>('Evolutitve SCI'!D23+'Evolutitve SCI'!D12)/(('Evolutive SFP'!D27+'Evolutive SFP'!E27)/2)</f>
        <v>0.13106299006542713</v>
      </c>
      <c r="G11" s="162">
        <f>('Evolutitve SCI'!E23+'Evolutitve SCI'!E12)/(('Evolutive SFP'!E27+'Evolutive SFP'!F27)/2)</f>
        <v>0.1481510165787962</v>
      </c>
      <c r="H11" s="162">
        <f>('Evolutitve SCI'!F23+'Evolutitve SCI'!F12)/(('Evolutive SFP'!F27+'Evolutive SFP'!G27)/2)</f>
        <v>0.13060366292754833</v>
      </c>
      <c r="I11" s="162">
        <f>('Evolutitve SCI'!G23+'Evolutitve SCI'!G12)/(('Evolutive SFP'!G27+'Evolutive SFP'!H27)/2)</f>
        <v>0.12847664502286907</v>
      </c>
      <c r="J11" s="162">
        <f>('Evolutitve SCI'!H23+'Evolutitve SCI'!H12)/(('Evolutive SFP'!H27+'Evolutive SFP'!I27)/2)</f>
        <v>0.14533301805372104</v>
      </c>
      <c r="K11" s="162">
        <f>('Evolutitve SCI'!I23+'Evolutitve SCI'!I12)/(('Evolutive SFP'!I27+'Evolutive SFP'!J27)/2)</f>
        <v>7.7485304455030407E-3</v>
      </c>
      <c r="L11" s="162">
        <f>('Evolutitve SCI'!J23+'Evolutitve SCI'!J12)/(('Evolutive SFP'!J27+'Evolutive SFP'!K27)/2)</f>
        <v>1.6289415327759495E-2</v>
      </c>
      <c r="M11" s="162">
        <f>('Evolutitve SCI'!K23+'Evolutitve SCI'!K12)/(('Evolutive SFP'!K27+'Evolutive SFP'!L27)/2)</f>
        <v>2.7341477170634353E-2</v>
      </c>
      <c r="N11" s="162">
        <f>('Evolutitve SCI'!L23+'Evolutitve SCI'!L12)/(('Evolutive SFP'!L27+'Evolutive SFP'!M27)/2)</f>
        <v>3.7609841280059925E-2</v>
      </c>
      <c r="O11" s="162">
        <f>('Evolutitve SCI'!M23+'Evolutitve SCI'!M12)/(('Evolutive SFP'!M27+'Evolutive SFP'!N27)/2)</f>
        <v>4.9296729066033079E-2</v>
      </c>
      <c r="P11" s="162">
        <f>('Evolutitve SCI'!N23+'Evolutitve SCI'!N12)/(('Evolutive SFP'!N27+'Evolutive SFP'!O27)/2)</f>
        <v>5.7602011874799713E-2</v>
      </c>
      <c r="Q11" s="162">
        <f>('Evolutitve SCI'!O23+'Evolutitve SCI'!O12)/(('Evolutive SFP'!O27+'Evolutive SFP'!P27)/2)</f>
        <v>6.7343078426952835E-2</v>
      </c>
      <c r="R11" s="162">
        <f>('Evolutitve SCI'!P23+'Evolutitve SCI'!P12)/(('Evolutive SFP'!P27+'Evolutive SFP'!Q27)/2)</f>
        <v>7.3903765958246451E-2</v>
      </c>
      <c r="S11" s="162">
        <f>('Evolutitve SCI'!Q23+'Evolutitve SCI'!Q12)/(('Evolutive SFP'!Q27+'Evolutive SFP'!R27)/2)</f>
        <v>8.1537497966215414E-2</v>
      </c>
      <c r="T11" s="162">
        <f>('Evolutitve SCI'!R23+'Evolutitve SCI'!R12)/(('Evolutive SFP'!R27+'Evolutive SFP'!S27)/2)</f>
        <v>9.0241042466524174E-2</v>
      </c>
      <c r="U11" s="162">
        <f>('Evolutitve SCI'!S23+'Evolutitve SCI'!S12)/(('Evolutive SFP'!S27+'Evolutive SFP'!T27)/2)</f>
        <v>9.7284817855065431E-2</v>
      </c>
      <c r="V11" s="162">
        <f>('Evolutitve SCI'!T23+'Evolutitve SCI'!T12)/(('Evolutive SFP'!T27+'Evolutive SFP'!U27)/2)</f>
        <v>0.14875444817259181</v>
      </c>
      <c r="W11" s="162">
        <f>('Evolutitve SCI'!U23+'Evolutitve SCI'!U12)/(('Evolutive SFP'!U27+'Evolutive SFP'!V27)/2)</f>
        <v>0.15131755539524716</v>
      </c>
      <c r="X11" s="162">
        <f>('Evolutitve SCI'!V23+'Evolutitve SCI'!V12)/(('Evolutive SFP'!V27+'Evolutive SFP'!W27)/2)</f>
        <v>8.4745187395367117E-3</v>
      </c>
      <c r="Y11" s="162">
        <f>('Evolutitve SCI'!W23+'Evolutitve SCI'!W12)/(('Evolutive SFP'!W27+'Evolutive SFP'!X27)/2)</f>
        <v>1.5910864501156283E-2</v>
      </c>
      <c r="Z11" s="162">
        <f>('Evolutitve SCI'!X23+'Evolutitve SCI'!X12)/(('Evolutive SFP'!X27+'Evolutive SFP'!Y27)/2)</f>
        <v>2.909527072248104E-2</v>
      </c>
      <c r="AA11" s="162">
        <f>('Evolutitve SCI'!Y23+'Evolutitve SCI'!Y12)/(('Evolutive SFP'!Y27+'Evolutive SFP'!Z27)/2)</f>
        <v>4.3777871545652727E-2</v>
      </c>
      <c r="AB11" s="162">
        <f>('Evolutitve SCI'!Z23+'Evolutitve SCI'!Z12)/(('Evolutive SFP'!Z27+'Evolutive SFP'!AA27)/2)</f>
        <v>5.1489242376734294E-2</v>
      </c>
      <c r="AC11" s="162">
        <f>('Evolutitve SCI'!AA23+'Evolutitve SCI'!AA12)/(('Evolutive SFP'!AA27+'Evolutive SFP'!AB27)/2)</f>
        <v>5.7894078864010941E-2</v>
      </c>
      <c r="AD11" s="162">
        <f>('Evolutitve SCI'!AB23+'Evolutitve SCI'!AB12)/(('Evolutive SFP'!AB27+'Evolutive SFP'!AC27)/2)</f>
        <v>6.743270237944278E-2</v>
      </c>
      <c r="AE11" s="162">
        <f>('Evolutitve SCI'!AC23+'Evolutitve SCI'!AC12)/(('Evolutive SFP'!AC27+'Evolutive SFP'!AD27)/2)</f>
        <v>7.71392204584255E-2</v>
      </c>
      <c r="AF11" s="162">
        <f>('Evolutitve SCI'!AD23+'Evolutitve SCI'!AD12)/(('Evolutive SFP'!AD27+'Evolutive SFP'!AE27)/2)</f>
        <v>8.4121017406104448E-2</v>
      </c>
      <c r="AG11" s="162">
        <f>('Evolutitve SCI'!AE23+'Evolutitve SCI'!AE12)/(('Evolutive SFP'!AE27+'Evolutive SFP'!AF27)/2)</f>
        <v>8.7761501343380566E-2</v>
      </c>
      <c r="AH11" s="162">
        <f>('Evolutitve SCI'!AF23+'Evolutitve SCI'!AF12)/(('Evolutive SFP'!AF27+'Evolutive SFP'!AG27)/2)</f>
        <v>9.9370725263991086E-2</v>
      </c>
      <c r="AI11" s="162">
        <f>('Evolutitve SCI'!AG23+'Evolutitve SCI'!AG12)/(('Evolutive SFP'!AG27+'Evolutive SFP'!AH27)/2)</f>
        <v>0.13846841875970683</v>
      </c>
      <c r="AJ11" s="162">
        <f>('Evolutitve SCI'!AH23+'Evolutitve SCI'!AH12)/(('Evolutive SFP'!AH27+'Evolutive SFP'!AI27)/2)</f>
        <v>0.14087104497290442</v>
      </c>
      <c r="AK11" s="162">
        <f>('Evolutitve SCI'!AI23+'Evolutitve SCI'!AI12)/(('Evolutive SFP'!AI27+'Evolutive SFP'!AJ27)/2)</f>
        <v>8.3258072921371679E-3</v>
      </c>
      <c r="AL11" s="162">
        <f>('Evolutitve SCI'!AJ23+'Evolutitve SCI'!AJ12)/(('Evolutive SFP'!AJ27+'Evolutive SFP'!AK27)/2)</f>
        <v>1.6909483348386965E-2</v>
      </c>
      <c r="AM11" s="162">
        <f>('Evolutitve SCI'!AK23+'Evolutitve SCI'!AK12)/(('Evolutive SFP'!AK27+'Evolutive SFP'!AL27)/2)</f>
        <v>2.9226849836622583E-2</v>
      </c>
      <c r="AN11" s="162">
        <f>('Evolutitve SCI'!AL23+'Evolutitve SCI'!AL12)/(('Evolutive SFP'!AL27+'Evolutive SFP'!AM27)/2)</f>
        <v>4.448986585137895E-2</v>
      </c>
      <c r="AO11" s="162">
        <f>('Evolutitve SCI'!AM23+'Evolutitve SCI'!AM12)/(('Evolutive SFP'!AM27+'Evolutive SFP'!AN27)/2)</f>
        <v>5.2271053516016922E-2</v>
      </c>
      <c r="AP11" s="162">
        <f>('Evolutitve SCI'!AN23+'Evolutitve SCI'!AN12)/(('Evolutive SFP'!AN27+'Evolutive SFP'!AO27)/2)</f>
        <v>6.2789218495302654E-2</v>
      </c>
      <c r="AQ11" s="162">
        <f>('Evolutitve SCI'!AO23+'Evolutitve SCI'!AO12)/(('Evolutive SFP'!AO27+'Evolutive SFP'!AP27)/2)</f>
        <v>7.0908877547552263E-2</v>
      </c>
      <c r="AR11" s="162">
        <f>('Evolutitve SCI'!AP23+'Evolutitve SCI'!AP12)/(('Evolutive SFP'!AP27+'Evolutive SFP'!AQ27)/2)</f>
        <v>8.3657315156868861E-2</v>
      </c>
      <c r="AS11" s="162">
        <f>('Evolutitve SCI'!AQ23+'Evolutitve SCI'!AQ12)/(('Evolutive SFP'!AQ27+'Evolutive SFP'!AR27)/2)</f>
        <v>9.1409374946815128E-2</v>
      </c>
      <c r="AT11" s="162">
        <f>('Evolutitve SCI'!AR23+'Evolutitve SCI'!AR12)/(('Evolutive SFP'!AR27+'Evolutive SFP'!AS27)/2)</f>
        <v>0.10002636603256201</v>
      </c>
      <c r="AU11" s="162">
        <f>('Evolutitve SCI'!AS23+'Evolutitve SCI'!AS12)/(('Evolutive SFP'!AS27+'Evolutive SFP'!AT27)/2)</f>
        <v>0.11997871588141998</v>
      </c>
      <c r="AV11" s="162">
        <f>('Evolutitve SCI'!AT23+'Evolutitve SCI'!AT12)/(('Evolutive SFP'!AT27+'Evolutive SFP'!AU27)/2)</f>
        <v>0.14758732116044848</v>
      </c>
      <c r="AW11" s="162">
        <f>('Evolutitve SCI'!AU23+'Evolutitve SCI'!AU12)/(('Evolutive SFP'!AU27+'Evolutive SFP'!AV27)/2)</f>
        <v>0.14875677066333104</v>
      </c>
      <c r="AX11" s="162">
        <f>('Evolutitve SCI'!AV23+'Evolutitve SCI'!AV12)/(('Evolutive SFP'!AV27+'Evolutive SFP'!AW27)/2)</f>
        <v>8.6423511925648802E-3</v>
      </c>
      <c r="AY11" s="162">
        <f>('Evolutitve SCI'!AW23+'Evolutitve SCI'!AW12)/(('Evolutive SFP'!AW27+'Evolutive SFP'!AX27)/2)</f>
        <v>1.9686219965910742E-2</v>
      </c>
      <c r="AZ11" s="162">
        <f>('Evolutitve SCI'!AX23+'Evolutitve SCI'!AX12)/(('Evolutive SFP'!AX27+'Evolutive SFP'!AY27)/2)</f>
        <v>3.1611638653917869E-2</v>
      </c>
      <c r="BA11" s="162">
        <f>('Evolutitve SCI'!AY23+'Evolutitve SCI'!AY12)/(('Evolutive SFP'!AY27+'Evolutive SFP'!AZ27)/2)</f>
        <v>4.1987942975405951E-2</v>
      </c>
      <c r="BB11" s="162">
        <f>('Evolutitve SCI'!AZ23+'Evolutitve SCI'!AZ12)/(('Evolutive SFP'!AZ27+'Evolutive SFP'!BA27)/2)</f>
        <v>0.11395437196906262</v>
      </c>
      <c r="BC11" s="162">
        <f>('Evolutitve SCI'!BA23+'Evolutitve SCI'!BA12)/(('Evolutive SFP'!BA27+'Evolutive SFP'!BB27)/2)</f>
        <v>2.550513362586734E-2</v>
      </c>
      <c r="BD11" s="162">
        <f>('Evolutitve SCI'!BB23+'Evolutitve SCI'!BB12)/(('Evolutive SFP'!BB27+'Evolutive SFP'!BC27)/2)</f>
        <v>0</v>
      </c>
      <c r="BE11" s="162">
        <f>('Evolutitve SCI'!BC23+'Evolutitve SCI'!BC12)/(('Evolutive SFP'!BC27+'Evolutive SFP'!BD27)/2)</f>
        <v>0.42891422851000721</v>
      </c>
      <c r="BF11" s="162">
        <f>('Evolutitve SCI'!BD23+'Evolutitve SCI'!BD12)/(('Evolutive SFP'!BD27+'Evolutive SFP'!BE27)/2)</f>
        <v>9.5047275868415465E-2</v>
      </c>
      <c r="BG11" s="162">
        <f>('Evolutitve SCI'!BE23+'Evolutitve SCI'!BE12)/(('Evolutive SFP'!BE27+'Evolutive SFP'!BF27)/2)</f>
        <v>0.10722981981007687</v>
      </c>
      <c r="BH11" s="162">
        <f>('Evolutitve SCI'!BF23+'Evolutitve SCI'!BF12)/(('Evolutive SFP'!BE27+'Evolutive SFP'!BF27)/2)</f>
        <v>0.1181443615343321</v>
      </c>
      <c r="BI11" s="162">
        <f>('Evolutitve SCI'!BG23+'Evolutitve SCI'!BG12)/(('Evolutive SFP'!BF27+'Evolutive SFP'!BG27)/2)</f>
        <v>0.13293911882257997</v>
      </c>
      <c r="BJ11" s="162">
        <f>('Evolutitve SCI'!BH23+'Evolutitve SCI'!BH12)/(('Evolutive SFP'!BG27+'Evolutive SFP'!BH27)/2)</f>
        <v>0.13660848741397899</v>
      </c>
      <c r="BK11" s="162">
        <f>('Evolutitve SCI'!BI23+'Evolutitve SCI'!BI12)/(('Evolutive SFP'!BH27+'Evolutive SFP'!BI27)/2)</f>
        <v>1.3219111847696342E-2</v>
      </c>
      <c r="BL11" s="162">
        <f>('Evolutitve SCI'!BJ23+'Evolutitve SCI'!BJ12)/(('Evolutive SFP'!BI27+'Evolutive SFP'!BJ27)/2)</f>
        <v>2.7278806659784521E-2</v>
      </c>
      <c r="BM11" s="162">
        <f>('Evolutitve SCI'!BK23+'Evolutitve SCI'!BK12)/(('Evolutive SFP'!BJ27+'Evolutive SFP'!BK27)/2)</f>
        <v>4.1043066442066824E-2</v>
      </c>
      <c r="BN11" s="162">
        <f>('Evolutitve SCI'!BL23+'Evolutitve SCI'!BL12)/(('Evolutive SFP'!BK27+'Evolutive SFP'!BL27)/2)</f>
        <v>5.1870797402745084E-2</v>
      </c>
      <c r="BO11" s="162">
        <f>('Evolutitve SCI'!BM23+'Evolutitve SCI'!BM12)/(('Evolutive SFP'!BL27+'Evolutive SFP'!BM27)/2)</f>
        <v>6.2552498045106555E-2</v>
      </c>
      <c r="BP11" s="162">
        <f>('Evolutitve SCI'!BN23+'Evolutitve SCI'!BN12)/(('Evolutive SFP'!BM27+'Evolutive SFP'!BN27)/2)</f>
        <v>7.2666508344168532E-2</v>
      </c>
      <c r="BQ11" s="162">
        <f>('Evolutitve SCI'!BO23+'Evolutitve SCI'!BO12)/(('Evolutive SFP'!BN27+'Evolutive SFP'!BO27)/2)</f>
        <v>8.4548818244734619E-2</v>
      </c>
      <c r="BR11" s="162">
        <f>('Evolutitve SCI'!BP23+'Evolutitve SCI'!BP12)/(('Evolutive SFP'!BO27+'Evolutive SFP'!BP27)/2)</f>
        <v>9.3044857083870849E-2</v>
      </c>
      <c r="BS11" s="162">
        <f>('Evolutitve SCI'!BQ23+'Evolutitve SCI'!BQ12)/(('Evolutive SFP'!BP27+'Evolutive SFP'!BQ27)/2)</f>
        <v>0.10099806657296875</v>
      </c>
      <c r="BT11" s="162">
        <f>('Evolutitve SCI'!BR23+'Evolutitve SCI'!BR12)/(('Evolutive SFP'!BQ27+'Evolutive SFP'!BR27)/2)</f>
        <v>0.10980535958555594</v>
      </c>
      <c r="BU11" s="162">
        <f>('Evolutitve SCI'!BS23+'Evolutitve SCI'!BS12)/(('Evolutive SFP'!BR27+'Evolutive SFP'!BS27)/2)</f>
        <v>0.11857934619196808</v>
      </c>
      <c r="BV11" s="162">
        <f>('Evolutitve SCI'!BT23+'Evolutitve SCI'!BT12)/(('Evolutive SFP'!BS27+'Evolutive SFP'!BT27)/2)</f>
        <v>0.1488826742354265</v>
      </c>
      <c r="BW11" s="162">
        <f>('Evolutitve SCI'!BU23+'Evolutitve SCI'!BU12)/(('Evolutive SFP'!BT27+'Evolutive SFP'!BU27)/2)</f>
        <v>0.14945125832381009</v>
      </c>
      <c r="BX11" s="162">
        <f>('Evolutitve SCI'!BV23+'Evolutitve SCI'!BV12)/(('Evolutive SFP'!BU27+'Evolutive SFP'!BV27)/2)</f>
        <v>1.1217003507186782E-2</v>
      </c>
      <c r="BY11" s="162">
        <f>('Evolutitve SCI'!BW23+'Evolutitve SCI'!BW12)/(('Evolutive SFP'!BV27+'Evolutive SFP'!BW27)/2)</f>
        <v>2.9917190706077318E-2</v>
      </c>
      <c r="BZ11" s="162">
        <f>('Evolutitve SCI'!BX23+'Evolutitve SCI'!BX12)/(('Evolutive SFP'!BW27+'Evolutive SFP'!BX27)/2)</f>
        <v>4.4135323474704502E-2</v>
      </c>
      <c r="CA11" s="162">
        <f>('Evolutitve SCI'!BY23+'Evolutitve SCI'!BY12)/(('Evolutive SFP'!BX27+'Evolutive SFP'!BY27)/2)</f>
        <v>5.7278867160444433E-2</v>
      </c>
      <c r="CB11" s="162">
        <f>('Evolutitve SCI'!BZ23+'Evolutitve SCI'!BZ12)/(('Evolutive SFP'!BY27+'Evolutive SFP'!BZ27)/2)</f>
        <v>6.9292565159975006E-2</v>
      </c>
      <c r="CC11" s="162">
        <f>('Evolutitve SCI'!CA23+'Evolutitve SCI'!CA12)/(('Evolutive SFP'!BZ27+'Evolutive SFP'!CA27)/2)</f>
        <v>8.0005300619331976E-2</v>
      </c>
      <c r="CD11" s="162">
        <f>('Evolutitve SCI'!CB23+'Evolutitve SCI'!CB12)/(('Evolutive SFP'!CA27+'Evolutive SFP'!CB27)/2)</f>
        <v>9.2624674589261519E-2</v>
      </c>
      <c r="CE11" s="162">
        <f>('Evolutitve SCI'!CC23+'Evolutitve SCI'!CC12)/(('Evolutive SFP'!CB27+'Evolutive SFP'!CC27)/2)</f>
        <v>0.10180926025640004</v>
      </c>
      <c r="CF11" s="162">
        <f>('Evolutitve SCI'!CD23+'Evolutitve SCI'!CD12)/(('Evolutive SFP'!CC27+'Evolutive SFP'!CD27)/2)</f>
        <v>0.11125171085079014</v>
      </c>
      <c r="CG11" s="162">
        <f>('Evolutitve SCI'!CE23+'Evolutitve SCI'!CE12)/(('Evolutive SFP'!CD27+'Evolutive SFP'!CE27)/2)</f>
        <v>0.12140473734316705</v>
      </c>
      <c r="CH11" s="162">
        <f>('Evolutitve SCI'!CF23+'Evolutitve SCI'!CF12)/(('Evolutive SFP'!CE27+'Evolutive SFP'!CF27)/2)</f>
        <v>0.13427845872470737</v>
      </c>
      <c r="CI11" s="162">
        <f>('Evolutitve SCI'!CG23+'Evolutitve SCI'!CG12)/(('Evolutive SFP'!CF27+'Evolutive SFP'!CG27)/2)</f>
        <v>0.15847005021182131</v>
      </c>
      <c r="CJ11" s="162">
        <f>('Evolutitve SCI'!CH23+'Evolutitve SCI'!CH12)/(('Evolutive SFP'!CG27+'Evolutive SFP'!CH27)/2)</f>
        <v>0.23197625366088556</v>
      </c>
      <c r="CK11" s="162">
        <f>('Evolutitve SCI'!CI23+'Evolutitve SCI'!CI12)/(('Evolutive SFP'!CH27+'Evolutive SFP'!CI27)/2)</f>
        <v>1.4269571971258528E-2</v>
      </c>
      <c r="CL11" s="162">
        <f>('Evolutitve SCI'!CJ23+'Evolutitve SCI'!CJ12)/(('Evolutive SFP'!CI27+'Evolutive SFP'!CJ27)/2)</f>
        <v>2.0229051312183177E-2</v>
      </c>
      <c r="CM11" s="162">
        <f>('Evolutitve SCI'!CK23+'Evolutitve SCI'!CK12)/(('Evolutive SFP'!CJ27+'Evolutive SFP'!CK27)/2)</f>
        <v>4.260671073047409E-2</v>
      </c>
      <c r="CN11" s="162">
        <f>('Evolutitve SCI'!CL23+'Evolutitve SCI'!CL12)/(('Evolutive SFP'!CK27+'Evolutive SFP'!CL27)/2)</f>
        <v>5.5741607247280361E-2</v>
      </c>
      <c r="CO11" s="162">
        <f>('Evolutitve SCI'!CM23+'Evolutitve SCI'!CM12)/(('Evolutive SFP'!CL27+'Evolutive SFP'!CM27)/2)</f>
        <v>6.7464161539128625E-2</v>
      </c>
      <c r="CP11" s="162">
        <f>('Evolutitve SCI'!CN23+'Evolutitve SCI'!CN12)/(('Evolutive SFP'!CM27+'Evolutive SFP'!CN27)/2)</f>
        <v>8.1943054805711554E-2</v>
      </c>
      <c r="CQ11" s="162">
        <f>('Evolutitve SCI'!CO23+'Evolutitve SCI'!CO12)/(('Evolutive SFP'!CN27+'Evolutive SFP'!CO27)/2)</f>
        <v>9.469290748029513E-2</v>
      </c>
      <c r="CR11" s="162">
        <f>('Evolutitve SCI'!CP23+'Evolutitve SCI'!CP12)/(('Evolutive SFP'!CO27+'Evolutive SFP'!CP27)/2)</f>
        <v>0.10595145204895434</v>
      </c>
      <c r="CS11" s="162">
        <f>('Evolutitve SCI'!CQ23+'Evolutitve SCI'!CQ12)/(('Evolutive SFP'!CP27+'Evolutive SFP'!CQ27)/2)</f>
        <v>0.23127427476834919</v>
      </c>
    </row>
    <row r="12" spans="1:97" ht="36.75">
      <c r="A12" s="262" t="s">
        <v>128</v>
      </c>
      <c r="B12" s="174" t="s">
        <v>129</v>
      </c>
      <c r="C12" s="175" t="s">
        <v>130</v>
      </c>
      <c r="D12" s="162">
        <f>('Evolutive SFP'!B4)/('Evolutive SFP'!B28+'Evolutive SFP'!B29+'Evolutive SFP'!B32+'Evolutive SFP'!B33+'Evolutive SFP'!B34+'Evolutive SFP'!B35+'Evolutive SFP'!B36)</f>
        <v>1.3285562233328478</v>
      </c>
      <c r="E12" s="162">
        <f>('Evolutive SFP'!C4)/('Evolutive SFP'!C28+'Evolutive SFP'!C29+'Evolutive SFP'!C32+'Evolutive SFP'!C33+'Evolutive SFP'!C34+'Evolutive SFP'!C35+'Evolutive SFP'!C36)</f>
        <v>7.2699101872371427E-2</v>
      </c>
      <c r="F12" s="162">
        <f>('Evolutive SFP'!D4)/('Evolutive SFP'!D28+'Evolutive SFP'!D29+'Evolutive SFP'!D32+'Evolutive SFP'!D33+'Evolutive SFP'!D34+'Evolutive SFP'!D35+'Evolutive SFP'!D36)</f>
        <v>4.0738032995292967E-2</v>
      </c>
      <c r="G12" s="162">
        <f>('Evolutive SFP'!E4)/('Evolutive SFP'!E28+'Evolutive SFP'!E29+'Evolutive SFP'!E32+'Evolutive SFP'!E33+'Evolutive SFP'!E34+'Evolutive SFP'!E35+'Evolutive SFP'!E36)</f>
        <v>0.12112009740643273</v>
      </c>
      <c r="H12" s="162">
        <f>('Evolutive SFP'!F4)/('Evolutive SFP'!F28+'Evolutive SFP'!F29+'Evolutive SFP'!F32+'Evolutive SFP'!F33+'Evolutive SFP'!F34+'Evolutive SFP'!F35+'Evolutive SFP'!F36)</f>
        <v>0.67821272287716783</v>
      </c>
      <c r="I12" s="162">
        <f>('Evolutive SFP'!G4)/('Evolutive SFP'!G28+'Evolutive SFP'!G29+'Evolutive SFP'!G32+'Evolutive SFP'!G33+'Evolutive SFP'!G34+'Evolutive SFP'!G35+'Evolutive SFP'!G36)</f>
        <v>0.78161820353864719</v>
      </c>
      <c r="J12" s="162">
        <f>('Evolutive SFP'!H4)/('Evolutive SFP'!H28+'Evolutive SFP'!H29+'Evolutive SFP'!H32+'Evolutive SFP'!H33+'Evolutive SFP'!H34+'Evolutive SFP'!H35+'Evolutive SFP'!H36)</f>
        <v>0.27527071089100347</v>
      </c>
      <c r="K12" s="162">
        <f>('Evolutive SFP'!I4)/('Evolutive SFP'!I28+'Evolutive SFP'!I29+'Evolutive SFP'!I32+'Evolutive SFP'!I33+'Evolutive SFP'!I34+'Evolutive SFP'!I35+'Evolutive SFP'!I36)</f>
        <v>0.18759746272814704</v>
      </c>
      <c r="L12" s="162">
        <f>('Evolutive SFP'!J4)/('Evolutive SFP'!J28+'Evolutive SFP'!J29+'Evolutive SFP'!J32+'Evolutive SFP'!J33+'Evolutive SFP'!J34+'Evolutive SFP'!J35+'Evolutive SFP'!J36)</f>
        <v>0.4491970719323779</v>
      </c>
      <c r="M12" s="162">
        <f>('Evolutive SFP'!K4)/('Evolutive SFP'!K28+'Evolutive SFP'!K29+'Evolutive SFP'!K32+'Evolutive SFP'!K33+'Evolutive SFP'!K34+'Evolutive SFP'!K35+'Evolutive SFP'!K36)</f>
        <v>0.43270977150367557</v>
      </c>
      <c r="N12" s="162">
        <f>('Evolutive SFP'!L4)/('Evolutive SFP'!L28+'Evolutive SFP'!L29+'Evolutive SFP'!L32+'Evolutive SFP'!L33+'Evolutive SFP'!L34+'Evolutive SFP'!L35+'Evolutive SFP'!L36)</f>
        <v>0.17585878286301473</v>
      </c>
      <c r="O12" s="162">
        <f>('Evolutive SFP'!M4)/('Evolutive SFP'!M28+'Evolutive SFP'!M29+'Evolutive SFP'!M32+'Evolutive SFP'!M33+'Evolutive SFP'!M34+'Evolutive SFP'!M35+'Evolutive SFP'!M36)</f>
        <v>0.40310619349549687</v>
      </c>
      <c r="P12" s="162">
        <f>('Evolutive SFP'!N4)/('Evolutive SFP'!N28+'Evolutive SFP'!N29+'Evolutive SFP'!N32+'Evolutive SFP'!N33+'Evolutive SFP'!N34+'Evolutive SFP'!N35+'Evolutive SFP'!N36)</f>
        <v>0.30915495160323425</v>
      </c>
      <c r="Q12" s="162">
        <f>('Evolutive SFP'!O4)/('Evolutive SFP'!O28+'Evolutive SFP'!O29+'Evolutive SFP'!O32+'Evolutive SFP'!O33+'Evolutive SFP'!O34+'Evolutive SFP'!O35+'Evolutive SFP'!O36)</f>
        <v>0.39152413712549167</v>
      </c>
      <c r="R12" s="162">
        <f>('Evolutive SFP'!P4)/('Evolutive SFP'!P28+'Evolutive SFP'!P29+'Evolutive SFP'!P32+'Evolutive SFP'!P33+'Evolutive SFP'!P34+'Evolutive SFP'!P35+'Evolutive SFP'!P36)</f>
        <v>0.24751148412217683</v>
      </c>
      <c r="S12" s="162">
        <f>('Evolutive SFP'!Q4)/('Evolutive SFP'!Q28+'Evolutive SFP'!Q29+'Evolutive SFP'!Q32+'Evolutive SFP'!Q33+'Evolutive SFP'!Q34+'Evolutive SFP'!Q35+'Evolutive SFP'!Q36)</f>
        <v>0.38003303497325197</v>
      </c>
      <c r="T12" s="162">
        <f>('Evolutive SFP'!R4)/('Evolutive SFP'!R28+'Evolutive SFP'!R29+'Evolutive SFP'!R32+'Evolutive SFP'!R33+'Evolutive SFP'!R34+'Evolutive SFP'!R35+'Evolutive SFP'!R36)</f>
        <v>0.33766634581917199</v>
      </c>
      <c r="U12" s="162">
        <f>('Evolutive SFP'!S4)/('Evolutive SFP'!S28+'Evolutive SFP'!S29+'Evolutive SFP'!S32+'Evolutive SFP'!S33+'Evolutive SFP'!S34+'Evolutive SFP'!S35+'Evolutive SFP'!S36)</f>
        <v>0.43260266801885067</v>
      </c>
      <c r="V12" s="162">
        <f>('Evolutive SFP'!T4)/('Evolutive SFP'!T28+'Evolutive SFP'!T29+'Evolutive SFP'!T32+'Evolutive SFP'!T33+'Evolutive SFP'!T34+'Evolutive SFP'!T35+'Evolutive SFP'!T36)</f>
        <v>0.30132697767549199</v>
      </c>
      <c r="W12" s="162">
        <f>('Evolutive SFP'!U4)/('Evolutive SFP'!U28+'Evolutive SFP'!U29+'Evolutive SFP'!U32+'Evolutive SFP'!U33+'Evolutive SFP'!U34+'Evolutive SFP'!U35+'Evolutive SFP'!U36)</f>
        <v>0.29179416978477402</v>
      </c>
      <c r="X12" s="162">
        <f>('Evolutive SFP'!V4)/('Evolutive SFP'!V28+'Evolutive SFP'!V29+'Evolutive SFP'!V32+'Evolutive SFP'!V33+'Evolutive SFP'!V34+'Evolutive SFP'!V35+'Evolutive SFP'!V36)</f>
        <v>0.34891317446381975</v>
      </c>
      <c r="Y12" s="162">
        <f>('Evolutive SFP'!W4)/('Evolutive SFP'!W28+'Evolutive SFP'!W29+'Evolutive SFP'!W32+'Evolutive SFP'!W33+'Evolutive SFP'!W34+'Evolutive SFP'!W35+'Evolutive SFP'!W36)</f>
        <v>0.41653361479000639</v>
      </c>
      <c r="Z12" s="162">
        <f>('Evolutive SFP'!X4)/('Evolutive SFP'!X28+'Evolutive SFP'!X29+'Evolutive SFP'!X32+'Evolutive SFP'!X33+'Evolutive SFP'!X34+'Evolutive SFP'!X35+'Evolutive SFP'!X36)</f>
        <v>0.41250437007161778</v>
      </c>
      <c r="AA12" s="162">
        <f>('Evolutive SFP'!Y4)/('Evolutive SFP'!Y28+'Evolutive SFP'!Y29+'Evolutive SFP'!Y32+'Evolutive SFP'!Y33+'Evolutive SFP'!Y34+'Evolutive SFP'!Y35+'Evolutive SFP'!Y36)</f>
        <v>0.30652578951837867</v>
      </c>
      <c r="AB12" s="162">
        <f>('Evolutive SFP'!Z4)/('Evolutive SFP'!Z28+'Evolutive SFP'!Z29+'Evolutive SFP'!Z32+'Evolutive SFP'!Z33+'Evolutive SFP'!Z34+'Evolutive SFP'!Z35+'Evolutive SFP'!Z36)</f>
        <v>0.29863953688013178</v>
      </c>
      <c r="AC12" s="162">
        <f>('Evolutive SFP'!AA4)/('Evolutive SFP'!AA28+'Evolutive SFP'!AA29+'Evolutive SFP'!AA32+'Evolutive SFP'!AA33+'Evolutive SFP'!AA34+'Evolutive SFP'!AA35+'Evolutive SFP'!AA36)</f>
        <v>0.40645411319746089</v>
      </c>
      <c r="AD12" s="162">
        <f>('Evolutive SFP'!AB4)/('Evolutive SFP'!AB28+'Evolutive SFP'!AB29+'Evolutive SFP'!AB32+'Evolutive SFP'!AB33+'Evolutive SFP'!AB34+'Evolutive SFP'!AB35+'Evolutive SFP'!AB36)</f>
        <v>0.41360162198376321</v>
      </c>
      <c r="AE12" s="162">
        <f>('Evolutive SFP'!AC4)/('Evolutive SFP'!AC28+'Evolutive SFP'!AC29+'Evolutive SFP'!AC32+'Evolutive SFP'!AC33+'Evolutive SFP'!AC34+'Evolutive SFP'!AC35+'Evolutive SFP'!AC36)</f>
        <v>0.3421335220768057</v>
      </c>
      <c r="AF12" s="162">
        <f>('Evolutive SFP'!AD4)/('Evolutive SFP'!AD28+'Evolutive SFP'!AD29+'Evolutive SFP'!AD32+'Evolutive SFP'!AD33+'Evolutive SFP'!AD34+'Evolutive SFP'!AD35+'Evolutive SFP'!AD36)</f>
        <v>0.35497274734163514</v>
      </c>
      <c r="AG12" s="162">
        <f>('Evolutive SFP'!AE4)/('Evolutive SFP'!AE28+'Evolutive SFP'!AE29+'Evolutive SFP'!AE32+'Evolutive SFP'!AE33+'Evolutive SFP'!AE34+'Evolutive SFP'!AE35+'Evolutive SFP'!AE36)</f>
        <v>0.40303597435913185</v>
      </c>
      <c r="AH12" s="162">
        <f>('Evolutive SFP'!AF4)/('Evolutive SFP'!AF28+'Evolutive SFP'!AF29+'Evolutive SFP'!AF32+'Evolutive SFP'!AF33+'Evolutive SFP'!AF34+'Evolutive SFP'!AF35+'Evolutive SFP'!AF36)</f>
        <v>0.36252744120097147</v>
      </c>
      <c r="AI12" s="162">
        <f>('Evolutive SFP'!AG4)/('Evolutive SFP'!AG28+'Evolutive SFP'!AG29+'Evolutive SFP'!AG32+'Evolutive SFP'!AG33+'Evolutive SFP'!AG34+'Evolutive SFP'!AG35+'Evolutive SFP'!AG36)</f>
        <v>0.33327208327492031</v>
      </c>
      <c r="AJ12" s="162">
        <f>('Evolutive SFP'!AH4)/('Evolutive SFP'!AH28+'Evolutive SFP'!AH29+'Evolutive SFP'!AH32+'Evolutive SFP'!AH33+'Evolutive SFP'!AH34+'Evolutive SFP'!AH35+'Evolutive SFP'!AH36)</f>
        <v>0.32967671571022511</v>
      </c>
      <c r="AK12" s="162">
        <f>('Evolutive SFP'!AI4)/('Evolutive SFP'!AI28+'Evolutive SFP'!AI29+'Evolutive SFP'!AI32+'Evolutive SFP'!AI33+'Evolutive SFP'!AI34+'Evolutive SFP'!AI35+'Evolutive SFP'!AI36)</f>
        <v>0.5063415365476337</v>
      </c>
      <c r="AL12" s="162">
        <f>('Evolutive SFP'!AJ4)/('Evolutive SFP'!AJ28+'Evolutive SFP'!AJ29+'Evolutive SFP'!AJ32+'Evolutive SFP'!AJ33+'Evolutive SFP'!AJ34+'Evolutive SFP'!AJ35+'Evolutive SFP'!AJ36)</f>
        <v>0.54907845983767267</v>
      </c>
      <c r="AM12" s="162">
        <f>('Evolutive SFP'!AK4)/('Evolutive SFP'!AK28+'Evolutive SFP'!AK29+'Evolutive SFP'!AK32+'Evolutive SFP'!AK33+'Evolutive SFP'!AK34+'Evolutive SFP'!AK35+'Evolutive SFP'!AK36)</f>
        <v>0.6226726469008389</v>
      </c>
      <c r="AN12" s="162">
        <f>('Evolutive SFP'!AL4)/('Evolutive SFP'!AL28+'Evolutive SFP'!AL29+'Evolutive SFP'!AL32+'Evolutive SFP'!AL33+'Evolutive SFP'!AL34+'Evolutive SFP'!AL35+'Evolutive SFP'!AL36)</f>
        <v>0.50901970764986049</v>
      </c>
      <c r="AO12" s="162">
        <f>('Evolutive SFP'!AM4)/('Evolutive SFP'!AM28+'Evolutive SFP'!AM29+'Evolutive SFP'!AM32+'Evolutive SFP'!AM33+'Evolutive SFP'!AM34+'Evolutive SFP'!AM35+'Evolutive SFP'!AM36)</f>
        <v>0.51674989012208705</v>
      </c>
      <c r="AP12" s="162">
        <f>('Evolutive SFP'!AN4)/('Evolutive SFP'!AN28+'Evolutive SFP'!AN29+'Evolutive SFP'!AN32+'Evolutive SFP'!AN33+'Evolutive SFP'!AN34+'Evolutive SFP'!AN35+'Evolutive SFP'!AN36)</f>
        <v>0.74053825112411809</v>
      </c>
      <c r="AQ12" s="162">
        <f>('Evolutive SFP'!AO4)/('Evolutive SFP'!AO28+'Evolutive SFP'!AO29+'Evolutive SFP'!AO32+'Evolutive SFP'!AO33+'Evolutive SFP'!AO34+'Evolutive SFP'!AO35+'Evolutive SFP'!AO36)</f>
        <v>0.66601230758013441</v>
      </c>
      <c r="AR12" s="162">
        <f>('Evolutive SFP'!AP4)/('Evolutive SFP'!AP28+'Evolutive SFP'!AP29+'Evolutive SFP'!AP32+'Evolutive SFP'!AP33+'Evolutive SFP'!AP34+'Evolutive SFP'!AP35+'Evolutive SFP'!AP36)</f>
        <v>0.62206958956317937</v>
      </c>
      <c r="AS12" s="162">
        <f>('Evolutive SFP'!AQ4)/('Evolutive SFP'!AQ28+'Evolutive SFP'!AQ29+'Evolutive SFP'!AQ32+'Evolutive SFP'!AQ33+'Evolutive SFP'!AQ34+'Evolutive SFP'!AQ35+'Evolutive SFP'!AQ36)</f>
        <v>0.71237251351203412</v>
      </c>
      <c r="AT12" s="162">
        <f>('Evolutive SFP'!AR4)/('Evolutive SFP'!AR28+'Evolutive SFP'!AR29+'Evolutive SFP'!AR32+'Evolutive SFP'!AR33+'Evolutive SFP'!AR34+'Evolutive SFP'!AR35+'Evolutive SFP'!AR36)</f>
        <v>0.7051059952323826</v>
      </c>
      <c r="AU12" s="162">
        <f>('Evolutive SFP'!AS4)/('Evolutive SFP'!AS28+'Evolutive SFP'!AS29+'Evolutive SFP'!AS32+'Evolutive SFP'!AS33+'Evolutive SFP'!AS34+'Evolutive SFP'!AS35+'Evolutive SFP'!AS36)</f>
        <v>0.56611742225628248</v>
      </c>
      <c r="AV12" s="162">
        <f>('Evolutive SFP'!AT4)/('Evolutive SFP'!AT28+'Evolutive SFP'!AT29+'Evolutive SFP'!AT32+'Evolutive SFP'!AT33+'Evolutive SFP'!AT34+'Evolutive SFP'!AT35+'Evolutive SFP'!AT36)</f>
        <v>0.52974660474997826</v>
      </c>
      <c r="AW12" s="162">
        <f>('Evolutive SFP'!AU4)/('Evolutive SFP'!AU28+'Evolutive SFP'!AU29+'Evolutive SFP'!AU32+'Evolutive SFP'!AU33+'Evolutive SFP'!AU34+'Evolutive SFP'!AU35+'Evolutive SFP'!AU36)</f>
        <v>0.52335665565189471</v>
      </c>
      <c r="AX12" s="162">
        <f>('Evolutive SFP'!AV4)/('Evolutive SFP'!AV28+'Evolutive SFP'!AV29+'Evolutive SFP'!AV32+'Evolutive SFP'!AV33+'Evolutive SFP'!AV34+'Evolutive SFP'!AV35+'Evolutive SFP'!AV36)</f>
        <v>0.66205046226429698</v>
      </c>
      <c r="AY12" s="162">
        <f>('Evolutive SFP'!AW4)/('Evolutive SFP'!AW28+'Evolutive SFP'!AW29+'Evolutive SFP'!AW32+'Evolutive SFP'!AW33+'Evolutive SFP'!AW34+'Evolutive SFP'!AW35+'Evolutive SFP'!AW36)</f>
        <v>0.63518223500554316</v>
      </c>
      <c r="AZ12" s="162">
        <f>('Evolutive SFP'!AX4)/('Evolutive SFP'!AX28+'Evolutive SFP'!AX29+'Evolutive SFP'!AX32+'Evolutive SFP'!AX33+'Evolutive SFP'!AX34+'Evolutive SFP'!AX35+'Evolutive SFP'!AX36)</f>
        <v>0.83626418751813181</v>
      </c>
      <c r="BA12" s="162">
        <f>('Evolutive SFP'!AY4)/('Evolutive SFP'!AY28+'Evolutive SFP'!AY29+'Evolutive SFP'!AY32+'Evolutive SFP'!AY33+'Evolutive SFP'!AY34+'Evolutive SFP'!AY35+'Evolutive SFP'!AY36)</f>
        <v>0.91540957887410868</v>
      </c>
      <c r="BB12" s="162">
        <f>('Evolutive SFP'!AZ4)/('Evolutive SFP'!AZ28+'Evolutive SFP'!AZ29+'Evolutive SFP'!AZ32+'Evolutive SFP'!AZ33+'Evolutive SFP'!AZ34+'Evolutive SFP'!AZ35+'Evolutive SFP'!AZ36)</f>
        <v>0.99516078655698403</v>
      </c>
      <c r="BC12" s="162" t="e">
        <f>('Evolutive SFP'!BA4)/('Evolutive SFP'!BA28+'Evolutive SFP'!BA29+'Evolutive SFP'!BA32+'Evolutive SFP'!BA33+'Evolutive SFP'!BA34+'Evolutive SFP'!BA35+'Evolutive SFP'!BA36)</f>
        <v>#DIV/0!</v>
      </c>
      <c r="BD12" s="162" t="e">
        <f>('Evolutive SFP'!BA4)/('Evolutive SFP'!BA28+'Evolutive SFP'!BA29+'Evolutive SFP'!BA32+'Evolutive SFP'!BA33+'Evolutive SFP'!BA34+'Evolutive SFP'!BA35+'Evolutive SFP'!BA36)</f>
        <v>#DIV/0!</v>
      </c>
      <c r="BE12" s="162">
        <f>('Evolutive SFP'!BB4)/('Evolutive SFP'!BB28+'Evolutive SFP'!BB29+'Evolutive SFP'!BB32+'Evolutive SFP'!BB33+'Evolutive SFP'!BB34+'Evolutive SFP'!BB35+'Evolutive SFP'!BB36)</f>
        <v>0.88249300926412411</v>
      </c>
      <c r="BF12" s="162">
        <f>('Evolutive SFP'!BC4)/('Evolutive SFP'!BC28+'Evolutive SFP'!BC29+'Evolutive SFP'!BC32+'Evolutive SFP'!BC33+'Evolutive SFP'!BC34+'Evolutive SFP'!BC35+'Evolutive SFP'!BC36)</f>
        <v>0.86699234047310592</v>
      </c>
      <c r="BG12" s="162">
        <f>('Evolutive SFP'!BD4)/('Evolutive SFP'!BD28+'Evolutive SFP'!BD29+'Evolutive SFP'!BD32+'Evolutive SFP'!BD33+'Evolutive SFP'!BD34+'Evolutive SFP'!BD35+'Evolutive SFP'!BD36)</f>
        <v>0.80743523409771512</v>
      </c>
      <c r="BH12" s="162">
        <f>('Evolutive SFP'!BE4)/('Evolutive SFP'!BE28+'Evolutive SFP'!BE29+'Evolutive SFP'!BE32+'Evolutive SFP'!BE33+'Evolutive SFP'!BE34+'Evolutive SFP'!BE35+'Evolutive SFP'!BE36)</f>
        <v>0.83199817710413726</v>
      </c>
      <c r="BI12" s="162">
        <f>('Evolutive SFP'!BF4)/('Evolutive SFP'!BF28+'Evolutive SFP'!BF29+'Evolutive SFP'!BF32+'Evolutive SFP'!BF33+'Evolutive SFP'!BF34+'Evolutive SFP'!BF35+'Evolutive SFP'!BF36)</f>
        <v>0.75875049996528321</v>
      </c>
      <c r="BJ12" s="162">
        <f>('Evolutive SFP'!BG4)/('Evolutive SFP'!BG28+'Evolutive SFP'!BG29+'Evolutive SFP'!BG32+'Evolutive SFP'!BG33+'Evolutive SFP'!BG34+'Evolutive SFP'!BG35+'Evolutive SFP'!BG36)</f>
        <v>0.75006187037367344</v>
      </c>
      <c r="BK12" s="162">
        <f>('Evolutive SFP'!BH4)/('Evolutive SFP'!BH28+'Evolutive SFP'!BH29+'Evolutive SFP'!BH32+'Evolutive SFP'!BH33+'Evolutive SFP'!BH34+'Evolutive SFP'!BH35+'Evolutive SFP'!BH36)</f>
        <v>0.77788058333657129</v>
      </c>
      <c r="BL12" s="162">
        <f>('Evolutive SFP'!BI4)/('Evolutive SFP'!BI28+'Evolutive SFP'!BI29+'Evolutive SFP'!BI32+'Evolutive SFP'!BI33+'Evolutive SFP'!BI34+'Evolutive SFP'!BI35+'Evolutive SFP'!BI36)</f>
        <v>0.80670991426158434</v>
      </c>
      <c r="BM12" s="162">
        <f>('Evolutive SFP'!BJ4)/('Evolutive SFP'!BJ28+'Evolutive SFP'!BJ29+'Evolutive SFP'!BJ32+'Evolutive SFP'!BJ33+'Evolutive SFP'!BJ34+'Evolutive SFP'!BJ35+'Evolutive SFP'!BJ36)</f>
        <v>0.81560160324408504</v>
      </c>
      <c r="BN12" s="162">
        <f>('Evolutive SFP'!BK4)/('Evolutive SFP'!BK28+'Evolutive SFP'!BK29+'Evolutive SFP'!BK32+'Evolutive SFP'!BK33+'Evolutive SFP'!BK34+'Evolutive SFP'!BK35+'Evolutive SFP'!BK36)</f>
        <v>0.85514492388545005</v>
      </c>
      <c r="BO12" s="162">
        <f>('Evolutive SFP'!BL4)/('Evolutive SFP'!BL28+'Evolutive SFP'!BL29+'Evolutive SFP'!BL32+'Evolutive SFP'!BL33+'Evolutive SFP'!BL34+'Evolutive SFP'!BL35+'Evolutive SFP'!BL36)</f>
        <v>0.87789135874076729</v>
      </c>
      <c r="BP12" s="162">
        <f>('Evolutive SFP'!BM4)/('Evolutive SFP'!BM28+'Evolutive SFP'!BM29+'Evolutive SFP'!BM32+'Evolutive SFP'!BM33+'Evolutive SFP'!BM34+'Evolutive SFP'!BM35+'Evolutive SFP'!BM36)</f>
        <v>0.8339853235407354</v>
      </c>
      <c r="BQ12" s="162">
        <f>('Evolutive SFP'!BN4)/('Evolutive SFP'!BN28+'Evolutive SFP'!BN29+'Evolutive SFP'!BN32+'Evolutive SFP'!BN33+'Evolutive SFP'!BN34+'Evolutive SFP'!BN35+'Evolutive SFP'!BN36)</f>
        <v>0.78254970083026998</v>
      </c>
      <c r="BR12" s="162">
        <f>('Evolutive SFP'!BO4)/('Evolutive SFP'!BO28+'Evolutive SFP'!BO29+'Evolutive SFP'!BO32+'Evolutive SFP'!BO33+'Evolutive SFP'!BO34+'Evolutive SFP'!BO35+'Evolutive SFP'!BO36)</f>
        <v>0.87310399311793563</v>
      </c>
      <c r="BS12" s="162">
        <f>('Evolutive SFP'!BP4)/('Evolutive SFP'!BP28+'Evolutive SFP'!BP29+'Evolutive SFP'!BP32+'Evolutive SFP'!BP33+'Evolutive SFP'!BP34+'Evolutive SFP'!BP35+'Evolutive SFP'!BP36)</f>
        <v>0.85024574018884791</v>
      </c>
      <c r="BT12" s="162">
        <f>('Evolutive SFP'!BQ4)/('Evolutive SFP'!BQ28+'Evolutive SFP'!BQ29+'Evolutive SFP'!BQ32+'Evolutive SFP'!BQ33+'Evolutive SFP'!BQ34+'Evolutive SFP'!BQ35+'Evolutive SFP'!BQ36)</f>
        <v>0.8416445416143632</v>
      </c>
      <c r="BU12" s="162">
        <f>('Evolutive SFP'!BR4)/('Evolutive SFP'!BR28+'Evolutive SFP'!BR29+'Evolutive SFP'!BR32+'Evolutive SFP'!BR33+'Evolutive SFP'!BR34+'Evolutive SFP'!BR35+'Evolutive SFP'!BR36)</f>
        <v>0.84713433025320373</v>
      </c>
      <c r="BV12" s="162">
        <f>('Evolutive SFP'!BS4)/('Evolutive SFP'!BS28+'Evolutive SFP'!BS29+'Evolutive SFP'!BS32+'Evolutive SFP'!BS33+'Evolutive SFP'!BS34+'Evolutive SFP'!BS35+'Evolutive SFP'!BS36)</f>
        <v>0.79839784493118815</v>
      </c>
      <c r="BW12" s="162">
        <f>('Evolutive SFP'!BT4)/('Evolutive SFP'!BT28+'Evolutive SFP'!BT29+'Evolutive SFP'!BT32+'Evolutive SFP'!BT33+'Evolutive SFP'!BT34+'Evolutive SFP'!BT35+'Evolutive SFP'!BT36)</f>
        <v>0.79835485534098749</v>
      </c>
      <c r="BX12" s="162">
        <f>('Evolutive SFP'!BU4)/('Evolutive SFP'!BU28+'Evolutive SFP'!BU29+'Evolutive SFP'!BU32+'Evolutive SFP'!BU33+'Evolutive SFP'!BU34+'Evolutive SFP'!BU35+'Evolutive SFP'!BU36)</f>
        <v>0.82764341572936218</v>
      </c>
      <c r="BY12" s="162">
        <f>('Evolutive SFP'!BV4)/('Evolutive SFP'!BV28+'Evolutive SFP'!BV29+'Evolutive SFP'!BV32+'Evolutive SFP'!BV33+'Evolutive SFP'!BV34+'Evolutive SFP'!BV35+'Evolutive SFP'!BV36)</f>
        <v>0.82549688719745073</v>
      </c>
      <c r="BZ12" s="162">
        <f>('Evolutive SFP'!BW4)/('Evolutive SFP'!BW28+'Evolutive SFP'!BW29+'Evolutive SFP'!BW32+'Evolutive SFP'!BW33+'Evolutive SFP'!BW34+'Evolutive SFP'!BW35+'Evolutive SFP'!BW36)</f>
        <v>0.77688870384871567</v>
      </c>
      <c r="CA12" s="162">
        <f>('Evolutive SFP'!BX4)/('Evolutive SFP'!BX28+'Evolutive SFP'!BX29+'Evolutive SFP'!BX32+'Evolutive SFP'!BX33+'Evolutive SFP'!BX34+'Evolutive SFP'!BX35+'Evolutive SFP'!BX36)</f>
        <v>0.69090781258674916</v>
      </c>
      <c r="CB12" s="162">
        <f>('Evolutive SFP'!BY4)/('Evolutive SFP'!BY28+'Evolutive SFP'!BY29+'Evolutive SFP'!BY32+'Evolutive SFP'!BY33+'Evolutive SFP'!BY34+'Evolutive SFP'!BY35+'Evolutive SFP'!BY36)</f>
        <v>0.72786055599567445</v>
      </c>
      <c r="CC12" s="162">
        <f>('Evolutive SFP'!BZ4)/('Evolutive SFP'!BZ28+'Evolutive SFP'!BZ29+'Evolutive SFP'!BZ32+'Evolutive SFP'!BZ33+'Evolutive SFP'!BZ34+'Evolutive SFP'!BZ35+'Evolutive SFP'!BZ36)</f>
        <v>0.84961808087090895</v>
      </c>
      <c r="CD12" s="162">
        <f>('Evolutive SFP'!CA4)/('Evolutive SFP'!CA28+'Evolutive SFP'!CA29+'Evolutive SFP'!CA32+'Evolutive SFP'!CA33+'Evolutive SFP'!CA34+'Evolutive SFP'!CA35+'Evolutive SFP'!CA36)</f>
        <v>0.84462750842842627</v>
      </c>
      <c r="CE12" s="162">
        <f>('Evolutive SFP'!CB4)/('Evolutive SFP'!CB28+'Evolutive SFP'!CB29+'Evolutive SFP'!CB32+'Evolutive SFP'!CB33+'Evolutive SFP'!CB34+'Evolutive SFP'!CB35+'Evolutive SFP'!CB36)</f>
        <v>0.89213743800970791</v>
      </c>
      <c r="CF12" s="162">
        <f>('Evolutive SFP'!CC4)/('Evolutive SFP'!CC28+'Evolutive SFP'!CC29+'Evolutive SFP'!CC32+'Evolutive SFP'!CC33+'Evolutive SFP'!CC34+'Evolutive SFP'!CC35+'Evolutive SFP'!CC36)</f>
        <v>0.93876284399851495</v>
      </c>
      <c r="CG12" s="162">
        <f>('Evolutive SFP'!CD4)/('Evolutive SFP'!CD28+'Evolutive SFP'!CD29+'Evolutive SFP'!CD32+'Evolutive SFP'!CD33+'Evolutive SFP'!CD34+'Evolutive SFP'!CD35+'Evolutive SFP'!CD36)</f>
        <v>0.95367662663132358</v>
      </c>
      <c r="CH12" s="162">
        <f>('Evolutive SFP'!CE4)/('Evolutive SFP'!CE28+'Evolutive SFP'!CE29+'Evolutive SFP'!CE32+'Evolutive SFP'!CE33+'Evolutive SFP'!CE34+'Evolutive SFP'!CE35+'Evolutive SFP'!CE36)</f>
        <v>0.95469599588551712</v>
      </c>
      <c r="CI12" s="162">
        <f>('Evolutive SFP'!CF4)/('Evolutive SFP'!CF28+'Evolutive SFP'!CF29+'Evolutive SFP'!CF32+'Evolutive SFP'!CF33+'Evolutive SFP'!CF34+'Evolutive SFP'!CF35+'Evolutive SFP'!CF36)</f>
        <v>0.88526845672703902</v>
      </c>
      <c r="CJ12" s="162">
        <f>('Evolutive SFP'!CG4)/('Evolutive SFP'!CG28+'Evolutive SFP'!CG29+'Evolutive SFP'!CG32+'Evolutive SFP'!CG33+'Evolutive SFP'!CG34+'Evolutive SFP'!CG35+'Evolutive SFP'!CG36)</f>
        <v>0.87725851682475053</v>
      </c>
      <c r="CK12" s="162">
        <f>('Evolutive SFP'!CH4)/('Evolutive SFP'!CH28+'Evolutive SFP'!CH29+'Evolutive SFP'!CH32+'Evolutive SFP'!CH33+'Evolutive SFP'!CH34+'Evolutive SFP'!CH35+'Evolutive SFP'!CH36)</f>
        <v>0.89312077670910561</v>
      </c>
      <c r="CL12" s="162">
        <f>('Evolutive SFP'!CI4)/('Evolutive SFP'!CI28+'Evolutive SFP'!CI29+'Evolutive SFP'!CI32+'Evolutive SFP'!CI33+'Evolutive SFP'!CI34+'Evolutive SFP'!CI35+'Evolutive SFP'!CI36)</f>
        <v>0.93835746656536279</v>
      </c>
      <c r="CM12" s="162">
        <f>('Evolutive SFP'!CJ4)/('Evolutive SFP'!CJ28+'Evolutive SFP'!CJ29+'Evolutive SFP'!CJ32+'Evolutive SFP'!CJ33+'Evolutive SFP'!CJ34+'Evolutive SFP'!CJ35+'Evolutive SFP'!CJ36)</f>
        <v>1.0325581415040697</v>
      </c>
      <c r="CN12" s="162">
        <f>('Evolutive SFP'!CK4)/('Evolutive SFP'!CK28+'Evolutive SFP'!CK29+'Evolutive SFP'!CK32+'Evolutive SFP'!CK33+'Evolutive SFP'!CK34+'Evolutive SFP'!CK35+'Evolutive SFP'!CK36)</f>
        <v>0.61825896540555636</v>
      </c>
      <c r="CO12" s="162">
        <f>('Evolutive SFP'!CL4)/('Evolutive SFP'!CL28+'Evolutive SFP'!CL29+'Evolutive SFP'!CL32+'Evolutive SFP'!CL33+'Evolutive SFP'!CL34+'Evolutive SFP'!CL35+'Evolutive SFP'!CL36)</f>
        <v>0.80573432920423405</v>
      </c>
      <c r="CP12" s="162">
        <f>('Evolutive SFP'!CM4)/('Evolutive SFP'!CM28+'Evolutive SFP'!CM29+'Evolutive SFP'!CM32+'Evolutive SFP'!CM33+'Evolutive SFP'!CM34+'Evolutive SFP'!CM35+'Evolutive SFP'!CM36)</f>
        <v>0.9299165458106865</v>
      </c>
      <c r="CQ12" s="162">
        <f>('Evolutive SFP'!CN4)/('Evolutive SFP'!CN28+'Evolutive SFP'!CN29+'Evolutive SFP'!CN32+'Evolutive SFP'!CN33+'Evolutive SFP'!CN34+'Evolutive SFP'!CN35+'Evolutive SFP'!CN36)</f>
        <v>0.90964346339640745</v>
      </c>
      <c r="CR12" s="162">
        <f>('Evolutive SFP'!CO4)/('Evolutive SFP'!CO28+'Evolutive SFP'!CO29+'Evolutive SFP'!CO32+'Evolutive SFP'!CO33+'Evolutive SFP'!CO34+'Evolutive SFP'!CO35+'Evolutive SFP'!CO36)</f>
        <v>0.68605198694391611</v>
      </c>
      <c r="CS12" s="162">
        <f>('Evolutive SFP'!CP4)/('Evolutive SFP'!CP28+'Evolutive SFP'!CP29+'Evolutive SFP'!CP32+'Evolutive SFP'!CP33+'Evolutive SFP'!CP34+'Evolutive SFP'!CP35+'Evolutive SFP'!CP36)</f>
        <v>0.66714015905623103</v>
      </c>
    </row>
    <row r="13" spans="1:97" ht="18.75">
      <c r="A13" s="262"/>
      <c r="B13" s="174" t="s">
        <v>131</v>
      </c>
      <c r="C13" s="183"/>
      <c r="D13" s="162">
        <f>'Evolutive SFP'!B4/('Evolutive SFP'!B31+'Evolutive SFP'!B36)</f>
        <v>0.20955500547673625</v>
      </c>
      <c r="E13" s="162">
        <f>'Evolutive SFP'!C4/('Evolutive SFP'!C31+'Evolutive SFP'!C36)</f>
        <v>7.7404814468041344E-2</v>
      </c>
      <c r="F13" s="162">
        <f>'Evolutive SFP'!D4/('Evolutive SFP'!D31+'Evolutive SFP'!D36)</f>
        <v>4.0502967674824475E-2</v>
      </c>
      <c r="G13" s="162">
        <f>'Evolutive SFP'!E4/('Evolutive SFP'!E31+'Evolutive SFP'!E36)</f>
        <v>0.12129664463253619</v>
      </c>
      <c r="H13" s="162">
        <f>'Evolutive SFP'!F4/('Evolutive SFP'!F31+'Evolutive SFP'!F36)</f>
        <v>0.1334831791024792</v>
      </c>
      <c r="I13" s="162">
        <f>'Evolutive SFP'!G4/('Evolutive SFP'!G31+'Evolutive SFP'!G36)</f>
        <v>0.18302982683219507</v>
      </c>
      <c r="J13" s="162">
        <f>'Evolutive SFP'!H4/('Evolutive SFP'!H31+'Evolutive SFP'!H36)</f>
        <v>7.6209980743546346E-2</v>
      </c>
      <c r="K13" s="162">
        <f>'Evolutive SFP'!I4/('Evolutive SFP'!I31+'Evolutive SFP'!I36)</f>
        <v>4.8426593412393443E-2</v>
      </c>
      <c r="L13" s="162">
        <f>'Evolutive SFP'!J4/('Evolutive SFP'!J31+'Evolutive SFP'!J36)</f>
        <v>0.11499737915682577</v>
      </c>
      <c r="M13" s="162">
        <f>'Evolutive SFP'!K4/('Evolutive SFP'!K31+'Evolutive SFP'!K36)</f>
        <v>0.10003403715859763</v>
      </c>
      <c r="N13" s="162">
        <f>'Evolutive SFP'!L4/('Evolutive SFP'!L31+'Evolutive SFP'!L36)</f>
        <v>3.4272883239713503E-2</v>
      </c>
      <c r="O13" s="162">
        <f>'Evolutive SFP'!M4/('Evolutive SFP'!M31+'Evolutive SFP'!M36)</f>
        <v>8.2346213952166403E-2</v>
      </c>
      <c r="P13" s="162">
        <f>'Evolutive SFP'!N4/('Evolutive SFP'!N31+'Evolutive SFP'!N36)</f>
        <v>6.2434573895864619E-2</v>
      </c>
      <c r="Q13" s="162">
        <f>'Evolutive SFP'!O4/('Evolutive SFP'!O31+'Evolutive SFP'!O36)</f>
        <v>7.8159838354497635E-2</v>
      </c>
      <c r="R13" s="162">
        <f>'Evolutive SFP'!P4/('Evolutive SFP'!P31+'Evolutive SFP'!P36)</f>
        <v>5.3862516348023616E-2</v>
      </c>
      <c r="S13" s="162">
        <f>'Evolutive SFP'!Q4/('Evolutive SFP'!Q31+'Evolutive SFP'!Q36)</f>
        <v>8.1677267168024911E-2</v>
      </c>
      <c r="T13" s="162">
        <f>'Evolutive SFP'!R4/('Evolutive SFP'!R31+'Evolutive SFP'!R36)</f>
        <v>7.756991886447262E-2</v>
      </c>
      <c r="U13" s="162">
        <f>'Evolutive SFP'!S4/('Evolutive SFP'!S31+'Evolutive SFP'!S36)</f>
        <v>0.10318003742931198</v>
      </c>
      <c r="V13" s="162">
        <f>'Evolutive SFP'!T4/('Evolutive SFP'!T31+'Evolutive SFP'!T36)</f>
        <v>8.5023096449123481E-2</v>
      </c>
      <c r="W13" s="162">
        <f>'Evolutive SFP'!U4/('Evolutive SFP'!U31+'Evolutive SFP'!U36)</f>
        <v>8.499539320534745E-2</v>
      </c>
      <c r="X13" s="162">
        <f>'Evolutive SFP'!V4/('Evolutive SFP'!V31+'Evolutive SFP'!V36)</f>
        <v>0.10097184576621328</v>
      </c>
      <c r="Y13" s="162">
        <f>'Evolutive SFP'!W4/('Evolutive SFP'!W31+'Evolutive SFP'!W36)</f>
        <v>0.12190300541810156</v>
      </c>
      <c r="Z13" s="162">
        <f>'Evolutive SFP'!X4/('Evolutive SFP'!X31+'Evolutive SFP'!X36)</f>
        <v>0.11089158047720829</v>
      </c>
      <c r="AA13" s="162">
        <f>'Evolutive SFP'!Y4/('Evolutive SFP'!Y31+'Evolutive SFP'!Y36)</f>
        <v>7.5498409781341855E-2</v>
      </c>
      <c r="AB13" s="162">
        <f>'Evolutive SFP'!Z4/('Evolutive SFP'!Z31+'Evolutive SFP'!Z36)</f>
        <v>7.395721608229272E-2</v>
      </c>
      <c r="AC13" s="162">
        <f>'Evolutive SFP'!AA4/('Evolutive SFP'!AA31+'Evolutive SFP'!AA36)</f>
        <v>0.10322227156053561</v>
      </c>
      <c r="AD13" s="162">
        <f>'Evolutive SFP'!AB4/('Evolutive SFP'!AB31+'Evolutive SFP'!AB36)</f>
        <v>0.10724877894906218</v>
      </c>
      <c r="AE13" s="162">
        <f>'Evolutive SFP'!AC4/('Evolutive SFP'!AC31+'Evolutive SFP'!AC36)</f>
        <v>8.7727005002214475E-2</v>
      </c>
      <c r="AF13" s="162">
        <f>'Evolutive SFP'!AD4/('Evolutive SFP'!AD31+'Evolutive SFP'!AD36)</f>
        <v>9.5899686599470069E-2</v>
      </c>
      <c r="AG13" s="162">
        <f>'Evolutive SFP'!AE4/('Evolutive SFP'!AE31+'Evolutive SFP'!AE36)</f>
        <v>0.10804164360319463</v>
      </c>
      <c r="AH13" s="162">
        <f>'Evolutive SFP'!AF4/('Evolutive SFP'!AF31+'Evolutive SFP'!AF36)</f>
        <v>9.853202574087562E-2</v>
      </c>
      <c r="AI13" s="162">
        <f>'Evolutive SFP'!AG4/('Evolutive SFP'!AG31+'Evolutive SFP'!AG36)</f>
        <v>9.4718136178814069E-2</v>
      </c>
      <c r="AJ13" s="162">
        <f>'Evolutive SFP'!AH4/('Evolutive SFP'!AH31+'Evolutive SFP'!AH36)</f>
        <v>9.4713690429947942E-2</v>
      </c>
      <c r="AK13" s="162">
        <f>'Evolutive SFP'!AI4/('Evolutive SFP'!AI31+'Evolutive SFP'!AI36)</f>
        <v>0.11164690974224996</v>
      </c>
      <c r="AL13" s="162">
        <f>'Evolutive SFP'!AJ4/('Evolutive SFP'!AJ31+'Evolutive SFP'!AJ36)</f>
        <v>0.1173762875330131</v>
      </c>
      <c r="AM13" s="162">
        <f>'Evolutive SFP'!AK4/('Evolutive SFP'!AK31+'Evolutive SFP'!AK36)</f>
        <v>0.11605421905410933</v>
      </c>
      <c r="AN13" s="162">
        <f>'Evolutive SFP'!AL4/('Evolutive SFP'!AL31+'Evolutive SFP'!AL36)</f>
        <v>8.0791713958121694E-2</v>
      </c>
      <c r="AO13" s="162">
        <f>'Evolutive SFP'!AM4/('Evolutive SFP'!AM31+'Evolutive SFP'!AM36)</f>
        <v>8.1914035266861987E-2</v>
      </c>
      <c r="AP13" s="162">
        <f>'Evolutive SFP'!AN4/('Evolutive SFP'!AN31+'Evolutive SFP'!AN36)</f>
        <v>0.11852729512850685</v>
      </c>
      <c r="AQ13" s="162">
        <f>'Evolutive SFP'!AO4/('Evolutive SFP'!AO31+'Evolutive SFP'!AO36)</f>
        <v>0.10112497237281444</v>
      </c>
      <c r="AR13" s="162">
        <f>'Evolutive SFP'!AP4/('Evolutive SFP'!AP31+'Evolutive SFP'!AP36)</f>
        <v>0.1060650538521505</v>
      </c>
      <c r="AS13" s="162">
        <f>'Evolutive SFP'!AQ4/('Evolutive SFP'!AQ31+'Evolutive SFP'!AQ36)</f>
        <v>0.12680043861887777</v>
      </c>
      <c r="AT13" s="162">
        <f>'Evolutive SFP'!AR4/('Evolutive SFP'!AR31+'Evolutive SFP'!AR36)</f>
        <v>0.13213415177546886</v>
      </c>
      <c r="AU13" s="162">
        <f>'Evolutive SFP'!AS4/('Evolutive SFP'!AS31+'Evolutive SFP'!AS36)</f>
        <v>0.11348493827595996</v>
      </c>
      <c r="AV13" s="162">
        <f>'Evolutive SFP'!AT4/('Evolutive SFP'!AT31+'Evolutive SFP'!AT36)</f>
        <v>0.11309082643766247</v>
      </c>
      <c r="AW13" s="162"/>
      <c r="AX13" s="162">
        <f>'Evolutive SFP'!AU4/('Evolutive SFP'!AU31+'Evolutive SFP'!AU36)</f>
        <v>0.11317795582707414</v>
      </c>
      <c r="AY13" s="162">
        <f>'Evolutive SFP'!AV4/('Evolutive SFP'!AV31+'Evolutive SFP'!AV36)</f>
        <v>0.15201653432250237</v>
      </c>
      <c r="AZ13" s="162">
        <f>'Evolutive SFP'!AW4/('Evolutive SFP'!AW31+'Evolutive SFP'!AW36)</f>
        <v>0.12600552732073239</v>
      </c>
      <c r="BA13" s="162">
        <f>'Evolutive SFP'!AX4/('Evolutive SFP'!AX31+'Evolutive SFP'!AX36)</f>
        <v>0.16437026854635819</v>
      </c>
      <c r="BB13" s="162">
        <f>'Evolutive SFP'!AY4/('Evolutive SFP'!AY31+'Evolutive SFP'!AY36)</f>
        <v>0.17726135606959587</v>
      </c>
      <c r="BC13" s="162">
        <f>'Evolutive SFP'!AZ4/('Evolutive SFP'!AZ31+'Evolutive SFP'!AZ36)</f>
        <v>0.18105793244882115</v>
      </c>
      <c r="BD13" s="162" t="e">
        <f>'Evolutive SFP'!BA4/('Evolutive SFP'!BA31+'Evolutive SFP'!BA36)</f>
        <v>#DIV/0!</v>
      </c>
      <c r="BE13" s="162">
        <f>'Evolutive SFP'!BB4/('Evolutive SFP'!BB31+'Evolutive SFP'!BB36)</f>
        <v>0.17921447705915172</v>
      </c>
      <c r="BF13" s="162">
        <f>'Evolutive SFP'!BC4/('Evolutive SFP'!BC31+'Evolutive SFP'!BC36)</f>
        <v>0.16955669649259256</v>
      </c>
      <c r="BG13" s="162">
        <f>'Evolutive SFP'!BD4/('Evolutive SFP'!BD31+'Evolutive SFP'!BD36)</f>
        <v>0.16759664788248502</v>
      </c>
      <c r="BH13" s="162">
        <f>'Evolutive SFP'!BE4/('Evolutive SFP'!BE31+'Evolutive SFP'!BE36)</f>
        <v>0.172218354870942</v>
      </c>
      <c r="BI13" s="162">
        <f>'Evolutive SFP'!BF4/('Evolutive SFP'!BF31+'Evolutive SFP'!BF36)</f>
        <v>0.16656750154010658</v>
      </c>
      <c r="BJ13" s="162">
        <f>'Evolutive SFP'!BG4/('Evolutive SFP'!BG31+'Evolutive SFP'!BG36)</f>
        <v>0.1666100654707344</v>
      </c>
      <c r="BK13" s="162">
        <f>'Evolutive SFP'!BH4/('Evolutive SFP'!BH31+'Evolutive SFP'!BH36)</f>
        <v>0.17441193606378019</v>
      </c>
      <c r="BL13" s="162">
        <f>'Evolutive SFP'!BI4/('Evolutive SFP'!BI31+'Evolutive SFP'!BI36)</f>
        <v>0.15529081857331295</v>
      </c>
      <c r="BM13" s="162">
        <f>'Evolutive SFP'!BJ4/('Evolutive SFP'!BJ31+'Evolutive SFP'!BJ36)</f>
        <v>0.15773729046173313</v>
      </c>
      <c r="BN13" s="162">
        <f>'Evolutive SFP'!BK4/('Evolutive SFP'!BK31+'Evolutive SFP'!BK36)</f>
        <v>0.1611165665662283</v>
      </c>
      <c r="BO13" s="162">
        <f>'Evolutive SFP'!BL4/('Evolutive SFP'!BL31+'Evolutive SFP'!BL36)</f>
        <v>0.166929943316829</v>
      </c>
      <c r="BP13" s="162">
        <f>'Evolutive SFP'!BM4/('Evolutive SFP'!BM31+'Evolutive SFP'!BM36)</f>
        <v>0.16511799083824427</v>
      </c>
      <c r="BQ13" s="162">
        <f>'Evolutive SFP'!BN4/('Evolutive SFP'!BN31+'Evolutive SFP'!BN36)</f>
        <v>0.17338205599360831</v>
      </c>
      <c r="BR13" s="162">
        <f>'Evolutive SFP'!BO4/('Evolutive SFP'!BO31+'Evolutive SFP'!BO36)</f>
        <v>0.19530248496380001</v>
      </c>
      <c r="BS13" s="162">
        <f>'Evolutive SFP'!BP4/('Evolutive SFP'!BP31+'Evolutive SFP'!BP36)</f>
        <v>0.19203493648233994</v>
      </c>
      <c r="BT13" s="162">
        <f>'Evolutive SFP'!BQ4/('Evolutive SFP'!BQ31+'Evolutive SFP'!BQ36)</f>
        <v>0.19673836816292742</v>
      </c>
      <c r="BU13" s="162">
        <f>'Evolutive SFP'!BR4/('Evolutive SFP'!BR31+'Evolutive SFP'!BR36)</f>
        <v>0.21008616939948899</v>
      </c>
      <c r="BV13" s="162">
        <f>'Evolutive SFP'!BS4/('Evolutive SFP'!BS31+'Evolutive SFP'!BS36)</f>
        <v>0.20572950520702757</v>
      </c>
      <c r="BW13" s="162">
        <f>'Evolutive SFP'!BT4/('Evolutive SFP'!BT31+'Evolutive SFP'!BT36)</f>
        <v>0.22886936446489548</v>
      </c>
      <c r="BX13" s="162">
        <f>'Evolutive SFP'!BU4/('Evolutive SFP'!BU31+'Evolutive SFP'!BU36)</f>
        <v>0.21045578411638141</v>
      </c>
      <c r="BY13" s="162">
        <f>'Evolutive SFP'!BV4/('Evolutive SFP'!BV31+'Evolutive SFP'!BV36)</f>
        <v>0.18853008363676726</v>
      </c>
      <c r="BZ13" s="162">
        <f>'Evolutive SFP'!BW4/('Evolutive SFP'!BW31+'Evolutive SFP'!BW36)</f>
        <v>0.14821555678735437</v>
      </c>
      <c r="CA13" s="162">
        <f>'Evolutive SFP'!BX4/('Evolutive SFP'!BX31+'Evolutive SFP'!BX36)</f>
        <v>0.13697660646475035</v>
      </c>
      <c r="CB13" s="162">
        <f>'Evolutive SFP'!BY4/('Evolutive SFP'!BY31+'Evolutive SFP'!BY36)</f>
        <v>0.14649967791790403</v>
      </c>
      <c r="CC13" s="162">
        <f>'Evolutive SFP'!BZ4/('Evolutive SFP'!BZ31+'Evolutive SFP'!BZ36)</f>
        <v>0.17918927115074137</v>
      </c>
      <c r="CD13" s="162">
        <f>'Evolutive SFP'!CA4/('Evolutive SFP'!CA31+'Evolutive SFP'!CA36)</f>
        <v>0.18927452375612716</v>
      </c>
      <c r="CE13" s="162">
        <f>'Evolutive SFP'!CB4/('Evolutive SFP'!CB31+'Evolutive SFP'!CB36)</f>
        <v>0.19530198743682189</v>
      </c>
      <c r="CF13" s="162">
        <f>'Evolutive SFP'!CC4/('Evolutive SFP'!CC31+'Evolutive SFP'!CC36)</f>
        <v>0.21104315416807745</v>
      </c>
      <c r="CG13" s="162">
        <f>'Evolutive SFP'!CD4/('Evolutive SFP'!CD31+'Evolutive SFP'!CD36)</f>
        <v>0.2190771124474673</v>
      </c>
      <c r="CH13" s="162">
        <f>'Evolutive SFP'!CE4/('Evolutive SFP'!CE31+'Evolutive SFP'!CE36)</f>
        <v>0.22413815886391467</v>
      </c>
      <c r="CI13" s="162">
        <f>'Evolutive SFP'!CF4/('Evolutive SFP'!CF31+'Evolutive SFP'!CF36)</f>
        <v>0.21532659788219694</v>
      </c>
      <c r="CJ13" s="162">
        <f>'Evolutive SFP'!CG4/('Evolutive SFP'!CG31+'Evolutive SFP'!CG36)</f>
        <v>0.24020243665508784</v>
      </c>
      <c r="CK13" s="162">
        <f>'Evolutive SFP'!CH4/('Evolutive SFP'!CH31+'Evolutive SFP'!CH36)</f>
        <v>0.21644158141842898</v>
      </c>
      <c r="CL13" s="162">
        <f>'Evolutive SFP'!CI4/('Evolutive SFP'!CI31+'Evolutive SFP'!CI36)</f>
        <v>0.23244810630173118</v>
      </c>
      <c r="CM13" s="162">
        <f>'Evolutive SFP'!CJ4/('Evolutive SFP'!CJ31+'Evolutive SFP'!CJ36)</f>
        <v>0.19355991471727163</v>
      </c>
      <c r="CN13" s="162">
        <f>'Evolutive SFP'!CK4/('Evolutive SFP'!CK31+'Evolutive SFP'!CK36)</f>
        <v>0.11117987484688888</v>
      </c>
      <c r="CO13" s="162">
        <f>'Evolutive SFP'!CL4/('Evolutive SFP'!CL31+'Evolutive SFP'!CL36)</f>
        <v>0.15098462957030895</v>
      </c>
      <c r="CP13" s="162">
        <f>'Evolutive SFP'!CM4/('Evolutive SFP'!CM31+'Evolutive SFP'!CM36)</f>
        <v>0.18751222590525776</v>
      </c>
      <c r="CQ13" s="162">
        <f>'Evolutive SFP'!CN4/('Evolutive SFP'!CN31+'Evolutive SFP'!CN36)</f>
        <v>0.19835241580853047</v>
      </c>
      <c r="CR13" s="162">
        <f>'Evolutive SFP'!CO4/('Evolutive SFP'!CO31+'Evolutive SFP'!CO36)</f>
        <v>0.15006279631114008</v>
      </c>
      <c r="CS13" s="162">
        <f>'Evolutive SFP'!CP4/('Evolutive SFP'!CP31+'Evolutive SFP'!CP36)</f>
        <v>0.14533010493786744</v>
      </c>
    </row>
    <row r="14" spans="1:97" ht="36.75">
      <c r="A14" s="262"/>
      <c r="B14" s="174" t="s">
        <v>132</v>
      </c>
      <c r="C14" s="175" t="s">
        <v>133</v>
      </c>
      <c r="D14" s="162">
        <f>'Evolutive SFP'!B37/'Evolutive SFP'!B27</f>
        <v>0.23335309822205472</v>
      </c>
      <c r="E14" s="162">
        <f>'Evolutive SFP'!C37/'Evolutive SFP'!C27</f>
        <v>0.17492547611566733</v>
      </c>
      <c r="F14" s="162">
        <f>'Evolutive SFP'!D37/'Evolutive SFP'!D27</f>
        <v>0.16605484741407953</v>
      </c>
      <c r="G14" s="162">
        <f>'Evolutive SFP'!E37/'Evolutive SFP'!E27</f>
        <v>0.14867075898006041</v>
      </c>
      <c r="H14" s="162">
        <f>'Evolutive SFP'!F37/'Evolutive SFP'!F27</f>
        <v>2.6636811782878887E-2</v>
      </c>
      <c r="I14" s="162">
        <f>'Evolutive SFP'!G37/'Evolutive SFP'!G27</f>
        <v>0</v>
      </c>
      <c r="J14" s="162">
        <f>'Evolutive SFP'!H37/'Evolutive SFP'!H27</f>
        <v>0</v>
      </c>
      <c r="K14" s="162">
        <f>'Evolutive SFP'!I37/'Evolutive SFP'!I27</f>
        <v>0</v>
      </c>
      <c r="L14" s="162">
        <f>'Evolutive SFP'!J37/'Evolutive SFP'!J27</f>
        <v>0</v>
      </c>
      <c r="M14" s="162">
        <f>'Evolutive SFP'!K37/'Evolutive SFP'!K27</f>
        <v>0</v>
      </c>
      <c r="N14" s="162">
        <f>'Evolutive SFP'!L37/'Evolutive SFP'!L27</f>
        <v>0</v>
      </c>
      <c r="O14" s="162">
        <f>'Evolutive SFP'!M37/'Evolutive SFP'!M27</f>
        <v>0</v>
      </c>
      <c r="P14" s="162">
        <f>'Evolutive SFP'!N37/'Evolutive SFP'!N27</f>
        <v>0</v>
      </c>
      <c r="Q14" s="162">
        <f>'Evolutive SFP'!O37/'Evolutive SFP'!O27</f>
        <v>0</v>
      </c>
      <c r="R14" s="162">
        <f>'Evolutive SFP'!P37/'Evolutive SFP'!P27</f>
        <v>0</v>
      </c>
      <c r="S14" s="162">
        <f>'Evolutive SFP'!Q37/'Evolutive SFP'!Q27</f>
        <v>0</v>
      </c>
      <c r="T14" s="162">
        <f>'Evolutive SFP'!R37/'Evolutive SFP'!R27</f>
        <v>0</v>
      </c>
      <c r="U14" s="162">
        <f>'Evolutive SFP'!S37/'Evolutive SFP'!S27</f>
        <v>0</v>
      </c>
      <c r="V14" s="162">
        <f>'Evolutive SFP'!T37/'Evolutive SFP'!T27</f>
        <v>0</v>
      </c>
      <c r="W14" s="162">
        <f>'Evolutive SFP'!U37/'Evolutive SFP'!U27</f>
        <v>0</v>
      </c>
      <c r="X14" s="162">
        <f>'Evolutive SFP'!V37/'Evolutive SFP'!V27</f>
        <v>0</v>
      </c>
      <c r="Y14" s="162">
        <f>'Evolutive SFP'!W37/'Evolutive SFP'!W27</f>
        <v>0</v>
      </c>
      <c r="Z14" s="162">
        <f>'Evolutive SFP'!X37/'Evolutive SFP'!X27</f>
        <v>0</v>
      </c>
      <c r="AA14" s="162">
        <f>'Evolutive SFP'!Y37/'Evolutive SFP'!Y27</f>
        <v>0</v>
      </c>
      <c r="AB14" s="162">
        <f>'Evolutive SFP'!Z37/'Evolutive SFP'!Z27</f>
        <v>0</v>
      </c>
      <c r="AC14" s="162">
        <f>'Evolutive SFP'!AA37/'Evolutive SFP'!AA27</f>
        <v>0</v>
      </c>
      <c r="AD14" s="162">
        <f>'Evolutive SFP'!AB37/'Evolutive SFP'!AB27</f>
        <v>0</v>
      </c>
      <c r="AE14" s="162">
        <f>'Evolutive SFP'!AC37/'Evolutive SFP'!AC27</f>
        <v>0</v>
      </c>
      <c r="AF14" s="162">
        <f>'Evolutive SFP'!AD37/'Evolutive SFP'!AD27</f>
        <v>0</v>
      </c>
      <c r="AG14" s="162">
        <f>'Evolutive SFP'!AE37/'Evolutive SFP'!AE27</f>
        <v>0</v>
      </c>
      <c r="AH14" s="162">
        <f>'Evolutive SFP'!AF37/'Evolutive SFP'!AF27</f>
        <v>0</v>
      </c>
      <c r="AI14" s="162">
        <f>'Evolutive SFP'!AG37/'Evolutive SFP'!AG27</f>
        <v>0</v>
      </c>
      <c r="AJ14" s="162">
        <f>'Evolutive SFP'!AH37/'Evolutive SFP'!AH27</f>
        <v>0</v>
      </c>
      <c r="AK14" s="162">
        <f>'Evolutive SFP'!AI37/'Evolutive SFP'!AI27</f>
        <v>0</v>
      </c>
      <c r="AL14" s="162">
        <f>'Evolutive SFP'!AJ37/'Evolutive SFP'!AJ27</f>
        <v>0</v>
      </c>
      <c r="AM14" s="162">
        <f>'Evolutive SFP'!AK37/'Evolutive SFP'!AK27</f>
        <v>0</v>
      </c>
      <c r="AN14" s="162">
        <f>'Evolutive SFP'!AL37/'Evolutive SFP'!AL27</f>
        <v>0</v>
      </c>
      <c r="AO14" s="162">
        <f>'Evolutive SFP'!AM37/'Evolutive SFP'!AM27</f>
        <v>0</v>
      </c>
      <c r="AP14" s="162">
        <f>'Evolutive SFP'!AN37/'Evolutive SFP'!AN27</f>
        <v>0</v>
      </c>
      <c r="AQ14" s="162">
        <f>'Evolutive SFP'!AO37/'Evolutive SFP'!AO27</f>
        <v>0</v>
      </c>
      <c r="AR14" s="162">
        <f>'Evolutive SFP'!AP37/'Evolutive SFP'!AP27</f>
        <v>0</v>
      </c>
      <c r="AS14" s="162">
        <f>'Evolutive SFP'!AQ37/'Evolutive SFP'!AQ27</f>
        <v>0</v>
      </c>
      <c r="AT14" s="162">
        <f>'Evolutive SFP'!AR37/'Evolutive SFP'!AR27</f>
        <v>0</v>
      </c>
      <c r="AU14" s="162">
        <f>'Evolutive SFP'!AS37/'Evolutive SFP'!AS27</f>
        <v>0</v>
      </c>
      <c r="AV14" s="162">
        <f>'Evolutive SFP'!AT37/'Evolutive SFP'!AT27</f>
        <v>0</v>
      </c>
      <c r="AW14" s="162">
        <f>'Evolutive SFP'!AU37/'Evolutive SFP'!AU27</f>
        <v>0</v>
      </c>
      <c r="AX14" s="162">
        <f>'Evolutive SFP'!AV37/'Evolutive SFP'!AV27</f>
        <v>0</v>
      </c>
      <c r="AY14" s="162">
        <f>'Evolutive SFP'!AW37/'Evolutive SFP'!AW27</f>
        <v>0</v>
      </c>
      <c r="AZ14" s="162">
        <f>'Evolutive SFP'!AX37/'Evolutive SFP'!AX27</f>
        <v>0</v>
      </c>
      <c r="BA14" s="162">
        <f>'Evolutive SFP'!AY37/'Evolutive SFP'!AY27</f>
        <v>0</v>
      </c>
      <c r="BB14" s="162">
        <f>'Evolutive SFP'!AY37/'Evolutive SFP'!AY27</f>
        <v>0</v>
      </c>
      <c r="BC14" s="162">
        <f>'Evolutive SFP'!AZ37/'Evolutive SFP'!AZ27</f>
        <v>0</v>
      </c>
      <c r="BD14" s="162" t="e">
        <f>'Evolutive SFP'!BA37/'Evolutive SFP'!BA27</f>
        <v>#DIV/0!</v>
      </c>
      <c r="BE14" s="162">
        <f>'Evolutive SFP'!BB37/'Evolutive SFP'!BB27</f>
        <v>0</v>
      </c>
      <c r="BF14" s="162">
        <f>'Evolutive SFP'!BC37/'Evolutive SFP'!BC27</f>
        <v>0</v>
      </c>
      <c r="BG14" s="162">
        <f>'Evolutive SFP'!BD37/'Evolutive SFP'!BD27</f>
        <v>0</v>
      </c>
      <c r="BH14" s="162">
        <f>'Evolutive SFP'!BE37/'Evolutive SFP'!BE27</f>
        <v>0</v>
      </c>
      <c r="BI14" s="162">
        <f>'Evolutive SFP'!BF37/'Evolutive SFP'!BF27</f>
        <v>0</v>
      </c>
      <c r="BJ14" s="162">
        <f>'Evolutive SFP'!BG37/'Evolutive SFP'!BG27</f>
        <v>0</v>
      </c>
      <c r="BK14" s="162">
        <f>'Evolutive SFP'!BH37/'Evolutive SFP'!BH27</f>
        <v>0</v>
      </c>
      <c r="BL14" s="162">
        <f>'Evolutive SFP'!BI37/'Evolutive SFP'!BI27</f>
        <v>0</v>
      </c>
      <c r="BM14" s="162">
        <f>'Evolutive SFP'!BJ37/'Evolutive SFP'!BJ27</f>
        <v>0</v>
      </c>
      <c r="BN14" s="162">
        <f>'Evolutive SFP'!BK37/'Evolutive SFP'!BK27</f>
        <v>0</v>
      </c>
      <c r="BO14" s="162">
        <f>'Evolutive SFP'!BL37/'Evolutive SFP'!BL27</f>
        <v>0</v>
      </c>
      <c r="BP14" s="162">
        <f>'Evolutive SFP'!BM37/'Evolutive SFP'!BM27</f>
        <v>0</v>
      </c>
      <c r="BQ14" s="162">
        <f>'Evolutive SFP'!BN37/'Evolutive SFP'!BN27</f>
        <v>0</v>
      </c>
      <c r="BR14" s="162">
        <f>'Evolutive SFP'!BO37/'Evolutive SFP'!BO27</f>
        <v>0</v>
      </c>
      <c r="BS14" s="162">
        <f>'Evolutive SFP'!BP37/'Evolutive SFP'!BP27</f>
        <v>0</v>
      </c>
      <c r="BT14" s="162">
        <f>'Evolutive SFP'!BQ37/'Evolutive SFP'!BQ27</f>
        <v>0</v>
      </c>
      <c r="BU14" s="162">
        <f>'Evolutive SFP'!BR37/'Evolutive SFP'!BR27</f>
        <v>0</v>
      </c>
      <c r="BV14" s="162">
        <f>'Evolutive SFP'!BS37/'Evolutive SFP'!BS27</f>
        <v>0</v>
      </c>
      <c r="BW14" s="162">
        <f>'Evolutive SFP'!BT37/'Evolutive SFP'!BT27</f>
        <v>0</v>
      </c>
      <c r="BX14" s="162">
        <f>'Evolutive SFP'!BU37/'Evolutive SFP'!BU27</f>
        <v>0</v>
      </c>
      <c r="BY14" s="162">
        <f>'Evolutive SFP'!BV37/'Evolutive SFP'!BV27</f>
        <v>0</v>
      </c>
      <c r="BZ14" s="162">
        <f>'Evolutive SFP'!BW37/'Evolutive SFP'!BW27</f>
        <v>0</v>
      </c>
      <c r="CA14" s="162">
        <f>'Evolutive SFP'!BX37/'Evolutive SFP'!BX27</f>
        <v>0</v>
      </c>
      <c r="CB14" s="162">
        <f>'Evolutive SFP'!BY37/'Evolutive SFP'!BY27</f>
        <v>0</v>
      </c>
      <c r="CC14" s="162">
        <f>'Evolutive SFP'!BZ37/'Evolutive SFP'!BZ27</f>
        <v>0</v>
      </c>
      <c r="CD14" s="162">
        <f>'Evolutive SFP'!CA37/'Evolutive SFP'!CA27</f>
        <v>0</v>
      </c>
      <c r="CE14" s="162">
        <f>'Evolutive SFP'!CB37/'Evolutive SFP'!CB27</f>
        <v>0</v>
      </c>
      <c r="CF14" s="162">
        <f>'Evolutive SFP'!CC37/'Evolutive SFP'!CC27</f>
        <v>0</v>
      </c>
      <c r="CG14" s="162">
        <f>'Evolutive SFP'!CD37/'Evolutive SFP'!CD27</f>
        <v>0</v>
      </c>
      <c r="CH14" s="162">
        <f>'Evolutive SFP'!CE37/'Evolutive SFP'!CE27</f>
        <v>0</v>
      </c>
      <c r="CI14" s="162">
        <f>'Evolutive SFP'!CF37/'Evolutive SFP'!CF27</f>
        <v>0</v>
      </c>
      <c r="CJ14" s="162">
        <f>'Evolutive SFP'!CG37/'Evolutive SFP'!CG27</f>
        <v>0</v>
      </c>
      <c r="CK14" s="162">
        <f>'Evolutive SFP'!CH37/'Evolutive SFP'!CH27</f>
        <v>0</v>
      </c>
      <c r="CL14" s="162">
        <f>'Evolutive SFP'!CI37/'Evolutive SFP'!CI27</f>
        <v>0</v>
      </c>
      <c r="CM14" s="162">
        <f>'Evolutive SFP'!CJ37/'Evolutive SFP'!CJ27</f>
        <v>0</v>
      </c>
      <c r="CN14" s="162">
        <f>'Evolutive SFP'!CK37/'Evolutive SFP'!CK27</f>
        <v>0</v>
      </c>
      <c r="CO14" s="162">
        <f>'Evolutive SFP'!CL37/'Evolutive SFP'!CL27</f>
        <v>0</v>
      </c>
      <c r="CP14" s="162">
        <f>'Evolutive SFP'!CM37/'Evolutive SFP'!CM27</f>
        <v>0</v>
      </c>
      <c r="CQ14" s="162">
        <f>'Evolutive SFP'!CN37/'Evolutive SFP'!CN27</f>
        <v>0</v>
      </c>
      <c r="CR14" s="162">
        <f>'Evolutive SFP'!CO37/'Evolutive SFP'!CO27</f>
        <v>0</v>
      </c>
      <c r="CS14" s="162">
        <f>'Evolutive SFP'!CP37/'Evolutive SFP'!CP27</f>
        <v>0</v>
      </c>
    </row>
    <row r="15" spans="1:97" ht="18.75">
      <c r="A15" s="262"/>
      <c r="B15" s="174" t="s">
        <v>134</v>
      </c>
      <c r="C15" s="175"/>
      <c r="D15" s="162">
        <f>'Evolutive SFP'!B4/'Evolutive SFP'!B27</f>
        <v>0.13612117399660534</v>
      </c>
      <c r="E15" s="162">
        <f>'Evolutive SFP'!C4/'Evolutive SFP'!C27</f>
        <v>4.6927058446413893E-2</v>
      </c>
      <c r="F15" s="162">
        <f>'Evolutive SFP'!D4/'Evolutive SFP'!D27</f>
        <v>2.7315729168201474E-2</v>
      </c>
      <c r="G15" s="162">
        <f>'Evolutive SFP'!E4/'Evolutive SFP'!E27</f>
        <v>7.898095553986588E-2</v>
      </c>
      <c r="H15" s="162">
        <f>'Evolutive SFP'!F4/'Evolutive SFP'!F27</f>
        <v>9.305327290693359E-2</v>
      </c>
      <c r="I15" s="162">
        <f>'Evolutive SFP'!G4/'Evolutive SFP'!G27</f>
        <v>0.12058687215825602</v>
      </c>
      <c r="J15" s="162">
        <f>'Evolutive SFP'!H4/'Evolutive SFP'!H27</f>
        <v>5.1861699054005464E-2</v>
      </c>
      <c r="K15" s="162">
        <f>'Evolutive SFP'!I4/'Evolutive SFP'!I27</f>
        <v>3.5188003880755034E-2</v>
      </c>
      <c r="L15" s="162">
        <f>'Evolutive SFP'!J4/'Evolutive SFP'!J27</f>
        <v>8.4181057826321973E-2</v>
      </c>
      <c r="M15" s="162">
        <f>'Evolutive SFP'!K4/'Evolutive SFP'!K27</f>
        <v>7.2333160258177584E-2</v>
      </c>
      <c r="N15" s="162">
        <f>'Evolutive SFP'!L4/'Evolutive SFP'!L27</f>
        <v>2.4520291919151491E-2</v>
      </c>
      <c r="O15" s="162">
        <f>'Evolutive SFP'!M4/'Evolutive SFP'!M27</f>
        <v>5.9006103505759869E-2</v>
      </c>
      <c r="P15" s="162">
        <f>'Evolutive SFP'!N4/'Evolutive SFP'!N27</f>
        <v>4.4111949020357068E-2</v>
      </c>
      <c r="Q15" s="162">
        <f>'Evolutive SFP'!O4/'Evolutive SFP'!O27</f>
        <v>5.530480829776839E-2</v>
      </c>
      <c r="R15" s="162">
        <f>'Evolutive SFP'!P4/'Evolutive SFP'!P27</f>
        <v>3.805040228134441E-2</v>
      </c>
      <c r="S15" s="162">
        <f>'Evolutive SFP'!Q4/'Evolutive SFP'!Q27</f>
        <v>5.6910736197987699E-2</v>
      </c>
      <c r="T15" s="162">
        <f>'Evolutive SFP'!R4/'Evolutive SFP'!R27</f>
        <v>5.424222044600991E-2</v>
      </c>
      <c r="U15" s="162">
        <f>'Evolutive SFP'!S4/'Evolutive SFP'!S27</f>
        <v>7.206837555496777E-2</v>
      </c>
      <c r="V15" s="162">
        <f>'Evolutive SFP'!T4/'Evolutive SFP'!T27</f>
        <v>6.2804385623779393E-2</v>
      </c>
      <c r="W15" s="162">
        <f>'Evolutive SFP'!U4/'Evolutive SFP'!U27</f>
        <v>6.2834527303306326E-2</v>
      </c>
      <c r="X15" s="162">
        <f>'Evolutive SFP'!V4/'Evolutive SFP'!V27</f>
        <v>7.5192690611268126E-2</v>
      </c>
      <c r="Y15" s="162">
        <f>'Evolutive SFP'!W4/'Evolutive SFP'!W27</f>
        <v>9.065420160425329E-2</v>
      </c>
      <c r="Z15" s="162">
        <f>'Evolutive SFP'!X4/'Evolutive SFP'!X27</f>
        <v>8.1847738021699812E-2</v>
      </c>
      <c r="AA15" s="162">
        <f>'Evolutive SFP'!Y4/'Evolutive SFP'!Y27</f>
        <v>5.5415044543676184E-2</v>
      </c>
      <c r="AB15" s="162">
        <f>'Evolutive SFP'!Z4/'Evolutive SFP'!Z27</f>
        <v>5.4145035805651616E-2</v>
      </c>
      <c r="AC15" s="162">
        <f>'Evolutive SFP'!AA4/'Evolutive SFP'!AA27</f>
        <v>7.4618769819869604E-2</v>
      </c>
      <c r="AD15" s="162">
        <f>'Evolutive SFP'!AB4/'Evolutive SFP'!AB27</f>
        <v>7.7636577758009806E-2</v>
      </c>
      <c r="AE15" s="162">
        <f>'Evolutive SFP'!AC4/'Evolutive SFP'!AC27</f>
        <v>6.3273752455360419E-2</v>
      </c>
      <c r="AF15" s="162">
        <f>'Evolutive SFP'!AD4/'Evolutive SFP'!AD27</f>
        <v>6.925680804040571E-2</v>
      </c>
      <c r="AG15" s="162">
        <f>'Evolutive SFP'!AE4/'Evolutive SFP'!AE27</f>
        <v>7.7451266563332538E-2</v>
      </c>
      <c r="AH15" s="162">
        <f>'Evolutive SFP'!AF4/'Evolutive SFP'!AF27</f>
        <v>7.0327310233316259E-2</v>
      </c>
      <c r="AI15" s="162">
        <f>'Evolutive SFP'!AG4/'Evolutive SFP'!AG27</f>
        <v>6.9204035383347032E-2</v>
      </c>
      <c r="AJ15" s="162">
        <f>'Evolutive SFP'!AH4/'Evolutive SFP'!AH27</f>
        <v>6.9203694962028148E-2</v>
      </c>
      <c r="AK15" s="162">
        <f>'Evolutive SFP'!AI4/'Evolutive SFP'!AI27</f>
        <v>7.9375320916305406E-2</v>
      </c>
      <c r="AL15" s="162">
        <f>'Evolutive SFP'!AJ4/'Evolutive SFP'!AJ27</f>
        <v>8.3130942251710374E-2</v>
      </c>
      <c r="AM15" s="162">
        <f>'Evolutive SFP'!AK4/'Evolutive SFP'!AK27</f>
        <v>8.1148914355575807E-2</v>
      </c>
      <c r="AN15" s="162">
        <f>'Evolutive SFP'!AL4/'Evolutive SFP'!AL27</f>
        <v>5.605188865425869E-2</v>
      </c>
      <c r="AO15" s="162">
        <f>'Evolutive SFP'!AM4/'Evolutive SFP'!AM27</f>
        <v>5.6182965614792822E-2</v>
      </c>
      <c r="AP15" s="162">
        <f>'Evolutive SFP'!AN4/'Evolutive SFP'!AN27</f>
        <v>8.0169193194598309E-2</v>
      </c>
      <c r="AQ15" s="162">
        <f>'Evolutive SFP'!AO4/'Evolutive SFP'!AO27</f>
        <v>6.7894970052675405E-2</v>
      </c>
      <c r="AR15" s="162">
        <f>'Evolutive SFP'!AP4/'Evolutive SFP'!AP27</f>
        <v>7.1973906441855889E-2</v>
      </c>
      <c r="AS15" s="162">
        <f>'Evolutive SFP'!AQ4/'Evolutive SFP'!AQ27</f>
        <v>8.6251704025686909E-2</v>
      </c>
      <c r="AT15" s="162">
        <f>'Evolutive SFP'!AR4/'Evolutive SFP'!AR27</f>
        <v>9.0160546713373799E-2</v>
      </c>
      <c r="AU15" s="162">
        <f>'Evolutive SFP'!AS4/'Evolutive SFP'!AS27</f>
        <v>7.8475159746880269E-2</v>
      </c>
      <c r="AV15" s="162">
        <f>'Evolutive SFP'!AT4/'Evolutive SFP'!AT27</f>
        <v>7.9473921415327636E-2</v>
      </c>
      <c r="AW15" s="162">
        <f>'Evolutive SFP'!AU4/'Evolutive SFP'!AU27</f>
        <v>7.9627764845397478E-2</v>
      </c>
      <c r="AX15" s="162">
        <f>'Evolutive SFP'!AV4/'Evolutive SFP'!AV27</f>
        <v>0.10691195766959039</v>
      </c>
      <c r="AY15" s="162">
        <f>'Evolutive SFP'!AW4/'Evolutive SFP'!AW27</f>
        <v>8.7429590361494142E-2</v>
      </c>
      <c r="AZ15" s="162">
        <f>'Evolutive SFP'!AX4/'Evolutive SFP'!AX27</f>
        <v>0.11271185344244149</v>
      </c>
      <c r="BA15" s="162">
        <f>'Evolutive SFP'!AY4/'Evolutive SFP'!AY27</f>
        <v>0.12221019297229459</v>
      </c>
      <c r="BB15" s="162">
        <f>'Evolutive SFP'!AY4/'Evolutive SFP'!AY27</f>
        <v>0.12221019297229459</v>
      </c>
      <c r="BC15" s="162">
        <f>'Evolutive SFP'!AZ4/'Evolutive SFP'!AZ27</f>
        <v>0.12449674645586688</v>
      </c>
      <c r="BD15" s="162" t="e">
        <f>'Evolutive SFP'!BA4/'Evolutive SFP'!BA27</f>
        <v>#DIV/0!</v>
      </c>
      <c r="BE15" s="162">
        <f>'Evolutive SFP'!BB4/'Evolutive SFP'!BB27</f>
        <v>0.12430040236068708</v>
      </c>
      <c r="BF15" s="162">
        <f>'Evolutive SFP'!BC4/'Evolutive SFP'!BC27</f>
        <v>0.11732265061869707</v>
      </c>
      <c r="BG15" s="162">
        <f>'Evolutive SFP'!BD4/'Evolutive SFP'!BD27</f>
        <v>0.1166483760137032</v>
      </c>
      <c r="BH15" s="162">
        <f>'Evolutive SFP'!BE4/'Evolutive SFP'!BE27</f>
        <v>0.12017578866686876</v>
      </c>
      <c r="BI15" s="162">
        <f>'Evolutive SFP'!BF4/'Evolutive SFP'!BF27</f>
        <v>0.11665476742603692</v>
      </c>
      <c r="BJ15" s="162">
        <f>'Evolutive SFP'!BG4/'Evolutive SFP'!BG27</f>
        <v>0.11667177878152132</v>
      </c>
      <c r="BK15" s="162">
        <f>'Evolutive SFP'!BH4/'Evolutive SFP'!BH27</f>
        <v>0.12225604504522498</v>
      </c>
      <c r="BL15" s="162">
        <f>'Evolutive SFP'!BI4/'Evolutive SFP'!BI27</f>
        <v>0.10812087076061488</v>
      </c>
      <c r="BM15" s="162">
        <f>'Evolutive SFP'!BJ4/'Evolutive SFP'!BJ27</f>
        <v>0.11009696177395324</v>
      </c>
      <c r="BN15" s="162">
        <f>'Evolutive SFP'!BK4/'Evolutive SFP'!BK27</f>
        <v>0.11047005818848103</v>
      </c>
      <c r="BO15" s="162">
        <f>'Evolutive SFP'!BL4/'Evolutive SFP'!BL27</f>
        <v>0.11482645346928466</v>
      </c>
      <c r="BP15" s="162">
        <f>'Evolutive SFP'!BM4/'Evolutive SFP'!BM27</f>
        <v>0.11374852526602512</v>
      </c>
      <c r="BQ15" s="162">
        <f>'Evolutive SFP'!BN4/'Evolutive SFP'!BN27</f>
        <v>0.12130901861227887</v>
      </c>
      <c r="BR15" s="162">
        <f>'Evolutive SFP'!BO4/'Evolutive SFP'!BO27</f>
        <v>0.13597284518660099</v>
      </c>
      <c r="BS15" s="162">
        <f>'Evolutive SFP'!BP4/'Evolutive SFP'!BP27</f>
        <v>0.13353521773109994</v>
      </c>
      <c r="BT15" s="162">
        <f>'Evolutive SFP'!BQ4/'Evolutive SFP'!BQ27</f>
        <v>0.13679815204862233</v>
      </c>
      <c r="BU15" s="162">
        <f>'Evolutive SFP'!BR4/'Evolutive SFP'!BR27</f>
        <v>0.1467954689653489</v>
      </c>
      <c r="BV15" s="162">
        <f>'Evolutive SFP'!BS4/'Evolutive SFP'!BS27</f>
        <v>0.14581534283556821</v>
      </c>
      <c r="BW15" s="162">
        <f>'Evolutive SFP'!BT4/'Evolutive SFP'!BT27</f>
        <v>0.146980435847999</v>
      </c>
      <c r="BX15" s="162">
        <f>'Evolutive SFP'!BU4/'Evolutive SFP'!BU27</f>
        <v>0.15020083885725427</v>
      </c>
      <c r="BY15" s="162">
        <f>'Evolutive SFP'!BV4/'Evolutive SFP'!BV27</f>
        <v>0.13327955267213046</v>
      </c>
      <c r="BZ15" s="162">
        <f>'Evolutive SFP'!BW4/'Evolutive SFP'!BW27</f>
        <v>0.10356172641253032</v>
      </c>
      <c r="CA15" s="162">
        <f>'Evolutive SFP'!BX4/'Evolutive SFP'!BX27</f>
        <v>9.6053187552914296E-2</v>
      </c>
      <c r="CB15" s="162">
        <f>'Evolutive SFP'!BY4/'Evolutive SFP'!BY27</f>
        <v>0.10299643483891902</v>
      </c>
      <c r="CC15" s="162">
        <f>'Evolutive SFP'!BZ4/'Evolutive SFP'!BZ27</f>
        <v>0.12399587108233116</v>
      </c>
      <c r="CD15" s="162">
        <f>'Evolutive SFP'!CA4/'Evolutive SFP'!CA27</f>
        <v>0.13206476563996236</v>
      </c>
      <c r="CE15" s="162">
        <f>'Evolutive SFP'!CB4/'Evolutive SFP'!CB27</f>
        <v>0.13590051016843685</v>
      </c>
      <c r="CF15" s="162">
        <f>'Evolutive SFP'!CC4/'Evolutive SFP'!CC27</f>
        <v>0.14670451127129355</v>
      </c>
      <c r="CG15" s="162">
        <f>'Evolutive SFP'!CD4/'Evolutive SFP'!CD27</f>
        <v>0.15256289604536988</v>
      </c>
      <c r="CH15" s="162">
        <f>'Evolutive SFP'!CE4/'Evolutive SFP'!CE27</f>
        <v>0.15669851894892761</v>
      </c>
      <c r="CI15" s="162">
        <f>'Evolutive SFP'!CF4/'Evolutive SFP'!CF27</f>
        <v>0.15429393717036519</v>
      </c>
      <c r="CJ15" s="162">
        <f>'Evolutive SFP'!CG4/'Evolutive SFP'!CG27</f>
        <v>0.15411173439991924</v>
      </c>
      <c r="CK15" s="162">
        <f>'Evolutive SFP'!CH4/'Evolutive SFP'!CH27</f>
        <v>0.42307948068191109</v>
      </c>
      <c r="CL15" s="162">
        <f>'Evolutive SFP'!CI4/'Evolutive SFP'!CI27</f>
        <v>0.16532490800094529</v>
      </c>
      <c r="CM15" s="162">
        <f>'Evolutive SFP'!CJ4/'Evolutive SFP'!CJ27</f>
        <v>0.13574369159252911</v>
      </c>
      <c r="CN15" s="162">
        <f>'Evolutive SFP'!CK4/'Evolutive SFP'!CK27</f>
        <v>7.8100999799714882E-2</v>
      </c>
      <c r="CO15" s="162">
        <f>'Evolutive SFP'!CL4/'Evolutive SFP'!CL27</f>
        <v>0.10692827517835889</v>
      </c>
      <c r="CP15" s="162">
        <f>'Evolutive SFP'!CM4/'Evolutive SFP'!CM27</f>
        <v>0.13204307288544098</v>
      </c>
      <c r="CQ15" s="162">
        <f>'Evolutive SFP'!CN4/'Evolutive SFP'!CN27</f>
        <v>0.1416871529086603</v>
      </c>
      <c r="CR15" s="162">
        <f>'Evolutive SFP'!CO4/'Evolutive SFP'!CO27</f>
        <v>0.10733230069843129</v>
      </c>
      <c r="CS15" s="162">
        <f>'Evolutive SFP'!CP4/'Evolutive SFP'!CP27</f>
        <v>0.10405987748697583</v>
      </c>
    </row>
    <row r="16" spans="1:97" ht="36.75">
      <c r="A16" s="262" t="s">
        <v>135</v>
      </c>
      <c r="B16" s="174" t="s">
        <v>136</v>
      </c>
      <c r="C16" s="175" t="s">
        <v>137</v>
      </c>
      <c r="D16" s="162">
        <f>('Evolutive SFP'!B7+'Evolutive SFP'!B21)/'Evolutive SFP'!B27</f>
        <v>0.20939732353788887</v>
      </c>
      <c r="E16" s="162">
        <f>('Evolutive SFP'!C7+'Evolutive SFP'!C21)/'Evolutive SFP'!C27</f>
        <v>0.22358082955539832</v>
      </c>
      <c r="F16" s="162">
        <f>('Evolutive SFP'!D7+'Evolutive SFP'!D21)/'Evolutive SFP'!D27</f>
        <v>0.21748753416224612</v>
      </c>
      <c r="G16" s="162">
        <f>('Evolutive SFP'!E7+'Evolutive SFP'!E21)/'Evolutive SFP'!E27</f>
        <v>0.17500110950113448</v>
      </c>
      <c r="H16" s="162">
        <f>('Evolutive SFP'!F7+'Evolutive SFP'!F21)/'Evolutive SFP'!F27</f>
        <v>0.22443040274078763</v>
      </c>
      <c r="I16" s="162">
        <f>('Evolutive SFP'!G7+'Evolutive SFP'!G21)/'Evolutive SFP'!G27</f>
        <v>0.21025253635155766</v>
      </c>
      <c r="J16" s="162">
        <f>('Evolutive SFP'!H7+'Evolutive SFP'!H21)/'Evolutive SFP'!H27</f>
        <v>0.22969193760514708</v>
      </c>
      <c r="K16" s="162">
        <f>('Evolutive SFP'!I7+'Evolutive SFP'!I21)/'Evolutive SFP'!I27</f>
        <v>0.21512360800713407</v>
      </c>
      <c r="L16" s="162">
        <f>('Evolutive SFP'!J7+'Evolutive SFP'!J21)/'Evolutive SFP'!J27</f>
        <v>0.20170493066442688</v>
      </c>
      <c r="M16" s="162">
        <f>('Evolutive SFP'!K7+'Evolutive SFP'!K21)/'Evolutive SFP'!K27</f>
        <v>0.20589879686118714</v>
      </c>
      <c r="N16" s="162">
        <f>('Evolutive SFP'!L7+'Evolutive SFP'!L21)/'Evolutive SFP'!L27</f>
        <v>0.21907006521352096</v>
      </c>
      <c r="O16" s="162">
        <f>('Evolutive SFP'!M7+'Evolutive SFP'!M21)/'Evolutive SFP'!M27</f>
        <v>0.19539611690099631</v>
      </c>
      <c r="P16" s="162">
        <f>('Evolutive SFP'!N7+'Evolutive SFP'!N21)/'Evolutive SFP'!N27</f>
        <v>0.21820565658338834</v>
      </c>
      <c r="Q16" s="162">
        <f>('Evolutive SFP'!O7+'Evolutive SFP'!O21)/'Evolutive SFP'!O27</f>
        <v>0.17361402963905834</v>
      </c>
      <c r="R16" s="162">
        <f>('Evolutive SFP'!P7+'Evolutive SFP'!P21)/'Evolutive SFP'!P27</f>
        <v>0.21869714141210408</v>
      </c>
      <c r="S16" s="162">
        <f>('Evolutive SFP'!Q7+'Evolutive SFP'!Q21)/'Evolutive SFP'!Q27</f>
        <v>0.19787095347936517</v>
      </c>
      <c r="T16" s="162">
        <f>('Evolutive SFP'!R7+'Evolutive SFP'!R21)/'Evolutive SFP'!R27</f>
        <v>0.19457218209882027</v>
      </c>
      <c r="U16" s="162">
        <f>('Evolutive SFP'!S7+'Evolutive SFP'!S21)/'Evolutive SFP'!S27</f>
        <v>0.18556187145004974</v>
      </c>
      <c r="V16" s="162">
        <f>('Evolutive SFP'!T7+'Evolutive SFP'!T21)/'Evolutive SFP'!T27</f>
        <v>0.18791821746773271</v>
      </c>
      <c r="W16" s="162">
        <f>('Evolutive SFP'!U7+'Evolutive SFP'!U21)/'Evolutive SFP'!U27</f>
        <v>0.18752848797519125</v>
      </c>
      <c r="X16" s="162">
        <f>('Evolutive SFP'!V7+'Evolutive SFP'!V21)/'Evolutive SFP'!V27</f>
        <v>0.18563563899575924</v>
      </c>
      <c r="Y16" s="162">
        <f>('Evolutive SFP'!W7+'Evolutive SFP'!W21)/'Evolutive SFP'!W27</f>
        <v>0.18019451706672901</v>
      </c>
      <c r="Z16" s="162">
        <f>('Evolutive SFP'!X7+'Evolutive SFP'!X21)/'Evolutive SFP'!X27</f>
        <v>0.18314874648231844</v>
      </c>
      <c r="AA16" s="162">
        <f>('Evolutive SFP'!Y7+'Evolutive SFP'!Y21)/'Evolutive SFP'!Y27</f>
        <v>0.18527838669012489</v>
      </c>
      <c r="AB16" s="162">
        <f>('Evolutive SFP'!Z7+'Evolutive SFP'!Z21)/'Evolutive SFP'!Z27</f>
        <v>0.18240818571348966</v>
      </c>
      <c r="AC16" s="162">
        <f>('Evolutive SFP'!AA7+'Evolutive SFP'!AA21)/'Evolutive SFP'!AA27</f>
        <v>0.17636318962014694</v>
      </c>
      <c r="AD16" s="162">
        <f>('Evolutive SFP'!AB7+'Evolutive SFP'!AB21)/'Evolutive SFP'!AB27</f>
        <v>0.17368885549463176</v>
      </c>
      <c r="AE16" s="162">
        <f>('Evolutive SFP'!AC7+'Evolutive SFP'!AC21)/'Evolutive SFP'!AC27</f>
        <v>0.17132060842100491</v>
      </c>
      <c r="AF16" s="162">
        <f>('Evolutive SFP'!AD7+'Evolutive SFP'!AD21)/'Evolutive SFP'!AD27</f>
        <v>0.16785549524432597</v>
      </c>
      <c r="AG16" s="162">
        <f>('Evolutive SFP'!AE7+'Evolutive SFP'!AE21)/'Evolutive SFP'!AE27</f>
        <v>0.16599094796322073</v>
      </c>
      <c r="AH16" s="162">
        <f>('Evolutive SFP'!AF7+'Evolutive SFP'!AF21)/'Evolutive SFP'!AF27</f>
        <v>0.1625013528051375</v>
      </c>
      <c r="AI16" s="162">
        <f>('Evolutive SFP'!AG7+'Evolutive SFP'!AG21)/'Evolutive SFP'!AG27</f>
        <v>0.15646874205315903</v>
      </c>
      <c r="AJ16" s="162">
        <f>('Evolutive SFP'!AH7+'Evolutive SFP'!AH21)/'Evolutive SFP'!AH27</f>
        <v>0.15646908129487463</v>
      </c>
      <c r="AK16" s="162">
        <f>('Evolutive SFP'!AI7+'Evolutive SFP'!AI21)/'Evolutive SFP'!AI27</f>
        <v>9.5265092578660421E-2</v>
      </c>
      <c r="AL16" s="162">
        <f>('Evolutive SFP'!AJ7+'Evolutive SFP'!AJ21)/'Evolutive SFP'!AJ27</f>
        <v>9.4836089836988283E-2</v>
      </c>
      <c r="AM16" s="162">
        <f>('Evolutive SFP'!AK7+'Evolutive SFP'!AK21)/'Evolutive SFP'!AK27</f>
        <v>9.3210835667213762E-2</v>
      </c>
      <c r="AN16" s="162">
        <f>('Evolutive SFP'!AL7+'Evolutive SFP'!AL21)/'Evolutive SFP'!AL27</f>
        <v>9.6316237627339762E-2</v>
      </c>
      <c r="AO16" s="162">
        <f>('Evolutive SFP'!AM7+'Evolutive SFP'!AM21)/'Evolutive SFP'!AM27</f>
        <v>9.4457638779857633E-2</v>
      </c>
      <c r="AP16" s="162">
        <f>('Evolutive SFP'!AN7+'Evolutive SFP'!AN21)/'Evolutive SFP'!AN27</f>
        <v>9.248047269155639E-2</v>
      </c>
      <c r="AQ16" s="162">
        <f>('Evolutive SFP'!AO7+'Evolutive SFP'!AO21)/'Evolutive SFP'!AO27</f>
        <v>9.5012551192271616E-2</v>
      </c>
      <c r="AR16" s="162">
        <f>('Evolutive SFP'!AP7+'Evolutive SFP'!AP21)/'Evolutive SFP'!AP27</f>
        <v>9.0936624886928441E-2</v>
      </c>
      <c r="AS16" s="162">
        <f>('Evolutive SFP'!AQ7+'Evolutive SFP'!AQ21)/'Evolutive SFP'!AQ27</f>
        <v>9.0428671095043045E-2</v>
      </c>
      <c r="AT16" s="162">
        <f>('Evolutive SFP'!AR7+'Evolutive SFP'!AR21)/'Evolutive SFP'!AR27</f>
        <v>8.9288871230129574E-2</v>
      </c>
      <c r="AU16" s="162">
        <f>('Evolutive SFP'!AS7+'Evolutive SFP'!AS21)/'Evolutive SFP'!AS27</f>
        <v>8.8283251097737034E-2</v>
      </c>
      <c r="AV16" s="162">
        <f>('Evolutive SFP'!AT7+'Evolutive SFP'!AT21)/'Evolutive SFP'!AT27</f>
        <v>8.0086951500666276E-2</v>
      </c>
      <c r="AW16" s="162">
        <f>('Evolutive SFP'!AU7+'Evolutive SFP'!AU21)/'Evolutive SFP'!AU27</f>
        <v>7.8869047882528603E-2</v>
      </c>
      <c r="AX16" s="162">
        <f>('Evolutive SFP'!AV7+'Evolutive SFP'!AV21)/'Evolutive SFP'!AV27</f>
        <v>7.8092345458663837E-2</v>
      </c>
      <c r="AY16" s="162">
        <f>('Evolutive SFP'!AW7+'Evolutive SFP'!AW21)/'Evolutive SFP'!AW27</f>
        <v>7.9702604401750851E-2</v>
      </c>
      <c r="AZ16" s="162">
        <f>('Evolutive SFP'!AX7+'Evolutive SFP'!AX21)/'Evolutive SFP'!AX27</f>
        <v>7.726039992464212E-2</v>
      </c>
      <c r="BA16" s="162">
        <f>('Evolutive SFP'!AY7+'Evolutive SFP'!AY21)/'Evolutive SFP'!AY27</f>
        <v>7.6848169586499301E-2</v>
      </c>
      <c r="BB16" s="162">
        <f>('Evolutive SFP'!AZ7+'Evolutive SFP'!AZ21)/'Evolutive SFP'!AZ27</f>
        <v>7.8004450790518529E-2</v>
      </c>
      <c r="BC16" s="162" t="e">
        <f>('Evolutive SFP'!BA7+'Evolutive SFP'!BA21)/'Evolutive SFP'!BA27</f>
        <v>#DIV/0!</v>
      </c>
      <c r="BD16" s="162" t="e">
        <f>('Evolutive SFP'!BA7+'Evolutive SFP'!BA21)/'Evolutive SFP'!BA27</f>
        <v>#DIV/0!</v>
      </c>
      <c r="BE16" s="162">
        <f>('Evolutive SFP'!BB7+'Evolutive SFP'!BB21)/'Evolutive SFP'!BB27</f>
        <v>7.7018814737010846E-2</v>
      </c>
      <c r="BF16" s="162">
        <f>('Evolutive SFP'!BC7+'Evolutive SFP'!BC21)/'Evolutive SFP'!BC27</f>
        <v>7.7944380441898165E-2</v>
      </c>
      <c r="BG16" s="162">
        <f>('Evolutive SFP'!BD7+'Evolutive SFP'!BD21)/'Evolutive SFP'!BD27</f>
        <v>7.7022478042757372E-2</v>
      </c>
      <c r="BH16" s="162">
        <f>('Evolutive SFP'!BE7+'Evolutive SFP'!BE21)/'Evolutive SFP'!BE27</f>
        <v>7.6900604998343225E-2</v>
      </c>
      <c r="BI16" s="162">
        <f>('Evolutive SFP'!BF7+'Evolutive SFP'!BF21)/'Evolutive SFP'!BF27</f>
        <v>7.3559438255346832E-2</v>
      </c>
      <c r="BJ16" s="162">
        <f>('Evolutive SFP'!BG7+'Evolutive SFP'!BG21)/'Evolutive SFP'!BG27</f>
        <v>7.2414321116379368E-2</v>
      </c>
      <c r="BK16" s="162">
        <f>('Evolutive SFP'!BH7+'Evolutive SFP'!BH21)/'Evolutive SFP'!BH27</f>
        <v>7.2950358911573088E-2</v>
      </c>
      <c r="BL16" s="162">
        <f>('Evolutive SFP'!BI7+'Evolutive SFP'!BI21)/'Evolutive SFP'!BI27</f>
        <v>7.6602742434352264E-2</v>
      </c>
      <c r="BM16" s="162">
        <f>('Evolutive SFP'!BJ7+'Evolutive SFP'!BJ21)/'Evolutive SFP'!BJ27</f>
        <v>7.421320808348443E-2</v>
      </c>
      <c r="BN16" s="162">
        <f>('Evolutive SFP'!BK7+'Evolutive SFP'!BK21)/'Evolutive SFP'!BK27</f>
        <v>7.1382673638801394E-2</v>
      </c>
      <c r="BO16" s="162">
        <f>('Evolutive SFP'!BL7+'Evolutive SFP'!BL21)/'Evolutive SFP'!BL27</f>
        <v>7.0476000446859061E-2</v>
      </c>
      <c r="BP16" s="162">
        <f>('Evolutive SFP'!BM7+'Evolutive SFP'!BM21)/'Evolutive SFP'!BM27</f>
        <v>6.9900879303746527E-2</v>
      </c>
      <c r="BQ16" s="162">
        <f>('Evolutive SFP'!BN7+'Evolutive SFP'!BN21)/'Evolutive SFP'!BN27</f>
        <v>6.8391982271494955E-2</v>
      </c>
      <c r="BR16" s="162">
        <f>('Evolutive SFP'!BO7+'Evolutive SFP'!BO21)/'Evolutive SFP'!BO27</f>
        <v>6.7295678018646096E-2</v>
      </c>
      <c r="BS16" s="162">
        <f>('Evolutive SFP'!BP7+'Evolutive SFP'!BP21)/'Evolutive SFP'!BP27</f>
        <v>6.7187265905522445E-2</v>
      </c>
      <c r="BT16" s="162">
        <f>('Evolutive SFP'!BQ7+'Evolutive SFP'!BQ21)/'Evolutive SFP'!BQ27</f>
        <v>6.6019570984211309E-2</v>
      </c>
      <c r="BU16" s="162">
        <f>('Evolutive SFP'!BR7+'Evolutive SFP'!BR21)/'Evolutive SFP'!BR27</f>
        <v>6.5006213922917444E-2</v>
      </c>
      <c r="BV16" s="162">
        <f>('Evolutive SFP'!BS7+'Evolutive SFP'!BS21)/'Evolutive SFP'!BS27</f>
        <v>6.0714822939257E-2</v>
      </c>
      <c r="BW16" s="162">
        <f>('Evolutive SFP'!BT7+'Evolutive SFP'!BT21)/'Evolutive SFP'!BT27</f>
        <v>6.0348748930970836E-2</v>
      </c>
      <c r="BX16" s="162">
        <f>('Evolutive SFP'!BU7+'Evolutive SFP'!BU21)/'Evolutive SFP'!BU27</f>
        <v>6.2457669403856407E-2</v>
      </c>
      <c r="BY16" s="162">
        <f>('Evolutive SFP'!BV7+'Evolutive SFP'!BV21)/'Evolutive SFP'!BV27</f>
        <v>6.0466764056409564E-2</v>
      </c>
      <c r="BZ16" s="162">
        <f>('Evolutive SFP'!BW7+'Evolutive SFP'!BW21)/'Evolutive SFP'!BW27</f>
        <v>6.1868172789421236E-2</v>
      </c>
      <c r="CA16" s="162">
        <f>('Evolutive SFP'!BX7+'Evolutive SFP'!BX21)/'Evolutive SFP'!BX27</f>
        <v>6.020161525036883E-2</v>
      </c>
      <c r="CB16" s="162">
        <f>('Evolutive SFP'!BY7+'Evolutive SFP'!BY21)/'Evolutive SFP'!BY27</f>
        <v>5.9753797567078153E-2</v>
      </c>
      <c r="CC16" s="162">
        <f>('Evolutive SFP'!BZ7+'Evolutive SFP'!BZ21)/'Evolutive SFP'!BZ27</f>
        <v>5.7833651460596588E-2</v>
      </c>
      <c r="CD16" s="162">
        <f>('Evolutive SFP'!CA7+'Evolutive SFP'!CA21)/'Evolutive SFP'!CA27</f>
        <v>5.7466747718405625E-2</v>
      </c>
      <c r="CE16" s="162">
        <f>('Evolutive SFP'!CB7+'Evolutive SFP'!CB21)/'Evolutive SFP'!CB27</f>
        <v>5.3989283794653918E-2</v>
      </c>
      <c r="CF16" s="162">
        <f>('Evolutive SFP'!CC7+'Evolutive SFP'!CC21)/'Evolutive SFP'!CC27</f>
        <v>5.3309270834220275E-2</v>
      </c>
      <c r="CG16" s="162">
        <f>('Evolutive SFP'!CD7+'Evolutive SFP'!CD21)/'Evolutive SFP'!CD27</f>
        <v>5.3382094625553461E-2</v>
      </c>
      <c r="CH16" s="162">
        <f>('Evolutive SFP'!CE7+'Evolutive SFP'!CE21)/'Evolutive SFP'!CE27</f>
        <v>5.2348378555635039E-2</v>
      </c>
      <c r="CI16" s="162">
        <f>('Evolutive SFP'!CF7+'Evolutive SFP'!CF21)/'Evolutive SFP'!CF27</f>
        <v>5.081917833006197E-2</v>
      </c>
      <c r="CJ16" s="162">
        <f>('Evolutive SFP'!CG7+'Evolutive SFP'!CG21)/'Evolutive SFP'!CG27</f>
        <v>4.7615779962067492E-2</v>
      </c>
      <c r="CK16" s="162">
        <f>('Evolutive SFP'!CH7+'Evolutive SFP'!CH21)/'Evolutive SFP'!CH27</f>
        <v>0.1338127225988085</v>
      </c>
      <c r="CL16" s="162">
        <f>('Evolutive SFP'!CI7+'Evolutive SFP'!CI21)/'Evolutive SFP'!CI27</f>
        <v>4.8578364391914708E-2</v>
      </c>
      <c r="CM16" s="162">
        <f>('Evolutive SFP'!CJ7+'Evolutive SFP'!CJ21)/'Evolutive SFP'!CJ27</f>
        <v>4.8918284268537969E-2</v>
      </c>
      <c r="CN16" s="162">
        <f>('Evolutive SFP'!CK7+'Evolutive SFP'!CK21)/'Evolutive SFP'!CK27</f>
        <v>5.1370764515597335E-2</v>
      </c>
      <c r="CO16" s="162">
        <f>('Evolutive SFP'!CL7+'Evolutive SFP'!CL21)/'Evolutive SFP'!CL27</f>
        <v>4.9874913734955312E-2</v>
      </c>
      <c r="CP16" s="162">
        <f>('Evolutive SFP'!CM7+'Evolutive SFP'!CM21)/'Evolutive SFP'!CM27</f>
        <v>4.8231191916392517E-2</v>
      </c>
      <c r="CQ16" s="162">
        <f>('Evolutive SFP'!CN7+'Evolutive SFP'!CN21)/'Evolutive SFP'!CN27</f>
        <v>4.7530180989190589E-2</v>
      </c>
      <c r="CR16" s="162">
        <f>('Evolutive SFP'!CO7+'Evolutive SFP'!CO21)/'Evolutive SFP'!CO27</f>
        <v>4.7026107576274193E-2</v>
      </c>
      <c r="CS16" s="162">
        <f>('Evolutive SFP'!CP7+'Evolutive SFP'!CP21)/'Evolutive SFP'!CP27</f>
        <v>4.8736517194133501E-2</v>
      </c>
    </row>
    <row r="17" spans="1:97" ht="18.75">
      <c r="A17" s="262"/>
      <c r="B17" s="174" t="s">
        <v>138</v>
      </c>
      <c r="C17" s="175" t="s">
        <v>139</v>
      </c>
      <c r="D17" s="162">
        <f>'Evolutive SFP'!B21/'Evolutive SFP'!B27</f>
        <v>0.18024880328515952</v>
      </c>
      <c r="E17" s="162">
        <f>'Evolutive SFP'!C21/'Evolutive SFP'!C27</f>
        <v>0.17922303693941963</v>
      </c>
      <c r="F17" s="162">
        <f>'Evolutive SFP'!D21/'Evolutive SFP'!D27</f>
        <v>0.138509215755067</v>
      </c>
      <c r="G17" s="162">
        <f>'Evolutive SFP'!E21/'Evolutive SFP'!E27</f>
        <v>0.11848966038230062</v>
      </c>
      <c r="H17" s="162">
        <f>'Evolutive SFP'!F21/'Evolutive SFP'!F27</f>
        <v>0.10905714933687696</v>
      </c>
      <c r="I17" s="162">
        <f>'Evolutive SFP'!G21/'Evolutive SFP'!G27</f>
        <v>0.15683061333258708</v>
      </c>
      <c r="J17" s="162">
        <f>'Evolutive SFP'!H21/'Evolutive SFP'!H27</f>
        <v>0.17372883641202716</v>
      </c>
      <c r="K17" s="162">
        <f>'Evolutive SFP'!I21/'Evolutive SFP'!I27</f>
        <v>0.21512360800713407</v>
      </c>
      <c r="L17" s="162">
        <f>'Evolutive SFP'!J21/'Evolutive SFP'!J27</f>
        <v>0.20170493066442688</v>
      </c>
      <c r="M17" s="162">
        <f>'Evolutive SFP'!K21/'Evolutive SFP'!K27</f>
        <v>0.20589879686118714</v>
      </c>
      <c r="N17" s="162">
        <f>'Evolutive SFP'!L21/'Evolutive SFP'!L27</f>
        <v>0.21907006521352096</v>
      </c>
      <c r="O17" s="162">
        <f>'Evolutive SFP'!M21/'Evolutive SFP'!M27</f>
        <v>0.19539611690099631</v>
      </c>
      <c r="P17" s="162">
        <f>'Evolutive SFP'!N21/'Evolutive SFP'!N27</f>
        <v>0.21820565658338834</v>
      </c>
      <c r="Q17" s="162">
        <f>'Evolutive SFP'!O21/'Evolutive SFP'!O27</f>
        <v>0.17361402963905834</v>
      </c>
      <c r="R17" s="162">
        <f>'Evolutive SFP'!P21/'Evolutive SFP'!P27</f>
        <v>0.21869714141210408</v>
      </c>
      <c r="S17" s="162">
        <f>'Evolutive SFP'!Q21/'Evolutive SFP'!Q27</f>
        <v>0.19787095347936517</v>
      </c>
      <c r="T17" s="162">
        <f>'Evolutive SFP'!R21/'Evolutive SFP'!R27</f>
        <v>0.19457218209882027</v>
      </c>
      <c r="U17" s="162">
        <f>'Evolutive SFP'!S21/'Evolutive SFP'!S27</f>
        <v>0.18556187145004974</v>
      </c>
      <c r="V17" s="162">
        <f>'Evolutive SFP'!T21/'Evolutive SFP'!T27</f>
        <v>0.18791821746773271</v>
      </c>
      <c r="W17" s="162">
        <f>'Evolutive SFP'!U21/'Evolutive SFP'!U27</f>
        <v>0.16368461381843002</v>
      </c>
      <c r="X17" s="162">
        <f>'Evolutive SFP'!V21/'Evolutive SFP'!V27</f>
        <v>0.18563563899575924</v>
      </c>
      <c r="Y17" s="162">
        <f>'Evolutive SFP'!W21/'Evolutive SFP'!W27</f>
        <v>0.18019451706672901</v>
      </c>
      <c r="Z17" s="162">
        <f>'Evolutive SFP'!X21/'Evolutive SFP'!X27</f>
        <v>0.18314874648231844</v>
      </c>
      <c r="AA17" s="162">
        <f>'Evolutive SFP'!Y21/'Evolutive SFP'!Y27</f>
        <v>0.18527838669012489</v>
      </c>
      <c r="AB17" s="162">
        <f>'Evolutive SFP'!Z21/'Evolutive SFP'!Z27</f>
        <v>0.18240818571348966</v>
      </c>
      <c r="AC17" s="162">
        <f>'Evolutive SFP'!AA21/'Evolutive SFP'!AA27</f>
        <v>0.17636318962014694</v>
      </c>
      <c r="AD17" s="162">
        <f>'Evolutive SFP'!AB21/'Evolutive SFP'!AB27</f>
        <v>0.17368885549463176</v>
      </c>
      <c r="AE17" s="162">
        <f>'Evolutive SFP'!AC21/'Evolutive SFP'!AC27</f>
        <v>0.17132060842100491</v>
      </c>
      <c r="AF17" s="162">
        <f>'Evolutive SFP'!AD21/'Evolutive SFP'!AD27</f>
        <v>0.16785549524432597</v>
      </c>
      <c r="AG17" s="162">
        <f>'Evolutive SFP'!AE21/'Evolutive SFP'!AE27</f>
        <v>0.16599094796322073</v>
      </c>
      <c r="AH17" s="162">
        <f>'Evolutive SFP'!AF21/'Evolutive SFP'!AF27</f>
        <v>0.1625013528051375</v>
      </c>
      <c r="AI17" s="162">
        <f>'Evolutive SFP'!AG21/'Evolutive SFP'!AG27</f>
        <v>0.15646874205315903</v>
      </c>
      <c r="AJ17" s="162">
        <f>'Evolutive SFP'!AH21/'Evolutive SFP'!AH27</f>
        <v>0.14223488833302089</v>
      </c>
      <c r="AK17" s="162">
        <f>'Evolutive SFP'!AI21/'Evolutive SFP'!AI27</f>
        <v>9.5265092578660421E-2</v>
      </c>
      <c r="AL17" s="162">
        <f>'Evolutive SFP'!AJ21/'Evolutive SFP'!AJ27</f>
        <v>9.4836089836988283E-2</v>
      </c>
      <c r="AM17" s="162">
        <f>'Evolutive SFP'!AK21/'Evolutive SFP'!AK27</f>
        <v>9.3210835667213762E-2</v>
      </c>
      <c r="AN17" s="162">
        <f>'Evolutive SFP'!AL21/'Evolutive SFP'!AL27</f>
        <v>9.6316237627339762E-2</v>
      </c>
      <c r="AO17" s="162">
        <f>'Evolutive SFP'!AM21/'Evolutive SFP'!AM27</f>
        <v>9.4457638779857633E-2</v>
      </c>
      <c r="AP17" s="162">
        <f>'Evolutive SFP'!AN21/'Evolutive SFP'!AN27</f>
        <v>9.248047269155639E-2</v>
      </c>
      <c r="AQ17" s="162">
        <f>'Evolutive SFP'!AO21/'Evolutive SFP'!AO27</f>
        <v>9.5012551192271616E-2</v>
      </c>
      <c r="AR17" s="162">
        <f>'Evolutive SFP'!AP21/'Evolutive SFP'!AP27</f>
        <v>9.0936624886928441E-2</v>
      </c>
      <c r="AS17" s="162">
        <f>'Evolutive SFP'!AQ21/'Evolutive SFP'!AQ27</f>
        <v>9.0428671095043045E-2</v>
      </c>
      <c r="AT17" s="162">
        <f>'Evolutive SFP'!AR21/'Evolutive SFP'!AR27</f>
        <v>8.9288871230129574E-2</v>
      </c>
      <c r="AU17" s="162">
        <f>'Evolutive SFP'!AS21/'Evolutive SFP'!AS27</f>
        <v>8.8283251097737034E-2</v>
      </c>
      <c r="AV17" s="162">
        <f>'Evolutive SFP'!AT21/'Evolutive SFP'!AT27</f>
        <v>8.0086951500666276E-2</v>
      </c>
      <c r="AW17" s="162">
        <f>'Evolutive SFP'!AU21/'Evolutive SFP'!AU27</f>
        <v>6.4388145546280945E-2</v>
      </c>
      <c r="AX17" s="162">
        <f>'Evolutive SFP'!AV21/'Evolutive SFP'!AV27</f>
        <v>7.8092345458663837E-2</v>
      </c>
      <c r="AY17" s="162">
        <f>'Evolutive SFP'!AW21/'Evolutive SFP'!AW27</f>
        <v>7.9702604401750851E-2</v>
      </c>
      <c r="AZ17" s="162">
        <f>'Evolutive SFP'!AX21/'Evolutive SFP'!AX27</f>
        <v>7.726039992464212E-2</v>
      </c>
      <c r="BA17" s="162">
        <f>'Evolutive SFP'!AY21/'Evolutive SFP'!AY27</f>
        <v>7.6848169586499301E-2</v>
      </c>
      <c r="BB17" s="162">
        <f>'Evolutive SFP'!AZ21/'Evolutive SFP'!AZ27</f>
        <v>7.8004450790518529E-2</v>
      </c>
      <c r="BC17" s="162">
        <f>'Evolutive SFP'!AZ21/'Evolutive SFP'!AZ27</f>
        <v>7.8004450790518529E-2</v>
      </c>
      <c r="BD17" s="162" t="e">
        <f>'Evolutive SFP'!BA21/'Evolutive SFP'!BA27</f>
        <v>#DIV/0!</v>
      </c>
      <c r="BE17" s="162">
        <f>'Evolutive SFP'!BB21/'Evolutive SFP'!BB27</f>
        <v>7.7018814737010846E-2</v>
      </c>
      <c r="BF17" s="162">
        <f>'Evolutive SFP'!BC21/'Evolutive SFP'!BC27</f>
        <v>7.7944380441898165E-2</v>
      </c>
      <c r="BG17" s="162">
        <f>'Evolutive SFP'!BD21/'Evolutive SFP'!BD27</f>
        <v>7.7022478042757372E-2</v>
      </c>
      <c r="BH17" s="162">
        <f>'Evolutive SFP'!BE21/'Evolutive SFP'!BE27</f>
        <v>7.6900604998343225E-2</v>
      </c>
      <c r="BI17" s="162">
        <f>'Evolutive SFP'!BF21/'Evolutive SFP'!BF27</f>
        <v>7.3559438255346832E-2</v>
      </c>
      <c r="BJ17" s="162">
        <f>'Evolutive SFP'!BG21/'Evolutive SFP'!BG27</f>
        <v>5.7892927239172831E-2</v>
      </c>
      <c r="BK17" s="162">
        <f>'Evolutive SFP'!BH21/'Evolutive SFP'!BH27</f>
        <v>7.2950358911573088E-2</v>
      </c>
      <c r="BL17" s="162">
        <f>'Evolutive SFP'!BI21/'Evolutive SFP'!BI27</f>
        <v>7.6602742434352264E-2</v>
      </c>
      <c r="BM17" s="162">
        <f>'Evolutive SFP'!BJ21/'Evolutive SFP'!BJ27</f>
        <v>7.421320808348443E-2</v>
      </c>
      <c r="BN17" s="162">
        <f>'Evolutive SFP'!BK21/'Evolutive SFP'!BK27</f>
        <v>7.1382673638801394E-2</v>
      </c>
      <c r="BO17" s="162">
        <f>'Evolutive SFP'!BL21/'Evolutive SFP'!BL27</f>
        <v>7.0476000446859061E-2</v>
      </c>
      <c r="BP17" s="162">
        <f>'Evolutive SFP'!BM21/'Evolutive SFP'!BM27</f>
        <v>6.9900879303746527E-2</v>
      </c>
      <c r="BQ17" s="162">
        <f>'Evolutive SFP'!BN21/'Evolutive SFP'!BN27</f>
        <v>6.8391982271494955E-2</v>
      </c>
      <c r="BR17" s="162">
        <f>'Evolutive SFP'!BO21/'Evolutive SFP'!BO27</f>
        <v>6.7295678018646096E-2</v>
      </c>
      <c r="BS17" s="162">
        <f>'Evolutive SFP'!BP21/'Evolutive SFP'!BP27</f>
        <v>6.7187265905522445E-2</v>
      </c>
      <c r="BT17" s="162">
        <f>'Evolutive SFP'!BQ21/'Evolutive SFP'!BQ27</f>
        <v>6.6019570984211309E-2</v>
      </c>
      <c r="BU17" s="162">
        <f>'Evolutive SFP'!BR21/'Evolutive SFP'!BR27</f>
        <v>6.5006213922917444E-2</v>
      </c>
      <c r="BV17" s="162">
        <f>'Evolutive SFP'!BS21/'Evolutive SFP'!BS27</f>
        <v>6.0714822939257E-2</v>
      </c>
      <c r="BW17" s="162">
        <f>'Evolutive SFP'!BT21/'Evolutive SFP'!BT27</f>
        <v>4.9117175650532759E-2</v>
      </c>
      <c r="BX17" s="162">
        <f>'Evolutive SFP'!BU21/'Evolutive SFP'!BU27</f>
        <v>6.2457669403856407E-2</v>
      </c>
      <c r="BY17" s="162">
        <f>'Evolutive SFP'!BV21/'Evolutive SFP'!BV27</f>
        <v>6.0466764056409564E-2</v>
      </c>
      <c r="BZ17" s="162">
        <f>'Evolutive SFP'!BW21/'Evolutive SFP'!BW27</f>
        <v>6.1868172789421236E-2</v>
      </c>
      <c r="CA17" s="162">
        <f>'Evolutive SFP'!BX21/'Evolutive SFP'!BX27</f>
        <v>6.020161525036883E-2</v>
      </c>
      <c r="CB17" s="162">
        <f>'Evolutive SFP'!BY21/'Evolutive SFP'!BY27</f>
        <v>5.9753797567078153E-2</v>
      </c>
      <c r="CC17" s="162">
        <f>'Evolutive SFP'!BZ21/'Evolutive SFP'!BZ27</f>
        <v>5.7833651460596588E-2</v>
      </c>
      <c r="CD17" s="162">
        <f>'Evolutive SFP'!CA21/'Evolutive SFP'!CA27</f>
        <v>5.7466747718405625E-2</v>
      </c>
      <c r="CE17" s="162">
        <f>'Evolutive SFP'!CB21/'Evolutive SFP'!CB27</f>
        <v>5.3989283794653918E-2</v>
      </c>
      <c r="CF17" s="162">
        <f>'Evolutive SFP'!CC21/'Evolutive SFP'!CC27</f>
        <v>5.3309270834220275E-2</v>
      </c>
      <c r="CG17" s="162">
        <f>'Evolutive SFP'!CD21/'Evolutive SFP'!CD27</f>
        <v>5.3382094625553461E-2</v>
      </c>
      <c r="CH17" s="162">
        <f>'Evolutive SFP'!CE21/'Evolutive SFP'!CE27</f>
        <v>5.2348378555635039E-2</v>
      </c>
      <c r="CI17" s="162">
        <f>'Evolutive SFP'!CF21/'Evolutive SFP'!CF27</f>
        <v>5.081917833006197E-2</v>
      </c>
      <c r="CJ17" s="162">
        <f>'Evolutive SFP'!CG21/'Evolutive SFP'!CG27</f>
        <v>4.6063040416454711E-2</v>
      </c>
      <c r="CK17" s="162">
        <f>'Evolutive SFP'!CH21/'Evolutive SFP'!CH27</f>
        <v>0.1338127225988085</v>
      </c>
      <c r="CL17" s="162">
        <f>'Evolutive SFP'!CI21/'Evolutive SFP'!CI27</f>
        <v>4.8578364391914708E-2</v>
      </c>
      <c r="CM17" s="162">
        <f>'Evolutive SFP'!CJ21/'Evolutive SFP'!CJ27</f>
        <v>4.8918284268537969E-2</v>
      </c>
      <c r="CN17" s="162">
        <f>'Evolutive SFP'!CK21/'Evolutive SFP'!CK27</f>
        <v>5.1370764515597335E-2</v>
      </c>
      <c r="CO17" s="162">
        <f>'Evolutive SFP'!CL21/'Evolutive SFP'!CL27</f>
        <v>4.9874913734955312E-2</v>
      </c>
      <c r="CP17" s="162">
        <f>'Evolutive SFP'!CM21/'Evolutive SFP'!CM27</f>
        <v>4.8231191916392517E-2</v>
      </c>
      <c r="CQ17" s="162">
        <f>'Evolutive SFP'!CN21/'Evolutive SFP'!CN27</f>
        <v>4.7530180989190589E-2</v>
      </c>
      <c r="CR17" s="162">
        <f>'Evolutive SFP'!CO21/'Evolutive SFP'!CO27</f>
        <v>4.7026107576274193E-2</v>
      </c>
      <c r="CS17" s="162">
        <f>'Evolutive SFP'!CP21/'Evolutive SFP'!CP27</f>
        <v>4.8736517194133501E-2</v>
      </c>
    </row>
    <row r="18" spans="1:97" ht="18.75">
      <c r="A18" s="262"/>
      <c r="B18" s="174" t="s">
        <v>140</v>
      </c>
      <c r="C18" s="175" t="s">
        <v>139</v>
      </c>
      <c r="D18" s="162">
        <f>'Evolutive SFP'!B13/'Evolutive SFP'!B31</f>
        <v>0</v>
      </c>
      <c r="E18" s="162">
        <f>'Evolutive SFP'!C13/'Evolutive SFP'!C31</f>
        <v>3.9731495992176E-2</v>
      </c>
      <c r="F18" s="162">
        <f>'Evolutive SFP'!D13/'Evolutive SFP'!D31</f>
        <v>3.5478749259125426E-2</v>
      </c>
      <c r="G18" s="162">
        <f>'Evolutive SFP'!E13/'Evolutive SFP'!E31</f>
        <v>3.5220652212841791E-2</v>
      </c>
      <c r="H18" s="162">
        <f>'Evolutive SFP'!F13/'Evolutive SFP'!F31</f>
        <v>4.5259943348185533E-2</v>
      </c>
      <c r="I18" s="162">
        <f>'Evolutive SFP'!G13/'Evolutive SFP'!G31</f>
        <v>4.277226203422501E-2</v>
      </c>
      <c r="J18" s="162">
        <f>'Evolutive SFP'!H13/'Evolutive SFP'!H31</f>
        <v>5.8155934634898022E-2</v>
      </c>
      <c r="K18" s="162">
        <f>'Evolutive SFP'!I13/'Evolutive SFP'!I31</f>
        <v>6.0756404318639233E-2</v>
      </c>
      <c r="L18" s="162">
        <f>'Evolutive SFP'!J13/'Evolutive SFP'!J31</f>
        <v>5.889146622614061E-2</v>
      </c>
      <c r="M18" s="162">
        <f>'Evolutive SFP'!K13/'Evolutive SFP'!K31</f>
        <v>5.6393533009830833E-2</v>
      </c>
      <c r="N18" s="162">
        <f>'Evolutive SFP'!L13/'Evolutive SFP'!L31</f>
        <v>5.9612865523341593E-2</v>
      </c>
      <c r="O18" s="162">
        <f>'Evolutive SFP'!M13/'Evolutive SFP'!M31</f>
        <v>5.9246674804315988E-2</v>
      </c>
      <c r="P18" s="162">
        <f>'Evolutive SFP'!N13/'Evolutive SFP'!N31</f>
        <v>5.9758784848418817E-2</v>
      </c>
      <c r="Q18" s="162">
        <f>'Evolutive SFP'!O13/'Evolutive SFP'!O31</f>
        <v>6.1107525544132422E-2</v>
      </c>
      <c r="R18" s="162">
        <f>'Evolutive SFP'!P13/'Evolutive SFP'!P31</f>
        <v>5.9443630898447716E-2</v>
      </c>
      <c r="S18" s="162">
        <f>'Evolutive SFP'!Q13/'Evolutive SFP'!Q31</f>
        <v>6.0712297172866428E-2</v>
      </c>
      <c r="T18" s="162">
        <f>'Evolutive SFP'!R13/'Evolutive SFP'!R31</f>
        <v>5.9489425492425745E-2</v>
      </c>
      <c r="U18" s="162">
        <f>'Evolutive SFP'!S13/'Evolutive SFP'!S31</f>
        <v>5.8324197324499401E-2</v>
      </c>
      <c r="V18" s="162">
        <f>'Evolutive SFP'!T13/'Evolutive SFP'!T31</f>
        <v>5.6898376541846547E-2</v>
      </c>
      <c r="W18" s="162">
        <f>'Evolutive SFP'!U13/'Evolutive SFP'!U31</f>
        <v>5.6898376420560663E-2</v>
      </c>
      <c r="X18" s="162">
        <f>'Evolutive SFP'!V13/'Evolutive SFP'!V31</f>
        <v>5.6679042057525053E-2</v>
      </c>
      <c r="Y18" s="162">
        <f>'Evolutive SFP'!W13/'Evolutive SFP'!W31</f>
        <v>5.599634157924057E-2</v>
      </c>
      <c r="Z18" s="162">
        <f>'Evolutive SFP'!X13/'Evolutive SFP'!X31</f>
        <v>5.2970973252578747E-2</v>
      </c>
      <c r="AA18" s="162">
        <f>'Evolutive SFP'!Y13/'Evolutive SFP'!Y31</f>
        <v>5.4699786103406582E-2</v>
      </c>
      <c r="AB18" s="162">
        <f>'Evolutive SFP'!Z13/'Evolutive SFP'!Z31</f>
        <v>5.4565956779102989E-2</v>
      </c>
      <c r="AC18" s="162">
        <f>'Evolutive SFP'!AA13/'Evolutive SFP'!AA31</f>
        <v>5.4245744117244955E-2</v>
      </c>
      <c r="AD18" s="162">
        <f>'Evolutive SFP'!AB13/'Evolutive SFP'!AB31</f>
        <v>5.4061449737685646E-2</v>
      </c>
      <c r="AE18" s="162">
        <f>'Evolutive SFP'!AC13/'Evolutive SFP'!AC31</f>
        <v>5.4212850386530523E-2</v>
      </c>
      <c r="AF18" s="162">
        <f>'Evolutive SFP'!AD13/'Evolutive SFP'!AD31</f>
        <v>5.3850277044999451E-2</v>
      </c>
      <c r="AG18" s="162">
        <f>'Evolutive SFP'!AE13/'Evolutive SFP'!AE31</f>
        <v>5.4462596403607316E-2</v>
      </c>
      <c r="AH18" s="162">
        <f>'Evolutive SFP'!AF13/'Evolutive SFP'!AF31</f>
        <v>5.4386851863617927E-2</v>
      </c>
      <c r="AI18" s="162">
        <f>'Evolutive SFP'!AG13/'Evolutive SFP'!AG31</f>
        <v>5.5156834422629669E-2</v>
      </c>
      <c r="AJ18" s="162">
        <f>'Evolutive SFP'!AH13/'Evolutive SFP'!AH31</f>
        <v>5.5156834422629669E-2</v>
      </c>
      <c r="AK18" s="162">
        <f>'Evolutive SFP'!AI13/'Evolutive SFP'!AI31</f>
        <v>5.5043156410775403E-2</v>
      </c>
      <c r="AL18" s="162">
        <f>'Evolutive SFP'!AJ13/'Evolutive SFP'!AJ31</f>
        <v>5.5778785738496615E-2</v>
      </c>
      <c r="AM18" s="162">
        <f>'Evolutive SFP'!AK13/'Evolutive SFP'!AK31</f>
        <v>5.3839261737140869E-2</v>
      </c>
      <c r="AN18" s="162">
        <f>'Evolutive SFP'!AL13/'Evolutive SFP'!AL31</f>
        <v>5.595932532214988E-2</v>
      </c>
      <c r="AO18" s="162">
        <f>'Evolutive SFP'!AM13/'Evolutive SFP'!AM31</f>
        <v>5.5910563649866733E-2</v>
      </c>
      <c r="AP18" s="162">
        <f>'Evolutive SFP'!AN13/'Evolutive SFP'!AN31</f>
        <v>5.6117175245697953E-2</v>
      </c>
      <c r="AQ18" s="162">
        <f>'Evolutive SFP'!AO13/'Evolutive SFP'!AO31</f>
        <v>5.7101950585954867E-2</v>
      </c>
      <c r="AR18" s="162">
        <f>'Evolutive SFP'!AP13/'Evolutive SFP'!AP31</f>
        <v>5.6181483362946386E-2</v>
      </c>
      <c r="AS18" s="162">
        <f>'Evolutive SFP'!AQ13/'Evolutive SFP'!AQ31</f>
        <v>5.607752207204076E-2</v>
      </c>
      <c r="AT18" s="162">
        <f>'Evolutive SFP'!AR13/'Evolutive SFP'!AR31</f>
        <v>5.5844052768219639E-2</v>
      </c>
      <c r="AU18" s="162">
        <f>'Evolutive SFP'!AS13/'Evolutive SFP'!AS31</f>
        <v>5.6334361546447463E-2</v>
      </c>
      <c r="AV18" s="162">
        <f>'Evolutive SFP'!AT13/'Evolutive SFP'!AT31</f>
        <v>5.6650755881543023E-2</v>
      </c>
      <c r="AW18" s="162">
        <f>'Evolutive SFP'!AU13/'Evolutive SFP'!AU31</f>
        <v>2.9017998654965897E-4</v>
      </c>
      <c r="AX18" s="162">
        <f>'Evolutive SFP'!AV13/'Evolutive SFP'!AV31</f>
        <v>5.6166684907992939E-2</v>
      </c>
      <c r="AY18" s="162">
        <f>'Evolutive SFP'!AW13/'Evolutive SFP'!AW31</f>
        <v>5.4836664870145019E-2</v>
      </c>
      <c r="AZ18" s="162">
        <f>'Evolutive SFP'!AX13/'Evolutive SFP'!AX31</f>
        <v>5.4321392294807654E-2</v>
      </c>
      <c r="BA18" s="162">
        <f>'Evolutive SFP'!AX13/'Evolutive SFP'!AX31</f>
        <v>5.4321392294807654E-2</v>
      </c>
      <c r="BB18" s="162">
        <f>'Evolutive SFP'!AY13/'Evolutive SFP'!AY31</f>
        <v>5.4891345897786235E-2</v>
      </c>
      <c r="BC18" s="162">
        <f>'Evolutive SFP'!AZ13/'Evolutive SFP'!AZ31</f>
        <v>5.6417360163034232E-2</v>
      </c>
      <c r="BD18" s="162" t="e">
        <f>'Evolutive SFP'!BA13/'Evolutive SFP'!BA31</f>
        <v>#DIV/0!</v>
      </c>
      <c r="BE18" s="162">
        <f>'Evolutive SFP'!BB13/'Evolutive SFP'!BB31</f>
        <v>5.6707746827686679E-2</v>
      </c>
      <c r="BF18" s="162">
        <f>'Evolutive SFP'!BC13/'Evolutive SFP'!BC31</f>
        <v>5.8163931080708435E-2</v>
      </c>
      <c r="BG18" s="162">
        <f>'Evolutive SFP'!BD13/'Evolutive SFP'!BD31</f>
        <v>5.8097380570502587E-2</v>
      </c>
      <c r="BH18" s="162">
        <f>'Evolutive SFP'!BE13/'Evolutive SFP'!BE31</f>
        <v>5.8627237722372959E-2</v>
      </c>
      <c r="BI18" s="162">
        <f>'Evolutive SFP'!BF13/'Evolutive SFP'!BF31</f>
        <v>6.9353975342649657E-2</v>
      </c>
      <c r="BJ18" s="162">
        <f>'Evolutive SFP'!BG13/'Evolutive SFP'!BG31</f>
        <v>0</v>
      </c>
      <c r="BK18" s="162">
        <f>'Evolutive SFP'!BH13/'Evolutive SFP'!BH31</f>
        <v>6.9608383682446193E-2</v>
      </c>
      <c r="BL18" s="162">
        <f>'Evolutive SFP'!BI13/'Evolutive SFP'!BI31</f>
        <v>6.7621316916625623E-2</v>
      </c>
      <c r="BM18" s="162">
        <f>'Evolutive SFP'!BJ13/'Evolutive SFP'!BJ31</f>
        <v>6.808498238433143E-2</v>
      </c>
      <c r="BN18" s="162">
        <f>'Evolutive SFP'!BK13/'Evolutive SFP'!BK31</f>
        <v>6.8909844242820775E-2</v>
      </c>
      <c r="BO18" s="162">
        <f>'Evolutive SFP'!BL13/'Evolutive SFP'!BL31</f>
        <v>6.9244299961707334E-2</v>
      </c>
      <c r="BP18" s="162">
        <f>'Evolutive SFP'!BM13/'Evolutive SFP'!BM31</f>
        <v>6.9570569944178179E-2</v>
      </c>
      <c r="BQ18" s="162">
        <f>'Evolutive SFP'!BN13/'Evolutive SFP'!BN31</f>
        <v>6.8288630962996769E-2</v>
      </c>
      <c r="BR18" s="162">
        <f>'Evolutive SFP'!BO13/'Evolutive SFP'!BO31</f>
        <v>6.865705260823747E-2</v>
      </c>
      <c r="BS18" s="162">
        <f>'Evolutive SFP'!BP13/'Evolutive SFP'!BP31</f>
        <v>6.9267638524046826E-2</v>
      </c>
      <c r="BT18" s="162">
        <f>'Evolutive SFP'!BQ13/'Evolutive SFP'!BQ31</f>
        <v>6.8819493728516312E-2</v>
      </c>
      <c r="BU18" s="162">
        <f>'Evolutive SFP'!BR13/'Evolutive SFP'!BR31</f>
        <v>6.8177130552397977E-2</v>
      </c>
      <c r="BV18" s="162">
        <f>'Evolutive SFP'!BS13/'Evolutive SFP'!BS31</f>
        <v>6.3045882269827505E-2</v>
      </c>
      <c r="BW18" s="162">
        <f>'Evolutive SFP'!BT13/'Evolutive SFP'!BT31</f>
        <v>2.0061813144166182E-4</v>
      </c>
      <c r="BX18" s="162">
        <f>'Evolutive SFP'!BU13/'Evolutive SFP'!BU31</f>
        <v>6.5709794311785252E-2</v>
      </c>
      <c r="BY18" s="162">
        <f>'Evolutive SFP'!BV13/'Evolutive SFP'!BV31</f>
        <v>6.2188682039335558E-2</v>
      </c>
      <c r="BZ18" s="162">
        <f>'Evolutive SFP'!BW13/'Evolutive SFP'!BW31</f>
        <v>6.5071957473260597E-2</v>
      </c>
      <c r="CA18" s="162">
        <f>'Evolutive SFP'!BX13/'Evolutive SFP'!BX31</f>
        <v>6.5327718741894997E-2</v>
      </c>
      <c r="CB18" s="162">
        <f>'Evolutive SFP'!BY13/'Evolutive SFP'!BY31</f>
        <v>6.5769677782801642E-2</v>
      </c>
      <c r="CC18" s="162">
        <f>'Evolutive SFP'!BZ13/'Evolutive SFP'!BZ31</f>
        <v>6.6664156198139854E-2</v>
      </c>
      <c r="CD18" s="162">
        <f>'Evolutive SFP'!CA13/'Evolutive SFP'!CA31</f>
        <v>6.5864928036749107E-2</v>
      </c>
      <c r="CE18" s="162">
        <f>'Evolutive SFP'!CB13/'Evolutive SFP'!CB31</f>
        <v>6.703669646721952E-2</v>
      </c>
      <c r="CF18" s="162">
        <f>'Evolutive SFP'!CC13/'Evolutive SFP'!CC31</f>
        <v>6.7408032164728765E-2</v>
      </c>
      <c r="CG18" s="162">
        <f>'Evolutive SFP'!CD13/'Evolutive SFP'!CD31</f>
        <v>6.7691840554718774E-2</v>
      </c>
      <c r="CH18" s="162">
        <f>'Evolutive SFP'!CE13/'Evolutive SFP'!CE31</f>
        <v>6.7970628465901684E-2</v>
      </c>
      <c r="CI18" s="162">
        <f>'Evolutive SFP'!CF13/'Evolutive SFP'!CF31</f>
        <v>6.9489225097839474E-2</v>
      </c>
      <c r="CJ18" s="162">
        <f>'Evolutive SFP'!CG13/'Evolutive SFP'!CG31</f>
        <v>7.7652491429843699E-4</v>
      </c>
      <c r="CK18" s="162">
        <f>'Evolutive SFP'!CH13/'Evolutive SFP'!CH31</f>
        <v>0</v>
      </c>
      <c r="CL18" s="162">
        <f>'Evolutive SFP'!CI13/'Evolutive SFP'!CI31</f>
        <v>0</v>
      </c>
      <c r="CM18" s="162">
        <f>'Evolutive SFP'!CJ13/'Evolutive SFP'!CJ31</f>
        <v>0</v>
      </c>
      <c r="CN18" s="162">
        <f>'Evolutive SFP'!CK13/'Evolutive SFP'!CK31</f>
        <v>0</v>
      </c>
      <c r="CO18" s="162">
        <f>'Evolutive SFP'!CL13/'Evolutive SFP'!CL31</f>
        <v>0</v>
      </c>
      <c r="CP18" s="162">
        <f>'Evolutive SFP'!CM13/'Evolutive SFP'!CM31</f>
        <v>0</v>
      </c>
      <c r="CQ18" s="162">
        <f>'Evolutive SFP'!CN13/'Evolutive SFP'!CN31</f>
        <v>0</v>
      </c>
      <c r="CR18" s="162">
        <f>'Evolutive SFP'!CO13/'Evolutive SFP'!CO31</f>
        <v>0</v>
      </c>
      <c r="CS18" s="162">
        <f>'Evolutive SFP'!CP13/'Evolutive SFP'!CP31</f>
        <v>0</v>
      </c>
    </row>
    <row r="19" spans="1:97" ht="36.75">
      <c r="A19" s="262"/>
      <c r="B19" s="184" t="s">
        <v>141</v>
      </c>
      <c r="C19" s="185" t="s">
        <v>142</v>
      </c>
      <c r="D19" s="162">
        <f>'Evolutive SFP'!B13/(CAELS!D3*1000000)</f>
        <v>0</v>
      </c>
      <c r="E19" s="162">
        <f>'Evolutive SFP'!C13/(CAELS!E3*1000000)</f>
        <v>0.13631898274806276</v>
      </c>
      <c r="F19" s="162">
        <f>'Evolutive SFP'!D13/(CAELS!F3*1000000)</f>
        <v>0.12339101592567141</v>
      </c>
      <c r="G19" s="162">
        <f>'Evolutive SFP'!E13/(CAELS!G3*1000000)</f>
        <v>0.10254752195409592</v>
      </c>
      <c r="H19" s="162">
        <f>'Evolutive SFP'!F13/(CAELS!H3*1000000)</f>
        <v>9.9298472709890465E-2</v>
      </c>
      <c r="I19" s="162">
        <f>'Evolutive SFP'!G13/(CAELS!I3*1000000)</f>
        <v>9.0474820529748534E-2</v>
      </c>
      <c r="J19" s="162">
        <f>'Evolutive SFP'!H13/(CAELS!J3*1000000)</f>
        <v>0.13457400909094064</v>
      </c>
      <c r="K19" s="162">
        <f>'Evolutive SFP'!I13/(CAELS!K3*1000000)</f>
        <v>0.13103027758975161</v>
      </c>
      <c r="L19" s="162">
        <f>'Evolutive SFP'!J13/(CAELS!L3*1000000)</f>
        <v>0.1339215087167461</v>
      </c>
      <c r="M19" s="162">
        <f>'Evolutive SFP'!K13/(CAELS!M3*1000000)</f>
        <v>0.13509591126516957</v>
      </c>
      <c r="N19" s="162">
        <f>'Evolutive SFP'!L13/(CAELS!N3*1000000)</f>
        <v>0.13706709323628505</v>
      </c>
      <c r="O19" s="162">
        <f>'Evolutive SFP'!M13/(CAELS!O3*1000000)</f>
        <v>0.13637141336504222</v>
      </c>
      <c r="P19" s="162">
        <f>'Evolutive SFP'!N13/(CAELS!P3*1000000)</f>
        <v>0.13017873843416289</v>
      </c>
      <c r="Q19" s="162">
        <f>'Evolutive SFP'!O13/(CAELS!Q3*1000000)</f>
        <v>0.13295252224143742</v>
      </c>
      <c r="R19" s="162">
        <f>'Evolutive SFP'!P13/(CAELS!R3*1000000)</f>
        <v>0.12817029677822903</v>
      </c>
      <c r="S19" s="162">
        <f>'Evolutive SFP'!Q13/(CAELS!S3*1000000)</f>
        <v>0.12415925670934971</v>
      </c>
      <c r="T19" s="162">
        <f>'Evolutive SFP'!R13/(CAELS!T3*1000000)</f>
        <v>0.12238121870175538</v>
      </c>
      <c r="U19" s="162">
        <f>'Evolutive SFP'!S13/(CAELS!U3*1000000)</f>
        <v>0.11902894107838662</v>
      </c>
      <c r="V19" s="162">
        <f>'Evolutive SFP'!T13/(CAELS!V3*1000000)</f>
        <v>0.13390313012476329</v>
      </c>
      <c r="W19" s="162">
        <f>'Evolutive SFP'!U13/(CAELS!W3*1000000)</f>
        <v>0.13643410881179954</v>
      </c>
      <c r="X19" s="162">
        <f>'Evolutive SFP'!V13/(CAELS!X3*1000000)</f>
        <v>0.13618307494978091</v>
      </c>
      <c r="Y19" s="162">
        <f>'Evolutive SFP'!W13/(CAELS!Y3*1000000)</f>
        <v>0.13366161304266977</v>
      </c>
      <c r="Z19" s="162">
        <f>'Evolutive SFP'!X13/(CAELS!Z3*1000000)</f>
        <v>0.13278218950267959</v>
      </c>
      <c r="AA19" s="162">
        <f>'Evolutive SFP'!Y13/(CAELS!AA3*1000000)</f>
        <v>0.13348342239713945</v>
      </c>
      <c r="AB19" s="162">
        <f>'Evolutive SFP'!Z13/(CAELS!AB3*1000000)</f>
        <v>0.13163906501953809</v>
      </c>
      <c r="AC19" s="162">
        <f>'Evolutive SFP'!AA13/(CAELS!AC3*1000000)</f>
        <v>0.12426672342552304</v>
      </c>
      <c r="AD19" s="162">
        <f>'Evolutive SFP'!AB13/(CAELS!AD3*1000000)</f>
        <v>0.12383927646338166</v>
      </c>
      <c r="AE19" s="162">
        <f>'Evolutive SFP'!AC13/(CAELS!AE3*1000000)</f>
        <v>0.1221671075378697</v>
      </c>
      <c r="AF19" s="162">
        <f>'Evolutive SFP'!AD13/(CAELS!AF3*1000000)</f>
        <v>0.12126416399919539</v>
      </c>
      <c r="AG19" s="162">
        <f>'Evolutive SFP'!AE13/(CAELS!AG3*1000000)</f>
        <v>0.11884232984822093</v>
      </c>
      <c r="AH19" s="162">
        <f>'Evolutive SFP'!AF13/(CAELS!AH3*1000000)</f>
        <v>0.116326530014152</v>
      </c>
      <c r="AI19" s="162">
        <f>'Evolutive SFP'!AG13/(CAELS!AI3*1000000)</f>
        <v>0.12445030228795129</v>
      </c>
      <c r="AJ19" s="162">
        <f>'Evolutive SFP'!AH13/(CAELS!AJ3*1000000)</f>
        <v>0.124464486439991</v>
      </c>
      <c r="AK19" s="162">
        <f>'Evolutive SFP'!AI13/(CAELS!AK3*1000000)</f>
        <v>0.12309660983192483</v>
      </c>
      <c r="AL19" s="162">
        <f>'Evolutive SFP'!AJ13/(CAELS!AL3*1000000)</f>
        <v>0.12227137486455722</v>
      </c>
      <c r="AM19" s="162">
        <f>'Evolutive SFP'!AK13/(CAELS!AM3*1000000)</f>
        <v>0.12172293209643217</v>
      </c>
      <c r="AN19" s="162">
        <f>'Evolutive SFP'!AL13/(CAELS!AN3*1000000)</f>
        <v>0.12283291036245668</v>
      </c>
      <c r="AO19" s="162">
        <f>'Evolutive SFP'!AM13/(CAELS!AO3*1000000)</f>
        <v>0.11863386100544082</v>
      </c>
      <c r="AP19" s="162">
        <f>'Evolutive SFP'!AN13/(CAELS!AP3*1000000)</f>
        <v>0.11317804573263791</v>
      </c>
      <c r="AQ19" s="162">
        <f>'Evolutive SFP'!AO13/(CAELS!AQ3*1000000)</f>
        <v>0.11239048548498451</v>
      </c>
      <c r="AR19" s="162">
        <f>'Evolutive SFP'!AP13/(CAELS!AR3*1000000)</f>
        <v>0.11347076438572154</v>
      </c>
      <c r="AS19" s="162">
        <f>'Evolutive SFP'!AQ13/(CAELS!AS3*1000000)</f>
        <v>0.11347981344728723</v>
      </c>
      <c r="AT19" s="162">
        <f>'Evolutive SFP'!AR13/(CAELS!AT3*1000000)</f>
        <v>0.11325324648489045</v>
      </c>
      <c r="AU19" s="162">
        <f>'Evolutive SFP'!AS13/(CAELS!AU3*1000000)</f>
        <v>0.11639570853384178</v>
      </c>
      <c r="AV19" s="162">
        <f>'Evolutive SFP'!AT13/(CAELS!AV3*1000000)</f>
        <v>0.12115152441605022</v>
      </c>
      <c r="AW19" s="162">
        <f>'Evolutive SFP'!AU13/(CAELS!AW3*1000000)</f>
        <v>6.2273833697470743E-4</v>
      </c>
      <c r="AX19" s="162">
        <f>'Evolutive SFP'!AV13/(CAELS!AX3*1000000)</f>
        <v>0.11887389417920828</v>
      </c>
      <c r="AY19" s="162">
        <f>'Evolutive SFP'!AW13/(CAELS!AY3*1000000)</f>
        <v>0.11852223908493492</v>
      </c>
      <c r="AZ19" s="162">
        <f>'Evolutive SFP'!AX13/(CAELS!AZ3*1000000)</f>
        <v>0.1200485905184157</v>
      </c>
      <c r="BA19" s="162">
        <f>'Evolutive SFP'!AX13/(CAELS!BA3*1000000)</f>
        <v>0.11490345992354871</v>
      </c>
      <c r="BB19" s="162">
        <f>'Evolutive SFP'!AY13/(CAELS!BB3*1000000)</f>
        <v>0.11785308697968533</v>
      </c>
      <c r="BC19" s="162">
        <f>'Evolutive SFP'!AZ13/(CAELS!BC3*1000000)</f>
        <v>0.11921361979768764</v>
      </c>
      <c r="BD19" s="162" t="e">
        <f>'Evolutive SFP'!BA13/(CAELS!BD3*1000000)</f>
        <v>#DIV/0!</v>
      </c>
      <c r="BE19" s="162">
        <f>'Evolutive SFP'!BB13/(CAELS!BE3*1000000)</f>
        <v>0.12102389685363726</v>
      </c>
      <c r="BF19" s="162">
        <f>'Evolutive SFP'!BC13/(CAELS!BF3*1000000)</f>
        <v>0.12193193853895619</v>
      </c>
      <c r="BG19" s="162">
        <f>'Evolutive SFP'!BD13/(CAELS!BG3*1000000)</f>
        <v>0.1230238153091887</v>
      </c>
      <c r="BH19" s="162">
        <f>'Evolutive SFP'!BE13/(CAELS!BH3*1000000)</f>
        <v>0.1247031286875013</v>
      </c>
      <c r="BI19" s="162">
        <f>'Evolutive SFP'!BF13/(CAELS!BI3*1000000)</f>
        <v>0.14755100480044264</v>
      </c>
      <c r="BJ19" s="162">
        <f>'Evolutive SFP'!BG13/(CAELS!BJ3*1000000)</f>
        <v>0</v>
      </c>
      <c r="BK19" s="162">
        <f>'Evolutive SFP'!BH13/(CAELS!BK3*1000000)</f>
        <v>0.14741631417471723</v>
      </c>
      <c r="BL19" s="162">
        <f>'Evolutive SFP'!BI13/(CAELS!BL3*1000000)</f>
        <v>0.15083901172487585</v>
      </c>
      <c r="BM19" s="162">
        <f>'Evolutive SFP'!BJ13/(CAELS!BM3*1000000)</f>
        <v>0.15178776482194339</v>
      </c>
      <c r="BN19" s="162">
        <f>'Evolutive SFP'!BK13/(CAELS!BN3*1000000)</f>
        <v>0.14413293897420421</v>
      </c>
      <c r="BO19" s="162">
        <f>'Evolutive SFP'!BL13/(CAELS!BO3*1000000)</f>
        <v>0.14554500162475398</v>
      </c>
      <c r="BP19" s="162">
        <f>'Evolutive SFP'!BM13/(CAELS!BP3*1000000)</f>
        <v>0.1455842981702109</v>
      </c>
      <c r="BQ19" s="162">
        <f>'Evolutive SFP'!BN13/(CAELS!BQ3*1000000)</f>
        <v>0.14898439149621959</v>
      </c>
      <c r="BR19" s="162">
        <f>'Evolutive SFP'!BO13/(CAELS!BR3*1000000)</f>
        <v>0.14609475131559732</v>
      </c>
      <c r="BS19" s="162">
        <f>'Evolutive SFP'!BP13/(CAELS!BS3*1000000)</f>
        <v>0.14555934964445111</v>
      </c>
      <c r="BT19" s="162">
        <f>'Evolutive SFP'!BQ13/(CAELS!BT3*1000000)</f>
        <v>0.14414661982198343</v>
      </c>
      <c r="BU19" s="162">
        <f>'Evolutive SFP'!BR13/(CAELS!BU3*1000000)</f>
        <v>0.14406855915002162</v>
      </c>
      <c r="BV19" s="162">
        <f>'Evolutive SFP'!BS13/(CAELS!BV3*1000000)</f>
        <v>0.13718748734674446</v>
      </c>
      <c r="BW19" s="162">
        <f>'Evolutive SFP'!BT13/(CAELS!BW3*1000000)</f>
        <v>4.4877415125604695E-4</v>
      </c>
      <c r="BX19" s="162">
        <f>'Evolutive SFP'!BU13/(CAELS!BX3*1000000)</f>
        <v>0.14522590745595737</v>
      </c>
      <c r="BY19" s="162">
        <f>'Evolutive SFP'!BV13/(CAELS!BY3*1000000)</f>
        <v>0.14581945925061407</v>
      </c>
      <c r="BZ19" s="162">
        <f>'Evolutive SFP'!BW13/(CAELS!BZ3*1000000)</f>
        <v>0.14701901669847567</v>
      </c>
      <c r="CA19" s="162">
        <f>'Evolutive SFP'!BX13/(CAELS!CA3*1000000)</f>
        <v>0.14776882779383757</v>
      </c>
      <c r="CB19" s="162">
        <f>'Evolutive SFP'!BY13/(CAELS!CB3*1000000)</f>
        <v>0.1490180834335196</v>
      </c>
      <c r="CC19" s="162">
        <f>'Evolutive SFP'!BZ13/(CAELS!CC3*1000000)</f>
        <v>0.14204614304222499</v>
      </c>
      <c r="CD19" s="162">
        <f>'Evolutive SFP'!CA13/(CAELS!CD3*1000000)</f>
        <v>0.14390062006678425</v>
      </c>
      <c r="CE19" s="162">
        <f>'Evolutive SFP'!CB13/(CAELS!CE3*1000000)</f>
        <v>0.14462719423042419</v>
      </c>
      <c r="CF19" s="162">
        <f>'Evolutive SFP'!CC13/(CAELS!CF3*1000000)</f>
        <v>0.14370223644873581</v>
      </c>
      <c r="CG19" s="162">
        <f>'Evolutive SFP'!CD13/(CAELS!CG3*1000000)</f>
        <v>0.14366015405916072</v>
      </c>
      <c r="CH19" s="162">
        <f>'Evolutive SFP'!CE13/(CAELS!CH3*1000000)</f>
        <v>0.14497560894294345</v>
      </c>
      <c r="CI19" s="162">
        <f>'Evolutive SFP'!CF13/(CAELS!CI3*1000000)</f>
        <v>0.15689035907063786</v>
      </c>
      <c r="CJ19" s="162">
        <f>'Evolutive SFP'!CG13/(CAELS!CJ3*1000000)</f>
        <v>1.7473388540320386E-3</v>
      </c>
      <c r="CK19" s="162">
        <f>'Evolutive SFP'!CH13/(CAELS!CK3*1000000)</f>
        <v>0</v>
      </c>
      <c r="CL19" s="162">
        <f>'Evolutive SFP'!CI13/(CAELS!CL3*1000000)</f>
        <v>0</v>
      </c>
      <c r="CM19" s="162">
        <f>'Evolutive SFP'!CJ13/(CAELS!CM3*1000000)</f>
        <v>0</v>
      </c>
      <c r="CN19" s="162">
        <f>'Evolutive SFP'!CK13/(CAELS!CN3*1000000)</f>
        <v>0</v>
      </c>
      <c r="CO19" s="162">
        <f>'Evolutive SFP'!CL13/(CAELS!CO3*1000000)</f>
        <v>0</v>
      </c>
      <c r="CP19" s="162">
        <f>'Evolutive SFP'!CM13/(CAELS!CP3*1000000)</f>
        <v>0</v>
      </c>
      <c r="CQ19" s="162">
        <f>'Evolutive SFP'!CN13/(CAELS!CQ3*1000000)</f>
        <v>0</v>
      </c>
      <c r="CR19" s="162">
        <f>'Evolutive SFP'!CO13/(CAELS!CR3*1000000)</f>
        <v>0</v>
      </c>
      <c r="CS19" s="162">
        <f>'Evolutive SFP'!CP13/(CAELS!CS3*1000000)</f>
        <v>0</v>
      </c>
    </row>
    <row r="20" spans="1:97" ht="18.75">
      <c r="A20" s="262"/>
      <c r="B20" s="186" t="s">
        <v>143</v>
      </c>
      <c r="C20" s="185"/>
      <c r="D20" s="162">
        <f>'Evolutive SFP'!B15/'Evolutive SFP'!B27</f>
        <v>0.62533298221277644</v>
      </c>
      <c r="E20" s="162">
        <f>'Evolutive SFP'!C15/'Evolutive SFP'!C27</f>
        <v>0.70205950889419799</v>
      </c>
      <c r="F20" s="162">
        <f>'Evolutive SFP'!D15/'Evolutive SFP'!D27</f>
        <v>0.71547862953886276</v>
      </c>
      <c r="G20" s="162">
        <f>'Evolutive SFP'!E15/'Evolutive SFP'!E27</f>
        <v>0.70625056312016266</v>
      </c>
      <c r="H20" s="162">
        <f>'Evolutive SFP'!F15/'Evolutive SFP'!F27</f>
        <v>0.67506935600770501</v>
      </c>
      <c r="I20" s="162">
        <f>'Evolutive SFP'!G15/'Evolutive SFP'!G27</f>
        <v>0.64513161693589727</v>
      </c>
      <c r="J20" s="162">
        <f>'Evolutive SFP'!H15/'Evolutive SFP'!H27</f>
        <v>0.70522141964678009</v>
      </c>
      <c r="K20" s="162">
        <f>'Evolutive SFP'!I15/'Evolutive SFP'!I27</f>
        <v>0.71303160490061102</v>
      </c>
      <c r="L20" s="162">
        <f>'Evolutive SFP'!J15/'Evolutive SFP'!J27</f>
        <v>0.69823720200720485</v>
      </c>
      <c r="M20" s="162">
        <f>'Evolutive SFP'!K15/'Evolutive SFP'!K27</f>
        <v>0.70489013532917721</v>
      </c>
      <c r="N20" s="162">
        <f>'Evolutive SFP'!L15/'Evolutive SFP'!L27</f>
        <v>0.73894541539957492</v>
      </c>
      <c r="O20" s="162">
        <f>'Evolutive SFP'!M15/'Evolutive SFP'!M27</f>
        <v>0.72725329996726329</v>
      </c>
      <c r="P20" s="162">
        <f>'Evolutive SFP'!N15/'Evolutive SFP'!N27</f>
        <v>0.71939878526758871</v>
      </c>
      <c r="Q20" s="162">
        <f>'Evolutive SFP'!O15/'Evolutive SFP'!O27</f>
        <v>0.7515692243068286</v>
      </c>
      <c r="R20" s="162">
        <f>'Evolutive SFP'!P15/'Evolutive SFP'!P27</f>
        <v>0.72430797631778454</v>
      </c>
      <c r="S20" s="162">
        <f>'Evolutive SFP'!Q15/'Evolutive SFP'!Q27</f>
        <v>0.72662281038901733</v>
      </c>
      <c r="T20" s="162">
        <f>'Evolutive SFP'!R15/'Evolutive SFP'!R27</f>
        <v>0.73272945177026105</v>
      </c>
      <c r="U20" s="162">
        <f>'Evolutive SFP'!S15/'Evolutive SFP'!S27</f>
        <v>0.7216150674302092</v>
      </c>
      <c r="V20" s="162">
        <f>'Evolutive SFP'!T15/'Evolutive SFP'!T27</f>
        <v>0.7307985404531937</v>
      </c>
      <c r="W20" s="162">
        <f>'Evolutive SFP'!U15/'Evolutive SFP'!U27</f>
        <v>0.73114926056226592</v>
      </c>
      <c r="X20" s="162">
        <f>'Evolutive SFP'!V15/'Evolutive SFP'!V27</f>
        <v>0.72370047890497979</v>
      </c>
      <c r="Y20" s="162">
        <f>'Evolutive SFP'!W15/'Evolutive SFP'!W27</f>
        <v>0.71281158770533903</v>
      </c>
      <c r="Z20" s="162">
        <f>'Evolutive SFP'!X15/'Evolutive SFP'!X27</f>
        <v>0.71700503618283706</v>
      </c>
      <c r="AA20" s="162">
        <f>'Evolutive SFP'!Y15/'Evolutive SFP'!Y27</f>
        <v>0.73971754562324721</v>
      </c>
      <c r="AB20" s="162">
        <f>'Evolutive SFP'!Z15/'Evolutive SFP'!Z27</f>
        <v>0.74270311127402056</v>
      </c>
      <c r="AC20" s="162">
        <f>'Evolutive SFP'!AA15/'Evolutive SFP'!AA27</f>
        <v>0.72834203644282458</v>
      </c>
      <c r="AD20" s="162">
        <f>'Evolutive SFP'!AB15/'Evolutive SFP'!AB27</f>
        <v>0.72779769166155139</v>
      </c>
      <c r="AE20" s="162">
        <f>'Evolutive SFP'!AC15/'Evolutive SFP'!AC27</f>
        <v>0.74427459856144018</v>
      </c>
      <c r="AF20" s="162">
        <f>'Evolutive SFP'!AD15/'Evolutive SFP'!AD27</f>
        <v>0.74291868712852194</v>
      </c>
      <c r="AG20" s="162">
        <f>'Evolutive SFP'!AE15/'Evolutive SFP'!AE27</f>
        <v>0.73416071626267076</v>
      </c>
      <c r="AH20" s="162">
        <f>'Evolutive SFP'!AF15/'Evolutive SFP'!AF27</f>
        <v>0.74428013781150626</v>
      </c>
      <c r="AI20" s="162">
        <f>'Evolutive SFP'!AG15/'Evolutive SFP'!AG27</f>
        <v>0.750358345191528</v>
      </c>
      <c r="AJ20" s="162">
        <f>'Evolutive SFP'!AH15/'Evolutive SFP'!AH27</f>
        <v>0.75035834634561704</v>
      </c>
      <c r="AK20" s="162">
        <f>'Evolutive SFP'!AI15/'Evolutive SFP'!AI27</f>
        <v>0.79960500614071695</v>
      </c>
      <c r="AL20" s="162">
        <f>'Evolutive SFP'!AJ15/'Evolutive SFP'!AJ27</f>
        <v>0.79590116402251887</v>
      </c>
      <c r="AM20" s="162">
        <f>'Evolutive SFP'!AK15/'Evolutive SFP'!AK27</f>
        <v>0.79834261107125637</v>
      </c>
      <c r="AN20" s="162">
        <f>'Evolutive SFP'!AL15/'Evolutive SFP'!AL27</f>
        <v>0.81926958475991118</v>
      </c>
      <c r="AO20" s="162">
        <f>'Evolutive SFP'!AM15/'Evolutive SFP'!AM27</f>
        <v>0.81969314187258824</v>
      </c>
      <c r="AP20" s="162">
        <f>'Evolutive SFP'!AN15/'Evolutive SFP'!AN27</f>
        <v>0.79860129276161229</v>
      </c>
      <c r="AQ20" s="162">
        <f>'Evolutive SFP'!AO15/'Evolutive SFP'!AO27</f>
        <v>0.80781046703612858</v>
      </c>
      <c r="AR20" s="162">
        <f>'Evolutive SFP'!AP15/'Evolutive SFP'!AP27</f>
        <v>0.81145726268469254</v>
      </c>
      <c r="AS20" s="162">
        <f>'Evolutive SFP'!AQ15/'Evolutive SFP'!AQ27</f>
        <v>0.79934006317639472</v>
      </c>
      <c r="AT20" s="162">
        <f>'Evolutive SFP'!AR15/'Evolutive SFP'!AR27</f>
        <v>0.79707839607549957</v>
      </c>
      <c r="AU20" s="162">
        <f>'Evolutive SFP'!AS15/'Evolutive SFP'!AS27</f>
        <v>0.81078306604013273</v>
      </c>
      <c r="AV20" s="162">
        <f>'Evolutive SFP'!AT15/'Evolutive SFP'!AT27</f>
        <v>0.81856748277162605</v>
      </c>
      <c r="AW20" s="162">
        <f>'Evolutive SFP'!AU15/'Evolutive SFP'!AU27</f>
        <v>0.81960385178586515</v>
      </c>
      <c r="AX20" s="162">
        <f>'Evolutive SFP'!AV15/'Evolutive SFP'!AV27</f>
        <v>0.79047984358880363</v>
      </c>
      <c r="AY20" s="162">
        <f>'Evolutive SFP'!AW15/'Evolutive SFP'!AW27</f>
        <v>0.80593434258671726</v>
      </c>
      <c r="AZ20" s="162">
        <f>'Evolutive SFP'!AX15/'Evolutive SFP'!AX27</f>
        <v>0.79090673475405571</v>
      </c>
      <c r="BA20" s="162">
        <f>'Evolutive SFP'!AX15/'Evolutive SFP'!AX27</f>
        <v>0.79090673475405571</v>
      </c>
      <c r="BB20" s="162">
        <f>'Evolutive SFP'!AY15/'Evolutive SFP'!AY27</f>
        <v>0.78268128217805844</v>
      </c>
      <c r="BC20" s="162">
        <f>'Evolutive SFP'!AZ15/'Evolutive SFP'!AZ27</f>
        <v>0.78185297455977365</v>
      </c>
      <c r="BD20" s="162" t="e">
        <f>'Evolutive SFP'!BA15/'Evolutive SFP'!BA27</f>
        <v>#DIV/0!</v>
      </c>
      <c r="BE20" s="162">
        <f>'Evolutive SFP'!BB15/'Evolutive SFP'!BB27</f>
        <v>0.78331116196225736</v>
      </c>
      <c r="BF20" s="162">
        <f>'Evolutive SFP'!BC15/'Evolutive SFP'!BC27</f>
        <v>0.79013468588009705</v>
      </c>
      <c r="BG20" s="162">
        <f>'Evolutive SFP'!BD15/'Evolutive SFP'!BD27</f>
        <v>0.790370116430551</v>
      </c>
      <c r="BH20" s="162">
        <f>'Evolutive SFP'!BE15/'Evolutive SFP'!BE27</f>
        <v>0.79294421245566171</v>
      </c>
      <c r="BI20" s="162">
        <f>'Evolutive SFP'!BF15/'Evolutive SFP'!BF27</f>
        <v>0.78763729668011984</v>
      </c>
      <c r="BJ20" s="162">
        <f>'Evolutive SFP'!BG15/'Evolutive SFP'!BG27</f>
        <v>0.78775215529845843</v>
      </c>
      <c r="BK20" s="162">
        <f>'Evolutive SFP'!BH15/'Evolutive SFP'!BH27</f>
        <v>0.77713931191190033</v>
      </c>
      <c r="BL20" s="162">
        <f>'Evolutive SFP'!BI15/'Evolutive SFP'!BI27</f>
        <v>0.78886552065540461</v>
      </c>
      <c r="BM20" s="162">
        <f>'Evolutive SFP'!BJ15/'Evolutive SFP'!BJ27</f>
        <v>0.78723753902870364</v>
      </c>
      <c r="BN20" s="162">
        <f>'Evolutive SFP'!BK15/'Evolutive SFP'!BK27</f>
        <v>0.78623620991599052</v>
      </c>
      <c r="BO20" s="162">
        <f>'Evolutive SFP'!BL15/'Evolutive SFP'!BL27</f>
        <v>0.78352263559559077</v>
      </c>
      <c r="BP20" s="162">
        <f>'Evolutive SFP'!BM15/'Evolutive SFP'!BM27</f>
        <v>0.78374208452662331</v>
      </c>
      <c r="BQ20" s="162">
        <f>'Evolutive SFP'!BN15/'Evolutive SFP'!BN27</f>
        <v>0.7829658566276031</v>
      </c>
      <c r="BR20" s="162">
        <f>'Evolutive SFP'!BO15/'Evolutive SFP'!BO27</f>
        <v>0.77069046332074198</v>
      </c>
      <c r="BS20" s="162">
        <f>'Evolutive SFP'!BP15/'Evolutive SFP'!BP27</f>
        <v>0.77208658204397862</v>
      </c>
      <c r="BT20" s="162">
        <f>'Evolutive SFP'!BQ15/'Evolutive SFP'!BQ27</f>
        <v>0.76708257424150894</v>
      </c>
      <c r="BU20" s="162">
        <f>'Evolutive SFP'!BR15/'Evolutive SFP'!BR27</f>
        <v>0.75826526044212217</v>
      </c>
      <c r="BV20" s="162">
        <f>'Evolutive SFP'!BS15/'Evolutive SFP'!BS27</f>
        <v>0.76509165640862331</v>
      </c>
      <c r="BW20" s="162">
        <f>'Evolutive SFP'!BT15/'Evolutive SFP'!BT27</f>
        <v>0.77120488318888458</v>
      </c>
      <c r="BX20" s="162">
        <f>'Evolutive SFP'!BU15/'Evolutive SFP'!BU27</f>
        <v>0.76584794541198642</v>
      </c>
      <c r="BY20" s="162">
        <f>'Evolutive SFP'!BV15/'Evolutive SFP'!BV27</f>
        <v>0.77642399155635744</v>
      </c>
      <c r="BZ20" s="162">
        <f>'Evolutive SFP'!BW15/'Evolutive SFP'!BW27</f>
        <v>0.80341632119957662</v>
      </c>
      <c r="CA20" s="162">
        <f>'Evolutive SFP'!BX15/'Evolutive SFP'!BX27</f>
        <v>0.81091981190418094</v>
      </c>
      <c r="CB20" s="162">
        <f>'Evolutive SFP'!BY15/'Evolutive SFP'!BY27</f>
        <v>0.80237638158009161</v>
      </c>
      <c r="CC20" s="162">
        <f>'Evolutive SFP'!BZ15/'Evolutive SFP'!BZ27</f>
        <v>0.77821984101623898</v>
      </c>
      <c r="CD20" s="162">
        <f>'Evolutive SFP'!CA15/'Evolutive SFP'!CA27</f>
        <v>0.77015381241129055</v>
      </c>
      <c r="CE20" s="162">
        <f>'Evolutive SFP'!CB15/'Evolutive SFP'!CB27</f>
        <v>0.77015510072623816</v>
      </c>
      <c r="CF20" s="162">
        <f>'Evolutive SFP'!CC15/'Evolutive SFP'!CC27</f>
        <v>0.75735341762234454</v>
      </c>
      <c r="CG20" s="162">
        <f>'Evolutive SFP'!CD15/'Evolutive SFP'!CD27</f>
        <v>0.7493286062017116</v>
      </c>
      <c r="CH20" s="162">
        <f>'Evolutive SFP'!CE15/'Evolutive SFP'!CE27</f>
        <v>0.74574304615657871</v>
      </c>
      <c r="CI20" s="162">
        <f>'Evolutive SFP'!CF15/'Evolutive SFP'!CF27</f>
        <v>0.7573075759320762</v>
      </c>
      <c r="CJ20" s="162">
        <f>'Evolutive SFP'!CG15/'Evolutive SFP'!CG27</f>
        <v>0.75641328567119981</v>
      </c>
      <c r="CK20" s="162">
        <f>'Evolutive SFP'!CH15/'Evolutive SFP'!CH27</f>
        <v>0.20560009980120822</v>
      </c>
      <c r="CL20" s="162">
        <f>'Evolutive SFP'!CI15/'Evolutive SFP'!CI27</f>
        <v>0.73783267965493937</v>
      </c>
      <c r="CM20" s="162">
        <f>'Evolutive SFP'!CJ15/'Evolutive SFP'!CJ27</f>
        <v>0.77157955654105526</v>
      </c>
      <c r="CN20" s="162">
        <f>'Evolutive SFP'!CK15/'Evolutive SFP'!CK27</f>
        <v>0.79784199506332887</v>
      </c>
      <c r="CO20" s="162">
        <f>'Evolutive SFP'!CL15/'Evolutive SFP'!CL27</f>
        <v>0.77060754500340811</v>
      </c>
      <c r="CP20" s="162">
        <f>'Evolutive SFP'!CM15/'Evolutive SFP'!CM27</f>
        <v>0.74701072854023898</v>
      </c>
      <c r="CQ20" s="162">
        <f>'Evolutive SFP'!CN15/'Evolutive SFP'!CN27</f>
        <v>0.74208889833940694</v>
      </c>
      <c r="CR20" s="162">
        <f>'Evolutive SFP'!CO15/'Evolutive SFP'!CO27</f>
        <v>0.74936638335611194</v>
      </c>
      <c r="CS20" s="162">
        <f>'Evolutive SFP'!CP15/'Evolutive SFP'!CP27</f>
        <v>0.75242983121648077</v>
      </c>
    </row>
    <row r="21" spans="1:97" ht="18.75" hidden="1">
      <c r="A21" s="261" t="s">
        <v>144</v>
      </c>
      <c r="B21" s="160" t="s">
        <v>145</v>
      </c>
      <c r="C21" s="161"/>
      <c r="D21" s="162">
        <f>'Evolutive SFP'!B31/'Evolutive SFP'!B27</f>
        <v>0.59298267118342085</v>
      </c>
      <c r="E21" s="162">
        <f>'Evolutive SFP'!C31/'Evolutive SFP'!C27</f>
        <v>0.5950348118770028</v>
      </c>
      <c r="F21" s="162">
        <f>'Evolutive SFP'!D31/'Evolutive SFP'!D27</f>
        <v>0.61985198319551726</v>
      </c>
      <c r="G21" s="162">
        <f>'Evolutive SFP'!E31/'Evolutive SFP'!E27</f>
        <v>0.57738929143143414</v>
      </c>
      <c r="H21" s="162">
        <f>'Evolutive SFP'!F31/'Evolutive SFP'!F27</f>
        <v>0.60287065184669586</v>
      </c>
      <c r="I21" s="162">
        <f>'Evolutive SFP'!G31/'Evolutive SFP'!G27</f>
        <v>0.61305916252931214</v>
      </c>
      <c r="J21" s="162">
        <f>'Evolutive SFP'!H31/'Evolutive SFP'!H27</f>
        <v>0.63248014889045412</v>
      </c>
      <c r="K21" s="162">
        <f>'Evolutive SFP'!I31/'Evolutive SFP'!I27</f>
        <v>0.60545816124306662</v>
      </c>
      <c r="L21" s="162">
        <f>'Evolutive SFP'!J31/'Evolutive SFP'!J27</f>
        <v>0.62604367338653477</v>
      </c>
      <c r="M21" s="162">
        <f>'Evolutive SFP'!K31/'Evolutive SFP'!K27</f>
        <v>0.66310714257718129</v>
      </c>
      <c r="N21" s="162">
        <f>'Evolutive SFP'!L31/'Evolutive SFP'!L27</f>
        <v>0.65427840859402064</v>
      </c>
      <c r="O21" s="162">
        <f>'Evolutive SFP'!M31/'Evolutive SFP'!M27</f>
        <v>0.65240702911573634</v>
      </c>
      <c r="P21" s="162">
        <f>'Evolutive SFP'!N31/'Evolutive SFP'!N27</f>
        <v>0.6392943096477951</v>
      </c>
      <c r="Q21" s="162">
        <f>'Evolutive SFP'!O31/'Evolutive SFP'!O27</f>
        <v>0.63620931981183437</v>
      </c>
      <c r="R21" s="162">
        <f>'Evolutive SFP'!P31/'Evolutive SFP'!P27</f>
        <v>0.63297325588432307</v>
      </c>
      <c r="S21" s="162">
        <f>'Evolutive SFP'!Q31/'Evolutive SFP'!Q27</f>
        <v>0.62010669409635011</v>
      </c>
      <c r="T21" s="162">
        <f>'Evolutive SFP'!R31/'Evolutive SFP'!R27</f>
        <v>0.61866216032553822</v>
      </c>
      <c r="U21" s="162">
        <f>'Evolutive SFP'!S31/'Evolutive SFP'!S27</f>
        <v>0.61536292725896435</v>
      </c>
      <c r="V21" s="162">
        <f>'Evolutive SFP'!T31/'Evolutive SFP'!T27</f>
        <v>0.61499671135349521</v>
      </c>
      <c r="W21" s="162">
        <f>'Evolutive SFP'!U31/'Evolutive SFP'!U27</f>
        <v>0.61529185827360933</v>
      </c>
      <c r="X21" s="162">
        <f>'Evolutive SFP'!V31/'Evolutive SFP'!V27</f>
        <v>0.61343566153500417</v>
      </c>
      <c r="Y21" s="162">
        <f>'Evolutive SFP'!W31/'Evolutive SFP'!W27</f>
        <v>0.61187967647293051</v>
      </c>
      <c r="Z21" s="162">
        <f>'Evolutive SFP'!X31/'Evolutive SFP'!X27</f>
        <v>0.65653422732020239</v>
      </c>
      <c r="AA21" s="162">
        <f>'Evolutive SFP'!Y31/'Evolutive SFP'!Y27</f>
        <v>0.64914301337086699</v>
      </c>
      <c r="AB21" s="162">
        <f>'Evolutive SFP'!Z31/'Evolutive SFP'!Z27</f>
        <v>0.64627109243932312</v>
      </c>
      <c r="AC21" s="162">
        <f>'Evolutive SFP'!AA31/'Evolutive SFP'!AA27</f>
        <v>0.63479715019155514</v>
      </c>
      <c r="AD21" s="162">
        <f>'Evolutive SFP'!AB31/'Evolutive SFP'!AB27</f>
        <v>0.63248328587243452</v>
      </c>
      <c r="AE21" s="162">
        <f>'Evolutive SFP'!AC31/'Evolutive SFP'!AC27</f>
        <v>0.62813845184030537</v>
      </c>
      <c r="AF21" s="162">
        <f>'Evolutive SFP'!AD31/'Evolutive SFP'!AD27</f>
        <v>0.62561692949925529</v>
      </c>
      <c r="AG21" s="162">
        <f>'Evolutive SFP'!AE31/'Evolutive SFP'!AE27</f>
        <v>0.61782640177698167</v>
      </c>
      <c r="AH21" s="162">
        <f>'Evolutive SFP'!AF31/'Evolutive SFP'!AF27</f>
        <v>0.61225052258083257</v>
      </c>
      <c r="AI21" s="162">
        <f>'Evolutive SFP'!AG31/'Evolutive SFP'!AG27</f>
        <v>0.60777627921545851</v>
      </c>
      <c r="AJ21" s="162">
        <f>'Evolutive SFP'!AH31/'Evolutive SFP'!AH27</f>
        <v>0.6077762801502492</v>
      </c>
      <c r="AK21" s="162">
        <f>'Evolutive SFP'!AI31/'Evolutive SFP'!AI27</f>
        <v>0.64642240816194108</v>
      </c>
      <c r="AL21" s="162">
        <f>'Evolutive SFP'!AJ31/'Evolutive SFP'!AJ27</f>
        <v>0.63955355893681842</v>
      </c>
      <c r="AM21" s="162">
        <f>'Evolutive SFP'!AK31/'Evolutive SFP'!AK27</f>
        <v>0.67999200905404966</v>
      </c>
      <c r="AN21" s="162">
        <f>'Evolutive SFP'!AL31/'Evolutive SFP'!AL27</f>
        <v>0.67215909472218838</v>
      </c>
      <c r="AO21" s="162">
        <f>'Evolutive SFP'!AM31/'Evolutive SFP'!AM27</f>
        <v>0.66652173185883401</v>
      </c>
      <c r="AP21" s="162">
        <f>'Evolutive SFP'!AN31/'Evolutive SFP'!AN27</f>
        <v>0.652694425206366</v>
      </c>
      <c r="AQ21" s="162">
        <f>'Evolutive SFP'!AO31/'Evolutive SFP'!AO27</f>
        <v>0.6467710301529257</v>
      </c>
      <c r="AR21" s="162">
        <f>'Evolutive SFP'!AP31/'Evolutive SFP'!AP27</f>
        <v>0.64917244976595734</v>
      </c>
      <c r="AS21" s="162">
        <f>'Evolutive SFP'!AQ31/'Evolutive SFP'!AQ27</f>
        <v>0.64712227332257055</v>
      </c>
      <c r="AT21" s="162">
        <f>'Evolutive SFP'!AR31/'Evolutive SFP'!AR27</f>
        <v>0.64422106601580087</v>
      </c>
      <c r="AU21" s="162">
        <f>'Evolutive SFP'!AS31/'Evolutive SFP'!AS27</f>
        <v>0.63740391891970294</v>
      </c>
      <c r="AV21" s="162">
        <f>'Evolutive SFP'!AT31/'Evolutive SFP'!AT27</f>
        <v>0.6357019205629717</v>
      </c>
      <c r="AW21" s="162">
        <f>'Evolutive SFP'!AU31/'Evolutive SFP'!AU27</f>
        <v>0.63650676779503246</v>
      </c>
      <c r="AX21" s="162">
        <f>'Evolutive SFP'!AV31/'Evolutive SFP'!AV27</f>
        <v>0.62796795456879817</v>
      </c>
      <c r="AY21" s="162">
        <f>'Evolutive SFP'!AW31/'Evolutive SFP'!AW27</f>
        <v>0.66169172149594779</v>
      </c>
      <c r="AZ21" s="162">
        <f>'Evolutive SFP'!AX31/'Evolutive SFP'!AX27</f>
        <v>0.66478318600496322</v>
      </c>
      <c r="BA21" s="162">
        <f>'Evolutive SFP'!AY31/'Evolutive SFP'!AY27</f>
        <v>0.6667906706167045</v>
      </c>
      <c r="BB21" s="162">
        <f>'Evolutive SFP'!AY31/'Evolutive SFP'!AY27</f>
        <v>0.6667906706167045</v>
      </c>
      <c r="BC21" s="162">
        <f>'Evolutive SFP'!AZ31/'Evolutive SFP'!AZ27</f>
        <v>0.66010660728806314</v>
      </c>
      <c r="BD21" s="162" t="e">
        <f>'Evolutive SFP'!BA31/'Evolutive SFP'!BA27</f>
        <v>#DIV/0!</v>
      </c>
      <c r="BE21" s="162">
        <f>'Evolutive SFP'!BB31/'Evolutive SFP'!BB27</f>
        <v>0.65394234149080999</v>
      </c>
      <c r="BF21" s="162">
        <f>'Evolutive SFP'!BC31/'Evolutive SFP'!BC27</f>
        <v>0.64580655192648873</v>
      </c>
      <c r="BG21" s="162">
        <f>'Evolutive SFP'!BD31/'Evolutive SFP'!BD27</f>
        <v>0.64371965421522692</v>
      </c>
      <c r="BH21" s="162">
        <f>'Evolutive SFP'!BE31/'Evolutive SFP'!BE27</f>
        <v>0.64277234663207061</v>
      </c>
      <c r="BI21" s="162">
        <f>'Evolutive SFP'!BF31/'Evolutive SFP'!BF27</f>
        <v>0.63751719115409933</v>
      </c>
      <c r="BJ21" s="162">
        <f>'Evolutive SFP'!BG31/'Evolutive SFP'!BG27</f>
        <v>0.63761015801309739</v>
      </c>
      <c r="BK21" s="162">
        <f>'Evolutive SFP'!BH31/'Evolutive SFP'!BH27</f>
        <v>0.63330244553893555</v>
      </c>
      <c r="BL21" s="162">
        <f>'Evolutive SFP'!BI31/'Evolutive SFP'!BI27</f>
        <v>0.67756298166678275</v>
      </c>
      <c r="BM21" s="162">
        <f>'Evolutive SFP'!BJ31/'Evolutive SFP'!BJ27</f>
        <v>0.67332665778323186</v>
      </c>
      <c r="BN21" s="162">
        <f>'Evolutive SFP'!BK31/'Evolutive SFP'!BK27</f>
        <v>0.65749323040047769</v>
      </c>
      <c r="BO21" s="162">
        <f>'Evolutive SFP'!BL31/'Evolutive SFP'!BL27</f>
        <v>0.6560634346841735</v>
      </c>
      <c r="BP21" s="162">
        <f>'Evolutive SFP'!BM31/'Evolutive SFP'!BM27</f>
        <v>0.65102794073290426</v>
      </c>
      <c r="BQ21" s="162">
        <f>'Evolutive SFP'!BN31/'Evolutive SFP'!BN27</f>
        <v>0.65524109472538328</v>
      </c>
      <c r="BR21" s="162">
        <f>'Evolutive SFP'!BO31/'Evolutive SFP'!BO27</f>
        <v>0.6464179391093321</v>
      </c>
      <c r="BS21" s="162">
        <f>'Evolutive SFP'!BP31/'Evolutive SFP'!BP27</f>
        <v>0.64015222102997271</v>
      </c>
      <c r="BT21" s="162">
        <f>'Evolutive SFP'!BQ31/'Evolutive SFP'!BQ27</f>
        <v>0.63814919987088259</v>
      </c>
      <c r="BU21" s="162">
        <f>'Evolutive SFP'!BR31/'Evolutive SFP'!BR27</f>
        <v>0.63660923388764412</v>
      </c>
      <c r="BV21" s="162">
        <f>'Evolutive SFP'!BS31/'Evolutive SFP'!BS27</f>
        <v>0.63371018282134639</v>
      </c>
      <c r="BW21" s="162">
        <f>'Evolutive SFP'!BT31/'Evolutive SFP'!BT27</f>
        <v>0.63877364629393174</v>
      </c>
      <c r="BX21" s="162">
        <f>'Evolutive SFP'!BU31/'Evolutive SFP'!BU27</f>
        <v>0.63276991296304408</v>
      </c>
      <c r="BY21" s="162">
        <f>'Evolutive SFP'!BV31/'Evolutive SFP'!BV27</f>
        <v>0.68716325191115557</v>
      </c>
      <c r="BZ21" s="162">
        <f>'Evolutive SFP'!BW31/'Evolutive SFP'!BW27</f>
        <v>0.68068247763966372</v>
      </c>
      <c r="CA21" s="162">
        <f>'Evolutive SFP'!BX31/'Evolutive SFP'!BX27</f>
        <v>0.67578857022250916</v>
      </c>
      <c r="CB21" s="162">
        <f>'Evolutive SFP'!BY31/'Evolutive SFP'!BY27</f>
        <v>0.67281896323776702</v>
      </c>
      <c r="CC21" s="162">
        <f>'Evolutive SFP'!BZ31/'Evolutive SFP'!BZ27</f>
        <v>0.65631481122759638</v>
      </c>
      <c r="CD21" s="162">
        <f>'Evolutive SFP'!CA31/'Evolutive SFP'!CA27</f>
        <v>0.66036856900706298</v>
      </c>
      <c r="CE21" s="162">
        <f>'Evolutive SFP'!CB31/'Evolutive SFP'!CB27</f>
        <v>0.65618748539033722</v>
      </c>
      <c r="CF21" s="162">
        <f>'Evolutive SFP'!CC31/'Evolutive SFP'!CC27</f>
        <v>0.64990893683304174</v>
      </c>
      <c r="CG21" s="162">
        <f>'Evolutive SFP'!CD31/'Evolutive SFP'!CD27</f>
        <v>0.64468264011909171</v>
      </c>
      <c r="CH21" s="162">
        <f>'Evolutive SFP'!CE31/'Evolutive SFP'!CE27</f>
        <v>0.64176067094638856</v>
      </c>
      <c r="CI21" s="162">
        <f>'Evolutive SFP'!CF31/'Evolutive SFP'!CF27</f>
        <v>0.63994612393916217</v>
      </c>
      <c r="CJ21" s="162">
        <f>'Evolutive SFP'!CG31/'Evolutive SFP'!CG27</f>
        <v>0.63919042314580976</v>
      </c>
    </row>
    <row r="22" spans="1:97" ht="18.75" hidden="1">
      <c r="A22" s="261"/>
      <c r="B22" s="160" t="s">
        <v>146</v>
      </c>
      <c r="C22" s="161"/>
      <c r="D22" s="162">
        <f>'Evolutive SFP'!B30/'Evolutive SFP'!B27</f>
        <v>0.547436675172702</v>
      </c>
      <c r="E22" s="162">
        <f>'Evolutive SFP'!C30/'Evolutive SFP'!C27</f>
        <v>4.8495540417727388E-3</v>
      </c>
      <c r="F22" s="162">
        <f>'Evolutive SFP'!D30/'Evolutive SFP'!D27</f>
        <v>4.6991367935348485E-3</v>
      </c>
      <c r="G22" s="162">
        <f>'Evolutive SFP'!E30/'Evolutive SFP'!E27</f>
        <v>9.3296888217825346E-4</v>
      </c>
      <c r="H22" s="162">
        <f>'Evolutive SFP'!F30/'Evolutive SFP'!F27</f>
        <v>0.56137290400549844</v>
      </c>
      <c r="I22" s="162">
        <f>'Evolutive SFP'!G30/'Evolutive SFP'!G27</f>
        <v>0.56429339638291531</v>
      </c>
      <c r="J22" s="162">
        <f>'Evolutive SFP'!H30/'Evolutive SFP'!H27</f>
        <v>0.54575232997834922</v>
      </c>
      <c r="K22" s="162">
        <f>'Evolutive SFP'!I30/'Evolutive SFP'!I27</f>
        <v>0.53905377467857263</v>
      </c>
      <c r="L22" s="162">
        <f>'Evolutive SFP'!J30/'Evolutive SFP'!J27</f>
        <v>0.54462248292757376</v>
      </c>
      <c r="M22" s="162">
        <f>'Evolutive SFP'!K30/'Evolutive SFP'!K27</f>
        <v>0.55603376900667523</v>
      </c>
      <c r="N22" s="162">
        <f>'Evolutive SFP'!L30/'Evolutive SFP'!L27</f>
        <v>0.57601121121835763</v>
      </c>
      <c r="O22" s="162">
        <f>'Evolutive SFP'!M30/'Evolutive SFP'!M27</f>
        <v>0.57018266123294414</v>
      </c>
      <c r="P22" s="162">
        <f>'Evolutive SFP'!N30/'Evolutive SFP'!N27</f>
        <v>0.56384522798849168</v>
      </c>
      <c r="Q22" s="162">
        <f>'Evolutive SFP'!O30/'Evolutive SFP'!O27</f>
        <v>0.56633084235889364</v>
      </c>
      <c r="R22" s="162">
        <f>'Evolutive SFP'!P30/'Evolutive SFP'!P27</f>
        <v>0.55270379403934389</v>
      </c>
      <c r="S22" s="162">
        <f>'Evolutive SFP'!Q30/'Evolutive SFP'!Q27</f>
        <v>0.54702363791520281</v>
      </c>
      <c r="T22" s="162">
        <f>'Evolutive SFP'!R30/'Evolutive SFP'!R27</f>
        <v>0.53863023788514552</v>
      </c>
      <c r="U22" s="162">
        <f>'Evolutive SFP'!S30/'Evolutive SFP'!S27</f>
        <v>0.53187954589000097</v>
      </c>
      <c r="V22" s="162">
        <f>'Evolutive SFP'!T30/'Evolutive SFP'!T27</f>
        <v>0.53024838042572875</v>
      </c>
      <c r="W22" s="162">
        <f>'Evolutive SFP'!U30/'Evolutive SFP'!U27</f>
        <v>0.52806062611671134</v>
      </c>
      <c r="X22" s="162">
        <f>'Evolutive SFP'!V30/'Evolutive SFP'!V27</f>
        <v>0.52918422125201847</v>
      </c>
      <c r="Y22" s="162">
        <f>'Evolutive SFP'!W30/'Evolutive SFP'!W27</f>
        <v>0.52601888116981876</v>
      </c>
      <c r="Z22" s="162">
        <f>'Evolutive SFP'!X30/'Evolutive SFP'!X27</f>
        <v>0.53967128162026068</v>
      </c>
      <c r="AA22" s="162">
        <f>'Evolutive SFP'!Y30/'Evolutive SFP'!Y27</f>
        <v>0.55320527831715993</v>
      </c>
      <c r="AB22" s="162">
        <f>'Evolutive SFP'!Z30/'Evolutive SFP'!Z27</f>
        <v>0.55080730071601458</v>
      </c>
      <c r="AC22" s="162">
        <f>'Evolutive SFP'!AA30/'Evolutive SFP'!AA27</f>
        <v>0.53930935467060548</v>
      </c>
      <c r="AD22" s="162">
        <f>'Evolutive SFP'!AB30/'Evolutive SFP'!AB27</f>
        <v>0.53618382533504427</v>
      </c>
      <c r="AE22" s="162">
        <f>'Evolutive SFP'!AC30/'Evolutive SFP'!AC27</f>
        <v>0.5363186413178338</v>
      </c>
      <c r="AF22" s="162">
        <f>'Evolutive SFP'!AD30/'Evolutive SFP'!AD27</f>
        <v>0.52707513399515149</v>
      </c>
      <c r="AG22" s="162">
        <f>'Evolutive SFP'!AE30/'Evolutive SFP'!AE27</f>
        <v>0.52469533051378914</v>
      </c>
      <c r="AH22" s="162">
        <f>'Evolutive SFP'!AF30/'Evolutive SFP'!AF27</f>
        <v>0.51975909214583726</v>
      </c>
      <c r="AI22" s="162">
        <f>'Evolutive SFP'!AG30/'Evolutive SFP'!AG27</f>
        <v>0.52298104244292554</v>
      </c>
      <c r="AJ22" s="162">
        <f>'Evolutive SFP'!AH30/'Evolutive SFP'!AH27</f>
        <v>0.52074819664141425</v>
      </c>
      <c r="AK22" s="162">
        <f>'Evolutive SFP'!AI30/'Evolutive SFP'!AI27</f>
        <v>0.55418714336243069</v>
      </c>
      <c r="AL22" s="162">
        <f>'Evolutive SFP'!AJ30/'Evolutive SFP'!AJ27</f>
        <v>0.55684222618721413</v>
      </c>
      <c r="AM22" s="162">
        <f>'Evolutive SFP'!AK30/'Evolutive SFP'!AK27</f>
        <v>0.56890922390402954</v>
      </c>
      <c r="AN22" s="162">
        <f>'Evolutive SFP'!AL30/'Evolutive SFP'!AL27</f>
        <v>0.58366531552323497</v>
      </c>
      <c r="AO22" s="162">
        <f>'Evolutive SFP'!AM30/'Evolutive SFP'!AM27</f>
        <v>0.57715344603801533</v>
      </c>
      <c r="AP22" s="162">
        <f>'Evolutive SFP'!AN30/'Evolutive SFP'!AN27</f>
        <v>0.56811947570967891</v>
      </c>
      <c r="AQ22" s="162">
        <f>'Evolutive SFP'!AO30/'Evolutive SFP'!AO27</f>
        <v>0.56945415784248543</v>
      </c>
      <c r="AR22" s="162">
        <f>'Evolutive SFP'!AP30/'Evolutive SFP'!AP27</f>
        <v>0.56288192930464298</v>
      </c>
      <c r="AS22" s="162">
        <f>'Evolutive SFP'!AQ30/'Evolutive SFP'!AQ27</f>
        <v>0.55913944579218045</v>
      </c>
      <c r="AT22" s="162">
        <f>'Evolutive SFP'!AR30/'Evolutive SFP'!AR27</f>
        <v>0.55447290513976055</v>
      </c>
      <c r="AU22" s="162">
        <f>'Evolutive SFP'!AS30/'Evolutive SFP'!AS27</f>
        <v>0.55288292912482284</v>
      </c>
      <c r="AV22" s="162">
        <f>'Evolutive SFP'!AT30/'Evolutive SFP'!AT27</f>
        <v>0.55272167018740248</v>
      </c>
      <c r="AW22" s="162">
        <f>'Evolutive SFP'!AU30/'Evolutive SFP'!AU27</f>
        <v>0.55125609280051224</v>
      </c>
      <c r="AX22" s="162">
        <f>'Evolutive SFP'!AV30/'Evolutive SFP'!AV27</f>
        <v>0.54180552371444513</v>
      </c>
      <c r="AY22" s="162">
        <f>'Evolutive SFP'!AW30/'Evolutive SFP'!AW27</f>
        <v>0.55621030765761581</v>
      </c>
      <c r="AZ22" s="162">
        <f>'Evolutive SFP'!AX30/'Evolutive SFP'!AX27</f>
        <v>0.55093902791505134</v>
      </c>
      <c r="BA22" s="162">
        <f>'Evolutive SFP'!AY30/'Evolutive SFP'!AY27</f>
        <v>0.55593176340870931</v>
      </c>
      <c r="BB22" s="162">
        <f>'Evolutive SFP'!AY30/'Evolutive SFP'!AY27</f>
        <v>0.55593176340870931</v>
      </c>
      <c r="BC22" s="162">
        <f>'Evolutive SFP'!AZ30/'Evolutive SFP'!AZ27</f>
        <v>0.5625051044489483</v>
      </c>
      <c r="BD22" s="162" t="e">
        <f>'Evolutive SFP'!BA30/'Evolutive SFP'!BA27</f>
        <v>#DIV/0!</v>
      </c>
      <c r="BE22" s="162">
        <f>'Evolutive SFP'!BB30/'Evolutive SFP'!BB27</f>
        <v>0.55273317539640621</v>
      </c>
      <c r="BF22" s="162">
        <f>'Evolutive SFP'!BC30/'Evolutive SFP'!BC27</f>
        <v>0.55661614378278668</v>
      </c>
      <c r="BG22" s="162">
        <f>'Evolutive SFP'!BD30/'Evolutive SFP'!BD27</f>
        <v>0.55153883729009556</v>
      </c>
      <c r="BH22" s="162">
        <f>'Evolutive SFP'!BE30/'Evolutive SFP'!BE27</f>
        <v>0.55336820152684019</v>
      </c>
      <c r="BI22" s="162">
        <f>'Evolutive SFP'!BF30/'Evolutive SFP'!BF27</f>
        <v>0.54659941812545243</v>
      </c>
      <c r="BJ22" s="162">
        <f>'Evolutive SFP'!BG30/'Evolutive SFP'!BG27</f>
        <v>0.54475206623375039</v>
      </c>
      <c r="BK22" s="162">
        <f>'Evolutive SFP'!BH30/'Evolutive SFP'!BH27</f>
        <v>0.54379588857453975</v>
      </c>
      <c r="BL22" s="162">
        <f>'Evolutive SFP'!BI30/'Evolutive SFP'!BI27</f>
        <v>0.56222071925114792</v>
      </c>
      <c r="BM22" s="162">
        <f>'Evolutive SFP'!BJ30/'Evolutive SFP'!BJ27</f>
        <v>0.56298809972587915</v>
      </c>
      <c r="BN22" s="162">
        <f>'Evolutive SFP'!BK30/'Evolutive SFP'!BK27</f>
        <v>0.5564701563199943</v>
      </c>
      <c r="BO22" s="162">
        <f>'Evolutive SFP'!BL30/'Evolutive SFP'!BL27</f>
        <v>0.55707409457075718</v>
      </c>
      <c r="BP22" s="162">
        <f>'Evolutive SFP'!BM30/'Evolutive SFP'!BM27</f>
        <v>0.55250085823870587</v>
      </c>
      <c r="BQ22" s="162">
        <f>'Evolutive SFP'!BN30/'Evolutive SFP'!BN27</f>
        <v>0.54464539907699239</v>
      </c>
      <c r="BR22" s="162">
        <f>'Evolutive SFP'!BO30/'Evolutive SFP'!BO27</f>
        <v>0.54048167318195173</v>
      </c>
      <c r="BS22" s="162">
        <f>'Evolutive SFP'!BP30/'Evolutive SFP'!BP27</f>
        <v>0.53831454504145504</v>
      </c>
      <c r="BT22" s="162">
        <f>'Evolutive SFP'!BQ30/'Evolutive SFP'!BQ27</f>
        <v>0.53279358723780335</v>
      </c>
      <c r="BU22" s="162">
        <f>'Evolutive SFP'!BR30/'Evolutive SFP'!BR27</f>
        <v>0.52545456881804131</v>
      </c>
      <c r="BV22" s="162">
        <f>'Evolutive SFP'!BS30/'Evolutive SFP'!BS27</f>
        <v>0.52613720526758301</v>
      </c>
      <c r="BW22" s="162">
        <f>'Evolutive SFP'!BT30/'Evolutive SFP'!BT27</f>
        <v>0.53034114078784966</v>
      </c>
      <c r="BX22" s="162">
        <f>'Evolutive SFP'!BU30/'Evolutive SFP'!BU27</f>
        <v>0.53221295487164844</v>
      </c>
      <c r="BY22" s="162">
        <f>'Evolutive SFP'!BV30/'Evolutive SFP'!BV27</f>
        <v>0.54548677436363224</v>
      </c>
      <c r="BZ22" s="162">
        <f>'Evolutive SFP'!BW30/'Evolutive SFP'!BW27</f>
        <v>0.56542055888360543</v>
      </c>
      <c r="CA22" s="162">
        <f>'Evolutive SFP'!BX30/'Evolutive SFP'!BX27</f>
        <v>0.56221329008156218</v>
      </c>
      <c r="CB22" s="162">
        <f>'Evolutive SFP'!BY30/'Evolutive SFP'!BY27</f>
        <v>0.56154315859503734</v>
      </c>
      <c r="CC22" s="162">
        <f>'Evolutive SFP'!BZ30/'Evolutive SFP'!BZ27</f>
        <v>0.54603960440443788</v>
      </c>
      <c r="CD22" s="162">
        <f>'Evolutive SFP'!CA30/'Evolutive SFP'!CA27</f>
        <v>0.5413833097840498</v>
      </c>
      <c r="CE22" s="162">
        <f>'Evolutive SFP'!CB30/'Evolutive SFP'!CB27</f>
        <v>0.54351670457188517</v>
      </c>
      <c r="CF22" s="162">
        <f>'Evolutive SFP'!CC30/'Evolutive SFP'!CC27</f>
        <v>0.53886556717394518</v>
      </c>
      <c r="CG22" s="162">
        <f>'Evolutive SFP'!CD30/'Evolutive SFP'!CD27</f>
        <v>0.53641561808584726</v>
      </c>
      <c r="CH22" s="162">
        <f>'Evolutive SFP'!CE30/'Evolutive SFP'!CE27</f>
        <v>0.53498129098494918</v>
      </c>
      <c r="CI22" s="162">
        <f>'Evolutive SFP'!CF30/'Evolutive SFP'!CF27</f>
        <v>0.54226716290936439</v>
      </c>
      <c r="CJ22" s="162">
        <f>'Evolutive SFP'!CG30/'Evolutive SFP'!CG27</f>
        <v>0.54009408692773453</v>
      </c>
    </row>
    <row r="23" spans="1:97" ht="18.75" hidden="1">
      <c r="A23" s="261"/>
      <c r="B23" s="160" t="s">
        <v>147</v>
      </c>
      <c r="C23" s="161"/>
      <c r="D23" s="162">
        <f>('Evolutive SFP'!B28+'Evolutive SFP'!B29)/'Evolutive SFP'!B27</f>
        <v>4.5545996010718834E-2</v>
      </c>
      <c r="E23" s="162">
        <f>('Evolutive SFP'!C28+'Evolutive SFP'!C29)/'Evolutive SFP'!C27</f>
        <v>0.59018525783523013</v>
      </c>
      <c r="F23" s="162">
        <f>('Evolutive SFP'!D28+'Evolutive SFP'!D29)/'Evolutive SFP'!D27</f>
        <v>0.61515284640198242</v>
      </c>
      <c r="G23" s="162">
        <f>('Evolutive SFP'!E28+'Evolutive SFP'!E29)/'Evolutive SFP'!E27</f>
        <v>0.57645632254925594</v>
      </c>
      <c r="H23" s="162">
        <f>('Evolutive SFP'!F28+'Evolutive SFP'!F29)/'Evolutive SFP'!F27</f>
        <v>4.1497747841197509E-2</v>
      </c>
      <c r="I23" s="162">
        <f>('Evolutive SFP'!G28+'Evolutive SFP'!G29)/'Evolutive SFP'!G27</f>
        <v>4.8765766146396855E-2</v>
      </c>
      <c r="J23" s="162">
        <f>('Evolutive SFP'!H28+'Evolutive SFP'!H29)/'Evolutive SFP'!H27</f>
        <v>8.6727818912104848E-2</v>
      </c>
      <c r="K23" s="162">
        <f>('Evolutive SFP'!I28+'Evolutive SFP'!I29)/'Evolutive SFP'!I27</f>
        <v>6.6404386564493975E-2</v>
      </c>
      <c r="L23" s="162">
        <f>('Evolutive SFP'!J28+'Evolutive SFP'!J29)/'Evolutive SFP'!J27</f>
        <v>8.1421190458961012E-2</v>
      </c>
      <c r="M23" s="162">
        <f>('Evolutive SFP'!K28+'Evolutive SFP'!K29)/'Evolutive SFP'!K27</f>
        <v>0.10707337357050606</v>
      </c>
      <c r="N23" s="162">
        <f>('Evolutive SFP'!L28+'Evolutive SFP'!L29)/'Evolutive SFP'!L27</f>
        <v>7.8267197375663067E-2</v>
      </c>
      <c r="O23" s="162">
        <f>('Evolutive SFP'!M28+'Evolutive SFP'!M29)/'Evolutive SFP'!M27</f>
        <v>8.2224367882792151E-2</v>
      </c>
      <c r="P23" s="162">
        <f>('Evolutive SFP'!N28+'Evolutive SFP'!N29)/'Evolutive SFP'!N27</f>
        <v>7.5449081659303502E-2</v>
      </c>
      <c r="Q23" s="162">
        <f>('Evolutive SFP'!O28+'Evolutive SFP'!O29)/'Evolutive SFP'!O27</f>
        <v>6.9878477452940707E-2</v>
      </c>
      <c r="R23" s="162">
        <f>('Evolutive SFP'!P28+'Evolutive SFP'!P29)/'Evolutive SFP'!P27</f>
        <v>8.026946184497917E-2</v>
      </c>
      <c r="S23" s="162">
        <f>('Evolutive SFP'!Q28+'Evolutive SFP'!Q29)/'Evolutive SFP'!Q27</f>
        <v>7.3083056181147243E-2</v>
      </c>
      <c r="T23" s="162">
        <f>('Evolutive SFP'!R28+'Evolutive SFP'!R29)/'Evolutive SFP'!R27</f>
        <v>8.0031922440392742E-2</v>
      </c>
      <c r="U23" s="162">
        <f>('Evolutive SFP'!S28+'Evolutive SFP'!S29)/'Evolutive SFP'!S27</f>
        <v>8.3483381368963355E-2</v>
      </c>
      <c r="V23" s="162">
        <f>('Evolutive SFP'!T28+'Evolutive SFP'!T29)/'Evolutive SFP'!T27</f>
        <v>8.4748330927766471E-2</v>
      </c>
      <c r="W23" s="162">
        <f>('Evolutive SFP'!U28+'Evolutive SFP'!U29)/'Evolutive SFP'!U27</f>
        <v>8.7231232156898E-2</v>
      </c>
      <c r="X23" s="162">
        <f>('Evolutive SFP'!V28+'Evolutive SFP'!V29)/'Evolutive SFP'!V27</f>
        <v>8.4251440282985743E-2</v>
      </c>
      <c r="Y23" s="162">
        <f>('Evolutive SFP'!W28+'Evolutive SFP'!W29)/'Evolutive SFP'!W27</f>
        <v>8.5860795303111748E-2</v>
      </c>
      <c r="Z23" s="162">
        <f>('Evolutive SFP'!X28+'Evolutive SFP'!X29)/'Evolutive SFP'!X27</f>
        <v>0.11686294569994175</v>
      </c>
      <c r="AA23" s="162">
        <f>('Evolutive SFP'!Y28+'Evolutive SFP'!Y29)/'Evolutive SFP'!Y27</f>
        <v>9.5937735053707063E-2</v>
      </c>
      <c r="AB23" s="162">
        <f>('Evolutive SFP'!Z28+'Evolutive SFP'!Z29)/'Evolutive SFP'!Z27</f>
        <v>9.5463791723308544E-2</v>
      </c>
      <c r="AC23" s="162">
        <f>('Evolutive SFP'!AA28+'Evolutive SFP'!AA29)/'Evolutive SFP'!AA27</f>
        <v>9.5487795520949673E-2</v>
      </c>
      <c r="AD23" s="162">
        <f>('Evolutive SFP'!AB28+'Evolutive SFP'!AB29)/'Evolutive SFP'!AB27</f>
        <v>9.6299460537390288E-2</v>
      </c>
      <c r="AE23" s="162">
        <f>('Evolutive SFP'!AC28+'Evolutive SFP'!AC29)/'Evolutive SFP'!AC27</f>
        <v>9.1819810522471706E-2</v>
      </c>
      <c r="AF23" s="162">
        <f>('Evolutive SFP'!AD28+'Evolutive SFP'!AD29)/'Evolutive SFP'!AD27</f>
        <v>9.854179550410376E-2</v>
      </c>
      <c r="AG23" s="162">
        <f>('Evolutive SFP'!AE28+'Evolutive SFP'!AE29)/'Evolutive SFP'!AE27</f>
        <v>9.3131071263192547E-2</v>
      </c>
      <c r="AH23" s="162">
        <f>('Evolutive SFP'!AF28+'Evolutive SFP'!AF29)/'Evolutive SFP'!AF27</f>
        <v>9.249143043499522E-2</v>
      </c>
      <c r="AI23" s="162">
        <f>('Evolutive SFP'!AG28+'Evolutive SFP'!AG29)/'Evolutive SFP'!AG27</f>
        <v>8.479523677253295E-2</v>
      </c>
      <c r="AJ23" s="162">
        <f>('Evolutive SFP'!AH28+'Evolutive SFP'!AH29)/'Evolutive SFP'!AH27</f>
        <v>8.7028083508834855E-2</v>
      </c>
      <c r="AK23" s="162">
        <f>('Evolutive SFP'!AI28+'Evolutive SFP'!AI29)/'Evolutive SFP'!AI27</f>
        <v>9.2235264799510344E-2</v>
      </c>
      <c r="AL23" s="162">
        <f>('Evolutive SFP'!AJ28+'Evolutive SFP'!AJ29)/'Evolutive SFP'!AJ27</f>
        <v>8.2711332749604211E-2</v>
      </c>
      <c r="AM23" s="162">
        <f>('Evolutive SFP'!AK28+'Evolutive SFP'!AK29)/'Evolutive SFP'!AK27</f>
        <v>0.11108278515002001</v>
      </c>
      <c r="AN23" s="162">
        <f>('Evolutive SFP'!AL28+'Evolutive SFP'!AL29)/'Evolutive SFP'!AL27</f>
        <v>8.8493779198953348E-2</v>
      </c>
      <c r="AO23" s="162">
        <f>('Evolutive SFP'!AM28+'Evolutive SFP'!AM29)/'Evolutive SFP'!AM27</f>
        <v>8.9368285820818724E-2</v>
      </c>
      <c r="AP23" s="162">
        <f>('Evolutive SFP'!AN28+'Evolutive SFP'!AN29)/'Evolutive SFP'!AN27</f>
        <v>8.457494949668716E-2</v>
      </c>
      <c r="AQ23" s="162">
        <f>('Evolutive SFP'!AO28+'Evolutive SFP'!AO29)/'Evolutive SFP'!AO27</f>
        <v>7.7316872310440238E-2</v>
      </c>
      <c r="AR23" s="162">
        <f>('Evolutive SFP'!AP28+'Evolutive SFP'!AP29)/'Evolutive SFP'!AP27</f>
        <v>8.6290520461314454E-2</v>
      </c>
      <c r="AS23" s="162">
        <f>('Evolutive SFP'!AQ28+'Evolutive SFP'!AQ29)/'Evolutive SFP'!AQ27</f>
        <v>8.7982827530390106E-2</v>
      </c>
      <c r="AT23" s="162">
        <f>('Evolutive SFP'!AR28+'Evolutive SFP'!AR29)/'Evolutive SFP'!AR27</f>
        <v>8.9748160876040289E-2</v>
      </c>
      <c r="AU23" s="162">
        <f>('Evolutive SFP'!AS28+'Evolutive SFP'!AS29)/'Evolutive SFP'!AS27</f>
        <v>8.4520989794880097E-2</v>
      </c>
      <c r="AV23" s="162">
        <f>('Evolutive SFP'!AT28+'Evolutive SFP'!AT29)/'Evolutive SFP'!AT27</f>
        <v>8.2980250375569248E-2</v>
      </c>
      <c r="AW23" s="162">
        <f>('Evolutive SFP'!AU28+'Evolutive SFP'!AU29)/'Evolutive SFP'!AU27</f>
        <v>8.5250674994520298E-2</v>
      </c>
      <c r="AX23" s="162">
        <f>('Evolutive SFP'!AV28+'Evolutive SFP'!AV29)/'Evolutive SFP'!AV27</f>
        <v>8.6162430854353073E-2</v>
      </c>
      <c r="AY23" s="162">
        <f>('Evolutive SFP'!AW28+'Evolutive SFP'!AW29)/'Evolutive SFP'!AW27</f>
        <v>0.10548141383833198</v>
      </c>
      <c r="AZ23" s="162">
        <f>('Evolutive SFP'!AX28+'Evolutive SFP'!AX29)/'Evolutive SFP'!AX27</f>
        <v>0.11384415808991191</v>
      </c>
      <c r="BA23" s="162">
        <f>('Evolutive SFP'!AY28+'Evolutive SFP'!AY29)/'Evolutive SFP'!AY27</f>
        <v>0.11085890720799511</v>
      </c>
      <c r="BB23" s="162">
        <f>('Evolutive SFP'!AZ28+'Evolutive SFP'!AZ29)/'Evolutive SFP'!AZ27</f>
        <v>9.7601502839114854E-2</v>
      </c>
      <c r="BC23" s="162">
        <f>('Evolutive SFP'!AZ28+'Evolutive SFP'!AZ29)/'Evolutive SFP'!AZ27</f>
        <v>9.7601502839114854E-2</v>
      </c>
      <c r="BD23" s="162" t="e">
        <f>('Evolutive SFP'!BA28+'Evolutive SFP'!BA29)/'Evolutive SFP'!BA27</f>
        <v>#DIV/0!</v>
      </c>
      <c r="BE23" s="162">
        <f>('Evolutive SFP'!BB28+'Evolutive SFP'!BB29)/'Evolutive SFP'!BB27</f>
        <v>0.10120916609440377</v>
      </c>
      <c r="BF23" s="162">
        <f>('Evolutive SFP'!BC28+'Evolutive SFP'!BC29)/'Evolutive SFP'!BC27</f>
        <v>8.9190408143702132E-2</v>
      </c>
      <c r="BG23" s="162">
        <f>('Evolutive SFP'!BD28+'Evolutive SFP'!BD29)/'Evolutive SFP'!BD27</f>
        <v>9.2180816925131373E-2</v>
      </c>
      <c r="BH23" s="162">
        <f>('Evolutive SFP'!BE28+'Evolutive SFP'!BE29)/'Evolutive SFP'!BE27</f>
        <v>8.940414510523044E-2</v>
      </c>
      <c r="BI23" s="162">
        <f>('Evolutive SFP'!BF28+'Evolutive SFP'!BF29)/'Evolutive SFP'!BF27</f>
        <v>9.0917773028646801E-2</v>
      </c>
      <c r="BJ23" s="162">
        <f>('Evolutive SFP'!BG28+'Evolutive SFP'!BG29)/'Evolutive SFP'!BG27</f>
        <v>9.2858091779347035E-2</v>
      </c>
      <c r="BK23" s="162">
        <f>('Evolutive SFP'!BH28+'Evolutive SFP'!BH29)/'Evolutive SFP'!BH27</f>
        <v>8.9506556964395786E-2</v>
      </c>
      <c r="BL23" s="162">
        <f>('Evolutive SFP'!BI28+'Evolutive SFP'!BI29)/'Evolutive SFP'!BI27</f>
        <v>0.11534226241563489</v>
      </c>
      <c r="BM23" s="162">
        <f>('Evolutive SFP'!BJ28+'Evolutive SFP'!BJ29)/'Evolutive SFP'!BJ27</f>
        <v>0.1103385580573527</v>
      </c>
      <c r="BN23" s="162">
        <f>('Evolutive SFP'!BK28+'Evolutive SFP'!BK29)/'Evolutive SFP'!BK27</f>
        <v>0.10102307408048339</v>
      </c>
      <c r="BO23" s="162">
        <f>('Evolutive SFP'!BL28+'Evolutive SFP'!BL29)/'Evolutive SFP'!BL27</f>
        <v>9.8989340113416327E-2</v>
      </c>
      <c r="BP23" s="162">
        <f>('Evolutive SFP'!BM28+'Evolutive SFP'!BM29)/'Evolutive SFP'!BM27</f>
        <v>9.852708249419842E-2</v>
      </c>
      <c r="BQ23" s="162">
        <f>('Evolutive SFP'!BN28+'Evolutive SFP'!BN29)/'Evolutive SFP'!BN27</f>
        <v>0.11059569564839103</v>
      </c>
      <c r="BR23" s="162">
        <f>('Evolutive SFP'!BO28+'Evolutive SFP'!BO29)/'Evolutive SFP'!BO27</f>
        <v>0.10593626592738044</v>
      </c>
      <c r="BS23" s="162">
        <f>('Evolutive SFP'!BP28+'Evolutive SFP'!BP29)/'Evolutive SFP'!BP27</f>
        <v>0.10183767598851766</v>
      </c>
      <c r="BT23" s="162">
        <f>('Evolutive SFP'!BQ28+'Evolutive SFP'!BQ29)/'Evolutive SFP'!BQ27</f>
        <v>0.10535561263307933</v>
      </c>
      <c r="BU23" s="162">
        <f>('Evolutive SFP'!BR28+'Evolutive SFP'!BR29)/'Evolutive SFP'!BR27</f>
        <v>0.11115466506960281</v>
      </c>
      <c r="BV23" s="162">
        <f>('Evolutive SFP'!BS28+'Evolutive SFP'!BS29)/'Evolutive SFP'!BS27</f>
        <v>0.10757297755376331</v>
      </c>
      <c r="BW23" s="162">
        <f>('Evolutive SFP'!BT28+'Evolutive SFP'!BT29)/'Evolutive SFP'!BT27</f>
        <v>0.10843250550608217</v>
      </c>
      <c r="BX23" s="162">
        <f>('Evolutive SFP'!BU28+'Evolutive SFP'!BU29)/'Evolutive SFP'!BU27</f>
        <v>0.10055695809139567</v>
      </c>
      <c r="BY23" s="162">
        <f>('Evolutive SFP'!BV28+'Evolutive SFP'!BV29)/'Evolutive SFP'!BV27</f>
        <v>0.14167647754752327</v>
      </c>
      <c r="BZ23" s="162">
        <f>('Evolutive SFP'!BW28+'Evolutive SFP'!BW29)/'Evolutive SFP'!BW27</f>
        <v>0.11526191875605818</v>
      </c>
      <c r="CA23" s="162">
        <f>('Evolutive SFP'!BX28+'Evolutive SFP'!BX29)/'Evolutive SFP'!BX27</f>
        <v>0.11357528014094694</v>
      </c>
      <c r="CB23" s="162">
        <f>('Evolutive SFP'!BY28+'Evolutive SFP'!BY29)/'Evolutive SFP'!BY27</f>
        <v>0.1112758046427296</v>
      </c>
      <c r="CC23" s="162">
        <f>('Evolutive SFP'!BZ28+'Evolutive SFP'!BZ29)/'Evolutive SFP'!BZ27</f>
        <v>0.11027520682315856</v>
      </c>
      <c r="CD23" s="162">
        <f>('Evolutive SFP'!CA28+'Evolutive SFP'!CA29)/'Evolutive SFP'!CA27</f>
        <v>0.11898525922301322</v>
      </c>
      <c r="CE23" s="162">
        <f>('Evolutive SFP'!CB28+'Evolutive SFP'!CB29)/'Evolutive SFP'!CB27</f>
        <v>0.11267078081845205</v>
      </c>
      <c r="CF23" s="162">
        <f>('Evolutive SFP'!CC28+'Evolutive SFP'!CC29)/'Evolutive SFP'!CC27</f>
        <v>0.1110433696590966</v>
      </c>
      <c r="CG23" s="162">
        <f>('Evolutive SFP'!CD28+'Evolutive SFP'!CD29)/'Evolutive SFP'!CD27</f>
        <v>0.10826702203324452</v>
      </c>
      <c r="CH23" s="162">
        <f>('Evolutive SFP'!CE28+'Evolutive SFP'!CE29)/'Evolutive SFP'!CE27</f>
        <v>0.10677937996143938</v>
      </c>
      <c r="CI23" s="162">
        <f>('Evolutive SFP'!CF28+'Evolutive SFP'!CF29)/'Evolutive SFP'!CF27</f>
        <v>9.7678961029797798E-2</v>
      </c>
      <c r="CJ23" s="162">
        <f>('Evolutive SFP'!CG28+'Evolutive SFP'!CG29)/'Evolutive SFP'!CG27</f>
        <v>9.9096336218075259E-2</v>
      </c>
    </row>
    <row r="24" spans="1:97" ht="18.75" hidden="1">
      <c r="A24" s="260" t="s">
        <v>148</v>
      </c>
      <c r="B24" s="160" t="s">
        <v>37</v>
      </c>
      <c r="C24" s="161"/>
      <c r="D24" s="162" t="e">
        <f>(Financials!C4-Financials!B4)/Financials!B4</f>
        <v>#VALUE!</v>
      </c>
      <c r="E24" s="162">
        <f>(Financials!D4-Financials!C4)/Financials!C4</f>
        <v>5.0387954510108341E-3</v>
      </c>
      <c r="F24" s="162">
        <f>(Financials!E4-Financials!D4)/Financials!D4</f>
        <v>7.503091218295603E-2</v>
      </c>
      <c r="G24" s="162">
        <f>(Financials!F4-Financials!E4)/Financials!E4</f>
        <v>0.11849659333257349</v>
      </c>
      <c r="H24" s="162">
        <f>(Financials!G4-Financials!F4)/Financials!F4</f>
        <v>5.0952283032262423E-2</v>
      </c>
      <c r="I24" s="162">
        <f>(Financials!H4-Financials!G4)/Financials!G4</f>
        <v>0.13049870344868042</v>
      </c>
      <c r="J24" s="162">
        <f>(Financials!I4-Financials!H4)/Financials!H4</f>
        <v>0.15358650059713719</v>
      </c>
      <c r="K24" s="162">
        <f>(Financials!J4-Financials!I4)/Financials!I4</f>
        <v>1.5520119672445234E-2</v>
      </c>
      <c r="L24" s="162">
        <f>(Financials!K4-Financials!J4)/Financials!J4</f>
        <v>5.4082901796800083E-3</v>
      </c>
      <c r="M24" s="162">
        <f>(Financials!L4-Financials!K4)/Financials!K4</f>
        <v>-1.4074751345679273E-2</v>
      </c>
      <c r="N24" s="162">
        <f>(Financials!M4-Financials!L4)/Financials!L4</f>
        <v>-2.6621812024552317E-2</v>
      </c>
      <c r="O24" s="162">
        <f>(Financials!N4-Financials!M4)/Financials!M4</f>
        <v>1.6643423787393859E-2</v>
      </c>
      <c r="P24" s="162">
        <f>(Financials!O4-Financials!N4)/Financials!N4</f>
        <v>1.9305988332977982E-2</v>
      </c>
      <c r="Q24" s="162">
        <f>(Financials!P4-Financials!O4)/Financials!O4</f>
        <v>-1.0060470717556167E-2</v>
      </c>
      <c r="R24" s="162">
        <f>(Financials!Q4-Financials!P4)/Financials!P4</f>
        <v>4.0833859754431406E-2</v>
      </c>
      <c r="S24" s="162">
        <f>(Financials!R4-Financials!Q4)/Financials!Q4</f>
        <v>1.3861973001432782E-2</v>
      </c>
      <c r="T24" s="162">
        <f>(Financials!S4-Financials!R4)/Financials!R4</f>
        <v>2.3674094338018072E-2</v>
      </c>
      <c r="U24" s="162">
        <f>(Financials!T4-Financials!S4)/Financials!S4</f>
        <v>2.6183345341639196E-2</v>
      </c>
      <c r="V24" s="162">
        <f>(Financials!U4-Financials!T4)/Financials!T4</f>
        <v>1.1686396055464369E-2</v>
      </c>
      <c r="W24" s="162">
        <f>(Financials!V4-Financials!U4)/Financials!U4</f>
        <v>-4.7968391780960106E-4</v>
      </c>
      <c r="X24" s="162">
        <f>(Financials!W4-Financials!V4)/Financials!V4</f>
        <v>7.6398487224132432E-3</v>
      </c>
      <c r="Y24" s="162">
        <f>(Financials!X4-Financials!W4)/Financials!W4</f>
        <v>1.5503494169456669E-2</v>
      </c>
      <c r="Z24" s="162">
        <f>(Financials!Y4-Financials!X4)/Financials!X4</f>
        <v>-1.4070839195487631E-2</v>
      </c>
      <c r="AA24" s="162">
        <f>(Financials!Z4-Financials!Y4)/Financials!Y4</f>
        <v>-1.2759018214084256E-2</v>
      </c>
      <c r="AB24" s="162">
        <f>(Financials!AA4-Financials!Z4)/Financials!Z4</f>
        <v>1.4883343028782942E-2</v>
      </c>
      <c r="AC24" s="162">
        <f>(Financials!AB4-Financials!AA4)/Financials!AA4</f>
        <v>3.213298020222622E-2</v>
      </c>
      <c r="AD24" s="162">
        <f>(Financials!AC4-Financials!AB4)/Financials!AB4</f>
        <v>1.4932781662729678E-2</v>
      </c>
      <c r="AE24" s="162">
        <f>(Financials!AD4-Financials!AC4)/Financials!AC4</f>
        <v>1.1874146999301904E-2</v>
      </c>
      <c r="AF24" s="162">
        <f>(Financials!AE4-Financials!AD4)/Financials!AD4</f>
        <v>1.855143546512774E-2</v>
      </c>
      <c r="AG24" s="162">
        <f>(Financials!AF4-Financials!AE4)/Financials!AE4</f>
        <v>8.8537037390347441E-3</v>
      </c>
      <c r="AH24" s="162">
        <f>(Financials!AG4-Financials!AF4)/Financials!AF4</f>
        <v>1.8153944898746718E-2</v>
      </c>
      <c r="AI24" s="162">
        <f>(Financials!AH4-Financials!AG4)/Financials!AG4</f>
        <v>7.5385475872753337E-4</v>
      </c>
      <c r="AJ24" s="162">
        <f>(Financials!AI4-Financials!AH4)/Financials!AH4</f>
        <v>-1.5380505290785332E-9</v>
      </c>
      <c r="AK24" s="162">
        <f>(Financials!AJ4-Financials!AI4)/Financials!AI4</f>
        <v>-5.082451647463461E-2</v>
      </c>
      <c r="AL24" s="162">
        <f>(Financials!AK4-Financials!AJ4)/Financials!AJ4</f>
        <v>4.7850802625539861E-3</v>
      </c>
      <c r="AM24" s="162">
        <f>(Financials!AL4-Financials!AK4)/Financials!AK4</f>
        <v>-1.8434933993753101E-2</v>
      </c>
      <c r="AN24" s="162">
        <f>(Financials!AM4-Financials!AL4)/Financials!AL4</f>
        <v>-1.9581898578602257E-2</v>
      </c>
      <c r="AO24" s="162">
        <f>(Financials!AN4-Financials!AM4)/Financials!AM4</f>
        <v>1.6638620234890055E-2</v>
      </c>
      <c r="AP24" s="162">
        <f>(Financials!AO4-Financials!AN4)/Financials!AN4</f>
        <v>2.4732047122477174E-2</v>
      </c>
      <c r="AQ24" s="162">
        <f>(Financials!AP4-Financials!AO4)/Financials!AO4</f>
        <v>-1.1737223086480636E-3</v>
      </c>
      <c r="AR24" s="162">
        <f>(Financials!AQ4-Financials!AP4)/Financials!AP4</f>
        <v>1.9793424318935417E-2</v>
      </c>
      <c r="AS24" s="162">
        <f>(Financials!AR4-Financials!AQ4)/Financials!AQ4</f>
        <v>1.2093511274962051E-2</v>
      </c>
      <c r="AT24" s="162">
        <f>(Financials!AS4-Financials!AR4)/Financials!AR4</f>
        <v>1.5744938212656472E-2</v>
      </c>
      <c r="AU24" s="162">
        <f>(Financials!AT4-Financials!AS4)/Financials!AS4</f>
        <v>8.8444877472406442E-3</v>
      </c>
      <c r="AV24" s="162">
        <f>(Financials!AU4-Financials!AT4)/Financials!AT4</f>
        <v>3.9423302674708631E-3</v>
      </c>
      <c r="AW24" s="162">
        <f>(Financials!AV4-Financials!AU4)/Financials!AU4</f>
        <v>-1.2644755292216491E-3</v>
      </c>
      <c r="AX24" s="162">
        <f>(Financials!AW4-Financials!AV4)/Financials!AV4</f>
        <v>2.9323875804616827E-2</v>
      </c>
      <c r="AY24" s="162">
        <f>(Financials!AX4-Financials!AW4)/Financials!AW4</f>
        <v>0</v>
      </c>
      <c r="AZ24" s="162">
        <f>(Financials!AY4-Financials!AX4)/Financials!AX4</f>
        <v>-2.1346187374553318E-2</v>
      </c>
      <c r="BA24" s="162">
        <f>(Financials!AZ4-Financials!AY4)/Financials!AY4</f>
        <v>1.7731070369089646E-2</v>
      </c>
      <c r="BB24" s="162">
        <f>(Financials!BA4-Financials!AZ4)/Financials!AZ4</f>
        <v>-8.1816409972082938E-4</v>
      </c>
      <c r="BC24" s="162">
        <f>(Financials!BB4-Financials!BA4)/Financials!BA4</f>
        <v>-4.8579028864167116E-3</v>
      </c>
      <c r="BD24" s="162">
        <f>(Financials!BC4-Financials!BB4)/Financials!BB4</f>
        <v>-1</v>
      </c>
      <c r="BE24" s="162" t="e">
        <f>(Financials!BD4-Financials!BC4)/Financials!BC4</f>
        <v>#DIV/0!</v>
      </c>
      <c r="BF24" s="162">
        <f>(Financials!BE4-Financials!BD4)/Financials!BD4</f>
        <v>-0.80016171542775416</v>
      </c>
      <c r="BG24" s="162">
        <f>(Financials!BF4-Financials!BE4)/Financials!BE4</f>
        <v>1.6398113613137852E-2</v>
      </c>
      <c r="BH24" s="162">
        <f>(Financials!BG4-Financials!BF4)/Financials!BF4</f>
        <v>4.1464750972755506E-3</v>
      </c>
      <c r="BI24" s="162">
        <f>(Financials!BH4-Financials!BG4)/Financials!BG4</f>
        <v>1.6254893201866051E-2</v>
      </c>
      <c r="BJ24" s="162">
        <f>(Financials!BI4-Financials!BH4)/Financials!BH4</f>
        <v>-1.4580531787598635E-4</v>
      </c>
      <c r="BK24" s="162">
        <f>(Financials!BJ4-Financials!BI4)/Financials!BI4</f>
        <v>1.2944372399500224E-2</v>
      </c>
      <c r="BL24" s="162">
        <f>(Financials!BK4-Financials!BJ4)/Financials!BJ4</f>
        <v>-2.8527756529158677E-2</v>
      </c>
      <c r="BM24" s="162">
        <f>(Financials!BL4-Financials!BK4)/Financials!BK4</f>
        <v>9.0369645080609507E-3</v>
      </c>
      <c r="BN24" s="162">
        <f>(Financials!BM4-Financials!BL4)/Financials!BL4</f>
        <v>2.1447866956504254E-2</v>
      </c>
      <c r="BO24" s="162">
        <f>(Financials!BN4-Financials!BM4)/Financials!BM4</f>
        <v>6.7363538542143881E-3</v>
      </c>
      <c r="BP24" s="162">
        <f>(Financials!BO4-Financials!BN4)/Financials!BN4</f>
        <v>1.237144800608128E-2</v>
      </c>
      <c r="BQ24" s="162">
        <f>(Financials!BP4-Financials!BO4)/Financials!BO4</f>
        <v>2.1583154381573072E-2</v>
      </c>
      <c r="BR24" s="162">
        <f>(Financials!BQ4-Financials!BP4)/Financials!BP4</f>
        <v>1.7448824453644839E-2</v>
      </c>
      <c r="BS24" s="162">
        <f>(Financials!BR4-Financials!BQ4)/Financials!BQ4</f>
        <v>9.9751847462878039E-3</v>
      </c>
      <c r="BT24" s="162">
        <f>(Financials!BS4-Financials!BR4)/Financials!BR4</f>
        <v>1.8756875276837871E-2</v>
      </c>
      <c r="BU24" s="162">
        <f>(Financials!BT4-Financials!BS4)/Financials!BS4</f>
        <v>2.0888054122757353E-2</v>
      </c>
      <c r="BV24" s="162">
        <f>(Financials!BU4-Financials!BT4)/Financials!BT4</f>
        <v>4.48362834863848E-3</v>
      </c>
      <c r="BW24" s="162">
        <f>(Financials!BV4-Financials!BU4)/Financials!BU4</f>
        <v>-7.9268515997483989E-3</v>
      </c>
      <c r="BX24" s="162">
        <f>(Financials!BW4-Financials!BV4)/Financials!BV4</f>
        <v>4.8169506790947663E-4</v>
      </c>
      <c r="BY24" s="162">
        <f>(Financials!BX4-Financials!BW4)/Financials!BW4</f>
        <v>-1.8013450895552854E-2</v>
      </c>
      <c r="BZ24" s="162">
        <f>(Financials!BY4-Financials!BX4)/Financials!BX4</f>
        <v>-2.63626967028639E-2</v>
      </c>
      <c r="CA24" s="162">
        <f>(Financials!BZ4-Financials!BY4)/Financials!BY4</f>
        <v>1.2415100746376483E-2</v>
      </c>
      <c r="CB24" s="162">
        <f>(Financials!CA4-Financials!BZ4)/Financials!BZ4</f>
        <v>6.6481193749532951E-3</v>
      </c>
      <c r="CC24" s="162">
        <f>(Financials!CB4-Financials!CA4)/Financials!CA4</f>
        <v>2.0417840921675753E-2</v>
      </c>
      <c r="CD24" s="162">
        <f>(Financials!CC4-Financials!CB4)/Financials!CB4</f>
        <v>1.481923438849945E-2</v>
      </c>
      <c r="CE24" s="162">
        <f>(Financials!CD4-Financials!CC4)/Financials!CC4</f>
        <v>-2.5494060083304363E-3</v>
      </c>
      <c r="CF24" s="162">
        <f>(Financials!CE4-Financials!CD4)/Financials!CD4</f>
        <v>1.2826144313090676E-2</v>
      </c>
      <c r="CG24" s="162">
        <f>(Financials!CF4-Financials!CE4)/Financials!CE4</f>
        <v>1.2530524255433117E-2</v>
      </c>
      <c r="CH24" s="162">
        <f>(Financials!CG4-Financials!CF4)/Financials!CF4</f>
        <v>8.9798190860438595E-3</v>
      </c>
      <c r="CI24" s="162">
        <f>(Financials!CH4-Financials!CG4)/Financials!CG4</f>
        <v>-1.0770855398984109E-2</v>
      </c>
      <c r="CJ24" s="162">
        <f>(Financials!CI4-Financials!CH4)/Financials!CH4</f>
        <v>1.1822773050355131E-3</v>
      </c>
    </row>
    <row r="25" spans="1:97" ht="18.75" hidden="1">
      <c r="A25" s="260"/>
      <c r="B25" s="160" t="s">
        <v>149</v>
      </c>
      <c r="C25" s="161" t="e">
        <f ca="1">IF(CAELS!D16&lt;6%,"1",_xludf.IF)</f>
        <v>#NAME?</v>
      </c>
      <c r="D25" s="162">
        <f>Financials!D5/Financials!C5-1</f>
        <v>8.5169426397939674E-3</v>
      </c>
      <c r="E25" s="162">
        <f>Financials!E5/Financials!D5-1</f>
        <v>0.11986732475549977</v>
      </c>
      <c r="F25" s="162">
        <f>Financials!F5/Financials!E5-1</f>
        <v>4.1874468422992805E-2</v>
      </c>
      <c r="G25" s="162">
        <f>Financials!G5/Financials!F5-1</f>
        <v>9.7332938684528525E-2</v>
      </c>
      <c r="H25" s="162">
        <f>Financials!H5/Financials!G5-1</f>
        <v>0.14960412528583378</v>
      </c>
      <c r="I25" s="162">
        <f>Financials!I5/Financials!H5-1</f>
        <v>0.19013075124019529</v>
      </c>
      <c r="J25" s="162">
        <f>Financials!J5/Financials!I5-1</f>
        <v>-2.7866810617148907E-2</v>
      </c>
      <c r="K25" s="162">
        <f>Financials!K5/Financials!J5-1</f>
        <v>3.9592063545860423E-2</v>
      </c>
      <c r="L25" s="162">
        <f>Financials!L5/Financials!K5-1</f>
        <v>4.4294674991799399E-2</v>
      </c>
      <c r="M25" s="162">
        <f>Financials!M5/Financials!L5-1</f>
        <v>-3.9581553422068483E-2</v>
      </c>
      <c r="N25" s="162">
        <f>Financials!N5/Financials!M5-1</f>
        <v>1.3735601039434275E-2</v>
      </c>
      <c r="O25" s="162">
        <f>Financials!O5/Financials!N5-1</f>
        <v>-1.1810280241553173E-3</v>
      </c>
      <c r="P25" s="162">
        <f>Financials!P5/Financials!O5-1</f>
        <v>-1.4837540276856021E-2</v>
      </c>
      <c r="Q25" s="162">
        <f>Financials!Q5/Financials!P5-1</f>
        <v>3.5539682503020087E-2</v>
      </c>
      <c r="R25" s="162">
        <f>Financials!R5/Financials!Q5-1</f>
        <v>-6.7469825884430845E-3</v>
      </c>
      <c r="S25" s="162">
        <f>Financials!S5/Financials!R5-1</f>
        <v>2.128945341468258E-2</v>
      </c>
      <c r="T25" s="162">
        <f>Financials!T5/Financials!S5-1</f>
        <v>2.071086255145671E-2</v>
      </c>
      <c r="U25" s="162">
        <f>Financials!U5/Financials!T5-1</f>
        <v>1.1084319405782805E-2</v>
      </c>
      <c r="V25" s="162">
        <f>Financials!V5/Financials!U5-1</f>
        <v>2.1316228782097824E-9</v>
      </c>
      <c r="W25" s="162">
        <f>Financials!W5/Financials!V5-1</f>
        <v>4.6000266026553494E-3</v>
      </c>
      <c r="X25" s="162">
        <f>Financials!X5/Financials!W5-1</f>
        <v>1.2927660440688049E-2</v>
      </c>
      <c r="Y25" s="162">
        <f>Financials!Y5/Financials!X5-1</f>
        <v>5.7881581412325911E-2</v>
      </c>
      <c r="Z25" s="162">
        <f>Financials!Z5/Financials!Y5-1</f>
        <v>-2.387330443449287E-2</v>
      </c>
      <c r="AA25" s="162">
        <f>Financials!AA5/Financials!Z5-1</f>
        <v>1.0393323640321306E-2</v>
      </c>
      <c r="AB25" s="162">
        <f>Financials!AB5/Financials!AA5-1</f>
        <v>1.3808418968708214E-2</v>
      </c>
      <c r="AC25" s="162">
        <f>Financials!AC5/Financials!AB5-1</f>
        <v>1.123330577647752E-2</v>
      </c>
      <c r="AD25" s="162">
        <f>Financials!AD5/Financials!AC5-1</f>
        <v>4.9230933852133507E-3</v>
      </c>
      <c r="AE25" s="162">
        <f>Financials!AE5/Financials!AD5-1</f>
        <v>1.4462686889858301E-2</v>
      </c>
      <c r="AF25" s="162">
        <f>Financials!AF5/Financials!AE5-1</f>
        <v>-3.7091000728571855E-3</v>
      </c>
      <c r="AG25" s="162">
        <f>Financials!AG5/Financials!AF5-1</f>
        <v>8.9651122695328933E-3</v>
      </c>
      <c r="AH25" s="162">
        <f>Financials!AH5/Financials!AG5-1</f>
        <v>-6.5595180027233635E-3</v>
      </c>
      <c r="AI25" s="162">
        <f>Financials!AI5/Financials!AH5-1</f>
        <v>0</v>
      </c>
      <c r="AJ25" s="162">
        <f>Financials!AJ5/Financials!AI5-1</f>
        <v>9.5298580541189892E-3</v>
      </c>
      <c r="AK25" s="162">
        <f>Financials!AK5/Financials!AJ5-1</f>
        <v>-5.8917111556160418E-3</v>
      </c>
      <c r="AL25" s="162">
        <f>Financials!AL5/Financials!AK5-1</f>
        <v>4.3628624880807987E-2</v>
      </c>
      <c r="AM25" s="162">
        <f>Financials!AM5/Financials!AL5-1</f>
        <v>-3.0875459231650249E-2</v>
      </c>
      <c r="AN25" s="162">
        <f>Financials!AN5/Financials!AM5-1</f>
        <v>8.1121257662959412E-3</v>
      </c>
      <c r="AO25" s="162">
        <f>Financials!AO5/Financials!AN5-1</f>
        <v>3.473499088855414E-3</v>
      </c>
      <c r="AP25" s="162">
        <f>Financials!AP5/Financials!AO5-1</f>
        <v>-1.0238366350387107E-2</v>
      </c>
      <c r="AQ25" s="162">
        <f>Financials!AQ5/Financials!AP5-1</f>
        <v>2.3579852306937932E-2</v>
      </c>
      <c r="AR25" s="162">
        <f>Financials!AR5/Financials!AQ5-1</f>
        <v>8.8971798901833488E-3</v>
      </c>
      <c r="AS25" s="162">
        <f>Financials!AS5/Financials!AR5-1</f>
        <v>1.1191105408499658E-2</v>
      </c>
      <c r="AT25" s="162">
        <f>Financials!AT5/Financials!AS5-1</f>
        <v>-1.8311042705649871E-3</v>
      </c>
      <c r="AU25" s="162">
        <f>Financials!AU5/Financials!AT5-1</f>
        <v>1.2615996574927291E-3</v>
      </c>
      <c r="AV25" s="162">
        <f>Financials!AW5/Financials!AU5-1</f>
        <v>1.5515374827876904E-2</v>
      </c>
      <c r="AW25" s="162">
        <f>Financials!AX5/Financials!AV5-1</f>
        <v>1.5515374827876904E-2</v>
      </c>
      <c r="AX25" s="162">
        <f>Financials!AY5/Financials!AW5-1</f>
        <v>3.1210464345054589E-2</v>
      </c>
      <c r="AY25" s="162">
        <f>Financials!AZ5/Financials!AX5-1</f>
        <v>5.439823465512883E-2</v>
      </c>
      <c r="AZ25" s="162">
        <f>Financials!BA5/Financials!AY5-1</f>
        <v>2.473454574100642E-2</v>
      </c>
      <c r="BA25" s="162">
        <f>Financials!BB5/Financials!AZ5-1</f>
        <v>-1.2666933491500165E-2</v>
      </c>
      <c r="BB25" s="162">
        <f>Financials!BC5/Financials!BA5-1</f>
        <v>-1</v>
      </c>
      <c r="BC25" s="162">
        <f>Financials!BD5/Financials!BB5-1</f>
        <v>4.0977527806044973</v>
      </c>
      <c r="BD25" s="162" t="e">
        <f>Financials!BE5/Financials!BC5-1</f>
        <v>#DIV/0!</v>
      </c>
      <c r="BE25" s="162">
        <f>Financials!BF5/Financials!BD5-1</f>
        <v>-0.8000599231471569</v>
      </c>
      <c r="BF25" s="162">
        <f>Financials!BG5/Financials!BE5-1</f>
        <v>1.581741942953041E-2</v>
      </c>
      <c r="BG25" s="162">
        <f>Financials!BH5/Financials!BF5-1</f>
        <v>1.0636196815713594E-2</v>
      </c>
      <c r="BH25" s="162">
        <f>Financials!BH5/Financials!BG5-1</f>
        <v>7.9462322941465935E-3</v>
      </c>
      <c r="BI25" s="162">
        <f>Financials!BI5/Financials!BH5-1</f>
        <v>-1.4552059557360053E-10</v>
      </c>
      <c r="BJ25" s="162">
        <f>Financials!BJ5/Financials!BI5-1</f>
        <v>6.1008912319249209E-3</v>
      </c>
      <c r="BK25" s="162">
        <f>Financials!BK5/Financials!BJ5-1</f>
        <v>3.9366947860860035E-2</v>
      </c>
      <c r="BL25" s="162">
        <f>Financials!BL5/Financials!BK5-1</f>
        <v>2.7281673810162221E-3</v>
      </c>
      <c r="BM25" s="162">
        <f>Financials!BM5/Financials!BL5-1</f>
        <v>-2.5717087424155238E-3</v>
      </c>
      <c r="BN25" s="162">
        <f>Financials!BN5/Financials!BM5-1</f>
        <v>4.5470882319482708E-3</v>
      </c>
      <c r="BO25" s="162">
        <f>Financials!BO5/Financials!BN5-1</f>
        <v>4.6011775819623235E-3</v>
      </c>
      <c r="BP25" s="162">
        <f>Financials!BP5/Financials!BO5-1</f>
        <v>2.8194371621629966E-2</v>
      </c>
      <c r="BQ25" s="162">
        <f>Financials!BQ5/Financials!BP5-1</f>
        <v>3.7483569741361134E-3</v>
      </c>
      <c r="BR25" s="162">
        <f>Financials!BR5/Financials!BQ5-1</f>
        <v>1.8551247406017879E-4</v>
      </c>
      <c r="BS25" s="162">
        <f>Financials!BS5/Financials!BR5-1</f>
        <v>1.5569209109149273E-2</v>
      </c>
      <c r="BT25" s="162">
        <f>Financials!BT5/Financials!BS5-1</f>
        <v>1.8424472132273495E-2</v>
      </c>
      <c r="BU25" s="162">
        <f>Financials!BU5/Financials!BT5-1</f>
        <v>-9.0683770680666242E-5</v>
      </c>
      <c r="BV25" s="162">
        <f>Financials!BV5/Financials!BU5-1</f>
        <v>-6.7446725982023281E-10</v>
      </c>
      <c r="BW25" s="162">
        <f>Financials!BW5/Financials!BV5-1</f>
        <v>-8.9216754913986618E-3</v>
      </c>
      <c r="BX25" s="162">
        <f>Financials!BX5/Financials!BW5-1</f>
        <v>6.6398791396131474E-2</v>
      </c>
      <c r="BY25" s="162">
        <f>Financials!BY5/Financials!BX5-1</f>
        <v>-3.5545265135362936E-2</v>
      </c>
      <c r="BZ25" s="162">
        <f>Financials!BZ5/Financials!BY5-1</f>
        <v>5.13613304331062E-3</v>
      </c>
      <c r="CA25" s="162">
        <f>Financials!CA5/Financials!BZ5-1</f>
        <v>2.2246215263745928E-3</v>
      </c>
      <c r="CB25" s="162">
        <f>Financials!CB5/Financials!CA5-1</f>
        <v>-4.6128613632566706E-3</v>
      </c>
      <c r="CC25" s="162">
        <f>Financials!CC5/Financials!CB5-1</f>
        <v>2.1087310768582945E-2</v>
      </c>
      <c r="CD25" s="162">
        <f>Financials!CD5/Financials!CC5-1</f>
        <v>-8.864704059693862E-3</v>
      </c>
      <c r="CE25" s="162">
        <f>Financials!CE5/Financials!CD5-1</f>
        <v>3.1351973371889219E-3</v>
      </c>
      <c r="CF25" s="162">
        <f>Financials!CF5/Financials!CE5-1</f>
        <v>4.3881759174078105E-3</v>
      </c>
      <c r="CG25" s="162">
        <f>Financials!CG5/Financials!CF5-1</f>
        <v>4.4067039689617005E-3</v>
      </c>
      <c r="CH25" s="162">
        <f>Financials!CH5/Financials!CG5-1</f>
        <v>-1.3567852574192463E-2</v>
      </c>
      <c r="CI25" s="162" t="e">
        <f>Financials!#REF!/Financials!CH5-1</f>
        <v>#REF!</v>
      </c>
      <c r="CJ25" s="162" t="e">
        <f>Financials!#REF!/Financials!CI5-1</f>
        <v>#REF!</v>
      </c>
    </row>
    <row r="26" spans="1:97" ht="18.75" hidden="1">
      <c r="A26" s="260"/>
      <c r="B26" s="163" t="s">
        <v>150</v>
      </c>
      <c r="C26" s="161"/>
      <c r="D26" s="162">
        <f>Financials!D6/Financials!C6-1</f>
        <v>-0.99109670547542283</v>
      </c>
      <c r="E26" s="162">
        <f>Financials!E6/Financials!D6-1</f>
        <v>4.1686981960019409E-2</v>
      </c>
      <c r="F26" s="162">
        <f>Financials!F6/Financials!E6-1</f>
        <v>-0.77793314767142518</v>
      </c>
      <c r="G26" s="162">
        <f>Financials!G6/Financials!F6-1</f>
        <v>631.36421532042959</v>
      </c>
      <c r="H26" s="162">
        <f>Financials!H6/Financials!G6-1</f>
        <v>0.13638002194934895</v>
      </c>
      <c r="I26" s="162">
        <f>Financials!I6/Financials!H6-1</f>
        <v>0.11568294891979547</v>
      </c>
      <c r="J26" s="162">
        <f>Financials!J6/Financials!I6-1</f>
        <v>3.0556420953518071E-3</v>
      </c>
      <c r="K26" s="162">
        <f>Financials!K6/Financials!J6-1</f>
        <v>1.5794685196533598E-2</v>
      </c>
      <c r="L26" s="162">
        <f>Financials!L6/Financials!K6-1</f>
        <v>6.5829985961274318E-3</v>
      </c>
      <c r="M26" s="162">
        <f>Financials!M6/Financials!L6-1</f>
        <v>8.3501763407050067E-3</v>
      </c>
      <c r="N26" s="162">
        <f>Financials!N6/Financials!M6-1</f>
        <v>6.3561986475337839E-3</v>
      </c>
      <c r="O26" s="162">
        <f>Financials!O6/Financials!N6-1</f>
        <v>7.9766651249335574E-3</v>
      </c>
      <c r="P26" s="162">
        <f>Financials!P6/Financials!O6-1</f>
        <v>-5.6964931618861403E-3</v>
      </c>
      <c r="Q26" s="162">
        <f>Financials!Q6/Financials!P6-1</f>
        <v>1.5789323524654897E-2</v>
      </c>
      <c r="R26" s="162">
        <f>Financials!R6/Financials!Q6-1</f>
        <v>3.4424782248729802E-3</v>
      </c>
      <c r="S26" s="162">
        <f>Financials!S6/Financials!R6-1</f>
        <v>7.9670835643492754E-3</v>
      </c>
      <c r="T26" s="162">
        <f>Financials!T6/Financials!S6-1</f>
        <v>1.3322114746513236E-2</v>
      </c>
      <c r="U26" s="162">
        <f>Financials!U6/Financials!T6-1</f>
        <v>8.5837614031796239E-3</v>
      </c>
      <c r="V26" s="162">
        <f>Financials!V6/Financials!U6-1</f>
        <v>-4.6036095330156401E-3</v>
      </c>
      <c r="W26" s="162">
        <f>Financials!W6/Financials!V6-1</f>
        <v>9.7838813886850229E-3</v>
      </c>
      <c r="X26" s="162">
        <f>Financials!X6/Financials!W6-1</f>
        <v>9.42921269125363E-3</v>
      </c>
      <c r="Y26" s="162">
        <f>Financials!Y6/Financials!X6-1</f>
        <v>1.1518165688019222E-2</v>
      </c>
      <c r="Z26" s="162">
        <f>Financials!Z6/Financials!Y6-1</f>
        <v>1.1999231189922188E-2</v>
      </c>
      <c r="AA26" s="162">
        <f>Financials!AA6/Financials!Z6-1</f>
        <v>1.0484130621118082E-2</v>
      </c>
      <c r="AB26" s="162">
        <f>Financials!AB6/Financials!AA6-1</f>
        <v>1.0587497230911902E-2</v>
      </c>
      <c r="AC26" s="162">
        <f>Financials!AC6/Financials!AB6-1</f>
        <v>9.050810294650713E-3</v>
      </c>
      <c r="AD26" s="162">
        <f>Financials!AD6/Financials!AC6-1</f>
        <v>1.2128568712791221E-2</v>
      </c>
      <c r="AE26" s="162">
        <f>Financials!AE6/Financials!AD6-1</f>
        <v>9.9659599671753085E-4</v>
      </c>
      <c r="AF26" s="162">
        <f>Financials!AF6/Financials!AE6-1</f>
        <v>4.298615855936827E-3</v>
      </c>
      <c r="AG26" s="162">
        <f>Financials!AG6/Financials!AF6-1</f>
        <v>8.5753375145922739E-3</v>
      </c>
      <c r="AH26" s="162">
        <f>Financials!AH6/Financials!AG6-1</f>
        <v>6.957457982559978E-3</v>
      </c>
      <c r="AI26" s="162">
        <f>Financials!AI6/Financials!AH6-1</f>
        <v>-4.2694599253891852E-3</v>
      </c>
      <c r="AJ26" s="162">
        <f>Financials!AJ6/Financials!AI6-1</f>
        <v>1.0125149078130447E-2</v>
      </c>
      <c r="AK26" s="162">
        <f>Financials!AK6/Financials!AJ6-1</f>
        <v>9.5989552164503777E-3</v>
      </c>
      <c r="AL26" s="162">
        <f>Financials!AL6/Financials!AK6-1</f>
        <v>2.8359805550672856E-3</v>
      </c>
      <c r="AM26" s="162">
        <f>Financials!AM6/Financials!AL6-1</f>
        <v>5.8477107893450953E-3</v>
      </c>
      <c r="AN26" s="162">
        <f>Financials!AN6/Financials!AM6-1</f>
        <v>5.2961302281493428E-3</v>
      </c>
      <c r="AO26" s="162">
        <f>Financials!AO6/Financials!AN6-1</f>
        <v>8.6922937921467547E-3</v>
      </c>
      <c r="AP26" s="162">
        <f>Financials!AP6/Financials!AO6-1</f>
        <v>1.1728185927126766E-3</v>
      </c>
      <c r="AQ26" s="162">
        <f>Financials!AQ6/Financials!AP6-1</f>
        <v>8.0237052753404647E-3</v>
      </c>
      <c r="AR26" s="162">
        <f>Financials!AR6/Financials!AQ6-1</f>
        <v>5.3643144721866598E-3</v>
      </c>
      <c r="AS26" s="162">
        <f>Financials!AS6/Financials!AR6-1</f>
        <v>7.267598467928682E-3</v>
      </c>
      <c r="AT26" s="162">
        <f>Financials!AT6/Financials!AS6-1</f>
        <v>5.9515807657608555E-3</v>
      </c>
      <c r="AU26" s="162">
        <f>Financials!AU6/Financials!AT6-1</f>
        <v>3.6495111824854654E-3</v>
      </c>
      <c r="AV26" s="162">
        <f>Financials!AW6/Financials!AU6-1</f>
        <v>7.719078220143949E-3</v>
      </c>
      <c r="AW26" s="162">
        <f>Financials!AX6/Financials!AV6-1</f>
        <v>1.6404945051491593E-2</v>
      </c>
      <c r="AX26" s="162">
        <f>Financials!AY6/Financials!AW6-1</f>
        <v>4.6729211597842379E-3</v>
      </c>
      <c r="AY26" s="162">
        <f>Financials!AZ6/Financials!AX6-1</f>
        <v>8.0858964110455123E-3</v>
      </c>
      <c r="AZ26" s="162">
        <f>Financials!BA6/Financials!AY6-1</f>
        <v>1.6389147363444989E-2</v>
      </c>
      <c r="BA26" s="162">
        <f>Financials!BB6/Financials!AZ6-1</f>
        <v>1.5202218699161385E-2</v>
      </c>
      <c r="BB26" s="162">
        <f>Financials!BC6/Financials!BA6-1</f>
        <v>-1</v>
      </c>
      <c r="BC26" s="162">
        <f>Financials!BD6/Financials!BB6-1</f>
        <v>4.0564120334938041</v>
      </c>
      <c r="BD26" s="162" t="e">
        <f>Financials!BE6/Financials!BC6-1</f>
        <v>#DIV/0!</v>
      </c>
      <c r="BE26" s="162">
        <f>Financials!BE6/Financials!BD6-1</f>
        <v>-0.79875784503255676</v>
      </c>
      <c r="BF26" s="162">
        <f>Financials!BF6/Financials!BE6-1</f>
        <v>7.1267965680814616E-3</v>
      </c>
      <c r="BG26" s="162">
        <f>Financials!BG6/Financials!BF6-1</f>
        <v>7.4770649411779466E-3</v>
      </c>
      <c r="BH26" s="162">
        <f>Financials!BH6/Financials!BG6-1</f>
        <v>3.8240935395361664E-3</v>
      </c>
      <c r="BI26" s="162">
        <f>Financials!BI6/Financials!BH6-1</f>
        <v>-3.5250305360563505E-3</v>
      </c>
      <c r="BJ26" s="162">
        <f>Financials!BJ6/Financials!BI6-1</f>
        <v>1.1166398824093982E-2</v>
      </c>
      <c r="BK26" s="162">
        <f>Financials!BK6/Financials!BJ6-1</f>
        <v>4.3875559420230026E-3</v>
      </c>
      <c r="BL26" s="162">
        <f>Financials!BL6/Financials!BK6-1</f>
        <v>1.0414208779451206E-2</v>
      </c>
      <c r="BM26" s="162">
        <f>Financials!BM6/Financials!BL6-1</f>
        <v>9.6221473860089723E-3</v>
      </c>
      <c r="BN26" s="162">
        <f>Financials!BN6/Financials!BM6-1</f>
        <v>7.8289669721340882E-3</v>
      </c>
      <c r="BO26" s="162">
        <f>Financials!BO6/Financials!BN6-1</f>
        <v>4.0604999065827485E-3</v>
      </c>
      <c r="BP26" s="162">
        <f>Financials!BP6/Financials!BO6-1</f>
        <v>7.0582814698429974E-3</v>
      </c>
      <c r="BQ26" s="162">
        <f>Financials!BQ6/Financials!BP6-1</f>
        <v>9.67059292091621E-3</v>
      </c>
      <c r="BR26" s="162">
        <f>Financials!BR6/Financials!BQ6-1</f>
        <v>5.9255642824127541E-3</v>
      </c>
      <c r="BS26" s="162">
        <f>Financials!BS6/Financials!BR6-1</f>
        <v>8.3084975163032482E-3</v>
      </c>
      <c r="BT26" s="162">
        <f>Financials!BT6/Financials!BS6-1</f>
        <v>6.8257297757905455E-3</v>
      </c>
      <c r="BU26" s="162">
        <f>Financials!BU6/Financials!BT6-1</f>
        <v>5.7885882412151979E-3</v>
      </c>
      <c r="BV26" s="162">
        <f>Financials!BV6/Financials!BU6-1</f>
        <v>0</v>
      </c>
      <c r="BW26" s="162">
        <f>Financials!BW6/Financials!BV6-1</f>
        <v>4.0128481001426852E-3</v>
      </c>
      <c r="BX26" s="162">
        <f>Financials!BX6/Financials!BW6-1</f>
        <v>6.4780840756544222E-3</v>
      </c>
      <c r="BY26" s="162">
        <f>Financials!BY6/Financials!BX6-1</f>
        <v>9.2170407292209156E-3</v>
      </c>
      <c r="BZ26" s="162">
        <f>Financials!BZ6/Financials!BY6-1</f>
        <v>6.6723181108234719E-3</v>
      </c>
      <c r="CA26" s="162">
        <f>Financials!CA6/Financials!BZ6-1</f>
        <v>5.4482427221864693E-3</v>
      </c>
      <c r="CB26" s="162">
        <f>Financials!CB6/Financials!CA6-1</f>
        <v>-7.7547101131638652E-3</v>
      </c>
      <c r="CC26" s="162">
        <f>Financials!CC6/Financials!CB6-1</f>
        <v>6.1654713580625575E-3</v>
      </c>
      <c r="CD26" s="162">
        <f>Financials!CD6/Financials!CC6-1</f>
        <v>1.3811841297253213E-3</v>
      </c>
      <c r="CE26" s="162">
        <f>Financials!CE6/Financials!CD6-1</f>
        <v>4.158897257387828E-3</v>
      </c>
      <c r="CF26" s="162">
        <f>Financials!CF6/Financials!CE6-1</f>
        <v>7.9270602642551591E-3</v>
      </c>
      <c r="CG26" s="162">
        <f>Financials!CG6/Financials!CF6-1</f>
        <v>6.2818978287573213E-3</v>
      </c>
      <c r="CH26" s="162">
        <f>Financials!CH6/Financials!CG6-1</f>
        <v>2.7013855427360234E-3</v>
      </c>
      <c r="CI26" s="162" t="e">
        <f>Financials!#REF!/Financials!CH6-1</f>
        <v>#REF!</v>
      </c>
      <c r="CJ26" s="162" t="e">
        <f>Financials!#REF!/Financials!CI6-1</f>
        <v>#REF!</v>
      </c>
    </row>
    <row r="27" spans="1:97" ht="18.75" hidden="1">
      <c r="A27" s="260"/>
      <c r="B27" s="163" t="s">
        <v>151</v>
      </c>
      <c r="C27" s="161"/>
      <c r="D27" s="162">
        <f>Financials!D7/Financials!C7-1</f>
        <v>12.023298041129001</v>
      </c>
      <c r="E27" s="162">
        <f>Financials!E7/Financials!D7-1</f>
        <v>0.1205097328677962</v>
      </c>
      <c r="F27" s="162">
        <f>Financials!F7/Financials!E7-1</f>
        <v>4.8136957745674058E-2</v>
      </c>
      <c r="G27" s="162">
        <f>Financials!G7/Financials!F7-1</f>
        <v>-0.92434439327243711</v>
      </c>
      <c r="H27" s="162">
        <f>Financials!H7/Financials!G7-1</f>
        <v>0.32849704548188585</v>
      </c>
      <c r="I27" s="162">
        <f>Financials!I7/Financials!H7-1</f>
        <v>1.0516040048030595</v>
      </c>
      <c r="J27" s="162">
        <f>Financials!J7/Financials!I7-1</f>
        <v>-0.22245259437352061</v>
      </c>
      <c r="K27" s="162">
        <f>Financials!K7/Financials!J7-1</f>
        <v>0.23277307598093122</v>
      </c>
      <c r="L27" s="162">
        <f>Financials!L7/Financials!K7-1</f>
        <v>0.29654629055033421</v>
      </c>
      <c r="M27" s="162">
        <f>Financials!M7/Financials!L7-1</f>
        <v>-0.28849180502121763</v>
      </c>
      <c r="N27" s="162">
        <f>Financials!N7/Financials!M7-1</f>
        <v>6.8044668597127655E-2</v>
      </c>
      <c r="O27" s="162">
        <f>Financials!O7/Financials!N7-1</f>
        <v>-6.4684804154673481E-2</v>
      </c>
      <c r="P27" s="162">
        <f>Financials!P7/Financials!O7-1</f>
        <v>-8.3150310707485131E-2</v>
      </c>
      <c r="Q27" s="162">
        <f>Financials!Q7/Financials!P7-1</f>
        <v>0.19560667086350203</v>
      </c>
      <c r="R27" s="162">
        <f>Financials!R7/Financials!Q7-1</f>
        <v>-7.6907583161687998E-2</v>
      </c>
      <c r="S27" s="162">
        <f>Financials!S7/Financials!R7-1</f>
        <v>0.12100683801772405</v>
      </c>
      <c r="T27" s="162">
        <f>Financials!T7/Financials!S7-1</f>
        <v>7.0438557032546534E-2</v>
      </c>
      <c r="U27" s="162">
        <f>Financials!U7/Financials!T7-1</f>
        <v>2.701558180899255E-2</v>
      </c>
      <c r="V27" s="162">
        <f>Financials!V7/Financials!U7-1</f>
        <v>2.880360926536385E-2</v>
      </c>
      <c r="W27" s="162">
        <f>Financials!W7/Financials!V7-1</f>
        <v>-2.678081643169905E-2</v>
      </c>
      <c r="X27" s="162">
        <f>Financials!X7/Financials!W7-1</f>
        <v>3.4901449157618059E-2</v>
      </c>
      <c r="Y27" s="162">
        <f>Financials!Y7/Financials!X7-1</f>
        <v>0.34192311608964476</v>
      </c>
      <c r="Z27" s="162">
        <f>Financials!Z7/Financials!Y7-1</f>
        <v>-0.18953212091772531</v>
      </c>
      <c r="AA27" s="162">
        <f>Financials!AA7/Financials!Z7-1</f>
        <v>9.8697038044279761E-3</v>
      </c>
      <c r="AB27" s="162">
        <f>Financials!AB7/Financials!AA7-1</f>
        <v>3.239250384724679E-2</v>
      </c>
      <c r="AC27" s="162">
        <f>Financials!AC7/Financials!AB7-1</f>
        <v>2.3559909647202559E-2</v>
      </c>
      <c r="AD27" s="162">
        <f>Financials!AD7/Financials!AC7-1</f>
        <v>-3.5196127459205417E-2</v>
      </c>
      <c r="AE27" s="162">
        <f>Financials!AE7/Financials!AD7-1</f>
        <v>9.3117995919319796E-2</v>
      </c>
      <c r="AF27" s="162">
        <f>Financials!AF7/Financials!AE7-1</f>
        <v>-4.6540346698442092E-2</v>
      </c>
      <c r="AG27" s="162">
        <f>Financials!AG7/Financials!AF7-1</f>
        <v>1.1161081789646143E-2</v>
      </c>
      <c r="AH27" s="162">
        <f>Financials!AH7/Financials!AG7-1</f>
        <v>-8.251867587957773E-2</v>
      </c>
      <c r="AI27" s="162">
        <f>Financials!AI7/Financials!AH7-1</f>
        <v>2.6332217320626627E-2</v>
      </c>
      <c r="AJ27" s="162">
        <f>Financials!AJ7/Financials!AI7-1</f>
        <v>5.9678271012111317E-3</v>
      </c>
      <c r="AK27" s="162">
        <f>Financials!AK7/Financials!AJ7-1</f>
        <v>-9.8965961705841154E-2</v>
      </c>
      <c r="AL27" s="162">
        <f>Financials!AL7/Financials!AK7-1</f>
        <v>0.31825927249925612</v>
      </c>
      <c r="AM27" s="162">
        <f>Financials!AM7/Financials!AL7-1</f>
        <v>-0.2189527578673014</v>
      </c>
      <c r="AN27" s="162">
        <f>Financials!AN7/Financials!AM7-1</f>
        <v>2.6685170551615567E-2</v>
      </c>
      <c r="AO27" s="162">
        <f>Financials!AO7/Financials!AN7-1</f>
        <v>-3.0230239541743753E-2</v>
      </c>
      <c r="AP27" s="162">
        <f>Financials!AP7/Financials!AO7-1</f>
        <v>-8.6891281258174913E-2</v>
      </c>
      <c r="AQ27" s="162">
        <f>Financials!AQ7/Financials!AP7-1</f>
        <v>0.13815397232027493</v>
      </c>
      <c r="AR27" s="162">
        <f>Financials!AR7/Financials!AQ7-1</f>
        <v>3.1942423931180075E-2</v>
      </c>
      <c r="AS27" s="162">
        <f>Financials!AS7/Financials!AR7-1</f>
        <v>3.6125374491347673E-2</v>
      </c>
      <c r="AT27" s="162">
        <f>Financials!AT7/Financials!AS7-1</f>
        <v>-4.9913292693785194E-2</v>
      </c>
      <c r="AU27" s="162">
        <f>Financials!AU7/Financials!AT7-1</f>
        <v>-1.4358609259051192E-2</v>
      </c>
      <c r="AV27" s="162">
        <f>Financials!AW7/Financials!AU7-1</f>
        <v>6.7445587894229275E-2</v>
      </c>
      <c r="AW27" s="162">
        <f>Financials!AX7/Financials!AV7-1</f>
        <v>0.24640520791220633</v>
      </c>
      <c r="AX27" s="162">
        <f>Financials!AY7/Financials!AW7-1</f>
        <v>0.19808351262168222</v>
      </c>
      <c r="AY27" s="162">
        <f>Financials!AZ7/Financials!AX7-1</f>
        <v>9.8418504758507108E-2</v>
      </c>
      <c r="AZ27" s="162">
        <f>Financials!BA7/Financials!AY7-1</f>
        <v>6.8740370371146886E-2</v>
      </c>
      <c r="BA27" s="162">
        <f>Financials!BB7/Financials!AZ7-1</f>
        <v>-0.14753730254999198</v>
      </c>
      <c r="BB27" s="162">
        <f>Financials!BC7/Financials!BA7-1</f>
        <v>-1</v>
      </c>
      <c r="BC27" s="162">
        <f>Financials!BD7/Financials!BB7-1</f>
        <v>4.3360112151065806</v>
      </c>
      <c r="BD27" s="162" t="e">
        <f>Financials!BE7/Financials!BC7-1</f>
        <v>#DIV/0!</v>
      </c>
      <c r="BE27" s="162">
        <f>Financials!BF7/Financials!BD7-1</f>
        <v>-0.81500361181285974</v>
      </c>
      <c r="BF27" s="162">
        <f>Financials!BG7/Financials!BE7-1</f>
        <v>2.3058391289188407E-2</v>
      </c>
      <c r="BG27" s="162">
        <f>Financials!BG7/Financials!BF7-1</f>
        <v>-2.6100438669175441E-2</v>
      </c>
      <c r="BH27" s="162">
        <f>Financials!BH7/Financials!BG7-1</f>
        <v>3.3460267537120059E-2</v>
      </c>
      <c r="BI27" s="162">
        <f>Financials!BI7/Financials!BH7-1</f>
        <v>2.1192551059339149E-2</v>
      </c>
      <c r="BJ27" s="162">
        <f>Financials!BJ7/Financials!BI7-1</f>
        <v>-2.3615912920308069E-2</v>
      </c>
      <c r="BK27" s="162">
        <f>Financials!BK7/Financials!BJ7-1</f>
        <v>0.25188377517964033</v>
      </c>
      <c r="BL27" s="162">
        <f>Financials!BL7/Financials!BK7-1</f>
        <v>-3.4736432607933354E-2</v>
      </c>
      <c r="BM27" s="162">
        <f>Financials!BM7/Financials!BL7-1</f>
        <v>-6.4789269048977305E-2</v>
      </c>
      <c r="BN27" s="162">
        <f>Financials!BN7/Financials!BM7-1</f>
        <v>-1.3530638982327203E-2</v>
      </c>
      <c r="BO27" s="162">
        <f>Financials!BO7/Financials!BN7-1</f>
        <v>7.6439044667133693E-3</v>
      </c>
      <c r="BP27" s="162">
        <f>Financials!BP7/Financials!BO7-1</f>
        <v>0.14671719451512732</v>
      </c>
      <c r="BQ27" s="162">
        <f>Financials!BQ7/Financials!BP7-1</f>
        <v>-2.5416598693911108E-2</v>
      </c>
      <c r="BR27" s="162">
        <f>Financials!BR7/Financials!BQ7-1</f>
        <v>-2.9099952502176563E-2</v>
      </c>
      <c r="BS27" s="162">
        <f>Financials!BS7/Financials!BR7-1</f>
        <v>5.394937263743782E-2</v>
      </c>
      <c r="BT27" s="162">
        <f>Financials!BT7/Financials!BS7-1</f>
        <v>7.7080441122550525E-2</v>
      </c>
      <c r="BU27" s="162">
        <f>Financials!BU7/Financials!BT7-1</f>
        <v>-2.7883402484198294E-2</v>
      </c>
      <c r="BV27" s="162">
        <f>Financials!BV7/Financials!BU7-1</f>
        <v>-3.9732725998220531E-9</v>
      </c>
      <c r="BW27" s="162">
        <f>Financials!BW7/Financials!BV7-1</f>
        <v>-7.2184162741594671E-2</v>
      </c>
      <c r="BX27" s="162">
        <f>Financials!BX7/Financials!BW7-1</f>
        <v>0.3835382246717991</v>
      </c>
      <c r="BY27" s="162">
        <f>Financials!BY7/Financials!BX7-1</f>
        <v>-0.20789035912571707</v>
      </c>
      <c r="BZ27" s="162">
        <f>Financials!BZ7/Financials!BY7-1</f>
        <v>-2.3996656731771759E-3</v>
      </c>
      <c r="CA27" s="162">
        <f>Financials!CA7/Financials!BZ7-1</f>
        <v>-1.3732747684821023E-2</v>
      </c>
      <c r="CB27" s="162">
        <f>Financials!CB7/Financials!CA7-1</f>
        <v>1.1242190653804718E-2</v>
      </c>
      <c r="CC27" s="162">
        <f>Financials!CC7/Financials!CB7-1</f>
        <v>9.4974411264104663E-2</v>
      </c>
      <c r="CD27" s="162">
        <f>Financials!CD7/Financials!CC7-1</f>
        <v>-5.5483528071065047E-2</v>
      </c>
      <c r="CE27" s="162">
        <f>Financials!CE7/Financials!CD7-1</f>
        <v>-1.8030661864618658E-3</v>
      </c>
      <c r="CF27" s="162">
        <f>Financials!CF7/Financials!CE7-1</f>
        <v>-1.2785140477630352E-2</v>
      </c>
      <c r="CG27" s="162">
        <f>Financials!CG7/Financials!CF7-1</f>
        <v>-4.8840593165029311E-3</v>
      </c>
      <c r="CH27" s="162">
        <f>Financials!CH7/Financials!CG7-1</f>
        <v>-9.5079264368109762E-2</v>
      </c>
      <c r="CI27" s="162" t="e">
        <f>Financials!#REF!/Financials!CH7-1</f>
        <v>#REF!</v>
      </c>
      <c r="CJ27" s="162" t="e">
        <f>Financials!#REF!/Financials!CI7-1</f>
        <v>#REF!</v>
      </c>
    </row>
    <row r="28" spans="1:97" ht="18.75" hidden="1">
      <c r="A28" s="260"/>
      <c r="B28" s="160" t="s">
        <v>152</v>
      </c>
      <c r="C28" s="161"/>
      <c r="D28" s="162">
        <f>Financials!D31/Financials!C31-1</f>
        <v>0.12835411408679831</v>
      </c>
      <c r="E28" s="162">
        <f>Financials!E31/Financials!D31-1</f>
        <v>9.5578984425505942E-2</v>
      </c>
      <c r="F28" s="162">
        <f>Financials!F31/Financials!E31-1</f>
        <v>0.10407050088727554</v>
      </c>
      <c r="G28" s="162">
        <f>Financials!G31/Financials!F31-1</f>
        <v>4.5523755295144852E-3</v>
      </c>
      <c r="H28" s="162">
        <f>Financials!H31/Financials!G31-1</f>
        <v>8.0363743383218278E-2</v>
      </c>
      <c r="I28" s="162">
        <f>Financials!I31/Financials!H31-1</f>
        <v>0.2610355596900007</v>
      </c>
      <c r="J28" s="162">
        <f>Financials!J31/Financials!I31-1</f>
        <v>2.6766800562550319E-2</v>
      </c>
      <c r="K28" s="162">
        <f>Financials!K31/Financials!J31-1</f>
        <v>-1.5452517693432588E-2</v>
      </c>
      <c r="L28" s="162">
        <f>Financials!L31/Financials!K31-1</f>
        <v>-4.6806730569681765E-3</v>
      </c>
      <c r="M28" s="162">
        <f>Financials!M31/Financials!L31-1</f>
        <v>2.0404901990164204E-2</v>
      </c>
      <c r="N28" s="162">
        <f>Financials!N31/Financials!M31-1</f>
        <v>5.5737464668004222E-4</v>
      </c>
      <c r="O28" s="162">
        <f>Financials!O31/Financials!N31-1</f>
        <v>8.2972326914592109E-3</v>
      </c>
      <c r="P28" s="162">
        <f>Financials!P31/Financials!O31-1</f>
        <v>3.4208146260256589E-2</v>
      </c>
      <c r="Q28" s="162">
        <f>Financials!Q31/Financials!P31-1</f>
        <v>3.080278249907753E-3</v>
      </c>
      <c r="R28" s="162">
        <f>Financials!R31/Financials!Q31-1</f>
        <v>1.7102199970300713E-2</v>
      </c>
      <c r="S28" s="162">
        <f>Financials!S31/Financials!R31-1</f>
        <v>3.2277196932670948E-2</v>
      </c>
      <c r="T28" s="162">
        <f>Financials!T31/Financials!S31-1</f>
        <v>1.0617714567644931E-2</v>
      </c>
      <c r="U28" s="162">
        <f>Financials!U31/Financials!T31-1</f>
        <v>2.4561397070869795E-2</v>
      </c>
      <c r="V28" s="162">
        <f>Financials!V31/Financials!U31-1</f>
        <v>-5.9214388947737007E-10</v>
      </c>
      <c r="W28" s="162">
        <f>Financials!W31/Financials!V31-1</f>
        <v>-2.6257558909895673E-3</v>
      </c>
      <c r="X28" s="162">
        <f>Financials!X31/Financials!W31-1</f>
        <v>2.2409698348613283E-4</v>
      </c>
      <c r="Y28" s="162">
        <f>Financials!Y31/Financials!X31-1</f>
        <v>-8.2706485004876429E-3</v>
      </c>
      <c r="Z28" s="162">
        <f>Financials!Z31/Financials!Y31-1</f>
        <v>1.8513733004157595E-2</v>
      </c>
      <c r="AA28" s="162">
        <f>Financials!AA31/Financials!Z31-1</f>
        <v>1.8979502253904323E-2</v>
      </c>
      <c r="AB28" s="162">
        <f>Financials!AB31/Financials!AA31-1</f>
        <v>1.2175424162097048E-2</v>
      </c>
      <c r="AC28" s="162">
        <f>Financials!AC31/Financials!AB31-1</f>
        <v>1.4174246063522133E-2</v>
      </c>
      <c r="AD28" s="162">
        <f>Financials!AD31/Financials!AC31-1</f>
        <v>3.4782375900727525E-2</v>
      </c>
      <c r="AE28" s="162">
        <f>Financials!AE31/Financials!AD31-1</f>
        <v>1.6695849450192091E-2</v>
      </c>
      <c r="AF28" s="162">
        <f>Financials!AF31/Financials!AE31-1</f>
        <v>-3.0392685314607482E-3</v>
      </c>
      <c r="AG28" s="162">
        <f>Financials!AG31/Financials!AF31-1</f>
        <v>3.2187832495579105E-2</v>
      </c>
      <c r="AH28" s="162">
        <f>Financials!AH31/Financials!AG31-1</f>
        <v>8.9265697843703418E-3</v>
      </c>
      <c r="AI28" s="162">
        <f>Financials!AI31/Financials!AH31-1</f>
        <v>0</v>
      </c>
      <c r="AJ28" s="162">
        <f>Financials!AJ31/Financials!AI31-1</f>
        <v>1.1470682013759115E-2</v>
      </c>
      <c r="AK28" s="162">
        <f>Financials!AK31/Financials!AJ31-1</f>
        <v>1.3082563504052125E-4</v>
      </c>
      <c r="AL28" s="162">
        <f>Financials!AL31/Financials!AK31-1</f>
        <v>-1.5423958206969401E-2</v>
      </c>
      <c r="AM28" s="162">
        <f>Financials!AM31/Financials!AL31-1</f>
        <v>6.1178242318782328E-3</v>
      </c>
      <c r="AN28" s="162">
        <f>Financials!AN31/Financials!AM31-1</f>
        <v>1.7164215871091848E-2</v>
      </c>
      <c r="AO28" s="162">
        <f>Financials!AO31/Financials!AN31-1</f>
        <v>-1.6357393246716478E-3</v>
      </c>
      <c r="AP28" s="162">
        <f>Financials!AP31/Financials!AO31-1</f>
        <v>1.0344372320797879E-2</v>
      </c>
      <c r="AQ28" s="162">
        <f>Financials!AQ31/Financials!AP31-1</f>
        <v>2.4397200048513978E-2</v>
      </c>
      <c r="AR28" s="162">
        <f>Financials!AR31/Financials!AQ31-1</f>
        <v>-3.0197171858912242E-3</v>
      </c>
      <c r="AS28" s="162">
        <f>Financials!AS31/Financials!AR31-1</f>
        <v>1.2870971279825172E-2</v>
      </c>
      <c r="AT28" s="162">
        <f>Financials!AT31/Financials!AS31-1</f>
        <v>2.619018525740846E-2</v>
      </c>
      <c r="AU28" s="162">
        <f>Financials!AU31/Financials!AT31-1</f>
        <v>1.3581290182306693E-2</v>
      </c>
      <c r="AV28" s="162">
        <f>Financials!AW31/Financials!AU31-1</f>
        <v>-7.252376162774965E-3</v>
      </c>
      <c r="AW28" s="162">
        <f>Financials!AX31/Financials!AV31-1</f>
        <v>-7.252376162775187E-3</v>
      </c>
      <c r="AX28" s="162">
        <f>Financials!AY31/Financials!AW31-1</f>
        <v>-2.2127401536120583E-3</v>
      </c>
      <c r="AY28" s="162">
        <f>Financials!AZ31/Financials!AX31-1</f>
        <v>-3.4557239213894864E-3</v>
      </c>
      <c r="AZ28" s="162">
        <f>Financials!BA31/Financials!AY31-1</f>
        <v>-1.244145957479037E-2</v>
      </c>
      <c r="BA28" s="162">
        <f>Financials!BB31/Financials!AZ31-1</f>
        <v>-1.7054479290113056E-2</v>
      </c>
      <c r="BB28" s="162">
        <f>Financials!BC31/Financials!BA31-1</f>
        <v>-1</v>
      </c>
      <c r="BC28" s="162">
        <f>Financials!BD31/Financials!BB31-1</f>
        <v>4.1554029344309988</v>
      </c>
      <c r="BD28" s="162" t="e">
        <f>Financials!BE31/Financials!BC31-1</f>
        <v>#DIV/0!</v>
      </c>
      <c r="BE28" s="162">
        <f>Financials!BE31/Financials!BD31-1</f>
        <v>-0.79842089852038001</v>
      </c>
      <c r="BF28" s="162">
        <f>Financials!BF31/Financials!BE31-1</f>
        <v>1.6700962192809587E-2</v>
      </c>
      <c r="BG28" s="162">
        <f>Financials!BG31/Financials!BF31-1</f>
        <v>7.4168030062431445E-3</v>
      </c>
      <c r="BH28" s="162">
        <f>Financials!BH31/Financials!BG31-1</f>
        <v>9.4534322163544182E-3</v>
      </c>
      <c r="BI28" s="162">
        <f>Financials!BI31/Financials!BH31-1</f>
        <v>2.0939561196087197E-10</v>
      </c>
      <c r="BJ28" s="162">
        <f>Financials!BJ31/Financials!BI31-1</f>
        <v>-7.0233095924632227E-4</v>
      </c>
      <c r="BK28" s="162">
        <f>Financials!BK31/Financials!BJ31-1</f>
        <v>-1.3869269767713077E-2</v>
      </c>
      <c r="BL28" s="162">
        <f>Financials!BL31/Financials!BK31-1</f>
        <v>6.9546151140646995E-3</v>
      </c>
      <c r="BM28" s="162">
        <f>Financials!BM31/Financials!BL31-1</f>
        <v>2.0148633325490994E-2</v>
      </c>
      <c r="BN28" s="162">
        <f>Financials!BN31/Financials!BM31-1</f>
        <v>3.2617569292983095E-3</v>
      </c>
      <c r="BO28" s="162">
        <f>Financials!BO31/Financials!BN31-1</f>
        <v>1.2654992886573346E-2</v>
      </c>
      <c r="BP28" s="162">
        <f>Financials!BP31/Financials!BO31-1</f>
        <v>2.0571365731638647E-2</v>
      </c>
      <c r="BQ28" s="162">
        <f>Financials!BQ31/Financials!BP31-1</f>
        <v>1.4971908235816844E-3</v>
      </c>
      <c r="BR28" s="162">
        <f>Financials!BR31/Financials!BQ31-1</f>
        <v>1.1804771762783384E-2</v>
      </c>
      <c r="BS28" s="162">
        <f>Financials!BS31/Financials!BR31-1</f>
        <v>1.2154160670389214E-2</v>
      </c>
      <c r="BT28" s="162">
        <f>Financials!BT31/Financials!BS31-1</f>
        <v>9.1533457230177362E-3</v>
      </c>
      <c r="BU28" s="162">
        <f>Financials!BU31/Financials!BT31-1</f>
        <v>1.3526641851561605E-2</v>
      </c>
      <c r="BV28" s="162">
        <f>Financials!BV31/Financials!BU31-1</f>
        <v>1.5451950829969974E-10</v>
      </c>
      <c r="BW28" s="162">
        <f>Financials!BW31/Financials!BV31-1</f>
        <v>-6.4678436399409067E-3</v>
      </c>
      <c r="BX28" s="162">
        <f>Financials!BX31/Financials!BW31-1</f>
        <v>-4.4526192465322856E-3</v>
      </c>
      <c r="BY28" s="162">
        <f>Financials!BY31/Financials!BX31-1</f>
        <v>7.4857409154160948E-3</v>
      </c>
      <c r="BZ28" s="162">
        <f>Financials!BZ31/Financials!BY31-1</f>
        <v>2.1870531383270997E-2</v>
      </c>
      <c r="CA28" s="162">
        <f>Financials!CA31/Financials!BZ31-1</f>
        <v>-3.9574028265091377E-3</v>
      </c>
      <c r="CB28" s="162">
        <f>Financials!CB31/Financials!CA31-1</f>
        <v>-1.0303109410587874E-2</v>
      </c>
      <c r="CC28" s="162">
        <f>Financials!CC31/Financials!CB31-1</f>
        <v>4.3009199714056923E-3</v>
      </c>
      <c r="CD28" s="162">
        <f>Financials!CD31/Financials!CC31-1</f>
        <v>-2.5477374708394729E-3</v>
      </c>
      <c r="CE28" s="162">
        <f>Financials!CE31/Financials!CD31-1</f>
        <v>-4.0092688739519211E-3</v>
      </c>
      <c r="CF28" s="162">
        <f>Financials!CF31/Financials!CE31-1</f>
        <v>1.8018917230897546E-3</v>
      </c>
      <c r="CG28" s="162">
        <f>Financials!CG31/Financials!CF31-1</f>
        <v>4.1518201337571448E-3</v>
      </c>
      <c r="CH28" s="162">
        <f>Financials!CH31/Financials!CG31-1</f>
        <v>4.5695087606119067E-3</v>
      </c>
      <c r="CI28" s="162" t="e">
        <f>Financials!#REF!/Financials!CH31-1</f>
        <v>#REF!</v>
      </c>
      <c r="CJ28" s="162" t="e">
        <f>Financials!#REF!/Financials!CI31-1</f>
        <v>#REF!</v>
      </c>
    </row>
    <row r="29" spans="1:97" ht="18.75" hidden="1">
      <c r="A29" s="260"/>
      <c r="B29" s="160" t="s">
        <v>153</v>
      </c>
      <c r="C29" s="161"/>
      <c r="D29" s="162">
        <f>Financials!D11/Financials!C11-1</f>
        <v>0.40702708686753031</v>
      </c>
      <c r="E29" s="162">
        <f>Financials!E11/Financials!D11-1</f>
        <v>-6.6522547869465543E-2</v>
      </c>
      <c r="F29" s="162">
        <f>Financials!F11/Financials!E11-1</f>
        <v>0.31343357286464357</v>
      </c>
      <c r="G29" s="162">
        <f>Financials!G11/Financials!F11-1</f>
        <v>0.80798955768947112</v>
      </c>
      <c r="H29" s="162">
        <f>Financials!H11/Financials!G11-1</f>
        <v>0.11175340592533645</v>
      </c>
      <c r="I29" s="162">
        <f>Financials!I11/Financials!H11-1</f>
        <v>7.5034852674240149E-2</v>
      </c>
      <c r="J29" s="162">
        <f>Financials!J11/Financials!I11-1</f>
        <v>0.25691472497164392</v>
      </c>
      <c r="K29" s="162">
        <f>Financials!K11/Financials!J11-1</f>
        <v>-1.4073393674841173E-2</v>
      </c>
      <c r="L29" s="162">
        <f>Financials!L11/Financials!K11-1</f>
        <v>-8.6931020889174926E-3</v>
      </c>
      <c r="M29" s="162">
        <f>Financials!M11/Financials!L11-1</f>
        <v>6.4536920329327785E-4</v>
      </c>
      <c r="N29" s="162">
        <f>Financials!N11/Financials!M11-1</f>
        <v>1.2648076813726927E-2</v>
      </c>
      <c r="O29" s="162">
        <f>Financials!O11/Financials!N11-1</f>
        <v>5.53775293288572E-2</v>
      </c>
      <c r="P29" s="162">
        <f>Financials!P11/Financials!O11-1</f>
        <v>-1.3619967246380149E-2</v>
      </c>
      <c r="Q29" s="162">
        <f>Financials!Q11/Financials!P11-1</f>
        <v>4.4928483464139912E-2</v>
      </c>
      <c r="R29" s="162">
        <f>Financials!R11/Financials!Q11-1</f>
        <v>4.7223828923463218E-2</v>
      </c>
      <c r="S29" s="162">
        <f>Financials!S11/Financials!R11-1</f>
        <v>1.5257687428460676E-2</v>
      </c>
      <c r="T29" s="162">
        <f>Financials!T11/Financials!S11-1</f>
        <v>2.8901821593091181E-2</v>
      </c>
      <c r="U29" s="162">
        <f>Financials!U11/Financials!T11-1</f>
        <v>-0.12320044588953372</v>
      </c>
      <c r="V29" s="162">
        <f>Financials!V11/Financials!U11-1</f>
        <v>-1.8550923292411703E-2</v>
      </c>
      <c r="W29" s="162">
        <f>Financials!W11/Financials!V11-1</f>
        <v>2.5721470081945252E-3</v>
      </c>
      <c r="X29" s="162">
        <f>Financials!X11/Financials!W11-1</f>
        <v>1.9605152489881261E-2</v>
      </c>
      <c r="Y29" s="162">
        <f>Financials!Y11/Financials!X11-1</f>
        <v>7.3542578267449255E-3</v>
      </c>
      <c r="Z29" s="162">
        <f>Financials!Z11/Financials!Y11-1</f>
        <v>2.6892491432652932E-3</v>
      </c>
      <c r="AA29" s="162">
        <f>Financials!AA11/Financials!Z11-1</f>
        <v>2.2042977497851224E-2</v>
      </c>
      <c r="AB29" s="162">
        <f>Financials!AB11/Financials!AA11-1</f>
        <v>6.7652033161824665E-2</v>
      </c>
      <c r="AC29" s="162">
        <f>Financials!AC11/Financials!AB11-1</f>
        <v>1.1276285496019112E-2</v>
      </c>
      <c r="AD29" s="162">
        <f>Financials!AD11/Financials!AC11-1</f>
        <v>2.1530870058678486E-2</v>
      </c>
      <c r="AE29" s="162">
        <f>Financials!AE11/Financials!AD11-1</f>
        <v>1.5181259906268174E-2</v>
      </c>
      <c r="AF29" s="162">
        <f>Financials!AF11/Financials!AE11-1</f>
        <v>2.8153321679182275E-2</v>
      </c>
      <c r="AG29" s="162">
        <f>Financials!AG11/Financials!AF11-1</f>
        <v>2.9352473879937779E-2</v>
      </c>
      <c r="AH29" s="162">
        <f>Financials!AH11/Financials!AG11-1</f>
        <v>-5.8262025785165927E-2</v>
      </c>
      <c r="AI29" s="162">
        <f>Financials!AI11/Financials!AH11-1</f>
        <v>-1.1396143948705362E-4</v>
      </c>
      <c r="AJ29" s="162">
        <f>Financials!AJ11/Financials!AI11-1</f>
        <v>1.8644218484947572E-2</v>
      </c>
      <c r="AK29" s="162">
        <f>Financials!AK11/Financials!AJ11-1</f>
        <v>1.4193253333070421E-2</v>
      </c>
      <c r="AL29" s="162">
        <f>Financials!AL11/Financials!AK11-1</f>
        <v>1.1878604606136989E-2</v>
      </c>
      <c r="AM29" s="162">
        <f>Financials!AM11/Financials!AL11-1</f>
        <v>-1.8159451632403512E-3</v>
      </c>
      <c r="AN29" s="162">
        <f>Financials!AN11/Financials!AM11-1</f>
        <v>4.288474875065118E-2</v>
      </c>
      <c r="AO29" s="162">
        <f>Financials!AO11/Financials!AN11-1</f>
        <v>5.5733526316695814E-2</v>
      </c>
      <c r="AP29" s="162">
        <f>Financials!AP11/Financials!AO11-1</f>
        <v>1.4187843218324447E-2</v>
      </c>
      <c r="AQ29" s="162">
        <f>Financials!AQ11/Financials!AP11-1</f>
        <v>-2.5076964643464539E-3</v>
      </c>
      <c r="AR29" s="162">
        <f>Financials!AR11/Financials!AQ11-1</f>
        <v>6.9499591431405605E-3</v>
      </c>
      <c r="AS29" s="162">
        <f>Financials!AS11/Financials!AR11-1</f>
        <v>8.9956818340646283E-3</v>
      </c>
      <c r="AT29" s="162">
        <f>Financials!AT11/Financials!AS11-1</f>
        <v>-2.025248112636413E-2</v>
      </c>
      <c r="AU29" s="162">
        <f>Financials!AU11/Financials!AT11-1</f>
        <v>-3.2640328717700395E-2</v>
      </c>
      <c r="AV29" s="162">
        <f>Financials!AW11/Financials!AU11-1</f>
        <v>2.612904039399333E-2</v>
      </c>
      <c r="AW29" s="162">
        <f>Financials!AX11/Financials!AV11-1</f>
        <v>3.0082260001757399E-2</v>
      </c>
      <c r="AX29" s="162">
        <f>Financials!AY11/Financials!AW11-1</f>
        <v>9.7786773488242051E-3</v>
      </c>
      <c r="AY29" s="162">
        <f>Financials!AZ11/Financials!AX11-1</f>
        <v>5.4618045091787026E-2</v>
      </c>
      <c r="AZ29" s="162">
        <f>Financials!BA11/Financials!AY11-1</f>
        <v>3.1580462316211477E-2</v>
      </c>
      <c r="BA29" s="162">
        <f>Financials!BB11/Financials!AZ11-1</f>
        <v>-1.1645414251768793E-2</v>
      </c>
      <c r="BB29" s="162">
        <f>Financials!BC11/Financials!BA11-1</f>
        <v>-1</v>
      </c>
      <c r="BC29" s="162">
        <f>Financials!BC11/Financials!BB11-1</f>
        <v>-1</v>
      </c>
      <c r="BD29" s="162" t="e">
        <f>Financials!BD11/Financials!BC11-1</f>
        <v>#DIV/0!</v>
      </c>
      <c r="BE29" s="162">
        <f>Financials!BE11/Financials!BD11-1</f>
        <v>-0.79908762136168532</v>
      </c>
      <c r="BF29" s="162">
        <f>Financials!BF11/Financials!BE11-1</f>
        <v>2.9730427938845505E-3</v>
      </c>
      <c r="BG29" s="162">
        <f>Financials!BG11/Financials!BF11-1</f>
        <v>-1.8123195326962271E-3</v>
      </c>
      <c r="BH29" s="162">
        <f>Financials!BH11/Financials!BG11-1</f>
        <v>7.7306583642855475E-3</v>
      </c>
      <c r="BI29" s="162">
        <f>Financials!BI11/Financials!BH11-1</f>
        <v>2.9583611116379416E-9</v>
      </c>
      <c r="BJ29" s="162">
        <f>Financials!BJ11/Financials!BI11-1</f>
        <v>1.0714148125923861E-2</v>
      </c>
      <c r="BK29" s="162">
        <f>Financials!BK11/Financials!BJ11-1</f>
        <v>-1.321430070219487E-2</v>
      </c>
      <c r="BL29" s="162">
        <f>Financials!BL11/Financials!BK11-1</f>
        <v>3.2931161125047126E-3</v>
      </c>
      <c r="BM29" s="162">
        <f>Financials!BM11/Financials!BL11-1</f>
        <v>6.3126992121424363E-2</v>
      </c>
      <c r="BN29" s="162">
        <f>Financials!BN11/Financials!BM11-1</f>
        <v>-3.7063153840655172E-4</v>
      </c>
      <c r="BO29" s="162">
        <f>Financials!BO11/Financials!BN11-1</f>
        <v>9.0622828300253033E-3</v>
      </c>
      <c r="BP29" s="162">
        <f>Financials!BP11/Financials!BO11-1</f>
        <v>-1.3784479850923792E-2</v>
      </c>
      <c r="BQ29" s="162">
        <f>Financials!BQ11/Financials!BP11-1</f>
        <v>2.9124114661171374E-2</v>
      </c>
      <c r="BR29" s="162">
        <f>Financials!BR11/Financials!BQ11-1</f>
        <v>1.2792071539508232E-2</v>
      </c>
      <c r="BS29" s="162">
        <f>Financials!BS11/Financials!BR11-1</f>
        <v>1.8887561122171936E-2</v>
      </c>
      <c r="BT29" s="162">
        <f>Financials!BT11/Financials!BS11-1</f>
        <v>9.4651305174699996E-3</v>
      </c>
      <c r="BU29" s="162">
        <f>Financials!BU11/Financials!BT11-1</f>
        <v>-2.8968466167514806E-2</v>
      </c>
      <c r="BV29" s="162">
        <f>Financials!BV11/Financials!BU11-1</f>
        <v>-2.7252503515780124E-2</v>
      </c>
      <c r="BW29" s="162">
        <f>Financials!BW11/Financials!BV11-1</f>
        <v>3.1171141826664694E-3</v>
      </c>
      <c r="BX29" s="162">
        <f>Financials!BX11/Financials!BW11-1</f>
        <v>5.1468243477887921E-3</v>
      </c>
      <c r="BY29" s="162">
        <f>Financials!BY11/Financials!BX11-1</f>
        <v>9.3606445898375412E-4</v>
      </c>
      <c r="BZ29" s="162">
        <f>Financials!BZ11/Financials!BY11-1</f>
        <v>3.9664327350390494E-3</v>
      </c>
      <c r="CA29" s="162">
        <f>Financials!CA11/Financials!BZ11-1</f>
        <v>5.4619307047132359E-4</v>
      </c>
      <c r="CB29" s="162">
        <f>Financials!CB11/Financials!CA11-1</f>
        <v>5.8444827177985825E-2</v>
      </c>
      <c r="CC29" s="162">
        <f>Financials!CC11/Financials!CB11-1</f>
        <v>-4.1555782353838167E-3</v>
      </c>
      <c r="CD29" s="162">
        <f>Financials!CD11/Financials!CC11-1</f>
        <v>3.7002432115802453E-3</v>
      </c>
      <c r="CE29" s="162">
        <f>Financials!CE11/Financials!CD11-1</f>
        <v>1.5184427861880012E-2</v>
      </c>
      <c r="CF29" s="162">
        <f>Financials!CF11/Financials!CE11-1</f>
        <v>8.9124110118863342E-3</v>
      </c>
      <c r="CG29" s="162">
        <f>Financials!CG11/Financials!CF11-1</f>
        <v>-6.0780893060252694E-4</v>
      </c>
      <c r="CH29" s="162">
        <f>Financials!CH11/Financials!CG11-1</f>
        <v>-6.8115506502225864E-2</v>
      </c>
      <c r="CI29" s="162" t="e">
        <f>Financials!#REF!/Financials!CH11-1</f>
        <v>#REF!</v>
      </c>
      <c r="CJ29" s="162" t="e">
        <f>Financials!#REF!/Financials!CI11-1</f>
        <v>#REF!</v>
      </c>
    </row>
    <row r="30" spans="1:97" ht="18.75" hidden="1">
      <c r="A30" s="260"/>
      <c r="B30" s="160" t="s">
        <v>154</v>
      </c>
      <c r="C30" s="161"/>
      <c r="D30" s="162">
        <f>Financials!D37/Financials!C37-1</f>
        <v>0.2782266904013575</v>
      </c>
      <c r="E30" s="162">
        <f>Financials!E37/Financials!D37-1</f>
        <v>0.12924509363472891</v>
      </c>
      <c r="F30" s="162">
        <f>Financials!F37/Financials!E37-1</f>
        <v>0.2259377235838036</v>
      </c>
      <c r="G30" s="162">
        <f>Financials!G37/Financials!F37-1</f>
        <v>3.6541006266313403E-2</v>
      </c>
      <c r="H30" s="162">
        <f>Financials!H37/Financials!G37-1</f>
        <v>0.12780681795594706</v>
      </c>
      <c r="I30" s="162">
        <f>Financials!I37/Financials!H37-1</f>
        <v>0.10523347652362558</v>
      </c>
      <c r="J30" s="162">
        <f>Financials!J37/Financials!I37-1</f>
        <v>-0.97453949131221107</v>
      </c>
      <c r="K30" s="162">
        <f>Financials!K37/Financials!J37-1</f>
        <v>4.0512637285737174</v>
      </c>
      <c r="L30" s="162">
        <f>Financials!L37/Financials!K37-1</f>
        <v>0.66533262296069218</v>
      </c>
      <c r="M30" s="162">
        <f>Financials!M37/Financials!L37-1</f>
        <v>0.28413328730492848</v>
      </c>
      <c r="N30" s="162">
        <f>Financials!N37/Financials!M37-1</f>
        <v>0.3140260956306824</v>
      </c>
      <c r="O30" s="162">
        <f>Financials!O37/Financials!N37-1</f>
        <v>0.38628559768806414</v>
      </c>
      <c r="P30" s="162">
        <f>Financials!P37/Financials!O37-1</f>
        <v>7.0075115085178385E-2</v>
      </c>
      <c r="Q30" s="162">
        <f>Financials!Q37/Financials!P37-1</f>
        <v>0.23875075673642909</v>
      </c>
      <c r="R30" s="162">
        <f>Financials!R37/Financials!Q37-1</f>
        <v>0.21568975400362156</v>
      </c>
      <c r="S30" s="162">
        <f>Financials!S37/Financials!R37-1</f>
        <v>0.11830346416371396</v>
      </c>
      <c r="T30" s="162">
        <f>Financials!T37/Financials!S37-1</f>
        <v>0.10319505719965028</v>
      </c>
      <c r="U30" s="162">
        <f>Financials!U37/Financials!T37-1</f>
        <v>0.11042049867821913</v>
      </c>
      <c r="V30" s="162">
        <f>Financials!V37/Financials!U37-1</f>
        <v>4.1704406594789134E-9</v>
      </c>
      <c r="W30" s="162">
        <f>Financials!W37/Financials!V37-1</f>
        <v>-0.92704218517561943</v>
      </c>
      <c r="X30" s="162">
        <f>Financials!X37/Financials!W37-1</f>
        <v>0.93573914520725721</v>
      </c>
      <c r="Y30" s="162">
        <f>Financials!Y37/Financials!X37-1</f>
        <v>0.56873965446493613</v>
      </c>
      <c r="Z30" s="162">
        <f>Financials!Z37/Financials!Y37-1</f>
        <v>0.38053217207863566</v>
      </c>
      <c r="AA30" s="162">
        <f>Financials!AA37/Financials!Z37-1</f>
        <v>0.26386431156571954</v>
      </c>
      <c r="AB30" s="162">
        <f>Financials!AB37/Financials!AA37-1</f>
        <v>0.39642919409915978</v>
      </c>
      <c r="AC30" s="162">
        <f>Financials!AC37/Financials!AB37-1</f>
        <v>0.15336068494880695</v>
      </c>
      <c r="AD30" s="162">
        <f>Financials!AD37/Financials!AC37-1</f>
        <v>0.16686301256597558</v>
      </c>
      <c r="AE30" s="162">
        <f>Financials!AE37/Financials!AD37-1</f>
        <v>0.11824099729659077</v>
      </c>
      <c r="AF30" s="162">
        <f>Financials!AF37/Financials!AE37-1</f>
        <v>0.11646197390480606</v>
      </c>
      <c r="AG30" s="162">
        <f>Financials!AG37/Financials!AF37-1</f>
        <v>0.11155582071464365</v>
      </c>
      <c r="AH30" s="162">
        <f>Financials!AH37/Financials!AG37-1</f>
        <v>0.14157697676387815</v>
      </c>
      <c r="AI30" s="162">
        <f>Financials!AI37/Financials!AH37-1</f>
        <v>8.3816207539166854E-5</v>
      </c>
      <c r="AJ30" s="162">
        <f>Financials!AJ37/Financials!AI37-1</f>
        <v>-0.92757219284798142</v>
      </c>
      <c r="AK30" s="162">
        <f>Financials!AK37/Financials!AJ37-1</f>
        <v>0.92272060792078925</v>
      </c>
      <c r="AL30" s="162">
        <f>Financials!AL37/Financials!AK37-1</f>
        <v>0.49487337649852448</v>
      </c>
      <c r="AM30" s="162">
        <f>Financials!AM37/Financials!AL37-1</f>
        <v>0.37139770117847726</v>
      </c>
      <c r="AN30" s="162">
        <f>Financials!AN37/Financials!AM37-1</f>
        <v>0.25709269444647398</v>
      </c>
      <c r="AO30" s="162">
        <f>Financials!AO37/Financials!AN37-1</f>
        <v>0.43794774963681427</v>
      </c>
      <c r="AP30" s="162">
        <f>Financials!AP37/Financials!AO37-1</f>
        <v>0.14010676926195553</v>
      </c>
      <c r="AQ30" s="162">
        <f>Financials!AQ37/Financials!AP37-1</f>
        <v>0.15665774029118285</v>
      </c>
      <c r="AR30" s="162">
        <f>Financials!AR37/Financials!AQ37-1</f>
        <v>0.10597148565437053</v>
      </c>
      <c r="AS30" s="162">
        <f>Financials!AS37/Financials!AR37-1</f>
        <v>9.8310924126981947E-2</v>
      </c>
      <c r="AT30" s="162">
        <f>Financials!AT37/Financials!AS37-1</f>
        <v>0.10923766907502452</v>
      </c>
      <c r="AU30" s="162">
        <f>Financials!AU37/Financials!AT37-1</f>
        <v>0.14869278273408382</v>
      </c>
      <c r="AV30" s="162">
        <f>Financials!AW37/Financials!AU37-1</f>
        <v>-0.9288450745834822</v>
      </c>
      <c r="AW30" s="162">
        <f>Financials!AX37/Financials!AV37-1</f>
        <v>-0.86244153009216018</v>
      </c>
      <c r="AX30" s="162">
        <f>Financials!AX37/Financials!AW37-1</f>
        <v>0.93322485158011759</v>
      </c>
      <c r="AY30" s="162">
        <f>Financials!AY37/Financials!AX37-1</f>
        <v>0.55145977274228763</v>
      </c>
      <c r="AZ30" s="162">
        <f>Financials!AZ37/Financials!AY37-1</f>
        <v>0.67219723349641836</v>
      </c>
      <c r="BA30" s="162">
        <f>Financials!BA37/Financials!AZ37-1</f>
        <v>0.17146548302925635</v>
      </c>
      <c r="BB30" s="162">
        <f>Financials!BB37/Financials!BA37-1</f>
        <v>0.16108116423674734</v>
      </c>
      <c r="BC30" s="162">
        <f>Financials!BC37/Financials!BB37-1</f>
        <v>-1</v>
      </c>
      <c r="BD30" s="162" t="e">
        <f>Financials!BD37/Financials!BC37-1</f>
        <v>#DIV/0!</v>
      </c>
      <c r="BE30" s="162">
        <f>Financials!BE37/Financials!BD37-1</f>
        <v>-0.77583403017429187</v>
      </c>
      <c r="BF30" s="162">
        <f>Financials!BF37/Financials!BE37-1</f>
        <v>0.10835129832686818</v>
      </c>
      <c r="BG30" s="162">
        <f>Financials!BG37/Financials!BF37-1</f>
        <v>0.12751741060521216</v>
      </c>
      <c r="BH30" s="162">
        <f>Financials!BH37/Financials!BG37-1</f>
        <v>9.6748720439834957E-2</v>
      </c>
      <c r="BI30" s="162">
        <f>Financials!BI37/Financials!BH37-1</f>
        <v>-6.252899309444615E-10</v>
      </c>
      <c r="BJ30" s="162">
        <f>Financials!BJ37/Financials!BI37-1</f>
        <v>-0.93008877516837463</v>
      </c>
      <c r="BK30" s="162">
        <f>Financials!BK37/Financials!BJ37-1</f>
        <v>1.0881834206397007</v>
      </c>
      <c r="BL30" s="162">
        <f>Financials!BL37/Financials!BK37-1</f>
        <v>0.57604194553889454</v>
      </c>
      <c r="BM30" s="162">
        <f>Financials!BM37/Financials!BL37-1</f>
        <v>0.72420466474477396</v>
      </c>
      <c r="BN30" s="162">
        <f>Financials!BN37/Financials!BM37-1</f>
        <v>0.19198188654064352</v>
      </c>
      <c r="BO30" s="162">
        <f>Financials!BO37/Financials!BN37-1</f>
        <v>0.17542258898587049</v>
      </c>
      <c r="BP30" s="162">
        <f>Financials!BP37/Financials!BO37-1</f>
        <v>0.16774560933663341</v>
      </c>
      <c r="BQ30" s="162">
        <f>Financials!BQ37/Financials!BP37-1</f>
        <v>0.12137797078387202</v>
      </c>
      <c r="BR30" s="162">
        <f>Financials!BR37/Financials!BQ37-1</f>
        <v>0.1128851860886817</v>
      </c>
      <c r="BS30" s="162">
        <f>Financials!BS37/Financials!BR37-1</f>
        <v>0.11500840217997643</v>
      </c>
      <c r="BT30" s="162">
        <f>Financials!BT37/Financials!BS37-1</f>
        <v>9.8031560861900457E-2</v>
      </c>
      <c r="BU30" s="162">
        <f>Financials!BU37/Financials!BT37-1</f>
        <v>0.14828127038470318</v>
      </c>
      <c r="BV30" s="162">
        <f>Financials!BV37/Financials!BU37-1</f>
        <v>5.6492727754942074E-3</v>
      </c>
      <c r="BW30" s="162">
        <f>Financials!BW37/Financials!BV37-1</f>
        <v>-0.93374818533539361</v>
      </c>
      <c r="BX30" s="162">
        <f>Financials!BX37/Financials!BW37-1</f>
        <v>1.1126786274030414</v>
      </c>
      <c r="BY30" s="162">
        <f>Financials!BY37/Financials!BX37-1</f>
        <v>0.59977385338552569</v>
      </c>
      <c r="BZ30" s="162">
        <f>Financials!BZ37/Financials!BY37-1</f>
        <v>0.34494453952239268</v>
      </c>
      <c r="CA30" s="162">
        <f>Financials!CA37/Financials!BZ37-1</f>
        <v>0.22301981229549761</v>
      </c>
      <c r="CB30" s="162">
        <f>Financials!CB37/Financials!CA37-1</f>
        <v>0.38297985513047617</v>
      </c>
      <c r="CC30" s="162">
        <f>Financials!CC37/Financials!CB37-1</f>
        <v>0.13809609593141303</v>
      </c>
      <c r="CD30" s="162">
        <f>Financials!CD37/Financials!CC37-1</f>
        <v>0.12512697410366047</v>
      </c>
      <c r="CE30" s="162">
        <f>Financials!CE37/Financials!CD37-1</f>
        <v>0.12011782192827614</v>
      </c>
      <c r="CF30" s="162">
        <f>Financials!CF37/Financials!CE37-1</f>
        <v>9.6314980187944155E-2</v>
      </c>
      <c r="CG30" s="162">
        <f>Financials!CG37/Financials!CF37-1</f>
        <v>9.5548914207546964E-2</v>
      </c>
      <c r="CH30" s="162">
        <f>Financials!CH37/Financials!CG37-1</f>
        <v>0.10670182784074167</v>
      </c>
      <c r="CI30" s="162" t="e">
        <f>Financials!#REF!/Financials!CH37-1</f>
        <v>#REF!</v>
      </c>
      <c r="CJ30" s="162" t="e">
        <f>Financials!#REF!/Financials!CI37-1</f>
        <v>#REF!</v>
      </c>
    </row>
    <row r="31" spans="1:97" ht="18.75" hidden="1">
      <c r="A31" s="260"/>
      <c r="B31" s="160" t="s">
        <v>155</v>
      </c>
      <c r="C31" s="161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  <c r="CI31" s="159"/>
      <c r="CJ31" s="159"/>
    </row>
    <row r="32" spans="1:97" ht="18.75" hidden="1">
      <c r="A32" s="260"/>
      <c r="B32" s="160" t="s">
        <v>156</v>
      </c>
      <c r="C32" s="161"/>
      <c r="D32" s="162">
        <f>'Evolutitve SCI'!E39/'Evolutitve SCI'!B39-1</f>
        <v>0.76413941071062452</v>
      </c>
      <c r="E32" s="162">
        <f>'Evolutitve SCI'!F39/'Evolutitve SCI'!C39-1</f>
        <v>0.45808734494412007</v>
      </c>
      <c r="F32" s="162">
        <f>'Evolutitve SCI'!G39/'Evolutitve SCI'!D39-1</f>
        <v>0.2705791042232808</v>
      </c>
      <c r="G32" s="162">
        <f>'Evolutitve SCI'!H39/'Evolutitve SCI'!E39-1</f>
        <v>0.43075730825014547</v>
      </c>
      <c r="H32" s="162">
        <f>'Evolutitve SCI'!I39/'Evolutitve SCI'!F39-1</f>
        <v>-0.92797101876042731</v>
      </c>
      <c r="I32" s="162">
        <f>'Evolutitve SCI'!I39/'Evolutitve SCI'!G39-1</f>
        <v>-0.93539348746867212</v>
      </c>
      <c r="J32" s="162">
        <f>'Evolutitve SCI'!I39/'Evolutitve SCI'!H39-1</f>
        <v>-0.94974030231999595</v>
      </c>
      <c r="K32" s="162">
        <f>'Evolutitve SCI'!J39/'Evolutitve SCI'!I39-1</f>
        <v>0.84982426583523774</v>
      </c>
      <c r="L32" s="162">
        <f>'Evolutitve SCI'!K39/'Evolutitve SCI'!J39-1</f>
        <v>0.67825955947505823</v>
      </c>
      <c r="M32" s="162">
        <f>'Evolutitve SCI'!L39/'Evolutitve SCI'!K39-1</f>
        <v>0.42767496573871533</v>
      </c>
      <c r="N32" s="162">
        <f>'Evolutitve SCI'!M39/'Evolutitve SCI'!L39-1</f>
        <v>0.3300867979100266</v>
      </c>
      <c r="O32" s="162">
        <f>'Evolutitve SCI'!N39/'Evolutitve SCI'!M39-1</f>
        <v>0.18841783323610528</v>
      </c>
      <c r="P32" s="162">
        <f>'Evolutitve SCI'!O39/'Evolutitve SCI'!N39-1</f>
        <v>0.18359830538925448</v>
      </c>
      <c r="Q32" s="162">
        <f>'Evolutitve SCI'!P39/'Evolutitve SCI'!O39-1</f>
        <v>0.13638411901519643</v>
      </c>
      <c r="R32" s="162">
        <f>'Evolutitve SCI'!Q39/'Evolutitve SCI'!P39-1</f>
        <v>0.13977701507343188</v>
      </c>
      <c r="S32" s="162">
        <f>'Evolutitve SCI'!R39/'Evolutitve SCI'!Q39-1</f>
        <v>0.13532178577350584</v>
      </c>
      <c r="T32" s="162">
        <f>'Evolutitve SCI'!S39/'Evolutitve SCI'!R39-1</f>
        <v>7.091006652932097E-2</v>
      </c>
      <c r="U32" s="162">
        <f>'Evolutitve SCI'!T39/'Evolutitve SCI'!S39-1</f>
        <v>0.57415847252481855</v>
      </c>
      <c r="V32" s="162">
        <f>'Evolutitve SCI'!U39/'Evolutitve SCI'!T39-1</f>
        <v>3.2864399155754453E-2</v>
      </c>
      <c r="W32" s="162">
        <f>'Evolutitve SCI'!V39/'Evolutitve SCI'!U39-1</f>
        <v>-0.92183083486930739</v>
      </c>
      <c r="X32" s="162">
        <f>'Evolutitve SCI'!W39/'Evolutitve SCI'!V39-1</f>
        <v>0.5631972572274333</v>
      </c>
      <c r="Y32" s="162">
        <f>'Evolutitve SCI'!X39/'Evolutitve SCI'!W39-1</f>
        <v>0.63574008731174225</v>
      </c>
      <c r="Z32" s="162">
        <f>'Evolutitve SCI'!Y39/'Evolutitve SCI'!X39-1</f>
        <v>0.45764440933955042</v>
      </c>
      <c r="AA32" s="162">
        <f>'Evolutitve SCI'!Z39/'Evolutitve SCI'!Y39-1</f>
        <v>0.18087369561689814</v>
      </c>
      <c r="AB32" s="162">
        <f>'Evolutitve SCI'!AA39/'Evolutitve SCI'!Z39-1</f>
        <v>0.15065637253568309</v>
      </c>
      <c r="AC32" s="162">
        <f>'Evolutitve SCI'!AB39/'Evolutitve SCI'!AA39-1</f>
        <v>0.18187421447879148</v>
      </c>
      <c r="AD32" s="162">
        <f>'Evolutitve SCI'!AC39/'Evolutitve SCI'!AB39-1</f>
        <v>0.16251631338710193</v>
      </c>
      <c r="AE32" s="162">
        <f>'Evolutitve SCI'!AD39/'Evolutitve SCI'!AC39-1</f>
        <v>0.12272800015964025</v>
      </c>
      <c r="AF32" s="162">
        <f>'Evolutitve SCI'!AE39/'Evolutitve SCI'!AD39-1</f>
        <v>3.1800715523802481E-2</v>
      </c>
      <c r="AG32" s="162">
        <f>'Evolutitve SCI'!AF39/'Evolutitve SCI'!AE39-1</f>
        <v>0.14020332520562429</v>
      </c>
      <c r="AH32" s="162">
        <f>'Evolutitve SCI'!AG39/'Evolutitve SCI'!AF39-1</f>
        <v>0.39499347695176268</v>
      </c>
      <c r="AI32" s="162">
        <f>'Evolutitve SCI'!AH39/'Evolutitve SCI'!AG39-1</f>
        <v>3.3340724889741047E-4</v>
      </c>
      <c r="AJ32" s="162">
        <f>'Evolutitve SCI'!AI39/'Evolutitve SCI'!AH39-1</f>
        <v>-0.94184914165560618</v>
      </c>
      <c r="AK32" s="162">
        <f>'Evolutitve SCI'!AJ39/'Evolutitve SCI'!AI39-1</f>
        <v>1.0170547060990636</v>
      </c>
      <c r="AL32" s="162">
        <f>'Evolutitve SCI'!AK39/'Evolutitve SCI'!AJ39-1</f>
        <v>0.68587085756917676</v>
      </c>
      <c r="AM32" s="162">
        <f>'Evolutitve SCI'!AL39/'Evolutitve SCI'!AK39-1</f>
        <v>0.52270741172497592</v>
      </c>
      <c r="AN32" s="162">
        <f>'Evolutitve SCI'!AM39/'Evolutitve SCI'!AL39-1</f>
        <v>0.17139475665948245</v>
      </c>
      <c r="AO32" s="162">
        <f>'Evolutitve SCI'!AN39/'Evolutitve SCI'!AM39-1</f>
        <v>0.23505795552168007</v>
      </c>
      <c r="AP32" s="162">
        <f>'Evolutitve SCI'!AO39/'Evolutitve SCI'!AN39-1</f>
        <v>0.14137605684999377</v>
      </c>
      <c r="AQ32" s="162">
        <f>'Evolutitve SCI'!AP39/'Evolutitve SCI'!AO39-1</f>
        <v>0.25183212974698144</v>
      </c>
      <c r="AR32" s="162">
        <f>'Evolutitve SCI'!AQ39/'Evolutitve SCI'!AP39-1</f>
        <v>0.12557390747168218</v>
      </c>
      <c r="AS32" s="162">
        <f>'Evolutitve SCI'!AR39/'Evolutitve SCI'!AQ39-1</f>
        <v>0.10889483678571388</v>
      </c>
      <c r="AT32" s="162">
        <f>'Evolutitve SCI'!AS39/'Evolutitve SCI'!AR39-1</f>
        <v>0.21118181248259127</v>
      </c>
      <c r="AU32" s="162">
        <f>'Evolutitve SCI'!AT39/'Evolutitve SCI'!AS39-1</f>
        <v>0.2258875431671068</v>
      </c>
      <c r="AV32" s="162">
        <f>'Evolutitve SCI'!AV39/'Evolutitve SCI'!AT39-1</f>
        <v>-0.94327391433411045</v>
      </c>
      <c r="AW32" s="162">
        <f>'Evolutitve SCI'!AW39/'Evolutitve SCI'!AU39-1</f>
        <v>-0.8914283413374775</v>
      </c>
      <c r="AX32" s="162">
        <f>'Evolutitve SCI'!AW39/'Evolutitve SCI'!AV39-1</f>
        <v>0.95414460373283405</v>
      </c>
      <c r="AY32" s="162">
        <f>'Evolutitve SCI'!AX39/'Evolutitve SCI'!AW39-1</f>
        <v>0.63743395403835601</v>
      </c>
      <c r="AZ32" s="162">
        <f>'Evolutitve SCI'!AY39/'Evolutitve SCI'!AX39-1</f>
        <v>0.44240485464614454</v>
      </c>
      <c r="BA32" s="162">
        <f>'Evolutitve SCI'!AZ39/'Evolutitve SCI'!AY39-1</f>
        <v>0.41281155473128184</v>
      </c>
      <c r="BB32" s="162">
        <f>'Evolutitve SCI'!BA39/'Evolutitve SCI'!AZ39-1</f>
        <v>0.22053657289692996</v>
      </c>
      <c r="BC32" s="162">
        <f>'Evolutitve SCI'!BB39/'Evolutitve SCI'!BA39-1</f>
        <v>-1</v>
      </c>
      <c r="BD32" s="162" t="e">
        <f>'Evolutitve SCI'!BC39/'Evolutitve SCI'!BB39-1</f>
        <v>#DIV/0!</v>
      </c>
      <c r="BE32" s="162">
        <f>'Evolutitve SCI'!BD39/'Evolutitve SCI'!BC39-1</f>
        <v>-0.77331274222059465</v>
      </c>
      <c r="BF32" s="162">
        <f>'Evolutitve SCI'!BE39/'Evolutitve SCI'!BD39-1</f>
        <v>0.12470681026272623</v>
      </c>
      <c r="BG32" s="162">
        <f>'Evolutitve SCI'!BF39/'Evolutitve SCI'!BE39-1</f>
        <v>0.15685518991363034</v>
      </c>
      <c r="BH32" s="162">
        <f>'Evolutitve SCI'!BG39/'Evolutitve SCI'!BF39-1</f>
        <v>9.4824955292981405E-2</v>
      </c>
      <c r="BI32" s="162">
        <f>'Evolutitve SCI'!BH39/'Evolutitve SCI'!BG39-1</f>
        <v>3.1389968247491851E-2</v>
      </c>
      <c r="BJ32" s="162">
        <f>'Evolutitve SCI'!BI39/'Evolutitve SCI'!BH39-1</f>
        <v>-0.94326708051557473</v>
      </c>
      <c r="BK32" s="162">
        <f>'Evolutitve SCI'!BJ39/'Evolutitve SCI'!BI39-1</f>
        <v>2.0133113162082155</v>
      </c>
      <c r="BL32" s="162">
        <f>'Evolutitve SCI'!BK39/'Evolutitve SCI'!BJ39-1</f>
        <v>0.52233423863869555</v>
      </c>
      <c r="BM32" s="162">
        <f>'Evolutitve SCI'!BL39/'Evolutitve SCI'!BK39-1</f>
        <v>0.23179467685600863</v>
      </c>
      <c r="BN32" s="162">
        <f>'Evolutitve SCI'!BM39/'Evolutitve SCI'!BL39-1</f>
        <v>0.27721416768142415</v>
      </c>
      <c r="BO32" s="162">
        <f>'Evolutitve SCI'!BN39/'Evolutitve SCI'!BM39-1</f>
        <v>0.18399937216645013</v>
      </c>
      <c r="BP32" s="162">
        <f>'Evolutitve SCI'!BO39/'Evolutitve SCI'!BN39-1</f>
        <v>0.28041792487529715</v>
      </c>
      <c r="BQ32" s="162">
        <f>'Evolutitve SCI'!BP39/'Evolutitve SCI'!BO39-1</f>
        <v>4.4866630197959445E-2</v>
      </c>
      <c r="BR32" s="162">
        <f>'Evolutitve SCI'!BQ39/'Evolutitve SCI'!BP39-1</f>
        <v>0.10102015202978953</v>
      </c>
      <c r="BS32" s="162">
        <f>'Evolutitve SCI'!BR39/'Evolutitve SCI'!BQ39-1</f>
        <v>8.894616429082447E-2</v>
      </c>
      <c r="BT32" s="162">
        <f>'Evolutitve SCI'!BS39/'Evolutitve SCI'!BR39-1</f>
        <v>0.10467099581888251</v>
      </c>
      <c r="BU32" s="162">
        <f>'Evolutitve SCI'!BT39/'Evolutitve SCI'!BS39-1</f>
        <v>0.27127224077650869</v>
      </c>
      <c r="BV32" s="162">
        <f>'Evolutitve SCI'!BU39/'Evolutitve SCI'!BT39-1</f>
        <v>6.2665251969418634E-2</v>
      </c>
      <c r="BW32" s="162">
        <f>'Evolutitve SCI'!BV39/'Evolutitve SCI'!BU39-1</f>
        <v>-0.92666777247683996</v>
      </c>
      <c r="BX32" s="162">
        <f>'Evolutitve SCI'!BW39/'Evolutitve SCI'!BV39-1</f>
        <v>0.99083653171199382</v>
      </c>
      <c r="BY32" s="162">
        <f>'Evolutitve SCI'!BX39/'Evolutitve SCI'!BW39-1</f>
        <v>0.63032203850733359</v>
      </c>
      <c r="BZ32" s="162">
        <f>'Evolutitve SCI'!BY39/'Evolutitve SCI'!BX39-1</f>
        <v>0.33459358402453487</v>
      </c>
      <c r="CA32" s="162">
        <f>'Evolutitve SCI'!BZ39/'Evolutitve SCI'!BY39-1</f>
        <v>0.23388302212454049</v>
      </c>
      <c r="CB32" s="162">
        <f>'Evolutitve SCI'!CA39/'Evolutitve SCI'!BZ39-1</f>
        <v>0.11911594615046694</v>
      </c>
      <c r="CC32" s="162">
        <f>'Evolutitve SCI'!CB39/'Evolutitve SCI'!CA39-1</f>
        <v>0.19757056719645627</v>
      </c>
      <c r="CD32" s="162">
        <f>'Evolutitve SCI'!CC39/'Evolutitve SCI'!CB39-1</f>
        <v>0.13985679966522913</v>
      </c>
      <c r="CE32" s="162">
        <f>'Evolutitve SCI'!CD39/'Evolutitve SCI'!CC39-1</f>
        <v>9.5686354183522004E-2</v>
      </c>
      <c r="CF32" s="162">
        <f>'Evolutitve SCI'!CE39/'Evolutitve SCI'!CD39-1</f>
        <v>9.9910365378473642E-2</v>
      </c>
      <c r="CG32" s="162">
        <f>'Evolutitve SCI'!CF39/'Evolutitve SCI'!CE39-1</f>
        <v>0.12118350553213375</v>
      </c>
      <c r="CH32" s="162">
        <f>'Evolutitve SCI'!CG39/'Evolutitve SCI'!CF39-1</f>
        <v>0.30514613246283906</v>
      </c>
      <c r="CI32" s="162">
        <f>'Evolutitve SCI'!CH39/'Evolutitve SCI'!CG39-1</f>
        <v>-9.3108031397342028E-3</v>
      </c>
      <c r="CJ32" s="162">
        <f>'Evolutitve SCI'!CI39/'Evolutitve SCI'!CH39-1</f>
        <v>-0.93536277711011639</v>
      </c>
    </row>
    <row r="33" spans="1:88" ht="18.75" hidden="1">
      <c r="A33" s="165" t="s">
        <v>157</v>
      </c>
      <c r="B33" s="160" t="s">
        <v>158</v>
      </c>
      <c r="C33" s="161"/>
      <c r="D33" s="162"/>
      <c r="E33" s="162"/>
      <c r="F33" s="162"/>
      <c r="G33" s="162"/>
      <c r="H33" s="162">
        <f>Financials!G44/('Evolutive SFP'!B30+'Evolutive SFP'!F30)/2</f>
        <v>2.724026867572699E-2</v>
      </c>
      <c r="I33" s="162"/>
      <c r="J33" s="162"/>
      <c r="K33" s="162">
        <f>Financials!J44/('Evolutive SFP'!F30+'Evolutive SFP'!I30)/2</f>
        <v>1.8899359519613092E-3</v>
      </c>
      <c r="L33" s="162">
        <f>Financials!K44/('Evolutive SFP'!I30+'Evolutive SFP'!J30)/2</f>
        <v>3.3718804117902385E-3</v>
      </c>
      <c r="M33" s="162">
        <f>Financials!L44/('Evolutive SFP'!J30+'Evolutive SFP'!K30)/2</f>
        <v>4.9633735581783786E-3</v>
      </c>
      <c r="N33" s="162">
        <f>Financials!M44/('Evolutive SFP'!K30+'Evolutive SFP'!L30)/2</f>
        <v>6.9012845447013593E-3</v>
      </c>
      <c r="O33" s="162">
        <f>Financials!N44/('Evolutive SFP'!L30+'Evolutive SFP'!M30)/2</f>
        <v>8.8435216381738922E-3</v>
      </c>
      <c r="P33" s="162">
        <f>Financials!O44/('Evolutive SFP'!M30+'Evolutive SFP'!N30)/2</f>
        <v>1.0688330821394929E-2</v>
      </c>
      <c r="Q33" s="162">
        <f>Financials!P44/('Evolutive SFP'!N30+'Evolutive SFP'!O30)/2</f>
        <v>1.2604980501643718E-2</v>
      </c>
      <c r="R33" s="162">
        <f>Financials!Q44/('Evolutive SFP'!O30+'Evolutive SFP'!P30)/2</f>
        <v>1.4470468702279913E-2</v>
      </c>
      <c r="S33" s="162">
        <f>Financials!R44/('Evolutive SFP'!P30+'Evolutive SFP'!Q30)/2</f>
        <v>1.6268723944600497E-2</v>
      </c>
      <c r="T33" s="162">
        <f>Financials!S44/('Evolutive SFP'!Q30+'Evolutive SFP'!R30)/2</f>
        <v>1.8078413721429348E-2</v>
      </c>
      <c r="U33" s="162">
        <f>Financials!T44/('Evolutive SFP'!R30+'Evolutive SFP'!S30)/2</f>
        <v>1.9772099911798232E-2</v>
      </c>
      <c r="V33" s="162">
        <f>Financials!U44/('Evolutive SFP'!S30+'Evolutive SFP'!T30)/2</f>
        <v>2.578245691638446E-2</v>
      </c>
      <c r="W33" s="162">
        <f>Financials!V44/('Evolutive SFP'!T30+'Evolutive SFP'!U30)/2</f>
        <v>2.7237757390124025E-2</v>
      </c>
      <c r="X33" s="162">
        <f>Financials!W44/('Evolutive SFP'!U30+'Evolutive SFP'!V30)/2</f>
        <v>1.8191928154307957E-3</v>
      </c>
      <c r="Y33" s="162">
        <f>Financials!X44/('Evolutive SFP'!V30+'Evolutive SFP'!W30)/2</f>
        <v>3.625643436955683E-3</v>
      </c>
      <c r="Z33" s="162">
        <f>Financials!Y44/('Evolutive SFP'!W30+'Evolutive SFP'!X30)/2</f>
        <v>5.4089585215390873E-3</v>
      </c>
      <c r="AA33" s="162">
        <f>Financials!Z44/('Evolutive SFP'!X30+'Evolutive SFP'!Y30)/2</f>
        <v>7.1775966238154165E-3</v>
      </c>
      <c r="AB33" s="162">
        <f>Financials!AA44/('Evolutive SFP'!Y30+'Evolutive SFP'!Z30)/2</f>
        <v>8.8421164188964355E-3</v>
      </c>
      <c r="AC33" s="162">
        <f>Financials!AB44/('Evolutive SFP'!Z30+'Evolutive SFP'!AA30)/2</f>
        <v>1.0472008362061238E-2</v>
      </c>
      <c r="AD33" s="162">
        <f>Financials!AC44/('Evolutive SFP'!AA30+'Evolutive SFP'!AB30)/2</f>
        <v>1.2139415353497858E-2</v>
      </c>
      <c r="AE33" s="162">
        <f>Financials!AD44/('Evolutive SFP'!AB30+'Evolutive SFP'!AC30)/2</f>
        <v>1.3713386376500773E-2</v>
      </c>
      <c r="AF33" s="162">
        <f>Financials!AE44/('Evolutive SFP'!AC30+'Evolutive SFP'!AD30)/2</f>
        <v>1.5286539111878822E-2</v>
      </c>
      <c r="AG33" s="162">
        <f>Financials!AF44/('Evolutive SFP'!AD30+'Evolutive SFP'!AE30)/2</f>
        <v>1.5266729277294324E-2</v>
      </c>
      <c r="AH33" s="162">
        <f>Financials!AG44/('Evolutive SFP'!AE30+'Evolutive SFP'!AF30)/2</f>
        <v>1.8544329106878119E-2</v>
      </c>
      <c r="AI33" s="162">
        <f>Financials!AH44/('Evolutive SFP'!AF30+'Evolutive SFP'!AG30)/2</f>
        <v>2.4787600131464627E-2</v>
      </c>
      <c r="AJ33" s="162">
        <f>Financials!AI44/('Evolutive SFP'!AG30+'Evolutive SFP'!AH30)/2</f>
        <v>2.4754921416523929E-2</v>
      </c>
      <c r="AK33" s="162">
        <f>Financials!AJ44/('Evolutive SFP'!AH30+'Evolutive SFP'!AI30)/2</f>
        <v>1.6569989040767037E-3</v>
      </c>
      <c r="AL33" s="162">
        <f>Financials!AK44/('Evolutive SFP'!AI30+'Evolutive SFP'!AJ30)/2</f>
        <v>3.2765589090275639E-3</v>
      </c>
      <c r="AM33" s="162">
        <f>Financials!AL44/('Evolutive SFP'!AJ30+'Evolutive SFP'!AK30)/2</f>
        <v>4.8948136578834088E-3</v>
      </c>
      <c r="AN33" s="162">
        <f>Financials!AM44/('Evolutive SFP'!AK30+'Evolutive SFP'!AL30)/2</f>
        <v>6.6393952334655709E-3</v>
      </c>
      <c r="AO33" s="162">
        <f>Financials!AN44/('Evolutive SFP'!AL30+'Evolutive SFP'!AM30)/2</f>
        <v>8.2431798895299269E-3</v>
      </c>
      <c r="AP33" s="162">
        <f>Financials!AO44/('Evolutive SFP'!AM30+'Evolutive SFP'!AN30)/2</f>
        <v>9.8087665153675594E-3</v>
      </c>
      <c r="AQ33" s="162">
        <f>Financials!AP44/('Evolutive SFP'!AN30+'Evolutive SFP'!AO30)/2</f>
        <v>1.1351950934711979E-2</v>
      </c>
      <c r="AR33" s="162">
        <f>Financials!AQ44/('Evolutive SFP'!AO30+'Evolutive SFP'!AP30)/2</f>
        <v>1.2995957600887448E-2</v>
      </c>
      <c r="AS33" s="162">
        <f>Financials!AR44/('Evolutive SFP'!AP30+'Evolutive SFP'!AQ30)/2</f>
        <v>1.4473251879637257E-2</v>
      </c>
      <c r="AT33" s="162">
        <f>Financials!AS44/('Evolutive SFP'!AQ30+'Evolutive SFP'!AR30)/2</f>
        <v>1.5972025198639543E-2</v>
      </c>
      <c r="AU33" s="162">
        <f>Financials!AT44/('Evolutive SFP'!AR30+'Evolutive SFP'!AS30)/2</f>
        <v>2.2543922440679928E-2</v>
      </c>
      <c r="AV33" s="162">
        <f>Financials!AU44/('Evolutive SFP'!AS30+'Evolutive SFP'!AT30)/2</f>
        <v>2.8494033649247144E-2</v>
      </c>
      <c r="AW33" s="162">
        <f>Financials!AV44/('Evolutive SFP'!AT30+'Evolutive SFP'!AU30)/2</f>
        <v>2.7600198948954824E-2</v>
      </c>
      <c r="AX33" s="162">
        <f>Financials!AW44/('Evolutive SFP'!AT30+'Evolutive SFP'!AU30)/2</f>
        <v>1.8747041192438947E-3</v>
      </c>
      <c r="AY33" s="162">
        <f>Financials!AX44/('Evolutive SFP'!AU30+'Evolutive SFP'!AV30)/2</f>
        <v>3.6515282586947798E-3</v>
      </c>
      <c r="AZ33" s="162">
        <f>Financials!AY44/('Evolutive SFP'!AV30+'Evolutive SFP'!AW30)/2</f>
        <v>5.4801846981034673E-3</v>
      </c>
      <c r="BA33" s="162">
        <f>Financials!AZ44/('Evolutive SFP'!AW30+'Evolutive SFP'!AX30)/2</f>
        <v>7.2256418310115231E-3</v>
      </c>
      <c r="BB33" s="162">
        <f>Financials!BA44/('Evolutive SFP'!AX30+'Evolutive SFP'!AY30)/2</f>
        <v>8.9227426755216794E-3</v>
      </c>
      <c r="BC33" s="162">
        <f>Financials!BB44/('Evolutive SFP'!AY30+'Evolutive SFP'!AZ30)/2</f>
        <v>1.0678524428860857E-2</v>
      </c>
      <c r="BD33" s="162">
        <f>Financials!BC44/('Evolutive SFP'!AZ30+'Evolutive SFP'!BA30)/2</f>
        <v>0</v>
      </c>
      <c r="BE33" s="162">
        <f>Financials!BD44/('Evolutive SFP'!BA30+'Evolutive SFP'!BB30)/2</f>
        <v>3.0899637551491766E-2</v>
      </c>
      <c r="BF33" s="162">
        <f>Financials!BE44/('Evolutive SFP'!BB30+'Evolutive SFP'!BC30)/2</f>
        <v>5.9569282323264526E-3</v>
      </c>
      <c r="BG33" s="162">
        <f>Financials!BF44/('Evolutive SFP'!BC30+'Evolutive SFP'!BD30)/2</f>
        <v>2.0186046626669514E-2</v>
      </c>
      <c r="BH33" s="162">
        <f>Financials!BG44/('Evolutive SFP'!BD30+'Evolutive SFP'!BE30)/2</f>
        <v>2.2481702527303513E-2</v>
      </c>
      <c r="BI33" s="162">
        <f>Financials!BH44/('Evolutive SFP'!BE30+'Evolutive SFP'!BF30)/2</f>
        <v>2.542506042645503E-2</v>
      </c>
      <c r="BJ33" s="162">
        <f>Financials!BI44/('Evolutive SFP'!BF30+'Evolutive SFP'!BG30)/2</f>
        <v>2.7224080693712065E-2</v>
      </c>
      <c r="BK33" s="162">
        <f>Financials!BJ44/('Evolutive SFP'!BG30+'Evolutive SFP'!BH30)/2</f>
        <v>2.373515520297821E-3</v>
      </c>
      <c r="BL33" s="162">
        <f>Financials!BK44/('Evolutive SFP'!BH30+'Evolutive SFP'!BI30)/2</f>
        <v>4.7981483940062464E-3</v>
      </c>
      <c r="BM33" s="162">
        <f>Financials!BL44/('Evolutive SFP'!BI30+'Evolutive SFP'!BJ30)/2</f>
        <v>7.1536346777152831E-3</v>
      </c>
      <c r="BN33" s="162">
        <f>Financials!BM44/('Evolutive SFP'!BJ30+'Evolutive SFP'!BK30)/2</f>
        <v>9.4224016612509467E-3</v>
      </c>
      <c r="BO33" s="162">
        <f>Financials!BN44/('Evolutive SFP'!BK30+'Evolutive SFP'!BL30)/2</f>
        <v>1.1714435542504181E-2</v>
      </c>
      <c r="BP33" s="162">
        <f>Financials!BO44/('Evolutive SFP'!BL30+'Evolutive SFP'!BM30)/2</f>
        <v>1.3978602227975104E-2</v>
      </c>
      <c r="BQ33" s="162">
        <f>Financials!BP44/('Evolutive SFP'!BM30+'Evolutive SFP'!BN30)/2</f>
        <v>1.6171170175135231E-2</v>
      </c>
      <c r="BR33" s="162">
        <f>Financials!BQ44/('Evolutive SFP'!BN30+'Evolutive SFP'!BO30)/2</f>
        <v>1.8345058800708469E-2</v>
      </c>
      <c r="BS33" s="162">
        <f>Financials!BR44/('Evolutive SFP'!BO30+'Evolutive SFP'!BP30)/2</f>
        <v>2.0499775017277701E-2</v>
      </c>
      <c r="BT33" s="162">
        <f>Financials!BS44/('Evolutive SFP'!BP30+'Evolutive SFP'!BQ30)/2</f>
        <v>2.2579111645099688E-2</v>
      </c>
      <c r="BU33" s="162">
        <f>Financials!BT44/('Evolutive SFP'!BQ30+'Evolutive SFP'!BR30)/2</f>
        <v>2.4690624505156054E-2</v>
      </c>
      <c r="BV33" s="162">
        <f>Financials!BU44/('Evolutive SFP'!BR30+'Evolutive SFP'!BS30)/2</f>
        <v>3.3993252456466894E-2</v>
      </c>
      <c r="BW33" s="162">
        <f>Financials!BV44/('Evolutive SFP'!BS30+'Evolutive SFP'!BT30)/2</f>
        <v>3.3895432356406283E-2</v>
      </c>
      <c r="BX33" s="162">
        <f>Financials!BW44/('Evolutive SFP'!BT30+'Evolutive SFP'!BU30)/2</f>
        <v>2.1788400471803573E-3</v>
      </c>
      <c r="BY33" s="162">
        <f>Financials!BX44/('Evolutive SFP'!BU30+'Evolutive SFP'!BV30)/2</f>
        <v>4.3917371613893773E-3</v>
      </c>
      <c r="BZ33" s="162">
        <f>Financials!BY44/('Evolutive SFP'!BV30+'Evolutive SFP'!BW30)/2</f>
        <v>6.8239236637677942E-3</v>
      </c>
      <c r="CA33" s="162">
        <f>Financials!BZ44/('Evolutive SFP'!BW30+'Evolutive SFP'!BX30)/2</f>
        <v>9.1754115324265677E-3</v>
      </c>
      <c r="CB33" s="162">
        <f>Financials!CA44/('Evolutive SFP'!BX30+'Evolutive SFP'!BY30)/2</f>
        <v>1.1472634550918751E-2</v>
      </c>
      <c r="CC33" s="162">
        <f>Financials!CB44/('Evolutive SFP'!BY30+'Evolutive SFP'!BZ30)/2</f>
        <v>1.3846146795320039E-2</v>
      </c>
      <c r="CD33" s="162">
        <f>Financials!CC44/('Evolutive SFP'!BZ30+'Evolutive SFP'!CA30)/2</f>
        <v>1.6226652753689539E-2</v>
      </c>
      <c r="CE33" s="162">
        <f>Financials!CD44/('Evolutive SFP'!CA30+'Evolutive SFP'!CB30)/2</f>
        <v>1.8566193036593733E-2</v>
      </c>
      <c r="CF33" s="162">
        <f>Financials!CE44/('Evolutive SFP'!CB30+'Evolutive SFP'!CC30)/2</f>
        <v>2.0848847605034238E-2</v>
      </c>
      <c r="CG33" s="162">
        <f>Financials!CF44/('Evolutive SFP'!CC30+'Evolutive SFP'!CD30)/2</f>
        <v>2.3053848371146216E-2</v>
      </c>
      <c r="CH33" s="162">
        <f>Financials!CG44/('Evolutive SFP'!CD30+'Evolutive SFP'!CE30)/2</f>
        <v>2.5248226543835947E-2</v>
      </c>
      <c r="CI33" s="162">
        <f>Financials!CH44/('Evolutive SFP'!CE30+'Evolutive SFP'!CF30)/2</f>
        <v>3.4162816289921717E-2</v>
      </c>
      <c r="CJ33" s="162">
        <f>Financials!CI44/('Evolutive SFP'!CF30+'Evolutive SFP'!CG30)/2</f>
        <v>3.4165137957471094E-2</v>
      </c>
    </row>
    <row r="34" spans="1:88" ht="18.75" hidden="1">
      <c r="A34" s="164"/>
      <c r="B34" s="160" t="s">
        <v>159</v>
      </c>
      <c r="C34" s="161"/>
      <c r="D34" s="162"/>
      <c r="E34" s="162"/>
      <c r="F34" s="162"/>
      <c r="G34" s="162"/>
      <c r="H34" s="162">
        <f>Financials!G45/('Evolutive SFP'!B39+'Evolutive SFP'!F39)/2</f>
        <v>0</v>
      </c>
      <c r="I34" s="162"/>
      <c r="J34" s="162"/>
      <c r="K34" s="162">
        <f>Financials!J45/('Evolutive SFP'!F39+'Evolutive SFP'!I39)/2</f>
        <v>0</v>
      </c>
      <c r="L34" s="162">
        <f>Financials!K45/('Evolutive SFP'!I39+'Evolutive SFP'!J39)/2</f>
        <v>0</v>
      </c>
      <c r="M34" s="162">
        <f>Financials!L45/('Evolutive SFP'!J39+'Evolutive SFP'!K39)/2</f>
        <v>0</v>
      </c>
      <c r="N34" s="162">
        <f>Financials!M45/('Evolutive SFP'!K39+'Evolutive SFP'!L39)/2</f>
        <v>0</v>
      </c>
      <c r="O34" s="162">
        <f>Financials!N45/('Evolutive SFP'!L39+'Evolutive SFP'!M39)/2</f>
        <v>0</v>
      </c>
      <c r="P34" s="162">
        <f>Financials!O45/('Evolutive SFP'!M39+'Evolutive SFP'!N39)/2</f>
        <v>0</v>
      </c>
      <c r="Q34" s="162">
        <f>Financials!P45/('Evolutive SFP'!N39+'Evolutive SFP'!O39)/2</f>
        <v>0</v>
      </c>
      <c r="R34" s="162">
        <f>Financials!Q45/('Evolutive SFP'!O39+'Evolutive SFP'!P39)/2</f>
        <v>0</v>
      </c>
      <c r="S34" s="162">
        <f>Financials!R45/('Evolutive SFP'!P39+'Evolutive SFP'!Q39)/2</f>
        <v>0</v>
      </c>
      <c r="T34" s="162">
        <f>Financials!S45/('Evolutive SFP'!Q39+'Evolutive SFP'!R39)/2</f>
        <v>0</v>
      </c>
      <c r="U34" s="162">
        <f>Financials!T45/('Evolutive SFP'!R39+'Evolutive SFP'!S39)/2</f>
        <v>0</v>
      </c>
      <c r="V34" s="162">
        <f>Financials!U45/('Evolutive SFP'!S39+'Evolutive SFP'!T39)/2</f>
        <v>0</v>
      </c>
      <c r="W34" s="162">
        <f>Financials!V45/('Evolutive SFP'!T39+'Evolutive SFP'!U39)/2</f>
        <v>0</v>
      </c>
      <c r="X34" s="162">
        <f>Financials!W45/('Evolutive SFP'!U39+'Evolutive SFP'!V39)/2</f>
        <v>0</v>
      </c>
      <c r="Y34" s="162">
        <f>Financials!X45/('Evolutive SFP'!V39+'Evolutive SFP'!W39)/2</f>
        <v>0</v>
      </c>
      <c r="Z34" s="162">
        <f>Financials!Y45/('Evolutive SFP'!W39+'Evolutive SFP'!X39)/2</f>
        <v>0</v>
      </c>
      <c r="AA34" s="162">
        <f>Financials!Z45/('Evolutive SFP'!X39+'Evolutive SFP'!Y39)/2</f>
        <v>0</v>
      </c>
      <c r="AB34" s="162">
        <f>Financials!AA45/('Evolutive SFP'!Y39+'Evolutive SFP'!Z39)/2</f>
        <v>0</v>
      </c>
      <c r="AC34" s="162">
        <f>Financials!AB45/('Evolutive SFP'!Z39+'Evolutive SFP'!AA39)/2</f>
        <v>0</v>
      </c>
      <c r="AD34" s="162">
        <f>Financials!AC45/('Evolutive SFP'!AA39+'Evolutive SFP'!AB39)/2</f>
        <v>0</v>
      </c>
      <c r="AE34" s="162">
        <f>Financials!AD45/('Evolutive SFP'!AB39+'Evolutive SFP'!AC39)/2</f>
        <v>0</v>
      </c>
      <c r="AF34" s="162">
        <f>Financials!AE45/('Evolutive SFP'!AC39+'Evolutive SFP'!AD39)/2</f>
        <v>0</v>
      </c>
      <c r="AG34" s="162">
        <f>Financials!AF45/('Evolutive SFP'!AD39+'Evolutive SFP'!AE39)/2</f>
        <v>0</v>
      </c>
      <c r="AH34" s="162">
        <f>Financials!AG45/('Evolutive SFP'!AE39+'Evolutive SFP'!AF39)/2</f>
        <v>0</v>
      </c>
      <c r="AI34" s="162">
        <f>Financials!AH45/('Evolutive SFP'!AF39+'Evolutive SFP'!AG39)/2</f>
        <v>0</v>
      </c>
      <c r="AJ34" s="162">
        <f>Financials!AI45/('Evolutive SFP'!AG39+'Evolutive SFP'!AH39)/2</f>
        <v>0</v>
      </c>
      <c r="AK34" s="162">
        <f>Financials!AJ45/('Evolutive SFP'!AH39+'Evolutive SFP'!AI39)/2</f>
        <v>0</v>
      </c>
      <c r="AL34" s="162">
        <f>Financials!AK45/('Evolutive SFP'!AI39+'Evolutive SFP'!AJ39)/2</f>
        <v>0</v>
      </c>
      <c r="AM34" s="162">
        <f>Financials!AL45/('Evolutive SFP'!AJ39+'Evolutive SFP'!AK39)/2</f>
        <v>0</v>
      </c>
      <c r="AN34" s="162">
        <f>Financials!AM45/('Evolutive SFP'!AK39+'Evolutive SFP'!AL39)/2</f>
        <v>0</v>
      </c>
      <c r="AO34" s="162">
        <f>Financials!AN45/('Evolutive SFP'!AL39+'Evolutive SFP'!AM39)/2</f>
        <v>0</v>
      </c>
      <c r="AP34" s="162">
        <f>Financials!AO45/('Evolutive SFP'!AM39+'Evolutive SFP'!AN39)/2</f>
        <v>0</v>
      </c>
      <c r="AQ34" s="162">
        <f>Financials!AP45/('Evolutive SFP'!AN39+'Evolutive SFP'!AO39)/2</f>
        <v>0</v>
      </c>
      <c r="AR34" s="162">
        <f>Financials!AQ45/('Evolutive SFP'!AO39+'Evolutive SFP'!AP39)/2</f>
        <v>0</v>
      </c>
      <c r="AS34" s="162">
        <f>Financials!AR45/('Evolutive SFP'!AP39+'Evolutive SFP'!AQ39)/2</f>
        <v>0</v>
      </c>
      <c r="AT34" s="162">
        <f>Financials!AS45/('Evolutive SFP'!AQ39+'Evolutive SFP'!AR39)/2</f>
        <v>0</v>
      </c>
      <c r="AU34" s="162">
        <f>Financials!AT45/('Evolutive SFP'!AR39+'Evolutive SFP'!AS39)/2</f>
        <v>0</v>
      </c>
      <c r="AV34" s="162">
        <f>Financials!AU45/('Evolutive SFP'!AS39+'Evolutive SFP'!AT39)/2</f>
        <v>0</v>
      </c>
      <c r="AW34" s="162">
        <f>Financials!AV45/('Evolutive SFP'!AT39+'Evolutive SFP'!AU39)/2</f>
        <v>0</v>
      </c>
      <c r="AX34" s="162">
        <f>Financials!AW45/('Evolutive SFP'!AT39+'Evolutive SFP'!AU39)/2</f>
        <v>0</v>
      </c>
      <c r="AY34" s="162">
        <f>Financials!AX45/('Evolutive SFP'!AU39+'Evolutive SFP'!AV39)/2</f>
        <v>0</v>
      </c>
      <c r="AZ34" s="162">
        <f>Financials!AY45/('Evolutive SFP'!AV39+'Evolutive SFP'!AW39)/2</f>
        <v>0</v>
      </c>
      <c r="BA34" s="162">
        <f>Financials!AZ45/('Evolutive SFP'!AW39+'Evolutive SFP'!AX39)/2</f>
        <v>0</v>
      </c>
      <c r="BB34" s="162">
        <f>Financials!BA45/('Evolutive SFP'!AX39+'Evolutive SFP'!AY39)/2</f>
        <v>0</v>
      </c>
      <c r="BC34" s="162">
        <f>Financials!BB45/('Evolutive SFP'!AY39+'Evolutive SFP'!AZ39)/2</f>
        <v>0</v>
      </c>
      <c r="BD34" s="162">
        <f>Financials!BC45/('Evolutive SFP'!AZ39+'Evolutive SFP'!BA39)/2</f>
        <v>0</v>
      </c>
      <c r="BE34" s="162">
        <f>Financials!BD45/('Evolutive SFP'!BA39+'Evolutive SFP'!BB39)/2</f>
        <v>0</v>
      </c>
      <c r="BF34" s="162">
        <f>Financials!BE45/('Evolutive SFP'!BB39+'Evolutive SFP'!BC39)/2</f>
        <v>0</v>
      </c>
      <c r="BG34" s="162">
        <f>Financials!BF45/('Evolutive SFP'!BC39+'Evolutive SFP'!BD39)/2</f>
        <v>0</v>
      </c>
      <c r="BH34" s="162">
        <f>Financials!BG45/('Evolutive SFP'!BD39+'Evolutive SFP'!BE39)/2</f>
        <v>0</v>
      </c>
      <c r="BI34" s="162">
        <f>Financials!BH45/('Evolutive SFP'!BE39+'Evolutive SFP'!BF39)/2</f>
        <v>0</v>
      </c>
      <c r="BJ34" s="162">
        <f>Financials!BI45/('Evolutive SFP'!BF39+'Evolutive SFP'!BG39)/2</f>
        <v>0</v>
      </c>
      <c r="BK34" s="162">
        <f>Financials!BJ45/('Evolutive SFP'!BG39+'Evolutive SFP'!BH39)/2</f>
        <v>0</v>
      </c>
      <c r="BL34" s="162">
        <f>Financials!BK45/('Evolutive SFP'!BH39+'Evolutive SFP'!BI39)/2</f>
        <v>0</v>
      </c>
      <c r="BM34" s="162">
        <f>Financials!BL45/('Evolutive SFP'!BI39+'Evolutive SFP'!BJ39)/2</f>
        <v>0</v>
      </c>
      <c r="BN34" s="162">
        <f>Financials!BM45/('Evolutive SFP'!BJ39+'Evolutive SFP'!BK39)/2</f>
        <v>0</v>
      </c>
      <c r="BO34" s="162">
        <f>Financials!BN45/('Evolutive SFP'!BK39+'Evolutive SFP'!BL39)/2</f>
        <v>0</v>
      </c>
      <c r="BP34" s="162">
        <f>Financials!BO45/('Evolutive SFP'!BL39+'Evolutive SFP'!BM39)/2</f>
        <v>0</v>
      </c>
      <c r="BQ34" s="162">
        <f>Financials!BP45/('Evolutive SFP'!BM39+'Evolutive SFP'!BN39)/2</f>
        <v>0</v>
      </c>
      <c r="BR34" s="162">
        <f>Financials!BQ45/('Evolutive SFP'!BN39+'Evolutive SFP'!BO39)/2</f>
        <v>0</v>
      </c>
      <c r="BS34" s="162">
        <f>Financials!BR45/('Evolutive SFP'!BO39+'Evolutive SFP'!BP39)/2</f>
        <v>0</v>
      </c>
      <c r="BT34" s="162">
        <f>Financials!BS45/('Evolutive SFP'!BP39+'Evolutive SFP'!BQ39)/2</f>
        <v>0</v>
      </c>
      <c r="BU34" s="162">
        <f>Financials!BT45/('Evolutive SFP'!BQ39+'Evolutive SFP'!BR39)/2</f>
        <v>0</v>
      </c>
      <c r="BV34" s="162">
        <f>Financials!BU45/('Evolutive SFP'!BR39+'Evolutive SFP'!BS39)/2</f>
        <v>0</v>
      </c>
      <c r="BW34" s="162">
        <f>Financials!BV45/('Evolutive SFP'!BS39+'Evolutive SFP'!BT39)/2</f>
        <v>0</v>
      </c>
      <c r="BX34" s="162">
        <f>Financials!BW45/('Evolutive SFP'!BT39+'Evolutive SFP'!BU39)/2</f>
        <v>0</v>
      </c>
      <c r="BY34" s="162">
        <f>Financials!BX45/('Evolutive SFP'!BU39+'Evolutive SFP'!BV39)/2</f>
        <v>0</v>
      </c>
      <c r="BZ34" s="162">
        <f>Financials!BY45/('Evolutive SFP'!BV39+'Evolutive SFP'!BW39)/2</f>
        <v>0</v>
      </c>
      <c r="CA34" s="162">
        <f>Financials!BZ45/('Evolutive SFP'!BW39+'Evolutive SFP'!BX39)/2</f>
        <v>0</v>
      </c>
      <c r="CB34" s="162">
        <f>Financials!CA45/('Evolutive SFP'!BX39+'Evolutive SFP'!BY39)/2</f>
        <v>0</v>
      </c>
      <c r="CC34" s="162">
        <f>Financials!CB45/('Evolutive SFP'!BY39+'Evolutive SFP'!BZ39)/2</f>
        <v>0</v>
      </c>
      <c r="CD34" s="162">
        <f>Financials!CC45/('Evolutive SFP'!BZ39+'Evolutive SFP'!CA39)/2</f>
        <v>0</v>
      </c>
      <c r="CE34" s="162">
        <f>Financials!CD45/('Evolutive SFP'!CA39+'Evolutive SFP'!CB39)/2</f>
        <v>0</v>
      </c>
      <c r="CF34" s="162">
        <f>Financials!CE45/('Evolutive SFP'!CB39+'Evolutive SFP'!CC39)/2</f>
        <v>0</v>
      </c>
      <c r="CG34" s="162">
        <f>Financials!CF45/('Evolutive SFP'!CC39+'Evolutive SFP'!CD39)/2</f>
        <v>0</v>
      </c>
      <c r="CH34" s="162">
        <f>Financials!CG45/('Evolutive SFP'!CD39+'Evolutive SFP'!CE39)/2</f>
        <v>0</v>
      </c>
      <c r="CI34" s="162">
        <f>Financials!CH45/('Evolutive SFP'!CE39+'Evolutive SFP'!CF39)/2</f>
        <v>0</v>
      </c>
      <c r="CJ34" s="162">
        <f>Financials!CI45/('Evolutive SFP'!CF39+'Evolutive SFP'!CG39)/2</f>
        <v>0</v>
      </c>
    </row>
    <row r="35" spans="1:88" ht="18.75" hidden="1">
      <c r="A35" s="164"/>
      <c r="B35" s="160" t="s">
        <v>160</v>
      </c>
      <c r="C35" s="161"/>
      <c r="D35" s="162"/>
      <c r="E35" s="162"/>
      <c r="F35" s="162"/>
      <c r="G35" s="162"/>
      <c r="H35" s="162">
        <f>Financials!G46/(Financials!F31+Financials!G31)/2</f>
        <v>4.7294105184156245E-3</v>
      </c>
      <c r="I35" s="162"/>
      <c r="J35" s="162"/>
      <c r="K35" s="162">
        <f>Financials!J46/(Financials!G31+Financials!J31)/2</f>
        <v>0</v>
      </c>
      <c r="L35" s="162">
        <f>Financials!K46/(Financials!J31+Financials!K31)/2</f>
        <v>0</v>
      </c>
      <c r="M35" s="162">
        <f>Financials!L46/(Financials!K31+Financials!L31)/2</f>
        <v>0</v>
      </c>
      <c r="N35" s="162">
        <f>Financials!M46/(Financials!L31+Financials!M31)/2</f>
        <v>0</v>
      </c>
      <c r="O35" s="162">
        <f>Financials!N46/(Financials!M31+Financials!N31)/2</f>
        <v>0</v>
      </c>
      <c r="P35" s="162">
        <f>Financials!O46/(Financials!N31+Financials!O31)/2</f>
        <v>0</v>
      </c>
      <c r="Q35" s="162">
        <f>Financials!P46/(Financials!O31+Financials!P31)/2</f>
        <v>0</v>
      </c>
      <c r="R35" s="162">
        <f>Financials!Q46/(Financials!P31+Financials!Q31)/2</f>
        <v>0</v>
      </c>
      <c r="S35" s="162">
        <f>Financials!R46/(Financials!Q31+Financials!R31)/2</f>
        <v>0</v>
      </c>
      <c r="T35" s="162">
        <f>Financials!S46/(Financials!R31+Financials!S31)/2</f>
        <v>0</v>
      </c>
      <c r="U35" s="162">
        <f>Financials!T46/(Financials!S31+Financials!T31)/2</f>
        <v>0</v>
      </c>
      <c r="V35" s="162">
        <f>Financials!U46/(Financials!T31+Financials!U31)/2</f>
        <v>0</v>
      </c>
      <c r="W35" s="162">
        <f>Financials!V46/(Financials!U31+Financials!V31)/2</f>
        <v>0</v>
      </c>
      <c r="X35" s="162">
        <f>Financials!W46/(Financials!V31+Financials!W31)/2</f>
        <v>0</v>
      </c>
      <c r="Y35" s="162">
        <f>Financials!X46/(Financials!W31+Financials!X31)/2</f>
        <v>0</v>
      </c>
      <c r="Z35" s="162">
        <f>Financials!Y46/(Financials!X31+Financials!Y31)/2</f>
        <v>0</v>
      </c>
      <c r="AA35" s="162">
        <f>Financials!Z46/(Financials!Y31+Financials!Z31)/2</f>
        <v>0</v>
      </c>
      <c r="AB35" s="162">
        <f>Financials!AA46/(Financials!Z31+Financials!AA31)/2</f>
        <v>0</v>
      </c>
      <c r="AC35" s="162">
        <f>Financials!AB46/(Financials!AA31+Financials!AB31)/2</f>
        <v>0</v>
      </c>
      <c r="AD35" s="162">
        <f>Financials!AC46/(Financials!AB31+Financials!AC31)/2</f>
        <v>0</v>
      </c>
      <c r="AE35" s="162">
        <f>Financials!AD46/(Financials!AC31+Financials!AD31)/2</f>
        <v>0</v>
      </c>
      <c r="AF35" s="162">
        <f>Financials!AE46/(Financials!AD31+Financials!AE31)/2</f>
        <v>0</v>
      </c>
      <c r="AG35" s="162">
        <f>Financials!AF46/(Financials!AE31+Financials!AF31)/2</f>
        <v>0</v>
      </c>
      <c r="AH35" s="162">
        <f>Financials!AG46/(Financials!AF31+Financials!AG31)/2</f>
        <v>0</v>
      </c>
      <c r="AI35" s="162">
        <f>Financials!AH46/(Financials!AG31+Financials!AH31)/2</f>
        <v>0</v>
      </c>
      <c r="AJ35" s="162">
        <f>Financials!AI46/(Financials!AH31+Financials!AI31)/2</f>
        <v>-2.3318619507302882E-5</v>
      </c>
      <c r="AK35" s="162">
        <f>Financials!AJ46/(Financials!AI31+Financials!AJ31)/2</f>
        <v>0</v>
      </c>
      <c r="AL35" s="162">
        <f>Financials!AK46/(Financials!AJ31+Financials!AK31)/2</f>
        <v>0</v>
      </c>
      <c r="AM35" s="162">
        <f>Financials!AL46/(Financials!AK31+Financials!AL31)/2</f>
        <v>0</v>
      </c>
      <c r="AN35" s="162">
        <f>Financials!AM46/(Financials!AL31+Financials!AM31)/2</f>
        <v>0</v>
      </c>
      <c r="AO35" s="162">
        <f>Financials!AN46/(Financials!AM31+Financials!AN31)/2</f>
        <v>0</v>
      </c>
      <c r="AP35" s="162">
        <f>Financials!AO46/(Financials!AN31+Financials!AO31)/2</f>
        <v>0</v>
      </c>
      <c r="AQ35" s="162">
        <f>Financials!AP46/(Financials!AO31+Financials!AP31)/2</f>
        <v>0</v>
      </c>
      <c r="AR35" s="162">
        <f>Financials!AQ46/(Financials!AP31+Financials!AQ31)/2</f>
        <v>0</v>
      </c>
      <c r="AS35" s="162">
        <f>Financials!AR46/(Financials!AQ31+Financials!AR31)/2</f>
        <v>0</v>
      </c>
      <c r="AT35" s="162">
        <f>Financials!AS46/(Financials!AR31+Financials!AS31)/2</f>
        <v>0</v>
      </c>
      <c r="AU35" s="162">
        <f>Financials!AT46/(Financials!AS31+Financials!AT31)/2</f>
        <v>0</v>
      </c>
      <c r="AV35" s="162">
        <f>Financials!AU46/(Financials!AT31+Financials!AU31)/2</f>
        <v>0</v>
      </c>
      <c r="AW35" s="162">
        <f>Financials!AV46/(Financials!AU31+Financials!AV31)/2</f>
        <v>0</v>
      </c>
      <c r="AX35" s="162">
        <f>Financials!AW46/(Financials!AU31+Financials!AW31)/2</f>
        <v>0</v>
      </c>
      <c r="AY35" s="162">
        <f>Financials!AX46/(Financials!AW31+Financials!AX31)/2</f>
        <v>0</v>
      </c>
      <c r="AZ35" s="162">
        <f>Financials!AY46/(Financials!AX31+Financials!AY31)/2</f>
        <v>0</v>
      </c>
      <c r="BA35" s="162">
        <f>Financials!AZ46/(Financials!AY31+Financials!AZ31)/2</f>
        <v>0</v>
      </c>
      <c r="BB35" s="162">
        <f>Financials!BA46/(Financials!AZ31+Financials!BA31)/2</f>
        <v>0</v>
      </c>
      <c r="BC35" s="162">
        <f>Financials!BB46/(Financials!BA31+Financials!BB31)/2</f>
        <v>0</v>
      </c>
      <c r="BD35" s="162">
        <f>Financials!BC46/(Financials!BB31+Financials!BC31)/2</f>
        <v>0</v>
      </c>
      <c r="BE35" s="162">
        <f>Financials!BD46/(Financials!BC31+Financials!BD31)/2</f>
        <v>0</v>
      </c>
      <c r="BF35" s="162">
        <f>Financials!BE46/(Financials!BD31+Financials!BE31)/2</f>
        <v>0</v>
      </c>
      <c r="BG35" s="162">
        <f>Financials!BF46/(Financials!BE31+Financials!BF31)/2</f>
        <v>0</v>
      </c>
      <c r="BH35" s="162">
        <f>Financials!BG46/(Financials!BF31+Financials!BG31)/2</f>
        <v>0</v>
      </c>
      <c r="BI35" s="162">
        <f>Financials!BH46/(Financials!BG31+Financials!BH31)/2</f>
        <v>0</v>
      </c>
      <c r="BJ35" s="162">
        <f>Financials!BI46/(Financials!BH31+Financials!BI31)/2</f>
        <v>1.8437792715697812E-2</v>
      </c>
      <c r="BK35" s="162">
        <f>Financials!BJ46/(Financials!BI31+Financials!BJ31)/2</f>
        <v>1.6364777176449399E-3</v>
      </c>
      <c r="BL35" s="162">
        <f>Financials!BK46/(Financials!BJ31+Financials!BK31)/2</f>
        <v>3.2969688673644107E-3</v>
      </c>
      <c r="BM35" s="162">
        <f>Financials!BL46/(Financials!BK31+Financials!BL31)/2</f>
        <v>4.9629727663532139E-3</v>
      </c>
      <c r="BN35" s="162">
        <f>Financials!BM46/(Financials!BL31+Financials!BM31)/2</f>
        <v>6.5286736422697856E-3</v>
      </c>
      <c r="BO35" s="162">
        <f>Financials!BN46/(Financials!BM31+Financials!BN31)/2</f>
        <v>8.0670944957295255E-3</v>
      </c>
      <c r="BP35" s="162">
        <f>Financials!BO46/(Financials!BN31+Financials!BO31)/2</f>
        <v>9.6040076581074222E-3</v>
      </c>
      <c r="BQ35" s="162">
        <f>Financials!BP46/(Financials!BO31+Financials!BP31)/2</f>
        <v>1.1021302430204724E-2</v>
      </c>
      <c r="BR35" s="162">
        <f>Financials!BQ46/(Financials!BP31+Financials!BQ31)/2</f>
        <v>1.2459502366826454E-2</v>
      </c>
      <c r="BS35" s="162">
        <f>Financials!BR46/(Financials!BQ31+Financials!BR31)/2</f>
        <v>1.3924276379836811E-2</v>
      </c>
      <c r="BT35" s="162">
        <f>Financials!BS46/(Financials!BR31+Financials!BS31)/2</f>
        <v>1.5288257365756603E-2</v>
      </c>
      <c r="BU35" s="162">
        <f>Financials!BT46/(Financials!BS31+Financials!BT31)/2</f>
        <v>1.663995592693689E-2</v>
      </c>
      <c r="BV35" s="162">
        <f>Financials!BU46/(Financials!BT31+Financials!BU31)/2</f>
        <v>2.271206257234187E-2</v>
      </c>
      <c r="BW35" s="162">
        <f>Financials!BV46/(Financials!BU31+Financials!BV31)/2</f>
        <v>2.2904701239984872E-2</v>
      </c>
      <c r="BX35" s="162">
        <f>Financials!BW46/(Financials!BV31+Financials!BW31)/2</f>
        <v>1.490585843909987E-3</v>
      </c>
      <c r="BY35" s="162">
        <f>Financials!BX46/(Financials!BW31+Financials!BX31)/2</f>
        <v>2.9975487973359265E-3</v>
      </c>
      <c r="BZ35" s="162">
        <f>Financials!BY46/(Financials!BX31+Financials!BY31)/2</f>
        <v>4.6142847760821028E-3</v>
      </c>
      <c r="CA35" s="162">
        <f>Financials!BZ46/(Financials!BY31+Financials!BZ31)/2</f>
        <v>6.14515578711557E-3</v>
      </c>
      <c r="CB35" s="162">
        <f>Financials!CA46/(Financials!BZ31+Financials!CA31)/2</f>
        <v>7.6752248472902801E-3</v>
      </c>
      <c r="CC35" s="162">
        <f>Financials!CB46/(Financials!CA31+Financials!CB31)/2</f>
        <v>9.3254355215294567E-3</v>
      </c>
      <c r="CD35" s="162">
        <f>Financials!CC46/(Financials!CB31+Financials!CC31)/2</f>
        <v>1.0953863603516641E-2</v>
      </c>
      <c r="CE35" s="162">
        <f>Financials!CD46/(Financials!CC31+Financials!CD31)/2</f>
        <v>1.2542963293719966E-2</v>
      </c>
      <c r="CF35" s="162">
        <f>Financials!CE46/(Financials!CD31+Financials!CE31)/2</f>
        <v>1.4188078722253025E-2</v>
      </c>
      <c r="CG35" s="162">
        <f>Financials!CF46/(Financials!CE31+Financials!CF31)/2</f>
        <v>1.5809489533770774E-2</v>
      </c>
      <c r="CH35" s="162">
        <f>Financials!CG46/(Financials!CF31+Financials!CG31)/2</f>
        <v>1.7363434027524449E-2</v>
      </c>
      <c r="CI35" s="162">
        <f>Financials!CH46/(Financials!CG31+Financials!CH31)/2</f>
        <v>2.3684931017226917E-2</v>
      </c>
      <c r="CJ35" s="162">
        <f>Financials!CI46/(Financials!CH31+Financials!CI31)/2</f>
        <v>2.4061250554855605E-2</v>
      </c>
    </row>
    <row r="36" spans="1:88" ht="18.75" hidden="1">
      <c r="A36" s="164"/>
      <c r="B36" s="160" t="s">
        <v>161</v>
      </c>
      <c r="C36" s="161"/>
      <c r="D36" s="162"/>
      <c r="E36" s="162"/>
      <c r="F36" s="162"/>
      <c r="G36" s="162"/>
      <c r="H36" s="162">
        <f>Financials!G47/(Financials!F4+Financials!G4)/2</f>
        <v>1.8528338732991156E-2</v>
      </c>
      <c r="I36" s="162"/>
      <c r="J36" s="162"/>
      <c r="K36" s="162">
        <f>Financials!J47/(Financials!G4+Financials!J4)/2</f>
        <v>1.1765062761624379E-3</v>
      </c>
      <c r="L36" s="162">
        <f>Financials!K47/(Financials!J4+Financials!K4)/2</f>
        <v>2.2275617048602868E-3</v>
      </c>
      <c r="M36" s="162">
        <f>Financials!L47/(Financials!K4+Financials!L4)/2</f>
        <v>3.9653018244569021E-3</v>
      </c>
      <c r="N36" s="162">
        <f>Financials!M47/(Financials!L4+Financials!M4)/2</f>
        <v>5.4474533627621776E-3</v>
      </c>
      <c r="O36" s="162">
        <f>Financials!N47/(Financials!M4+Financials!N4)/2</f>
        <v>7.4778587720182744E-3</v>
      </c>
      <c r="P36" s="162">
        <f>Financials!O47/(Financials!N4+Financials!O4)/2</f>
        <v>8.4049426332997428E-3</v>
      </c>
      <c r="Q36" s="162">
        <f>Financials!P47/(Financials!O4+Financials!P4)/2</f>
        <v>9.9698060235681348E-3</v>
      </c>
      <c r="R36" s="162">
        <f>Financials!Q47/(Financials!P4+Financials!Q4)/2</f>
        <v>1.0881729471073312E-2</v>
      </c>
      <c r="S36" s="162">
        <f>Financials!R47/(Financials!Q4+Financials!R4)/2</f>
        <v>1.1822374529924951E-2</v>
      </c>
      <c r="T36" s="162">
        <f>Financials!S47/(Financials!R4+Financials!S4)/2</f>
        <v>1.3310427761639531E-2</v>
      </c>
      <c r="U36" s="162">
        <f>Financials!T47/(Financials!S4+Financials!T4)/2</f>
        <v>1.4197194414333736E-2</v>
      </c>
      <c r="V36" s="162">
        <f>Financials!U47/(Financials!T4+Financials!U4)/2</f>
        <v>2.3703667315335488E-2</v>
      </c>
      <c r="W36" s="162">
        <f>Financials!V47/(Financials!U4+Financials!V4)/2</f>
        <v>2.3551795204978323E-2</v>
      </c>
      <c r="X36" s="162">
        <f>Financials!W47/(Financials!V4+Financials!W4)/2</f>
        <v>1.1815074662686646E-3</v>
      </c>
      <c r="Y36" s="162">
        <f>Financials!X47/(Financials!W4+Financials!X4)/2</f>
        <v>2.0672620661557439E-3</v>
      </c>
      <c r="Z36" s="162">
        <f>Financials!Y47/(Financials!X4+Financials!Y4)/2</f>
        <v>4.2943307944644862E-3</v>
      </c>
      <c r="AA36" s="162">
        <f>Financials!Z47/(Financials!Y4+Financials!Z4)/2</f>
        <v>7.0333197873619843E-3</v>
      </c>
      <c r="AB36" s="162">
        <f>Financials!AA47/(Financials!Z4+Financials!AA4)/2</f>
        <v>8.2949094685711051E-3</v>
      </c>
      <c r="AC36" s="162">
        <f>Financials!AB47/(Financials!AA4+Financials!AB4)/2</f>
        <v>9.105251694711677E-3</v>
      </c>
      <c r="AD36" s="162">
        <f>Financials!AC47/(Financials!AB4+Financials!AC4)/2</f>
        <v>1.055615386652266E-2</v>
      </c>
      <c r="AE36" s="162">
        <f>Financials!AD47/(Financials!AC4+Financials!AD4)/2</f>
        <v>1.2224735018482882E-2</v>
      </c>
      <c r="AF36" s="162">
        <f>Financials!AE47/(Financials!AD4+Financials!AE4)/2</f>
        <v>1.3190329740386387E-2</v>
      </c>
      <c r="AG36" s="162">
        <f>Financials!AF47/(Financials!AE4+Financials!AF4)/2</f>
        <v>1.42086365621799E-2</v>
      </c>
      <c r="AH36" s="162">
        <f>Financials!AG47/(Financials!AF4+Financials!AG4)/2</f>
        <v>1.5391655792605451E-2</v>
      </c>
      <c r="AI36" s="162">
        <f>Financials!AH47/(Financials!AG4+Financials!AH4)/2</f>
        <v>2.1706620087021965E-2</v>
      </c>
      <c r="AJ36" s="162">
        <f>Financials!AI47/(Financials!AH4+Financials!AI4)/2</f>
        <v>2.1421578047485235E-2</v>
      </c>
      <c r="AK36" s="162">
        <f>Financials!AJ47/(Financials!AI4+Financials!AJ4)/2</f>
        <v>1.1421673643282296E-3</v>
      </c>
      <c r="AL36" s="162">
        <f>Financials!AK47/(Financials!AJ4+Financials!AK4)/2</f>
        <v>2.3782152235212852E-3</v>
      </c>
      <c r="AM36" s="162">
        <f>Financials!AL47/(Financials!AK4+Financials!AL4)/2</f>
        <v>4.4129653740050886E-3</v>
      </c>
      <c r="AN36" s="162">
        <f>Financials!AM47/(Financials!AL4+Financials!AM4)/2</f>
        <v>7.2783919144091954E-3</v>
      </c>
      <c r="AO36" s="162">
        <f>Financials!AN47/(Financials!AM4+Financials!AN4)/2</f>
        <v>8.5543132392028234E-3</v>
      </c>
      <c r="AP36" s="162">
        <f>Financials!AO47/(Financials!AN4+Financials!AO4)/2</f>
        <v>1.0263405964702616E-2</v>
      </c>
      <c r="AQ36" s="162">
        <f>Financials!AP47/(Financials!AO4+Financials!AP4)/2</f>
        <v>1.1435312441189432E-2</v>
      </c>
      <c r="AR36" s="162">
        <f>Financials!AQ47/(Financials!AP4+Financials!AQ4)/2</f>
        <v>1.3889509269886167E-2</v>
      </c>
      <c r="AS36" s="162">
        <f>Financials!AR47/(Financials!AQ4+Financials!AR4)/2</f>
        <v>1.5051195202156555E-2</v>
      </c>
      <c r="AT36" s="162">
        <f>Financials!AS47/(Financials!AR4+Financials!AS4)/2</f>
        <v>1.6420335281720714E-2</v>
      </c>
      <c r="AU36" s="162">
        <f>Financials!AT47/(Financials!AS4+Financials!AT4)/2</f>
        <v>1.7704130418340829E-2</v>
      </c>
      <c r="AV36" s="162">
        <f>Financials!AU47/(Financials!AT4+Financials!AU4)/2</f>
        <v>2.1194480685666168E-2</v>
      </c>
      <c r="AW36" s="162">
        <f>Financials!AV47/(Financials!AU4+Financials!AV4)/2</f>
        <v>2.1163112784472585E-2</v>
      </c>
      <c r="AX36" s="162">
        <f>Financials!AW47/(Financials!AU4+Financials!AW4)/2</f>
        <v>1.1471902128054757E-3</v>
      </c>
      <c r="AY36" s="162">
        <f>Financials!AX47/(Financials!AW4+Financials!AX4)/2</f>
        <v>2.8921993245081038E-3</v>
      </c>
      <c r="AZ36" s="162">
        <f>Financials!AY47/(Financials!AX4+Financials!AY4)/2</f>
        <v>4.9447727920903595E-3</v>
      </c>
      <c r="BA36" s="162">
        <f>Financials!AZ47/(Financials!AY4+Financials!AZ4)/2</f>
        <v>6.5551010210184489E-3</v>
      </c>
      <c r="BB36" s="162">
        <f>Financials!BA47/(Financials!AZ4+Financials!BA4)/2</f>
        <v>9.2311454281198083E-3</v>
      </c>
      <c r="BC36" s="162">
        <f>Financials!BB47/(Financials!BA4+Financials!BB4)/2</f>
        <v>1.0394070482272548E-2</v>
      </c>
      <c r="BD36" s="162">
        <f>Financials!BC47/(Financials!BB4+Financials!BC4)/2</f>
        <v>0</v>
      </c>
      <c r="BE36" s="162">
        <f>Financials!BD47/(Financials!BC4+Financials!BD4)/2</f>
        <v>2.6128871905384279E-2</v>
      </c>
      <c r="BF36" s="162">
        <f>Financials!BE47/(Financials!BD4+Financials!BE4)/2</f>
        <v>4.7652990343085237E-3</v>
      </c>
      <c r="BG36" s="162">
        <f>Financials!BF47/(Financials!BE4+Financials!BF4)/2</f>
        <v>1.6173865209274958E-2</v>
      </c>
      <c r="BH36" s="162">
        <f>Financials!BG47/(Financials!BF4+Financials!BG4)/2</f>
        <v>1.7417610448525765E-2</v>
      </c>
      <c r="BI36" s="162">
        <f>Financials!BH47/(Financials!BG4+Financials!BH4)/2</f>
        <v>1.9517595645220914E-2</v>
      </c>
      <c r="BJ36" s="162">
        <f>Financials!BI47/(Financials!BH4+Financials!BI4)/2</f>
        <v>1.8396878175127519E-2</v>
      </c>
      <c r="BK36" s="162">
        <f>Financials!BJ47/(Financials!BI4+Financials!BJ4)/2</f>
        <v>1.9867520397083751E-3</v>
      </c>
      <c r="BL36" s="162">
        <f>Financials!BK47/(Financials!BJ4+Financials!BK4)/2</f>
        <v>4.0986111897331878E-3</v>
      </c>
      <c r="BM36" s="162">
        <f>Financials!BL47/(Financials!BK4+Financials!BL4)/2</f>
        <v>6.3927731306896093E-3</v>
      </c>
      <c r="BN36" s="162">
        <f>Financials!BM47/(Financials!BL4+Financials!BM4)/2</f>
        <v>7.8757626724148648E-3</v>
      </c>
      <c r="BO36" s="162">
        <f>Financials!BN47/(Financials!BM4+Financials!BN4)/2</f>
        <v>9.26539446118828E-3</v>
      </c>
      <c r="BP36" s="162">
        <f>Financials!BO47/(Financials!BN4+Financials!BO4)/2</f>
        <v>1.0720604830353213E-2</v>
      </c>
      <c r="BQ36" s="162">
        <f>Financials!BP47/(Financials!BO4+Financials!BP4)/2</f>
        <v>1.267886023041695E-2</v>
      </c>
      <c r="BR36" s="162">
        <f>Financials!BQ47/(Financials!BP4+Financials!BQ4)/2</f>
        <v>1.3626390701804009E-2</v>
      </c>
      <c r="BS36" s="162">
        <f>Financials!BR47/(Financials!BQ4+Financials!BR4)/2</f>
        <v>1.4555372528014041E-2</v>
      </c>
      <c r="BT36" s="162">
        <f>Financials!BS47/(Financials!BR4+Financials!BS4)/2</f>
        <v>1.5904008967791389E-2</v>
      </c>
      <c r="BU36" s="162">
        <f>Financials!BT47/(Financials!BS4+Financials!BT4)/2</f>
        <v>1.6954925534030805E-2</v>
      </c>
      <c r="BV36" s="162">
        <f>Financials!BU47/(Financials!BT4+Financials!BU4)/2</f>
        <v>1.9282534123461866E-2</v>
      </c>
      <c r="BW36" s="162">
        <f>Financials!BV47/(Financials!BU4+Financials!BV4)/2</f>
        <v>1.931849186220869E-2</v>
      </c>
      <c r="BX36" s="162">
        <f>Financials!BW47/(Financials!BV4+Financials!BW4)/2</f>
        <v>1.6220947127174321E-3</v>
      </c>
      <c r="BY36" s="162">
        <f>Financials!BX47/(Financials!BW4+Financials!BX4)/2</f>
        <v>4.9474081780279512E-3</v>
      </c>
      <c r="BZ36" s="162">
        <f>Financials!BY47/(Financials!BX4+Financials!BY4)/2</f>
        <v>7.1645606202563545E-3</v>
      </c>
      <c r="CA36" s="162">
        <f>Financials!BZ47/(Financials!BY4+Financials!BZ4)/2</f>
        <v>9.2827904768376379E-3</v>
      </c>
      <c r="CB36" s="162">
        <f>Financials!CA47/(Financials!BZ4+Financials!CA4)/2</f>
        <v>1.1111759361410485E-2</v>
      </c>
      <c r="CC36" s="162">
        <f>Financials!CB47/(Financials!CA4+Financials!CB4)/2</f>
        <v>1.2686361347234644E-2</v>
      </c>
      <c r="CD36" s="162">
        <f>Financials!CC47/(Financials!CB4+Financials!CC4)/2</f>
        <v>1.4474411522556031E-2</v>
      </c>
      <c r="CE36" s="162">
        <f>Financials!CD47/(Financials!CC4+Financials!CD4)/2</f>
        <v>1.5511642444184041E-2</v>
      </c>
      <c r="CF36" s="162">
        <f>Financials!CE47/(Financials!CD4+Financials!CE4)/2</f>
        <v>1.6882620553489557E-2</v>
      </c>
      <c r="CG36" s="162">
        <f>Financials!CF47/(Financials!CE4+Financials!CF4)/2</f>
        <v>1.8282772169054454E-2</v>
      </c>
      <c r="CH36" s="162">
        <f>Financials!CG47/(Financials!CF4+Financials!CG4)/2</f>
        <v>2.0012715675874617E-2</v>
      </c>
      <c r="CI36" s="162">
        <f>Financials!CH47/(Financials!CG4+Financials!CH4)/2</f>
        <v>2.1026046045228765E-2</v>
      </c>
      <c r="CJ36" s="162">
        <f>Financials!CI47/(Financials!CH4+Financials!CI4)/2</f>
        <v>2.1191221680642591E-2</v>
      </c>
    </row>
    <row r="37" spans="1:88" ht="18.75" hidden="1">
      <c r="A37" s="164"/>
      <c r="B37" s="160" t="s">
        <v>162</v>
      </c>
      <c r="C37" s="161"/>
      <c r="D37" s="162"/>
      <c r="E37" s="162"/>
      <c r="F37" s="162"/>
      <c r="G37" s="162"/>
      <c r="H37" s="162">
        <f>Financials!G47/Financials!G37</f>
        <v>0.39680714575650639</v>
      </c>
      <c r="I37" s="162"/>
      <c r="J37" s="162"/>
      <c r="K37" s="162">
        <f>Financials!J47/Financials!J37</f>
        <v>0.94561381227163899</v>
      </c>
      <c r="L37" s="162">
        <f>Financials!K47/Financials!K37</f>
        <v>0.40500081067258137</v>
      </c>
      <c r="M37" s="162">
        <f>Financials!L47/Financials!L37</f>
        <v>0.43102649105012603</v>
      </c>
      <c r="N37" s="162">
        <f>Financials!M47/Financials!M37</f>
        <v>0.4517545597749239</v>
      </c>
      <c r="O37" s="162">
        <f>Financials!N47/Financials!N37</f>
        <v>0.46944281201524374</v>
      </c>
      <c r="P37" s="162">
        <f>Financials!O47/Financials!O37</f>
        <v>0.38746203187385492</v>
      </c>
      <c r="Q37" s="162">
        <f>Financials!P47/Financials!P37</f>
        <v>0.4314288304973164</v>
      </c>
      <c r="R37" s="162">
        <f>Financials!Q47/Financials!Q37</f>
        <v>0.38593386203428065</v>
      </c>
      <c r="S37" s="162">
        <f>Financials!R47/Financials!R37</f>
        <v>0.35424226828066613</v>
      </c>
      <c r="T37" s="162">
        <f>Financials!S47/Financials!S37</f>
        <v>0.36334376671427454</v>
      </c>
      <c r="U37" s="162">
        <f>Financials!T47/Financials!T37</f>
        <v>0.3600607697145583</v>
      </c>
      <c r="V37" s="162">
        <f>Financials!U47/Financials!U37</f>
        <v>0.55157915913539823</v>
      </c>
      <c r="W37" s="162">
        <f>Financials!V47/Financials!V37</f>
        <v>0.5510966512337776</v>
      </c>
      <c r="X37" s="162">
        <f>Financials!W47/Financials!W37</f>
        <v>0.38029447883779205</v>
      </c>
      <c r="Y37" s="162">
        <f>Financials!X47/Financials!X37</f>
        <v>0.34772453499766853</v>
      </c>
      <c r="Z37" s="162">
        <f>Financials!Y47/Financials!Y37</f>
        <v>0.46072952031068176</v>
      </c>
      <c r="AA37" s="162">
        <f>Financials!Z47/Financials!Z37</f>
        <v>0.53925833987681382</v>
      </c>
      <c r="AB37" s="162">
        <f>Financials!AA47/Financials!AA37</f>
        <v>0.50369803095066024</v>
      </c>
      <c r="AC37" s="162">
        <f>Financials!AB47/Financials!AB37</f>
        <v>0.40527515507606393</v>
      </c>
      <c r="AD37" s="162">
        <f>Financials!AC47/Financials!AC37</f>
        <v>0.41691036034118079</v>
      </c>
      <c r="AE37" s="162">
        <f>Financials!AD47/Financials!AD37</f>
        <v>0.41930890296903645</v>
      </c>
      <c r="AF37" s="162">
        <f>Financials!AE47/Financials!AE37</f>
        <v>0.41075265743757877</v>
      </c>
      <c r="AG37" s="162">
        <f>Financials!AF47/Financials!AF37</f>
        <v>0.40172111021555573</v>
      </c>
      <c r="AH37" s="162">
        <f>Financials!AG47/Financials!AG37</f>
        <v>0.39678978920315344</v>
      </c>
      <c r="AI37" s="162">
        <f>Financials!AH47/Financials!AH37</f>
        <v>0.4947832266028383</v>
      </c>
      <c r="AJ37" s="162">
        <f>Financials!AI47/Financials!AI37</f>
        <v>0.48842898550667257</v>
      </c>
      <c r="AK37" s="162">
        <f>Financials!AJ47/Financials!AJ37</f>
        <v>0.35042519432124769</v>
      </c>
      <c r="AL37" s="162">
        <f>Financials!AK47/Financials!AK37</f>
        <v>0.37047929654694151</v>
      </c>
      <c r="AM37" s="162">
        <f>Financials!AL47/Financials!AL37</f>
        <v>0.4567226969359951</v>
      </c>
      <c r="AN37" s="162">
        <f>Financials!AM47/Financials!AM37</f>
        <v>0.53884237041396232</v>
      </c>
      <c r="AO37" s="162">
        <f>Financials!AN47/Financials!AN37</f>
        <v>0.5029521411154011</v>
      </c>
      <c r="AP37" s="162">
        <f>Financials!AO47/Financials!AO37</f>
        <v>0.42834726169123577</v>
      </c>
      <c r="AQ37" s="162">
        <f>Financials!AP47/Financials!AP37</f>
        <v>0.42347210724556011</v>
      </c>
      <c r="AR37" s="162">
        <f>Financials!AQ47/Financials!AQ37</f>
        <v>0.4488287535528086</v>
      </c>
      <c r="AS37" s="162">
        <f>Financials!AR47/Financials!AR37</f>
        <v>0.44675995821311176</v>
      </c>
      <c r="AT37" s="162">
        <f>Financials!AS47/Financials!AS37</f>
        <v>0.44995390851845479</v>
      </c>
      <c r="AU37" s="162">
        <f>Financials!AT47/Financials!AT37</f>
        <v>0.44272230735759094</v>
      </c>
      <c r="AV37" s="162">
        <f>Financials!AU47/Financials!AU37</f>
        <v>0.4643429106719934</v>
      </c>
      <c r="AW37" s="162">
        <f>Financials!AV47/Financials!AV37</f>
        <v>0.4642741074977686</v>
      </c>
      <c r="AX37" s="162">
        <f>Financials!AW47/Financials!AW37</f>
        <v>0.35887465059091334</v>
      </c>
      <c r="AY37" s="162">
        <f>Financials!AX47/Financials!AX37</f>
        <v>0.47447464538602335</v>
      </c>
      <c r="AZ37" s="162">
        <f>Financials!AY47/Financials!AY37</f>
        <v>0.51728565097908896</v>
      </c>
      <c r="BA37" s="162">
        <f>Financials!AZ47/Financials!AZ37</f>
        <v>0.40925928093145425</v>
      </c>
      <c r="BB37" s="162">
        <f>Financials!BA47/Financials!BA37</f>
        <v>0.49609779072726157</v>
      </c>
      <c r="BC37" s="162">
        <f>Financials!BB47/Financials!BB37</f>
        <v>0.47973438007569585</v>
      </c>
      <c r="BD37" s="162" t="e">
        <f>Financials!BC47/Financials!BC37</f>
        <v>#DIV/0!</v>
      </c>
      <c r="BE37" s="162">
        <f>Financials!BD47/Financials!BD37</f>
        <v>0.4698871276064302</v>
      </c>
      <c r="BF37" s="162">
        <f>Financials!BE47/Financials!BE37</f>
        <v>0.45868662688454692</v>
      </c>
      <c r="BG37" s="162">
        <f>Financials!BF47/Financials!BF37</f>
        <v>0.47173116043598112</v>
      </c>
      <c r="BH37" s="162">
        <f>Financials!BG47/Financials!BG37</f>
        <v>0.45515895197002604</v>
      </c>
      <c r="BI37" s="162">
        <f>Financials!BH47/Financials!BH37</f>
        <v>0.46979321343669528</v>
      </c>
      <c r="BJ37" s="162">
        <f>Financials!BI47/Financials!BI37</f>
        <v>0.44635469140870715</v>
      </c>
      <c r="BK37" s="162">
        <f>Financials!BJ47/Financials!BJ37</f>
        <v>0.69390951227905862</v>
      </c>
      <c r="BL37" s="162">
        <f>Financials!BK47/Financials!BK37</f>
        <v>0.68009838114060917</v>
      </c>
      <c r="BM37" s="162">
        <f>Financials!BL47/Financials!BL37</f>
        <v>0.66632206842925257</v>
      </c>
      <c r="BN37" s="162">
        <f>Financials!BM47/Financials!BM37</f>
        <v>0.48337079169023728</v>
      </c>
      <c r="BO37" s="162">
        <f>Financials!BN47/Financials!BN37</f>
        <v>0.48375561603575085</v>
      </c>
      <c r="BP37" s="162">
        <f>Financials!BO47/Financials!BO37</f>
        <v>0.4807518250367207</v>
      </c>
      <c r="BQ37" s="162">
        <f>Financials!BP47/Financials!BP37</f>
        <v>0.4951730230264435</v>
      </c>
      <c r="BR37" s="162">
        <f>Financials!BQ47/Financials!BQ37</f>
        <v>0.48382713178449466</v>
      </c>
      <c r="BS37" s="162">
        <f>Financials!BR47/Financials!BR37</f>
        <v>0.47074215208647163</v>
      </c>
      <c r="BT37" s="162">
        <f>Financials!BS47/Financials!BS37</f>
        <v>0.46794225279469015</v>
      </c>
      <c r="BU37" s="162">
        <f>Financials!BT47/Financials!BT37</f>
        <v>0.46333542237571185</v>
      </c>
      <c r="BV37" s="162">
        <f>Financials!BU47/Financials!BU37</f>
        <v>0.46467983148408337</v>
      </c>
      <c r="BW37" s="162">
        <f>Financials!BV47/Financials!BV37</f>
        <v>0.46212772115604134</v>
      </c>
      <c r="BX37" s="162">
        <f>Financials!BW47/Financials!BW37</f>
        <v>0.58349914947468462</v>
      </c>
      <c r="BY37" s="162">
        <f>Financials!BX47/Financials!BX37</f>
        <v>0.83499445319084298</v>
      </c>
      <c r="BZ37" s="162">
        <f>Financials!BY47/Financials!BY37</f>
        <v>0.73910986075432417</v>
      </c>
      <c r="CA37" s="162">
        <f>Financials!BZ47/Financials!BZ37</f>
        <v>0.70687241494336661</v>
      </c>
      <c r="CB37" s="162">
        <f>Financials!CA47/Financials!CA37</f>
        <v>0.69843193760009592</v>
      </c>
      <c r="CC37" s="162">
        <f>Financials!CB47/Financials!CB37</f>
        <v>0.58439991602454744</v>
      </c>
      <c r="CD37" s="162">
        <f>Financials!CC47/Financials!CC37</f>
        <v>0.59616707393104873</v>
      </c>
      <c r="CE37" s="162">
        <f>Financials!CD47/Financials!CD37</f>
        <v>0.57128387658139157</v>
      </c>
      <c r="CF37" s="162">
        <f>Financials!CE47/Financials!CE37</f>
        <v>0.55794571438952667</v>
      </c>
      <c r="CG37" s="162">
        <f>Financials!CF47/Financials!CF37</f>
        <v>0.55812297447041204</v>
      </c>
      <c r="CH37" s="162">
        <f>Financials!CG47/Financials!CG37</f>
        <v>0.56364197489569878</v>
      </c>
      <c r="CI37" s="162">
        <f>Financials!CH47/Financials!CH37</f>
        <v>0.53458406097432387</v>
      </c>
      <c r="CJ37" s="162">
        <f>Financials!CI47/Financials!CI37</f>
        <v>0.53220442392103529</v>
      </c>
    </row>
    <row r="38" spans="1:88" ht="18.75" hidden="1">
      <c r="A38" s="164"/>
      <c r="B38" s="160" t="s">
        <v>163</v>
      </c>
      <c r="C38" s="161"/>
      <c r="D38" s="162"/>
      <c r="E38" s="162"/>
      <c r="F38" s="162"/>
      <c r="G38" s="162"/>
      <c r="H38" s="162">
        <f>Financials!G38/('Evolutive SFP'!F14+'Evolutive SFP'!B14)/2</f>
        <v>7.1869378324764199E-2</v>
      </c>
      <c r="I38" s="162"/>
      <c r="J38" s="162"/>
      <c r="K38" s="162">
        <f>Financials!J38/('Evolutive SFP'!I14+'Evolutive SFP'!F14)/2</f>
        <v>1.7048668694905596E-3</v>
      </c>
      <c r="L38" s="162">
        <f>Financials!K38/('Evolutive SFP'!J14+'Evolutive SFP'!I14)/2</f>
        <v>7.659627251437537E-3</v>
      </c>
      <c r="M38" s="162">
        <f>Financials!L38/('Evolutive SFP'!K14+'Evolutive SFP'!J14)/2</f>
        <v>1.2759208421618299E-2</v>
      </c>
      <c r="N38" s="162">
        <f>Financials!M38/('Evolutive SFP'!L14+'Evolutive SFP'!K14)/2</f>
        <v>1.6383319272142094E-2</v>
      </c>
      <c r="O38" s="162">
        <f>Financials!N38/('Evolutive SFP'!M14+'Evolutive SFP'!L14)/2</f>
        <v>2.1375638728763274E-2</v>
      </c>
      <c r="P38" s="162">
        <f>Financials!O38/('Evolutive SFP'!N14+'Evolutive SFP'!M14)/2</f>
        <v>2.5539856577686013E-2</v>
      </c>
      <c r="Q38" s="162">
        <f>Financials!P38/('Evolutive SFP'!O14+'Evolutive SFP'!N14)/2</f>
        <v>2.6812944373150609E-2</v>
      </c>
      <c r="R38" s="162">
        <f>Financials!Q38/('Evolutive SFP'!P14+'Evolutive SFP'!O14)/2</f>
        <v>3.3658760058548121E-2</v>
      </c>
      <c r="S38" s="162">
        <f>Financials!R38/('Evolutive SFP'!Q14+'Evolutive SFP'!P14)/2</f>
        <v>4.1341127924355604E-2</v>
      </c>
      <c r="T38" s="162">
        <f>Financials!S38/('Evolutive SFP'!R14+'Evolutive SFP'!Q14)/2</f>
        <v>4.5646412699104959E-2</v>
      </c>
      <c r="U38" s="162">
        <f>Financials!T38/('Evolutive SFP'!S14+'Evolutive SFP'!R14)/2</f>
        <v>4.9564140860134644E-2</v>
      </c>
      <c r="V38" s="162">
        <f>Financials!U38/('Evolutive SFP'!T14+'Evolutive SFP'!S14)/2</f>
        <v>5.3690560940663254E-2</v>
      </c>
      <c r="W38" s="162">
        <f>Financials!V38/('Evolutive SFP'!U14+'Evolutive SFP'!T14)/2</f>
        <v>5.3380162746618491E-2</v>
      </c>
      <c r="X38" s="162">
        <f>Financials!W38/('Evolutive SFP'!V14+'Evolutive SFP'!U14)/2</f>
        <v>4.186315111009687E-3</v>
      </c>
      <c r="Y38" s="162">
        <f>Financials!X38/('Evolutive SFP'!W14+'Evolutive SFP'!V14)/2</f>
        <v>8.2112910462039199E-3</v>
      </c>
      <c r="Z38" s="162">
        <f>Financials!Y38/('Evolutive SFP'!X14+'Evolutive SFP'!W14)/2</f>
        <v>1.2254870381730837E-2</v>
      </c>
      <c r="AA38" s="162">
        <f>Financials!Z38/('Evolutive SFP'!Y14+'Evolutive SFP'!X14)/2</f>
        <v>1.7060453550463317E-2</v>
      </c>
      <c r="AB38" s="162">
        <f>Financials!AA38/('Evolutive SFP'!Z14+'Evolutive SFP'!Y14)/2</f>
        <v>2.130697676963025E-2</v>
      </c>
      <c r="AC38" s="162">
        <f>Financials!AB38/('Evolutive SFP'!AA14+'Evolutive SFP'!Z14)/2</f>
        <v>2.5234454265180749E-2</v>
      </c>
      <c r="AD38" s="162">
        <f>Financials!AC38/('Evolutive SFP'!AB14+'Evolutive SFP'!AA14)/2</f>
        <v>2.9288351912468643E-2</v>
      </c>
      <c r="AE38" s="162">
        <f>Financials!AD38/('Evolutive SFP'!AC14+'Evolutive SFP'!AB14)/2</f>
        <v>3.4205036737609641E-2</v>
      </c>
      <c r="AF38" s="162">
        <f>Financials!AE38/('Evolutive SFP'!AD14+'Evolutive SFP'!AC14)/2</f>
        <v>3.7872678881571815E-2</v>
      </c>
      <c r="AG38" s="162">
        <f>Financials!AF38/('Evolutive SFP'!AE14+'Evolutive SFP'!AD14)/2</f>
        <v>4.2126354313774483E-2</v>
      </c>
      <c r="AH38" s="162">
        <f>Financials!AG38/('Evolutive SFP'!AF14+'Evolutive SFP'!AE14)/2</f>
        <v>4.6576188437062155E-2</v>
      </c>
      <c r="AI38" s="162">
        <f>Financials!AH38/('Evolutive SFP'!AG14+'Evolutive SFP'!AF14)/2</f>
        <v>5.2567418190749587E-2</v>
      </c>
      <c r="AJ38" s="162">
        <f>Financials!AI38/('Evolutive SFP'!AH14+'Evolutive SFP'!AG14)/2</f>
        <v>5.2697180588189507E-2</v>
      </c>
      <c r="AK38" s="162">
        <f>Financials!AJ38/('Evolutive SFP'!AI14+'Evolutive SFP'!AH14)/2</f>
        <v>4.1806761705041277E-3</v>
      </c>
      <c r="AL38" s="162">
        <f>Financials!AK38/('Evolutive SFP'!AJ14+'Evolutive SFP'!AI14)/2</f>
        <v>7.9553175419548837E-3</v>
      </c>
      <c r="AM38" s="162">
        <f>Financials!AL38/('Evolutive SFP'!AK14+'Evolutive SFP'!AJ14)/2</f>
        <v>1.1605780862524465E-2</v>
      </c>
      <c r="AN38" s="162">
        <f>Financials!AM38/('Evolutive SFP'!AL14+'Evolutive SFP'!AK14)/2</f>
        <v>1.593669108900889E-2</v>
      </c>
      <c r="AO38" s="162">
        <f>Financials!AN38/('Evolutive SFP'!AM14+'Evolutive SFP'!AL14)/2</f>
        <v>1.9877212780579676E-2</v>
      </c>
      <c r="AP38" s="162">
        <f>Financials!AO38/('Evolutive SFP'!AN14+'Evolutive SFP'!AM14)/2</f>
        <v>2.3598057861989378E-2</v>
      </c>
      <c r="AQ38" s="162">
        <f>Financials!AP38/('Evolutive SFP'!AO14+'Evolutive SFP'!AN14)/2</f>
        <v>2.7620740101042006E-2</v>
      </c>
      <c r="AR38" s="162">
        <f>Financials!AQ38/('Evolutive SFP'!AP14+'Evolutive SFP'!AO14)/2</f>
        <v>3.2220759235552322E-2</v>
      </c>
      <c r="AS38" s="162">
        <f>Financials!AR38/('Evolutive SFP'!AQ14+'Evolutive SFP'!AP14)/2</f>
        <v>3.5914446204647003E-2</v>
      </c>
      <c r="AT38" s="162">
        <f>Financials!AS38/('Evolutive SFP'!AR14+'Evolutive SFP'!AQ14)/2</f>
        <v>3.9854404843528583E-2</v>
      </c>
      <c r="AU38" s="162">
        <f>Financials!AT38/('Evolutive SFP'!AS14+'Evolutive SFP'!AR14)/2</f>
        <v>4.3793517418792262E-2</v>
      </c>
      <c r="AV38" s="162">
        <f>Financials!AU38/('Evolutive SFP'!AT14+'Evolutive SFP'!AS14)/2</f>
        <v>5.0009771275161916E-2</v>
      </c>
      <c r="AW38" s="162">
        <f>Financials!AV38/('Evolutive SFP'!AU14+'Evolutive SFP'!AT14)/2</f>
        <v>5.1469630296947261E-2</v>
      </c>
      <c r="AX38" s="162">
        <f>Financials!AW38/('Evolutive SFP'!AU14+'Evolutive SFP'!AT14)/2</f>
        <v>3.9513457492386869E-3</v>
      </c>
      <c r="AY38" s="162">
        <f>Financials!AX38/('Evolutive SFP'!AV14+'Evolutive SFP'!AU14)/2</f>
        <v>7.6488675466480213E-3</v>
      </c>
      <c r="AZ38" s="162">
        <f>Financials!AY38/('Evolutive SFP'!AW14+'Evolutive SFP'!AV14)/2</f>
        <v>1.1469178892478407E-2</v>
      </c>
      <c r="BA38" s="162">
        <f>Financials!AZ38/('Evolutive SFP'!AX14+'Evolutive SFP'!AW14)/2</f>
        <v>1.5043997765195636E-2</v>
      </c>
      <c r="BB38" s="162">
        <f>Financials!BA38/('Evolutive SFP'!AY14+'Evolutive SFP'!AX14)/2</f>
        <v>1.861913743080593E-2</v>
      </c>
      <c r="BC38" s="162">
        <f>Financials!BB38/('Evolutive SFP'!AZ14+'Evolutive SFP'!AY14)/2</f>
        <v>2.2511692100927953E-2</v>
      </c>
      <c r="BD38" s="162">
        <f>Financials!BC38/('Evolutive SFP'!BA14+'Evolutive SFP'!AZ14)/2</f>
        <v>0</v>
      </c>
      <c r="BE38" s="162">
        <f>Financials!BD38/('Evolutive SFP'!BB14+'Evolutive SFP'!BA14)/2</f>
        <v>6.0833933797386594E-2</v>
      </c>
      <c r="BF38" s="162">
        <f>Financials!BE38/('Evolutive SFP'!BC14+'Evolutive SFP'!BB14)/2</f>
        <v>1.1523736946677601E-2</v>
      </c>
      <c r="BG38" s="162">
        <f>Financials!BF38/('Evolutive SFP'!BD14+'Evolutive SFP'!BC14)/2</f>
        <v>3.8216068038680585E-2</v>
      </c>
      <c r="BH38" s="162">
        <f>Financials!BG38/('Evolutive SFP'!BE14+'Evolutive SFP'!BD14)/2</f>
        <v>4.3089875438376876E-2</v>
      </c>
      <c r="BI38" s="162">
        <f>Financials!BH38/('Evolutive SFP'!BF14+'Evolutive SFP'!BE14)/2</f>
        <v>4.6839285645255704E-2</v>
      </c>
      <c r="BJ38" s="162">
        <f>Financials!BI38/('Evolutive SFP'!BG14+'Evolutive SFP'!BF14)/2</f>
        <v>4.8225850426907135E-2</v>
      </c>
      <c r="BK38" s="162">
        <f>Financials!BJ38/('Evolutive SFP'!BH14+'Evolutive SFP'!BG14)/2</f>
        <v>3.661108317873172E-3</v>
      </c>
      <c r="BL38" s="162">
        <f>Financials!BK38/('Evolutive SFP'!BI14+'Evolutive SFP'!BH14)/2</f>
        <v>7.3041254840755694E-3</v>
      </c>
      <c r="BM38" s="162">
        <f>Financials!BL38/('Evolutive SFP'!BJ14+'Evolutive SFP'!BI14)/2</f>
        <v>1.1334529752945679E-2</v>
      </c>
      <c r="BN38" s="162">
        <f>Financials!BM38/('Evolutive SFP'!BK14+'Evolutive SFP'!BJ14)/2</f>
        <v>1.5391167201443432E-2</v>
      </c>
      <c r="BO38" s="162">
        <f>Financials!BN38/('Evolutive SFP'!BL14+'Evolutive SFP'!BK14)/2</f>
        <v>1.9036222157425182E-2</v>
      </c>
      <c r="BP38" s="162">
        <f>Financials!BO38/('Evolutive SFP'!BM14+'Evolutive SFP'!BL14)/2</f>
        <v>2.3035814539337229E-2</v>
      </c>
      <c r="BQ38" s="162">
        <f>Financials!BP38/('Evolutive SFP'!BN14+'Evolutive SFP'!BM14)/2</f>
        <v>2.7067134286732825E-2</v>
      </c>
      <c r="BR38" s="162">
        <f>Financials!BQ38/('Evolutive SFP'!BO14+'Evolutive SFP'!BN14)/2</f>
        <v>3.0579806247956903E-2</v>
      </c>
      <c r="BS38" s="162">
        <f>Financials!BR38/('Evolutive SFP'!BP14+'Evolutive SFP'!BO14)/2</f>
        <v>3.4278835117059356E-2</v>
      </c>
      <c r="BT38" s="162">
        <f>Financials!BS38/('Evolutive SFP'!BQ14+'Evolutive SFP'!BP14)/2</f>
        <v>3.789172800781334E-2</v>
      </c>
      <c r="BU38" s="162">
        <f>Financials!BT38/('Evolutive SFP'!BR14+'Evolutive SFP'!BQ14)/2</f>
        <v>4.1488417762986916E-2</v>
      </c>
      <c r="BV38" s="162">
        <f>Financials!BU38/('Evolutive SFP'!BS14+'Evolutive SFP'!BR14)/2</f>
        <v>4.3768964460166808E-2</v>
      </c>
      <c r="BW38" s="162">
        <f>Financials!BV38/('Evolutive SFP'!BT14+'Evolutive SFP'!BS14)/2</f>
        <v>4.8833673786754572E-2</v>
      </c>
      <c r="BX38" s="162">
        <f>Financials!BW38/('Evolutive SFP'!BU14+'Evolutive SFP'!BT14)/2</f>
        <v>3.5825873576115792E-3</v>
      </c>
      <c r="BY38" s="162">
        <f>Financials!BX38/('Evolutive SFP'!BV14+'Evolutive SFP'!BU14)/2</f>
        <v>7.2411711866954736E-3</v>
      </c>
      <c r="BZ38" s="162">
        <f>Financials!BY38/('Evolutive SFP'!BW14+'Evolutive SFP'!BV14)/2</f>
        <v>1.1244396531648052E-2</v>
      </c>
      <c r="CA38" s="162">
        <f>Financials!BZ38/('Evolutive SFP'!BX14+'Evolutive SFP'!BW14)/2</f>
        <v>1.5176940413133229E-2</v>
      </c>
      <c r="CB38" s="162">
        <f>Financials!CA38/('Evolutive SFP'!BY14+'Evolutive SFP'!BX14)/2</f>
        <v>1.8516088940538012E-2</v>
      </c>
      <c r="CC38" s="162">
        <f>Financials!CB38/('Evolutive SFP'!BZ14+'Evolutive SFP'!BY14)/2</f>
        <v>2.2272657924339721E-2</v>
      </c>
      <c r="CD38" s="162">
        <f>Financials!CC38/('Evolutive SFP'!CA14+'Evolutive SFP'!BZ14)/2</f>
        <v>2.5959273100994811E-2</v>
      </c>
      <c r="CE38" s="162">
        <f>Financials!CD38/('Evolutive SFP'!CB14+'Evolutive SFP'!CA14)/2</f>
        <v>2.9749356704238401E-2</v>
      </c>
      <c r="CF38" s="162">
        <f>Financials!CE38/('Evolutive SFP'!CC14+'Evolutive SFP'!CB14)/2</f>
        <v>3.3559852212330821E-2</v>
      </c>
      <c r="CG38" s="162">
        <f>Financials!CF38/('Evolutive SFP'!CD14+'Evolutive SFP'!CC14)/2</f>
        <v>3.7105793974885677E-2</v>
      </c>
      <c r="CH38" s="162">
        <f>Financials!CG38/('Evolutive SFP'!CE14+'Evolutive SFP'!CD14)/2</f>
        <v>4.0840913246066084E-2</v>
      </c>
      <c r="CI38" s="162">
        <f>Financials!CH38/('Evolutive SFP'!CF14+'Evolutive SFP'!CE14)/2</f>
        <v>4.4996900892600576E-2</v>
      </c>
      <c r="CJ38" s="162">
        <f>Financials!CI38/('Evolutive SFP'!CG14+'Evolutive SFP'!CF14)/2</f>
        <v>4.6407863180189683E-2</v>
      </c>
    </row>
    <row r="39" spans="1:88" ht="18.75" hidden="1">
      <c r="A39" s="164"/>
      <c r="B39" s="160" t="s">
        <v>164</v>
      </c>
      <c r="C39" s="161"/>
      <c r="D39" s="162"/>
      <c r="E39" s="162"/>
      <c r="F39" s="162"/>
      <c r="G39" s="162"/>
      <c r="H39" s="162">
        <f>Financials!G37/('Evolutive SFP'!F15+'Evolutive SFP'!B15)/2</f>
        <v>7.8054139247559148E-2</v>
      </c>
      <c r="I39" s="162"/>
      <c r="J39" s="162"/>
      <c r="K39" s="162">
        <f>Financials!J37/('Evolutive SFP'!I15+'Evolutive SFP'!F15)/2</f>
        <v>1.7858091982589364E-3</v>
      </c>
      <c r="L39" s="162">
        <f>Financials!K37/('Evolutive SFP'!J15+'Evolutive SFP'!I15)/2</f>
        <v>7.7948252261514249E-3</v>
      </c>
      <c r="M39" s="162">
        <f>Financials!L37/('Evolutive SFP'!K15+'Evolutive SFP'!J15)/2</f>
        <v>1.3113535336498177E-2</v>
      </c>
      <c r="N39" s="162">
        <f>Financials!M37/('Evolutive SFP'!L15+'Evolutive SFP'!K15)/2</f>
        <v>1.6708653515446689E-2</v>
      </c>
      <c r="O39" s="162">
        <f>Financials!N37/('Evolutive SFP'!M15+'Evolutive SFP'!L15)/2</f>
        <v>2.1730029175062209E-2</v>
      </c>
      <c r="P39" s="162">
        <f>Financials!O37/('Evolutive SFP'!N15+'Evolutive SFP'!M15)/2</f>
        <v>2.9991213934719874E-2</v>
      </c>
      <c r="Q39" s="162">
        <f>Financials!P37/('Evolutive SFP'!O15+'Evolutive SFP'!N15)/2</f>
        <v>3.1423339291089647E-2</v>
      </c>
      <c r="R39" s="162">
        <f>Financials!Q37/('Evolutive SFP'!P15+'Evolutive SFP'!O15)/2</f>
        <v>3.8223050774048493E-2</v>
      </c>
      <c r="S39" s="162">
        <f>Financials!R37/('Evolutive SFP'!Q15+'Evolutive SFP'!P15)/2</f>
        <v>4.6002651470969512E-2</v>
      </c>
      <c r="T39" s="162">
        <f>Financials!S37/('Evolutive SFP'!R15+'Evolutive SFP'!Q15)/2</f>
        <v>5.0202217316921219E-2</v>
      </c>
      <c r="U39" s="162">
        <f>Financials!T37/('Evolutive SFP'!S15+'Evolutive SFP'!R15)/2</f>
        <v>5.4229089464870435E-2</v>
      </c>
      <c r="V39" s="162">
        <f>Financials!U37/('Evolutive SFP'!T15+'Evolutive SFP'!S15)/2</f>
        <v>5.9174068372895107E-2</v>
      </c>
      <c r="W39" s="162">
        <f>Financials!V37/('Evolutive SFP'!U15+'Evolutive SFP'!T15)/2</f>
        <v>5.8464790598685798E-2</v>
      </c>
      <c r="X39" s="162">
        <f>Financials!W37/('Evolutive SFP'!V15+'Evolutive SFP'!U15)/2</f>
        <v>4.2710707621152217E-3</v>
      </c>
      <c r="Y39" s="162">
        <f>Financials!X37/('Evolutive SFP'!W15+'Evolutive SFP'!V15)/2</f>
        <v>8.2776343991494555E-3</v>
      </c>
      <c r="Z39" s="162">
        <f>Financials!Y37/('Evolutive SFP'!X15+'Evolutive SFP'!W15)/2</f>
        <v>1.3037914657291953E-2</v>
      </c>
      <c r="AA39" s="162">
        <f>Financials!Z37/('Evolutive SFP'!Y15+'Evolutive SFP'!X15)/2</f>
        <v>1.7908537223185778E-2</v>
      </c>
      <c r="AB39" s="162">
        <f>Financials!AA37/('Evolutive SFP'!Z15+'Evolutive SFP'!Y15)/2</f>
        <v>2.2217412279426307E-2</v>
      </c>
      <c r="AC39" s="162">
        <f>Financials!AB37/('Evolutive SFP'!AA15+'Evolutive SFP'!Z15)/2</f>
        <v>3.0550126674032091E-2</v>
      </c>
      <c r="AD39" s="162">
        <f>Financials!AC37/('Evolutive SFP'!AB15+'Evolutive SFP'!AA15)/2</f>
        <v>3.4776924473459397E-2</v>
      </c>
      <c r="AE39" s="162">
        <f>Financials!AD37/('Evolutive SFP'!AC15+'Evolutive SFP'!AB15)/2</f>
        <v>3.9607509884161958E-2</v>
      </c>
      <c r="AF39" s="162">
        <f>Financials!AE37/('Evolutive SFP'!AD15+'Evolutive SFP'!AC15)/2</f>
        <v>4.3185851720905083E-2</v>
      </c>
      <c r="AG39" s="162">
        <f>Financials!AF37/('Evolutive SFP'!AE15+'Evolutive SFP'!AD15)/2</f>
        <v>4.7892251452069157E-2</v>
      </c>
      <c r="AH39" s="162">
        <f>Financials!AG37/('Evolutive SFP'!AF15+'Evolutive SFP'!AE15)/2</f>
        <v>5.2471581838916745E-2</v>
      </c>
      <c r="AI39" s="162">
        <f>Financials!AH37/('Evolutive SFP'!AG15+'Evolutive SFP'!AF15)/2</f>
        <v>5.870436666725741E-2</v>
      </c>
      <c r="AJ39" s="162">
        <f>Financials!AI37/('Evolutive SFP'!AH15+'Evolutive SFP'!AG15)/2</f>
        <v>5.8449569160556651E-2</v>
      </c>
      <c r="AK39" s="162">
        <f>Financials!AJ37/('Evolutive SFP'!AI15+'Evolutive SFP'!AH15)/2</f>
        <v>4.2092327381487681E-3</v>
      </c>
      <c r="AL39" s="162">
        <f>Financials!AK37/('Evolutive SFP'!AJ15+'Evolutive SFP'!AI15)/2</f>
        <v>8.0467614272350697E-3</v>
      </c>
      <c r="AM39" s="162">
        <f>Financials!AL37/('Evolutive SFP'!AK15+'Evolutive SFP'!AJ15)/2</f>
        <v>1.2121584087167282E-2</v>
      </c>
      <c r="AN39" s="162">
        <f>Financials!AM37/('Evolutive SFP'!AL15+'Evolutive SFP'!AK15)/2</f>
        <v>1.6702629189062644E-2</v>
      </c>
      <c r="AO39" s="162">
        <f>Financials!AN37/('Evolutive SFP'!AM15+'Evolutive SFP'!AL15)/2</f>
        <v>2.0754796546520498E-2</v>
      </c>
      <c r="AP39" s="162">
        <f>Financials!AO37/('Evolutive SFP'!AN15+'Evolutive SFP'!AM15)/2</f>
        <v>2.9616730535040513E-2</v>
      </c>
      <c r="AQ39" s="162">
        <f>Financials!AP37/('Evolutive SFP'!AO15+'Evolutive SFP'!AN15)/2</f>
        <v>3.3620007654504236E-2</v>
      </c>
      <c r="AR39" s="162">
        <f>Financials!AQ37/('Evolutive SFP'!AP15+'Evolutive SFP'!AO15)/2</f>
        <v>3.8221522294695512E-2</v>
      </c>
      <c r="AS39" s="162">
        <f>Financials!AR37/('Evolutive SFP'!AQ15+'Evolutive SFP'!AP15)/2</f>
        <v>4.1831696567735027E-2</v>
      </c>
      <c r="AT39" s="162">
        <f>Financials!AS37/('Evolutive SFP'!AR15+'Evolutive SFP'!AQ15)/2</f>
        <v>4.5719561105399265E-2</v>
      </c>
      <c r="AU39" s="162">
        <f>Financials!AT37/('Evolutive SFP'!AS15+'Evolutive SFP'!AR15)/2</f>
        <v>4.9740284739236064E-2</v>
      </c>
      <c r="AV39" s="162">
        <f>Financials!AU37/('Evolutive SFP'!AT15+'Evolutive SFP'!AS15)/2</f>
        <v>5.6026738690494439E-2</v>
      </c>
      <c r="AW39" s="162">
        <f>Financials!AV37/('Evolutive SFP'!AU15+'Evolutive SFP'!AT15)/2</f>
        <v>5.5651378952053972E-2</v>
      </c>
      <c r="AX39" s="162">
        <f>Financials!AW37/('Evolutive SFP'!AV15+'Evolutive SFP'!AU15)/2</f>
        <v>3.9742812034673416E-3</v>
      </c>
      <c r="AY39" s="162">
        <f>Financials!AX37/('Evolutive SFP'!AV15+'Evolutive SFP'!AU15)/2</f>
        <v>7.6831791897108027E-3</v>
      </c>
      <c r="AZ39" s="162">
        <f>Financials!AY37/('Evolutive SFP'!AW15+'Evolutive SFP'!AV15)/2</f>
        <v>1.1976934815717486E-2</v>
      </c>
      <c r="BA39" s="162">
        <f>Financials!AZ37/('Evolutive SFP'!AX15+'Evolutive SFP'!AW15)/2</f>
        <v>2.0062500891791717E-2</v>
      </c>
      <c r="BB39" s="162">
        <f>Financials!BA37/('Evolutive SFP'!AY15+'Evolutive SFP'!AX15)/2</f>
        <v>2.3649737618154809E-2</v>
      </c>
      <c r="BC39" s="162">
        <f>Financials!BB37/('Evolutive SFP'!AZ15+'Evolutive SFP'!AY15)/2</f>
        <v>2.769677310523741E-2</v>
      </c>
      <c r="BD39" s="162">
        <f>Financials!BC37/('Evolutive SFP'!BA15+'Evolutive SFP'!AZ15)/2</f>
        <v>0</v>
      </c>
      <c r="BE39" s="162">
        <f>Financials!BD37/('Evolutive SFP'!BB15+'Evolutive SFP'!BA15)/2</f>
        <v>7.0989284147254306E-2</v>
      </c>
      <c r="BF39" s="162">
        <f>Financials!BE37/('Evolutive SFP'!BC15+'Evolutive SFP'!BB15)/2</f>
        <v>1.3243723786895385E-2</v>
      </c>
      <c r="BG39" s="162">
        <f>Financials!BF37/('Evolutive SFP'!BD15+'Evolutive SFP'!BC15)/2</f>
        <v>4.3386328930725269E-2</v>
      </c>
      <c r="BH39" s="162">
        <f>Financials!BG37/('Evolutive SFP'!BE15+'Evolutive SFP'!BD15)/2</f>
        <v>4.8337799630685574E-2</v>
      </c>
      <c r="BI39" s="162">
        <f>Financials!BH37/('Evolutive SFP'!BF15+'Evolutive SFP'!BE15)/2</f>
        <v>5.2570781379403027E-2</v>
      </c>
      <c r="BJ39" s="162">
        <f>Financials!BI37/('Evolutive SFP'!BG15+'Evolutive SFP'!BF15)/2</f>
        <v>5.2324621239873539E-2</v>
      </c>
      <c r="BK39" s="162">
        <f>Financials!BJ37/('Evolutive SFP'!BH15+'Evolutive SFP'!BG15)/2</f>
        <v>3.6593634014514321E-3</v>
      </c>
      <c r="BL39" s="162">
        <f>Financials!BK37/('Evolutive SFP'!BI15+'Evolutive SFP'!BH15)/2</f>
        <v>7.6974865332162124E-3</v>
      </c>
      <c r="BM39" s="162">
        <f>Financials!BL37/('Evolutive SFP'!BJ15+'Evolutive SFP'!BI15)/2</f>
        <v>1.2174538191945413E-2</v>
      </c>
      <c r="BN39" s="162">
        <f>Financials!BM37/('Evolutive SFP'!BK15+'Evolutive SFP'!BJ15)/2</f>
        <v>2.0710264377699798E-2</v>
      </c>
      <c r="BO39" s="162">
        <f>Financials!BN37/('Evolutive SFP'!BL15+'Evolutive SFP'!BK15)/2</f>
        <v>2.4402676942711806E-2</v>
      </c>
      <c r="BP39" s="162">
        <f>Financials!BO37/('Evolutive SFP'!BM15+'Evolutive SFP'!BL15)/2</f>
        <v>2.8456770449331311E-2</v>
      </c>
      <c r="BQ39" s="162">
        <f>Financials!BP37/('Evolutive SFP'!BN15+'Evolutive SFP'!BM15)/2</f>
        <v>3.2686429732341912E-2</v>
      </c>
      <c r="BR39" s="162">
        <f>Financials!BQ37/('Evolutive SFP'!BO15+'Evolutive SFP'!BN15)/2</f>
        <v>3.625728968644628E-2</v>
      </c>
      <c r="BS39" s="162">
        <f>Financials!BR37/('Evolutive SFP'!BP15+'Evolutive SFP'!BO15)/2</f>
        <v>4.0083451761499342E-2</v>
      </c>
      <c r="BT39" s="162">
        <f>Financials!BS37/('Evolutive SFP'!BQ15+'Evolutive SFP'!BP15)/2</f>
        <v>4.4164275781544124E-2</v>
      </c>
      <c r="BU39" s="162">
        <f>Financials!BT37/('Evolutive SFP'!BR15+'Evolutive SFP'!BQ15)/2</f>
        <v>4.7983004454580439E-2</v>
      </c>
      <c r="BV39" s="162">
        <f>Financials!BU37/('Evolutive SFP'!BS15+'Evolutive SFP'!BR15)/2</f>
        <v>5.4479643765022748E-2</v>
      </c>
      <c r="BW39" s="162">
        <f>Financials!BV37/('Evolutive SFP'!BT15+'Evolutive SFP'!BS15)/2</f>
        <v>5.4421814598591987E-2</v>
      </c>
      <c r="BX39" s="162">
        <f>Financials!BW37/('Evolutive SFP'!BU15+'Evolutive SFP'!BT15)/2</f>
        <v>3.6172418515708279E-3</v>
      </c>
      <c r="BY39" s="162">
        <f>Financials!BX37/('Evolutive SFP'!BV15+'Evolutive SFP'!BU15)/2</f>
        <v>7.6840513688750372E-3</v>
      </c>
      <c r="BZ39" s="162">
        <f>Financials!BY37/('Evolutive SFP'!BW15+'Evolutive SFP'!BV15)/2</f>
        <v>1.2274293235629244E-2</v>
      </c>
      <c r="CA39" s="162">
        <f>Financials!BZ37/('Evolutive SFP'!BX15+'Evolutive SFP'!BW15)/2</f>
        <v>1.6269008608494829E-2</v>
      </c>
      <c r="CB39" s="162">
        <f>Financials!CA37/('Evolutive SFP'!BY15+'Evolutive SFP'!BX15)/2</f>
        <v>1.9723420934106856E-2</v>
      </c>
      <c r="CC39" s="162">
        <f>Financials!CB37/('Evolutive SFP'!BZ15+'Evolutive SFP'!BY15)/2</f>
        <v>2.747280917201415E-2</v>
      </c>
      <c r="CD39" s="162">
        <f>Financials!CC37/('Evolutive SFP'!CA15+'Evolutive SFP'!BZ15)/2</f>
        <v>3.1362003049573331E-2</v>
      </c>
      <c r="CE39" s="162">
        <f>Financials!CD37/('Evolutive SFP'!CB15+'Evolutive SFP'!CA15)/2</f>
        <v>3.5255589912255629E-2</v>
      </c>
      <c r="CF39" s="162">
        <f>Financials!CE37/('Evolutive SFP'!CC15+'Evolutive SFP'!CB15)/2</f>
        <v>3.9620272843983721E-2</v>
      </c>
      <c r="CG39" s="162">
        <f>Financials!CF37/('Evolutive SFP'!CD15+'Evolutive SFP'!CC15)/2</f>
        <v>4.3484545824413696E-2</v>
      </c>
      <c r="CH39" s="162">
        <f>Financials!CG37/('Evolutive SFP'!CE15+'Evolutive SFP'!CD15)/2</f>
        <v>4.7498002018712168E-2</v>
      </c>
      <c r="CI39" s="162">
        <f>Financials!CH37/('Evolutive SFP'!CF15+'Evolutive SFP'!CE15)/2</f>
        <v>5.2337875098049241E-2</v>
      </c>
      <c r="CJ39" s="162">
        <f>Financials!CI37/('Evolutive SFP'!CG15+'Evolutive SFP'!CF15)/2</f>
        <v>5.2609220299941029E-2</v>
      </c>
    </row>
    <row r="40" spans="1:88" ht="18.75" hidden="1">
      <c r="A40" s="165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</row>
    <row r="41" spans="1:88" ht="18.75" hidden="1">
      <c r="A41" s="187" t="s">
        <v>165</v>
      </c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</row>
    <row r="42" spans="1:88" hidden="1"/>
    <row r="43" spans="1:88" hidden="1"/>
    <row r="44" spans="1:88" hidden="1"/>
    <row r="45" spans="1:88" hidden="1"/>
    <row r="46" spans="1:88" hidden="1"/>
    <row r="47" spans="1:88" hidden="1"/>
    <row r="48" spans="1:88" hidden="1"/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  <pageSetup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R47"/>
  <sheetViews>
    <sheetView topLeftCell="CL40" zoomScaleNormal="100" workbookViewId="0">
      <selection activeCell="CQ4" sqref="CQ4:CR47"/>
    </sheetView>
  </sheetViews>
  <sheetFormatPr defaultRowHeight="15"/>
  <cols>
    <col min="2" max="2" width="35.5703125" bestFit="1" customWidth="1"/>
    <col min="3" max="25" width="12.5703125" hidden="1" customWidth="1"/>
    <col min="26" max="41" width="15.28515625" hidden="1" customWidth="1"/>
    <col min="42" max="47" width="15.140625" hidden="1" customWidth="1"/>
    <col min="48" max="54" width="15.85546875" hidden="1" customWidth="1"/>
    <col min="55" max="55" width="7" hidden="1" customWidth="1"/>
    <col min="56" max="56" width="17.7109375" hidden="1" customWidth="1"/>
    <col min="57" max="73" width="15.85546875" hidden="1" customWidth="1"/>
    <col min="74" max="74" width="18.28515625" customWidth="1"/>
    <col min="75" max="75" width="15.42578125" customWidth="1"/>
    <col min="76" max="76" width="15.140625" customWidth="1"/>
    <col min="77" max="77" width="17.28515625" customWidth="1"/>
    <col min="78" max="78" width="16.42578125" customWidth="1"/>
    <col min="79" max="79" width="15.7109375" customWidth="1"/>
    <col min="80" max="80" width="15.42578125" customWidth="1"/>
    <col min="81" max="81" width="19.42578125" customWidth="1"/>
    <col min="82" max="82" width="15" customWidth="1"/>
    <col min="83" max="83" width="17.28515625" customWidth="1"/>
    <col min="84" max="84" width="16.140625" customWidth="1"/>
    <col min="85" max="85" width="15.42578125" customWidth="1"/>
    <col min="86" max="90" width="15.85546875" bestFit="1" customWidth="1"/>
    <col min="91" max="91" width="18.85546875" customWidth="1"/>
    <col min="92" max="93" width="15.85546875" bestFit="1" customWidth="1"/>
    <col min="94" max="94" width="17" customWidth="1"/>
    <col min="95" max="95" width="16.5703125" customWidth="1"/>
    <col min="96" max="96" width="18" customWidth="1"/>
  </cols>
  <sheetData>
    <row r="1" spans="1:96">
      <c r="A1" s="33"/>
      <c r="B1" s="47" t="s">
        <v>166</v>
      </c>
      <c r="C1" s="85"/>
      <c r="D1" s="85"/>
      <c r="E1" s="85"/>
    </row>
    <row r="2" spans="1:96">
      <c r="A2" s="33"/>
      <c r="B2" s="34" t="s">
        <v>167</v>
      </c>
      <c r="C2" s="49" t="s">
        <v>0</v>
      </c>
      <c r="D2" s="48" t="s">
        <v>1</v>
      </c>
      <c r="E2" s="48" t="s">
        <v>2</v>
      </c>
      <c r="F2" s="48" t="s">
        <v>3</v>
      </c>
      <c r="G2" s="49" t="s">
        <v>4</v>
      </c>
      <c r="H2" s="48" t="s">
        <v>5</v>
      </c>
      <c r="I2" s="48" t="s">
        <v>111</v>
      </c>
      <c r="J2" s="50">
        <v>42736</v>
      </c>
      <c r="K2" s="50">
        <v>42767</v>
      </c>
      <c r="L2" s="50">
        <v>42795</v>
      </c>
      <c r="M2" s="50">
        <v>42826</v>
      </c>
      <c r="N2" s="50">
        <v>42856</v>
      </c>
      <c r="O2" s="50">
        <v>42887</v>
      </c>
      <c r="P2" s="50">
        <v>42917</v>
      </c>
      <c r="Q2" s="50">
        <v>42948</v>
      </c>
      <c r="R2" s="50">
        <v>42979</v>
      </c>
      <c r="S2" s="50">
        <v>43009</v>
      </c>
      <c r="T2" s="50">
        <v>43040</v>
      </c>
      <c r="U2" s="50">
        <v>43070</v>
      </c>
      <c r="V2" s="50" t="s">
        <v>7</v>
      </c>
      <c r="W2" s="114">
        <v>43101</v>
      </c>
      <c r="X2" s="114">
        <v>43132</v>
      </c>
      <c r="Y2" s="114">
        <v>43160</v>
      </c>
      <c r="Z2" s="114">
        <v>43191</v>
      </c>
      <c r="AA2" s="114">
        <v>43221</v>
      </c>
      <c r="AB2" s="114">
        <v>43252</v>
      </c>
      <c r="AC2" s="114">
        <v>43282</v>
      </c>
      <c r="AD2" s="114">
        <v>43313</v>
      </c>
      <c r="AE2" s="114">
        <v>43344</v>
      </c>
      <c r="AF2" s="114">
        <v>43374</v>
      </c>
      <c r="AG2" s="114">
        <v>43405</v>
      </c>
      <c r="AH2" s="114">
        <v>43435</v>
      </c>
      <c r="AI2" s="172" t="s">
        <v>168</v>
      </c>
      <c r="AJ2" s="3">
        <v>43466</v>
      </c>
      <c r="AK2" s="3">
        <v>43497</v>
      </c>
      <c r="AL2" s="3">
        <v>43525</v>
      </c>
      <c r="AM2" s="3">
        <v>43556</v>
      </c>
      <c r="AN2" s="3">
        <v>43586</v>
      </c>
      <c r="AO2" s="3">
        <v>43617</v>
      </c>
      <c r="AP2" s="3">
        <v>43647</v>
      </c>
      <c r="AQ2" s="3">
        <v>43678</v>
      </c>
      <c r="AR2" s="3">
        <v>43709</v>
      </c>
      <c r="AS2" s="3">
        <v>43739</v>
      </c>
      <c r="AT2" s="3">
        <v>43770</v>
      </c>
      <c r="AU2" s="3">
        <v>43800</v>
      </c>
      <c r="AV2" s="3" t="s">
        <v>169</v>
      </c>
      <c r="AW2" s="3">
        <v>43831</v>
      </c>
      <c r="AX2" s="3">
        <v>43862</v>
      </c>
      <c r="AY2" s="3">
        <v>43891</v>
      </c>
      <c r="AZ2" s="3">
        <v>43922</v>
      </c>
      <c r="BA2" s="3">
        <v>43952</v>
      </c>
      <c r="BB2" s="3">
        <v>43983</v>
      </c>
      <c r="BC2" s="3">
        <v>44013</v>
      </c>
      <c r="BD2" s="3">
        <v>44044</v>
      </c>
      <c r="BE2" s="3">
        <v>44075</v>
      </c>
      <c r="BF2" s="3">
        <v>44105</v>
      </c>
      <c r="BG2" s="3">
        <v>44136</v>
      </c>
      <c r="BH2" s="3">
        <v>44166</v>
      </c>
      <c r="BI2" s="3" t="s">
        <v>10</v>
      </c>
      <c r="BJ2" s="3">
        <v>44197</v>
      </c>
      <c r="BK2" s="3">
        <v>44228</v>
      </c>
      <c r="BL2" s="3">
        <v>44256</v>
      </c>
      <c r="BM2" s="3">
        <v>44287</v>
      </c>
      <c r="BN2" s="3">
        <v>44317</v>
      </c>
      <c r="BO2" s="3">
        <v>44348</v>
      </c>
      <c r="BP2" s="3">
        <v>44378</v>
      </c>
      <c r="BQ2" s="3">
        <v>44409</v>
      </c>
      <c r="BR2" s="3">
        <v>44440</v>
      </c>
      <c r="BS2" s="3">
        <v>44470</v>
      </c>
      <c r="BT2" s="3">
        <v>44501</v>
      </c>
      <c r="BU2" s="3">
        <v>44531</v>
      </c>
      <c r="BV2" s="3" t="s">
        <v>11</v>
      </c>
      <c r="BW2" s="3">
        <v>44562</v>
      </c>
      <c r="BX2" s="3">
        <v>44593</v>
      </c>
      <c r="BY2" s="3">
        <v>44621</v>
      </c>
      <c r="BZ2" s="3">
        <v>44652</v>
      </c>
      <c r="CA2" s="3">
        <v>44682</v>
      </c>
      <c r="CB2" s="3">
        <v>44713</v>
      </c>
      <c r="CC2" s="3">
        <v>44743</v>
      </c>
      <c r="CD2" s="3">
        <v>44774</v>
      </c>
      <c r="CE2" s="3">
        <v>44805</v>
      </c>
      <c r="CF2" s="3">
        <v>44835</v>
      </c>
      <c r="CG2" s="3">
        <v>44866</v>
      </c>
      <c r="CH2" s="3">
        <v>44896</v>
      </c>
      <c r="CI2" s="28" t="s">
        <v>12</v>
      </c>
      <c r="CJ2" s="3">
        <v>44927</v>
      </c>
      <c r="CK2" s="3">
        <v>44958</v>
      </c>
      <c r="CL2" s="3">
        <v>44986</v>
      </c>
      <c r="CM2" s="3">
        <v>45017</v>
      </c>
      <c r="CN2" s="3">
        <v>45047</v>
      </c>
      <c r="CO2" s="3">
        <v>45078</v>
      </c>
      <c r="CP2" s="3">
        <v>45108</v>
      </c>
      <c r="CQ2" s="3">
        <v>45139</v>
      </c>
      <c r="CR2" s="3">
        <v>45170</v>
      </c>
    </row>
    <row r="3" spans="1:96">
      <c r="A3" s="35">
        <v>1</v>
      </c>
      <c r="B3" s="35" t="s">
        <v>155</v>
      </c>
      <c r="C3" s="35"/>
      <c r="D3" s="35"/>
      <c r="E3" s="35"/>
      <c r="F3" s="111"/>
      <c r="G3" s="111"/>
      <c r="H3" s="111"/>
      <c r="I3" s="111">
        <v>4641</v>
      </c>
      <c r="J3" s="1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11">
        <v>4895</v>
      </c>
      <c r="W3" s="111">
        <v>4895</v>
      </c>
      <c r="X3" s="111">
        <v>4895</v>
      </c>
      <c r="Y3" s="111">
        <v>4895</v>
      </c>
      <c r="Z3" s="111">
        <v>4895</v>
      </c>
      <c r="AA3" s="111">
        <v>4895</v>
      </c>
      <c r="AB3" s="111">
        <v>4895</v>
      </c>
      <c r="AC3" s="111">
        <v>4895</v>
      </c>
      <c r="AD3" s="111">
        <v>4895</v>
      </c>
      <c r="AE3" s="111">
        <v>4895</v>
      </c>
      <c r="AF3" s="111">
        <v>4895</v>
      </c>
      <c r="AG3" s="111">
        <v>4895</v>
      </c>
      <c r="AH3" s="111">
        <v>4895</v>
      </c>
      <c r="AI3" s="111">
        <v>4895</v>
      </c>
      <c r="AJ3" s="111">
        <v>4895</v>
      </c>
      <c r="AK3" s="111">
        <v>4895</v>
      </c>
      <c r="AL3" s="111">
        <v>4895</v>
      </c>
      <c r="AM3" s="111">
        <v>4895</v>
      </c>
      <c r="AN3" s="111">
        <v>4895</v>
      </c>
      <c r="AO3" s="111">
        <v>4895</v>
      </c>
      <c r="AP3" s="111">
        <v>4895</v>
      </c>
      <c r="AQ3" s="111">
        <v>4895</v>
      </c>
      <c r="AR3" s="111">
        <v>4895</v>
      </c>
      <c r="AS3" s="111">
        <v>4895</v>
      </c>
      <c r="AT3" s="111">
        <v>4895</v>
      </c>
      <c r="AU3" s="111">
        <v>4895</v>
      </c>
      <c r="AV3" s="111">
        <v>4895</v>
      </c>
      <c r="AW3" s="111">
        <v>4895</v>
      </c>
      <c r="AX3" s="111">
        <v>4895</v>
      </c>
      <c r="AY3" s="111">
        <v>4895</v>
      </c>
      <c r="AZ3" s="111">
        <v>4895</v>
      </c>
      <c r="BA3" s="111">
        <v>4895</v>
      </c>
      <c r="BB3" s="111">
        <v>4895</v>
      </c>
      <c r="BC3" s="111">
        <v>4895</v>
      </c>
      <c r="BD3" s="111">
        <v>4895</v>
      </c>
    </row>
    <row r="4" spans="1:96">
      <c r="A4" s="35">
        <v>2</v>
      </c>
      <c r="B4" s="35" t="s">
        <v>37</v>
      </c>
      <c r="C4" s="51">
        <f>'Evolutive SFP'!B27</f>
        <v>420805135</v>
      </c>
      <c r="D4" s="51">
        <f>'Evolutive SFP'!C27</f>
        <v>422925486</v>
      </c>
      <c r="E4" s="51">
        <f>'Evolutive SFP'!D27</f>
        <v>454657971</v>
      </c>
      <c r="F4" s="51">
        <f>'Evolutive SFP'!E27</f>
        <v>508533391.69499999</v>
      </c>
      <c r="G4" s="51">
        <f>'Evolutive SFP'!F27</f>
        <v>534444329</v>
      </c>
      <c r="H4" s="51">
        <f>'Evolutive SFP'!G27</f>
        <v>604188621</v>
      </c>
      <c r="I4" s="51">
        <f>'Evolutive SFP'!H27</f>
        <v>696983837</v>
      </c>
      <c r="J4" s="51">
        <f>'Evolutive SFP'!I27</f>
        <v>707801109.56000006</v>
      </c>
      <c r="K4" s="51">
        <f>'Evolutive SFP'!J27</f>
        <v>711629103.35000002</v>
      </c>
      <c r="L4" s="51">
        <f>'Evolutive SFP'!K27</f>
        <v>701613100.67000008</v>
      </c>
      <c r="M4" s="51">
        <f>'Evolutive SFP'!L27</f>
        <v>682934888.59000003</v>
      </c>
      <c r="N4" s="51">
        <f>'Evolutive SFP'!M27</f>
        <v>694301263.36000001</v>
      </c>
      <c r="O4" s="51">
        <f>'Evolutive SFP'!N27</f>
        <v>707705435.45000005</v>
      </c>
      <c r="P4" s="51">
        <f>'Evolutive SFP'!O27</f>
        <v>700585585.63999999</v>
      </c>
      <c r="Q4" s="51">
        <f>'Evolutive SFP'!P27</f>
        <v>729193199.18999994</v>
      </c>
      <c r="R4" s="51">
        <f>'Evolutive SFP'!Q27</f>
        <v>739301255.63000011</v>
      </c>
      <c r="S4" s="51">
        <f>'Evolutive SFP'!R27</f>
        <v>756803543.29999995</v>
      </c>
      <c r="T4" s="51">
        <f>'Evolutive SFP'!S27</f>
        <v>776619191.83000004</v>
      </c>
      <c r="U4" s="51">
        <f>'Evolutive SFP'!T27</f>
        <v>785695071.29000008</v>
      </c>
      <c r="V4" s="51">
        <f>'Evolutive SFP'!U27</f>
        <v>785318186</v>
      </c>
      <c r="W4" s="51">
        <f>'Evolutive SFP'!V27</f>
        <v>791317898.13999999</v>
      </c>
      <c r="X4" s="51">
        <f>'Evolutive SFP'!W27</f>
        <v>803586090.56000018</v>
      </c>
      <c r="Y4" s="51">
        <f>'Evolutive SFP'!X27</f>
        <v>792278959.89999986</v>
      </c>
      <c r="Z4" s="51">
        <f>'Evolutive SFP'!Y27</f>
        <v>782170258.22000003</v>
      </c>
      <c r="AA4" s="51">
        <f>'Evolutive SFP'!Z27</f>
        <v>793811566.48000002</v>
      </c>
      <c r="AB4" s="51">
        <f>'Evolutive SFP'!AA27</f>
        <v>819319097.83000004</v>
      </c>
      <c r="AC4" s="51">
        <f>'Evolutive SFP'!AB27</f>
        <v>831553811.03000009</v>
      </c>
      <c r="AD4" s="51">
        <f>'Evolutive SFP'!AC27</f>
        <v>841427803.22000003</v>
      </c>
      <c r="AE4" s="51">
        <f>'Evolutive SFP'!AD27</f>
        <v>857037496.81000006</v>
      </c>
      <c r="AF4" s="51">
        <f>'Evolutive SFP'!AE27</f>
        <v>864625452.89999974</v>
      </c>
      <c r="AG4" s="51">
        <f>'Evolutive SFP'!AF27</f>
        <v>880321815.73000026</v>
      </c>
      <c r="AH4" s="51">
        <f>'Evolutive SFP'!AG27</f>
        <v>880985450.51999998</v>
      </c>
      <c r="AI4" s="51">
        <f>'Evolutive SFP'!AH27</f>
        <v>880985449.16499984</v>
      </c>
      <c r="AJ4" s="51">
        <f>'Evolutive SFP'!AI27</f>
        <v>836209789.68999994</v>
      </c>
      <c r="AK4" s="51">
        <f>'Evolutive SFP'!AJ27</f>
        <v>840211120.64999998</v>
      </c>
      <c r="AL4" s="51">
        <f>'Evolutive SFP'!AK27</f>
        <v>824721884.0999999</v>
      </c>
      <c r="AM4" s="51">
        <f>'Evolutive SFP'!AL27</f>
        <v>808572263.80999994</v>
      </c>
      <c r="AN4" s="51">
        <f>'Evolutive SFP'!AM27</f>
        <v>822025790.63999987</v>
      </c>
      <c r="AO4" s="51">
        <f>'Evolutive SFP'!AN27</f>
        <v>842356171.2299999</v>
      </c>
      <c r="AP4" s="51">
        <f>'Evolutive SFP'!AO27</f>
        <v>841367478.99999988</v>
      </c>
      <c r="AQ4" s="51">
        <f>'Evolutive SFP'!AP27</f>
        <v>858021022.51999986</v>
      </c>
      <c r="AR4" s="51">
        <f>'Evolutive SFP'!AQ27</f>
        <v>868397509.42999995</v>
      </c>
      <c r="AS4" s="51">
        <f>'Evolutive SFP'!AR27</f>
        <v>882070374.56000006</v>
      </c>
      <c r="AT4" s="51">
        <f>'Evolutive SFP'!AS27</f>
        <v>889871835.17999995</v>
      </c>
      <c r="AU4" s="51">
        <f>'Evolutive SFP'!AT27</f>
        <v>893380003.8499999</v>
      </c>
      <c r="AV4" s="51">
        <f>'Evolutive SFP'!AU27</f>
        <v>892250346.69683564</v>
      </c>
      <c r="AW4" s="51">
        <f>'Evolutive SFP'!AV27</f>
        <v>918414585.04999995</v>
      </c>
      <c r="AX4" s="51">
        <f>'Evolutive SFP'!AV27</f>
        <v>918414585.04999995</v>
      </c>
      <c r="AY4" s="51">
        <f>'Evolutive SFP'!AW27</f>
        <v>898809935.23000002</v>
      </c>
      <c r="AZ4" s="51">
        <f>'Evolutive SFP'!AX27</f>
        <v>914746797.44000006</v>
      </c>
      <c r="BA4" s="51">
        <f>'Evolutive SFP'!AY27</f>
        <v>913998384.45000005</v>
      </c>
      <c r="BB4" s="51">
        <f>'Evolutive SFP'!AZ27</f>
        <v>909558269.06000018</v>
      </c>
      <c r="BC4" s="51">
        <f>'Evolutive SFP'!BA27</f>
        <v>0</v>
      </c>
      <c r="BD4" s="51">
        <f>'Evolutive SFP'!BB27</f>
        <v>4680410215.1000004</v>
      </c>
      <c r="BE4" s="51">
        <f>'Evolutive SFP'!BC27</f>
        <v>935325148.48000002</v>
      </c>
      <c r="BF4" s="51">
        <f>'Evolutive SFP'!BD27</f>
        <v>950662716.53000009</v>
      </c>
      <c r="BG4" s="51">
        <f>'Evolutive SFP'!BE27</f>
        <v>954604615.81000006</v>
      </c>
      <c r="BH4" s="51">
        <f>'Evolutive SFP'!BF27</f>
        <v>970121611.88999999</v>
      </c>
      <c r="BI4" s="51">
        <f>'Evolutive SFP'!BG27</f>
        <v>969980163</v>
      </c>
      <c r="BJ4" s="51">
        <f>'Evolutive SFP'!BH27</f>
        <v>982535947.44999993</v>
      </c>
      <c r="BK4" s="51">
        <f>'Evolutive SFP'!BI27</f>
        <v>954506401.16000009</v>
      </c>
      <c r="BL4" s="51">
        <f>'Evolutive SFP'!BJ27</f>
        <v>963132241.63</v>
      </c>
      <c r="BM4" s="51">
        <f>'Evolutive SFP'!BK27</f>
        <v>983789373.80999994</v>
      </c>
      <c r="BN4" s="51">
        <f>'Evolutive SFP'!BL27</f>
        <v>990416527.1500001</v>
      </c>
      <c r="BO4" s="51">
        <f>'Evolutive SFP'!BM27</f>
        <v>1002669413.7199999</v>
      </c>
      <c r="BP4" s="51">
        <f>'Evolutive SFP'!BN27</f>
        <v>1024310182.47</v>
      </c>
      <c r="BQ4" s="51">
        <f>'Evolutive SFP'!BO27</f>
        <v>1042183191.03</v>
      </c>
      <c r="BR4" s="51">
        <f>'Evolutive SFP'!BP27</f>
        <v>1052579160.9</v>
      </c>
      <c r="BS4" s="51">
        <f>'Evolutive SFP'!BQ27</f>
        <v>1072322256.9399999</v>
      </c>
      <c r="BT4" s="51">
        <f>'Evolutive SFP'!BR27</f>
        <v>1094720982.28</v>
      </c>
      <c r="BU4" s="51">
        <f>'Evolutive SFP'!BS27</f>
        <v>1099629304.3099999</v>
      </c>
      <c r="BV4" s="51">
        <f>'Evolutive SFP'!BT27</f>
        <v>1090912706</v>
      </c>
      <c r="BW4" s="51">
        <f>'Evolutive SFP'!BU27</f>
        <v>1091438193.27</v>
      </c>
      <c r="BX4" s="51">
        <f>'Evolutive SFP'!BV27</f>
        <v>1071777624.9699999</v>
      </c>
      <c r="BY4" s="51">
        <f>'Evolutive SFP'!BW27</f>
        <v>1043522676.51</v>
      </c>
      <c r="BZ4" s="51">
        <f>'Evolutive SFP'!BX27</f>
        <v>1056478115.6700001</v>
      </c>
      <c r="CA4" s="51">
        <f>'Evolutive SFP'!BY27</f>
        <v>1063501708.3</v>
      </c>
      <c r="CB4" s="51">
        <f>'Evolutive SFP'!BZ27</f>
        <v>1085216116.9999998</v>
      </c>
      <c r="CC4" s="51">
        <f>'Evolutive SFP'!CA27</f>
        <v>1101298189</v>
      </c>
      <c r="CD4" s="51">
        <f>'Evolutive SFP'!CB27</f>
        <v>1098490532.78</v>
      </c>
      <c r="CE4" s="51">
        <f>'Evolutive SFP'!CC27</f>
        <v>1112579930.8800001</v>
      </c>
      <c r="CF4" s="51">
        <f>'Evolutive SFP'!CD27</f>
        <v>1126521140.6900001</v>
      </c>
      <c r="CG4" s="51">
        <f>'Evolutive SFP'!CE27</f>
        <v>1136637096.73</v>
      </c>
      <c r="CH4" s="51">
        <f>'Evolutive SFP'!CF27</f>
        <v>1124394542.9200001</v>
      </c>
      <c r="CI4" s="51">
        <f>'Evolutive SFP'!CG27</f>
        <v>1125723889.0700002</v>
      </c>
      <c r="CJ4" s="51">
        <f>'Evolutive SFP'!CH27</f>
        <v>413852625.17999995</v>
      </c>
      <c r="CK4" s="51">
        <f>'Evolutive SFP'!CI27</f>
        <v>1154066934.3600001</v>
      </c>
      <c r="CL4" s="51">
        <f>'Evolutive SFP'!CJ27</f>
        <v>1090582130.95</v>
      </c>
      <c r="CM4" s="51">
        <f>'Evolutive SFP'!CK27</f>
        <v>1084320762.3099999</v>
      </c>
      <c r="CN4" s="51">
        <f>'Evolutive SFP'!CL27</f>
        <v>1096594313.9400001</v>
      </c>
      <c r="CO4" s="51">
        <f>'Evolutive SFP'!CM27</f>
        <v>1125824031.1399999</v>
      </c>
      <c r="CP4" s="51">
        <f>'Evolutive SFP'!CN27</f>
        <v>1140613027.3799999</v>
      </c>
      <c r="CQ4" s="51">
        <f>'Evolutive SFP'!CO27</f>
        <v>1146936486.77</v>
      </c>
      <c r="CR4" s="51">
        <f>'Evolutive SFP'!CP27</f>
        <v>1156840418.97</v>
      </c>
    </row>
    <row r="5" spans="1:96">
      <c r="A5" s="35">
        <v>3</v>
      </c>
      <c r="B5" s="35" t="s">
        <v>149</v>
      </c>
      <c r="C5" s="51">
        <f>'Evolutive SFP'!B31</f>
        <v>249530153</v>
      </c>
      <c r="D5" s="51">
        <f>'Evolutive SFP'!C31</f>
        <v>251655387</v>
      </c>
      <c r="E5" s="51">
        <f>'Evolutive SFP'!D31</f>
        <v>281820645</v>
      </c>
      <c r="F5" s="51">
        <f>'Evolutive SFP'!E31</f>
        <v>293621734.69999999</v>
      </c>
      <c r="G5" s="51">
        <f>'Evolutive SFP'!F31</f>
        <v>322200801</v>
      </c>
      <c r="H5" s="51">
        <f>'Evolutive SFP'!G31</f>
        <v>370403370</v>
      </c>
      <c r="I5" s="51">
        <f>'Evolutive SFP'!H31</f>
        <v>440828441</v>
      </c>
      <c r="J5" s="51">
        <f>'Evolutive SFP'!I31</f>
        <v>428543958.31999999</v>
      </c>
      <c r="K5" s="51">
        <f>'Evolutive SFP'!J31</f>
        <v>445510897.94999999</v>
      </c>
      <c r="L5" s="51">
        <f>'Evolutive SFP'!K31</f>
        <v>465244658.38</v>
      </c>
      <c r="M5" s="51">
        <f>'Evolutive SFP'!L31</f>
        <v>446829552.08000004</v>
      </c>
      <c r="N5" s="51">
        <f>'Evolutive SFP'!M31</f>
        <v>452967024.54000002</v>
      </c>
      <c r="O5" s="51">
        <f>'Evolutive SFP'!N31</f>
        <v>452432057.79000002</v>
      </c>
      <c r="P5" s="51">
        <f>'Evolutive SFP'!O31</f>
        <v>445719078.91000003</v>
      </c>
      <c r="Q5" s="51">
        <f>'Evolutive SFP'!P31</f>
        <v>461559793.45999998</v>
      </c>
      <c r="R5" s="51">
        <f>'Evolutive SFP'!Q31</f>
        <v>458445657.56999999</v>
      </c>
      <c r="S5" s="51">
        <f>'Evolutive SFP'!R31</f>
        <v>468205715.04000002</v>
      </c>
      <c r="T5" s="51">
        <f>'Evolutive SFP'!S31</f>
        <v>477902659.25</v>
      </c>
      <c r="U5" s="51">
        <f>'Evolutive SFP'!T31</f>
        <v>483199884.97000003</v>
      </c>
      <c r="V5" s="51">
        <f>'Evolutive SFP'!U31</f>
        <v>483199886</v>
      </c>
      <c r="W5" s="51">
        <f>'Evolutive SFP'!V31</f>
        <v>485422618.32999998</v>
      </c>
      <c r="X5" s="51">
        <f>'Evolutive SFP'!W31</f>
        <v>491697997.10999995</v>
      </c>
      <c r="Y5" s="51">
        <f>'Evolutive SFP'!X31</f>
        <v>520158254.75999999</v>
      </c>
      <c r="Z5" s="147">
        <f>'Evolutive SFP'!Y31</f>
        <v>507740358.38999999</v>
      </c>
      <c r="AA5" s="147">
        <f>'Evolutive SFP'!Z31</f>
        <v>513017468.25999999</v>
      </c>
      <c r="AB5" s="147">
        <f>'Evolutive SFP'!AA31</f>
        <v>520101428.40000004</v>
      </c>
      <c r="AC5" s="147">
        <f>'Evolutive SFP'!AB31</f>
        <v>525943886.77999997</v>
      </c>
      <c r="AD5" s="147">
        <f>'Evolutive SFP'!AC31</f>
        <v>528533157.64999998</v>
      </c>
      <c r="AE5" s="147">
        <f>'Evolutive SFP'!AD31</f>
        <v>536177167.22000003</v>
      </c>
      <c r="AF5" s="147">
        <f>'Evolutive SFP'!AE31</f>
        <v>534188432.44999999</v>
      </c>
      <c r="AG5" s="147">
        <f>'Evolutive SFP'!AF31</f>
        <v>538977491.72000003</v>
      </c>
      <c r="AH5" s="147">
        <f>'Evolutive SFP'!AG31</f>
        <v>535442059.16000003</v>
      </c>
      <c r="AI5" s="147">
        <f>'Evolutive SFP'!AH31</f>
        <v>535442059.16000003</v>
      </c>
      <c r="AJ5" s="147">
        <f>'Evolutive SFP'!AI31</f>
        <v>540544745.98000002</v>
      </c>
      <c r="AK5" s="147">
        <f>'Evolutive SFP'!AJ31</f>
        <v>537360012.47000003</v>
      </c>
      <c r="AL5" s="147">
        <f>'Evolutive SFP'!AK31</f>
        <v>560804290.88</v>
      </c>
      <c r="AM5" s="147">
        <f>'Evolutive SFP'!AL31</f>
        <v>543489200.86000001</v>
      </c>
      <c r="AN5" s="147">
        <f>'Evolutive SFP'!AM31</f>
        <v>547898053.61000001</v>
      </c>
      <c r="AO5" s="147">
        <f>'Evolutive SFP'!AN31</f>
        <v>549801177</v>
      </c>
      <c r="AP5" s="147">
        <f>'Evolutive SFP'!AO31</f>
        <v>544172111.13</v>
      </c>
      <c r="AQ5" s="147">
        <f>'Evolutive SFP'!AP31</f>
        <v>557003609.13999999</v>
      </c>
      <c r="AR5" s="147">
        <f>'Evolutive SFP'!AQ31</f>
        <v>561959370.44999993</v>
      </c>
      <c r="AS5" s="147">
        <f>'Evolutive SFP'!AR31</f>
        <v>568248317</v>
      </c>
      <c r="AT5" s="147">
        <f>'Evolutive SFP'!AS31</f>
        <v>567207795.07999992</v>
      </c>
      <c r="AU5" s="147">
        <f>'Evolutive SFP'!AT31</f>
        <v>567923384.24000001</v>
      </c>
      <c r="AV5" s="147">
        <f>'Evolutive SFP'!AU31</f>
        <v>567923384.24000001</v>
      </c>
      <c r="AW5" s="147">
        <f>'Evolutive SFP'!AV31</f>
        <v>576734928.41999996</v>
      </c>
      <c r="AX5" s="147">
        <f>'Evolutive SFP'!AV31</f>
        <v>576734928.41999996</v>
      </c>
      <c r="AY5" s="147">
        <f>'Evolutive SFP'!AW31</f>
        <v>594735093.34000003</v>
      </c>
      <c r="AZ5" s="147">
        <f>'Evolutive SFP'!AX31</f>
        <v>608108290.38999999</v>
      </c>
      <c r="BA5" s="147">
        <f>'Evolutive SFP'!AY31</f>
        <v>609445595.71000004</v>
      </c>
      <c r="BB5" s="147">
        <f>'Evolutive SFP'!AZ31</f>
        <v>600405423.12</v>
      </c>
      <c r="BC5" s="147">
        <f>'Evolutive SFP'!BA31</f>
        <v>0</v>
      </c>
      <c r="BD5" s="147">
        <f>'Evolutive SFP'!BB31</f>
        <v>3060718415.1999998</v>
      </c>
      <c r="BE5" s="147">
        <f>'Evolutive SFP'!BC31</f>
        <v>604039109.06999993</v>
      </c>
      <c r="BF5" s="147">
        <f>'Evolutive SFP'!BD31</f>
        <v>611960275.15999997</v>
      </c>
      <c r="BG5" s="147">
        <f>'Evolutive SFP'!BE31</f>
        <v>613593449.00999999</v>
      </c>
      <c r="BH5" s="147">
        <f>'Evolutive SFP'!BF31</f>
        <v>618469205.09000003</v>
      </c>
      <c r="BI5" s="147">
        <f>'Evolutive SFP'!BG31</f>
        <v>618469205</v>
      </c>
      <c r="BJ5" s="147">
        <f>'Evolutive SFP'!BH31</f>
        <v>622242418.35000002</v>
      </c>
      <c r="BK5" s="147">
        <f>'Evolutive SFP'!BI31</f>
        <v>646738203.18999994</v>
      </c>
      <c r="BL5" s="147">
        <f>'Evolutive SFP'!BJ31</f>
        <v>648502613.25999999</v>
      </c>
      <c r="BM5" s="147">
        <f>'Evolutive SFP'!BK31</f>
        <v>646834853.41999996</v>
      </c>
      <c r="BN5" s="147">
        <f>'Evolutive SFP'!BL31</f>
        <v>649776068.57000005</v>
      </c>
      <c r="BO5" s="147">
        <f>'Evolutive SFP'!BM31</f>
        <v>652765803.64999998</v>
      </c>
      <c r="BP5" s="147">
        <f>'Evolutive SFP'!BN31</f>
        <v>671170125.29999995</v>
      </c>
      <c r="BQ5" s="147">
        <f>'Evolutive SFP'!BO31</f>
        <v>673685910.51999998</v>
      </c>
      <c r="BR5" s="147">
        <f>'Evolutive SFP'!BP31</f>
        <v>673810887.65999997</v>
      </c>
      <c r="BS5" s="147">
        <f>'Evolutive SFP'!BQ31</f>
        <v>684301590.26999998</v>
      </c>
      <c r="BT5" s="147">
        <f>'Evolutive SFP'!BR31</f>
        <v>696909485.85000002</v>
      </c>
      <c r="BU5" s="147">
        <f>'Evolutive SFP'!BS31</f>
        <v>696846287.47000003</v>
      </c>
      <c r="BV5" s="147">
        <f>'Evolutive SFP'!BT31</f>
        <v>696846287</v>
      </c>
      <c r="BW5" s="147">
        <f>'Evolutive SFP'!BU31</f>
        <v>690629250.55999994</v>
      </c>
      <c r="BX5" s="147">
        <f>'Evolutive SFP'!BV31</f>
        <v>736486198.10000002</v>
      </c>
      <c r="BY5" s="147">
        <f>'Evolutive SFP'!BW31</f>
        <v>710307600.92000008</v>
      </c>
      <c r="BZ5" s="147">
        <f>'Evolutive SFP'!BX31</f>
        <v>713955835.25999999</v>
      </c>
      <c r="CA5" s="147">
        <f>'Evolutive SFP'!BY31</f>
        <v>715544116.78000009</v>
      </c>
      <c r="CB5" s="147">
        <f>'Evolutive SFP'!BZ31</f>
        <v>712243410.97000003</v>
      </c>
      <c r="CC5" s="147">
        <f>'Evolutive SFP'!CA31</f>
        <v>727262709.12</v>
      </c>
      <c r="CD5" s="147">
        <f>'Evolutive SFP'!CB31</f>
        <v>720815740.42999995</v>
      </c>
      <c r="CE5" s="147">
        <f>'Evolutive SFP'!CC31</f>
        <v>723075640.01999998</v>
      </c>
      <c r="CF5" s="147">
        <f>'Evolutive SFP'!CD31</f>
        <v>726248623.13</v>
      </c>
      <c r="CG5" s="147">
        <f>'Evolutive SFP'!CE31</f>
        <v>729448985.81999993</v>
      </c>
      <c r="CH5" s="147">
        <f>'Evolutive SFP'!CF31</f>
        <v>719551929.51999998</v>
      </c>
      <c r="CI5" s="147">
        <f>'Evolutive SFP'!CG31</f>
        <v>719551929</v>
      </c>
      <c r="CJ5" s="147">
        <f>'Evolutive SFP'!CH31</f>
        <v>718606811.33999991</v>
      </c>
      <c r="CK5" s="147">
        <f>'Evolutive SFP'!CI31</f>
        <v>724009392.54999995</v>
      </c>
      <c r="CL5" s="147">
        <f>'Evolutive SFP'!CJ31</f>
        <v>744170952.25999999</v>
      </c>
      <c r="CM5" s="147">
        <f>'Evolutive SFP'!CK31</f>
        <v>732109283.72000003</v>
      </c>
      <c r="CN5" s="147">
        <f>'Evolutive SFP'!CL31</f>
        <v>746855188.77999997</v>
      </c>
      <c r="CO5" s="147">
        <f>'Evolutive SFP'!CM31</f>
        <v>754249622.24000001</v>
      </c>
      <c r="CP5" s="147">
        <f>'Evolutive SFP'!CN31</f>
        <v>767640731.10000002</v>
      </c>
      <c r="CQ5" s="147">
        <f>'Evolutive SFP'!CO31</f>
        <v>765991562.94000006</v>
      </c>
      <c r="CR5" s="147">
        <f>'Evolutive SFP'!CP31</f>
        <v>767603377.70999992</v>
      </c>
    </row>
    <row r="6" spans="1:96">
      <c r="A6" s="35">
        <v>3.1</v>
      </c>
      <c r="B6" s="36" t="s">
        <v>170</v>
      </c>
      <c r="C6" s="51">
        <f>'Evolutive SFP'!B30</f>
        <v>230364164</v>
      </c>
      <c r="D6" s="51">
        <f>'Evolutive SFP'!C30</f>
        <v>2051000</v>
      </c>
      <c r="E6" s="51">
        <f>'Evolutive SFP'!D30</f>
        <v>2136500</v>
      </c>
      <c r="F6" s="51">
        <f>'Evolutive SFP'!E30</f>
        <v>474445.83000000007</v>
      </c>
      <c r="G6" s="51">
        <f>'Evolutive SFP'!F30</f>
        <v>300022565</v>
      </c>
      <c r="H6" s="51">
        <f>'Evolutive SFP'!G30</f>
        <v>340939649</v>
      </c>
      <c r="I6" s="51">
        <f>'Evolutive SFP'!H30</f>
        <v>380380553</v>
      </c>
      <c r="J6" s="51">
        <f>'Evolutive SFP'!I30</f>
        <v>381542859.82999998</v>
      </c>
      <c r="K6" s="51">
        <f>'Evolutive SFP'!J30</f>
        <v>387569209.19</v>
      </c>
      <c r="L6" s="51">
        <f>'Evolutive SFP'!K30</f>
        <v>390120576.75</v>
      </c>
      <c r="M6" s="51">
        <f>'Evolutive SFP'!L30</f>
        <v>393378152.36000001</v>
      </c>
      <c r="N6" s="51">
        <f>'Evolutive SFP'!M30</f>
        <v>395878542.04000002</v>
      </c>
      <c r="O6" s="51">
        <f>'Evolutive SFP'!N30</f>
        <v>399036332.60000002</v>
      </c>
      <c r="P6" s="51">
        <f>'Evolutive SFP'!O30</f>
        <v>396763224.86000001</v>
      </c>
      <c r="Q6" s="51">
        <f>'Evolutive SFP'!P30</f>
        <v>403027847.77999997</v>
      </c>
      <c r="R6" s="51">
        <f>'Evolutive SFP'!Q30</f>
        <v>404415262.37</v>
      </c>
      <c r="S6" s="51">
        <f>'Evolutive SFP'!R30</f>
        <v>407637272.56</v>
      </c>
      <c r="T6" s="51">
        <f>'Evolutive SFP'!S30</f>
        <v>413067863.07999998</v>
      </c>
      <c r="U6" s="51">
        <f>'Evolutive SFP'!T30</f>
        <v>416613539.06</v>
      </c>
      <c r="V6" s="51">
        <f>'Evolutive SFP'!U30</f>
        <v>414695613</v>
      </c>
      <c r="W6" s="51">
        <f>'Evolutive SFP'!V30</f>
        <v>418752945.69</v>
      </c>
      <c r="X6" s="51">
        <f>'Evolutive SFP'!W30</f>
        <v>422701456.27999997</v>
      </c>
      <c r="Y6" s="51">
        <f>'Evolutive SFP'!X30</f>
        <v>427570201.69</v>
      </c>
      <c r="Z6" s="147">
        <f>'Evolutive SFP'!Y30</f>
        <v>432700715.38999999</v>
      </c>
      <c r="AA6" s="147">
        <f>'Evolutive SFP'!Z30</f>
        <v>437237206.20999998</v>
      </c>
      <c r="AB6" s="147">
        <f>'Evolutive SFP'!AA30</f>
        <v>441866453.92000002</v>
      </c>
      <c r="AC6" s="147">
        <f>'Evolutive SFP'!AB30</f>
        <v>445865703.37</v>
      </c>
      <c r="AD6" s="147">
        <f>'Evolutive SFP'!AC30</f>
        <v>451273416.19</v>
      </c>
      <c r="AE6" s="147">
        <f>'Evolutive SFP'!AD30</f>
        <v>451723153.47000003</v>
      </c>
      <c r="AF6" s="147">
        <f>'Evolutive SFP'!AE30</f>
        <v>453664937.77999997</v>
      </c>
      <c r="AG6" s="147">
        <f>'Evolutive SFP'!AF30</f>
        <v>457555267.74000001</v>
      </c>
      <c r="AH6" s="147">
        <f>'Evolutive SFP'!AG30</f>
        <v>460738689.29000002</v>
      </c>
      <c r="AI6" s="147">
        <f>'Evolutive SFP'!AH30</f>
        <v>458771583.92000002</v>
      </c>
      <c r="AJ6" s="147">
        <f>'Evolutive SFP'!AI30</f>
        <v>463416714.60000002</v>
      </c>
      <c r="AK6" s="147">
        <f>'Evolutive SFP'!AJ30</f>
        <v>467865030.88999999</v>
      </c>
      <c r="AL6" s="147">
        <f>'Evolutive SFP'!AK30</f>
        <v>469191887.01999998</v>
      </c>
      <c r="AM6" s="147">
        <f>'Evolutive SFP'!AL30</f>
        <v>471935585.48000002</v>
      </c>
      <c r="AN6" s="147">
        <f>'Evolutive SFP'!AM30</f>
        <v>474435017.80000001</v>
      </c>
      <c r="AO6" s="147">
        <f>'Evolutive SFP'!AN30</f>
        <v>478558946.36000001</v>
      </c>
      <c r="AP6" s="147">
        <f>'Evolutive SFP'!AO30</f>
        <v>479120209.19</v>
      </c>
      <c r="AQ6" s="147">
        <f>'Evolutive SFP'!AP30</f>
        <v>482964528.54000002</v>
      </c>
      <c r="AR6" s="147">
        <f>'Evolutive SFP'!AQ30</f>
        <v>485555302.14999998</v>
      </c>
      <c r="AS6" s="147">
        <f>'Evolutive SFP'!AR30</f>
        <v>489084123.12</v>
      </c>
      <c r="AT6" s="147">
        <f>'Evolutive SFP'!AS30</f>
        <v>491994946.77999997</v>
      </c>
      <c r="AU6" s="147">
        <f>'Evolutive SFP'!AT30</f>
        <v>493790487.83999997</v>
      </c>
      <c r="AV6" s="147">
        <f>'Evolutive SFP'!AU30</f>
        <v>491858439.92000002</v>
      </c>
      <c r="AW6" s="147">
        <f>'Evolutive SFP'!AV30</f>
        <v>497602095.24000001</v>
      </c>
      <c r="AX6" s="147">
        <f>'Evolutive SFP'!AW30</f>
        <v>499927350.60000002</v>
      </c>
      <c r="AY6" s="147">
        <f>'Evolutive SFP'!AW30</f>
        <v>499927350.60000002</v>
      </c>
      <c r="AZ6" s="147">
        <f>'Evolutive SFP'!AX30</f>
        <v>503969711.37</v>
      </c>
      <c r="BA6" s="147">
        <f>'Evolutive SFP'!AY30</f>
        <v>508120733.62</v>
      </c>
      <c r="BB6" s="147">
        <f>'Evolutive SFP'!AZ30</f>
        <v>511631169.13999999</v>
      </c>
      <c r="BC6" s="147">
        <f>'Evolutive SFP'!BA30</f>
        <v>0</v>
      </c>
      <c r="BD6" s="147">
        <f>'Evolutive SFP'!BB30</f>
        <v>2587018000.3499999</v>
      </c>
      <c r="BE6" s="147">
        <f>'Evolutive SFP'!BC30</f>
        <v>520617077.32999998</v>
      </c>
      <c r="BF6" s="147">
        <f>'Evolutive SFP'!BD30</f>
        <v>524327409.32999998</v>
      </c>
      <c r="BG6" s="147">
        <f>'Evolutive SFP'!BE30</f>
        <v>528247839.42000002</v>
      </c>
      <c r="BH6" s="147">
        <f>'Evolutive SFP'!BF30</f>
        <v>530267908.56999999</v>
      </c>
      <c r="BI6" s="147">
        <f>'Evolutive SFP'!BG30</f>
        <v>528398698</v>
      </c>
      <c r="BJ6" s="147">
        <f>'Evolutive SFP'!BH30</f>
        <v>534299008.60000002</v>
      </c>
      <c r="BK6" s="147">
        <f>'Evolutive SFP'!BI30</f>
        <v>536643275.38999999</v>
      </c>
      <c r="BL6" s="147">
        <f>'Evolutive SFP'!BJ30</f>
        <v>542231990.5</v>
      </c>
      <c r="BM6" s="147">
        <f>'Evolutive SFP'!BK30</f>
        <v>547449426.63</v>
      </c>
      <c r="BN6" s="147">
        <f>'Evolutive SFP'!BL30</f>
        <v>551735390.11000001</v>
      </c>
      <c r="BO6" s="147">
        <f>'Evolutive SFP'!BM30</f>
        <v>553975711.61000001</v>
      </c>
      <c r="BP6" s="147">
        <f>'Evolutive SFP'!BN30</f>
        <v>557885828.11000001</v>
      </c>
      <c r="BQ6" s="147">
        <f>'Evolutive SFP'!BO30</f>
        <v>563280914.85000002</v>
      </c>
      <c r="BR6" s="147">
        <f>'Evolutive SFP'!BP30</f>
        <v>566618672.12</v>
      </c>
      <c r="BS6" s="147">
        <f>'Evolutive SFP'!BQ30</f>
        <v>571326421.95000005</v>
      </c>
      <c r="BT6" s="147">
        <f>'Evolutive SFP'!BR30</f>
        <v>575226141.72000003</v>
      </c>
      <c r="BU6" s="147">
        <f>'Evolutive SFP'!BS30</f>
        <v>578555889</v>
      </c>
      <c r="BV6" s="147">
        <f>'Evolutive SFP'!BT30</f>
        <v>578555889</v>
      </c>
      <c r="BW6" s="147">
        <f>'Evolutive SFP'!BU30</f>
        <v>580877545.89999998</v>
      </c>
      <c r="BX6" s="147">
        <f>'Evolutive SFP'!BV30</f>
        <v>584640519.48000002</v>
      </c>
      <c r="BY6" s="147">
        <f>'Evolutive SFP'!BW30</f>
        <v>590029174.96000004</v>
      </c>
      <c r="BZ6" s="147">
        <f>'Evolutive SFP'!BX30</f>
        <v>593966037.30999994</v>
      </c>
      <c r="CA6" s="147">
        <f>'Evolutive SFP'!BY30</f>
        <v>597202108.45000005</v>
      </c>
      <c r="CB6" s="147">
        <f>'Evolutive SFP'!BZ30</f>
        <v>592570979.22000003</v>
      </c>
      <c r="CC6" s="147">
        <f>'Evolutive SFP'!CA30</f>
        <v>596224458.62</v>
      </c>
      <c r="CD6" s="147">
        <f>'Evolutive SFP'!CB30</f>
        <v>597047954.38</v>
      </c>
      <c r="CE6" s="147">
        <f>'Evolutive SFP'!CC30</f>
        <v>599531015.48000002</v>
      </c>
      <c r="CF6" s="147">
        <f>'Evolutive SFP'!CD30</f>
        <v>604283533.97000003</v>
      </c>
      <c r="CG6" s="147">
        <f>'Evolutive SFP'!CE30</f>
        <v>608079581.38999999</v>
      </c>
      <c r="CH6" s="147">
        <f>'Evolutive SFP'!CF30</f>
        <v>609722238.77999997</v>
      </c>
      <c r="CI6" s="147">
        <f>'Evolutive SFP'!CG30</f>
        <v>607996816</v>
      </c>
      <c r="CJ6" s="147">
        <f>'Evolutive SFP'!CH30</f>
        <v>612914097.02999997</v>
      </c>
      <c r="CK6" s="147">
        <f>'Evolutive SFP'!CI30</f>
        <v>617481430.89999998</v>
      </c>
      <c r="CL6" s="147">
        <f>'Evolutive SFP'!CJ30</f>
        <v>621454216.26999998</v>
      </c>
      <c r="CM6" s="147">
        <f>'Evolutive SFP'!CK30</f>
        <v>624731589</v>
      </c>
      <c r="CN6" s="147">
        <f>'Evolutive SFP'!CL30</f>
        <v>631087028.24000001</v>
      </c>
      <c r="CO6" s="147">
        <f>'Evolutive SFP'!CM30</f>
        <v>632926184.69000006</v>
      </c>
      <c r="CP6" s="147">
        <f>'Evolutive SFP'!CN30</f>
        <v>637099767.21000004</v>
      </c>
      <c r="CQ6" s="147">
        <f>'Evolutive SFP'!CO30</f>
        <v>640908125.22000003</v>
      </c>
      <c r="CR6" s="147">
        <f>'Evolutive SFP'!CP30</f>
        <v>647882927.27999997</v>
      </c>
    </row>
    <row r="7" spans="1:96">
      <c r="A7" s="35">
        <v>3.2</v>
      </c>
      <c r="B7" s="36" t="s">
        <v>171</v>
      </c>
      <c r="C7" s="51">
        <f>('Evolutive SFP'!B28+'Evolutive SFP'!B29)</f>
        <v>19165989</v>
      </c>
      <c r="D7" s="51">
        <f>('Evolutive SFP'!C28+'Evolutive SFP'!C29)</f>
        <v>249604387</v>
      </c>
      <c r="E7" s="51">
        <f>('Evolutive SFP'!D28+'Evolutive SFP'!D29)</f>
        <v>279684145</v>
      </c>
      <c r="F7" s="51">
        <f>('Evolutive SFP'!E28+'Evolutive SFP'!E29)</f>
        <v>293147288.87</v>
      </c>
      <c r="G7" s="51">
        <f>('Evolutive SFP'!F28+'Evolutive SFP'!F29)</f>
        <v>22178236</v>
      </c>
      <c r="H7" s="51">
        <f>('Evolutive SFP'!G28+'Evolutive SFP'!G29)</f>
        <v>29463721</v>
      </c>
      <c r="I7" s="51">
        <f>('Evolutive SFP'!H28+'Evolutive SFP'!H29)</f>
        <v>60447888</v>
      </c>
      <c r="J7" s="51">
        <f>('Evolutive SFP'!I28+'Evolutive SFP'!I29)</f>
        <v>47001098.489999995</v>
      </c>
      <c r="K7" s="51">
        <f>('Evolutive SFP'!J28+'Evolutive SFP'!J29)</f>
        <v>57941688.759999998</v>
      </c>
      <c r="L7" s="51">
        <f>('Evolutive SFP'!K28+'Evolutive SFP'!K29)</f>
        <v>75124081.629999995</v>
      </c>
      <c r="M7" s="51">
        <f>('Evolutive SFP'!L28+'Evolutive SFP'!L29)</f>
        <v>53451399.719999999</v>
      </c>
      <c r="N7" s="51">
        <f>('Evolutive SFP'!M28+'Evolutive SFP'!M29)</f>
        <v>57088482.5</v>
      </c>
      <c r="O7" s="51">
        <f>('Evolutive SFP'!N28+'Evolutive SFP'!N29)</f>
        <v>53395725.189999998</v>
      </c>
      <c r="P7" s="51">
        <f>('Evolutive SFP'!O28+'Evolutive SFP'!O29)</f>
        <v>48955854.050000004</v>
      </c>
      <c r="Q7" s="51">
        <f>('Evolutive SFP'!P28+'Evolutive SFP'!P29)</f>
        <v>58531945.68</v>
      </c>
      <c r="R7" s="51">
        <f>('Evolutive SFP'!Q28+'Evolutive SFP'!Q29)</f>
        <v>54030395.199999996</v>
      </c>
      <c r="S7" s="51">
        <f>('Evolutive SFP'!R28+'Evolutive SFP'!R29)</f>
        <v>60568442.480000004</v>
      </c>
      <c r="T7" s="51">
        <f>('Evolutive SFP'!S28+'Evolutive SFP'!S29)</f>
        <v>64834796.170000002</v>
      </c>
      <c r="U7" s="51">
        <f>('Evolutive SFP'!T28+'Evolutive SFP'!T29)</f>
        <v>66586345.909999996</v>
      </c>
      <c r="V7" s="51">
        <f>('Evolutive SFP'!U28+'Evolutive SFP'!U29)</f>
        <v>68504273</v>
      </c>
      <c r="W7" s="51">
        <f>('Evolutive SFP'!V28+'Evolutive SFP'!V29)</f>
        <v>66669672.640000001</v>
      </c>
      <c r="X7" s="51">
        <f>('Evolutive SFP'!W28+'Evolutive SFP'!W29)</f>
        <v>68996540.829999998</v>
      </c>
      <c r="Y7" s="51">
        <f>('Evolutive SFP'!X28+'Evolutive SFP'!X29)</f>
        <v>92588053.070000008</v>
      </c>
      <c r="Z7" s="147">
        <f>('Evolutive SFP'!Y28+'Evolutive SFP'!Y29)</f>
        <v>75039643</v>
      </c>
      <c r="AA7" s="147">
        <f>('Evolutive SFP'!Z28+'Evolutive SFP'!Z29)</f>
        <v>75780262.050000012</v>
      </c>
      <c r="AB7" s="147">
        <f>('Evolutive SFP'!AA28+'Evolutive SFP'!AA29)</f>
        <v>78234974.480000004</v>
      </c>
      <c r="AC7" s="147">
        <f>('Evolutive SFP'!AB28+'Evolutive SFP'!AB29)</f>
        <v>80078183.409999996</v>
      </c>
      <c r="AD7" s="147">
        <f>('Evolutive SFP'!AC28+'Evolutive SFP'!AC29)</f>
        <v>77259741.460000008</v>
      </c>
      <c r="AE7" s="147">
        <f>('Evolutive SFP'!AD28+'Evolutive SFP'!AD29)</f>
        <v>84454013.75</v>
      </c>
      <c r="AF7" s="147">
        <f>('Evolutive SFP'!AE28+'Evolutive SFP'!AE29)</f>
        <v>80523494.670000002</v>
      </c>
      <c r="AG7" s="147">
        <f>('Evolutive SFP'!AF28+'Evolutive SFP'!AF29)</f>
        <v>81422223.980000004</v>
      </c>
      <c r="AH7" s="147">
        <f>('Evolutive SFP'!AG28+'Evolutive SFP'!AG29)</f>
        <v>74703369.870000005</v>
      </c>
      <c r="AI7" s="147">
        <f>('Evolutive SFP'!AH28+'Evolutive SFP'!AH29)</f>
        <v>76670475.239999995</v>
      </c>
      <c r="AJ7" s="147">
        <f>('Evolutive SFP'!AI28+'Evolutive SFP'!AI29)</f>
        <v>77128031.379999995</v>
      </c>
      <c r="AK7" s="147">
        <f>('Evolutive SFP'!AJ28+'Evolutive SFP'!AJ29)</f>
        <v>69494981.579999998</v>
      </c>
      <c r="AL7" s="147">
        <f>('Evolutive SFP'!AK28+'Evolutive SFP'!AK29)</f>
        <v>91612403.859999999</v>
      </c>
      <c r="AM7" s="147">
        <f>('Evolutive SFP'!AL28+'Evolutive SFP'!AL29)</f>
        <v>71553615.379999995</v>
      </c>
      <c r="AN7" s="147">
        <f>('Evolutive SFP'!AM28+'Evolutive SFP'!AM29)</f>
        <v>73463035.810000002</v>
      </c>
      <c r="AO7" s="147">
        <f>('Evolutive SFP'!AN28+'Evolutive SFP'!AN29)</f>
        <v>71242230.640000001</v>
      </c>
      <c r="AP7" s="147">
        <f>('Evolutive SFP'!AO28+'Evolutive SFP'!AO29)</f>
        <v>65051901.939999998</v>
      </c>
      <c r="AQ7" s="147">
        <f>('Evolutive SFP'!AP28+'Evolutive SFP'!AP29)</f>
        <v>74039080.599999994</v>
      </c>
      <c r="AR7" s="147">
        <f>('Evolutive SFP'!AQ28+'Evolutive SFP'!AQ29)</f>
        <v>76404068.299999997</v>
      </c>
      <c r="AS7" s="147">
        <f>('Evolutive SFP'!AR28+'Evolutive SFP'!AR29)</f>
        <v>79164193.879999995</v>
      </c>
      <c r="AT7" s="147">
        <f>('Evolutive SFP'!AS28+'Evolutive SFP'!AS29)</f>
        <v>75212848.299999997</v>
      </c>
      <c r="AU7" s="147">
        <f>('Evolutive SFP'!AT28+'Evolutive SFP'!AT29)</f>
        <v>74132896.400000006</v>
      </c>
      <c r="AV7" s="147">
        <f>('Evolutive SFP'!AU28+'Evolutive SFP'!AU29)</f>
        <v>76064944.319999993</v>
      </c>
      <c r="AW7" s="147">
        <f>('Evolutive SFP'!AV28+'Evolutive SFP'!AV29)</f>
        <v>79132833.179999992</v>
      </c>
      <c r="AX7" s="147">
        <f>('Evolutive SFP'!AW28+'Evolutive SFP'!AW29)</f>
        <v>94807742.739999995</v>
      </c>
      <c r="AY7" s="147">
        <f>('Evolutive SFP'!AW28+'Evolutive SFP'!AW29)</f>
        <v>94807742.739999995</v>
      </c>
      <c r="AZ7" s="147">
        <f>('Evolutive SFP'!AX28+'Evolutive SFP'!AX29)</f>
        <v>104138579.02</v>
      </c>
      <c r="BA7" s="147">
        <f>('Evolutive SFP'!AY28+'Evolutive SFP'!AY29)</f>
        <v>101324862.09</v>
      </c>
      <c r="BB7" s="147">
        <f>('Evolutive SFP'!AZ28+'Evolutive SFP'!AZ29)</f>
        <v>88774253.980000004</v>
      </c>
      <c r="BC7" s="147">
        <f>('Evolutive SFP'!BA28+'Evolutive SFP'!BA29)</f>
        <v>0</v>
      </c>
      <c r="BD7" s="147">
        <f>('Evolutive SFP'!BB28+'Evolutive SFP'!BB29)</f>
        <v>473700414.85000002</v>
      </c>
      <c r="BE7" s="147">
        <f>('Evolutive SFP'!BC28+'Evolutive SFP'!BC29)</f>
        <v>83422031.739999995</v>
      </c>
      <c r="BF7" s="147">
        <f>('Evolutive SFP'!BD28+'Evolutive SFP'!BD29)</f>
        <v>87632865.829999998</v>
      </c>
      <c r="BG7" s="147">
        <f>('Evolutive SFP'!BE28+'Evolutive SFP'!BE29)</f>
        <v>85345609.590000004</v>
      </c>
      <c r="BH7" s="147">
        <f>('Evolutive SFP'!BF28+'Evolutive SFP'!BF29)</f>
        <v>88201296.519999996</v>
      </c>
      <c r="BI7" s="147">
        <f>('Evolutive SFP'!BG28+'Evolutive SFP'!BG29)</f>
        <v>90070507</v>
      </c>
      <c r="BJ7" s="147">
        <f>('Evolutive SFP'!BH28+'Evolutive SFP'!BH29)</f>
        <v>87943409.75</v>
      </c>
      <c r="BK7" s="147">
        <f>('Evolutive SFP'!BI28+'Evolutive SFP'!BI29)</f>
        <v>110094927.8</v>
      </c>
      <c r="BL7" s="147">
        <f>('Evolutive SFP'!BJ28+'Evolutive SFP'!BJ29)</f>
        <v>106270622.76000001</v>
      </c>
      <c r="BM7" s="147">
        <f>('Evolutive SFP'!BK28+'Evolutive SFP'!BK29)</f>
        <v>99385426.789999992</v>
      </c>
      <c r="BN7" s="147">
        <f>('Evolutive SFP'!BL28+'Evolutive SFP'!BL29)</f>
        <v>98040678.459999993</v>
      </c>
      <c r="BO7" s="147">
        <f>('Evolutive SFP'!BM28+'Evolutive SFP'!BM29)</f>
        <v>98790092.039999992</v>
      </c>
      <c r="BP7" s="147">
        <f>('Evolutive SFP'!BN28+'Evolutive SFP'!BN29)</f>
        <v>113284297.19</v>
      </c>
      <c r="BQ7" s="147">
        <f>('Evolutive SFP'!BO28+'Evolutive SFP'!BO29)</f>
        <v>110404995.67</v>
      </c>
      <c r="BR7" s="147">
        <f>('Evolutive SFP'!BP28+'Evolutive SFP'!BP29)</f>
        <v>107192215.53999999</v>
      </c>
      <c r="BS7" s="147">
        <f>('Evolutive SFP'!BQ28+'Evolutive SFP'!BQ29)</f>
        <v>112975168.31999999</v>
      </c>
      <c r="BT7" s="147">
        <f>('Evolutive SFP'!BR28+'Evolutive SFP'!BR29)</f>
        <v>121683344.13</v>
      </c>
      <c r="BU7" s="147">
        <f>('Evolutive SFP'!BS28+'Evolutive SFP'!BS29)</f>
        <v>118290398.47</v>
      </c>
      <c r="BV7" s="147">
        <f>('Evolutive SFP'!BT28+'Evolutive SFP'!BT29)</f>
        <v>118290398</v>
      </c>
      <c r="BW7" s="147">
        <f>('Evolutive SFP'!BU28+'Evolutive SFP'!BU29)</f>
        <v>109751704.66</v>
      </c>
      <c r="BX7" s="147">
        <f>('Evolutive SFP'!BV28+'Evolutive SFP'!BV29)</f>
        <v>151845678.62</v>
      </c>
      <c r="BY7" s="147">
        <f>('Evolutive SFP'!BW28+'Evolutive SFP'!BW29)</f>
        <v>120278425.95999999</v>
      </c>
      <c r="BZ7" s="147">
        <f>('Evolutive SFP'!BX28+'Evolutive SFP'!BX29)</f>
        <v>119989797.95</v>
      </c>
      <c r="CA7" s="147">
        <f>('Evolutive SFP'!BY28+'Evolutive SFP'!BY29)</f>
        <v>118342008.33</v>
      </c>
      <c r="CB7" s="147">
        <f>('Evolutive SFP'!BZ28+'Evolutive SFP'!BZ29)</f>
        <v>119672431.75</v>
      </c>
      <c r="CC7" s="147">
        <f>('Evolutive SFP'!CA28+'Evolutive SFP'!CA29)</f>
        <v>131038250.5</v>
      </c>
      <c r="CD7" s="147">
        <f>('Evolutive SFP'!CB28+'Evolutive SFP'!CB29)</f>
        <v>123767786.05</v>
      </c>
      <c r="CE7" s="147">
        <f>('Evolutive SFP'!CC28+'Evolutive SFP'!CC29)</f>
        <v>123544624.53999999</v>
      </c>
      <c r="CF7" s="147">
        <f>('Evolutive SFP'!CD28+'Evolutive SFP'!CD29)</f>
        <v>121965089.16</v>
      </c>
      <c r="CG7" s="147">
        <f>('Evolutive SFP'!CE28+'Evolutive SFP'!CE29)</f>
        <v>121369404.42999999</v>
      </c>
      <c r="CH7" s="147">
        <f>('Evolutive SFP'!CF28+'Evolutive SFP'!CF29)</f>
        <v>109829690.73999999</v>
      </c>
      <c r="CI7" s="147">
        <f>('Evolutive SFP'!CG28+'Evolutive SFP'!CG29)</f>
        <v>111555113</v>
      </c>
      <c r="CJ7" s="147">
        <f>('Evolutive SFP'!CH28+'Evolutive SFP'!CH29)</f>
        <v>105692714.31</v>
      </c>
      <c r="CK7" s="147">
        <f>('Evolutive SFP'!CI28+'Evolutive SFP'!CI29)</f>
        <v>106527961.65000001</v>
      </c>
      <c r="CL7" s="147">
        <f>('Evolutive SFP'!CJ28+'Evolutive SFP'!CJ29)</f>
        <v>122716735.98999999</v>
      </c>
      <c r="CM7" s="147">
        <f>('Evolutive SFP'!CK28+'Evolutive SFP'!CK29)</f>
        <v>107377694.72</v>
      </c>
      <c r="CN7" s="147">
        <f>('Evolutive SFP'!CL28+'Evolutive SFP'!CL29)</f>
        <v>115768160.53999999</v>
      </c>
      <c r="CO7" s="147">
        <f>('Evolutive SFP'!CM28+'Evolutive SFP'!CM29)</f>
        <v>121323437.55</v>
      </c>
      <c r="CP7" s="147">
        <f>('Evolutive SFP'!CN28+'Evolutive SFP'!CN29)</f>
        <v>130540963.89</v>
      </c>
      <c r="CQ7" s="147">
        <f>('Evolutive SFP'!CO28+'Evolutive SFP'!CO29)</f>
        <v>125083437.72</v>
      </c>
      <c r="CR7" s="147">
        <f>('Evolutive SFP'!CP28+'Evolutive SFP'!CP29)</f>
        <v>119720450.42999999</v>
      </c>
    </row>
    <row r="8" spans="1:96">
      <c r="A8" s="35">
        <v>4</v>
      </c>
      <c r="B8" s="35" t="s">
        <v>172</v>
      </c>
      <c r="C8" s="51">
        <f>'Evolutive SFP'!B37</f>
        <v>98196182</v>
      </c>
      <c r="D8" s="51">
        <f>'Evolutive SFP'!C37</f>
        <v>73980442</v>
      </c>
      <c r="E8" s="51">
        <f>'Evolutive SFP'!D37</f>
        <v>75498160</v>
      </c>
      <c r="F8" s="51">
        <f>'Evolutive SFP'!E37</f>
        <v>75604045.310000002</v>
      </c>
      <c r="G8" s="51">
        <f>'Evolutive SFP'!F37</f>
        <v>14235893</v>
      </c>
      <c r="H8" s="51">
        <f>'Evolutive SFP'!G37</f>
        <v>0</v>
      </c>
      <c r="I8" s="51">
        <f>'Evolutive SFP'!H37</f>
        <v>0</v>
      </c>
      <c r="J8" s="51">
        <f>'Evolutive SFP'!I37</f>
        <v>0</v>
      </c>
      <c r="K8" s="51">
        <f>'Evolutive SFP'!J37</f>
        <v>0</v>
      </c>
      <c r="L8" s="51">
        <f>'Evolutive SFP'!K37</f>
        <v>0</v>
      </c>
      <c r="M8" s="51">
        <f>'Evolutive SFP'!L37</f>
        <v>0</v>
      </c>
      <c r="N8" s="51">
        <f>'Evolutive SFP'!M37</f>
        <v>0</v>
      </c>
      <c r="O8" s="51">
        <f>'Evolutive SFP'!N37</f>
        <v>0</v>
      </c>
      <c r="P8" s="51">
        <f>'Evolutive SFP'!O37</f>
        <v>0</v>
      </c>
      <c r="Q8" s="51">
        <f>'Evolutive SFP'!P37</f>
        <v>0</v>
      </c>
      <c r="R8" s="51">
        <f>'Evolutive SFP'!Q37</f>
        <v>0</v>
      </c>
      <c r="S8" s="51">
        <f>'Evolutive SFP'!R37</f>
        <v>0</v>
      </c>
      <c r="T8" s="51">
        <f>'Evolutive SFP'!S37</f>
        <v>0</v>
      </c>
      <c r="U8" s="51">
        <f>'Evolutive SFP'!T37</f>
        <v>0</v>
      </c>
      <c r="V8" s="51">
        <f>'Evolutive SFP'!U37</f>
        <v>0</v>
      </c>
      <c r="W8" s="51">
        <f>'Evolutive SFP'!V37</f>
        <v>0</v>
      </c>
      <c r="X8" s="51">
        <f>'Evolutive SFP'!W37</f>
        <v>0</v>
      </c>
      <c r="Y8" s="51">
        <f>'Evolutive SFP'!X37</f>
        <v>0</v>
      </c>
      <c r="Z8" s="147">
        <f>'Evolutive SFP'!Y37</f>
        <v>0</v>
      </c>
      <c r="AA8" s="147">
        <f>'Evolutive SFP'!Z37</f>
        <v>0</v>
      </c>
      <c r="AB8" s="147">
        <f>'Evolutive SFP'!AA37</f>
        <v>0</v>
      </c>
      <c r="AC8" s="147">
        <f>'Evolutive SFP'!AB37</f>
        <v>0</v>
      </c>
      <c r="AD8" s="147">
        <f>'Evolutive SFP'!AC37</f>
        <v>0</v>
      </c>
      <c r="AE8" s="147">
        <f>'Evolutive SFP'!AD37</f>
        <v>0</v>
      </c>
      <c r="AF8" s="147">
        <f>'Evolutive SFP'!AE37</f>
        <v>0</v>
      </c>
      <c r="AG8" s="147">
        <f>'Evolutive SFP'!AF37</f>
        <v>0</v>
      </c>
      <c r="AH8" s="147">
        <f>'Evolutive SFP'!AG37</f>
        <v>0</v>
      </c>
      <c r="AI8" s="147">
        <f>'Evolutive SFP'!AH37</f>
        <v>0</v>
      </c>
      <c r="AJ8" s="147">
        <f>'Evolutive SFP'!AI37</f>
        <v>0</v>
      </c>
      <c r="AK8" s="147">
        <f>'Evolutive SFP'!AJ37</f>
        <v>0</v>
      </c>
      <c r="AL8" s="147">
        <f>'Evolutive SFP'!AK37</f>
        <v>0</v>
      </c>
      <c r="AM8" s="147">
        <f>'Evolutive SFP'!AL37</f>
        <v>0</v>
      </c>
      <c r="AN8" s="147">
        <f>'Evolutive SFP'!AM37</f>
        <v>0</v>
      </c>
      <c r="AO8" s="147">
        <f>'Evolutive SFP'!AN37</f>
        <v>0</v>
      </c>
      <c r="AP8" s="147">
        <f>'Evolutive SFP'!AO37</f>
        <v>0</v>
      </c>
      <c r="AQ8" s="147">
        <f>'Evolutive SFP'!AP37</f>
        <v>0</v>
      </c>
      <c r="AR8" s="147">
        <f>'Evolutive SFP'!AQ37</f>
        <v>0</v>
      </c>
      <c r="AS8" s="147">
        <f>'Evolutive SFP'!AR37</f>
        <v>0</v>
      </c>
      <c r="AT8" s="147">
        <f>'Evolutive SFP'!AS37</f>
        <v>0</v>
      </c>
      <c r="AU8" s="147">
        <f>'Evolutive SFP'!AT37</f>
        <v>0</v>
      </c>
      <c r="AV8" s="147"/>
      <c r="AW8" s="147">
        <f>'Evolutive SFP'!AU37</f>
        <v>0</v>
      </c>
      <c r="AX8" s="147">
        <f>'Evolutive SFP'!AV37</f>
        <v>0</v>
      </c>
      <c r="AY8" s="147">
        <f>'Evolutive SFP'!AW37</f>
        <v>0</v>
      </c>
      <c r="AZ8" s="147">
        <f>'Evolutive SFP'!AX37</f>
        <v>0</v>
      </c>
      <c r="BA8" s="147">
        <f>'Evolutive SFP'!AY37</f>
        <v>0</v>
      </c>
      <c r="BB8" s="147">
        <f>'Evolutive SFP'!AZ37</f>
        <v>0</v>
      </c>
      <c r="BC8" s="147">
        <f>'Evolutive SFP'!BA37</f>
        <v>0</v>
      </c>
      <c r="BD8" s="147">
        <f>'Evolutive SFP'!BB37</f>
        <v>0</v>
      </c>
      <c r="BE8" s="147">
        <f>'Evolutive SFP'!BC37</f>
        <v>0</v>
      </c>
      <c r="BF8" s="147">
        <f>'Evolutive SFP'!BD37</f>
        <v>0</v>
      </c>
      <c r="BG8" s="147">
        <f>'Evolutive SFP'!BE37</f>
        <v>0</v>
      </c>
      <c r="BH8" s="147">
        <f>'Evolutive SFP'!BF37</f>
        <v>0</v>
      </c>
      <c r="BI8" s="147">
        <f>'Evolutive SFP'!BG37</f>
        <v>0</v>
      </c>
      <c r="BJ8" s="147">
        <f>'Evolutive SFP'!BH37</f>
        <v>0</v>
      </c>
      <c r="BK8" s="147">
        <f>'Evolutive SFP'!BI37</f>
        <v>0</v>
      </c>
      <c r="BL8" s="147">
        <f>'Evolutive SFP'!BJ37</f>
        <v>0</v>
      </c>
      <c r="BM8" s="147">
        <f>'Evolutive SFP'!BK37</f>
        <v>0</v>
      </c>
      <c r="BN8" s="147">
        <f>'Evolutive SFP'!BL37</f>
        <v>0</v>
      </c>
      <c r="BO8" s="147">
        <f>'Evolutive SFP'!BM37</f>
        <v>0</v>
      </c>
      <c r="BP8" s="147">
        <f>'Evolutive SFP'!BN37</f>
        <v>0</v>
      </c>
      <c r="BQ8" s="147">
        <f>'Evolutive SFP'!BO37</f>
        <v>0</v>
      </c>
      <c r="BR8" s="147">
        <f>'Evolutive SFP'!BP37</f>
        <v>0</v>
      </c>
      <c r="BS8" s="147">
        <f>'Evolutive SFP'!BQ37</f>
        <v>0</v>
      </c>
      <c r="BT8" s="147">
        <f>'Evolutive SFP'!BR37</f>
        <v>0</v>
      </c>
      <c r="BU8" s="147">
        <f>'Evolutive SFP'!BS37</f>
        <v>0</v>
      </c>
      <c r="BV8" s="147">
        <f>'Evolutive SFP'!BT37</f>
        <v>0</v>
      </c>
      <c r="BW8" s="147">
        <f>'Evolutive SFP'!BU37</f>
        <v>0</v>
      </c>
      <c r="BX8" s="147">
        <f>'Evolutive SFP'!BV37</f>
        <v>0</v>
      </c>
      <c r="BY8" s="147">
        <f>'Evolutive SFP'!BW37</f>
        <v>0</v>
      </c>
      <c r="BZ8" s="147">
        <f>'Evolutive SFP'!BX37</f>
        <v>0</v>
      </c>
      <c r="CA8" s="147">
        <f>'Evolutive SFP'!BY37</f>
        <v>0</v>
      </c>
      <c r="CB8" s="147">
        <f>'Evolutive SFP'!BZ37</f>
        <v>0</v>
      </c>
      <c r="CC8" s="147">
        <f>'Evolutive SFP'!CA37</f>
        <v>0</v>
      </c>
      <c r="CD8" s="147">
        <f>'Evolutive SFP'!CB37</f>
        <v>0</v>
      </c>
      <c r="CE8" s="147">
        <f>'Evolutive SFP'!CC37</f>
        <v>0</v>
      </c>
      <c r="CF8" s="147">
        <f>'Evolutive SFP'!CD37</f>
        <v>0</v>
      </c>
      <c r="CG8" s="147">
        <f>'Evolutive SFP'!CE37</f>
        <v>0</v>
      </c>
      <c r="CH8" s="147">
        <f>'Evolutive SFP'!CF37</f>
        <v>0</v>
      </c>
      <c r="CI8" s="147">
        <f>'Evolutive SFP'!CG37</f>
        <v>0</v>
      </c>
      <c r="CJ8" s="147">
        <f>'Evolutive SFP'!CH37</f>
        <v>0</v>
      </c>
      <c r="CK8" s="147">
        <f>'Evolutive SFP'!CI37</f>
        <v>0</v>
      </c>
      <c r="CL8" s="147">
        <f>'Evolutive SFP'!CJ37</f>
        <v>0</v>
      </c>
      <c r="CM8" s="147">
        <f>'Evolutive SFP'!CK37</f>
        <v>0</v>
      </c>
      <c r="CN8" s="147">
        <f>'Evolutive SFP'!CL37</f>
        <v>0</v>
      </c>
      <c r="CO8" s="147">
        <f>'Evolutive SFP'!CM37</f>
        <v>0</v>
      </c>
      <c r="CP8" s="147">
        <f>'Evolutive SFP'!CN37</f>
        <v>0</v>
      </c>
      <c r="CQ8" s="147">
        <f>'Evolutive SFP'!CO37</f>
        <v>0</v>
      </c>
      <c r="CR8" s="147">
        <f>'Evolutive SFP'!CP37</f>
        <v>0</v>
      </c>
    </row>
    <row r="9" spans="1:96">
      <c r="A9" s="35"/>
      <c r="B9" s="35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</row>
    <row r="10" spans="1:96">
      <c r="A10" s="37">
        <v>5</v>
      </c>
      <c r="B10" s="33" t="s">
        <v>173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</row>
    <row r="11" spans="1:96" s="28" customFormat="1">
      <c r="A11" s="45">
        <v>5.0999999999999996</v>
      </c>
      <c r="B11" s="33" t="s">
        <v>114</v>
      </c>
      <c r="C11" s="52">
        <f t="shared" ref="C11:I11" si="0">C14-C22-C25</f>
        <v>42410035</v>
      </c>
      <c r="D11" s="52">
        <f t="shared" si="0"/>
        <v>59672068</v>
      </c>
      <c r="E11" s="52">
        <f t="shared" si="0"/>
        <v>55702530</v>
      </c>
      <c r="F11" s="52">
        <f t="shared" si="0"/>
        <v>73161572.995499998</v>
      </c>
      <c r="G11" s="52">
        <f t="shared" si="0"/>
        <v>132275360</v>
      </c>
      <c r="H11" s="52">
        <f t="shared" si="0"/>
        <v>147057582</v>
      </c>
      <c r="I11" s="52">
        <f t="shared" si="0"/>
        <v>158092026</v>
      </c>
      <c r="J11" s="52">
        <f t="shared" ref="J11:O11" si="1">J14-J22</f>
        <v>198708195.38</v>
      </c>
      <c r="K11" s="52">
        <f t="shared" si="1"/>
        <v>195911696.72</v>
      </c>
      <c r="L11" s="52">
        <f t="shared" si="1"/>
        <v>194208616.34</v>
      </c>
      <c r="M11" s="52">
        <f t="shared" si="1"/>
        <v>194333952.60000002</v>
      </c>
      <c r="N11" s="52">
        <f t="shared" si="1"/>
        <v>196791903.35999998</v>
      </c>
      <c r="O11" s="52">
        <f t="shared" si="1"/>
        <v>207689752.76000002</v>
      </c>
      <c r="P11" s="52">
        <f t="shared" ref="P11:BI11" si="2">P14-P22</f>
        <v>204861025.13000003</v>
      </c>
      <c r="Q11" s="52">
        <f t="shared" si="2"/>
        <v>214065120.30999997</v>
      </c>
      <c r="R11" s="52">
        <f t="shared" si="2"/>
        <v>224174094.92999998</v>
      </c>
      <c r="S11" s="52">
        <f t="shared" si="2"/>
        <v>227594473.19999999</v>
      </c>
      <c r="T11" s="52">
        <f t="shared" si="2"/>
        <v>234172368.05999997</v>
      </c>
      <c r="U11" s="52">
        <f t="shared" si="2"/>
        <v>205322227.89999998</v>
      </c>
      <c r="V11" s="52">
        <f t="shared" si="2"/>
        <v>201513311</v>
      </c>
      <c r="W11" s="52">
        <f t="shared" si="2"/>
        <v>202031632.86000001</v>
      </c>
      <c r="X11" s="52">
        <f t="shared" si="2"/>
        <v>205992493.83000001</v>
      </c>
      <c r="Y11" s="52">
        <f t="shared" si="2"/>
        <v>207507415.74000001</v>
      </c>
      <c r="Z11" s="119">
        <f t="shared" si="2"/>
        <v>208065454.88</v>
      </c>
      <c r="AA11" s="119">
        <f t="shared" si="2"/>
        <v>212651837.02000001</v>
      </c>
      <c r="AB11" s="119">
        <f t="shared" si="2"/>
        <v>227038166.15000001</v>
      </c>
      <c r="AC11" s="119">
        <f t="shared" si="2"/>
        <v>229598313.33000001</v>
      </c>
      <c r="AD11" s="119">
        <f t="shared" si="2"/>
        <v>234541764.78</v>
      </c>
      <c r="AE11" s="119">
        <f t="shared" si="2"/>
        <v>238102404.27000001</v>
      </c>
      <c r="AF11" s="119">
        <f t="shared" si="2"/>
        <v>244805777.85000002</v>
      </c>
      <c r="AG11" s="119">
        <f t="shared" si="2"/>
        <v>251991433.05000001</v>
      </c>
      <c r="AH11" s="119">
        <f t="shared" si="2"/>
        <v>237309901.68000001</v>
      </c>
      <c r="AI11" s="119">
        <f t="shared" si="2"/>
        <v>237282857.50200003</v>
      </c>
      <c r="AJ11" s="119">
        <f t="shared" si="2"/>
        <v>241706810.94</v>
      </c>
      <c r="AK11" s="119">
        <f t="shared" si="2"/>
        <v>245137416.94</v>
      </c>
      <c r="AL11" s="119">
        <f t="shared" si="2"/>
        <v>248049307.38999999</v>
      </c>
      <c r="AM11" s="119">
        <f t="shared" si="2"/>
        <v>247598863.44999999</v>
      </c>
      <c r="AN11" s="119">
        <f t="shared" si="2"/>
        <v>258217078.5</v>
      </c>
      <c r="AO11" s="119">
        <f t="shared" si="2"/>
        <v>272608426.84000003</v>
      </c>
      <c r="AP11" s="119">
        <f t="shared" si="2"/>
        <v>276476152.46000004</v>
      </c>
      <c r="AQ11" s="119">
        <f t="shared" si="2"/>
        <v>275782834.19</v>
      </c>
      <c r="AR11" s="119">
        <f t="shared" si="2"/>
        <v>277699513.62</v>
      </c>
      <c r="AS11" s="119">
        <f t="shared" si="2"/>
        <v>280197610.09000003</v>
      </c>
      <c r="AT11" s="119">
        <f t="shared" si="2"/>
        <v>274522913.27999997</v>
      </c>
      <c r="AU11" s="119">
        <f t="shared" si="2"/>
        <v>265562395.15000001</v>
      </c>
      <c r="AV11" s="119">
        <f t="shared" si="2"/>
        <v>264637633.84250003</v>
      </c>
      <c r="AW11" s="119">
        <f t="shared" si="2"/>
        <v>272501285.69999999</v>
      </c>
      <c r="AX11" s="119">
        <f t="shared" si="2"/>
        <v>272598531.94999999</v>
      </c>
      <c r="AY11" s="119">
        <f t="shared" si="2"/>
        <v>275165987.85000002</v>
      </c>
      <c r="AZ11" s="119">
        <f t="shared" si="2"/>
        <v>287487330.86000001</v>
      </c>
      <c r="BA11" s="119">
        <f t="shared" si="2"/>
        <v>283855856.96000004</v>
      </c>
      <c r="BB11" s="119">
        <f t="shared" si="2"/>
        <v>284139421.80000001</v>
      </c>
      <c r="BC11" s="119">
        <f t="shared" si="2"/>
        <v>0</v>
      </c>
      <c r="BD11" s="119">
        <f t="shared" si="2"/>
        <v>1434150192.75</v>
      </c>
      <c r="BE11" s="119">
        <f t="shared" si="2"/>
        <v>288138526.55000001</v>
      </c>
      <c r="BF11" s="119">
        <f t="shared" si="2"/>
        <v>288995174.72000003</v>
      </c>
      <c r="BG11" s="119">
        <f t="shared" si="2"/>
        <v>288471423.12</v>
      </c>
      <c r="BH11" s="119">
        <f t="shared" si="2"/>
        <v>290701497.13999999</v>
      </c>
      <c r="BI11" s="119">
        <f t="shared" si="2"/>
        <v>290701498</v>
      </c>
      <c r="BJ11" s="119">
        <f>BJ14-BJ22</f>
        <v>293816116.90999997</v>
      </c>
      <c r="BK11" s="119">
        <f>BK14-BK22</f>
        <v>289933542.38999999</v>
      </c>
      <c r="BL11" s="119">
        <f>BL14-BL22</f>
        <v>290888327.21000004</v>
      </c>
      <c r="BM11" s="119">
        <f t="shared" ref="BM11:BU11" si="3">BM14-BM22</f>
        <v>309251232.35000002</v>
      </c>
      <c r="BN11" s="119">
        <f t="shared" si="3"/>
        <v>309136614.09000003</v>
      </c>
      <c r="BO11" s="119">
        <f t="shared" si="3"/>
        <v>311938097.51999998</v>
      </c>
      <c r="BP11" s="119">
        <f t="shared" si="3"/>
        <v>307638193.10000002</v>
      </c>
      <c r="BQ11" s="119">
        <f t="shared" si="3"/>
        <v>316597883.11000001</v>
      </c>
      <c r="BR11" s="119">
        <f t="shared" si="3"/>
        <v>320647825.88</v>
      </c>
      <c r="BS11" s="119">
        <f t="shared" si="3"/>
        <v>326704081.29000002</v>
      </c>
      <c r="BT11" s="119">
        <f t="shared" si="3"/>
        <v>329796378.06</v>
      </c>
      <c r="BU11" s="119">
        <f t="shared" si="3"/>
        <v>320242682.83999997</v>
      </c>
      <c r="BV11" s="119">
        <f>BV14-BV22</f>
        <v>311515268</v>
      </c>
      <c r="BW11" s="119">
        <f t="shared" ref="BW11:CH11" si="4">BW14-BW22</f>
        <v>312486296.65999997</v>
      </c>
      <c r="BX11" s="119">
        <f t="shared" si="4"/>
        <v>314094608.74000001</v>
      </c>
      <c r="BY11" s="119">
        <f t="shared" si="4"/>
        <v>314388621.53999996</v>
      </c>
      <c r="BZ11" s="119">
        <f t="shared" si="4"/>
        <v>315635622.86000001</v>
      </c>
      <c r="CA11" s="119">
        <f t="shared" si="4"/>
        <v>315808020.85000002</v>
      </c>
      <c r="CB11" s="119">
        <f t="shared" si="4"/>
        <v>334265366.05000001</v>
      </c>
      <c r="CC11" s="119">
        <f t="shared" si="4"/>
        <v>332876300.17000002</v>
      </c>
      <c r="CD11" s="119">
        <f t="shared" si="4"/>
        <v>334108023.44</v>
      </c>
      <c r="CE11" s="119">
        <f t="shared" si="4"/>
        <v>339181262.62</v>
      </c>
      <c r="CF11" s="119">
        <f t="shared" si="4"/>
        <v>342204185.44</v>
      </c>
      <c r="CG11" s="119">
        <f t="shared" si="4"/>
        <v>341996190.68000001</v>
      </c>
      <c r="CH11" s="119">
        <f t="shared" si="4"/>
        <v>318700946.93000001</v>
      </c>
      <c r="CI11" s="119">
        <f>CI14-CI22</f>
        <v>319771977.09000003</v>
      </c>
      <c r="CJ11" s="119">
        <f t="shared" ref="CJ11:CL11" si="5">CJ14-CJ22</f>
        <v>322152891.13999999</v>
      </c>
      <c r="CK11" s="119">
        <f t="shared" si="5"/>
        <v>333255731.44000006</v>
      </c>
      <c r="CL11" s="119">
        <f t="shared" si="5"/>
        <v>325756187.22999996</v>
      </c>
      <c r="CM11" s="119">
        <f t="shared" ref="CM11:CN11" si="6">CM14-CM22</f>
        <v>322613336.18000001</v>
      </c>
      <c r="CN11" s="119">
        <f t="shared" si="6"/>
        <v>319979244.62</v>
      </c>
      <c r="CO11" s="119">
        <f t="shared" ref="CO11:CP11" si="7">CO14-CO22</f>
        <v>333036980.14999998</v>
      </c>
      <c r="CP11" s="119">
        <f t="shared" si="7"/>
        <v>325850011.95999998</v>
      </c>
      <c r="CQ11" s="119">
        <f t="shared" ref="CQ11:CR11" si="8">CQ14-CQ22</f>
        <v>326591038.69</v>
      </c>
      <c r="CR11" s="119">
        <f t="shared" si="8"/>
        <v>328514640.75999999</v>
      </c>
    </row>
    <row r="12" spans="1:96" s="28" customFormat="1">
      <c r="A12" s="45">
        <v>5.2</v>
      </c>
      <c r="B12" s="33" t="s">
        <v>174</v>
      </c>
      <c r="C12" s="52">
        <f>C11-C15</f>
        <v>37351525</v>
      </c>
      <c r="D12" s="52">
        <f>D11-D15</f>
        <v>18644089</v>
      </c>
      <c r="E12" s="52">
        <f>E11-E15</f>
        <v>14383335</v>
      </c>
      <c r="F12" s="52">
        <f>F11-F15</f>
        <v>28484836.475500003</v>
      </c>
      <c r="G12" s="52">
        <f t="shared" ref="G12:N12" si="9">G11-G15</f>
        <v>65016591</v>
      </c>
      <c r="H12" s="52">
        <f>H11-H15</f>
        <v>79501050</v>
      </c>
      <c r="I12" s="52">
        <f>I11-I15</f>
        <v>84630805</v>
      </c>
      <c r="J12" s="52">
        <f t="shared" si="9"/>
        <v>125204373.64999999</v>
      </c>
      <c r="K12" s="52">
        <f t="shared" si="9"/>
        <v>122226574.98999999</v>
      </c>
      <c r="L12" s="52">
        <f t="shared" si="9"/>
        <v>120327665.2</v>
      </c>
      <c r="M12" s="52">
        <f t="shared" si="9"/>
        <v>120230051.46000002</v>
      </c>
      <c r="N12" s="52">
        <f t="shared" si="9"/>
        <v>122466996.61999999</v>
      </c>
      <c r="O12" s="52">
        <f t="shared" ref="O12:BI12" si="10">O11-O15</f>
        <v>133153596.02000003</v>
      </c>
      <c r="P12" s="52">
        <f t="shared" si="10"/>
        <v>130163668.39000003</v>
      </c>
      <c r="Q12" s="52">
        <f t="shared" si="10"/>
        <v>139327063.56999999</v>
      </c>
      <c r="R12" s="52">
        <f t="shared" si="10"/>
        <v>149291338.19</v>
      </c>
      <c r="S12" s="52">
        <f t="shared" si="10"/>
        <v>152692716.45999998</v>
      </c>
      <c r="T12" s="52">
        <f t="shared" si="10"/>
        <v>159129261.31999999</v>
      </c>
      <c r="U12" s="52">
        <f t="shared" si="10"/>
        <v>130209321.15999998</v>
      </c>
      <c r="V12" s="52">
        <f t="shared" si="10"/>
        <v>126400404</v>
      </c>
      <c r="W12" s="52">
        <f t="shared" si="10"/>
        <v>126832226.12000002</v>
      </c>
      <c r="X12" s="52">
        <f t="shared" si="10"/>
        <v>130729287.09000002</v>
      </c>
      <c r="Y12" s="52">
        <f t="shared" si="10"/>
        <v>132215485.75000001</v>
      </c>
      <c r="Z12" s="119">
        <f t="shared" si="10"/>
        <v>132586104.89</v>
      </c>
      <c r="AA12" s="119">
        <f t="shared" si="10"/>
        <v>137114687.03000003</v>
      </c>
      <c r="AB12" s="119">
        <f t="shared" si="10"/>
        <v>151487216.16000003</v>
      </c>
      <c r="AC12" s="119">
        <f t="shared" si="10"/>
        <v>153984443.34000003</v>
      </c>
      <c r="AD12" s="119">
        <f t="shared" si="10"/>
        <v>158831894.54000002</v>
      </c>
      <c r="AE12" s="119">
        <f t="shared" si="10"/>
        <v>162375354.28000003</v>
      </c>
      <c r="AF12" s="119">
        <f t="shared" si="10"/>
        <v>168754827.86000001</v>
      </c>
      <c r="AG12" s="119">
        <f t="shared" si="10"/>
        <v>175765983.06</v>
      </c>
      <c r="AH12" s="119">
        <f t="shared" si="10"/>
        <v>160961851.69</v>
      </c>
      <c r="AI12" s="119">
        <f t="shared" si="10"/>
        <v>160934807.51200002</v>
      </c>
      <c r="AJ12" s="119">
        <f t="shared" si="10"/>
        <v>165149995.94999999</v>
      </c>
      <c r="AK12" s="119">
        <f t="shared" si="10"/>
        <v>168381101.94999999</v>
      </c>
      <c r="AL12" s="119">
        <f t="shared" si="10"/>
        <v>169377462.62</v>
      </c>
      <c r="AM12" s="119">
        <f t="shared" si="10"/>
        <v>168819474.00999999</v>
      </c>
      <c r="AN12" s="119">
        <f t="shared" si="10"/>
        <v>179183282.69999999</v>
      </c>
      <c r="AO12" s="119">
        <f t="shared" si="10"/>
        <v>193525131.04000002</v>
      </c>
      <c r="AP12" s="119">
        <f t="shared" si="10"/>
        <v>197308856.66000003</v>
      </c>
      <c r="AQ12" s="119">
        <f t="shared" si="10"/>
        <v>196527432.51999998</v>
      </c>
      <c r="AR12" s="119">
        <f t="shared" si="10"/>
        <v>198293406.07999998</v>
      </c>
      <c r="AS12" s="119">
        <f t="shared" si="10"/>
        <v>200573864.05000001</v>
      </c>
      <c r="AT12" s="119">
        <f t="shared" si="10"/>
        <v>194841146.64999998</v>
      </c>
      <c r="AU12" s="119">
        <f t="shared" si="10"/>
        <v>185192380.72</v>
      </c>
      <c r="AV12" s="119">
        <f t="shared" si="10"/>
        <v>184267619.41250002</v>
      </c>
      <c r="AW12" s="119">
        <f t="shared" si="10"/>
        <v>191315696.40999997</v>
      </c>
      <c r="AX12" s="119">
        <f t="shared" si="10"/>
        <v>191315696.40999997</v>
      </c>
      <c r="AY12" s="119">
        <f t="shared" si="10"/>
        <v>193883152.31</v>
      </c>
      <c r="AZ12" s="119">
        <f t="shared" si="10"/>
        <v>206120551.34000003</v>
      </c>
      <c r="BA12" s="119">
        <f t="shared" si="10"/>
        <v>201120589.34000003</v>
      </c>
      <c r="BB12" s="119">
        <f t="shared" si="10"/>
        <v>200790940.93000001</v>
      </c>
      <c r="BC12" s="119">
        <f t="shared" si="10"/>
        <v>0</v>
      </c>
      <c r="BD12" s="119">
        <f t="shared" si="10"/>
        <v>1013793342.75</v>
      </c>
      <c r="BE12" s="119">
        <f t="shared" si="10"/>
        <v>203913653.43000001</v>
      </c>
      <c r="BF12" s="119">
        <f t="shared" si="10"/>
        <v>204523596.60000002</v>
      </c>
      <c r="BG12" s="119">
        <f t="shared" si="10"/>
        <v>203827595</v>
      </c>
      <c r="BH12" s="119">
        <f t="shared" si="10"/>
        <v>205962890.01999998</v>
      </c>
      <c r="BI12" s="119">
        <f t="shared" si="10"/>
        <v>205962890</v>
      </c>
      <c r="BJ12" s="119">
        <f>BJ11-BJ15</f>
        <v>209055109.78999996</v>
      </c>
      <c r="BK12" s="119">
        <f>BK11-BK15</f>
        <v>204937218.26999998</v>
      </c>
      <c r="BL12" s="119">
        <f>BL11-BL15</f>
        <v>205655397.33000004</v>
      </c>
      <c r="BM12" s="119">
        <f t="shared" ref="BM12:BU12" si="11">BM11-BM15</f>
        <v>223702892.47000003</v>
      </c>
      <c r="BN12" s="119">
        <f t="shared" si="11"/>
        <v>223213194.21000004</v>
      </c>
      <c r="BO12" s="119">
        <f t="shared" si="11"/>
        <v>225738627.63999999</v>
      </c>
      <c r="BP12" s="119">
        <f t="shared" si="11"/>
        <v>221268623.22000003</v>
      </c>
      <c r="BQ12" s="119">
        <f t="shared" si="11"/>
        <v>229897313.23000002</v>
      </c>
      <c r="BR12" s="119">
        <f t="shared" si="11"/>
        <v>233696267.5</v>
      </c>
      <c r="BS12" s="119">
        <f t="shared" si="11"/>
        <v>239539155.86000001</v>
      </c>
      <c r="BT12" s="119">
        <f t="shared" si="11"/>
        <v>242094626.75999999</v>
      </c>
      <c r="BU12" s="119">
        <f t="shared" si="11"/>
        <v>232390031.53999996</v>
      </c>
      <c r="BV12" s="119">
        <f>BV11-BV15</f>
        <v>223662617</v>
      </c>
      <c r="BW12" s="119">
        <f t="shared" ref="BW12:CH12" si="12">BW11-BW15</f>
        <v>223663841.85999995</v>
      </c>
      <c r="BX12" s="119">
        <f t="shared" si="12"/>
        <v>225143441.94</v>
      </c>
      <c r="BY12" s="119">
        <f t="shared" si="12"/>
        <v>225293752.73999995</v>
      </c>
      <c r="BZ12" s="119">
        <f t="shared" si="12"/>
        <v>226264006.06</v>
      </c>
      <c r="CA12" s="119">
        <f t="shared" si="12"/>
        <v>226273263.50000003</v>
      </c>
      <c r="CB12" s="119">
        <f t="shared" si="12"/>
        <v>244383431.95000002</v>
      </c>
      <c r="CC12" s="119">
        <f t="shared" si="12"/>
        <v>242928866.07000002</v>
      </c>
      <c r="CD12" s="119">
        <f t="shared" si="12"/>
        <v>244059468.07999998</v>
      </c>
      <c r="CE12" s="119">
        <f t="shared" si="12"/>
        <v>248929713.13999999</v>
      </c>
      <c r="CF12" s="119">
        <f t="shared" si="12"/>
        <v>250973068.34999999</v>
      </c>
      <c r="CG12" s="119">
        <f t="shared" si="12"/>
        <v>250589376.59</v>
      </c>
      <c r="CH12" s="119">
        <f t="shared" si="12"/>
        <v>226960332.84</v>
      </c>
      <c r="CI12" s="119">
        <f t="shared" ref="CI12:CL12" si="13">CI11-CI15</f>
        <v>228031363.00000003</v>
      </c>
      <c r="CJ12" s="119">
        <f t="shared" si="13"/>
        <v>230266627.04999998</v>
      </c>
      <c r="CK12" s="119">
        <f t="shared" si="13"/>
        <v>241175577.35000005</v>
      </c>
      <c r="CL12" s="119">
        <f t="shared" si="13"/>
        <v>233094983.08999997</v>
      </c>
      <c r="CM12" s="119">
        <f t="shared" ref="CM12:CN12" si="14">CM11-CM15</f>
        <v>229744932.04000002</v>
      </c>
      <c r="CN12" s="119">
        <f t="shared" si="14"/>
        <v>226822614.73000002</v>
      </c>
      <c r="CO12" s="119">
        <f t="shared" ref="CO12:CP12" si="15">CO11-CO15</f>
        <v>239705250.25999999</v>
      </c>
      <c r="CP12" s="119">
        <f t="shared" si="15"/>
        <v>232169082.06999999</v>
      </c>
      <c r="CQ12" s="119">
        <f t="shared" ref="CQ12:CR12" si="16">CQ11-CQ15</f>
        <v>232363892.69999999</v>
      </c>
      <c r="CR12" s="119">
        <f t="shared" si="16"/>
        <v>233794702.13</v>
      </c>
    </row>
    <row r="13" spans="1:96">
      <c r="A13" s="37"/>
      <c r="B13" s="33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47"/>
      <c r="AA13" s="147"/>
      <c r="AB13" s="147"/>
      <c r="AC13" s="147"/>
      <c r="AD13" s="147"/>
      <c r="AE13" s="147"/>
      <c r="AF13" s="147"/>
      <c r="AG13" s="147"/>
    </row>
    <row r="14" spans="1:96" s="28" customFormat="1">
      <c r="A14" s="45">
        <v>5.3</v>
      </c>
      <c r="B14" s="33" t="s">
        <v>175</v>
      </c>
      <c r="C14" s="52">
        <f>C15+C16+C17+C18+C19+C20+C21</f>
        <v>51352205</v>
      </c>
      <c r="D14" s="52">
        <f>D15+D16+D17+D18+D19+D20+D21</f>
        <v>73896875</v>
      </c>
      <c r="E14" s="52">
        <f>E15+E16+E17+E18+E19+E20+E21</f>
        <v>81620098</v>
      </c>
      <c r="F14" s="52">
        <f>F15+F16+F17+F18+F19+F20+F21</f>
        <v>100846405.67550001</v>
      </c>
      <c r="G14" s="52">
        <f t="shared" ref="G14:N14" si="17">G15+G16+G17+G18+G19+G20+G21</f>
        <v>146858150</v>
      </c>
      <c r="H14" s="52">
        <f>H15+H16+H17+H18+H19+H20+H21</f>
        <v>175249183</v>
      </c>
      <c r="I14" s="52">
        <f>I15+I16+I17+I18+I19+I20+I21</f>
        <v>190503279</v>
      </c>
      <c r="J14" s="52">
        <f t="shared" si="17"/>
        <v>198708195.38</v>
      </c>
      <c r="K14" s="52">
        <f t="shared" si="17"/>
        <v>195911696.72</v>
      </c>
      <c r="L14" s="52">
        <f t="shared" si="17"/>
        <v>194208616.34</v>
      </c>
      <c r="M14" s="52">
        <f t="shared" si="17"/>
        <v>194333952.60000002</v>
      </c>
      <c r="N14" s="52">
        <f t="shared" si="17"/>
        <v>196791903.35999998</v>
      </c>
      <c r="O14" s="52">
        <f t="shared" ref="O14:BI14" si="18">O15+O16+O17+O18+O19+O20+O21</f>
        <v>207689752.76000002</v>
      </c>
      <c r="P14" s="52">
        <f t="shared" si="18"/>
        <v>204861025.13000003</v>
      </c>
      <c r="Q14" s="52">
        <f t="shared" si="18"/>
        <v>214065120.30999997</v>
      </c>
      <c r="R14" s="52">
        <f t="shared" si="18"/>
        <v>224174094.92999998</v>
      </c>
      <c r="S14" s="52">
        <f t="shared" si="18"/>
        <v>227594473.19999999</v>
      </c>
      <c r="T14" s="52">
        <f t="shared" si="18"/>
        <v>234172368.05999997</v>
      </c>
      <c r="U14" s="52">
        <f t="shared" si="18"/>
        <v>205322227.89999998</v>
      </c>
      <c r="V14" s="52">
        <f t="shared" si="18"/>
        <v>201513311</v>
      </c>
      <c r="W14" s="52">
        <f t="shared" si="18"/>
        <v>202031632.86000001</v>
      </c>
      <c r="X14" s="52">
        <f t="shared" si="18"/>
        <v>205992493.83000001</v>
      </c>
      <c r="Y14" s="52">
        <f t="shared" si="18"/>
        <v>207507415.74000001</v>
      </c>
      <c r="Z14" s="119">
        <f t="shared" si="18"/>
        <v>208065454.88</v>
      </c>
      <c r="AA14" s="119">
        <f t="shared" si="18"/>
        <v>212651837.02000001</v>
      </c>
      <c r="AB14" s="119">
        <f t="shared" si="18"/>
        <v>227038166.15000001</v>
      </c>
      <c r="AC14" s="119">
        <f t="shared" si="18"/>
        <v>229598313.33000001</v>
      </c>
      <c r="AD14" s="119">
        <f t="shared" si="18"/>
        <v>234541764.78</v>
      </c>
      <c r="AE14" s="119">
        <f t="shared" si="18"/>
        <v>238102404.27000001</v>
      </c>
      <c r="AF14" s="119">
        <f t="shared" si="18"/>
        <v>244805777.85000002</v>
      </c>
      <c r="AG14" s="119">
        <f t="shared" si="18"/>
        <v>251991433.05000001</v>
      </c>
      <c r="AH14" s="119">
        <f t="shared" si="18"/>
        <v>237309901.68000001</v>
      </c>
      <c r="AI14" s="119">
        <f t="shared" si="18"/>
        <v>237282857.50200003</v>
      </c>
      <c r="AJ14" s="119">
        <f t="shared" si="18"/>
        <v>241706810.94</v>
      </c>
      <c r="AK14" s="119">
        <f t="shared" si="18"/>
        <v>245137416.94</v>
      </c>
      <c r="AL14" s="119">
        <f t="shared" si="18"/>
        <v>248049307.38999999</v>
      </c>
      <c r="AM14" s="119">
        <f t="shared" si="18"/>
        <v>247598863.44999999</v>
      </c>
      <c r="AN14" s="119">
        <f t="shared" si="18"/>
        <v>258217078.5</v>
      </c>
      <c r="AO14" s="119">
        <f t="shared" si="18"/>
        <v>272608426.84000003</v>
      </c>
      <c r="AP14" s="119">
        <f t="shared" si="18"/>
        <v>276476152.46000004</v>
      </c>
      <c r="AQ14" s="119">
        <f t="shared" si="18"/>
        <v>275782834.19</v>
      </c>
      <c r="AR14" s="119">
        <f t="shared" si="18"/>
        <v>277699513.62</v>
      </c>
      <c r="AS14" s="119">
        <f t="shared" si="18"/>
        <v>280197610.09000003</v>
      </c>
      <c r="AT14" s="119">
        <f t="shared" si="18"/>
        <v>274522913.27999997</v>
      </c>
      <c r="AU14" s="119">
        <f t="shared" si="18"/>
        <v>265562395.15000001</v>
      </c>
      <c r="AV14" s="119">
        <f t="shared" si="18"/>
        <v>264637633.84250003</v>
      </c>
      <c r="AW14" s="119">
        <f t="shared" si="18"/>
        <v>272501285.69999999</v>
      </c>
      <c r="AX14" s="119">
        <f t="shared" si="18"/>
        <v>272598531.94999999</v>
      </c>
      <c r="AY14" s="119">
        <f t="shared" si="18"/>
        <v>275165987.85000002</v>
      </c>
      <c r="AZ14" s="119">
        <f t="shared" si="18"/>
        <v>287487330.86000001</v>
      </c>
      <c r="BA14" s="119">
        <f t="shared" si="18"/>
        <v>283855856.96000004</v>
      </c>
      <c r="BB14" s="119">
        <f t="shared" si="18"/>
        <v>284139421.80000001</v>
      </c>
      <c r="BC14" s="119">
        <f t="shared" si="18"/>
        <v>0</v>
      </c>
      <c r="BD14" s="119">
        <f t="shared" si="18"/>
        <v>1434150192.75</v>
      </c>
      <c r="BE14" s="119">
        <f t="shared" si="18"/>
        <v>288138526.55000001</v>
      </c>
      <c r="BF14" s="119">
        <f t="shared" si="18"/>
        <v>288995174.72000003</v>
      </c>
      <c r="BG14" s="119">
        <f t="shared" si="18"/>
        <v>288471423.12</v>
      </c>
      <c r="BH14" s="119">
        <f t="shared" si="18"/>
        <v>290701497.13999999</v>
      </c>
      <c r="BI14" s="119">
        <f t="shared" si="18"/>
        <v>290701498</v>
      </c>
      <c r="BJ14" s="119">
        <f>BJ15+BJ16+BJ17+BJ18+BJ19+BJ20+BJ21</f>
        <v>293816116.90999997</v>
      </c>
      <c r="BK14" s="119">
        <f>BK15+BK16+BK17+BK18+BK19+BK20+BK21</f>
        <v>289933542.38999999</v>
      </c>
      <c r="BL14" s="119">
        <f>BL15+BL16+BL17+BL18+BL19+BL20+BL21</f>
        <v>290888327.21000004</v>
      </c>
      <c r="BM14" s="119">
        <f t="shared" ref="BM14:BU14" si="19">BM15+BM16+BM17+BM18+BM19+BM20+BM21</f>
        <v>309251232.35000002</v>
      </c>
      <c r="BN14" s="119">
        <f t="shared" si="19"/>
        <v>309136614.09000003</v>
      </c>
      <c r="BO14" s="119">
        <f t="shared" si="19"/>
        <v>311938097.51999998</v>
      </c>
      <c r="BP14" s="119">
        <f t="shared" si="19"/>
        <v>307638193.10000002</v>
      </c>
      <c r="BQ14" s="119">
        <f t="shared" si="19"/>
        <v>316597883.11000001</v>
      </c>
      <c r="BR14" s="119">
        <f t="shared" si="19"/>
        <v>320647825.88</v>
      </c>
      <c r="BS14" s="119">
        <f t="shared" si="19"/>
        <v>326704081.29000002</v>
      </c>
      <c r="BT14" s="119">
        <f t="shared" si="19"/>
        <v>329796378.06</v>
      </c>
      <c r="BU14" s="119">
        <f t="shared" si="19"/>
        <v>320242682.83999997</v>
      </c>
      <c r="BV14" s="119">
        <f>BV15+BV16+BV17+BV18+BV19+BV20+BV21</f>
        <v>311515268</v>
      </c>
      <c r="BW14" s="119">
        <f t="shared" ref="BW14:CH14" si="20">BW15+BW16+BW17+BW18+BW19+BW20+BW21</f>
        <v>312486296.65999997</v>
      </c>
      <c r="BX14" s="119">
        <f t="shared" si="20"/>
        <v>314094608.74000001</v>
      </c>
      <c r="BY14" s="119">
        <f t="shared" si="20"/>
        <v>314388621.53999996</v>
      </c>
      <c r="BZ14" s="119">
        <f t="shared" si="20"/>
        <v>315635622.86000001</v>
      </c>
      <c r="CA14" s="119">
        <f t="shared" si="20"/>
        <v>315808020.85000002</v>
      </c>
      <c r="CB14" s="119">
        <f t="shared" si="20"/>
        <v>334265366.05000001</v>
      </c>
      <c r="CC14" s="119">
        <f t="shared" si="20"/>
        <v>332876300.17000002</v>
      </c>
      <c r="CD14" s="119">
        <f t="shared" si="20"/>
        <v>334108023.44</v>
      </c>
      <c r="CE14" s="119">
        <f t="shared" si="20"/>
        <v>339181262.62</v>
      </c>
      <c r="CF14" s="119">
        <f t="shared" si="20"/>
        <v>342204185.44</v>
      </c>
      <c r="CG14" s="119">
        <f t="shared" si="20"/>
        <v>341996190.68000001</v>
      </c>
      <c r="CH14" s="119">
        <f t="shared" si="20"/>
        <v>318700946.93000001</v>
      </c>
      <c r="CI14" s="119">
        <f t="shared" ref="CI14:CL14" si="21">CI15+CI16+CI17+CI18+CI19+CI20+CI21</f>
        <v>319771977.09000003</v>
      </c>
      <c r="CJ14" s="119">
        <f t="shared" si="21"/>
        <v>322152891.13999999</v>
      </c>
      <c r="CK14" s="119">
        <f t="shared" si="21"/>
        <v>333255731.44000006</v>
      </c>
      <c r="CL14" s="119">
        <f t="shared" si="21"/>
        <v>325756187.22999996</v>
      </c>
      <c r="CM14" s="119">
        <f t="shared" ref="CM14:CN14" si="22">CM15+CM16+CM17+CM18+CM19+CM20+CM21</f>
        <v>322613336.18000001</v>
      </c>
      <c r="CN14" s="119">
        <f t="shared" si="22"/>
        <v>319979244.62</v>
      </c>
      <c r="CO14" s="119">
        <f t="shared" ref="CO14:CP14" si="23">CO15+CO16+CO17+CO18+CO19+CO20+CO21</f>
        <v>333036980.14999998</v>
      </c>
      <c r="CP14" s="119">
        <f t="shared" si="23"/>
        <v>325850011.95999998</v>
      </c>
      <c r="CQ14" s="119">
        <f t="shared" ref="CQ14:CR14" si="24">CQ15+CQ16+CQ17+CQ18+CQ19+CQ20+CQ21</f>
        <v>326591038.69</v>
      </c>
      <c r="CR14" s="119">
        <f t="shared" si="24"/>
        <v>328514640.75999999</v>
      </c>
    </row>
    <row r="15" spans="1:96">
      <c r="A15" s="37" t="s">
        <v>176</v>
      </c>
      <c r="B15" s="38" t="s">
        <v>177</v>
      </c>
      <c r="C15" s="51">
        <f>'Evolutive SFP'!B39</f>
        <v>5058510</v>
      </c>
      <c r="D15" s="51">
        <f>'Evolutive SFP'!C39</f>
        <v>41027979</v>
      </c>
      <c r="E15" s="51">
        <f>'Evolutive SFP'!D39</f>
        <v>41319195</v>
      </c>
      <c r="F15" s="51">
        <f>'Evolutive SFP'!E39</f>
        <v>44676736.519999996</v>
      </c>
      <c r="G15" s="51">
        <f>'Evolutive SFP'!F39</f>
        <v>67258769</v>
      </c>
      <c r="H15" s="51">
        <f>'Evolutive SFP'!G39</f>
        <v>67556532</v>
      </c>
      <c r="I15" s="51">
        <f>'Evolutive SFP'!H39</f>
        <v>73461221</v>
      </c>
      <c r="J15" s="51">
        <f>'Evolutive SFP'!I39</f>
        <v>73503821.730000004</v>
      </c>
      <c r="K15" s="51">
        <f>'Evolutive SFP'!J39</f>
        <v>73685121.730000004</v>
      </c>
      <c r="L15" s="51">
        <f>'Evolutive SFP'!K39</f>
        <v>73880951.140000001</v>
      </c>
      <c r="M15" s="51">
        <f>'Evolutive SFP'!L39</f>
        <v>74103901.140000001</v>
      </c>
      <c r="N15" s="51">
        <f>'Evolutive SFP'!M39</f>
        <v>74324906.739999995</v>
      </c>
      <c r="O15" s="51">
        <f>'Evolutive SFP'!N39</f>
        <v>74536156.739999995</v>
      </c>
      <c r="P15" s="51">
        <f>'Evolutive SFP'!O39</f>
        <v>74697356.739999995</v>
      </c>
      <c r="Q15" s="51">
        <f>'Evolutive SFP'!P39</f>
        <v>74738056.739999995</v>
      </c>
      <c r="R15" s="51">
        <f>'Evolutive SFP'!Q39</f>
        <v>74882756.739999995</v>
      </c>
      <c r="S15" s="51">
        <f>'Evolutive SFP'!R39</f>
        <v>74901756.739999995</v>
      </c>
      <c r="T15" s="51">
        <f>'Evolutive SFP'!S39</f>
        <v>75043106.739999995</v>
      </c>
      <c r="U15" s="51">
        <f>'Evolutive SFP'!T39</f>
        <v>75112906.739999995</v>
      </c>
      <c r="V15" s="51">
        <f>'Evolutive SFP'!U39</f>
        <v>75112907</v>
      </c>
      <c r="W15" s="51">
        <f>'Evolutive SFP'!V39</f>
        <v>75199406.739999995</v>
      </c>
      <c r="X15" s="51">
        <f>'Evolutive SFP'!W39</f>
        <v>75263206.739999995</v>
      </c>
      <c r="Y15" s="51">
        <f>'Evolutive SFP'!X39</f>
        <v>75291929.989999995</v>
      </c>
      <c r="Z15" s="147">
        <f>'Evolutive SFP'!Y39</f>
        <v>75479349.989999995</v>
      </c>
      <c r="AA15" s="147">
        <f>'Evolutive SFP'!Z39</f>
        <v>75537149.989999995</v>
      </c>
      <c r="AB15" s="147">
        <f>'Evolutive SFP'!AA39</f>
        <v>75550949.989999995</v>
      </c>
      <c r="AC15" s="147">
        <f>'Evolutive SFP'!AB39</f>
        <v>75613869.989999995</v>
      </c>
      <c r="AD15" s="147">
        <f>'Evolutive SFP'!AC39</f>
        <v>75709870.239999995</v>
      </c>
      <c r="AE15" s="147">
        <f>'Evolutive SFP'!AD39</f>
        <v>75727049.989999995</v>
      </c>
      <c r="AF15" s="147">
        <f>'Evolutive SFP'!AE39</f>
        <v>76050949.989999995</v>
      </c>
      <c r="AG15" s="147">
        <f>'Evolutive SFP'!AF39</f>
        <v>76225449.989999995</v>
      </c>
      <c r="AH15" s="147">
        <f>'Evolutive SFP'!AG39</f>
        <v>76348049.989999995</v>
      </c>
      <c r="AI15" s="147">
        <f>'Evolutive SFP'!AH39</f>
        <v>76348049.99000001</v>
      </c>
      <c r="AJ15" s="147">
        <f>'Evolutive SFP'!AI39</f>
        <v>76556814.989999995</v>
      </c>
      <c r="AK15" s="147">
        <f>'Evolutive SFP'!AJ39</f>
        <v>76756314.989999995</v>
      </c>
      <c r="AL15" s="147">
        <f>'Evolutive SFP'!AK39</f>
        <v>78671844.769999996</v>
      </c>
      <c r="AM15" s="147">
        <f>'Evolutive SFP'!AL39</f>
        <v>78779389.439999998</v>
      </c>
      <c r="AN15" s="147">
        <f>'Evolutive SFP'!AM39</f>
        <v>79033795.799999997</v>
      </c>
      <c r="AO15" s="147">
        <f>'Evolutive SFP'!AN39</f>
        <v>79083295.799999997</v>
      </c>
      <c r="AP15" s="147">
        <f>'Evolutive SFP'!AO39</f>
        <v>79167295.799999997</v>
      </c>
      <c r="AQ15" s="147">
        <f>'Evolutive SFP'!AP39</f>
        <v>79255401.670000002</v>
      </c>
      <c r="AR15" s="147">
        <f>'Evolutive SFP'!AQ39</f>
        <v>79406107.540000007</v>
      </c>
      <c r="AS15" s="147">
        <f>'Evolutive SFP'!AR39</f>
        <v>79623746.040000007</v>
      </c>
      <c r="AT15" s="147">
        <f>'Evolutive SFP'!AS39</f>
        <v>79681766.629999995</v>
      </c>
      <c r="AU15" s="147">
        <f>'Evolutive SFP'!AT39</f>
        <v>80370014.430000007</v>
      </c>
      <c r="AV15" s="147">
        <f>'Evolutive SFP'!AU39</f>
        <v>80370014.430000007</v>
      </c>
      <c r="AW15" s="147">
        <f>'Evolutive SFP'!AV39</f>
        <v>81185589.290000007</v>
      </c>
      <c r="AX15" s="147">
        <f>'Evolutive SFP'!AW39</f>
        <v>81282835.540000007</v>
      </c>
      <c r="AY15" s="147">
        <f>'Evolutive SFP'!AW39</f>
        <v>81282835.540000007</v>
      </c>
      <c r="AZ15" s="147">
        <f>'Evolutive SFP'!AX39</f>
        <v>81366779.519999996</v>
      </c>
      <c r="BA15" s="147">
        <f>'Evolutive SFP'!AY39</f>
        <v>82735267.620000005</v>
      </c>
      <c r="BB15" s="147">
        <f>'Evolutive SFP'!AZ39</f>
        <v>83348480.870000005</v>
      </c>
      <c r="BC15" s="147">
        <f>'Evolutive SFP'!BA39</f>
        <v>0</v>
      </c>
      <c r="BD15" s="147">
        <f>'Evolutive SFP'!BB39</f>
        <v>420356850</v>
      </c>
      <c r="BE15" s="147">
        <f>'Evolutive SFP'!BC39</f>
        <v>84224873.120000005</v>
      </c>
      <c r="BF15" s="147">
        <f>'Evolutive SFP'!BD39</f>
        <v>84471578.120000005</v>
      </c>
      <c r="BG15" s="147">
        <f>'Evolutive SFP'!BE39</f>
        <v>84643828.120000005</v>
      </c>
      <c r="BH15" s="147">
        <f>'Evolutive SFP'!BF39</f>
        <v>84738607.120000005</v>
      </c>
      <c r="BI15" s="147">
        <f>'Evolutive SFP'!BG39</f>
        <v>84738608</v>
      </c>
      <c r="BJ15" s="147">
        <f>'Evolutive SFP'!BH39</f>
        <v>84761007.120000005</v>
      </c>
      <c r="BK15" s="147">
        <f>'Evolutive SFP'!BI39</f>
        <v>84996324.120000005</v>
      </c>
      <c r="BL15" s="147">
        <f>'Evolutive SFP'!BJ39</f>
        <v>85232929.879999995</v>
      </c>
      <c r="BM15" s="147">
        <f>'Evolutive SFP'!BK39</f>
        <v>85548339.879999995</v>
      </c>
      <c r="BN15" s="147">
        <f>'Evolutive SFP'!BL39</f>
        <v>85923419.879999995</v>
      </c>
      <c r="BO15" s="147">
        <f>'Evolutive SFP'!BM39</f>
        <v>86199469.879999995</v>
      </c>
      <c r="BP15" s="147">
        <f>'Evolutive SFP'!BN39</f>
        <v>86369569.879999995</v>
      </c>
      <c r="BQ15" s="147">
        <f>'Evolutive SFP'!BO39</f>
        <v>86700569.879999995</v>
      </c>
      <c r="BR15" s="147">
        <f>'Evolutive SFP'!BP39</f>
        <v>86951558.379999995</v>
      </c>
      <c r="BS15" s="147">
        <f>'Evolutive SFP'!BQ39</f>
        <v>87164925.430000007</v>
      </c>
      <c r="BT15" s="147">
        <f>'Evolutive SFP'!BR39</f>
        <v>87701751.299999997</v>
      </c>
      <c r="BU15" s="147">
        <f>'Evolutive SFP'!BS39</f>
        <v>87852651.299999997</v>
      </c>
      <c r="BV15" s="147">
        <f>'Evolutive SFP'!BT39</f>
        <v>87852651</v>
      </c>
      <c r="BW15" s="147">
        <f>'Evolutive SFP'!BU39</f>
        <v>88822454.799999997</v>
      </c>
      <c r="BX15" s="147">
        <f>'Evolutive SFP'!BV39</f>
        <v>88951166.799999997</v>
      </c>
      <c r="BY15" s="147">
        <f>'Evolutive SFP'!BW39</f>
        <v>89094868.799999997</v>
      </c>
      <c r="BZ15" s="147">
        <f>'Evolutive SFP'!BX39</f>
        <v>89371616.799999997</v>
      </c>
      <c r="CA15" s="147">
        <f>'Evolutive SFP'!BY39</f>
        <v>89534757.349999994</v>
      </c>
      <c r="CB15" s="147">
        <f>'Evolutive SFP'!BZ39</f>
        <v>89881934.099999994</v>
      </c>
      <c r="CC15" s="147">
        <f>'Evolutive SFP'!CA39</f>
        <v>89947434.099999994</v>
      </c>
      <c r="CD15" s="147">
        <f>'Evolutive SFP'!CB39</f>
        <v>90048555.359999999</v>
      </c>
      <c r="CE15" s="147">
        <f>'Evolutive SFP'!CC39</f>
        <v>90251549.480000004</v>
      </c>
      <c r="CF15" s="147">
        <f>'Evolutive SFP'!CD39</f>
        <v>91231117.090000004</v>
      </c>
      <c r="CG15" s="147">
        <f>'Evolutive SFP'!CE39</f>
        <v>91406814.090000004</v>
      </c>
      <c r="CH15" s="147">
        <f>'Evolutive SFP'!CF39</f>
        <v>91740614.090000004</v>
      </c>
      <c r="CI15" s="147">
        <f>'Evolutive SFP'!CG39</f>
        <v>91740614.090000004</v>
      </c>
      <c r="CJ15" s="147">
        <f>'Evolutive SFP'!CH39</f>
        <v>91886264.090000004</v>
      </c>
      <c r="CK15" s="147">
        <f>'Evolutive SFP'!CI39</f>
        <v>92080154.090000004</v>
      </c>
      <c r="CL15" s="147">
        <f>'Evolutive SFP'!CJ39</f>
        <v>92661204.140000001</v>
      </c>
      <c r="CM15" s="147">
        <f>'Evolutive SFP'!CK39</f>
        <v>92868404.140000001</v>
      </c>
      <c r="CN15" s="147">
        <f>'Evolutive SFP'!CL39</f>
        <v>93156629.890000001</v>
      </c>
      <c r="CO15" s="147">
        <f>'Evolutive SFP'!CM39</f>
        <v>93331729.890000001</v>
      </c>
      <c r="CP15" s="147">
        <f>'Evolutive SFP'!CN39</f>
        <v>93680929.890000001</v>
      </c>
      <c r="CQ15" s="147">
        <f>'Evolutive SFP'!CO39</f>
        <v>94227145.989999995</v>
      </c>
      <c r="CR15" s="147">
        <f>'Evolutive SFP'!CP39</f>
        <v>94719938.629999995</v>
      </c>
    </row>
    <row r="16" spans="1:96">
      <c r="A16" s="37" t="s">
        <v>178</v>
      </c>
      <c r="B16" s="39" t="s">
        <v>179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47"/>
      <c r="AA16" s="147"/>
    </row>
    <row r="17" spans="1:96">
      <c r="A17" s="37" t="s">
        <v>180</v>
      </c>
      <c r="B17" s="36" t="s">
        <v>181</v>
      </c>
      <c r="C17" s="51">
        <f>'Evolutive SFP'!B41</f>
        <v>11835925</v>
      </c>
      <c r="D17" s="51">
        <f>'Evolutive SFP'!C41</f>
        <v>22842014</v>
      </c>
      <c r="E17" s="51">
        <f>'Evolutive SFP'!D41</f>
        <v>28642685</v>
      </c>
      <c r="F17" s="51">
        <f>'Evolutive SFP'!E41</f>
        <v>28642685</v>
      </c>
      <c r="G17" s="51">
        <f>'Evolutive SFP'!F41</f>
        <v>41987254</v>
      </c>
      <c r="H17" s="51">
        <f>'Evolutive SFP'!G41</f>
        <v>66804781</v>
      </c>
      <c r="I17" s="51">
        <f>'Evolutive SFP'!H41</f>
        <v>85290511</v>
      </c>
      <c r="J17" s="51">
        <f>'Evolutive SFP'!I41</f>
        <v>105228157.15000001</v>
      </c>
      <c r="K17" s="51">
        <f>'Evolutive SFP'!J41</f>
        <v>92673149.780000001</v>
      </c>
      <c r="L17" s="51">
        <f>'Evolutive SFP'!K41</f>
        <v>87459634.780000001</v>
      </c>
      <c r="M17" s="51">
        <f>'Evolutive SFP'!L41</f>
        <v>87459634.780000001</v>
      </c>
      <c r="N17" s="51">
        <f>'Evolutive SFP'!M41</f>
        <v>87459634.780000001</v>
      </c>
      <c r="O17" s="51">
        <f>'Evolutive SFP'!N41</f>
        <v>87459996.680000007</v>
      </c>
      <c r="P17" s="51">
        <f>'Evolutive SFP'!O41</f>
        <v>87459996.680000007</v>
      </c>
      <c r="Q17" s="51">
        <f>'Evolutive SFP'!P41</f>
        <v>87459996.780000001</v>
      </c>
      <c r="R17" s="51">
        <f>'Evolutive SFP'!Q41</f>
        <v>87459996.780000001</v>
      </c>
      <c r="S17" s="51">
        <f>'Evolutive SFP'!R41</f>
        <v>87459996.780000001</v>
      </c>
      <c r="T17" s="51">
        <f>'Evolutive SFP'!S41</f>
        <v>87459996.780000001</v>
      </c>
      <c r="U17" s="51">
        <f>'Evolutive SFP'!T41</f>
        <v>87459996.780000001</v>
      </c>
      <c r="V17" s="51">
        <f>'Evolutive SFP'!U41</f>
        <v>87459996</v>
      </c>
      <c r="W17" s="51">
        <f>'Evolutive SFP'!V41</f>
        <v>98395372.939999998</v>
      </c>
      <c r="X17" s="51">
        <f>'Evolutive SFP'!W41</f>
        <v>98395372.939999998</v>
      </c>
      <c r="Y17" s="51">
        <f>'Evolutive SFP'!X41</f>
        <v>98395372.939999998</v>
      </c>
      <c r="Z17" s="147">
        <f>'Evolutive SFP'!Y41</f>
        <v>98395372.939999998</v>
      </c>
      <c r="AA17" s="147">
        <f>'Evolutive SFP'!Z41</f>
        <v>98395372.939999998</v>
      </c>
      <c r="AB17" s="147">
        <f>'Evolutive SFP'!AA41</f>
        <v>98395372.939999998</v>
      </c>
      <c r="AC17" s="147">
        <f>'Evolutive SFP'!AB41</f>
        <v>98395372.939999998</v>
      </c>
      <c r="AD17" s="147">
        <f>'Evolutive SFP'!AC41</f>
        <v>98395372.939999998</v>
      </c>
      <c r="AE17" s="147">
        <f>'Evolutive SFP'!AD41</f>
        <v>98395372.939999998</v>
      </c>
      <c r="AF17" s="147">
        <f>'Evolutive SFP'!AE41</f>
        <v>98395372.939999998</v>
      </c>
      <c r="AG17" s="147">
        <f>'Evolutive SFP'!AF41</f>
        <v>98395372.939999998</v>
      </c>
      <c r="AH17" s="147">
        <f>'Evolutive SFP'!AG41</f>
        <v>99109746.939999998</v>
      </c>
      <c r="AI17" s="147">
        <f>'Evolutive SFP'!AH41</f>
        <v>99117196.76000002</v>
      </c>
      <c r="AJ17" s="147">
        <f>'Evolutive SFP'!AI41</f>
        <v>126743226.76000001</v>
      </c>
      <c r="AK17" s="147">
        <f>'Evolutive SFP'!AJ41</f>
        <v>126743226.76000001</v>
      </c>
      <c r="AL17" s="147">
        <f>'Evolutive SFP'!AK41</f>
        <v>126743226.76000001</v>
      </c>
      <c r="AM17" s="147">
        <f>'Evolutive SFP'!AL41</f>
        <v>126640401.72</v>
      </c>
      <c r="AN17" s="147">
        <f>'Evolutive SFP'!AM41</f>
        <v>131853916.76000001</v>
      </c>
      <c r="AO17" s="147">
        <f>'Evolutive SFP'!AN41</f>
        <v>131853916.76000001</v>
      </c>
      <c r="AP17" s="147">
        <f>'Evolutive SFP'!AO41</f>
        <v>131853916.76000001</v>
      </c>
      <c r="AQ17" s="147">
        <f>'Evolutive SFP'!AP41</f>
        <v>131853916.76000001</v>
      </c>
      <c r="AR17" s="147">
        <f>'Evolutive SFP'!AQ41</f>
        <v>131853916.76000001</v>
      </c>
      <c r="AS17" s="147">
        <f>'Evolutive SFP'!AR41</f>
        <v>131853916.76000001</v>
      </c>
      <c r="AT17" s="147">
        <f>'Evolutive SFP'!AS41</f>
        <v>131853916.76000001</v>
      </c>
      <c r="AU17" s="147">
        <f>'Evolutive SFP'!AT41</f>
        <v>126640401.76000001</v>
      </c>
      <c r="AV17" s="147">
        <f>'Evolutive SFP'!AU41</f>
        <v>126743227.01000001</v>
      </c>
      <c r="AW17" s="147">
        <f>'Evolutive SFP'!AV41</f>
        <v>145388912.91</v>
      </c>
      <c r="AX17" s="147">
        <f>'Evolutive SFP'!AW41</f>
        <v>145388912.91</v>
      </c>
      <c r="AY17" s="147">
        <f>'Evolutive SFP'!AW41</f>
        <v>145388912.91</v>
      </c>
      <c r="AZ17" s="147">
        <f>'Evolutive SFP'!AX41</f>
        <v>145388912.91</v>
      </c>
      <c r="BA17" s="147">
        <f>'Evolutive SFP'!AY41</f>
        <v>145388912.91</v>
      </c>
      <c r="BB17" s="147">
        <f>'Evolutive SFP'!AZ41</f>
        <v>145388912.91</v>
      </c>
      <c r="BC17" s="147">
        <f>'Evolutive SFP'!BA41</f>
        <v>0</v>
      </c>
      <c r="BD17" s="147">
        <f>'Evolutive SFP'!BB41</f>
        <v>726944564.54999995</v>
      </c>
      <c r="BE17" s="147">
        <f>'Evolutive SFP'!BC41</f>
        <v>145388912.91</v>
      </c>
      <c r="BF17" s="147">
        <f>'Evolutive SFP'!BD41</f>
        <v>145388912.91</v>
      </c>
      <c r="BG17" s="147">
        <f>'Evolutive SFP'!BE41</f>
        <v>145388912.91</v>
      </c>
      <c r="BH17" s="147">
        <f>'Evolutive SFP'!BF41</f>
        <v>145388912.91</v>
      </c>
      <c r="BI17" s="147">
        <f>'Evolutive SFP'!BG41</f>
        <v>145388913</v>
      </c>
      <c r="BJ17" s="147">
        <f>'Evolutive SFP'!BH41</f>
        <v>162744966.84</v>
      </c>
      <c r="BK17" s="147">
        <f>'Evolutive SFP'!BI41</f>
        <v>162744966.84</v>
      </c>
      <c r="BL17" s="147">
        <f>'Evolutive SFP'!BJ41</f>
        <v>162744966.84</v>
      </c>
      <c r="BM17" s="147">
        <f>'Evolutive SFP'!BK41</f>
        <v>162744966.84</v>
      </c>
      <c r="BN17" s="147">
        <f>'Evolutive SFP'!BL41</f>
        <v>162744966.84</v>
      </c>
      <c r="BO17" s="147">
        <f>'Evolutive SFP'!BM41</f>
        <v>162744966.84</v>
      </c>
      <c r="BP17" s="147">
        <f>'Evolutive SFP'!BN41</f>
        <v>162744966.84</v>
      </c>
      <c r="BQ17" s="147">
        <f>'Evolutive SFP'!BO41</f>
        <v>162744966.84</v>
      </c>
      <c r="BR17" s="147">
        <f>'Evolutive SFP'!BP41</f>
        <v>162744966.84</v>
      </c>
      <c r="BS17" s="147">
        <f>'Evolutive SFP'!BQ41</f>
        <v>162744966.84</v>
      </c>
      <c r="BT17" s="147">
        <f>'Evolutive SFP'!BR41</f>
        <v>162744966.84</v>
      </c>
      <c r="BU17" s="147">
        <f>'Evolutive SFP'!BS41</f>
        <v>162744966.83000001</v>
      </c>
      <c r="BV17" s="147">
        <f>'Evolutive SFP'!BT41</f>
        <v>162744967</v>
      </c>
      <c r="BW17" s="147">
        <f>'Evolutive SFP'!BU41</f>
        <v>176904748.84</v>
      </c>
      <c r="BX17" s="147">
        <f>'Evolutive SFP'!BV41</f>
        <v>176904748.84</v>
      </c>
      <c r="BY17" s="147">
        <f>'Evolutive SFP'!BW41</f>
        <v>176904748.84</v>
      </c>
      <c r="BZ17" s="147">
        <f>'Evolutive SFP'!BX41</f>
        <v>176904748.84</v>
      </c>
      <c r="CA17" s="147">
        <f>'Evolutive SFP'!BY41</f>
        <v>176904748.84</v>
      </c>
      <c r="CB17" s="147">
        <f>'Evolutive SFP'!BZ41</f>
        <v>176904748.84</v>
      </c>
      <c r="CC17" s="147">
        <f>'Evolutive SFP'!CA41</f>
        <v>176904748.84</v>
      </c>
      <c r="CD17" s="147">
        <f>'Evolutive SFP'!CB41</f>
        <v>176904748.84</v>
      </c>
      <c r="CE17" s="147">
        <f>'Evolutive SFP'!CC41</f>
        <v>176904748.84</v>
      </c>
      <c r="CF17" s="147">
        <f>'Evolutive SFP'!CD41</f>
        <v>176904748.84</v>
      </c>
      <c r="CG17" s="147">
        <f>'Evolutive SFP'!CE41</f>
        <v>176971948.84</v>
      </c>
      <c r="CH17" s="147">
        <f>'Evolutive SFP'!CF41</f>
        <v>177039148.84</v>
      </c>
      <c r="CI17" s="147">
        <f>'Evolutive SFP'!CG41</f>
        <v>176904749</v>
      </c>
      <c r="CJ17" s="147">
        <f>'Evolutive SFP'!CH41</f>
        <v>177106348.84</v>
      </c>
      <c r="CK17" s="147">
        <f>'Evolutive SFP'!CI41</f>
        <v>178556893.38</v>
      </c>
      <c r="CL17" s="147">
        <f>'Evolutive SFP'!CJ41</f>
        <v>178591893.38</v>
      </c>
      <c r="CM17" s="147">
        <f>'Evolutive SFP'!CK41</f>
        <v>178591893.38</v>
      </c>
      <c r="CN17" s="147">
        <f>'Evolutive SFP'!CL41</f>
        <v>178726293.38</v>
      </c>
      <c r="CO17" s="147">
        <f>'Evolutive SFP'!CM41</f>
        <v>178726293.38</v>
      </c>
      <c r="CP17" s="147">
        <f>'Evolutive SFP'!CN41</f>
        <v>178726293.38</v>
      </c>
      <c r="CQ17" s="147">
        <f>'Evolutive SFP'!CO41</f>
        <v>178773293.38</v>
      </c>
      <c r="CR17" s="147">
        <f>'Evolutive SFP'!CP41</f>
        <v>178830493.38</v>
      </c>
    </row>
    <row r="18" spans="1:96">
      <c r="A18" s="37" t="s">
        <v>182</v>
      </c>
      <c r="B18" s="36" t="s">
        <v>183</v>
      </c>
      <c r="C18" s="51">
        <f>'Evolutive SFP'!B42</f>
        <v>0</v>
      </c>
      <c r="D18" s="51">
        <f>'Evolutive SFP'!C42</f>
        <v>0</v>
      </c>
      <c r="E18" s="51">
        <f>'Evolutive SFP'!D42</f>
        <v>0</v>
      </c>
      <c r="F18" s="51">
        <f>'Evolutive SFP'!E42</f>
        <v>13344568.290400006</v>
      </c>
      <c r="G18" s="51">
        <f>'Evolutive SFP'!F42</f>
        <v>19604846</v>
      </c>
      <c r="H18" s="51">
        <f>'Evolutive SFP'!G42</f>
        <v>18304471</v>
      </c>
      <c r="I18" s="51">
        <f>'Evolutive SFP'!H42</f>
        <v>7382638</v>
      </c>
      <c r="J18" s="51">
        <f>'Evolutive SFP'!I42</f>
        <v>-2547032.5</v>
      </c>
      <c r="K18" s="51">
        <f>'Evolutive SFP'!J42</f>
        <v>5184516.21</v>
      </c>
      <c r="L18" s="51">
        <f>'Evolutive SFP'!K42</f>
        <v>8499121.4199999999</v>
      </c>
      <c r="M18" s="51">
        <f>'Evolutive SFP'!L42</f>
        <v>8401507.6799999997</v>
      </c>
      <c r="N18" s="51">
        <f>'Evolutive SFP'!M42</f>
        <v>10638452.84</v>
      </c>
      <c r="O18" s="51">
        <f>'Evolutive SFP'!N42</f>
        <v>21324690.34</v>
      </c>
      <c r="P18" s="51">
        <f>'Evolutive SFP'!O42</f>
        <v>18334762.710000001</v>
      </c>
      <c r="Q18" s="51">
        <f>'Evolutive SFP'!P42</f>
        <v>27498157.789999999</v>
      </c>
      <c r="R18" s="51">
        <f>'Evolutive SFP'!Q42</f>
        <v>37462432.409999996</v>
      </c>
      <c r="S18" s="51">
        <f>'Evolutive SFP'!R42</f>
        <v>40863810.68</v>
      </c>
      <c r="T18" s="51">
        <f>'Evolutive SFP'!S42</f>
        <v>47300355.539999999</v>
      </c>
      <c r="U18" s="51">
        <f>'Evolutive SFP'!T42</f>
        <v>18380415.379999999</v>
      </c>
      <c r="V18" s="51">
        <f>'Evolutive SFP'!U42</f>
        <v>11657199</v>
      </c>
      <c r="W18" s="51">
        <f>'Evolutive SFP'!V42</f>
        <v>439270.18</v>
      </c>
      <c r="X18" s="51">
        <f>'Evolutive SFP'!W42</f>
        <v>4336331.1500000004</v>
      </c>
      <c r="Y18" s="51">
        <f>'Evolutive SFP'!X42</f>
        <v>5822529.8099999996</v>
      </c>
      <c r="Z18" s="147">
        <f>'Evolutive SFP'!Y42</f>
        <v>6193148.9500000002</v>
      </c>
      <c r="AA18" s="147">
        <f>'Evolutive SFP'!Z42</f>
        <v>10721731.09</v>
      </c>
      <c r="AB18" s="147">
        <f>'Evolutive SFP'!AA42</f>
        <v>25094260.219999999</v>
      </c>
      <c r="AC18" s="147">
        <f>'Evolutive SFP'!AB42</f>
        <v>27591487.399999999</v>
      </c>
      <c r="AD18" s="147">
        <f>'Evolutive SFP'!AC42</f>
        <v>32438938.600000001</v>
      </c>
      <c r="AE18" s="147">
        <f>'Evolutive SFP'!AD42</f>
        <v>35982398.340000004</v>
      </c>
      <c r="AF18" s="147">
        <f>'Evolutive SFP'!AE42</f>
        <v>42361871.920000002</v>
      </c>
      <c r="AG18" s="147">
        <f>'Evolutive SFP'!AF42</f>
        <v>49373027.119999997</v>
      </c>
      <c r="AH18" s="147">
        <f>'Evolutive SFP'!AG42</f>
        <v>34568895.75</v>
      </c>
      <c r="AI18" s="147">
        <f>'Evolutive SFP'!AH42</f>
        <v>27626032</v>
      </c>
      <c r="AJ18" s="147">
        <f>'Evolutive SFP'!AI42</f>
        <v>4215190.1900000004</v>
      </c>
      <c r="AK18" s="147">
        <f>'Evolutive SFP'!AJ42</f>
        <v>7446296.1900000004</v>
      </c>
      <c r="AL18" s="147">
        <f>'Evolutive SFP'!AK42</f>
        <v>8442656.8599999994</v>
      </c>
      <c r="AM18" s="147">
        <f>'Evolutive SFP'!AL42</f>
        <v>7987493.29</v>
      </c>
      <c r="AN18" s="147">
        <f>'Evolutive SFP'!AM42</f>
        <v>13137786.939999999</v>
      </c>
      <c r="AO18" s="147">
        <f>'Evolutive SFP'!AN42</f>
        <v>27479635.280000001</v>
      </c>
      <c r="AP18" s="147">
        <f>'Evolutive SFP'!AO42</f>
        <v>31263360.899999999</v>
      </c>
      <c r="AQ18" s="147">
        <f>'Evolutive SFP'!AP42</f>
        <v>30481936.760000002</v>
      </c>
      <c r="AR18" s="147">
        <f>'Evolutive SFP'!AQ42</f>
        <v>32247910.32</v>
      </c>
      <c r="AS18" s="147">
        <f>'Evolutive SFP'!AR42</f>
        <v>34528368.289999999</v>
      </c>
      <c r="AT18" s="147">
        <f>'Evolutive SFP'!AS42</f>
        <v>28795650.890000001</v>
      </c>
      <c r="AU18" s="147">
        <f>'Evolutive SFP'!AT42</f>
        <v>24360399.960000001</v>
      </c>
      <c r="AV18" s="147">
        <f>'Evolutive SFP'!AU42</f>
        <v>18645685.672000032</v>
      </c>
      <c r="AW18" s="147">
        <f>'Evolutive SFP'!AV42</f>
        <v>7048076.5</v>
      </c>
      <c r="AX18" s="147">
        <f>'Evolutive SFP'!AV42</f>
        <v>7048076.5</v>
      </c>
      <c r="AY18" s="147">
        <f>'Evolutive SFP'!AW42</f>
        <v>9615532.4000000004</v>
      </c>
      <c r="AZ18" s="147">
        <f>'Evolutive SFP'!AX42</f>
        <v>21852931.43</v>
      </c>
      <c r="BA18" s="147">
        <f>'Evolutive SFP'!AY42</f>
        <v>16852969.43</v>
      </c>
      <c r="BB18" s="147">
        <f>'Evolutive SFP'!AZ42</f>
        <v>16523321.02</v>
      </c>
      <c r="BC18" s="147">
        <f>'Evolutive SFP'!BA42</f>
        <v>0</v>
      </c>
      <c r="BD18" s="147">
        <f>'Evolutive SFP'!BB42</f>
        <v>92455243.200000003</v>
      </c>
      <c r="BE18" s="147">
        <f>'Evolutive SFP'!BC42</f>
        <v>19646033.52</v>
      </c>
      <c r="BF18" s="147">
        <f>'Evolutive SFP'!BD42</f>
        <v>20255976.690000001</v>
      </c>
      <c r="BG18" s="147">
        <f>'Evolutive SFP'!BE42</f>
        <v>19559975.09</v>
      </c>
      <c r="BH18" s="147">
        <f>'Evolutive SFP'!BF42</f>
        <v>21695270.109999999</v>
      </c>
      <c r="BI18" s="147">
        <f>'Evolutive SFP'!BG42</f>
        <v>17356216</v>
      </c>
      <c r="BJ18" s="147">
        <f>'Evolutive SFP'!BH42</f>
        <v>3092219.95</v>
      </c>
      <c r="BK18" s="147">
        <f>'Evolutive SFP'!BI42</f>
        <v>-1025671.57</v>
      </c>
      <c r="BL18" s="147">
        <f>'Evolutive SFP'!BJ42</f>
        <v>-307492.51</v>
      </c>
      <c r="BM18" s="147">
        <f>'Evolutive SFP'!BK42</f>
        <v>17740002.629999999</v>
      </c>
      <c r="BN18" s="147">
        <f>'Evolutive SFP'!BL42</f>
        <v>17250304.370000001</v>
      </c>
      <c r="BO18" s="147">
        <f>'Evolutive SFP'!BM42</f>
        <v>19775737.800000001</v>
      </c>
      <c r="BP18" s="147">
        <f>'Evolutive SFP'!BN42</f>
        <v>15305733.380000001</v>
      </c>
      <c r="BQ18" s="147">
        <f>'Evolutive SFP'!BO42</f>
        <v>23934423.390000001</v>
      </c>
      <c r="BR18" s="147">
        <f>'Evolutive SFP'!BP42</f>
        <v>27733377.66</v>
      </c>
      <c r="BS18" s="147">
        <f>'Evolutive SFP'!BQ42</f>
        <v>33576266.020000003</v>
      </c>
      <c r="BT18" s="147">
        <f>'Evolutive SFP'!BR42</f>
        <v>36131736.920000002</v>
      </c>
      <c r="BU18" s="147">
        <f>'Evolutive SFP'!BS42</f>
        <v>26427141.710000001</v>
      </c>
      <c r="BV18" s="147">
        <f>'Evolutive SFP'!BT42</f>
        <v>14159782</v>
      </c>
      <c r="BW18" s="147">
        <f>'Evolutive SFP'!BU42</f>
        <v>1225.02</v>
      </c>
      <c r="BX18" s="147">
        <f>'Evolutive SFP'!BV42</f>
        <v>1480825.1</v>
      </c>
      <c r="BY18" s="147">
        <f>'Evolutive SFP'!BW42</f>
        <v>1631135.9</v>
      </c>
      <c r="BZ18" s="147">
        <f>'Evolutive SFP'!BX42</f>
        <v>2601389.2200000002</v>
      </c>
      <c r="CA18" s="147">
        <f>'Evolutive SFP'!BY42</f>
        <v>2610646.66</v>
      </c>
      <c r="CB18" s="147">
        <f>'Evolutive SFP'!BZ42</f>
        <v>20720815.109999999</v>
      </c>
      <c r="CC18" s="147">
        <f>'Evolutive SFP'!CA42</f>
        <v>19266249.23</v>
      </c>
      <c r="CD18" s="147">
        <f>'Evolutive SFP'!CB42</f>
        <v>20396851.239999998</v>
      </c>
      <c r="CE18" s="147">
        <f>'Evolutive SFP'!CC42</f>
        <v>25267096.300000001</v>
      </c>
      <c r="CF18" s="147">
        <f>'Evolutive SFP'!CD42</f>
        <v>27310451.510000002</v>
      </c>
      <c r="CG18" s="147">
        <f>'Evolutive SFP'!CE42</f>
        <v>26859559.75</v>
      </c>
      <c r="CH18" s="147">
        <f>'Evolutive SFP'!CF42</f>
        <v>2530653</v>
      </c>
      <c r="CI18" s="147">
        <f>'Evolutive SFP'!CG42</f>
        <v>3494998</v>
      </c>
      <c r="CJ18" s="147">
        <f>'Evolutive SFP'!CH42</f>
        <v>6402410.21</v>
      </c>
      <c r="CK18" s="147">
        <f>'Evolutive SFP'!CI42</f>
        <v>12808216.970000001</v>
      </c>
      <c r="CL18" s="147">
        <f>'Evolutive SFP'!CJ42</f>
        <v>4692622.71</v>
      </c>
      <c r="CM18" s="147">
        <f>'Evolutive SFP'!CK42</f>
        <v>1342571.66</v>
      </c>
      <c r="CN18" s="147">
        <f>'Evolutive SFP'!CL42</f>
        <v>-1714145.65</v>
      </c>
      <c r="CO18" s="147">
        <f>'Evolutive SFP'!CM42</f>
        <v>11168489.880000001</v>
      </c>
      <c r="CP18" s="147">
        <f>'Evolutive SFP'!CN42</f>
        <v>3632321.69</v>
      </c>
      <c r="CQ18" s="147">
        <f>'Evolutive SFP'!CO42</f>
        <v>3780132.32</v>
      </c>
      <c r="CR18" s="147">
        <f>'Evolutive SFP'!CP42</f>
        <v>5153741.75</v>
      </c>
    </row>
    <row r="19" spans="1:96">
      <c r="A19" s="37" t="s">
        <v>184</v>
      </c>
      <c r="B19" s="36" t="s">
        <v>53</v>
      </c>
      <c r="C19" s="51">
        <f>'Evolutive SFP'!B43</f>
        <v>6638993</v>
      </c>
      <c r="D19" s="51">
        <f>'Evolutive SFP'!C43</f>
        <v>9477422</v>
      </c>
      <c r="E19" s="51">
        <f>'Evolutive SFP'!D43</f>
        <v>11070308</v>
      </c>
      <c r="F19" s="51">
        <f>'Evolutive SFP'!E43</f>
        <v>14182415.865100002</v>
      </c>
      <c r="G19" s="51">
        <f>'Evolutive SFP'!F43</f>
        <v>18007281</v>
      </c>
      <c r="H19" s="51">
        <f>'Evolutive SFP'!G43</f>
        <v>22583399</v>
      </c>
      <c r="I19" s="51">
        <f>'Evolutive SFP'!H43</f>
        <v>24368909</v>
      </c>
      <c r="J19" s="51">
        <f>'Evolutive SFP'!I43</f>
        <v>22523249</v>
      </c>
      <c r="K19" s="51">
        <f>'Evolutive SFP'!J43</f>
        <v>24368909</v>
      </c>
      <c r="L19" s="51">
        <f>'Evolutive SFP'!K43</f>
        <v>24368909</v>
      </c>
      <c r="M19" s="51">
        <f>'Evolutive SFP'!L43</f>
        <v>24368909</v>
      </c>
      <c r="N19" s="51">
        <f>'Evolutive SFP'!M43</f>
        <v>24368909</v>
      </c>
      <c r="O19" s="51">
        <f>'Evolutive SFP'!N43</f>
        <v>24368909</v>
      </c>
      <c r="P19" s="51">
        <f>'Evolutive SFP'!O43</f>
        <v>24368909</v>
      </c>
      <c r="Q19" s="51">
        <f>'Evolutive SFP'!P43</f>
        <v>24368909</v>
      </c>
      <c r="R19" s="51">
        <f>'Evolutive SFP'!Q43</f>
        <v>24368909</v>
      </c>
      <c r="S19" s="51">
        <f>'Evolutive SFP'!R43</f>
        <v>24368909</v>
      </c>
      <c r="T19" s="51">
        <f>'Evolutive SFP'!S43</f>
        <v>24368909</v>
      </c>
      <c r="U19" s="51">
        <f>'Evolutive SFP'!T43</f>
        <v>24368909</v>
      </c>
      <c r="V19" s="51">
        <f>'Evolutive SFP'!U43</f>
        <v>27283209</v>
      </c>
      <c r="W19" s="51">
        <f>'Evolutive SFP'!V43</f>
        <v>27997583</v>
      </c>
      <c r="X19" s="51">
        <f>'Evolutive SFP'!W43</f>
        <v>27997583</v>
      </c>
      <c r="Y19" s="51">
        <f>'Evolutive SFP'!X43</f>
        <v>27997583</v>
      </c>
      <c r="Z19" s="147">
        <f>'Evolutive SFP'!Y43</f>
        <v>27997583</v>
      </c>
      <c r="AA19" s="147">
        <f>'Evolutive SFP'!Z43</f>
        <v>27997583</v>
      </c>
      <c r="AB19" s="147">
        <f>'Evolutive SFP'!AA43</f>
        <v>27997583</v>
      </c>
      <c r="AC19" s="147">
        <f>'Evolutive SFP'!AB43</f>
        <v>27997583</v>
      </c>
      <c r="AD19" s="147">
        <f>'Evolutive SFP'!AC43</f>
        <v>27997583</v>
      </c>
      <c r="AE19" s="147">
        <f>'Evolutive SFP'!AD43</f>
        <v>27997583</v>
      </c>
      <c r="AF19" s="147">
        <f>'Evolutive SFP'!AE43</f>
        <v>27997583</v>
      </c>
      <c r="AG19" s="147">
        <f>'Evolutive SFP'!AF43</f>
        <v>27997583</v>
      </c>
      <c r="AH19" s="147">
        <f>'Evolutive SFP'!AG43</f>
        <v>27283209</v>
      </c>
      <c r="AI19" s="147">
        <f>'Evolutive SFP'!AH43</f>
        <v>34191578.751999997</v>
      </c>
      <c r="AJ19" s="147">
        <f>'Evolutive SFP'!AI43</f>
        <v>34191579</v>
      </c>
      <c r="AK19" s="147">
        <f>'Evolutive SFP'!AJ43</f>
        <v>34191579</v>
      </c>
      <c r="AL19" s="147">
        <f>'Evolutive SFP'!AK43</f>
        <v>34191579</v>
      </c>
      <c r="AM19" s="147">
        <f>'Evolutive SFP'!AL43</f>
        <v>34191579</v>
      </c>
      <c r="AN19" s="147">
        <f>'Evolutive SFP'!AM43</f>
        <v>34191579</v>
      </c>
      <c r="AO19" s="147">
        <f>'Evolutive SFP'!AN43</f>
        <v>34191579</v>
      </c>
      <c r="AP19" s="147">
        <f>'Evolutive SFP'!AO43</f>
        <v>34191579</v>
      </c>
      <c r="AQ19" s="147">
        <f>'Evolutive SFP'!AP43</f>
        <v>34191579</v>
      </c>
      <c r="AR19" s="147">
        <f>'Evolutive SFP'!AQ43</f>
        <v>34191579</v>
      </c>
      <c r="AS19" s="147">
        <f>'Evolutive SFP'!AR43</f>
        <v>34191579</v>
      </c>
      <c r="AT19" s="147">
        <f>'Evolutive SFP'!AS43</f>
        <v>34191579</v>
      </c>
      <c r="AU19" s="147">
        <f>'Evolutive SFP'!AT43</f>
        <v>34191579</v>
      </c>
      <c r="AV19" s="147">
        <f>'Evolutive SFP'!AU43</f>
        <v>38878706.730500005</v>
      </c>
      <c r="AW19" s="147">
        <f>'Evolutive SFP'!AV43</f>
        <v>38878707</v>
      </c>
      <c r="AX19" s="147">
        <f>'Evolutive SFP'!AV43</f>
        <v>38878707</v>
      </c>
      <c r="AY19" s="147">
        <f>'Evolutive SFP'!AW43</f>
        <v>38878707</v>
      </c>
      <c r="AZ19" s="147">
        <f>'Evolutive SFP'!AX43</f>
        <v>38878707</v>
      </c>
      <c r="BA19" s="147">
        <f>'Evolutive SFP'!AY43</f>
        <v>38878707</v>
      </c>
      <c r="BB19" s="147">
        <f>'Evolutive SFP'!AZ43</f>
        <v>38878707</v>
      </c>
      <c r="BC19" s="147">
        <f>'Evolutive SFP'!BA43</f>
        <v>0</v>
      </c>
      <c r="BD19" s="147">
        <f>'Evolutive SFP'!BB43</f>
        <v>194393535</v>
      </c>
      <c r="BE19" s="147">
        <f>'Evolutive SFP'!BC43</f>
        <v>38878707</v>
      </c>
      <c r="BF19" s="147">
        <f>'Evolutive SFP'!BD43</f>
        <v>38878707</v>
      </c>
      <c r="BG19" s="147">
        <f>'Evolutive SFP'!BE43</f>
        <v>38878707</v>
      </c>
      <c r="BH19" s="147">
        <f>'Evolutive SFP'!BF43</f>
        <v>38878707</v>
      </c>
      <c r="BI19" s="147">
        <f>'Evolutive SFP'!BG43</f>
        <v>43217761</v>
      </c>
      <c r="BJ19" s="147">
        <f>'Evolutive SFP'!BH43</f>
        <v>43217923</v>
      </c>
      <c r="BK19" s="147">
        <f>'Evolutive SFP'!BI43</f>
        <v>43217923</v>
      </c>
      <c r="BL19" s="147">
        <f>'Evolutive SFP'!BJ43</f>
        <v>43217923</v>
      </c>
      <c r="BM19" s="147">
        <f>'Evolutive SFP'!BK43</f>
        <v>43217923</v>
      </c>
      <c r="BN19" s="147">
        <f>'Evolutive SFP'!BL43</f>
        <v>43217923</v>
      </c>
      <c r="BO19" s="147">
        <f>'Evolutive SFP'!BM43</f>
        <v>43217923</v>
      </c>
      <c r="BP19" s="147">
        <f>'Evolutive SFP'!BN43</f>
        <v>43217923</v>
      </c>
      <c r="BQ19" s="147">
        <f>'Evolutive SFP'!BO43</f>
        <v>43217923</v>
      </c>
      <c r="BR19" s="147">
        <f>'Evolutive SFP'!BP43</f>
        <v>43217923</v>
      </c>
      <c r="BS19" s="147">
        <f>'Evolutive SFP'!BQ43</f>
        <v>43217923</v>
      </c>
      <c r="BT19" s="147">
        <f>'Evolutive SFP'!BR43</f>
        <v>43217923</v>
      </c>
      <c r="BU19" s="147">
        <f>'Evolutive SFP'!BS43</f>
        <v>43217923</v>
      </c>
      <c r="BV19" s="147">
        <f>'Evolutive SFP'!BT43</f>
        <v>46757868</v>
      </c>
      <c r="BW19" s="147">
        <f>'Evolutive SFP'!BU43</f>
        <v>46757868</v>
      </c>
      <c r="BX19" s="147">
        <f>'Evolutive SFP'!BV43</f>
        <v>46757868</v>
      </c>
      <c r="BY19" s="147">
        <f>'Evolutive SFP'!BW43</f>
        <v>46757868</v>
      </c>
      <c r="BZ19" s="147">
        <f>'Evolutive SFP'!BX43</f>
        <v>46757868</v>
      </c>
      <c r="CA19" s="147">
        <f>'Evolutive SFP'!BY43</f>
        <v>46757868</v>
      </c>
      <c r="CB19" s="147">
        <f>'Evolutive SFP'!BZ43</f>
        <v>46757868</v>
      </c>
      <c r="CC19" s="147">
        <f>'Evolutive SFP'!CA43</f>
        <v>46757868</v>
      </c>
      <c r="CD19" s="147">
        <f>'Evolutive SFP'!CB43</f>
        <v>46757868</v>
      </c>
      <c r="CE19" s="147">
        <f>'Evolutive SFP'!CC43</f>
        <v>46757868</v>
      </c>
      <c r="CF19" s="147">
        <f>'Evolutive SFP'!CD43</f>
        <v>46757868</v>
      </c>
      <c r="CG19" s="147">
        <f>'Evolutive SFP'!CE43</f>
        <v>46757868</v>
      </c>
      <c r="CH19" s="147">
        <f>'Evolutive SFP'!CF43</f>
        <v>47390531</v>
      </c>
      <c r="CI19" s="147">
        <f>'Evolutive SFP'!CG43</f>
        <v>47631616</v>
      </c>
      <c r="CJ19" s="147">
        <f>'Evolutive SFP'!CH43</f>
        <v>46757868</v>
      </c>
      <c r="CK19" s="147">
        <f>'Evolutive SFP'!CI43</f>
        <v>49810467</v>
      </c>
      <c r="CL19" s="147">
        <f>'Evolutive SFP'!CJ43</f>
        <v>49810467</v>
      </c>
      <c r="CM19" s="147">
        <f>'Evolutive SFP'!CK43</f>
        <v>49810467</v>
      </c>
      <c r="CN19" s="147">
        <f>'Evolutive SFP'!CL43</f>
        <v>49810467</v>
      </c>
      <c r="CO19" s="147">
        <f>'Evolutive SFP'!CM43</f>
        <v>49810467</v>
      </c>
      <c r="CP19" s="147">
        <f>'Evolutive SFP'!CN43</f>
        <v>49810467</v>
      </c>
      <c r="CQ19" s="147">
        <f>'Evolutive SFP'!CO43</f>
        <v>49810467</v>
      </c>
      <c r="CR19" s="147">
        <f>'Evolutive SFP'!CP43</f>
        <v>49810467</v>
      </c>
    </row>
    <row r="20" spans="1:96">
      <c r="A20" s="37" t="s">
        <v>185</v>
      </c>
      <c r="B20" s="36" t="s">
        <v>186</v>
      </c>
      <c r="C20" s="51">
        <f>('Evolutive SFP'!B44)</f>
        <v>27818777</v>
      </c>
      <c r="D20" s="51">
        <f>('Evolutive SFP'!C44)</f>
        <v>0</v>
      </c>
      <c r="E20" s="51">
        <f>('Evolutive SFP'!D44)</f>
        <v>0</v>
      </c>
      <c r="F20" s="51">
        <f>('Evolutive SFP'!E44)</f>
        <v>0</v>
      </c>
      <c r="G20" s="51">
        <f>('Evolutive SFP'!F44)</f>
        <v>0</v>
      </c>
      <c r="H20" s="51">
        <f>('Evolutive SFP'!G44)</f>
        <v>0</v>
      </c>
      <c r="I20" s="51">
        <f>('Evolutive SFP'!H44)</f>
        <v>0</v>
      </c>
      <c r="J20" s="51">
        <f>('Evolutive SFP'!I44)</f>
        <v>0</v>
      </c>
      <c r="K20" s="51">
        <f>('Evolutive SFP'!J44)</f>
        <v>0</v>
      </c>
      <c r="L20" s="51">
        <f>('Evolutive SFP'!K44)</f>
        <v>0</v>
      </c>
      <c r="M20" s="51">
        <f>('Evolutive SFP'!L44)</f>
        <v>0</v>
      </c>
      <c r="N20" s="51">
        <f>('Evolutive SFP'!M44)</f>
        <v>0</v>
      </c>
      <c r="O20" s="51">
        <f>('Evolutive SFP'!N44)</f>
        <v>0</v>
      </c>
      <c r="P20" s="51">
        <f>('Evolutive SFP'!O44)</f>
        <v>0</v>
      </c>
      <c r="Q20" s="51">
        <f>('Evolutive SFP'!P44)</f>
        <v>0</v>
      </c>
      <c r="R20" s="51">
        <f>('Evolutive SFP'!Q44)</f>
        <v>0</v>
      </c>
      <c r="S20" s="51">
        <f>('Evolutive SFP'!R44)</f>
        <v>0</v>
      </c>
      <c r="T20" s="51">
        <f>('Evolutive SFP'!S44)</f>
        <v>0</v>
      </c>
      <c r="U20" s="51">
        <f>('Evolutive SFP'!T44)</f>
        <v>0</v>
      </c>
      <c r="V20" s="51">
        <f>('Evolutive SFP'!U44)</f>
        <v>0</v>
      </c>
      <c r="W20" s="51">
        <f>('Evolutive SFP'!V44)</f>
        <v>0</v>
      </c>
      <c r="X20" s="51">
        <f>('Evolutive SFP'!W44)</f>
        <v>0</v>
      </c>
      <c r="Y20" s="51">
        <f>('Evolutive SFP'!X44)</f>
        <v>0</v>
      </c>
      <c r="Z20" s="147">
        <f>('Evolutive SFP'!Y44)</f>
        <v>0</v>
      </c>
      <c r="AA20" s="147">
        <f>('Evolutive SFP'!Z44)</f>
        <v>0</v>
      </c>
      <c r="AB20" s="147">
        <f>('Evolutive SFP'!AA44)</f>
        <v>0</v>
      </c>
      <c r="AC20" s="147">
        <f>('Evolutive SFP'!AB44)</f>
        <v>0</v>
      </c>
      <c r="AD20" s="147">
        <f>('Evolutive SFP'!AC44)</f>
        <v>0</v>
      </c>
      <c r="AE20" s="147">
        <f>('Evolutive SFP'!AD44)</f>
        <v>0</v>
      </c>
      <c r="AF20" s="147">
        <f>('Evolutive SFP'!AE44)</f>
        <v>0</v>
      </c>
      <c r="AG20" s="147">
        <f>('Evolutive SFP'!AF44)</f>
        <v>0</v>
      </c>
      <c r="AH20" s="147">
        <f>('Evolutive SFP'!AG44)</f>
        <v>0</v>
      </c>
      <c r="AI20" s="147">
        <f>('Evolutive SFP'!AH44)</f>
        <v>0</v>
      </c>
      <c r="AJ20" s="147">
        <f>('Evolutive SFP'!AI44)</f>
        <v>0</v>
      </c>
      <c r="AK20" s="147">
        <f>('Evolutive SFP'!AJ44)</f>
        <v>0</v>
      </c>
      <c r="AL20" s="147">
        <f>('Evolutive SFP'!AK44)</f>
        <v>0</v>
      </c>
      <c r="AM20" s="147">
        <f>('Evolutive SFP'!AL44)</f>
        <v>0</v>
      </c>
      <c r="AN20" s="147">
        <f>('Evolutive SFP'!AM44)</f>
        <v>0</v>
      </c>
      <c r="AO20" s="147">
        <f>('Evolutive SFP'!AN44)</f>
        <v>0</v>
      </c>
      <c r="AP20" s="147">
        <f>('Evolutive SFP'!AO44)</f>
        <v>0</v>
      </c>
      <c r="AQ20" s="147">
        <f>('Evolutive SFP'!AP44)</f>
        <v>0</v>
      </c>
      <c r="AR20" s="147">
        <f>('Evolutive SFP'!AQ44)</f>
        <v>0</v>
      </c>
      <c r="AS20" s="147">
        <f>('Evolutive SFP'!AR44)</f>
        <v>0</v>
      </c>
      <c r="AT20" s="147">
        <f>('Evolutive SFP'!AS44)</f>
        <v>0</v>
      </c>
      <c r="AU20" s="147">
        <f>('Evolutive SFP'!AT44)</f>
        <v>0</v>
      </c>
      <c r="AV20" s="147">
        <f>('Evolutive SFP'!AU44)</f>
        <v>0</v>
      </c>
      <c r="AW20" s="147">
        <f>('Evolutive SFP'!AV44)</f>
        <v>0</v>
      </c>
      <c r="AX20" s="147">
        <f>('Evolutive SFP'!AW44)</f>
        <v>0</v>
      </c>
      <c r="AY20" s="147">
        <f>('Evolutive SFP'!AW44)</f>
        <v>0</v>
      </c>
      <c r="AZ20" s="147">
        <f>('Evolutive SFP'!AX44)</f>
        <v>0</v>
      </c>
      <c r="BA20" s="147">
        <f>('Evolutive SFP'!AY44)</f>
        <v>0</v>
      </c>
      <c r="BB20" s="147">
        <f>('Evolutive SFP'!AZ44)</f>
        <v>0</v>
      </c>
      <c r="BC20" s="147">
        <f>('Evolutive SFP'!BA44)</f>
        <v>0</v>
      </c>
      <c r="BD20" s="147">
        <f>('Evolutive SFP'!BB44)</f>
        <v>0</v>
      </c>
      <c r="BE20" s="147">
        <f>('Evolutive SFP'!BC44)</f>
        <v>0</v>
      </c>
      <c r="BF20" s="147">
        <f>('Evolutive SFP'!BD44)</f>
        <v>0</v>
      </c>
      <c r="BG20" s="147">
        <f>('Evolutive SFP'!BE44)</f>
        <v>0</v>
      </c>
      <c r="BH20" s="147">
        <f>('Evolutive SFP'!BF44)</f>
        <v>0</v>
      </c>
      <c r="BI20" s="147">
        <f>('Evolutive SFP'!BG44)</f>
        <v>0</v>
      </c>
      <c r="BJ20" s="147">
        <f>('Evolutive SFP'!BH44)</f>
        <v>0</v>
      </c>
      <c r="BK20" s="147">
        <f>('Evolutive SFP'!BI44)</f>
        <v>0</v>
      </c>
      <c r="BL20" s="147">
        <f>('Evolutive SFP'!BJ44)</f>
        <v>0</v>
      </c>
      <c r="BM20" s="147">
        <f>('Evolutive SFP'!BK44)</f>
        <v>0</v>
      </c>
      <c r="BN20" s="147">
        <f>('Evolutive SFP'!BL44)</f>
        <v>0</v>
      </c>
      <c r="BO20" s="147">
        <f>('Evolutive SFP'!BM44)</f>
        <v>0</v>
      </c>
      <c r="BP20" s="147">
        <f>('Evolutive SFP'!BN44)</f>
        <v>0</v>
      </c>
      <c r="BQ20" s="147">
        <f>('Evolutive SFP'!BO44)</f>
        <v>0</v>
      </c>
      <c r="BR20" s="147">
        <f>('Evolutive SFP'!BP44)</f>
        <v>0</v>
      </c>
      <c r="BS20" s="147">
        <f>('Evolutive SFP'!BQ44)</f>
        <v>0</v>
      </c>
      <c r="BT20" s="147">
        <f>('Evolutive SFP'!BR44)</f>
        <v>0</v>
      </c>
      <c r="BU20" s="147">
        <f>('Evolutive SFP'!BS44)</f>
        <v>0</v>
      </c>
      <c r="BV20" s="147">
        <f>('Evolutive SFP'!BT44)</f>
        <v>0</v>
      </c>
      <c r="BW20" s="147">
        <f>('Evolutive SFP'!BU44)</f>
        <v>0</v>
      </c>
      <c r="BX20" s="147">
        <f>('Evolutive SFP'!BV44)</f>
        <v>0</v>
      </c>
      <c r="BY20" s="147">
        <f>('Evolutive SFP'!BW44)</f>
        <v>0</v>
      </c>
      <c r="BZ20" s="147">
        <f>('Evolutive SFP'!BX44)</f>
        <v>0</v>
      </c>
      <c r="CA20" s="147">
        <f>('Evolutive SFP'!BY44)</f>
        <v>0</v>
      </c>
      <c r="CB20" s="147">
        <f>('Evolutive SFP'!BZ44)</f>
        <v>0</v>
      </c>
      <c r="CC20" s="147">
        <f>('Evolutive SFP'!CA44)</f>
        <v>0</v>
      </c>
      <c r="CD20" s="147">
        <f>('Evolutive SFP'!CB44)</f>
        <v>0</v>
      </c>
      <c r="CE20" s="147">
        <f>('Evolutive SFP'!CC44)</f>
        <v>0</v>
      </c>
      <c r="CF20" s="147">
        <f>('Evolutive SFP'!CD44)</f>
        <v>0</v>
      </c>
      <c r="CG20" s="147">
        <f>('Evolutive SFP'!CE44)</f>
        <v>0</v>
      </c>
      <c r="CH20" s="147">
        <f>('Evolutive SFP'!CF44)</f>
        <v>0</v>
      </c>
      <c r="CI20" s="147">
        <f>('Evolutive SFP'!CG44)</f>
        <v>0</v>
      </c>
      <c r="CJ20" s="147">
        <f>('Evolutive SFP'!CH44)</f>
        <v>0</v>
      </c>
      <c r="CK20" s="147">
        <f>('Evolutive SFP'!CI44)</f>
        <v>0</v>
      </c>
      <c r="CL20" s="147">
        <f>('Evolutive SFP'!CJ44)</f>
        <v>0</v>
      </c>
      <c r="CM20" s="147">
        <f>('Evolutive SFP'!CK44)</f>
        <v>0</v>
      </c>
      <c r="CN20" s="147">
        <f>('Evolutive SFP'!CL44)</f>
        <v>0</v>
      </c>
      <c r="CO20" s="147">
        <f>('Evolutive SFP'!CM44)</f>
        <v>0</v>
      </c>
      <c r="CP20" s="147">
        <f>('Evolutive SFP'!CN44)</f>
        <v>0</v>
      </c>
      <c r="CQ20" s="147">
        <f>('Evolutive SFP'!CO44)</f>
        <v>0</v>
      </c>
      <c r="CR20" s="147">
        <f>('Evolutive SFP'!CP44)</f>
        <v>0</v>
      </c>
    </row>
    <row r="21" spans="1:96">
      <c r="A21" s="37" t="s">
        <v>187</v>
      </c>
      <c r="B21" s="40" t="s">
        <v>188</v>
      </c>
      <c r="C21" s="51">
        <f>C22+C23</f>
        <v>0</v>
      </c>
      <c r="D21" s="51">
        <f>D22+D23</f>
        <v>549460</v>
      </c>
      <c r="E21" s="51">
        <f>E22+E23</f>
        <v>587910</v>
      </c>
      <c r="F21" s="51">
        <f>F22+F23</f>
        <v>0</v>
      </c>
      <c r="G21" s="51">
        <f t="shared" ref="G21:N21" si="25">G22+G23</f>
        <v>0</v>
      </c>
      <c r="H21" s="51">
        <f>H22+H23</f>
        <v>0</v>
      </c>
      <c r="I21" s="51">
        <f>I22+I23</f>
        <v>0</v>
      </c>
      <c r="J21" s="51">
        <f t="shared" si="25"/>
        <v>0</v>
      </c>
      <c r="K21" s="51">
        <f t="shared" si="25"/>
        <v>0</v>
      </c>
      <c r="L21" s="51">
        <f t="shared" si="25"/>
        <v>0</v>
      </c>
      <c r="M21" s="51">
        <f t="shared" si="25"/>
        <v>0</v>
      </c>
      <c r="N21" s="51">
        <f t="shared" si="25"/>
        <v>0</v>
      </c>
      <c r="O21" s="51">
        <f t="shared" ref="O21:U21" si="26">O22+O23</f>
        <v>0</v>
      </c>
      <c r="P21" s="51">
        <f t="shared" si="26"/>
        <v>0</v>
      </c>
      <c r="Q21" s="51">
        <f t="shared" si="26"/>
        <v>0</v>
      </c>
      <c r="R21" s="51">
        <f t="shared" si="26"/>
        <v>0</v>
      </c>
      <c r="S21" s="51">
        <f t="shared" si="26"/>
        <v>0</v>
      </c>
      <c r="T21" s="51">
        <f t="shared" si="26"/>
        <v>0</v>
      </c>
      <c r="U21" s="51">
        <f t="shared" si="26"/>
        <v>0</v>
      </c>
      <c r="V21" s="51">
        <f t="shared" ref="V21:AB21" si="27">V22+V23</f>
        <v>0</v>
      </c>
      <c r="W21" s="51">
        <f t="shared" si="27"/>
        <v>0</v>
      </c>
      <c r="X21" s="51">
        <f t="shared" si="27"/>
        <v>0</v>
      </c>
      <c r="Y21" s="51">
        <f t="shared" si="27"/>
        <v>0</v>
      </c>
      <c r="Z21" s="147">
        <f t="shared" si="27"/>
        <v>0</v>
      </c>
      <c r="AA21" s="147">
        <f t="shared" si="27"/>
        <v>0</v>
      </c>
      <c r="AB21" s="147">
        <f t="shared" si="27"/>
        <v>0</v>
      </c>
      <c r="AC21" s="147">
        <f>AC22+AC23</f>
        <v>0</v>
      </c>
      <c r="AD21" s="147">
        <f>AD22+AD23</f>
        <v>0</v>
      </c>
      <c r="AE21" s="147">
        <f t="shared" ref="AE21:AP21" si="28">AE22+AE23</f>
        <v>0</v>
      </c>
      <c r="AF21" s="147">
        <f t="shared" si="28"/>
        <v>0</v>
      </c>
      <c r="AG21" s="147">
        <f t="shared" si="28"/>
        <v>0</v>
      </c>
      <c r="AH21" s="147">
        <f t="shared" si="28"/>
        <v>0</v>
      </c>
      <c r="AI21" s="147">
        <f t="shared" si="28"/>
        <v>0</v>
      </c>
      <c r="AJ21" s="147">
        <f t="shared" si="28"/>
        <v>0</v>
      </c>
      <c r="AK21" s="147">
        <f t="shared" si="28"/>
        <v>0</v>
      </c>
      <c r="AL21" s="147">
        <f t="shared" si="28"/>
        <v>0</v>
      </c>
      <c r="AM21" s="147">
        <f t="shared" si="28"/>
        <v>0</v>
      </c>
      <c r="AN21" s="147">
        <f t="shared" si="28"/>
        <v>0</v>
      </c>
      <c r="AO21" s="147">
        <f t="shared" si="28"/>
        <v>0</v>
      </c>
      <c r="AP21" s="147">
        <f t="shared" si="28"/>
        <v>0</v>
      </c>
      <c r="AQ21" s="147">
        <f>AQ22+AQ23</f>
        <v>0</v>
      </c>
      <c r="AR21" s="147">
        <f>AR22+AR23</f>
        <v>0</v>
      </c>
      <c r="AS21" s="147">
        <f>AS22+AS23</f>
        <v>0</v>
      </c>
      <c r="AT21" s="147">
        <f>AT22+AT23</f>
        <v>0</v>
      </c>
      <c r="AU21" s="147">
        <f t="shared" ref="AU21:BB21" si="29">AU22+AU23</f>
        <v>0</v>
      </c>
      <c r="AV21" s="147">
        <f>AV22+AV23</f>
        <v>0</v>
      </c>
      <c r="AW21" s="147">
        <f>AW22+AW23</f>
        <v>0</v>
      </c>
      <c r="AX21" s="147">
        <f>AX22+AX23</f>
        <v>0</v>
      </c>
      <c r="AY21" s="147">
        <f t="shared" si="29"/>
        <v>0</v>
      </c>
      <c r="AZ21" s="147">
        <f t="shared" si="29"/>
        <v>0</v>
      </c>
      <c r="BA21" s="147">
        <f t="shared" si="29"/>
        <v>0</v>
      </c>
      <c r="BB21" s="147">
        <f t="shared" si="29"/>
        <v>0</v>
      </c>
      <c r="BC21" s="147">
        <f t="shared" ref="BC21:BI21" si="30">BC22+BC23</f>
        <v>0</v>
      </c>
      <c r="BD21" s="147">
        <f t="shared" si="30"/>
        <v>0</v>
      </c>
      <c r="BE21" s="147">
        <f t="shared" si="30"/>
        <v>0</v>
      </c>
      <c r="BF21" s="147">
        <f t="shared" si="30"/>
        <v>0</v>
      </c>
      <c r="BG21" s="147">
        <f t="shared" si="30"/>
        <v>0</v>
      </c>
      <c r="BH21" s="147">
        <f t="shared" si="30"/>
        <v>0</v>
      </c>
      <c r="BI21" s="147">
        <f t="shared" si="30"/>
        <v>0</v>
      </c>
      <c r="BJ21" s="147">
        <f>BJ22+BJ23</f>
        <v>0</v>
      </c>
      <c r="BK21" s="147">
        <f>BK22+BK23</f>
        <v>0</v>
      </c>
      <c r="BL21" s="147">
        <f>BL22+BL23</f>
        <v>0</v>
      </c>
      <c r="BM21" s="147">
        <f t="shared" ref="BM21:BU21" si="31">BM22+BM23</f>
        <v>0</v>
      </c>
      <c r="BN21" s="147">
        <f t="shared" si="31"/>
        <v>0</v>
      </c>
      <c r="BO21" s="147">
        <f t="shared" si="31"/>
        <v>0</v>
      </c>
      <c r="BP21" s="147">
        <f t="shared" si="31"/>
        <v>0</v>
      </c>
      <c r="BQ21" s="147">
        <f t="shared" si="31"/>
        <v>0</v>
      </c>
      <c r="BR21" s="147">
        <f t="shared" si="31"/>
        <v>0</v>
      </c>
      <c r="BS21" s="147">
        <f t="shared" si="31"/>
        <v>0</v>
      </c>
      <c r="BT21" s="147">
        <f t="shared" si="31"/>
        <v>0</v>
      </c>
      <c r="BU21" s="147">
        <f t="shared" si="31"/>
        <v>0</v>
      </c>
      <c r="BV21" s="147">
        <f>BV22+BV23</f>
        <v>0</v>
      </c>
      <c r="BW21" s="147">
        <f t="shared" ref="BW21:CH21" si="32">BW22+BW23</f>
        <v>0</v>
      </c>
      <c r="BX21" s="147">
        <f t="shared" si="32"/>
        <v>0</v>
      </c>
      <c r="BY21" s="147">
        <f t="shared" si="32"/>
        <v>0</v>
      </c>
      <c r="BZ21" s="147">
        <f t="shared" si="32"/>
        <v>0</v>
      </c>
      <c r="CA21" s="147">
        <f t="shared" si="32"/>
        <v>0</v>
      </c>
      <c r="CB21" s="147">
        <f t="shared" si="32"/>
        <v>0</v>
      </c>
      <c r="CC21" s="147">
        <f t="shared" si="32"/>
        <v>0</v>
      </c>
      <c r="CD21" s="147">
        <f t="shared" si="32"/>
        <v>0</v>
      </c>
      <c r="CE21" s="147">
        <f t="shared" si="32"/>
        <v>0</v>
      </c>
      <c r="CF21" s="147">
        <f t="shared" si="32"/>
        <v>0</v>
      </c>
      <c r="CG21" s="147">
        <f t="shared" si="32"/>
        <v>0</v>
      </c>
      <c r="CH21" s="147">
        <f t="shared" si="32"/>
        <v>0</v>
      </c>
      <c r="CI21" s="147">
        <f t="shared" ref="CI21:CL21" si="33">CI22+CI23</f>
        <v>0</v>
      </c>
      <c r="CJ21" s="147">
        <f t="shared" si="33"/>
        <v>0</v>
      </c>
      <c r="CK21" s="147">
        <f t="shared" si="33"/>
        <v>0</v>
      </c>
      <c r="CL21" s="147">
        <f t="shared" si="33"/>
        <v>0</v>
      </c>
      <c r="CM21" s="147">
        <f t="shared" ref="CM21:CN21" si="34">CM22+CM23</f>
        <v>0</v>
      </c>
      <c r="CN21" s="147">
        <f t="shared" si="34"/>
        <v>0</v>
      </c>
      <c r="CO21" s="147">
        <f t="shared" ref="CO21:CP21" si="35">CO22+CO23</f>
        <v>0</v>
      </c>
      <c r="CP21" s="147">
        <f t="shared" si="35"/>
        <v>0</v>
      </c>
      <c r="CQ21" s="147">
        <f t="shared" ref="CQ21:CR21" si="36">CQ22+CQ23</f>
        <v>0</v>
      </c>
      <c r="CR21" s="147">
        <f t="shared" si="36"/>
        <v>0</v>
      </c>
    </row>
    <row r="22" spans="1:96">
      <c r="A22" s="41" t="s">
        <v>189</v>
      </c>
      <c r="B22" s="36" t="s">
        <v>56</v>
      </c>
      <c r="C22" s="51">
        <f>'Evolutive SFP'!B46</f>
        <v>0</v>
      </c>
      <c r="D22" s="51">
        <f>'Evolutive SFP'!C46</f>
        <v>549460</v>
      </c>
      <c r="E22" s="51">
        <f>'Evolutive SFP'!D46</f>
        <v>587910</v>
      </c>
      <c r="F22" s="51">
        <f>'Evolutive SFP'!E46</f>
        <v>0</v>
      </c>
      <c r="G22" s="51">
        <f>'Evolutive SFP'!F46</f>
        <v>0</v>
      </c>
      <c r="H22" s="51">
        <f>'Evolutive SFP'!G46</f>
        <v>0</v>
      </c>
      <c r="I22" s="51">
        <f>'Evolutive SFP'!H46</f>
        <v>0</v>
      </c>
      <c r="J22" s="51">
        <f>'Evolutive SFP'!I46</f>
        <v>0</v>
      </c>
      <c r="K22" s="51">
        <f>'Evolutive SFP'!J46</f>
        <v>0</v>
      </c>
      <c r="L22" s="51">
        <f>'Evolutive SFP'!K46</f>
        <v>0</v>
      </c>
      <c r="M22" s="51">
        <f>'Evolutive SFP'!L46</f>
        <v>0</v>
      </c>
      <c r="N22" s="51">
        <f>'Evolutive SFP'!M46</f>
        <v>0</v>
      </c>
      <c r="O22" s="51">
        <f>'Evolutive SFP'!N46</f>
        <v>0</v>
      </c>
      <c r="P22" s="51">
        <f>'Evolutive SFP'!O46</f>
        <v>0</v>
      </c>
      <c r="Q22" s="51">
        <f>'Evolutive SFP'!P46</f>
        <v>0</v>
      </c>
      <c r="R22" s="51">
        <f>'Evolutive SFP'!Q46</f>
        <v>0</v>
      </c>
      <c r="S22" s="51">
        <f>'Evolutive SFP'!R46</f>
        <v>0</v>
      </c>
      <c r="T22" s="51">
        <f>'Evolutive SFP'!S46</f>
        <v>0</v>
      </c>
      <c r="U22" s="51">
        <f>'Evolutive SFP'!T46</f>
        <v>0</v>
      </c>
      <c r="V22" s="51">
        <f>'Evolutive SFP'!U46</f>
        <v>0</v>
      </c>
      <c r="W22" s="51">
        <f>'Evolutive SFP'!V46</f>
        <v>0</v>
      </c>
      <c r="X22" s="51">
        <f>'Evolutive SFP'!W46</f>
        <v>0</v>
      </c>
      <c r="Y22" s="51">
        <f>'Evolutive SFP'!X46</f>
        <v>0</v>
      </c>
      <c r="Z22" s="147">
        <f>'Evolutive SFP'!Y46</f>
        <v>0</v>
      </c>
      <c r="AA22" s="147">
        <f>'Evolutive SFP'!Z46</f>
        <v>0</v>
      </c>
      <c r="AB22" s="147">
        <f>'Evolutive SFP'!AA46</f>
        <v>0</v>
      </c>
      <c r="AC22" s="147">
        <f>'Evolutive SFP'!AB46</f>
        <v>0</v>
      </c>
      <c r="AD22" s="147">
        <f>'Evolutive SFP'!AC46</f>
        <v>0</v>
      </c>
      <c r="AE22" s="147">
        <f>'Evolutive SFP'!AD46</f>
        <v>0</v>
      </c>
      <c r="AF22" s="147">
        <f>'Evolutive SFP'!AE46</f>
        <v>0</v>
      </c>
      <c r="AG22" s="147">
        <f>'Evolutive SFP'!AF46</f>
        <v>0</v>
      </c>
      <c r="AH22" s="147">
        <f>'Evolutive SFP'!AG46</f>
        <v>0</v>
      </c>
      <c r="AI22" s="147">
        <f>'Evolutive SFP'!AH46</f>
        <v>0</v>
      </c>
      <c r="AJ22" s="147">
        <f>'Evolutive SFP'!AI46</f>
        <v>0</v>
      </c>
      <c r="AK22" s="147">
        <f>'Evolutive SFP'!AJ46</f>
        <v>0</v>
      </c>
      <c r="AL22" s="147">
        <f>'Evolutive SFP'!AK46</f>
        <v>0</v>
      </c>
      <c r="AM22" s="147">
        <f>'Evolutive SFP'!AL46</f>
        <v>0</v>
      </c>
      <c r="AN22" s="147">
        <f>'Evolutive SFP'!AM46</f>
        <v>0</v>
      </c>
      <c r="AO22" s="147">
        <f>'Evolutive SFP'!AN46</f>
        <v>0</v>
      </c>
      <c r="AP22" s="147">
        <f>'Evolutive SFP'!AO46</f>
        <v>0</v>
      </c>
      <c r="AQ22" s="147">
        <f>'Evolutive SFP'!AP46</f>
        <v>0</v>
      </c>
      <c r="AR22" s="147">
        <f>'Evolutive SFP'!AQ46</f>
        <v>0</v>
      </c>
      <c r="AS22" s="147">
        <f>'Evolutive SFP'!AR46</f>
        <v>0</v>
      </c>
      <c r="AT22" s="147">
        <f>'Evolutive SFP'!AS46</f>
        <v>0</v>
      </c>
      <c r="AU22" s="147">
        <f>'Evolutive SFP'!AT46</f>
        <v>0</v>
      </c>
      <c r="AV22" s="147">
        <f>'Evolutive SFP'!AU46</f>
        <v>0</v>
      </c>
      <c r="AW22" s="147">
        <f>'Evolutive SFP'!AV46</f>
        <v>0</v>
      </c>
      <c r="AX22" s="147">
        <f>'Evolutive SFP'!AW46</f>
        <v>0</v>
      </c>
      <c r="AY22" s="147">
        <f>'Evolutive SFP'!AW46</f>
        <v>0</v>
      </c>
      <c r="AZ22" s="147">
        <f>'Evolutive SFP'!AX46</f>
        <v>0</v>
      </c>
      <c r="BA22" s="147">
        <f>'Evolutive SFP'!AY46</f>
        <v>0</v>
      </c>
      <c r="BB22" s="147">
        <f>'Evolutive SFP'!AZ46</f>
        <v>0</v>
      </c>
      <c r="BC22" s="147">
        <f>'Evolutive SFP'!BA46</f>
        <v>0</v>
      </c>
      <c r="BD22" s="147">
        <f>'Evolutive SFP'!BB46</f>
        <v>0</v>
      </c>
      <c r="BE22" s="147">
        <f>'Evolutive SFP'!BC46</f>
        <v>0</v>
      </c>
      <c r="BF22" s="147">
        <f>'Evolutive SFP'!BD46</f>
        <v>0</v>
      </c>
      <c r="BG22" s="147">
        <f>'Evolutive SFP'!BE46</f>
        <v>0</v>
      </c>
      <c r="BH22" s="147">
        <f>'Evolutive SFP'!BF46</f>
        <v>0</v>
      </c>
      <c r="BI22" s="147">
        <f>'Evolutive SFP'!BG46</f>
        <v>0</v>
      </c>
      <c r="BJ22" s="147">
        <f>'Evolutive SFP'!BH46</f>
        <v>0</v>
      </c>
      <c r="BK22" s="147">
        <f>'Evolutive SFP'!BI46</f>
        <v>0</v>
      </c>
      <c r="BL22" s="147">
        <f>'Evolutive SFP'!BJ46</f>
        <v>0</v>
      </c>
      <c r="BM22" s="147">
        <f>'Evolutive SFP'!BK46</f>
        <v>0</v>
      </c>
      <c r="BN22" s="147">
        <f>'Evolutive SFP'!BL46</f>
        <v>0</v>
      </c>
      <c r="BO22" s="147">
        <f>'Evolutive SFP'!BM46</f>
        <v>0</v>
      </c>
      <c r="BP22" s="147">
        <f>'Evolutive SFP'!BN46</f>
        <v>0</v>
      </c>
      <c r="BQ22" s="147">
        <f>'Evolutive SFP'!BO46</f>
        <v>0</v>
      </c>
      <c r="BR22" s="147">
        <f>'Evolutive SFP'!BP46</f>
        <v>0</v>
      </c>
      <c r="BS22" s="147">
        <f>'Evolutive SFP'!BQ46</f>
        <v>0</v>
      </c>
      <c r="BT22" s="147">
        <f>'Evolutive SFP'!BR46</f>
        <v>0</v>
      </c>
      <c r="BU22" s="147">
        <f>'Evolutive SFP'!BS46</f>
        <v>0</v>
      </c>
      <c r="BV22" s="147">
        <f>'Evolutive SFP'!BT46</f>
        <v>0</v>
      </c>
      <c r="BW22" s="147">
        <f>'Evolutive SFP'!BU46</f>
        <v>0</v>
      </c>
      <c r="BX22" s="147">
        <f>'Evolutive SFP'!BV46</f>
        <v>0</v>
      </c>
      <c r="BY22" s="147">
        <f>'Evolutive SFP'!BW46</f>
        <v>0</v>
      </c>
      <c r="BZ22" s="147">
        <f>'Evolutive SFP'!BX46</f>
        <v>0</v>
      </c>
      <c r="CA22" s="147">
        <f>'Evolutive SFP'!BY46</f>
        <v>0</v>
      </c>
      <c r="CB22" s="147">
        <f>'Evolutive SFP'!BZ46</f>
        <v>0</v>
      </c>
      <c r="CC22" s="147">
        <f>'Evolutive SFP'!CA46</f>
        <v>0</v>
      </c>
      <c r="CD22" s="147">
        <f>'Evolutive SFP'!CB46</f>
        <v>0</v>
      </c>
      <c r="CE22" s="147">
        <f>'Evolutive SFP'!CC46</f>
        <v>0</v>
      </c>
      <c r="CF22" s="147">
        <f>'Evolutive SFP'!CD46</f>
        <v>0</v>
      </c>
      <c r="CG22" s="147">
        <f>'Evolutive SFP'!CE46</f>
        <v>0</v>
      </c>
      <c r="CH22" s="147">
        <f>'Evolutive SFP'!CF46</f>
        <v>0</v>
      </c>
      <c r="CI22" s="147">
        <f>'Evolutive SFP'!CG46</f>
        <v>0</v>
      </c>
      <c r="CJ22" s="147">
        <f>'Evolutive SFP'!CH46</f>
        <v>0</v>
      </c>
      <c r="CK22" s="147">
        <f>'Evolutive SFP'!CI46</f>
        <v>0</v>
      </c>
      <c r="CL22" s="147">
        <f>'Evolutive SFP'!CJ46</f>
        <v>0</v>
      </c>
      <c r="CM22" s="147">
        <f>'Evolutive SFP'!CK46</f>
        <v>0</v>
      </c>
      <c r="CN22" s="147">
        <f>'Evolutive SFP'!CL46</f>
        <v>0</v>
      </c>
      <c r="CO22" s="147">
        <f>'Evolutive SFP'!CM46</f>
        <v>0</v>
      </c>
      <c r="CP22" s="147">
        <f>'Evolutive SFP'!CN46</f>
        <v>0</v>
      </c>
      <c r="CQ22" s="147">
        <f>'Evolutive SFP'!CO46</f>
        <v>0</v>
      </c>
      <c r="CR22" s="147">
        <f>'Evolutive SFP'!CP46</f>
        <v>0</v>
      </c>
    </row>
    <row r="23" spans="1:96">
      <c r="A23" s="41" t="s">
        <v>190</v>
      </c>
      <c r="B23" s="36" t="s">
        <v>191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  <c r="BS23" s="147"/>
      <c r="BT23" s="147"/>
      <c r="BU23" s="147"/>
      <c r="BV23" s="147"/>
      <c r="BW23" s="147"/>
      <c r="BX23" s="147"/>
      <c r="BY23" s="147"/>
      <c r="BZ23" s="147"/>
      <c r="CA23" s="147"/>
      <c r="CB23" s="147"/>
      <c r="CC23" s="147"/>
      <c r="CD23" s="147"/>
      <c r="CE23" s="147"/>
      <c r="CF23" s="147"/>
      <c r="CG23" s="147"/>
      <c r="CH23" s="147"/>
      <c r="CI23" s="147"/>
      <c r="CJ23" s="147"/>
      <c r="CK23" s="147"/>
      <c r="CL23" s="147"/>
      <c r="CM23" s="147"/>
      <c r="CN23" s="147"/>
      <c r="CO23" s="147"/>
      <c r="CP23" s="147"/>
      <c r="CQ23" s="147"/>
      <c r="CR23" s="147"/>
    </row>
    <row r="24" spans="1:96">
      <c r="A24" s="35"/>
      <c r="B24" s="42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  <c r="BS24" s="147"/>
      <c r="BT24" s="147"/>
      <c r="BU24" s="147"/>
      <c r="BV24" s="147"/>
      <c r="BW24" s="147"/>
      <c r="BX24" s="147"/>
      <c r="BY24" s="147"/>
      <c r="BZ24" s="147"/>
      <c r="CA24" s="147"/>
      <c r="CB24" s="147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</row>
    <row r="25" spans="1:96" s="28" customFormat="1">
      <c r="A25" s="45">
        <v>6</v>
      </c>
      <c r="B25" s="40" t="s">
        <v>192</v>
      </c>
      <c r="C25" s="52">
        <f>C26+C27+C28</f>
        <v>8942170</v>
      </c>
      <c r="D25" s="52">
        <f>D26+D27+D28</f>
        <v>13675347</v>
      </c>
      <c r="E25" s="52">
        <f>E26+E27+E28</f>
        <v>25329658</v>
      </c>
      <c r="F25" s="52">
        <f>F26+F27+F28</f>
        <v>27684832.68</v>
      </c>
      <c r="G25" s="52">
        <f t="shared" ref="G25:N25" si="37">G26+G27+G28</f>
        <v>14582790</v>
      </c>
      <c r="H25" s="52">
        <f>H26+H27+H28</f>
        <v>28191601</v>
      </c>
      <c r="I25" s="52">
        <f>I26+I27+I28</f>
        <v>32411253</v>
      </c>
      <c r="J25" s="52">
        <f t="shared" si="37"/>
        <v>39637678.18</v>
      </c>
      <c r="K25" s="52">
        <f t="shared" si="37"/>
        <v>33411253.390000001</v>
      </c>
      <c r="L25" s="52">
        <f t="shared" si="37"/>
        <v>33611253.369999997</v>
      </c>
      <c r="M25" s="52">
        <f t="shared" si="37"/>
        <v>34211253.369999997</v>
      </c>
      <c r="N25" s="52">
        <f t="shared" si="37"/>
        <v>34611253.369999997</v>
      </c>
      <c r="O25" s="52">
        <f t="shared" ref="O25:BI25" si="38">O26+O27+O28</f>
        <v>35073701.75</v>
      </c>
      <c r="P25" s="52">
        <f t="shared" si="38"/>
        <v>35473701.75</v>
      </c>
      <c r="Q25" s="52">
        <f t="shared" si="38"/>
        <v>35873701.75</v>
      </c>
      <c r="R25" s="52">
        <f t="shared" si="38"/>
        <v>36502785.25</v>
      </c>
      <c r="S25" s="52">
        <f t="shared" si="38"/>
        <v>36722785.25</v>
      </c>
      <c r="T25" s="52">
        <f t="shared" si="38"/>
        <v>36942785.25</v>
      </c>
      <c r="U25" s="52">
        <f t="shared" si="38"/>
        <v>36762785.25</v>
      </c>
      <c r="V25" s="52">
        <f t="shared" si="38"/>
        <v>36762785</v>
      </c>
      <c r="W25" s="52">
        <f t="shared" si="38"/>
        <v>37086034.560000002</v>
      </c>
      <c r="X25" s="52">
        <f t="shared" si="38"/>
        <v>37306034.560000002</v>
      </c>
      <c r="Y25" s="52">
        <f t="shared" si="38"/>
        <v>37526034.560000002</v>
      </c>
      <c r="Z25" s="52">
        <f t="shared" si="38"/>
        <v>37946034.560000002</v>
      </c>
      <c r="AA25" s="52">
        <f t="shared" si="38"/>
        <v>38366034.560000002</v>
      </c>
      <c r="AB25" s="52">
        <f t="shared" si="38"/>
        <v>38786034.560000002</v>
      </c>
      <c r="AC25" s="52">
        <f t="shared" si="38"/>
        <v>39206034.560000002</v>
      </c>
      <c r="AD25" s="52">
        <f t="shared" si="38"/>
        <v>39626034.560000002</v>
      </c>
      <c r="AE25" s="52">
        <f t="shared" si="38"/>
        <v>40046034.560000002</v>
      </c>
      <c r="AF25" s="52">
        <f t="shared" si="38"/>
        <v>40466034.560000002</v>
      </c>
      <c r="AG25" s="52">
        <f t="shared" si="38"/>
        <v>40886034.560000002</v>
      </c>
      <c r="AH25" s="52">
        <f t="shared" si="38"/>
        <v>41343229.539999999</v>
      </c>
      <c r="AI25" s="52">
        <f t="shared" si="38"/>
        <v>41343229.539999999</v>
      </c>
      <c r="AJ25" s="52">
        <f t="shared" si="38"/>
        <v>41763229.539999999</v>
      </c>
      <c r="AK25" s="52">
        <f t="shared" si="38"/>
        <v>42183229.539999999</v>
      </c>
      <c r="AL25" s="52">
        <f t="shared" si="38"/>
        <v>42603229.539999999</v>
      </c>
      <c r="AM25" s="52">
        <f t="shared" si="38"/>
        <v>43023229.539999999</v>
      </c>
      <c r="AN25" s="52">
        <f t="shared" si="38"/>
        <v>43443229.539999999</v>
      </c>
      <c r="AO25" s="52">
        <f t="shared" si="38"/>
        <v>43863229.539999999</v>
      </c>
      <c r="AP25" s="52">
        <f t="shared" si="38"/>
        <v>44283229.519999996</v>
      </c>
      <c r="AQ25" s="52">
        <f t="shared" si="38"/>
        <v>44703229.539999999</v>
      </c>
      <c r="AR25" s="52">
        <f t="shared" si="38"/>
        <v>45123229.539999999</v>
      </c>
      <c r="AS25" s="52">
        <f t="shared" si="38"/>
        <v>45543229.539999999</v>
      </c>
      <c r="AT25" s="52">
        <f t="shared" si="38"/>
        <v>46157679.810000002</v>
      </c>
      <c r="AU25" s="52">
        <f t="shared" si="38"/>
        <v>46427679.810000002</v>
      </c>
      <c r="AV25" s="52">
        <f t="shared" si="38"/>
        <v>46427679.810000002</v>
      </c>
      <c r="AW25" s="52">
        <f t="shared" si="38"/>
        <v>46897679.810000002</v>
      </c>
      <c r="AX25" s="52">
        <f t="shared" si="38"/>
        <v>47117679.810000002</v>
      </c>
      <c r="AY25" s="52">
        <f t="shared" si="38"/>
        <v>47317679.810000002</v>
      </c>
      <c r="AZ25" s="52">
        <f t="shared" si="38"/>
        <v>42337679.810000002</v>
      </c>
      <c r="BA25" s="52">
        <f t="shared" si="38"/>
        <v>42957679.810000002</v>
      </c>
      <c r="BB25" s="52">
        <f t="shared" si="38"/>
        <v>43927679.810000002</v>
      </c>
      <c r="BC25" s="52">
        <f t="shared" si="38"/>
        <v>0</v>
      </c>
      <c r="BD25" s="52">
        <f t="shared" si="38"/>
        <v>229981645.55000001</v>
      </c>
      <c r="BE25" s="52">
        <f t="shared" si="38"/>
        <v>46966329.219999999</v>
      </c>
      <c r="BF25" s="52">
        <f t="shared" si="38"/>
        <v>47936329.109999999</v>
      </c>
      <c r="BG25" s="52">
        <f t="shared" si="38"/>
        <v>48906329.109999999</v>
      </c>
      <c r="BH25" s="52">
        <f t="shared" si="38"/>
        <v>56376338.109999999</v>
      </c>
      <c r="BI25" s="52">
        <f t="shared" si="38"/>
        <v>56376329</v>
      </c>
      <c r="BJ25" s="52">
        <f>BJ26+BJ27+BJ28</f>
        <v>57346329.109999999</v>
      </c>
      <c r="BK25" s="52">
        <f>BK26+BK27+BK28</f>
        <v>58316329.109999999</v>
      </c>
      <c r="BL25" s="52">
        <f>BL26+BL27+BL28</f>
        <v>59423701.619999997</v>
      </c>
      <c r="BM25" s="52">
        <f t="shared" ref="BM25:BU25" si="39">BM26+BM27+BM28</f>
        <v>60393701.619999997</v>
      </c>
      <c r="BN25" s="52">
        <f t="shared" si="39"/>
        <v>61411453.619999997</v>
      </c>
      <c r="BO25" s="52">
        <f t="shared" si="39"/>
        <v>62381453.620000005</v>
      </c>
      <c r="BP25" s="52">
        <f t="shared" si="39"/>
        <v>63351453.620000005</v>
      </c>
      <c r="BQ25" s="52">
        <f t="shared" si="39"/>
        <v>56370194.380000003</v>
      </c>
      <c r="BR25" s="52">
        <f t="shared" si="39"/>
        <v>57340194.380000003</v>
      </c>
      <c r="BS25" s="52">
        <f t="shared" si="39"/>
        <v>58359928.850000001</v>
      </c>
      <c r="BT25" s="52">
        <f t="shared" si="39"/>
        <v>59329928.850000001</v>
      </c>
      <c r="BU25" s="52">
        <f t="shared" si="39"/>
        <v>56349663</v>
      </c>
      <c r="BV25" s="52">
        <f>BV26+BV27+BV28</f>
        <v>12556174</v>
      </c>
      <c r="BW25" s="52">
        <f t="shared" ref="BW25:CH25" si="40">BW26+BW27+BW28</f>
        <v>45381106</v>
      </c>
      <c r="BX25" s="52">
        <f t="shared" si="40"/>
        <v>45801106</v>
      </c>
      <c r="BY25" s="52">
        <f t="shared" si="40"/>
        <v>46221106</v>
      </c>
      <c r="BZ25" s="52">
        <f t="shared" si="40"/>
        <v>46641106</v>
      </c>
      <c r="CA25" s="52">
        <f t="shared" si="40"/>
        <v>47061106</v>
      </c>
      <c r="CB25" s="52">
        <f t="shared" si="40"/>
        <v>47481106</v>
      </c>
      <c r="CC25" s="52">
        <f t="shared" si="40"/>
        <v>47901106</v>
      </c>
      <c r="CD25" s="52">
        <f t="shared" si="40"/>
        <v>48321106</v>
      </c>
      <c r="CE25" s="52">
        <f t="shared" si="40"/>
        <v>48741106</v>
      </c>
      <c r="CF25" s="52">
        <f t="shared" si="40"/>
        <v>49161106</v>
      </c>
      <c r="CG25" s="52">
        <f t="shared" si="40"/>
        <v>49581106</v>
      </c>
      <c r="CH25" s="52">
        <f t="shared" si="40"/>
        <v>50001106</v>
      </c>
      <c r="CI25" s="52">
        <f t="shared" ref="CI25:CL25" si="41">CI26+CI27+CI28</f>
        <v>20107673</v>
      </c>
      <c r="CJ25" s="52">
        <f t="shared" si="41"/>
        <v>20098923.25</v>
      </c>
      <c r="CK25" s="52">
        <f t="shared" si="41"/>
        <v>20648923.25</v>
      </c>
      <c r="CL25" s="52">
        <f t="shared" si="41"/>
        <v>11628908</v>
      </c>
      <c r="CM25" s="52">
        <f t="shared" ref="CM25:CN25" si="42">CM26+CM27+CM28</f>
        <v>42178905</v>
      </c>
      <c r="CN25" s="52">
        <f t="shared" si="42"/>
        <v>42728908</v>
      </c>
      <c r="CO25" s="52">
        <f t="shared" ref="CO25:CP25" si="43">CO26+CO27+CO28</f>
        <v>43606542.789999999</v>
      </c>
      <c r="CP25" s="52">
        <f t="shared" si="43"/>
        <v>44156542.789999999</v>
      </c>
      <c r="CQ25" s="52">
        <f t="shared" ref="CQ25:CR25" si="44">CQ26+CQ27+CQ28</f>
        <v>74706542.790000007</v>
      </c>
      <c r="CR25" s="52">
        <f t="shared" si="44"/>
        <v>75259559.159999996</v>
      </c>
    </row>
    <row r="26" spans="1:96">
      <c r="A26" s="37">
        <v>6.1</v>
      </c>
      <c r="B26" s="36" t="s">
        <v>193</v>
      </c>
      <c r="C26" s="51">
        <f>'Evolutive SFP'!B13</f>
        <v>0</v>
      </c>
      <c r="D26" s="51">
        <f>'Evolutive SFP'!C13</f>
        <v>9998645</v>
      </c>
      <c r="E26" s="51">
        <f>'Evolutive SFP'!D13</f>
        <v>9998644</v>
      </c>
      <c r="F26" s="51">
        <f>'Evolutive SFP'!E13</f>
        <v>10341549</v>
      </c>
      <c r="G26" s="51">
        <f>'Evolutive SFP'!F13</f>
        <v>14582790</v>
      </c>
      <c r="H26" s="51">
        <f>'Evolutive SFP'!G13</f>
        <v>15842990</v>
      </c>
      <c r="I26" s="51">
        <f>'Evolutive SFP'!H13</f>
        <v>25636790</v>
      </c>
      <c r="J26" s="51">
        <f>'Evolutive SFP'!I13</f>
        <v>26036790</v>
      </c>
      <c r="K26" s="51">
        <f>'Evolutive SFP'!J13</f>
        <v>26236790</v>
      </c>
      <c r="L26" s="51">
        <f>'Evolutive SFP'!K13</f>
        <v>26236790</v>
      </c>
      <c r="M26" s="51">
        <f>'Evolutive SFP'!L13</f>
        <v>26636790</v>
      </c>
      <c r="N26" s="51">
        <f>'Evolutive SFP'!M13</f>
        <v>26836790</v>
      </c>
      <c r="O26" s="51">
        <f>'Evolutive SFP'!N13</f>
        <v>27036790</v>
      </c>
      <c r="P26" s="51">
        <f>'Evolutive SFP'!O13</f>
        <v>27236790</v>
      </c>
      <c r="Q26" s="51">
        <f>'Evolutive SFP'!P13</f>
        <v>27436790</v>
      </c>
      <c r="R26" s="51">
        <f>'Evolutive SFP'!Q13</f>
        <v>27833289</v>
      </c>
      <c r="S26" s="51">
        <f>'Evolutive SFP'!R13</f>
        <v>27853289</v>
      </c>
      <c r="T26" s="51">
        <f>'Evolutive SFP'!S13</f>
        <v>27873289</v>
      </c>
      <c r="U26" s="51">
        <f>'Evolutive SFP'!T13</f>
        <v>27493289</v>
      </c>
      <c r="V26" s="51">
        <f>'Evolutive SFP'!U13</f>
        <v>27493289</v>
      </c>
      <c r="W26" s="51">
        <f>'Evolutive SFP'!V13</f>
        <v>27513289</v>
      </c>
      <c r="X26" s="51">
        <f>'Evolutive SFP'!W13</f>
        <v>27533289</v>
      </c>
      <c r="Y26" s="51">
        <f>'Evolutive SFP'!X13</f>
        <v>27553289</v>
      </c>
      <c r="Z26" s="51">
        <f>'Evolutive SFP'!Y13</f>
        <v>27773289</v>
      </c>
      <c r="AA26" s="51">
        <f>'Evolutive SFP'!Z13</f>
        <v>27993289</v>
      </c>
      <c r="AB26" s="51">
        <f>'Evolutive SFP'!AA13</f>
        <v>28213289</v>
      </c>
      <c r="AC26" s="51">
        <f>'Evolutive SFP'!AB13</f>
        <v>28433289</v>
      </c>
      <c r="AD26" s="51">
        <f>'Evolutive SFP'!AC13</f>
        <v>28653289</v>
      </c>
      <c r="AE26" s="51">
        <f>'Evolutive SFP'!AD13</f>
        <v>28873289</v>
      </c>
      <c r="AF26" s="51">
        <f>'Evolutive SFP'!AE13</f>
        <v>29093289</v>
      </c>
      <c r="AG26" s="51">
        <f>'Evolutive SFP'!AF13</f>
        <v>29313289</v>
      </c>
      <c r="AH26" s="51">
        <f>'Evolutive SFP'!AG13</f>
        <v>29533289</v>
      </c>
      <c r="AI26" s="51">
        <f>'Evolutive SFP'!AH13</f>
        <v>29533289</v>
      </c>
      <c r="AJ26" s="51">
        <f>'Evolutive SFP'!AI13</f>
        <v>29753289</v>
      </c>
      <c r="AK26" s="51">
        <f>'Evolutive SFP'!AJ13</f>
        <v>29973289</v>
      </c>
      <c r="AL26" s="51">
        <f>'Evolutive SFP'!AK13</f>
        <v>30193289</v>
      </c>
      <c r="AM26" s="51">
        <f>'Evolutive SFP'!AL13</f>
        <v>30413289</v>
      </c>
      <c r="AN26" s="51">
        <f>'Evolutive SFP'!AM13</f>
        <v>30633289</v>
      </c>
      <c r="AO26" s="51">
        <f>'Evolutive SFP'!AN13</f>
        <v>30853289</v>
      </c>
      <c r="AP26" s="51">
        <f>'Evolutive SFP'!AO13</f>
        <v>31073289</v>
      </c>
      <c r="AQ26" s="51">
        <f>'Evolutive SFP'!AP13</f>
        <v>31293289</v>
      </c>
      <c r="AR26" s="51">
        <f>'Evolutive SFP'!AQ13</f>
        <v>31513289</v>
      </c>
      <c r="AS26" s="51">
        <f>'Evolutive SFP'!AR13</f>
        <v>31733289</v>
      </c>
      <c r="AT26" s="51">
        <f>'Evolutive SFP'!AS13</f>
        <v>31953289</v>
      </c>
      <c r="AU26" s="51">
        <f>'Evolutive SFP'!AT13</f>
        <v>32173289</v>
      </c>
      <c r="AV26" s="51">
        <f>'Evolutive SFP'!AU13</f>
        <v>164800</v>
      </c>
      <c r="AW26" s="51">
        <f>'Evolutive SFP'!AV13</f>
        <v>32393289</v>
      </c>
      <c r="AX26" s="51">
        <f>'Evolutive SFP'!AW13</f>
        <v>32613289</v>
      </c>
      <c r="AY26" s="51">
        <f>'Evolutive SFP'!AW13</f>
        <v>32613289</v>
      </c>
      <c r="AZ26" s="51">
        <f>'Evolutive SFP'!AX13</f>
        <v>33033289</v>
      </c>
      <c r="BA26" s="51">
        <f>'Evolutive SFP'!AY13</f>
        <v>33453289</v>
      </c>
      <c r="BB26" s="51">
        <f>'Evolutive SFP'!AZ13</f>
        <v>33873289</v>
      </c>
      <c r="BC26" s="51">
        <f>'Evolutive SFP'!BA13</f>
        <v>0</v>
      </c>
      <c r="BD26" s="51">
        <f>'Evolutive SFP'!BB13</f>
        <v>173566445</v>
      </c>
      <c r="BE26" s="51">
        <f>'Evolutive SFP'!BC13</f>
        <v>35133289.109999999</v>
      </c>
      <c r="BF26" s="51">
        <f>'Evolutive SFP'!BD13</f>
        <v>35553289</v>
      </c>
      <c r="BG26" s="51">
        <f>'Evolutive SFP'!BE13</f>
        <v>35973289</v>
      </c>
      <c r="BH26" s="51">
        <f>'Evolutive SFP'!BF13</f>
        <v>42893298</v>
      </c>
      <c r="BI26" s="51">
        <f>'Evolutive SFP'!BG13</f>
        <v>0</v>
      </c>
      <c r="BJ26" s="51">
        <f>'Evolutive SFP'!BH13</f>
        <v>43313289</v>
      </c>
      <c r="BK26" s="51">
        <f>'Evolutive SFP'!BI13</f>
        <v>43733289</v>
      </c>
      <c r="BL26" s="51">
        <f>'Evolutive SFP'!BJ13</f>
        <v>44153289</v>
      </c>
      <c r="BM26" s="51">
        <f>'Evolutive SFP'!BK13</f>
        <v>44573289</v>
      </c>
      <c r="BN26" s="51">
        <f>'Evolutive SFP'!BL13</f>
        <v>44993289</v>
      </c>
      <c r="BO26" s="51">
        <f>'Evolutive SFP'!BM13</f>
        <v>45413289</v>
      </c>
      <c r="BP26" s="51">
        <f>'Evolutive SFP'!BN13</f>
        <v>45833289</v>
      </c>
      <c r="BQ26" s="51">
        <f>'Evolutive SFP'!BO13</f>
        <v>46253289</v>
      </c>
      <c r="BR26" s="51">
        <f>'Evolutive SFP'!BP13</f>
        <v>46673289</v>
      </c>
      <c r="BS26" s="51">
        <f>'Evolutive SFP'!BQ13</f>
        <v>47093289</v>
      </c>
      <c r="BT26" s="51">
        <f>'Evolutive SFP'!BR13</f>
        <v>47513289</v>
      </c>
      <c r="BU26" s="51">
        <f>'Evolutive SFP'!BS13</f>
        <v>43933289</v>
      </c>
      <c r="BV26" s="51">
        <f>'Evolutive SFP'!BT13</f>
        <v>139800</v>
      </c>
      <c r="BW26" s="51">
        <f>'Evolutive SFP'!BU13</f>
        <v>45381106</v>
      </c>
      <c r="BX26" s="51">
        <f>'Evolutive SFP'!BV13</f>
        <v>45801106</v>
      </c>
      <c r="BY26" s="51">
        <f>'Evolutive SFP'!BW13</f>
        <v>46221106</v>
      </c>
      <c r="BZ26" s="51">
        <f>'Evolutive SFP'!BX13</f>
        <v>46641106</v>
      </c>
      <c r="CA26" s="51">
        <f>'Evolutive SFP'!BY13</f>
        <v>47061106</v>
      </c>
      <c r="CB26" s="51">
        <f>'Evolutive SFP'!BZ13</f>
        <v>47481106</v>
      </c>
      <c r="CC26" s="51">
        <f>'Evolutive SFP'!CA13</f>
        <v>47901106</v>
      </c>
      <c r="CD26" s="51">
        <f>'Evolutive SFP'!CB13</f>
        <v>48321106</v>
      </c>
      <c r="CE26" s="51">
        <f>'Evolutive SFP'!CC13</f>
        <v>48741106</v>
      </c>
      <c r="CF26" s="51">
        <f>'Evolutive SFP'!CD13</f>
        <v>49161106</v>
      </c>
      <c r="CG26" s="51">
        <f>'Evolutive SFP'!CE13</f>
        <v>49581106</v>
      </c>
      <c r="CH26" s="51">
        <f>'Evolutive SFP'!CF13</f>
        <v>50001106</v>
      </c>
      <c r="CI26" s="51">
        <f>'Evolutive SFP'!CG13</f>
        <v>558750</v>
      </c>
      <c r="CJ26" s="51">
        <f>'Evolutive SFP'!CH13</f>
        <v>0</v>
      </c>
      <c r="CK26" s="51">
        <f>'Evolutive SFP'!CI13</f>
        <v>0</v>
      </c>
      <c r="CL26" s="51">
        <f>'Evolutive SFP'!CJ13</f>
        <v>0</v>
      </c>
      <c r="CM26" s="51">
        <f>'Evolutive SFP'!CK13</f>
        <v>0</v>
      </c>
      <c r="CN26" s="51">
        <f>'Evolutive SFP'!CL13</f>
        <v>0</v>
      </c>
      <c r="CO26" s="51">
        <f>'Evolutive SFP'!CM13</f>
        <v>0</v>
      </c>
      <c r="CP26" s="51">
        <f>'Evolutive SFP'!CN13</f>
        <v>0</v>
      </c>
      <c r="CQ26" s="51">
        <f>'Evolutive SFP'!CO13</f>
        <v>0</v>
      </c>
      <c r="CR26" s="51">
        <f>'Evolutive SFP'!CP13</f>
        <v>0</v>
      </c>
    </row>
    <row r="27" spans="1:96">
      <c r="A27" s="37">
        <v>6.2</v>
      </c>
      <c r="B27" s="36" t="s">
        <v>194</v>
      </c>
      <c r="C27" s="51">
        <f>'Evolutive SFP'!B10</f>
        <v>8942170</v>
      </c>
      <c r="D27" s="51">
        <f>'Evolutive SFP'!C10</f>
        <v>0</v>
      </c>
      <c r="E27" s="51">
        <f>'Evolutive SFP'!D10</f>
        <v>0</v>
      </c>
      <c r="F27" s="51">
        <f>'Evolutive SFP'!E10</f>
        <v>0</v>
      </c>
      <c r="G27" s="51">
        <f>'Evolutive SFP'!F10</f>
        <v>0</v>
      </c>
      <c r="H27" s="51">
        <f>'Evolutive SFP'!G10</f>
        <v>139800</v>
      </c>
      <c r="I27" s="51">
        <f>'Evolutive SFP'!H10</f>
        <v>0</v>
      </c>
      <c r="J27" s="51">
        <f>'Evolutive SFP'!I10</f>
        <v>0</v>
      </c>
      <c r="K27" s="51">
        <f>'Evolutive SFP'!J10</f>
        <v>0</v>
      </c>
      <c r="L27" s="51">
        <f>'Evolutive SFP'!K10</f>
        <v>0</v>
      </c>
      <c r="M27" s="51">
        <f>'Evolutive SFP'!L10</f>
        <v>0</v>
      </c>
      <c r="N27" s="51">
        <f>'Evolutive SFP'!M10</f>
        <v>0</v>
      </c>
      <c r="O27" s="51">
        <f>'Evolutive SFP'!N10</f>
        <v>0</v>
      </c>
      <c r="P27" s="51">
        <f>'Evolutive SFP'!O10</f>
        <v>0</v>
      </c>
      <c r="Q27" s="51">
        <f>'Evolutive SFP'!P10</f>
        <v>0</v>
      </c>
      <c r="R27" s="51">
        <f>'Evolutive SFP'!Q10</f>
        <v>0</v>
      </c>
      <c r="S27" s="51">
        <f>'Evolutive SFP'!R10</f>
        <v>0</v>
      </c>
      <c r="T27" s="51">
        <f>'Evolutive SFP'!S10</f>
        <v>0</v>
      </c>
      <c r="U27" s="51">
        <f>'Evolutive SFP'!T10</f>
        <v>0</v>
      </c>
      <c r="V27" s="51">
        <f>'Evolutive SFP'!U10</f>
        <v>0</v>
      </c>
      <c r="W27" s="51">
        <f>'Evolutive SFP'!V10</f>
        <v>0</v>
      </c>
      <c r="X27" s="51">
        <f>'Evolutive SFP'!W10</f>
        <v>0</v>
      </c>
      <c r="Y27" s="51">
        <f>'Evolutive SFP'!X10</f>
        <v>0</v>
      </c>
      <c r="Z27" s="51">
        <f>'Evolutive SFP'!Y10</f>
        <v>0</v>
      </c>
      <c r="AA27" s="51">
        <f>'Evolutive SFP'!Z10</f>
        <v>0</v>
      </c>
      <c r="AB27" s="51">
        <f>'Evolutive SFP'!AA10</f>
        <v>0</v>
      </c>
      <c r="AC27" s="51">
        <f>'Evolutive SFP'!AB10</f>
        <v>0</v>
      </c>
      <c r="AD27" s="51">
        <f>'Evolutive SFP'!AC10</f>
        <v>0</v>
      </c>
      <c r="AE27" s="51">
        <f>'Evolutive SFP'!AD10</f>
        <v>0</v>
      </c>
      <c r="AF27" s="51">
        <f>'Evolutive SFP'!AE10</f>
        <v>0</v>
      </c>
      <c r="AG27" s="51">
        <f>'Evolutive SFP'!AF10</f>
        <v>0</v>
      </c>
      <c r="AH27" s="51">
        <f>'Evolutive SFP'!AG10</f>
        <v>0</v>
      </c>
      <c r="AI27" s="51">
        <f>'Evolutive SFP'!AH10</f>
        <v>0</v>
      </c>
      <c r="AJ27" s="51">
        <f>'Evolutive SFP'!AI10</f>
        <v>0</v>
      </c>
      <c r="AK27" s="51">
        <f>'Evolutive SFP'!AJ10</f>
        <v>0</v>
      </c>
      <c r="AL27" s="51">
        <f>'Evolutive SFP'!AK10</f>
        <v>0</v>
      </c>
      <c r="AM27" s="51">
        <f>'Evolutive SFP'!AL10</f>
        <v>0</v>
      </c>
      <c r="AN27" s="51">
        <f>'Evolutive SFP'!AM10</f>
        <v>0</v>
      </c>
      <c r="AO27" s="51">
        <f>'Evolutive SFP'!AN10</f>
        <v>0</v>
      </c>
      <c r="AP27" s="51">
        <f>'Evolutive SFP'!AO10</f>
        <v>0</v>
      </c>
      <c r="AQ27" s="51">
        <f>'Evolutive SFP'!AP10</f>
        <v>0</v>
      </c>
      <c r="AR27" s="51">
        <f>'Evolutive SFP'!AQ10</f>
        <v>0</v>
      </c>
      <c r="AS27" s="51">
        <f>'Evolutive SFP'!AR10</f>
        <v>0</v>
      </c>
      <c r="AT27" s="51">
        <f>'Evolutive SFP'!AS10</f>
        <v>0</v>
      </c>
      <c r="AU27" s="51">
        <f>'Evolutive SFP'!AT10</f>
        <v>0</v>
      </c>
      <c r="AV27" s="51">
        <f>'Evolutive SFP'!AU10</f>
        <v>0</v>
      </c>
      <c r="AW27" s="51">
        <f>'Evolutive SFP'!AV10</f>
        <v>0</v>
      </c>
      <c r="AX27" s="51">
        <f>'Evolutive SFP'!AW10</f>
        <v>0</v>
      </c>
      <c r="AY27" s="51">
        <f>'Evolutive SFP'!AW10</f>
        <v>0</v>
      </c>
      <c r="AZ27" s="51">
        <f>'Evolutive SFP'!AX10</f>
        <v>0</v>
      </c>
      <c r="BA27" s="51">
        <f>'Evolutive SFP'!AY10</f>
        <v>0</v>
      </c>
      <c r="BB27" s="51">
        <f>'Evolutive SFP'!AZ10</f>
        <v>0</v>
      </c>
      <c r="BC27" s="51">
        <f>'Evolutive SFP'!BA10</f>
        <v>0</v>
      </c>
      <c r="BD27" s="51">
        <f>'Evolutive SFP'!BB10</f>
        <v>0</v>
      </c>
      <c r="BE27" s="51">
        <f>'Evolutive SFP'!BC10</f>
        <v>0</v>
      </c>
      <c r="BF27" s="51">
        <f>'Evolutive SFP'!BD10</f>
        <v>0</v>
      </c>
      <c r="BG27" s="51">
        <f>'Evolutive SFP'!BE10</f>
        <v>0</v>
      </c>
      <c r="BH27" s="51">
        <f>'Evolutive SFP'!BF10</f>
        <v>0</v>
      </c>
      <c r="BI27" s="51">
        <f>'Evolutive SFP'!BG10</f>
        <v>0</v>
      </c>
      <c r="BJ27" s="51">
        <f>'Evolutive SFP'!BH10</f>
        <v>0</v>
      </c>
      <c r="BK27" s="51">
        <f>'Evolutive SFP'!BI10</f>
        <v>0</v>
      </c>
      <c r="BL27" s="51">
        <f>'Evolutive SFP'!BJ10</f>
        <v>0</v>
      </c>
      <c r="BM27" s="51">
        <f>'Evolutive SFP'!BK10</f>
        <v>0</v>
      </c>
      <c r="BN27" s="51">
        <f>'Evolutive SFP'!BL10</f>
        <v>0</v>
      </c>
      <c r="BO27" s="51">
        <f>'Evolutive SFP'!BM10</f>
        <v>0</v>
      </c>
      <c r="BP27" s="51">
        <f>'Evolutive SFP'!BN10</f>
        <v>0</v>
      </c>
      <c r="BQ27" s="51">
        <f>'Evolutive SFP'!BO10</f>
        <v>0</v>
      </c>
      <c r="BR27" s="51">
        <f>'Evolutive SFP'!BP10</f>
        <v>0</v>
      </c>
      <c r="BS27" s="51">
        <f>'Evolutive SFP'!BQ10</f>
        <v>0</v>
      </c>
      <c r="BT27" s="51">
        <f>'Evolutive SFP'!BR10</f>
        <v>0</v>
      </c>
      <c r="BU27" s="51">
        <f>'Evolutive SFP'!BS10</f>
        <v>0</v>
      </c>
      <c r="BV27" s="51">
        <f>'Evolutive SFP'!BT10</f>
        <v>0</v>
      </c>
      <c r="BW27" s="51">
        <f>'Evolutive SFP'!BU10</f>
        <v>0</v>
      </c>
      <c r="BX27" s="51">
        <f>'Evolutive SFP'!BV10</f>
        <v>0</v>
      </c>
      <c r="BY27" s="51">
        <f>'Evolutive SFP'!BW10</f>
        <v>0</v>
      </c>
      <c r="BZ27" s="51">
        <f>'Evolutive SFP'!BX10</f>
        <v>0</v>
      </c>
      <c r="CA27" s="51">
        <f>'Evolutive SFP'!BY10</f>
        <v>0</v>
      </c>
      <c r="CB27" s="51">
        <f>'Evolutive SFP'!BZ10</f>
        <v>0</v>
      </c>
      <c r="CC27" s="51">
        <f>'Evolutive SFP'!CA10</f>
        <v>0</v>
      </c>
      <c r="CD27" s="51">
        <f>'Evolutive SFP'!CB10</f>
        <v>0</v>
      </c>
      <c r="CE27" s="51">
        <f>'Evolutive SFP'!CC10</f>
        <v>0</v>
      </c>
      <c r="CF27" s="51">
        <f>'Evolutive SFP'!CD10</f>
        <v>0</v>
      </c>
      <c r="CG27" s="51">
        <f>'Evolutive SFP'!CE10</f>
        <v>0</v>
      </c>
      <c r="CH27" s="51">
        <f>'Evolutive SFP'!CF10</f>
        <v>0</v>
      </c>
      <c r="CI27" s="51">
        <f>'Evolutive SFP'!CG10</f>
        <v>0</v>
      </c>
      <c r="CJ27" s="51">
        <f>'Evolutive SFP'!CH10</f>
        <v>0</v>
      </c>
      <c r="CK27" s="51">
        <f>'Evolutive SFP'!CI10</f>
        <v>0</v>
      </c>
      <c r="CL27" s="51">
        <f>'Evolutive SFP'!CJ10</f>
        <v>0</v>
      </c>
      <c r="CM27" s="51">
        <f>'Evolutive SFP'!CK10</f>
        <v>0</v>
      </c>
      <c r="CN27" s="51">
        <f>'Evolutive SFP'!CL10</f>
        <v>0</v>
      </c>
      <c r="CO27" s="51">
        <f>'Evolutive SFP'!CM10</f>
        <v>0</v>
      </c>
      <c r="CP27" s="51">
        <f>'Evolutive SFP'!CN10</f>
        <v>0</v>
      </c>
      <c r="CQ27" s="51">
        <f>'Evolutive SFP'!CO10</f>
        <v>0</v>
      </c>
      <c r="CR27" s="51">
        <f>'Evolutive SFP'!CP10</f>
        <v>0</v>
      </c>
    </row>
    <row r="28" spans="1:96">
      <c r="A28" s="37">
        <v>6.3</v>
      </c>
      <c r="B28" s="36" t="s">
        <v>195</v>
      </c>
      <c r="C28" s="51">
        <f>'Evolutive SFP'!B11</f>
        <v>0</v>
      </c>
      <c r="D28" s="51">
        <f>'Evolutive SFP'!C11</f>
        <v>3676702</v>
      </c>
      <c r="E28" s="51">
        <f>'Evolutive SFP'!D11</f>
        <v>15331014</v>
      </c>
      <c r="F28" s="51">
        <f>'Evolutive SFP'!E11</f>
        <v>17343283.68</v>
      </c>
      <c r="G28" s="51">
        <f>'Evolutive SFP'!F11</f>
        <v>0</v>
      </c>
      <c r="H28" s="51">
        <f>'Evolutive SFP'!G11</f>
        <v>12208811</v>
      </c>
      <c r="I28" s="51">
        <f>'Evolutive SFP'!H11</f>
        <v>6774463</v>
      </c>
      <c r="J28" s="51">
        <f>'Evolutive SFP'!I11</f>
        <v>13600888.18</v>
      </c>
      <c r="K28" s="51">
        <f>'Evolutive SFP'!J11</f>
        <v>7174463.3899999997</v>
      </c>
      <c r="L28" s="51">
        <f>'Evolutive SFP'!K11</f>
        <v>7374463.3700000001</v>
      </c>
      <c r="M28" s="51">
        <f>'Evolutive SFP'!L11</f>
        <v>7574463.3700000001</v>
      </c>
      <c r="N28" s="51">
        <f>'Evolutive SFP'!M11</f>
        <v>7774463.3700000001</v>
      </c>
      <c r="O28" s="51">
        <f>'Evolutive SFP'!N11</f>
        <v>8036911.75</v>
      </c>
      <c r="P28" s="51">
        <f>'Evolutive SFP'!O11</f>
        <v>8236911.75</v>
      </c>
      <c r="Q28" s="51">
        <f>'Evolutive SFP'!P11</f>
        <v>8436911.75</v>
      </c>
      <c r="R28" s="51">
        <f>'Evolutive SFP'!Q11</f>
        <v>8669496.25</v>
      </c>
      <c r="S28" s="51">
        <f>'Evolutive SFP'!R11</f>
        <v>8869496.25</v>
      </c>
      <c r="T28" s="51">
        <f>'Evolutive SFP'!S11</f>
        <v>9069496.25</v>
      </c>
      <c r="U28" s="51">
        <f>'Evolutive SFP'!T11</f>
        <v>9269496.25</v>
      </c>
      <c r="V28" s="51">
        <f>'Evolutive SFP'!U11</f>
        <v>9269496</v>
      </c>
      <c r="W28" s="51">
        <f>'Evolutive SFP'!V11</f>
        <v>9572745.5600000005</v>
      </c>
      <c r="X28" s="51">
        <f>'Evolutive SFP'!W11</f>
        <v>9772745.5600000005</v>
      </c>
      <c r="Y28" s="51">
        <f>'Evolutive SFP'!X11</f>
        <v>9972745.5600000005</v>
      </c>
      <c r="Z28" s="51">
        <f>'Evolutive SFP'!Y11</f>
        <v>10172745.560000001</v>
      </c>
      <c r="AA28" s="51">
        <f>'Evolutive SFP'!Z11</f>
        <v>10372745.560000001</v>
      </c>
      <c r="AB28" s="51">
        <f>'Evolutive SFP'!AA11</f>
        <v>10572745.560000001</v>
      </c>
      <c r="AC28" s="51">
        <f>'Evolutive SFP'!AB11</f>
        <v>10772745.560000001</v>
      </c>
      <c r="AD28" s="51">
        <f>'Evolutive SFP'!AC11</f>
        <v>10972745.560000001</v>
      </c>
      <c r="AE28" s="51">
        <f>'Evolutive SFP'!AD11</f>
        <v>11172745.560000001</v>
      </c>
      <c r="AF28" s="51">
        <f>'Evolutive SFP'!AE11</f>
        <v>11372745.560000001</v>
      </c>
      <c r="AG28" s="51">
        <f>'Evolutive SFP'!AF11</f>
        <v>11572745.560000001</v>
      </c>
      <c r="AH28" s="51">
        <f>'Evolutive SFP'!AG11</f>
        <v>11809940.539999999</v>
      </c>
      <c r="AI28" s="51">
        <f>'Evolutive SFP'!AH11</f>
        <v>11809940.539999999</v>
      </c>
      <c r="AJ28" s="51">
        <f>'Evolutive SFP'!AI11</f>
        <v>12009940.539999999</v>
      </c>
      <c r="AK28" s="51">
        <f>'Evolutive SFP'!AJ11</f>
        <v>12209940.539999999</v>
      </c>
      <c r="AL28" s="51">
        <f>'Evolutive SFP'!AK11</f>
        <v>12409940.539999999</v>
      </c>
      <c r="AM28" s="51">
        <f>'Evolutive SFP'!AL11</f>
        <v>12609940.539999999</v>
      </c>
      <c r="AN28" s="51">
        <f>'Evolutive SFP'!AM11</f>
        <v>12809940.539999999</v>
      </c>
      <c r="AO28" s="51">
        <f>'Evolutive SFP'!AN11</f>
        <v>13009940.539999999</v>
      </c>
      <c r="AP28" s="51">
        <f>'Evolutive SFP'!AO11</f>
        <v>13209940.52</v>
      </c>
      <c r="AQ28" s="51">
        <f>'Evolutive SFP'!AP11</f>
        <v>13409940.539999999</v>
      </c>
      <c r="AR28" s="51">
        <f>'Evolutive SFP'!AQ11</f>
        <v>13609940.539999999</v>
      </c>
      <c r="AS28" s="51">
        <f>'Evolutive SFP'!AR11</f>
        <v>13809940.539999999</v>
      </c>
      <c r="AT28" s="51">
        <f>'Evolutive SFP'!AS11</f>
        <v>14204390.810000001</v>
      </c>
      <c r="AU28" s="51">
        <f>'Evolutive SFP'!AT11</f>
        <v>14254390.810000001</v>
      </c>
      <c r="AV28" s="51">
        <f>'Evolutive SFP'!AU11</f>
        <v>46262879.810000002</v>
      </c>
      <c r="AW28" s="51">
        <f>'Evolutive SFP'!AV11</f>
        <v>14504390.810000001</v>
      </c>
      <c r="AX28" s="51">
        <f>'Evolutive SFP'!AV11</f>
        <v>14504390.810000001</v>
      </c>
      <c r="AY28" s="51">
        <f>'Evolutive SFP'!AW11</f>
        <v>14704390.810000001</v>
      </c>
      <c r="AZ28" s="51">
        <f>'Evolutive SFP'!AX11</f>
        <v>9304390.8100000005</v>
      </c>
      <c r="BA28" s="51">
        <f>'Evolutive SFP'!AY11</f>
        <v>9504390.8100000005</v>
      </c>
      <c r="BB28" s="51">
        <f>'Evolutive SFP'!AZ11</f>
        <v>10054390.810000001</v>
      </c>
      <c r="BC28" s="51">
        <f>'Evolutive SFP'!BA11</f>
        <v>0</v>
      </c>
      <c r="BD28" s="51">
        <f>'Evolutive SFP'!BB11</f>
        <v>56415200.549999997</v>
      </c>
      <c r="BE28" s="51">
        <f>'Evolutive SFP'!BC11</f>
        <v>11833040.109999999</v>
      </c>
      <c r="BF28" s="51">
        <f>'Evolutive SFP'!BD11</f>
        <v>12383040.109999999</v>
      </c>
      <c r="BG28" s="51">
        <f>'Evolutive SFP'!BE11</f>
        <v>12933040.109999999</v>
      </c>
      <c r="BH28" s="51">
        <f>'Evolutive SFP'!BF11</f>
        <v>13483040.109999999</v>
      </c>
      <c r="BI28" s="51">
        <f>'Evolutive SFP'!BG11</f>
        <v>56376329</v>
      </c>
      <c r="BJ28" s="51">
        <f>'Evolutive SFP'!BH11</f>
        <v>14033040.109999999</v>
      </c>
      <c r="BK28" s="51">
        <f>'Evolutive SFP'!BI11</f>
        <v>14583040.109999999</v>
      </c>
      <c r="BL28" s="51">
        <f>'Evolutive SFP'!BJ11</f>
        <v>15270412.619999999</v>
      </c>
      <c r="BM28" s="51">
        <f>'Evolutive SFP'!BK11</f>
        <v>15820412.619999999</v>
      </c>
      <c r="BN28" s="51">
        <f>'Evolutive SFP'!BL11</f>
        <v>16418164.619999999</v>
      </c>
      <c r="BO28" s="51">
        <f>'Evolutive SFP'!BM11</f>
        <v>16968164.620000001</v>
      </c>
      <c r="BP28" s="51">
        <f>'Evolutive SFP'!BN11</f>
        <v>17518164.620000001</v>
      </c>
      <c r="BQ28" s="51">
        <f>'Evolutive SFP'!BO11</f>
        <v>10116905.380000001</v>
      </c>
      <c r="BR28" s="51">
        <f>'Evolutive SFP'!BP11</f>
        <v>10666905.380000001</v>
      </c>
      <c r="BS28" s="51">
        <f>'Evolutive SFP'!BQ11</f>
        <v>11266639.85</v>
      </c>
      <c r="BT28" s="51">
        <f>'Evolutive SFP'!BR11</f>
        <v>11816639.85</v>
      </c>
      <c r="BU28" s="51">
        <f>'Evolutive SFP'!BS11</f>
        <v>12416374</v>
      </c>
      <c r="BV28" s="51">
        <f>'Evolutive SFP'!BT11</f>
        <v>12416374</v>
      </c>
      <c r="BW28" s="51">
        <f>'Evolutive SFP'!BU11</f>
        <v>0</v>
      </c>
      <c r="BX28" s="51">
        <f>'Evolutive SFP'!BV11</f>
        <v>0</v>
      </c>
      <c r="BY28" s="51">
        <f>'Evolutive SFP'!BW11</f>
        <v>0</v>
      </c>
      <c r="BZ28" s="51">
        <f>'Evolutive SFP'!BX11</f>
        <v>0</v>
      </c>
      <c r="CA28" s="51">
        <f>'Evolutive SFP'!BY11</f>
        <v>0</v>
      </c>
      <c r="CB28" s="51">
        <f>'Evolutive SFP'!BZ11</f>
        <v>0</v>
      </c>
      <c r="CC28" s="51">
        <f>'Evolutive SFP'!CA11</f>
        <v>0</v>
      </c>
      <c r="CD28" s="51">
        <f>'Evolutive SFP'!CB11</f>
        <v>0</v>
      </c>
      <c r="CE28" s="51">
        <f>'Evolutive SFP'!CC11</f>
        <v>0</v>
      </c>
      <c r="CF28" s="51">
        <f>'Evolutive SFP'!CD11</f>
        <v>0</v>
      </c>
      <c r="CG28" s="51">
        <f>'Evolutive SFP'!CE11</f>
        <v>0</v>
      </c>
      <c r="CH28" s="51">
        <f>'Evolutive SFP'!CF11</f>
        <v>0</v>
      </c>
      <c r="CI28" s="51">
        <f>'Evolutive SFP'!CG11</f>
        <v>19548923</v>
      </c>
      <c r="CJ28" s="51">
        <f>'Evolutive SFP'!CH11</f>
        <v>20098923.25</v>
      </c>
      <c r="CK28" s="51">
        <f>'Evolutive SFP'!CI11</f>
        <v>20648923.25</v>
      </c>
      <c r="CL28" s="51">
        <f>'Evolutive SFP'!CJ11</f>
        <v>11628908</v>
      </c>
      <c r="CM28" s="51">
        <f>'Evolutive SFP'!CK11</f>
        <v>42178905</v>
      </c>
      <c r="CN28" s="51">
        <f>'Evolutive SFP'!CL11</f>
        <v>42728908</v>
      </c>
      <c r="CO28" s="51">
        <f>'Evolutive SFP'!CM11</f>
        <v>43606542.789999999</v>
      </c>
      <c r="CP28" s="51">
        <f>'Evolutive SFP'!CN11</f>
        <v>44156542.789999999</v>
      </c>
      <c r="CQ28" s="51">
        <f>'Evolutive SFP'!CO11</f>
        <v>74706542.790000007</v>
      </c>
      <c r="CR28" s="51">
        <f>'Evolutive SFP'!CP11</f>
        <v>75259559.159999996</v>
      </c>
    </row>
    <row r="29" spans="1:96">
      <c r="A29" s="35"/>
      <c r="B29" s="36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47"/>
      <c r="AA29" s="147"/>
      <c r="AB29" s="147"/>
      <c r="AC29" s="147"/>
      <c r="AD29" s="147"/>
      <c r="AE29" s="147"/>
      <c r="AF29" s="147"/>
      <c r="AG29" s="147"/>
    </row>
    <row r="30" spans="1:96">
      <c r="A30" s="37">
        <v>7</v>
      </c>
      <c r="B30" s="35" t="s">
        <v>196</v>
      </c>
      <c r="C30" s="51">
        <f>'Evolutive SFP'!B14</f>
        <v>263143330</v>
      </c>
      <c r="D30" s="51">
        <f>'Evolutive SFP'!C14</f>
        <v>294845459</v>
      </c>
      <c r="E30" s="51">
        <f>'Evolutive SFP'!D14</f>
        <v>318026558</v>
      </c>
      <c r="F30" s="51">
        <f>'Evolutive SFP'!E14</f>
        <v>351690198.05000001</v>
      </c>
      <c r="G30" s="51">
        <f>'Evolutive SFP'!F14</f>
        <v>350184189</v>
      </c>
      <c r="H30" s="51">
        <f>'Evolutive SFP'!G14</f>
        <v>376107614</v>
      </c>
      <c r="I30" s="51">
        <f>'Evolutive SFP'!H14</f>
        <v>468334250</v>
      </c>
      <c r="J30" s="51">
        <f>'Evolutive SFP'!I14</f>
        <v>490992594.75</v>
      </c>
      <c r="K30" s="51">
        <f>'Evolutive SFP'!J14</f>
        <v>474773060.31</v>
      </c>
      <c r="L30" s="51">
        <f>'Evolutive SFP'!K14</f>
        <v>472790661.16000003</v>
      </c>
      <c r="M30" s="51">
        <f>'Evolutive SFP'!L14</f>
        <v>482367281.81</v>
      </c>
      <c r="N30" s="51">
        <f>'Evolutive SFP'!M14</f>
        <v>483058226.95999998</v>
      </c>
      <c r="O30" s="51">
        <f>'Evolutive SFP'!N14</f>
        <v>486988138.39999998</v>
      </c>
      <c r="P30" s="51">
        <f>'Evolutive SFP'!O14</f>
        <v>504734645.75</v>
      </c>
      <c r="Q30" s="51">
        <f>'Evolutive SFP'!P14</f>
        <v>506100934.66999996</v>
      </c>
      <c r="R30" s="51">
        <f>'Evolutive SFP'!Q14</f>
        <v>514438047.29000002</v>
      </c>
      <c r="S30" s="51">
        <f>'Evolutive SFP'!R14</f>
        <v>531777136.57999998</v>
      </c>
      <c r="T30" s="51">
        <f>'Evolutive SFP'!S14</f>
        <v>539595812.36000001</v>
      </c>
      <c r="U30" s="51">
        <f>'Evolutive SFP'!T14</f>
        <v>551940772.53000009</v>
      </c>
      <c r="V30" s="51">
        <f>'Evolutive SFP'!U14</f>
        <v>551940772</v>
      </c>
      <c r="W30" s="51">
        <f>'Evolutive SFP'!V14</f>
        <v>547833738.01999998</v>
      </c>
      <c r="X30" s="51">
        <f>'Evolutive SFP'!W14</f>
        <v>548629793.03000009</v>
      </c>
      <c r="Y30" s="51">
        <f>'Evolutive SFP'!X14</f>
        <v>544801786.21999991</v>
      </c>
      <c r="Z30" s="51">
        <f>'Evolutive SFP'!Y14</f>
        <v>555960980.39999998</v>
      </c>
      <c r="AA30" s="51">
        <f>'Evolutive SFP'!Z14</f>
        <v>567666848.59000003</v>
      </c>
      <c r="AB30" s="51">
        <f>'Evolutive SFP'!AA14</f>
        <v>574898750.69000006</v>
      </c>
      <c r="AC30" s="51">
        <f>'Evolutive SFP'!AB14</f>
        <v>583357154.63999999</v>
      </c>
      <c r="AD30" s="51">
        <f>'Evolutive SFP'!AC14</f>
        <v>604407550.94000006</v>
      </c>
      <c r="AE30" s="51">
        <f>'Evolutive SFP'!AD14</f>
        <v>613777327.38</v>
      </c>
      <c r="AF30" s="51">
        <f>'Evolutive SFP'!AE14</f>
        <v>613673083.3499999</v>
      </c>
      <c r="AG30" s="51">
        <f>'Evolutive SFP'!AF14</f>
        <v>634471629.7700001</v>
      </c>
      <c r="AH30" s="51">
        <f>'Evolutive SFP'!AG14</f>
        <v>640827787.48000002</v>
      </c>
      <c r="AI30" s="51">
        <f>'Evolutive SFP'!AH14</f>
        <v>640827787.46999991</v>
      </c>
      <c r="AJ30" s="51">
        <f>'Evolutive SFP'!AI14</f>
        <v>648410536.71000004</v>
      </c>
      <c r="AK30" s="51">
        <f>'Evolutive SFP'!AJ14</f>
        <v>648498011.6400001</v>
      </c>
      <c r="AL30" s="51">
        <f>'Evolutive SFP'!AK14</f>
        <v>638320353.00999999</v>
      </c>
      <c r="AM30" s="51">
        <f>'Evolutive SFP'!AL14</f>
        <v>642348393.47000003</v>
      </c>
      <c r="AN30" s="51">
        <f>'Evolutive SFP'!AM14</f>
        <v>654752099.16999996</v>
      </c>
      <c r="AO30" s="51">
        <f>'Evolutive SFP'!AN14</f>
        <v>653060430.16999996</v>
      </c>
      <c r="AP30" s="51">
        <f>'Evolutive SFP'!AO14</f>
        <v>660019159.01999998</v>
      </c>
      <c r="AQ30" s="51">
        <f>'Evolutive SFP'!AP14</f>
        <v>673537132.30999994</v>
      </c>
      <c r="AR30" s="51">
        <f>'Evolutive SFP'!AQ14</f>
        <v>669845482.16999996</v>
      </c>
      <c r="AS30" s="51">
        <f>'Evolutive SFP'!AR14</f>
        <v>678240129.72000003</v>
      </c>
      <c r="AT30" s="51">
        <f>'Evolutive SFP'!AS14</f>
        <v>695320542.27999997</v>
      </c>
      <c r="AU30" s="51">
        <f>'Evolutive SFP'!AT14</f>
        <v>704403830.77999997</v>
      </c>
      <c r="AV30" s="51">
        <f>'Evolutive SFP'!AU14</f>
        <v>704403830.78000009</v>
      </c>
      <c r="AW30" s="51">
        <f>'Evolutive SFP'!AV14</f>
        <v>701606254.94999993</v>
      </c>
      <c r="AX30" s="51">
        <f>'Evolutive SFP'!AW14</f>
        <v>701272178.26999998</v>
      </c>
      <c r="AY30" s="51">
        <f>'Evolutive SFP'!AW14</f>
        <v>701272178.26999998</v>
      </c>
      <c r="AZ30" s="51">
        <f>'Evolutive SFP'!AX14</f>
        <v>698632607.26000011</v>
      </c>
      <c r="BA30" s="51">
        <f>'Evolutive SFP'!AY14</f>
        <v>689101682.85000002</v>
      </c>
      <c r="BB30" s="51">
        <f>'Evolutive SFP'!AZ14</f>
        <v>681443950.80000007</v>
      </c>
      <c r="BC30" s="51">
        <f>'Evolutive SFP'!BA14</f>
        <v>0</v>
      </c>
      <c r="BD30" s="51">
        <f>'Evolutive SFP'!BB14</f>
        <v>3508172049.3500004</v>
      </c>
      <c r="BE30" s="51">
        <f>'Evolutive SFP'!BC14</f>
        <v>705720654.43999994</v>
      </c>
      <c r="BF30" s="51">
        <f>'Evolutive SFP'!BD14</f>
        <v>718610727.19000006</v>
      </c>
      <c r="BG30" s="51">
        <f>'Evolutive SFP'!BE14</f>
        <v>717568251.63999999</v>
      </c>
      <c r="BH30" s="51">
        <f>'Evolutive SFP'!BF14</f>
        <v>729214361.96000004</v>
      </c>
      <c r="BI30" s="51">
        <f>'Evolutive SFP'!BG14</f>
        <v>729214362</v>
      </c>
      <c r="BJ30" s="51">
        <f>'Evolutive SFP'!BH14</f>
        <v>733392309.27999997</v>
      </c>
      <c r="BK30" s="51">
        <f>'Evolutive SFP'!BI14</f>
        <v>719870200.81000006</v>
      </c>
      <c r="BL30" s="51">
        <f>'Evolutive SFP'!BJ14</f>
        <v>726193472.95999992</v>
      </c>
      <c r="BM30" s="51">
        <f>'Evolutive SFP'!BK14</f>
        <v>744490887.01999998</v>
      </c>
      <c r="BN30" s="51">
        <f>'Evolutive SFP'!BL14</f>
        <v>745478460.6500001</v>
      </c>
      <c r="BO30" s="51">
        <f>'Evolutive SFP'!BM14</f>
        <v>756148319.28999996</v>
      </c>
      <c r="BP30" s="51">
        <f>'Evolutive SFP'!BN14</f>
        <v>766646062.01999998</v>
      </c>
      <c r="BQ30" s="51">
        <f>'Evolutive SFP'!BO14</f>
        <v>773969958.5</v>
      </c>
      <c r="BR30" s="51">
        <f>'Evolutive SFP'!BP14</f>
        <v>783962663.12</v>
      </c>
      <c r="BS30" s="51">
        <f>'Evolutive SFP'!BQ14</f>
        <v>796476369.57999992</v>
      </c>
      <c r="BT30" s="51">
        <f>'Evolutive SFP'!BR14</f>
        <v>803527307.09000003</v>
      </c>
      <c r="BU30" s="51">
        <f>'Evolutive SFP'!BS14</f>
        <v>816173018.79999995</v>
      </c>
      <c r="BV30" s="51">
        <f>'Evolutive SFP'!BT14</f>
        <v>806427604</v>
      </c>
      <c r="BW30" s="51">
        <f>'Evolutive SFP'!BU14</f>
        <v>800986095.98000002</v>
      </c>
      <c r="BX30" s="51">
        <f>'Evolutive SFP'!BV14</f>
        <v>804806178.52999997</v>
      </c>
      <c r="BY30" s="51">
        <f>'Evolutive SFP'!BW14</f>
        <v>810604346.07000005</v>
      </c>
      <c r="BZ30" s="51">
        <f>'Evolutive SFP'!BX14</f>
        <v>830139856.79000008</v>
      </c>
      <c r="CA30" s="51">
        <f>'Evolutive SFP'!BY14</f>
        <v>828188078.90999997</v>
      </c>
      <c r="CB30" s="51">
        <f>'Evolutive SFP'!BZ14</f>
        <v>824693309.33999991</v>
      </c>
      <c r="CC30" s="51">
        <f>'Evolutive SFP'!CA14</f>
        <v>828398997.33000004</v>
      </c>
      <c r="CD30" s="51">
        <f>'Evolutive SFP'!CB14</f>
        <v>824759912.58999991</v>
      </c>
      <c r="CE30" s="51">
        <f>'Evolutive SFP'!CC14</f>
        <v>823887386.26999998</v>
      </c>
      <c r="CF30" s="51">
        <f>'Evolutive SFP'!CD14</f>
        <v>827388530.13999999</v>
      </c>
      <c r="CG30" s="51">
        <f>'Evolutive SFP'!CE14</f>
        <v>830925413.33000004</v>
      </c>
      <c r="CH30" s="51">
        <f>'Evolutive SFP'!CF14</f>
        <v>824642574.07000005</v>
      </c>
      <c r="CI30" s="51">
        <f>'Evolutive SFP'!CG14</f>
        <v>824642574.07000005</v>
      </c>
      <c r="CJ30" s="51">
        <f>'Evolutive SFP'!CH14</f>
        <v>111958072.66000001</v>
      </c>
      <c r="CK30" s="51">
        <f>'Evolutive SFP'!CI14</f>
        <v>834814988.28999996</v>
      </c>
      <c r="CL30" s="51">
        <f>'Evolutive SFP'!CJ14</f>
        <v>825399842.81000006</v>
      </c>
      <c r="CM30" s="51">
        <f>'Evolutive SFP'!CK14</f>
        <v>849168606.13</v>
      </c>
      <c r="CN30" s="51">
        <f>'Evolutive SFP'!CL14</f>
        <v>828911591.57000005</v>
      </c>
      <c r="CO30" s="51">
        <f>'Evolutive SFP'!CM14</f>
        <v>825836059.84000003</v>
      </c>
      <c r="CP30" s="51">
        <f>'Evolutive SFP'!CN14</f>
        <v>826788399.53999996</v>
      </c>
      <c r="CQ30" s="51">
        <f>'Evolutive SFP'!CO14</f>
        <v>841246324.49000001</v>
      </c>
      <c r="CR30" s="51">
        <f>'Evolutive SFP'!CP14</f>
        <v>850775485.57000005</v>
      </c>
    </row>
    <row r="31" spans="1:96">
      <c r="A31" s="37">
        <v>7.1</v>
      </c>
      <c r="B31" s="35" t="s">
        <v>197</v>
      </c>
      <c r="C31" s="51">
        <f>'Evolutive SFP'!B15</f>
        <v>263143330</v>
      </c>
      <c r="D31" s="51">
        <f>'Evolutive SFP'!C15</f>
        <v>296918859</v>
      </c>
      <c r="E31" s="51">
        <f>'Evolutive SFP'!D15</f>
        <v>325298062</v>
      </c>
      <c r="F31" s="51">
        <f>'Evolutive SFP'!E15</f>
        <v>359151994.25</v>
      </c>
      <c r="G31" s="51">
        <f>'Evolutive SFP'!F15</f>
        <v>360786989</v>
      </c>
      <c r="H31" s="51">
        <f>'Evolutive SFP'!G15</f>
        <v>389781182</v>
      </c>
      <c r="I31" s="51">
        <f>'Evolutive SFP'!H15</f>
        <v>491527931</v>
      </c>
      <c r="J31" s="51">
        <f>'Evolutive SFP'!I15</f>
        <v>504684561.10000002</v>
      </c>
      <c r="K31" s="51">
        <f>'Evolutive SFP'!J15</f>
        <v>496885913.99000001</v>
      </c>
      <c r="L31" s="51">
        <f>'Evolutive SFP'!K15</f>
        <v>494560153.48000002</v>
      </c>
      <c r="M31" s="51">
        <f>'Evolutive SFP'!L15</f>
        <v>504651604.94</v>
      </c>
      <c r="N31" s="51">
        <f>'Evolutive SFP'!M15</f>
        <v>504932884.94999999</v>
      </c>
      <c r="O31" s="51">
        <f>'Evolutive SFP'!N15</f>
        <v>509122430.58999997</v>
      </c>
      <c r="P31" s="51">
        <f>'Evolutive SFP'!O15</f>
        <v>526538565.16000003</v>
      </c>
      <c r="Q31" s="51">
        <f>'Evolutive SFP'!P15</f>
        <v>528160450.44999999</v>
      </c>
      <c r="R31" s="51">
        <f>'Evolutive SFP'!Q15</f>
        <v>537193156.09000003</v>
      </c>
      <c r="S31" s="51">
        <f>'Evolutive SFP'!R15</f>
        <v>554532245.38</v>
      </c>
      <c r="T31" s="51">
        <f>'Evolutive SFP'!S15</f>
        <v>560420110.48000002</v>
      </c>
      <c r="U31" s="51">
        <f>'Evolutive SFP'!T15</f>
        <v>574184811.34000003</v>
      </c>
      <c r="V31" s="51">
        <f>'Evolutive SFP'!U15</f>
        <v>574184811</v>
      </c>
      <c r="W31" s="51">
        <f>'Evolutive SFP'!V15</f>
        <v>572677141.85000002</v>
      </c>
      <c r="X31" s="51">
        <f>'Evolutive SFP'!W15</f>
        <v>572805477.07000005</v>
      </c>
      <c r="Y31" s="51">
        <f>'Evolutive SFP'!X15</f>
        <v>568068004.30999994</v>
      </c>
      <c r="Z31" s="51">
        <f>'Evolutive SFP'!Y15</f>
        <v>578585063.66999996</v>
      </c>
      <c r="AA31" s="51">
        <f>'Evolutive SFP'!Z15</f>
        <v>589566320.19000006</v>
      </c>
      <c r="AB31" s="51">
        <f>'Evolutive SFP'!AA15</f>
        <v>596744540.21000004</v>
      </c>
      <c r="AC31" s="51">
        <f>'Evolutive SFP'!AB15</f>
        <v>605202944.15999997</v>
      </c>
      <c r="AD31" s="51">
        <f>'Evolutive SFP'!AC15</f>
        <v>626253340.46000004</v>
      </c>
      <c r="AE31" s="51">
        <f>'Evolutive SFP'!AD15</f>
        <v>636709171.95000005</v>
      </c>
      <c r="AF31" s="51">
        <f>'Evolutive SFP'!AE15</f>
        <v>634774041.79999995</v>
      </c>
      <c r="AG31" s="51">
        <f>'Evolutive SFP'!AF15</f>
        <v>655206042.33000004</v>
      </c>
      <c r="AH31" s="51">
        <f>'Evolutive SFP'!AG15</f>
        <v>661054784.78999996</v>
      </c>
      <c r="AI31" s="51">
        <f>'Evolutive SFP'!AH15</f>
        <v>661054784.78999996</v>
      </c>
      <c r="AJ31" s="51">
        <f>'Evolutive SFP'!AI15</f>
        <v>668637534.01999998</v>
      </c>
      <c r="AK31" s="51">
        <f>'Evolutive SFP'!AJ15</f>
        <v>668725008.95000005</v>
      </c>
      <c r="AL31" s="51">
        <f>'Evolutive SFP'!AK15</f>
        <v>658410622.36000001</v>
      </c>
      <c r="AM31" s="51">
        <f>'Evolutive SFP'!AL15</f>
        <v>662438662.82000005</v>
      </c>
      <c r="AN31" s="51">
        <f>'Evolutive SFP'!AM15</f>
        <v>673808903.02999997</v>
      </c>
      <c r="AO31" s="51">
        <f>'Evolutive SFP'!AN15</f>
        <v>672706727.30999994</v>
      </c>
      <c r="AP31" s="51">
        <f>'Evolutive SFP'!AO15</f>
        <v>679665456.15999997</v>
      </c>
      <c r="AQ31" s="51">
        <f>'Evolutive SFP'!AP15</f>
        <v>696247390.25999999</v>
      </c>
      <c r="AR31" s="51">
        <f>'Evolutive SFP'!AQ15</f>
        <v>694144920.04999995</v>
      </c>
      <c r="AS31" s="51">
        <f>'Evolutive SFP'!AR15</f>
        <v>703079239.38</v>
      </c>
      <c r="AT31" s="51">
        <f>'Evolutive SFP'!AS15</f>
        <v>721493014.90999997</v>
      </c>
      <c r="AU31" s="51">
        <f>'Evolutive SFP'!AT15</f>
        <v>731291820.90999997</v>
      </c>
      <c r="AV31" s="51">
        <f>'Evolutive SFP'!AU15</f>
        <v>731291820.91000009</v>
      </c>
      <c r="AW31" s="51">
        <f>'Evolutive SFP'!AV15</f>
        <v>725988217.53999996</v>
      </c>
      <c r="AX31" s="51">
        <f>'Evolutive SFP'!AV15</f>
        <v>725988217.53999996</v>
      </c>
      <c r="AY31" s="51">
        <f>'Evolutive SFP'!AW15</f>
        <v>724381794.25999999</v>
      </c>
      <c r="AZ31" s="51">
        <f>'Evolutive SFP'!AX15</f>
        <v>723479402.69000006</v>
      </c>
      <c r="BA31" s="51">
        <f>'Evolutive SFP'!AY15</f>
        <v>715369427.45000005</v>
      </c>
      <c r="BB31" s="51">
        <f>'Evolutive SFP'!AZ15</f>
        <v>711140838.20000005</v>
      </c>
      <c r="BC31" s="51">
        <f>'Evolutive SFP'!BA15</f>
        <v>0</v>
      </c>
      <c r="BD31" s="51">
        <f>'Evolutive SFP'!BB15</f>
        <v>3666217564.0500002</v>
      </c>
      <c r="BE31" s="51">
        <f>'Evolutive SFP'!BC15</f>
        <v>739032842.38999999</v>
      </c>
      <c r="BF31" s="51">
        <f>'Evolutive SFP'!BD15</f>
        <v>751375401.95000005</v>
      </c>
      <c r="BG31" s="51">
        <f>'Evolutive SFP'!BE15</f>
        <v>756948205.28999996</v>
      </c>
      <c r="BH31" s="51">
        <f>'Evolutive SFP'!BF15</f>
        <v>764103963.84000003</v>
      </c>
      <c r="BI31" s="51">
        <f>'Evolutive SFP'!BG15</f>
        <v>764103964</v>
      </c>
      <c r="BJ31" s="51">
        <f>'Evolutive SFP'!BH15</f>
        <v>763567310.13</v>
      </c>
      <c r="BK31" s="51">
        <f>'Evolutive SFP'!BI15</f>
        <v>752977189.12</v>
      </c>
      <c r="BL31" s="51">
        <f>'Evolutive SFP'!BJ15</f>
        <v>758213855.65999997</v>
      </c>
      <c r="BM31" s="51">
        <f>'Evolutive SFP'!BK15</f>
        <v>773490828.62</v>
      </c>
      <c r="BN31" s="51">
        <f>'Evolutive SFP'!BL15</f>
        <v>776013767.69000006</v>
      </c>
      <c r="BO31" s="51">
        <f>'Evolutive SFP'!BM15</f>
        <v>785834216.39999998</v>
      </c>
      <c r="BP31" s="51">
        <f>'Evolutive SFP'!BN15</f>
        <v>801999899.47000003</v>
      </c>
      <c r="BQ31" s="51">
        <f>'Evolutive SFP'!BO15</f>
        <v>803200646.36000001</v>
      </c>
      <c r="BR31" s="51">
        <f>'Evolutive SFP'!BP15</f>
        <v>812682246.66999996</v>
      </c>
      <c r="BS31" s="51">
        <f>'Evolutive SFP'!BQ15</f>
        <v>822559717.26999998</v>
      </c>
      <c r="BT31" s="51">
        <f>'Evolutive SFP'!BR15</f>
        <v>830088890.74000001</v>
      </c>
      <c r="BU31" s="51">
        <f>'Evolutive SFP'!BS15</f>
        <v>841317205.87</v>
      </c>
      <c r="BV31" s="51">
        <f>'Evolutive SFP'!BT15</f>
        <v>841317206</v>
      </c>
      <c r="BW31" s="51">
        <f>'Evolutive SFP'!BU15</f>
        <v>835875697.86000001</v>
      </c>
      <c r="BX31" s="51">
        <f>'Evolutive SFP'!BV15</f>
        <v>832153861.63999999</v>
      </c>
      <c r="BY31" s="51">
        <f>'Evolutive SFP'!BW15</f>
        <v>838383149.85000002</v>
      </c>
      <c r="BZ31" s="51">
        <f>'Evolutive SFP'!BX15</f>
        <v>856719034.84000003</v>
      </c>
      <c r="CA31" s="51">
        <f>'Evolutive SFP'!BY15</f>
        <v>853328652.50999999</v>
      </c>
      <c r="CB31" s="51">
        <f>'Evolutive SFP'!BZ15</f>
        <v>844536714.03999996</v>
      </c>
      <c r="CC31" s="51">
        <f>'Evolutive SFP'!CA15</f>
        <v>848168998.86000001</v>
      </c>
      <c r="CD31" s="51">
        <f>'Evolutive SFP'!CB15</f>
        <v>846008086.91999996</v>
      </c>
      <c r="CE31" s="51">
        <f>'Evolutive SFP'!CC15</f>
        <v>842616213.02999997</v>
      </c>
      <c r="CF31" s="51">
        <f>'Evolutive SFP'!CD15</f>
        <v>844134516.21000004</v>
      </c>
      <c r="CG31" s="51">
        <f>'Evolutive SFP'!CE15</f>
        <v>847639210.88999999</v>
      </c>
      <c r="CH31" s="51">
        <f>'Evolutive SFP'!CF15</f>
        <v>851512505.69000006</v>
      </c>
      <c r="CI31" s="51">
        <f>'Evolutive SFP'!CG15</f>
        <v>851512505.69000006</v>
      </c>
      <c r="CJ31" s="51">
        <f>'Evolutive SFP'!CH15</f>
        <v>85088141.040000007</v>
      </c>
      <c r="CK31" s="51">
        <f>'Evolutive SFP'!CI15</f>
        <v>851508298.67999995</v>
      </c>
      <c r="CL31" s="51">
        <f>'Evolutive SFP'!CJ15</f>
        <v>841470876.97000003</v>
      </c>
      <c r="CM31" s="51">
        <f>'Evolutive SFP'!CK15</f>
        <v>865116640.28999996</v>
      </c>
      <c r="CN31" s="51">
        <f>'Evolutive SFP'!CL15</f>
        <v>845043852.13</v>
      </c>
      <c r="CO31" s="51">
        <f>'Evolutive SFP'!CM15</f>
        <v>841002629.71000004</v>
      </c>
      <c r="CP31" s="51">
        <f>'Evolutive SFP'!CN15</f>
        <v>846436264.91999996</v>
      </c>
      <c r="CQ31" s="51">
        <f>'Evolutive SFP'!CO15</f>
        <v>859475647.02999997</v>
      </c>
      <c r="CR31" s="51">
        <f>'Evolutive SFP'!CP15</f>
        <v>870441241.19000006</v>
      </c>
    </row>
    <row r="32" spans="1:96">
      <c r="A32" s="37">
        <v>7.2</v>
      </c>
      <c r="B32" s="35" t="s">
        <v>198</v>
      </c>
      <c r="C32" s="51">
        <f>'Evolutive SFP'!B16</f>
        <v>0</v>
      </c>
      <c r="D32" s="51">
        <f>'Evolutive SFP'!C16</f>
        <v>2073400</v>
      </c>
      <c r="E32" s="51">
        <f>'Evolutive SFP'!D16</f>
        <v>7271504</v>
      </c>
      <c r="F32" s="51">
        <f>'Evolutive SFP'!E16</f>
        <v>7461796.2000000002</v>
      </c>
      <c r="G32" s="51">
        <f>'Evolutive SFP'!F16</f>
        <v>10602800</v>
      </c>
      <c r="H32" s="51">
        <f>'Evolutive SFP'!G16</f>
        <v>13673568</v>
      </c>
      <c r="I32" s="51">
        <f>'Evolutive SFP'!H16</f>
        <v>23193681</v>
      </c>
      <c r="J32" s="51">
        <f>'Evolutive SFP'!I16</f>
        <v>13691966.35</v>
      </c>
      <c r="K32" s="51">
        <f>'Evolutive SFP'!J16</f>
        <v>22112853.68</v>
      </c>
      <c r="L32" s="51">
        <f>'Evolutive SFP'!K16</f>
        <v>21769492.32</v>
      </c>
      <c r="M32" s="51">
        <f>'Evolutive SFP'!L16</f>
        <v>22284323.129999999</v>
      </c>
      <c r="N32" s="51">
        <f>'Evolutive SFP'!M16</f>
        <v>21874657.989999998</v>
      </c>
      <c r="O32" s="51">
        <f>'Evolutive SFP'!N16</f>
        <v>22134292.190000001</v>
      </c>
      <c r="P32" s="51">
        <f>'Evolutive SFP'!O16</f>
        <v>21803919.41</v>
      </c>
      <c r="Q32" s="51">
        <f>'Evolutive SFP'!P16</f>
        <v>22059515.780000001</v>
      </c>
      <c r="R32" s="51">
        <f>'Evolutive SFP'!Q16</f>
        <v>22755108.800000001</v>
      </c>
      <c r="S32" s="51">
        <f>'Evolutive SFP'!R16</f>
        <v>22755108.800000001</v>
      </c>
      <c r="T32" s="51">
        <f>'Evolutive SFP'!S16</f>
        <v>20824298.120000001</v>
      </c>
      <c r="U32" s="51">
        <f>'Evolutive SFP'!T16</f>
        <v>22244038.809999999</v>
      </c>
      <c r="V32" s="51">
        <f>'Evolutive SFP'!U16</f>
        <v>22244039</v>
      </c>
      <c r="W32" s="51">
        <f>'Evolutive SFP'!V16</f>
        <v>24843403.829999998</v>
      </c>
      <c r="X32" s="51">
        <f>'Evolutive SFP'!W16</f>
        <v>24175684.039999999</v>
      </c>
      <c r="Y32" s="51">
        <f>'Evolutive SFP'!X16</f>
        <v>23266218.09</v>
      </c>
      <c r="Z32" s="51">
        <f>'Evolutive SFP'!Y16</f>
        <v>22624083.27</v>
      </c>
      <c r="AA32" s="51">
        <f>'Evolutive SFP'!Z16</f>
        <v>21899471.600000001</v>
      </c>
      <c r="AB32" s="51">
        <f>'Evolutive SFP'!AA16</f>
        <v>21845789.52</v>
      </c>
      <c r="AC32" s="51">
        <f>'Evolutive SFP'!AB16</f>
        <v>21845789.52</v>
      </c>
      <c r="AD32" s="51">
        <f>'Evolutive SFP'!AC16</f>
        <v>21845789.52</v>
      </c>
      <c r="AE32" s="51">
        <f>'Evolutive SFP'!AD16</f>
        <v>22931844.57</v>
      </c>
      <c r="AF32" s="51">
        <f>'Evolutive SFP'!AE16</f>
        <v>21100958.449999999</v>
      </c>
      <c r="AG32" s="51">
        <f>'Evolutive SFP'!AF16</f>
        <v>20734412.559999999</v>
      </c>
      <c r="AH32" s="51">
        <f>'Evolutive SFP'!AG16</f>
        <v>20226997.309999999</v>
      </c>
      <c r="AI32" s="51">
        <f>'Evolutive SFP'!AH16</f>
        <v>20226997.32</v>
      </c>
      <c r="AJ32" s="51">
        <f>'Evolutive SFP'!AI16</f>
        <v>20226997.309999999</v>
      </c>
      <c r="AK32" s="51">
        <f>'Evolutive SFP'!AJ16</f>
        <v>20226997.309999999</v>
      </c>
      <c r="AL32" s="51">
        <f>'Evolutive SFP'!AK16</f>
        <v>20090269.350000001</v>
      </c>
      <c r="AM32" s="51">
        <f>'Evolutive SFP'!AL16</f>
        <v>20090269.350000001</v>
      </c>
      <c r="AN32" s="51">
        <f>'Evolutive SFP'!AM16</f>
        <v>19056803.859999999</v>
      </c>
      <c r="AO32" s="51">
        <f>'Evolutive SFP'!AN16</f>
        <v>19646297.140000001</v>
      </c>
      <c r="AP32" s="51">
        <f>'Evolutive SFP'!AO16</f>
        <v>19646297.140000001</v>
      </c>
      <c r="AQ32" s="51">
        <f>'Evolutive SFP'!AP16</f>
        <v>22710257.949999999</v>
      </c>
      <c r="AR32" s="51">
        <f>'Evolutive SFP'!AQ16</f>
        <v>24299437.879999999</v>
      </c>
      <c r="AS32" s="51">
        <f>'Evolutive SFP'!AR16</f>
        <v>24839109.66</v>
      </c>
      <c r="AT32" s="51">
        <f>'Evolutive SFP'!AS16</f>
        <v>26172472.629999999</v>
      </c>
      <c r="AU32" s="51">
        <f>'Evolutive SFP'!AT16</f>
        <v>26887990.129999999</v>
      </c>
      <c r="AV32" s="51">
        <f>'Evolutive SFP'!AU16</f>
        <v>26887990.129999999</v>
      </c>
      <c r="AW32" s="51">
        <f>'Evolutive SFP'!AV16</f>
        <v>24381962.59</v>
      </c>
      <c r="AX32" s="51">
        <f>'Evolutive SFP'!AW16</f>
        <v>23109615.989999998</v>
      </c>
      <c r="AY32" s="51">
        <f>'Evolutive SFP'!AW16</f>
        <v>23109615.989999998</v>
      </c>
      <c r="AZ32" s="51">
        <f>'Evolutive SFP'!AX16</f>
        <v>24846795.43</v>
      </c>
      <c r="BA32" s="51">
        <f>'Evolutive SFP'!AY16</f>
        <v>26267744.600000001</v>
      </c>
      <c r="BB32" s="51">
        <f>'Evolutive SFP'!AZ16</f>
        <v>29696887.399999999</v>
      </c>
      <c r="BC32" s="51">
        <f>'Evolutive SFP'!BA16</f>
        <v>0</v>
      </c>
      <c r="BD32" s="51">
        <f>'Evolutive SFP'!BB16</f>
        <v>158045514.69999999</v>
      </c>
      <c r="BE32" s="51">
        <f>'Evolutive SFP'!BC16</f>
        <v>33312187.949999999</v>
      </c>
      <c r="BF32" s="51">
        <f>'Evolutive SFP'!BD16</f>
        <v>32764674.760000002</v>
      </c>
      <c r="BG32" s="51">
        <f>'Evolutive SFP'!BE16</f>
        <v>39379953.649999999</v>
      </c>
      <c r="BH32" s="51">
        <f>'Evolutive SFP'!BF16</f>
        <v>34889601.880000003</v>
      </c>
      <c r="BI32" s="51">
        <f>'Evolutive SFP'!BG16</f>
        <v>34889602</v>
      </c>
      <c r="BJ32" s="51">
        <f>'Evolutive SFP'!BH16</f>
        <v>30175000.850000001</v>
      </c>
      <c r="BK32" s="51">
        <f>'Evolutive SFP'!BI16</f>
        <v>33106988.309999999</v>
      </c>
      <c r="BL32" s="51">
        <f>'Evolutive SFP'!BJ16</f>
        <v>32020382.699999999</v>
      </c>
      <c r="BM32" s="51">
        <f>'Evolutive SFP'!BK16</f>
        <v>28999941.600000001</v>
      </c>
      <c r="BN32" s="51">
        <f>'Evolutive SFP'!BL16</f>
        <v>30535307.039999999</v>
      </c>
      <c r="BO32" s="51">
        <f>'Evolutive SFP'!BM16</f>
        <v>29685897.109999999</v>
      </c>
      <c r="BP32" s="51">
        <f>'Evolutive SFP'!BN16</f>
        <v>35353837.450000003</v>
      </c>
      <c r="BQ32" s="51">
        <f>'Evolutive SFP'!BO16</f>
        <v>29230687.859999999</v>
      </c>
      <c r="BR32" s="51">
        <f>'Evolutive SFP'!BP16</f>
        <v>28719583.550000001</v>
      </c>
      <c r="BS32" s="51">
        <f>'Evolutive SFP'!BQ16</f>
        <v>26083347.690000001</v>
      </c>
      <c r="BT32" s="51">
        <f>'Evolutive SFP'!BR16</f>
        <v>26561583.649999999</v>
      </c>
      <c r="BU32" s="51">
        <f>'Evolutive SFP'!BS16</f>
        <v>25144187.07</v>
      </c>
      <c r="BV32" s="51">
        <f>'Evolutive SFP'!BT16</f>
        <v>34889602</v>
      </c>
      <c r="BW32" s="51">
        <f>'Evolutive SFP'!BU16</f>
        <v>34889601.880000003</v>
      </c>
      <c r="BX32" s="51">
        <f>'Evolutive SFP'!BV16</f>
        <v>27347683.109999999</v>
      </c>
      <c r="BY32" s="51">
        <f>'Evolutive SFP'!BW16</f>
        <v>27778803.780000001</v>
      </c>
      <c r="BZ32" s="51">
        <f>'Evolutive SFP'!BX16</f>
        <v>26579178.050000001</v>
      </c>
      <c r="CA32" s="51">
        <f>'Evolutive SFP'!BY16</f>
        <v>25140573.600000001</v>
      </c>
      <c r="CB32" s="51">
        <f>'Evolutive SFP'!BZ16</f>
        <v>19843404.699999999</v>
      </c>
      <c r="CC32" s="51">
        <f>'Evolutive SFP'!CA16</f>
        <v>19770001.530000001</v>
      </c>
      <c r="CD32" s="51">
        <f>'Evolutive SFP'!CB16</f>
        <v>21248174.329999998</v>
      </c>
      <c r="CE32" s="51">
        <f>'Evolutive SFP'!CC16</f>
        <v>18728826.760000002</v>
      </c>
      <c r="CF32" s="51">
        <f>'Evolutive SFP'!CD16</f>
        <v>16745986.07</v>
      </c>
      <c r="CG32" s="51">
        <f>'Evolutive SFP'!CE16</f>
        <v>16713797.560000001</v>
      </c>
      <c r="CH32" s="51">
        <f>'Evolutive SFP'!CF16</f>
        <v>26869931.620000001</v>
      </c>
      <c r="CI32" s="51">
        <f>'Evolutive SFP'!CG16</f>
        <v>26869931.620000001</v>
      </c>
      <c r="CJ32" s="51">
        <f>'Evolutive SFP'!CH16</f>
        <v>-26869931.620000001</v>
      </c>
      <c r="CK32" s="51">
        <f>'Evolutive SFP'!CI16</f>
        <v>16693310.390000001</v>
      </c>
      <c r="CL32" s="51">
        <f>'Evolutive SFP'!CJ16</f>
        <v>16071034.16</v>
      </c>
      <c r="CM32" s="51">
        <f>'Evolutive SFP'!CK16</f>
        <v>15948034.16</v>
      </c>
      <c r="CN32" s="51">
        <f>'Evolutive SFP'!CL16</f>
        <v>16132260.560000001</v>
      </c>
      <c r="CO32" s="51">
        <f>'Evolutive SFP'!CM16</f>
        <v>15166569.869999999</v>
      </c>
      <c r="CP32" s="51">
        <f>'Evolutive SFP'!CN16</f>
        <v>19647865.379999999</v>
      </c>
      <c r="CQ32" s="51">
        <f>'Evolutive SFP'!CO16</f>
        <v>18229322.539999999</v>
      </c>
      <c r="CR32" s="51">
        <f>'Evolutive SFP'!CP16</f>
        <v>19665755.620000001</v>
      </c>
    </row>
    <row r="33" spans="1:96">
      <c r="A33" s="35"/>
      <c r="B33" s="35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47"/>
      <c r="AA33" s="147"/>
      <c r="AB33" s="147"/>
      <c r="AC33" s="147"/>
      <c r="AD33" s="147"/>
      <c r="AE33" s="147"/>
      <c r="AF33" s="147"/>
    </row>
    <row r="34" spans="1:96">
      <c r="A34" s="37">
        <v>8</v>
      </c>
      <c r="B34" s="35" t="s">
        <v>199</v>
      </c>
      <c r="C34" s="51">
        <f>'Evolutive SFP'!B21+'Evolutive SFP'!B7</f>
        <v>88115469</v>
      </c>
      <c r="D34" s="51">
        <f>'Evolutive SFP'!C21+'Evolutive SFP'!C7</f>
        <v>94558031</v>
      </c>
      <c r="E34" s="51">
        <f>'Evolutive SFP'!D21+'Evolutive SFP'!D7</f>
        <v>98882441</v>
      </c>
      <c r="F34" s="51">
        <f>'Evolutive SFP'!E21+'Evolutive SFP'!E7</f>
        <v>88993907.765000001</v>
      </c>
      <c r="G34" s="51">
        <f>'Evolutive SFP'!F21+'Evolutive SFP'!F7</f>
        <v>119945556</v>
      </c>
      <c r="H34" s="51">
        <f>'Evolutive SFP'!G21+'Evolutive SFP'!G7</f>
        <v>127032190</v>
      </c>
      <c r="I34" s="51">
        <f>'Evolutive SFP'!H21+'Evolutive SFP'!H7</f>
        <v>160091568</v>
      </c>
      <c r="J34" s="51">
        <f>'Evolutive SFP'!I21+'Evolutive SFP'!I7</f>
        <v>152264728.44</v>
      </c>
      <c r="K34" s="51">
        <f>'Evolutive SFP'!J21+'Evolutive SFP'!J7</f>
        <v>143539098.95000002</v>
      </c>
      <c r="L34" s="51">
        <f>'Evolutive SFP'!K21+'Evolutive SFP'!K7</f>
        <v>144461293.28999999</v>
      </c>
      <c r="M34" s="51">
        <f>'Evolutive SFP'!L21+'Evolutive SFP'!L7</f>
        <v>149610590.57999998</v>
      </c>
      <c r="N34" s="51">
        <f>'Evolutive SFP'!M21+'Evolutive SFP'!M7</f>
        <v>135663770.81999999</v>
      </c>
      <c r="O34" s="51">
        <f>'Evolutive SFP'!N21+'Evolutive SFP'!N7</f>
        <v>154425329.21000001</v>
      </c>
      <c r="P34" s="51">
        <f>'Evolutive SFP'!O21+'Evolutive SFP'!O7</f>
        <v>121631486.63</v>
      </c>
      <c r="Q34" s="51">
        <f>'Evolutive SFP'!P21+'Evolutive SFP'!P7</f>
        <v>159472468.19999999</v>
      </c>
      <c r="R34" s="51">
        <f>'Evolutive SFP'!Q21+'Evolutive SFP'!Q7</f>
        <v>146286244.36000001</v>
      </c>
      <c r="S34" s="51">
        <f>'Evolutive SFP'!R21+'Evolutive SFP'!R7</f>
        <v>147252916.84</v>
      </c>
      <c r="T34" s="51">
        <f>'Evolutive SFP'!S21+'Evolutive SFP'!S7</f>
        <v>144110910.63999999</v>
      </c>
      <c r="U34" s="51">
        <f>'Evolutive SFP'!T21+'Evolutive SFP'!T7</f>
        <v>147646417.26999998</v>
      </c>
      <c r="V34" s="51">
        <f>'Evolutive SFP'!U21+'Evolutive SFP'!U7</f>
        <v>147269532</v>
      </c>
      <c r="W34" s="51">
        <f>'Evolutive SFP'!V21+'Evolutive SFP'!V7</f>
        <v>146896803.67000002</v>
      </c>
      <c r="X34" s="51">
        <f>'Evolutive SFP'!W21+'Evolutive SFP'!W7</f>
        <v>144801807.50999999</v>
      </c>
      <c r="Y34" s="51">
        <f>'Evolutive SFP'!X21+'Evolutive SFP'!X7</f>
        <v>145104898.37</v>
      </c>
      <c r="Z34" s="51">
        <f>'Evolutive SFP'!Y21+'Evolutive SFP'!Y7</f>
        <v>144919243.56</v>
      </c>
      <c r="AA34" s="51">
        <f>'Evolutive SFP'!Z21+'Evolutive SFP'!Z7</f>
        <v>144797727.63999999</v>
      </c>
      <c r="AB34" s="51">
        <f>'Evolutive SFP'!AA21+'Evolutive SFP'!AA7</f>
        <v>144497729.41000003</v>
      </c>
      <c r="AC34" s="51">
        <f>'Evolutive SFP'!AB21+'Evolutive SFP'!AB7</f>
        <v>144431629.72</v>
      </c>
      <c r="AD34" s="51">
        <f>'Evolutive SFP'!AC21+'Evolutive SFP'!AC7</f>
        <v>144153923.19</v>
      </c>
      <c r="AE34" s="51">
        <f>'Evolutive SFP'!AD21+'Evolutive SFP'!AD7</f>
        <v>143858453.47</v>
      </c>
      <c r="AF34" s="51">
        <f>'Evolutive SFP'!AE21+'Evolutive SFP'!AE7</f>
        <v>143519998.56</v>
      </c>
      <c r="AG34" s="51">
        <f>'Evolutive SFP'!AF21+'Evolutive SFP'!AF7</f>
        <v>143053485.96000001</v>
      </c>
      <c r="AH34" s="51">
        <f>'Evolutive SFP'!AG21+'Evolutive SFP'!AG7</f>
        <v>137846685.20999998</v>
      </c>
      <c r="AI34" s="51">
        <f>'Evolutive SFP'!AH21+'Evolutive SFP'!AH7</f>
        <v>137846983.86500001</v>
      </c>
      <c r="AJ34" s="51">
        <f>'Evolutive SFP'!AI21+'Evolutive SFP'!AI7</f>
        <v>79661603.030000001</v>
      </c>
      <c r="AK34" s="51">
        <f>'Evolutive SFP'!AJ21+'Evolutive SFP'!AJ7</f>
        <v>79682337.319999993</v>
      </c>
      <c r="AL34" s="51">
        <f>'Evolutive SFP'!AK21+'Evolutive SFP'!AK7</f>
        <v>76873016.010000005</v>
      </c>
      <c r="AM34" s="51">
        <f>'Evolutive SFP'!AL21+'Evolutive SFP'!AL7</f>
        <v>77878638.300000012</v>
      </c>
      <c r="AN34" s="51">
        <f>'Evolutive SFP'!AM21+'Evolutive SFP'!AM7</f>
        <v>77646615.199999988</v>
      </c>
      <c r="AO34" s="51">
        <f>'Evolutive SFP'!AN21+'Evolutive SFP'!AN7</f>
        <v>77901496.890000001</v>
      </c>
      <c r="AP34" s="51">
        <f>'Evolutive SFP'!AO21+'Evolutive SFP'!AO7</f>
        <v>79940470.670000002</v>
      </c>
      <c r="AQ34" s="51">
        <f>'Evolutive SFP'!AP21+'Evolutive SFP'!AP7</f>
        <v>78025535.870000005</v>
      </c>
      <c r="AR34" s="51">
        <f>'Evolutive SFP'!AQ21+'Evolutive SFP'!AQ7</f>
        <v>78528032.760000005</v>
      </c>
      <c r="AS34" s="51">
        <f>'Evolutive SFP'!AR21+'Evolutive SFP'!AR7</f>
        <v>78759068.090000004</v>
      </c>
      <c r="AT34" s="51">
        <f>'Evolutive SFP'!AS21+'Evolutive SFP'!AS7</f>
        <v>78560778.670000002</v>
      </c>
      <c r="AU34" s="51">
        <f>'Evolutive SFP'!AT21+'Evolutive SFP'!AT7</f>
        <v>71548081.039999992</v>
      </c>
      <c r="AV34" s="51">
        <f>'Evolutive SFP'!AU21+'Evolutive SFP'!AU7</f>
        <v>70370935.316835478</v>
      </c>
      <c r="AW34" s="51">
        <f>'Evolutive SFP'!AV21+'Evolutive SFP'!AV7</f>
        <v>71721149.049999997</v>
      </c>
      <c r="AX34" s="51">
        <f>'Evolutive SFP'!AV21+'Evolutive SFP'!AV7</f>
        <v>71721149.049999997</v>
      </c>
      <c r="AY34" s="51">
        <f>'Evolutive SFP'!AW21+'Evolutive SFP'!AW7</f>
        <v>71637492.700000003</v>
      </c>
      <c r="AZ34" s="51">
        <f>'Evolutive SFP'!AX21+'Evolutive SFP'!AX7</f>
        <v>70673703.400000006</v>
      </c>
      <c r="BA34" s="51">
        <f>'Evolutive SFP'!AY21+'Evolutive SFP'!AY7</f>
        <v>70239102.849999994</v>
      </c>
      <c r="BB34" s="51">
        <f>'Evolutive SFP'!AZ21+'Evolutive SFP'!AZ7</f>
        <v>70949593.239999995</v>
      </c>
      <c r="BC34" s="51">
        <f>'Evolutive SFP'!BA21+'Evolutive SFP'!BA7</f>
        <v>0</v>
      </c>
      <c r="BD34" s="51">
        <f>'Evolutive SFP'!BB21+'Evolutive SFP'!BB7</f>
        <v>360479647.25</v>
      </c>
      <c r="BE34" s="51">
        <f>'Evolutive SFP'!BC21+'Evolutive SFP'!BC7</f>
        <v>72903339.210000008</v>
      </c>
      <c r="BF34" s="51">
        <f>'Evolutive SFP'!BD21+'Evolutive SFP'!BD7</f>
        <v>73222398.210000008</v>
      </c>
      <c r="BG34" s="51">
        <f>'Evolutive SFP'!BE21+'Evolutive SFP'!BE7</f>
        <v>73409672.49000001</v>
      </c>
      <c r="BH34" s="51">
        <f>'Evolutive SFP'!BF21+'Evolutive SFP'!BF7</f>
        <v>71361600.810000002</v>
      </c>
      <c r="BI34" s="51">
        <f>'Evolutive SFP'!BG21+'Evolutive SFP'!BG7</f>
        <v>70240455</v>
      </c>
      <c r="BJ34" s="51">
        <f>'Evolutive SFP'!BH21+'Evolutive SFP'!BH7</f>
        <v>71676350.010000005</v>
      </c>
      <c r="BK34" s="51">
        <f>'Evolutive SFP'!BI21+'Evolutive SFP'!BI7</f>
        <v>73117808</v>
      </c>
      <c r="BL34" s="51">
        <f>'Evolutive SFP'!BJ21+'Evolutive SFP'!BJ7</f>
        <v>71477133.459999993</v>
      </c>
      <c r="BM34" s="51">
        <f>'Evolutive SFP'!BK21+'Evolutive SFP'!BK7</f>
        <v>70225515.800000012</v>
      </c>
      <c r="BN34" s="51">
        <f>'Evolutive SFP'!BL21+'Evolutive SFP'!BL7</f>
        <v>69800595.609999999</v>
      </c>
      <c r="BO34" s="51">
        <f>'Evolutive SFP'!BM21+'Evolutive SFP'!BM7</f>
        <v>70087473.670000002</v>
      </c>
      <c r="BP34" s="51">
        <f>'Evolutive SFP'!BN21+'Evolutive SFP'!BN7</f>
        <v>70054603.840000004</v>
      </c>
      <c r="BQ34" s="51">
        <f>'Evolutive SFP'!BO21+'Evolutive SFP'!BO7</f>
        <v>70134424.460000008</v>
      </c>
      <c r="BR34" s="51">
        <f>'Evolutive SFP'!BP21+'Evolutive SFP'!BP7</f>
        <v>70719915.969999999</v>
      </c>
      <c r="BS34" s="51">
        <f>'Evolutive SFP'!BQ21+'Evolutive SFP'!BQ7</f>
        <v>70794255.359999999</v>
      </c>
      <c r="BT34" s="51">
        <f>'Evolutive SFP'!BR21+'Evolutive SFP'!BR7</f>
        <v>71163666.359999999</v>
      </c>
      <c r="BU34" s="51">
        <f>'Evolutive SFP'!BS21+'Evolutive SFP'!BS7</f>
        <v>66763798.509999998</v>
      </c>
      <c r="BV34" s="51">
        <f>'Evolutive SFP'!BT21+'Evolutive SFP'!BT7</f>
        <v>65835217</v>
      </c>
      <c r="BW34" s="51">
        <f>'Evolutive SFP'!BU21+'Evolutive SFP'!BU7</f>
        <v>68168685.849999994</v>
      </c>
      <c r="BX34" s="51">
        <f>'Evolutive SFP'!BV21+'Evolutive SFP'!BV7</f>
        <v>64806924.770000003</v>
      </c>
      <c r="BY34" s="51">
        <f>'Evolutive SFP'!BW21+'Evolutive SFP'!BW7</f>
        <v>64560841.259999998</v>
      </c>
      <c r="BZ34" s="51">
        <f>'Evolutive SFP'!BX21+'Evolutive SFP'!BX7</f>
        <v>63601689.039999999</v>
      </c>
      <c r="CA34" s="51">
        <f>'Evolutive SFP'!BY21+'Evolutive SFP'!BY7</f>
        <v>63548265.789999999</v>
      </c>
      <c r="CB34" s="51">
        <f>'Evolutive SFP'!BZ21+'Evolutive SFP'!BZ7</f>
        <v>62762010.669999994</v>
      </c>
      <c r="CC34" s="51">
        <f>'Evolutive SFP'!CA21+'Evolutive SFP'!CA7</f>
        <v>63288025.189999998</v>
      </c>
      <c r="CD34" s="51">
        <f>'Evolutive SFP'!CB21+'Evolutive SFP'!CB7</f>
        <v>59306717.120000005</v>
      </c>
      <c r="CE34" s="51">
        <f>'Evolutive SFP'!CC21+'Evolutive SFP'!CC7</f>
        <v>59310824.859999999</v>
      </c>
      <c r="CF34" s="51">
        <f>'Evolutive SFP'!CD21+'Evolutive SFP'!CD7</f>
        <v>60136058.130000003</v>
      </c>
      <c r="CG34" s="51">
        <f>'Evolutive SFP'!CE21+'Evolutive SFP'!CE7</f>
        <v>59501109.020000003</v>
      </c>
      <c r="CH34" s="51">
        <f>'Evolutive SFP'!CF21+'Evolutive SFP'!CF7</f>
        <v>57140806.789999999</v>
      </c>
      <c r="CI34" s="51">
        <f>'Evolutive SFP'!CG21+'Evolutive SFP'!CG7</f>
        <v>53602221</v>
      </c>
      <c r="CJ34" s="51">
        <f>'Evolutive SFP'!CH21+'Evolutive SFP'!CH7</f>
        <v>55378746.530000001</v>
      </c>
      <c r="CK34" s="51">
        <f>'Evolutive SFP'!CI21+'Evolutive SFP'!CI7</f>
        <v>56062684.07</v>
      </c>
      <c r="CL34" s="51">
        <f>'Evolutive SFP'!CJ21+'Evolutive SFP'!CJ7</f>
        <v>53349406.700000003</v>
      </c>
      <c r="CM34" s="51">
        <f>'Evolutive SFP'!CK21+'Evolutive SFP'!CK7</f>
        <v>55702386.539999999</v>
      </c>
      <c r="CN34" s="51">
        <f>'Evolutive SFP'!CL21+'Evolutive SFP'!CL7</f>
        <v>54692546.810000002</v>
      </c>
      <c r="CO34" s="51">
        <f>'Evolutive SFP'!CM21+'Evolutive SFP'!CM7</f>
        <v>54299834.909999996</v>
      </c>
      <c r="CP34" s="51">
        <f>'Evolutive SFP'!CN21+'Evolutive SFP'!CN7</f>
        <v>54213543.629999995</v>
      </c>
      <c r="CQ34" s="51">
        <f>'Evolutive SFP'!CO21+'Evolutive SFP'!CO7</f>
        <v>53935958.609999999</v>
      </c>
      <c r="CR34" s="51">
        <f>'Evolutive SFP'!CP21+'Evolutive SFP'!CP7</f>
        <v>56380372.970000006</v>
      </c>
    </row>
    <row r="35" spans="1:96">
      <c r="A35" s="37">
        <v>8.1</v>
      </c>
      <c r="B35" s="35" t="s">
        <v>33</v>
      </c>
      <c r="C35" s="51">
        <f>'Evolutive SFP'!B23</f>
        <v>75849622</v>
      </c>
      <c r="D35" s="51">
        <f>'Evolutive SFP'!C23</f>
        <v>70621990</v>
      </c>
      <c r="E35" s="51">
        <f>'Evolutive SFP'!D23</f>
        <v>58833519</v>
      </c>
      <c r="F35" s="51">
        <f>'Evolutive SFP'!E23</f>
        <v>56943308.875</v>
      </c>
      <c r="G35" s="51">
        <f>'Evolutive SFP'!F23</f>
        <v>55634863</v>
      </c>
      <c r="H35" s="51">
        <f>'Evolutive SFP'!G23</f>
        <v>39960484</v>
      </c>
      <c r="I35" s="51">
        <f>'Evolutive SFP'!H23</f>
        <v>40147340</v>
      </c>
      <c r="J35" s="51">
        <f>'Evolutive SFP'!I23</f>
        <v>40050733.670000002</v>
      </c>
      <c r="K35" s="51">
        <f>'Evolutive SFP'!J23</f>
        <v>39871667.920000002</v>
      </c>
      <c r="L35" s="51">
        <f>'Evolutive SFP'!K23</f>
        <v>39938621.119999997</v>
      </c>
      <c r="M35" s="51">
        <f>'Evolutive SFP'!L23</f>
        <v>39759555.369999997</v>
      </c>
      <c r="N35" s="51">
        <f>'Evolutive SFP'!M23</f>
        <v>40309490.030000001</v>
      </c>
      <c r="O35" s="51">
        <f>'Evolutive SFP'!N23</f>
        <v>40108424.280000001</v>
      </c>
      <c r="P35" s="51">
        <f>'Evolutive SFP'!O23</f>
        <v>39931107.079999998</v>
      </c>
      <c r="Q35" s="51">
        <f>'Evolutive SFP'!P23</f>
        <v>41103170.07</v>
      </c>
      <c r="R35" s="51">
        <f>'Evolutive SFP'!Q23</f>
        <v>40503243.5</v>
      </c>
      <c r="S35" s="51">
        <f>'Evolutive SFP'!R23</f>
        <v>40307337.920000002</v>
      </c>
      <c r="T35" s="51">
        <f>'Evolutive SFP'!S23</f>
        <v>40229745.079999998</v>
      </c>
      <c r="U35" s="51">
        <f>'Evolutive SFP'!T23</f>
        <v>39762188.969999999</v>
      </c>
      <c r="V35" s="51">
        <f>'Evolutive SFP'!U23</f>
        <v>40112685</v>
      </c>
      <c r="W35" s="51">
        <f>'Evolutive SFP'!V23</f>
        <v>39921069.25</v>
      </c>
      <c r="X35" s="51">
        <f>'Evolutive SFP'!W23</f>
        <v>39767349.859999999</v>
      </c>
      <c r="Y35" s="51">
        <f>'Evolutive SFP'!X23</f>
        <v>39600182.479999997</v>
      </c>
      <c r="Z35" s="51">
        <f>'Evolutive SFP'!Y23</f>
        <v>39611875.100000001</v>
      </c>
      <c r="AA35" s="51">
        <f>'Evolutive SFP'!Z23</f>
        <v>39775707.719999999</v>
      </c>
      <c r="AB35" s="51">
        <f>'Evolutive SFP'!AA23</f>
        <v>39591540.340000004</v>
      </c>
      <c r="AC35" s="51">
        <f>'Evolutive SFP'!AB23</f>
        <v>39631731.359999999</v>
      </c>
      <c r="AD35" s="51">
        <f>'Evolutive SFP'!AC23</f>
        <v>39455063.979999997</v>
      </c>
      <c r="AE35" s="51">
        <f>'Evolutive SFP'!AD23</f>
        <v>39270896.600000001</v>
      </c>
      <c r="AF35" s="51">
        <f>'Evolutive SFP'!AE23</f>
        <v>39102429.920000002</v>
      </c>
      <c r="AG35" s="51">
        <f>'Evolutive SFP'!AF23</f>
        <v>38918261.670000002</v>
      </c>
      <c r="AH35" s="51">
        <f>'Evolutive SFP'!AG23</f>
        <v>38647964.090000004</v>
      </c>
      <c r="AI35" s="51">
        <f>'Evolutive SFP'!AH23</f>
        <v>38648262.735000007</v>
      </c>
      <c r="AJ35" s="51">
        <f>'Evolutive SFP'!AI23</f>
        <v>38542408.969999999</v>
      </c>
      <c r="AK35" s="51">
        <f>'Evolutive SFP'!AJ23</f>
        <v>38333876.189999998</v>
      </c>
      <c r="AL35" s="51">
        <f>'Evolutive SFP'!AK23</f>
        <v>38435617.259999998</v>
      </c>
      <c r="AM35" s="51">
        <f>'Evolutive SFP'!AL23</f>
        <v>38365183.310000002</v>
      </c>
      <c r="AN35" s="51">
        <f>'Evolutive SFP'!AM23</f>
        <v>38262941.609999999</v>
      </c>
      <c r="AO35" s="51">
        <f>'Evolutive SFP'!AN23</f>
        <v>38100512.659999996</v>
      </c>
      <c r="AP35" s="51">
        <f>'Evolutive SFP'!AO23</f>
        <v>37953163.710000001</v>
      </c>
      <c r="AQ35" s="51">
        <f>'Evolutive SFP'!AP23</f>
        <v>37858274.759999998</v>
      </c>
      <c r="AR35" s="51">
        <f>'Evolutive SFP'!AQ23</f>
        <v>37713255.829999998</v>
      </c>
      <c r="AS35" s="51">
        <f>'Evolutive SFP'!AR23</f>
        <v>37550856.880000003</v>
      </c>
      <c r="AT35" s="51">
        <f>'Evolutive SFP'!AS23</f>
        <v>37388457.93</v>
      </c>
      <c r="AU35" s="51">
        <f>'Evolutive SFP'!AT23</f>
        <v>37319284.159999996</v>
      </c>
      <c r="AV35" s="51">
        <f>'Evolutive SFP'!AU23</f>
        <v>37330511.506835483</v>
      </c>
      <c r="AW35" s="51">
        <f>'Evolutive SFP'!AV23</f>
        <v>37491017.810000002</v>
      </c>
      <c r="AX35" s="51">
        <f>'Evolutive SFP'!AW23</f>
        <v>37535196.539999999</v>
      </c>
      <c r="AY35" s="51">
        <f>'Evolutive SFP'!AX23</f>
        <v>37465949.270000003</v>
      </c>
      <c r="AZ35" s="51">
        <f>'Evolutive SFP'!AX23</f>
        <v>37465949.270000003</v>
      </c>
      <c r="BA35" s="51">
        <f>'Evolutive SFP'!AY23</f>
        <v>37396702</v>
      </c>
      <c r="BB35" s="51">
        <f>'Evolutive SFP'!AZ23</f>
        <v>37304454.729999997</v>
      </c>
      <c r="BC35" s="51">
        <f>'Evolutive SFP'!BA23</f>
        <v>0</v>
      </c>
      <c r="BD35" s="51">
        <f>'Evolutive SFP'!BB23</f>
        <v>188004011.84999999</v>
      </c>
      <c r="BE35" s="51">
        <f>'Evolutive SFP'!BC23</f>
        <v>37687360.100000001</v>
      </c>
      <c r="BF35" s="51">
        <f>'Evolutive SFP'!BD23</f>
        <v>37553884.899999999</v>
      </c>
      <c r="BG35" s="51">
        <f>'Evolutive SFP'!BE23</f>
        <v>37069517.859999999</v>
      </c>
      <c r="BH35" s="51">
        <f>'Evolutive SFP'!BF23</f>
        <v>37026332.710000001</v>
      </c>
      <c r="BI35" s="51">
        <f>'Evolutive SFP'!BG23</f>
        <v>37026093</v>
      </c>
      <c r="BJ35" s="51">
        <f>'Evolutive SFP'!BH23</f>
        <v>36954800.030000001</v>
      </c>
      <c r="BK35" s="51">
        <f>'Evolutive SFP'!BI23</f>
        <v>36720311.07</v>
      </c>
      <c r="BL35" s="51">
        <f>'Evolutive SFP'!BJ23</f>
        <v>36567420.079999998</v>
      </c>
      <c r="BM35" s="51">
        <f>'Evolutive SFP'!BK23</f>
        <v>36414529.090000004</v>
      </c>
      <c r="BN35" s="51">
        <f>'Evolutive SFP'!BL23</f>
        <v>36351638.100000001</v>
      </c>
      <c r="BO35" s="51">
        <f>'Evolutive SFP'!BM23</f>
        <v>36198747.109999999</v>
      </c>
      <c r="BP35" s="51">
        <f>'Evolutive SFP'!BN23</f>
        <v>36200973.82</v>
      </c>
      <c r="BQ35" s="51">
        <f>'Evolutive SFP'!BO23</f>
        <v>36147058.18</v>
      </c>
      <c r="BR35" s="51">
        <f>'Evolutive SFP'!BP23</f>
        <v>35859044.140000001</v>
      </c>
      <c r="BS35" s="51">
        <f>'Evolutive SFP'!BQ23</f>
        <v>35855533.149999999</v>
      </c>
      <c r="BT35" s="51">
        <f>'Evolutive SFP'!BR23</f>
        <v>35879535.159999996</v>
      </c>
      <c r="BU35" s="51">
        <f>'Evolutive SFP'!BS23</f>
        <v>35648339.219999999</v>
      </c>
      <c r="BV35" s="51">
        <f>'Evolutive SFP'!BT23</f>
        <v>35648339</v>
      </c>
      <c r="BW35" s="51">
        <f>'Evolutive SFP'!BU23</f>
        <v>35851380.170000002</v>
      </c>
      <c r="BX35" s="51">
        <f>'Evolutive SFP'!BV23</f>
        <v>35716983.170000002</v>
      </c>
      <c r="BY35" s="51">
        <f>'Evolutive SFP'!BW23</f>
        <v>35814844.859999999</v>
      </c>
      <c r="BZ35" s="51">
        <f>'Evolutive SFP'!BX23</f>
        <v>35693220.859999999</v>
      </c>
      <c r="CA35" s="51">
        <f>'Evolutive SFP'!BY23</f>
        <v>35556596.859999999</v>
      </c>
      <c r="CB35" s="51">
        <f>'Evolutive SFP'!BZ23</f>
        <v>35889185.939999998</v>
      </c>
      <c r="CC35" s="51">
        <f>'Evolutive SFP'!CA23</f>
        <v>35762684.950000003</v>
      </c>
      <c r="CD35" s="51">
        <f>'Evolutive SFP'!CB23</f>
        <v>35624583.950000003</v>
      </c>
      <c r="CE35" s="51">
        <f>'Evolutive SFP'!CC23</f>
        <v>35502977.950000003</v>
      </c>
      <c r="CF35" s="51">
        <f>'Evolutive SFP'!CD23</f>
        <v>35265404.950000003</v>
      </c>
      <c r="CG35" s="51">
        <f>'Evolutive SFP'!CE23</f>
        <v>34960541.130000003</v>
      </c>
      <c r="CH35" s="51">
        <f>'Evolutive SFP'!CF23</f>
        <v>34928432.5</v>
      </c>
      <c r="CI35" s="51">
        <f>'Evolutive SFP'!CG23</f>
        <v>34928424</v>
      </c>
      <c r="CJ35" s="51">
        <f>'Evolutive SFP'!CH23</f>
        <v>34804740.18</v>
      </c>
      <c r="CK35" s="51">
        <f>'Evolutive SFP'!CI23</f>
        <v>34681047.850000001</v>
      </c>
      <c r="CL35" s="51">
        <f>'Evolutive SFP'!CJ23</f>
        <v>34542013.030000001</v>
      </c>
      <c r="CM35" s="51">
        <f>'Evolutive SFP'!CK23</f>
        <v>34858404.780000001</v>
      </c>
      <c r="CN35" s="51">
        <f>'Evolutive SFP'!CL23</f>
        <v>35209810.299999997</v>
      </c>
      <c r="CO35" s="51">
        <f>'Evolutive SFP'!CM23</f>
        <v>35086117.969999999</v>
      </c>
      <c r="CP35" s="51">
        <f>'Evolutive SFP'!CN23</f>
        <v>35136111.07</v>
      </c>
      <c r="CQ35" s="51">
        <f>'Evolutive SFP'!CO23</f>
        <v>34989220.049999997</v>
      </c>
      <c r="CR35" s="51">
        <f>'Evolutive SFP'!CP23</f>
        <v>34966224.560000002</v>
      </c>
    </row>
    <row r="36" spans="1:96">
      <c r="A36" s="33"/>
      <c r="B36" s="35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47"/>
      <c r="AA36" s="147"/>
      <c r="AB36" s="147"/>
      <c r="AC36" s="147"/>
      <c r="AD36" s="147"/>
      <c r="AE36" s="147"/>
      <c r="AF36" s="147"/>
      <c r="AG36" s="147"/>
    </row>
    <row r="37" spans="1:96">
      <c r="A37" s="37">
        <v>9</v>
      </c>
      <c r="B37" s="35" t="s">
        <v>154</v>
      </c>
      <c r="C37" s="51">
        <f>C38+C39+C40+C41</f>
        <v>53102019</v>
      </c>
      <c r="D37" s="51">
        <f>D38+D39+D40+D41</f>
        <v>67876418</v>
      </c>
      <c r="E37" s="51">
        <f>E38+E39+E40+E41</f>
        <v>76649112</v>
      </c>
      <c r="F37" s="51">
        <f>F38+F39+F40+F41</f>
        <v>93967037.88000001</v>
      </c>
      <c r="G37" s="51">
        <f t="shared" ref="G37:O37" si="45">G38+G39+G40+G41</f>
        <v>97400688</v>
      </c>
      <c r="H37" s="51">
        <f>H38+H39+H40+H41</f>
        <v>109849160</v>
      </c>
      <c r="I37" s="51">
        <f>I38+I39+I40+I41</f>
        <v>121408969</v>
      </c>
      <c r="J37" s="51">
        <f t="shared" si="45"/>
        <v>3091134.11</v>
      </c>
      <c r="K37" s="51">
        <f t="shared" si="45"/>
        <v>15614133.609999999</v>
      </c>
      <c r="L37" s="51">
        <f t="shared" si="45"/>
        <v>26002726.080000002</v>
      </c>
      <c r="M37" s="51">
        <f t="shared" si="45"/>
        <v>33390966.120000001</v>
      </c>
      <c r="N37" s="51">
        <f t="shared" si="45"/>
        <v>43876600.839999996</v>
      </c>
      <c r="O37" s="51">
        <f t="shared" si="45"/>
        <v>60825499.820000008</v>
      </c>
      <c r="P37" s="51">
        <f t="shared" ref="P37:BI37" si="46">P38+P39+P40+P41</f>
        <v>65087853.719999999</v>
      </c>
      <c r="Q37" s="51">
        <f t="shared" si="46"/>
        <v>80627628.049999997</v>
      </c>
      <c r="R37" s="51">
        <f t="shared" si="46"/>
        <v>98018181.310000002</v>
      </c>
      <c r="S37" s="51">
        <f t="shared" si="46"/>
        <v>109614071.71000001</v>
      </c>
      <c r="T37" s="51">
        <f t="shared" si="46"/>
        <v>120925702.11000001</v>
      </c>
      <c r="U37" s="51">
        <f t="shared" si="46"/>
        <v>134278378.44</v>
      </c>
      <c r="V37" s="51">
        <f t="shared" si="46"/>
        <v>134278379</v>
      </c>
      <c r="W37" s="51">
        <f t="shared" si="46"/>
        <v>9796657.1100000013</v>
      </c>
      <c r="X37" s="51">
        <f t="shared" si="46"/>
        <v>18963772.66</v>
      </c>
      <c r="Y37" s="51">
        <f t="shared" si="46"/>
        <v>29749222.170000002</v>
      </c>
      <c r="Z37" s="51">
        <f t="shared" si="46"/>
        <v>41069758.300000004</v>
      </c>
      <c r="AA37" s="51">
        <f t="shared" si="46"/>
        <v>51906601.800000004</v>
      </c>
      <c r="AB37" s="51">
        <f t="shared" si="46"/>
        <v>72483894.120000005</v>
      </c>
      <c r="AC37" s="51">
        <f t="shared" si="46"/>
        <v>83600073.770000011</v>
      </c>
      <c r="AD37" s="51">
        <f t="shared" si="46"/>
        <v>97549833.930000007</v>
      </c>
      <c r="AE37" s="51">
        <f t="shared" si="46"/>
        <v>109084223.58000001</v>
      </c>
      <c r="AF37" s="51">
        <f t="shared" si="46"/>
        <v>121788387.58</v>
      </c>
      <c r="AG37" s="51">
        <f t="shared" si="46"/>
        <v>135374591.11000001</v>
      </c>
      <c r="AH37" s="51">
        <f t="shared" si="46"/>
        <v>154540516.44999999</v>
      </c>
      <c r="AI37" s="51">
        <f t="shared" si="46"/>
        <v>154553469.44999999</v>
      </c>
      <c r="AJ37" s="51">
        <f t="shared" si="46"/>
        <v>11193968.880000001</v>
      </c>
      <c r="AK37" s="51">
        <f t="shared" si="46"/>
        <v>21522874.649999999</v>
      </c>
      <c r="AL37" s="51">
        <f t="shared" si="46"/>
        <v>32173972.299999997</v>
      </c>
      <c r="AM37" s="51">
        <f t="shared" si="46"/>
        <v>44123311.649999999</v>
      </c>
      <c r="AN37" s="51">
        <f t="shared" si="46"/>
        <v>55467092.729999997</v>
      </c>
      <c r="AO37" s="51">
        <f t="shared" si="46"/>
        <v>79758781.170000002</v>
      </c>
      <c r="AP37" s="51">
        <f t="shared" si="46"/>
        <v>90933526.319999993</v>
      </c>
      <c r="AQ37" s="51">
        <f t="shared" si="46"/>
        <v>105178967.06999999</v>
      </c>
      <c r="AR37" s="51">
        <f t="shared" si="46"/>
        <v>116324938.47</v>
      </c>
      <c r="AS37" s="51">
        <f t="shared" si="46"/>
        <v>127760950.67</v>
      </c>
      <c r="AT37" s="51">
        <f t="shared" si="46"/>
        <v>141717259.12</v>
      </c>
      <c r="AU37" s="51">
        <f t="shared" si="46"/>
        <v>162789592.74000001</v>
      </c>
      <c r="AV37" s="51">
        <f t="shared" si="46"/>
        <v>162789593</v>
      </c>
      <c r="AW37" s="51">
        <f t="shared" si="46"/>
        <v>11583281.33</v>
      </c>
      <c r="AX37" s="51">
        <f t="shared" si="46"/>
        <v>22393087.329999998</v>
      </c>
      <c r="AY37" s="51">
        <f t="shared" si="46"/>
        <v>34741974.18</v>
      </c>
      <c r="AZ37" s="51">
        <f t="shared" si="46"/>
        <v>58095433.109999999</v>
      </c>
      <c r="BA37" s="51">
        <f t="shared" si="46"/>
        <v>68056794.609999999</v>
      </c>
      <c r="BB37" s="51">
        <f t="shared" si="46"/>
        <v>79019462.319999993</v>
      </c>
      <c r="BC37" s="51">
        <f t="shared" si="46"/>
        <v>0</v>
      </c>
      <c r="BD37" s="51">
        <f t="shared" si="46"/>
        <v>520524320.79999995</v>
      </c>
      <c r="BE37" s="51">
        <f t="shared" si="46"/>
        <v>116683839.19</v>
      </c>
      <c r="BF37" s="51">
        <f t="shared" si="46"/>
        <v>129326684.66000001</v>
      </c>
      <c r="BG37" s="51">
        <f t="shared" si="46"/>
        <v>145818088.61000001</v>
      </c>
      <c r="BH37" s="51">
        <f t="shared" si="46"/>
        <v>159925802.09999999</v>
      </c>
      <c r="BI37" s="51">
        <f t="shared" si="46"/>
        <v>159925802</v>
      </c>
      <c r="BJ37" s="51">
        <f>BJ38+BJ39+BJ40+BJ41</f>
        <v>11180608.700000001</v>
      </c>
      <c r="BK37" s="51">
        <f>BK38+BK39+BK40+BK41</f>
        <v>23347161.719999999</v>
      </c>
      <c r="BL37" s="51">
        <f>BL38+BL39+BL40+BL41</f>
        <v>36796106.18</v>
      </c>
      <c r="BM37" s="51">
        <f t="shared" ref="BM37:BU37" si="47">BM38+BM39+BM40+BM41</f>
        <v>63444017.920000002</v>
      </c>
      <c r="BN37" s="51">
        <f t="shared" si="47"/>
        <v>75624120.170000002</v>
      </c>
      <c r="BO37" s="51">
        <f t="shared" si="47"/>
        <v>88890299.11999999</v>
      </c>
      <c r="BP37" s="51">
        <f t="shared" si="47"/>
        <v>103801256.50999999</v>
      </c>
      <c r="BQ37" s="51">
        <f t="shared" si="47"/>
        <v>116400442.38999999</v>
      </c>
      <c r="BR37" s="51">
        <f t="shared" si="47"/>
        <v>129540327.99000001</v>
      </c>
      <c r="BS37" s="51">
        <f t="shared" si="47"/>
        <v>144438554.13</v>
      </c>
      <c r="BT37" s="51">
        <f t="shared" si="47"/>
        <v>158598091.03999999</v>
      </c>
      <c r="BU37" s="51">
        <f t="shared" si="47"/>
        <v>182115217.46000001</v>
      </c>
      <c r="BV37" s="51">
        <f>BV38+BV39+BV40+BV41</f>
        <v>183144036</v>
      </c>
      <c r="BW37" s="51">
        <f t="shared" ref="BW37:CH37" si="48">BW38+BW39+BW40+BW41</f>
        <v>12133624.73</v>
      </c>
      <c r="BX37" s="51">
        <f t="shared" si="48"/>
        <v>25634449.640000001</v>
      </c>
      <c r="BY37" s="51">
        <f t="shared" si="48"/>
        <v>41009322.280000001</v>
      </c>
      <c r="BZ37" s="51">
        <f t="shared" si="48"/>
        <v>55155264.07</v>
      </c>
      <c r="CA37" s="51">
        <f t="shared" si="48"/>
        <v>67455980.710000008</v>
      </c>
      <c r="CB37" s="51">
        <f t="shared" si="48"/>
        <v>93290262.430000007</v>
      </c>
      <c r="CC37" s="51">
        <f t="shared" si="48"/>
        <v>106173283.45999999</v>
      </c>
      <c r="CD37" s="51">
        <f t="shared" si="48"/>
        <v>119458425.15000001</v>
      </c>
      <c r="CE37" s="51">
        <f t="shared" si="48"/>
        <v>133807510.99000001</v>
      </c>
      <c r="CF37" s="51">
        <f t="shared" si="48"/>
        <v>146695178.75999999</v>
      </c>
      <c r="CG37" s="51">
        <f t="shared" si="48"/>
        <v>160711743.81</v>
      </c>
      <c r="CH37" s="51">
        <f t="shared" si="48"/>
        <v>177859980.63</v>
      </c>
      <c r="CI37" s="51">
        <f t="shared" ref="CI37:CL37" si="49">CI38+CI39+CI40+CI41</f>
        <v>179189636</v>
      </c>
      <c r="CJ37" s="51">
        <f t="shared" si="49"/>
        <v>13220437.16</v>
      </c>
      <c r="CK37" s="51">
        <f t="shared" si="49"/>
        <v>25335756.260000002</v>
      </c>
      <c r="CL37" s="51">
        <f t="shared" si="49"/>
        <v>40226454.520000003</v>
      </c>
      <c r="CM37" s="51">
        <f t="shared" ref="CM37:CN37" si="50">CM38+CM39+CM40+CM41</f>
        <v>51204530.050000004</v>
      </c>
      <c r="CN37" s="51">
        <f t="shared" si="50"/>
        <v>62632013</v>
      </c>
      <c r="CO37" s="51">
        <f t="shared" ref="CO37:CP37" si="51">CO38+CO39+CO40+CO41</f>
        <v>92441550.760000005</v>
      </c>
      <c r="CP37" s="51">
        <f t="shared" si="51"/>
        <v>104890473.89</v>
      </c>
      <c r="CQ37" s="51">
        <f t="shared" ref="CQ37:CR37" si="52">CQ38+CQ39+CQ40+CQ41</f>
        <v>117356638.7</v>
      </c>
      <c r="CR37" s="51">
        <f t="shared" si="52"/>
        <v>132180213.02</v>
      </c>
    </row>
    <row r="38" spans="1:96">
      <c r="A38" s="35">
        <v>9.1</v>
      </c>
      <c r="B38" s="35" t="s">
        <v>200</v>
      </c>
      <c r="C38" s="51">
        <f>'Evolutitve SCI'!B5</f>
        <v>50952511</v>
      </c>
      <c r="D38" s="51">
        <f>'Evolutitve SCI'!C5</f>
        <v>64376963</v>
      </c>
      <c r="E38" s="51">
        <f>'Evolutitve SCI'!D5</f>
        <v>71327939</v>
      </c>
      <c r="F38" s="51">
        <f>'Evolutitve SCI'!E5</f>
        <v>86602623.99000001</v>
      </c>
      <c r="G38" s="51">
        <f>'Evolutitve SCI'!F5</f>
        <v>88158935</v>
      </c>
      <c r="H38" s="51">
        <f>'Evolutitve SCI'!G5</f>
        <v>100764347</v>
      </c>
      <c r="I38" s="51">
        <f>'Evolutitve SCI'!H5</f>
        <v>110622193</v>
      </c>
      <c r="J38" s="51">
        <f>'Evolutitve SCI'!I5</f>
        <v>2868188.86</v>
      </c>
      <c r="K38" s="51">
        <f>'Evolutitve SCI'!J5</f>
        <v>14794809.859999999</v>
      </c>
      <c r="L38" s="51">
        <f>'Evolutitve SCI'!K5</f>
        <v>24180326.030000001</v>
      </c>
      <c r="M38" s="51">
        <f>'Evolutitve SCI'!L5</f>
        <v>31297315.07</v>
      </c>
      <c r="N38" s="51">
        <f>'Evolutitve SCI'!M5</f>
        <v>41273173.789999999</v>
      </c>
      <c r="O38" s="51">
        <f>'Evolutitve SCI'!N5</f>
        <v>49549690.090000004</v>
      </c>
      <c r="P38" s="51">
        <f>'Evolutitve SCI'!O5</f>
        <v>53182015.689999998</v>
      </c>
      <c r="Q38" s="51">
        <f>'Evolutitve SCI'!P5</f>
        <v>68046944.519999996</v>
      </c>
      <c r="R38" s="51">
        <f>'Evolutitve SCI'!Q5</f>
        <v>84380465.209999993</v>
      </c>
      <c r="S38" s="51">
        <f>'Evolutitve SCI'!R5</f>
        <v>95511940.109999999</v>
      </c>
      <c r="T38" s="51">
        <f>'Evolutitve SCI'!S5</f>
        <v>106203359.51000001</v>
      </c>
      <c r="U38" s="51">
        <f>'Evolutitve SCI'!T5</f>
        <v>117210423.06</v>
      </c>
      <c r="V38" s="51">
        <f>'Evolutitve SCI'!U5</f>
        <v>117850753</v>
      </c>
      <c r="W38" s="51">
        <f>'Evolutitve SCI'!V5</f>
        <v>9208005.3000000007</v>
      </c>
      <c r="X38" s="51">
        <f>'Evolutitve SCI'!W5</f>
        <v>18006762.350000001</v>
      </c>
      <c r="Y38" s="51">
        <f>'Evolutitve SCI'!X5</f>
        <v>26799724.550000001</v>
      </c>
      <c r="Z38" s="51">
        <f>'Evolutitve SCI'!Y5</f>
        <v>37559024.100000001</v>
      </c>
      <c r="AA38" s="51">
        <f>'Evolutitve SCI'!Z5</f>
        <v>47882224.100000001</v>
      </c>
      <c r="AB38" s="51">
        <f>'Evolutitve SCI'!AA5</f>
        <v>57664038.719999999</v>
      </c>
      <c r="AC38" s="51">
        <f>'Evolutitve SCI'!AB5</f>
        <v>67846813.120000005</v>
      </c>
      <c r="AD38" s="51">
        <f>'Evolutitve SCI'!AC5</f>
        <v>81255070.780000001</v>
      </c>
      <c r="AE38" s="51">
        <f>'Evolutitve SCI'!AD5</f>
        <v>92271849.430000007</v>
      </c>
      <c r="AF38" s="51">
        <f>'Evolutitve SCI'!AE5</f>
        <v>103416021.81</v>
      </c>
      <c r="AG38" s="51">
        <f>'Evolutitve SCI'!AF5</f>
        <v>116267646.70999999</v>
      </c>
      <c r="AH38" s="51">
        <f>'Evolutitve SCI'!AG5</f>
        <v>134078395.56999999</v>
      </c>
      <c r="AI38" s="51">
        <f>'Evolutitve SCI'!AH5</f>
        <v>135079270.56999999</v>
      </c>
      <c r="AJ38" s="51">
        <f>'Evolutitve SCI'!AI5</f>
        <v>10779775.880000001</v>
      </c>
      <c r="AK38" s="51">
        <f>'Evolutitve SCI'!AJ5</f>
        <v>20634638.649999999</v>
      </c>
      <c r="AL38" s="51">
        <f>'Evolutitve SCI'!AK5</f>
        <v>29869063.899999999</v>
      </c>
      <c r="AM38" s="51">
        <f>'Evolutitve SCI'!AL5</f>
        <v>40819244.399999999</v>
      </c>
      <c r="AN38" s="51">
        <f>'Evolutitve SCI'!AM5</f>
        <v>51565484.979999997</v>
      </c>
      <c r="AO38" s="51">
        <f>'Evolutitve SCI'!AN5</f>
        <v>61723671.479999997</v>
      </c>
      <c r="AP38" s="51">
        <f>'Evolutitve SCI'!AO5</f>
        <v>72536460.129999995</v>
      </c>
      <c r="AQ38" s="51">
        <f>'Evolutitve SCI'!AP5</f>
        <v>85936392.379999995</v>
      </c>
      <c r="AR38" s="51">
        <f>'Evolutitve SCI'!AQ5</f>
        <v>96493685.280000001</v>
      </c>
      <c r="AS38" s="51">
        <f>'Evolutitve SCI'!AR5</f>
        <v>107454299.48</v>
      </c>
      <c r="AT38" s="51">
        <f>'Evolutitve SCI'!AS5</f>
        <v>120306106.43000001</v>
      </c>
      <c r="AU38" s="51">
        <f>'Evolutitve SCI'!AT5</f>
        <v>139999791.49000001</v>
      </c>
      <c r="AV38" s="51">
        <f>'Evolutitve SCI'!AU5</f>
        <v>145021619</v>
      </c>
      <c r="AW38" s="51">
        <f>'Evolutitve SCI'!AV5</f>
        <v>11133372.33</v>
      </c>
      <c r="AX38" s="51">
        <f>'Evolutitve SCI'!AW5</f>
        <v>21508769.829999998</v>
      </c>
      <c r="AY38" s="51">
        <f>'Evolutitve SCI'!AX5</f>
        <v>32179727.43</v>
      </c>
      <c r="AZ38" s="51">
        <f>'Evolutitve SCI'!AY5</f>
        <v>42120328.93</v>
      </c>
      <c r="BA38" s="51">
        <f>'Evolutitve SCI'!AZ5</f>
        <v>51676830.93</v>
      </c>
      <c r="BB38" s="51">
        <f>'Evolutitve SCI'!BA5</f>
        <v>61706602.630000003</v>
      </c>
      <c r="BC38" s="51">
        <f>'Evolutitve SCI'!BB5</f>
        <v>0</v>
      </c>
      <c r="BD38" s="51">
        <f>'Evolutitve SCI'!BC5</f>
        <v>426831812.39999998</v>
      </c>
      <c r="BE38" s="51">
        <f>'Evolutitve SCI'!BD5</f>
        <v>97119582.079999998</v>
      </c>
      <c r="BF38" s="51">
        <f>'Evolutitve SCI'!BE5</f>
        <v>108864689.98</v>
      </c>
      <c r="BG38" s="51">
        <f>'Evolutitve SCI'!BF5</f>
        <v>123769546.61</v>
      </c>
      <c r="BH38" s="51">
        <f>'Evolutitve SCI'!BG5</f>
        <v>135532528.21000001</v>
      </c>
      <c r="BI38" s="51">
        <f>'Evolutitve SCI'!BH5</f>
        <v>140667931</v>
      </c>
      <c r="BJ38" s="51">
        <f>'Evolutitve SCI'!BI5</f>
        <v>10709522.9</v>
      </c>
      <c r="BK38" s="51">
        <f>'Evolutitve SCI'!BJ5</f>
        <v>21229623.469999999</v>
      </c>
      <c r="BL38" s="51">
        <f>'Evolutitve SCI'!BK5</f>
        <v>32780903.469999999</v>
      </c>
      <c r="BM38" s="51">
        <f>'Evolutitve SCI'!BL5</f>
        <v>45271097.770000003</v>
      </c>
      <c r="BN38" s="51">
        <f>'Evolutitve SCI'!BM5</f>
        <v>56726775.020000003</v>
      </c>
      <c r="BO38" s="51">
        <f>'Evolutitve SCI'!BN5</f>
        <v>69182392.019999996</v>
      </c>
      <c r="BP38" s="51">
        <f>'Evolutitve SCI'!BO5</f>
        <v>82435360.019999996</v>
      </c>
      <c r="BQ38" s="51">
        <f>'Evolutitve SCI'!BP5</f>
        <v>94223478.819999993</v>
      </c>
      <c r="BR38" s="51">
        <f>'Evolutitve SCI'!BQ5</f>
        <v>106808230.92</v>
      </c>
      <c r="BS38" s="51">
        <f>'Evolutitve SCI'!BR5</f>
        <v>119771131.92</v>
      </c>
      <c r="BT38" s="51">
        <f>'Evolutitve SCI'!BS5</f>
        <v>132763241.92</v>
      </c>
      <c r="BU38" s="51">
        <f>'Evolutitve SCI'!BT5</f>
        <v>141785212</v>
      </c>
      <c r="BV38" s="51">
        <f>'Evolutitve SCI'!BU5</f>
        <v>158475099</v>
      </c>
      <c r="BW38" s="51">
        <f>'Evolutitve SCI'!BV5</f>
        <v>11517400</v>
      </c>
      <c r="BX38" s="51">
        <f>'Evolutitve SCI'!BW5</f>
        <v>23255633.5</v>
      </c>
      <c r="BY38" s="51">
        <f>'Evolutitve SCI'!BX5</f>
        <v>36328633</v>
      </c>
      <c r="BZ38" s="51">
        <f>'Evolutitve SCI'!BY5</f>
        <v>49802954</v>
      </c>
      <c r="CA38" s="51">
        <f>'Evolutitve SCI'!BZ5</f>
        <v>61411495.100000001</v>
      </c>
      <c r="CB38" s="51">
        <f>'Evolutitve SCI'!CA5</f>
        <v>73628123.5</v>
      </c>
      <c r="CC38" s="51">
        <f>'Evolutitve SCI'!CB5</f>
        <v>85826149.299999997</v>
      </c>
      <c r="CD38" s="51">
        <f>'Evolutitve SCI'!CC5</f>
        <v>98360828.200000003</v>
      </c>
      <c r="CE38" s="51">
        <f>'Evolutitve SCI'!CD5</f>
        <v>110656719.40000001</v>
      </c>
      <c r="CF38" s="51">
        <f>'Evolutitve SCI'!CE5</f>
        <v>122543807.90000001</v>
      </c>
      <c r="CG38" s="51">
        <f>'Evolutitve SCI'!CF5</f>
        <v>135454111.80000001</v>
      </c>
      <c r="CH38" s="51">
        <f>'Evolutitve SCI'!CG5</f>
        <v>148990857.30000001</v>
      </c>
      <c r="CI38" s="51">
        <f>'Evolutitve SCI'!CH5</f>
        <v>153079599</v>
      </c>
      <c r="CJ38" s="51">
        <f>'Evolutitve SCI'!CI5</f>
        <v>12585432</v>
      </c>
      <c r="CK38" s="51">
        <f>'Evolutitve SCI'!CJ5</f>
        <v>24092713.100000001</v>
      </c>
      <c r="CL38" s="51">
        <f>'Evolutitve SCI'!CK5</f>
        <v>35041788.100000001</v>
      </c>
      <c r="CM38" s="51">
        <f>'Evolutitve SCI'!CL5</f>
        <v>45499155.670000002</v>
      </c>
      <c r="CN38" s="51">
        <f>'Evolutitve SCI'!CM5</f>
        <v>55867888.390000001</v>
      </c>
      <c r="CO38" s="51">
        <f>'Evolutitve SCI'!CN5</f>
        <v>65409827.340000004</v>
      </c>
      <c r="CP38" s="51">
        <f>'Evolutitve SCI'!CO5</f>
        <v>75335349.340000004</v>
      </c>
      <c r="CQ38" s="51">
        <f>'Evolutitve SCI'!CP5</f>
        <v>85254973.939999998</v>
      </c>
      <c r="CR38" s="51">
        <f>'Evolutitve SCI'!CQ5</f>
        <v>96635029.959999993</v>
      </c>
    </row>
    <row r="39" spans="1:96">
      <c r="A39" s="35">
        <v>9.1999999999999993</v>
      </c>
      <c r="B39" s="35" t="s">
        <v>201</v>
      </c>
      <c r="C39" s="51">
        <f>'Evolutitve SCI'!B7</f>
        <v>2149508</v>
      </c>
      <c r="D39" s="51">
        <f>'Evolutitve SCI'!C7</f>
        <v>3499455</v>
      </c>
      <c r="E39" s="51">
        <f>'Evolutitve SCI'!D7</f>
        <v>5321173</v>
      </c>
      <c r="F39" s="51">
        <f>'Evolutitve SCI'!E7</f>
        <v>2815858.8600000003</v>
      </c>
      <c r="G39" s="51">
        <f>'Evolutitve SCI'!F7</f>
        <v>1271231</v>
      </c>
      <c r="H39" s="51">
        <f>'Evolutitve SCI'!G7</f>
        <v>9084813</v>
      </c>
      <c r="I39" s="51">
        <f>'Evolutitve SCI'!H7</f>
        <v>10786776</v>
      </c>
      <c r="J39" s="51">
        <f>'Evolutitve SCI'!I7</f>
        <v>62934.75</v>
      </c>
      <c r="K39" s="51">
        <f>'Evolutitve SCI'!J7</f>
        <v>134420.75</v>
      </c>
      <c r="L39" s="51">
        <f>'Evolutitve SCI'!K7</f>
        <v>739508.05</v>
      </c>
      <c r="M39" s="51">
        <f>'Evolutitve SCI'!L7</f>
        <v>789072.05</v>
      </c>
      <c r="N39" s="51">
        <f>'Evolutitve SCI'!M7</f>
        <v>837913.05</v>
      </c>
      <c r="O39" s="51">
        <f>'Evolutitve SCI'!N7</f>
        <v>9058214.2300000004</v>
      </c>
      <c r="P39" s="51">
        <f>'Evolutitve SCI'!O7</f>
        <v>9483188.0300000012</v>
      </c>
      <c r="Q39" s="51">
        <f>'Evolutitve SCI'!P7</f>
        <v>9551499.0300000012</v>
      </c>
      <c r="R39" s="51">
        <f>'Evolutitve SCI'!Q7</f>
        <v>10397075.700000001</v>
      </c>
      <c r="S39" s="51">
        <f>'Evolutitve SCI'!R7</f>
        <v>10442878.700000001</v>
      </c>
      <c r="T39" s="51">
        <f>'Evolutitve SCI'!S7</f>
        <v>10503543.700000001</v>
      </c>
      <c r="U39" s="51">
        <f>'Evolutitve SCI'!T7</f>
        <v>12408344.48</v>
      </c>
      <c r="V39" s="51">
        <f>'Evolutitve SCI'!U7</f>
        <v>16427626</v>
      </c>
      <c r="W39" s="51">
        <f>'Evolutitve SCI'!V7</f>
        <v>169415.31</v>
      </c>
      <c r="X39" s="51">
        <f>'Evolutitve SCI'!W7</f>
        <v>217030.31</v>
      </c>
      <c r="Y39" s="51">
        <f>'Evolutitve SCI'!X7</f>
        <v>1812447.62</v>
      </c>
      <c r="Z39" s="51">
        <f>'Evolutitve SCI'!Y7</f>
        <v>1944898.7</v>
      </c>
      <c r="AA39" s="51">
        <f>'Evolutitve SCI'!Z7</f>
        <v>2044713.7</v>
      </c>
      <c r="AB39" s="51">
        <f>'Evolutitve SCI'!AA7</f>
        <v>12463560.899999999</v>
      </c>
      <c r="AC39" s="51">
        <f>'Evolutitve SCI'!AB7</f>
        <v>13002674.649999999</v>
      </c>
      <c r="AD39" s="51">
        <f>'Evolutitve SCI'!AC7</f>
        <v>13111896.649999999</v>
      </c>
      <c r="AE39" s="51">
        <f>'Evolutitve SCI'!AD7</f>
        <v>13252677.149999999</v>
      </c>
      <c r="AF39" s="51">
        <f>'Evolutitve SCI'!AE7</f>
        <v>14404133.27</v>
      </c>
      <c r="AG39" s="51">
        <f>'Evolutitve SCI'!AF7</f>
        <v>14671429.9</v>
      </c>
      <c r="AH39" s="51">
        <f>'Evolutitve SCI'!AG7</f>
        <v>15629837.380000001</v>
      </c>
      <c r="AI39" s="51">
        <f>'Evolutitve SCI'!AH7</f>
        <v>18464419.379999999</v>
      </c>
      <c r="AJ39" s="51">
        <f>'Evolutitve SCI'!AI7</f>
        <v>57671</v>
      </c>
      <c r="AK39" s="51">
        <f>'Evolutitve SCI'!AJ7</f>
        <v>168370</v>
      </c>
      <c r="AL39" s="51">
        <f>'Evolutitve SCI'!AK7</f>
        <v>743866.4</v>
      </c>
      <c r="AM39" s="51">
        <f>'Evolutitve SCI'!AL7</f>
        <v>1341398.75</v>
      </c>
      <c r="AN39" s="51">
        <f>'Evolutitve SCI'!AM7</f>
        <v>1468644.75</v>
      </c>
      <c r="AO39" s="51">
        <f>'Evolutitve SCI'!AN7</f>
        <v>15148283.689999999</v>
      </c>
      <c r="AP39" s="51">
        <f>'Evolutitve SCI'!AO7</f>
        <v>15241269.689999999</v>
      </c>
      <c r="AQ39" s="51">
        <f>'Evolutitve SCI'!AP7</f>
        <v>15446455.689999999</v>
      </c>
      <c r="AR39" s="51">
        <f>'Evolutitve SCI'!AQ7</f>
        <v>15614640.689999999</v>
      </c>
      <c r="AS39" s="51">
        <f>'Evolutitve SCI'!AR7</f>
        <v>15696815.689999999</v>
      </c>
      <c r="AT39" s="51">
        <f>'Evolutitve SCI'!AS7</f>
        <v>16338535.189999999</v>
      </c>
      <c r="AU39" s="51">
        <f>'Evolutitve SCI'!AT7</f>
        <v>17155187.949999999</v>
      </c>
      <c r="AV39" s="51">
        <f>'Evolutitve SCI'!AU7</f>
        <v>2165674</v>
      </c>
      <c r="AW39" s="51">
        <f>'Evolutitve SCI'!AV7</f>
        <v>65745</v>
      </c>
      <c r="AX39" s="51">
        <f>'Evolutitve SCI'!AW7</f>
        <v>151880</v>
      </c>
      <c r="AY39" s="51">
        <f>'Evolutitve SCI'!AX7</f>
        <v>1030895.25</v>
      </c>
      <c r="AZ39" s="51">
        <f>'Evolutitve SCI'!AY7</f>
        <v>14307188.379999999</v>
      </c>
      <c r="BA39" s="51">
        <f>'Evolutitve SCI'!AZ7</f>
        <v>14353154.379999999</v>
      </c>
      <c r="BB39" s="51">
        <f>'Evolutitve SCI'!BA7</f>
        <v>14879918.59</v>
      </c>
      <c r="BC39" s="51">
        <f>'Evolutitve SCI'!BB7</f>
        <v>0</v>
      </c>
      <c r="BD39" s="51">
        <f>'Evolutitve SCI'!BC7</f>
        <v>77264624.899999991</v>
      </c>
      <c r="BE39" s="51">
        <f>'Evolutitve SCI'!BD7</f>
        <v>15618214.109999999</v>
      </c>
      <c r="BF39" s="51">
        <f>'Evolutitve SCI'!BE7</f>
        <v>15808426.98</v>
      </c>
      <c r="BG39" s="51">
        <f>'Evolutitve SCI'!BF7</f>
        <v>17054621</v>
      </c>
      <c r="BH39" s="51">
        <f>'Evolutitve SCI'!BG7</f>
        <v>18619868.189999998</v>
      </c>
      <c r="BI39" s="51">
        <f>'Evolutitve SCI'!BH7</f>
        <v>2323752</v>
      </c>
      <c r="BJ39" s="51">
        <f>'Evolutitve SCI'!BI7</f>
        <v>82690</v>
      </c>
      <c r="BK39" s="51">
        <f>'Evolutitve SCI'!BJ7</f>
        <v>774111.75</v>
      </c>
      <c r="BL39" s="51">
        <f>'Evolutitve SCI'!BK7</f>
        <v>2427837.21</v>
      </c>
      <c r="BM39" s="51">
        <f>'Evolutitve SCI'!BL7</f>
        <v>15814531.85</v>
      </c>
      <c r="BN39" s="51">
        <f>'Evolutitve SCI'!BM7</f>
        <v>16031077.35</v>
      </c>
      <c r="BO39" s="51">
        <f>'Evolutitve SCI'!BN7</f>
        <v>16257673.6</v>
      </c>
      <c r="BP39" s="51">
        <f>'Evolutitve SCI'!BO7</f>
        <v>17438630.990000002</v>
      </c>
      <c r="BQ39" s="51">
        <f>'Evolutitve SCI'!BP7</f>
        <v>17862786.57</v>
      </c>
      <c r="BR39" s="51">
        <f>'Evolutitve SCI'!BQ7</f>
        <v>18039032.07</v>
      </c>
      <c r="BS39" s="51">
        <f>'Evolutitve SCI'!BR7</f>
        <v>19555253.210000001</v>
      </c>
      <c r="BT39" s="51">
        <f>'Evolutitve SCI'!BS7</f>
        <v>20231543.120000001</v>
      </c>
      <c r="BU39" s="51">
        <f>'Evolutitve SCI'!BT7</f>
        <v>23640119.460000001</v>
      </c>
      <c r="BV39" s="51">
        <f>'Evolutitve SCI'!BU7</f>
        <v>24668937</v>
      </c>
      <c r="BW39" s="51">
        <f>'Evolutitve SCI'!BV7</f>
        <v>262088.73</v>
      </c>
      <c r="BX39" s="51">
        <f>'Evolutitve SCI'!BW7</f>
        <v>1792700.1400000001</v>
      </c>
      <c r="BY39" s="51">
        <f>'Evolutitve SCI'!BX7</f>
        <v>3367696.7800000003</v>
      </c>
      <c r="BZ39" s="51">
        <f>'Evolutitve SCI'!BY7</f>
        <v>3662355.0700000003</v>
      </c>
      <c r="CA39" s="51">
        <f>'Evolutitve SCI'!BZ7</f>
        <v>4064641.81</v>
      </c>
      <c r="CB39" s="51">
        <f>'Evolutitve SCI'!CA7</f>
        <v>17442696.43</v>
      </c>
      <c r="CC39" s="51">
        <f>'Evolutitve SCI'!CB7</f>
        <v>17794861.66</v>
      </c>
      <c r="CD39" s="51">
        <f>'Evolutitve SCI'!CC7</f>
        <v>18201462.949999999</v>
      </c>
      <c r="CE39" s="51">
        <f>'Evolutitve SCI'!CD7</f>
        <v>19914366.589999996</v>
      </c>
      <c r="CF39" s="51">
        <f>'Evolutitve SCI'!CE7</f>
        <v>21029941.859999999</v>
      </c>
      <c r="CG39" s="51">
        <f>'Evolutitve SCI'!CF7</f>
        <v>21808858.009999998</v>
      </c>
      <c r="CH39" s="51">
        <f>'Evolutitve SCI'!CG7</f>
        <v>25061989.329999998</v>
      </c>
      <c r="CI39" s="51">
        <f>'Evolutitve SCI'!CH7</f>
        <v>26110037</v>
      </c>
      <c r="CJ39" s="51">
        <f>'Evolutitve SCI'!CI7</f>
        <v>324540.66000000003</v>
      </c>
      <c r="CK39" s="51">
        <f>'Evolutitve SCI'!CJ7</f>
        <v>606399.66</v>
      </c>
      <c r="CL39" s="51">
        <f>'Evolutitve SCI'!CK7</f>
        <v>4266417.42</v>
      </c>
      <c r="CM39" s="51">
        <f>'Evolutitve SCI'!CL7</f>
        <v>4644608.88</v>
      </c>
      <c r="CN39" s="51">
        <f>'Evolutitve SCI'!CM7</f>
        <v>5303135.1099999994</v>
      </c>
      <c r="CO39" s="51">
        <f>'Evolutitve SCI'!CN7</f>
        <v>24564008.420000002</v>
      </c>
      <c r="CP39" s="51">
        <f>'Evolutitve SCI'!CO7</f>
        <v>25686453.550000001</v>
      </c>
      <c r="CQ39" s="51">
        <f>'Evolutitve SCI'!CP7</f>
        <v>26037755.460000001</v>
      </c>
      <c r="CR39" s="51">
        <f>'Evolutitve SCI'!CQ7</f>
        <v>27588846.059999999</v>
      </c>
    </row>
    <row r="40" spans="1:96">
      <c r="A40" s="35">
        <v>9.3000000000000007</v>
      </c>
      <c r="B40" s="35" t="s">
        <v>202</v>
      </c>
      <c r="C40" s="51">
        <f>'Evolutitve SCI'!B6</f>
        <v>0</v>
      </c>
      <c r="D40" s="51">
        <f>'Evolutitve SCI'!C6</f>
        <v>0</v>
      </c>
      <c r="E40" s="51">
        <f>'Evolutitve SCI'!D6</f>
        <v>0</v>
      </c>
      <c r="F40" s="51">
        <f>'Evolutitve SCI'!E6</f>
        <v>4548555.03</v>
      </c>
      <c r="G40" s="51">
        <f>'Evolutitve SCI'!F6</f>
        <v>7970522</v>
      </c>
      <c r="H40" s="51">
        <f>'Evolutitve SCI'!G6</f>
        <v>0</v>
      </c>
      <c r="I40" s="51">
        <f>'Evolutitve SCI'!H6</f>
        <v>0</v>
      </c>
      <c r="J40" s="51">
        <f>'Evolutitve SCI'!I6</f>
        <v>160010.5</v>
      </c>
      <c r="K40" s="51">
        <f>'Evolutitve SCI'!J6</f>
        <v>684903</v>
      </c>
      <c r="L40" s="51">
        <f>'Evolutitve SCI'!K6</f>
        <v>1082892</v>
      </c>
      <c r="M40" s="51">
        <f>'Evolutitve SCI'!L6</f>
        <v>1304579</v>
      </c>
      <c r="N40" s="51">
        <f>'Evolutitve SCI'!M6</f>
        <v>1765514</v>
      </c>
      <c r="O40" s="51">
        <f>'Evolutitve SCI'!N6</f>
        <v>2217595.5</v>
      </c>
      <c r="P40" s="51">
        <f>'Evolutitve SCI'!O6</f>
        <v>2422650</v>
      </c>
      <c r="Q40" s="51">
        <f>'Evolutitve SCI'!P6</f>
        <v>3029184.5</v>
      </c>
      <c r="R40" s="51">
        <f>'Evolutitve SCI'!Q6</f>
        <v>3240640.4</v>
      </c>
      <c r="S40" s="51">
        <f>'Evolutitve SCI'!R6</f>
        <v>3659252.9</v>
      </c>
      <c r="T40" s="51">
        <f>'Evolutitve SCI'!S6</f>
        <v>4218798.9000000004</v>
      </c>
      <c r="U40" s="51">
        <f>'Evolutitve SCI'!T6</f>
        <v>4659610.9000000004</v>
      </c>
      <c r="V40" s="51">
        <f>'Evolutitve SCI'!U6</f>
        <v>0</v>
      </c>
      <c r="W40" s="51">
        <f>'Evolutitve SCI'!V6</f>
        <v>419236.5</v>
      </c>
      <c r="X40" s="51">
        <f>'Evolutitve SCI'!W6</f>
        <v>739980</v>
      </c>
      <c r="Y40" s="51">
        <f>'Evolutitve SCI'!X6</f>
        <v>1137050</v>
      </c>
      <c r="Z40" s="147">
        <f>'Evolutitve SCI'!Y6</f>
        <v>1565835.5</v>
      </c>
      <c r="AA40" s="147">
        <f>'Evolutitve SCI'!Z6</f>
        <v>1979664</v>
      </c>
      <c r="AB40" s="147">
        <f>'Evolutitve SCI'!AA6</f>
        <v>2356294.5</v>
      </c>
      <c r="AC40" s="147">
        <f>'Evolutitve SCI'!AB6</f>
        <v>2750586</v>
      </c>
      <c r="AD40" s="147">
        <f>'Evolutitve SCI'!AC6</f>
        <v>3182866.5</v>
      </c>
      <c r="AE40" s="147">
        <f>'Evolutitve SCI'!AD6</f>
        <v>3559697</v>
      </c>
      <c r="AF40" s="147">
        <f>'Evolutitve SCI'!AE6</f>
        <v>3968232.5</v>
      </c>
      <c r="AG40" s="147">
        <f>'Evolutitve SCI'!AF6</f>
        <v>4435514.5</v>
      </c>
      <c r="AH40" s="147">
        <f>'Evolutitve SCI'!AG6</f>
        <v>4832283.5</v>
      </c>
      <c r="AI40" s="147">
        <f>'Evolutitve SCI'!AH6</f>
        <v>1009779.5</v>
      </c>
      <c r="AJ40" s="147">
        <f>'Evolutitve SCI'!AI6</f>
        <v>356522</v>
      </c>
      <c r="AK40" s="147">
        <f>'Evolutitve SCI'!AJ6</f>
        <v>719866</v>
      </c>
      <c r="AL40" s="147">
        <f>'Evolutitve SCI'!AK6</f>
        <v>1561042</v>
      </c>
      <c r="AM40" s="147">
        <f>'Evolutitve SCI'!AL6</f>
        <v>1962668.5</v>
      </c>
      <c r="AN40" s="147">
        <f>'Evolutitve SCI'!AM6</f>
        <v>2432963</v>
      </c>
      <c r="AO40" s="147">
        <f>'Evolutitve SCI'!AN6</f>
        <v>2886826</v>
      </c>
      <c r="AP40" s="147">
        <f>'Evolutitve SCI'!AO6</f>
        <v>3155796.5</v>
      </c>
      <c r="AQ40" s="147">
        <f>'Evolutitve SCI'!AP6</f>
        <v>3796119</v>
      </c>
      <c r="AR40" s="147">
        <f>'Evolutitve SCI'!AQ6</f>
        <v>4216612.5</v>
      </c>
      <c r="AS40" s="147">
        <f>'Evolutitve SCI'!AR6</f>
        <v>4609835.5</v>
      </c>
      <c r="AT40" s="147">
        <f>'Evolutitve SCI'!AS6</f>
        <v>5072617.5</v>
      </c>
      <c r="AU40" s="147">
        <f>'Evolutitve SCI'!AT6</f>
        <v>5634613.2999999998</v>
      </c>
      <c r="AV40" s="147">
        <f>'Evolutitve SCI'!AU6</f>
        <v>15602300</v>
      </c>
      <c r="AW40" s="147">
        <f>'Evolutitve SCI'!AV6</f>
        <v>384164</v>
      </c>
      <c r="AX40" s="147">
        <f>'Evolutitve SCI'!AW6</f>
        <v>732437.5</v>
      </c>
      <c r="AY40" s="147">
        <f>'Evolutitve SCI'!AX6</f>
        <v>1531351.5</v>
      </c>
      <c r="AZ40" s="147">
        <f>'Evolutitve SCI'!AY6</f>
        <v>1667915.8</v>
      </c>
      <c r="BA40" s="147">
        <f>'Evolutitve SCI'!AZ6</f>
        <v>2026809.3</v>
      </c>
      <c r="BB40" s="147">
        <f>'Evolutitve SCI'!BA6</f>
        <v>2432941.1</v>
      </c>
      <c r="BC40" s="147">
        <f>'Evolutitve SCI'!BB6</f>
        <v>0</v>
      </c>
      <c r="BD40" s="147">
        <f>'Evolutitve SCI'!BC6</f>
        <v>16427883.5</v>
      </c>
      <c r="BE40" s="147">
        <f>'Evolutitve SCI'!BD6</f>
        <v>3946043</v>
      </c>
      <c r="BF40" s="147">
        <f>'Evolutitve SCI'!BE6</f>
        <v>4653567.7</v>
      </c>
      <c r="BG40" s="147">
        <f>'Evolutitve SCI'!BF6</f>
        <v>4993921</v>
      </c>
      <c r="BH40" s="147">
        <f>'Evolutitve SCI'!BG6</f>
        <v>5773405.7000000002</v>
      </c>
      <c r="BI40" s="147">
        <f>'Evolutitve SCI'!BH6</f>
        <v>16934119</v>
      </c>
      <c r="BJ40" s="147">
        <f>'Evolutitve SCI'!BI6</f>
        <v>388395.8</v>
      </c>
      <c r="BK40" s="147">
        <f>'Evolutitve SCI'!BJ6</f>
        <v>1343426.5</v>
      </c>
      <c r="BL40" s="147">
        <f>'Evolutitve SCI'!BK6</f>
        <v>1587365.5</v>
      </c>
      <c r="BM40" s="147">
        <f>'Evolutitve SCI'!BL6</f>
        <v>2358388.2999999998</v>
      </c>
      <c r="BN40" s="147">
        <f>'Evolutitve SCI'!BM6</f>
        <v>2866267.8</v>
      </c>
      <c r="BO40" s="147">
        <f>'Evolutitve SCI'!BN6</f>
        <v>3450233.5</v>
      </c>
      <c r="BP40" s="147">
        <f>'Evolutitve SCI'!BO6</f>
        <v>3927265.5</v>
      </c>
      <c r="BQ40" s="147">
        <f>'Evolutitve SCI'!BP6</f>
        <v>4314177</v>
      </c>
      <c r="BR40" s="147">
        <f>'Evolutitve SCI'!BQ6</f>
        <v>4693065</v>
      </c>
      <c r="BS40" s="147">
        <f>'Evolutitve SCI'!BR6</f>
        <v>5112169</v>
      </c>
      <c r="BT40" s="147">
        <f>'Evolutitve SCI'!BS6</f>
        <v>5603306</v>
      </c>
      <c r="BU40" s="147">
        <f>'Evolutitve SCI'!BT6</f>
        <v>16689886</v>
      </c>
      <c r="BV40" s="147">
        <f>'Evolutitve SCI'!BU6</f>
        <v>0</v>
      </c>
      <c r="BW40" s="147">
        <f>'Evolutitve SCI'!BV6</f>
        <v>354136</v>
      </c>
      <c r="BX40" s="147">
        <f>'Evolutitve SCI'!BW6</f>
        <v>586116</v>
      </c>
      <c r="BY40" s="147">
        <f>'Evolutitve SCI'!BX6</f>
        <v>1312992.5</v>
      </c>
      <c r="BZ40" s="147">
        <f>'Evolutitve SCI'!BY6</f>
        <v>1689955</v>
      </c>
      <c r="CA40" s="147">
        <f>'Evolutitve SCI'!BZ6</f>
        <v>1979843.8</v>
      </c>
      <c r="CB40" s="147">
        <f>'Evolutitve SCI'!CA6</f>
        <v>2219442.5</v>
      </c>
      <c r="CC40" s="147">
        <f>'Evolutitve SCI'!CB6</f>
        <v>2552272.5</v>
      </c>
      <c r="CD40" s="147">
        <f>'Evolutitve SCI'!CC6</f>
        <v>2896134</v>
      </c>
      <c r="CE40" s="147">
        <f>'Evolutitve SCI'!CD6</f>
        <v>3236425</v>
      </c>
      <c r="CF40" s="147">
        <f>'Evolutitve SCI'!CE6</f>
        <v>3121429</v>
      </c>
      <c r="CG40" s="147">
        <f>'Evolutitve SCI'!CF6</f>
        <v>3448774</v>
      </c>
      <c r="CH40" s="147">
        <f>'Evolutitve SCI'!CG6</f>
        <v>3807134</v>
      </c>
      <c r="CI40" s="147">
        <f>'Evolutitve SCI'!CH6</f>
        <v>0</v>
      </c>
      <c r="CJ40" s="147">
        <f>'Evolutitve SCI'!CI6</f>
        <v>310464.5</v>
      </c>
      <c r="CK40" s="147">
        <f>'Evolutitve SCI'!CJ6</f>
        <v>636643.5</v>
      </c>
      <c r="CL40" s="147">
        <f>'Evolutitve SCI'!CK6</f>
        <v>918249</v>
      </c>
      <c r="CM40" s="147">
        <f>'Evolutitve SCI'!CL6</f>
        <v>1060765.5</v>
      </c>
      <c r="CN40" s="147">
        <f>'Evolutitve SCI'!CM6</f>
        <v>1460989.5</v>
      </c>
      <c r="CO40" s="147">
        <f>'Evolutitve SCI'!CN6</f>
        <v>2467715</v>
      </c>
      <c r="CP40" s="147">
        <f>'Evolutitve SCI'!CO6</f>
        <v>3868671</v>
      </c>
      <c r="CQ40" s="147">
        <f>'Evolutitve SCI'!CP6</f>
        <v>6063909.2999999998</v>
      </c>
      <c r="CR40" s="147">
        <f>'Evolutitve SCI'!CQ6</f>
        <v>7956337</v>
      </c>
    </row>
    <row r="41" spans="1:96">
      <c r="A41" s="35">
        <v>9.4</v>
      </c>
      <c r="B41" s="35" t="s">
        <v>203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47"/>
      <c r="AA41" s="147"/>
      <c r="AB41" s="147"/>
      <c r="AC41" s="147"/>
      <c r="AD41" s="147"/>
      <c r="AE41" s="147"/>
      <c r="AF41" s="147"/>
      <c r="AG41" s="147"/>
    </row>
    <row r="42" spans="1:96">
      <c r="A42" s="35"/>
      <c r="B42" s="35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47"/>
      <c r="AA42" s="147"/>
      <c r="AB42" s="147"/>
      <c r="AC42" s="147"/>
      <c r="AD42" s="147"/>
      <c r="AE42" s="147"/>
      <c r="AF42" s="147"/>
      <c r="AG42" s="147"/>
    </row>
    <row r="43" spans="1:96">
      <c r="A43" s="37">
        <v>10</v>
      </c>
      <c r="B43" s="43" t="s">
        <v>204</v>
      </c>
      <c r="C43" s="52">
        <f>SUM(C44:C47)</f>
        <v>44309066</v>
      </c>
      <c r="D43" s="52">
        <f>SUM(D44:D47)</f>
        <v>50491542</v>
      </c>
      <c r="E43" s="52">
        <f>SUM(E44:E47)</f>
        <v>63119370</v>
      </c>
      <c r="F43" s="52">
        <f>SUM(F44:F47)</f>
        <v>77259104.794999987</v>
      </c>
      <c r="G43" s="52">
        <f t="shared" ref="G43:N43" si="53">SUM(G44:G47)</f>
        <v>74354817</v>
      </c>
      <c r="H43" s="52">
        <f>SUM(H44:H47)</f>
        <v>83585136</v>
      </c>
      <c r="I43" s="52">
        <f>SUM(I44:I47)</f>
        <v>102080818</v>
      </c>
      <c r="J43" s="52">
        <f t="shared" si="53"/>
        <v>5499249.1099999994</v>
      </c>
      <c r="K43" s="52">
        <f t="shared" si="53"/>
        <v>11510444.609999999</v>
      </c>
      <c r="L43" s="52">
        <f t="shared" si="53"/>
        <v>18927793.619999997</v>
      </c>
      <c r="M43" s="52">
        <f t="shared" si="53"/>
        <v>25898816.539999999</v>
      </c>
      <c r="N43" s="52">
        <f t="shared" si="53"/>
        <v>34557172.190000005</v>
      </c>
      <c r="O43" s="52">
        <f t="shared" ref="O43:BI43" si="54">SUM(O44:O47)</f>
        <v>40560198.060000002</v>
      </c>
      <c r="P43" s="52">
        <f t="shared" si="54"/>
        <v>48142852.420000002</v>
      </c>
      <c r="Q43" s="52">
        <f t="shared" si="54"/>
        <v>54263635.25</v>
      </c>
      <c r="R43" s="52">
        <f t="shared" si="54"/>
        <v>60994321</v>
      </c>
      <c r="S43" s="52">
        <f t="shared" si="54"/>
        <v>69188833.079999998</v>
      </c>
      <c r="T43" s="52">
        <f t="shared" si="54"/>
        <v>75994729.25999999</v>
      </c>
      <c r="U43" s="52">
        <f t="shared" si="54"/>
        <v>116847605.07999998</v>
      </c>
      <c r="V43" s="52">
        <f t="shared" si="54"/>
        <v>119286359</v>
      </c>
      <c r="W43" s="52">
        <f t="shared" si="54"/>
        <v>6758021.8700000001</v>
      </c>
      <c r="X43" s="52">
        <f t="shared" si="54"/>
        <v>12695796.289999999</v>
      </c>
      <c r="Y43" s="52">
        <f t="shared" si="54"/>
        <v>22904513.119999997</v>
      </c>
      <c r="Z43" s="119">
        <f t="shared" si="54"/>
        <v>34496564.939999998</v>
      </c>
      <c r="AA43" s="119">
        <f t="shared" si="54"/>
        <v>41529437.879999995</v>
      </c>
      <c r="AB43" s="119">
        <f t="shared" si="54"/>
        <v>47787883.189999998</v>
      </c>
      <c r="AC43" s="119">
        <f t="shared" si="54"/>
        <v>56406835.640000001</v>
      </c>
      <c r="AD43" s="119">
        <f t="shared" si="54"/>
        <v>65509144.609999999</v>
      </c>
      <c r="AE43" s="119">
        <f t="shared" si="54"/>
        <v>72414019.480000004</v>
      </c>
      <c r="AF43" s="119">
        <f t="shared" si="54"/>
        <v>76569596.030000001</v>
      </c>
      <c r="AG43" s="119">
        <f t="shared" si="54"/>
        <v>87511190.229999989</v>
      </c>
      <c r="AH43" s="119">
        <f t="shared" si="54"/>
        <v>121988662.19</v>
      </c>
      <c r="AI43" s="119">
        <f t="shared" si="54"/>
        <v>120951543.86000001</v>
      </c>
      <c r="AJ43" s="119">
        <f t="shared" si="54"/>
        <v>6978778.7199999997</v>
      </c>
      <c r="AK43" s="119">
        <f t="shared" si="54"/>
        <v>14076578.459999999</v>
      </c>
      <c r="AL43" s="119">
        <f t="shared" si="54"/>
        <v>23868021.399999999</v>
      </c>
      <c r="AM43" s="119">
        <f t="shared" si="54"/>
        <v>36272544.350000001</v>
      </c>
      <c r="AN43" s="119">
        <f t="shared" si="54"/>
        <v>43499499.299999997</v>
      </c>
      <c r="AO43" s="119">
        <f t="shared" si="54"/>
        <v>52859846.079999998</v>
      </c>
      <c r="AP43" s="119">
        <f t="shared" si="54"/>
        <v>60250865.579999998</v>
      </c>
      <c r="AQ43" s="119">
        <f t="shared" si="54"/>
        <v>72213769.609999999</v>
      </c>
      <c r="AR43" s="119">
        <f t="shared" si="54"/>
        <v>80004587.569999993</v>
      </c>
      <c r="AS43" s="119">
        <f t="shared" si="54"/>
        <v>88620470.030000001</v>
      </c>
      <c r="AT43" s="119">
        <f t="shared" si="54"/>
        <v>106976132.87</v>
      </c>
      <c r="AU43" s="119">
        <f t="shared" si="54"/>
        <v>131768200.01000001</v>
      </c>
      <c r="AV43" s="119">
        <f t="shared" si="54"/>
        <v>129987206</v>
      </c>
      <c r="AW43" s="119">
        <f t="shared" si="54"/>
        <v>7852546.25</v>
      </c>
      <c r="AX43" s="119">
        <f t="shared" si="54"/>
        <v>17851038.380000003</v>
      </c>
      <c r="AY43" s="119">
        <f t="shared" si="54"/>
        <v>28904815.939999998</v>
      </c>
      <c r="AZ43" s="119">
        <f t="shared" si="54"/>
        <v>38283696.390000001</v>
      </c>
      <c r="BA43" s="119">
        <f t="shared" si="54"/>
        <v>51824070.660000004</v>
      </c>
      <c r="BB43" s="119">
        <f t="shared" si="54"/>
        <v>59687243.980000004</v>
      </c>
      <c r="BC43" s="119">
        <f t="shared" si="54"/>
        <v>0</v>
      </c>
      <c r="BD43" s="119">
        <f t="shared" si="54"/>
        <v>404463515.04999995</v>
      </c>
      <c r="BE43" s="119">
        <f t="shared" si="54"/>
        <v>90545234.870000005</v>
      </c>
      <c r="BF43" s="119">
        <f t="shared" si="54"/>
        <v>103194023.28999999</v>
      </c>
      <c r="BG43" s="119">
        <f t="shared" si="54"/>
        <v>113697775.65000001</v>
      </c>
      <c r="BH43" s="119">
        <f t="shared" si="54"/>
        <v>128957710.18999998</v>
      </c>
      <c r="BI43" s="119">
        <f t="shared" si="54"/>
        <v>185379644.25</v>
      </c>
      <c r="BJ43" s="119">
        <f>SUM(BJ44:BJ47)</f>
        <v>17802989.73</v>
      </c>
      <c r="BK43" s="119">
        <f>SUM(BK44:BK47)</f>
        <v>36155446.890000001</v>
      </c>
      <c r="BL43" s="119">
        <f>SUM(BL44:BL47)</f>
        <v>54953816.609999999</v>
      </c>
      <c r="BM43" s="119">
        <f t="shared" ref="BM43:BU43" si="55">SUM(BM44:BM47)</f>
        <v>71201817.159999996</v>
      </c>
      <c r="BN43" s="119">
        <f t="shared" si="55"/>
        <v>87336252.210000008</v>
      </c>
      <c r="BO43" s="119">
        <f t="shared" si="55"/>
        <v>103646764.87</v>
      </c>
      <c r="BP43" s="119">
        <f t="shared" si="55"/>
        <v>122359786.31999999</v>
      </c>
      <c r="BQ43" s="119">
        <f t="shared" si="55"/>
        <v>137453431.83000001</v>
      </c>
      <c r="BR43" s="119">
        <f t="shared" si="55"/>
        <v>152305467.43000001</v>
      </c>
      <c r="BS43" s="119">
        <f t="shared" si="55"/>
        <v>168976481.06</v>
      </c>
      <c r="BT43" s="119">
        <f t="shared" si="55"/>
        <v>185102311.15000001</v>
      </c>
      <c r="BU43" s="119">
        <f t="shared" si="55"/>
        <v>238989035.96000001</v>
      </c>
      <c r="BV43" s="119">
        <f>SUM(BV44:BV47)</f>
        <v>240158021</v>
      </c>
      <c r="BW43" s="119">
        <f t="shared" ref="BW43:CH43" si="56">SUM(BW44:BW47)</f>
        <v>17132399.710000001</v>
      </c>
      <c r="BX43" s="119">
        <f t="shared" si="56"/>
        <v>41641921.260000005</v>
      </c>
      <c r="BY43" s="119">
        <f t="shared" si="56"/>
        <v>61758774.130000003</v>
      </c>
      <c r="BZ43" s="119">
        <f t="shared" si="56"/>
        <v>81548355.359999999</v>
      </c>
      <c r="CA43" s="119">
        <f t="shared" si="56"/>
        <v>100695085.96000001</v>
      </c>
      <c r="CB43" s="119">
        <f t="shared" si="56"/>
        <v>119133035.18000001</v>
      </c>
      <c r="CC43" s="119">
        <f t="shared" si="56"/>
        <v>138960692.25999999</v>
      </c>
      <c r="CD43" s="119">
        <f t="shared" si="56"/>
        <v>155053726.14000002</v>
      </c>
      <c r="CE43" s="119">
        <f t="shared" si="56"/>
        <v>172468581.49000001</v>
      </c>
      <c r="CF43" s="119">
        <f t="shared" si="56"/>
        <v>190712401.69</v>
      </c>
      <c r="CG43" s="119">
        <f t="shared" si="56"/>
        <v>210553924.85000002</v>
      </c>
      <c r="CH43" s="119">
        <f t="shared" si="56"/>
        <v>258776772.84</v>
      </c>
      <c r="CI43" s="119">
        <f t="shared" ref="CI43:CL43" si="57">SUM(CI44:CI47)</f>
        <v>260526419</v>
      </c>
      <c r="CJ43" s="119">
        <f t="shared" si="57"/>
        <v>16603437.5</v>
      </c>
      <c r="CK43" s="119">
        <f t="shared" si="57"/>
        <v>33536894.560000002</v>
      </c>
      <c r="CL43" s="119">
        <f t="shared" si="57"/>
        <v>62582730.219999999</v>
      </c>
      <c r="CM43" s="119">
        <f t="shared" ref="CM43:CN43" si="58">SUM(CM44:CM47)</f>
        <v>83700523.810000002</v>
      </c>
      <c r="CN43" s="119">
        <f t="shared" si="58"/>
        <v>104550130.12</v>
      </c>
      <c r="CO43" s="119">
        <f t="shared" ref="CO43:CP43" si="59">SUM(CO44:CO47)</f>
        <v>130075080.73999999</v>
      </c>
      <c r="CP43" s="119">
        <f t="shared" si="59"/>
        <v>152189716.94</v>
      </c>
      <c r="CQ43" s="119">
        <f t="shared" ref="CQ43:CR43" si="60">SUM(CQ44:CQ47)</f>
        <v>171343280.87</v>
      </c>
      <c r="CR43" s="119">
        <f t="shared" si="60"/>
        <v>188489408.14999998</v>
      </c>
    </row>
    <row r="44" spans="1:96">
      <c r="A44" s="35">
        <v>10.1</v>
      </c>
      <c r="B44" s="35" t="s">
        <v>205</v>
      </c>
      <c r="C44" s="51">
        <f>'Evolutitve SCI'!B13+'Evolutitve SCI'!B16</f>
        <v>24208136</v>
      </c>
      <c r="D44" s="51">
        <f>'Evolutitve SCI'!C13+'Evolutitve SCI'!C16</f>
        <v>16622609</v>
      </c>
      <c r="E44" s="51">
        <f>'Evolutitve SCI'!D13+'Evolutitve SCI'!D16</f>
        <v>19553383</v>
      </c>
      <c r="F44" s="51">
        <f>'Evolutitve SCI'!E13+'Evolutitve SCI'!E16</f>
        <v>25035862.639999997</v>
      </c>
      <c r="G44" s="51">
        <f>'Evolutitve SCI'!F13+'Evolutitve SCI'!F16</f>
        <v>28895754</v>
      </c>
      <c r="H44" s="51">
        <f>'Evolutitve SCI'!G13+'Evolutitve SCI'!G16</f>
        <v>34066507</v>
      </c>
      <c r="I44" s="51">
        <f>'Evolutitve SCI'!H13+'Evolutitve SCI'!H16</f>
        <v>37075248</v>
      </c>
      <c r="J44" s="51">
        <f>'Evolutitve SCI'!I13+'Evolutitve SCI'!I16</f>
        <v>2576230</v>
      </c>
      <c r="K44" s="51">
        <f>'Evolutitve SCI'!J13+'Evolutitve SCI'!J16</f>
        <v>5186707.84</v>
      </c>
      <c r="L44" s="51">
        <f>'Evolutitve SCI'!K13+'Evolutitve SCI'!K16</f>
        <v>7719929.8399999999</v>
      </c>
      <c r="M44" s="51">
        <f>'Evolutitve SCI'!L13+'Evolutitve SCI'!L16</f>
        <v>10814295.34</v>
      </c>
      <c r="N44" s="51">
        <f>'Evolutitve SCI'!M13+'Evolutitve SCI'!M16</f>
        <v>13959617.310000001</v>
      </c>
      <c r="O44" s="51">
        <f>'Evolutitve SCI'!N13+'Evolutitve SCI'!N16</f>
        <v>16992626.309999999</v>
      </c>
      <c r="P44" s="51">
        <f>'Evolutitve SCI'!O13+'Evolutitve SCI'!O16</f>
        <v>20062075.809999999</v>
      </c>
      <c r="Q44" s="51">
        <f>'Evolutitve SCI'!P13+'Evolutitve SCI'!P16</f>
        <v>23146703.370000001</v>
      </c>
      <c r="R44" s="51">
        <f>'Evolutitve SCI'!Q13+'Evolutitve SCI'!Q16</f>
        <v>26272138.120000001</v>
      </c>
      <c r="S44" s="51">
        <f>'Evolutitve SCI'!R13+'Evolutitve SCI'!R16</f>
        <v>29361243.379999999</v>
      </c>
      <c r="T44" s="51">
        <f>'Evolutitve SCI'!S13+'Evolutitve SCI'!S16</f>
        <v>32454127.879999999</v>
      </c>
      <c r="U44" s="51">
        <f>'Evolutitve SCI'!T13+'Evolutitve SCI'!T16</f>
        <v>42782450.009999998</v>
      </c>
      <c r="V44" s="51">
        <f>'Evolutitve SCI'!U13+'Evolutitve SCI'!U16</f>
        <v>45285994</v>
      </c>
      <c r="W44" s="51">
        <f>'Evolutitve SCI'!V13+'Evolutitve SCI'!V16</f>
        <v>3032407.26</v>
      </c>
      <c r="X44" s="51">
        <f>'Evolutitve SCI'!W13+'Evolutitve SCI'!W16</f>
        <v>6101627.2599999998</v>
      </c>
      <c r="Y44" s="51">
        <f>'Evolutitve SCI'!X13+'Evolutitve SCI'!X16</f>
        <v>9198168.2599999998</v>
      </c>
      <c r="Z44" s="147">
        <f>'Evolutitve SCI'!Y13+'Evolutitve SCI'!Y16</f>
        <v>12349355.26</v>
      </c>
      <c r="AA44" s="147">
        <f>'Evolutitve SCI'!Z13+'Evolutitve SCI'!Z16</f>
        <v>15384184.76</v>
      </c>
      <c r="AB44" s="147">
        <f>'Evolutitve SCI'!AA13+'Evolutitve SCI'!AA16</f>
        <v>18411961.760000002</v>
      </c>
      <c r="AC44" s="147">
        <f>'Evolutitve SCI'!AB13+'Evolutitve SCI'!AB16</f>
        <v>21553098.760000002</v>
      </c>
      <c r="AD44" s="147">
        <f>'Evolutitve SCI'!AC13+'Evolutitve SCI'!AC16</f>
        <v>24605630.760000002</v>
      </c>
      <c r="AE44" s="147">
        <f>'Evolutitve SCI'!AD13+'Evolutitve SCI'!AD16</f>
        <v>27607384.760000002</v>
      </c>
      <c r="AF44" s="147">
        <f>'Evolutitve SCI'!AE13+'Evolutitve SCI'!AE16</f>
        <v>27644629.760000002</v>
      </c>
      <c r="AG44" s="147">
        <f>'Evolutitve SCI'!AF13+'Evolutitve SCI'!AF16</f>
        <v>33795934.759999998</v>
      </c>
      <c r="AH44" s="147">
        <f>'Evolutitve SCI'!AG13+'Evolutitve SCI'!AG16</f>
        <v>45524606.82</v>
      </c>
      <c r="AI44" s="147">
        <f>'Evolutitve SCI'!AH13+'Evolutitve SCI'!AH16</f>
        <v>45524809.109999999</v>
      </c>
      <c r="AJ44" s="147">
        <f>'Evolutitve SCI'!AI13+'Evolutitve SCI'!AI16</f>
        <v>3056130</v>
      </c>
      <c r="AK44" s="147">
        <f>'Evolutitve SCI'!AJ13+'Evolutitve SCI'!AJ16</f>
        <v>6102799</v>
      </c>
      <c r="AL44" s="147">
        <f>'Evolutitve SCI'!AK13+'Evolutitve SCI'!AK16</f>
        <v>9173438</v>
      </c>
      <c r="AM44" s="147">
        <f>'Evolutitve SCI'!AL13+'Evolutitve SCI'!AL16</f>
        <v>12497034.51</v>
      </c>
      <c r="AN44" s="147">
        <f>'Evolutitve SCI'!AM13+'Evolutitve SCI'!AM16</f>
        <v>15602206.25</v>
      </c>
      <c r="AO44" s="147">
        <f>'Evolutitve SCI'!AN13+'Evolutitve SCI'!AN16</f>
        <v>18695390.57</v>
      </c>
      <c r="AP44" s="147">
        <f>'Evolutitve SCI'!AO13+'Evolutitve SCI'!AO16</f>
        <v>21743053.57</v>
      </c>
      <c r="AQ44" s="147">
        <f>'Evolutitve SCI'!AP13+'Evolutitve SCI'!AP16</f>
        <v>25006424.920000002</v>
      </c>
      <c r="AR44" s="147">
        <f>'Evolutitve SCI'!AQ13+'Evolutitve SCI'!AQ16</f>
        <v>28035262.920000002</v>
      </c>
      <c r="AS44" s="147">
        <f>'Evolutitve SCI'!AR13+'Evolutitve SCI'!AR16</f>
        <v>31133930.920000002</v>
      </c>
      <c r="AT44" s="147">
        <f>'Evolutitve SCI'!AS13+'Evolutitve SCI'!AS16</f>
        <v>44234740.920000002</v>
      </c>
      <c r="AU44" s="147">
        <f>'Evolutitve SCI'!AT13+'Evolutitve SCI'!AT16</f>
        <v>56178006.689999998</v>
      </c>
      <c r="AV44" s="147">
        <f>'Evolutitve SCI'!AU13+'Evolutitve SCI'!AU16</f>
        <v>54408213</v>
      </c>
      <c r="AW44" s="147">
        <f>'Evolutitve SCI'!AV13+'Evolutitve SCI'!AV16</f>
        <v>3695600.21</v>
      </c>
      <c r="AX44" s="147">
        <f>'Evolutitve SCI'!AW13+'Evolutitve SCI'!AW16</f>
        <v>7226086.21</v>
      </c>
      <c r="AY44" s="147">
        <f>'Evolutitve SCI'!AX13+'Evolutitve SCI'!AX16</f>
        <v>10933291.209999999</v>
      </c>
      <c r="AZ44" s="147">
        <f>'Evolutitve SCI'!AY13+'Evolutitve SCI'!AY16</f>
        <v>14507601.209999999</v>
      </c>
      <c r="BA44" s="147">
        <f>'Evolutitve SCI'!AZ13+'Evolutitve SCI'!AZ16</f>
        <v>18061245.210000001</v>
      </c>
      <c r="BB44" s="147">
        <f>'Evolutitve SCI'!BA13+'Evolutitve SCI'!BA16</f>
        <v>21778891.210000001</v>
      </c>
      <c r="BC44" s="147">
        <f>'Evolutitve SCI'!BB13+'Evolutitve SCI'!BB16</f>
        <v>0</v>
      </c>
      <c r="BD44" s="147">
        <f>'Evolutitve SCI'!BC13+'Evolutitve SCI'!BC16</f>
        <v>159875837.09999999</v>
      </c>
      <c r="BE44" s="147">
        <f>'Evolutitve SCI'!BD13+'Evolutitve SCI'!BD16</f>
        <v>37023918.259999998</v>
      </c>
      <c r="BF44" s="147">
        <f>'Evolutitve SCI'!BE13+'Evolutitve SCI'!BE16</f>
        <v>42186596.259999998</v>
      </c>
      <c r="BG44" s="147">
        <f>'Evolutitve SCI'!BF13+'Evolutitve SCI'!BF16</f>
        <v>47327367.259999998</v>
      </c>
      <c r="BH44" s="147">
        <f>'Evolutitve SCI'!BG13+'Evolutitve SCI'!BG16</f>
        <v>53825653.709999993</v>
      </c>
      <c r="BI44" s="147">
        <f>'Evolutitve SCI'!BH13+'Evolutitve SCI'!BH16</f>
        <v>57642450.25</v>
      </c>
      <c r="BJ44" s="147">
        <f>'Evolutitve SCI'!BI13+'Evolutitve SCI'!BI16</f>
        <v>5044659</v>
      </c>
      <c r="BK44" s="147">
        <f>'Evolutitve SCI'!BJ13+'Evolutitve SCI'!BJ16</f>
        <v>10277080</v>
      </c>
      <c r="BL44" s="147">
        <f>'Evolutitve SCI'!BK13+'Evolutitve SCI'!BK16</f>
        <v>15435759.029999999</v>
      </c>
      <c r="BM44" s="147">
        <f>'Evolutitve SCI'!BL13+'Evolutitve SCI'!BL16</f>
        <v>20534831.989999998</v>
      </c>
      <c r="BN44" s="147">
        <f>'Evolutitve SCI'!BM13+'Evolutitve SCI'!BM16</f>
        <v>25752659.370000001</v>
      </c>
      <c r="BO44" s="147">
        <f>'Evolutitve SCI'!BN13+'Evolutitve SCI'!BN16</f>
        <v>30912591.34</v>
      </c>
      <c r="BP44" s="147">
        <f>'Evolutitve SCI'!BO13+'Evolutitve SCI'!BO16</f>
        <v>35960204.340000004</v>
      </c>
      <c r="BQ44" s="147">
        <f>'Evolutitve SCI'!BP13+'Evolutitve SCI'!BP16</f>
        <v>41135739.649999999</v>
      </c>
      <c r="BR44" s="147">
        <f>'Evolutitve SCI'!BQ13+'Evolutitve SCI'!BQ16</f>
        <v>46325374.649999999</v>
      </c>
      <c r="BS44" s="147">
        <f>'Evolutitve SCI'!BR13+'Evolutitve SCI'!BR16</f>
        <v>51387578.649999999</v>
      </c>
      <c r="BT44" s="147">
        <f>'Evolutitve SCI'!BS13+'Evolutitve SCI'!BS16</f>
        <v>56618197.649999999</v>
      </c>
      <c r="BU44" s="147">
        <f>'Evolutitve SCI'!BT13+'Evolutitve SCI'!BT16</f>
        <v>78441607.700000003</v>
      </c>
      <c r="BV44" s="147">
        <f>'Evolutitve SCI'!BU13+'Evolutitve SCI'!BU16</f>
        <v>78441608</v>
      </c>
      <c r="BW44" s="147">
        <f>'Evolutitve SCI'!BV13+'Evolutitve SCI'!BV16</f>
        <v>5052440</v>
      </c>
      <c r="BX44" s="147">
        <f>'Evolutitve SCI'!BW13+'Evolutitve SCI'!BW16</f>
        <v>10237298</v>
      </c>
      <c r="BY44" s="147">
        <f>'Evolutitve SCI'!BX13+'Evolutitve SCI'!BX16</f>
        <v>16031712.65</v>
      </c>
      <c r="BZ44" s="147">
        <f>'Evolutitve SCI'!BY13+'Evolutitve SCI'!BY16</f>
        <v>21727286.649999999</v>
      </c>
      <c r="CA44" s="147">
        <f>'Evolutitve SCI'!BZ13+'Evolutitve SCI'!BZ16</f>
        <v>27331673.649999999</v>
      </c>
      <c r="CB44" s="147">
        <f>'Evolutitve SCI'!CA13+'Evolutitve SCI'!CA16</f>
        <v>32947545.649999999</v>
      </c>
      <c r="CC44" s="147">
        <f>'Evolutitve SCI'!CB13+'Evolutitve SCI'!CB16</f>
        <v>38580341.530000001</v>
      </c>
      <c r="CD44" s="147">
        <f>'Evolutitve SCI'!CC13+'Evolutitve SCI'!CC16</f>
        <v>44309051.93</v>
      </c>
      <c r="CE44" s="147">
        <f>'Evolutitve SCI'!CD13+'Evolutitve SCI'!CD16</f>
        <v>49894585.18</v>
      </c>
      <c r="CF44" s="147">
        <f>'Evolutitve SCI'!CE13+'Evolutitve SCI'!CE16</f>
        <v>55505116.18</v>
      </c>
      <c r="CG44" s="147">
        <f>'Evolutitve SCI'!CF13+'Evolutitve SCI'!CF16</f>
        <v>61220037.18</v>
      </c>
      <c r="CH44" s="147">
        <f>'Evolutitve SCI'!CG13+'Evolutitve SCI'!CG16</f>
        <v>83207079.719999999</v>
      </c>
      <c r="CI44" s="147">
        <f>'Evolutitve SCI'!CH13+'Evolutitve SCI'!CH16</f>
        <v>83207079</v>
      </c>
      <c r="CJ44" s="147">
        <f>'Evolutitve SCI'!CI13+'Evolutitve SCI'!CI16</f>
        <v>5662051.75</v>
      </c>
      <c r="CK44" s="147">
        <f>'Evolutitve SCI'!CJ13+'Evolutitve SCI'!CJ16</f>
        <v>11235862.75</v>
      </c>
      <c r="CL44" s="147">
        <f>'Evolutitve SCI'!CK13+'Evolutitve SCI'!CK16</f>
        <v>16846089.59</v>
      </c>
      <c r="CM44" s="147">
        <f>'Evolutitve SCI'!CL13+'Evolutitve SCI'!CL16</f>
        <v>23810123.449999999</v>
      </c>
      <c r="CN44" s="147">
        <f>'Evolutitve SCI'!CM13+'Evolutitve SCI'!CM16</f>
        <v>30685684.530000001</v>
      </c>
      <c r="CO44" s="147">
        <f>'Evolutitve SCI'!CN13+'Evolutitve SCI'!CN16</f>
        <v>38694163.219999999</v>
      </c>
      <c r="CP44" s="147">
        <f>'Evolutitve SCI'!CO13+'Evolutitve SCI'!CO16</f>
        <v>45650291.719999999</v>
      </c>
      <c r="CQ44" s="147">
        <f>'Evolutitve SCI'!CP13+'Evolutitve SCI'!CP16</f>
        <v>51366837.349999994</v>
      </c>
      <c r="CR44" s="147">
        <f>'Evolutitve SCI'!CQ13+'Evolutitve SCI'!CQ16</f>
        <v>57047544.099999994</v>
      </c>
    </row>
    <row r="45" spans="1:96">
      <c r="A45" s="35">
        <v>10.199999999999999</v>
      </c>
      <c r="B45" s="35" t="s">
        <v>206</v>
      </c>
      <c r="C45" s="51">
        <f>'Evolutitve SCI'!B15</f>
        <v>0</v>
      </c>
      <c r="D45" s="51">
        <f>'Evolutitve SCI'!C15</f>
        <v>0</v>
      </c>
      <c r="E45" s="51">
        <f>'Evolutitve SCI'!D15</f>
        <v>0</v>
      </c>
      <c r="F45" s="51">
        <f>'Evolutitve SCI'!E15</f>
        <v>0</v>
      </c>
      <c r="G45" s="51">
        <f>'Evolutitve SCI'!F15</f>
        <v>0</v>
      </c>
      <c r="H45" s="51">
        <f>'Evolutitve SCI'!G15</f>
        <v>0</v>
      </c>
      <c r="I45" s="51">
        <f>'Evolutitve SCI'!H15</f>
        <v>0</v>
      </c>
      <c r="J45" s="51">
        <f>'Evolutitve SCI'!I15</f>
        <v>0</v>
      </c>
      <c r="K45" s="51">
        <f>'Evolutitve SCI'!J15</f>
        <v>0</v>
      </c>
      <c r="L45" s="51">
        <f>'Evolutitve SCI'!K15</f>
        <v>0</v>
      </c>
      <c r="M45" s="51">
        <f>'Evolutitve SCI'!L15</f>
        <v>0</v>
      </c>
      <c r="N45" s="51">
        <f>'Evolutitve SCI'!M15</f>
        <v>0</v>
      </c>
      <c r="O45" s="51">
        <f>'Evolutitve SCI'!N15</f>
        <v>0</v>
      </c>
      <c r="P45" s="51">
        <f>'Evolutitve SCI'!O15</f>
        <v>0</v>
      </c>
      <c r="Q45" s="51">
        <f>'Evolutitve SCI'!P15</f>
        <v>0</v>
      </c>
      <c r="R45" s="51">
        <f>'Evolutitve SCI'!Q15</f>
        <v>0</v>
      </c>
      <c r="S45" s="51">
        <f>'Evolutitve SCI'!R15</f>
        <v>0</v>
      </c>
      <c r="T45" s="51">
        <f>'Evolutitve SCI'!S15</f>
        <v>0</v>
      </c>
      <c r="U45" s="51">
        <f>'Evolutitve SCI'!T15</f>
        <v>0</v>
      </c>
      <c r="V45" s="51">
        <f>'Evolutitve SCI'!U15</f>
        <v>0</v>
      </c>
      <c r="W45" s="51">
        <f>'Evolutitve SCI'!V15</f>
        <v>0</v>
      </c>
      <c r="X45" s="51">
        <f>'Evolutitve SCI'!W15</f>
        <v>0</v>
      </c>
      <c r="Y45" s="51">
        <f>'Evolutitve SCI'!X15</f>
        <v>0</v>
      </c>
      <c r="Z45" s="147">
        <f>'Evolutitve SCI'!Y15</f>
        <v>0</v>
      </c>
      <c r="AA45" s="147">
        <f>'Evolutitve SCI'!Z15</f>
        <v>0</v>
      </c>
      <c r="AB45" s="147">
        <f>'Evolutitve SCI'!AA15</f>
        <v>0</v>
      </c>
      <c r="AC45" s="147">
        <f>'Evolutitve SCI'!AB15</f>
        <v>0</v>
      </c>
      <c r="AD45" s="147">
        <f>'Evolutitve SCI'!AC15</f>
        <v>0</v>
      </c>
      <c r="AE45" s="147">
        <f>'Evolutitve SCI'!AD15</f>
        <v>0</v>
      </c>
      <c r="AF45" s="147">
        <f>'Evolutitve SCI'!AE15</f>
        <v>0</v>
      </c>
      <c r="AG45" s="147">
        <f>'Evolutitve SCI'!AF15</f>
        <v>0</v>
      </c>
      <c r="AH45" s="147">
        <f>'Evolutitve SCI'!AG15</f>
        <v>0</v>
      </c>
      <c r="AI45" s="147">
        <f>'Evolutitve SCI'!AH15</f>
        <v>0</v>
      </c>
      <c r="AJ45" s="147">
        <f>'Evolutitve SCI'!AI15</f>
        <v>0</v>
      </c>
      <c r="AK45" s="147">
        <f>'Evolutitve SCI'!AJ15</f>
        <v>0</v>
      </c>
      <c r="AL45" s="147">
        <f>'Evolutitve SCI'!AK15</f>
        <v>0</v>
      </c>
      <c r="AM45" s="147">
        <f>'Evolutitve SCI'!AL15</f>
        <v>0</v>
      </c>
      <c r="AN45" s="147">
        <f>'Evolutitve SCI'!AM15</f>
        <v>0</v>
      </c>
      <c r="AO45" s="147">
        <f>'Evolutitve SCI'!AN15</f>
        <v>0</v>
      </c>
      <c r="AP45" s="147">
        <f>'Evolutitve SCI'!AO15</f>
        <v>0</v>
      </c>
      <c r="AQ45" s="147">
        <f>'Evolutitve SCI'!AP15</f>
        <v>0</v>
      </c>
      <c r="AR45" s="147">
        <f>'Evolutitve SCI'!AQ15</f>
        <v>0</v>
      </c>
      <c r="AS45" s="147">
        <f>'Evolutitve SCI'!AR15</f>
        <v>0</v>
      </c>
      <c r="AT45" s="147">
        <f>'Evolutitve SCI'!AS15</f>
        <v>0</v>
      </c>
      <c r="AU45" s="147">
        <f>'Evolutitve SCI'!AT15</f>
        <v>0</v>
      </c>
      <c r="AV45" s="147">
        <f>'Evolutitve SCI'!AU15</f>
        <v>0</v>
      </c>
      <c r="AW45" s="147">
        <f>'Evolutitve SCI'!AV15</f>
        <v>0</v>
      </c>
      <c r="AX45" s="147">
        <f>'Evolutitve SCI'!AW15</f>
        <v>0</v>
      </c>
      <c r="AY45" s="147">
        <f>'Evolutitve SCI'!AX15</f>
        <v>0</v>
      </c>
      <c r="AZ45" s="147">
        <f>'Evolutitve SCI'!AY15</f>
        <v>0</v>
      </c>
      <c r="BA45" s="147">
        <f>'Evolutitve SCI'!AZ15</f>
        <v>0</v>
      </c>
      <c r="BB45" s="147">
        <f>'Evolutitve SCI'!BA15</f>
        <v>0</v>
      </c>
      <c r="BC45" s="147">
        <f>'Evolutitve SCI'!BB15</f>
        <v>0</v>
      </c>
      <c r="BD45" s="147">
        <f>'Evolutitve SCI'!BC15</f>
        <v>0</v>
      </c>
      <c r="BE45" s="147">
        <f>'Evolutitve SCI'!BD15</f>
        <v>0</v>
      </c>
      <c r="BF45" s="147">
        <f>'Evolutitve SCI'!BE15</f>
        <v>0</v>
      </c>
      <c r="BG45" s="147">
        <f>'Evolutitve SCI'!BF15</f>
        <v>0</v>
      </c>
      <c r="BH45" s="147">
        <f>'Evolutitve SCI'!BG15</f>
        <v>0</v>
      </c>
      <c r="BI45" s="147">
        <f>'Evolutitve SCI'!BH15</f>
        <v>0</v>
      </c>
      <c r="BJ45" s="147">
        <f>'Evolutitve SCI'!BI15</f>
        <v>0</v>
      </c>
      <c r="BK45" s="147">
        <f>'Evolutitve SCI'!BJ15</f>
        <v>0</v>
      </c>
      <c r="BL45" s="147">
        <f>'Evolutitve SCI'!BK15</f>
        <v>0</v>
      </c>
      <c r="BM45" s="147">
        <f>'Evolutitve SCI'!BL15</f>
        <v>0</v>
      </c>
      <c r="BN45" s="147">
        <f>'Evolutitve SCI'!BM15</f>
        <v>0</v>
      </c>
      <c r="BO45" s="147">
        <f>'Evolutitve SCI'!BN15</f>
        <v>0</v>
      </c>
      <c r="BP45" s="147">
        <f>'Evolutitve SCI'!BO15</f>
        <v>0</v>
      </c>
      <c r="BQ45" s="147">
        <f>'Evolutitve SCI'!BP15</f>
        <v>0</v>
      </c>
      <c r="BR45" s="147">
        <f>'Evolutitve SCI'!BQ15</f>
        <v>0</v>
      </c>
      <c r="BS45" s="147">
        <f>'Evolutitve SCI'!BR15</f>
        <v>0</v>
      </c>
      <c r="BT45" s="147">
        <f>'Evolutitve SCI'!BS15</f>
        <v>0</v>
      </c>
      <c r="BU45" s="147">
        <f>'Evolutitve SCI'!BT15</f>
        <v>0</v>
      </c>
      <c r="BV45" s="147">
        <f>'Evolutitve SCI'!BU15</f>
        <v>0</v>
      </c>
      <c r="BW45" s="147">
        <f>'Evolutitve SCI'!BV15</f>
        <v>0</v>
      </c>
      <c r="BX45" s="147">
        <f>'Evolutitve SCI'!BW15</f>
        <v>0</v>
      </c>
      <c r="BY45" s="147">
        <f>'Evolutitve SCI'!BX15</f>
        <v>0</v>
      </c>
      <c r="BZ45" s="147">
        <f>'Evolutitve SCI'!BY15</f>
        <v>0</v>
      </c>
      <c r="CA45" s="147">
        <f>'Evolutitve SCI'!BZ15</f>
        <v>0</v>
      </c>
      <c r="CB45" s="147">
        <f>'Evolutitve SCI'!CA15</f>
        <v>0</v>
      </c>
      <c r="CC45" s="147">
        <f>'Evolutitve SCI'!CB15</f>
        <v>0</v>
      </c>
      <c r="CD45" s="147">
        <f>'Evolutitve SCI'!CC15</f>
        <v>0</v>
      </c>
      <c r="CE45" s="147">
        <f>'Evolutitve SCI'!CD15</f>
        <v>0</v>
      </c>
      <c r="CF45" s="147">
        <f>'Evolutitve SCI'!CE15</f>
        <v>0</v>
      </c>
      <c r="CG45" s="147">
        <f>'Evolutitve SCI'!CF15</f>
        <v>0</v>
      </c>
      <c r="CH45" s="147">
        <f>'Evolutitve SCI'!CG15</f>
        <v>0</v>
      </c>
      <c r="CI45" s="147">
        <f>'Evolutitve SCI'!CH15</f>
        <v>0</v>
      </c>
      <c r="CJ45" s="147">
        <f>'Evolutitve SCI'!CI15</f>
        <v>0</v>
      </c>
      <c r="CK45" s="147">
        <f>'Evolutitve SCI'!CJ15</f>
        <v>0</v>
      </c>
      <c r="CL45" s="147">
        <f>'Evolutitve SCI'!CK15</f>
        <v>0</v>
      </c>
      <c r="CM45" s="147">
        <f>'Evolutitve SCI'!CL15</f>
        <v>0</v>
      </c>
      <c r="CN45" s="147">
        <f>'Evolutitve SCI'!CM15</f>
        <v>0</v>
      </c>
      <c r="CO45" s="147">
        <f>'Evolutitve SCI'!CN15</f>
        <v>0</v>
      </c>
      <c r="CP45" s="147">
        <f>'Evolutitve SCI'!CO15</f>
        <v>0</v>
      </c>
      <c r="CQ45" s="147">
        <f>'Evolutitve SCI'!CP15</f>
        <v>0</v>
      </c>
      <c r="CR45" s="147">
        <f>'Evolutitve SCI'!CQ15</f>
        <v>0</v>
      </c>
    </row>
    <row r="46" spans="1:96">
      <c r="A46" s="35">
        <v>10.3</v>
      </c>
      <c r="B46" s="35" t="s">
        <v>207</v>
      </c>
      <c r="C46" s="51">
        <f>'Evolutitve SCI'!B14</f>
        <v>0</v>
      </c>
      <c r="D46" s="51">
        <f>'Evolutitve SCI'!C14</f>
        <v>10569123</v>
      </c>
      <c r="E46" s="51">
        <f>'Evolutitve SCI'!D14</f>
        <v>15436251</v>
      </c>
      <c r="F46" s="51">
        <f>'Evolutitve SCI'!E14</f>
        <v>14077264.32</v>
      </c>
      <c r="G46" s="51">
        <f>'Evolutitve SCI'!F14</f>
        <v>6809774</v>
      </c>
      <c r="H46" s="51">
        <f>'Evolutitve SCI'!G14</f>
        <v>1293620</v>
      </c>
      <c r="I46" s="51">
        <f>'Evolutitve SCI'!H14</f>
        <v>0</v>
      </c>
      <c r="J46" s="51">
        <f>'Evolutitve SCI'!I14</f>
        <v>0</v>
      </c>
      <c r="K46" s="51">
        <f>'Evolutitve SCI'!J14</f>
        <v>0</v>
      </c>
      <c r="L46" s="51">
        <f>'Evolutitve SCI'!K14</f>
        <v>0</v>
      </c>
      <c r="M46" s="51">
        <f>'Evolutitve SCI'!L14</f>
        <v>0</v>
      </c>
      <c r="N46" s="51">
        <f>'Evolutitve SCI'!M14</f>
        <v>0</v>
      </c>
      <c r="O46" s="51">
        <f>'Evolutitve SCI'!N14</f>
        <v>0</v>
      </c>
      <c r="P46" s="51">
        <f>'Evolutitve SCI'!O14</f>
        <v>0</v>
      </c>
      <c r="Q46" s="51">
        <f>'Evolutitve SCI'!P14</f>
        <v>0</v>
      </c>
      <c r="R46" s="51">
        <f>'Evolutitve SCI'!Q14</f>
        <v>0</v>
      </c>
      <c r="S46" s="51">
        <f>'Evolutitve SCI'!R14</f>
        <v>0</v>
      </c>
      <c r="T46" s="51">
        <f>'Evolutitve SCI'!S14</f>
        <v>0</v>
      </c>
      <c r="U46" s="51">
        <f>'Evolutitve SCI'!T14</f>
        <v>0</v>
      </c>
      <c r="V46" s="51">
        <f>'Evolutitve SCI'!U14</f>
        <v>0</v>
      </c>
      <c r="W46" s="51">
        <f>'Evolutitve SCI'!V14</f>
        <v>0</v>
      </c>
      <c r="X46" s="51">
        <f>'Evolutitve SCI'!W14</f>
        <v>0</v>
      </c>
      <c r="Y46" s="51">
        <f>'Evolutitve SCI'!X14</f>
        <v>0</v>
      </c>
      <c r="Z46" s="147">
        <f>'Evolutitve SCI'!Y14</f>
        <v>0</v>
      </c>
      <c r="AA46" s="147">
        <f>'Evolutitve SCI'!Z14</f>
        <v>0</v>
      </c>
      <c r="AB46" s="147">
        <f>'Evolutitve SCI'!AA14</f>
        <v>0</v>
      </c>
      <c r="AC46" s="147">
        <f>'Evolutitve SCI'!AB14</f>
        <v>0</v>
      </c>
      <c r="AD46" s="147">
        <f>'Evolutitve SCI'!AC14</f>
        <v>0</v>
      </c>
      <c r="AE46" s="147">
        <f>'Evolutitve SCI'!AD14</f>
        <v>0</v>
      </c>
      <c r="AF46" s="147">
        <f>'Evolutitve SCI'!AE14</f>
        <v>0</v>
      </c>
      <c r="AG46" s="147">
        <f>'Evolutitve SCI'!AF14</f>
        <v>0</v>
      </c>
      <c r="AH46" s="147">
        <f>'Evolutitve SCI'!AG14</f>
        <v>0</v>
      </c>
      <c r="AI46" s="147">
        <f>'Evolutitve SCI'!AH14</f>
        <v>-61659.54</v>
      </c>
      <c r="AJ46" s="147">
        <f>'Evolutitve SCI'!AI14</f>
        <v>0</v>
      </c>
      <c r="AK46" s="147">
        <f>'Evolutitve SCI'!AJ14</f>
        <v>0</v>
      </c>
      <c r="AL46" s="147">
        <f>'Evolutitve SCI'!AK14</f>
        <v>0</v>
      </c>
      <c r="AM46" s="147">
        <f>'Evolutitve SCI'!AL14</f>
        <v>0</v>
      </c>
      <c r="AN46" s="147">
        <f>'Evolutitve SCI'!AM14</f>
        <v>0</v>
      </c>
      <c r="AO46" s="147">
        <f>'Evolutitve SCI'!AN14</f>
        <v>0</v>
      </c>
      <c r="AP46" s="147">
        <f>'Evolutitve SCI'!AO14</f>
        <v>0</v>
      </c>
      <c r="AQ46" s="147">
        <f>'Evolutitve SCI'!AP14</f>
        <v>0</v>
      </c>
      <c r="AR46" s="147">
        <f>'Evolutitve SCI'!AQ14</f>
        <v>0</v>
      </c>
      <c r="AS46" s="147">
        <f>'Evolutitve SCI'!AR14</f>
        <v>0</v>
      </c>
      <c r="AT46" s="147">
        <f>'Evolutitve SCI'!AS14</f>
        <v>0</v>
      </c>
      <c r="AU46" s="147">
        <f>'Evolutitve SCI'!AT14</f>
        <v>0</v>
      </c>
      <c r="AV46" s="147">
        <f>'Evolutitve SCI'!AU14</f>
        <v>0</v>
      </c>
      <c r="AW46" s="147">
        <f>'Evolutitve SCI'!AV14</f>
        <v>0</v>
      </c>
      <c r="AX46" s="147">
        <f>'Evolutitve SCI'!AW14</f>
        <v>0</v>
      </c>
      <c r="AY46" s="147">
        <f>'Evolutitve SCI'!AX14</f>
        <v>0</v>
      </c>
      <c r="AZ46" s="147">
        <f>'Evolutitve SCI'!AY14</f>
        <v>0</v>
      </c>
      <c r="BA46" s="147">
        <f>'Evolutitve SCI'!AZ14</f>
        <v>0</v>
      </c>
      <c r="BB46" s="147">
        <f>'Evolutitve SCI'!BA14</f>
        <v>0</v>
      </c>
      <c r="BC46" s="147">
        <f>'Evolutitve SCI'!BB14</f>
        <v>0</v>
      </c>
      <c r="BD46" s="147">
        <f>'Evolutitve SCI'!BC14</f>
        <v>0</v>
      </c>
      <c r="BE46" s="147">
        <f>'Evolutitve SCI'!BD14</f>
        <v>0</v>
      </c>
      <c r="BF46" s="147">
        <f>'Evolutitve SCI'!BE14</f>
        <v>0</v>
      </c>
      <c r="BG46" s="147">
        <f>'Evolutitve SCI'!BF14</f>
        <v>0</v>
      </c>
      <c r="BH46" s="147">
        <f>'Evolutitve SCI'!BG14</f>
        <v>0</v>
      </c>
      <c r="BI46" s="147">
        <f>'Evolutitve SCI'!BH13</f>
        <v>56353562</v>
      </c>
      <c r="BJ46" s="147">
        <f>'Evolutitve SCI'!BI13</f>
        <v>5000000</v>
      </c>
      <c r="BK46" s="147">
        <f>'Evolutitve SCI'!BJ13</f>
        <v>10000000</v>
      </c>
      <c r="BL46" s="147">
        <f>'Evolutitve SCI'!BK13</f>
        <v>15000000</v>
      </c>
      <c r="BM46" s="147">
        <f>'Evolutitve SCI'!BL13</f>
        <v>20000000</v>
      </c>
      <c r="BN46" s="147">
        <f>'Evolutitve SCI'!BM13</f>
        <v>25000000</v>
      </c>
      <c r="BO46" s="147">
        <f>'Evolutitve SCI'!BN13</f>
        <v>30000000</v>
      </c>
      <c r="BP46" s="147">
        <f>'Evolutitve SCI'!BO13</f>
        <v>35000000</v>
      </c>
      <c r="BQ46" s="147">
        <f>'Evolutitve SCI'!BP13</f>
        <v>40000000</v>
      </c>
      <c r="BR46" s="147">
        <f>'Evolutitve SCI'!BQ13</f>
        <v>45000000</v>
      </c>
      <c r="BS46" s="147">
        <f>'Evolutitve SCI'!BR13</f>
        <v>50000000</v>
      </c>
      <c r="BT46" s="147">
        <f>'Evolutitve SCI'!BS13</f>
        <v>55000000</v>
      </c>
      <c r="BU46" s="147">
        <f>'Evolutitve SCI'!BT13</f>
        <v>75922159.700000003</v>
      </c>
      <c r="BV46" s="147">
        <f>'Evolutitve SCI'!BU13</f>
        <v>77080477</v>
      </c>
      <c r="BW46" s="147">
        <f>'Evolutitve SCI'!BV13</f>
        <v>5000000</v>
      </c>
      <c r="BX46" s="147">
        <f>'Evolutitve SCI'!BW13</f>
        <v>10000000</v>
      </c>
      <c r="BY46" s="147">
        <f>'Evolutitve SCI'!BX13</f>
        <v>15416667</v>
      </c>
      <c r="BZ46" s="147">
        <f>'Evolutitve SCI'!BY13</f>
        <v>20833334</v>
      </c>
      <c r="CA46" s="147">
        <f>'Evolutitve SCI'!BZ13</f>
        <v>26250001</v>
      </c>
      <c r="CB46" s="147">
        <f>'Evolutitve SCI'!CA13</f>
        <v>31666668</v>
      </c>
      <c r="CC46" s="147">
        <f>'Evolutitve SCI'!CB13</f>
        <v>37083335</v>
      </c>
      <c r="CD46" s="147">
        <f>'Evolutitve SCI'!CC13</f>
        <v>42500002</v>
      </c>
      <c r="CE46" s="147">
        <f>'Evolutitve SCI'!CD13</f>
        <v>47916669</v>
      </c>
      <c r="CF46" s="147">
        <f>'Evolutitve SCI'!CE13</f>
        <v>53333336</v>
      </c>
      <c r="CG46" s="147">
        <f>'Evolutitve SCI'!CF13</f>
        <v>58750003</v>
      </c>
      <c r="CH46" s="147">
        <f>'Evolutitve SCI'!CG13</f>
        <v>80488582.390000001</v>
      </c>
      <c r="CI46" s="147">
        <f>'Evolutitve SCI'!CH13</f>
        <v>81953823</v>
      </c>
      <c r="CJ46" s="147">
        <f>'Evolutitve SCI'!CI13</f>
        <v>5416667</v>
      </c>
      <c r="CK46" s="147">
        <f>'Evolutitve SCI'!CJ13</f>
        <v>10833334</v>
      </c>
      <c r="CL46" s="147">
        <f>'Evolutitve SCI'!CK13</f>
        <v>16250001</v>
      </c>
      <c r="CM46" s="147">
        <f>'Evolutitve SCI'!CL13</f>
        <v>22916668</v>
      </c>
      <c r="CN46" s="147">
        <f>'Evolutitve SCI'!CM13</f>
        <v>29583335</v>
      </c>
      <c r="CO46" s="147">
        <f>'Evolutitve SCI'!CN13</f>
        <v>37215692.689999998</v>
      </c>
      <c r="CP46" s="147">
        <f>'Evolutitve SCI'!CO13</f>
        <v>43882359.689999998</v>
      </c>
      <c r="CQ46" s="147">
        <f>'Evolutitve SCI'!CP13</f>
        <v>49299026.689999998</v>
      </c>
      <c r="CR46" s="147">
        <f>'Evolutitve SCI'!CQ13</f>
        <v>54715693.689999998</v>
      </c>
    </row>
    <row r="47" spans="1:96">
      <c r="A47" s="35">
        <v>10.4</v>
      </c>
      <c r="B47" s="35" t="s">
        <v>208</v>
      </c>
      <c r="C47" s="51">
        <f>'Evolutitve SCI'!B23</f>
        <v>20100930</v>
      </c>
      <c r="D47" s="51">
        <f>'Evolutitve SCI'!C23</f>
        <v>23299810</v>
      </c>
      <c r="E47" s="51">
        <f>'Evolutitve SCI'!D23</f>
        <v>28129736</v>
      </c>
      <c r="F47" s="51">
        <f>'Evolutitve SCI'!E23</f>
        <v>38145977.835000001</v>
      </c>
      <c r="G47" s="51">
        <f>'Evolutitve SCI'!F23</f>
        <v>38649289</v>
      </c>
      <c r="H47" s="51">
        <f>'Evolutitve SCI'!G23</f>
        <v>48225009</v>
      </c>
      <c r="I47" s="51">
        <f>'Evolutitve SCI'!H23</f>
        <v>65005570</v>
      </c>
      <c r="J47" s="51">
        <f>'Evolutitve SCI'!I23</f>
        <v>2923019.11</v>
      </c>
      <c r="K47" s="51">
        <f>'Evolutitve SCI'!J23</f>
        <v>6323736.7699999996</v>
      </c>
      <c r="L47" s="51">
        <f>'Evolutitve SCI'!K23</f>
        <v>11207863.779999999</v>
      </c>
      <c r="M47" s="51">
        <f>'Evolutitve SCI'!L23</f>
        <v>15084521.199999999</v>
      </c>
      <c r="N47" s="51">
        <f>'Evolutitve SCI'!M23</f>
        <v>20597554.880000003</v>
      </c>
      <c r="O47" s="51">
        <f>'Evolutitve SCI'!N23</f>
        <v>23567571.75</v>
      </c>
      <c r="P47" s="51">
        <f>'Evolutitve SCI'!O23</f>
        <v>28080776.610000003</v>
      </c>
      <c r="Q47" s="51">
        <f>'Evolutitve SCI'!P23</f>
        <v>31116931.879999995</v>
      </c>
      <c r="R47" s="51">
        <f>'Evolutitve SCI'!Q23</f>
        <v>34722182.879999995</v>
      </c>
      <c r="S47" s="51">
        <f>'Evolutitve SCI'!R23</f>
        <v>39827589.700000003</v>
      </c>
      <c r="T47" s="51">
        <f>'Evolutitve SCI'!S23</f>
        <v>43540601.379999995</v>
      </c>
      <c r="U47" s="51">
        <f>'Evolutitve SCI'!T23</f>
        <v>74065155.069999993</v>
      </c>
      <c r="V47" s="51">
        <f>'Evolutitve SCI'!U23</f>
        <v>74000365</v>
      </c>
      <c r="W47" s="51">
        <f>'Evolutitve SCI'!V23</f>
        <v>3725614.6100000003</v>
      </c>
      <c r="X47" s="51">
        <f>'Evolutitve SCI'!W23</f>
        <v>6594169.0300000003</v>
      </c>
      <c r="Y47" s="51">
        <f>'Evolutitve SCI'!X23</f>
        <v>13706344.859999999</v>
      </c>
      <c r="Z47" s="147">
        <f>'Evolutitve SCI'!Y23</f>
        <v>22147209.68</v>
      </c>
      <c r="AA47" s="147">
        <f>'Evolutitve SCI'!Z23</f>
        <v>26145253.119999997</v>
      </c>
      <c r="AB47" s="147">
        <f>'Evolutitve SCI'!AA23</f>
        <v>29375921.43</v>
      </c>
      <c r="AC47" s="147">
        <f>'Evolutitve SCI'!AB23</f>
        <v>34853736.880000003</v>
      </c>
      <c r="AD47" s="147">
        <f>'Evolutitve SCI'!AC23</f>
        <v>40903513.849999994</v>
      </c>
      <c r="AE47" s="147">
        <f>'Evolutitve SCI'!AD23</f>
        <v>44806634.719999999</v>
      </c>
      <c r="AF47" s="147">
        <f>'Evolutitve SCI'!AE23</f>
        <v>48924966.269999996</v>
      </c>
      <c r="AG47" s="147">
        <f>'Evolutitve SCI'!AF23</f>
        <v>53715255.469999999</v>
      </c>
      <c r="AH47" s="147">
        <f>'Evolutitve SCI'!AG23</f>
        <v>76464055.370000005</v>
      </c>
      <c r="AI47" s="147">
        <f>'Evolutitve SCI'!AH23</f>
        <v>75488394.290000007</v>
      </c>
      <c r="AJ47" s="147">
        <f>'Evolutitve SCI'!AI23</f>
        <v>3922648.7199999997</v>
      </c>
      <c r="AK47" s="147">
        <f>'Evolutitve SCI'!AJ23</f>
        <v>7973779.459999999</v>
      </c>
      <c r="AL47" s="147">
        <f>'Evolutitve SCI'!AK23</f>
        <v>14694583.4</v>
      </c>
      <c r="AM47" s="147">
        <f>'Evolutitve SCI'!AL23</f>
        <v>23775509.84</v>
      </c>
      <c r="AN47" s="147">
        <f>'Evolutitve SCI'!AM23</f>
        <v>27897293.049999997</v>
      </c>
      <c r="AO47" s="147">
        <f>'Evolutitve SCI'!AN23</f>
        <v>34164455.509999998</v>
      </c>
      <c r="AP47" s="147">
        <f>'Evolutitve SCI'!AO23</f>
        <v>38507812.009999998</v>
      </c>
      <c r="AQ47" s="147">
        <f>'Evolutitve SCI'!AP23</f>
        <v>47207344.689999998</v>
      </c>
      <c r="AR47" s="147">
        <f>'Evolutitve SCI'!AQ23</f>
        <v>51969324.649999999</v>
      </c>
      <c r="AS47" s="147">
        <f>'Evolutitve SCI'!AR23</f>
        <v>57486539.109999999</v>
      </c>
      <c r="AT47" s="147">
        <f>'Evolutitve SCI'!AS23</f>
        <v>62741391.950000003</v>
      </c>
      <c r="AU47" s="147">
        <f>'Evolutitve SCI'!AT23</f>
        <v>75590193.320000008</v>
      </c>
      <c r="AV47" s="147">
        <f>'Evolutitve SCI'!AU23</f>
        <v>75578993</v>
      </c>
      <c r="AW47" s="147">
        <f>'Evolutitve SCI'!AV23</f>
        <v>4156946.04</v>
      </c>
      <c r="AX47" s="147">
        <f>'Evolutitve SCI'!AW23</f>
        <v>10624952.170000002</v>
      </c>
      <c r="AY47" s="147">
        <f>'Evolutitve SCI'!AX23</f>
        <v>17971524.73</v>
      </c>
      <c r="AZ47" s="147">
        <f>'Evolutitve SCI'!AY23</f>
        <v>23776095.18</v>
      </c>
      <c r="BA47" s="147">
        <f>'Evolutitve SCI'!AZ23</f>
        <v>33762825.450000003</v>
      </c>
      <c r="BB47" s="147">
        <f>'Evolutitve SCI'!BA23</f>
        <v>37908352.770000003</v>
      </c>
      <c r="BC47" s="147">
        <f>'Evolutitve SCI'!BB23</f>
        <v>0</v>
      </c>
      <c r="BD47" s="147">
        <f>'Evolutitve SCI'!BC23</f>
        <v>244587677.94999999</v>
      </c>
      <c r="BE47" s="147">
        <f>'Evolutitve SCI'!BD23</f>
        <v>53521316.609999999</v>
      </c>
      <c r="BF47" s="147">
        <f>'Evolutitve SCI'!BE23</f>
        <v>61007427.030000001</v>
      </c>
      <c r="BG47" s="147">
        <f>'Evolutitve SCI'!BF23</f>
        <v>66370408.390000001</v>
      </c>
      <c r="BH47" s="147">
        <f>'Evolutitve SCI'!BG23</f>
        <v>75132056.479999989</v>
      </c>
      <c r="BI47" s="147">
        <f>'Evolutitve SCI'!BH23</f>
        <v>71383632</v>
      </c>
      <c r="BJ47" s="147">
        <f>'Evolutitve SCI'!BI23</f>
        <v>7758330.7300000004</v>
      </c>
      <c r="BK47" s="147">
        <f>'Evolutitve SCI'!BJ23</f>
        <v>15878366.890000001</v>
      </c>
      <c r="BL47" s="147">
        <f>'Evolutitve SCI'!BK23</f>
        <v>24518057.580000002</v>
      </c>
      <c r="BM47" s="147">
        <f>'Evolutitve SCI'!BL23</f>
        <v>30666985.170000002</v>
      </c>
      <c r="BN47" s="147">
        <f>'Evolutitve SCI'!BM23</f>
        <v>36583592.840000004</v>
      </c>
      <c r="BO47" s="147">
        <f>'Evolutitve SCI'!BN23</f>
        <v>42734173.530000001</v>
      </c>
      <c r="BP47" s="147">
        <f>'Evolutitve SCI'!BO23</f>
        <v>51399581.979999997</v>
      </c>
      <c r="BQ47" s="147">
        <f>'Evolutitve SCI'!BP23</f>
        <v>56317692.18</v>
      </c>
      <c r="BR47" s="147">
        <f>'Evolutitve SCI'!BQ23</f>
        <v>60980092.780000001</v>
      </c>
      <c r="BS47" s="147">
        <f>'Evolutitve SCI'!BR23</f>
        <v>67588902.409999996</v>
      </c>
      <c r="BT47" s="147">
        <f>'Evolutitve SCI'!BS23</f>
        <v>73484113.5</v>
      </c>
      <c r="BU47" s="147">
        <f>'Evolutitve SCI'!BT23</f>
        <v>84625268.560000002</v>
      </c>
      <c r="BV47" s="147">
        <f>'Evolutitve SCI'!BU23</f>
        <v>84635936</v>
      </c>
      <c r="BW47" s="147">
        <f>'Evolutitve SCI'!BV23</f>
        <v>7079959.71</v>
      </c>
      <c r="BX47" s="147">
        <f>'Evolutitve SCI'!BW23</f>
        <v>21404623.260000002</v>
      </c>
      <c r="BY47" s="147">
        <f>'Evolutitve SCI'!BX23</f>
        <v>30310394.480000004</v>
      </c>
      <c r="BZ47" s="147">
        <f>'Evolutitve SCI'!BY23</f>
        <v>38987734.710000001</v>
      </c>
      <c r="CA47" s="147">
        <f>'Evolutitve SCI'!BZ23</f>
        <v>47113411.310000002</v>
      </c>
      <c r="CB47" s="147">
        <f>'Evolutitve SCI'!CA23</f>
        <v>54518821.530000001</v>
      </c>
      <c r="CC47" s="147">
        <f>'Evolutitve SCI'!CB23</f>
        <v>63297015.730000004</v>
      </c>
      <c r="CD47" s="147">
        <f>'Evolutitve SCI'!CC23</f>
        <v>68244672.210000008</v>
      </c>
      <c r="CE47" s="147">
        <f>'Evolutitve SCI'!CD23</f>
        <v>74657327.310000002</v>
      </c>
      <c r="CF47" s="147">
        <f>'Evolutitve SCI'!CE23</f>
        <v>81873949.510000005</v>
      </c>
      <c r="CG47" s="147">
        <f>'Evolutitve SCI'!CF23</f>
        <v>90583884.670000002</v>
      </c>
      <c r="CH47" s="147">
        <f>'Evolutitve SCI'!CG23</f>
        <v>95081110.729999989</v>
      </c>
      <c r="CI47" s="147">
        <f>'Evolutitve SCI'!CH23</f>
        <v>95365517</v>
      </c>
      <c r="CJ47" s="147">
        <f>'Evolutitve SCI'!CI23</f>
        <v>5524718.75</v>
      </c>
      <c r="CK47" s="147">
        <f>'Evolutitve SCI'!CJ23</f>
        <v>11467697.810000001</v>
      </c>
      <c r="CL47" s="147">
        <f>'Evolutitve SCI'!CK23</f>
        <v>29486639.629999999</v>
      </c>
      <c r="CM47" s="147">
        <f>'Evolutitve SCI'!CL23</f>
        <v>36973732.359999999</v>
      </c>
      <c r="CN47" s="147">
        <f>'Evolutitve SCI'!CM23</f>
        <v>44281110.590000004</v>
      </c>
      <c r="CO47" s="147">
        <f>'Evolutitve SCI'!CN23</f>
        <v>54165224.829999998</v>
      </c>
      <c r="CP47" s="147">
        <f>'Evolutitve SCI'!CO23</f>
        <v>62657065.530000001</v>
      </c>
      <c r="CQ47" s="147">
        <f>'Evolutitve SCI'!CP23</f>
        <v>70677416.829999998</v>
      </c>
      <c r="CR47" s="147">
        <f>'Evolutitve SCI'!CQ23</f>
        <v>76726170.359999999</v>
      </c>
    </row>
  </sheetData>
  <pageMargins left="0.7" right="0.7" top="0.75" bottom="0.75" header="0.3" footer="0.3"/>
  <pageSetup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30"/>
  <sheetViews>
    <sheetView workbookViewId="0">
      <pane xSplit="2" ySplit="3" topLeftCell="X9" activePane="bottomRight" state="frozen"/>
      <selection pane="bottomRight" activeCell="P9" sqref="P9"/>
      <selection pane="bottomLeft" activeCell="A4" sqref="A4"/>
      <selection pane="topRight" activeCell="C1" sqref="C1"/>
    </sheetView>
  </sheetViews>
  <sheetFormatPr defaultRowHeight="15"/>
  <cols>
    <col min="1" max="1" width="13.5703125" bestFit="1" customWidth="1"/>
    <col min="2" max="2" width="10.42578125" bestFit="1" customWidth="1"/>
    <col min="3" max="4" width="12.85546875" bestFit="1" customWidth="1"/>
    <col min="5" max="5" width="12.5703125" bestFit="1" customWidth="1"/>
    <col min="6" max="7" width="12.85546875" bestFit="1" customWidth="1"/>
    <col min="8" max="9" width="12.5703125" bestFit="1" customWidth="1"/>
    <col min="10" max="10" width="6.5703125" bestFit="1" customWidth="1"/>
    <col min="11" max="11" width="7" bestFit="1" customWidth="1"/>
    <col min="12" max="12" width="7.28515625" bestFit="1" customWidth="1"/>
    <col min="13" max="13" width="6.85546875" bestFit="1" customWidth="1"/>
    <col min="14" max="14" width="7.5703125" bestFit="1" customWidth="1"/>
    <col min="15" max="15" width="6.7109375" bestFit="1" customWidth="1"/>
    <col min="16" max="16" width="6.140625" bestFit="1" customWidth="1"/>
    <col min="17" max="17" width="7.140625" bestFit="1" customWidth="1"/>
    <col min="18" max="18" width="7" bestFit="1" customWidth="1"/>
    <col min="19" max="19" width="6.7109375" bestFit="1" customWidth="1"/>
    <col min="20" max="20" width="7.28515625" bestFit="1" customWidth="1"/>
    <col min="21" max="21" width="7" bestFit="1" customWidth="1"/>
  </cols>
  <sheetData>
    <row r="1" spans="1:38">
      <c r="D1" t="s">
        <v>209</v>
      </c>
    </row>
    <row r="2" spans="1:38" ht="27" customHeight="1" thickBot="1">
      <c r="A2" s="265" t="s">
        <v>210</v>
      </c>
      <c r="B2" s="266"/>
      <c r="C2" s="266"/>
      <c r="D2" s="266"/>
      <c r="E2" s="266"/>
      <c r="F2" s="267"/>
    </row>
    <row r="3" spans="1:38" ht="39">
      <c r="A3" s="86" t="s">
        <v>211</v>
      </c>
      <c r="B3" s="87" t="s">
        <v>212</v>
      </c>
      <c r="C3" s="88" t="s">
        <v>0</v>
      </c>
      <c r="D3" s="88" t="s">
        <v>1</v>
      </c>
      <c r="E3" s="89" t="s">
        <v>2</v>
      </c>
      <c r="F3" s="88" t="s">
        <v>3</v>
      </c>
      <c r="G3" s="88" t="s">
        <v>4</v>
      </c>
      <c r="H3" s="89" t="s">
        <v>5</v>
      </c>
      <c r="I3" s="89" t="s">
        <v>111</v>
      </c>
      <c r="J3" s="89">
        <v>42736</v>
      </c>
      <c r="K3" s="89">
        <v>42767</v>
      </c>
      <c r="L3" s="89">
        <v>42795</v>
      </c>
      <c r="M3" s="89">
        <v>42826</v>
      </c>
      <c r="N3" s="89">
        <v>42856</v>
      </c>
      <c r="O3" s="89">
        <v>42887</v>
      </c>
      <c r="P3" s="89">
        <v>42917</v>
      </c>
      <c r="Q3" s="89">
        <v>42948</v>
      </c>
      <c r="R3" s="89">
        <v>42979</v>
      </c>
      <c r="S3" s="89">
        <v>43009</v>
      </c>
      <c r="T3" s="89">
        <v>43040</v>
      </c>
      <c r="U3" s="89">
        <v>43070</v>
      </c>
      <c r="V3" s="89" t="s">
        <v>213</v>
      </c>
      <c r="W3" s="113">
        <v>43101</v>
      </c>
      <c r="X3" s="113">
        <v>43132</v>
      </c>
      <c r="Y3" s="113">
        <v>43160</v>
      </c>
      <c r="Z3" s="113">
        <v>43191</v>
      </c>
      <c r="AA3" s="113">
        <v>43221</v>
      </c>
      <c r="AB3" s="113">
        <v>43252</v>
      </c>
      <c r="AC3" s="113">
        <v>43282</v>
      </c>
      <c r="AD3" s="113">
        <v>43313</v>
      </c>
      <c r="AE3" s="113">
        <v>43344</v>
      </c>
      <c r="AF3" s="113">
        <v>43374</v>
      </c>
      <c r="AG3" s="113">
        <v>43405</v>
      </c>
      <c r="AH3" s="113">
        <v>43435</v>
      </c>
      <c r="AI3" s="113">
        <v>43466</v>
      </c>
      <c r="AJ3" s="113">
        <v>43497</v>
      </c>
      <c r="AK3" s="113">
        <v>43525</v>
      </c>
      <c r="AL3" s="113">
        <v>43556</v>
      </c>
    </row>
    <row r="4" spans="1:38">
      <c r="A4" s="90" t="s">
        <v>214</v>
      </c>
      <c r="B4" s="91"/>
      <c r="C4" s="91"/>
      <c r="D4" s="91"/>
      <c r="E4" s="92"/>
      <c r="F4" s="92"/>
      <c r="G4" s="91"/>
      <c r="H4" s="91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</row>
    <row r="5" spans="1:38">
      <c r="A5" s="46" t="s">
        <v>215</v>
      </c>
      <c r="B5" s="93" t="s">
        <v>216</v>
      </c>
      <c r="C5" s="94" t="str">
        <f>IF(CAELS!D3&gt;10,"1","5")</f>
        <v>1</v>
      </c>
      <c r="D5" s="94" t="str">
        <f>IF(CAELS!E3&gt;10,"1","5")</f>
        <v>1</v>
      </c>
      <c r="E5" s="94" t="str">
        <f>IF(CAELS!F3&gt;10,"1","5")</f>
        <v>1</v>
      </c>
      <c r="F5" s="94" t="str">
        <f>IF(CAELS!G3&gt;10,"1","5")</f>
        <v>1</v>
      </c>
      <c r="G5" s="94" t="str">
        <f>IF(CAELS!H3&gt;10,"1","5")</f>
        <v>1</v>
      </c>
      <c r="H5" s="94" t="str">
        <f>IF(CAELS!I3&gt;10,"1","5")</f>
        <v>1</v>
      </c>
      <c r="I5" s="94" t="str">
        <f>IF(CAELS!J3&gt;10,"1","5")</f>
        <v>1</v>
      </c>
      <c r="J5" s="94" t="str">
        <f>IF(CAELS!K3&gt;10,"1","5")</f>
        <v>1</v>
      </c>
      <c r="K5" s="94" t="str">
        <f>IF(CAELS!L3&gt;10,"1","5")</f>
        <v>1</v>
      </c>
      <c r="L5" s="94" t="str">
        <f>IF(CAELS!M3&gt;10,"1","5")</f>
        <v>1</v>
      </c>
      <c r="M5" s="94" t="str">
        <f>IF(CAELS!N3&gt;10,"1","5")</f>
        <v>1</v>
      </c>
      <c r="N5" s="94" t="str">
        <f>IF(CAELS!O3&gt;10,"1","5")</f>
        <v>1</v>
      </c>
      <c r="O5" s="94" t="str">
        <f>IF(CAELS!P3&gt;10,"1","5")</f>
        <v>1</v>
      </c>
      <c r="P5" s="94" t="str">
        <f>IF(CAELS!Q3&gt;10,"1","5")</f>
        <v>1</v>
      </c>
      <c r="Q5" s="94" t="str">
        <f>IF(CAELS!R3&gt;10,"1","5")</f>
        <v>1</v>
      </c>
      <c r="R5" s="94" t="str">
        <f>IF(CAELS!S3&gt;10,"1","5")</f>
        <v>1</v>
      </c>
      <c r="S5" s="94" t="str">
        <f>IF(CAELS!T3&gt;10,"1","5")</f>
        <v>1</v>
      </c>
      <c r="T5" s="94" t="str">
        <f>IF(CAELS!U3&gt;10,"1","5")</f>
        <v>1</v>
      </c>
      <c r="U5" s="94" t="str">
        <f>IF(CAELS!V3&gt;10,"1","5")</f>
        <v>1</v>
      </c>
      <c r="V5" s="94" t="str">
        <f>IF(CAELS!W3&gt;10,"1","5")</f>
        <v>1</v>
      </c>
      <c r="W5" s="94" t="str">
        <f>IF(CAELS!X3&gt;10,"1","5")</f>
        <v>1</v>
      </c>
      <c r="X5" s="94" t="str">
        <f>IF(CAELS!Y3&gt;10,"1","5")</f>
        <v>1</v>
      </c>
      <c r="Y5" s="94" t="str">
        <f>IF(CAELS!Z3&gt;10,"1","5")</f>
        <v>1</v>
      </c>
      <c r="Z5" s="94" t="str">
        <f>IF(CAELS!AA3&gt;10,"1","5")</f>
        <v>1</v>
      </c>
      <c r="AA5" s="94" t="str">
        <f>IF(CAELS!AB3&gt;10,"1","5")</f>
        <v>1</v>
      </c>
      <c r="AB5" s="94" t="str">
        <f>IF(CAELS!AC3&gt;10,"1","5")</f>
        <v>1</v>
      </c>
      <c r="AC5" s="94" t="str">
        <f>IF(CAELS!AD3&gt;10,"1","5")</f>
        <v>1</v>
      </c>
    </row>
    <row r="6" spans="1:38">
      <c r="A6" s="46" t="s">
        <v>116</v>
      </c>
      <c r="B6" s="93" t="s">
        <v>217</v>
      </c>
      <c r="C6" s="95" t="str">
        <f>IF(CAELS!D4&gt;20%,"1",IF(CAELS!D4&gt;15%,"2",IF(CAELS!D4&gt;12%,"3",IF(CAELS!D4&gt;10%,"4","5"))))</f>
        <v>4</v>
      </c>
      <c r="D6" s="95" t="str">
        <f>IF(CAELS!E4&gt;20%,"1",IF(CAELS!E4&gt;15%,"2",IF(CAELS!E4&gt;12%,"3",IF(CAELS!E4&gt;10%,"4","5"))))</f>
        <v>2</v>
      </c>
      <c r="E6" s="95" t="str">
        <f>IF(CAELS!F4&gt;20%,"1",IF(CAELS!F4&gt;15%,"2",IF(CAELS!F4&gt;12%,"3",IF(CAELS!F4&gt;10%,"4","5"))))</f>
        <v>2</v>
      </c>
      <c r="F6" s="95" t="str">
        <f>IF(CAELS!G4&gt;20%,"1",IF(CAELS!G4&gt;15%,"2",IF(CAELS!G4&gt;12%,"3",IF(CAELS!G4&gt;10%,"4","5"))))</f>
        <v>2</v>
      </c>
      <c r="G6" s="95" t="str">
        <f>IF(CAELS!H4&gt;20%,"1",IF(CAELS!H4&gt;15%,"2",IF(CAELS!H4&gt;12%,"3",IF(CAELS!H4&gt;10%,"4","5"))))</f>
        <v>1</v>
      </c>
      <c r="H6" s="95" t="str">
        <f>IF(CAELS!I4&gt;20%,"1",IF(CAELS!I4&gt;15%,"2",IF(CAELS!I4&gt;12%,"3",IF(CAELS!I4&gt;10%,"4","5"))))</f>
        <v>1</v>
      </c>
      <c r="I6" s="95" t="str">
        <f>IF(CAELS!J4&gt;20%,"1",IF(CAELS!J4&gt;15%,"2",IF(CAELS!J4&gt;12%,"3",IF(CAELS!J4&gt;10%,"4","5"))))</f>
        <v>1</v>
      </c>
      <c r="J6" s="95" t="str">
        <f>IF(CAELS!K4&gt;20%,"1",IF(CAELS!K4&gt;15%,"2",IF(CAELS!K4&gt;12%,"3",IF(CAELS!K4&gt;10%,"4","5"))))</f>
        <v>1</v>
      </c>
      <c r="K6" s="95" t="str">
        <f>IF(CAELS!L4&gt;20%,"1",IF(CAELS!L4&gt;15%,"2",IF(CAELS!L4&gt;12%,"3",IF(CAELS!L4&gt;10%,"4","5"))))</f>
        <v>1</v>
      </c>
      <c r="L6" s="95" t="str">
        <f>IF(CAELS!M4&gt;20%,"1",IF(CAELS!M4&gt;15%,"2",IF(CAELS!M4&gt;12%,"3",IF(CAELS!M4&gt;10%,"4","5"))))</f>
        <v>1</v>
      </c>
      <c r="M6" s="95" t="str">
        <f>IF(CAELS!N4&gt;20%,"1",IF(CAELS!N4&gt;15%,"2",IF(CAELS!N4&gt;12%,"3",IF(CAELS!N4&gt;10%,"4","5"))))</f>
        <v>1</v>
      </c>
      <c r="N6" s="95" t="str">
        <f>IF(CAELS!O4&gt;20%,"1",IF(CAELS!O4&gt;15%,"2",IF(CAELS!O4&gt;12%,"3",IF(CAELS!O4&gt;10%,"4","5"))))</f>
        <v>1</v>
      </c>
      <c r="O6" s="95" t="str">
        <f>IF(CAELS!P4&gt;20%,"1",IF(CAELS!P4&gt;15%,"2",IF(CAELS!P4&gt;12%,"3",IF(CAELS!P4&gt;10%,"4","5"))))</f>
        <v>1</v>
      </c>
      <c r="P6" s="95" t="str">
        <f>IF(CAELS!Q4&gt;20%,"1",IF(CAELS!Q4&gt;15%,"2",IF(CAELS!Q4&gt;12%,"3",IF(CAELS!Q4&gt;10%,"4","5"))))</f>
        <v>1</v>
      </c>
      <c r="Q6" s="95" t="str">
        <f>IF(CAELS!R4&gt;20%,"1",IF(CAELS!R4&gt;15%,"2",IF(CAELS!R4&gt;12%,"3",IF(CAELS!R4&gt;10%,"4","5"))))</f>
        <v>1</v>
      </c>
      <c r="R6" s="95" t="str">
        <f>IF(CAELS!S4&gt;20%,"1",IF(CAELS!S4&gt;15%,"2",IF(CAELS!S4&gt;12%,"3",IF(CAELS!S4&gt;10%,"4","5"))))</f>
        <v>1</v>
      </c>
      <c r="S6" s="95" t="str">
        <f>IF(CAELS!T4&gt;20%,"1",IF(CAELS!T4&gt;15%,"2",IF(CAELS!T4&gt;12%,"3",IF(CAELS!T4&gt;10%,"4","5"))))</f>
        <v>1</v>
      </c>
      <c r="T6" s="95" t="str">
        <f>IF(CAELS!U4&gt;20%,"1",IF(CAELS!U4&gt;15%,"2",IF(CAELS!U4&gt;12%,"3",IF(CAELS!U4&gt;10%,"4","5"))))</f>
        <v>1</v>
      </c>
      <c r="U6" s="95" t="str">
        <f>IF(CAELS!V4&gt;20%,"1",IF(CAELS!V4&gt;15%,"2",IF(CAELS!V4&gt;12%,"3",IF(CAELS!V4&gt;10%,"4","5"))))</f>
        <v>1</v>
      </c>
      <c r="V6" s="95" t="str">
        <f>IF(CAELS!W4&gt;20%,"1",IF(CAELS!W4&gt;15%,"2",IF(CAELS!W4&gt;12%,"3",IF(CAELS!W4&gt;10%,"4","5"))))</f>
        <v>1</v>
      </c>
      <c r="W6" s="95" t="str">
        <f>IF(CAELS!X4&gt;20%,"1",IF(CAELS!X4&gt;15%,"2",IF(CAELS!X4&gt;12%,"3",IF(CAELS!X4&gt;10%,"4","5"))))</f>
        <v>1</v>
      </c>
      <c r="X6" s="95" t="str">
        <f>IF(CAELS!Y4&gt;20%,"1",IF(CAELS!Y4&gt;15%,"2",IF(CAELS!Y4&gt;12%,"3",IF(CAELS!Y4&gt;10%,"4","5"))))</f>
        <v>1</v>
      </c>
      <c r="Y6" s="95" t="str">
        <f>IF(CAELS!Z4&gt;20%,"1",IF(CAELS!Z4&gt;15%,"2",IF(CAELS!Z4&gt;12%,"3",IF(CAELS!Z4&gt;10%,"4","5"))))</f>
        <v>1</v>
      </c>
      <c r="Z6" s="95" t="str">
        <f>IF(CAELS!AA4&gt;20%,"1",IF(CAELS!AA4&gt;15%,"2",IF(CAELS!AA4&gt;12%,"3",IF(CAELS!AA4&gt;10%,"4","5"))))</f>
        <v>1</v>
      </c>
      <c r="AA6" s="95" t="str">
        <f>IF(CAELS!AB4&gt;20%,"1",IF(CAELS!AB4&gt;15%,"2",IF(CAELS!AB4&gt;12%,"3",IF(CAELS!AB4&gt;10%,"4","5"))))</f>
        <v>1</v>
      </c>
      <c r="AB6" s="95" t="str">
        <f>IF(CAELS!AC4&gt;20%,"1",IF(CAELS!AC4&gt;15%,"2",IF(CAELS!AC4&gt;12%,"3",IF(CAELS!AC4&gt;10%,"4","5"))))</f>
        <v>1</v>
      </c>
      <c r="AC6" s="95" t="str">
        <f>IF(CAELS!AD4&gt;20%,"1",IF(CAELS!AD4&gt;15%,"2",IF(CAELS!AD4&gt;12%,"3",IF(CAELS!AD4&gt;10%,"4","5"))))</f>
        <v>1</v>
      </c>
      <c r="AD6" s="95" t="str">
        <f>IF(CAELS!AE4&gt;20%,"1",IF(CAELS!AE4&gt;15%,"2",IF(CAELS!AE4&gt;12%,"3",IF(CAELS!AE4&gt;10%,"4","5"))))</f>
        <v>1</v>
      </c>
    </row>
    <row r="7" spans="1:38">
      <c r="A7" s="46" t="s">
        <v>120</v>
      </c>
      <c r="B7" s="93" t="s">
        <v>218</v>
      </c>
      <c r="C7" s="95" t="str">
        <f>IF(CAELS!D6&gt;15%,"1",IF(CAELS!D6&gt;12%,"2",IF(CAELS!D6&gt;10%,"3",IF(CAELS!D6&gt;8,"4","5"))))</f>
        <v>3</v>
      </c>
      <c r="D7" s="95" t="str">
        <f>IF(CAELS!E6&gt;15%,"1",IF(CAELS!E6&gt;12%,"2",IF(CAELS!E6&gt;10%,"3",IF(CAELS!E6&gt;8,"4","5"))))</f>
        <v>5</v>
      </c>
      <c r="E7" s="95" t="str">
        <f>IF(CAELS!F6&gt;15%,"1",IF(CAELS!F6&gt;12%,"2",IF(CAELS!F6&gt;10%,"3",IF(CAELS!F6&gt;8,"4","5"))))</f>
        <v>5</v>
      </c>
      <c r="F7" s="95" t="str">
        <f>IF(CAELS!G6&gt;15%,"1",IF(CAELS!G6&gt;12%,"2",IF(CAELS!G6&gt;10%,"3",IF(CAELS!G6&gt;8,"4","5"))))</f>
        <v>3</v>
      </c>
      <c r="G7" s="95" t="str">
        <f>IF(CAELS!H6&gt;15%,"1",IF(CAELS!H6&gt;12%,"2",IF(CAELS!H6&gt;10%,"3",IF(CAELS!H6&gt;8,"4","5"))))</f>
        <v>2</v>
      </c>
      <c r="H7" s="95" t="str">
        <f>IF(CAELS!I6&gt;15%,"1",IF(CAELS!I6&gt;12%,"2",IF(CAELS!I6&gt;10%,"3",IF(CAELS!I6&gt;8,"4","5"))))</f>
        <v>1</v>
      </c>
      <c r="I7" s="95" t="str">
        <f>IF(CAELS!J6&gt;15%,"1",IF(CAELS!J6&gt;12%,"2",IF(CAELS!J6&gt;10%,"3",IF(CAELS!J6&gt;8,"4","5"))))</f>
        <v>1</v>
      </c>
      <c r="J7" s="95" t="str">
        <f>IF(CAELS!K6&gt;15%,"1",IF(CAELS!K6&gt;12%,"2",IF(CAELS!K6&gt;10%,"3",IF(CAELS!K6&gt;8,"4","5"))))</f>
        <v>1</v>
      </c>
      <c r="K7" s="95" t="str">
        <f>IF(CAELS!L6&gt;15%,"1",IF(CAELS!L6&gt;12%,"2",IF(CAELS!L6&gt;10%,"3",IF(CAELS!L6&gt;8,"4","5"))))</f>
        <v>1</v>
      </c>
      <c r="L7" s="95" t="str">
        <f>IF(CAELS!M6&gt;15%,"1",IF(CAELS!M6&gt;12%,"2",IF(CAELS!M6&gt;10%,"3",IF(CAELS!M6&gt;8,"4","5"))))</f>
        <v>1</v>
      </c>
      <c r="M7" s="95" t="str">
        <f>IF(CAELS!N6&gt;15%,"1",IF(CAELS!N6&gt;12%,"2",IF(CAELS!N6&gt;10%,"3",IF(CAELS!N6&gt;8,"4","5"))))</f>
        <v>1</v>
      </c>
      <c r="N7" s="95" t="str">
        <f>IF(CAELS!O6&gt;15%,"1",IF(CAELS!O6&gt;12%,"2",IF(CAELS!O6&gt;10%,"3",IF(CAELS!O6&gt;8,"4","5"))))</f>
        <v>1</v>
      </c>
      <c r="O7" s="95" t="str">
        <f>IF(CAELS!P6&gt;15%,"1",IF(CAELS!P6&gt;12%,"2",IF(CAELS!P6&gt;10%,"3",IF(CAELS!P6&gt;8,"4","5"))))</f>
        <v>1</v>
      </c>
      <c r="P7" s="95" t="str">
        <f>IF(CAELS!Q6&gt;15%,"1",IF(CAELS!Q6&gt;12%,"2",IF(CAELS!Q6&gt;10%,"3",IF(CAELS!Q6&gt;8,"4","5"))))</f>
        <v>1</v>
      </c>
      <c r="Q7" s="95" t="str">
        <f>IF(CAELS!R6&gt;15%,"1",IF(CAELS!R6&gt;12%,"2",IF(CAELS!R6&gt;10%,"3",IF(CAELS!R6&gt;8,"4","5"))))</f>
        <v>1</v>
      </c>
      <c r="R7" s="95" t="str">
        <f>IF(CAELS!S6&gt;15%,"1",IF(CAELS!S6&gt;12%,"2",IF(CAELS!S6&gt;10%,"3",IF(CAELS!S6&gt;8,"4","5"))))</f>
        <v>1</v>
      </c>
      <c r="S7" s="95" t="str">
        <f>IF(CAELS!T6&gt;15%,"1",IF(CAELS!T6&gt;12%,"2",IF(CAELS!T6&gt;10%,"3",IF(CAELS!T6&gt;8,"4","5"))))</f>
        <v>1</v>
      </c>
      <c r="T7" s="95" t="str">
        <f>IF(CAELS!U6&gt;15%,"1",IF(CAELS!U6&gt;12%,"2",IF(CAELS!U6&gt;10%,"3",IF(CAELS!U6&gt;8,"4","5"))))</f>
        <v>1</v>
      </c>
      <c r="U7" s="95" t="str">
        <f>IF(CAELS!V6&gt;15%,"1",IF(CAELS!V6&gt;12%,"2",IF(CAELS!V6&gt;10%,"3",IF(CAELS!V6&gt;8,"4","5"))))</f>
        <v>1</v>
      </c>
      <c r="V7" s="95" t="str">
        <f>IF(CAELS!W6&gt;15%,"1",IF(CAELS!W6&gt;12%,"2",IF(CAELS!W6&gt;10%,"3",IF(CAELS!W6&gt;8,"4","5"))))</f>
        <v>1</v>
      </c>
      <c r="W7" s="95" t="str">
        <f>IF(CAELS!X6&gt;15%,"1",IF(CAELS!X6&gt;12%,"2",IF(CAELS!X6&gt;10%,"3",IF(CAELS!X6&gt;8,"4","5"))))</f>
        <v>1</v>
      </c>
      <c r="X7" s="95" t="str">
        <f>IF(CAELS!Y6&gt;15%,"1",IF(CAELS!Y6&gt;12%,"2",IF(CAELS!Y6&gt;10%,"3",IF(CAELS!Y6&gt;8,"4","5"))))</f>
        <v>1</v>
      </c>
      <c r="Y7" s="95" t="str">
        <f>IF(CAELS!Z6&gt;15%,"1",IF(CAELS!Z6&gt;12%,"2",IF(CAELS!Z6&gt;10%,"3",IF(CAELS!Z6&gt;8,"4","5"))))</f>
        <v>1</v>
      </c>
      <c r="Z7" s="95" t="str">
        <f>IF(CAELS!AA6&gt;15%,"1",IF(CAELS!AA6&gt;12%,"2",IF(CAELS!AA6&gt;10%,"3",IF(CAELS!AA6&gt;8,"4","5"))))</f>
        <v>1</v>
      </c>
      <c r="AA7" s="95" t="str">
        <f>IF(CAELS!AB6&gt;15%,"1",IF(CAELS!AB6&gt;12%,"2",IF(CAELS!AB6&gt;10%,"3",IF(CAELS!AB6&gt;8,"4","5"))))</f>
        <v>1</v>
      </c>
    </row>
    <row r="8" spans="1:38">
      <c r="A8" s="46" t="s">
        <v>118</v>
      </c>
      <c r="B8" s="93" t="s">
        <v>218</v>
      </c>
      <c r="C8" s="95" t="str">
        <f>IF(CAELS!D5&gt;20%,"1",IF(CAELS!D5&gt;15%,"2",IF(CAELS!D5&gt;12%,"3",IF(CAELS!D5&gt;10%,"4","5"))))</f>
        <v>2</v>
      </c>
      <c r="D8" s="95" t="str">
        <f>IF(CAELS!E5&gt;20%,"1",IF(CAELS!E5&gt;15%,"2",IF(CAELS!E5&gt;12%,"3",IF(CAELS!E5&gt;10%,"4","5"))))</f>
        <v>1</v>
      </c>
      <c r="E8" s="95" t="str">
        <f>IF(CAELS!F5&gt;20%,"1",IF(CAELS!F5&gt;15%,"2",IF(CAELS!F5&gt;12%,"3",IF(CAELS!F5&gt;10%,"4","5"))))</f>
        <v>1</v>
      </c>
      <c r="F8" s="95" t="str">
        <f>IF(CAELS!G5&gt;20%,"1",IF(CAELS!G5&gt;15%,"2",IF(CAELS!G5&gt;12%,"3",IF(CAELS!G5&gt;10%,"4","5"))))</f>
        <v>1</v>
      </c>
      <c r="G8" s="95" t="str">
        <f>IF(CAELS!H5&gt;20%,"1",IF(CAELS!H5&gt;15%,"2",IF(CAELS!H5&gt;12%,"3",IF(CAELS!H5&gt;10%,"4","5"))))</f>
        <v>1</v>
      </c>
      <c r="H8" s="95" t="str">
        <f>IF(CAELS!I5&gt;20%,"1",IF(CAELS!I5&gt;15%,"2",IF(CAELS!I5&gt;12%,"3",IF(CAELS!I5&gt;10%,"4","5"))))</f>
        <v>1</v>
      </c>
      <c r="I8" s="95" t="str">
        <f>IF(CAELS!J5&gt;20%,"1",IF(CAELS!J5&gt;15%,"2",IF(CAELS!J5&gt;12%,"3",IF(CAELS!J5&gt;10%,"4","5"))))</f>
        <v>1</v>
      </c>
      <c r="J8" s="95" t="str">
        <f>IF(CAELS!K5&gt;20%,"1",IF(CAELS!K5&gt;15%,"2",IF(CAELS!K5&gt;12%,"3",IF(CAELS!K5&gt;10%,"4","5"))))</f>
        <v>1</v>
      </c>
      <c r="K8" s="95" t="str">
        <f>IF(CAELS!L5&gt;20%,"1",IF(CAELS!L5&gt;15%,"2",IF(CAELS!L5&gt;12%,"3",IF(CAELS!L5&gt;10%,"4","5"))))</f>
        <v>1</v>
      </c>
      <c r="L8" s="95" t="str">
        <f>IF(CAELS!M5&gt;20%,"1",IF(CAELS!M5&gt;15%,"2",IF(CAELS!M5&gt;12%,"3",IF(CAELS!M5&gt;10%,"4","5"))))</f>
        <v>1</v>
      </c>
      <c r="M8" s="95" t="str">
        <f>IF(CAELS!N5&gt;20%,"1",IF(CAELS!N5&gt;15%,"2",IF(CAELS!N5&gt;12%,"3",IF(CAELS!N5&gt;10%,"4","5"))))</f>
        <v>1</v>
      </c>
      <c r="N8" s="95" t="str">
        <f>IF(CAELS!O5&gt;20%,"1",IF(CAELS!O5&gt;15%,"2",IF(CAELS!O5&gt;12%,"3",IF(CAELS!O5&gt;10%,"4","5"))))</f>
        <v>1</v>
      </c>
      <c r="O8" s="95" t="str">
        <f>IF(CAELS!P5&gt;20%,"1",IF(CAELS!P5&gt;15%,"2",IF(CAELS!P5&gt;12%,"3",IF(CAELS!P5&gt;10%,"4","5"))))</f>
        <v>1</v>
      </c>
      <c r="P8" s="95" t="str">
        <f>IF(CAELS!Q5&gt;20%,"1",IF(CAELS!Q5&gt;15%,"2",IF(CAELS!Q5&gt;12%,"3",IF(CAELS!Q5&gt;10%,"4","5"))))</f>
        <v>1</v>
      </c>
      <c r="Q8" s="95" t="str">
        <f>IF(CAELS!R5&gt;20%,"1",IF(CAELS!R5&gt;15%,"2",IF(CAELS!R5&gt;12%,"3",IF(CAELS!R5&gt;10%,"4","5"))))</f>
        <v>1</v>
      </c>
      <c r="R8" s="95" t="str">
        <f>IF(CAELS!S5&gt;20%,"1",IF(CAELS!S5&gt;15%,"2",IF(CAELS!S5&gt;12%,"3",IF(CAELS!S5&gt;10%,"4","5"))))</f>
        <v>1</v>
      </c>
      <c r="S8" s="95" t="str">
        <f>IF(CAELS!T5&gt;20%,"1",IF(CAELS!T5&gt;15%,"2",IF(CAELS!T5&gt;12%,"3",IF(CAELS!T5&gt;10%,"4","5"))))</f>
        <v>1</v>
      </c>
      <c r="T8" s="95" t="str">
        <f>IF(CAELS!U5&gt;20%,"1",IF(CAELS!U5&gt;15%,"2",IF(CAELS!U5&gt;12%,"3",IF(CAELS!U5&gt;10%,"4","5"))))</f>
        <v>1</v>
      </c>
      <c r="U8" s="95" t="str">
        <f>IF(CAELS!V5&gt;20%,"1",IF(CAELS!V5&gt;15%,"2",IF(CAELS!V5&gt;12%,"3",IF(CAELS!V5&gt;10%,"4","5"))))</f>
        <v>1</v>
      </c>
      <c r="V8" s="95" t="str">
        <f>IF(CAELS!W5&gt;20%,"1",IF(CAELS!W5&gt;15%,"2",IF(CAELS!W5&gt;12%,"3",IF(CAELS!W5&gt;10%,"4","5"))))</f>
        <v>1</v>
      </c>
      <c r="W8" s="95" t="str">
        <f>IF(CAELS!X5&gt;20%,"1",IF(CAELS!X5&gt;15%,"2",IF(CAELS!X5&gt;12%,"3",IF(CAELS!X5&gt;10%,"4","5"))))</f>
        <v>1</v>
      </c>
      <c r="X8" s="95" t="str">
        <f>IF(CAELS!Y5&gt;20%,"1",IF(CAELS!Y5&gt;15%,"2",IF(CAELS!Y5&gt;12%,"3",IF(CAELS!Y5&gt;10%,"4","5"))))</f>
        <v>1</v>
      </c>
      <c r="Y8" s="95" t="str">
        <f>IF(CAELS!Z5&gt;20%,"1",IF(CAELS!Z5&gt;15%,"2",IF(CAELS!Z5&gt;12%,"3",IF(CAELS!Z5&gt;10%,"4","5"))))</f>
        <v>1</v>
      </c>
      <c r="Z8" s="95" t="str">
        <f>IF(CAELS!AA5&gt;20%,"1",IF(CAELS!AA5&gt;15%,"2",IF(CAELS!AA5&gt;12%,"3",IF(CAELS!AA5&gt;10%,"4","5"))))</f>
        <v>1</v>
      </c>
      <c r="AA8" s="95" t="str">
        <f>IF(CAELS!AB5&gt;20%,"1",IF(CAELS!AB5&gt;15%,"2",IF(CAELS!AB5&gt;12%,"3",IF(CAELS!AB5&gt;10%,"4","5"))))</f>
        <v>1</v>
      </c>
      <c r="AB8" s="95" t="str">
        <f>IF(CAELS!AC5&gt;20%,"1",IF(CAELS!AC5&gt;15%,"2",IF(CAELS!AC5&gt;12%,"3",IF(CAELS!AC5&gt;10%,"4","5"))))</f>
        <v>1</v>
      </c>
      <c r="AC8" s="95" t="str">
        <f>IF(CAELS!AD5&gt;20%,"1",IF(CAELS!AD5&gt;15%,"2",IF(CAELS!AD5&gt;12%,"3",IF(CAELS!AD5&gt;10%,"4","5"))))</f>
        <v>1</v>
      </c>
      <c r="AD8" s="95" t="str">
        <f>IF(CAELS!AE5&gt;20%,"1",IF(CAELS!AE5&gt;15%,"2",IF(CAELS!AE5&gt;12%,"3",IF(CAELS!AE5&gt;10%,"4","5"))))</f>
        <v>1</v>
      </c>
      <c r="AE8" s="95" t="str">
        <f>IF(CAELS!AF5&gt;20%,"1",IF(CAELS!AF5&gt;15%,"2",IF(CAELS!AF5&gt;12%,"3",IF(CAELS!AF5&gt;10%,"4","5"))))</f>
        <v>1</v>
      </c>
      <c r="AF8" s="95" t="str">
        <f>IF(CAELS!AG5&gt;20%,"1",IF(CAELS!AG5&gt;15%,"2",IF(CAELS!AG5&gt;12%,"3",IF(CAELS!AG5&gt;10%,"4","5"))))</f>
        <v>1</v>
      </c>
    </row>
    <row r="9" spans="1:38">
      <c r="A9" s="46"/>
      <c r="B9" s="93"/>
      <c r="C9" s="105">
        <f t="shared" ref="C9:K9" si="0">(C5+C6+C7+C8)/4</f>
        <v>2.5</v>
      </c>
      <c r="D9" s="105">
        <f t="shared" si="0"/>
        <v>2.25</v>
      </c>
      <c r="E9" s="106">
        <f t="shared" si="0"/>
        <v>2.25</v>
      </c>
      <c r="F9" s="106">
        <f t="shared" si="0"/>
        <v>1.75</v>
      </c>
      <c r="G9" s="105">
        <f t="shared" si="0"/>
        <v>1.25</v>
      </c>
      <c r="H9" s="105">
        <f t="shared" si="0"/>
        <v>1</v>
      </c>
      <c r="I9" s="106">
        <f t="shared" si="0"/>
        <v>1</v>
      </c>
      <c r="J9" s="106">
        <f t="shared" si="0"/>
        <v>1</v>
      </c>
      <c r="K9" s="106">
        <f t="shared" si="0"/>
        <v>1</v>
      </c>
      <c r="L9" s="106">
        <f t="shared" ref="L9:AF9" si="1">(L5+L6+L7+L8)/4</f>
        <v>1</v>
      </c>
      <c r="M9" s="106">
        <f t="shared" si="1"/>
        <v>1</v>
      </c>
      <c r="N9" s="106">
        <f t="shared" si="1"/>
        <v>1</v>
      </c>
      <c r="O9" s="106">
        <f t="shared" si="1"/>
        <v>1</v>
      </c>
      <c r="P9" s="106">
        <f t="shared" si="1"/>
        <v>1</v>
      </c>
      <c r="Q9" s="106">
        <f t="shared" si="1"/>
        <v>1</v>
      </c>
      <c r="R9" s="106">
        <f t="shared" si="1"/>
        <v>1</v>
      </c>
      <c r="S9" s="106">
        <f t="shared" si="1"/>
        <v>1</v>
      </c>
      <c r="T9" s="106">
        <f t="shared" si="1"/>
        <v>1</v>
      </c>
      <c r="U9" s="106">
        <f t="shared" si="1"/>
        <v>1</v>
      </c>
      <c r="V9" s="106">
        <f t="shared" si="1"/>
        <v>1</v>
      </c>
      <c r="W9" s="106">
        <f t="shared" si="1"/>
        <v>1</v>
      </c>
      <c r="X9" s="106">
        <f t="shared" si="1"/>
        <v>1</v>
      </c>
      <c r="Y9" s="106">
        <f t="shared" si="1"/>
        <v>1</v>
      </c>
      <c r="Z9" s="106">
        <f t="shared" si="1"/>
        <v>1</v>
      </c>
      <c r="AA9" s="106">
        <f t="shared" si="1"/>
        <v>1</v>
      </c>
      <c r="AB9" s="106">
        <f t="shared" si="1"/>
        <v>0.75</v>
      </c>
      <c r="AC9" s="106">
        <f t="shared" si="1"/>
        <v>0.75</v>
      </c>
      <c r="AD9" s="106">
        <f t="shared" si="1"/>
        <v>0.5</v>
      </c>
      <c r="AE9" s="106">
        <f t="shared" si="1"/>
        <v>0.25</v>
      </c>
      <c r="AF9" s="106">
        <f t="shared" si="1"/>
        <v>0.25</v>
      </c>
    </row>
    <row r="10" spans="1:38">
      <c r="A10" s="90" t="s">
        <v>219</v>
      </c>
      <c r="B10" s="91"/>
      <c r="C10" s="91"/>
      <c r="D10" s="91"/>
      <c r="E10" s="96"/>
      <c r="F10" s="96"/>
      <c r="G10" s="91"/>
      <c r="H10" s="91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</row>
    <row r="11" spans="1:38">
      <c r="A11" s="46" t="s">
        <v>108</v>
      </c>
      <c r="B11" s="93" t="s">
        <v>220</v>
      </c>
      <c r="C11" s="97"/>
      <c r="D11" s="98"/>
      <c r="E11" s="98"/>
      <c r="F11" s="98"/>
      <c r="G11" s="98"/>
      <c r="H11" s="98"/>
      <c r="I11" s="98"/>
      <c r="J11" s="98"/>
      <c r="K11" s="98"/>
      <c r="L11" s="98" t="e">
        <f>IF(CAELS!M8&lt;4%,"1",IF(CAELS!M8&lt;8%,"2",IF(CAELS!M8&lt;12%,"3",IF(CAELS!M8&lt;15%,"4","5"))))</f>
        <v>#REF!</v>
      </c>
      <c r="M11" s="98"/>
      <c r="N11" s="98"/>
      <c r="O11" s="98" t="e">
        <f>IF(CAELS!P8&lt;4%,"1",IF(CAELS!P8&lt;8%,"2",IF(CAELS!P8&lt;12%,"3",IF(CAELS!P8&lt;15%,"4","5"))))</f>
        <v>#REF!</v>
      </c>
      <c r="P11" s="98"/>
      <c r="Q11" s="98"/>
      <c r="R11" s="98" t="e">
        <f>IF(CAELS!S8&lt;4%,"1",IF(CAELS!S8&lt;8%,"2",IF(CAELS!S8&lt;12%,"3",IF(CAELS!S8&lt;15%,"4","5"))))</f>
        <v>#REF!</v>
      </c>
      <c r="S11" s="98" t="str">
        <f>IF(CAELS!T8&lt;4%,"1",IF(CAELS!T8&lt;8%,"2",IF(CAELS!T8&lt;12%,"3",IF(CAELS!T8&lt;15%,"4","5"))))</f>
        <v>1</v>
      </c>
      <c r="T11" s="98" t="str">
        <f>IF(CAELS!U8&lt;4%,"1",IF(CAELS!U8&lt;8%,"2",IF(CAELS!U8&lt;12%,"3",IF(CAELS!U8&lt;15%,"4","5"))))</f>
        <v>1</v>
      </c>
      <c r="U11" s="98" t="e">
        <f>IF(CAELS!V8&lt;4%,"1",IF(CAELS!V8&lt;8%,"2",IF(CAELS!V8&lt;12%,"3",IF(CAELS!V8&lt;15%,"4","5"))))</f>
        <v>#REF!</v>
      </c>
      <c r="V11" s="98" t="e">
        <f>IF(CAELS!W8&lt;4%,"1",IF(CAELS!W8&lt;8%,"2",IF(CAELS!W8&lt;12%,"3",IF(CAELS!W8&lt;15%,"4","5"))))</f>
        <v>#REF!</v>
      </c>
      <c r="W11" s="98" t="e">
        <f>IF(CAELS!X8&lt;4%,"1",IF(CAELS!X8&lt;8%,"2",IF(CAELS!X8&lt;12%,"3",IF(CAELS!X8&lt;15%,"4","5"))))</f>
        <v>#REF!</v>
      </c>
      <c r="X11" s="98" t="e">
        <f>IF(CAELS!Y8&lt;4%,"1",IF(CAELS!Y8&lt;8%,"2",IF(CAELS!Y8&lt;12%,"3",IF(CAELS!Y8&lt;15%,"4","5"))))</f>
        <v>#REF!</v>
      </c>
      <c r="Y11" s="98" t="str">
        <f>IF(CAELS!Z8&lt;4%,"1",IF(CAELS!Z8&lt;8%,"2",IF(CAELS!Z8&lt;12%,"3",IF(CAELS!Z8&lt;15%,"4","5"))))</f>
        <v>2</v>
      </c>
      <c r="Z11" s="98" t="e">
        <f>IF(CAELS!AA8&lt;4%,"1",IF(CAELS!AA8&lt;8%,"2",IF(CAELS!AA8&lt;12%,"3",IF(CAELS!AA8&lt;15%,"4","5"))))</f>
        <v>#REF!</v>
      </c>
      <c r="AA11" s="98" t="e">
        <f>IF(CAELS!AB8&lt;4%,"1",IF(CAELS!AB8&lt;8%,"2",IF(CAELS!AB8&lt;12%,"3",IF(CAELS!AB8&lt;15%,"4","5"))))</f>
        <v>#REF!</v>
      </c>
      <c r="AB11" s="98" t="str">
        <f>IF(CAELS!AC8&lt;4%,"1",IF(CAELS!AC8&lt;8%,"2",IF(CAELS!AC8&lt;12%,"3",IF(CAELS!AC8&lt;15%,"4","5"))))</f>
        <v>2</v>
      </c>
      <c r="AC11" s="98" t="e">
        <f>IF(CAELS!AD8&lt;4%,"1",IF(CAELS!AD8&lt;8%,"2",IF(CAELS!AD8&lt;12%,"3",IF(CAELS!AD8&lt;15%,"4","5"))))</f>
        <v>#REF!</v>
      </c>
      <c r="AD11" s="98" t="e">
        <f>IF(CAELS!AE8&lt;4%,"1",IF(CAELS!AE8&lt;8%,"2",IF(CAELS!AE8&lt;12%,"3",IF(CAELS!AE8&lt;15%,"4","5"))))</f>
        <v>#REF!</v>
      </c>
      <c r="AE11" s="98" t="str">
        <f>IF(CAELS!AF8&lt;4%,"1",IF(CAELS!AF8&lt;8%,"2",IF(CAELS!AF8&lt;12%,"3",IF(CAELS!AF8&lt;15%,"4","5"))))</f>
        <v>2</v>
      </c>
      <c r="AF11" s="98" t="str">
        <f>IF(CAELS!AG8&lt;4%,"1",IF(CAELS!AG8&lt;8%,"2",IF(CAELS!AG8&lt;12%,"3",IF(CAELS!AG8&lt;15%,"4","5"))))</f>
        <v>2</v>
      </c>
    </row>
    <row r="12" spans="1:38">
      <c r="A12" s="46"/>
      <c r="B12" s="93"/>
      <c r="C12" s="97">
        <f t="shared" ref="C12:K12" si="2">C11</f>
        <v>0</v>
      </c>
      <c r="D12" s="97">
        <f t="shared" si="2"/>
        <v>0</v>
      </c>
      <c r="E12" s="98">
        <f t="shared" si="2"/>
        <v>0</v>
      </c>
      <c r="F12" s="98">
        <f t="shared" si="2"/>
        <v>0</v>
      </c>
      <c r="G12" s="97">
        <f t="shared" si="2"/>
        <v>0</v>
      </c>
      <c r="H12" s="97">
        <f t="shared" si="2"/>
        <v>0</v>
      </c>
      <c r="I12" s="98">
        <f t="shared" si="2"/>
        <v>0</v>
      </c>
      <c r="J12" s="98">
        <f t="shared" si="2"/>
        <v>0</v>
      </c>
      <c r="K12" s="98">
        <f t="shared" si="2"/>
        <v>0</v>
      </c>
      <c r="L12" s="98" t="e">
        <f t="shared" ref="L12:S12" si="3">L11</f>
        <v>#REF!</v>
      </c>
      <c r="M12" s="98">
        <f t="shared" si="3"/>
        <v>0</v>
      </c>
      <c r="N12" s="98">
        <f t="shared" si="3"/>
        <v>0</v>
      </c>
      <c r="O12" s="98" t="e">
        <f t="shared" si="3"/>
        <v>#REF!</v>
      </c>
      <c r="P12" s="98">
        <f t="shared" si="3"/>
        <v>0</v>
      </c>
      <c r="Q12" s="98">
        <f t="shared" si="3"/>
        <v>0</v>
      </c>
      <c r="R12" s="98" t="e">
        <f t="shared" si="3"/>
        <v>#REF!</v>
      </c>
      <c r="S12" s="98" t="str">
        <f t="shared" si="3"/>
        <v>1</v>
      </c>
      <c r="T12" s="98" t="str">
        <f>T11</f>
        <v>1</v>
      </c>
      <c r="U12" s="98" t="e">
        <f t="shared" ref="U12:AF12" si="4">U11</f>
        <v>#REF!</v>
      </c>
      <c r="V12" s="98" t="e">
        <f t="shared" si="4"/>
        <v>#REF!</v>
      </c>
      <c r="W12" s="98" t="e">
        <f t="shared" si="4"/>
        <v>#REF!</v>
      </c>
      <c r="X12" s="98" t="e">
        <f t="shared" si="4"/>
        <v>#REF!</v>
      </c>
      <c r="Y12" s="98" t="str">
        <f t="shared" si="4"/>
        <v>2</v>
      </c>
      <c r="Z12" s="98" t="e">
        <f t="shared" si="4"/>
        <v>#REF!</v>
      </c>
      <c r="AA12" s="98" t="e">
        <f t="shared" si="4"/>
        <v>#REF!</v>
      </c>
      <c r="AB12" s="98" t="str">
        <f t="shared" si="4"/>
        <v>2</v>
      </c>
      <c r="AC12" s="98" t="e">
        <f t="shared" si="4"/>
        <v>#REF!</v>
      </c>
      <c r="AD12" s="98" t="e">
        <f t="shared" si="4"/>
        <v>#REF!</v>
      </c>
      <c r="AE12" s="98" t="str">
        <f t="shared" si="4"/>
        <v>2</v>
      </c>
      <c r="AF12" s="98" t="str">
        <f t="shared" si="4"/>
        <v>2</v>
      </c>
    </row>
    <row r="13" spans="1:38">
      <c r="A13" s="90" t="s">
        <v>221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</row>
    <row r="14" spans="1:38">
      <c r="A14" s="46" t="s">
        <v>125</v>
      </c>
      <c r="B14" s="2"/>
      <c r="C14" s="95"/>
      <c r="D14" s="95" t="str">
        <f>IF(CAELS!E9&gt;6%,"1",IF(CAELS!E9&gt;4%,"2",IF(CAELS!E9&gt;2%,"3",IF(CAELS!E9&gt;0%,"4","5"))))</f>
        <v>3</v>
      </c>
      <c r="E14" s="95" t="str">
        <f>IF(CAELS!F9&gt;6%,"1",IF(CAELS!F9&gt;4%,"2",IF(CAELS!F9&gt;2%,"3",IF(CAELS!F9&gt;0%,"4","5"))))</f>
        <v>4</v>
      </c>
      <c r="F14" s="95" t="str">
        <f>IF(CAELS!G9&gt;6%,"1",IF(CAELS!G9&gt;4%,"2",IF(CAELS!G9&gt;2%,"3",IF(CAELS!G9&gt;0%,"4","5"))))</f>
        <v>3</v>
      </c>
      <c r="G14" s="95" t="str">
        <f>IF(CAELS!H9&gt;6%,"1",IF(CAELS!H9&gt;4%,"2",IF(CAELS!H9&gt;2%,"3",IF(CAELS!H9&gt;0%,"4","5"))))</f>
        <v>3</v>
      </c>
      <c r="H14" s="95" t="str">
        <f>IF(CAELS!I9&gt;6%,"1",IF(CAELS!I9&gt;4%,"2",IF(CAELS!I9&gt;2%,"3",IF(CAELS!I9&gt;0%,"4","5"))))</f>
        <v>2</v>
      </c>
      <c r="I14" s="95" t="str">
        <f>IF(CAELS!J9&gt;6%,"1",IF(CAELS!J9&gt;4%,"2",IF(CAELS!J9&gt;2%,"3",IF(CAELS!J9&gt;0%,"4","5"))))</f>
        <v>4</v>
      </c>
      <c r="J14" s="95" t="str">
        <f>IF(CAELS!K9&gt;6%,"1",IF(CAELS!K9&gt;4%,"2",IF(CAELS!K9&gt;2%,"3",IF(CAELS!K9&gt;0%,"4","5"))))</f>
        <v>5</v>
      </c>
      <c r="K14" s="95" t="str">
        <f>IF(CAELS!L9&gt;6%,"1",IF(CAELS!L9&gt;4%,"2",IF(CAELS!L9&gt;2%,"3",IF(CAELS!L9&gt;0%,"4","5"))))</f>
        <v>4</v>
      </c>
      <c r="L14" s="95" t="str">
        <f>IF(CAELS!M9&gt;6%,"1",IF(CAELS!M9&gt;4%,"2",IF(CAELS!M9&gt;2%,"3",IF(CAELS!M9&gt;0%,"4","5"))))</f>
        <v>4</v>
      </c>
      <c r="M14" s="95" t="str">
        <f>IF(CAELS!N9&gt;6%,"1",IF(CAELS!N9&gt;4%,"2",IF(CAELS!N9&gt;2%,"3",IF(CAELS!N9&gt;0%,"4","5"))))</f>
        <v>4</v>
      </c>
      <c r="N14" s="95" t="str">
        <f>IF(CAELS!O9&gt;6%,"1",IF(CAELS!O9&gt;4%,"2",IF(CAELS!O9&gt;2%,"3",IF(CAELS!O9&gt;0%,"4","5"))))</f>
        <v>4</v>
      </c>
      <c r="O14" s="95" t="str">
        <f>IF(CAELS!P9&gt;6%,"1",IF(CAELS!P9&gt;4%,"2",IF(CAELS!P9&gt;2%,"3",IF(CAELS!P9&gt;0%,"4","5"))))</f>
        <v>3</v>
      </c>
      <c r="P14" s="95" t="str">
        <f>IF(CAELS!Q9&gt;6%,"1",IF(CAELS!Q9&gt;4%,"2",IF(CAELS!Q9&gt;2%,"3",IF(CAELS!Q9&gt;0%,"4","5"))))</f>
        <v>3</v>
      </c>
      <c r="Q14" s="95" t="str">
        <f>IF(CAELS!R9&gt;6%,"1",IF(CAELS!R9&gt;4%,"2",IF(CAELS!R9&gt;2%,"3",IF(CAELS!R9&gt;0%,"4","5"))))</f>
        <v>3</v>
      </c>
      <c r="R14" s="95" t="str">
        <f>IF(CAELS!S9&gt;6%,"1",IF(CAELS!S9&gt;4%,"2",IF(CAELS!S9&gt;2%,"3",IF(CAELS!S9&gt;0%,"4","5"))))</f>
        <v>2</v>
      </c>
      <c r="S14" s="95" t="str">
        <f>IF(CAELS!T9&gt;6%,"1",IF(CAELS!T9&gt;4%,"2",IF(CAELS!T9&gt;2%,"3",IF(CAELS!T9&gt;0%,"4","5"))))</f>
        <v>2</v>
      </c>
      <c r="T14" s="95" t="str">
        <f>IF(CAELS!U9&gt;6%,"1",IF(CAELS!U9&gt;4%,"2",IF(CAELS!U9&gt;2%,"3",IF(CAELS!U9&gt;0%,"4","5"))))</f>
        <v>1</v>
      </c>
      <c r="U14" s="95" t="str">
        <f>IF(CAELS!V9&gt;6%,"1",IF(CAELS!V9&gt;4%,"2",IF(CAELS!V9&gt;2%,"3",IF(CAELS!V9&gt;0%,"4","5"))))</f>
        <v>3</v>
      </c>
      <c r="V14" s="95" t="str">
        <f>IF(CAELS!W9&gt;6%,"1",IF(CAELS!W9&gt;4%,"2",IF(CAELS!W9&gt;2%,"3",IF(CAELS!W9&gt;0%,"4","5"))))</f>
        <v>3</v>
      </c>
      <c r="W14" s="95" t="str">
        <f>IF(CAELS!X9&gt;6%,"1",IF(CAELS!X9&gt;4%,"2",IF(CAELS!X9&gt;2%,"3",IF(CAELS!X9&gt;0%,"4","5"))))</f>
        <v>4</v>
      </c>
      <c r="X14" s="95" t="str">
        <f>IF(CAELS!Y9&gt;6%,"1",IF(CAELS!Y9&gt;4%,"2",IF(CAELS!Y9&gt;2%,"3",IF(CAELS!Y9&gt;0%,"4","5"))))</f>
        <v>4</v>
      </c>
      <c r="Y14" s="95" t="str">
        <f>IF(CAELS!Z9&gt;6%,"1",IF(CAELS!Z9&gt;4%,"2",IF(CAELS!Z9&gt;2%,"3",IF(CAELS!Z9&gt;0%,"4","5"))))</f>
        <v>4</v>
      </c>
      <c r="Z14" s="95" t="str">
        <f>IF(CAELS!AA9&gt;6%,"1",IF(CAELS!AA9&gt;4%,"2",IF(CAELS!AA9&gt;2%,"3",IF(CAELS!AA9&gt;0%,"4","5"))))</f>
        <v>4</v>
      </c>
      <c r="AA14" s="95" t="str">
        <f>IF(CAELS!AB9&gt;6%,"1",IF(CAELS!AB9&gt;4%,"2",IF(CAELS!AB9&gt;2%,"3",IF(CAELS!AB9&gt;0%,"4","5"))))</f>
        <v>4</v>
      </c>
      <c r="AB14" s="95" t="str">
        <f>IF(CAELS!AC9&gt;6%,"1",IF(CAELS!AC9&gt;4%,"2",IF(CAELS!AC9&gt;2%,"3",IF(CAELS!AC9&gt;0%,"4","5"))))</f>
        <v>3</v>
      </c>
      <c r="AC14" s="95" t="str">
        <f>IF(CAELS!AD9&gt;6%,"1",IF(CAELS!AD9&gt;4%,"2",IF(CAELS!AD9&gt;2%,"3",IF(CAELS!AD9&gt;0%,"4","5"))))</f>
        <v>3</v>
      </c>
      <c r="AD14" s="95" t="str">
        <f>IF(CAELS!AE9&gt;6%,"1",IF(CAELS!AE9&gt;4%,"2",IF(CAELS!AE9&gt;2%,"3",IF(CAELS!AE9&gt;0%,"4","5"))))</f>
        <v>3</v>
      </c>
      <c r="AE14" s="95" t="str">
        <f>IF(CAELS!AF9&gt;6%,"1",IF(CAELS!AF9&gt;4%,"2",IF(CAELS!AF9&gt;2%,"3",IF(CAELS!AF9&gt;0%,"4","5"))))</f>
        <v>2</v>
      </c>
      <c r="AF14" s="95" t="str">
        <f>IF(CAELS!AG9&gt;6%,"1",IF(CAELS!AG9&gt;4%,"2",IF(CAELS!AG9&gt;2%,"3",IF(CAELS!AG9&gt;0%,"4","5"))))</f>
        <v>2</v>
      </c>
    </row>
    <row r="15" spans="1:38">
      <c r="A15" s="46" t="s">
        <v>222</v>
      </c>
      <c r="B15" s="2"/>
      <c r="C15" s="98" t="str">
        <f>IF(CAELS!D10&lt;60%,"1",IF(CAELS!D10&lt;70%,"2",IF(CAELS!D10&lt;80%,"3",IF(CAELS!D10&lt;90%,"4","5"))))</f>
        <v>2</v>
      </c>
      <c r="D15" s="98" t="str">
        <f>IF(CAELS!E10&lt;60%,"1",IF(CAELS!E10&lt;70%,"2",IF(CAELS!E10&lt;80%,"3",IF(CAELS!E10&lt;90%,"4","5"))))</f>
        <v>1</v>
      </c>
      <c r="E15" s="98" t="str">
        <f>IF(CAELS!F10&lt;60%,"1",IF(CAELS!F10&lt;70%,"2",IF(CAELS!F10&lt;80%,"3",IF(CAELS!F10&lt;90%,"4","5"))))</f>
        <v>2</v>
      </c>
      <c r="F15" s="98" t="str">
        <f>IF(CAELS!G10&lt;60%,"1",IF(CAELS!G10&lt;70%,"2",IF(CAELS!G10&lt;80%,"3",IF(CAELS!G10&lt;90%,"4","5"))))</f>
        <v>2</v>
      </c>
      <c r="G15" s="98" t="str">
        <f>IF(CAELS!H10&lt;60%,"1",IF(CAELS!H10&lt;70%,"2",IF(CAELS!H10&lt;80%,"3",IF(CAELS!H10&lt;90%,"4","5"))))</f>
        <v>2</v>
      </c>
      <c r="H15" s="98" t="str">
        <f>IF(CAELS!I10&lt;60%,"1",IF(CAELS!I10&lt;70%,"2",IF(CAELS!I10&lt;80%,"3",IF(CAELS!I10&lt;90%,"4","5"))))</f>
        <v>2</v>
      </c>
      <c r="I15" s="98" t="str">
        <f>IF(CAELS!J10&lt;60%,"1",IF(CAELS!J10&lt;70%,"2",IF(CAELS!J10&lt;80%,"3",IF(CAELS!J10&lt;90%,"4","5"))))</f>
        <v>3</v>
      </c>
      <c r="J15" s="98" t="str">
        <f>IF(CAELS!K10&lt;60%,"1",IF(CAELS!K10&lt;70%,"2",IF(CAELS!K10&lt;80%,"3",IF(CAELS!K10&lt;90%,"4","5"))))</f>
        <v>5</v>
      </c>
      <c r="K15" s="98" t="str">
        <f>IF(CAELS!L10&lt;60%,"1",IF(CAELS!L10&lt;70%,"2",IF(CAELS!L10&lt;80%,"3",IF(CAELS!L10&lt;90%,"4","5"))))</f>
        <v>2</v>
      </c>
      <c r="L15" s="98" t="str">
        <f>IF(CAELS!M10&lt;60%,"1",IF(CAELS!M10&lt;70%,"2",IF(CAELS!M10&lt;80%,"3",IF(CAELS!M10&lt;90%,"4","5"))))</f>
        <v>2</v>
      </c>
      <c r="M15" s="98" t="str">
        <f>IF(CAELS!N10&lt;60%,"1",IF(CAELS!N10&lt;70%,"2",IF(CAELS!N10&lt;80%,"3",IF(CAELS!N10&lt;90%,"4","5"))))</f>
        <v>2</v>
      </c>
      <c r="N15" s="98" t="str">
        <f>IF(CAELS!O10&lt;60%,"1",IF(CAELS!O10&lt;70%,"2",IF(CAELS!O10&lt;80%,"3",IF(CAELS!O10&lt;90%,"4","5"))))</f>
        <v>2</v>
      </c>
      <c r="O15" s="98" t="str">
        <f>IF(CAELS!P10&lt;60%,"1",IF(CAELS!P10&lt;70%,"2",IF(CAELS!P10&lt;80%,"3",IF(CAELS!P10&lt;90%,"4","5"))))</f>
        <v>1</v>
      </c>
      <c r="P15" s="98" t="str">
        <f>IF(CAELS!Q10&lt;60%,"1",IF(CAELS!Q10&lt;70%,"2",IF(CAELS!Q10&lt;80%,"3",IF(CAELS!Q10&lt;90%,"4","5"))))</f>
        <v>2</v>
      </c>
      <c r="Q15" s="98" t="str">
        <f>IF(CAELS!R10&lt;60%,"1",IF(CAELS!R10&lt;70%,"2",IF(CAELS!R10&lt;80%,"3",IF(CAELS!R10&lt;90%,"4","5"))))</f>
        <v>1</v>
      </c>
      <c r="R15" s="98" t="str">
        <f>IF(CAELS!S10&lt;60%,"1",IF(CAELS!S10&lt;70%,"2",IF(CAELS!S10&lt;80%,"3",IF(CAELS!S10&lt;90%,"4","5"))))</f>
        <v>1</v>
      </c>
      <c r="S15" s="98" t="str">
        <f>IF(CAELS!T10&lt;60%,"1",IF(CAELS!T10&lt;70%,"2",IF(CAELS!T10&lt;80%,"3",IF(CAELS!T10&lt;90%,"4","5"))))</f>
        <v>1</v>
      </c>
      <c r="T15" s="98" t="str">
        <f>IF(CAELS!U10&lt;60%,"1",IF(CAELS!U10&lt;70%,"2",IF(CAELS!U10&lt;80%,"3",IF(CAELS!U10&lt;90%,"4","5"))))</f>
        <v>1</v>
      </c>
      <c r="U15" s="98" t="str">
        <f>IF(CAELS!V10&lt;60%,"1",IF(CAELS!V10&lt;70%,"2",IF(CAELS!V10&lt;80%,"3",IF(CAELS!V10&lt;90%,"4","5"))))</f>
        <v>4</v>
      </c>
      <c r="V15" s="98" t="str">
        <f>IF(CAELS!W10&lt;60%,"1",IF(CAELS!W10&lt;70%,"2",IF(CAELS!W10&lt;80%,"3",IF(CAELS!W10&lt;90%,"4","5"))))</f>
        <v>4</v>
      </c>
      <c r="W15" s="98" t="str">
        <f>IF(CAELS!X10&lt;60%,"1",IF(CAELS!X10&lt;70%,"2",IF(CAELS!X10&lt;80%,"3",IF(CAELS!X10&lt;90%,"4","5"))))</f>
        <v>1</v>
      </c>
      <c r="X15" s="98" t="str">
        <f>IF(CAELS!Y10&lt;60%,"1",IF(CAELS!Y10&lt;70%,"2",IF(CAELS!Y10&lt;80%,"3",IF(CAELS!Y10&lt;90%,"4","5"))))</f>
        <v>1</v>
      </c>
      <c r="Y15" s="98" t="str">
        <f>IF(CAELS!Z10&lt;60%,"1",IF(CAELS!Z10&lt;70%,"2",IF(CAELS!Z10&lt;80%,"3",IF(CAELS!Z10&lt;90%,"4","5"))))</f>
        <v>2</v>
      </c>
      <c r="Z15" s="98" t="str">
        <f>IF(CAELS!AA10&lt;60%,"1",IF(CAELS!AA10&lt;70%,"2",IF(CAELS!AA10&lt;80%,"3",IF(CAELS!AA10&lt;90%,"4","5"))))</f>
        <v>3</v>
      </c>
      <c r="AA15" s="98" t="str">
        <f>IF(CAELS!AB10&lt;60%,"1",IF(CAELS!AB10&lt;70%,"2",IF(CAELS!AB10&lt;80%,"3",IF(CAELS!AB10&lt;90%,"4","5"))))</f>
        <v>3</v>
      </c>
      <c r="AB15" s="98" t="str">
        <f>IF(CAELS!AC10&lt;60%,"1",IF(CAELS!AC10&lt;70%,"2",IF(CAELS!AC10&lt;80%,"3",IF(CAELS!AC10&lt;90%,"4","5"))))</f>
        <v>1</v>
      </c>
      <c r="AC15" s="98" t="str">
        <f>IF(CAELS!AD10&lt;60%,"1",IF(CAELS!AD10&lt;70%,"2",IF(CAELS!AD10&lt;80%,"3",IF(CAELS!AD10&lt;90%,"4","5"))))</f>
        <v>1</v>
      </c>
      <c r="AD15" s="98" t="str">
        <f>IF(CAELS!AE10&lt;60%,"1",IF(CAELS!AE10&lt;70%,"2",IF(CAELS!AE10&lt;80%,"3",IF(CAELS!AE10&lt;90%,"4","5"))))</f>
        <v>1</v>
      </c>
      <c r="AE15" s="98" t="str">
        <f>IF(CAELS!AF10&lt;60%,"1",IF(CAELS!AF10&lt;70%,"2",IF(CAELS!AF10&lt;80%,"3",IF(CAELS!AF10&lt;90%,"4","5"))))</f>
        <v>1</v>
      </c>
      <c r="AF15" s="98" t="str">
        <f>IF(CAELS!AG10&lt;60%,"1",IF(CAELS!AG10&lt;70%,"2",IF(CAELS!AG10&lt;80%,"3",IF(CAELS!AG10&lt;90%,"4","5"))))</f>
        <v>1</v>
      </c>
    </row>
    <row r="16" spans="1:38">
      <c r="A16" s="46" t="s">
        <v>223</v>
      </c>
      <c r="B16" s="2"/>
      <c r="C16" s="95" t="str">
        <f>IF(CAELS!D11&lt;4%,"1",IF(CAELS!D11&lt;6%,"2",IF(CAELS!D11&lt;8%,"3",IF(CAELS!D11&lt;10%,"4","5"))))</f>
        <v>5</v>
      </c>
      <c r="D16" s="95" t="str">
        <f>IF(CAELS!E11&lt;4%,"1",IF(CAELS!E11&lt;6%,"2",IF(CAELS!E11&lt;8%,"3",IF(CAELS!E11&lt;10%,"4","5"))))</f>
        <v>5</v>
      </c>
      <c r="E16" s="95" t="str">
        <f>IF(CAELS!F11&lt;4%,"1",IF(CAELS!F11&lt;6%,"2",IF(CAELS!F11&lt;8%,"3",IF(CAELS!F11&lt;10%,"4","5"))))</f>
        <v>5</v>
      </c>
      <c r="F16" s="95" t="str">
        <f>IF(CAELS!G11&lt;4%,"1",IF(CAELS!G11&lt;6%,"2",IF(CAELS!G11&lt;8%,"3",IF(CAELS!G11&lt;10%,"4","5"))))</f>
        <v>5</v>
      </c>
      <c r="G16" s="95" t="str">
        <f>IF(CAELS!H11&lt;4%,"1",IF(CAELS!H11&lt;6%,"2",IF(CAELS!H11&lt;8%,"3",IF(CAELS!H11&lt;10%,"4","5"))))</f>
        <v>5</v>
      </c>
      <c r="H16" s="95" t="str">
        <f>IF(CAELS!I11&lt;4%,"1",IF(CAELS!I11&lt;6%,"2",IF(CAELS!I11&lt;8%,"3",IF(CAELS!I11&lt;10%,"4","5"))))</f>
        <v>5</v>
      </c>
      <c r="I16" s="95" t="str">
        <f>IF(CAELS!J11&lt;4%,"1",IF(CAELS!J11&lt;6%,"2",IF(CAELS!J11&lt;8%,"3",IF(CAELS!J11&lt;10%,"4","5"))))</f>
        <v>5</v>
      </c>
      <c r="J16" s="95" t="str">
        <f>IF(CAELS!K11&lt;4%,"1",IF(CAELS!K11&lt;6%,"2",IF(CAELS!K11&lt;8%,"3",IF(CAELS!K11&lt;10%,"4","5"))))</f>
        <v>1</v>
      </c>
      <c r="K16" s="95" t="str">
        <f>IF(CAELS!L11&lt;4%,"1",IF(CAELS!L11&lt;6%,"2",IF(CAELS!L11&lt;8%,"3",IF(CAELS!L11&lt;10%,"4","5"))))</f>
        <v>1</v>
      </c>
      <c r="L16" s="95" t="str">
        <f>IF(CAELS!M11&lt;4%,"1",IF(CAELS!M11&lt;6%,"2",IF(CAELS!M11&lt;8%,"3",IF(CAELS!M11&lt;10%,"4","5"))))</f>
        <v>1</v>
      </c>
      <c r="M16" s="95" t="str">
        <f>IF(CAELS!N11&lt;4%,"1",IF(CAELS!N11&lt;6%,"2",IF(CAELS!N11&lt;8%,"3",IF(CAELS!N11&lt;10%,"4","5"))))</f>
        <v>1</v>
      </c>
      <c r="N16" s="95" t="str">
        <f>IF(CAELS!O11&lt;4%,"1",IF(CAELS!O11&lt;6%,"2",IF(CAELS!O11&lt;8%,"3",IF(CAELS!O11&lt;10%,"4","5"))))</f>
        <v>2</v>
      </c>
      <c r="O16" s="95" t="str">
        <f>IF(CAELS!P11&lt;4%,"1",IF(CAELS!P11&lt;6%,"2",IF(CAELS!P11&lt;8%,"3",IF(CAELS!P11&lt;10%,"4","5"))))</f>
        <v>2</v>
      </c>
      <c r="P16" s="95" t="str">
        <f>IF(CAELS!Q11&lt;4%,"1",IF(CAELS!Q11&lt;6%,"2",IF(CAELS!Q11&lt;8%,"3",IF(CAELS!Q11&lt;10%,"4","5"))))</f>
        <v>3</v>
      </c>
      <c r="Q16" s="95" t="str">
        <f>IF(CAELS!R11&lt;4%,"1",IF(CAELS!R11&lt;6%,"2",IF(CAELS!R11&lt;8%,"3",IF(CAELS!R11&lt;10%,"4","5"))))</f>
        <v>3</v>
      </c>
      <c r="R16" s="95" t="str">
        <f>IF(CAELS!S11&lt;4%,"1",IF(CAELS!S11&lt;6%,"2",IF(CAELS!S11&lt;8%,"3",IF(CAELS!S11&lt;10%,"4","5"))))</f>
        <v>4</v>
      </c>
      <c r="S16" s="95" t="str">
        <f>IF(CAELS!T11&lt;4%,"1",IF(CAELS!T11&lt;6%,"2",IF(CAELS!T11&lt;8%,"3",IF(CAELS!T11&lt;10%,"4","5"))))</f>
        <v>4</v>
      </c>
      <c r="T16" s="95" t="str">
        <f>IF(CAELS!U11&lt;4%,"1",IF(CAELS!U11&lt;6%,"2",IF(CAELS!U11&lt;8%,"3",IF(CAELS!U11&lt;10%,"4","5"))))</f>
        <v>4</v>
      </c>
      <c r="U16" s="95" t="str">
        <f>IF(CAELS!V11&lt;4%,"1",IF(CAELS!V11&lt;6%,"2",IF(CAELS!V11&lt;8%,"3",IF(CAELS!V11&lt;10%,"4","5"))))</f>
        <v>5</v>
      </c>
      <c r="V16" s="95" t="str">
        <f>IF(CAELS!W11&lt;4%,"1",IF(CAELS!W11&lt;6%,"2",IF(CAELS!W11&lt;8%,"3",IF(CAELS!W11&lt;10%,"4","5"))))</f>
        <v>5</v>
      </c>
      <c r="W16" s="95" t="str">
        <f>IF(CAELS!X11&lt;4%,"1",IF(CAELS!X11&lt;6%,"2",IF(CAELS!X11&lt;8%,"3",IF(CAELS!X11&lt;10%,"4","5"))))</f>
        <v>1</v>
      </c>
      <c r="X16" s="95" t="str">
        <f>IF(CAELS!Y11&lt;4%,"1",IF(CAELS!Y11&lt;6%,"2",IF(CAELS!Y11&lt;8%,"3",IF(CAELS!Y11&lt;10%,"4","5"))))</f>
        <v>1</v>
      </c>
      <c r="Y16" s="95" t="str">
        <f>IF(CAELS!Z11&lt;4%,"1",IF(CAELS!Z11&lt;6%,"2",IF(CAELS!Z11&lt;8%,"3",IF(CAELS!Z11&lt;10%,"4","5"))))</f>
        <v>1</v>
      </c>
      <c r="Z16" s="95" t="str">
        <f>IF(CAELS!AA11&lt;4%,"1",IF(CAELS!AA11&lt;6%,"2",IF(CAELS!AA11&lt;8%,"3",IF(CAELS!AA11&lt;10%,"4","5"))))</f>
        <v>2</v>
      </c>
      <c r="AA16" s="95" t="str">
        <f>IF(CAELS!AB11&lt;4%,"1",IF(CAELS!AB11&lt;6%,"2",IF(CAELS!AB11&lt;8%,"3",IF(CAELS!AB11&lt;10%,"4","5"))))</f>
        <v>2</v>
      </c>
      <c r="AB16" s="95" t="str">
        <f>IF(CAELS!AC11&lt;4%,"1",IF(CAELS!AC11&lt;6%,"2",IF(CAELS!AC11&lt;8%,"3",IF(CAELS!AC11&lt;10%,"4","5"))))</f>
        <v>2</v>
      </c>
      <c r="AC16" s="95" t="str">
        <f>IF(CAELS!AD11&lt;4%,"1",IF(CAELS!AD11&lt;6%,"2",IF(CAELS!AD11&lt;8%,"3",IF(CAELS!AD11&lt;10%,"4","5"))))</f>
        <v>3</v>
      </c>
      <c r="AD16" s="95" t="str">
        <f>IF(CAELS!AE11&lt;4%,"1",IF(CAELS!AE11&lt;6%,"2",IF(CAELS!AE11&lt;8%,"3",IF(CAELS!AE11&lt;10%,"4","5"))))</f>
        <v>3</v>
      </c>
      <c r="AE16" s="95" t="str">
        <f>IF(CAELS!AF11&lt;4%,"1",IF(CAELS!AF11&lt;6%,"2",IF(CAELS!AF11&lt;8%,"3",IF(CAELS!AF11&lt;10%,"4","5"))))</f>
        <v>4</v>
      </c>
      <c r="AF16" s="95" t="str">
        <f>IF(CAELS!AG11&lt;4%,"1",IF(CAELS!AG11&lt;6%,"2",IF(CAELS!AG11&lt;8%,"3",IF(CAELS!AG11&lt;10%,"4","5"))))</f>
        <v>4</v>
      </c>
    </row>
    <row r="17" spans="1:32">
      <c r="A17" s="46"/>
      <c r="B17" s="2"/>
      <c r="C17" s="107">
        <f t="shared" ref="C17:K17" si="5">(C14+C15+C16)/3</f>
        <v>2.3333333333333335</v>
      </c>
      <c r="D17" s="107">
        <f t="shared" si="5"/>
        <v>3</v>
      </c>
      <c r="E17" s="107">
        <f t="shared" si="5"/>
        <v>3.6666666666666665</v>
      </c>
      <c r="F17" s="107">
        <f t="shared" si="5"/>
        <v>3.3333333333333335</v>
      </c>
      <c r="G17" s="107">
        <f t="shared" si="5"/>
        <v>3.3333333333333335</v>
      </c>
      <c r="H17" s="107">
        <f t="shared" si="5"/>
        <v>3</v>
      </c>
      <c r="I17" s="107">
        <f t="shared" si="5"/>
        <v>4</v>
      </c>
      <c r="J17" s="107">
        <f t="shared" si="5"/>
        <v>3.6666666666666665</v>
      </c>
      <c r="K17" s="107">
        <f t="shared" si="5"/>
        <v>2.3333333333333335</v>
      </c>
      <c r="L17" s="107">
        <f t="shared" ref="L17:AF17" si="6">(L14+L15+L16)/3</f>
        <v>2.3333333333333335</v>
      </c>
      <c r="M17" s="107">
        <f t="shared" si="6"/>
        <v>2.3333333333333335</v>
      </c>
      <c r="N17" s="107">
        <f t="shared" si="6"/>
        <v>2.6666666666666665</v>
      </c>
      <c r="O17" s="107">
        <f t="shared" si="6"/>
        <v>2</v>
      </c>
      <c r="P17" s="107">
        <f t="shared" si="6"/>
        <v>2.6666666666666665</v>
      </c>
      <c r="Q17" s="107">
        <f t="shared" si="6"/>
        <v>2.3333333333333335</v>
      </c>
      <c r="R17" s="107">
        <f t="shared" si="6"/>
        <v>2.3333333333333335</v>
      </c>
      <c r="S17" s="107">
        <f t="shared" si="6"/>
        <v>2.3333333333333335</v>
      </c>
      <c r="T17" s="107">
        <f t="shared" si="6"/>
        <v>2</v>
      </c>
      <c r="U17" s="107">
        <f t="shared" si="6"/>
        <v>4</v>
      </c>
      <c r="V17" s="107">
        <f t="shared" si="6"/>
        <v>4</v>
      </c>
      <c r="W17" s="107">
        <f t="shared" si="6"/>
        <v>2</v>
      </c>
      <c r="X17" s="107">
        <f t="shared" si="6"/>
        <v>2</v>
      </c>
      <c r="Y17" s="107">
        <f t="shared" si="6"/>
        <v>2.3333333333333335</v>
      </c>
      <c r="Z17" s="107">
        <f t="shared" si="6"/>
        <v>3</v>
      </c>
      <c r="AA17" s="107">
        <f t="shared" si="6"/>
        <v>3</v>
      </c>
      <c r="AB17" s="107">
        <f t="shared" si="6"/>
        <v>2</v>
      </c>
      <c r="AC17" s="107">
        <f t="shared" si="6"/>
        <v>2.3333333333333335</v>
      </c>
      <c r="AD17" s="107">
        <f t="shared" si="6"/>
        <v>2.3333333333333335</v>
      </c>
      <c r="AE17" s="107">
        <f t="shared" si="6"/>
        <v>2.3333333333333335</v>
      </c>
      <c r="AF17" s="107">
        <f t="shared" si="6"/>
        <v>2.3333333333333335</v>
      </c>
    </row>
    <row r="18" spans="1:32">
      <c r="A18" s="90" t="s">
        <v>128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</row>
    <row r="19" spans="1:32">
      <c r="A19" s="46" t="s">
        <v>224</v>
      </c>
      <c r="B19" s="99">
        <v>0.15</v>
      </c>
      <c r="C19" s="95" t="str">
        <f>IF(CAELS!D12&gt;30%,"1",IF(CAELS!D12&gt;25%,"2",IF(CAELS!D12&gt;20%,"3",IF(CAELS!D12&gt;15%,"4","5"))))</f>
        <v>1</v>
      </c>
      <c r="D19" s="95" t="str">
        <f>IF(CAELS!E12&gt;30%,"1",IF(CAELS!E12&gt;25%,"2",IF(CAELS!E12&gt;20%,"3",IF(CAELS!E12&gt;15%,"4","5"))))</f>
        <v>5</v>
      </c>
      <c r="E19" s="95" t="str">
        <f>IF(CAELS!F12&gt;30%,"1",IF(CAELS!F12&gt;25%,"2",IF(CAELS!F12&gt;20%,"3",IF(CAELS!F12&gt;15%,"4","5"))))</f>
        <v>5</v>
      </c>
      <c r="F19" s="95" t="str">
        <f>IF(CAELS!G12&gt;30%,"1",IF(CAELS!G12&gt;25%,"2",IF(CAELS!G12&gt;20%,"3",IF(CAELS!G12&gt;15%,"4","5"))))</f>
        <v>5</v>
      </c>
      <c r="G19" s="95" t="str">
        <f>IF(CAELS!H12&gt;30%,"1",IF(CAELS!H12&gt;25%,"2",IF(CAELS!H12&gt;20%,"3",IF(CAELS!H12&gt;15%,"4","5"))))</f>
        <v>1</v>
      </c>
      <c r="H19" s="95" t="str">
        <f>IF(CAELS!I12&gt;30%,"1",IF(CAELS!I12&gt;25%,"2",IF(CAELS!I12&gt;20%,"3",IF(CAELS!I12&gt;15%,"4","5"))))</f>
        <v>1</v>
      </c>
      <c r="I19" s="95" t="str">
        <f>IF(CAELS!J12&gt;30%,"1",IF(CAELS!J12&gt;25%,"2",IF(CAELS!J12&gt;20%,"3",IF(CAELS!J12&gt;15%,"4","5"))))</f>
        <v>2</v>
      </c>
      <c r="J19" s="95" t="str">
        <f>IF(CAELS!K12&gt;30%,"1",IF(CAELS!K12&gt;25%,"2",IF(CAELS!K12&gt;20%,"3",IF(CAELS!K12&gt;15%,"4","5"))))</f>
        <v>4</v>
      </c>
      <c r="K19" s="95" t="str">
        <f>IF(CAELS!L12&gt;30%,"1",IF(CAELS!L12&gt;25%,"2",IF(CAELS!L12&gt;20%,"3",IF(CAELS!L12&gt;15%,"4","5"))))</f>
        <v>1</v>
      </c>
      <c r="L19" s="95" t="str">
        <f>IF(CAELS!M12&gt;30%,"1",IF(CAELS!M12&gt;25%,"2",IF(CAELS!M12&gt;20%,"3",IF(CAELS!M12&gt;15%,"4","5"))))</f>
        <v>1</v>
      </c>
      <c r="M19" s="95" t="str">
        <f>IF(CAELS!N12&gt;30%,"1",IF(CAELS!N12&gt;25%,"2",IF(CAELS!N12&gt;20%,"3",IF(CAELS!N12&gt;15%,"4","5"))))</f>
        <v>4</v>
      </c>
      <c r="N19" s="95" t="str">
        <f>IF(CAELS!O12&gt;30%,"1",IF(CAELS!O12&gt;25%,"2",IF(CAELS!O12&gt;20%,"3",IF(CAELS!O12&gt;15%,"4","5"))))</f>
        <v>1</v>
      </c>
      <c r="O19" s="95" t="str">
        <f>IF(CAELS!P12&gt;30%,"1",IF(CAELS!P12&gt;25%,"2",IF(CAELS!P12&gt;20%,"3",IF(CAELS!P12&gt;15%,"4","5"))))</f>
        <v>1</v>
      </c>
      <c r="P19" s="95" t="str">
        <f>IF(CAELS!Q12&gt;30%,"1",IF(CAELS!Q12&gt;25%,"2",IF(CAELS!Q12&gt;20%,"3",IF(CAELS!Q12&gt;15%,"4","5"))))</f>
        <v>1</v>
      </c>
      <c r="Q19" s="95" t="str">
        <f>IF(CAELS!R12&gt;30%,"1",IF(CAELS!R12&gt;25%,"2",IF(CAELS!R12&gt;20%,"3",IF(CAELS!R12&gt;15%,"4","5"))))</f>
        <v>3</v>
      </c>
      <c r="R19" s="95" t="str">
        <f>IF(CAELS!S12&gt;30%,"1",IF(CAELS!S12&gt;25%,"2",IF(CAELS!S12&gt;20%,"3",IF(CAELS!S12&gt;15%,"4","5"))))</f>
        <v>1</v>
      </c>
      <c r="S19" s="95" t="str">
        <f>IF(CAELS!T12&gt;30%,"1",IF(CAELS!T12&gt;25%,"2",IF(CAELS!T12&gt;20%,"3",IF(CAELS!T12&gt;15%,"4","5"))))</f>
        <v>1</v>
      </c>
      <c r="T19" s="95" t="str">
        <f>IF(CAELS!U12&gt;30%,"1",IF(CAELS!U12&gt;25%,"2",IF(CAELS!U12&gt;20%,"3",IF(CAELS!U12&gt;15%,"4","5"))))</f>
        <v>1</v>
      </c>
      <c r="U19" s="95" t="str">
        <f>IF(CAELS!V12&gt;30%,"1",IF(CAELS!V12&gt;25%,"2",IF(CAELS!V12&gt;20%,"3",IF(CAELS!V12&gt;15%,"4","5"))))</f>
        <v>1</v>
      </c>
      <c r="V19" s="95" t="str">
        <f>IF(CAELS!W12&gt;30%,"1",IF(CAELS!W12&gt;25%,"2",IF(CAELS!W12&gt;20%,"3",IF(CAELS!W12&gt;15%,"4","5"))))</f>
        <v>2</v>
      </c>
      <c r="W19" s="95" t="str">
        <f>IF(CAELS!X12&gt;30%,"1",IF(CAELS!X12&gt;25%,"2",IF(CAELS!X12&gt;20%,"3",IF(CAELS!X12&gt;15%,"4","5"))))</f>
        <v>1</v>
      </c>
      <c r="X19" s="95" t="str">
        <f>IF(CAELS!Y12&gt;30%,"1",IF(CAELS!Y12&gt;25%,"2",IF(CAELS!Y12&gt;20%,"3",IF(CAELS!Y12&gt;15%,"4","5"))))</f>
        <v>1</v>
      </c>
      <c r="Y19" s="95" t="str">
        <f>IF(CAELS!Z12&gt;30%,"1",IF(CAELS!Z12&gt;25%,"2",IF(CAELS!Z12&gt;20%,"3",IF(CAELS!Z12&gt;15%,"4","5"))))</f>
        <v>1</v>
      </c>
      <c r="Z19" s="95" t="str">
        <f>IF(CAELS!AA12&gt;30%,"1",IF(CAELS!AA12&gt;25%,"2",IF(CAELS!AA12&gt;20%,"3",IF(CAELS!AA12&gt;15%,"4","5"))))</f>
        <v>1</v>
      </c>
      <c r="AA19" s="95" t="str">
        <f>IF(CAELS!AB12&gt;30%,"1",IF(CAELS!AB12&gt;25%,"2",IF(CAELS!AB12&gt;20%,"3",IF(CAELS!AB12&gt;15%,"4","5"))))</f>
        <v>2</v>
      </c>
      <c r="AB19" s="95" t="str">
        <f>IF(CAELS!AC12&gt;30%,"1",IF(CAELS!AC12&gt;25%,"2",IF(CAELS!AC12&gt;20%,"3",IF(CAELS!AC12&gt;15%,"4","5"))))</f>
        <v>1</v>
      </c>
      <c r="AC19" s="95" t="str">
        <f>IF(CAELS!AD12&gt;30%,"1",IF(CAELS!AD12&gt;25%,"2",IF(CAELS!AD12&gt;20%,"3",IF(CAELS!AD12&gt;15%,"4","5"))))</f>
        <v>1</v>
      </c>
      <c r="AD19" s="95" t="str">
        <f>IF(CAELS!AE12&gt;30%,"1",IF(CAELS!AE12&gt;25%,"2",IF(CAELS!AE12&gt;20%,"3",IF(CAELS!AE12&gt;15%,"4","5"))))</f>
        <v>1</v>
      </c>
      <c r="AE19" s="95" t="str">
        <f>IF(CAELS!AF12&gt;30%,"1",IF(CAELS!AF12&gt;25%,"2",IF(CAELS!AF12&gt;20%,"3",IF(CAELS!AF12&gt;15%,"4","5"))))</f>
        <v>1</v>
      </c>
      <c r="AF19" s="95" t="str">
        <f>IF(CAELS!AG12&gt;30%,"1",IF(CAELS!AG12&gt;25%,"2",IF(CAELS!AG12&gt;20%,"3",IF(CAELS!AG12&gt;15%,"4","5"))))</f>
        <v>1</v>
      </c>
    </row>
    <row r="20" spans="1:32">
      <c r="A20" s="46" t="s">
        <v>225</v>
      </c>
      <c r="B20" s="99"/>
      <c r="C20" s="95" t="str">
        <f>IF(CAELS!D13&gt;30%,"1",IF(CAELS!D13&gt;25%,"2",IF(CAELS!D13&gt;20%,"3",IF(CAELS!D13&gt;15%,"4","5"))))</f>
        <v>3</v>
      </c>
      <c r="D20" s="95" t="str">
        <f>IF(CAELS!E13&gt;30%,"1",IF(CAELS!E13&gt;25%,"2",IF(CAELS!E13&gt;20%,"3",IF(CAELS!E13&gt;15%,"4","5"))))</f>
        <v>5</v>
      </c>
      <c r="E20" s="95" t="str">
        <f>IF(CAELS!F13&gt;30%,"1",IF(CAELS!F13&gt;25%,"2",IF(CAELS!F13&gt;20%,"3",IF(CAELS!F13&gt;15%,"4","5"))))</f>
        <v>5</v>
      </c>
      <c r="F20" s="95" t="str">
        <f>IF(CAELS!G13&gt;30%,"1",IF(CAELS!G13&gt;25%,"2",IF(CAELS!G13&gt;20%,"3",IF(CAELS!G13&gt;15%,"4","5"))))</f>
        <v>5</v>
      </c>
      <c r="G20" s="95" t="str">
        <f>IF(CAELS!H13&gt;30%,"1",IF(CAELS!H13&gt;25%,"2",IF(CAELS!H13&gt;20%,"3",IF(CAELS!H13&gt;15%,"4","5"))))</f>
        <v>5</v>
      </c>
      <c r="H20" s="95" t="str">
        <f>IF(CAELS!I13&gt;30%,"1",IF(CAELS!I13&gt;25%,"2",IF(CAELS!I13&gt;20%,"3",IF(CAELS!I13&gt;15%,"4","5"))))</f>
        <v>4</v>
      </c>
      <c r="I20" s="95" t="str">
        <f>IF(CAELS!J13&gt;30%,"1",IF(CAELS!J13&gt;25%,"2",IF(CAELS!J13&gt;20%,"3",IF(CAELS!J13&gt;15%,"4","5"))))</f>
        <v>5</v>
      </c>
      <c r="J20" s="95" t="str">
        <f>IF(CAELS!K13&gt;30%,"1",IF(CAELS!K13&gt;25%,"2",IF(CAELS!K13&gt;20%,"3",IF(CAELS!K13&gt;15%,"4","5"))))</f>
        <v>5</v>
      </c>
      <c r="K20" s="95" t="str">
        <f>IF(CAELS!L13&gt;30%,"1",IF(CAELS!L13&gt;25%,"2",IF(CAELS!L13&gt;20%,"3",IF(CAELS!L13&gt;15%,"4","5"))))</f>
        <v>5</v>
      </c>
      <c r="L20" s="95" t="str">
        <f>IF(CAELS!M13&gt;30%,"1",IF(CAELS!M13&gt;25%,"2",IF(CAELS!M13&gt;20%,"3",IF(CAELS!M13&gt;15%,"4","5"))))</f>
        <v>5</v>
      </c>
      <c r="M20" s="95" t="str">
        <f>IF(CAELS!N13&gt;30%,"1",IF(CAELS!N13&gt;25%,"2",IF(CAELS!N13&gt;20%,"3",IF(CAELS!N13&gt;15%,"4","5"))))</f>
        <v>5</v>
      </c>
      <c r="N20" s="95" t="str">
        <f>IF(CAELS!O13&gt;30%,"1",IF(CAELS!O13&gt;25%,"2",IF(CAELS!O13&gt;20%,"3",IF(CAELS!O13&gt;15%,"4","5"))))</f>
        <v>5</v>
      </c>
      <c r="O20" s="95" t="str">
        <f>IF(CAELS!P13&gt;30%,"1",IF(CAELS!P13&gt;25%,"2",IF(CAELS!P13&gt;20%,"3",IF(CAELS!P13&gt;15%,"4","5"))))</f>
        <v>5</v>
      </c>
      <c r="P20" s="95" t="str">
        <f>IF(CAELS!Q13&gt;30%,"1",IF(CAELS!Q13&gt;25%,"2",IF(CAELS!Q13&gt;20%,"3",IF(CAELS!Q13&gt;15%,"4","5"))))</f>
        <v>5</v>
      </c>
      <c r="Q20" s="95" t="str">
        <f>IF(CAELS!R13&gt;30%,"1",IF(CAELS!R13&gt;25%,"2",IF(CAELS!R13&gt;20%,"3",IF(CAELS!R13&gt;15%,"4","5"))))</f>
        <v>5</v>
      </c>
      <c r="R20" s="95" t="str">
        <f>IF(CAELS!S13&gt;30%,"1",IF(CAELS!S13&gt;25%,"2",IF(CAELS!S13&gt;20%,"3",IF(CAELS!S13&gt;15%,"4","5"))))</f>
        <v>5</v>
      </c>
      <c r="S20" s="95" t="str">
        <f>IF(CAELS!T13&gt;30%,"1",IF(CAELS!T13&gt;25%,"2",IF(CAELS!T13&gt;20%,"3",IF(CAELS!T13&gt;15%,"4","5"))))</f>
        <v>5</v>
      </c>
      <c r="T20" s="95" t="str">
        <f>IF(CAELS!U13&gt;30%,"1",IF(CAELS!U13&gt;25%,"2",IF(CAELS!U13&gt;20%,"3",IF(CAELS!U13&gt;15%,"4","5"))))</f>
        <v>5</v>
      </c>
      <c r="U20" s="95" t="str">
        <f>IF(CAELS!V13&gt;30%,"1",IF(CAELS!V13&gt;25%,"2",IF(CAELS!V13&gt;20%,"3",IF(CAELS!V13&gt;15%,"4","5"))))</f>
        <v>5</v>
      </c>
      <c r="V20" s="95" t="str">
        <f>IF(CAELS!W13&gt;30%,"1",IF(CAELS!W13&gt;25%,"2",IF(CAELS!W13&gt;20%,"3",IF(CAELS!W13&gt;15%,"4","5"))))</f>
        <v>5</v>
      </c>
      <c r="W20" s="95" t="str">
        <f>IF(CAELS!X13&gt;30%,"1",IF(CAELS!X13&gt;25%,"2",IF(CAELS!X13&gt;20%,"3",IF(CAELS!X13&gt;15%,"4","5"))))</f>
        <v>5</v>
      </c>
      <c r="X20" s="95" t="str">
        <f>IF(CAELS!Y13&gt;30%,"1",IF(CAELS!Y13&gt;25%,"2",IF(CAELS!Y13&gt;20%,"3",IF(CAELS!Y13&gt;15%,"4","5"))))</f>
        <v>5</v>
      </c>
      <c r="Y20" s="95" t="str">
        <f>IF(CAELS!Z13&gt;30%,"1",IF(CAELS!Z13&gt;25%,"2",IF(CAELS!Z13&gt;20%,"3",IF(CAELS!Z13&gt;15%,"4","5"))))</f>
        <v>5</v>
      </c>
      <c r="Z20" s="95" t="str">
        <f>IF(CAELS!AA13&gt;30%,"1",IF(CAELS!AA13&gt;25%,"2",IF(CAELS!AA13&gt;20%,"3",IF(CAELS!AA13&gt;15%,"4","5"))))</f>
        <v>5</v>
      </c>
      <c r="AA20" s="95" t="str">
        <f>IF(CAELS!AB13&gt;30%,"1",IF(CAELS!AB13&gt;25%,"2",IF(CAELS!AB13&gt;20%,"3",IF(CAELS!AB13&gt;15%,"4","5"))))</f>
        <v>5</v>
      </c>
      <c r="AB20" s="95" t="str">
        <f>IF(CAELS!AC13&gt;30%,"1",IF(CAELS!AC13&gt;25%,"2",IF(CAELS!AC13&gt;20%,"3",IF(CAELS!AC13&gt;15%,"4","5"))))</f>
        <v>5</v>
      </c>
      <c r="AC20" s="95" t="str">
        <f>IF(CAELS!AD13&gt;30%,"1",IF(CAELS!AD13&gt;25%,"2",IF(CAELS!AD13&gt;20%,"3",IF(CAELS!AD13&gt;15%,"4","5"))))</f>
        <v>5</v>
      </c>
      <c r="AD20" s="95" t="str">
        <f>IF(CAELS!AE13&gt;30%,"1",IF(CAELS!AE13&gt;25%,"2",IF(CAELS!AE13&gt;20%,"3",IF(CAELS!AE13&gt;15%,"4","5"))))</f>
        <v>5</v>
      </c>
      <c r="AE20" s="95" t="str">
        <f>IF(CAELS!AF13&gt;30%,"1",IF(CAELS!AF13&gt;25%,"2",IF(CAELS!AF13&gt;20%,"3",IF(CAELS!AF13&gt;15%,"4","5"))))</f>
        <v>5</v>
      </c>
      <c r="AF20" s="95" t="str">
        <f>IF(CAELS!AG13&gt;30%,"1",IF(CAELS!AG13&gt;25%,"2",IF(CAELS!AG13&gt;20%,"3",IF(CAELS!AG13&gt;15%,"4","5"))))</f>
        <v>5</v>
      </c>
    </row>
    <row r="21" spans="1:32">
      <c r="A21" s="46" t="s">
        <v>226</v>
      </c>
      <c r="B21" s="93" t="s">
        <v>227</v>
      </c>
      <c r="C21" s="95" t="str">
        <f>IF(CAELS!D14&lt;15%,"1",IF(CAELS!D14&lt;18%,"2",IF(CAELS!D14&lt;22%,"3",IF(CAELS!D14&lt;25%,"4","5"))))</f>
        <v>4</v>
      </c>
      <c r="D21" s="95" t="str">
        <f>IF(CAELS!E14&lt;15%,"1",IF(CAELS!E14&lt;18%,"2",IF(CAELS!E14&lt;22%,"3",IF(CAELS!E14&lt;25%,"4","5"))))</f>
        <v>2</v>
      </c>
      <c r="E21" s="95" t="str">
        <f>IF(CAELS!F14&lt;15%,"1",IF(CAELS!F14&lt;18%,"2",IF(CAELS!F14&lt;22%,"3",IF(CAELS!F14&lt;25%,"4","5"))))</f>
        <v>2</v>
      </c>
      <c r="F21" s="95" t="str">
        <f>IF(CAELS!G14&lt;15%,"1",IF(CAELS!G14&lt;18%,"2",IF(CAELS!G14&lt;22%,"3",IF(CAELS!G14&lt;25%,"4","5"))))</f>
        <v>1</v>
      </c>
      <c r="G21" s="95" t="str">
        <f>IF(CAELS!H14&lt;15%,"1",IF(CAELS!H14&lt;18%,"2",IF(CAELS!H14&lt;22%,"3",IF(CAELS!H14&lt;25%,"4","5"))))</f>
        <v>1</v>
      </c>
      <c r="H21" s="95" t="str">
        <f>IF(CAELS!I14&lt;15%,"1",IF(CAELS!I14&lt;18%,"2",IF(CAELS!I14&lt;22%,"3",IF(CAELS!I14&lt;25%,"4","5"))))</f>
        <v>1</v>
      </c>
      <c r="I21" s="95" t="str">
        <f>IF(CAELS!J14&lt;15%,"1",IF(CAELS!J14&lt;18%,"2",IF(CAELS!J14&lt;22%,"3",IF(CAELS!J14&lt;25%,"4","5"))))</f>
        <v>1</v>
      </c>
      <c r="J21" s="95" t="str">
        <f>IF(CAELS!K14&lt;15%,"1",IF(CAELS!K14&lt;18%,"2",IF(CAELS!K14&lt;22%,"3",IF(CAELS!K14&lt;25%,"4","5"))))</f>
        <v>1</v>
      </c>
      <c r="K21" s="95" t="str">
        <f>IF(CAELS!L14&lt;15%,"1",IF(CAELS!L14&lt;18%,"2",IF(CAELS!L14&lt;22%,"3",IF(CAELS!L14&lt;25%,"4","5"))))</f>
        <v>1</v>
      </c>
      <c r="L21" s="95" t="str">
        <f>IF(CAELS!M14&lt;15%,"1",IF(CAELS!M14&lt;18%,"2",IF(CAELS!M14&lt;22%,"3",IF(CAELS!M14&lt;25%,"4","5"))))</f>
        <v>1</v>
      </c>
      <c r="M21" s="95" t="str">
        <f>IF(CAELS!N14&lt;15%,"1",IF(CAELS!N14&lt;18%,"2",IF(CAELS!N14&lt;22%,"3",IF(CAELS!N14&lt;25%,"4","5"))))</f>
        <v>1</v>
      </c>
      <c r="N21" s="95" t="str">
        <f>IF(CAELS!O14&lt;15%,"1",IF(CAELS!O14&lt;18%,"2",IF(CAELS!O14&lt;22%,"3",IF(CAELS!O14&lt;25%,"4","5"))))</f>
        <v>1</v>
      </c>
      <c r="O21" s="95" t="str">
        <f>IF(CAELS!P14&lt;15%,"1",IF(CAELS!P14&lt;18%,"2",IF(CAELS!P14&lt;22%,"3",IF(CAELS!P14&lt;25%,"4","5"))))</f>
        <v>1</v>
      </c>
      <c r="P21" s="95" t="str">
        <f>IF(CAELS!Q14&lt;15%,"1",IF(CAELS!Q14&lt;18%,"2",IF(CAELS!Q14&lt;22%,"3",IF(CAELS!Q14&lt;25%,"4","5"))))</f>
        <v>1</v>
      </c>
      <c r="Q21" s="95" t="str">
        <f>IF(CAELS!R14&lt;15%,"1",IF(CAELS!R14&lt;18%,"2",IF(CAELS!R14&lt;22%,"3",IF(CAELS!R14&lt;25%,"4","5"))))</f>
        <v>1</v>
      </c>
      <c r="R21" s="95" t="str">
        <f>IF(CAELS!S14&lt;15%,"1",IF(CAELS!S14&lt;18%,"2",IF(CAELS!S14&lt;22%,"3",IF(CAELS!S14&lt;25%,"4","5"))))</f>
        <v>1</v>
      </c>
      <c r="S21" s="95" t="str">
        <f>IF(CAELS!T14&lt;15%,"1",IF(CAELS!T14&lt;18%,"2",IF(CAELS!T14&lt;22%,"3",IF(CAELS!T14&lt;25%,"4","5"))))</f>
        <v>1</v>
      </c>
      <c r="T21" s="95" t="str">
        <f>IF(CAELS!U14&lt;15%,"1",IF(CAELS!U14&lt;18%,"2",IF(CAELS!U14&lt;22%,"3",IF(CAELS!U14&lt;25%,"4","5"))))</f>
        <v>1</v>
      </c>
      <c r="U21" s="95" t="str">
        <f>IF(CAELS!V14&lt;15%,"1",IF(CAELS!V14&lt;18%,"2",IF(CAELS!V14&lt;22%,"3",IF(CAELS!V14&lt;25%,"4","5"))))</f>
        <v>1</v>
      </c>
      <c r="V21" s="95" t="str">
        <f>IF(CAELS!W14&lt;15%,"1",IF(CAELS!W14&lt;18%,"2",IF(CAELS!W14&lt;22%,"3",IF(CAELS!W14&lt;25%,"4","5"))))</f>
        <v>1</v>
      </c>
      <c r="W21" s="95" t="str">
        <f>IF(CAELS!X14&lt;15%,"1",IF(CAELS!X14&lt;18%,"2",IF(CAELS!X14&lt;22%,"3",IF(CAELS!X14&lt;25%,"4","5"))))</f>
        <v>1</v>
      </c>
      <c r="X21" s="95" t="str">
        <f>IF(CAELS!Y14&lt;15%,"1",IF(CAELS!Y14&lt;18%,"2",IF(CAELS!Y14&lt;22%,"3",IF(CAELS!Y14&lt;25%,"4","5"))))</f>
        <v>1</v>
      </c>
      <c r="Y21" s="95" t="str">
        <f>IF(CAELS!Z14&lt;15%,"1",IF(CAELS!Z14&lt;18%,"2",IF(CAELS!Z14&lt;22%,"3",IF(CAELS!Z14&lt;25%,"4","5"))))</f>
        <v>1</v>
      </c>
      <c r="Z21" s="95" t="str">
        <f>IF(CAELS!AA14&lt;15%,"1",IF(CAELS!AA14&lt;18%,"2",IF(CAELS!AA14&lt;22%,"3",IF(CAELS!AA14&lt;25%,"4","5"))))</f>
        <v>1</v>
      </c>
      <c r="AA21" s="95" t="str">
        <f>IF(CAELS!AB14&lt;15%,"1",IF(CAELS!AB14&lt;18%,"2",IF(CAELS!AB14&lt;22%,"3",IF(CAELS!AB14&lt;25%,"4","5"))))</f>
        <v>1</v>
      </c>
      <c r="AB21" s="95" t="str">
        <f>IF(CAELS!AC14&lt;15%,"1",IF(CAELS!AC14&lt;18%,"2",IF(CAELS!AC14&lt;22%,"3",IF(CAELS!AC14&lt;25%,"4","5"))))</f>
        <v>1</v>
      </c>
      <c r="AC21" s="95" t="str">
        <f>IF(CAELS!AD14&lt;15%,"1",IF(CAELS!AD14&lt;18%,"2",IF(CAELS!AD14&lt;22%,"3",IF(CAELS!AD14&lt;25%,"4","5"))))</f>
        <v>1</v>
      </c>
      <c r="AD21" s="95" t="str">
        <f>IF(CAELS!AE14&lt;15%,"1",IF(CAELS!AE14&lt;18%,"2",IF(CAELS!AE14&lt;22%,"3",IF(CAELS!AE14&lt;25%,"4","5"))))</f>
        <v>1</v>
      </c>
      <c r="AE21" s="95" t="str">
        <f>IF(CAELS!AF14&lt;15%,"1",IF(CAELS!AF14&lt;18%,"2",IF(CAELS!AF14&lt;22%,"3",IF(CAELS!AF14&lt;25%,"4","5"))))</f>
        <v>1</v>
      </c>
      <c r="AF21" s="95" t="str">
        <f>IF(CAELS!AG14&lt;15%,"1",IF(CAELS!AG14&lt;18%,"2",IF(CAELS!AG14&lt;22%,"3",IF(CAELS!AG14&lt;25%,"4","5"))))</f>
        <v>1</v>
      </c>
    </row>
    <row r="22" spans="1:32">
      <c r="A22" s="46" t="s">
        <v>228</v>
      </c>
      <c r="B22" s="2"/>
      <c r="C22" s="95" t="str">
        <f>IF(CAELS!D15&gt;15%,"1",IF(CAELS!D15&gt;12%,"2",IF(CAELS!D15&gt;9%,"3",IF(CAELS!D15&gt;6%,"4","5"))))</f>
        <v>2</v>
      </c>
      <c r="D22" s="95" t="str">
        <f>IF(CAELS!E15&gt;15%,"1",IF(CAELS!E15&gt;12%,"2",IF(CAELS!E15&gt;9%,"3",IF(CAELS!E15&gt;6%,"4","5"))))</f>
        <v>5</v>
      </c>
      <c r="E22" s="95" t="str">
        <f>IF(CAELS!F15&gt;15%,"1",IF(CAELS!F15&gt;12%,"2",IF(CAELS!F15&gt;9%,"3",IF(CAELS!F15&gt;6%,"4","5"))))</f>
        <v>5</v>
      </c>
      <c r="F22" s="95" t="str">
        <f>IF(CAELS!G15&gt;15%,"1",IF(CAELS!G15&gt;12%,"2",IF(CAELS!G15&gt;9%,"3",IF(CAELS!G15&gt;6%,"4","5"))))</f>
        <v>4</v>
      </c>
      <c r="G22" s="95" t="str">
        <f>IF(CAELS!H15&gt;15%,"1",IF(CAELS!H15&gt;12%,"2",IF(CAELS!H15&gt;9%,"3",IF(CAELS!H15&gt;6%,"4","5"))))</f>
        <v>3</v>
      </c>
      <c r="H22" s="95" t="str">
        <f>IF(CAELS!I15&gt;15%,"1",IF(CAELS!I15&gt;12%,"2",IF(CAELS!I15&gt;9%,"3",IF(CAELS!I15&gt;6%,"4","5"))))</f>
        <v>2</v>
      </c>
      <c r="I22" s="95" t="str">
        <f>IF(CAELS!J15&gt;15%,"1",IF(CAELS!J15&gt;12%,"2",IF(CAELS!J15&gt;9%,"3",IF(CAELS!J15&gt;6%,"4","5"))))</f>
        <v>5</v>
      </c>
      <c r="J22" s="95" t="str">
        <f>IF(CAELS!K15&gt;15%,"1",IF(CAELS!K15&gt;12%,"2",IF(CAELS!K15&gt;9%,"3",IF(CAELS!K15&gt;6%,"4","5"))))</f>
        <v>5</v>
      </c>
      <c r="K22" s="95" t="str">
        <f>IF(CAELS!L15&gt;15%,"1",IF(CAELS!L15&gt;12%,"2",IF(CAELS!L15&gt;9%,"3",IF(CAELS!L15&gt;6%,"4","5"))))</f>
        <v>4</v>
      </c>
      <c r="L22" s="95" t="str">
        <f>IF(CAELS!M15&gt;15%,"1",IF(CAELS!M15&gt;12%,"2",IF(CAELS!M15&gt;9%,"3",IF(CAELS!M15&gt;6%,"4","5"))))</f>
        <v>4</v>
      </c>
      <c r="M22" s="95" t="str">
        <f>IF(CAELS!N15&gt;15%,"1",IF(CAELS!N15&gt;12%,"2",IF(CAELS!N15&gt;9%,"3",IF(CAELS!N15&gt;6%,"4","5"))))</f>
        <v>5</v>
      </c>
      <c r="N22" s="95" t="str">
        <f>IF(CAELS!O15&gt;15%,"1",IF(CAELS!O15&gt;12%,"2",IF(CAELS!O15&gt;9%,"3",IF(CAELS!O15&gt;6%,"4","5"))))</f>
        <v>5</v>
      </c>
      <c r="O22" s="95" t="str">
        <f>IF(CAELS!P15&gt;15%,"1",IF(CAELS!P15&gt;12%,"2",IF(CAELS!P15&gt;9%,"3",IF(CAELS!P15&gt;6%,"4","5"))))</f>
        <v>5</v>
      </c>
      <c r="P22" s="95" t="str">
        <f>IF(CAELS!Q15&gt;15%,"1",IF(CAELS!Q15&gt;12%,"2",IF(CAELS!Q15&gt;9%,"3",IF(CAELS!Q15&gt;6%,"4","5"))))</f>
        <v>5</v>
      </c>
      <c r="Q22" s="95" t="str">
        <f>IF(CAELS!R15&gt;15%,"1",IF(CAELS!R15&gt;12%,"2",IF(CAELS!R15&gt;9%,"3",IF(CAELS!R15&gt;6%,"4","5"))))</f>
        <v>5</v>
      </c>
      <c r="R22" s="95" t="str">
        <f>IF(CAELS!S15&gt;15%,"1",IF(CAELS!S15&gt;12%,"2",IF(CAELS!S15&gt;9%,"3",IF(CAELS!S15&gt;6%,"4","5"))))</f>
        <v>5</v>
      </c>
      <c r="S22" s="95" t="str">
        <f>IF(CAELS!T15&gt;15%,"1",IF(CAELS!T15&gt;12%,"2",IF(CAELS!T15&gt;9%,"3",IF(CAELS!T15&gt;6%,"4","5"))))</f>
        <v>5</v>
      </c>
      <c r="T22" s="95" t="str">
        <f>IF(CAELS!U15&gt;15%,"1",IF(CAELS!U15&gt;12%,"2",IF(CAELS!U15&gt;9%,"3",IF(CAELS!U15&gt;6%,"4","5"))))</f>
        <v>4</v>
      </c>
      <c r="U22" s="95" t="str">
        <f>IF(CAELS!V15&gt;15%,"1",IF(CAELS!V15&gt;12%,"2",IF(CAELS!V15&gt;9%,"3",IF(CAELS!V15&gt;6%,"4","5"))))</f>
        <v>4</v>
      </c>
      <c r="V22" s="95" t="str">
        <f>IF(CAELS!W15&gt;15%,"1",IF(CAELS!W15&gt;12%,"2",IF(CAELS!W15&gt;9%,"3",IF(CAELS!W15&gt;6%,"4","5"))))</f>
        <v>4</v>
      </c>
      <c r="W22" s="95" t="str">
        <f>IF(CAELS!X15&gt;15%,"1",IF(CAELS!X15&gt;12%,"2",IF(CAELS!X15&gt;9%,"3",IF(CAELS!X15&gt;6%,"4","5"))))</f>
        <v>4</v>
      </c>
      <c r="X22" s="95" t="str">
        <f>IF(CAELS!Y15&gt;15%,"1",IF(CAELS!Y15&gt;12%,"2",IF(CAELS!Y15&gt;9%,"3",IF(CAELS!Y15&gt;6%,"4","5"))))</f>
        <v>3</v>
      </c>
      <c r="Y22" s="95" t="str">
        <f>IF(CAELS!Z15&gt;15%,"1",IF(CAELS!Z15&gt;12%,"2",IF(CAELS!Z15&gt;9%,"3",IF(CAELS!Z15&gt;6%,"4","5"))))</f>
        <v>4</v>
      </c>
      <c r="Z22" s="95" t="str">
        <f>IF(CAELS!AA15&gt;15%,"1",IF(CAELS!AA15&gt;12%,"2",IF(CAELS!AA15&gt;9%,"3",IF(CAELS!AA15&gt;6%,"4","5"))))</f>
        <v>5</v>
      </c>
      <c r="AA22" s="95" t="str">
        <f>IF(CAELS!AB15&gt;15%,"1",IF(CAELS!AB15&gt;12%,"2",IF(CAELS!AB15&gt;9%,"3",IF(CAELS!AB15&gt;6%,"4","5"))))</f>
        <v>5</v>
      </c>
      <c r="AB22" s="95" t="str">
        <f>IF(CAELS!AC15&gt;15%,"1",IF(CAELS!AC15&gt;12%,"2",IF(CAELS!AC15&gt;9%,"3",IF(CAELS!AC15&gt;6%,"4","5"))))</f>
        <v>4</v>
      </c>
      <c r="AC22" s="95" t="str">
        <f>IF(CAELS!AD15&gt;15%,"1",IF(CAELS!AD15&gt;12%,"2",IF(CAELS!AD15&gt;9%,"3",IF(CAELS!AD15&gt;6%,"4","5"))))</f>
        <v>4</v>
      </c>
      <c r="AD22" s="95" t="str">
        <f>IF(CAELS!AE15&gt;15%,"1",IF(CAELS!AE15&gt;12%,"2",IF(CAELS!AE15&gt;9%,"3",IF(CAELS!AE15&gt;6%,"4","5"))))</f>
        <v>4</v>
      </c>
      <c r="AE22" s="95" t="str">
        <f>IF(CAELS!AF15&gt;15%,"1",IF(CAELS!AF15&gt;12%,"2",IF(CAELS!AF15&gt;9%,"3",IF(CAELS!AF15&gt;6%,"4","5"))))</f>
        <v>4</v>
      </c>
      <c r="AF22" s="95" t="str">
        <f>IF(CAELS!AG15&gt;15%,"1",IF(CAELS!AG15&gt;12%,"2",IF(CAELS!AG15&gt;9%,"3",IF(CAELS!AG15&gt;6%,"4","5"))))</f>
        <v>4</v>
      </c>
    </row>
    <row r="23" spans="1:32">
      <c r="A23" s="46"/>
      <c r="B23" s="2"/>
      <c r="C23" s="108">
        <f t="shared" ref="C23:K23" si="7">(C19+C20+C21+C22)/4</f>
        <v>2.5</v>
      </c>
      <c r="D23" s="108">
        <f t="shared" si="7"/>
        <v>4.25</v>
      </c>
      <c r="E23" s="108">
        <f t="shared" si="7"/>
        <v>4.25</v>
      </c>
      <c r="F23" s="108">
        <f t="shared" si="7"/>
        <v>3.75</v>
      </c>
      <c r="G23" s="108">
        <f t="shared" si="7"/>
        <v>2.5</v>
      </c>
      <c r="H23" s="108">
        <f t="shared" si="7"/>
        <v>2</v>
      </c>
      <c r="I23" s="108">
        <f t="shared" si="7"/>
        <v>3.25</v>
      </c>
      <c r="J23" s="108">
        <f t="shared" si="7"/>
        <v>3.75</v>
      </c>
      <c r="K23" s="108">
        <f t="shared" si="7"/>
        <v>2.75</v>
      </c>
      <c r="L23" s="108">
        <f t="shared" ref="L23:AF23" si="8">(L19+L20+L21+L22)/4</f>
        <v>2.75</v>
      </c>
      <c r="M23" s="108">
        <f t="shared" si="8"/>
        <v>3.75</v>
      </c>
      <c r="N23" s="108">
        <f t="shared" si="8"/>
        <v>3</v>
      </c>
      <c r="O23" s="108">
        <f t="shared" si="8"/>
        <v>3</v>
      </c>
      <c r="P23" s="108">
        <f t="shared" si="8"/>
        <v>3</v>
      </c>
      <c r="Q23" s="108">
        <f t="shared" si="8"/>
        <v>3.5</v>
      </c>
      <c r="R23" s="108">
        <f t="shared" si="8"/>
        <v>3</v>
      </c>
      <c r="S23" s="108">
        <f t="shared" si="8"/>
        <v>3</v>
      </c>
      <c r="T23" s="108">
        <f t="shared" si="8"/>
        <v>2.75</v>
      </c>
      <c r="U23" s="108">
        <f t="shared" si="8"/>
        <v>2.75</v>
      </c>
      <c r="V23" s="108">
        <f t="shared" si="8"/>
        <v>3</v>
      </c>
      <c r="W23" s="108">
        <f t="shared" si="8"/>
        <v>2.75</v>
      </c>
      <c r="X23" s="108">
        <f t="shared" si="8"/>
        <v>2.5</v>
      </c>
      <c r="Y23" s="108">
        <f t="shared" si="8"/>
        <v>2.75</v>
      </c>
      <c r="Z23" s="108">
        <f t="shared" si="8"/>
        <v>3</v>
      </c>
      <c r="AA23" s="108">
        <f t="shared" si="8"/>
        <v>3.25</v>
      </c>
      <c r="AB23" s="108">
        <f t="shared" si="8"/>
        <v>2.75</v>
      </c>
      <c r="AC23" s="108">
        <f t="shared" si="8"/>
        <v>2.75</v>
      </c>
      <c r="AD23" s="108">
        <f t="shared" si="8"/>
        <v>2.75</v>
      </c>
      <c r="AE23" s="108">
        <f t="shared" si="8"/>
        <v>2.75</v>
      </c>
      <c r="AF23" s="108">
        <f t="shared" si="8"/>
        <v>2.75</v>
      </c>
    </row>
    <row r="24" spans="1:32">
      <c r="A24" s="90" t="s">
        <v>135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</row>
    <row r="25" spans="1:32">
      <c r="A25" s="46" t="s">
        <v>229</v>
      </c>
      <c r="B25" s="93" t="s">
        <v>230</v>
      </c>
      <c r="C25" s="95" t="str">
        <f>IF(CAELS!D16&lt;6%,"1",IF(CAELS!D16&lt;7%,"2",IF(CAELS!D16&lt;8%,"3",IF(CAELS!D16&lt;10%,"4","5"))))</f>
        <v>5</v>
      </c>
      <c r="D25" s="95" t="str">
        <f>IF(CAELS!E16&lt;6%,"1",IF(CAELS!E16&lt;7%,"2",IF(CAELS!E16&lt;8%,"3",IF(CAELS!E16&lt;10%,"4","5"))))</f>
        <v>5</v>
      </c>
      <c r="E25" s="95" t="str">
        <f>IF(CAELS!F16&lt;6%,"1",IF(CAELS!F16&lt;7%,"2",IF(CAELS!F16&lt;8%,"3",IF(CAELS!F16&lt;10%,"4","5"))))</f>
        <v>5</v>
      </c>
      <c r="F25" s="95" t="str">
        <f>IF(CAELS!G16&lt;6%,"1",IF(CAELS!G16&lt;7%,"2",IF(CAELS!G16&lt;8%,"3",IF(CAELS!G16&lt;10%,"4","5"))))</f>
        <v>5</v>
      </c>
      <c r="G25" s="95" t="str">
        <f>IF(CAELS!H16&lt;6%,"1",IF(CAELS!H16&lt;7%,"2",IF(CAELS!H16&lt;8%,"3",IF(CAELS!H16&lt;10%,"4","5"))))</f>
        <v>5</v>
      </c>
      <c r="H25" s="95" t="str">
        <f>IF(CAELS!I16&lt;6%,"1",IF(CAELS!I16&lt;7%,"2",IF(CAELS!I16&lt;8%,"3",IF(CAELS!I16&lt;10%,"4","5"))))</f>
        <v>5</v>
      </c>
      <c r="I25" s="95" t="str">
        <f>IF(CAELS!J16&lt;6%,"1",IF(CAELS!J16&lt;7%,"2",IF(CAELS!J16&lt;8%,"3",IF(CAELS!J16&lt;10%,"4","5"))))</f>
        <v>5</v>
      </c>
      <c r="J25" s="95" t="str">
        <f>IF(CAELS!K16&lt;6%,"1",IF(CAELS!K16&lt;7%,"2",IF(CAELS!K16&lt;8%,"3",IF(CAELS!K16&lt;10%,"4","5"))))</f>
        <v>5</v>
      </c>
      <c r="K25" s="95" t="str">
        <f>IF(CAELS!L16&lt;6%,"1",IF(CAELS!L16&lt;7%,"2",IF(CAELS!L16&lt;8%,"3",IF(CAELS!L16&lt;10%,"4","5"))))</f>
        <v>5</v>
      </c>
      <c r="L25" s="95" t="str">
        <f>IF(CAELS!M16&lt;6%,"1",IF(CAELS!M16&lt;7%,"2",IF(CAELS!M16&lt;8%,"3",IF(CAELS!M16&lt;10%,"4","5"))))</f>
        <v>5</v>
      </c>
      <c r="M25" s="95" t="str">
        <f>IF(CAELS!N16&lt;6%,"1",IF(CAELS!N16&lt;7%,"2",IF(CAELS!N16&lt;8%,"3",IF(CAELS!N16&lt;10%,"4","5"))))</f>
        <v>5</v>
      </c>
      <c r="N25" s="95" t="str">
        <f>IF(CAELS!O16&lt;6%,"1",IF(CAELS!O16&lt;7%,"2",IF(CAELS!O16&lt;8%,"3",IF(CAELS!O16&lt;10%,"4","5"))))</f>
        <v>5</v>
      </c>
      <c r="O25" s="95" t="str">
        <f>IF(CAELS!P16&lt;6%,"1",IF(CAELS!P16&lt;7%,"2",IF(CAELS!P16&lt;8%,"3",IF(CAELS!P16&lt;10%,"4","5"))))</f>
        <v>5</v>
      </c>
      <c r="P25" s="95" t="str">
        <f>IF(CAELS!Q16&lt;6%,"1",IF(CAELS!Q16&lt;7%,"2",IF(CAELS!Q16&lt;8%,"3",IF(CAELS!Q16&lt;10%,"4","5"))))</f>
        <v>5</v>
      </c>
      <c r="Q25" s="95" t="str">
        <f>IF(CAELS!R16&lt;6%,"1",IF(CAELS!R16&lt;7%,"2",IF(CAELS!R16&lt;8%,"3",IF(CAELS!R16&lt;10%,"4","5"))))</f>
        <v>5</v>
      </c>
      <c r="R25" s="95" t="str">
        <f>IF(CAELS!S16&lt;6%,"1",IF(CAELS!S16&lt;7%,"2",IF(CAELS!S16&lt;8%,"3",IF(CAELS!S16&lt;10%,"4","5"))))</f>
        <v>5</v>
      </c>
      <c r="S25" s="95" t="str">
        <f>IF(CAELS!T16&lt;6%,"1",IF(CAELS!T16&lt;7%,"2",IF(CAELS!T16&lt;8%,"3",IF(CAELS!T16&lt;10%,"4","5"))))</f>
        <v>5</v>
      </c>
      <c r="T25" s="95" t="str">
        <f>IF(CAELS!U16&lt;6%,"1",IF(CAELS!U16&lt;7%,"2",IF(CAELS!U16&lt;8%,"3",IF(CAELS!U16&lt;10%,"4","5"))))</f>
        <v>5</v>
      </c>
      <c r="U25" s="95" t="str">
        <f>IF(CAELS!V16&lt;6%,"1",IF(CAELS!V16&lt;7%,"2",IF(CAELS!V16&lt;8%,"3",IF(CAELS!V16&lt;10%,"4","5"))))</f>
        <v>5</v>
      </c>
      <c r="V25" s="95" t="str">
        <f>IF(CAELS!W16&lt;6%,"1",IF(CAELS!W16&lt;7%,"2",IF(CAELS!W16&lt;8%,"3",IF(CAELS!W16&lt;10%,"4","5"))))</f>
        <v>5</v>
      </c>
      <c r="W25" s="95" t="str">
        <f>IF(CAELS!X16&lt;6%,"1",IF(CAELS!X16&lt;7%,"2",IF(CAELS!X16&lt;8%,"3",IF(CAELS!X16&lt;10%,"4","5"))))</f>
        <v>5</v>
      </c>
      <c r="X25" s="95" t="str">
        <f>IF(CAELS!Y16&lt;6%,"1",IF(CAELS!Y16&lt;7%,"2",IF(CAELS!Y16&lt;8%,"3",IF(CAELS!Y16&lt;10%,"4","5"))))</f>
        <v>5</v>
      </c>
      <c r="Y25" s="95" t="str">
        <f>IF(CAELS!Z16&lt;6%,"1",IF(CAELS!Z16&lt;7%,"2",IF(CAELS!Z16&lt;8%,"3",IF(CAELS!Z16&lt;10%,"4","5"))))</f>
        <v>5</v>
      </c>
      <c r="Z25" s="95" t="str">
        <f>IF(CAELS!AA16&lt;6%,"1",IF(CAELS!AA16&lt;7%,"2",IF(CAELS!AA16&lt;8%,"3",IF(CAELS!AA16&lt;10%,"4","5"))))</f>
        <v>5</v>
      </c>
      <c r="AA25" s="95" t="str">
        <f>IF(CAELS!AB16&lt;6%,"1",IF(CAELS!AB16&lt;7%,"2",IF(CAELS!AB16&lt;8%,"3",IF(CAELS!AB16&lt;10%,"4","5"))))</f>
        <v>5</v>
      </c>
      <c r="AB25" s="95" t="str">
        <f>IF(CAELS!AC16&lt;6%,"1",IF(CAELS!AC16&lt;7%,"2",IF(CAELS!AC16&lt;8%,"3",IF(CAELS!AC16&lt;10%,"4","5"))))</f>
        <v>5</v>
      </c>
      <c r="AC25" s="95" t="str">
        <f>IF(CAELS!AD16&lt;6%,"1",IF(CAELS!AD16&lt;7%,"2",IF(CAELS!AD16&lt;8%,"3",IF(CAELS!AD16&lt;10%,"4","5"))))</f>
        <v>5</v>
      </c>
      <c r="AD25" s="95" t="str">
        <f>IF(CAELS!AE16&lt;6%,"1",IF(CAELS!AE16&lt;7%,"2",IF(CAELS!AE16&lt;8%,"3",IF(CAELS!AE16&lt;10%,"4","5"))))</f>
        <v>5</v>
      </c>
      <c r="AE25" s="95" t="str">
        <f>IF(CAELS!AF16&lt;6%,"1",IF(CAELS!AF16&lt;7%,"2",IF(CAELS!AF16&lt;8%,"3",IF(CAELS!AF16&lt;10%,"4","5"))))</f>
        <v>5</v>
      </c>
    </row>
    <row r="26" spans="1:32">
      <c r="A26" s="46" t="s">
        <v>231</v>
      </c>
      <c r="B26" s="93" t="s">
        <v>232</v>
      </c>
      <c r="C26" s="95" t="str">
        <f>IF(CAELS!D17&lt;2%,"1",IF(CAELS!D17&lt;3%,"2",IF(CAELS!D17&lt;4%,"3",IF(CAELS!D17&lt;5%,"4","5"))))</f>
        <v>5</v>
      </c>
      <c r="D26" s="95" t="str">
        <f>IF(CAELS!E17&lt;2%,"1",IF(CAELS!E17&lt;3%,"2",IF(CAELS!E17&lt;4%,"3",IF(CAELS!E17&lt;5%,"4","5"))))</f>
        <v>5</v>
      </c>
      <c r="E26" s="95" t="str">
        <f>IF(CAELS!F17&lt;2%,"1",IF(CAELS!F17&lt;3%,"2",IF(CAELS!F17&lt;4%,"3",IF(CAELS!F17&lt;5%,"4","5"))))</f>
        <v>5</v>
      </c>
      <c r="F26" s="95" t="str">
        <f>IF(CAELS!G17&lt;2%,"1",IF(CAELS!G17&lt;3%,"2",IF(CAELS!G17&lt;4%,"3",IF(CAELS!G17&lt;5%,"4","5"))))</f>
        <v>5</v>
      </c>
      <c r="G26" s="95" t="str">
        <f>IF(CAELS!H17&lt;2%,"1",IF(CAELS!H17&lt;3%,"2",IF(CAELS!H17&lt;4%,"3",IF(CAELS!H17&lt;5%,"4","5"))))</f>
        <v>5</v>
      </c>
      <c r="H26" s="95" t="str">
        <f>IF(CAELS!I17&lt;2%,"1",IF(CAELS!I17&lt;3%,"2",IF(CAELS!I17&lt;4%,"3",IF(CAELS!I17&lt;5%,"4","5"))))</f>
        <v>5</v>
      </c>
      <c r="I26" s="95" t="str">
        <f>IF(CAELS!J17&lt;2%,"1",IF(CAELS!J17&lt;3%,"2",IF(CAELS!J17&lt;4%,"3",IF(CAELS!J17&lt;5%,"4","5"))))</f>
        <v>5</v>
      </c>
      <c r="J26" s="95" t="str">
        <f>IF(CAELS!K17&lt;2%,"1",IF(CAELS!K17&lt;3%,"2",IF(CAELS!K17&lt;4%,"3",IF(CAELS!K17&lt;5%,"4","5"))))</f>
        <v>5</v>
      </c>
      <c r="K26" s="95" t="str">
        <f>IF(CAELS!L17&lt;2%,"1",IF(CAELS!L17&lt;3%,"2",IF(CAELS!L17&lt;4%,"3",IF(CAELS!L17&lt;5%,"4","5"))))</f>
        <v>5</v>
      </c>
      <c r="L26" s="95" t="str">
        <f>IF(CAELS!M17&lt;2%,"1",IF(CAELS!M17&lt;3%,"2",IF(CAELS!M17&lt;4%,"3",IF(CAELS!M17&lt;5%,"4","5"))))</f>
        <v>5</v>
      </c>
      <c r="M26" s="95" t="str">
        <f>IF(CAELS!N17&lt;2%,"1",IF(CAELS!N17&lt;3%,"2",IF(CAELS!N17&lt;4%,"3",IF(CAELS!N17&lt;5%,"4","5"))))</f>
        <v>5</v>
      </c>
      <c r="N26" s="95" t="str">
        <f>IF(CAELS!O17&lt;2%,"1",IF(CAELS!O17&lt;3%,"2",IF(CAELS!O17&lt;4%,"3",IF(CAELS!O17&lt;5%,"4","5"))))</f>
        <v>5</v>
      </c>
      <c r="O26" s="95" t="str">
        <f>IF(CAELS!P17&lt;2%,"1",IF(CAELS!P17&lt;3%,"2",IF(CAELS!P17&lt;4%,"3",IF(CAELS!P17&lt;5%,"4","5"))))</f>
        <v>5</v>
      </c>
      <c r="P26" s="95" t="str">
        <f>IF(CAELS!Q17&lt;2%,"1",IF(CAELS!Q17&lt;3%,"2",IF(CAELS!Q17&lt;4%,"3",IF(CAELS!Q17&lt;5%,"4","5"))))</f>
        <v>5</v>
      </c>
      <c r="Q26" s="95" t="str">
        <f>IF(CAELS!R17&lt;2%,"1",IF(CAELS!R17&lt;3%,"2",IF(CAELS!R17&lt;4%,"3",IF(CAELS!R17&lt;5%,"4","5"))))</f>
        <v>5</v>
      </c>
      <c r="R26" s="95" t="str">
        <f>IF(CAELS!S17&lt;2%,"1",IF(CAELS!S17&lt;3%,"2",IF(CAELS!S17&lt;4%,"3",IF(CAELS!S17&lt;5%,"4","5"))))</f>
        <v>5</v>
      </c>
      <c r="S26" s="95" t="str">
        <f>IF(CAELS!T17&lt;2%,"1",IF(CAELS!T17&lt;3%,"2",IF(CAELS!T17&lt;4%,"3",IF(CAELS!T17&lt;5%,"4","5"))))</f>
        <v>5</v>
      </c>
      <c r="T26" s="95" t="str">
        <f>IF(CAELS!U17&lt;2%,"1",IF(CAELS!U17&lt;3%,"2",IF(CAELS!U17&lt;4%,"3",IF(CAELS!U17&lt;5%,"4","5"))))</f>
        <v>5</v>
      </c>
      <c r="U26" s="95" t="str">
        <f>IF(CAELS!V17&lt;2%,"1",IF(CAELS!V17&lt;3%,"2",IF(CAELS!V17&lt;4%,"3",IF(CAELS!V17&lt;5%,"4","5"))))</f>
        <v>5</v>
      </c>
      <c r="V26" s="95" t="str">
        <f>IF(CAELS!W17&lt;2%,"1",IF(CAELS!W17&lt;3%,"2",IF(CAELS!W17&lt;4%,"3",IF(CAELS!W17&lt;5%,"4","5"))))</f>
        <v>5</v>
      </c>
      <c r="W26" s="95" t="str">
        <f>IF(CAELS!X17&lt;2%,"1",IF(CAELS!X17&lt;3%,"2",IF(CAELS!X17&lt;4%,"3",IF(CAELS!X17&lt;5%,"4","5"))))</f>
        <v>5</v>
      </c>
      <c r="X26" s="95" t="str">
        <f>IF(CAELS!Y17&lt;2%,"1",IF(CAELS!Y17&lt;3%,"2",IF(CAELS!Y17&lt;4%,"3",IF(CAELS!Y17&lt;5%,"4","5"))))</f>
        <v>5</v>
      </c>
      <c r="Y26" s="95" t="str">
        <f>IF(CAELS!Z17&lt;2%,"1",IF(CAELS!Z17&lt;3%,"2",IF(CAELS!Z17&lt;4%,"3",IF(CAELS!Z17&lt;5%,"4","5"))))</f>
        <v>5</v>
      </c>
      <c r="Z26" s="95" t="str">
        <f>IF(CAELS!AA17&lt;2%,"1",IF(CAELS!AA17&lt;3%,"2",IF(CAELS!AA17&lt;4%,"3",IF(CAELS!AA17&lt;5%,"4","5"))))</f>
        <v>5</v>
      </c>
      <c r="AA26" s="95" t="str">
        <f>IF(CAELS!AB17&lt;2%,"1",IF(CAELS!AB17&lt;3%,"2",IF(CAELS!AB17&lt;4%,"3",IF(CAELS!AB17&lt;5%,"4","5"))))</f>
        <v>5</v>
      </c>
      <c r="AB26" s="95" t="str">
        <f>IF(CAELS!AC17&lt;2%,"1",IF(CAELS!AC17&lt;3%,"2",IF(CAELS!AC17&lt;4%,"3",IF(CAELS!AC17&lt;5%,"4","5"))))</f>
        <v>5</v>
      </c>
      <c r="AC26" s="95" t="str">
        <f>IF(CAELS!AD17&lt;2%,"1",IF(CAELS!AD17&lt;3%,"2",IF(CAELS!AD17&lt;4%,"3",IF(CAELS!AD17&lt;5%,"4","5"))))</f>
        <v>5</v>
      </c>
      <c r="AD26" s="95" t="str">
        <f>IF(CAELS!AE17&lt;2%,"1",IF(CAELS!AE17&lt;3%,"2",IF(CAELS!AE17&lt;4%,"3",IF(CAELS!AE17&lt;5%,"4","5"))))</f>
        <v>5</v>
      </c>
      <c r="AE26" s="95" t="str">
        <f>IF(CAELS!AF17&lt;2%,"1",IF(CAELS!AF17&lt;3%,"2",IF(CAELS!AF17&lt;4%,"3",IF(CAELS!AF17&lt;5%,"4","5"))))</f>
        <v>5</v>
      </c>
    </row>
    <row r="27" spans="1:32">
      <c r="A27" s="46" t="s">
        <v>233</v>
      </c>
      <c r="B27" s="93" t="s">
        <v>232</v>
      </c>
      <c r="C27" s="95" t="str">
        <f>IF(CAELS!D18&lt;2%,"1",IF(CAELS!D18&lt;3%,"2",IF(CAELS!D18&lt;4%,"3",IF(CAELS!D18&lt;5%,"4","5"))))</f>
        <v>1</v>
      </c>
      <c r="D27" s="95" t="str">
        <f>IF(CAELS!E18&lt;2%,"1",IF(CAELS!E18&lt;3%,"2",IF(CAELS!E18&lt;4%,"3",IF(CAELS!E18&lt;5%,"4","5"))))</f>
        <v>3</v>
      </c>
      <c r="E27" s="95" t="str">
        <f>IF(CAELS!F18&lt;2%,"1",IF(CAELS!F18&lt;3%,"2",IF(CAELS!F18&lt;4%,"3",IF(CAELS!F18&lt;5%,"4","5"))))</f>
        <v>3</v>
      </c>
      <c r="F27" s="95" t="str">
        <f>IF(CAELS!G18&lt;2%,"1",IF(CAELS!G18&lt;3%,"2",IF(CAELS!G18&lt;4%,"3",IF(CAELS!G18&lt;5%,"4","5"))))</f>
        <v>3</v>
      </c>
      <c r="G27" s="95" t="str">
        <f>IF(CAELS!H18&lt;2%,"1",IF(CAELS!H18&lt;3%,"2",IF(CAELS!H18&lt;4%,"3",IF(CAELS!H18&lt;5%,"4","5"))))</f>
        <v>4</v>
      </c>
      <c r="H27" s="95" t="str">
        <f>IF(CAELS!I18&lt;2%,"1",IF(CAELS!I18&lt;3%,"2",IF(CAELS!I18&lt;4%,"3",IF(CAELS!I18&lt;5%,"4","5"))))</f>
        <v>4</v>
      </c>
      <c r="I27" s="95" t="str">
        <f>IF(CAELS!J18&lt;2%,"1",IF(CAELS!J18&lt;3%,"2",IF(CAELS!J18&lt;4%,"3",IF(CAELS!J18&lt;5%,"4","5"))))</f>
        <v>5</v>
      </c>
      <c r="J27" s="95" t="str">
        <f>IF(CAELS!K18&lt;2%,"1",IF(CAELS!K18&lt;3%,"2",IF(CAELS!K18&lt;4%,"3",IF(CAELS!K18&lt;5%,"4","5"))))</f>
        <v>5</v>
      </c>
      <c r="K27" s="95" t="str">
        <f>IF(CAELS!L18&lt;2%,"1",IF(CAELS!L18&lt;3%,"2",IF(CAELS!L18&lt;4%,"3",IF(CAELS!L18&lt;5%,"4","5"))))</f>
        <v>5</v>
      </c>
      <c r="L27" s="95" t="str">
        <f>IF(CAELS!M18&lt;2%,"1",IF(CAELS!M18&lt;3%,"2",IF(CAELS!M18&lt;4%,"3",IF(CAELS!M18&lt;5%,"4","5"))))</f>
        <v>5</v>
      </c>
      <c r="M27" s="95" t="str">
        <f>IF(CAELS!N18&lt;2%,"1",IF(CAELS!N18&lt;3%,"2",IF(CAELS!N18&lt;4%,"3",IF(CAELS!N18&lt;5%,"4","5"))))</f>
        <v>5</v>
      </c>
      <c r="N27" s="95" t="str">
        <f>IF(CAELS!O18&lt;2%,"1",IF(CAELS!O18&lt;3%,"2",IF(CAELS!O18&lt;4%,"3",IF(CAELS!O18&lt;5%,"4","5"))))</f>
        <v>5</v>
      </c>
      <c r="O27" s="95" t="str">
        <f>IF(CAELS!P18&lt;2%,"1",IF(CAELS!P18&lt;3%,"2",IF(CAELS!P18&lt;4%,"3",IF(CAELS!P18&lt;5%,"4","5"))))</f>
        <v>5</v>
      </c>
      <c r="P27" s="95" t="str">
        <f>IF(CAELS!Q18&lt;2%,"1",IF(CAELS!Q18&lt;3%,"2",IF(CAELS!Q18&lt;4%,"3",IF(CAELS!Q18&lt;5%,"4","5"))))</f>
        <v>5</v>
      </c>
      <c r="Q27" s="95" t="str">
        <f>IF(CAELS!R18&lt;2%,"1",IF(CAELS!R18&lt;3%,"2",IF(CAELS!R18&lt;4%,"3",IF(CAELS!R18&lt;5%,"4","5"))))</f>
        <v>5</v>
      </c>
      <c r="R27" s="95" t="str">
        <f>IF(CAELS!S18&lt;2%,"1",IF(CAELS!S18&lt;3%,"2",IF(CAELS!S18&lt;4%,"3",IF(CAELS!S18&lt;5%,"4","5"))))</f>
        <v>5</v>
      </c>
      <c r="S27" s="95" t="str">
        <f>IF(CAELS!T18&lt;2%,"1",IF(CAELS!T18&lt;3%,"2",IF(CAELS!T18&lt;4%,"3",IF(CAELS!T18&lt;5%,"4","5"))))</f>
        <v>5</v>
      </c>
      <c r="T27" s="95" t="str">
        <f>IF(CAELS!U18&lt;2%,"1",IF(CAELS!U18&lt;3%,"2",IF(CAELS!U18&lt;4%,"3",IF(CAELS!U18&lt;5%,"4","5"))))</f>
        <v>5</v>
      </c>
      <c r="U27" s="95" t="str">
        <f>IF(CAELS!V18&lt;2%,"1",IF(CAELS!V18&lt;3%,"2",IF(CAELS!V18&lt;4%,"3",IF(CAELS!V18&lt;5%,"4","5"))))</f>
        <v>5</v>
      </c>
      <c r="V27" s="95" t="str">
        <f>IF(CAELS!W18&lt;2%,"1",IF(CAELS!W18&lt;3%,"2",IF(CAELS!W18&lt;4%,"3",IF(CAELS!W18&lt;5%,"4","5"))))</f>
        <v>5</v>
      </c>
      <c r="W27" s="95" t="str">
        <f>IF(CAELS!X18&lt;2%,"1",IF(CAELS!X18&lt;3%,"2",IF(CAELS!X18&lt;4%,"3",IF(CAELS!X18&lt;5%,"4","5"))))</f>
        <v>5</v>
      </c>
      <c r="X27" s="95" t="str">
        <f>IF(CAELS!Y18&lt;2%,"1",IF(CAELS!Y18&lt;3%,"2",IF(CAELS!Y18&lt;4%,"3",IF(CAELS!Y18&lt;5%,"4","5"))))</f>
        <v>5</v>
      </c>
      <c r="Y27" s="95" t="str">
        <f>IF(CAELS!Z18&lt;2%,"1",IF(CAELS!Z18&lt;3%,"2",IF(CAELS!Z18&lt;4%,"3",IF(CAELS!Z18&lt;5%,"4","5"))))</f>
        <v>5</v>
      </c>
      <c r="Z27" s="95" t="str">
        <f>IF(CAELS!AA18&lt;2%,"1",IF(CAELS!AA18&lt;3%,"2",IF(CAELS!AA18&lt;4%,"3",IF(CAELS!AA18&lt;5%,"4","5"))))</f>
        <v>5</v>
      </c>
      <c r="AA27" s="95" t="str">
        <f>IF(CAELS!AB18&lt;2%,"1",IF(CAELS!AB18&lt;3%,"2",IF(CAELS!AB18&lt;4%,"3",IF(CAELS!AB18&lt;5%,"4","5"))))</f>
        <v>5</v>
      </c>
      <c r="AB27" s="95" t="str">
        <f>IF(CAELS!AC18&lt;2%,"1",IF(CAELS!AC18&lt;3%,"2",IF(CAELS!AC18&lt;4%,"3",IF(CAELS!AC18&lt;5%,"4","5"))))</f>
        <v>5</v>
      </c>
      <c r="AC27" s="95" t="str">
        <f>IF(CAELS!AD18&lt;2%,"1",IF(CAELS!AD18&lt;3%,"2",IF(CAELS!AD18&lt;4%,"3",IF(CAELS!AD18&lt;5%,"4","5"))))</f>
        <v>5</v>
      </c>
      <c r="AD27" s="95" t="str">
        <f>IF(CAELS!AE18&lt;2%,"1",IF(CAELS!AE18&lt;3%,"2",IF(CAELS!AE18&lt;4%,"3",IF(CAELS!AE18&lt;5%,"4","5"))))</f>
        <v>5</v>
      </c>
      <c r="AE27" s="95" t="str">
        <f>IF(CAELS!AF18&lt;2%,"1",IF(CAELS!AF18&lt;3%,"2",IF(CAELS!AF18&lt;4%,"3",IF(CAELS!AF18&lt;5%,"4","5"))))</f>
        <v>5</v>
      </c>
      <c r="AF27" s="95" t="str">
        <f>IF(CAELS!AG18&lt;2%,"1",IF(CAELS!AG18&lt;3%,"2",IF(CAELS!AG18&lt;4%,"3",IF(CAELS!AG18&lt;5%,"4","5"))))</f>
        <v>5</v>
      </c>
    </row>
    <row r="28" spans="1:32">
      <c r="A28" s="46" t="s">
        <v>234</v>
      </c>
      <c r="B28" s="93" t="s">
        <v>235</v>
      </c>
      <c r="C28" s="95" t="str">
        <f>IF(CAELS!D19&lt;20%,"1",IF(CAELS!D19&lt;25%,"2",IF(CAELS!D19&lt;30%,"3",IF(CAELS!D19&lt;40%,"4","5"))))</f>
        <v>1</v>
      </c>
      <c r="D28" s="95" t="str">
        <f>IF(CAELS!E19&lt;20%,"1",IF(CAELS!E19&lt;25%,"2",IF(CAELS!E19&lt;30%,"3",IF(CAELS!E19&lt;40%,"4","5"))))</f>
        <v>1</v>
      </c>
      <c r="E28" s="95" t="str">
        <f>IF(CAELS!F19&lt;20%,"1",IF(CAELS!F19&lt;25%,"2",IF(CAELS!F19&lt;30%,"3",IF(CAELS!F19&lt;40%,"4","5"))))</f>
        <v>1</v>
      </c>
      <c r="F28" s="95" t="str">
        <f>IF(CAELS!G19&lt;20%,"1",IF(CAELS!G19&lt;25%,"2",IF(CAELS!G19&lt;30%,"3",IF(CAELS!G19&lt;40%,"4","5"))))</f>
        <v>1</v>
      </c>
      <c r="G28" s="95" t="str">
        <f>IF(CAELS!H19&lt;20%,"1",IF(CAELS!H19&lt;25%,"2",IF(CAELS!H19&lt;30%,"3",IF(CAELS!H19&lt;40%,"4","5"))))</f>
        <v>1</v>
      </c>
      <c r="H28" s="95" t="str">
        <f>IF(CAELS!I19&lt;20%,"1",IF(CAELS!I19&lt;25%,"2",IF(CAELS!I19&lt;30%,"3",IF(CAELS!I19&lt;40%,"4","5"))))</f>
        <v>1</v>
      </c>
      <c r="I28" s="95" t="str">
        <f>IF(CAELS!J19&lt;20%,"1",IF(CAELS!J19&lt;25%,"2",IF(CAELS!J19&lt;30%,"3",IF(CAELS!J19&lt;40%,"4","5"))))</f>
        <v>1</v>
      </c>
      <c r="J28" s="95" t="str">
        <f>IF(CAELS!K19&lt;20%,"1",IF(CAELS!K19&lt;25%,"2",IF(CAELS!K19&lt;30%,"3",IF(CAELS!K19&lt;40%,"4","5"))))</f>
        <v>1</v>
      </c>
      <c r="K28" s="95" t="str">
        <f>IF(CAELS!L19&lt;20%,"1",IF(CAELS!L19&lt;25%,"2",IF(CAELS!L19&lt;30%,"3",IF(CAELS!L19&lt;40%,"4","5"))))</f>
        <v>1</v>
      </c>
      <c r="L28" s="95" t="str">
        <f>IF(CAELS!M19&lt;20%,"1",IF(CAELS!M19&lt;25%,"2",IF(CAELS!M19&lt;30%,"3",IF(CAELS!M19&lt;40%,"4","5"))))</f>
        <v>1</v>
      </c>
      <c r="M28" s="95" t="str">
        <f>IF(CAELS!N19&lt;20%,"1",IF(CAELS!N19&lt;25%,"2",IF(CAELS!N19&lt;30%,"3",IF(CAELS!N19&lt;40%,"4","5"))))</f>
        <v>1</v>
      </c>
      <c r="N28" s="95" t="str">
        <f>IF(CAELS!O19&lt;20%,"1",IF(CAELS!O19&lt;25%,"2",IF(CAELS!O19&lt;30%,"3",IF(CAELS!O19&lt;40%,"4","5"))))</f>
        <v>1</v>
      </c>
      <c r="O28" s="95" t="str">
        <f>IF(CAELS!P19&lt;20%,"1",IF(CAELS!P19&lt;25%,"2",IF(CAELS!P19&lt;30%,"3",IF(CAELS!P19&lt;40%,"4","5"))))</f>
        <v>1</v>
      </c>
      <c r="P28" s="95" t="str">
        <f>IF(CAELS!Q19&lt;20%,"1",IF(CAELS!Q19&lt;25%,"2",IF(CAELS!Q19&lt;30%,"3",IF(CAELS!Q19&lt;40%,"4","5"))))</f>
        <v>1</v>
      </c>
      <c r="Q28" s="95" t="str">
        <f>IF(CAELS!R19&lt;20%,"1",IF(CAELS!R19&lt;25%,"2",IF(CAELS!R19&lt;30%,"3",IF(CAELS!R19&lt;40%,"4","5"))))</f>
        <v>1</v>
      </c>
      <c r="R28" s="95" t="str">
        <f>IF(CAELS!S19&lt;20%,"1",IF(CAELS!S19&lt;25%,"2",IF(CAELS!S19&lt;30%,"3",IF(CAELS!S19&lt;40%,"4","5"))))</f>
        <v>1</v>
      </c>
      <c r="S28" s="95" t="str">
        <f>IF(CAELS!T19&lt;20%,"1",IF(CAELS!T19&lt;25%,"2",IF(CAELS!T19&lt;30%,"3",IF(CAELS!T19&lt;40%,"4","5"))))</f>
        <v>1</v>
      </c>
      <c r="T28" s="95" t="str">
        <f>IF(CAELS!U19&lt;20%,"1",IF(CAELS!U19&lt;25%,"2",IF(CAELS!U19&lt;30%,"3",IF(CAELS!U19&lt;40%,"4","5"))))</f>
        <v>1</v>
      </c>
      <c r="U28" s="95" t="str">
        <f>IF(CAELS!V19&lt;20%,"1",IF(CAELS!V19&lt;25%,"2",IF(CAELS!V19&lt;30%,"3",IF(CAELS!V19&lt;40%,"4","5"))))</f>
        <v>1</v>
      </c>
      <c r="V28" s="95" t="str">
        <f>IF(CAELS!W19&lt;20%,"1",IF(CAELS!W19&lt;25%,"2",IF(CAELS!W19&lt;30%,"3",IF(CAELS!W19&lt;40%,"4","5"))))</f>
        <v>1</v>
      </c>
      <c r="W28" s="95" t="str">
        <f>IF(CAELS!X19&lt;20%,"1",IF(CAELS!X19&lt;25%,"2",IF(CAELS!X19&lt;30%,"3",IF(CAELS!X19&lt;40%,"4","5"))))</f>
        <v>1</v>
      </c>
      <c r="X28" s="95" t="str">
        <f>IF(CAELS!Y19&lt;20%,"1",IF(CAELS!Y19&lt;25%,"2",IF(CAELS!Y19&lt;30%,"3",IF(CAELS!Y19&lt;40%,"4","5"))))</f>
        <v>1</v>
      </c>
      <c r="Y28" s="95" t="str">
        <f>IF(CAELS!Z19&lt;20%,"1",IF(CAELS!Z19&lt;25%,"2",IF(CAELS!Z19&lt;30%,"3",IF(CAELS!Z19&lt;40%,"4","5"))))</f>
        <v>1</v>
      </c>
      <c r="Z28" s="95" t="str">
        <f>IF(CAELS!AA19&lt;20%,"1",IF(CAELS!AA19&lt;25%,"2",IF(CAELS!AA19&lt;30%,"3",IF(CAELS!AA19&lt;40%,"4","5"))))</f>
        <v>1</v>
      </c>
      <c r="AA28" s="95" t="str">
        <f>IF(CAELS!AB19&lt;20%,"1",IF(CAELS!AB19&lt;25%,"2",IF(CAELS!AB19&lt;30%,"3",IF(CAELS!AB19&lt;40%,"4","5"))))</f>
        <v>1</v>
      </c>
      <c r="AB28" s="95" t="str">
        <f>IF(CAELS!AC19&lt;20%,"1",IF(CAELS!AC19&lt;25%,"2",IF(CAELS!AC19&lt;30%,"3",IF(CAELS!AC19&lt;40%,"4","5"))))</f>
        <v>1</v>
      </c>
      <c r="AC28" s="95" t="str">
        <f>IF(CAELS!AD19&lt;20%,"1",IF(CAELS!AD19&lt;25%,"2",IF(CAELS!AD19&lt;30%,"3",IF(CAELS!AD19&lt;40%,"4","5"))))</f>
        <v>1</v>
      </c>
      <c r="AD28" s="95" t="str">
        <f>IF(CAELS!AE19&lt;20%,"1",IF(CAELS!AE19&lt;25%,"2",IF(CAELS!AE19&lt;30%,"3",IF(CAELS!AE19&lt;40%,"4","5"))))</f>
        <v>1</v>
      </c>
      <c r="AE28" s="95" t="str">
        <f>IF(CAELS!AF19&lt;20%,"1",IF(CAELS!AF19&lt;25%,"2",IF(CAELS!AF19&lt;30%,"3",IF(CAELS!AF19&lt;40%,"4","5"))))</f>
        <v>1</v>
      </c>
    </row>
    <row r="29" spans="1:32">
      <c r="A29" s="46"/>
      <c r="B29" s="2"/>
      <c r="C29" s="109">
        <f t="shared" ref="C29:K29" si="9">(C25+C26+C27+C28)/4</f>
        <v>3</v>
      </c>
      <c r="D29" s="109">
        <f t="shared" si="9"/>
        <v>3.5</v>
      </c>
      <c r="E29" s="109">
        <f t="shared" si="9"/>
        <v>3.5</v>
      </c>
      <c r="F29" s="109">
        <f t="shared" si="9"/>
        <v>3.5</v>
      </c>
      <c r="G29" s="109">
        <f t="shared" si="9"/>
        <v>3.75</v>
      </c>
      <c r="H29" s="109">
        <f t="shared" si="9"/>
        <v>3.75</v>
      </c>
      <c r="I29" s="109">
        <f t="shared" si="9"/>
        <v>4</v>
      </c>
      <c r="J29" s="109">
        <f t="shared" si="9"/>
        <v>4</v>
      </c>
      <c r="K29" s="109">
        <f t="shared" si="9"/>
        <v>4</v>
      </c>
      <c r="L29" s="109">
        <f t="shared" ref="L29:S29" si="10">(L25+L26+L27+L28)/4</f>
        <v>4</v>
      </c>
      <c r="M29" s="109">
        <f t="shared" si="10"/>
        <v>4</v>
      </c>
      <c r="N29" s="109">
        <f t="shared" si="10"/>
        <v>4</v>
      </c>
      <c r="O29" s="109">
        <f t="shared" si="10"/>
        <v>4</v>
      </c>
      <c r="P29" s="109">
        <f t="shared" si="10"/>
        <v>4</v>
      </c>
      <c r="Q29" s="109">
        <f t="shared" si="10"/>
        <v>4</v>
      </c>
      <c r="R29" s="109">
        <f t="shared" si="10"/>
        <v>4</v>
      </c>
      <c r="S29" s="109">
        <f t="shared" si="10"/>
        <v>4</v>
      </c>
      <c r="T29" s="109">
        <f>(T25+T26+T27+T28)/4</f>
        <v>4</v>
      </c>
      <c r="U29" s="109">
        <f t="shared" ref="U29:AE29" si="11">(U25+U26+U27+U28)/4</f>
        <v>4</v>
      </c>
      <c r="V29" s="109">
        <f t="shared" si="11"/>
        <v>4</v>
      </c>
      <c r="W29" s="109">
        <f t="shared" si="11"/>
        <v>4</v>
      </c>
      <c r="X29" s="109">
        <f t="shared" si="11"/>
        <v>4</v>
      </c>
      <c r="Y29" s="109">
        <f t="shared" si="11"/>
        <v>4</v>
      </c>
      <c r="Z29" s="109">
        <f t="shared" si="11"/>
        <v>4</v>
      </c>
      <c r="AA29" s="109">
        <f t="shared" si="11"/>
        <v>4</v>
      </c>
      <c r="AB29" s="109">
        <f t="shared" si="11"/>
        <v>4</v>
      </c>
      <c r="AC29" s="109">
        <f t="shared" si="11"/>
        <v>4</v>
      </c>
      <c r="AD29" s="109">
        <f t="shared" si="11"/>
        <v>4</v>
      </c>
      <c r="AE29" s="109">
        <f t="shared" si="11"/>
        <v>4</v>
      </c>
    </row>
    <row r="30" spans="1:32" ht="15.75" thickBot="1">
      <c r="A30" s="100" t="s">
        <v>236</v>
      </c>
      <c r="B30" s="101"/>
      <c r="C30" s="110">
        <f t="shared" ref="C30:K30" si="12">(C9+C12+C17+C23)/4</f>
        <v>1.8333333333333335</v>
      </c>
      <c r="D30" s="110">
        <f t="shared" si="12"/>
        <v>2.375</v>
      </c>
      <c r="E30" s="110">
        <f t="shared" si="12"/>
        <v>2.5416666666666665</v>
      </c>
      <c r="F30" s="110">
        <f t="shared" si="12"/>
        <v>2.2083333333333335</v>
      </c>
      <c r="G30" s="110">
        <f t="shared" si="12"/>
        <v>1.7708333333333335</v>
      </c>
      <c r="H30" s="110">
        <f t="shared" si="12"/>
        <v>1.5</v>
      </c>
      <c r="I30" s="110">
        <f t="shared" si="12"/>
        <v>2.0625</v>
      </c>
      <c r="J30" s="110">
        <f t="shared" si="12"/>
        <v>2.1041666666666665</v>
      </c>
      <c r="K30" s="110">
        <f t="shared" si="12"/>
        <v>1.5208333333333335</v>
      </c>
      <c r="L30" s="110" t="e">
        <f t="shared" ref="L30:S30" si="13">(L9+L12+L17+L23)/4</f>
        <v>#REF!</v>
      </c>
      <c r="M30" s="110">
        <f t="shared" si="13"/>
        <v>1.7708333333333335</v>
      </c>
      <c r="N30" s="110">
        <f t="shared" si="13"/>
        <v>1.6666666666666665</v>
      </c>
      <c r="O30" s="110" t="e">
        <f t="shared" si="13"/>
        <v>#REF!</v>
      </c>
      <c r="P30" s="110">
        <f t="shared" si="13"/>
        <v>1.6666666666666665</v>
      </c>
      <c r="Q30" s="110">
        <f t="shared" si="13"/>
        <v>1.7083333333333335</v>
      </c>
      <c r="R30" s="110" t="e">
        <f t="shared" si="13"/>
        <v>#REF!</v>
      </c>
      <c r="S30" s="110">
        <f t="shared" si="13"/>
        <v>1.8333333333333335</v>
      </c>
      <c r="T30" s="110">
        <f>(T9+T12+T17+T23)/4</f>
        <v>1.6875</v>
      </c>
      <c r="U30" s="110" t="e">
        <f t="shared" ref="U30:AE30" si="14">(U9+U12+U17+U23)/4</f>
        <v>#REF!</v>
      </c>
      <c r="V30" s="110" t="e">
        <f t="shared" si="14"/>
        <v>#REF!</v>
      </c>
      <c r="W30" s="110" t="e">
        <f t="shared" si="14"/>
        <v>#REF!</v>
      </c>
      <c r="X30" s="110" t="e">
        <f t="shared" si="14"/>
        <v>#REF!</v>
      </c>
      <c r="Y30" s="110">
        <f t="shared" si="14"/>
        <v>2.0208333333333335</v>
      </c>
      <c r="Z30" s="110" t="e">
        <f t="shared" si="14"/>
        <v>#REF!</v>
      </c>
      <c r="AA30" s="110" t="e">
        <f t="shared" si="14"/>
        <v>#REF!</v>
      </c>
      <c r="AB30" s="110">
        <f t="shared" si="14"/>
        <v>1.875</v>
      </c>
      <c r="AC30" s="110" t="e">
        <f t="shared" si="14"/>
        <v>#REF!</v>
      </c>
      <c r="AD30" s="110" t="e">
        <f t="shared" si="14"/>
        <v>#REF!</v>
      </c>
      <c r="AE30" s="110">
        <f t="shared" si="14"/>
        <v>1.8333333333333335</v>
      </c>
    </row>
  </sheetData>
  <mergeCells count="1"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14"/>
  <sheetViews>
    <sheetView tabSelected="1" workbookViewId="0">
      <pane xSplit="1" ySplit="2" topLeftCell="U3" activePane="bottomRight" state="frozen"/>
      <selection pane="bottomRight" activeCell="U3" sqref="U3"/>
      <selection pane="bottomLeft" activeCell="A3" sqref="A3"/>
      <selection pane="topRight" activeCell="B1" sqref="B1"/>
    </sheetView>
  </sheetViews>
  <sheetFormatPr defaultRowHeight="15"/>
  <cols>
    <col min="1" max="1" width="16.85546875" bestFit="1" customWidth="1"/>
    <col min="2" max="2" width="15.5703125" bestFit="1" customWidth="1"/>
    <col min="3" max="4" width="15.85546875" bestFit="1" customWidth="1"/>
    <col min="5" max="5" width="15.5703125" bestFit="1" customWidth="1"/>
    <col min="6" max="6" width="15.85546875" bestFit="1" customWidth="1"/>
    <col min="7" max="8" width="15.5703125" bestFit="1" customWidth="1"/>
    <col min="9" max="9" width="15.85546875" bestFit="1" customWidth="1"/>
    <col min="10" max="10" width="14.7109375" bestFit="1" customWidth="1"/>
    <col min="11" max="14" width="15.85546875" bestFit="1" customWidth="1"/>
    <col min="15" max="15" width="14.7109375" bestFit="1" customWidth="1"/>
    <col min="16" max="20" width="15.85546875" bestFit="1" customWidth="1"/>
    <col min="21" max="21" width="14.7109375" bestFit="1" customWidth="1"/>
  </cols>
  <sheetData>
    <row r="2" spans="1:21" ht="15.75">
      <c r="B2" s="102" t="s">
        <v>0</v>
      </c>
      <c r="C2" s="102" t="s">
        <v>237</v>
      </c>
      <c r="D2" s="102" t="s">
        <v>2</v>
      </c>
      <c r="E2" s="102" t="s">
        <v>3</v>
      </c>
      <c r="F2" s="102" t="s">
        <v>4</v>
      </c>
      <c r="G2" s="102" t="s">
        <v>5</v>
      </c>
      <c r="H2" s="102" t="s">
        <v>111</v>
      </c>
      <c r="I2" s="102">
        <v>42736</v>
      </c>
      <c r="J2" s="102">
        <v>42767</v>
      </c>
      <c r="K2" s="102">
        <v>42795</v>
      </c>
      <c r="L2" s="102">
        <v>42826</v>
      </c>
      <c r="M2" s="102">
        <v>42856</v>
      </c>
      <c r="N2" s="102">
        <v>42887</v>
      </c>
      <c r="O2" s="102">
        <v>42917</v>
      </c>
      <c r="P2" s="102">
        <v>42948</v>
      </c>
      <c r="Q2" s="102">
        <v>42979</v>
      </c>
      <c r="R2" s="102">
        <v>43009</v>
      </c>
      <c r="S2" s="102">
        <v>43040</v>
      </c>
      <c r="T2" s="102">
        <v>43070</v>
      </c>
      <c r="U2" s="102" t="s">
        <v>213</v>
      </c>
    </row>
    <row r="3" spans="1:21">
      <c r="A3" s="103" t="s">
        <v>215</v>
      </c>
      <c r="B3" s="2" t="str">
        <f>IF(CAELS!D3&gt;10,"Compliant","Non-Compliant")</f>
        <v>Compliant</v>
      </c>
      <c r="C3" s="2" t="str">
        <f>IF(CAELS!E3&gt;10,"Compliant","Non-Compliant")</f>
        <v>Compliant</v>
      </c>
      <c r="D3" s="2" t="str">
        <f>IF(CAELS!F3&gt;10,"Compliant","Non-Compliant")</f>
        <v>Compliant</v>
      </c>
      <c r="E3" s="2" t="str">
        <f>IF(CAELS!G3&gt;10,"Compliant","Non-Compliant")</f>
        <v>Compliant</v>
      </c>
      <c r="F3" s="2" t="str">
        <f>IF(CAELS!H3&gt;10,"Compliant","Non-Compliant")</f>
        <v>Compliant</v>
      </c>
      <c r="G3" s="2" t="str">
        <f>IF(CAELS!I3&gt;10,"Compliant","Non-Compliant")</f>
        <v>Compliant</v>
      </c>
      <c r="H3" s="2" t="str">
        <f>IF(CAELS!J3&gt;10,"Compliant","Non-Compliant")</f>
        <v>Compliant</v>
      </c>
      <c r="I3" s="2" t="str">
        <f>IF(CAELS!K3&gt;10,"Compliant","Non-Compliant")</f>
        <v>Compliant</v>
      </c>
      <c r="J3" s="2" t="str">
        <f>IF(CAELS!L3&gt;10,"Compliant","Non-Compliant")</f>
        <v>Compliant</v>
      </c>
      <c r="K3" s="2" t="str">
        <f>IF(CAELS!M3&gt;10,"Compliant","Non-Compliant")</f>
        <v>Compliant</v>
      </c>
      <c r="L3" s="2" t="str">
        <f>IF(CAELS!N3&gt;10,"Compliant","Non-Compliant")</f>
        <v>Compliant</v>
      </c>
      <c r="M3" s="2" t="str">
        <f>IF(CAELS!O3&gt;10,"Compliant","Non-Compliant")</f>
        <v>Compliant</v>
      </c>
      <c r="N3" s="2" t="str">
        <f>IF(CAELS!P3&gt;10,"Compliant","Non-Compliant")</f>
        <v>Compliant</v>
      </c>
      <c r="O3" s="2" t="str">
        <f>IF(CAELS!Q3&gt;10,"Compliant","Non-Compliant")</f>
        <v>Compliant</v>
      </c>
      <c r="P3" s="2" t="str">
        <f>IF(CAELS!R3&gt;10,"Compliant","Non-Compliant")</f>
        <v>Compliant</v>
      </c>
      <c r="Q3" s="2" t="str">
        <f>IF(CAELS!S3&gt;10,"Compliant","Non-Compliant")</f>
        <v>Compliant</v>
      </c>
      <c r="R3" s="2" t="str">
        <f>IF(CAELS!T3&gt;10,"Compliant","Non-Compliant")</f>
        <v>Compliant</v>
      </c>
      <c r="S3" s="2" t="str">
        <f>IF(CAELS!U3&gt;10,"Compliant","Non-Compliant")</f>
        <v>Compliant</v>
      </c>
      <c r="T3" s="2" t="str">
        <f>IF(CAELS!V3&gt;10,"Compliant","Non-Compliant")</f>
        <v>Compliant</v>
      </c>
      <c r="U3" s="2" t="str">
        <f>IF(CAELS!W3&gt;10,"Compliant","Non-Compliant")</f>
        <v>Compliant</v>
      </c>
    </row>
    <row r="4" spans="1:21">
      <c r="A4" s="104" t="s">
        <v>238</v>
      </c>
      <c r="B4" s="2" t="str">
        <f>IF(CAELS!D4&gt;10%,"Compliant","Non-Compliant")</f>
        <v>Compliant</v>
      </c>
      <c r="C4" s="2" t="str">
        <f>IF(CAELS!E4&gt;10%,"Compliant","Non-Compliant")</f>
        <v>Compliant</v>
      </c>
      <c r="D4" s="2" t="str">
        <f>IF(CAELS!F4&gt;10%,"Compliant","Non-Compliant")</f>
        <v>Compliant</v>
      </c>
      <c r="E4" s="2" t="str">
        <f>IF(CAELS!G4&gt;10%,"Compliant","Non-Compliant")</f>
        <v>Compliant</v>
      </c>
      <c r="F4" s="2" t="str">
        <f>IF(CAELS!H4&gt;10%,"Compliant","Non-Compliant")</f>
        <v>Compliant</v>
      </c>
      <c r="G4" s="2" t="str">
        <f>IF(CAELS!I4&gt;10%,"Compliant","Non-Compliant")</f>
        <v>Compliant</v>
      </c>
      <c r="H4" s="2" t="str">
        <f>IF(CAELS!J4&gt;10%,"Compliant","Non-Compliant")</f>
        <v>Compliant</v>
      </c>
      <c r="I4" s="2" t="str">
        <f>IF(CAELS!K4&gt;10%,"Compliant","Non-Compliant")</f>
        <v>Compliant</v>
      </c>
      <c r="J4" s="2" t="str">
        <f>IF(CAELS!L4&gt;10%,"Compliant","Non-Compliant")</f>
        <v>Compliant</v>
      </c>
      <c r="K4" s="2" t="str">
        <f>IF(CAELS!M4&gt;10%,"Compliant","Non-Compliant")</f>
        <v>Compliant</v>
      </c>
      <c r="L4" s="2" t="str">
        <f>IF(CAELS!N4&gt;10%,"Compliant","Non-Compliant")</f>
        <v>Compliant</v>
      </c>
      <c r="M4" s="2" t="str">
        <f>IF(CAELS!O4&gt;10%,"Compliant","Non-Compliant")</f>
        <v>Compliant</v>
      </c>
      <c r="N4" s="2" t="str">
        <f>IF(CAELS!P4&gt;10%,"Compliant","Non-Compliant")</f>
        <v>Compliant</v>
      </c>
      <c r="O4" s="2" t="str">
        <f>IF(CAELS!Q4&gt;10%,"Compliant","Non-Compliant")</f>
        <v>Compliant</v>
      </c>
      <c r="P4" s="2" t="str">
        <f>IF(CAELS!R4&gt;10%,"Compliant","Non-Compliant")</f>
        <v>Compliant</v>
      </c>
      <c r="Q4" s="2" t="str">
        <f>IF(CAELS!S4&gt;10%,"Compliant","Non-Compliant")</f>
        <v>Compliant</v>
      </c>
      <c r="R4" s="2" t="str">
        <f>IF(CAELS!T4&gt;10%,"Compliant","Non-Compliant")</f>
        <v>Compliant</v>
      </c>
      <c r="S4" s="2" t="str">
        <f>IF(CAELS!U4&gt;10%,"Compliant","Non-Compliant")</f>
        <v>Compliant</v>
      </c>
      <c r="T4" s="2" t="str">
        <f>IF(CAELS!V4&gt;10%,"Compliant","Non-Compliant")</f>
        <v>Compliant</v>
      </c>
      <c r="U4" s="2" t="str">
        <f>IF(CAELS!W4&gt;10%,"Compliant","Non-Compliant")</f>
        <v>Compliant</v>
      </c>
    </row>
    <row r="5" spans="1:21">
      <c r="A5" s="104" t="s">
        <v>239</v>
      </c>
      <c r="B5" s="2" t="str">
        <f>IF(CAELS!D6&gt;8%,"Compliant","Non-Compliant")</f>
        <v>Compliant</v>
      </c>
      <c r="C5" s="2" t="str">
        <f>IF(CAELS!E6&gt;8%,"Compliant","Non-Compliant")</f>
        <v>Non-Compliant</v>
      </c>
      <c r="D5" s="2" t="str">
        <f>IF(CAELS!F6&gt;8%,"Compliant","Non-Compliant")</f>
        <v>Compliant</v>
      </c>
      <c r="E5" s="2" t="str">
        <f>IF(CAELS!G6&gt;8%,"Compliant","Non-Compliant")</f>
        <v>Compliant</v>
      </c>
      <c r="F5" s="2" t="str">
        <f>IF(CAELS!H6&gt;8%,"Compliant","Non-Compliant")</f>
        <v>Compliant</v>
      </c>
      <c r="G5" s="2" t="str">
        <f>IF(CAELS!I6&gt;8%,"Compliant","Non-Compliant")</f>
        <v>Compliant</v>
      </c>
      <c r="H5" s="2" t="str">
        <f>IF(CAELS!J6&gt;8%,"Compliant","Non-Compliant")</f>
        <v>Compliant</v>
      </c>
      <c r="I5" s="2" t="str">
        <f>IF(CAELS!K6&gt;8%,"Compliant","Non-Compliant")</f>
        <v>Compliant</v>
      </c>
      <c r="J5" s="2" t="str">
        <f>IF(CAELS!L6&gt;8%,"Compliant","Non-Compliant")</f>
        <v>Compliant</v>
      </c>
      <c r="K5" s="2" t="str">
        <f>IF(CAELS!M6&gt;8%,"Compliant","Non-Compliant")</f>
        <v>Compliant</v>
      </c>
      <c r="L5" s="2" t="str">
        <f>IF(CAELS!N6&gt;8%,"Compliant","Non-Compliant")</f>
        <v>Compliant</v>
      </c>
      <c r="M5" s="2" t="str">
        <f>IF(CAELS!O6&gt;8%,"Compliant","Non-Compliant")</f>
        <v>Compliant</v>
      </c>
      <c r="N5" s="2" t="str">
        <f>IF(CAELS!P6&gt;8%,"Compliant","Non-Compliant")</f>
        <v>Compliant</v>
      </c>
      <c r="O5" s="2" t="str">
        <f>IF(CAELS!Q6&gt;8%,"Compliant","Non-Compliant")</f>
        <v>Compliant</v>
      </c>
      <c r="P5" s="2" t="str">
        <f>IF(CAELS!R6&gt;8%,"Compliant","Non-Compliant")</f>
        <v>Compliant</v>
      </c>
      <c r="Q5" s="2" t="str">
        <f>IF(CAELS!S6&gt;8%,"Compliant","Non-Compliant")</f>
        <v>Compliant</v>
      </c>
      <c r="R5" s="2" t="str">
        <f>IF(CAELS!T6&gt;8%,"Compliant","Non-Compliant")</f>
        <v>Compliant</v>
      </c>
      <c r="S5" s="2" t="str">
        <f>IF(CAELS!U6&gt;8%,"Compliant","Non-Compliant")</f>
        <v>Compliant</v>
      </c>
      <c r="T5" s="2" t="str">
        <f>IF(CAELS!V6&gt;8%,"Compliant","Non-Compliant")</f>
        <v>Compliant</v>
      </c>
      <c r="U5" s="2" t="str">
        <f>IF(CAELS!W6&gt;8%,"Compliant","Non-Compliant")</f>
        <v>Compliant</v>
      </c>
    </row>
    <row r="6" spans="1:21">
      <c r="A6" s="104" t="s">
        <v>240</v>
      </c>
      <c r="B6" s="2" t="str">
        <f>IF(CAELS!D5&gt;8%,"Compliant","Non-Compiant")</f>
        <v>Compliant</v>
      </c>
      <c r="C6" s="2" t="str">
        <f>IF(CAELS!E5&gt;8%,"Compliant","Non-Compiant")</f>
        <v>Compliant</v>
      </c>
      <c r="D6" s="2" t="str">
        <f>IF(CAELS!F5&gt;8%,"Compliant","Non-Compiant")</f>
        <v>Compliant</v>
      </c>
      <c r="E6" s="2" t="str">
        <f>IF(CAELS!G5&gt;8%,"Compliant","Non-Compiant")</f>
        <v>Compliant</v>
      </c>
      <c r="F6" s="2" t="str">
        <f>IF(CAELS!H5&gt;8%,"Compliant","Non-Compiant")</f>
        <v>Compliant</v>
      </c>
      <c r="G6" s="2" t="str">
        <f>IF(CAELS!I5&gt;8%,"Compliant","Non-Compiant")</f>
        <v>Compliant</v>
      </c>
      <c r="H6" s="2" t="str">
        <f>IF(CAELS!J5&gt;8%,"Compliant","Non-Compiant")</f>
        <v>Compliant</v>
      </c>
      <c r="I6" s="2" t="str">
        <f>IF(CAELS!K5&gt;8%,"Compliant","Non-Compiant")</f>
        <v>Compliant</v>
      </c>
      <c r="J6" s="2" t="str">
        <f>IF(CAELS!L5&gt;8%,"Compliant","Non-Compiant")</f>
        <v>Compliant</v>
      </c>
      <c r="K6" s="2" t="str">
        <f>IF(CAELS!M5&gt;8%,"Compliant","Non-Compiant")</f>
        <v>Compliant</v>
      </c>
      <c r="L6" s="2" t="str">
        <f>IF(CAELS!N5&gt;8%,"Compliant","Non-Compiant")</f>
        <v>Compliant</v>
      </c>
      <c r="M6" s="2" t="str">
        <f>IF(CAELS!O5&gt;8%,"Compliant","Non-Compiant")</f>
        <v>Compliant</v>
      </c>
      <c r="N6" s="2" t="str">
        <f>IF(CAELS!P5&gt;8%,"Compliant","Non-Compiant")</f>
        <v>Compliant</v>
      </c>
      <c r="O6" s="2" t="str">
        <f>IF(CAELS!Q5&gt;8%,"Compliant","Non-Compiant")</f>
        <v>Compliant</v>
      </c>
      <c r="P6" s="2" t="str">
        <f>IF(CAELS!R5&gt;8%,"Compliant","Non-Compiant")</f>
        <v>Compliant</v>
      </c>
      <c r="Q6" s="2" t="str">
        <f>IF(CAELS!S5&gt;8%,"Compliant","Non-Compiant")</f>
        <v>Compliant</v>
      </c>
      <c r="R6" s="2" t="str">
        <f>IF(CAELS!T5&gt;8%,"Compliant","Non-Compiant")</f>
        <v>Compliant</v>
      </c>
      <c r="S6" s="2" t="str">
        <f>IF(CAELS!U5&gt;8%,"Compliant","Non-Compiant")</f>
        <v>Compliant</v>
      </c>
      <c r="T6" s="2" t="str">
        <f>IF(CAELS!V5&gt;8%,"Compliant","Non-Compiant")</f>
        <v>Compliant</v>
      </c>
      <c r="U6" s="2" t="str">
        <f>IF(CAELS!W5&gt;8%,"Compliant","Non-Compiant")</f>
        <v>Compliant</v>
      </c>
    </row>
    <row r="7" spans="1:21">
      <c r="A7" s="104" t="s">
        <v>241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104" t="s">
        <v>242</v>
      </c>
      <c r="B8" s="2" t="str">
        <f>IF(CAELS!D12&gt;15%,"Compliant","Non-Compliant")</f>
        <v>Compliant</v>
      </c>
      <c r="C8" s="2" t="str">
        <f>IF(CAELS!E12&gt;15%,"Compliant","Non-Compliant")</f>
        <v>Non-Compliant</v>
      </c>
      <c r="D8" s="2" t="str">
        <f>IF(CAELS!F12&gt;15%,"Compliant","Non-Compliant")</f>
        <v>Non-Compliant</v>
      </c>
      <c r="E8" s="2" t="str">
        <f>IF(CAELS!G12&gt;15%,"Compliant","Non-Compliant")</f>
        <v>Non-Compliant</v>
      </c>
      <c r="F8" s="2" t="str">
        <f>IF(CAELS!H12&gt;15%,"Compliant","Non-Compliant")</f>
        <v>Compliant</v>
      </c>
      <c r="G8" s="2" t="str">
        <f>IF(CAELS!I12&gt;15%,"Compliant","Non-Compliant")</f>
        <v>Compliant</v>
      </c>
      <c r="H8" s="2" t="str">
        <f>IF(CAELS!J12&gt;15%,"Compliant","Non-Compliant")</f>
        <v>Compliant</v>
      </c>
      <c r="I8" s="2" t="str">
        <f>IF(CAELS!K12&gt;15%,"Compliant","Non-Compliant")</f>
        <v>Compliant</v>
      </c>
      <c r="J8" s="2" t="str">
        <f>IF(CAELS!L12&gt;15%,"Compliant","Non-Compliant")</f>
        <v>Compliant</v>
      </c>
      <c r="K8" s="2" t="str">
        <f>IF(CAELS!M12&gt;15%,"Compliant","Non-Compliant")</f>
        <v>Compliant</v>
      </c>
      <c r="L8" s="2" t="str">
        <f>IF(CAELS!N12&gt;15%,"Compliant","Non-Compliant")</f>
        <v>Compliant</v>
      </c>
      <c r="M8" s="2" t="str">
        <f>IF(CAELS!O12&gt;15%,"Compliant","Non-Compliant")</f>
        <v>Compliant</v>
      </c>
      <c r="N8" s="2" t="str">
        <f>IF(CAELS!P12&gt;15%,"Compliant","Non-Compliant")</f>
        <v>Compliant</v>
      </c>
      <c r="O8" s="2" t="str">
        <f>IF(CAELS!Q12&gt;15%,"Compliant","Non-Compliant")</f>
        <v>Compliant</v>
      </c>
      <c r="P8" s="2" t="str">
        <f>IF(CAELS!R12&gt;15%,"Compliant","Non-Compliant")</f>
        <v>Compliant</v>
      </c>
      <c r="Q8" s="2" t="str">
        <f>IF(CAELS!S12&gt;15%,"Compliant","Non-Compliant")</f>
        <v>Compliant</v>
      </c>
      <c r="R8" s="2" t="str">
        <f>IF(CAELS!T12&gt;15%,"Compliant","Non-Compliant")</f>
        <v>Compliant</v>
      </c>
      <c r="S8" s="2" t="str">
        <f>IF(CAELS!U12&gt;15%,"Compliant","Non-Compliant")</f>
        <v>Compliant</v>
      </c>
      <c r="T8" s="2" t="str">
        <f>IF(CAELS!V12&gt;15%,"Compliant","Non-Compliant")</f>
        <v>Compliant</v>
      </c>
      <c r="U8" s="2" t="str">
        <f>IF(CAELS!W12&gt;15%,"Compliant","Non-Compliant")</f>
        <v>Compliant</v>
      </c>
    </row>
    <row r="9" spans="1:21">
      <c r="A9" s="104" t="s">
        <v>243</v>
      </c>
      <c r="B9" s="2" t="str">
        <f>IF(CAELS!D16&lt;10%,"Compliant","Non-Compliant")</f>
        <v>Non-Compliant</v>
      </c>
      <c r="C9" s="2" t="str">
        <f>IF(CAELS!E16&lt;10%,"Compliant","Non-Compliant")</f>
        <v>Non-Compliant</v>
      </c>
      <c r="D9" s="2" t="str">
        <f>IF(CAELS!F16&lt;10%,"Compliant","Non-Compliant")</f>
        <v>Non-Compliant</v>
      </c>
      <c r="E9" s="2" t="str">
        <f>IF(CAELS!G16&lt;10%,"Compliant","Non-Compliant")</f>
        <v>Non-Compliant</v>
      </c>
      <c r="F9" s="2" t="str">
        <f>IF(CAELS!H16&lt;10%,"Compliant","Non-Compliant")</f>
        <v>Non-Compliant</v>
      </c>
      <c r="G9" s="2" t="str">
        <f>IF(CAELS!I16&lt;10%,"Compliant","Non-Compliant")</f>
        <v>Non-Compliant</v>
      </c>
      <c r="H9" s="2" t="str">
        <f>IF(CAELS!J16&lt;10%,"Compliant","Non-Compliant")</f>
        <v>Non-Compliant</v>
      </c>
      <c r="I9" s="2" t="str">
        <f>IF(CAELS!K16&lt;10%,"Compliant","Non-Compliant")</f>
        <v>Non-Compliant</v>
      </c>
      <c r="J9" s="2" t="str">
        <f>IF(CAELS!L16&lt;10%,"Compliant","Non-Compliant")</f>
        <v>Non-Compliant</v>
      </c>
      <c r="K9" s="2" t="str">
        <f>IF(CAELS!M16&lt;10%,"Compliant","Non-Compliant")</f>
        <v>Non-Compliant</v>
      </c>
      <c r="L9" s="2" t="str">
        <f>IF(CAELS!N16&lt;10%,"Compliant","Non-Compliant")</f>
        <v>Non-Compliant</v>
      </c>
      <c r="M9" s="2" t="str">
        <f>IF(CAELS!O16&lt;10%,"Compliant","Non-Compliant")</f>
        <v>Non-Compliant</v>
      </c>
      <c r="N9" s="2" t="str">
        <f>IF(CAELS!P16&lt;10%,"Compliant","Non-Compliant")</f>
        <v>Non-Compliant</v>
      </c>
      <c r="O9" s="2" t="str">
        <f>IF(CAELS!Q16&lt;10%,"Compliant","Non-Compliant")</f>
        <v>Non-Compliant</v>
      </c>
      <c r="P9" s="2" t="str">
        <f>IF(CAELS!R16&lt;10%,"Compliant","Non-Compliant")</f>
        <v>Non-Compliant</v>
      </c>
      <c r="Q9" s="2" t="str">
        <f>IF(CAELS!S16&lt;10%,"Compliant","Non-Compliant")</f>
        <v>Non-Compliant</v>
      </c>
      <c r="R9" s="2" t="str">
        <f>IF(CAELS!T16&lt;10%,"Compliant","Non-Compliant")</f>
        <v>Non-Compliant</v>
      </c>
      <c r="S9" s="2" t="str">
        <f>IF(CAELS!U16&lt;10%,"Compliant","Non-Compliant")</f>
        <v>Non-Compliant</v>
      </c>
      <c r="T9" s="2" t="str">
        <f>IF(CAELS!V16&lt;10%,"Compliant","Non-Compliant")</f>
        <v>Non-Compliant</v>
      </c>
      <c r="U9" s="2" t="str">
        <f>IF(CAELS!W16&lt;10%,"Compliant","Non-Compliant")</f>
        <v>Non-Compliant</v>
      </c>
    </row>
    <row r="10" spans="1:21">
      <c r="A10" s="104" t="s">
        <v>244</v>
      </c>
      <c r="B10" s="2" t="str">
        <f>IF(CAELS!D17&lt;5%,"Compliant","Non-Compliant")</f>
        <v>Non-Compliant</v>
      </c>
      <c r="C10" s="2" t="str">
        <f>IF(CAELS!E17&lt;5%,"Compliant","Non-Compliant")</f>
        <v>Non-Compliant</v>
      </c>
      <c r="D10" s="2" t="str">
        <f>IF(CAELS!F17&lt;5%,"Compliant","Non-Compliant")</f>
        <v>Non-Compliant</v>
      </c>
      <c r="E10" s="2" t="str">
        <f>IF(CAELS!G17&lt;5%,"Compliant","Non-Compliant")</f>
        <v>Non-Compliant</v>
      </c>
      <c r="F10" s="2" t="str">
        <f>IF(CAELS!H17&lt;5%,"Compliant","Non-Compliant")</f>
        <v>Non-Compliant</v>
      </c>
      <c r="G10" s="2" t="str">
        <f>IF(CAELS!I17&lt;5%,"Compliant","Non-Compliant")</f>
        <v>Non-Compliant</v>
      </c>
      <c r="H10" s="2" t="str">
        <f>IF(CAELS!J17&lt;5%,"Compliant","Non-Compliant")</f>
        <v>Non-Compliant</v>
      </c>
      <c r="I10" s="2" t="str">
        <f>IF(CAELS!K17&lt;5%,"Compliant","Non-Compliant")</f>
        <v>Non-Compliant</v>
      </c>
      <c r="J10" s="2" t="str">
        <f>IF(CAELS!L17&lt;5%,"Compliant","Non-Compliant")</f>
        <v>Non-Compliant</v>
      </c>
      <c r="K10" s="2" t="str">
        <f>IF(CAELS!M17&lt;5%,"Compliant","Non-Compliant")</f>
        <v>Non-Compliant</v>
      </c>
      <c r="L10" s="2" t="str">
        <f>IF(CAELS!N17&lt;5%,"Compliant","Non-Compliant")</f>
        <v>Non-Compliant</v>
      </c>
      <c r="M10" s="2" t="str">
        <f>IF(CAELS!O17&lt;5%,"Compliant","Non-Compliant")</f>
        <v>Non-Compliant</v>
      </c>
      <c r="N10" s="2" t="str">
        <f>IF(CAELS!P17&lt;5%,"Compliant","Non-Compliant")</f>
        <v>Non-Compliant</v>
      </c>
      <c r="O10" s="2" t="str">
        <f>IF(CAELS!Q17&lt;5%,"Compliant","Non-Compliant")</f>
        <v>Non-Compliant</v>
      </c>
      <c r="P10" s="2" t="str">
        <f>IF(CAELS!R17&lt;5%,"Compliant","Non-Compliant")</f>
        <v>Non-Compliant</v>
      </c>
      <c r="Q10" s="2" t="str">
        <f>IF(CAELS!S17&lt;5%,"Compliant","Non-Compliant")</f>
        <v>Non-Compliant</v>
      </c>
      <c r="R10" s="2" t="str">
        <f>IF(CAELS!T17&lt;5%,"Compliant","Non-Compliant")</f>
        <v>Non-Compliant</v>
      </c>
      <c r="S10" s="2" t="str">
        <f>IF(CAELS!U17&lt;5%,"Compliant","Non-Compliant")</f>
        <v>Non-Compliant</v>
      </c>
      <c r="T10" s="2" t="str">
        <f>IF(CAELS!V17&lt;5%,"Compliant","Non-Compliant")</f>
        <v>Non-Compliant</v>
      </c>
      <c r="U10" s="2" t="str">
        <f>IF(CAELS!W17&lt;5%,"Compliant","Non-Compliant")</f>
        <v>Non-Compliant</v>
      </c>
    </row>
    <row r="11" spans="1:21">
      <c r="A11" s="104" t="s">
        <v>245</v>
      </c>
      <c r="B11" s="2" t="str">
        <f>IF(CAELS!D18&lt;5%,"Compliant","Non-Compliant")</f>
        <v>Compliant</v>
      </c>
      <c r="C11" s="2" t="str">
        <f>IF(CAELS!E18&lt;5%,"Compliant","Non-Compliant")</f>
        <v>Compliant</v>
      </c>
      <c r="D11" s="2" t="str">
        <f>IF(CAELS!F18&lt;5%,"Compliant","Non-Compliant")</f>
        <v>Compliant</v>
      </c>
      <c r="E11" s="2" t="str">
        <f>IF(CAELS!G18&lt;5%,"Compliant","Non-Compliant")</f>
        <v>Compliant</v>
      </c>
      <c r="F11" s="2" t="str">
        <f>IF(CAELS!H18&lt;5%,"Compliant","Non-Compliant")</f>
        <v>Compliant</v>
      </c>
      <c r="G11" s="2" t="str">
        <f>IF(CAELS!I18&lt;5%,"Compliant","Non-Compliant")</f>
        <v>Compliant</v>
      </c>
      <c r="H11" s="2" t="str">
        <f>IF(CAELS!J18&lt;5%,"Compliant","Non-Compliant")</f>
        <v>Non-Compliant</v>
      </c>
      <c r="I11" s="2" t="str">
        <f>IF(CAELS!K18&lt;5%,"Compliant","Non-Compliant")</f>
        <v>Non-Compliant</v>
      </c>
      <c r="J11" s="2" t="str">
        <f>IF(CAELS!L18&lt;5%,"Compliant","Non-Compliant")</f>
        <v>Non-Compliant</v>
      </c>
      <c r="K11" s="2" t="str">
        <f>IF(CAELS!M18&lt;5%,"Compliant","Non-Compliant")</f>
        <v>Non-Compliant</v>
      </c>
      <c r="L11" s="2" t="str">
        <f>IF(CAELS!N18&lt;5%,"Compliant","Non-Compliant")</f>
        <v>Non-Compliant</v>
      </c>
      <c r="M11" s="2" t="str">
        <f>IF(CAELS!O18&lt;5%,"Compliant","Non-Compliant")</f>
        <v>Non-Compliant</v>
      </c>
      <c r="N11" s="2" t="str">
        <f>IF(CAELS!P18&lt;5%,"Compliant","Non-Compliant")</f>
        <v>Non-Compliant</v>
      </c>
      <c r="O11" s="2" t="str">
        <f>IF(CAELS!Q18&lt;5%,"Compliant","Non-Compliant")</f>
        <v>Non-Compliant</v>
      </c>
      <c r="P11" s="2" t="str">
        <f>IF(CAELS!R18&lt;5%,"Compliant","Non-Compliant")</f>
        <v>Non-Compliant</v>
      </c>
      <c r="Q11" s="2" t="str">
        <f>IF(CAELS!S18&lt;5%,"Compliant","Non-Compliant")</f>
        <v>Non-Compliant</v>
      </c>
      <c r="R11" s="2" t="str">
        <f>IF(CAELS!T18&lt;5%,"Compliant","Non-Compliant")</f>
        <v>Non-Compliant</v>
      </c>
      <c r="S11" s="2" t="str">
        <f>IF(CAELS!U18&lt;5%,"Compliant","Non-Compliant")</f>
        <v>Non-Compliant</v>
      </c>
      <c r="T11" s="2" t="str">
        <f>IF(CAELS!V18&lt;5%,"Compliant","Non-Compliant")</f>
        <v>Non-Compliant</v>
      </c>
      <c r="U11" s="2" t="str">
        <f>IF(CAELS!W18&lt;5%,"Compliant","Non-Compliant")</f>
        <v>Non-Compliant</v>
      </c>
    </row>
    <row r="12" spans="1:21">
      <c r="A12" s="104" t="s">
        <v>246</v>
      </c>
      <c r="B12" s="2" t="str">
        <f>IF(CAELS!D19&lt;40%,"Compliant","Non-Compliant")</f>
        <v>Compliant</v>
      </c>
      <c r="C12" s="2" t="str">
        <f>IF(CAELS!E19&lt;40%,"Compliant","Non-Compliant")</f>
        <v>Compliant</v>
      </c>
      <c r="D12" s="2" t="str">
        <f>IF(CAELS!F19&lt;40%,"Compliant","Non-Compliant")</f>
        <v>Compliant</v>
      </c>
      <c r="E12" s="2" t="str">
        <f>IF(CAELS!G19&lt;40%,"Compliant","Non-Compliant")</f>
        <v>Compliant</v>
      </c>
      <c r="F12" s="2" t="str">
        <f>IF(CAELS!H19&lt;40%,"Compliant","Non-Compliant")</f>
        <v>Compliant</v>
      </c>
      <c r="G12" s="2" t="str">
        <f>IF(CAELS!I19&lt;40%,"Compliant","Non-Compliant")</f>
        <v>Compliant</v>
      </c>
      <c r="H12" s="2" t="str">
        <f>IF(CAELS!J19&lt;40%,"Compliant","Non-Compliant")</f>
        <v>Compliant</v>
      </c>
      <c r="I12" s="2" t="str">
        <f>IF(CAELS!K19&lt;40%,"Compliant","Non-Compliant")</f>
        <v>Compliant</v>
      </c>
      <c r="J12" s="2" t="str">
        <f>IF(CAELS!L19&lt;40%,"Compliant","Non-Compliant")</f>
        <v>Compliant</v>
      </c>
      <c r="K12" s="2" t="str">
        <f>IF(CAELS!M19&lt;40%,"Compliant","Non-Compliant")</f>
        <v>Compliant</v>
      </c>
      <c r="L12" s="2" t="str">
        <f>IF(CAELS!N19&lt;40%,"Compliant","Non-Compliant")</f>
        <v>Compliant</v>
      </c>
      <c r="M12" s="2" t="str">
        <f>IF(CAELS!O19&lt;40%,"Compliant","Non-Compliant")</f>
        <v>Compliant</v>
      </c>
      <c r="N12" s="2" t="str">
        <f>IF(CAELS!P19&lt;40%,"Compliant","Non-Compliant")</f>
        <v>Compliant</v>
      </c>
      <c r="O12" s="2" t="str">
        <f>IF(CAELS!Q19&lt;40%,"Compliant","Non-Compliant")</f>
        <v>Compliant</v>
      </c>
      <c r="P12" s="2" t="str">
        <f>IF(CAELS!R19&lt;40%,"Compliant","Non-Compliant")</f>
        <v>Compliant</v>
      </c>
      <c r="Q12" s="2" t="str">
        <f>IF(CAELS!S19&lt;40%,"Compliant","Non-Compliant")</f>
        <v>Compliant</v>
      </c>
      <c r="R12" s="2" t="str">
        <f>IF(CAELS!T19&lt;40%,"Compliant","Non-Compliant")</f>
        <v>Compliant</v>
      </c>
      <c r="S12" s="2" t="str">
        <f>IF(CAELS!U19&lt;40%,"Compliant","Non-Compliant")</f>
        <v>Compliant</v>
      </c>
      <c r="T12" s="2" t="str">
        <f>IF(CAELS!V19&lt;40%,"Compliant","Non-Compliant")</f>
        <v>Compliant</v>
      </c>
      <c r="U12" s="2" t="str">
        <f>IF(CAELS!W19&lt;40%,"Compliant","Non-Compliant")</f>
        <v>Compliant</v>
      </c>
    </row>
    <row r="13" spans="1:21">
      <c r="A13" s="104" t="s">
        <v>247</v>
      </c>
      <c r="B13" s="2" t="str">
        <f>IF(CAELS!D14&lt;25%,"Compliant","Non-Compliant")</f>
        <v>Compliant</v>
      </c>
      <c r="C13" s="2" t="str">
        <f>IF(CAELS!E14&lt;25%,"Compliant","Non-Compliant")</f>
        <v>Compliant</v>
      </c>
      <c r="D13" s="2" t="str">
        <f>IF(CAELS!F14&lt;25%,"Compliant","Non-Compliant")</f>
        <v>Compliant</v>
      </c>
      <c r="E13" s="2" t="str">
        <f>IF(CAELS!G14&lt;25%,"Compliant","Non-Compliant")</f>
        <v>Compliant</v>
      </c>
      <c r="F13" s="2" t="str">
        <f>IF(CAELS!H14&lt;25%,"Compliant","Non-Compliant")</f>
        <v>Compliant</v>
      </c>
      <c r="G13" s="2" t="str">
        <f>IF(CAELS!I14&lt;25%,"Compliant","Non-Compliant")</f>
        <v>Compliant</v>
      </c>
      <c r="H13" s="2" t="str">
        <f>IF(CAELS!J14&lt;25%,"Compliant","Non-Compliant")</f>
        <v>Compliant</v>
      </c>
      <c r="I13" s="2" t="str">
        <f>IF(CAELS!K14&lt;25%,"Compliant","Non-Compliant")</f>
        <v>Compliant</v>
      </c>
      <c r="J13" s="2" t="str">
        <f>IF(CAELS!L14&lt;25%,"Compliant","Non-Compliant")</f>
        <v>Compliant</v>
      </c>
      <c r="K13" s="2" t="str">
        <f>IF(CAELS!M14&lt;25%,"Compliant","Non-Compliant")</f>
        <v>Compliant</v>
      </c>
      <c r="L13" s="2" t="str">
        <f>IF(CAELS!N14&lt;25%,"Compliant","Non-Compliant")</f>
        <v>Compliant</v>
      </c>
      <c r="M13" s="2" t="str">
        <f>IF(CAELS!O14&lt;25%,"Compliant","Non-Compliant")</f>
        <v>Compliant</v>
      </c>
      <c r="N13" s="2" t="str">
        <f>IF(CAELS!P14&lt;25%,"Compliant","Non-Compliant")</f>
        <v>Compliant</v>
      </c>
      <c r="O13" s="2" t="str">
        <f>IF(CAELS!Q14&lt;25%,"Compliant","Non-Compliant")</f>
        <v>Compliant</v>
      </c>
      <c r="P13" s="2" t="str">
        <f>IF(CAELS!R14&lt;25%,"Compliant","Non-Compliant")</f>
        <v>Compliant</v>
      </c>
      <c r="Q13" s="2" t="str">
        <f>IF(CAELS!S14&lt;25%,"Compliant","Non-Compliant")</f>
        <v>Compliant</v>
      </c>
      <c r="R13" s="2" t="str">
        <f>IF(CAELS!T14&lt;25%,"Compliant","Non-Compliant")</f>
        <v>Compliant</v>
      </c>
      <c r="S13" s="2" t="str">
        <f>IF(CAELS!U14&lt;25%,"Compliant","Non-Compliant")</f>
        <v>Compliant</v>
      </c>
      <c r="T13" s="2" t="str">
        <f>IF(CAELS!V14&lt;25%,"Compliant","Non-Compliant")</f>
        <v>Compliant</v>
      </c>
      <c r="U13" s="2" t="str">
        <f>IF(CAELS!W14&lt;25%,"Compliant","Non-Compliant")</f>
        <v>Compliant</v>
      </c>
    </row>
    <row r="14" spans="1:21">
      <c r="A14" s="104" t="s">
        <v>248</v>
      </c>
      <c r="B14" s="2" t="str">
        <f>IF('Evolutive SFP'!B27='Evolutive SFP'!B49,"BALANCING","NOT BALANCING")</f>
        <v>NOT BALANCING</v>
      </c>
      <c r="C14" s="2" t="str">
        <f>IF('Evolutive SFP'!C27='Evolutive SFP'!C49,"BALANCING","NOT BALANCING")</f>
        <v>BALANCING</v>
      </c>
      <c r="D14" s="2" t="str">
        <f>IF('Evolutive SFP'!D27='Evolutive SFP'!D49,"BALANCING","NOT BALANCING")</f>
        <v>BALANCING</v>
      </c>
      <c r="E14" s="2" t="str">
        <f>IF('Evolutive SFP'!E27='Evolutive SFP'!E49,"BALANCING","NOT BALANCING")</f>
        <v>NOT BALANCING</v>
      </c>
      <c r="F14" s="2" t="str">
        <f>IF('Evolutive SFP'!F27='Evolutive SFP'!F49,"BALANCING","NOT BALANCING")</f>
        <v>NOT BALANCING</v>
      </c>
      <c r="G14" s="2" t="str">
        <f>IF('Evolutive SFP'!G27='Evolutive SFP'!G49,"BALANCING","NOT BALANCING")</f>
        <v>NOT BALANCING</v>
      </c>
      <c r="H14" s="2" t="str">
        <f>IF('Evolutive SFP'!H27='Evolutive SFP'!H49,"BALANCING","NOT BALANCING")</f>
        <v>BALANCING</v>
      </c>
      <c r="I14" s="2" t="str">
        <f>IF('Evolutive SFP'!I27='Evolutive SFP'!I49,"BALANCING","NOT BALANCING")</f>
        <v>NOT BALANCING</v>
      </c>
      <c r="J14" s="2" t="str">
        <f>IF('Evolutive SFP'!J27='Evolutive SFP'!J49,"BALANCING","NOT BALANCING")</f>
        <v>NOT BALANCING</v>
      </c>
      <c r="K14" s="2" t="str">
        <f>IF('Evolutive SFP'!K27='Evolutive SFP'!K49,"BALANCING","NOT BALANCING")</f>
        <v>BALANCING</v>
      </c>
      <c r="L14" s="2" t="str">
        <f>IF('Evolutive SFP'!L27='Evolutive SFP'!L49,"BALANCING","NOT BALANCING")</f>
        <v>BALANCING</v>
      </c>
      <c r="M14" s="2" t="str">
        <f>IF('Evolutive SFP'!M27='Evolutive SFP'!M49,"BALANCING","NOT BALANCING")</f>
        <v>NOT BALANCING</v>
      </c>
      <c r="N14" s="2" t="str">
        <f>IF('Evolutive SFP'!N27='Evolutive SFP'!N49,"BALANCING","NOT BALANCING")</f>
        <v>BALANCING</v>
      </c>
      <c r="O14" s="2" t="str">
        <f>IF('Evolutive SFP'!O27='Evolutive SFP'!O49,"BALANCING","NOT BALANCING")</f>
        <v>NOT BALANCING</v>
      </c>
      <c r="P14" s="2" t="str">
        <f>IF('Evolutive SFP'!P27='Evolutive SFP'!P49,"BALANCING","NOT BALANCING")</f>
        <v>BALANCING</v>
      </c>
      <c r="Q14" s="2" t="str">
        <f>IF('Evolutive SFP'!Q27='Evolutive SFP'!Q49,"BALANCING","NOT BALANCING")</f>
        <v>BALANCING</v>
      </c>
      <c r="R14" s="2" t="str">
        <f>IF('Evolutive SFP'!R27='Evolutive SFP'!R49,"BALANCING","NOT BALANCING")</f>
        <v>BALANCING</v>
      </c>
      <c r="S14" s="2" t="str">
        <f>IF('Evolutive SFP'!S27='Evolutive SFP'!S49,"BALANCING","NOT BALANCING")</f>
        <v>BALANCING</v>
      </c>
      <c r="T14" s="2" t="str">
        <f>IF('Evolutive SFP'!T27='Evolutive SFP'!T49,"BALANCING","NOT BALANCING")</f>
        <v>BALANCING</v>
      </c>
      <c r="U14" s="2" t="str">
        <f>IF('Evolutive SFP'!U27='Evolutive SFP'!U49,"BALANCING","NOT BALANCING")</f>
        <v>NOT BALANCING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workbookViewId="0">
      <pane xSplit="1" ySplit="2" topLeftCell="B3" activePane="bottomRight" state="frozen"/>
      <selection pane="bottomRight" activeCell="E5" sqref="E5"/>
      <selection pane="bottomLeft" activeCell="A3" sqref="A3"/>
      <selection pane="topRight" activeCell="B1" sqref="B1"/>
    </sheetView>
  </sheetViews>
  <sheetFormatPr defaultRowHeight="15"/>
  <cols>
    <col min="1" max="1" width="54.85546875" style="72" bestFit="1" customWidth="1"/>
    <col min="2" max="2" width="17.7109375" style="75" bestFit="1" customWidth="1"/>
    <col min="3" max="3" width="16.42578125" bestFit="1" customWidth="1"/>
    <col min="4" max="4" width="11.5703125" bestFit="1" customWidth="1"/>
    <col min="6" max="6" width="16" bestFit="1" customWidth="1"/>
    <col min="8" max="8" width="10.7109375" bestFit="1" customWidth="1"/>
  </cols>
  <sheetData>
    <row r="1" spans="1:6">
      <c r="A1" s="146" t="s">
        <v>249</v>
      </c>
    </row>
    <row r="2" spans="1:6" ht="15.75">
      <c r="A2" s="61"/>
      <c r="B2" s="78" t="s">
        <v>250</v>
      </c>
      <c r="C2" s="78" t="s">
        <v>251</v>
      </c>
    </row>
    <row r="3" spans="1:6">
      <c r="A3" s="63" t="s">
        <v>252</v>
      </c>
      <c r="B3" s="64"/>
      <c r="C3" s="64"/>
    </row>
    <row r="4" spans="1:6">
      <c r="A4" s="65" t="s">
        <v>253</v>
      </c>
      <c r="B4" s="66">
        <v>134278378</v>
      </c>
      <c r="C4" s="66">
        <v>154553469.44999999</v>
      </c>
    </row>
    <row r="5" spans="1:6">
      <c r="A5" s="65" t="s">
        <v>254</v>
      </c>
      <c r="B5" s="66"/>
      <c r="C5" s="66"/>
    </row>
    <row r="6" spans="1:6">
      <c r="A6" s="67" t="s">
        <v>255</v>
      </c>
      <c r="B6" s="66">
        <v>-44018009</v>
      </c>
      <c r="C6" s="66">
        <v>-44466446</v>
      </c>
    </row>
    <row r="7" spans="1:6">
      <c r="A7" s="67" t="s">
        <v>256</v>
      </c>
      <c r="B7" s="66">
        <v>-70742652</v>
      </c>
      <c r="C7" s="66">
        <v>-72364594.24000001</v>
      </c>
    </row>
    <row r="8" spans="1:6" ht="16.5">
      <c r="A8" s="67" t="s">
        <v>257</v>
      </c>
      <c r="B8" s="66">
        <v>362</v>
      </c>
      <c r="C8" s="66">
        <v>-7448.08</v>
      </c>
      <c r="D8" s="256"/>
    </row>
    <row r="9" spans="1:6" ht="19.5">
      <c r="A9" s="68" t="s">
        <v>258</v>
      </c>
      <c r="B9" s="80">
        <f>SUM(B4:B8)</f>
        <v>19518079</v>
      </c>
      <c r="C9" s="257">
        <f>SUM(C4:C8)</f>
        <v>37714981.12999998</v>
      </c>
    </row>
    <row r="10" spans="1:6">
      <c r="A10" s="67" t="s">
        <v>259</v>
      </c>
      <c r="B10" s="79">
        <v>-83606522</v>
      </c>
      <c r="C10" s="79">
        <v>-86869972.789999962</v>
      </c>
    </row>
    <row r="11" spans="1:6">
      <c r="A11" s="67" t="s">
        <v>260</v>
      </c>
      <c r="C11" s="75"/>
    </row>
    <row r="12" spans="1:6">
      <c r="A12" s="67" t="s">
        <v>261</v>
      </c>
      <c r="B12" s="79">
        <v>17884294</v>
      </c>
      <c r="C12" s="79">
        <v>6244962.5399999917</v>
      </c>
    </row>
    <row r="13" spans="1:6">
      <c r="A13" s="67" t="s">
        <v>46</v>
      </c>
      <c r="B13" s="79"/>
      <c r="C13" s="79"/>
    </row>
    <row r="14" spans="1:6">
      <c r="A14" s="67" t="s">
        <v>36</v>
      </c>
      <c r="C14" s="75"/>
    </row>
    <row r="15" spans="1:6">
      <c r="A15" s="67" t="s">
        <v>262</v>
      </c>
      <c r="C15" s="75"/>
      <c r="F15" s="75"/>
    </row>
    <row r="16" spans="1:6">
      <c r="A16" s="69" t="s">
        <v>263</v>
      </c>
      <c r="B16" s="81">
        <f>SUM(B10:B15)</f>
        <v>-65722228</v>
      </c>
      <c r="C16" s="81">
        <f>SUM(C10:C15)</f>
        <v>-80625010.24999997</v>
      </c>
      <c r="F16" s="75"/>
    </row>
    <row r="17" spans="1:6">
      <c r="A17" s="70" t="s">
        <v>264</v>
      </c>
      <c r="B17" s="75">
        <v>42371444</v>
      </c>
      <c r="C17" s="75">
        <v>52242174.160000026</v>
      </c>
      <c r="F17" s="75"/>
    </row>
    <row r="18" spans="1:6">
      <c r="A18" s="70" t="s">
        <v>265</v>
      </c>
      <c r="B18" s="75">
        <v>28369195</v>
      </c>
      <c r="C18" s="75">
        <v>9025708.6099999994</v>
      </c>
      <c r="F18" s="75"/>
    </row>
    <row r="19" spans="1:6">
      <c r="A19" s="70" t="s">
        <v>266</v>
      </c>
      <c r="C19" s="75"/>
      <c r="F19" s="75"/>
    </row>
    <row r="20" spans="1:6">
      <c r="A20" s="71" t="s">
        <v>267</v>
      </c>
      <c r="B20" s="81">
        <f>B9+B16+B17+B18+B19</f>
        <v>24536490</v>
      </c>
      <c r="C20" s="81">
        <f>C9+C16+C17+C18+C19</f>
        <v>18357853.650000036</v>
      </c>
      <c r="F20" s="75"/>
    </row>
    <row r="21" spans="1:6">
      <c r="A21" s="70" t="s">
        <v>268</v>
      </c>
      <c r="C21" s="75">
        <v>2447067</v>
      </c>
      <c r="F21" s="75"/>
    </row>
    <row r="22" spans="1:6" ht="19.5">
      <c r="A22" s="71" t="s">
        <v>269</v>
      </c>
      <c r="B22" s="80">
        <f>B20-B21</f>
        <v>24536490</v>
      </c>
      <c r="C22" s="80">
        <f>C20-C21</f>
        <v>15910786.650000036</v>
      </c>
      <c r="D22" s="75">
        <v>100000</v>
      </c>
      <c r="F22" s="44"/>
    </row>
    <row r="23" spans="1:6">
      <c r="A23" s="70"/>
      <c r="C23" s="75"/>
    </row>
    <row r="24" spans="1:6">
      <c r="A24" s="71" t="s">
        <v>270</v>
      </c>
      <c r="B24" s="82"/>
      <c r="C24" s="82"/>
    </row>
    <row r="25" spans="1:6">
      <c r="A25" s="70" t="s">
        <v>271</v>
      </c>
      <c r="B25" s="75">
        <v>-2424847</v>
      </c>
      <c r="C25" s="75">
        <v>-815717.95</v>
      </c>
    </row>
    <row r="26" spans="1:6">
      <c r="A26" s="70" t="s">
        <v>272</v>
      </c>
      <c r="B26" s="75">
        <v>-6213468</v>
      </c>
      <c r="C26" s="75">
        <v>-127413</v>
      </c>
    </row>
    <row r="27" spans="1:6">
      <c r="A27" s="70" t="s">
        <v>273</v>
      </c>
      <c r="C27" s="75"/>
    </row>
    <row r="28" spans="1:6">
      <c r="A28" s="70" t="s">
        <v>274</v>
      </c>
      <c r="B28" s="79">
        <v>-4351532</v>
      </c>
      <c r="C28" s="79">
        <v>-4580444.5399999991</v>
      </c>
    </row>
    <row r="29" spans="1:6">
      <c r="A29" s="70" t="s">
        <v>275</v>
      </c>
      <c r="B29" s="79"/>
      <c r="C29" s="79"/>
    </row>
    <row r="30" spans="1:6" ht="19.5">
      <c r="A30" s="71" t="s">
        <v>276</v>
      </c>
      <c r="B30" s="80">
        <f>SUM(B25:B29)</f>
        <v>-12989847</v>
      </c>
      <c r="C30" s="80">
        <f>SUM(C25:C29)</f>
        <v>-5523575.4899999993</v>
      </c>
    </row>
    <row r="31" spans="1:6">
      <c r="A31" s="70"/>
      <c r="C31" s="75"/>
    </row>
    <row r="32" spans="1:6">
      <c r="A32" s="71" t="s">
        <v>277</v>
      </c>
      <c r="B32" s="82"/>
      <c r="C32" s="82"/>
    </row>
    <row r="33" spans="1:3">
      <c r="A33" s="70" t="s">
        <v>278</v>
      </c>
      <c r="B33" s="75">
        <v>1651685</v>
      </c>
      <c r="C33" s="75">
        <v>1235142.9900000095</v>
      </c>
    </row>
    <row r="34" spans="1:3">
      <c r="A34" s="70" t="s">
        <v>279</v>
      </c>
      <c r="B34" s="75">
        <v>0</v>
      </c>
      <c r="C34" s="75">
        <v>0</v>
      </c>
    </row>
    <row r="35" spans="1:3">
      <c r="A35" s="70" t="s">
        <v>280</v>
      </c>
      <c r="C35" s="75"/>
    </row>
    <row r="36" spans="1:3">
      <c r="A36" s="70" t="s">
        <v>281</v>
      </c>
      <c r="B36" s="79"/>
      <c r="C36" s="79"/>
    </row>
    <row r="37" spans="1:3">
      <c r="A37" s="70" t="s">
        <v>282</v>
      </c>
      <c r="B37" s="79"/>
      <c r="C37" s="79"/>
    </row>
    <row r="38" spans="1:3">
      <c r="A38" s="70" t="s">
        <v>283</v>
      </c>
      <c r="B38" s="79"/>
      <c r="C38" s="79"/>
    </row>
    <row r="39" spans="1:3" ht="19.5">
      <c r="A39" s="71" t="s">
        <v>284</v>
      </c>
      <c r="B39" s="80">
        <f>SUM(B33:B38)</f>
        <v>1651685</v>
      </c>
      <c r="C39" s="80">
        <f>SUM(C33:C38)</f>
        <v>1235142.9900000095</v>
      </c>
    </row>
    <row r="40" spans="1:3">
      <c r="A40" s="71" t="s">
        <v>285</v>
      </c>
      <c r="B40" s="82">
        <f>B22+B30+B39</f>
        <v>13198328</v>
      </c>
      <c r="C40" s="82">
        <f>C22+C30+C39</f>
        <v>11622354.150000047</v>
      </c>
    </row>
    <row r="41" spans="1:3">
      <c r="A41" s="70" t="s">
        <v>286</v>
      </c>
      <c r="B41" s="79">
        <v>36146766</v>
      </c>
      <c r="C41" s="79">
        <v>49345094</v>
      </c>
    </row>
    <row r="42" spans="1:3" ht="19.5">
      <c r="A42" s="71" t="s">
        <v>287</v>
      </c>
      <c r="B42" s="83">
        <f>SUM(B40:B41)</f>
        <v>49345094</v>
      </c>
      <c r="C42" s="83">
        <f>SUM(C40:C41)</f>
        <v>60967448.150000051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V35"/>
  <sheetViews>
    <sheetView topLeftCell="C1" workbookViewId="0">
      <selection activeCell="V22" sqref="V22"/>
    </sheetView>
  </sheetViews>
  <sheetFormatPr defaultRowHeight="15"/>
  <cols>
    <col min="3" max="3" width="39.85546875" bestFit="1" customWidth="1"/>
    <col min="4" max="4" width="14" hidden="1" customWidth="1"/>
    <col min="5" max="5" width="14" bestFit="1" customWidth="1"/>
    <col min="6" max="8" width="15.7109375" bestFit="1" customWidth="1"/>
    <col min="9" max="16" width="14" hidden="1" customWidth="1"/>
    <col min="17" max="17" width="15.7109375" hidden="1" customWidth="1"/>
    <col min="18" max="18" width="1.28515625" customWidth="1"/>
    <col min="19" max="21" width="9.140625" hidden="1" customWidth="1"/>
    <col min="22" max="22" width="16.85546875" customWidth="1"/>
  </cols>
  <sheetData>
    <row r="4" spans="3:22" ht="30">
      <c r="C4" s="62"/>
      <c r="D4" s="62">
        <v>2013</v>
      </c>
      <c r="E4" s="62">
        <v>2014</v>
      </c>
      <c r="F4" s="62">
        <v>2015</v>
      </c>
      <c r="G4" s="62">
        <v>2016</v>
      </c>
      <c r="H4" s="62">
        <v>2017</v>
      </c>
      <c r="I4" s="124">
        <v>43101</v>
      </c>
      <c r="J4" s="124">
        <v>43132</v>
      </c>
      <c r="K4" s="124">
        <v>43160</v>
      </c>
      <c r="L4" s="124">
        <v>43191</v>
      </c>
      <c r="M4" s="124">
        <v>43221</v>
      </c>
      <c r="N4" s="124">
        <v>43252</v>
      </c>
      <c r="O4" s="124">
        <v>43282</v>
      </c>
      <c r="P4" s="124">
        <v>43313</v>
      </c>
      <c r="Q4" s="124">
        <v>43344</v>
      </c>
      <c r="R4" s="2"/>
      <c r="S4" s="143"/>
      <c r="T4" s="143"/>
      <c r="U4" s="2"/>
      <c r="V4" s="144" t="s">
        <v>288</v>
      </c>
    </row>
    <row r="5" spans="3:22">
      <c r="C5" s="62" t="s">
        <v>289</v>
      </c>
      <c r="D5" s="125">
        <v>93967037.88000001</v>
      </c>
      <c r="E5" s="125">
        <v>97400688</v>
      </c>
      <c r="F5" s="125">
        <v>109849160</v>
      </c>
      <c r="G5" s="125">
        <v>121408969</v>
      </c>
      <c r="H5" s="125">
        <v>134278379</v>
      </c>
      <c r="I5" s="125">
        <v>9796657.1100000013</v>
      </c>
      <c r="J5" s="125">
        <v>18963772.66</v>
      </c>
      <c r="K5" s="125">
        <v>29749222.170000002</v>
      </c>
      <c r="L5" s="125">
        <v>41069758.300000004</v>
      </c>
      <c r="M5" s="125">
        <v>51906601.800000004</v>
      </c>
      <c r="N5" s="125">
        <v>72483894.120000005</v>
      </c>
      <c r="O5" s="125">
        <v>83600073.770000011</v>
      </c>
      <c r="P5" s="125">
        <v>97549833.930000007</v>
      </c>
      <c r="Q5" s="125">
        <v>109084223.58000001</v>
      </c>
      <c r="R5" s="2"/>
      <c r="S5" s="143">
        <f>(F5-E5)/E5</f>
        <v>0.12780681795594709</v>
      </c>
      <c r="T5" s="143">
        <f>(G5-F5)/F5</f>
        <v>0.10523347652362566</v>
      </c>
      <c r="U5" s="143">
        <f>(H5-G5)/G5</f>
        <v>0.10600048831647685</v>
      </c>
      <c r="V5" s="145">
        <f>(U5+T5+S5)/3</f>
        <v>0.11301359426534986</v>
      </c>
    </row>
    <row r="6" spans="3:22">
      <c r="C6" s="61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2"/>
      <c r="S6" s="143"/>
      <c r="T6" s="143"/>
      <c r="U6" s="143"/>
      <c r="V6" s="145"/>
    </row>
    <row r="7" spans="3:22">
      <c r="C7" s="62" t="s">
        <v>290</v>
      </c>
      <c r="D7" s="127">
        <f>SUM(D8:D12)</f>
        <v>38145977.835000001</v>
      </c>
      <c r="E7" s="127">
        <f t="shared" ref="E7:Q7" si="0">SUM(E8:E12)</f>
        <v>38649289</v>
      </c>
      <c r="F7" s="127">
        <f t="shared" si="0"/>
        <v>48225009</v>
      </c>
      <c r="G7" s="127">
        <f t="shared" si="0"/>
        <v>65005570</v>
      </c>
      <c r="H7" s="127">
        <f t="shared" si="0"/>
        <v>74000365</v>
      </c>
      <c r="I7" s="127">
        <f t="shared" si="0"/>
        <v>3725614.6100000003</v>
      </c>
      <c r="J7" s="127">
        <f t="shared" si="0"/>
        <v>6594169.0300000003</v>
      </c>
      <c r="K7" s="127">
        <f t="shared" si="0"/>
        <v>13706344.859999999</v>
      </c>
      <c r="L7" s="127">
        <f t="shared" si="0"/>
        <v>22147209.68</v>
      </c>
      <c r="M7" s="127">
        <f t="shared" si="0"/>
        <v>26145253.119999997</v>
      </c>
      <c r="N7" s="127">
        <f t="shared" si="0"/>
        <v>29375921.43</v>
      </c>
      <c r="O7" s="127">
        <f t="shared" si="0"/>
        <v>34853736.880000003</v>
      </c>
      <c r="P7" s="127">
        <f t="shared" si="0"/>
        <v>40903513.849999994</v>
      </c>
      <c r="Q7" s="127">
        <f t="shared" si="0"/>
        <v>44806634.719999999</v>
      </c>
      <c r="R7" s="2"/>
      <c r="S7" s="143">
        <f t="shared" ref="S7:U12" si="1">(F7-E7)/E7</f>
        <v>0.24775927960796382</v>
      </c>
      <c r="T7" s="143">
        <f t="shared" si="1"/>
        <v>0.34796387492638936</v>
      </c>
      <c r="U7" s="143">
        <f t="shared" si="1"/>
        <v>0.13836960432775222</v>
      </c>
      <c r="V7" s="145">
        <f t="shared" ref="V7:V12" si="2">(U7+T7+S7)/3</f>
        <v>0.24469758628736848</v>
      </c>
    </row>
    <row r="8" spans="3:22">
      <c r="C8" s="128" t="s">
        <v>291</v>
      </c>
      <c r="D8" s="129">
        <v>11911818</v>
      </c>
      <c r="E8" s="130">
        <v>13893168</v>
      </c>
      <c r="F8" s="130">
        <v>15300933</v>
      </c>
      <c r="G8" s="130">
        <v>16492855</v>
      </c>
      <c r="H8" s="131">
        <v>19184551</v>
      </c>
      <c r="I8" s="131">
        <v>1300252.2</v>
      </c>
      <c r="J8" s="131">
        <v>2604604</v>
      </c>
      <c r="K8" s="131">
        <v>4594615.8</v>
      </c>
      <c r="L8" s="131">
        <v>9853087.3000000007</v>
      </c>
      <c r="M8" s="131">
        <v>11675981.699999999</v>
      </c>
      <c r="N8" s="131">
        <v>13503510.23</v>
      </c>
      <c r="O8" s="131">
        <v>14968800.699999999</v>
      </c>
      <c r="P8" s="131">
        <v>16552869.4</v>
      </c>
      <c r="Q8" s="131">
        <v>18022758.899999999</v>
      </c>
      <c r="R8" s="2"/>
      <c r="S8" s="143">
        <f t="shared" si="1"/>
        <v>0.10132786129124761</v>
      </c>
      <c r="T8" s="143">
        <f t="shared" si="1"/>
        <v>7.7898648402682374E-2</v>
      </c>
      <c r="U8" s="143">
        <f t="shared" si="1"/>
        <v>0.16320376308407489</v>
      </c>
      <c r="V8" s="145">
        <f t="shared" si="2"/>
        <v>0.11414342425933495</v>
      </c>
    </row>
    <row r="9" spans="3:22">
      <c r="C9" s="128" t="s">
        <v>83</v>
      </c>
      <c r="D9" s="129">
        <v>5415126</v>
      </c>
      <c r="E9" s="130">
        <v>6469083</v>
      </c>
      <c r="F9" s="130">
        <v>7582971</v>
      </c>
      <c r="G9" s="130">
        <v>7969188</v>
      </c>
      <c r="H9" s="132">
        <v>9863038</v>
      </c>
      <c r="I9" s="132">
        <v>292730</v>
      </c>
      <c r="J9" s="132">
        <v>743850</v>
      </c>
      <c r="K9" s="132">
        <v>2234704</v>
      </c>
      <c r="L9" s="132">
        <v>3331799</v>
      </c>
      <c r="M9" s="132">
        <v>3780464</v>
      </c>
      <c r="N9" s="132">
        <v>4073029</v>
      </c>
      <c r="O9" s="132">
        <v>5309894</v>
      </c>
      <c r="P9" s="132">
        <v>6690159</v>
      </c>
      <c r="Q9" s="132">
        <v>7399049</v>
      </c>
      <c r="R9" s="2"/>
      <c r="S9" s="143">
        <f t="shared" si="1"/>
        <v>0.17218638252129398</v>
      </c>
      <c r="T9" s="143">
        <f t="shared" si="1"/>
        <v>5.0932147834931718E-2</v>
      </c>
      <c r="U9" s="143">
        <f t="shared" si="1"/>
        <v>0.23764654567065052</v>
      </c>
      <c r="V9" s="145">
        <f t="shared" si="2"/>
        <v>0.1535883586756254</v>
      </c>
    </row>
    <row r="10" spans="3:22">
      <c r="C10" s="128" t="s">
        <v>84</v>
      </c>
      <c r="D10" s="129">
        <v>1361305</v>
      </c>
      <c r="E10" s="130">
        <v>1465539</v>
      </c>
      <c r="F10" s="130">
        <v>3168809</v>
      </c>
      <c r="G10" s="130">
        <v>2675207</v>
      </c>
      <c r="H10" s="132">
        <v>2687767</v>
      </c>
      <c r="I10" s="132">
        <v>3840</v>
      </c>
      <c r="J10" s="132">
        <v>28500</v>
      </c>
      <c r="K10" s="132">
        <v>298040</v>
      </c>
      <c r="L10" s="132">
        <v>517180</v>
      </c>
      <c r="M10" s="132">
        <v>729240</v>
      </c>
      <c r="N10" s="132">
        <v>968315</v>
      </c>
      <c r="O10" s="132">
        <v>1498855</v>
      </c>
      <c r="P10" s="132">
        <v>1900780</v>
      </c>
      <c r="Q10" s="132">
        <v>2042140</v>
      </c>
      <c r="R10" s="2"/>
      <c r="S10" s="143">
        <f t="shared" si="1"/>
        <v>1.1622140386574495</v>
      </c>
      <c r="T10" s="143">
        <f t="shared" si="1"/>
        <v>-0.15576893400643585</v>
      </c>
      <c r="U10" s="143">
        <f t="shared" si="1"/>
        <v>4.6949637915869686E-3</v>
      </c>
      <c r="V10" s="145">
        <f t="shared" si="2"/>
        <v>0.33704668948086686</v>
      </c>
    </row>
    <row r="11" spans="3:22">
      <c r="C11" s="128" t="s">
        <v>292</v>
      </c>
      <c r="D11" s="129">
        <v>3005880.125</v>
      </c>
      <c r="E11" s="130">
        <v>2794665</v>
      </c>
      <c r="F11" s="130">
        <v>2777823</v>
      </c>
      <c r="G11" s="130">
        <v>2791594</v>
      </c>
      <c r="H11" s="132">
        <v>3576056</v>
      </c>
      <c r="I11" s="132">
        <v>335425.05</v>
      </c>
      <c r="J11" s="132">
        <v>670850.1</v>
      </c>
      <c r="K11" s="132">
        <v>1006275.15</v>
      </c>
      <c r="L11" s="132">
        <v>1216326.7</v>
      </c>
      <c r="M11" s="132">
        <v>1677125.25</v>
      </c>
      <c r="N11" s="132">
        <v>2012550.3</v>
      </c>
      <c r="O11" s="132">
        <v>2347975.35</v>
      </c>
      <c r="P11" s="132">
        <v>2683400.4</v>
      </c>
      <c r="Q11" s="132">
        <v>3018825.45</v>
      </c>
      <c r="R11" s="2"/>
      <c r="S11" s="143">
        <f t="shared" si="1"/>
        <v>-6.026482601671399E-3</v>
      </c>
      <c r="T11" s="143">
        <f t="shared" si="1"/>
        <v>4.9574792922371224E-3</v>
      </c>
      <c r="U11" s="143">
        <f t="shared" si="1"/>
        <v>0.28100862804548227</v>
      </c>
      <c r="V11" s="145">
        <f t="shared" si="2"/>
        <v>9.3313208245349333E-2</v>
      </c>
    </row>
    <row r="12" spans="3:22">
      <c r="C12" s="128" t="s">
        <v>86</v>
      </c>
      <c r="D12" s="129">
        <v>16451848.710000001</v>
      </c>
      <c r="E12" s="130">
        <v>14026834</v>
      </c>
      <c r="F12" s="130">
        <v>19394473</v>
      </c>
      <c r="G12" s="130">
        <v>35076726</v>
      </c>
      <c r="H12" s="132">
        <v>38688953</v>
      </c>
      <c r="I12" s="132">
        <v>1793367.36</v>
      </c>
      <c r="J12" s="132">
        <v>2546364.9300000002</v>
      </c>
      <c r="K12" s="132">
        <v>5572709.9100000001</v>
      </c>
      <c r="L12" s="132">
        <v>7228816.6799999997</v>
      </c>
      <c r="M12" s="132">
        <v>8282442.1699999999</v>
      </c>
      <c r="N12" s="132">
        <v>8818516.9000000004</v>
      </c>
      <c r="O12" s="132">
        <v>10728211.83</v>
      </c>
      <c r="P12" s="132">
        <v>13076305.050000001</v>
      </c>
      <c r="Q12" s="132">
        <v>14323861.369999999</v>
      </c>
      <c r="R12" s="2"/>
      <c r="S12" s="143">
        <f t="shared" si="1"/>
        <v>0.38266931796583603</v>
      </c>
      <c r="T12" s="143">
        <f t="shared" si="1"/>
        <v>0.80859392260877627</v>
      </c>
      <c r="U12" s="143">
        <f t="shared" si="1"/>
        <v>0.10298073429087994</v>
      </c>
      <c r="V12" s="145">
        <f t="shared" si="2"/>
        <v>0.4314146582884974</v>
      </c>
    </row>
    <row r="13" spans="3:22">
      <c r="C13" s="141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S13" s="140"/>
      <c r="T13" s="140"/>
      <c r="U13" s="140"/>
      <c r="V13" s="140"/>
    </row>
    <row r="14" spans="3:22">
      <c r="C14" s="133" t="s">
        <v>293</v>
      </c>
      <c r="D14" s="134">
        <v>78406498.679499999</v>
      </c>
      <c r="E14" s="125">
        <v>78276362</v>
      </c>
      <c r="F14" s="125">
        <v>87269323</v>
      </c>
      <c r="G14" s="125">
        <v>112180671</v>
      </c>
      <c r="H14" s="125">
        <v>119706880</v>
      </c>
      <c r="I14" s="125">
        <v>9357386.870000001</v>
      </c>
      <c r="J14" s="125">
        <v>14627441.489999998</v>
      </c>
      <c r="K14" s="125">
        <v>23926692.419999998</v>
      </c>
      <c r="L14" s="125">
        <v>34876609.439999998</v>
      </c>
      <c r="M14" s="125">
        <v>41184870.679999992</v>
      </c>
      <c r="N14" s="125">
        <v>47389633.899999999</v>
      </c>
      <c r="O14" s="125">
        <v>56008586.340000004</v>
      </c>
      <c r="P14" s="125">
        <v>65110895.310000002</v>
      </c>
      <c r="Q14" s="125">
        <v>73101825.280000001</v>
      </c>
      <c r="S14" s="140">
        <f>(F14-E14)/E14</f>
        <v>0.11488731425714445</v>
      </c>
      <c r="T14" s="140">
        <f>(G14-F14)/F14</f>
        <v>0.28545366394099331</v>
      </c>
      <c r="U14" s="140">
        <f>(H14-G14)/G14</f>
        <v>6.7090069375677033E-2</v>
      </c>
      <c r="V14" s="140">
        <f>(U14+T14+S14)/3</f>
        <v>0.1558103491912716</v>
      </c>
    </row>
    <row r="15" spans="3:22"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S15" s="140"/>
      <c r="T15" s="140"/>
      <c r="U15" s="140"/>
      <c r="V15" s="140"/>
    </row>
    <row r="16" spans="3:22">
      <c r="C16" s="135" t="s">
        <v>294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S16" s="140"/>
      <c r="T16" s="140"/>
      <c r="U16" s="140"/>
      <c r="V16" s="140"/>
    </row>
    <row r="17" spans="3:22">
      <c r="C17" s="128" t="s">
        <v>291</v>
      </c>
      <c r="D17" s="136">
        <f>D8/D5</f>
        <v>0.12676591993047509</v>
      </c>
      <c r="E17" s="136">
        <f t="shared" ref="E17:Q17" si="3">E8/E5</f>
        <v>0.14263932098713716</v>
      </c>
      <c r="F17" s="136">
        <f t="shared" si="3"/>
        <v>0.13929039603033833</v>
      </c>
      <c r="G17" s="136">
        <f t="shared" si="3"/>
        <v>0.13584544153405997</v>
      </c>
      <c r="H17" s="136">
        <f t="shared" si="3"/>
        <v>0.14287148193827987</v>
      </c>
      <c r="I17" s="136">
        <f t="shared" si="3"/>
        <v>0.13272406958826385</v>
      </c>
      <c r="J17" s="136">
        <f t="shared" si="3"/>
        <v>0.13734629953109762</v>
      </c>
      <c r="K17" s="136">
        <f t="shared" si="3"/>
        <v>0.15444490527329977</v>
      </c>
      <c r="L17" s="136">
        <f t="shared" si="3"/>
        <v>0.23991101257588845</v>
      </c>
      <c r="M17" s="136">
        <f t="shared" si="3"/>
        <v>0.22494213250538775</v>
      </c>
      <c r="N17" s="136">
        <f t="shared" si="3"/>
        <v>0.18629669934184823</v>
      </c>
      <c r="O17" s="136">
        <f t="shared" si="3"/>
        <v>0.17905248195333018</v>
      </c>
      <c r="P17" s="136">
        <f t="shared" si="3"/>
        <v>0.16968628990058598</v>
      </c>
      <c r="Q17" s="136">
        <f t="shared" si="3"/>
        <v>0.16521874849099968</v>
      </c>
      <c r="S17" s="140"/>
      <c r="T17" s="140"/>
      <c r="U17" s="140"/>
      <c r="V17" s="140"/>
    </row>
    <row r="18" spans="3:22">
      <c r="C18" s="137" t="s">
        <v>83</v>
      </c>
      <c r="D18" s="138">
        <f>D9/D5</f>
        <v>5.7627931263677282E-2</v>
      </c>
      <c r="E18" s="138">
        <f t="shared" ref="E18:Q18" si="4">E9/E5</f>
        <v>6.6417220790062598E-2</v>
      </c>
      <c r="F18" s="138">
        <f t="shared" si="4"/>
        <v>6.9030759998528896E-2</v>
      </c>
      <c r="G18" s="138">
        <f t="shared" si="4"/>
        <v>6.5639203311247951E-2</v>
      </c>
      <c r="H18" s="138">
        <f t="shared" si="4"/>
        <v>7.3452167604734039E-2</v>
      </c>
      <c r="I18" s="138">
        <f t="shared" si="4"/>
        <v>2.9880600771582989E-2</v>
      </c>
      <c r="J18" s="138">
        <f t="shared" si="4"/>
        <v>3.9224789989651773E-2</v>
      </c>
      <c r="K18" s="138">
        <f t="shared" si="4"/>
        <v>7.5118064843172336E-2</v>
      </c>
      <c r="L18" s="138">
        <f t="shared" si="4"/>
        <v>8.1125361772581936E-2</v>
      </c>
      <c r="M18" s="138">
        <f t="shared" si="4"/>
        <v>7.2832045807321555E-2</v>
      </c>
      <c r="N18" s="138">
        <f t="shared" si="4"/>
        <v>5.6192193444476596E-2</v>
      </c>
      <c r="O18" s="138">
        <f t="shared" si="4"/>
        <v>6.3515422421857509E-2</v>
      </c>
      <c r="P18" s="138">
        <f t="shared" si="4"/>
        <v>6.8581961962136576E-2</v>
      </c>
      <c r="Q18" s="138">
        <f t="shared" si="4"/>
        <v>6.782877264166158E-2</v>
      </c>
      <c r="S18" s="140"/>
      <c r="T18" s="140"/>
      <c r="U18" s="140"/>
      <c r="V18" s="140"/>
    </row>
    <row r="19" spans="3:22">
      <c r="C19" s="128" t="s">
        <v>84</v>
      </c>
      <c r="D19" s="136">
        <f>D10/D5</f>
        <v>1.4487048125731553E-2</v>
      </c>
      <c r="E19" s="136">
        <f t="shared" ref="E19:Q19" si="5">E10/E5</f>
        <v>1.504649535945783E-2</v>
      </c>
      <c r="F19" s="136">
        <f t="shared" si="5"/>
        <v>2.8846911528499625E-2</v>
      </c>
      <c r="G19" s="136">
        <f t="shared" si="5"/>
        <v>2.2034673566826847E-2</v>
      </c>
      <c r="H19" s="136">
        <f t="shared" si="5"/>
        <v>2.001637955429891E-2</v>
      </c>
      <c r="I19" s="136">
        <f t="shared" si="5"/>
        <v>3.9197044021070155E-4</v>
      </c>
      <c r="J19" s="136">
        <f t="shared" si="5"/>
        <v>1.5028655168448956E-3</v>
      </c>
      <c r="K19" s="136">
        <f t="shared" si="5"/>
        <v>1.0018413197389489E-2</v>
      </c>
      <c r="L19" s="136">
        <f t="shared" si="5"/>
        <v>1.2592720809851953E-2</v>
      </c>
      <c r="M19" s="136">
        <f t="shared" si="5"/>
        <v>1.4049079976566679E-2</v>
      </c>
      <c r="N19" s="136">
        <f t="shared" si="5"/>
        <v>1.3359036676436224E-2</v>
      </c>
      <c r="O19" s="136">
        <f t="shared" si="5"/>
        <v>1.7928871739080521E-2</v>
      </c>
      <c r="P19" s="136">
        <f t="shared" si="5"/>
        <v>1.9485220255361636E-2</v>
      </c>
      <c r="Q19" s="136">
        <f t="shared" si="5"/>
        <v>1.8720763947156289E-2</v>
      </c>
    </row>
    <row r="20" spans="3:22">
      <c r="C20" s="128" t="s">
        <v>292</v>
      </c>
      <c r="D20" s="136">
        <f>D11/D5</f>
        <v>3.1988665310900187E-2</v>
      </c>
      <c r="E20" s="136">
        <f t="shared" ref="E20:Q20" si="6">E11/E5</f>
        <v>2.8692456463962554E-2</v>
      </c>
      <c r="F20" s="136">
        <f t="shared" si="6"/>
        <v>2.528761257710118E-2</v>
      </c>
      <c r="G20" s="136">
        <f t="shared" si="6"/>
        <v>2.2993309497587447E-2</v>
      </c>
      <c r="H20" s="136">
        <f t="shared" si="6"/>
        <v>2.6631658995526004E-2</v>
      </c>
      <c r="I20" s="136">
        <f t="shared" si="6"/>
        <v>3.423872513182203E-2</v>
      </c>
      <c r="J20" s="136">
        <f t="shared" si="6"/>
        <v>3.537535025480526E-2</v>
      </c>
      <c r="K20" s="136">
        <f t="shared" si="6"/>
        <v>3.382525916979294E-2</v>
      </c>
      <c r="L20" s="136">
        <f t="shared" si="6"/>
        <v>2.9616115369249685E-2</v>
      </c>
      <c r="M20" s="136">
        <f t="shared" si="6"/>
        <v>3.2310442060185102E-2</v>
      </c>
      <c r="N20" s="136">
        <f t="shared" si="6"/>
        <v>2.77654825866301E-2</v>
      </c>
      <c r="O20" s="136">
        <f t="shared" si="6"/>
        <v>2.8085804762083524E-2</v>
      </c>
      <c r="P20" s="136">
        <f t="shared" si="6"/>
        <v>2.7507995574093537E-2</v>
      </c>
      <c r="Q20" s="136">
        <f t="shared" si="6"/>
        <v>2.7674262610358671E-2</v>
      </c>
    </row>
    <row r="21" spans="3:22">
      <c r="C21" s="128" t="s">
        <v>86</v>
      </c>
      <c r="D21" s="136">
        <f>D12/D5</f>
        <v>0.17508106120158567</v>
      </c>
      <c r="E21" s="136">
        <f t="shared" ref="E21:Q21" si="7">E12/E5</f>
        <v>0.14401165215588621</v>
      </c>
      <c r="F21" s="136">
        <f t="shared" si="7"/>
        <v>0.17655549664649234</v>
      </c>
      <c r="G21" s="136">
        <f t="shared" si="7"/>
        <v>0.28891379515791787</v>
      </c>
      <c r="H21" s="136">
        <f t="shared" si="7"/>
        <v>0.28812496314093872</v>
      </c>
      <c r="I21" s="136">
        <f t="shared" si="7"/>
        <v>0.18305911290591245</v>
      </c>
      <c r="J21" s="136">
        <f t="shared" si="7"/>
        <v>0.13427522970526901</v>
      </c>
      <c r="K21" s="136">
        <f t="shared" si="7"/>
        <v>0.18732287782702722</v>
      </c>
      <c r="L21" s="136">
        <f t="shared" si="7"/>
        <v>0.17601312934924185</v>
      </c>
      <c r="M21" s="136">
        <f t="shared" si="7"/>
        <v>0.15956433060119915</v>
      </c>
      <c r="N21" s="136">
        <f t="shared" si="7"/>
        <v>0.12166174302667281</v>
      </c>
      <c r="O21" s="136">
        <f t="shared" si="7"/>
        <v>0.12832777946482904</v>
      </c>
      <c r="P21" s="136">
        <f t="shared" si="7"/>
        <v>0.13404743527685881</v>
      </c>
      <c r="Q21" s="136">
        <f t="shared" si="7"/>
        <v>0.13131010974740256</v>
      </c>
    </row>
    <row r="22" spans="3:22"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</row>
    <row r="23" spans="3:22" ht="19.5">
      <c r="C23" s="139" t="s">
        <v>295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</row>
    <row r="24" spans="3:22">
      <c r="C24" s="128" t="s">
        <v>291</v>
      </c>
      <c r="D24" s="136">
        <f>D8/D7</f>
        <v>0.31226930533867647</v>
      </c>
      <c r="E24" s="136">
        <f t="shared" ref="E24:Q24" si="8">E8/E7</f>
        <v>0.35946762177177438</v>
      </c>
      <c r="F24" s="136">
        <f t="shared" si="8"/>
        <v>0.31728211808109774</v>
      </c>
      <c r="G24" s="136">
        <f t="shared" si="8"/>
        <v>0.25371448938914004</v>
      </c>
      <c r="H24" s="136">
        <f t="shared" si="8"/>
        <v>0.25924941045898897</v>
      </c>
      <c r="I24" s="136">
        <f t="shared" si="8"/>
        <v>0.34900340913146671</v>
      </c>
      <c r="J24" s="136">
        <f t="shared" si="8"/>
        <v>0.39498593198785503</v>
      </c>
      <c r="K24" s="136">
        <f t="shared" si="8"/>
        <v>0.33521816698255757</v>
      </c>
      <c r="L24" s="136">
        <f t="shared" si="8"/>
        <v>0.4448906856604069</v>
      </c>
      <c r="M24" s="136">
        <f t="shared" si="8"/>
        <v>0.44658132190995597</v>
      </c>
      <c r="N24" s="136">
        <f t="shared" si="8"/>
        <v>0.4596795461268362</v>
      </c>
      <c r="O24" s="136">
        <f t="shared" si="8"/>
        <v>0.429474772003271</v>
      </c>
      <c r="P24" s="136">
        <f t="shared" si="8"/>
        <v>0.40468086582248491</v>
      </c>
      <c r="Q24" s="136">
        <f t="shared" si="8"/>
        <v>0.40223415600447482</v>
      </c>
    </row>
    <row r="25" spans="3:22">
      <c r="C25" s="137" t="s">
        <v>83</v>
      </c>
      <c r="D25" s="138">
        <f>D9/D7</f>
        <v>0.14195798108579277</v>
      </c>
      <c r="E25" s="138">
        <f t="shared" ref="E25:Q25" si="9">E9/E7</f>
        <v>0.16737909460637168</v>
      </c>
      <c r="F25" s="138">
        <f t="shared" si="9"/>
        <v>0.15724146365633648</v>
      </c>
      <c r="G25" s="138">
        <f t="shared" si="9"/>
        <v>0.12259238708313765</v>
      </c>
      <c r="H25" s="138">
        <f t="shared" si="9"/>
        <v>0.13328363988474923</v>
      </c>
      <c r="I25" s="138">
        <f t="shared" si="9"/>
        <v>7.8572270791046742E-2</v>
      </c>
      <c r="J25" s="138">
        <f t="shared" si="9"/>
        <v>0.11280420574842316</v>
      </c>
      <c r="K25" s="138">
        <f t="shared" si="9"/>
        <v>0.16304157109906545</v>
      </c>
      <c r="L25" s="138">
        <f t="shared" si="9"/>
        <v>0.15043877075895368</v>
      </c>
      <c r="M25" s="138">
        <f t="shared" si="9"/>
        <v>0.14459466055458103</v>
      </c>
      <c r="N25" s="138">
        <f t="shared" si="9"/>
        <v>0.1386519571719865</v>
      </c>
      <c r="O25" s="138">
        <f t="shared" si="9"/>
        <v>0.15234791087916194</v>
      </c>
      <c r="P25" s="138">
        <f t="shared" si="9"/>
        <v>0.16355951776011052</v>
      </c>
      <c r="Q25" s="138">
        <f t="shared" si="9"/>
        <v>0.16513288815902397</v>
      </c>
    </row>
    <row r="26" spans="3:22">
      <c r="C26" s="128" t="s">
        <v>84</v>
      </c>
      <c r="D26" s="136">
        <f>D10/D7</f>
        <v>3.5686724453317449E-2</v>
      </c>
      <c r="E26" s="136">
        <f t="shared" ref="E26:Q26" si="10">E10/E7</f>
        <v>3.7918912298748886E-2</v>
      </c>
      <c r="F26" s="136">
        <f t="shared" si="10"/>
        <v>6.5708831697677855E-2</v>
      </c>
      <c r="G26" s="136">
        <f t="shared" si="10"/>
        <v>4.1153504230483633E-2</v>
      </c>
      <c r="H26" s="136">
        <f t="shared" si="10"/>
        <v>3.6320996524814436E-2</v>
      </c>
      <c r="I26" s="136">
        <f t="shared" si="10"/>
        <v>1.0307024214724131E-3</v>
      </c>
      <c r="J26" s="136">
        <f t="shared" si="10"/>
        <v>4.3220002202460977E-3</v>
      </c>
      <c r="K26" s="136">
        <f t="shared" si="10"/>
        <v>2.1744673948033144E-2</v>
      </c>
      <c r="L26" s="136">
        <f t="shared" si="10"/>
        <v>2.3351925929840207E-2</v>
      </c>
      <c r="M26" s="136">
        <f t="shared" si="10"/>
        <v>2.7891869956392302E-2</v>
      </c>
      <c r="N26" s="136">
        <f t="shared" si="10"/>
        <v>3.2962880919579038E-2</v>
      </c>
      <c r="O26" s="136">
        <f t="shared" si="10"/>
        <v>4.3004140564912648E-2</v>
      </c>
      <c r="P26" s="136">
        <f t="shared" si="10"/>
        <v>4.6469846257475023E-2</v>
      </c>
      <c r="Q26" s="136">
        <f t="shared" si="10"/>
        <v>4.5576732391563998E-2</v>
      </c>
    </row>
    <row r="27" spans="3:22">
      <c r="C27" s="128" t="s">
        <v>292</v>
      </c>
      <c r="D27" s="136">
        <f>D11/D7</f>
        <v>7.8799398930128384E-2</v>
      </c>
      <c r="E27" s="136">
        <f t="shared" ref="E27:Q27" si="11">E11/E7</f>
        <v>7.2308315943405838E-2</v>
      </c>
      <c r="F27" s="136">
        <f t="shared" si="11"/>
        <v>5.7601295626507815E-2</v>
      </c>
      <c r="G27" s="136">
        <f t="shared" si="11"/>
        <v>4.2943920036390727E-2</v>
      </c>
      <c r="H27" s="136">
        <f t="shared" si="11"/>
        <v>4.8324842722059544E-2</v>
      </c>
      <c r="I27" s="136">
        <f t="shared" si="11"/>
        <v>9.0032138348308643E-2</v>
      </c>
      <c r="J27" s="136">
        <f t="shared" si="11"/>
        <v>0.10173383438428479</v>
      </c>
      <c r="K27" s="136">
        <f t="shared" si="11"/>
        <v>7.3416739493887218E-2</v>
      </c>
      <c r="L27" s="136">
        <f t="shared" si="11"/>
        <v>5.4920087793199596E-2</v>
      </c>
      <c r="M27" s="136">
        <f t="shared" si="11"/>
        <v>6.4146452983355168E-2</v>
      </c>
      <c r="N27" s="136">
        <f t="shared" si="11"/>
        <v>6.8510201621954703E-2</v>
      </c>
      <c r="O27" s="136">
        <f t="shared" si="11"/>
        <v>6.7366531114984418E-2</v>
      </c>
      <c r="P27" s="136">
        <f t="shared" si="11"/>
        <v>6.5603175557006579E-2</v>
      </c>
      <c r="Q27" s="136">
        <f t="shared" si="11"/>
        <v>6.7374518726185648E-2</v>
      </c>
    </row>
    <row r="28" spans="3:22">
      <c r="C28" s="128" t="s">
        <v>86</v>
      </c>
      <c r="D28" s="136">
        <f>D12/D7</f>
        <v>0.43128659019208493</v>
      </c>
      <c r="E28" s="136">
        <f t="shared" ref="E28:Q28" si="12">E12/E7</f>
        <v>0.36292605537969924</v>
      </c>
      <c r="F28" s="136">
        <f t="shared" si="12"/>
        <v>0.40216629093838013</v>
      </c>
      <c r="G28" s="136">
        <f t="shared" si="12"/>
        <v>0.53959569926084794</v>
      </c>
      <c r="H28" s="136">
        <f t="shared" si="12"/>
        <v>0.52282111040938783</v>
      </c>
      <c r="I28" s="136">
        <f t="shared" si="12"/>
        <v>0.4813614793077054</v>
      </c>
      <c r="J28" s="136">
        <f t="shared" si="12"/>
        <v>0.38615402765919088</v>
      </c>
      <c r="K28" s="136">
        <f t="shared" si="12"/>
        <v>0.40657884847645664</v>
      </c>
      <c r="L28" s="136">
        <f t="shared" si="12"/>
        <v>0.32639852985759965</v>
      </c>
      <c r="M28" s="136">
        <f t="shared" si="12"/>
        <v>0.31678569459571559</v>
      </c>
      <c r="N28" s="136">
        <f t="shared" si="12"/>
        <v>0.30019541415964363</v>
      </c>
      <c r="O28" s="136">
        <f t="shared" si="12"/>
        <v>0.30780664543766989</v>
      </c>
      <c r="P28" s="136">
        <f t="shared" si="12"/>
        <v>0.31968659460292315</v>
      </c>
      <c r="Q28" s="136">
        <f t="shared" si="12"/>
        <v>0.31968170471875151</v>
      </c>
    </row>
    <row r="29" spans="3:22"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spans="3:22">
      <c r="C30" s="135" t="s">
        <v>296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</row>
    <row r="31" spans="3:22">
      <c r="C31" s="128" t="s">
        <v>291</v>
      </c>
      <c r="D31" s="136">
        <f>D8/D14</f>
        <v>0.15192386091223889</v>
      </c>
      <c r="E31" s="136">
        <f t="shared" ref="E31:Q31" si="13">E8/E14</f>
        <v>0.17748867787187145</v>
      </c>
      <c r="F31" s="136">
        <f t="shared" si="13"/>
        <v>0.17533002977460935</v>
      </c>
      <c r="G31" s="136">
        <f t="shared" si="13"/>
        <v>0.14702047021986525</v>
      </c>
      <c r="H31" s="136">
        <f t="shared" si="13"/>
        <v>0.16026272675388414</v>
      </c>
      <c r="I31" s="136">
        <f t="shared" si="13"/>
        <v>0.13895462676323009</v>
      </c>
      <c r="J31" s="136">
        <f t="shared" si="13"/>
        <v>0.17806285547480255</v>
      </c>
      <c r="K31" s="136">
        <f t="shared" si="13"/>
        <v>0.19202887383462258</v>
      </c>
      <c r="L31" s="136">
        <f t="shared" si="13"/>
        <v>0.28251276308698431</v>
      </c>
      <c r="M31" s="136">
        <f t="shared" si="13"/>
        <v>0.28350172058862472</v>
      </c>
      <c r="N31" s="136">
        <f t="shared" si="13"/>
        <v>0.28494649818343504</v>
      </c>
      <c r="O31" s="136">
        <f t="shared" si="13"/>
        <v>0.26725903434041215</v>
      </c>
      <c r="P31" s="136">
        <f t="shared" si="13"/>
        <v>0.25422579924895827</v>
      </c>
      <c r="Q31" s="136">
        <f t="shared" si="13"/>
        <v>0.24654321326407239</v>
      </c>
    </row>
    <row r="32" spans="3:22">
      <c r="C32" s="137" t="s">
        <v>83</v>
      </c>
      <c r="D32" s="138">
        <f>D9/D14</f>
        <v>6.9064759824759625E-2</v>
      </c>
      <c r="E32" s="138">
        <f t="shared" ref="E32:Q32" si="14">E9/E14</f>
        <v>8.2644144856910948E-2</v>
      </c>
      <c r="F32" s="138">
        <f t="shared" si="14"/>
        <v>8.6891598780937038E-2</v>
      </c>
      <c r="G32" s="138">
        <f t="shared" si="14"/>
        <v>7.1038869075760833E-2</v>
      </c>
      <c r="H32" s="138">
        <f t="shared" si="14"/>
        <v>8.2393242560494434E-2</v>
      </c>
      <c r="I32" s="138">
        <f t="shared" si="14"/>
        <v>3.1283306340416379E-2</v>
      </c>
      <c r="J32" s="138">
        <f t="shared" si="14"/>
        <v>5.0853049079603606E-2</v>
      </c>
      <c r="K32" s="138">
        <f t="shared" si="14"/>
        <v>9.3397949067629646E-2</v>
      </c>
      <c r="L32" s="138">
        <f t="shared" si="14"/>
        <v>9.5531046552327942E-2</v>
      </c>
      <c r="M32" s="138">
        <f t="shared" si="14"/>
        <v>9.1792542688153969E-2</v>
      </c>
      <c r="N32" s="138">
        <f t="shared" si="14"/>
        <v>8.594767810603407E-2</v>
      </c>
      <c r="O32" s="138">
        <f t="shared" si="14"/>
        <v>9.4804999500724754E-2</v>
      </c>
      <c r="P32" s="138">
        <f t="shared" si="14"/>
        <v>0.10275022280291848</v>
      </c>
      <c r="Q32" s="138">
        <f t="shared" si="14"/>
        <v>0.10121565325707829</v>
      </c>
    </row>
    <row r="33" spans="3:17">
      <c r="C33" s="128" t="s">
        <v>84</v>
      </c>
      <c r="D33" s="136">
        <f>D10/D14</f>
        <v>1.736214501255269E-2</v>
      </c>
      <c r="E33" s="136">
        <f t="shared" ref="E33:Q33" si="15">E10/E14</f>
        <v>1.8722625356554001E-2</v>
      </c>
      <c r="F33" s="136">
        <f t="shared" si="15"/>
        <v>3.6310686173192844E-2</v>
      </c>
      <c r="G33" s="136">
        <f t="shared" si="15"/>
        <v>2.3847307884261097E-2</v>
      </c>
      <c r="H33" s="136">
        <f t="shared" si="15"/>
        <v>2.2452903291774039E-2</v>
      </c>
      <c r="I33" s="136">
        <f t="shared" si="15"/>
        <v>4.1037097785399137E-4</v>
      </c>
      <c r="J33" s="136">
        <f t="shared" si="15"/>
        <v>1.9483926850422837E-3</v>
      </c>
      <c r="K33" s="136">
        <f t="shared" si="15"/>
        <v>1.2456381131512871E-2</v>
      </c>
      <c r="L33" s="136">
        <f t="shared" si="15"/>
        <v>1.4828849716304304E-2</v>
      </c>
      <c r="M33" s="136">
        <f t="shared" si="15"/>
        <v>1.7706502119821641E-2</v>
      </c>
      <c r="N33" s="136">
        <f t="shared" si="15"/>
        <v>2.0433055086336086E-2</v>
      </c>
      <c r="O33" s="136">
        <f t="shared" si="15"/>
        <v>2.6761164634672333E-2</v>
      </c>
      <c r="P33" s="136">
        <f t="shared" si="15"/>
        <v>2.919296364994186E-2</v>
      </c>
      <c r="Q33" s="136">
        <f t="shared" si="15"/>
        <v>2.7935554169516902E-2</v>
      </c>
    </row>
    <row r="34" spans="3:17">
      <c r="C34" s="128" t="s">
        <v>292</v>
      </c>
      <c r="D34" s="136">
        <f>D11/D14</f>
        <v>3.8337129901528315E-2</v>
      </c>
      <c r="E34" s="136">
        <f t="shared" ref="E34:Q34" si="16">E11/E14</f>
        <v>3.5702540698046237E-2</v>
      </c>
      <c r="F34" s="136">
        <f t="shared" si="16"/>
        <v>3.183046349517344E-2</v>
      </c>
      <c r="G34" s="136">
        <f t="shared" si="16"/>
        <v>2.4884803907083065E-2</v>
      </c>
      <c r="H34" s="136">
        <f t="shared" si="16"/>
        <v>2.9873437516707478E-2</v>
      </c>
      <c r="I34" s="136">
        <f t="shared" si="16"/>
        <v>3.5846017126360402E-2</v>
      </c>
      <c r="J34" s="136">
        <f t="shared" si="16"/>
        <v>4.5862436056136296E-2</v>
      </c>
      <c r="K34" s="136">
        <f t="shared" si="16"/>
        <v>4.2056592375420358E-2</v>
      </c>
      <c r="L34" s="136">
        <f t="shared" si="16"/>
        <v>3.4875141807936022E-2</v>
      </c>
      <c r="M34" s="136">
        <f t="shared" si="16"/>
        <v>4.0721877289138557E-2</v>
      </c>
      <c r="N34" s="136">
        <f t="shared" si="16"/>
        <v>4.2468154623156944E-2</v>
      </c>
      <c r="O34" s="136">
        <f t="shared" si="16"/>
        <v>4.1921703500006603E-2</v>
      </c>
      <c r="P34" s="136">
        <f t="shared" si="16"/>
        <v>4.1212770723302775E-2</v>
      </c>
      <c r="Q34" s="136">
        <f t="shared" si="16"/>
        <v>4.1296170628258216E-2</v>
      </c>
    </row>
    <row r="35" spans="3:17">
      <c r="C35" s="128" t="s">
        <v>86</v>
      </c>
      <c r="D35" s="136">
        <f>D12/D14</f>
        <v>0.20982761616801374</v>
      </c>
      <c r="E35" s="136">
        <f t="shared" ref="E35:Q35" si="17">E12/E14</f>
        <v>0.17919629427846939</v>
      </c>
      <c r="F35" s="136">
        <f t="shared" si="17"/>
        <v>0.22223700532201907</v>
      </c>
      <c r="G35" s="136">
        <f t="shared" si="17"/>
        <v>0.31268065779353377</v>
      </c>
      <c r="H35" s="136">
        <f t="shared" si="17"/>
        <v>0.32319740519508988</v>
      </c>
      <c r="I35" s="136">
        <f t="shared" si="17"/>
        <v>0.19165258259756016</v>
      </c>
      <c r="J35" s="136">
        <f t="shared" si="17"/>
        <v>0.17408136151088446</v>
      </c>
      <c r="K35" s="136">
        <f t="shared" si="17"/>
        <v>0.23290765861736273</v>
      </c>
      <c r="L35" s="136">
        <f t="shared" si="17"/>
        <v>0.20726833244602233</v>
      </c>
      <c r="M35" s="136">
        <f t="shared" si="17"/>
        <v>0.20110399846471003</v>
      </c>
      <c r="N35" s="136">
        <f t="shared" si="17"/>
        <v>0.18608535610569468</v>
      </c>
      <c r="O35" s="136">
        <f t="shared" si="17"/>
        <v>0.19154584200490998</v>
      </c>
      <c r="P35" s="136">
        <f t="shared" si="17"/>
        <v>0.2008312892603043</v>
      </c>
      <c r="Q35" s="136">
        <f t="shared" si="17"/>
        <v>0.195943963302362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110855-F4DB-4BB7-AE4D-B34020BA2B84}"/>
</file>

<file path=customXml/itemProps2.xml><?xml version="1.0" encoding="utf-8"?>
<ds:datastoreItem xmlns:ds="http://schemas.openxmlformats.org/officeDocument/2006/customXml" ds:itemID="{39561066-4EC2-4B74-9213-5A6ADDA6AA62}"/>
</file>

<file path=customXml/itemProps3.xml><?xml version="1.0" encoding="utf-8"?>
<ds:datastoreItem xmlns:ds="http://schemas.openxmlformats.org/officeDocument/2006/customXml" ds:itemID="{AEC06AFB-2D03-482B-8088-1CF3541BB9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Enock Langat</cp:lastModifiedBy>
  <cp:revision/>
  <dcterms:created xsi:type="dcterms:W3CDTF">2012-11-01T05:11:14Z</dcterms:created>
  <dcterms:modified xsi:type="dcterms:W3CDTF">2023-10-18T07:57:04Z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4dde6-398b-42fd-9ab1-a1959fc6b9e2_Enabled">
    <vt:lpwstr>true</vt:lpwstr>
  </property>
  <property fmtid="{D5CDD505-2E9C-101B-9397-08002B2CF9AE}" pid="3" name="MSIP_Label_6294dde6-398b-42fd-9ab1-a1959fc6b9e2_SetDate">
    <vt:lpwstr>2021-10-07T05:45:29Z</vt:lpwstr>
  </property>
  <property fmtid="{D5CDD505-2E9C-101B-9397-08002B2CF9AE}" pid="4" name="MSIP_Label_6294dde6-398b-42fd-9ab1-a1959fc6b9e2_Method">
    <vt:lpwstr>Privileged</vt:lpwstr>
  </property>
  <property fmtid="{D5CDD505-2E9C-101B-9397-08002B2CF9AE}" pid="5" name="MSIP_Label_6294dde6-398b-42fd-9ab1-a1959fc6b9e2_Name">
    <vt:lpwstr>Public</vt:lpwstr>
  </property>
  <property fmtid="{D5CDD505-2E9C-101B-9397-08002B2CF9AE}" pid="6" name="MSIP_Label_6294dde6-398b-42fd-9ab1-a1959fc6b9e2_SiteId">
    <vt:lpwstr>d6c8161d-ccd5-4325-b291-dd442c369fe4</vt:lpwstr>
  </property>
  <property fmtid="{D5CDD505-2E9C-101B-9397-08002B2CF9AE}" pid="7" name="MSIP_Label_6294dde6-398b-42fd-9ab1-a1959fc6b9e2_ActionId">
    <vt:lpwstr>e3a42b6a-9e82-41f9-99e3-4d1a2b200a0b</vt:lpwstr>
  </property>
  <property fmtid="{D5CDD505-2E9C-101B-9397-08002B2CF9AE}" pid="8" name="MSIP_Label_6294dde6-398b-42fd-9ab1-a1959fc6b9e2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
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909\AC\Temp\"/>
    </mc:Choice>
  </mc:AlternateContent>
  <xr:revisionPtr revIDLastSave="344" documentId="8_{CE2FAAB1-1A51-457A-ACAD-7313FBCCAC74}" xr6:coauthVersionLast="47" xr6:coauthVersionMax="47" xr10:uidLastSave="{F1194072-F1C4-4C2E-AD74-95C4A81C0F6C}"/>
  <bookViews>
    <workbookView xWindow="-60" yWindow="-60" windowWidth="15480" windowHeight="11640" firstSheet="3" activeTab="5" xr2:uid="{00000000-000D-0000-FFFF-FFFF00000000}"/>
  </bookViews>
  <sheets>
    <sheet name="compliance status" sheetId="8" r:id="rId1"/>
    <sheet name="Prudential Ratios" sheetId="5" r:id="rId2"/>
    <sheet name="CAELS" sheetId="9" r:id="rId3"/>
    <sheet name="Financials" sheetId="6" r:id="rId4"/>
    <sheet name="form4" sheetId="20" r:id="rId5"/>
    <sheet name="SFP" sheetId="4" r:id="rId6"/>
    <sheet name="SCI" sheetId="7" r:id="rId7"/>
    <sheet name="Sheet1" sheetId="24" r:id="rId8"/>
    <sheet name="DEC 2020" sheetId="26" r:id="rId9"/>
    <sheet name="DEC 2019 REPORT" sheetId="25" r:id="rId10"/>
  </sheets>
  <externalReferences>
    <externalReference r:id="rId11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NotApplicable">'Prudential Ratios'!$B$76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_xlnm.Print_Area" localSheetId="8">'DEC 2020'!$A$1:$G$64</definedName>
    <definedName name="_xlnm.Print_Area" localSheetId="6">SCI!$A$1:$A$37</definedName>
    <definedName name="_xlnm.Print_Area" localSheetId="5">SFP!$A$1:$A$56</definedName>
    <definedName name="units">'[1]SASRA B.S.'!$C$2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7" i="4" l="1"/>
  <c r="W27" i="4"/>
  <c r="V21" i="4"/>
  <c r="W21" i="4"/>
  <c r="V7" i="7"/>
  <c r="W7" i="7"/>
  <c r="V30" i="7"/>
  <c r="W30" i="7"/>
  <c r="V23" i="7"/>
  <c r="W23" i="7"/>
  <c r="V20" i="7"/>
  <c r="W20" i="7"/>
  <c r="V12" i="7"/>
  <c r="W12" i="7"/>
  <c r="V3" i="7"/>
  <c r="V19" i="7" s="1"/>
  <c r="V29" i="7" s="1"/>
  <c r="V33" i="7" s="1"/>
  <c r="V35" i="7" s="1"/>
  <c r="V37" i="7" s="1"/>
  <c r="W3" i="7"/>
  <c r="W19" i="7" s="1"/>
  <c r="W29" i="7" s="1"/>
  <c r="W33" i="7" s="1"/>
  <c r="W35" i="7" s="1"/>
  <c r="W37" i="7" s="1"/>
  <c r="V4" i="7"/>
  <c r="W4" i="7"/>
  <c r="V56" i="4"/>
  <c r="W56" i="4"/>
  <c r="V55" i="4"/>
  <c r="W55" i="4"/>
  <c r="V49" i="4"/>
  <c r="W49" i="4"/>
  <c r="V45" i="4"/>
  <c r="W45" i="4"/>
  <c r="V40" i="4"/>
  <c r="W40" i="4"/>
  <c r="V33" i="4"/>
  <c r="W33" i="4"/>
  <c r="V32" i="4"/>
  <c r="W32" i="4"/>
  <c r="V14" i="4"/>
  <c r="W14" i="4"/>
  <c r="V8" i="4"/>
  <c r="W8" i="4"/>
  <c r="V4" i="4"/>
  <c r="W4" i="4"/>
  <c r="V20" i="9"/>
  <c r="W20" i="9"/>
  <c r="V21" i="9"/>
  <c r="W21" i="9"/>
  <c r="V22" i="9"/>
  <c r="W22" i="9"/>
  <c r="V23" i="9"/>
  <c r="W23" i="9"/>
  <c r="V15" i="9"/>
  <c r="W15" i="9"/>
  <c r="V16" i="9"/>
  <c r="W16" i="9"/>
  <c r="V17" i="9"/>
  <c r="W17" i="9"/>
  <c r="V18" i="9"/>
  <c r="W18" i="9"/>
  <c r="V11" i="9"/>
  <c r="W11" i="9"/>
  <c r="V12" i="9"/>
  <c r="W12" i="9"/>
  <c r="V13" i="9"/>
  <c r="W13" i="9"/>
  <c r="V4" i="9"/>
  <c r="W4" i="9"/>
  <c r="V5" i="9"/>
  <c r="W5" i="9"/>
  <c r="V6" i="9"/>
  <c r="W6" i="9"/>
  <c r="V7" i="9"/>
  <c r="W7" i="9"/>
  <c r="W55" i="5"/>
  <c r="X55" i="5"/>
  <c r="W56" i="5"/>
  <c r="X56" i="5"/>
  <c r="W57" i="5"/>
  <c r="X57" i="5"/>
  <c r="W58" i="5"/>
  <c r="X58" i="5"/>
  <c r="W52" i="5"/>
  <c r="X52" i="5"/>
  <c r="W53" i="5"/>
  <c r="X53" i="5"/>
  <c r="W47" i="5"/>
  <c r="X47" i="5"/>
  <c r="W48" i="5"/>
  <c r="X48" i="5"/>
  <c r="W40" i="5"/>
  <c r="X40" i="5"/>
  <c r="W41" i="5"/>
  <c r="X41" i="5"/>
  <c r="W42" i="5"/>
  <c r="X42" i="5"/>
  <c r="W43" i="5"/>
  <c r="X43" i="5"/>
  <c r="W44" i="5"/>
  <c r="X44" i="5"/>
  <c r="W30" i="5"/>
  <c r="X30" i="5"/>
  <c r="W31" i="5"/>
  <c r="X31" i="5"/>
  <c r="W32" i="5"/>
  <c r="X32" i="5"/>
  <c r="W33" i="5"/>
  <c r="X33" i="5"/>
  <c r="W34" i="5"/>
  <c r="X34" i="5"/>
  <c r="W35" i="5"/>
  <c r="X35" i="5"/>
  <c r="W36" i="5"/>
  <c r="X36" i="5"/>
  <c r="W24" i="5"/>
  <c r="X24" i="5"/>
  <c r="W25" i="5"/>
  <c r="X25" i="5"/>
  <c r="W26" i="5"/>
  <c r="X26" i="5"/>
  <c r="W27" i="5"/>
  <c r="X27" i="5"/>
  <c r="W19" i="5"/>
  <c r="X19" i="5"/>
  <c r="W20" i="5"/>
  <c r="X20" i="5"/>
  <c r="W21" i="5"/>
  <c r="X21" i="5"/>
  <c r="W14" i="5"/>
  <c r="X14" i="5"/>
  <c r="W15" i="5"/>
  <c r="X15" i="5"/>
  <c r="W6" i="5"/>
  <c r="X6" i="5"/>
  <c r="W7" i="5"/>
  <c r="X7" i="5"/>
  <c r="W8" i="5"/>
  <c r="X8" i="5"/>
  <c r="W9" i="5"/>
  <c r="X9" i="5"/>
  <c r="W10" i="5"/>
  <c r="X10" i="5"/>
  <c r="V56" i="6"/>
  <c r="V48" i="6"/>
  <c r="V49" i="6"/>
  <c r="V50" i="6"/>
  <c r="V51" i="6"/>
  <c r="V52" i="6"/>
  <c r="V53" i="6"/>
  <c r="V42" i="6"/>
  <c r="V43" i="6"/>
  <c r="V44" i="6"/>
  <c r="V38" i="6"/>
  <c r="V39" i="6"/>
  <c r="V32" i="6"/>
  <c r="V33" i="6"/>
  <c r="V34" i="6"/>
  <c r="V35" i="6"/>
  <c r="V36" i="6"/>
  <c r="V27" i="6"/>
  <c r="V28" i="6"/>
  <c r="V29" i="6"/>
  <c r="V23" i="6"/>
  <c r="V18" i="6"/>
  <c r="V19" i="6"/>
  <c r="V20" i="6"/>
  <c r="V21" i="6"/>
  <c r="V5" i="6"/>
  <c r="V6" i="6"/>
  <c r="V7" i="6"/>
  <c r="V8" i="6"/>
  <c r="V9" i="6"/>
  <c r="V10" i="6"/>
  <c r="U37" i="7"/>
  <c r="U35" i="7"/>
  <c r="U33" i="7"/>
  <c r="U29" i="7"/>
  <c r="U30" i="7"/>
  <c r="U23" i="7"/>
  <c r="U19" i="7"/>
  <c r="U20" i="7"/>
  <c r="U12" i="7"/>
  <c r="U7" i="7"/>
  <c r="U4" i="7"/>
  <c r="U3" i="7" s="1"/>
  <c r="T58" i="4"/>
  <c r="U58" i="4"/>
  <c r="T55" i="4"/>
  <c r="U55" i="4"/>
  <c r="T56" i="4"/>
  <c r="U56" i="4"/>
  <c r="T49" i="4"/>
  <c r="U49" i="4"/>
  <c r="T45" i="4"/>
  <c r="U45" i="4"/>
  <c r="T40" i="4"/>
  <c r="U40" i="4"/>
  <c r="T32" i="4"/>
  <c r="U32" i="4"/>
  <c r="T33" i="4"/>
  <c r="U33" i="4"/>
  <c r="T27" i="4"/>
  <c r="U27" i="4"/>
  <c r="T21" i="4"/>
  <c r="U21" i="4"/>
  <c r="T17" i="4"/>
  <c r="U17" i="4"/>
  <c r="T14" i="4"/>
  <c r="U14" i="4"/>
  <c r="T8" i="4"/>
  <c r="U8" i="4"/>
  <c r="T4" i="4"/>
  <c r="U4" i="4"/>
  <c r="S37" i="7"/>
  <c r="T37" i="7"/>
  <c r="S35" i="7"/>
  <c r="T35" i="7"/>
  <c r="S33" i="7"/>
  <c r="T33" i="7"/>
  <c r="S30" i="7"/>
  <c r="T30" i="7"/>
  <c r="S29" i="7"/>
  <c r="T29" i="7"/>
  <c r="S23" i="7"/>
  <c r="T23" i="7"/>
  <c r="S20" i="7"/>
  <c r="T20" i="7"/>
  <c r="S19" i="7"/>
  <c r="T19" i="7"/>
  <c r="S12" i="7"/>
  <c r="T12" i="7"/>
  <c r="S7" i="7"/>
  <c r="T7" i="7"/>
  <c r="S4" i="7"/>
  <c r="T4" i="7"/>
  <c r="S3" i="7"/>
  <c r="T3" i="7"/>
  <c r="S58" i="4"/>
  <c r="S56" i="4"/>
  <c r="S55" i="4"/>
  <c r="S49" i="4"/>
  <c r="S45" i="4"/>
  <c r="S40" i="4"/>
  <c r="S33" i="4"/>
  <c r="S32" i="4"/>
  <c r="S27" i="4"/>
  <c r="S21" i="4"/>
  <c r="S17" i="4"/>
  <c r="S14" i="4"/>
  <c r="S8" i="4"/>
  <c r="S4" i="4"/>
  <c r="Q23" i="9"/>
  <c r="R23" i="9"/>
  <c r="S23" i="9"/>
  <c r="T23" i="9"/>
  <c r="Q22" i="9"/>
  <c r="R22" i="9"/>
  <c r="S22" i="9"/>
  <c r="T22" i="9"/>
  <c r="Q21" i="9"/>
  <c r="R21" i="9"/>
  <c r="S21" i="9"/>
  <c r="T21" i="9"/>
  <c r="Q20" i="9"/>
  <c r="R20" i="9"/>
  <c r="S20" i="9"/>
  <c r="T20" i="9"/>
  <c r="Q18" i="9"/>
  <c r="R18" i="9"/>
  <c r="S18" i="9"/>
  <c r="T18" i="9"/>
  <c r="Q17" i="9"/>
  <c r="R17" i="9"/>
  <c r="S17" i="9"/>
  <c r="T17" i="9"/>
  <c r="Q16" i="9"/>
  <c r="R16" i="9"/>
  <c r="S16" i="9"/>
  <c r="T16" i="9"/>
  <c r="Q15" i="9"/>
  <c r="R15" i="9"/>
  <c r="S15" i="9"/>
  <c r="T15" i="9"/>
  <c r="Q13" i="9"/>
  <c r="R13" i="9"/>
  <c r="S13" i="9"/>
  <c r="T13" i="9"/>
  <c r="Q12" i="9"/>
  <c r="R12" i="9"/>
  <c r="S12" i="9"/>
  <c r="T12" i="9"/>
  <c r="Q11" i="9"/>
  <c r="R11" i="9"/>
  <c r="S11" i="9"/>
  <c r="T11" i="9"/>
  <c r="P34" i="6"/>
  <c r="Q34" i="6"/>
  <c r="R34" i="6"/>
  <c r="S34" i="6"/>
  <c r="T34" i="6"/>
  <c r="U34" i="6"/>
  <c r="P33" i="6"/>
  <c r="Q33" i="6"/>
  <c r="R33" i="6"/>
  <c r="S33" i="6"/>
  <c r="T33" i="6"/>
  <c r="U33" i="6"/>
  <c r="P32" i="6"/>
  <c r="Q32" i="6"/>
  <c r="R32" i="6"/>
  <c r="S32" i="6"/>
  <c r="T32" i="6"/>
  <c r="U32" i="6"/>
  <c r="P31" i="6"/>
  <c r="Q31" i="6"/>
  <c r="R31" i="6"/>
  <c r="S31" i="6"/>
  <c r="T31" i="6"/>
  <c r="U31" i="6"/>
  <c r="P29" i="6"/>
  <c r="Q29" i="6"/>
  <c r="R29" i="6"/>
  <c r="S29" i="6"/>
  <c r="T29" i="6"/>
  <c r="U29" i="6"/>
  <c r="P28" i="6"/>
  <c r="Q28" i="6"/>
  <c r="R28" i="6"/>
  <c r="S28" i="6"/>
  <c r="T28" i="6"/>
  <c r="U28" i="6"/>
  <c r="P27" i="6"/>
  <c r="Q27" i="6"/>
  <c r="R27" i="6"/>
  <c r="S27" i="6"/>
  <c r="T27" i="6"/>
  <c r="U27" i="6"/>
  <c r="P26" i="6"/>
  <c r="Q26" i="6"/>
  <c r="R26" i="6"/>
  <c r="S26" i="6"/>
  <c r="T26" i="6"/>
  <c r="U26" i="6"/>
  <c r="P23" i="6"/>
  <c r="Q23" i="6"/>
  <c r="R23" i="6"/>
  <c r="S23" i="6"/>
  <c r="T23" i="6"/>
  <c r="U23" i="6"/>
  <c r="P21" i="6"/>
  <c r="Q21" i="6"/>
  <c r="R21" i="6"/>
  <c r="S21" i="6"/>
  <c r="T21" i="6"/>
  <c r="U21" i="6"/>
  <c r="P20" i="6"/>
  <c r="Q20" i="6"/>
  <c r="R20" i="6"/>
  <c r="S20" i="6"/>
  <c r="T20" i="6"/>
  <c r="U20" i="6"/>
  <c r="P19" i="6"/>
  <c r="Q19" i="6"/>
  <c r="R19" i="6"/>
  <c r="S19" i="6"/>
  <c r="T19" i="6"/>
  <c r="U19" i="6"/>
  <c r="P18" i="6"/>
  <c r="Q18" i="6"/>
  <c r="R18" i="6"/>
  <c r="S18" i="6"/>
  <c r="T18" i="6"/>
  <c r="U18" i="6"/>
  <c r="P17" i="6"/>
  <c r="Q17" i="6"/>
  <c r="R17" i="6"/>
  <c r="S17" i="6"/>
  <c r="T17" i="6"/>
  <c r="U17" i="6"/>
  <c r="P14" i="6"/>
  <c r="Q14" i="6"/>
  <c r="Q15" i="6" s="1"/>
  <c r="R14" i="6"/>
  <c r="R15" i="6" s="1"/>
  <c r="S14" i="6"/>
  <c r="S15" i="6" s="1"/>
  <c r="T14" i="6"/>
  <c r="T15" i="6" s="1"/>
  <c r="U14" i="6"/>
  <c r="U15" i="6" s="1"/>
  <c r="R6" i="5"/>
  <c r="S6" i="5"/>
  <c r="T6" i="5"/>
  <c r="U6" i="5"/>
  <c r="V6" i="5"/>
  <c r="Q4" i="9"/>
  <c r="R4" i="9"/>
  <c r="S4" i="9"/>
  <c r="T4" i="9"/>
  <c r="U4" i="9"/>
  <c r="Q58" i="5"/>
  <c r="R58" i="5"/>
  <c r="S58" i="5"/>
  <c r="T58" i="5"/>
  <c r="U58" i="5"/>
  <c r="Q57" i="5"/>
  <c r="R57" i="5"/>
  <c r="S57" i="5"/>
  <c r="T57" i="5"/>
  <c r="U57" i="5"/>
  <c r="Q56" i="5"/>
  <c r="R56" i="5"/>
  <c r="S56" i="5"/>
  <c r="T56" i="5"/>
  <c r="U56" i="5"/>
  <c r="Q55" i="5"/>
  <c r="R55" i="5"/>
  <c r="S55" i="5"/>
  <c r="T55" i="5"/>
  <c r="U55" i="5"/>
  <c r="Q53" i="5"/>
  <c r="R53" i="5"/>
  <c r="S53" i="5"/>
  <c r="T53" i="5"/>
  <c r="U53" i="5"/>
  <c r="Q52" i="5"/>
  <c r="R52" i="5"/>
  <c r="S52" i="5"/>
  <c r="T52" i="5"/>
  <c r="U52" i="5"/>
  <c r="V52" i="5"/>
  <c r="Q48" i="5"/>
  <c r="R48" i="5"/>
  <c r="S48" i="5"/>
  <c r="T48" i="5"/>
  <c r="U48" i="5"/>
  <c r="V48" i="5"/>
  <c r="U16" i="9" s="1"/>
  <c r="Q47" i="5"/>
  <c r="R47" i="5"/>
  <c r="S47" i="5"/>
  <c r="T47" i="5"/>
  <c r="U47" i="5"/>
  <c r="V47" i="5"/>
  <c r="U15" i="9" s="1"/>
  <c r="P44" i="5"/>
  <c r="Q44" i="5"/>
  <c r="R44" i="5"/>
  <c r="S44" i="5"/>
  <c r="T44" i="5"/>
  <c r="U44" i="5"/>
  <c r="V44" i="5"/>
  <c r="P43" i="5"/>
  <c r="Q43" i="5"/>
  <c r="R43" i="5"/>
  <c r="S43" i="5"/>
  <c r="T43" i="5"/>
  <c r="U43" i="5"/>
  <c r="P42" i="5"/>
  <c r="Q42" i="5"/>
  <c r="R42" i="5"/>
  <c r="S42" i="5"/>
  <c r="T42" i="5"/>
  <c r="U42" i="5"/>
  <c r="V42" i="5"/>
  <c r="P41" i="5"/>
  <c r="Q41" i="5"/>
  <c r="R41" i="5"/>
  <c r="S41" i="5"/>
  <c r="T41" i="5"/>
  <c r="U41" i="5"/>
  <c r="V41" i="5"/>
  <c r="Q40" i="5"/>
  <c r="R40" i="5"/>
  <c r="S40" i="5"/>
  <c r="T40" i="5"/>
  <c r="U40" i="5"/>
  <c r="Q36" i="5"/>
  <c r="R36" i="5"/>
  <c r="S36" i="5"/>
  <c r="T36" i="5"/>
  <c r="U36" i="5"/>
  <c r="V36" i="5"/>
  <c r="Q35" i="5"/>
  <c r="R35" i="5"/>
  <c r="S35" i="5"/>
  <c r="T35" i="5"/>
  <c r="U35" i="5"/>
  <c r="V35" i="5"/>
  <c r="Q34" i="5"/>
  <c r="R34" i="5"/>
  <c r="S34" i="5"/>
  <c r="T34" i="5"/>
  <c r="U34" i="5"/>
  <c r="V34" i="5"/>
  <c r="Q33" i="5"/>
  <c r="R33" i="5"/>
  <c r="S33" i="5"/>
  <c r="T33" i="5"/>
  <c r="U33" i="5"/>
  <c r="V33" i="5"/>
  <c r="Q32" i="5"/>
  <c r="R32" i="5"/>
  <c r="S32" i="5"/>
  <c r="T32" i="5"/>
  <c r="U32" i="5"/>
  <c r="V32" i="5"/>
  <c r="Q31" i="5"/>
  <c r="R31" i="5"/>
  <c r="S31" i="5"/>
  <c r="T31" i="5"/>
  <c r="U31" i="5"/>
  <c r="Q30" i="5"/>
  <c r="R30" i="5"/>
  <c r="S30" i="5"/>
  <c r="T30" i="5"/>
  <c r="U30" i="5"/>
  <c r="Q27" i="5"/>
  <c r="R27" i="5"/>
  <c r="S27" i="5"/>
  <c r="T27" i="5"/>
  <c r="U27" i="5"/>
  <c r="Q26" i="5"/>
  <c r="R26" i="5"/>
  <c r="S26" i="5"/>
  <c r="T26" i="5"/>
  <c r="U26" i="5"/>
  <c r="Q25" i="5"/>
  <c r="R25" i="5"/>
  <c r="S25" i="5"/>
  <c r="T25" i="5"/>
  <c r="U25" i="5"/>
  <c r="Q24" i="5"/>
  <c r="R24" i="5"/>
  <c r="S24" i="5"/>
  <c r="T24" i="5"/>
  <c r="U24" i="5"/>
  <c r="R21" i="5"/>
  <c r="S21" i="5"/>
  <c r="T21" i="5"/>
  <c r="U21" i="5"/>
  <c r="Q20" i="5"/>
  <c r="R20" i="5"/>
  <c r="S20" i="5"/>
  <c r="T20" i="5"/>
  <c r="U20" i="5"/>
  <c r="V20" i="5"/>
  <c r="U23" i="9" s="1"/>
  <c r="R19" i="5"/>
  <c r="S19" i="5"/>
  <c r="T19" i="5"/>
  <c r="U19" i="5"/>
  <c r="R15" i="5"/>
  <c r="S15" i="5"/>
  <c r="T15" i="5"/>
  <c r="U15" i="5"/>
  <c r="R14" i="5"/>
  <c r="S14" i="5"/>
  <c r="T14" i="5"/>
  <c r="U14" i="5"/>
  <c r="Q10" i="5"/>
  <c r="S10" i="5"/>
  <c r="R6" i="9" s="1"/>
  <c r="T10" i="5"/>
  <c r="S6" i="9" s="1"/>
  <c r="U10" i="5"/>
  <c r="T6" i="9" s="1"/>
  <c r="Q9" i="5"/>
  <c r="R9" i="5"/>
  <c r="S9" i="5"/>
  <c r="T9" i="5"/>
  <c r="U9" i="5"/>
  <c r="Q8" i="5"/>
  <c r="R8" i="5"/>
  <c r="Q7" i="9" s="1"/>
  <c r="S8" i="5"/>
  <c r="R7" i="9" s="1"/>
  <c r="T8" i="5"/>
  <c r="S7" i="9" s="1"/>
  <c r="U8" i="5"/>
  <c r="T7" i="9" s="1"/>
  <c r="P7" i="5"/>
  <c r="Q7" i="5"/>
  <c r="R7" i="5"/>
  <c r="Q5" i="9" s="1"/>
  <c r="S7" i="5"/>
  <c r="R5" i="9" s="1"/>
  <c r="T7" i="5"/>
  <c r="S5" i="9" s="1"/>
  <c r="U7" i="5"/>
  <c r="T5" i="9" s="1"/>
  <c r="Q6" i="5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U56" i="6"/>
  <c r="P53" i="6"/>
  <c r="Q53" i="6"/>
  <c r="R53" i="6"/>
  <c r="S53" i="6"/>
  <c r="T53" i="6"/>
  <c r="U53" i="6"/>
  <c r="P52" i="6"/>
  <c r="Q52" i="6"/>
  <c r="R52" i="6"/>
  <c r="S52" i="6"/>
  <c r="T52" i="6"/>
  <c r="U52" i="6"/>
  <c r="P51" i="6"/>
  <c r="Q51" i="6"/>
  <c r="R51" i="6"/>
  <c r="S51" i="6"/>
  <c r="T51" i="6"/>
  <c r="U51" i="6"/>
  <c r="P50" i="6"/>
  <c r="Q50" i="6"/>
  <c r="R50" i="6"/>
  <c r="S50" i="6"/>
  <c r="T50" i="6"/>
  <c r="U50" i="6"/>
  <c r="P49" i="6"/>
  <c r="Q49" i="6"/>
  <c r="R49" i="6"/>
  <c r="S49" i="6"/>
  <c r="T49" i="6"/>
  <c r="U49" i="6"/>
  <c r="P48" i="6"/>
  <c r="Q48" i="6"/>
  <c r="R48" i="6"/>
  <c r="S48" i="6"/>
  <c r="T48" i="6"/>
  <c r="U48" i="6"/>
  <c r="P47" i="6"/>
  <c r="Q47" i="6"/>
  <c r="R47" i="6"/>
  <c r="S47" i="6"/>
  <c r="T47" i="6"/>
  <c r="U47" i="6"/>
  <c r="P44" i="6"/>
  <c r="Q44" i="6"/>
  <c r="R44" i="6"/>
  <c r="S44" i="6"/>
  <c r="T44" i="6"/>
  <c r="U44" i="6"/>
  <c r="P43" i="6"/>
  <c r="Q43" i="6"/>
  <c r="R43" i="6"/>
  <c r="S43" i="6"/>
  <c r="T43" i="6"/>
  <c r="U43" i="6"/>
  <c r="P42" i="6"/>
  <c r="Q42" i="6"/>
  <c r="R42" i="6"/>
  <c r="S42" i="6"/>
  <c r="T42" i="6"/>
  <c r="U42" i="6"/>
  <c r="P41" i="6"/>
  <c r="Q41" i="6"/>
  <c r="R41" i="6"/>
  <c r="S41" i="6"/>
  <c r="T41" i="6"/>
  <c r="U41" i="6"/>
  <c r="P39" i="6"/>
  <c r="Q39" i="6"/>
  <c r="R39" i="6"/>
  <c r="S39" i="6"/>
  <c r="T39" i="6"/>
  <c r="U39" i="6"/>
  <c r="P38" i="6"/>
  <c r="Q38" i="6"/>
  <c r="R38" i="6"/>
  <c r="S38" i="6"/>
  <c r="T38" i="6"/>
  <c r="U38" i="6"/>
  <c r="P36" i="6"/>
  <c r="Q36" i="6"/>
  <c r="R36" i="6"/>
  <c r="S36" i="6"/>
  <c r="T36" i="6"/>
  <c r="U36" i="6"/>
  <c r="P35" i="6"/>
  <c r="Q35" i="6"/>
  <c r="R35" i="6"/>
  <c r="S35" i="6"/>
  <c r="T35" i="6"/>
  <c r="U35" i="6"/>
  <c r="P10" i="6"/>
  <c r="Q10" i="6"/>
  <c r="R10" i="6"/>
  <c r="S10" i="6"/>
  <c r="T10" i="6"/>
  <c r="U10" i="6"/>
  <c r="P9" i="6"/>
  <c r="Q9" i="6"/>
  <c r="R9" i="6"/>
  <c r="S9" i="6"/>
  <c r="T9" i="6"/>
  <c r="U9" i="6"/>
  <c r="U8" i="6"/>
  <c r="P8" i="6"/>
  <c r="Q8" i="6"/>
  <c r="R8" i="6"/>
  <c r="S8" i="6"/>
  <c r="T8" i="6"/>
  <c r="P7" i="6"/>
  <c r="Q7" i="6"/>
  <c r="R7" i="6"/>
  <c r="S7" i="6"/>
  <c r="T7" i="6"/>
  <c r="U7" i="6"/>
  <c r="P6" i="6"/>
  <c r="Q6" i="6"/>
  <c r="R6" i="6"/>
  <c r="S6" i="6"/>
  <c r="T6" i="6"/>
  <c r="U6" i="6"/>
  <c r="P5" i="6"/>
  <c r="Q5" i="6"/>
  <c r="R5" i="6"/>
  <c r="S5" i="6"/>
  <c r="U5" i="6"/>
  <c r="O37" i="7"/>
  <c r="P37" i="7"/>
  <c r="Q37" i="7"/>
  <c r="R37" i="7"/>
  <c r="O35" i="7"/>
  <c r="P35" i="7"/>
  <c r="Q35" i="7"/>
  <c r="R35" i="7"/>
  <c r="O33" i="7"/>
  <c r="P33" i="7"/>
  <c r="Q33" i="7"/>
  <c r="R33" i="7"/>
  <c r="O30" i="7"/>
  <c r="P30" i="7"/>
  <c r="Q30" i="7"/>
  <c r="R30" i="7"/>
  <c r="O29" i="7"/>
  <c r="P29" i="7"/>
  <c r="Q29" i="7"/>
  <c r="R29" i="7"/>
  <c r="O23" i="7"/>
  <c r="P23" i="7"/>
  <c r="Q23" i="7"/>
  <c r="R23" i="7"/>
  <c r="O20" i="7"/>
  <c r="P20" i="7"/>
  <c r="Q20" i="7"/>
  <c r="R20" i="7"/>
  <c r="O19" i="7"/>
  <c r="P19" i="7"/>
  <c r="Q19" i="7"/>
  <c r="R19" i="7"/>
  <c r="O12" i="7"/>
  <c r="P12" i="7"/>
  <c r="Q12" i="7"/>
  <c r="R12" i="7"/>
  <c r="O7" i="7"/>
  <c r="P7" i="7"/>
  <c r="Q7" i="7"/>
  <c r="R7" i="7"/>
  <c r="O4" i="7"/>
  <c r="P4" i="7"/>
  <c r="Q4" i="7"/>
  <c r="R4" i="7"/>
  <c r="O3" i="7"/>
  <c r="P3" i="7"/>
  <c r="Q3" i="7"/>
  <c r="R3" i="7"/>
  <c r="P58" i="4"/>
  <c r="Q58" i="4"/>
  <c r="R58" i="4"/>
  <c r="O58" i="4"/>
  <c r="P56" i="4"/>
  <c r="Q56" i="4"/>
  <c r="R56" i="4"/>
  <c r="P55" i="4"/>
  <c r="Q55" i="4"/>
  <c r="R55" i="4"/>
  <c r="P49" i="4"/>
  <c r="Q49" i="4"/>
  <c r="R49" i="4"/>
  <c r="P45" i="4"/>
  <c r="Q45" i="4"/>
  <c r="R45" i="4"/>
  <c r="P40" i="4"/>
  <c r="Q40" i="4"/>
  <c r="R40" i="4"/>
  <c r="P33" i="4"/>
  <c r="Q33" i="4"/>
  <c r="R33" i="4"/>
  <c r="P32" i="4"/>
  <c r="Q32" i="4"/>
  <c r="R32" i="4"/>
  <c r="P27" i="4"/>
  <c r="Q27" i="4"/>
  <c r="R27" i="4"/>
  <c r="P21" i="4"/>
  <c r="Q21" i="4"/>
  <c r="R21" i="4"/>
  <c r="P17" i="4"/>
  <c r="Q17" i="4"/>
  <c r="R17" i="4"/>
  <c r="O14" i="4"/>
  <c r="P14" i="4"/>
  <c r="Q14" i="4"/>
  <c r="R14" i="4"/>
  <c r="O8" i="4"/>
  <c r="P8" i="4"/>
  <c r="Q8" i="4"/>
  <c r="R8" i="4"/>
  <c r="O4" i="4"/>
  <c r="P4" i="4"/>
  <c r="Q4" i="4"/>
  <c r="R4" i="4"/>
  <c r="O35" i="4"/>
  <c r="O53" i="4"/>
  <c r="O47" i="4"/>
  <c r="O45" i="4"/>
  <c r="O50" i="4"/>
  <c r="O16" i="4"/>
  <c r="O21" i="7"/>
  <c r="O13" i="7"/>
  <c r="E4" i="9"/>
  <c r="F4" i="9"/>
  <c r="G4" i="9"/>
  <c r="H4" i="9"/>
  <c r="I4" i="9"/>
  <c r="J4" i="9"/>
  <c r="K4" i="9"/>
  <c r="L4" i="9"/>
  <c r="M4" i="9"/>
  <c r="N4" i="9"/>
  <c r="O4" i="9"/>
  <c r="P4" i="9"/>
  <c r="E5" i="9"/>
  <c r="F5" i="9"/>
  <c r="G5" i="9"/>
  <c r="H5" i="9"/>
  <c r="I5" i="9"/>
  <c r="J5" i="9"/>
  <c r="K5" i="9"/>
  <c r="L5" i="9"/>
  <c r="M5" i="9"/>
  <c r="N5" i="9"/>
  <c r="O5" i="9"/>
  <c r="P5" i="9"/>
  <c r="E6" i="9"/>
  <c r="F6" i="9"/>
  <c r="G6" i="9"/>
  <c r="H6" i="9"/>
  <c r="I6" i="9"/>
  <c r="J6" i="9"/>
  <c r="K6" i="9"/>
  <c r="L6" i="9"/>
  <c r="M6" i="9"/>
  <c r="N6" i="9"/>
  <c r="O6" i="9"/>
  <c r="P6" i="9"/>
  <c r="E7" i="9"/>
  <c r="F7" i="9"/>
  <c r="G7" i="9"/>
  <c r="H7" i="9"/>
  <c r="I7" i="9"/>
  <c r="J7" i="9"/>
  <c r="K7" i="9"/>
  <c r="L7" i="9"/>
  <c r="M7" i="9"/>
  <c r="N7" i="9"/>
  <c r="O7" i="9"/>
  <c r="P7" i="9"/>
  <c r="E11" i="9"/>
  <c r="F11" i="9"/>
  <c r="G11" i="9"/>
  <c r="H11" i="9"/>
  <c r="I11" i="9"/>
  <c r="J11" i="9"/>
  <c r="K11" i="9"/>
  <c r="L11" i="9"/>
  <c r="M11" i="9"/>
  <c r="N11" i="9"/>
  <c r="O11" i="9"/>
  <c r="P11" i="9"/>
  <c r="E12" i="9"/>
  <c r="F12" i="9"/>
  <c r="G12" i="9"/>
  <c r="H12" i="9"/>
  <c r="I12" i="9"/>
  <c r="J12" i="9"/>
  <c r="K12" i="9"/>
  <c r="L12" i="9"/>
  <c r="M12" i="9"/>
  <c r="N12" i="9"/>
  <c r="O12" i="9"/>
  <c r="P12" i="9"/>
  <c r="E13" i="9"/>
  <c r="F13" i="9"/>
  <c r="G13" i="9"/>
  <c r="H13" i="9"/>
  <c r="I13" i="9"/>
  <c r="J13" i="9"/>
  <c r="K13" i="9"/>
  <c r="L13" i="9"/>
  <c r="M13" i="9"/>
  <c r="N13" i="9"/>
  <c r="O13" i="9"/>
  <c r="P13" i="9"/>
  <c r="E15" i="9"/>
  <c r="F15" i="9"/>
  <c r="G15" i="9"/>
  <c r="H15" i="9"/>
  <c r="I15" i="9"/>
  <c r="J15" i="9"/>
  <c r="K15" i="9"/>
  <c r="L15" i="9"/>
  <c r="M15" i="9"/>
  <c r="N15" i="9"/>
  <c r="O15" i="9"/>
  <c r="P15" i="9"/>
  <c r="E16" i="9"/>
  <c r="F16" i="9"/>
  <c r="G16" i="9"/>
  <c r="H16" i="9"/>
  <c r="I16" i="9"/>
  <c r="J16" i="9"/>
  <c r="K16" i="9"/>
  <c r="L16" i="9"/>
  <c r="M16" i="9"/>
  <c r="N16" i="9"/>
  <c r="O16" i="9"/>
  <c r="P16" i="9"/>
  <c r="E17" i="9"/>
  <c r="F17" i="9"/>
  <c r="G17" i="9"/>
  <c r="H17" i="9"/>
  <c r="I17" i="9"/>
  <c r="J17" i="9"/>
  <c r="K17" i="9"/>
  <c r="L17" i="9"/>
  <c r="M17" i="9"/>
  <c r="N17" i="9"/>
  <c r="O17" i="9"/>
  <c r="P17" i="9"/>
  <c r="E18" i="9"/>
  <c r="F18" i="9"/>
  <c r="G18" i="9"/>
  <c r="H18" i="9"/>
  <c r="I18" i="9"/>
  <c r="J18" i="9"/>
  <c r="K18" i="9"/>
  <c r="L18" i="9"/>
  <c r="M18" i="9"/>
  <c r="N18" i="9"/>
  <c r="O18" i="9"/>
  <c r="P18" i="9"/>
  <c r="E20" i="9"/>
  <c r="F20" i="9"/>
  <c r="G20" i="9"/>
  <c r="H20" i="9"/>
  <c r="I20" i="9"/>
  <c r="J20" i="9"/>
  <c r="K20" i="9"/>
  <c r="L20" i="9"/>
  <c r="M20" i="9"/>
  <c r="N20" i="9"/>
  <c r="O20" i="9"/>
  <c r="P20" i="9"/>
  <c r="E21" i="9"/>
  <c r="F21" i="9"/>
  <c r="G21" i="9"/>
  <c r="H21" i="9"/>
  <c r="I21" i="9"/>
  <c r="J21" i="9"/>
  <c r="K21" i="9"/>
  <c r="L21" i="9"/>
  <c r="M21" i="9"/>
  <c r="N21" i="9"/>
  <c r="O21" i="9"/>
  <c r="P21" i="9"/>
  <c r="E22" i="9"/>
  <c r="F22" i="9"/>
  <c r="G22" i="9"/>
  <c r="H22" i="9"/>
  <c r="I22" i="9"/>
  <c r="J22" i="9"/>
  <c r="K22" i="9"/>
  <c r="L22" i="9"/>
  <c r="M22" i="9"/>
  <c r="N22" i="9"/>
  <c r="O22" i="9"/>
  <c r="P22" i="9"/>
  <c r="E23" i="9"/>
  <c r="F23" i="9"/>
  <c r="G23" i="9"/>
  <c r="H23" i="9"/>
  <c r="I23" i="9"/>
  <c r="J23" i="9"/>
  <c r="K23" i="9"/>
  <c r="L23" i="9"/>
  <c r="M23" i="9"/>
  <c r="N23" i="9"/>
  <c r="O23" i="9"/>
  <c r="P23" i="9"/>
  <c r="B53" i="4"/>
  <c r="B8" i="4"/>
  <c r="O26" i="4"/>
  <c r="B26" i="4"/>
  <c r="B21" i="4"/>
  <c r="O23" i="4"/>
  <c r="B23" i="4"/>
  <c r="O25" i="4"/>
  <c r="B25" i="4"/>
  <c r="O46" i="4"/>
  <c r="B47" i="4"/>
  <c r="B46" i="4"/>
  <c r="B50" i="4"/>
  <c r="B42" i="4"/>
  <c r="O42" i="4"/>
  <c r="O38" i="4"/>
  <c r="B38" i="4"/>
  <c r="C10" i="6"/>
  <c r="B35" i="4"/>
  <c r="O34" i="4"/>
  <c r="B34" i="4"/>
  <c r="O30" i="4"/>
  <c r="B30" i="4"/>
  <c r="O29" i="4"/>
  <c r="B29" i="4"/>
  <c r="O31" i="4"/>
  <c r="B31" i="4"/>
  <c r="B12" i="4"/>
  <c r="B16" i="4"/>
  <c r="O15" i="4"/>
  <c r="B15" i="4"/>
  <c r="C32" i="6"/>
  <c r="O17" i="4"/>
  <c r="O6" i="4"/>
  <c r="B6" i="4"/>
  <c r="B5" i="4"/>
  <c r="O5" i="4"/>
  <c r="O16" i="7"/>
  <c r="B16" i="7"/>
  <c r="O34" i="7"/>
  <c r="O27" i="7"/>
  <c r="B27" i="7"/>
  <c r="B21" i="7"/>
  <c r="O24" i="7"/>
  <c r="B24" i="7"/>
  <c r="O26" i="7"/>
  <c r="B26" i="7"/>
  <c r="O28" i="7"/>
  <c r="B28" i="7"/>
  <c r="C52" i="6"/>
  <c r="B13" i="7"/>
  <c r="B25" i="7"/>
  <c r="O25" i="7"/>
  <c r="B11" i="7"/>
  <c r="B7" i="7"/>
  <c r="O11" i="7"/>
  <c r="B6" i="7"/>
  <c r="O6" i="7"/>
  <c r="B12" i="7"/>
  <c r="O10" i="7"/>
  <c r="B5" i="7"/>
  <c r="O5" i="7"/>
  <c r="D7" i="6"/>
  <c r="E7" i="6"/>
  <c r="F7" i="6"/>
  <c r="G7" i="6"/>
  <c r="H7" i="6"/>
  <c r="I7" i="6"/>
  <c r="J7" i="6"/>
  <c r="K7" i="6"/>
  <c r="L7" i="6"/>
  <c r="M7" i="6"/>
  <c r="N7" i="6"/>
  <c r="O7" i="6"/>
  <c r="D8" i="6"/>
  <c r="E8" i="6"/>
  <c r="F8" i="6"/>
  <c r="G8" i="6"/>
  <c r="H8" i="6"/>
  <c r="I8" i="6"/>
  <c r="J8" i="6"/>
  <c r="L32" i="5"/>
  <c r="K8" i="6"/>
  <c r="L8" i="6"/>
  <c r="M8" i="6"/>
  <c r="N8" i="6"/>
  <c r="O8" i="6"/>
  <c r="D9" i="6"/>
  <c r="E9" i="6"/>
  <c r="F9" i="6"/>
  <c r="G9" i="6"/>
  <c r="H9" i="6"/>
  <c r="I9" i="6"/>
  <c r="J9" i="6"/>
  <c r="K9" i="6"/>
  <c r="L9" i="6"/>
  <c r="M9" i="6"/>
  <c r="N9" i="6"/>
  <c r="O9" i="6"/>
  <c r="D10" i="6"/>
  <c r="E10" i="6"/>
  <c r="F10" i="6"/>
  <c r="G10" i="6"/>
  <c r="H10" i="6"/>
  <c r="I10" i="6"/>
  <c r="J10" i="6"/>
  <c r="K10" i="6"/>
  <c r="L10" i="6"/>
  <c r="M10" i="6"/>
  <c r="N10" i="6"/>
  <c r="O10" i="6"/>
  <c r="D18" i="6"/>
  <c r="E18" i="6"/>
  <c r="F18" i="6"/>
  <c r="G18" i="6"/>
  <c r="H18" i="6"/>
  <c r="I18" i="6"/>
  <c r="J18" i="6"/>
  <c r="K18" i="6"/>
  <c r="L18" i="6"/>
  <c r="M18" i="6"/>
  <c r="N18" i="6"/>
  <c r="O18" i="6"/>
  <c r="D20" i="6"/>
  <c r="E20" i="6"/>
  <c r="F20" i="6"/>
  <c r="G20" i="6"/>
  <c r="H20" i="6"/>
  <c r="I20" i="6"/>
  <c r="J20" i="6"/>
  <c r="K20" i="6"/>
  <c r="L20" i="6"/>
  <c r="M20" i="6"/>
  <c r="N20" i="6"/>
  <c r="O20" i="6"/>
  <c r="D21" i="6"/>
  <c r="E21" i="6"/>
  <c r="F21" i="6"/>
  <c r="G21" i="6"/>
  <c r="H21" i="6"/>
  <c r="I21" i="6"/>
  <c r="J21" i="6"/>
  <c r="K21" i="6"/>
  <c r="L21" i="6"/>
  <c r="M21" i="6"/>
  <c r="N21" i="6"/>
  <c r="O21" i="6"/>
  <c r="D23" i="6"/>
  <c r="E23" i="6"/>
  <c r="F23" i="6"/>
  <c r="G23" i="6"/>
  <c r="H23" i="6"/>
  <c r="I23" i="6"/>
  <c r="J23" i="6"/>
  <c r="K23" i="6"/>
  <c r="L23" i="6"/>
  <c r="M23" i="6"/>
  <c r="N23" i="6"/>
  <c r="O23" i="6"/>
  <c r="D27" i="6"/>
  <c r="E27" i="6"/>
  <c r="F27" i="6"/>
  <c r="G27" i="6"/>
  <c r="H27" i="6"/>
  <c r="I27" i="6"/>
  <c r="J27" i="6"/>
  <c r="K27" i="6"/>
  <c r="L27" i="6"/>
  <c r="M27" i="6"/>
  <c r="N27" i="6"/>
  <c r="O27" i="6"/>
  <c r="D28" i="6"/>
  <c r="E28" i="6"/>
  <c r="F28" i="6"/>
  <c r="G28" i="6"/>
  <c r="H28" i="6"/>
  <c r="I28" i="6"/>
  <c r="J28" i="6"/>
  <c r="K28" i="6"/>
  <c r="L28" i="6"/>
  <c r="M28" i="6"/>
  <c r="N28" i="6"/>
  <c r="O28" i="6"/>
  <c r="D29" i="6"/>
  <c r="E29" i="6"/>
  <c r="F29" i="6"/>
  <c r="G29" i="6"/>
  <c r="H29" i="6"/>
  <c r="I29" i="6"/>
  <c r="J29" i="6"/>
  <c r="K29" i="6"/>
  <c r="L29" i="6"/>
  <c r="M29" i="6"/>
  <c r="N29" i="6"/>
  <c r="O29" i="6"/>
  <c r="D32" i="6"/>
  <c r="E32" i="6"/>
  <c r="F32" i="6"/>
  <c r="G32" i="6"/>
  <c r="H32" i="6"/>
  <c r="I32" i="6"/>
  <c r="J32" i="6"/>
  <c r="K32" i="6"/>
  <c r="L32" i="6"/>
  <c r="L31" i="6"/>
  <c r="M32" i="6"/>
  <c r="N32" i="6"/>
  <c r="O32" i="6"/>
  <c r="D33" i="6"/>
  <c r="E33" i="6"/>
  <c r="F33" i="6"/>
  <c r="G33" i="6"/>
  <c r="H33" i="6"/>
  <c r="I33" i="6"/>
  <c r="J33" i="6"/>
  <c r="K33" i="6"/>
  <c r="L33" i="6"/>
  <c r="M33" i="6"/>
  <c r="N33" i="6"/>
  <c r="O33" i="6"/>
  <c r="D34" i="6"/>
  <c r="E34" i="6"/>
  <c r="F34" i="6"/>
  <c r="G34" i="6"/>
  <c r="H34" i="6"/>
  <c r="I34" i="6"/>
  <c r="J34" i="6"/>
  <c r="K34" i="6"/>
  <c r="L34" i="6"/>
  <c r="M34" i="6"/>
  <c r="N34" i="6"/>
  <c r="O34" i="6"/>
  <c r="D35" i="6"/>
  <c r="E35" i="6"/>
  <c r="F35" i="6"/>
  <c r="G35" i="6"/>
  <c r="H35" i="6"/>
  <c r="I35" i="6"/>
  <c r="J35" i="6"/>
  <c r="K35" i="6"/>
  <c r="L35" i="6"/>
  <c r="M35" i="6"/>
  <c r="N35" i="6"/>
  <c r="O35" i="6"/>
  <c r="D39" i="6"/>
  <c r="E39" i="6"/>
  <c r="F39" i="6"/>
  <c r="G39" i="6"/>
  <c r="H39" i="6"/>
  <c r="I39" i="6"/>
  <c r="J39" i="6"/>
  <c r="K39" i="6"/>
  <c r="L39" i="6"/>
  <c r="M39" i="6"/>
  <c r="N39" i="6"/>
  <c r="O39" i="6"/>
  <c r="D42" i="6"/>
  <c r="E42" i="6"/>
  <c r="F42" i="6"/>
  <c r="G42" i="6"/>
  <c r="H42" i="6"/>
  <c r="I42" i="6"/>
  <c r="J42" i="6"/>
  <c r="K42" i="6"/>
  <c r="L42" i="6"/>
  <c r="M42" i="6"/>
  <c r="N42" i="6"/>
  <c r="O42" i="6"/>
  <c r="D43" i="6"/>
  <c r="E43" i="6"/>
  <c r="F43" i="6"/>
  <c r="G43" i="6"/>
  <c r="H43" i="6"/>
  <c r="I43" i="6"/>
  <c r="J43" i="6"/>
  <c r="K43" i="6"/>
  <c r="L43" i="6"/>
  <c r="M43" i="6"/>
  <c r="N43" i="6"/>
  <c r="O43" i="6"/>
  <c r="D44" i="6"/>
  <c r="E44" i="6"/>
  <c r="F44" i="6"/>
  <c r="G44" i="6"/>
  <c r="H44" i="6"/>
  <c r="I44" i="6"/>
  <c r="J44" i="6"/>
  <c r="K44" i="6"/>
  <c r="L44" i="6"/>
  <c r="M44" i="6"/>
  <c r="N44" i="6"/>
  <c r="O44" i="6"/>
  <c r="D48" i="6"/>
  <c r="E48" i="6"/>
  <c r="F48" i="6"/>
  <c r="G48" i="6"/>
  <c r="H48" i="6"/>
  <c r="I48" i="6"/>
  <c r="J48" i="6"/>
  <c r="K48" i="6"/>
  <c r="L48" i="6"/>
  <c r="M48" i="6"/>
  <c r="N48" i="6"/>
  <c r="O48" i="6"/>
  <c r="D49" i="6"/>
  <c r="E49" i="6"/>
  <c r="F49" i="6"/>
  <c r="G49" i="6"/>
  <c r="H49" i="6"/>
  <c r="I49" i="6"/>
  <c r="J49" i="6"/>
  <c r="K49" i="6"/>
  <c r="L49" i="6"/>
  <c r="M49" i="6"/>
  <c r="N49" i="6"/>
  <c r="O49" i="6"/>
  <c r="D50" i="6"/>
  <c r="E50" i="6"/>
  <c r="F50" i="6"/>
  <c r="G50" i="6"/>
  <c r="H50" i="6"/>
  <c r="I50" i="6"/>
  <c r="J50" i="6"/>
  <c r="K50" i="6"/>
  <c r="L50" i="6"/>
  <c r="M50" i="6"/>
  <c r="N50" i="6"/>
  <c r="O50" i="6"/>
  <c r="D51" i="6"/>
  <c r="E51" i="6"/>
  <c r="F51" i="6"/>
  <c r="G51" i="6"/>
  <c r="H51" i="6"/>
  <c r="I51" i="6"/>
  <c r="J51" i="6"/>
  <c r="K51" i="6"/>
  <c r="L51" i="6"/>
  <c r="M51" i="6"/>
  <c r="N51" i="6"/>
  <c r="O51" i="6"/>
  <c r="D52" i="6"/>
  <c r="E52" i="6"/>
  <c r="F52" i="6"/>
  <c r="G52" i="6"/>
  <c r="H52" i="6"/>
  <c r="I52" i="6"/>
  <c r="J52" i="6"/>
  <c r="K52" i="6"/>
  <c r="L52" i="6"/>
  <c r="M52" i="6"/>
  <c r="N52" i="6"/>
  <c r="O52" i="6"/>
  <c r="D53" i="6"/>
  <c r="E53" i="6"/>
  <c r="F53" i="6"/>
  <c r="G53" i="6"/>
  <c r="H53" i="6"/>
  <c r="I53" i="6"/>
  <c r="J53" i="6"/>
  <c r="K53" i="6"/>
  <c r="L53" i="6"/>
  <c r="M53" i="6"/>
  <c r="N53" i="6"/>
  <c r="O53" i="6"/>
  <c r="C49" i="4"/>
  <c r="C45" i="4"/>
  <c r="D19" i="6"/>
  <c r="C33" i="4"/>
  <c r="D33" i="4"/>
  <c r="E33" i="4"/>
  <c r="F33" i="4"/>
  <c r="G33" i="4"/>
  <c r="H33" i="4"/>
  <c r="I33" i="4"/>
  <c r="J33" i="4"/>
  <c r="K33" i="4"/>
  <c r="L33" i="4"/>
  <c r="M33" i="4"/>
  <c r="N33" i="4"/>
  <c r="D49" i="4"/>
  <c r="E49" i="4"/>
  <c r="F49" i="4"/>
  <c r="G49" i="4"/>
  <c r="H49" i="4"/>
  <c r="I49" i="4"/>
  <c r="J49" i="4"/>
  <c r="K49" i="4"/>
  <c r="L49" i="4"/>
  <c r="M49" i="4"/>
  <c r="N49" i="4"/>
  <c r="C21" i="4"/>
  <c r="D21" i="4"/>
  <c r="E21" i="4"/>
  <c r="F21" i="4"/>
  <c r="G21" i="4"/>
  <c r="H21" i="4"/>
  <c r="I21" i="4"/>
  <c r="J21" i="4"/>
  <c r="K21" i="4"/>
  <c r="L21" i="4"/>
  <c r="M21" i="4"/>
  <c r="N21" i="4"/>
  <c r="C17" i="4"/>
  <c r="D38" i="6"/>
  <c r="D17" i="4"/>
  <c r="E38" i="6"/>
  <c r="E17" i="4"/>
  <c r="F38" i="6"/>
  <c r="F17" i="4"/>
  <c r="G17" i="4"/>
  <c r="H38" i="6"/>
  <c r="H17" i="4"/>
  <c r="I38" i="6"/>
  <c r="I17" i="4"/>
  <c r="J38" i="6"/>
  <c r="J17" i="4"/>
  <c r="K38" i="6"/>
  <c r="K17" i="4"/>
  <c r="L38" i="6"/>
  <c r="L17" i="4"/>
  <c r="M38" i="6"/>
  <c r="M17" i="4"/>
  <c r="N38" i="6"/>
  <c r="N17" i="4"/>
  <c r="D45" i="4"/>
  <c r="E19" i="6"/>
  <c r="E45" i="4"/>
  <c r="F19" i="6"/>
  <c r="F45" i="4"/>
  <c r="G19" i="6"/>
  <c r="G45" i="4"/>
  <c r="H19" i="6"/>
  <c r="H45" i="4"/>
  <c r="I19" i="6"/>
  <c r="I45" i="4"/>
  <c r="J45" i="4"/>
  <c r="K19" i="6"/>
  <c r="K45" i="4"/>
  <c r="L19" i="6"/>
  <c r="L45" i="4"/>
  <c r="L55" i="4"/>
  <c r="M45" i="4"/>
  <c r="N19" i="6"/>
  <c r="N45" i="4"/>
  <c r="O19" i="6"/>
  <c r="C32" i="4"/>
  <c r="D6" i="6"/>
  <c r="D32" i="4"/>
  <c r="E6" i="6"/>
  <c r="E32" i="4"/>
  <c r="F6" i="6"/>
  <c r="F32" i="4"/>
  <c r="G6" i="6"/>
  <c r="I31" i="5"/>
  <c r="G32" i="4"/>
  <c r="H6" i="6"/>
  <c r="H32" i="4"/>
  <c r="I32" i="4"/>
  <c r="J6" i="6"/>
  <c r="J32" i="4"/>
  <c r="K6" i="6"/>
  <c r="K32" i="4"/>
  <c r="L6" i="6"/>
  <c r="L32" i="4"/>
  <c r="M6" i="6"/>
  <c r="M32" i="4"/>
  <c r="N6" i="6"/>
  <c r="N32" i="4"/>
  <c r="O6" i="6"/>
  <c r="C14" i="4"/>
  <c r="F52" i="5"/>
  <c r="D14" i="4"/>
  <c r="G52" i="5"/>
  <c r="E14" i="4"/>
  <c r="H52" i="5"/>
  <c r="F14" i="4"/>
  <c r="I52" i="5"/>
  <c r="G14" i="4"/>
  <c r="J52" i="5"/>
  <c r="H14" i="4"/>
  <c r="I14" i="4"/>
  <c r="L52" i="5"/>
  <c r="J14" i="4"/>
  <c r="M52" i="5"/>
  <c r="K14" i="4"/>
  <c r="N52" i="5"/>
  <c r="L14" i="4"/>
  <c r="O52" i="5"/>
  <c r="M14" i="4"/>
  <c r="P52" i="5"/>
  <c r="N14" i="4"/>
  <c r="C8" i="4"/>
  <c r="D8" i="4"/>
  <c r="E8" i="4"/>
  <c r="F8" i="4"/>
  <c r="G8" i="4"/>
  <c r="H8" i="4"/>
  <c r="I8" i="4"/>
  <c r="J8" i="4"/>
  <c r="K8" i="4"/>
  <c r="L8" i="4"/>
  <c r="M8" i="4"/>
  <c r="N8" i="4"/>
  <c r="C4" i="4"/>
  <c r="D4" i="4"/>
  <c r="G47" i="5"/>
  <c r="E4" i="4"/>
  <c r="H47" i="5"/>
  <c r="F4" i="4"/>
  <c r="I47" i="5"/>
  <c r="G4" i="4"/>
  <c r="H4" i="4"/>
  <c r="I4" i="4"/>
  <c r="J4" i="4"/>
  <c r="K4" i="4"/>
  <c r="L4" i="4"/>
  <c r="O47" i="5"/>
  <c r="M4" i="4"/>
  <c r="P47" i="5"/>
  <c r="N4" i="4"/>
  <c r="C30" i="7"/>
  <c r="D30" i="7"/>
  <c r="E30" i="7"/>
  <c r="F30" i="7"/>
  <c r="G30" i="7"/>
  <c r="H30" i="7"/>
  <c r="I30" i="7"/>
  <c r="J30" i="7"/>
  <c r="K30" i="7"/>
  <c r="L30" i="7"/>
  <c r="M30" i="7"/>
  <c r="N30" i="7"/>
  <c r="C23" i="7"/>
  <c r="D23" i="7"/>
  <c r="E23" i="7"/>
  <c r="F23" i="7"/>
  <c r="G23" i="7"/>
  <c r="H23" i="7"/>
  <c r="I23" i="7"/>
  <c r="J23" i="7"/>
  <c r="K23" i="7"/>
  <c r="L23" i="7"/>
  <c r="M23" i="7"/>
  <c r="N23" i="7"/>
  <c r="C20" i="7"/>
  <c r="D20" i="7"/>
  <c r="E20" i="7"/>
  <c r="F20" i="7"/>
  <c r="G20" i="7"/>
  <c r="H20" i="7"/>
  <c r="I20" i="7"/>
  <c r="J20" i="7"/>
  <c r="K20" i="7"/>
  <c r="L20" i="7"/>
  <c r="M20" i="7"/>
  <c r="N20" i="7"/>
  <c r="C12" i="7"/>
  <c r="D12" i="7"/>
  <c r="E12" i="7"/>
  <c r="F12" i="7"/>
  <c r="G12" i="7"/>
  <c r="H12" i="7"/>
  <c r="I12" i="7"/>
  <c r="J12" i="7"/>
  <c r="K12" i="7"/>
  <c r="L12" i="7"/>
  <c r="M12" i="7"/>
  <c r="N12" i="7"/>
  <c r="C7" i="7"/>
  <c r="C3" i="7"/>
  <c r="C19" i="7"/>
  <c r="C29" i="7"/>
  <c r="C33" i="7"/>
  <c r="C35" i="7"/>
  <c r="C37" i="7"/>
  <c r="D7" i="7"/>
  <c r="E7" i="7"/>
  <c r="F7" i="7"/>
  <c r="G7" i="7"/>
  <c r="H7" i="7"/>
  <c r="I7" i="7"/>
  <c r="J7" i="7"/>
  <c r="K7" i="7"/>
  <c r="L7" i="7"/>
  <c r="M7" i="7"/>
  <c r="N7" i="7"/>
  <c r="C4" i="7"/>
  <c r="D4" i="7"/>
  <c r="E4" i="7"/>
  <c r="F4" i="7"/>
  <c r="G4" i="7"/>
  <c r="H4" i="7"/>
  <c r="I4" i="7"/>
  <c r="J4" i="7"/>
  <c r="K4" i="7"/>
  <c r="L4" i="7"/>
  <c r="M4" i="7"/>
  <c r="N4" i="7"/>
  <c r="D26" i="9"/>
  <c r="C23" i="6"/>
  <c r="C20" i="6"/>
  <c r="C18" i="6"/>
  <c r="C43" i="6"/>
  <c r="C7" i="6"/>
  <c r="C27" i="6"/>
  <c r="C53" i="6"/>
  <c r="B4" i="7"/>
  <c r="H69" i="20"/>
  <c r="E69" i="20"/>
  <c r="F69" i="20"/>
  <c r="C9" i="6"/>
  <c r="C28" i="6"/>
  <c r="C29" i="6"/>
  <c r="C33" i="6"/>
  <c r="C34" i="6"/>
  <c r="C35" i="6"/>
  <c r="C39" i="6"/>
  <c r="C44" i="6"/>
  <c r="C48" i="6"/>
  <c r="C49" i="6"/>
  <c r="C50" i="6"/>
  <c r="C51" i="6"/>
  <c r="B30" i="7"/>
  <c r="B20" i="7"/>
  <c r="F35" i="26"/>
  <c r="F48" i="26"/>
  <c r="F43" i="26"/>
  <c r="F42" i="26"/>
  <c r="F37" i="26"/>
  <c r="F36" i="26"/>
  <c r="G27" i="26"/>
  <c r="E27" i="26"/>
  <c r="D27" i="26"/>
  <c r="C27" i="26"/>
  <c r="G26" i="26"/>
  <c r="E26" i="26"/>
  <c r="D26" i="26"/>
  <c r="C26" i="26"/>
  <c r="G25" i="26"/>
  <c r="E25" i="26"/>
  <c r="D25" i="26"/>
  <c r="C25" i="26"/>
  <c r="G24" i="26"/>
  <c r="E24" i="26"/>
  <c r="D24" i="26"/>
  <c r="C24" i="26"/>
  <c r="G22" i="26"/>
  <c r="E22" i="26"/>
  <c r="D22" i="26"/>
  <c r="C22" i="26"/>
  <c r="G21" i="26"/>
  <c r="E21" i="26"/>
  <c r="D21" i="26"/>
  <c r="C21" i="26"/>
  <c r="G20" i="26"/>
  <c r="E20" i="26"/>
  <c r="D20" i="26"/>
  <c r="C20" i="26"/>
  <c r="G18" i="26"/>
  <c r="E18" i="26"/>
  <c r="D18" i="26"/>
  <c r="C18" i="26"/>
  <c r="G17" i="26"/>
  <c r="E17" i="26"/>
  <c r="D17" i="26"/>
  <c r="C17" i="26"/>
  <c r="G16" i="26"/>
  <c r="E16" i="26"/>
  <c r="D16" i="26"/>
  <c r="C16" i="26"/>
  <c r="G15" i="26"/>
  <c r="E15" i="26"/>
  <c r="D15" i="26"/>
  <c r="C15" i="26"/>
  <c r="G13" i="26"/>
  <c r="E13" i="26"/>
  <c r="D13" i="26"/>
  <c r="C13" i="26"/>
  <c r="G12" i="26"/>
  <c r="E12" i="26"/>
  <c r="D12" i="26"/>
  <c r="C12" i="26"/>
  <c r="G11" i="26"/>
  <c r="E11" i="26"/>
  <c r="D11" i="26"/>
  <c r="C11" i="26"/>
  <c r="G10" i="26"/>
  <c r="E10" i="26"/>
  <c r="D10" i="26"/>
  <c r="C10" i="26"/>
  <c r="G8" i="26"/>
  <c r="E8" i="26"/>
  <c r="D8" i="26"/>
  <c r="C8" i="26"/>
  <c r="G7" i="26"/>
  <c r="E7" i="26"/>
  <c r="D7" i="26"/>
  <c r="C7" i="26"/>
  <c r="G6" i="26"/>
  <c r="E6" i="26"/>
  <c r="D6" i="26"/>
  <c r="C6" i="26"/>
  <c r="F35" i="25"/>
  <c r="F10" i="25"/>
  <c r="F38" i="25"/>
  <c r="F13" i="25"/>
  <c r="F32" i="25"/>
  <c r="F43" i="25"/>
  <c r="F36" i="25"/>
  <c r="F11" i="25"/>
  <c r="F47" i="25"/>
  <c r="F46" i="25"/>
  <c r="F42" i="25"/>
  <c r="F79" i="20"/>
  <c r="F76" i="20"/>
  <c r="E76" i="20"/>
  <c r="E77" i="20"/>
  <c r="H75" i="20"/>
  <c r="H74" i="20"/>
  <c r="H73" i="20"/>
  <c r="H72" i="20"/>
  <c r="H71" i="20"/>
  <c r="F77" i="20"/>
  <c r="F37" i="25"/>
  <c r="F53" i="20"/>
  <c r="F50" i="20"/>
  <c r="E50" i="20"/>
  <c r="E51" i="20"/>
  <c r="H49" i="20"/>
  <c r="H48" i="20"/>
  <c r="H47" i="20"/>
  <c r="H46" i="20"/>
  <c r="H45" i="20"/>
  <c r="F51" i="20"/>
  <c r="N26" i="20"/>
  <c r="N23" i="20"/>
  <c r="M23" i="20"/>
  <c r="M24" i="20"/>
  <c r="P22" i="20"/>
  <c r="P21" i="20"/>
  <c r="P20" i="20"/>
  <c r="P19" i="20"/>
  <c r="P18" i="20"/>
  <c r="P23" i="20"/>
  <c r="P24" i="20"/>
  <c r="N16" i="20"/>
  <c r="N24" i="20"/>
  <c r="N27" i="20"/>
  <c r="M16" i="20"/>
  <c r="P16" i="20"/>
  <c r="F26" i="20"/>
  <c r="F23" i="20"/>
  <c r="E23" i="20"/>
  <c r="E24" i="20"/>
  <c r="M14" i="8"/>
  <c r="N14" i="8"/>
  <c r="F14" i="8"/>
  <c r="K14" i="8"/>
  <c r="L14" i="8"/>
  <c r="J14" i="8"/>
  <c r="I14" i="8"/>
  <c r="B14" i="8"/>
  <c r="C14" i="8"/>
  <c r="D14" i="8"/>
  <c r="E14" i="8"/>
  <c r="G14" i="8"/>
  <c r="H14" i="8"/>
  <c r="F24" i="20"/>
  <c r="F27" i="20"/>
  <c r="H23" i="20"/>
  <c r="H24" i="20"/>
  <c r="F31" i="26"/>
  <c r="F25" i="26"/>
  <c r="F32" i="26"/>
  <c r="F54" i="20"/>
  <c r="F80" i="20"/>
  <c r="F47" i="26"/>
  <c r="F39" i="25"/>
  <c r="F38" i="26"/>
  <c r="F44" i="26"/>
  <c r="H76" i="20"/>
  <c r="H77" i="20"/>
  <c r="C8" i="8"/>
  <c r="B14" i="4"/>
  <c r="E52" i="5"/>
  <c r="C21" i="6"/>
  <c r="J8" i="8"/>
  <c r="B8" i="8"/>
  <c r="F34" i="26"/>
  <c r="F8" i="26"/>
  <c r="F48" i="25"/>
  <c r="F46" i="26"/>
  <c r="F27" i="26"/>
  <c r="F49" i="25"/>
  <c r="F16" i="25"/>
  <c r="L8" i="8"/>
  <c r="F41" i="26"/>
  <c r="F45" i="26"/>
  <c r="F49" i="26"/>
  <c r="F44" i="25"/>
  <c r="F45" i="25"/>
  <c r="G3" i="8"/>
  <c r="F50" i="26"/>
  <c r="M3" i="8"/>
  <c r="M8" i="8"/>
  <c r="N8" i="8"/>
  <c r="H50" i="20"/>
  <c r="H51" i="20"/>
  <c r="F40" i="25"/>
  <c r="D8" i="8"/>
  <c r="F29" i="25"/>
  <c r="F30" i="25"/>
  <c r="F50" i="25"/>
  <c r="J13" i="8"/>
  <c r="F26" i="25"/>
  <c r="K9" i="8"/>
  <c r="H8" i="8"/>
  <c r="J10" i="8"/>
  <c r="J3" i="8"/>
  <c r="K31" i="6"/>
  <c r="D26" i="6"/>
  <c r="G6" i="8"/>
  <c r="D3" i="7"/>
  <c r="L11" i="8"/>
  <c r="K10" i="8"/>
  <c r="E3" i="8"/>
  <c r="H11" i="8"/>
  <c r="G8" i="8"/>
  <c r="D9" i="8"/>
  <c r="I3" i="8"/>
  <c r="D13" i="8"/>
  <c r="F41" i="25"/>
  <c r="F39" i="26"/>
  <c r="D55" i="4"/>
  <c r="L6" i="8"/>
  <c r="C9" i="8"/>
  <c r="D11" i="8"/>
  <c r="C13" i="8"/>
  <c r="K4" i="8"/>
  <c r="J9" i="8"/>
  <c r="F33" i="26"/>
  <c r="F6" i="26"/>
  <c r="H6" i="26"/>
  <c r="E8" i="8"/>
  <c r="F40" i="26"/>
  <c r="B45" i="4"/>
  <c r="C19" i="6"/>
  <c r="J11" i="8"/>
  <c r="J4" i="8"/>
  <c r="D10" i="8"/>
  <c r="I8" i="8"/>
  <c r="J5" i="8"/>
  <c r="G12" i="8"/>
  <c r="K13" i="8"/>
  <c r="I12" i="8"/>
  <c r="G11" i="8"/>
  <c r="K6" i="8"/>
  <c r="N11" i="8"/>
  <c r="J12" i="8"/>
  <c r="F11" i="8"/>
  <c r="K3" i="8"/>
  <c r="K11" i="8"/>
  <c r="E12" i="8"/>
  <c r="C10" i="8"/>
  <c r="J6" i="8"/>
  <c r="F29" i="26"/>
  <c r="F30" i="26"/>
  <c r="F17" i="26"/>
  <c r="M11" i="8"/>
  <c r="H3" i="8"/>
  <c r="G10" i="8"/>
  <c r="G13" i="8"/>
  <c r="F33" i="25"/>
  <c r="F7" i="26"/>
  <c r="F22" i="26"/>
  <c r="F8" i="8"/>
  <c r="K12" i="8"/>
  <c r="L12" i="8"/>
  <c r="N12" i="8"/>
  <c r="K5" i="8"/>
  <c r="D12" i="8"/>
  <c r="H12" i="8"/>
  <c r="G9" i="8"/>
  <c r="F31" i="25"/>
  <c r="K8" i="8"/>
  <c r="H6" i="8"/>
  <c r="M6" i="8"/>
  <c r="G4" i="8"/>
  <c r="G5" i="8"/>
  <c r="M12" i="8"/>
  <c r="L3" i="8"/>
  <c r="N9" i="8"/>
  <c r="C11" i="8"/>
  <c r="N10" i="8"/>
  <c r="N13" i="8"/>
  <c r="F4" i="8"/>
  <c r="B4" i="8"/>
  <c r="C12" i="8"/>
  <c r="F12" i="8"/>
  <c r="F6" i="25"/>
  <c r="I5" i="8"/>
  <c r="C5" i="8"/>
  <c r="I11" i="8"/>
  <c r="B12" i="8"/>
  <c r="D5" i="8"/>
  <c r="E11" i="8"/>
  <c r="I6" i="8"/>
  <c r="B11" i="8"/>
  <c r="D4" i="8"/>
  <c r="E6" i="8"/>
  <c r="C4" i="8"/>
  <c r="F3" i="8"/>
  <c r="I10" i="8"/>
  <c r="B9" i="8"/>
  <c r="F34" i="25"/>
  <c r="C3" i="8"/>
  <c r="I13" i="8"/>
  <c r="D3" i="8"/>
  <c r="B6" i="8"/>
  <c r="I9" i="8"/>
  <c r="C6" i="8"/>
  <c r="F6" i="8"/>
  <c r="D6" i="8"/>
  <c r="I4" i="8"/>
  <c r="F11" i="26"/>
  <c r="B3" i="8"/>
  <c r="H13" i="8"/>
  <c r="N6" i="8"/>
  <c r="H10" i="8"/>
  <c r="N3" i="8"/>
  <c r="H5" i="8"/>
  <c r="H4" i="8"/>
  <c r="H9" i="8"/>
  <c r="N4" i="8"/>
  <c r="N5" i="8"/>
  <c r="E4" i="8"/>
  <c r="E9" i="8"/>
  <c r="L4" i="8"/>
  <c r="E10" i="8"/>
  <c r="F13" i="8"/>
  <c r="L5" i="8"/>
  <c r="L13" i="8"/>
  <c r="B5" i="8"/>
  <c r="F9" i="8"/>
  <c r="E13" i="8"/>
  <c r="L10" i="8"/>
  <c r="F10" i="8"/>
  <c r="F5" i="8"/>
  <c r="E5" i="8"/>
  <c r="L9" i="8"/>
  <c r="B13" i="8"/>
  <c r="B10" i="8"/>
  <c r="M10" i="8"/>
  <c r="M9" i="8"/>
  <c r="M5" i="8"/>
  <c r="M4" i="8"/>
  <c r="M13" i="8"/>
  <c r="O42" i="5"/>
  <c r="G42" i="5"/>
  <c r="O49" i="4"/>
  <c r="O21" i="4"/>
  <c r="O32" i="4"/>
  <c r="B4" i="4"/>
  <c r="E47" i="5"/>
  <c r="D15" i="9"/>
  <c r="N41" i="5"/>
  <c r="H42" i="5"/>
  <c r="F8" i="25"/>
  <c r="F7" i="25"/>
  <c r="N48" i="5"/>
  <c r="F48" i="5"/>
  <c r="D31" i="6"/>
  <c r="F26" i="26"/>
  <c r="L48" i="5"/>
  <c r="J26" i="6"/>
  <c r="L19" i="5"/>
  <c r="I33" i="5"/>
  <c r="F12" i="26"/>
  <c r="F22" i="25"/>
  <c r="O26" i="6"/>
  <c r="Q19" i="5"/>
  <c r="G26" i="6"/>
  <c r="I19" i="5"/>
  <c r="H55" i="4"/>
  <c r="F20" i="26"/>
  <c r="F21" i="26"/>
  <c r="M48" i="5"/>
  <c r="M55" i="4"/>
  <c r="F24" i="26"/>
  <c r="B3" i="7"/>
  <c r="B19" i="7"/>
  <c r="H40" i="4"/>
  <c r="F15" i="26"/>
  <c r="F25" i="25"/>
  <c r="B33" i="4"/>
  <c r="F10" i="26"/>
  <c r="K48" i="5"/>
  <c r="J42" i="5"/>
  <c r="K41" i="6"/>
  <c r="N31" i="6"/>
  <c r="J31" i="6"/>
  <c r="M32" i="5"/>
  <c r="F24" i="25"/>
  <c r="C26" i="6"/>
  <c r="B32" i="4"/>
  <c r="C6" i="6"/>
  <c r="J55" i="4"/>
  <c r="I42" i="5"/>
  <c r="N26" i="6"/>
  <c r="P19" i="5"/>
  <c r="F26" i="6"/>
  <c r="H19" i="5"/>
  <c r="H41" i="5"/>
  <c r="C38" i="6"/>
  <c r="I41" i="6"/>
  <c r="M40" i="4"/>
  <c r="M56" i="4"/>
  <c r="F15" i="25"/>
  <c r="D27" i="4"/>
  <c r="G57" i="5"/>
  <c r="L41" i="6"/>
  <c r="D41" i="6"/>
  <c r="J41" i="6"/>
  <c r="M36" i="5"/>
  <c r="N41" i="6"/>
  <c r="F41" i="6"/>
  <c r="C55" i="4"/>
  <c r="G55" i="4"/>
  <c r="E55" i="4"/>
  <c r="D17" i="6"/>
  <c r="D14" i="6"/>
  <c r="F20" i="5"/>
  <c r="M41" i="5"/>
  <c r="N42" i="5"/>
  <c r="L40" i="4"/>
  <c r="L56" i="4"/>
  <c r="N40" i="4"/>
  <c r="J48" i="5"/>
  <c r="E40" i="4"/>
  <c r="E56" i="4"/>
  <c r="F21" i="25"/>
  <c r="K40" i="4"/>
  <c r="D40" i="4"/>
  <c r="D56" i="4"/>
  <c r="F42" i="5"/>
  <c r="K41" i="5"/>
  <c r="O41" i="6"/>
  <c r="I27" i="4"/>
  <c r="J5" i="6"/>
  <c r="L27" i="5"/>
  <c r="I55" i="4"/>
  <c r="N55" i="4"/>
  <c r="F55" i="4"/>
  <c r="I40" i="4"/>
  <c r="F12" i="25"/>
  <c r="K55" i="4"/>
  <c r="F20" i="25"/>
  <c r="M31" i="5"/>
  <c r="C40" i="4"/>
  <c r="L42" i="5"/>
  <c r="M19" i="6"/>
  <c r="M17" i="6"/>
  <c r="M14" i="6"/>
  <c r="L17" i="6"/>
  <c r="L14" i="6"/>
  <c r="L15" i="6"/>
  <c r="F13" i="26"/>
  <c r="F40" i="4"/>
  <c r="B49" i="4"/>
  <c r="B55" i="4"/>
  <c r="H56" i="4"/>
  <c r="C42" i="6"/>
  <c r="C41" i="6"/>
  <c r="E36" i="5"/>
  <c r="N17" i="6"/>
  <c r="N14" i="6"/>
  <c r="G17" i="6"/>
  <c r="G14" i="6"/>
  <c r="I6" i="5"/>
  <c r="G41" i="6"/>
  <c r="G31" i="6"/>
  <c r="J44" i="5"/>
  <c r="H26" i="6"/>
  <c r="J19" i="5"/>
  <c r="M27" i="4"/>
  <c r="N5" i="6"/>
  <c r="P26" i="5"/>
  <c r="N36" i="6"/>
  <c r="I48" i="5"/>
  <c r="C27" i="4"/>
  <c r="D5" i="6"/>
  <c r="F26" i="5"/>
  <c r="E27" i="4"/>
  <c r="F5" i="6"/>
  <c r="H24" i="5"/>
  <c r="L36" i="6"/>
  <c r="N47" i="5"/>
  <c r="K27" i="4"/>
  <c r="L5" i="6"/>
  <c r="N26" i="5"/>
  <c r="G36" i="6"/>
  <c r="F47" i="5"/>
  <c r="L27" i="4"/>
  <c r="O57" i="5"/>
  <c r="H27" i="4"/>
  <c r="K57" i="5"/>
  <c r="F36" i="6"/>
  <c r="D36" i="6"/>
  <c r="J27" i="4"/>
  <c r="K5" i="6"/>
  <c r="N27" i="4"/>
  <c r="F27" i="4"/>
  <c r="G5" i="6"/>
  <c r="O36" i="6"/>
  <c r="J47" i="6"/>
  <c r="L3" i="7"/>
  <c r="L19" i="7"/>
  <c r="L29" i="7"/>
  <c r="L33" i="7"/>
  <c r="L35" i="7"/>
  <c r="L37" i="7"/>
  <c r="K3" i="7"/>
  <c r="K19" i="7"/>
  <c r="K29" i="7"/>
  <c r="K33" i="7"/>
  <c r="K35" i="7"/>
  <c r="K37" i="7"/>
  <c r="F16" i="26"/>
  <c r="F18" i="26"/>
  <c r="F27" i="25"/>
  <c r="I3" i="7"/>
  <c r="I19" i="7"/>
  <c r="I29" i="7"/>
  <c r="I33" i="7"/>
  <c r="F18" i="25"/>
  <c r="H3" i="7"/>
  <c r="H19" i="7"/>
  <c r="K56" i="5"/>
  <c r="G3" i="7"/>
  <c r="G19" i="7"/>
  <c r="J56" i="5"/>
  <c r="N3" i="7"/>
  <c r="N19" i="7"/>
  <c r="N29" i="7"/>
  <c r="N33" i="7"/>
  <c r="F3" i="7"/>
  <c r="F19" i="7"/>
  <c r="I56" i="5"/>
  <c r="F17" i="25"/>
  <c r="D19" i="7"/>
  <c r="D29" i="7"/>
  <c r="D33" i="7"/>
  <c r="D35" i="7"/>
  <c r="D37" i="7"/>
  <c r="B23" i="7"/>
  <c r="M3" i="7"/>
  <c r="M19" i="7"/>
  <c r="M29" i="7"/>
  <c r="M33" i="7"/>
  <c r="M35" i="7"/>
  <c r="M37" i="7"/>
  <c r="E3" i="7"/>
  <c r="E19" i="7"/>
  <c r="E29" i="7"/>
  <c r="E33" i="7"/>
  <c r="E35" i="7"/>
  <c r="E37" i="7"/>
  <c r="I47" i="6"/>
  <c r="H56" i="5"/>
  <c r="J3" i="7"/>
  <c r="J19" i="7"/>
  <c r="J29" i="7"/>
  <c r="J33" i="7"/>
  <c r="J35" i="7"/>
  <c r="J37" i="7"/>
  <c r="F56" i="5"/>
  <c r="G56" i="5"/>
  <c r="H47" i="6"/>
  <c r="O47" i="6"/>
  <c r="G47" i="6"/>
  <c r="C47" i="6"/>
  <c r="K47" i="6"/>
  <c r="E41" i="5"/>
  <c r="C17" i="6"/>
  <c r="C14" i="6"/>
  <c r="E35" i="5"/>
  <c r="N40" i="5"/>
  <c r="E33" i="5"/>
  <c r="J31" i="5"/>
  <c r="C31" i="6"/>
  <c r="G40" i="4"/>
  <c r="J41" i="5"/>
  <c r="P40" i="5"/>
  <c r="H40" i="5"/>
  <c r="H41" i="6"/>
  <c r="M36" i="6"/>
  <c r="E36" i="6"/>
  <c r="H31" i="6"/>
  <c r="M26" i="6"/>
  <c r="J19" i="6"/>
  <c r="J17" i="6"/>
  <c r="J14" i="6"/>
  <c r="H17" i="6"/>
  <c r="H14" i="6"/>
  <c r="J8" i="5"/>
  <c r="I6" i="6"/>
  <c r="K31" i="5"/>
  <c r="K52" i="5"/>
  <c r="P48" i="5"/>
  <c r="H48" i="5"/>
  <c r="M47" i="5"/>
  <c r="O40" i="5"/>
  <c r="G40" i="5"/>
  <c r="N44" i="5"/>
  <c r="O38" i="6"/>
  <c r="G38" i="6"/>
  <c r="E17" i="6"/>
  <c r="E14" i="6"/>
  <c r="G8" i="5"/>
  <c r="I17" i="6"/>
  <c r="I14" i="6"/>
  <c r="K6" i="5"/>
  <c r="O48" i="5"/>
  <c r="G48" i="5"/>
  <c r="L47" i="5"/>
  <c r="N34" i="5"/>
  <c r="K42" i="5"/>
  <c r="K36" i="6"/>
  <c r="E26" i="6"/>
  <c r="F17" i="6"/>
  <c r="F14" i="6"/>
  <c r="H6" i="5"/>
  <c r="K47" i="5"/>
  <c r="M42" i="5"/>
  <c r="I40" i="5"/>
  <c r="C36" i="6"/>
  <c r="G27" i="4"/>
  <c r="J40" i="4"/>
  <c r="J56" i="4"/>
  <c r="O41" i="5"/>
  <c r="G41" i="5"/>
  <c r="E41" i="6"/>
  <c r="G36" i="5"/>
  <c r="J36" i="6"/>
  <c r="M31" i="6"/>
  <c r="E31" i="6"/>
  <c r="J47" i="5"/>
  <c r="I41" i="5"/>
  <c r="G33" i="5"/>
  <c r="C8" i="6"/>
  <c r="F32" i="5"/>
  <c r="F41" i="5"/>
  <c r="L40" i="5"/>
  <c r="I36" i="6"/>
  <c r="K26" i="6"/>
  <c r="M19" i="5"/>
  <c r="H36" i="6"/>
  <c r="O31" i="6"/>
  <c r="L41" i="5"/>
  <c r="J40" i="5"/>
  <c r="L26" i="6"/>
  <c r="I26" i="6"/>
  <c r="P33" i="5"/>
  <c r="H33" i="5"/>
  <c r="O33" i="5"/>
  <c r="O19" i="5"/>
  <c r="L36" i="5"/>
  <c r="G6" i="5"/>
  <c r="D15" i="6"/>
  <c r="D47" i="6"/>
  <c r="F31" i="6"/>
  <c r="M40" i="5"/>
  <c r="N33" i="5"/>
  <c r="F33" i="5"/>
  <c r="K32" i="5"/>
  <c r="P31" i="5"/>
  <c r="H31" i="5"/>
  <c r="L47" i="6"/>
  <c r="E42" i="5"/>
  <c r="M41" i="6"/>
  <c r="O36" i="5"/>
  <c r="M33" i="5"/>
  <c r="J32" i="5"/>
  <c r="O31" i="5"/>
  <c r="G31" i="5"/>
  <c r="N47" i="6"/>
  <c r="L33" i="5"/>
  <c r="I32" i="5"/>
  <c r="N31" i="5"/>
  <c r="I31" i="6"/>
  <c r="K44" i="5"/>
  <c r="K17" i="6"/>
  <c r="K14" i="6"/>
  <c r="K33" i="5"/>
  <c r="P32" i="5"/>
  <c r="H32" i="5"/>
  <c r="F19" i="5"/>
  <c r="M47" i="6"/>
  <c r="F47" i="6"/>
  <c r="J33" i="5"/>
  <c r="O32" i="5"/>
  <c r="G32" i="5"/>
  <c r="O17" i="6"/>
  <c r="O14" i="6"/>
  <c r="N32" i="5"/>
  <c r="E47" i="6"/>
  <c r="L20" i="5"/>
  <c r="F21" i="5"/>
  <c r="F27" i="5"/>
  <c r="K19" i="5"/>
  <c r="I36" i="5"/>
  <c r="K40" i="5"/>
  <c r="B27" i="4"/>
  <c r="L21" i="5"/>
  <c r="E5" i="6"/>
  <c r="G44" i="5"/>
  <c r="M34" i="5"/>
  <c r="L25" i="5"/>
  <c r="F44" i="5"/>
  <c r="N36" i="5"/>
  <c r="M44" i="5"/>
  <c r="J36" i="5"/>
  <c r="P20" i="5"/>
  <c r="L8" i="5"/>
  <c r="E20" i="5"/>
  <c r="D23" i="9"/>
  <c r="B40" i="4"/>
  <c r="B56" i="4"/>
  <c r="F34" i="5"/>
  <c r="E56" i="5"/>
  <c r="D12" i="9"/>
  <c r="E40" i="5"/>
  <c r="F40" i="5"/>
  <c r="O5" i="6"/>
  <c r="G56" i="4"/>
  <c r="E48" i="5"/>
  <c r="D16" i="9"/>
  <c r="L14" i="5"/>
  <c r="L26" i="5"/>
  <c r="E8" i="5"/>
  <c r="D7" i="9"/>
  <c r="O20" i="5"/>
  <c r="F56" i="4"/>
  <c r="G20" i="5"/>
  <c r="I56" i="4"/>
  <c r="L35" i="5"/>
  <c r="C56" i="4"/>
  <c r="N15" i="6"/>
  <c r="P10" i="5"/>
  <c r="I15" i="6"/>
  <c r="I20" i="5"/>
  <c r="I8" i="5"/>
  <c r="F6" i="5"/>
  <c r="P8" i="5"/>
  <c r="F8" i="5"/>
  <c r="P6" i="5"/>
  <c r="K8" i="5"/>
  <c r="H15" i="6"/>
  <c r="G15" i="6"/>
  <c r="I10" i="5"/>
  <c r="N56" i="4"/>
  <c r="N58" i="4"/>
  <c r="K56" i="4"/>
  <c r="F10" i="5"/>
  <c r="L7" i="5"/>
  <c r="L9" i="5"/>
  <c r="L15" i="5"/>
  <c r="L24" i="5"/>
  <c r="L58" i="5"/>
  <c r="M57" i="5"/>
  <c r="L57" i="5"/>
  <c r="L53" i="5"/>
  <c r="P24" i="5"/>
  <c r="N6" i="5"/>
  <c r="N20" i="5"/>
  <c r="N8" i="5"/>
  <c r="O8" i="5"/>
  <c r="L6" i="5"/>
  <c r="P15" i="5"/>
  <c r="J34" i="5"/>
  <c r="F36" i="5"/>
  <c r="N35" i="5"/>
  <c r="O6" i="5"/>
  <c r="J15" i="6"/>
  <c r="L10" i="5"/>
  <c r="E44" i="5"/>
  <c r="M15" i="6"/>
  <c r="K20" i="5"/>
  <c r="F15" i="6"/>
  <c r="H10" i="5"/>
  <c r="E15" i="6"/>
  <c r="G10" i="5"/>
  <c r="P35" i="5"/>
  <c r="G19" i="5"/>
  <c r="G35" i="5"/>
  <c r="H36" i="5"/>
  <c r="P9" i="5"/>
  <c r="F58" i="5"/>
  <c r="O35" i="5"/>
  <c r="N19" i="5"/>
  <c r="P21" i="5"/>
  <c r="J6" i="5"/>
  <c r="O44" i="5"/>
  <c r="L31" i="5"/>
  <c r="P53" i="5"/>
  <c r="F7" i="5"/>
  <c r="P57" i="5"/>
  <c r="P27" i="5"/>
  <c r="P14" i="5"/>
  <c r="I44" i="5"/>
  <c r="N53" i="5"/>
  <c r="M5" i="6"/>
  <c r="O26" i="5"/>
  <c r="F24" i="5"/>
  <c r="P58" i="5"/>
  <c r="P25" i="5"/>
  <c r="O34" i="5"/>
  <c r="G30" i="5"/>
  <c r="F14" i="5"/>
  <c r="F15" i="5"/>
  <c r="N58" i="5"/>
  <c r="F9" i="5"/>
  <c r="F25" i="5"/>
  <c r="F57" i="5"/>
  <c r="N21" i="5"/>
  <c r="F53" i="5"/>
  <c r="I30" i="5"/>
  <c r="I25" i="5"/>
  <c r="I58" i="5"/>
  <c r="I21" i="5"/>
  <c r="I53" i="5"/>
  <c r="I7" i="5"/>
  <c r="H14" i="5"/>
  <c r="G7" i="5"/>
  <c r="H57" i="5"/>
  <c r="H53" i="5"/>
  <c r="H43" i="5"/>
  <c r="I57" i="5"/>
  <c r="H58" i="5"/>
  <c r="G24" i="5"/>
  <c r="G53" i="5"/>
  <c r="H25" i="5"/>
  <c r="H27" i="5"/>
  <c r="N25" i="5"/>
  <c r="N24" i="5"/>
  <c r="H15" i="5"/>
  <c r="G43" i="5"/>
  <c r="H9" i="5"/>
  <c r="H26" i="5"/>
  <c r="I5" i="6"/>
  <c r="K9" i="5"/>
  <c r="Q21" i="5"/>
  <c r="M24" i="5"/>
  <c r="M53" i="5"/>
  <c r="M30" i="5"/>
  <c r="M27" i="5"/>
  <c r="M43" i="5"/>
  <c r="M9" i="5"/>
  <c r="M26" i="5"/>
  <c r="M21" i="5"/>
  <c r="M25" i="5"/>
  <c r="M14" i="5"/>
  <c r="M15" i="5"/>
  <c r="N43" i="5"/>
  <c r="N30" i="5"/>
  <c r="I24" i="5"/>
  <c r="N7" i="5"/>
  <c r="G9" i="5"/>
  <c r="N15" i="5"/>
  <c r="N57" i="5"/>
  <c r="N10" i="5"/>
  <c r="G15" i="5"/>
  <c r="I15" i="5"/>
  <c r="I43" i="5"/>
  <c r="I27" i="5"/>
  <c r="N14" i="5"/>
  <c r="G14" i="5"/>
  <c r="N9" i="5"/>
  <c r="M58" i="5"/>
  <c r="N27" i="5"/>
  <c r="I9" i="5"/>
  <c r="I14" i="5"/>
  <c r="I26" i="5"/>
  <c r="G58" i="5"/>
  <c r="G29" i="7"/>
  <c r="G33" i="7"/>
  <c r="G35" i="7"/>
  <c r="G37" i="7"/>
  <c r="F29" i="7"/>
  <c r="F33" i="7"/>
  <c r="F35" i="7"/>
  <c r="F37" i="7"/>
  <c r="H55" i="5"/>
  <c r="I35" i="7"/>
  <c r="I37" i="7"/>
  <c r="L55" i="5"/>
  <c r="M55" i="5"/>
  <c r="P55" i="5"/>
  <c r="N55" i="5"/>
  <c r="H29" i="7"/>
  <c r="H33" i="7"/>
  <c r="H35" i="7"/>
  <c r="H37" i="7"/>
  <c r="G55" i="5"/>
  <c r="P56" i="5"/>
  <c r="L56" i="5"/>
  <c r="N56" i="5"/>
  <c r="M56" i="5"/>
  <c r="N35" i="7"/>
  <c r="N37" i="7"/>
  <c r="O55" i="5"/>
  <c r="O56" i="5"/>
  <c r="B29" i="7"/>
  <c r="B33" i="7"/>
  <c r="B35" i="7"/>
  <c r="B37" i="7"/>
  <c r="F35" i="5"/>
  <c r="E6" i="5"/>
  <c r="D4" i="9"/>
  <c r="H7" i="5"/>
  <c r="H20" i="5"/>
  <c r="E31" i="5"/>
  <c r="I35" i="5"/>
  <c r="F31" i="5"/>
  <c r="P34" i="5"/>
  <c r="H35" i="5"/>
  <c r="G26" i="5"/>
  <c r="Q14" i="5"/>
  <c r="H30" i="5"/>
  <c r="E34" i="5"/>
  <c r="E19" i="5"/>
  <c r="D22" i="9"/>
  <c r="L34" i="5"/>
  <c r="H5" i="6"/>
  <c r="J7" i="5"/>
  <c r="J57" i="5"/>
  <c r="G21" i="5"/>
  <c r="H8" i="5"/>
  <c r="J20" i="5"/>
  <c r="J35" i="5"/>
  <c r="H44" i="5"/>
  <c r="G27" i="5"/>
  <c r="E32" i="5"/>
  <c r="G25" i="5"/>
  <c r="C15" i="6"/>
  <c r="G34" i="5"/>
  <c r="K35" i="5"/>
  <c r="K36" i="5"/>
  <c r="H34" i="5"/>
  <c r="H21" i="5"/>
  <c r="I34" i="5"/>
  <c r="O15" i="6"/>
  <c r="M7" i="5"/>
  <c r="K15" i="6"/>
  <c r="M10" i="5"/>
  <c r="M6" i="5"/>
  <c r="M8" i="5"/>
  <c r="M35" i="5"/>
  <c r="K34" i="5"/>
  <c r="L44" i="5"/>
  <c r="M20" i="5"/>
  <c r="P36" i="5"/>
  <c r="C5" i="6"/>
  <c r="F43" i="5"/>
  <c r="B58" i="4"/>
  <c r="F55" i="5"/>
  <c r="E57" i="5"/>
  <c r="D13" i="9"/>
  <c r="Q15" i="5"/>
  <c r="K53" i="5"/>
  <c r="C56" i="6"/>
  <c r="B38" i="7"/>
  <c r="E55" i="5"/>
  <c r="D11" i="9"/>
  <c r="K14" i="5"/>
  <c r="O14" i="5"/>
  <c r="O24" i="5"/>
  <c r="P30" i="5"/>
  <c r="O58" i="5"/>
  <c r="K25" i="5"/>
  <c r="K7" i="5"/>
  <c r="K27" i="5"/>
  <c r="O43" i="5"/>
  <c r="O21" i="5"/>
  <c r="O15" i="5"/>
  <c r="L43" i="5"/>
  <c r="O27" i="5"/>
  <c r="O53" i="5"/>
  <c r="O9" i="5"/>
  <c r="O30" i="5"/>
  <c r="O10" i="5"/>
  <c r="O7" i="5"/>
  <c r="O25" i="5"/>
  <c r="K26" i="5"/>
  <c r="L30" i="5"/>
  <c r="K43" i="5"/>
  <c r="J10" i="5"/>
  <c r="K24" i="5"/>
  <c r="K15" i="5"/>
  <c r="K58" i="5"/>
  <c r="K21" i="5"/>
  <c r="K10" i="5"/>
  <c r="K30" i="5"/>
  <c r="J58" i="5"/>
  <c r="J55" i="5"/>
  <c r="I55" i="5"/>
  <c r="K55" i="5"/>
  <c r="J30" i="5"/>
  <c r="J53" i="5"/>
  <c r="J43" i="5"/>
  <c r="J27" i="5"/>
  <c r="J9" i="5"/>
  <c r="J14" i="5"/>
  <c r="J24" i="5"/>
  <c r="J15" i="5"/>
  <c r="J26" i="5"/>
  <c r="J25" i="5"/>
  <c r="J21" i="5"/>
  <c r="E10" i="5"/>
  <c r="D6" i="9"/>
  <c r="E9" i="5"/>
  <c r="E43" i="5"/>
  <c r="E21" i="5"/>
  <c r="E30" i="5"/>
  <c r="E15" i="5"/>
  <c r="D21" i="9"/>
  <c r="E14" i="5"/>
  <c r="D20" i="9"/>
  <c r="F30" i="5"/>
  <c r="E26" i="5"/>
  <c r="E27" i="5"/>
  <c r="D17" i="9"/>
  <c r="E53" i="5"/>
  <c r="E25" i="5"/>
  <c r="E24" i="5"/>
  <c r="E58" i="5"/>
  <c r="D18" i="9"/>
  <c r="E7" i="5"/>
  <c r="D5" i="9"/>
  <c r="O33" i="4"/>
  <c r="O40" i="4"/>
  <c r="O55" i="4"/>
  <c r="O56" i="4"/>
  <c r="O27" i="4"/>
  <c r="P15" i="6"/>
  <c r="R10" i="5" s="1"/>
  <c r="Q6" i="9" s="1"/>
  <c r="O38" i="7"/>
  <c r="V47" i="6" l="1"/>
  <c r="V41" i="6"/>
  <c r="V31" i="6"/>
  <c r="V26" i="6"/>
  <c r="V17" i="6"/>
  <c r="V14" i="6" s="1"/>
  <c r="V15" i="6" s="1"/>
  <c r="V56" i="5"/>
  <c r="U12" i="9" s="1"/>
  <c r="T56" i="6"/>
  <c r="V40" i="5"/>
  <c r="V31" i="5"/>
  <c r="V19" i="5"/>
  <c r="U22" i="9" s="1"/>
  <c r="V8" i="5"/>
  <c r="U7" i="9" s="1"/>
  <c r="V57" i="5"/>
  <c r="U13" i="9" s="1"/>
  <c r="V55" i="5"/>
  <c r="U11" i="9" s="1"/>
  <c r="T5" i="6"/>
  <c r="V58" i="5"/>
  <c r="U18" i="9" s="1"/>
  <c r="V53" i="5" l="1"/>
  <c r="V43" i="5"/>
  <c r="V30" i="5"/>
  <c r="V27" i="5"/>
  <c r="U17" i="9" s="1"/>
  <c r="V26" i="5"/>
  <c r="V25" i="5"/>
  <c r="V24" i="5"/>
  <c r="V21" i="5"/>
  <c r="V15" i="5"/>
  <c r="U21" i="9" s="1"/>
  <c r="V14" i="5"/>
  <c r="U20" i="9" s="1"/>
  <c r="V10" i="5"/>
  <c r="U6" i="9" s="1"/>
  <c r="V9" i="5"/>
  <c r="V7" i="5"/>
  <c r="U5" i="9" s="1"/>
</calcChain>
</file>

<file path=xl/sharedStrings.xml><?xml version="1.0" encoding="utf-8"?>
<sst xmlns="http://schemas.openxmlformats.org/spreadsheetml/2006/main" count="594" uniqueCount="336">
  <si>
    <t>audited2017</t>
  </si>
  <si>
    <t>CORE CAPITAL</t>
  </si>
  <si>
    <t>CCA (Min 10%)</t>
  </si>
  <si>
    <t>ICA (Min 8%)</t>
  </si>
  <si>
    <t>CCD (Min 8%)</t>
  </si>
  <si>
    <t>NPL(5%)</t>
  </si>
  <si>
    <t>Liquidity(15%)</t>
  </si>
  <si>
    <t>NEA (Max 10%)</t>
  </si>
  <si>
    <t>LB ratio (Max 5%)</t>
  </si>
  <si>
    <t>FITD (Max 5%)</t>
  </si>
  <si>
    <t>FICC (Max 40%)</t>
  </si>
  <si>
    <t>EB ratio</t>
  </si>
  <si>
    <t>A=S+L</t>
  </si>
  <si>
    <t>HOMEBUSINESS SACCO SOCIETY LTD</t>
  </si>
  <si>
    <t xml:space="preserve"> Sacco Financial Performance </t>
  </si>
  <si>
    <t>FINANCIAL SOUNDNESS INDICATORS</t>
  </si>
  <si>
    <t>Prude.  Std</t>
  </si>
  <si>
    <t>Audited 2021</t>
  </si>
  <si>
    <t>Audited-2022</t>
  </si>
  <si>
    <t>CAPITAL ADEQUACY REQUIREMENTS</t>
  </si>
  <si>
    <t xml:space="preserve">Core capital </t>
  </si>
  <si>
    <t>≥ Ksh.10M</t>
  </si>
  <si>
    <t>Core capital /Total Assets</t>
  </si>
  <si>
    <t>≥ 10%</t>
  </si>
  <si>
    <t>Core capital /Total Deposits</t>
  </si>
  <si>
    <t>≥ 8%</t>
  </si>
  <si>
    <t>Share Capital/Total Assets</t>
  </si>
  <si>
    <t>≤2%</t>
  </si>
  <si>
    <t>Institutional Capital/Total Assets</t>
  </si>
  <si>
    <t>ASSET MIX AND QUALITY</t>
  </si>
  <si>
    <t>Non Earning Assets</t>
  </si>
  <si>
    <t>2.1.1</t>
  </si>
  <si>
    <t>Non earning Assets/Total assets</t>
  </si>
  <si>
    <t>≤ 10%</t>
  </si>
  <si>
    <t>2.1.2</t>
  </si>
  <si>
    <t xml:space="preserve">Property and Equipment/Total Assets </t>
  </si>
  <si>
    <t>≤ 5%</t>
  </si>
  <si>
    <t>2.1.3</t>
  </si>
  <si>
    <t xml:space="preserve">Non Performing loans/Gross Loans </t>
  </si>
  <si>
    <t>≤ 6%</t>
  </si>
  <si>
    <t>Earning Assets</t>
  </si>
  <si>
    <t>2.2.1</t>
  </si>
  <si>
    <t>Equities &amp; Investments/Deposits</t>
  </si>
  <si>
    <t>2.2.2</t>
  </si>
  <si>
    <t>Equities &amp; Investments/Core Capital</t>
  </si>
  <si>
    <t>≤ 40%</t>
  </si>
  <si>
    <t>2.2.3</t>
  </si>
  <si>
    <t>Net Loans &amp; advances /Total assets</t>
  </si>
  <si>
    <t>NPR</t>
  </si>
  <si>
    <t>FUNDING MIX</t>
  </si>
  <si>
    <t>Total Deposits/Total Assets</t>
  </si>
  <si>
    <t>3.1.1</t>
  </si>
  <si>
    <t>BOSA Deposits/Total Assets</t>
  </si>
  <si>
    <t>3.1.2</t>
  </si>
  <si>
    <t>FOSA Deposits/Total Assets</t>
  </si>
  <si>
    <t>External Borrowing/Total assets</t>
  </si>
  <si>
    <t>≤ 25%</t>
  </si>
  <si>
    <t>GROWTH RATIOS</t>
  </si>
  <si>
    <t>Total Assets</t>
  </si>
  <si>
    <t>Total Deposits</t>
  </si>
  <si>
    <t>4.2.1</t>
  </si>
  <si>
    <t>FOSA Deposits</t>
  </si>
  <si>
    <t>4.2.2</t>
  </si>
  <si>
    <t>BOSA Deposits</t>
  </si>
  <si>
    <t>Net Loans &amp; advances</t>
  </si>
  <si>
    <t>Core capital</t>
  </si>
  <si>
    <t>Total Gross Income</t>
  </si>
  <si>
    <t>Membership</t>
  </si>
  <si>
    <t xml:space="preserve">Efficiency Ratios </t>
  </si>
  <si>
    <t>FinCost-Deposits/Average Deposits</t>
  </si>
  <si>
    <t>FinCost-Shares/Average Share capital</t>
  </si>
  <si>
    <t>FinCost-Ext Loans/Average Ext Loans</t>
  </si>
  <si>
    <t>OpEx/Average Total Assets</t>
  </si>
  <si>
    <t xml:space="preserve">Avge yield on Net loans </t>
  </si>
  <si>
    <t>Liquidity Ratio</t>
  </si>
  <si>
    <t>minimum Liquidity</t>
  </si>
  <si>
    <t>TECHNICAL Liquidity</t>
  </si>
  <si>
    <t>Loan Loss Provisions Ratios</t>
  </si>
  <si>
    <t>Actual LLP / Required LLP</t>
  </si>
  <si>
    <t>allowance for loan loss/NPL</t>
  </si>
  <si>
    <t xml:space="preserve">Loan interest/Net Loans </t>
  </si>
  <si>
    <t>Gross loans/Total assets</t>
  </si>
  <si>
    <t>Earnings</t>
  </si>
  <si>
    <t>ROA</t>
  </si>
  <si>
    <t>Cost Income Ratio</t>
  </si>
  <si>
    <t>Operating Expense Ratio</t>
  </si>
  <si>
    <t>Liquid assets/total assets</t>
  </si>
  <si>
    <t>HOMEBUSINESS SACCO</t>
  </si>
  <si>
    <t>Audited-20222</t>
  </si>
  <si>
    <t>CAPITAL</t>
  </si>
  <si>
    <t>CCA</t>
  </si>
  <si>
    <t>ICA</t>
  </si>
  <si>
    <t>CCD</t>
  </si>
  <si>
    <t>Asset Quality</t>
  </si>
  <si>
    <t>NPL</t>
  </si>
  <si>
    <t>CIR</t>
  </si>
  <si>
    <t>OER</t>
  </si>
  <si>
    <t>LIQUIDITY</t>
  </si>
  <si>
    <t>MIN LIQ</t>
  </si>
  <si>
    <t>TEC LIQ</t>
  </si>
  <si>
    <t>EB</t>
  </si>
  <si>
    <t>LIQ/TA</t>
  </si>
  <si>
    <t>STRUCTURE</t>
  </si>
  <si>
    <t>NEA</t>
  </si>
  <si>
    <t>LB</t>
  </si>
  <si>
    <t>FITD</t>
  </si>
  <si>
    <t>FICC</t>
  </si>
  <si>
    <t>HOMEBUSINESS SACCO SOCIETY</t>
  </si>
  <si>
    <t>Year</t>
  </si>
  <si>
    <t>Deposits-Members(BOSA)</t>
  </si>
  <si>
    <t>Deposits-Customers(FOSA)</t>
  </si>
  <si>
    <t xml:space="preserve">External Borrowing </t>
  </si>
  <si>
    <t>Short term Liabilities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</si>
  <si>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</si>
  <si>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</si>
  <si>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</si>
  <si>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</si>
  <si>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</si>
  <si>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</si>
  <si>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5.3.3</t>
  </si>
  <si>
    <t>Retained Earnings</t>
  </si>
  <si>
    <t>5.3.5</t>
  </si>
  <si>
    <t>Statutory Reserves</t>
  </si>
  <si>
    <t>5.3.6</t>
  </si>
  <si>
    <t>Capital Reserve</t>
  </si>
  <si>
    <t>5.3.7</t>
  </si>
  <si>
    <t>Supplementary Capital &amp; reserves</t>
  </si>
  <si>
    <t>a</t>
  </si>
  <si>
    <t>Proposed Dividends</t>
  </si>
  <si>
    <t>b</t>
  </si>
  <si>
    <t>Investments</t>
  </si>
  <si>
    <t>Investments in Coop bank, CIC, Kuscco, Kerussu &amp; Codic</t>
  </si>
  <si>
    <t>Equity Investments (at cost)</t>
  </si>
  <si>
    <t>Deposits in KUSCCO CFP</t>
  </si>
  <si>
    <t>Gross Loans &amp; advances</t>
  </si>
  <si>
    <t>Allowance for loan losses</t>
  </si>
  <si>
    <t>Non Performing Loans</t>
  </si>
  <si>
    <t>Required loan loss provision</t>
  </si>
  <si>
    <t>Cash and Cash equipments</t>
  </si>
  <si>
    <t>Non-Earning Assets</t>
  </si>
  <si>
    <t>Property and Equipment</t>
  </si>
  <si>
    <t>Turnover</t>
  </si>
  <si>
    <t>Loan Interest</t>
  </si>
  <si>
    <t>Income from investments</t>
  </si>
  <si>
    <t>Fees &amp; Commissions</t>
  </si>
  <si>
    <t>Average yield on loans</t>
  </si>
  <si>
    <t>Total Expenses (FinCosts + OpEx)</t>
  </si>
  <si>
    <t>Financial Exp. (Interest on deposits)</t>
  </si>
  <si>
    <t>Financial Exp. (Dividends)</t>
  </si>
  <si>
    <t>Financial Exp. (Interest on bank loans)</t>
  </si>
  <si>
    <t>Other Financial Expenses</t>
  </si>
  <si>
    <t>Administrative Expenses</t>
  </si>
  <si>
    <t>Governance Expenses</t>
  </si>
  <si>
    <t>LLP</t>
  </si>
  <si>
    <t>Net Surplus</t>
  </si>
  <si>
    <t>RISK CLASSIFICATION OF ASSETS AND PROVISIONING</t>
  </si>
  <si>
    <t>SACCO SOCIETY CS NUMBER</t>
  </si>
  <si>
    <t xml:space="preserve">FINANCIAL YEAR </t>
  </si>
  <si>
    <t>START DATE:</t>
  </si>
  <si>
    <t>END DATE:</t>
  </si>
  <si>
    <r>
      <t xml:space="preserve">                                                            </t>
    </r>
    <r>
      <rPr>
        <b/>
        <sz val="11"/>
        <rFont val="Cambria"/>
        <family val="1"/>
      </rPr>
      <t>PORTFOLIO AGEING REPORT</t>
    </r>
  </si>
  <si>
    <t>A</t>
  </si>
  <si>
    <t>B</t>
  </si>
  <si>
    <t>C</t>
  </si>
  <si>
    <t>D</t>
  </si>
  <si>
    <t>NO.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</si>
  <si>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</si>
  <si>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</si>
  <si>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</si>
  <si>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</si>
  <si>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</si>
  <si>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</si>
  <si>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</si>
  <si>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</si>
  <si>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</si>
  <si>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</si>
  <si>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</si>
  <si>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</si>
  <si>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</si>
  <si>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t>STATEMENT OF FINANCIAL POSITION</t>
  </si>
  <si>
    <t>AUDITED 2021</t>
  </si>
  <si>
    <t>Cash &amp; Cash Equivalent</t>
  </si>
  <si>
    <t>Cash in hand</t>
  </si>
  <si>
    <t>Cash at bank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</si>
  <si>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</si>
  <si>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</si>
  <si>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</si>
  <si>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</si>
  <si>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</si>
  <si>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</si>
  <si>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</si>
  <si>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</si>
  <si>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</si>
  <si>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</si>
  <si>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</si>
  <si>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</si>
  <si>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</si>
  <si>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</si>
  <si>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</si>
  <si>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</si>
  <si>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</si>
  <si>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</si>
  <si>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</si>
  <si>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</si>
  <si>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LIABILITIES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</si>
  <si>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</si>
  <si>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</si>
  <si>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</si>
  <si>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</si>
  <si>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</si>
  <si>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</si>
  <si>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</si>
  <si>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</si>
  <si>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</si>
  <si>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</si>
  <si>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</si>
  <si>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</si>
  <si>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EQUITY</t>
  </si>
  <si>
    <t>Share Capital (Members share capital per Bylaws)</t>
  </si>
  <si>
    <t>Capital Grants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</si>
  <si>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</si>
  <si>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</si>
  <si>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</si>
  <si>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</si>
  <si>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</si>
  <si>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</si>
  <si>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Adjustment to Equity</t>
  </si>
  <si>
    <t>Total Equity</t>
  </si>
  <si>
    <t>Total Liabilities and  Equity</t>
  </si>
  <si>
    <t>STATEMENT OF COMPREHENSIVE INCOME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</si>
  <si>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</si>
  <si>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</si>
  <si>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</si>
  <si>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</si>
  <si>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</si>
  <si>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</si>
  <si>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</si>
  <si>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</si>
  <si>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</si>
  <si>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</si>
  <si>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</si>
  <si>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</si>
  <si>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</si>
  <si>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</si>
  <si>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</si>
  <si>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</si>
  <si>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</si>
  <si>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</si>
  <si>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</si>
  <si>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</si>
  <si>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</si>
  <si>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Marketing Expenses</t>
  </si>
  <si>
    <t>Depreciation and Amortization Charges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</si>
  <si>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</si>
  <si>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</si>
  <si>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</si>
  <si>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</si>
  <si>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</si>
  <si>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1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</si>
  <si>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</si>
  <si>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</si>
  <si>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</si>
  <si>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>AUDITED 2015</t>
  </si>
  <si>
    <t>AUDITED 2016</t>
  </si>
  <si>
    <t>AUDITED 2017</t>
  </si>
  <si>
    <t>AUDITED 2018</t>
  </si>
  <si>
    <t>MAGADI  SACCO SOCIETY LIMITED</t>
  </si>
  <si>
    <t>PERFORMANCE AND COMPLIANCE REPORT AS AT :  31st December , 2020</t>
  </si>
  <si>
    <t>Prudential Standard</t>
  </si>
  <si>
    <t>Audited</t>
  </si>
  <si>
    <t>Returns</t>
  </si>
  <si>
    <t>AUDITED 2020</t>
  </si>
  <si>
    <t>Aggregate for all Licensed Saccos</t>
  </si>
  <si>
    <t xml:space="preserve"> 30th September  , 2020</t>
  </si>
  <si>
    <t xml:space="preserve"> 31st December  , 2020</t>
  </si>
  <si>
    <t>A. CAPITAL  ADEQUACY</t>
  </si>
  <si>
    <t xml:space="preserve">Core Capital 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</si>
  <si>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10M</t>
    </r>
  </si>
  <si>
    <t>Core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</si>
  <si>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10%</t>
    </r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</si>
  <si>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</si>
  <si>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</si>
  <si>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</si>
  <si>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</si>
  <si>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</si>
  <si>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</si>
  <si>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</si>
  <si>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</si>
  <si>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</si>
  <si>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</si>
  <si>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</si>
  <si>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</si>
  <si>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</si>
  <si>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</si>
  <si>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</si>
  <si>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</si>
  <si>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</si>
  <si>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</si>
  <si>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</si>
  <si>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</si>
  <si>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</si>
  <si>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</si>
  <si>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</si>
  <si>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</si>
  <si>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</si>
  <si>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</si>
  <si>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</si>
  <si>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</si>
  <si>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</si>
  <si>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Gross Loans</t>
  </si>
  <si>
    <t>Institutional Capital</t>
  </si>
  <si>
    <t>Non-performing Loans</t>
  </si>
  <si>
    <t>Equity Investments</t>
  </si>
  <si>
    <t>Liquid Assets</t>
  </si>
  <si>
    <t>Short-term Liabilities)</t>
  </si>
  <si>
    <t>External Borrowing</t>
  </si>
  <si>
    <t>Average Gross Loans</t>
  </si>
  <si>
    <t>Total Income</t>
  </si>
  <si>
    <t>Net Financial Income/Loss</t>
  </si>
  <si>
    <t>Dividends+Interest on Deposits</t>
  </si>
  <si>
    <t>Interest on Loan portfolio+Fees&amp;Commission on Loan</t>
  </si>
  <si>
    <t>Total Expenses</t>
  </si>
  <si>
    <t>Net Income</t>
  </si>
  <si>
    <t>G. AREAS OF IMPROVEMENT/REGULATORY CONCERNS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</si>
  <si>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</si>
  <si>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</si>
  <si>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</si>
  <si>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</si>
  <si>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EGERTON  SACCO SOCIETY LIMITED</t>
  </si>
  <si>
    <t>PERFORMANCE AND COMPLIANCE REPORT AS AT :  31st December , 2019</t>
  </si>
  <si>
    <t>Audited 2019</t>
  </si>
  <si>
    <t xml:space="preserve"> 30th September  , 2019</t>
  </si>
  <si>
    <t xml:space="preserve"> 31st December  , 2019</t>
  </si>
  <si>
    <t>Checked by: Nelly Kulei</t>
  </si>
  <si>
    <t>Approved by: Peter Owira</t>
  </si>
  <si>
    <t>22nd 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</si>
</sst>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\-* #,##0.00_-;_-* &quot;-&quot;??_-;_-@_-"/>
    <numFmt numFmtId="165" formatCode="&quot;£&quot;#,##0;\-&quot;£&quot;#,##0"/>
    <numFmt numFmtId="166" formatCode="_(* #,##0_);_(* \(#,##0\);_(* &quot;-&quot;??_);_(@_)"/>
    <numFmt numFmtId="167" formatCode="_(* #,##0.00_);_(* \(#,##0.00\);_(* \-??_);_(@_)"/>
    <numFmt numFmtId="168" formatCode="[$-10409]#,##0.00;\-\ #,##0.00"/>
    <numFmt numFmtId="169" formatCode="d/mmm/yy"/>
    <numFmt numFmtId="170" formatCode="\£#,##0;&quot;-£&quot;#,##0"/>
    <numFmt numFmtId="171" formatCode="_-* #,##0.00_-;\-* #,##0.00_-;_-* \-??_-;_-@_-"/>
    <numFmt numFmtId="172" formatCode="0.0"/>
    <numFmt numFmtId="173" formatCode="0.0%"/>
    <numFmt numFmtId="174" formatCode="_-* #,##0_-;\-* #,##0_-;_-* &quot;-&quot;??_-;_-@_-"/>
    <numFmt numFmtId="175" formatCode="[$-409]mmm\-yy;@"/>
  </numFmts>
  <fonts count="5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8"/>
      <color indexed="8"/>
      <name val="Trebuchet MS"/>
      <family val="2"/>
    </font>
    <font>
      <b/>
      <sz val="8.3000000000000007"/>
      <color indexed="8"/>
      <name val="Arial"/>
      <family val="2"/>
    </font>
    <font>
      <sz val="10"/>
      <name val="Arial Narrow"/>
      <family val="2"/>
    </font>
    <font>
      <sz val="11"/>
      <color indexed="62"/>
      <name val="Arial"/>
      <family val="2"/>
    </font>
    <font>
      <sz val="10"/>
      <color indexed="8"/>
      <name val="MS Sans Serif"/>
      <family val="2"/>
    </font>
    <font>
      <b/>
      <sz val="11"/>
      <color indexed="8"/>
      <name val="Arial"/>
      <family val="2"/>
    </font>
    <font>
      <sz val="10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0"/>
      <name val="Arial"/>
      <family val="2"/>
    </font>
    <font>
      <i/>
      <sz val="11"/>
      <name val="Cambria"/>
      <family val="1"/>
    </font>
    <font>
      <b/>
      <sz val="12"/>
      <name val="Cambria"/>
      <family val="1"/>
    </font>
    <font>
      <sz val="11"/>
      <color indexed="8"/>
      <name val="Cambria"/>
      <family val="1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10"/>
      <color rgb="FF000000"/>
      <name val="Times New Roman"/>
      <family val="1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indexed="8"/>
      <name val="Cambria"/>
      <family val="1"/>
      <scheme val="major"/>
    </font>
    <font>
      <b/>
      <sz val="10"/>
      <color theme="1"/>
      <name val="Cambria"/>
      <family val="1"/>
      <scheme val="major"/>
    </font>
    <font>
      <i/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i/>
      <sz val="10"/>
      <color indexed="8"/>
      <name val="Cambria"/>
      <family val="1"/>
      <scheme val="major"/>
    </font>
    <font>
      <sz val="10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i/>
      <sz val="10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1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indexed="8"/>
      <name val="Cambria"/>
      <family val="1"/>
      <scheme val="major"/>
    </font>
    <font>
      <b/>
      <sz val="20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1"/>
      <name val="Calibri"/>
      <family val="2"/>
      <scheme val="minor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24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AA520"/>
        <bgColor rgb="FF000000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691">
    <xf numFmtId="0" fontId="0" fillId="0" borderId="0"/>
    <xf numFmtId="0" fontId="3" fillId="2" borderId="0" applyNumberFormat="0" applyBorder="0" applyAlignment="0" applyProtection="0"/>
    <xf numFmtId="0" fontId="22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3" fillId="11" borderId="0" applyNumberFormat="0" applyBorder="0" applyAlignment="0" applyProtection="0"/>
    <xf numFmtId="0" fontId="4" fillId="3" borderId="0" applyNumberFormat="0" applyBorder="0" applyAlignment="0" applyProtection="0"/>
    <xf numFmtId="0" fontId="23" fillId="11" borderId="0" applyNumberFormat="0" applyBorder="0" applyAlignment="0" applyProtection="0"/>
    <xf numFmtId="0" fontId="4" fillId="3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4" fillId="3" borderId="0" applyNumberFormat="0" applyBorder="0" applyAlignment="0" applyProtection="0"/>
    <xf numFmtId="0" fontId="23" fillId="11" borderId="0" applyNumberFormat="0" applyBorder="0" applyAlignment="0" applyProtection="0"/>
    <xf numFmtId="0" fontId="4" fillId="3" borderId="0" applyNumberFormat="0" applyBorder="0" applyAlignment="0" applyProtection="0"/>
    <xf numFmtId="0" fontId="23" fillId="11" borderId="0" applyNumberFormat="0" applyBorder="0" applyAlignment="0" applyProtection="0"/>
    <xf numFmtId="0" fontId="4" fillId="3" borderId="0" applyNumberFormat="0" applyBorder="0" applyAlignment="0" applyProtection="0"/>
    <xf numFmtId="0" fontId="23" fillId="11" borderId="0" applyNumberFormat="0" applyBorder="0" applyAlignment="0" applyProtection="0"/>
    <xf numFmtId="0" fontId="4" fillId="3" borderId="0" applyNumberFormat="0" applyBorder="0" applyAlignment="0" applyProtection="0"/>
    <xf numFmtId="0" fontId="23" fillId="11" borderId="0" applyNumberFormat="0" applyBorder="0" applyAlignment="0" applyProtection="0"/>
    <xf numFmtId="0" fontId="4" fillId="3" borderId="0" applyNumberFormat="0" applyBorder="0" applyAlignment="0" applyProtection="0"/>
    <xf numFmtId="0" fontId="23" fillId="11" borderId="0" applyNumberFormat="0" applyBorder="0" applyAlignment="0" applyProtection="0"/>
    <xf numFmtId="0" fontId="4" fillId="3" borderId="0" applyNumberFormat="0" applyBorder="0" applyAlignment="0" applyProtection="0"/>
    <xf numFmtId="0" fontId="23" fillId="11" borderId="0" applyNumberFormat="0" applyBorder="0" applyAlignment="0" applyProtection="0"/>
    <xf numFmtId="0" fontId="4" fillId="3" borderId="0" applyNumberFormat="0" applyBorder="0" applyAlignment="0" applyProtection="0"/>
    <xf numFmtId="0" fontId="23" fillId="11" borderId="0" applyNumberFormat="0" applyBorder="0" applyAlignment="0" applyProtection="0"/>
    <xf numFmtId="0" fontId="4" fillId="3" borderId="0" applyNumberFormat="0" applyBorder="0" applyAlignment="0" applyProtection="0"/>
    <xf numFmtId="0" fontId="23" fillId="11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23" fillId="12" borderId="0" applyNumberFormat="0" applyBorder="0" applyAlignment="0" applyProtection="0"/>
    <xf numFmtId="0" fontId="4" fillId="4" borderId="0" applyNumberFormat="0" applyBorder="0" applyAlignment="0" applyProtection="0"/>
    <xf numFmtId="0" fontId="23" fillId="12" borderId="0" applyNumberFormat="0" applyBorder="0" applyAlignment="0" applyProtection="0"/>
    <xf numFmtId="0" fontId="4" fillId="4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4" fillId="4" borderId="0" applyNumberFormat="0" applyBorder="0" applyAlignment="0" applyProtection="0"/>
    <xf numFmtId="0" fontId="23" fillId="12" borderId="0" applyNumberFormat="0" applyBorder="0" applyAlignment="0" applyProtection="0"/>
    <xf numFmtId="0" fontId="4" fillId="4" borderId="0" applyNumberFormat="0" applyBorder="0" applyAlignment="0" applyProtection="0"/>
    <xf numFmtId="0" fontId="23" fillId="12" borderId="0" applyNumberFormat="0" applyBorder="0" applyAlignment="0" applyProtection="0"/>
    <xf numFmtId="0" fontId="4" fillId="4" borderId="0" applyNumberFormat="0" applyBorder="0" applyAlignment="0" applyProtection="0"/>
    <xf numFmtId="0" fontId="23" fillId="12" borderId="0" applyNumberFormat="0" applyBorder="0" applyAlignment="0" applyProtection="0"/>
    <xf numFmtId="0" fontId="4" fillId="4" borderId="0" applyNumberFormat="0" applyBorder="0" applyAlignment="0" applyProtection="0"/>
    <xf numFmtId="0" fontId="23" fillId="12" borderId="0" applyNumberFormat="0" applyBorder="0" applyAlignment="0" applyProtection="0"/>
    <xf numFmtId="0" fontId="4" fillId="4" borderId="0" applyNumberFormat="0" applyBorder="0" applyAlignment="0" applyProtection="0"/>
    <xf numFmtId="0" fontId="23" fillId="12" borderId="0" applyNumberFormat="0" applyBorder="0" applyAlignment="0" applyProtection="0"/>
    <xf numFmtId="0" fontId="4" fillId="4" borderId="0" applyNumberFormat="0" applyBorder="0" applyAlignment="0" applyProtection="0"/>
    <xf numFmtId="0" fontId="23" fillId="12" borderId="0" applyNumberFormat="0" applyBorder="0" applyAlignment="0" applyProtection="0"/>
    <xf numFmtId="0" fontId="4" fillId="4" borderId="0" applyNumberFormat="0" applyBorder="0" applyAlignment="0" applyProtection="0"/>
    <xf numFmtId="0" fontId="23" fillId="12" borderId="0" applyNumberFormat="0" applyBorder="0" applyAlignment="0" applyProtection="0"/>
    <xf numFmtId="0" fontId="4" fillId="4" borderId="0" applyNumberFormat="0" applyBorder="0" applyAlignment="0" applyProtection="0"/>
    <xf numFmtId="0" fontId="23" fillId="12" borderId="0" applyNumberFormat="0" applyBorder="0" applyAlignment="0" applyProtection="0"/>
    <xf numFmtId="0" fontId="5" fillId="5" borderId="2" applyNumberFormat="0" applyAlignment="0" applyProtection="0"/>
    <xf numFmtId="0" fontId="24" fillId="13" borderId="56" applyNumberFormat="0" applyAlignment="0" applyProtection="0"/>
    <xf numFmtId="43" fontId="2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6" fillId="0" borderId="0" applyFont="0" applyFill="0" applyBorder="0" applyAlignment="0" applyProtection="0"/>
    <xf numFmtId="171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ill="0" applyBorder="0" applyAlignment="0" applyProtection="0"/>
    <xf numFmtId="164" fontId="8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0" fontId="9" fillId="6" borderId="1" applyNumberFormat="0" applyAlignment="0" applyProtection="0"/>
    <xf numFmtId="0" fontId="25" fillId="14" borderId="55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0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2" fillId="7" borderId="3" applyNumberFormat="0" applyAlignment="0" applyProtection="0"/>
    <xf numFmtId="0" fontId="2" fillId="15" borderId="57" applyNumberFormat="0" applyFont="0" applyAlignment="0" applyProtection="0"/>
    <xf numFmtId="9" fontId="21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58" applyNumberFormat="0" applyFill="0" applyAlignment="0" applyProtection="0"/>
    <xf numFmtId="0" fontId="29" fillId="0" borderId="58" applyNumberFormat="0" applyFill="0" applyAlignment="0" applyProtection="0"/>
  </cellStyleXfs>
  <cellXfs count="391">
    <xf numFmtId="0" fontId="0" fillId="0" borderId="0" xfId="0"/>
    <xf numFmtId="0" fontId="31" fillId="0" borderId="0" xfId="641" applyFont="1"/>
    <xf numFmtId="0" fontId="32" fillId="0" borderId="0" xfId="641" applyFont="1"/>
    <xf numFmtId="0" fontId="31" fillId="0" borderId="0" xfId="641" applyFont="1" applyAlignment="1">
      <alignment horizontal="center"/>
    </xf>
    <xf numFmtId="0" fontId="33" fillId="0" borderId="0" xfId="641" applyFont="1"/>
    <xf numFmtId="0" fontId="33" fillId="0" borderId="5" xfId="641" applyFont="1" applyBorder="1"/>
    <xf numFmtId="0" fontId="33" fillId="0" borderId="6" xfId="641" applyFont="1" applyBorder="1"/>
    <xf numFmtId="0" fontId="33" fillId="8" borderId="6" xfId="641" applyFont="1" applyFill="1" applyBorder="1"/>
    <xf numFmtId="17" fontId="34" fillId="0" borderId="7" xfId="0" applyNumberFormat="1" applyFont="1" applyBorder="1"/>
    <xf numFmtId="172" fontId="33" fillId="0" borderId="8" xfId="641" applyNumberFormat="1" applyFont="1" applyBorder="1"/>
    <xf numFmtId="0" fontId="33" fillId="0" borderId="8" xfId="641" applyFont="1" applyBorder="1"/>
    <xf numFmtId="0" fontId="31" fillId="0" borderId="8" xfId="641" applyFont="1" applyBorder="1"/>
    <xf numFmtId="0" fontId="31" fillId="16" borderId="8" xfId="641" applyFont="1" applyFill="1" applyBorder="1"/>
    <xf numFmtId="172" fontId="31" fillId="0" borderId="8" xfId="641" applyNumberFormat="1" applyFont="1" applyBorder="1"/>
    <xf numFmtId="0" fontId="31" fillId="0" borderId="8" xfId="641" applyFont="1" applyBorder="1" applyAlignment="1">
      <alignment horizontal="right"/>
    </xf>
    <xf numFmtId="0" fontId="35" fillId="0" borderId="8" xfId="641" applyFont="1" applyBorder="1"/>
    <xf numFmtId="173" fontId="36" fillId="0" borderId="7" xfId="681" applyNumberFormat="1" applyFont="1" applyBorder="1" applyAlignment="1">
      <alignment horizontal="right"/>
    </xf>
    <xf numFmtId="0" fontId="37" fillId="16" borderId="8" xfId="641" applyFont="1" applyFill="1" applyBorder="1"/>
    <xf numFmtId="9" fontId="36" fillId="0" borderId="7" xfId="681" applyFont="1" applyBorder="1" applyAlignment="1">
      <alignment horizontal="right"/>
    </xf>
    <xf numFmtId="9" fontId="31" fillId="0" borderId="7" xfId="679" applyFont="1" applyBorder="1" applyAlignment="1">
      <alignment horizontal="right"/>
    </xf>
    <xf numFmtId="166" fontId="36" fillId="0" borderId="7" xfId="56" applyNumberFormat="1" applyFont="1" applyBorder="1" applyAlignment="1">
      <alignment horizontal="right"/>
    </xf>
    <xf numFmtId="0" fontId="32" fillId="16" borderId="8" xfId="641" applyFont="1" applyFill="1" applyBorder="1"/>
    <xf numFmtId="14" fontId="33" fillId="8" borderId="7" xfId="641" applyNumberFormat="1" applyFont="1" applyFill="1" applyBorder="1" applyAlignment="1">
      <alignment horizontal="right"/>
    </xf>
    <xf numFmtId="9" fontId="31" fillId="0" borderId="7" xfId="681" applyFont="1" applyBorder="1" applyAlignment="1">
      <alignment horizontal="right"/>
    </xf>
    <xf numFmtId="0" fontId="31" fillId="0" borderId="7" xfId="641" applyFont="1" applyBorder="1" applyAlignment="1">
      <alignment horizontal="right"/>
    </xf>
    <xf numFmtId="173" fontId="31" fillId="0" borderId="7" xfId="681" applyNumberFormat="1" applyFont="1" applyBorder="1" applyAlignment="1">
      <alignment horizontal="right"/>
    </xf>
    <xf numFmtId="0" fontId="38" fillId="0" borderId="0" xfId="0" applyFont="1"/>
    <xf numFmtId="0" fontId="34" fillId="0" borderId="9" xfId="0" applyFont="1" applyBorder="1"/>
    <xf numFmtId="0" fontId="34" fillId="0" borderId="10" xfId="0" applyFont="1" applyBorder="1"/>
    <xf numFmtId="0" fontId="34" fillId="0" borderId="11" xfId="0" applyFont="1" applyBorder="1"/>
    <xf numFmtId="0" fontId="31" fillId="0" borderId="12" xfId="0" applyFont="1" applyBorder="1"/>
    <xf numFmtId="0" fontId="31" fillId="0" borderId="11" xfId="0" applyFont="1" applyBorder="1"/>
    <xf numFmtId="0" fontId="31" fillId="0" borderId="0" xfId="0" applyFont="1"/>
    <xf numFmtId="172" fontId="31" fillId="0" borderId="13" xfId="0" applyNumberFormat="1" applyFont="1" applyBorder="1"/>
    <xf numFmtId="172" fontId="31" fillId="0" borderId="12" xfId="0" applyNumberFormat="1" applyFont="1" applyBorder="1"/>
    <xf numFmtId="172" fontId="31" fillId="0" borderId="14" xfId="0" applyNumberFormat="1" applyFont="1" applyBorder="1"/>
    <xf numFmtId="172" fontId="31" fillId="0" borderId="11" xfId="0" applyNumberFormat="1" applyFont="1" applyBorder="1"/>
    <xf numFmtId="0" fontId="34" fillId="0" borderId="0" xfId="0" applyFont="1"/>
    <xf numFmtId="172" fontId="31" fillId="0" borderId="9" xfId="0" applyNumberFormat="1" applyFont="1" applyBorder="1"/>
    <xf numFmtId="172" fontId="31" fillId="0" borderId="12" xfId="0" applyNumberFormat="1" applyFont="1" applyBorder="1" applyAlignment="1">
      <alignment horizontal="right"/>
    </xf>
    <xf numFmtId="172" fontId="31" fillId="0" borderId="14" xfId="0" applyNumberFormat="1" applyFont="1" applyBorder="1" applyAlignment="1">
      <alignment horizontal="right"/>
    </xf>
    <xf numFmtId="166" fontId="39" fillId="0" borderId="0" xfId="0" applyNumberFormat="1" applyFont="1"/>
    <xf numFmtId="0" fontId="39" fillId="0" borderId="0" xfId="0" applyFont="1"/>
    <xf numFmtId="0" fontId="31" fillId="0" borderId="14" xfId="0" applyFont="1" applyBorder="1"/>
    <xf numFmtId="0" fontId="35" fillId="0" borderId="0" xfId="0" applyFont="1"/>
    <xf numFmtId="43" fontId="34" fillId="0" borderId="0" xfId="56" applyFont="1" applyBorder="1"/>
    <xf numFmtId="172" fontId="31" fillId="0" borderId="15" xfId="0" applyNumberFormat="1" applyFont="1" applyBorder="1"/>
    <xf numFmtId="172" fontId="31" fillId="0" borderId="16" xfId="0" applyNumberFormat="1" applyFont="1" applyBorder="1"/>
    <xf numFmtId="172" fontId="31" fillId="0" borderId="17" xfId="0" applyNumberFormat="1" applyFont="1" applyBorder="1"/>
    <xf numFmtId="172" fontId="40" fillId="0" borderId="9" xfId="0" applyNumberFormat="1" applyFont="1" applyBorder="1"/>
    <xf numFmtId="0" fontId="40" fillId="0" borderId="10" xfId="0" applyFont="1" applyBorder="1"/>
    <xf numFmtId="0" fontId="31" fillId="0" borderId="18" xfId="0" applyFont="1" applyBorder="1"/>
    <xf numFmtId="0" fontId="31" fillId="0" borderId="19" xfId="0" applyFont="1" applyBorder="1"/>
    <xf numFmtId="0" fontId="31" fillId="0" borderId="20" xfId="0" applyFont="1" applyBorder="1"/>
    <xf numFmtId="43" fontId="38" fillId="0" borderId="0" xfId="53" applyFont="1"/>
    <xf numFmtId="43" fontId="38" fillId="0" borderId="7" xfId="53" applyFont="1" applyBorder="1"/>
    <xf numFmtId="43" fontId="31" fillId="0" borderId="7" xfId="53" applyFont="1" applyBorder="1"/>
    <xf numFmtId="0" fontId="33" fillId="0" borderId="21" xfId="641" applyFont="1" applyBorder="1" applyAlignment="1">
      <alignment horizontal="center"/>
    </xf>
    <xf numFmtId="0" fontId="33" fillId="8" borderId="22" xfId="641" applyFont="1" applyFill="1" applyBorder="1" applyAlignment="1">
      <alignment horizontal="center"/>
    </xf>
    <xf numFmtId="0" fontId="33" fillId="0" borderId="12" xfId="641" applyFont="1" applyBorder="1" applyAlignment="1">
      <alignment horizontal="center"/>
    </xf>
    <xf numFmtId="0" fontId="36" fillId="0" borderId="12" xfId="641" applyFont="1" applyBorder="1" applyAlignment="1">
      <alignment horizontal="center"/>
    </xf>
    <xf numFmtId="173" fontId="36" fillId="0" borderId="23" xfId="681" applyNumberFormat="1" applyFont="1" applyBorder="1"/>
    <xf numFmtId="9" fontId="36" fillId="0" borderId="12" xfId="681" applyFont="1" applyBorder="1" applyAlignment="1">
      <alignment horizontal="center"/>
    </xf>
    <xf numFmtId="0" fontId="33" fillId="0" borderId="23" xfId="641" applyFont="1" applyBorder="1"/>
    <xf numFmtId="173" fontId="36" fillId="0" borderId="12" xfId="681" applyNumberFormat="1" applyFont="1" applyBorder="1" applyAlignment="1">
      <alignment horizontal="center"/>
    </xf>
    <xf numFmtId="14" fontId="33" fillId="8" borderId="23" xfId="641" applyNumberFormat="1" applyFont="1" applyFill="1" applyBorder="1" applyAlignment="1">
      <alignment horizontal="center"/>
    </xf>
    <xf numFmtId="173" fontId="37" fillId="0" borderId="12" xfId="681" applyNumberFormat="1" applyFont="1" applyBorder="1" applyAlignment="1">
      <alignment horizontal="center"/>
    </xf>
    <xf numFmtId="173" fontId="37" fillId="0" borderId="23" xfId="681" applyNumberFormat="1" applyFont="1" applyBorder="1"/>
    <xf numFmtId="0" fontId="31" fillId="0" borderId="12" xfId="641" applyFont="1" applyBorder="1" applyAlignment="1">
      <alignment horizontal="center"/>
    </xf>
    <xf numFmtId="9" fontId="36" fillId="0" borderId="12" xfId="641" applyNumberFormat="1" applyFont="1" applyBorder="1" applyAlignment="1">
      <alignment horizontal="center"/>
    </xf>
    <xf numFmtId="0" fontId="31" fillId="0" borderId="7" xfId="641" applyFont="1" applyBorder="1" applyAlignment="1">
      <alignment horizontal="center"/>
    </xf>
    <xf numFmtId="173" fontId="31" fillId="0" borderId="7" xfId="681" applyNumberFormat="1" applyFont="1" applyBorder="1"/>
    <xf numFmtId="173" fontId="31" fillId="0" borderId="7" xfId="679" applyNumberFormat="1" applyFont="1" applyBorder="1"/>
    <xf numFmtId="0" fontId="32" fillId="0" borderId="7" xfId="641" applyFont="1" applyBorder="1" applyAlignment="1">
      <alignment horizontal="center"/>
    </xf>
    <xf numFmtId="173" fontId="32" fillId="0" borderId="7" xfId="681" applyNumberFormat="1" applyFont="1" applyBorder="1"/>
    <xf numFmtId="43" fontId="38" fillId="0" borderId="24" xfId="53" applyFont="1" applyFill="1" applyBorder="1"/>
    <xf numFmtId="166" fontId="31" fillId="0" borderId="7" xfId="53" applyNumberFormat="1" applyFont="1" applyFill="1" applyBorder="1" applyAlignment="1">
      <alignment horizontal="right"/>
    </xf>
    <xf numFmtId="173" fontId="36" fillId="0" borderId="23" xfId="681" applyNumberFormat="1" applyFont="1" applyFill="1" applyBorder="1"/>
    <xf numFmtId="173" fontId="37" fillId="0" borderId="23" xfId="681" applyNumberFormat="1" applyFont="1" applyFill="1" applyBorder="1"/>
    <xf numFmtId="173" fontId="31" fillId="0" borderId="23" xfId="681" applyNumberFormat="1" applyFont="1" applyFill="1" applyBorder="1"/>
    <xf numFmtId="0" fontId="31" fillId="0" borderId="7" xfId="641" applyFont="1" applyBorder="1"/>
    <xf numFmtId="172" fontId="31" fillId="0" borderId="7" xfId="641" applyNumberFormat="1" applyFont="1" applyBorder="1"/>
    <xf numFmtId="0" fontId="32" fillId="16" borderId="7" xfId="641" applyFont="1" applyFill="1" applyBorder="1"/>
    <xf numFmtId="0" fontId="31" fillId="16" borderId="7" xfId="641" applyFont="1" applyFill="1" applyBorder="1"/>
    <xf numFmtId="9" fontId="36" fillId="0" borderId="7" xfId="641" applyNumberFormat="1" applyFont="1" applyBorder="1" applyAlignment="1">
      <alignment horizontal="center"/>
    </xf>
    <xf numFmtId="172" fontId="32" fillId="0" borderId="7" xfId="641" applyNumberFormat="1" applyFont="1" applyBorder="1"/>
    <xf numFmtId="9" fontId="31" fillId="0" borderId="7" xfId="679" applyFont="1" applyBorder="1"/>
    <xf numFmtId="166" fontId="2" fillId="0" borderId="7" xfId="56" applyNumberFormat="1" applyFont="1" applyFill="1" applyBorder="1"/>
    <xf numFmtId="0" fontId="0" fillId="0" borderId="7" xfId="0" applyBorder="1"/>
    <xf numFmtId="0" fontId="2" fillId="0" borderId="7" xfId="0" applyFont="1" applyBorder="1"/>
    <xf numFmtId="0" fontId="0" fillId="0" borderId="12" xfId="0" applyBorder="1"/>
    <xf numFmtId="0" fontId="0" fillId="0" borderId="14" xfId="0" applyBorder="1"/>
    <xf numFmtId="0" fontId="36" fillId="0" borderId="7" xfId="641" applyFont="1" applyBorder="1" applyAlignment="1">
      <alignment horizontal="center"/>
    </xf>
    <xf numFmtId="0" fontId="36" fillId="0" borderId="24" xfId="641" applyFont="1" applyBorder="1" applyAlignment="1">
      <alignment horizontal="center"/>
    </xf>
    <xf numFmtId="0" fontId="28" fillId="0" borderId="16" xfId="0" applyFont="1" applyBorder="1"/>
    <xf numFmtId="0" fontId="28" fillId="0" borderId="25" xfId="0" applyFont="1" applyBorder="1"/>
    <xf numFmtId="0" fontId="28" fillId="0" borderId="26" xfId="0" applyFont="1" applyBorder="1"/>
    <xf numFmtId="0" fontId="28" fillId="0" borderId="0" xfId="0" applyFont="1"/>
    <xf numFmtId="43" fontId="34" fillId="0" borderId="18" xfId="56" applyFont="1" applyBorder="1"/>
    <xf numFmtId="0" fontId="39" fillId="0" borderId="18" xfId="0" applyFont="1" applyBorder="1"/>
    <xf numFmtId="0" fontId="34" fillId="0" borderId="27" xfId="0" applyFont="1" applyBorder="1"/>
    <xf numFmtId="9" fontId="39" fillId="0" borderId="18" xfId="681" applyFont="1" applyBorder="1"/>
    <xf numFmtId="0" fontId="41" fillId="0" borderId="18" xfId="0" applyFont="1" applyBorder="1"/>
    <xf numFmtId="0" fontId="39" fillId="0" borderId="20" xfId="0" applyFont="1" applyBorder="1"/>
    <xf numFmtId="0" fontId="41" fillId="0" borderId="27" xfId="0" applyFont="1" applyBorder="1"/>
    <xf numFmtId="0" fontId="31" fillId="0" borderId="27" xfId="0" applyFont="1" applyBorder="1"/>
    <xf numFmtId="0" fontId="35" fillId="0" borderId="18" xfId="0" applyFont="1" applyBorder="1"/>
    <xf numFmtId="0" fontId="40" fillId="0" borderId="15" xfId="0" applyFont="1" applyBorder="1"/>
    <xf numFmtId="0" fontId="31" fillId="0" borderId="16" xfId="0" applyFont="1" applyBorder="1"/>
    <xf numFmtId="0" fontId="31" fillId="0" borderId="17" xfId="0" applyFont="1" applyBorder="1"/>
    <xf numFmtId="43" fontId="38" fillId="0" borderId="23" xfId="53" applyFont="1" applyBorder="1"/>
    <xf numFmtId="43" fontId="31" fillId="0" borderId="23" xfId="53" applyFont="1" applyBorder="1"/>
    <xf numFmtId="43" fontId="38" fillId="0" borderId="28" xfId="53" applyFont="1" applyBorder="1"/>
    <xf numFmtId="43" fontId="38" fillId="0" borderId="29" xfId="53" applyFont="1" applyBorder="1"/>
    <xf numFmtId="43" fontId="38" fillId="0" borderId="30" xfId="53" applyFont="1" applyBorder="1"/>
    <xf numFmtId="43" fontId="38" fillId="0" borderId="31" xfId="53" applyFont="1" applyBorder="1"/>
    <xf numFmtId="43" fontId="38" fillId="0" borderId="32" xfId="53" applyFont="1" applyBorder="1"/>
    <xf numFmtId="38" fontId="38" fillId="0" borderId="28" xfId="53" applyNumberFormat="1" applyFont="1" applyBorder="1"/>
    <xf numFmtId="9" fontId="42" fillId="0" borderId="30" xfId="679" applyFont="1" applyBorder="1"/>
    <xf numFmtId="38" fontId="34" fillId="0" borderId="28" xfId="53" applyNumberFormat="1" applyFont="1" applyBorder="1"/>
    <xf numFmtId="43" fontId="34" fillId="0" borderId="29" xfId="53" applyFont="1" applyBorder="1"/>
    <xf numFmtId="166" fontId="38" fillId="0" borderId="30" xfId="53" applyNumberFormat="1" applyFont="1" applyBorder="1"/>
    <xf numFmtId="0" fontId="38" fillId="0" borderId="7" xfId="0" applyFont="1" applyBorder="1"/>
    <xf numFmtId="172" fontId="31" fillId="17" borderId="12" xfId="0" applyNumberFormat="1" applyFont="1" applyFill="1" applyBorder="1"/>
    <xf numFmtId="0" fontId="34" fillId="17" borderId="18" xfId="0" applyFont="1" applyFill="1" applyBorder="1"/>
    <xf numFmtId="43" fontId="38" fillId="17" borderId="23" xfId="53" applyFont="1" applyFill="1" applyBorder="1"/>
    <xf numFmtId="0" fontId="38" fillId="17" borderId="0" xfId="0" applyFont="1" applyFill="1"/>
    <xf numFmtId="172" fontId="31" fillId="18" borderId="14" xfId="0" applyNumberFormat="1" applyFont="1" applyFill="1" applyBorder="1"/>
    <xf numFmtId="0" fontId="34" fillId="18" borderId="20" xfId="0" applyFont="1" applyFill="1" applyBorder="1"/>
    <xf numFmtId="43" fontId="38" fillId="18" borderId="30" xfId="53" applyFont="1" applyFill="1" applyBorder="1"/>
    <xf numFmtId="0" fontId="38" fillId="18" borderId="0" xfId="0" applyFont="1" applyFill="1"/>
    <xf numFmtId="173" fontId="33" fillId="0" borderId="12" xfId="681" applyNumberFormat="1" applyFont="1" applyFill="1" applyBorder="1"/>
    <xf numFmtId="0" fontId="43" fillId="0" borderId="7" xfId="0" applyFont="1" applyBorder="1"/>
    <xf numFmtId="0" fontId="44" fillId="0" borderId="0" xfId="0" applyFont="1"/>
    <xf numFmtId="0" fontId="45" fillId="0" borderId="0" xfId="0" applyFont="1"/>
    <xf numFmtId="43" fontId="44" fillId="19" borderId="7" xfId="53" applyFont="1" applyFill="1" applyBorder="1"/>
    <xf numFmtId="0" fontId="44" fillId="19" borderId="0" xfId="0" applyFont="1" applyFill="1"/>
    <xf numFmtId="43" fontId="45" fillId="0" borderId="7" xfId="53" applyFont="1" applyFill="1" applyBorder="1"/>
    <xf numFmtId="43" fontId="45" fillId="0" borderId="0" xfId="56" applyFont="1" applyFill="1" applyBorder="1" applyAlignment="1">
      <alignment horizontal="left" wrapText="1"/>
    </xf>
    <xf numFmtId="0" fontId="45" fillId="0" borderId="7" xfId="0" applyFont="1" applyBorder="1"/>
    <xf numFmtId="0" fontId="0" fillId="0" borderId="18" xfId="0" applyBorder="1"/>
    <xf numFmtId="17" fontId="46" fillId="0" borderId="7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33" xfId="0" applyFont="1" applyBorder="1" applyAlignment="1">
      <alignment wrapText="1"/>
    </xf>
    <xf numFmtId="0" fontId="14" fillId="0" borderId="33" xfId="0" applyFont="1" applyBorder="1" applyAlignment="1">
      <alignment wrapText="1"/>
    </xf>
    <xf numFmtId="49" fontId="14" fillId="0" borderId="33" xfId="0" applyNumberFormat="1" applyFont="1" applyBorder="1" applyAlignment="1" applyProtection="1">
      <alignment horizontal="right" wrapText="1"/>
      <protection locked="0"/>
    </xf>
    <xf numFmtId="0" fontId="14" fillId="0" borderId="34" xfId="0" applyFont="1" applyBorder="1" applyAlignment="1" applyProtection="1">
      <alignment horizontal="right" wrapText="1"/>
      <protection locked="0"/>
    </xf>
    <xf numFmtId="0" fontId="13" fillId="0" borderId="35" xfId="0" applyFont="1" applyBorder="1" applyAlignment="1">
      <alignment wrapText="1"/>
    </xf>
    <xf numFmtId="49" fontId="15" fillId="0" borderId="7" xfId="0" applyNumberFormat="1" applyFont="1" applyBorder="1" applyAlignment="1" applyProtection="1">
      <alignment horizontal="right"/>
      <protection locked="0"/>
    </xf>
    <xf numFmtId="0" fontId="13" fillId="0" borderId="33" xfId="0" applyFont="1" applyBorder="1" applyAlignment="1" applyProtection="1">
      <alignment wrapText="1"/>
      <protection locked="0"/>
    </xf>
    <xf numFmtId="9" fontId="12" fillId="0" borderId="0" xfId="679" applyFont="1"/>
    <xf numFmtId="0" fontId="31" fillId="0" borderId="16" xfId="641" applyFont="1" applyBorder="1"/>
    <xf numFmtId="0" fontId="33" fillId="0" borderId="36" xfId="641" applyFont="1" applyBorder="1" applyAlignment="1">
      <alignment horizontal="center"/>
    </xf>
    <xf numFmtId="0" fontId="36" fillId="0" borderId="37" xfId="641" applyFont="1" applyBorder="1" applyAlignment="1">
      <alignment horizontal="center"/>
    </xf>
    <xf numFmtId="173" fontId="36" fillId="0" borderId="38" xfId="681" applyNumberFormat="1" applyFont="1" applyFill="1" applyBorder="1"/>
    <xf numFmtId="43" fontId="45" fillId="16" borderId="7" xfId="56" applyFont="1" applyFill="1" applyBorder="1" applyAlignment="1">
      <alignment horizontal="left"/>
    </xf>
    <xf numFmtId="43" fontId="44" fillId="16" borderId="7" xfId="56" applyFont="1" applyFill="1" applyBorder="1" applyAlignment="1">
      <alignment horizontal="left" wrapText="1"/>
    </xf>
    <xf numFmtId="43" fontId="45" fillId="16" borderId="7" xfId="56" applyFont="1" applyFill="1" applyBorder="1" applyAlignment="1">
      <alignment horizontal="left" wrapText="1"/>
    </xf>
    <xf numFmtId="0" fontId="47" fillId="0" borderId="0" xfId="0" applyFont="1"/>
    <xf numFmtId="0" fontId="43" fillId="0" borderId="0" xfId="0" applyFont="1"/>
    <xf numFmtId="43" fontId="44" fillId="16" borderId="7" xfId="53" applyFont="1" applyFill="1" applyBorder="1" applyAlignment="1">
      <alignment horizontal="left" wrapText="1"/>
    </xf>
    <xf numFmtId="43" fontId="47" fillId="19" borderId="0" xfId="53" applyFont="1" applyFill="1"/>
    <xf numFmtId="0" fontId="47" fillId="19" borderId="0" xfId="0" applyFont="1" applyFill="1"/>
    <xf numFmtId="0" fontId="43" fillId="19" borderId="0" xfId="0" applyFont="1" applyFill="1"/>
    <xf numFmtId="43" fontId="44" fillId="16" borderId="7" xfId="56" applyFont="1" applyFill="1" applyBorder="1" applyAlignment="1">
      <alignment horizontal="left"/>
    </xf>
    <xf numFmtId="0" fontId="44" fillId="0" borderId="0" xfId="0" applyFont="1" applyAlignment="1" applyProtection="1">
      <alignment horizontal="left" vertical="top" wrapText="1" readingOrder="1"/>
      <protection locked="0"/>
    </xf>
    <xf numFmtId="43" fontId="12" fillId="0" borderId="0" xfId="53" applyFont="1"/>
    <xf numFmtId="43" fontId="13" fillId="0" borderId="33" xfId="53" applyFont="1" applyBorder="1" applyAlignment="1" applyProtection="1">
      <alignment wrapText="1"/>
      <protection locked="0"/>
    </xf>
    <xf numFmtId="43" fontId="13" fillId="0" borderId="33" xfId="53" applyFont="1" applyBorder="1" applyAlignment="1" applyProtection="1">
      <alignment horizontal="center" wrapText="1"/>
    </xf>
    <xf numFmtId="43" fontId="13" fillId="0" borderId="33" xfId="53" applyFont="1" applyBorder="1" applyAlignment="1" applyProtection="1">
      <alignment wrapText="1"/>
    </xf>
    <xf numFmtId="43" fontId="14" fillId="0" borderId="33" xfId="53" applyFont="1" applyBorder="1" applyAlignment="1" applyProtection="1">
      <alignment wrapText="1"/>
    </xf>
    <xf numFmtId="175" fontId="28" fillId="0" borderId="7" xfId="0" applyNumberFormat="1" applyFont="1" applyBorder="1"/>
    <xf numFmtId="0" fontId="33" fillId="17" borderId="0" xfId="641" applyFont="1" applyFill="1" applyAlignment="1">
      <alignment horizontal="center" wrapText="1"/>
    </xf>
    <xf numFmtId="0" fontId="33" fillId="17" borderId="0" xfId="641" applyFont="1" applyFill="1" applyAlignment="1">
      <alignment horizontal="center"/>
    </xf>
    <xf numFmtId="0" fontId="36" fillId="0" borderId="0" xfId="641" applyFont="1" applyAlignment="1">
      <alignment horizontal="center"/>
    </xf>
    <xf numFmtId="9" fontId="36" fillId="0" borderId="0" xfId="641" applyNumberFormat="1" applyFont="1" applyAlignment="1">
      <alignment horizontal="center"/>
    </xf>
    <xf numFmtId="0" fontId="28" fillId="0" borderId="39" xfId="0" applyFont="1" applyBorder="1"/>
    <xf numFmtId="0" fontId="28" fillId="0" borderId="40" xfId="0" applyFont="1" applyBorder="1"/>
    <xf numFmtId="0" fontId="33" fillId="17" borderId="41" xfId="641" applyFont="1" applyFill="1" applyBorder="1" applyAlignment="1">
      <alignment horizontal="center" wrapText="1"/>
    </xf>
    <xf numFmtId="0" fontId="33" fillId="17" borderId="42" xfId="641" applyFont="1" applyFill="1" applyBorder="1" applyAlignment="1">
      <alignment horizontal="center"/>
    </xf>
    <xf numFmtId="0" fontId="0" fillId="0" borderId="28" xfId="0" applyBorder="1"/>
    <xf numFmtId="43" fontId="21" fillId="0" borderId="23" xfId="53" applyFont="1" applyFill="1" applyBorder="1" applyAlignment="1">
      <alignment horizontal="right"/>
    </xf>
    <xf numFmtId="173" fontId="21" fillId="0" borderId="23" xfId="679" applyNumberFormat="1" applyFont="1" applyFill="1" applyBorder="1" applyAlignment="1">
      <alignment horizontal="right"/>
    </xf>
    <xf numFmtId="173" fontId="2" fillId="0" borderId="23" xfId="681" applyNumberFormat="1" applyFont="1" applyFill="1" applyBorder="1" applyAlignment="1">
      <alignment horizontal="right"/>
    </xf>
    <xf numFmtId="173" fontId="21" fillId="0" borderId="23" xfId="679" applyNumberFormat="1" applyFont="1" applyFill="1" applyBorder="1"/>
    <xf numFmtId="173" fontId="21" fillId="0" borderId="30" xfId="679" applyNumberFormat="1" applyFont="1" applyFill="1" applyBorder="1"/>
    <xf numFmtId="43" fontId="43" fillId="0" borderId="7" xfId="53" applyFont="1" applyBorder="1"/>
    <xf numFmtId="43" fontId="12" fillId="0" borderId="0" xfId="0" applyNumberFormat="1" applyFont="1"/>
    <xf numFmtId="43" fontId="48" fillId="0" borderId="0" xfId="53" applyFont="1" applyFill="1" applyBorder="1" applyAlignment="1" applyProtection="1"/>
    <xf numFmtId="0" fontId="38" fillId="0" borderId="9" xfId="0" applyFont="1" applyBorder="1"/>
    <xf numFmtId="0" fontId="38" fillId="0" borderId="10" xfId="0" applyFont="1" applyBorder="1"/>
    <xf numFmtId="0" fontId="38" fillId="0" borderId="11" xfId="0" applyFont="1" applyBorder="1"/>
    <xf numFmtId="43" fontId="38" fillId="0" borderId="18" xfId="56" applyFont="1" applyFill="1" applyBorder="1"/>
    <xf numFmtId="17" fontId="38" fillId="0" borderId="7" xfId="0" applyNumberFormat="1" applyFont="1" applyBorder="1"/>
    <xf numFmtId="17" fontId="43" fillId="0" borderId="7" xfId="0" applyNumberFormat="1" applyFont="1" applyBorder="1"/>
    <xf numFmtId="17" fontId="49" fillId="0" borderId="7" xfId="0" applyNumberFormat="1" applyFont="1" applyBorder="1"/>
    <xf numFmtId="43" fontId="38" fillId="0" borderId="43" xfId="53" applyFont="1" applyFill="1" applyBorder="1"/>
    <xf numFmtId="43" fontId="38" fillId="0" borderId="7" xfId="53" applyFont="1" applyFill="1" applyBorder="1"/>
    <xf numFmtId="43" fontId="31" fillId="0" borderId="7" xfId="53" applyFont="1" applyFill="1" applyBorder="1"/>
    <xf numFmtId="0" fontId="38" fillId="0" borderId="18" xfId="0" applyFont="1" applyBorder="1"/>
    <xf numFmtId="43" fontId="38" fillId="0" borderId="23" xfId="53" applyFont="1" applyFill="1" applyBorder="1"/>
    <xf numFmtId="0" fontId="38" fillId="0" borderId="20" xfId="0" applyFont="1" applyBorder="1"/>
    <xf numFmtId="43" fontId="38" fillId="0" borderId="30" xfId="53" applyFont="1" applyFill="1" applyBorder="1"/>
    <xf numFmtId="43" fontId="38" fillId="0" borderId="31" xfId="53" applyFont="1" applyFill="1" applyBorder="1"/>
    <xf numFmtId="43" fontId="38" fillId="0" borderId="29" xfId="53" applyFont="1" applyFill="1" applyBorder="1"/>
    <xf numFmtId="43" fontId="38" fillId="0" borderId="28" xfId="53" applyFont="1" applyFill="1" applyBorder="1"/>
    <xf numFmtId="0" fontId="35" fillId="0" borderId="15" xfId="0" applyFont="1" applyBorder="1"/>
    <xf numFmtId="172" fontId="35" fillId="0" borderId="9" xfId="0" applyNumberFormat="1" applyFont="1" applyBorder="1"/>
    <xf numFmtId="0" fontId="35" fillId="0" borderId="10" xfId="0" applyFont="1" applyBorder="1"/>
    <xf numFmtId="9" fontId="38" fillId="0" borderId="0" xfId="679" applyFont="1" applyFill="1"/>
    <xf numFmtId="43" fontId="38" fillId="0" borderId="0" xfId="53" applyFont="1" applyFill="1"/>
    <xf numFmtId="43" fontId="13" fillId="0" borderId="33" xfId="53" applyFont="1" applyBorder="1" applyAlignment="1">
      <alignment horizontal="center" wrapText="1"/>
    </xf>
    <xf numFmtId="43" fontId="13" fillId="0" borderId="33" xfId="53" applyFont="1" applyBorder="1" applyAlignment="1">
      <alignment wrapText="1"/>
    </xf>
    <xf numFmtId="43" fontId="14" fillId="0" borderId="33" xfId="53" applyFont="1" applyBorder="1" applyAlignment="1">
      <alignment wrapText="1"/>
    </xf>
    <xf numFmtId="43" fontId="14" fillId="0" borderId="33" xfId="53" applyFont="1" applyBorder="1" applyAlignment="1" applyProtection="1">
      <alignment horizontal="right" wrapText="1"/>
      <protection locked="0"/>
    </xf>
    <xf numFmtId="43" fontId="14" fillId="0" borderId="34" xfId="53" applyFont="1" applyBorder="1" applyAlignment="1" applyProtection="1">
      <alignment horizontal="right" wrapText="1"/>
      <protection locked="0"/>
    </xf>
    <xf numFmtId="43" fontId="13" fillId="0" borderId="35" xfId="53" applyFont="1" applyBorder="1" applyAlignment="1">
      <alignment wrapText="1"/>
    </xf>
    <xf numFmtId="43" fontId="15" fillId="0" borderId="7" xfId="53" applyFont="1" applyBorder="1" applyAlignment="1" applyProtection="1">
      <alignment horizontal="right"/>
      <protection locked="0"/>
    </xf>
    <xf numFmtId="43" fontId="14" fillId="0" borderId="33" xfId="53" applyFont="1" applyFill="1" applyBorder="1" applyAlignment="1">
      <alignment wrapText="1"/>
    </xf>
    <xf numFmtId="0" fontId="28" fillId="0" borderId="7" xfId="0" applyFont="1" applyBorder="1" applyAlignment="1" applyProtection="1">
      <alignment horizontal="right"/>
      <protection locked="0"/>
    </xf>
    <xf numFmtId="17" fontId="28" fillId="0" borderId="0" xfId="0" applyNumberFormat="1" applyFont="1" applyProtection="1">
      <protection locked="0"/>
    </xf>
    <xf numFmtId="17" fontId="28" fillId="0" borderId="23" xfId="0" applyNumberFormat="1" applyFont="1" applyBorder="1" applyAlignment="1" applyProtection="1">
      <alignment horizontal="right" wrapText="1"/>
      <protection locked="0"/>
    </xf>
    <xf numFmtId="0" fontId="0" fillId="0" borderId="7" xfId="0" applyBorder="1" applyAlignment="1" applyProtection="1">
      <alignment horizontal="center"/>
      <protection locked="0"/>
    </xf>
    <xf numFmtId="173" fontId="2" fillId="0" borderId="0" xfId="681" applyNumberFormat="1" applyFont="1" applyProtection="1">
      <protection locked="0"/>
    </xf>
    <xf numFmtId="173" fontId="21" fillId="0" borderId="0" xfId="681" applyNumberFormat="1" applyFont="1" applyProtection="1">
      <protection locked="0"/>
    </xf>
    <xf numFmtId="0" fontId="50" fillId="16" borderId="12" xfId="0" applyFont="1" applyFill="1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0" fillId="0" borderId="18" xfId="0" applyBorder="1" applyProtection="1">
      <protection locked="0"/>
    </xf>
    <xf numFmtId="0" fontId="30" fillId="0" borderId="23" xfId="0" applyFont="1" applyBorder="1" applyProtection="1"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18" xfId="0" applyBorder="1" applyAlignment="1" applyProtection="1">
      <alignment horizontal="left"/>
      <protection locked="0"/>
    </xf>
    <xf numFmtId="0" fontId="30" fillId="0" borderId="23" xfId="0" applyFont="1" applyBorder="1" applyAlignment="1" applyProtection="1">
      <alignment horizontal="left"/>
      <protection locked="0"/>
    </xf>
    <xf numFmtId="0" fontId="0" fillId="0" borderId="44" xfId="0" applyBorder="1" applyAlignment="1" applyProtection="1">
      <alignment horizontal="center"/>
      <protection locked="0"/>
    </xf>
    <xf numFmtId="166" fontId="50" fillId="0" borderId="7" xfId="56" applyNumberFormat="1" applyFont="1" applyBorder="1" applyAlignment="1" applyProtection="1">
      <alignment horizontal="right"/>
    </xf>
    <xf numFmtId="0" fontId="50" fillId="0" borderId="12" xfId="0" applyFont="1" applyBorder="1"/>
    <xf numFmtId="0" fontId="50" fillId="0" borderId="7" xfId="0" applyFont="1" applyBorder="1" applyAlignment="1">
      <alignment horizontal="center"/>
    </xf>
    <xf numFmtId="9" fontId="50" fillId="0" borderId="7" xfId="0" applyNumberFormat="1" applyFont="1" applyBorder="1" applyAlignment="1">
      <alignment horizontal="center"/>
    </xf>
    <xf numFmtId="173" fontId="21" fillId="16" borderId="7" xfId="679" applyNumberFormat="1" applyFont="1" applyFill="1" applyBorder="1" applyAlignment="1" applyProtection="1">
      <alignment horizontal="right"/>
    </xf>
    <xf numFmtId="0" fontId="50" fillId="16" borderId="12" xfId="0" applyFont="1" applyFill="1" applyBorder="1"/>
    <xf numFmtId="0" fontId="50" fillId="16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50" fillId="16" borderId="12" xfId="0" applyFont="1" applyFill="1" applyBorder="1" applyAlignment="1">
      <alignment horizontal="left"/>
    </xf>
    <xf numFmtId="9" fontId="50" fillId="16" borderId="7" xfId="0" applyNumberFormat="1" applyFont="1" applyFill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28" fillId="0" borderId="12" xfId="0" applyFont="1" applyBorder="1" applyAlignment="1">
      <alignment horizontal="center"/>
    </xf>
    <xf numFmtId="43" fontId="51" fillId="0" borderId="7" xfId="53" applyFont="1" applyBorder="1" applyAlignment="1" applyProtection="1">
      <alignment horizontal="center"/>
    </xf>
    <xf numFmtId="0" fontId="28" fillId="16" borderId="12" xfId="0" applyFont="1" applyFill="1" applyBorder="1"/>
    <xf numFmtId="0" fontId="28" fillId="16" borderId="36" xfId="0" applyFont="1" applyFill="1" applyBorder="1"/>
    <xf numFmtId="173" fontId="50" fillId="0" borderId="7" xfId="679" applyNumberFormat="1" applyFont="1" applyBorder="1" applyAlignment="1" applyProtection="1">
      <alignment horizontal="right"/>
    </xf>
    <xf numFmtId="173" fontId="50" fillId="16" borderId="7" xfId="679" applyNumberFormat="1" applyFont="1" applyFill="1" applyBorder="1" applyAlignment="1" applyProtection="1">
      <alignment horizontal="right"/>
    </xf>
    <xf numFmtId="173" fontId="50" fillId="0" borderId="7" xfId="679" applyNumberFormat="1" applyFont="1" applyFill="1" applyBorder="1" applyAlignment="1" applyProtection="1">
      <alignment horizontal="right"/>
    </xf>
    <xf numFmtId="0" fontId="28" fillId="0" borderId="18" xfId="0" applyFont="1" applyBorder="1" applyAlignment="1">
      <alignment horizontal="right"/>
    </xf>
    <xf numFmtId="43" fontId="51" fillId="0" borderId="7" xfId="53" applyFont="1" applyBorder="1" applyProtection="1">
      <protection locked="0"/>
    </xf>
    <xf numFmtId="43" fontId="13" fillId="0" borderId="7" xfId="53" applyFont="1" applyBorder="1" applyProtection="1">
      <protection locked="0"/>
    </xf>
    <xf numFmtId="43" fontId="12" fillId="0" borderId="7" xfId="53" applyFont="1" applyBorder="1" applyProtection="1">
      <protection locked="0"/>
    </xf>
    <xf numFmtId="0" fontId="0" fillId="0" borderId="23" xfId="0" applyBorder="1" applyProtection="1">
      <protection locked="0"/>
    </xf>
    <xf numFmtId="0" fontId="51" fillId="0" borderId="12" xfId="0" applyFont="1" applyBorder="1"/>
    <xf numFmtId="0" fontId="28" fillId="0" borderId="7" xfId="0" applyFont="1" applyBorder="1" applyProtection="1">
      <protection locked="0"/>
    </xf>
    <xf numFmtId="0" fontId="28" fillId="16" borderId="7" xfId="0" applyFont="1" applyFill="1" applyBorder="1"/>
    <xf numFmtId="0" fontId="30" fillId="0" borderId="7" xfId="0" applyFont="1" applyBorder="1" applyProtection="1">
      <protection locked="0"/>
    </xf>
    <xf numFmtId="0" fontId="52" fillId="16" borderId="7" xfId="0" applyFont="1" applyFill="1" applyBorder="1"/>
    <xf numFmtId="0" fontId="0" fillId="16" borderId="7" xfId="0" applyFill="1" applyBorder="1" applyProtection="1">
      <protection locked="0"/>
    </xf>
    <xf numFmtId="0" fontId="13" fillId="0" borderId="33" xfId="477" applyFont="1" applyBorder="1"/>
    <xf numFmtId="0" fontId="13" fillId="20" borderId="33" xfId="477" applyFont="1" applyFill="1" applyBorder="1"/>
    <xf numFmtId="0" fontId="0" fillId="0" borderId="0" xfId="0" applyProtection="1">
      <protection locked="0"/>
    </xf>
    <xf numFmtId="0" fontId="0" fillId="16" borderId="0" xfId="0" applyFill="1" applyProtection="1">
      <protection locked="0"/>
    </xf>
    <xf numFmtId="0" fontId="28" fillId="16" borderId="14" xfId="0" applyFont="1" applyFill="1" applyBorder="1"/>
    <xf numFmtId="0" fontId="0" fillId="0" borderId="24" xfId="0" applyBorder="1" applyAlignment="1" applyProtection="1">
      <alignment horizontal="center"/>
      <protection locked="0"/>
    </xf>
    <xf numFmtId="0" fontId="0" fillId="0" borderId="24" xfId="0" applyBorder="1" applyProtection="1">
      <protection locked="0"/>
    </xf>
    <xf numFmtId="0" fontId="0" fillId="0" borderId="20" xfId="0" applyBorder="1" applyProtection="1">
      <protection locked="0"/>
    </xf>
    <xf numFmtId="0" fontId="30" fillId="0" borderId="30" xfId="0" applyFont="1" applyBorder="1" applyProtection="1">
      <protection locked="0"/>
    </xf>
    <xf numFmtId="0" fontId="52" fillId="16" borderId="45" xfId="0" applyFont="1" applyFill="1" applyBorder="1"/>
    <xf numFmtId="0" fontId="0" fillId="0" borderId="0" xfId="0" applyAlignment="1" applyProtection="1">
      <alignment horizontal="center"/>
      <protection locked="0"/>
    </xf>
    <xf numFmtId="0" fontId="30" fillId="0" borderId="0" xfId="0" applyFont="1" applyProtection="1">
      <protection locked="0"/>
    </xf>
    <xf numFmtId="43" fontId="17" fillId="9" borderId="33" xfId="53" applyFont="1" applyFill="1" applyBorder="1" applyAlignment="1" applyProtection="1"/>
    <xf numFmtId="43" fontId="43" fillId="0" borderId="0" xfId="53" applyFont="1"/>
    <xf numFmtId="166" fontId="0" fillId="0" borderId="0" xfId="0" applyNumberFormat="1" applyProtection="1">
      <protection locked="0"/>
    </xf>
    <xf numFmtId="168" fontId="19" fillId="0" borderId="46" xfId="0" applyNumberFormat="1" applyFont="1" applyBorder="1" applyAlignment="1" applyProtection="1">
      <alignment vertical="top" wrapText="1" readingOrder="1"/>
      <protection locked="0"/>
    </xf>
    <xf numFmtId="43" fontId="17" fillId="9" borderId="47" xfId="53" applyFont="1" applyFill="1" applyBorder="1" applyAlignment="1" applyProtection="1"/>
    <xf numFmtId="43" fontId="19" fillId="0" borderId="7" xfId="53" applyFont="1" applyBorder="1" applyAlignment="1" applyProtection="1">
      <alignment vertical="top" wrapText="1" readingOrder="1"/>
      <protection locked="0"/>
    </xf>
    <xf numFmtId="43" fontId="17" fillId="9" borderId="34" xfId="53" applyFont="1" applyFill="1" applyBorder="1" applyAlignment="1" applyProtection="1"/>
    <xf numFmtId="43" fontId="17" fillId="9" borderId="7" xfId="53" applyFont="1" applyFill="1" applyBorder="1" applyAlignment="1" applyProtection="1"/>
    <xf numFmtId="43" fontId="17" fillId="9" borderId="48" xfId="53" applyFont="1" applyFill="1" applyBorder="1" applyAlignment="1" applyProtection="1"/>
    <xf numFmtId="164" fontId="45" fillId="0" borderId="7" xfId="0" applyNumberFormat="1" applyFont="1" applyBorder="1"/>
    <xf numFmtId="43" fontId="17" fillId="21" borderId="34" xfId="53" applyFont="1" applyFill="1" applyBorder="1" applyAlignment="1" applyProtection="1"/>
    <xf numFmtId="43" fontId="17" fillId="21" borderId="48" xfId="53" applyFont="1" applyFill="1" applyBorder="1" applyAlignment="1" applyProtection="1"/>
    <xf numFmtId="0" fontId="32" fillId="0" borderId="0" xfId="0" applyFont="1" applyAlignment="1" applyProtection="1">
      <alignment horizontal="center" vertical="center" wrapText="1"/>
      <protection locked="0"/>
    </xf>
    <xf numFmtId="0" fontId="32" fillId="0" borderId="7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43" fontId="19" fillId="0" borderId="7" xfId="53" applyFont="1" applyBorder="1" applyAlignment="1" applyProtection="1">
      <alignment wrapText="1" readingOrder="1"/>
      <protection locked="0"/>
    </xf>
    <xf numFmtId="0" fontId="47" fillId="0" borderId="7" xfId="0" applyFont="1" applyBorder="1" applyAlignment="1">
      <alignment horizontal="right"/>
    </xf>
    <xf numFmtId="43" fontId="44" fillId="21" borderId="18" xfId="53" applyFont="1" applyFill="1" applyBorder="1" applyAlignment="1" applyProtection="1"/>
    <xf numFmtId="43" fontId="53" fillId="21" borderId="18" xfId="53" applyFont="1" applyFill="1" applyBorder="1" applyAlignment="1" applyProtection="1">
      <alignment horizontal="right" vertical="center"/>
    </xf>
    <xf numFmtId="3" fontId="0" fillId="0" borderId="0" xfId="0" applyNumberFormat="1"/>
    <xf numFmtId="3" fontId="0" fillId="0" borderId="7" xfId="0" applyNumberFormat="1" applyBorder="1"/>
    <xf numFmtId="43" fontId="44" fillId="21" borderId="7" xfId="53" applyFont="1" applyFill="1" applyBorder="1" applyAlignment="1" applyProtection="1"/>
    <xf numFmtId="43" fontId="45" fillId="0" borderId="7" xfId="53" applyFont="1" applyFill="1" applyBorder="1" applyAlignment="1" applyProtection="1">
      <protection locked="0"/>
    </xf>
    <xf numFmtId="43" fontId="45" fillId="0" borderId="7" xfId="53" applyFont="1" applyBorder="1" applyAlignment="1" applyProtection="1">
      <alignment horizontal="right" vertical="center"/>
      <protection locked="0"/>
    </xf>
    <xf numFmtId="166" fontId="43" fillId="0" borderId="7" xfId="53" applyNumberFormat="1" applyFont="1" applyBorder="1"/>
    <xf numFmtId="3" fontId="43" fillId="0" borderId="7" xfId="0" applyNumberFormat="1" applyFont="1" applyBorder="1"/>
    <xf numFmtId="43" fontId="21" fillId="0" borderId="0" xfId="53" applyFont="1"/>
    <xf numFmtId="166" fontId="21" fillId="0" borderId="7" xfId="53" applyNumberFormat="1" applyFont="1" applyBorder="1"/>
    <xf numFmtId="174" fontId="45" fillId="0" borderId="7" xfId="0" applyNumberFormat="1" applyFont="1" applyBorder="1"/>
    <xf numFmtId="166" fontId="45" fillId="0" borderId="7" xfId="53" applyNumberFormat="1" applyFont="1" applyFill="1" applyBorder="1"/>
    <xf numFmtId="3" fontId="45" fillId="0" borderId="7" xfId="0" applyNumberFormat="1" applyFont="1" applyBorder="1"/>
    <xf numFmtId="168" fontId="19" fillId="0" borderId="50" xfId="0" applyNumberFormat="1" applyFont="1" applyBorder="1" applyAlignment="1" applyProtection="1">
      <alignment vertical="top" wrapText="1" readingOrder="1"/>
      <protection locked="0"/>
    </xf>
    <xf numFmtId="17" fontId="33" fillId="0" borderId="0" xfId="641" applyNumberFormat="1" applyFont="1"/>
    <xf numFmtId="0" fontId="28" fillId="0" borderId="7" xfId="0" applyFont="1" applyBorder="1"/>
    <xf numFmtId="43" fontId="43" fillId="0" borderId="0" xfId="0" applyNumberFormat="1" applyFont="1"/>
    <xf numFmtId="43" fontId="45" fillId="0" borderId="0" xfId="0" applyNumberFormat="1" applyFont="1"/>
    <xf numFmtId="17" fontId="43" fillId="0" borderId="0" xfId="0" applyNumberFormat="1" applyFont="1"/>
    <xf numFmtId="17" fontId="47" fillId="0" borderId="0" xfId="0" applyNumberFormat="1" applyFont="1"/>
    <xf numFmtId="3" fontId="43" fillId="0" borderId="0" xfId="0" applyNumberFormat="1" applyFont="1"/>
    <xf numFmtId="17" fontId="31" fillId="0" borderId="0" xfId="0" applyNumberFormat="1" applyFont="1" applyAlignment="1">
      <alignment horizontal="center" vertical="center"/>
    </xf>
    <xf numFmtId="43" fontId="45" fillId="0" borderId="0" xfId="53" applyFont="1"/>
    <xf numFmtId="43" fontId="44" fillId="19" borderId="0" xfId="53" applyFont="1" applyFill="1"/>
    <xf numFmtId="164" fontId="43" fillId="0" borderId="0" xfId="0" applyNumberFormat="1" applyFont="1"/>
    <xf numFmtId="17" fontId="38" fillId="0" borderId="0" xfId="0" applyNumberFormat="1" applyFont="1"/>
    <xf numFmtId="168" fontId="20" fillId="0" borderId="49" xfId="0" applyNumberFormat="1" applyFont="1" applyBorder="1" applyAlignment="1" applyProtection="1">
      <alignment vertical="top" wrapText="1" readingOrder="1"/>
      <protection locked="0"/>
    </xf>
    <xf numFmtId="164" fontId="45" fillId="0" borderId="0" xfId="0" applyNumberFormat="1" applyFont="1"/>
    <xf numFmtId="43" fontId="45" fillId="0" borderId="7" xfId="53" applyFont="1" applyBorder="1"/>
    <xf numFmtId="17" fontId="0" fillId="0" borderId="0" xfId="0" applyNumberFormat="1"/>
    <xf numFmtId="168" fontId="19" fillId="0" borderId="49" xfId="0" applyNumberFormat="1" applyFont="1" applyBorder="1" applyAlignment="1" applyProtection="1">
      <alignment vertical="top" wrapText="1" readingOrder="1"/>
      <protection locked="0"/>
    </xf>
    <xf numFmtId="0" fontId="57" fillId="0" borderId="59" xfId="0" applyFont="1" applyBorder="1" applyAlignment="1">
      <alignment wrapText="1" readingOrder="1"/>
    </xf>
    <xf numFmtId="4" fontId="57" fillId="0" borderId="59" xfId="0" applyNumberFormat="1" applyFont="1" applyBorder="1" applyAlignment="1">
      <alignment wrapText="1" readingOrder="1"/>
    </xf>
    <xf numFmtId="0" fontId="57" fillId="0" borderId="60" xfId="0" applyFont="1" applyBorder="1" applyAlignment="1">
      <alignment wrapText="1" readingOrder="1"/>
    </xf>
    <xf numFmtId="4" fontId="57" fillId="0" borderId="60" xfId="0" applyNumberFormat="1" applyFont="1" applyBorder="1" applyAlignment="1">
      <alignment wrapText="1" readingOrder="1"/>
    </xf>
    <xf numFmtId="0" fontId="57" fillId="0" borderId="61" xfId="0" applyFont="1" applyBorder="1" applyAlignment="1">
      <alignment wrapText="1" readingOrder="1"/>
    </xf>
    <xf numFmtId="4" fontId="57" fillId="0" borderId="61" xfId="0" applyNumberFormat="1" applyFont="1" applyBorder="1" applyAlignment="1">
      <alignment wrapText="1" readingOrder="1"/>
    </xf>
    <xf numFmtId="0" fontId="57" fillId="0" borderId="62" xfId="0" applyFont="1" applyBorder="1" applyAlignment="1">
      <alignment wrapText="1" readingOrder="1"/>
    </xf>
    <xf numFmtId="4" fontId="57" fillId="0" borderId="62" xfId="0" applyNumberFormat="1" applyFont="1" applyBorder="1" applyAlignment="1">
      <alignment wrapText="1" readingOrder="1"/>
    </xf>
    <xf numFmtId="0" fontId="58" fillId="0" borderId="59" xfId="0" applyFont="1" applyBorder="1" applyAlignment="1">
      <alignment wrapText="1" readingOrder="1"/>
    </xf>
    <xf numFmtId="4" fontId="58" fillId="0" borderId="59" xfId="0" applyNumberFormat="1" applyFont="1" applyBorder="1" applyAlignment="1">
      <alignment wrapText="1" readingOrder="1"/>
    </xf>
    <xf numFmtId="0" fontId="58" fillId="0" borderId="60" xfId="0" applyFont="1" applyBorder="1" applyAlignment="1">
      <alignment wrapText="1" readingOrder="1"/>
    </xf>
    <xf numFmtId="4" fontId="58" fillId="0" borderId="60" xfId="0" applyNumberFormat="1" applyFont="1" applyBorder="1" applyAlignment="1">
      <alignment wrapText="1" readingOrder="1"/>
    </xf>
    <xf numFmtId="0" fontId="58" fillId="0" borderId="61" xfId="0" applyFont="1" applyBorder="1" applyAlignment="1">
      <alignment wrapText="1" readingOrder="1"/>
    </xf>
    <xf numFmtId="4" fontId="58" fillId="0" borderId="61" xfId="0" applyNumberFormat="1" applyFont="1" applyBorder="1" applyAlignment="1">
      <alignment wrapText="1" readingOrder="1"/>
    </xf>
    <xf numFmtId="0" fontId="58" fillId="0" borderId="62" xfId="0" applyFont="1" applyBorder="1" applyAlignment="1">
      <alignment wrapText="1" readingOrder="1"/>
    </xf>
    <xf numFmtId="4" fontId="58" fillId="0" borderId="62" xfId="0" applyNumberFormat="1" applyFont="1" applyBorder="1" applyAlignment="1">
      <alignment wrapText="1" readingOrder="1"/>
    </xf>
    <xf numFmtId="0" fontId="54" fillId="0" borderId="0" xfId="0" applyFont="1" applyAlignment="1">
      <alignment horizontal="center" wrapText="1"/>
    </xf>
    <xf numFmtId="43" fontId="14" fillId="0" borderId="33" xfId="53" applyFont="1" applyBorder="1" applyAlignment="1">
      <alignment horizontal="center" wrapText="1"/>
    </xf>
    <xf numFmtId="43" fontId="13" fillId="0" borderId="33" xfId="53" applyFont="1" applyBorder="1" applyAlignment="1">
      <alignment horizontal="center" wrapText="1"/>
    </xf>
    <xf numFmtId="43" fontId="13" fillId="0" borderId="47" xfId="53" applyFont="1" applyBorder="1" applyAlignment="1">
      <alignment horizontal="center" wrapText="1"/>
    </xf>
    <xf numFmtId="0" fontId="14" fillId="0" borderId="33" xfId="0" applyFont="1" applyBorder="1" applyAlignment="1">
      <alignment horizontal="center" wrapText="1"/>
    </xf>
    <xf numFmtId="0" fontId="13" fillId="0" borderId="33" xfId="0" applyFont="1" applyBorder="1" applyAlignment="1">
      <alignment horizontal="center" wrapText="1"/>
    </xf>
    <xf numFmtId="0" fontId="13" fillId="0" borderId="47" xfId="0" applyFont="1" applyBorder="1" applyAlignment="1">
      <alignment horizontal="center" wrapText="1"/>
    </xf>
    <xf numFmtId="0" fontId="56" fillId="22" borderId="39" xfId="0" applyFont="1" applyFill="1" applyBorder="1" applyAlignment="1">
      <alignment horizontal="left"/>
    </xf>
    <xf numFmtId="0" fontId="56" fillId="22" borderId="40" xfId="0" applyFont="1" applyFill="1" applyBorder="1" applyAlignment="1">
      <alignment horizontal="left"/>
    </xf>
    <xf numFmtId="0" fontId="56" fillId="22" borderId="54" xfId="0" applyFont="1" applyFill="1" applyBorder="1" applyAlignment="1">
      <alignment horizontal="left"/>
    </xf>
    <xf numFmtId="0" fontId="0" fillId="0" borderId="18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55" fillId="17" borderId="12" xfId="0" applyFont="1" applyFill="1" applyBorder="1" applyAlignment="1">
      <alignment horizontal="left"/>
    </xf>
    <xf numFmtId="0" fontId="55" fillId="17" borderId="7" xfId="0" applyFont="1" applyFill="1" applyBorder="1" applyAlignment="1">
      <alignment horizontal="left"/>
    </xf>
    <xf numFmtId="0" fontId="55" fillId="17" borderId="18" xfId="0" applyFont="1" applyFill="1" applyBorder="1" applyAlignment="1">
      <alignment horizontal="left"/>
    </xf>
    <xf numFmtId="0" fontId="55" fillId="17" borderId="23" xfId="0" applyFont="1" applyFill="1" applyBorder="1" applyAlignment="1">
      <alignment horizontal="left"/>
    </xf>
    <xf numFmtId="0" fontId="28" fillId="0" borderId="13" xfId="0" applyFont="1" applyBorder="1" applyAlignment="1" applyProtection="1">
      <alignment horizontal="center"/>
      <protection locked="0"/>
    </xf>
    <xf numFmtId="0" fontId="28" fillId="0" borderId="51" xfId="0" applyFont="1" applyBorder="1" applyAlignment="1" applyProtection="1">
      <alignment horizontal="center"/>
      <protection locked="0"/>
    </xf>
    <xf numFmtId="0" fontId="28" fillId="0" borderId="27" xfId="0" applyFont="1" applyBorder="1" applyAlignment="1" applyProtection="1">
      <alignment horizontal="center"/>
      <protection locked="0"/>
    </xf>
    <xf numFmtId="0" fontId="28" fillId="0" borderId="29" xfId="0" applyFont="1" applyBorder="1" applyAlignment="1" applyProtection="1">
      <alignment horizontal="center"/>
      <protection locked="0"/>
    </xf>
    <xf numFmtId="0" fontId="28" fillId="0" borderId="12" xfId="0" applyFont="1" applyBorder="1" applyAlignment="1" applyProtection="1">
      <alignment horizontal="center"/>
      <protection locked="0"/>
    </xf>
    <xf numFmtId="0" fontId="28" fillId="0" borderId="7" xfId="0" applyFont="1" applyBorder="1" applyAlignment="1" applyProtection="1">
      <alignment horizontal="center"/>
      <protection locked="0"/>
    </xf>
    <xf numFmtId="0" fontId="28" fillId="0" borderId="18" xfId="0" applyFont="1" applyBorder="1" applyAlignment="1" applyProtection="1">
      <alignment horizontal="center"/>
      <protection locked="0"/>
    </xf>
    <xf numFmtId="0" fontId="28" fillId="0" borderId="23" xfId="0" applyFont="1" applyBorder="1" applyAlignment="1" applyProtection="1">
      <alignment horizontal="center"/>
      <protection locked="0"/>
    </xf>
    <xf numFmtId="0" fontId="28" fillId="0" borderId="44" xfId="0" applyFont="1" applyBorder="1" applyAlignment="1">
      <alignment horizontal="center"/>
    </xf>
    <xf numFmtId="0" fontId="28" fillId="0" borderId="43" xfId="0" applyFont="1" applyBorder="1" applyAlignment="1">
      <alignment horizontal="center"/>
    </xf>
    <xf numFmtId="0" fontId="28" fillId="0" borderId="25" xfId="0" applyFont="1" applyBorder="1" applyAlignment="1" applyProtection="1">
      <alignment horizontal="center"/>
      <protection locked="0"/>
    </xf>
    <xf numFmtId="0" fontId="28" fillId="0" borderId="26" xfId="0" applyFont="1" applyBorder="1" applyAlignment="1" applyProtection="1">
      <alignment horizontal="center"/>
      <protection locked="0"/>
    </xf>
    <xf numFmtId="17" fontId="28" fillId="0" borderId="52" xfId="0" applyNumberFormat="1" applyFont="1" applyBorder="1" applyAlignment="1" applyProtection="1">
      <alignment horizontal="center" wrapText="1"/>
      <protection locked="0"/>
    </xf>
    <xf numFmtId="17" fontId="28" fillId="0" borderId="53" xfId="0" applyNumberFormat="1" applyFont="1" applyBorder="1" applyAlignment="1" applyProtection="1">
      <alignment horizontal="center" wrapText="1"/>
      <protection locked="0"/>
    </xf>
    <xf numFmtId="0" fontId="55" fillId="0" borderId="52" xfId="0" applyFont="1" applyBorder="1" applyAlignment="1">
      <alignment horizontal="center" wrapText="1"/>
    </xf>
    <xf numFmtId="0" fontId="55" fillId="0" borderId="53" xfId="0" applyFont="1" applyBorder="1" applyAlignment="1">
      <alignment horizontal="center" wrapText="1"/>
    </xf>
    <xf numFmtId="0" fontId="57" fillId="0" borderId="59" xfId="0" applyFont="1" applyFill="1" applyBorder="1" applyAlignment="1">
      <alignment wrapText="1" readingOrder="1"/>
    </xf>
    <xf numFmtId="4" fontId="57" fillId="0" borderId="59" xfId="0" applyNumberFormat="1" applyFont="1" applyFill="1" applyBorder="1" applyAlignment="1">
      <alignment wrapText="1" readingOrder="1"/>
    </xf>
    <xf numFmtId="0" fontId="57" fillId="0" borderId="60" xfId="0" applyFont="1" applyFill="1" applyBorder="1" applyAlignment="1">
      <alignment wrapText="1" readingOrder="1"/>
    </xf>
    <xf numFmtId="4" fontId="57" fillId="0" borderId="60" xfId="0" applyNumberFormat="1" applyFont="1" applyFill="1" applyBorder="1" applyAlignment="1">
      <alignment wrapText="1" readingOrder="1"/>
    </xf>
    <xf numFmtId="0" fontId="57" fillId="0" borderId="61" xfId="0" applyFont="1" applyFill="1" applyBorder="1" applyAlignment="1">
      <alignment wrapText="1" readingOrder="1"/>
    </xf>
    <xf numFmtId="4" fontId="57" fillId="0" borderId="61" xfId="0" applyNumberFormat="1" applyFont="1" applyFill="1" applyBorder="1" applyAlignment="1">
      <alignment wrapText="1" readingOrder="1"/>
    </xf>
    <xf numFmtId="0" fontId="57" fillId="0" borderId="62" xfId="0" applyFont="1" applyFill="1" applyBorder="1" applyAlignment="1">
      <alignment wrapText="1" readingOrder="1"/>
    </xf>
    <xf numFmtId="4" fontId="57" fillId="0" borderId="62" xfId="0" applyNumberFormat="1" applyFont="1" applyFill="1" applyBorder="1" applyAlignment="1">
      <alignment wrapText="1" readingOrder="1"/>
    </xf>
    <xf numFmtId="0" fontId="58" fillId="0" borderId="59" xfId="0" applyFont="1" applyFill="1" applyBorder="1" applyAlignment="1">
      <alignment wrapText="1" readingOrder="1"/>
    </xf>
    <xf numFmtId="4" fontId="58" fillId="0" borderId="59" xfId="0" applyNumberFormat="1" applyFont="1" applyFill="1" applyBorder="1" applyAlignment="1">
      <alignment wrapText="1" readingOrder="1"/>
    </xf>
    <xf numFmtId="0" fontId="58" fillId="0" borderId="60" xfId="0" applyFont="1" applyFill="1" applyBorder="1" applyAlignment="1">
      <alignment wrapText="1" readingOrder="1"/>
    </xf>
    <xf numFmtId="4" fontId="58" fillId="0" borderId="60" xfId="0" applyNumberFormat="1" applyFont="1" applyFill="1" applyBorder="1" applyAlignment="1">
      <alignment wrapText="1" readingOrder="1"/>
    </xf>
    <xf numFmtId="0" fontId="58" fillId="0" borderId="61" xfId="0" applyFont="1" applyFill="1" applyBorder="1" applyAlignment="1">
      <alignment wrapText="1" readingOrder="1"/>
    </xf>
    <xf numFmtId="4" fontId="58" fillId="0" borderId="61" xfId="0" applyNumberFormat="1" applyFont="1" applyFill="1" applyBorder="1" applyAlignment="1">
      <alignment wrapText="1" readingOrder="1"/>
    </xf>
    <xf numFmtId="0" fontId="58" fillId="0" borderId="62" xfId="0" applyFont="1" applyFill="1" applyBorder="1" applyAlignment="1">
      <alignment wrapText="1" readingOrder="1"/>
    </xf>
    <xf numFmtId="4" fontId="58" fillId="0" borderId="62" xfId="0" applyNumberFormat="1" applyFont="1" applyFill="1" applyBorder="1" applyAlignment="1">
      <alignment wrapText="1" readingOrder="1"/>
    </xf>
    <xf numFmtId="4" fontId="58" fillId="23" borderId="59" xfId="0" applyNumberFormat="1" applyFont="1" applyFill="1" applyBorder="1" applyAlignment="1">
      <alignment wrapText="1" readingOrder="1"/>
    </xf>
    <xf numFmtId="4" fontId="58" fillId="23" borderId="60" xfId="0" applyNumberFormat="1" applyFont="1" applyFill="1" applyBorder="1" applyAlignment="1">
      <alignment wrapText="1" readingOrder="1"/>
    </xf>
  </cellXfs>
  <cellStyles count="691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19" xfId="70" xr:uid="{00000000-0005-0000-0000-000045000000}"/>
    <cellStyle name="Comma 10 2" xfId="71" xr:uid="{00000000-0005-0000-0000-000046000000}"/>
    <cellStyle name="Comma 10 2 2" xfId="72" xr:uid="{00000000-0005-0000-0000-000047000000}"/>
    <cellStyle name="Comma 10 3" xfId="73" xr:uid="{00000000-0005-0000-0000-000048000000}"/>
    <cellStyle name="Comma 10 3 2" xfId="74" xr:uid="{00000000-0005-0000-0000-000049000000}"/>
    <cellStyle name="Comma 10 4" xfId="75" xr:uid="{00000000-0005-0000-0000-00004A000000}"/>
    <cellStyle name="Comma 10 4 2" xfId="76" xr:uid="{00000000-0005-0000-0000-00004B000000}"/>
    <cellStyle name="Comma 10 5" xfId="77" xr:uid="{00000000-0005-0000-0000-00004C000000}"/>
    <cellStyle name="Comma 10 5 2" xfId="78" xr:uid="{00000000-0005-0000-0000-00004D000000}"/>
    <cellStyle name="Comma 10 6" xfId="79" xr:uid="{00000000-0005-0000-0000-00004E000000}"/>
    <cellStyle name="Comma 10 6 2" xfId="80" xr:uid="{00000000-0005-0000-0000-00004F000000}"/>
    <cellStyle name="Comma 10 7" xfId="81" xr:uid="{00000000-0005-0000-0000-000050000000}"/>
    <cellStyle name="Comma 10 7 2" xfId="82" xr:uid="{00000000-0005-0000-0000-000051000000}"/>
    <cellStyle name="Comma 10 8" xfId="83" xr:uid="{00000000-0005-0000-0000-000052000000}"/>
    <cellStyle name="Comma 10 8 2" xfId="84" xr:uid="{00000000-0005-0000-0000-000053000000}"/>
    <cellStyle name="Comma 10 9" xfId="85" xr:uid="{00000000-0005-0000-0000-000054000000}"/>
    <cellStyle name="Comma 10 9 2" xfId="86" xr:uid="{00000000-0005-0000-0000-000055000000}"/>
    <cellStyle name="Comma 11" xfId="87" xr:uid="{00000000-0005-0000-0000-000056000000}"/>
    <cellStyle name="Comma 11 10" xfId="88" xr:uid="{00000000-0005-0000-0000-000057000000}"/>
    <cellStyle name="Comma 11 10 2" xfId="89" xr:uid="{00000000-0005-0000-0000-000058000000}"/>
    <cellStyle name="Comma 11 11" xfId="90" xr:uid="{00000000-0005-0000-0000-000059000000}"/>
    <cellStyle name="Comma 11 11 2" xfId="91" xr:uid="{00000000-0005-0000-0000-00005A000000}"/>
    <cellStyle name="Comma 11 12" xfId="92" xr:uid="{00000000-0005-0000-0000-00005B000000}"/>
    <cellStyle name="Comma 11 12 2" xfId="93" xr:uid="{00000000-0005-0000-0000-00005C000000}"/>
    <cellStyle name="Comma 11 13" xfId="94" xr:uid="{00000000-0005-0000-0000-00005D000000}"/>
    <cellStyle name="Comma 11 13 2" xfId="95" xr:uid="{00000000-0005-0000-0000-00005E000000}"/>
    <cellStyle name="Comma 11 14" xfId="96" xr:uid="{00000000-0005-0000-0000-00005F000000}"/>
    <cellStyle name="Comma 11 14 2" xfId="97" xr:uid="{00000000-0005-0000-0000-000060000000}"/>
    <cellStyle name="Comma 11 15" xfId="98" xr:uid="{00000000-0005-0000-0000-000061000000}"/>
    <cellStyle name="Comma 11 15 2" xfId="99" xr:uid="{00000000-0005-0000-0000-000062000000}"/>
    <cellStyle name="Comma 11 16" xfId="100" xr:uid="{00000000-0005-0000-0000-000063000000}"/>
    <cellStyle name="Comma 11 16 2" xfId="101" xr:uid="{00000000-0005-0000-0000-000064000000}"/>
    <cellStyle name="Comma 11 17" xfId="102" xr:uid="{00000000-0005-0000-0000-000065000000}"/>
    <cellStyle name="Comma 11 17 2" xfId="103" xr:uid="{00000000-0005-0000-0000-000066000000}"/>
    <cellStyle name="Comma 11 18" xfId="104" xr:uid="{00000000-0005-0000-0000-000067000000}"/>
    <cellStyle name="Comma 11 2" xfId="105" xr:uid="{00000000-0005-0000-0000-000068000000}"/>
    <cellStyle name="Comma 11 2 2" xfId="106" xr:uid="{00000000-0005-0000-0000-000069000000}"/>
    <cellStyle name="Comma 11 2 2 2" xfId="107" xr:uid="{00000000-0005-0000-0000-00006A000000}"/>
    <cellStyle name="Comma 11 2 3" xfId="108" xr:uid="{00000000-0005-0000-0000-00006B000000}"/>
    <cellStyle name="Comma 11 3" xfId="109" xr:uid="{00000000-0005-0000-0000-00006C000000}"/>
    <cellStyle name="Comma 11 3 2" xfId="110" xr:uid="{00000000-0005-0000-0000-00006D000000}"/>
    <cellStyle name="Comma 11 4" xfId="111" xr:uid="{00000000-0005-0000-0000-00006E000000}"/>
    <cellStyle name="Comma 11 4 2" xfId="112" xr:uid="{00000000-0005-0000-0000-00006F000000}"/>
    <cellStyle name="Comma 11 5" xfId="113" xr:uid="{00000000-0005-0000-0000-000070000000}"/>
    <cellStyle name="Comma 11 5 2" xfId="114" xr:uid="{00000000-0005-0000-0000-000071000000}"/>
    <cellStyle name="Comma 11 6" xfId="115" xr:uid="{00000000-0005-0000-0000-000072000000}"/>
    <cellStyle name="Comma 11 6 2" xfId="116" xr:uid="{00000000-0005-0000-0000-000073000000}"/>
    <cellStyle name="Comma 11 7" xfId="117" xr:uid="{00000000-0005-0000-0000-000074000000}"/>
    <cellStyle name="Comma 11 7 2" xfId="118" xr:uid="{00000000-0005-0000-0000-000075000000}"/>
    <cellStyle name="Comma 11 8" xfId="119" xr:uid="{00000000-0005-0000-0000-000076000000}"/>
    <cellStyle name="Comma 11 8 2" xfId="120" xr:uid="{00000000-0005-0000-0000-000077000000}"/>
    <cellStyle name="Comma 11 9" xfId="121" xr:uid="{00000000-0005-0000-0000-000078000000}"/>
    <cellStyle name="Comma 11 9 2" xfId="122" xr:uid="{00000000-0005-0000-0000-000079000000}"/>
    <cellStyle name="Comma 12" xfId="123" xr:uid="{00000000-0005-0000-0000-00007A000000}"/>
    <cellStyle name="Comma 12 2" xfId="124" xr:uid="{00000000-0005-0000-0000-00007B000000}"/>
    <cellStyle name="Comma 13" xfId="125" xr:uid="{00000000-0005-0000-0000-00007C000000}"/>
    <cellStyle name="Comma 13 2" xfId="126" xr:uid="{00000000-0005-0000-0000-00007D000000}"/>
    <cellStyle name="Comma 14" xfId="127" xr:uid="{00000000-0005-0000-0000-00007E000000}"/>
    <cellStyle name="Comma 14 2" xfId="128" xr:uid="{00000000-0005-0000-0000-00007F000000}"/>
    <cellStyle name="Comma 15" xfId="129" xr:uid="{00000000-0005-0000-0000-000080000000}"/>
    <cellStyle name="Comma 15 2" xfId="130" xr:uid="{00000000-0005-0000-0000-000081000000}"/>
    <cellStyle name="Comma 16" xfId="131" xr:uid="{00000000-0005-0000-0000-000082000000}"/>
    <cellStyle name="Comma 16 10" xfId="132" xr:uid="{00000000-0005-0000-0000-000083000000}"/>
    <cellStyle name="Comma 16 10 2" xfId="133" xr:uid="{00000000-0005-0000-0000-000084000000}"/>
    <cellStyle name="Comma 16 11" xfId="134" xr:uid="{00000000-0005-0000-0000-000085000000}"/>
    <cellStyle name="Comma 16 11 2" xfId="135" xr:uid="{00000000-0005-0000-0000-000086000000}"/>
    <cellStyle name="Comma 16 12" xfId="136" xr:uid="{00000000-0005-0000-0000-000087000000}"/>
    <cellStyle name="Comma 16 12 2" xfId="137" xr:uid="{00000000-0005-0000-0000-000088000000}"/>
    <cellStyle name="Comma 16 13" xfId="138" xr:uid="{00000000-0005-0000-0000-000089000000}"/>
    <cellStyle name="Comma 16 13 2" xfId="139" xr:uid="{00000000-0005-0000-0000-00008A000000}"/>
    <cellStyle name="Comma 16 14" xfId="140" xr:uid="{00000000-0005-0000-0000-00008B000000}"/>
    <cellStyle name="Comma 16 14 2" xfId="141" xr:uid="{00000000-0005-0000-0000-00008C000000}"/>
    <cellStyle name="Comma 16 15" xfId="142" xr:uid="{00000000-0005-0000-0000-00008D000000}"/>
    <cellStyle name="Comma 16 15 2" xfId="143" xr:uid="{00000000-0005-0000-0000-00008E000000}"/>
    <cellStyle name="Comma 16 16" xfId="144" xr:uid="{00000000-0005-0000-0000-00008F000000}"/>
    <cellStyle name="Comma 16 16 2" xfId="145" xr:uid="{00000000-0005-0000-0000-000090000000}"/>
    <cellStyle name="Comma 16 17" xfId="146" xr:uid="{00000000-0005-0000-0000-000091000000}"/>
    <cellStyle name="Comma 16 2" xfId="147" xr:uid="{00000000-0005-0000-0000-000092000000}"/>
    <cellStyle name="Comma 16 2 2" xfId="148" xr:uid="{00000000-0005-0000-0000-000093000000}"/>
    <cellStyle name="Comma 16 3" xfId="149" xr:uid="{00000000-0005-0000-0000-000094000000}"/>
    <cellStyle name="Comma 16 3 2" xfId="150" xr:uid="{00000000-0005-0000-0000-000095000000}"/>
    <cellStyle name="Comma 16 4" xfId="151" xr:uid="{00000000-0005-0000-0000-000096000000}"/>
    <cellStyle name="Comma 16 4 2" xfId="152" xr:uid="{00000000-0005-0000-0000-000097000000}"/>
    <cellStyle name="Comma 16 5" xfId="153" xr:uid="{00000000-0005-0000-0000-000098000000}"/>
    <cellStyle name="Comma 16 5 2" xfId="154" xr:uid="{00000000-0005-0000-0000-000099000000}"/>
    <cellStyle name="Comma 16 6" xfId="155" xr:uid="{00000000-0005-0000-0000-00009A000000}"/>
    <cellStyle name="Comma 16 6 2" xfId="156" xr:uid="{00000000-0005-0000-0000-00009B000000}"/>
    <cellStyle name="Comma 16 7" xfId="157" xr:uid="{00000000-0005-0000-0000-00009C000000}"/>
    <cellStyle name="Comma 16 7 2" xfId="158" xr:uid="{00000000-0005-0000-0000-00009D000000}"/>
    <cellStyle name="Comma 16 8" xfId="159" xr:uid="{00000000-0005-0000-0000-00009E000000}"/>
    <cellStyle name="Comma 16 8 2" xfId="160" xr:uid="{00000000-0005-0000-0000-00009F000000}"/>
    <cellStyle name="Comma 16 9" xfId="161" xr:uid="{00000000-0005-0000-0000-0000A0000000}"/>
    <cellStyle name="Comma 16 9 2" xfId="162" xr:uid="{00000000-0005-0000-0000-0000A1000000}"/>
    <cellStyle name="Comma 17" xfId="163" xr:uid="{00000000-0005-0000-0000-0000A2000000}"/>
    <cellStyle name="Comma 17 10" xfId="164" xr:uid="{00000000-0005-0000-0000-0000A3000000}"/>
    <cellStyle name="Comma 17 10 2" xfId="165" xr:uid="{00000000-0005-0000-0000-0000A4000000}"/>
    <cellStyle name="Comma 17 11" xfId="166" xr:uid="{00000000-0005-0000-0000-0000A5000000}"/>
    <cellStyle name="Comma 17 2" xfId="167" xr:uid="{00000000-0005-0000-0000-0000A6000000}"/>
    <cellStyle name="Comma 17 2 2" xfId="168" xr:uid="{00000000-0005-0000-0000-0000A7000000}"/>
    <cellStyle name="Comma 17 3" xfId="169" xr:uid="{00000000-0005-0000-0000-0000A8000000}"/>
    <cellStyle name="Comma 17 3 2" xfId="170" xr:uid="{00000000-0005-0000-0000-0000A9000000}"/>
    <cellStyle name="Comma 17 4" xfId="171" xr:uid="{00000000-0005-0000-0000-0000AA000000}"/>
    <cellStyle name="Comma 17 4 2" xfId="172" xr:uid="{00000000-0005-0000-0000-0000AB000000}"/>
    <cellStyle name="Comma 17 5" xfId="173" xr:uid="{00000000-0005-0000-0000-0000AC000000}"/>
    <cellStyle name="Comma 17 5 2" xfId="174" xr:uid="{00000000-0005-0000-0000-0000AD000000}"/>
    <cellStyle name="Comma 17 6" xfId="175" xr:uid="{00000000-0005-0000-0000-0000AE000000}"/>
    <cellStyle name="Comma 17 6 2" xfId="176" xr:uid="{00000000-0005-0000-0000-0000AF000000}"/>
    <cellStyle name="Comma 17 7" xfId="177" xr:uid="{00000000-0005-0000-0000-0000B0000000}"/>
    <cellStyle name="Comma 17 7 2" xfId="178" xr:uid="{00000000-0005-0000-0000-0000B1000000}"/>
    <cellStyle name="Comma 17 8" xfId="179" xr:uid="{00000000-0005-0000-0000-0000B2000000}"/>
    <cellStyle name="Comma 17 8 2" xfId="180" xr:uid="{00000000-0005-0000-0000-0000B3000000}"/>
    <cellStyle name="Comma 17 9" xfId="181" xr:uid="{00000000-0005-0000-0000-0000B4000000}"/>
    <cellStyle name="Comma 17 9 2" xfId="182" xr:uid="{00000000-0005-0000-0000-0000B5000000}"/>
    <cellStyle name="Comma 18" xfId="183" xr:uid="{00000000-0005-0000-0000-0000B6000000}"/>
    <cellStyle name="Comma 18 2" xfId="184" xr:uid="{00000000-0005-0000-0000-0000B7000000}"/>
    <cellStyle name="Comma 19" xfId="185" xr:uid="{00000000-0005-0000-0000-0000B8000000}"/>
    <cellStyle name="Comma 2" xfId="186" xr:uid="{00000000-0005-0000-0000-0000B9000000}"/>
    <cellStyle name="Comma 2 10" xfId="187" xr:uid="{00000000-0005-0000-0000-0000BA000000}"/>
    <cellStyle name="Comma 2 10 2" xfId="188" xr:uid="{00000000-0005-0000-0000-0000BB000000}"/>
    <cellStyle name="Comma 2 11" xfId="189" xr:uid="{00000000-0005-0000-0000-0000BC000000}"/>
    <cellStyle name="Comma 2 11 2" xfId="190" xr:uid="{00000000-0005-0000-0000-0000BD000000}"/>
    <cellStyle name="Comma 2 12" xfId="191" xr:uid="{00000000-0005-0000-0000-0000BE000000}"/>
    <cellStyle name="Comma 2 12 2" xfId="192" xr:uid="{00000000-0005-0000-0000-0000BF000000}"/>
    <cellStyle name="Comma 2 13" xfId="193" xr:uid="{00000000-0005-0000-0000-0000C0000000}"/>
    <cellStyle name="Comma 2 13 2" xfId="194" xr:uid="{00000000-0005-0000-0000-0000C1000000}"/>
    <cellStyle name="Comma 2 14" xfId="195" xr:uid="{00000000-0005-0000-0000-0000C2000000}"/>
    <cellStyle name="Comma 2 14 2" xfId="196" xr:uid="{00000000-0005-0000-0000-0000C3000000}"/>
    <cellStyle name="Comma 2 15" xfId="197" xr:uid="{00000000-0005-0000-0000-0000C4000000}"/>
    <cellStyle name="Comma 2 15 2" xfId="198" xr:uid="{00000000-0005-0000-0000-0000C5000000}"/>
    <cellStyle name="Comma 2 16" xfId="199" xr:uid="{00000000-0005-0000-0000-0000C6000000}"/>
    <cellStyle name="Comma 2 16 2" xfId="200" xr:uid="{00000000-0005-0000-0000-0000C7000000}"/>
    <cellStyle name="Comma 2 17" xfId="201" xr:uid="{00000000-0005-0000-0000-0000C8000000}"/>
    <cellStyle name="Comma 2 17 2" xfId="202" xr:uid="{00000000-0005-0000-0000-0000C9000000}"/>
    <cellStyle name="Comma 2 18" xfId="203" xr:uid="{00000000-0005-0000-0000-0000CA000000}"/>
    <cellStyle name="Comma 2 18 2" xfId="204" xr:uid="{00000000-0005-0000-0000-0000CB000000}"/>
    <cellStyle name="Comma 2 19" xfId="205" xr:uid="{00000000-0005-0000-0000-0000CC000000}"/>
    <cellStyle name="Comma 2 19 2" xfId="206" xr:uid="{00000000-0005-0000-0000-0000CD000000}"/>
    <cellStyle name="Comma 2 2" xfId="207" xr:uid="{00000000-0005-0000-0000-0000CE000000}"/>
    <cellStyle name="Comma 2 2 2" xfId="208" xr:uid="{00000000-0005-0000-0000-0000CF000000}"/>
    <cellStyle name="Comma 2 20" xfId="209" xr:uid="{00000000-0005-0000-0000-0000D0000000}"/>
    <cellStyle name="Comma 2 20 2" xfId="210" xr:uid="{00000000-0005-0000-0000-0000D1000000}"/>
    <cellStyle name="Comma 2 21" xfId="211" xr:uid="{00000000-0005-0000-0000-0000D2000000}"/>
    <cellStyle name="Comma 2 21 2" xfId="212" xr:uid="{00000000-0005-0000-0000-0000D3000000}"/>
    <cellStyle name="Comma 2 22" xfId="213" xr:uid="{00000000-0005-0000-0000-0000D4000000}"/>
    <cellStyle name="Comma 2 22 2" xfId="214" xr:uid="{00000000-0005-0000-0000-0000D5000000}"/>
    <cellStyle name="Comma 2 23" xfId="215" xr:uid="{00000000-0005-0000-0000-0000D6000000}"/>
    <cellStyle name="Comma 2 23 2" xfId="216" xr:uid="{00000000-0005-0000-0000-0000D7000000}"/>
    <cellStyle name="Comma 2 24" xfId="217" xr:uid="{00000000-0005-0000-0000-0000D8000000}"/>
    <cellStyle name="Comma 2 24 2" xfId="218" xr:uid="{00000000-0005-0000-0000-0000D9000000}"/>
    <cellStyle name="Comma 2 25" xfId="219" xr:uid="{00000000-0005-0000-0000-0000DA000000}"/>
    <cellStyle name="Comma 2 25 2" xfId="220" xr:uid="{00000000-0005-0000-0000-0000DB000000}"/>
    <cellStyle name="Comma 2 26" xfId="221" xr:uid="{00000000-0005-0000-0000-0000DC000000}"/>
    <cellStyle name="Comma 2 26 2" xfId="222" xr:uid="{00000000-0005-0000-0000-0000DD000000}"/>
    <cellStyle name="Comma 2 27" xfId="223" xr:uid="{00000000-0005-0000-0000-0000DE000000}"/>
    <cellStyle name="Comma 2 3" xfId="224" xr:uid="{00000000-0005-0000-0000-0000DF000000}"/>
    <cellStyle name="Comma 2 3 2" xfId="225" xr:uid="{00000000-0005-0000-0000-0000E0000000}"/>
    <cellStyle name="Comma 2 4" xfId="226" xr:uid="{00000000-0005-0000-0000-0000E1000000}"/>
    <cellStyle name="Comma 2 4 2" xfId="227" xr:uid="{00000000-0005-0000-0000-0000E2000000}"/>
    <cellStyle name="Comma 2 5" xfId="228" xr:uid="{00000000-0005-0000-0000-0000E3000000}"/>
    <cellStyle name="Comma 2 5 2" xfId="229" xr:uid="{00000000-0005-0000-0000-0000E4000000}"/>
    <cellStyle name="Comma 2 6" xfId="230" xr:uid="{00000000-0005-0000-0000-0000E5000000}"/>
    <cellStyle name="Comma 2 6 2" xfId="231" xr:uid="{00000000-0005-0000-0000-0000E6000000}"/>
    <cellStyle name="Comma 2 7" xfId="232" xr:uid="{00000000-0005-0000-0000-0000E7000000}"/>
    <cellStyle name="Comma 2 7 2" xfId="233" xr:uid="{00000000-0005-0000-0000-0000E8000000}"/>
    <cellStyle name="Comma 2 8" xfId="234" xr:uid="{00000000-0005-0000-0000-0000E9000000}"/>
    <cellStyle name="Comma 2 8 2" xfId="235" xr:uid="{00000000-0005-0000-0000-0000EA000000}"/>
    <cellStyle name="Comma 2 9" xfId="236" xr:uid="{00000000-0005-0000-0000-0000EB000000}"/>
    <cellStyle name="Comma 2 9 2" xfId="237" xr:uid="{00000000-0005-0000-0000-0000EC000000}"/>
    <cellStyle name="Comma 24" xfId="238" xr:uid="{00000000-0005-0000-0000-0000ED000000}"/>
    <cellStyle name="Comma 24 2" xfId="239" xr:uid="{00000000-0005-0000-0000-0000EE000000}"/>
    <cellStyle name="Comma 3" xfId="240" xr:uid="{00000000-0005-0000-0000-0000EF000000}"/>
    <cellStyle name="Comma 3 10" xfId="241" xr:uid="{00000000-0005-0000-0000-0000F0000000}"/>
    <cellStyle name="Comma 3 10 2" xfId="242" xr:uid="{00000000-0005-0000-0000-0000F1000000}"/>
    <cellStyle name="Comma 3 11" xfId="243" xr:uid="{00000000-0005-0000-0000-0000F2000000}"/>
    <cellStyle name="Comma 3 11 2" xfId="244" xr:uid="{00000000-0005-0000-0000-0000F3000000}"/>
    <cellStyle name="Comma 3 12" xfId="245" xr:uid="{00000000-0005-0000-0000-0000F4000000}"/>
    <cellStyle name="Comma 3 12 2" xfId="246" xr:uid="{00000000-0005-0000-0000-0000F5000000}"/>
    <cellStyle name="Comma 3 13" xfId="247" xr:uid="{00000000-0005-0000-0000-0000F6000000}"/>
    <cellStyle name="Comma 3 13 2" xfId="248" xr:uid="{00000000-0005-0000-0000-0000F7000000}"/>
    <cellStyle name="Comma 3 14" xfId="249" xr:uid="{00000000-0005-0000-0000-0000F8000000}"/>
    <cellStyle name="Comma 3 14 2" xfId="250" xr:uid="{00000000-0005-0000-0000-0000F9000000}"/>
    <cellStyle name="Comma 3 15" xfId="251" xr:uid="{00000000-0005-0000-0000-0000FA000000}"/>
    <cellStyle name="Comma 3 15 2" xfId="252" xr:uid="{00000000-0005-0000-0000-0000FB000000}"/>
    <cellStyle name="Comma 3 16" xfId="253" xr:uid="{00000000-0005-0000-0000-0000FC000000}"/>
    <cellStyle name="Comma 3 16 2" xfId="254" xr:uid="{00000000-0005-0000-0000-0000FD000000}"/>
    <cellStyle name="Comma 3 17" xfId="255" xr:uid="{00000000-0005-0000-0000-0000FE000000}"/>
    <cellStyle name="Comma 3 17 2" xfId="256" xr:uid="{00000000-0005-0000-0000-0000FF000000}"/>
    <cellStyle name="Comma 3 18" xfId="257" xr:uid="{00000000-0005-0000-0000-000000010000}"/>
    <cellStyle name="Comma 3 18 2" xfId="258" xr:uid="{00000000-0005-0000-0000-000001010000}"/>
    <cellStyle name="Comma 3 19" xfId="259" xr:uid="{00000000-0005-0000-0000-000002010000}"/>
    <cellStyle name="Comma 3 19 2" xfId="260" xr:uid="{00000000-0005-0000-0000-000003010000}"/>
    <cellStyle name="Comma 3 2" xfId="261" xr:uid="{00000000-0005-0000-0000-000004010000}"/>
    <cellStyle name="Comma 3 2 2" xfId="262" xr:uid="{00000000-0005-0000-0000-000005010000}"/>
    <cellStyle name="Comma 3 20" xfId="263" xr:uid="{00000000-0005-0000-0000-000006010000}"/>
    <cellStyle name="Comma 3 20 2" xfId="264" xr:uid="{00000000-0005-0000-0000-000007010000}"/>
    <cellStyle name="Comma 3 21" xfId="265" xr:uid="{00000000-0005-0000-0000-000008010000}"/>
    <cellStyle name="Comma 3 3" xfId="266" xr:uid="{00000000-0005-0000-0000-000009010000}"/>
    <cellStyle name="Comma 3 3 2" xfId="267" xr:uid="{00000000-0005-0000-0000-00000A010000}"/>
    <cellStyle name="Comma 3 4" xfId="268" xr:uid="{00000000-0005-0000-0000-00000B010000}"/>
    <cellStyle name="Comma 3 4 2" xfId="269" xr:uid="{00000000-0005-0000-0000-00000C010000}"/>
    <cellStyle name="Comma 3 5" xfId="270" xr:uid="{00000000-0005-0000-0000-00000D010000}"/>
    <cellStyle name="Comma 3 5 2" xfId="271" xr:uid="{00000000-0005-0000-0000-00000E010000}"/>
    <cellStyle name="Comma 3 6" xfId="272" xr:uid="{00000000-0005-0000-0000-00000F010000}"/>
    <cellStyle name="Comma 3 6 2" xfId="273" xr:uid="{00000000-0005-0000-0000-000010010000}"/>
    <cellStyle name="Comma 3 7" xfId="274" xr:uid="{00000000-0005-0000-0000-000011010000}"/>
    <cellStyle name="Comma 3 7 2" xfId="275" xr:uid="{00000000-0005-0000-0000-000012010000}"/>
    <cellStyle name="Comma 3 8" xfId="276" xr:uid="{00000000-0005-0000-0000-000013010000}"/>
    <cellStyle name="Comma 3 8 2" xfId="277" xr:uid="{00000000-0005-0000-0000-000014010000}"/>
    <cellStyle name="Comma 3 9" xfId="278" xr:uid="{00000000-0005-0000-0000-000015010000}"/>
    <cellStyle name="Comma 3 9 2" xfId="279" xr:uid="{00000000-0005-0000-0000-000016010000}"/>
    <cellStyle name="Comma 4" xfId="280" xr:uid="{00000000-0005-0000-0000-000017010000}"/>
    <cellStyle name="Comma 4 2" xfId="281" xr:uid="{00000000-0005-0000-0000-000018010000}"/>
    <cellStyle name="Comma 5" xfId="282" xr:uid="{00000000-0005-0000-0000-000019010000}"/>
    <cellStyle name="Comma 5 10" xfId="283" xr:uid="{00000000-0005-0000-0000-00001A010000}"/>
    <cellStyle name="Comma 5 10 2" xfId="284" xr:uid="{00000000-0005-0000-0000-00001B010000}"/>
    <cellStyle name="Comma 5 11" xfId="285" xr:uid="{00000000-0005-0000-0000-00001C010000}"/>
    <cellStyle name="Comma 5 11 2" xfId="286" xr:uid="{00000000-0005-0000-0000-00001D010000}"/>
    <cellStyle name="Comma 5 12" xfId="287" xr:uid="{00000000-0005-0000-0000-00001E010000}"/>
    <cellStyle name="Comma 5 12 2" xfId="288" xr:uid="{00000000-0005-0000-0000-00001F010000}"/>
    <cellStyle name="Comma 5 13" xfId="289" xr:uid="{00000000-0005-0000-0000-000020010000}"/>
    <cellStyle name="Comma 5 13 2" xfId="290" xr:uid="{00000000-0005-0000-0000-000021010000}"/>
    <cellStyle name="Comma 5 14" xfId="291" xr:uid="{00000000-0005-0000-0000-000022010000}"/>
    <cellStyle name="Comma 5 14 2" xfId="292" xr:uid="{00000000-0005-0000-0000-000023010000}"/>
    <cellStyle name="Comma 5 15" xfId="293" xr:uid="{00000000-0005-0000-0000-000024010000}"/>
    <cellStyle name="Comma 5 15 2" xfId="294" xr:uid="{00000000-0005-0000-0000-000025010000}"/>
    <cellStyle name="Comma 5 16" xfId="295" xr:uid="{00000000-0005-0000-0000-000026010000}"/>
    <cellStyle name="Comma 5 16 2" xfId="296" xr:uid="{00000000-0005-0000-0000-000027010000}"/>
    <cellStyle name="Comma 5 17" xfId="297" xr:uid="{00000000-0005-0000-0000-000028010000}"/>
    <cellStyle name="Comma 5 17 2" xfId="298" xr:uid="{00000000-0005-0000-0000-000029010000}"/>
    <cellStyle name="Comma 5 18" xfId="299" xr:uid="{00000000-0005-0000-0000-00002A010000}"/>
    <cellStyle name="Comma 5 18 2" xfId="300" xr:uid="{00000000-0005-0000-0000-00002B010000}"/>
    <cellStyle name="Comma 5 19" xfId="301" xr:uid="{00000000-0005-0000-0000-00002C010000}"/>
    <cellStyle name="Comma 5 19 2" xfId="302" xr:uid="{00000000-0005-0000-0000-00002D010000}"/>
    <cellStyle name="Comma 5 2" xfId="303" xr:uid="{00000000-0005-0000-0000-00002E010000}"/>
    <cellStyle name="Comma 5 2 2" xfId="304" xr:uid="{00000000-0005-0000-0000-00002F010000}"/>
    <cellStyle name="Comma 5 20" xfId="305" xr:uid="{00000000-0005-0000-0000-000030010000}"/>
    <cellStyle name="Comma 5 20 2" xfId="306" xr:uid="{00000000-0005-0000-0000-000031010000}"/>
    <cellStyle name="Comma 5 21" xfId="307" xr:uid="{00000000-0005-0000-0000-000032010000}"/>
    <cellStyle name="Comma 5 3" xfId="308" xr:uid="{00000000-0005-0000-0000-000033010000}"/>
    <cellStyle name="Comma 5 3 2" xfId="309" xr:uid="{00000000-0005-0000-0000-000034010000}"/>
    <cellStyle name="Comma 5 4" xfId="310" xr:uid="{00000000-0005-0000-0000-000035010000}"/>
    <cellStyle name="Comma 5 4 2" xfId="311" xr:uid="{00000000-0005-0000-0000-000036010000}"/>
    <cellStyle name="Comma 5 5" xfId="312" xr:uid="{00000000-0005-0000-0000-000037010000}"/>
    <cellStyle name="Comma 5 5 2" xfId="313" xr:uid="{00000000-0005-0000-0000-000038010000}"/>
    <cellStyle name="Comma 5 6" xfId="314" xr:uid="{00000000-0005-0000-0000-000039010000}"/>
    <cellStyle name="Comma 5 6 2" xfId="315" xr:uid="{00000000-0005-0000-0000-00003A010000}"/>
    <cellStyle name="Comma 5 7" xfId="316" xr:uid="{00000000-0005-0000-0000-00003B010000}"/>
    <cellStyle name="Comma 5 7 2" xfId="317" xr:uid="{00000000-0005-0000-0000-00003C010000}"/>
    <cellStyle name="Comma 5 8" xfId="318" xr:uid="{00000000-0005-0000-0000-00003D010000}"/>
    <cellStyle name="Comma 5 8 2" xfId="319" xr:uid="{00000000-0005-0000-0000-00003E010000}"/>
    <cellStyle name="Comma 5 9" xfId="320" xr:uid="{00000000-0005-0000-0000-00003F010000}"/>
    <cellStyle name="Comma 5 9 2" xfId="321" xr:uid="{00000000-0005-0000-0000-000040010000}"/>
    <cellStyle name="Comma 6" xfId="322" xr:uid="{00000000-0005-0000-0000-000041010000}"/>
    <cellStyle name="Comma 6 10" xfId="323" xr:uid="{00000000-0005-0000-0000-000042010000}"/>
    <cellStyle name="Comma 6 10 2" xfId="324" xr:uid="{00000000-0005-0000-0000-000043010000}"/>
    <cellStyle name="Comma 6 11" xfId="325" xr:uid="{00000000-0005-0000-0000-000044010000}"/>
    <cellStyle name="Comma 6 11 2" xfId="326" xr:uid="{00000000-0005-0000-0000-000045010000}"/>
    <cellStyle name="Comma 6 12" xfId="327" xr:uid="{00000000-0005-0000-0000-000046010000}"/>
    <cellStyle name="Comma 6 12 2" xfId="328" xr:uid="{00000000-0005-0000-0000-000047010000}"/>
    <cellStyle name="Comma 6 13" xfId="329" xr:uid="{00000000-0005-0000-0000-000048010000}"/>
    <cellStyle name="Comma 6 13 2" xfId="330" xr:uid="{00000000-0005-0000-0000-000049010000}"/>
    <cellStyle name="Comma 6 14" xfId="331" xr:uid="{00000000-0005-0000-0000-00004A010000}"/>
    <cellStyle name="Comma 6 14 2" xfId="332" xr:uid="{00000000-0005-0000-0000-00004B010000}"/>
    <cellStyle name="Comma 6 15" xfId="333" xr:uid="{00000000-0005-0000-0000-00004C010000}"/>
    <cellStyle name="Comma 6 15 2" xfId="334" xr:uid="{00000000-0005-0000-0000-00004D010000}"/>
    <cellStyle name="Comma 6 16" xfId="335" xr:uid="{00000000-0005-0000-0000-00004E010000}"/>
    <cellStyle name="Comma 6 16 2" xfId="336" xr:uid="{00000000-0005-0000-0000-00004F010000}"/>
    <cellStyle name="Comma 6 17" xfId="337" xr:uid="{00000000-0005-0000-0000-000050010000}"/>
    <cellStyle name="Comma 6 17 2" xfId="338" xr:uid="{00000000-0005-0000-0000-000051010000}"/>
    <cellStyle name="Comma 6 18" xfId="339" xr:uid="{00000000-0005-0000-0000-000052010000}"/>
    <cellStyle name="Comma 6 18 2" xfId="340" xr:uid="{00000000-0005-0000-0000-000053010000}"/>
    <cellStyle name="Comma 6 19" xfId="341" xr:uid="{00000000-0005-0000-0000-000054010000}"/>
    <cellStyle name="Comma 6 19 2" xfId="342" xr:uid="{00000000-0005-0000-0000-000055010000}"/>
    <cellStyle name="Comma 6 2" xfId="343" xr:uid="{00000000-0005-0000-0000-000056010000}"/>
    <cellStyle name="Comma 6 2 2" xfId="344" xr:uid="{00000000-0005-0000-0000-000057010000}"/>
    <cellStyle name="Comma 6 20" xfId="345" xr:uid="{00000000-0005-0000-0000-000058010000}"/>
    <cellStyle name="Comma 6 3" xfId="346" xr:uid="{00000000-0005-0000-0000-000059010000}"/>
    <cellStyle name="Comma 6 3 2" xfId="347" xr:uid="{00000000-0005-0000-0000-00005A010000}"/>
    <cellStyle name="Comma 6 4" xfId="348" xr:uid="{00000000-0005-0000-0000-00005B010000}"/>
    <cellStyle name="Comma 6 4 2" xfId="349" xr:uid="{00000000-0005-0000-0000-00005C010000}"/>
    <cellStyle name="Comma 6 5" xfId="350" xr:uid="{00000000-0005-0000-0000-00005D010000}"/>
    <cellStyle name="Comma 6 5 2" xfId="351" xr:uid="{00000000-0005-0000-0000-00005E010000}"/>
    <cellStyle name="Comma 6 6" xfId="352" xr:uid="{00000000-0005-0000-0000-00005F010000}"/>
    <cellStyle name="Comma 6 6 2" xfId="353" xr:uid="{00000000-0005-0000-0000-000060010000}"/>
    <cellStyle name="Comma 6 7" xfId="354" xr:uid="{00000000-0005-0000-0000-000061010000}"/>
    <cellStyle name="Comma 6 7 2" xfId="355" xr:uid="{00000000-0005-0000-0000-000062010000}"/>
    <cellStyle name="Comma 6 8" xfId="356" xr:uid="{00000000-0005-0000-0000-000063010000}"/>
    <cellStyle name="Comma 6 8 2" xfId="357" xr:uid="{00000000-0005-0000-0000-000064010000}"/>
    <cellStyle name="Comma 6 9" xfId="358" xr:uid="{00000000-0005-0000-0000-000065010000}"/>
    <cellStyle name="Comma 6 9 2" xfId="359" xr:uid="{00000000-0005-0000-0000-000066010000}"/>
    <cellStyle name="Comma 7" xfId="360" xr:uid="{00000000-0005-0000-0000-000067010000}"/>
    <cellStyle name="Comma 7 10" xfId="361" xr:uid="{00000000-0005-0000-0000-000068010000}"/>
    <cellStyle name="Comma 7 10 2" xfId="362" xr:uid="{00000000-0005-0000-0000-000069010000}"/>
    <cellStyle name="Comma 7 11" xfId="363" xr:uid="{00000000-0005-0000-0000-00006A010000}"/>
    <cellStyle name="Comma 7 11 2" xfId="364" xr:uid="{00000000-0005-0000-0000-00006B010000}"/>
    <cellStyle name="Comma 7 12" xfId="365" xr:uid="{00000000-0005-0000-0000-00006C010000}"/>
    <cellStyle name="Comma 7 12 2" xfId="366" xr:uid="{00000000-0005-0000-0000-00006D010000}"/>
    <cellStyle name="Comma 7 13" xfId="367" xr:uid="{00000000-0005-0000-0000-00006E010000}"/>
    <cellStyle name="Comma 7 13 2" xfId="368" xr:uid="{00000000-0005-0000-0000-00006F010000}"/>
    <cellStyle name="Comma 7 14" xfId="369" xr:uid="{00000000-0005-0000-0000-000070010000}"/>
    <cellStyle name="Comma 7 14 2" xfId="370" xr:uid="{00000000-0005-0000-0000-000071010000}"/>
    <cellStyle name="Comma 7 15" xfId="371" xr:uid="{00000000-0005-0000-0000-000072010000}"/>
    <cellStyle name="Comma 7 15 2" xfId="372" xr:uid="{00000000-0005-0000-0000-000073010000}"/>
    <cellStyle name="Comma 7 16" xfId="373" xr:uid="{00000000-0005-0000-0000-000074010000}"/>
    <cellStyle name="Comma 7 16 2" xfId="374" xr:uid="{00000000-0005-0000-0000-000075010000}"/>
    <cellStyle name="Comma 7 17" xfId="375" xr:uid="{00000000-0005-0000-0000-000076010000}"/>
    <cellStyle name="Comma 7 17 2" xfId="376" xr:uid="{00000000-0005-0000-0000-000077010000}"/>
    <cellStyle name="Comma 7 18" xfId="377" xr:uid="{00000000-0005-0000-0000-000078010000}"/>
    <cellStyle name="Comma 7 18 2" xfId="378" xr:uid="{00000000-0005-0000-0000-000079010000}"/>
    <cellStyle name="Comma 7 19" xfId="379" xr:uid="{00000000-0005-0000-0000-00007A010000}"/>
    <cellStyle name="Comma 7 19 2" xfId="380" xr:uid="{00000000-0005-0000-0000-00007B010000}"/>
    <cellStyle name="Comma 7 2" xfId="381" xr:uid="{00000000-0005-0000-0000-00007C010000}"/>
    <cellStyle name="Comma 7 2 2" xfId="382" xr:uid="{00000000-0005-0000-0000-00007D010000}"/>
    <cellStyle name="Comma 7 20" xfId="383" xr:uid="{00000000-0005-0000-0000-00007E010000}"/>
    <cellStyle name="Comma 7 3" xfId="384" xr:uid="{00000000-0005-0000-0000-00007F010000}"/>
    <cellStyle name="Comma 7 3 2" xfId="385" xr:uid="{00000000-0005-0000-0000-000080010000}"/>
    <cellStyle name="Comma 7 4" xfId="386" xr:uid="{00000000-0005-0000-0000-000081010000}"/>
    <cellStyle name="Comma 7 4 2" xfId="387" xr:uid="{00000000-0005-0000-0000-000082010000}"/>
    <cellStyle name="Comma 7 5" xfId="388" xr:uid="{00000000-0005-0000-0000-000083010000}"/>
    <cellStyle name="Comma 7 5 2" xfId="389" xr:uid="{00000000-0005-0000-0000-000084010000}"/>
    <cellStyle name="Comma 7 6" xfId="390" xr:uid="{00000000-0005-0000-0000-000085010000}"/>
    <cellStyle name="Comma 7 6 2" xfId="391" xr:uid="{00000000-0005-0000-0000-000086010000}"/>
    <cellStyle name="Comma 7 7" xfId="392" xr:uid="{00000000-0005-0000-0000-000087010000}"/>
    <cellStyle name="Comma 7 7 2" xfId="393" xr:uid="{00000000-0005-0000-0000-000088010000}"/>
    <cellStyle name="Comma 7 8" xfId="394" xr:uid="{00000000-0005-0000-0000-000089010000}"/>
    <cellStyle name="Comma 7 8 2" xfId="395" xr:uid="{00000000-0005-0000-0000-00008A010000}"/>
    <cellStyle name="Comma 7 9" xfId="396" xr:uid="{00000000-0005-0000-0000-00008B010000}"/>
    <cellStyle name="Comma 7 9 2" xfId="397" xr:uid="{00000000-0005-0000-0000-00008C010000}"/>
    <cellStyle name="Comma 8" xfId="398" xr:uid="{00000000-0005-0000-0000-00008D010000}"/>
    <cellStyle name="Comma 8 10" xfId="399" xr:uid="{00000000-0005-0000-0000-00008E010000}"/>
    <cellStyle name="Comma 8 10 2" xfId="400" xr:uid="{00000000-0005-0000-0000-00008F010000}"/>
    <cellStyle name="Comma 8 11" xfId="401" xr:uid="{00000000-0005-0000-0000-000090010000}"/>
    <cellStyle name="Comma 8 11 2" xfId="402" xr:uid="{00000000-0005-0000-0000-000091010000}"/>
    <cellStyle name="Comma 8 12" xfId="403" xr:uid="{00000000-0005-0000-0000-000092010000}"/>
    <cellStyle name="Comma 8 12 2" xfId="404" xr:uid="{00000000-0005-0000-0000-000093010000}"/>
    <cellStyle name="Comma 8 13" xfId="405" xr:uid="{00000000-0005-0000-0000-000094010000}"/>
    <cellStyle name="Comma 8 13 2" xfId="406" xr:uid="{00000000-0005-0000-0000-000095010000}"/>
    <cellStyle name="Comma 8 14" xfId="407" xr:uid="{00000000-0005-0000-0000-000096010000}"/>
    <cellStyle name="Comma 8 14 2" xfId="408" xr:uid="{00000000-0005-0000-0000-000097010000}"/>
    <cellStyle name="Comma 8 15" xfId="409" xr:uid="{00000000-0005-0000-0000-000098010000}"/>
    <cellStyle name="Comma 8 15 2" xfId="410" xr:uid="{00000000-0005-0000-0000-000099010000}"/>
    <cellStyle name="Comma 8 16" xfId="411" xr:uid="{00000000-0005-0000-0000-00009A010000}"/>
    <cellStyle name="Comma 8 16 2" xfId="412" xr:uid="{00000000-0005-0000-0000-00009B010000}"/>
    <cellStyle name="Comma 8 17" xfId="413" xr:uid="{00000000-0005-0000-0000-00009C010000}"/>
    <cellStyle name="Comma 8 17 2" xfId="414" xr:uid="{00000000-0005-0000-0000-00009D010000}"/>
    <cellStyle name="Comma 8 18" xfId="415" xr:uid="{00000000-0005-0000-0000-00009E010000}"/>
    <cellStyle name="Comma 8 18 2" xfId="416" xr:uid="{00000000-0005-0000-0000-00009F010000}"/>
    <cellStyle name="Comma 8 19" xfId="417" xr:uid="{00000000-0005-0000-0000-0000A0010000}"/>
    <cellStyle name="Comma 8 19 2" xfId="418" xr:uid="{00000000-0005-0000-0000-0000A1010000}"/>
    <cellStyle name="Comma 8 2" xfId="419" xr:uid="{00000000-0005-0000-0000-0000A2010000}"/>
    <cellStyle name="Comma 8 2 2" xfId="420" xr:uid="{00000000-0005-0000-0000-0000A3010000}"/>
    <cellStyle name="Comma 8 20" xfId="421" xr:uid="{00000000-0005-0000-0000-0000A4010000}"/>
    <cellStyle name="Comma 8 3" xfId="422" xr:uid="{00000000-0005-0000-0000-0000A5010000}"/>
    <cellStyle name="Comma 8 3 2" xfId="423" xr:uid="{00000000-0005-0000-0000-0000A6010000}"/>
    <cellStyle name="Comma 8 4" xfId="424" xr:uid="{00000000-0005-0000-0000-0000A7010000}"/>
    <cellStyle name="Comma 8 4 2" xfId="425" xr:uid="{00000000-0005-0000-0000-0000A8010000}"/>
    <cellStyle name="Comma 8 5" xfId="426" xr:uid="{00000000-0005-0000-0000-0000A9010000}"/>
    <cellStyle name="Comma 8 5 2" xfId="427" xr:uid="{00000000-0005-0000-0000-0000AA010000}"/>
    <cellStyle name="Comma 8 6" xfId="428" xr:uid="{00000000-0005-0000-0000-0000AB010000}"/>
    <cellStyle name="Comma 8 6 2" xfId="429" xr:uid="{00000000-0005-0000-0000-0000AC010000}"/>
    <cellStyle name="Comma 8 7" xfId="430" xr:uid="{00000000-0005-0000-0000-0000AD010000}"/>
    <cellStyle name="Comma 8 7 2" xfId="431" xr:uid="{00000000-0005-0000-0000-0000AE010000}"/>
    <cellStyle name="Comma 8 8" xfId="432" xr:uid="{00000000-0005-0000-0000-0000AF010000}"/>
    <cellStyle name="Comma 8 8 2" xfId="433" xr:uid="{00000000-0005-0000-0000-0000B0010000}"/>
    <cellStyle name="Comma 8 9" xfId="434" xr:uid="{00000000-0005-0000-0000-0000B1010000}"/>
    <cellStyle name="Comma 8 9 2" xfId="435" xr:uid="{00000000-0005-0000-0000-0000B2010000}"/>
    <cellStyle name="Comma 9" xfId="436" xr:uid="{00000000-0005-0000-0000-0000B3010000}"/>
    <cellStyle name="Comma 9 10" xfId="437" xr:uid="{00000000-0005-0000-0000-0000B4010000}"/>
    <cellStyle name="Comma 9 10 2" xfId="438" xr:uid="{00000000-0005-0000-0000-0000B5010000}"/>
    <cellStyle name="Comma 9 11" xfId="439" xr:uid="{00000000-0005-0000-0000-0000B6010000}"/>
    <cellStyle name="Comma 9 11 2" xfId="440" xr:uid="{00000000-0005-0000-0000-0000B7010000}"/>
    <cellStyle name="Comma 9 12" xfId="441" xr:uid="{00000000-0005-0000-0000-0000B8010000}"/>
    <cellStyle name="Comma 9 12 2" xfId="442" xr:uid="{00000000-0005-0000-0000-0000B9010000}"/>
    <cellStyle name="Comma 9 13" xfId="443" xr:uid="{00000000-0005-0000-0000-0000BA010000}"/>
    <cellStyle name="Comma 9 13 2" xfId="444" xr:uid="{00000000-0005-0000-0000-0000BB010000}"/>
    <cellStyle name="Comma 9 14" xfId="445" xr:uid="{00000000-0005-0000-0000-0000BC010000}"/>
    <cellStyle name="Comma 9 14 2" xfId="446" xr:uid="{00000000-0005-0000-0000-0000BD010000}"/>
    <cellStyle name="Comma 9 15" xfId="447" xr:uid="{00000000-0005-0000-0000-0000BE010000}"/>
    <cellStyle name="Comma 9 15 2" xfId="448" xr:uid="{00000000-0005-0000-0000-0000BF010000}"/>
    <cellStyle name="Comma 9 16" xfId="449" xr:uid="{00000000-0005-0000-0000-0000C0010000}"/>
    <cellStyle name="Comma 9 16 2" xfId="450" xr:uid="{00000000-0005-0000-0000-0000C1010000}"/>
    <cellStyle name="Comma 9 17" xfId="451" xr:uid="{00000000-0005-0000-0000-0000C2010000}"/>
    <cellStyle name="Comma 9 17 2" xfId="452" xr:uid="{00000000-0005-0000-0000-0000C3010000}"/>
    <cellStyle name="Comma 9 18" xfId="453" xr:uid="{00000000-0005-0000-0000-0000C4010000}"/>
    <cellStyle name="Comma 9 18 2" xfId="454" xr:uid="{00000000-0005-0000-0000-0000C5010000}"/>
    <cellStyle name="Comma 9 19" xfId="455" xr:uid="{00000000-0005-0000-0000-0000C6010000}"/>
    <cellStyle name="Comma 9 19 2" xfId="456" xr:uid="{00000000-0005-0000-0000-0000C7010000}"/>
    <cellStyle name="Comma 9 2" xfId="457" xr:uid="{00000000-0005-0000-0000-0000C8010000}"/>
    <cellStyle name="Comma 9 2 2" xfId="458" xr:uid="{00000000-0005-0000-0000-0000C9010000}"/>
    <cellStyle name="Comma 9 20" xfId="459" xr:uid="{00000000-0005-0000-0000-0000CA010000}"/>
    <cellStyle name="Comma 9 3" xfId="460" xr:uid="{00000000-0005-0000-0000-0000CB010000}"/>
    <cellStyle name="Comma 9 3 2" xfId="461" xr:uid="{00000000-0005-0000-0000-0000CC010000}"/>
    <cellStyle name="Comma 9 4" xfId="462" xr:uid="{00000000-0005-0000-0000-0000CD010000}"/>
    <cellStyle name="Comma 9 4 2" xfId="463" xr:uid="{00000000-0005-0000-0000-0000CE010000}"/>
    <cellStyle name="Comma 9 5" xfId="464" xr:uid="{00000000-0005-0000-0000-0000CF010000}"/>
    <cellStyle name="Comma 9 5 2" xfId="465" xr:uid="{00000000-0005-0000-0000-0000D0010000}"/>
    <cellStyle name="Comma 9 6" xfId="466" xr:uid="{00000000-0005-0000-0000-0000D1010000}"/>
    <cellStyle name="Comma 9 6 2" xfId="467" xr:uid="{00000000-0005-0000-0000-0000D2010000}"/>
    <cellStyle name="Comma 9 7" xfId="468" xr:uid="{00000000-0005-0000-0000-0000D3010000}"/>
    <cellStyle name="Comma 9 7 2" xfId="469" xr:uid="{00000000-0005-0000-0000-0000D4010000}"/>
    <cellStyle name="Comma 9 8" xfId="470" xr:uid="{00000000-0005-0000-0000-0000D5010000}"/>
    <cellStyle name="Comma 9 8 2" xfId="471" xr:uid="{00000000-0005-0000-0000-0000D6010000}"/>
    <cellStyle name="Comma 9 9" xfId="472" xr:uid="{00000000-0005-0000-0000-0000D7010000}"/>
    <cellStyle name="Comma 9 9 2" xfId="473" xr:uid="{00000000-0005-0000-0000-0000D8010000}"/>
    <cellStyle name="Input 2" xfId="474" xr:uid="{00000000-0005-0000-0000-0000D9010000}"/>
    <cellStyle name="Input 2 2" xfId="475" xr:uid="{00000000-0005-0000-0000-0000DA010000}"/>
    <cellStyle name="Jun" xfId="476" xr:uid="{00000000-0005-0000-0000-0000DB010000}"/>
    <cellStyle name="Normal" xfId="0" builtinId="0"/>
    <cellStyle name="Normal 10" xfId="477" xr:uid="{00000000-0005-0000-0000-0000DD010000}"/>
    <cellStyle name="Normal 10 2" xfId="478" xr:uid="{00000000-0005-0000-0000-0000DE010000}"/>
    <cellStyle name="Normal 10 2 2" xfId="479" xr:uid="{00000000-0005-0000-0000-0000DF010000}"/>
    <cellStyle name="Normal 10 3" xfId="480" xr:uid="{00000000-0005-0000-0000-0000E0010000}"/>
    <cellStyle name="Normal 10 4" xfId="481" xr:uid="{00000000-0005-0000-0000-0000E1010000}"/>
    <cellStyle name="Normal 10 5" xfId="482" xr:uid="{00000000-0005-0000-0000-0000E2010000}"/>
    <cellStyle name="Normal 11" xfId="483" xr:uid="{00000000-0005-0000-0000-0000E3010000}"/>
    <cellStyle name="Normal 12" xfId="484" xr:uid="{00000000-0005-0000-0000-0000E4010000}"/>
    <cellStyle name="Normal 12 2" xfId="485" xr:uid="{00000000-0005-0000-0000-0000E5010000}"/>
    <cellStyle name="Normal 12 3" xfId="486" xr:uid="{00000000-0005-0000-0000-0000E6010000}"/>
    <cellStyle name="Normal 12 4" xfId="487" xr:uid="{00000000-0005-0000-0000-0000E7010000}"/>
    <cellStyle name="Normal 12 5" xfId="488" xr:uid="{00000000-0005-0000-0000-0000E8010000}"/>
    <cellStyle name="Normal 13" xfId="489" xr:uid="{00000000-0005-0000-0000-0000E9010000}"/>
    <cellStyle name="Normal 13 2" xfId="490" xr:uid="{00000000-0005-0000-0000-0000EA010000}"/>
    <cellStyle name="Normal 13 3" xfId="491" xr:uid="{00000000-0005-0000-0000-0000EB010000}"/>
    <cellStyle name="Normal 13 4" xfId="492" xr:uid="{00000000-0005-0000-0000-0000EC010000}"/>
    <cellStyle name="Normal 13 5" xfId="493" xr:uid="{00000000-0005-0000-0000-0000ED010000}"/>
    <cellStyle name="Normal 14" xfId="494" xr:uid="{00000000-0005-0000-0000-0000EE010000}"/>
    <cellStyle name="Normal 14 10" xfId="495" xr:uid="{00000000-0005-0000-0000-0000EF010000}"/>
    <cellStyle name="Normal 14 11" xfId="496" xr:uid="{00000000-0005-0000-0000-0000F0010000}"/>
    <cellStyle name="Normal 14 12" xfId="497" xr:uid="{00000000-0005-0000-0000-0000F1010000}"/>
    <cellStyle name="Normal 14 2" xfId="498" xr:uid="{00000000-0005-0000-0000-0000F2010000}"/>
    <cellStyle name="Normal 14 3" xfId="499" xr:uid="{00000000-0005-0000-0000-0000F3010000}"/>
    <cellStyle name="Normal 14 4" xfId="500" xr:uid="{00000000-0005-0000-0000-0000F4010000}"/>
    <cellStyle name="Normal 14 5" xfId="501" xr:uid="{00000000-0005-0000-0000-0000F5010000}"/>
    <cellStyle name="Normal 14 6" xfId="502" xr:uid="{00000000-0005-0000-0000-0000F6010000}"/>
    <cellStyle name="Normal 14 7" xfId="503" xr:uid="{00000000-0005-0000-0000-0000F7010000}"/>
    <cellStyle name="Normal 14 8" xfId="504" xr:uid="{00000000-0005-0000-0000-0000F8010000}"/>
    <cellStyle name="Normal 14 9" xfId="505" xr:uid="{00000000-0005-0000-0000-0000F9010000}"/>
    <cellStyle name="Normal 15" xfId="506" xr:uid="{00000000-0005-0000-0000-0000FA010000}"/>
    <cellStyle name="Normal 16" xfId="507" xr:uid="{00000000-0005-0000-0000-0000FB010000}"/>
    <cellStyle name="Normal 17" xfId="508" xr:uid="{00000000-0005-0000-0000-0000FC010000}"/>
    <cellStyle name="Normal 17 2" xfId="509" xr:uid="{00000000-0005-0000-0000-0000FD010000}"/>
    <cellStyle name="Normal 17 2 2" xfId="510" xr:uid="{00000000-0005-0000-0000-0000FE010000}"/>
    <cellStyle name="Normal 17 3" xfId="511" xr:uid="{00000000-0005-0000-0000-0000FF010000}"/>
    <cellStyle name="Normal 17 3 2" xfId="512" xr:uid="{00000000-0005-0000-0000-000000020000}"/>
    <cellStyle name="Normal 17 4" xfId="513" xr:uid="{00000000-0005-0000-0000-000001020000}"/>
    <cellStyle name="Normal 17 4 2" xfId="514" xr:uid="{00000000-0005-0000-0000-000002020000}"/>
    <cellStyle name="Normal 17 5" xfId="515" xr:uid="{00000000-0005-0000-0000-000003020000}"/>
    <cellStyle name="Normal 17 5 2" xfId="516" xr:uid="{00000000-0005-0000-0000-000004020000}"/>
    <cellStyle name="Normal 17 6" xfId="517" xr:uid="{00000000-0005-0000-0000-000005020000}"/>
    <cellStyle name="Normal 18" xfId="518" xr:uid="{00000000-0005-0000-0000-000006020000}"/>
    <cellStyle name="Normal 19" xfId="519" xr:uid="{00000000-0005-0000-0000-000007020000}"/>
    <cellStyle name="Normal 2" xfId="520" xr:uid="{00000000-0005-0000-0000-000008020000}"/>
    <cellStyle name="Normal 2 10" xfId="521" xr:uid="{00000000-0005-0000-0000-000009020000}"/>
    <cellStyle name="Normal 2 11" xfId="522" xr:uid="{00000000-0005-0000-0000-00000A020000}"/>
    <cellStyle name="Normal 2 12" xfId="523" xr:uid="{00000000-0005-0000-0000-00000B020000}"/>
    <cellStyle name="Normal 2 13" xfId="524" xr:uid="{00000000-0005-0000-0000-00000C020000}"/>
    <cellStyle name="Normal 2 14" xfId="525" xr:uid="{00000000-0005-0000-0000-00000D020000}"/>
    <cellStyle name="Normal 2 15" xfId="526" xr:uid="{00000000-0005-0000-0000-00000E020000}"/>
    <cellStyle name="Normal 2 16" xfId="527" xr:uid="{00000000-0005-0000-0000-00000F020000}"/>
    <cellStyle name="Normal 2 17" xfId="528" xr:uid="{00000000-0005-0000-0000-000010020000}"/>
    <cellStyle name="Normal 2 18" xfId="529" xr:uid="{00000000-0005-0000-0000-000011020000}"/>
    <cellStyle name="Normal 2 19" xfId="530" xr:uid="{00000000-0005-0000-0000-000012020000}"/>
    <cellStyle name="Normal 2 2" xfId="531" xr:uid="{00000000-0005-0000-0000-000013020000}"/>
    <cellStyle name="Normal 2 20" xfId="532" xr:uid="{00000000-0005-0000-0000-000014020000}"/>
    <cellStyle name="Normal 2 3" xfId="533" xr:uid="{00000000-0005-0000-0000-000015020000}"/>
    <cellStyle name="Normal 2 4" xfId="534" xr:uid="{00000000-0005-0000-0000-000016020000}"/>
    <cellStyle name="Normal 2 5" xfId="535" xr:uid="{00000000-0005-0000-0000-000017020000}"/>
    <cellStyle name="Normal 2 6" xfId="536" xr:uid="{00000000-0005-0000-0000-000018020000}"/>
    <cellStyle name="Normal 2 7" xfId="537" xr:uid="{00000000-0005-0000-0000-000019020000}"/>
    <cellStyle name="Normal 2 8" xfId="538" xr:uid="{00000000-0005-0000-0000-00001A020000}"/>
    <cellStyle name="Normal 2 9" xfId="539" xr:uid="{00000000-0005-0000-0000-00001B020000}"/>
    <cellStyle name="Normal 2_deposits mobilized" xfId="540" xr:uid="{00000000-0005-0000-0000-00001C020000}"/>
    <cellStyle name="Normal 21" xfId="541" xr:uid="{00000000-0005-0000-0000-00001D020000}"/>
    <cellStyle name="Normal 21 10" xfId="542" xr:uid="{00000000-0005-0000-0000-00001E020000}"/>
    <cellStyle name="Normal 21 11" xfId="543" xr:uid="{00000000-0005-0000-0000-00001F020000}"/>
    <cellStyle name="Normal 21 12" xfId="544" xr:uid="{00000000-0005-0000-0000-000020020000}"/>
    <cellStyle name="Normal 21 13" xfId="545" xr:uid="{00000000-0005-0000-0000-000021020000}"/>
    <cellStyle name="Normal 21 14" xfId="546" xr:uid="{00000000-0005-0000-0000-000022020000}"/>
    <cellStyle name="Normal 21 15" xfId="547" xr:uid="{00000000-0005-0000-0000-000023020000}"/>
    <cellStyle name="Normal 21 16" xfId="548" xr:uid="{00000000-0005-0000-0000-000024020000}"/>
    <cellStyle name="Normal 21 2" xfId="549" xr:uid="{00000000-0005-0000-0000-000025020000}"/>
    <cellStyle name="Normal 21 3" xfId="550" xr:uid="{00000000-0005-0000-0000-000026020000}"/>
    <cellStyle name="Normal 21 4" xfId="551" xr:uid="{00000000-0005-0000-0000-000027020000}"/>
    <cellStyle name="Normal 21 5" xfId="552" xr:uid="{00000000-0005-0000-0000-000028020000}"/>
    <cellStyle name="Normal 21 6" xfId="553" xr:uid="{00000000-0005-0000-0000-000029020000}"/>
    <cellStyle name="Normal 21 7" xfId="554" xr:uid="{00000000-0005-0000-0000-00002A020000}"/>
    <cellStyle name="Normal 21 8" xfId="555" xr:uid="{00000000-0005-0000-0000-00002B020000}"/>
    <cellStyle name="Normal 21 9" xfId="556" xr:uid="{00000000-0005-0000-0000-00002C020000}"/>
    <cellStyle name="Normal 22" xfId="557" xr:uid="{00000000-0005-0000-0000-00002D020000}"/>
    <cellStyle name="Normal 26" xfId="558" xr:uid="{00000000-0005-0000-0000-00002E020000}"/>
    <cellStyle name="Normal 27" xfId="559" xr:uid="{00000000-0005-0000-0000-00002F020000}"/>
    <cellStyle name="Normal 3" xfId="560" xr:uid="{00000000-0005-0000-0000-000030020000}"/>
    <cellStyle name="Normal 3 10" xfId="561" xr:uid="{00000000-0005-0000-0000-000031020000}"/>
    <cellStyle name="Normal 3 11" xfId="562" xr:uid="{00000000-0005-0000-0000-000032020000}"/>
    <cellStyle name="Normal 3 12" xfId="563" xr:uid="{00000000-0005-0000-0000-000033020000}"/>
    <cellStyle name="Normal 3 13" xfId="564" xr:uid="{00000000-0005-0000-0000-000034020000}"/>
    <cellStyle name="Normal 3 14" xfId="565" xr:uid="{00000000-0005-0000-0000-000035020000}"/>
    <cellStyle name="Normal 3 15" xfId="566" xr:uid="{00000000-0005-0000-0000-000036020000}"/>
    <cellStyle name="Normal 3 16" xfId="567" xr:uid="{00000000-0005-0000-0000-000037020000}"/>
    <cellStyle name="Normal 3 17" xfId="568" xr:uid="{00000000-0005-0000-0000-000038020000}"/>
    <cellStyle name="Normal 3 18" xfId="569" xr:uid="{00000000-0005-0000-0000-000039020000}"/>
    <cellStyle name="Normal 3 19" xfId="570" xr:uid="{00000000-0005-0000-0000-00003A020000}"/>
    <cellStyle name="Normal 3 2" xfId="571" xr:uid="{00000000-0005-0000-0000-00003B020000}"/>
    <cellStyle name="Normal 3 20" xfId="572" xr:uid="{00000000-0005-0000-0000-00003C020000}"/>
    <cellStyle name="Normal 3 21" xfId="573" xr:uid="{00000000-0005-0000-0000-00003D020000}"/>
    <cellStyle name="Normal 3 22" xfId="574" xr:uid="{00000000-0005-0000-0000-00003E020000}"/>
    <cellStyle name="Normal 3 23" xfId="575" xr:uid="{00000000-0005-0000-0000-00003F020000}"/>
    <cellStyle name="Normal 3 24" xfId="576" xr:uid="{00000000-0005-0000-0000-000040020000}"/>
    <cellStyle name="Normal 3 25" xfId="577" xr:uid="{00000000-0005-0000-0000-000041020000}"/>
    <cellStyle name="Normal 3 26" xfId="578" xr:uid="{00000000-0005-0000-0000-000042020000}"/>
    <cellStyle name="Normal 3 27" xfId="579" xr:uid="{00000000-0005-0000-0000-000043020000}"/>
    <cellStyle name="Normal 3 28" xfId="580" xr:uid="{00000000-0005-0000-0000-000044020000}"/>
    <cellStyle name="Normal 3 29" xfId="581" xr:uid="{00000000-0005-0000-0000-000045020000}"/>
    <cellStyle name="Normal 3 3" xfId="582" xr:uid="{00000000-0005-0000-0000-000046020000}"/>
    <cellStyle name="Normal 3 30" xfId="583" xr:uid="{00000000-0005-0000-0000-000047020000}"/>
    <cellStyle name="Normal 3 4" xfId="584" xr:uid="{00000000-0005-0000-0000-000048020000}"/>
    <cellStyle name="Normal 3 5" xfId="585" xr:uid="{00000000-0005-0000-0000-000049020000}"/>
    <cellStyle name="Normal 3 6" xfId="586" xr:uid="{00000000-0005-0000-0000-00004A020000}"/>
    <cellStyle name="Normal 3 7" xfId="587" xr:uid="{00000000-0005-0000-0000-00004B020000}"/>
    <cellStyle name="Normal 3 8" xfId="588" xr:uid="{00000000-0005-0000-0000-00004C020000}"/>
    <cellStyle name="Normal 3 9" xfId="589" xr:uid="{00000000-0005-0000-0000-00004D020000}"/>
    <cellStyle name="Normal 3_deposits mobilized" xfId="590" xr:uid="{00000000-0005-0000-0000-00004E020000}"/>
    <cellStyle name="Normal 4" xfId="591" xr:uid="{00000000-0005-0000-0000-00004F020000}"/>
    <cellStyle name="Normal 4 10" xfId="592" xr:uid="{00000000-0005-0000-0000-000050020000}"/>
    <cellStyle name="Normal 4 11" xfId="593" xr:uid="{00000000-0005-0000-0000-000051020000}"/>
    <cellStyle name="Normal 4 12" xfId="594" xr:uid="{00000000-0005-0000-0000-000052020000}"/>
    <cellStyle name="Normal 4 13" xfId="595" xr:uid="{00000000-0005-0000-0000-000053020000}"/>
    <cellStyle name="Normal 4 14" xfId="596" xr:uid="{00000000-0005-0000-0000-000054020000}"/>
    <cellStyle name="Normal 4 15" xfId="597" xr:uid="{00000000-0005-0000-0000-000055020000}"/>
    <cellStyle name="Normal 4 16" xfId="598" xr:uid="{00000000-0005-0000-0000-000056020000}"/>
    <cellStyle name="Normal 4 17" xfId="599" xr:uid="{00000000-0005-0000-0000-000057020000}"/>
    <cellStyle name="Normal 4 18" xfId="600" xr:uid="{00000000-0005-0000-0000-000058020000}"/>
    <cellStyle name="Normal 4 19" xfId="601" xr:uid="{00000000-0005-0000-0000-000059020000}"/>
    <cellStyle name="Normal 4 2" xfId="602" xr:uid="{00000000-0005-0000-0000-00005A020000}"/>
    <cellStyle name="Normal 4 20" xfId="603" xr:uid="{00000000-0005-0000-0000-00005B020000}"/>
    <cellStyle name="Normal 4 21" xfId="604" xr:uid="{00000000-0005-0000-0000-00005C020000}"/>
    <cellStyle name="Normal 4 22" xfId="605" xr:uid="{00000000-0005-0000-0000-00005D020000}"/>
    <cellStyle name="Normal 4 23" xfId="606" xr:uid="{00000000-0005-0000-0000-00005E020000}"/>
    <cellStyle name="Normal 4 24" xfId="607" xr:uid="{00000000-0005-0000-0000-00005F020000}"/>
    <cellStyle name="Normal 4 25" xfId="608" xr:uid="{00000000-0005-0000-0000-000060020000}"/>
    <cellStyle name="Normal 4 26" xfId="609" xr:uid="{00000000-0005-0000-0000-000061020000}"/>
    <cellStyle name="Normal 4 27" xfId="610" xr:uid="{00000000-0005-0000-0000-000062020000}"/>
    <cellStyle name="Normal 4 28" xfId="611" xr:uid="{00000000-0005-0000-0000-000063020000}"/>
    <cellStyle name="Normal 4 29" xfId="612" xr:uid="{00000000-0005-0000-0000-000064020000}"/>
    <cellStyle name="Normal 4 3" xfId="613" xr:uid="{00000000-0005-0000-0000-000065020000}"/>
    <cellStyle name="Normal 4 30" xfId="614" xr:uid="{00000000-0005-0000-0000-000066020000}"/>
    <cellStyle name="Normal 4 4" xfId="615" xr:uid="{00000000-0005-0000-0000-000067020000}"/>
    <cellStyle name="Normal 4 5" xfId="616" xr:uid="{00000000-0005-0000-0000-000068020000}"/>
    <cellStyle name="Normal 4 6" xfId="617" xr:uid="{00000000-0005-0000-0000-000069020000}"/>
    <cellStyle name="Normal 4 7" xfId="618" xr:uid="{00000000-0005-0000-0000-00006A020000}"/>
    <cellStyle name="Normal 4 8" xfId="619" xr:uid="{00000000-0005-0000-0000-00006B020000}"/>
    <cellStyle name="Normal 4 9" xfId="620" xr:uid="{00000000-0005-0000-0000-00006C020000}"/>
    <cellStyle name="Normal 5" xfId="621" xr:uid="{00000000-0005-0000-0000-00006D020000}"/>
    <cellStyle name="Normal 5 10" xfId="622" xr:uid="{00000000-0005-0000-0000-00006E020000}"/>
    <cellStyle name="Normal 5 11" xfId="623" xr:uid="{00000000-0005-0000-0000-00006F020000}"/>
    <cellStyle name="Normal 5 12" xfId="624" xr:uid="{00000000-0005-0000-0000-000070020000}"/>
    <cellStyle name="Normal 5 13" xfId="625" xr:uid="{00000000-0005-0000-0000-000071020000}"/>
    <cellStyle name="Normal 5 14" xfId="626" xr:uid="{00000000-0005-0000-0000-000072020000}"/>
    <cellStyle name="Normal 5 15" xfId="627" xr:uid="{00000000-0005-0000-0000-000073020000}"/>
    <cellStyle name="Normal 5 2" xfId="628" xr:uid="{00000000-0005-0000-0000-000074020000}"/>
    <cellStyle name="Normal 5 3" xfId="629" xr:uid="{00000000-0005-0000-0000-000075020000}"/>
    <cellStyle name="Normal 5 4" xfId="630" xr:uid="{00000000-0005-0000-0000-000076020000}"/>
    <cellStyle name="Normal 5 5" xfId="631" xr:uid="{00000000-0005-0000-0000-000077020000}"/>
    <cellStyle name="Normal 5 6" xfId="632" xr:uid="{00000000-0005-0000-0000-000078020000}"/>
    <cellStyle name="Normal 5 7" xfId="633" xr:uid="{00000000-0005-0000-0000-000079020000}"/>
    <cellStyle name="Normal 5 8" xfId="634" xr:uid="{00000000-0005-0000-0000-00007A020000}"/>
    <cellStyle name="Normal 5 9" xfId="635" xr:uid="{00000000-0005-0000-0000-00007B020000}"/>
    <cellStyle name="Normal 6" xfId="636" xr:uid="{00000000-0005-0000-0000-00007C020000}"/>
    <cellStyle name="Normal 6 2" xfId="637" xr:uid="{00000000-0005-0000-0000-00007D020000}"/>
    <cellStyle name="Normal 6 3" xfId="638" xr:uid="{00000000-0005-0000-0000-00007E020000}"/>
    <cellStyle name="Normal 6 4" xfId="639" xr:uid="{00000000-0005-0000-0000-00007F020000}"/>
    <cellStyle name="Normal 6 5" xfId="640" xr:uid="{00000000-0005-0000-0000-000080020000}"/>
    <cellStyle name="Normal 7" xfId="641" xr:uid="{00000000-0005-0000-0000-000081020000}"/>
    <cellStyle name="Normal 7 2" xfId="642" xr:uid="{00000000-0005-0000-0000-000082020000}"/>
    <cellStyle name="Normal 7 3" xfId="643" xr:uid="{00000000-0005-0000-0000-000083020000}"/>
    <cellStyle name="Normal 7 4" xfId="644" xr:uid="{00000000-0005-0000-0000-000084020000}"/>
    <cellStyle name="Normal 8" xfId="645" xr:uid="{00000000-0005-0000-0000-000085020000}"/>
    <cellStyle name="Normal 9" xfId="646" xr:uid="{00000000-0005-0000-0000-000086020000}"/>
    <cellStyle name="Normal 9 10" xfId="647" xr:uid="{00000000-0005-0000-0000-000087020000}"/>
    <cellStyle name="Normal 9 10 2" xfId="648" xr:uid="{00000000-0005-0000-0000-000088020000}"/>
    <cellStyle name="Normal 9 11" xfId="649" xr:uid="{00000000-0005-0000-0000-000089020000}"/>
    <cellStyle name="Normal 9 11 2" xfId="650" xr:uid="{00000000-0005-0000-0000-00008A020000}"/>
    <cellStyle name="Normal 9 12" xfId="651" xr:uid="{00000000-0005-0000-0000-00008B020000}"/>
    <cellStyle name="Normal 9 12 2" xfId="652" xr:uid="{00000000-0005-0000-0000-00008C020000}"/>
    <cellStyle name="Normal 9 13" xfId="653" xr:uid="{00000000-0005-0000-0000-00008D020000}"/>
    <cellStyle name="Normal 9 14" xfId="654" xr:uid="{00000000-0005-0000-0000-00008E020000}"/>
    <cellStyle name="Normal 9 15" xfId="655" xr:uid="{00000000-0005-0000-0000-00008F020000}"/>
    <cellStyle name="Normal 9 2" xfId="656" xr:uid="{00000000-0005-0000-0000-000090020000}"/>
    <cellStyle name="Normal 9 2 2" xfId="657" xr:uid="{00000000-0005-0000-0000-000091020000}"/>
    <cellStyle name="Normal 9 2 2 2" xfId="658" xr:uid="{00000000-0005-0000-0000-000092020000}"/>
    <cellStyle name="Normal 9 2 3" xfId="659" xr:uid="{00000000-0005-0000-0000-000093020000}"/>
    <cellStyle name="Normal 9 2 3 2" xfId="660" xr:uid="{00000000-0005-0000-0000-000094020000}"/>
    <cellStyle name="Normal 9 2 4" xfId="661" xr:uid="{00000000-0005-0000-0000-000095020000}"/>
    <cellStyle name="Normal 9 2 4 2" xfId="662" xr:uid="{00000000-0005-0000-0000-000096020000}"/>
    <cellStyle name="Normal 9 3" xfId="663" xr:uid="{00000000-0005-0000-0000-000097020000}"/>
    <cellStyle name="Normal 9 3 2" xfId="664" xr:uid="{00000000-0005-0000-0000-000098020000}"/>
    <cellStyle name="Normal 9 4" xfId="665" xr:uid="{00000000-0005-0000-0000-000099020000}"/>
    <cellStyle name="Normal 9 4 2" xfId="666" xr:uid="{00000000-0005-0000-0000-00009A020000}"/>
    <cellStyle name="Normal 9 5" xfId="667" xr:uid="{00000000-0005-0000-0000-00009B020000}"/>
    <cellStyle name="Normal 9 5 2" xfId="668" xr:uid="{00000000-0005-0000-0000-00009C020000}"/>
    <cellStyle name="Normal 9 6" xfId="669" xr:uid="{00000000-0005-0000-0000-00009D020000}"/>
    <cellStyle name="Normal 9 6 2" xfId="670" xr:uid="{00000000-0005-0000-0000-00009E020000}"/>
    <cellStyle name="Normal 9 7" xfId="671" xr:uid="{00000000-0005-0000-0000-00009F020000}"/>
    <cellStyle name="Normal 9 7 2" xfId="672" xr:uid="{00000000-0005-0000-0000-0000A0020000}"/>
    <cellStyle name="Normal 9 8" xfId="673" xr:uid="{00000000-0005-0000-0000-0000A1020000}"/>
    <cellStyle name="Normal 9 8 2" xfId="674" xr:uid="{00000000-0005-0000-0000-0000A2020000}"/>
    <cellStyle name="Normal 9 9" xfId="675" xr:uid="{00000000-0005-0000-0000-0000A3020000}"/>
    <cellStyle name="Normal 9 9 2" xfId="676" xr:uid="{00000000-0005-0000-0000-0000A4020000}"/>
    <cellStyle name="Note 2" xfId="677" xr:uid="{00000000-0005-0000-0000-0000A5020000}"/>
    <cellStyle name="Note 2 2" xfId="678" xr:uid="{00000000-0005-0000-0000-0000A6020000}"/>
    <cellStyle name="Per cent" xfId="679" builtinId="5"/>
    <cellStyle name="Percent 2" xfId="680" xr:uid="{00000000-0005-0000-0000-0000A8020000}"/>
    <cellStyle name="Percent 2 2" xfId="681" xr:uid="{00000000-0005-0000-0000-0000A9020000}"/>
    <cellStyle name="Percent 3" xfId="682" xr:uid="{00000000-0005-0000-0000-0000AA020000}"/>
    <cellStyle name="Percent 3 2" xfId="683" xr:uid="{00000000-0005-0000-0000-0000AB020000}"/>
    <cellStyle name="Percent 3 4" xfId="684" xr:uid="{00000000-0005-0000-0000-0000AC020000}"/>
    <cellStyle name="Percent 4" xfId="685" xr:uid="{00000000-0005-0000-0000-0000AD020000}"/>
    <cellStyle name="Percent 5" xfId="686" xr:uid="{00000000-0005-0000-0000-0000AE020000}"/>
    <cellStyle name="Total 2" xfId="687" xr:uid="{00000000-0005-0000-0000-0000AF020000}"/>
    <cellStyle name="Total 2 2" xfId="688" xr:uid="{00000000-0005-0000-0000-0000B0020000}"/>
    <cellStyle name="Total 2 2 2" xfId="689" xr:uid="{00000000-0005-0000-0000-0000B1020000}"/>
    <cellStyle name="Total 2 3" xfId="690" xr:uid="{00000000-0005-0000-0000-0000B2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\Documents%20and%20Settings\Francis\My%20Documents\Downloads\Wakenya%20Pamoja%20financial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4"/>
  <sheetViews>
    <sheetView workbookViewId="0">
      <selection activeCell="I3" sqref="I3"/>
    </sheetView>
  </sheetViews>
  <sheetFormatPr defaultRowHeight="15"/>
  <cols>
    <col min="1" max="1" width="16.85546875" bestFit="1" customWidth="1"/>
    <col min="2" max="2" width="14.85546875" bestFit="1" customWidth="1"/>
    <col min="3" max="12" width="13.42578125" bestFit="1" customWidth="1"/>
    <col min="14" max="14" width="13" customWidth="1"/>
  </cols>
  <sheetData>
    <row r="2" spans="1:14" ht="15.75">
      <c r="B2" s="141" t="s">
        <v>0</v>
      </c>
      <c r="C2" s="171">
        <v>43101</v>
      </c>
      <c r="D2" s="171">
        <v>43133</v>
      </c>
      <c r="E2" s="171">
        <v>43165</v>
      </c>
      <c r="F2" s="171">
        <v>43197</v>
      </c>
      <c r="G2" s="171">
        <v>43229</v>
      </c>
      <c r="H2" s="171">
        <v>43261</v>
      </c>
      <c r="I2" s="171">
        <v>43293</v>
      </c>
      <c r="J2" s="171">
        <v>43325</v>
      </c>
      <c r="K2" s="171">
        <v>43357</v>
      </c>
      <c r="L2" s="171">
        <v>43389</v>
      </c>
      <c r="M2" s="171">
        <v>43421</v>
      </c>
      <c r="N2" s="171">
        <v>43453</v>
      </c>
    </row>
    <row r="3" spans="1:14">
      <c r="A3" s="87" t="s">
        <v>1</v>
      </c>
      <c r="B3" s="140" t="e">
        <f>IF('Prudential Ratios'!#REF!&gt;10,"compliant","not compliant")</f>
        <v>#REF!</v>
      </c>
      <c r="C3" s="140" t="e">
        <f>IF('Prudential Ratios'!#REF!&gt;10,"compliant","not compliant")</f>
        <v>#REF!</v>
      </c>
      <c r="D3" s="140" t="e">
        <f>IF('Prudential Ratios'!#REF!&gt;10,"compliant","not compliant")</f>
        <v>#REF!</v>
      </c>
      <c r="E3" s="88" t="e">
        <f>IF('Prudential Ratios'!#REF!&gt;10,"compliant","not compliant")</f>
        <v>#REF!</v>
      </c>
      <c r="F3" s="140" t="e">
        <f>IF('Prudential Ratios'!#REF!&gt;10,"compliant","not compliant")</f>
        <v>#REF!</v>
      </c>
      <c r="G3" s="88" t="e">
        <f>IF('Prudential Ratios'!#REF!&gt;10,"compliant","not compliant")</f>
        <v>#REF!</v>
      </c>
      <c r="H3" s="88" t="e">
        <f>IF('Prudential Ratios'!#REF!&gt;10,"compliant","not compliant")</f>
        <v>#REF!</v>
      </c>
      <c r="I3" s="140" t="e">
        <f>IF('Prudential Ratios'!#REF!&gt;10,"compliant","not compliant")</f>
        <v>#REF!</v>
      </c>
      <c r="J3" s="140" t="e">
        <f>IF('Prudential Ratios'!#REF!&gt;10,"compliant","not compliant")</f>
        <v>#REF!</v>
      </c>
      <c r="K3" s="140" t="e">
        <f>IF('Prudential Ratios'!#REF!&gt;10,"compliant","not compliant")</f>
        <v>#REF!</v>
      </c>
      <c r="L3" s="88" t="e">
        <f>IF('Prudential Ratios'!#REF!&gt;10,"compliant","not compliant")</f>
        <v>#REF!</v>
      </c>
      <c r="M3" s="140" t="e">
        <f>IF('Prudential Ratios'!#REF!&gt;10,"compliant","not compliant")</f>
        <v>#REF!</v>
      </c>
      <c r="N3" s="88" t="e">
        <f>IF('Prudential Ratios'!#REF!&gt;10,"compliant","not compliant")</f>
        <v>#REF!</v>
      </c>
    </row>
    <row r="4" spans="1:14">
      <c r="A4" s="89" t="s">
        <v>2</v>
      </c>
      <c r="B4" s="88" t="e">
        <f>IF('Prudential Ratios'!#REF!&gt;10%,"compliant","not compliant")</f>
        <v>#REF!</v>
      </c>
      <c r="C4" s="88" t="e">
        <f>IF('Prudential Ratios'!#REF!&gt;10%,"compliant","not compliant")</f>
        <v>#REF!</v>
      </c>
      <c r="D4" s="88" t="e">
        <f>IF('Prudential Ratios'!#REF!&gt;10%,"compliant","not compliant")</f>
        <v>#REF!</v>
      </c>
      <c r="E4" s="88" t="e">
        <f>IF('Prudential Ratios'!#REF!&gt;10%,"compliant","not compliant")</f>
        <v>#REF!</v>
      </c>
      <c r="F4" s="88" t="e">
        <f>IF('Prudential Ratios'!#REF!&gt;10%,"compliant","not compliant")</f>
        <v>#REF!</v>
      </c>
      <c r="G4" s="88" t="e">
        <f>IF('Prudential Ratios'!#REF!&gt;10%,"compliant","not compliant")</f>
        <v>#REF!</v>
      </c>
      <c r="H4" s="88" t="e">
        <f>IF('Prudential Ratios'!#REF!&gt;10%,"compliant","not compliant")</f>
        <v>#REF!</v>
      </c>
      <c r="I4" s="88" t="e">
        <f>IF('Prudential Ratios'!#REF!&gt;10%,"compliant","not compliant")</f>
        <v>#REF!</v>
      </c>
      <c r="J4" s="88" t="e">
        <f>IF('Prudential Ratios'!#REF!&gt;10%,"compliant","not compliant")</f>
        <v>#REF!</v>
      </c>
      <c r="K4" s="88" t="e">
        <f>IF('Prudential Ratios'!#REF!&gt;10%,"compliant","not compliant")</f>
        <v>#REF!</v>
      </c>
      <c r="L4" s="88" t="e">
        <f>IF('Prudential Ratios'!#REF!&gt;10%,"compliant","not compliant")</f>
        <v>#REF!</v>
      </c>
      <c r="M4" s="88" t="e">
        <f>IF('Prudential Ratios'!#REF!&gt;10%,"compliant","not compliant")</f>
        <v>#REF!</v>
      </c>
      <c r="N4" s="88" t="e">
        <f>IF('Prudential Ratios'!#REF!&gt;10%,"compliant","not compliant")</f>
        <v>#REF!</v>
      </c>
    </row>
    <row r="5" spans="1:14">
      <c r="A5" s="89" t="s">
        <v>3</v>
      </c>
      <c r="B5" s="88" t="e">
        <f>IF('Prudential Ratios'!#REF!&gt;8%,"compliant","not compliant")</f>
        <v>#REF!</v>
      </c>
      <c r="C5" s="88" t="e">
        <f>IF('Prudential Ratios'!#REF!&gt;8%,"compliant","not compliant")</f>
        <v>#REF!</v>
      </c>
      <c r="D5" s="88" t="e">
        <f>IF('Prudential Ratios'!#REF!&gt;8%,"compliant","not compliant")</f>
        <v>#REF!</v>
      </c>
      <c r="E5" s="88" t="e">
        <f>IF('Prudential Ratios'!#REF!&gt;8%,"compliant","not compliant")</f>
        <v>#REF!</v>
      </c>
      <c r="F5" s="88" t="e">
        <f>IF('Prudential Ratios'!#REF!&gt;8%,"compliant","not compliant")</f>
        <v>#REF!</v>
      </c>
      <c r="G5" s="88" t="e">
        <f>IF('Prudential Ratios'!#REF!&gt;8%,"compliant","not compliant")</f>
        <v>#REF!</v>
      </c>
      <c r="H5" s="88" t="e">
        <f>IF('Prudential Ratios'!#REF!&gt;8%,"compliant","not compliant")</f>
        <v>#REF!</v>
      </c>
      <c r="I5" s="88" t="e">
        <f>IF('Prudential Ratios'!#REF!&gt;8%,"compliant","not compliant")</f>
        <v>#REF!</v>
      </c>
      <c r="J5" s="88" t="e">
        <f>IF('Prudential Ratios'!#REF!&gt;8%,"compliant","not compliant")</f>
        <v>#REF!</v>
      </c>
      <c r="K5" s="88" t="e">
        <f>IF('Prudential Ratios'!#REF!&gt;8%,"compliant","not compliant")</f>
        <v>#REF!</v>
      </c>
      <c r="L5" s="88" t="e">
        <f>IF('Prudential Ratios'!#REF!&gt;8%,"compliant","not compliant")</f>
        <v>#REF!</v>
      </c>
      <c r="M5" s="88" t="e">
        <f>IF('Prudential Ratios'!#REF!&gt;8%,"compliant","not compliant")</f>
        <v>#REF!</v>
      </c>
      <c r="N5" s="88" t="e">
        <f>IF('Prudential Ratios'!#REF!&gt;8%,"compliant","not compliant")</f>
        <v>#REF!</v>
      </c>
    </row>
    <row r="6" spans="1:14">
      <c r="A6" s="89" t="s">
        <v>4</v>
      </c>
      <c r="B6" s="88" t="e">
        <f>IF('Prudential Ratios'!#REF!&gt;8%,"compliant","not compliant")</f>
        <v>#REF!</v>
      </c>
      <c r="C6" s="88" t="e">
        <f>IF('Prudential Ratios'!#REF!&gt;8%,"compliant","not compliant")</f>
        <v>#REF!</v>
      </c>
      <c r="D6" s="88" t="e">
        <f>IF('Prudential Ratios'!#REF!&gt;8%,"compliant","not compliant")</f>
        <v>#REF!</v>
      </c>
      <c r="E6" s="88" t="e">
        <f>IF('Prudential Ratios'!#REF!&gt;8%,"compliant","not compliant")</f>
        <v>#REF!</v>
      </c>
      <c r="F6" s="88" t="e">
        <f>IF('Prudential Ratios'!#REF!&gt;8%,"compliant","not compliant")</f>
        <v>#REF!</v>
      </c>
      <c r="G6" s="88" t="e">
        <f>IF('Prudential Ratios'!#REF!&gt;8%,"compliant","not compliant")</f>
        <v>#REF!</v>
      </c>
      <c r="H6" s="88" t="e">
        <f>IF('Prudential Ratios'!#REF!&gt;8%,"compliant","not compliant")</f>
        <v>#REF!</v>
      </c>
      <c r="I6" s="88" t="e">
        <f>IF('Prudential Ratios'!#REF!&gt;8%,"compliant","not compliant")</f>
        <v>#REF!</v>
      </c>
      <c r="J6" s="88" t="e">
        <f>IF('Prudential Ratios'!#REF!&gt;8%,"compliant","not compliant")</f>
        <v>#REF!</v>
      </c>
      <c r="K6" s="88" t="e">
        <f>IF('Prudential Ratios'!#REF!&gt;8%,"compliant","not compliant")</f>
        <v>#REF!</v>
      </c>
      <c r="L6" s="88" t="e">
        <f>IF('Prudential Ratios'!#REF!&gt;8%,"compliant","not compliant")</f>
        <v>#REF!</v>
      </c>
      <c r="M6" s="88" t="e">
        <f>IF('Prudential Ratios'!#REF!&gt;8%,"compliant","not compliant")</f>
        <v>#REF!</v>
      </c>
      <c r="N6" s="88" t="e">
        <f>IF('Prudential Ratios'!#REF!&gt;8%,"compliant","not compliant")</f>
        <v>#REF!</v>
      </c>
    </row>
    <row r="7" spans="1:14">
      <c r="A7" s="89" t="s">
        <v>5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</row>
    <row r="8" spans="1:14">
      <c r="A8" s="89" t="s">
        <v>6</v>
      </c>
      <c r="B8" s="88" t="e">
        <f>IF('Prudential Ratios'!#REF!&gt;15%,"compliant","not compliant")</f>
        <v>#REF!</v>
      </c>
      <c r="C8" s="88" t="e">
        <f>IF('Prudential Ratios'!#REF!&gt;15%,"compliant","not compliant")</f>
        <v>#REF!</v>
      </c>
      <c r="D8" s="88" t="e">
        <f>IF('Prudential Ratios'!#REF!&gt;15%,"compliant","not compliant")</f>
        <v>#REF!</v>
      </c>
      <c r="E8" s="88" t="e">
        <f>IF('Prudential Ratios'!#REF!&gt;15%,"compliant","not compliant")</f>
        <v>#REF!</v>
      </c>
      <c r="F8" s="88" t="e">
        <f>IF('Prudential Ratios'!#REF!&gt;15%,"compliant","not compliant")</f>
        <v>#REF!</v>
      </c>
      <c r="G8" s="88" t="e">
        <f>IF('Prudential Ratios'!#REF!&gt;15%,"compliant","not compliant")</f>
        <v>#REF!</v>
      </c>
      <c r="H8" s="88" t="e">
        <f>IF('Prudential Ratios'!#REF!&gt;15%,"compliant","not compliant")</f>
        <v>#REF!</v>
      </c>
      <c r="I8" s="88" t="e">
        <f>IF('Prudential Ratios'!#REF!&gt;15%,"compliant","not compliant")</f>
        <v>#REF!</v>
      </c>
      <c r="J8" s="88" t="e">
        <f>IF('Prudential Ratios'!#REF!&gt;15%,"compliant","not compliant")</f>
        <v>#REF!</v>
      </c>
      <c r="K8" s="88" t="e">
        <f>IF('Prudential Ratios'!#REF!&gt;15%,"compliant","not compliant")</f>
        <v>#REF!</v>
      </c>
      <c r="L8" s="88" t="e">
        <f>IF('Prudential Ratios'!#REF!&gt;15%,"compliant","not compliant")</f>
        <v>#REF!</v>
      </c>
      <c r="M8" s="88" t="e">
        <f>IF('Prudential Ratios'!#REF!&gt;15%,"compliant","not compliant")</f>
        <v>#REF!</v>
      </c>
      <c r="N8" s="88" t="e">
        <f>IF('Prudential Ratios'!#REF!&gt;15%,"compliant","not compliant")</f>
        <v>#REF!</v>
      </c>
    </row>
    <row r="9" spans="1:14">
      <c r="A9" s="89" t="s">
        <v>7</v>
      </c>
      <c r="B9" s="88" t="e">
        <f>IF('Prudential Ratios'!#REF!&lt;10%,"compliant","not compliant")</f>
        <v>#REF!</v>
      </c>
      <c r="C9" s="88" t="e">
        <f>IF('Prudential Ratios'!#REF!&lt;10%,"compliant","not compliant")</f>
        <v>#REF!</v>
      </c>
      <c r="D9" s="88" t="e">
        <f>IF('Prudential Ratios'!#REF!&lt;10%,"compliant","not compliant")</f>
        <v>#REF!</v>
      </c>
      <c r="E9" s="88" t="e">
        <f>IF('Prudential Ratios'!#REF!&lt;10%,"compliant","not compliant")</f>
        <v>#REF!</v>
      </c>
      <c r="F9" s="88" t="e">
        <f>IF('Prudential Ratios'!#REF!&lt;10%,"compliant","not compliant")</f>
        <v>#REF!</v>
      </c>
      <c r="G9" s="88" t="e">
        <f>IF('Prudential Ratios'!#REF!&lt;10%,"compliant","not compliant")</f>
        <v>#REF!</v>
      </c>
      <c r="H9" s="88" t="e">
        <f>IF('Prudential Ratios'!#REF!&lt;10%,"compliant","not compliant")</f>
        <v>#REF!</v>
      </c>
      <c r="I9" s="88" t="e">
        <f>IF('Prudential Ratios'!#REF!&lt;10%,"compliant","not compliant")</f>
        <v>#REF!</v>
      </c>
      <c r="J9" s="88" t="e">
        <f>IF('Prudential Ratios'!#REF!&lt;10%,"compliant","not compliant")</f>
        <v>#REF!</v>
      </c>
      <c r="K9" s="88" t="e">
        <f>IF('Prudential Ratios'!#REF!&lt;10%,"compliant","not compliant")</f>
        <v>#REF!</v>
      </c>
      <c r="L9" s="88" t="e">
        <f>IF('Prudential Ratios'!#REF!&lt;10%,"compliant","not compliant")</f>
        <v>#REF!</v>
      </c>
      <c r="M9" s="88" t="e">
        <f>IF('Prudential Ratios'!#REF!&lt;10%,"compliant","not compliant")</f>
        <v>#REF!</v>
      </c>
      <c r="N9" s="88" t="e">
        <f>IF('Prudential Ratios'!#REF!&lt;10%,"compliant","not compliant")</f>
        <v>#REF!</v>
      </c>
    </row>
    <row r="10" spans="1:14">
      <c r="A10" s="89" t="s">
        <v>8</v>
      </c>
      <c r="B10" s="88" t="e">
        <f>IF('Prudential Ratios'!#REF!&lt;5%,"compliant","not compliant")</f>
        <v>#REF!</v>
      </c>
      <c r="C10" s="88" t="e">
        <f>IF('Prudential Ratios'!#REF!&lt;5%,"compliant","not compliant")</f>
        <v>#REF!</v>
      </c>
      <c r="D10" s="88" t="e">
        <f>IF('Prudential Ratios'!#REF!&lt;5%,"compliant","not compliant")</f>
        <v>#REF!</v>
      </c>
      <c r="E10" s="88" t="e">
        <f>IF('Prudential Ratios'!#REF!&lt;5%,"compliant","not compliant")</f>
        <v>#REF!</v>
      </c>
      <c r="F10" s="88" t="e">
        <f>IF('Prudential Ratios'!#REF!&lt;5%,"compliant","not compliant")</f>
        <v>#REF!</v>
      </c>
      <c r="G10" s="88" t="e">
        <f>IF('Prudential Ratios'!#REF!&lt;5%,"compliant","not compliant")</f>
        <v>#REF!</v>
      </c>
      <c r="H10" s="88" t="e">
        <f>IF('Prudential Ratios'!#REF!&lt;5%,"compliant","not compliant")</f>
        <v>#REF!</v>
      </c>
      <c r="I10" s="88" t="e">
        <f>IF('Prudential Ratios'!#REF!&lt;5%,"compliant","not compliant")</f>
        <v>#REF!</v>
      </c>
      <c r="J10" s="88" t="e">
        <f>IF('Prudential Ratios'!#REF!&lt;5%,"compliant","not compliant")</f>
        <v>#REF!</v>
      </c>
      <c r="K10" s="88" t="e">
        <f>IF('Prudential Ratios'!#REF!&lt;5%,"compliant","not compliant")</f>
        <v>#REF!</v>
      </c>
      <c r="L10" s="88" t="e">
        <f>IF('Prudential Ratios'!#REF!&lt;5%,"compliant","not compliant")</f>
        <v>#REF!</v>
      </c>
      <c r="M10" s="88" t="e">
        <f>IF('Prudential Ratios'!#REF!&lt;5%,"compliant","not compliant")</f>
        <v>#REF!</v>
      </c>
      <c r="N10" s="88" t="e">
        <f>IF('Prudential Ratios'!#REF!&lt;5%,"compliant","not compliant")</f>
        <v>#REF!</v>
      </c>
    </row>
    <row r="11" spans="1:14">
      <c r="A11" s="89" t="s">
        <v>9</v>
      </c>
      <c r="B11" s="88" t="e">
        <f>IF('Prudential Ratios'!#REF!&lt;5%,"compliant","not compliant")</f>
        <v>#REF!</v>
      </c>
      <c r="C11" s="88" t="e">
        <f>IF('Prudential Ratios'!#REF!&lt;5%,"compliant","not compliant")</f>
        <v>#REF!</v>
      </c>
      <c r="D11" s="88" t="e">
        <f>IF('Prudential Ratios'!#REF!&lt;5%,"compliant","not compliant")</f>
        <v>#REF!</v>
      </c>
      <c r="E11" s="88" t="e">
        <f>IF('Prudential Ratios'!#REF!&lt;5%,"compliant","not compliant")</f>
        <v>#REF!</v>
      </c>
      <c r="F11" s="88" t="e">
        <f>IF('Prudential Ratios'!#REF!&lt;5%,"compliant","not compliant")</f>
        <v>#REF!</v>
      </c>
      <c r="G11" s="88" t="e">
        <f>IF('Prudential Ratios'!#REF!&lt;5%,"compliant","not compliant")</f>
        <v>#REF!</v>
      </c>
      <c r="H11" s="88" t="e">
        <f>IF('Prudential Ratios'!#REF!&lt;5%,"compliant","not compliant")</f>
        <v>#REF!</v>
      </c>
      <c r="I11" s="88" t="e">
        <f>IF('Prudential Ratios'!#REF!&lt;5%,"compliant","not compliant")</f>
        <v>#REF!</v>
      </c>
      <c r="J11" s="88" t="e">
        <f>IF('Prudential Ratios'!#REF!&lt;5%,"compliant","not compliant")</f>
        <v>#REF!</v>
      </c>
      <c r="K11" s="88" t="e">
        <f>IF('Prudential Ratios'!#REF!&lt;5%,"compliant","not compliant")</f>
        <v>#REF!</v>
      </c>
      <c r="L11" s="88" t="e">
        <f>IF('Prudential Ratios'!#REF!&lt;5%,"compliant","not compliant")</f>
        <v>#REF!</v>
      </c>
      <c r="M11" s="88" t="e">
        <f>IF('Prudential Ratios'!#REF!&lt;5%,"compliant","not compliant")</f>
        <v>#REF!</v>
      </c>
      <c r="N11" s="88" t="e">
        <f>IF('Prudential Ratios'!#REF!&lt;5%,"compliant","not compliant")</f>
        <v>#REF!</v>
      </c>
    </row>
    <row r="12" spans="1:14">
      <c r="A12" s="89" t="s">
        <v>10</v>
      </c>
      <c r="B12" s="88" t="e">
        <f>IF('Prudential Ratios'!#REF!&lt;40%,"compliant","not compliant")</f>
        <v>#REF!</v>
      </c>
      <c r="C12" s="88" t="e">
        <f>IF('Prudential Ratios'!#REF!&lt;40%,"compliant","not compliant")</f>
        <v>#REF!</v>
      </c>
      <c r="D12" s="88" t="e">
        <f>IF('Prudential Ratios'!#REF!&lt;40%,"compliant","not compliant")</f>
        <v>#REF!</v>
      </c>
      <c r="E12" s="88" t="e">
        <f>IF('Prudential Ratios'!#REF!&lt;40%,"compliant","not compliant")</f>
        <v>#REF!</v>
      </c>
      <c r="F12" s="88" t="e">
        <f>IF('Prudential Ratios'!#REF!&lt;40%,"compliant","not compliant")</f>
        <v>#REF!</v>
      </c>
      <c r="G12" s="88" t="e">
        <f>IF('Prudential Ratios'!#REF!&lt;40%,"compliant","not compliant")</f>
        <v>#REF!</v>
      </c>
      <c r="H12" s="88" t="e">
        <f>IF('Prudential Ratios'!#REF!&lt;40%,"compliant","not compliant")</f>
        <v>#REF!</v>
      </c>
      <c r="I12" s="88" t="e">
        <f>IF('Prudential Ratios'!#REF!&lt;40%,"compliant","not compliant")</f>
        <v>#REF!</v>
      </c>
      <c r="J12" s="88" t="e">
        <f>IF('Prudential Ratios'!#REF!&lt;40%,"compliant","not compliant")</f>
        <v>#REF!</v>
      </c>
      <c r="K12" s="88" t="e">
        <f>IF('Prudential Ratios'!#REF!&lt;40%,"compliant","not compliant")</f>
        <v>#REF!</v>
      </c>
      <c r="L12" s="88" t="e">
        <f>IF('Prudential Ratios'!#REF!&lt;40%,"compliant","not compliant")</f>
        <v>#REF!</v>
      </c>
      <c r="M12" s="88" t="e">
        <f>IF('Prudential Ratios'!#REF!&lt;40%,"compliant","not compliant")</f>
        <v>#REF!</v>
      </c>
      <c r="N12" s="88" t="e">
        <f>IF('Prudential Ratios'!#REF!&lt;40%,"compliant","not compliant")</f>
        <v>#REF!</v>
      </c>
    </row>
    <row r="13" spans="1:14">
      <c r="A13" s="89" t="s">
        <v>11</v>
      </c>
      <c r="B13" s="88" t="e">
        <f>IF('Prudential Ratios'!#REF!&lt;25%,"compliant","not compliant")</f>
        <v>#REF!</v>
      </c>
      <c r="C13" s="88" t="e">
        <f>IF('Prudential Ratios'!#REF!&lt;25%,"compliant","not compliant")</f>
        <v>#REF!</v>
      </c>
      <c r="D13" s="88" t="e">
        <f>IF('Prudential Ratios'!#REF!&lt;25%,"compliant","not compliant")</f>
        <v>#REF!</v>
      </c>
      <c r="E13" s="88" t="e">
        <f>IF('Prudential Ratios'!#REF!&lt;25%,"compliant","not compliant")</f>
        <v>#REF!</v>
      </c>
      <c r="F13" s="88" t="e">
        <f>IF('Prudential Ratios'!#REF!&lt;25%,"compliant","not compliant")</f>
        <v>#REF!</v>
      </c>
      <c r="G13" s="88" t="e">
        <f>IF('Prudential Ratios'!#REF!&lt;25%,"compliant","not compliant")</f>
        <v>#REF!</v>
      </c>
      <c r="H13" s="88" t="e">
        <f>IF('Prudential Ratios'!#REF!&lt;25%,"compliant","not compliant")</f>
        <v>#REF!</v>
      </c>
      <c r="I13" s="88" t="e">
        <f>IF('Prudential Ratios'!#REF!&lt;25%,"compliant","not compliant")</f>
        <v>#REF!</v>
      </c>
      <c r="J13" s="88" t="e">
        <f>IF('Prudential Ratios'!#REF!&lt;25%,"compliant","not compliant")</f>
        <v>#REF!</v>
      </c>
      <c r="K13" s="88" t="e">
        <f>IF('Prudential Ratios'!#REF!&lt;25%,"compliant","not compliant")</f>
        <v>#REF!</v>
      </c>
      <c r="L13" s="88" t="e">
        <f>IF('Prudential Ratios'!#REF!&lt;25%,"compliant","not compliant")</f>
        <v>#REF!</v>
      </c>
      <c r="M13" s="88" t="e">
        <f>IF('Prudential Ratios'!#REF!&lt;25%,"compliant","not compliant")</f>
        <v>#REF!</v>
      </c>
      <c r="N13" s="88" t="e">
        <f>IF('Prudential Ratios'!#REF!&lt;25%,"compliant","not compliant")</f>
        <v>#REF!</v>
      </c>
    </row>
    <row r="14" spans="1:14">
      <c r="A14" s="89" t="s">
        <v>12</v>
      </c>
      <c r="B14" s="88" t="e">
        <f>IF(SFP!#REF!=SFP!#REF!,"balancing","notbalancing")</f>
        <v>#REF!</v>
      </c>
      <c r="C14" s="88" t="e">
        <f>IF(SFP!#REF!=SFP!#REF!,"balancing","notbalancing")</f>
        <v>#REF!</v>
      </c>
      <c r="D14" s="88" t="e">
        <f>IF(SFP!#REF!=SFP!#REF!,"balancing","notbalancing")</f>
        <v>#REF!</v>
      </c>
      <c r="E14" s="88" t="e">
        <f>IF(SFP!#REF!=SFP!#REF!,"balancing","notbalancing")</f>
        <v>#REF!</v>
      </c>
      <c r="F14" s="88" t="e">
        <f>IF(SFP!#REF!=SFP!#REF!,"balancing","notbalancing")</f>
        <v>#REF!</v>
      </c>
      <c r="G14" s="88" t="e">
        <f>IF(SFP!#REF!=SFP!#REF!,"balancing","notbalancing")</f>
        <v>#REF!</v>
      </c>
      <c r="H14" s="88" t="e">
        <f>IF(SFP!#REF!=SFP!#REF!,"balancing","notbalancing")</f>
        <v>#REF!</v>
      </c>
      <c r="I14" s="88" t="e">
        <f>IF(SFP!#REF!=SFP!#REF!,"balancing","notbalancing")</f>
        <v>#REF!</v>
      </c>
      <c r="J14" s="88" t="e">
        <f>IF(SFP!#REF!=SFP!#REF!,"balancing","notbalancing")</f>
        <v>#REF!</v>
      </c>
      <c r="K14" s="88" t="e">
        <f>IF(SFP!#REF!=SFP!#REF!,"balancing","notbalancing")</f>
        <v>#REF!</v>
      </c>
      <c r="L14" s="88" t="e">
        <f>IF(SFP!#REF!=SFP!#REF!,"balancing","notbalancing")</f>
        <v>#REF!</v>
      </c>
      <c r="M14" s="88" t="e">
        <f>IF(SFP!#REF!=SFP!#REF!,"balancing","notbalancing")</f>
        <v>#REF!</v>
      </c>
      <c r="N14" s="88" t="e">
        <f>IF(SFP!#REF!=SFP!#REF!,"balancing","notbalancing")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Y76"/>
  <sheetViews>
    <sheetView topLeftCell="A22" workbookViewId="0">
      <pane xSplit="4" topLeftCell="S43" activePane="topRight" state="frozen"/>
      <selection pane="topRight" activeCell="V55" sqref="V55:X58"/>
    </sheetView>
  </sheetViews>
  <sheetFormatPr defaultRowHeight="12.75"/>
  <cols>
    <col min="1" max="1" width="9.140625" style="1"/>
    <col min="2" max="2" width="4.85546875" style="1" bestFit="1" customWidth="1"/>
    <col min="3" max="3" width="34" style="1" customWidth="1"/>
    <col min="4" max="4" width="10.42578125" style="3" bestFit="1" customWidth="1"/>
    <col min="5" max="5" width="14" style="1" customWidth="1"/>
    <col min="6" max="7" width="9.140625" style="1" customWidth="1"/>
    <col min="8" max="8" width="9.140625" style="1"/>
    <col min="9" max="10" width="9.140625" style="1" customWidth="1"/>
    <col min="11" max="11" width="9.140625" style="1"/>
    <col min="12" max="13" width="9.140625" style="1" customWidth="1"/>
    <col min="14" max="14" width="9.140625" style="1"/>
    <col min="15" max="16" width="9.140625" style="1" customWidth="1"/>
    <col min="17" max="17" width="9.140625" style="1"/>
    <col min="18" max="18" width="12.7109375" style="1" bestFit="1" customWidth="1"/>
    <col min="19" max="16384" width="9.140625" style="1"/>
  </cols>
  <sheetData>
    <row r="1" spans="2:25">
      <c r="C1" s="2" t="s">
        <v>13</v>
      </c>
    </row>
    <row r="2" spans="2:25" ht="13.5" thickBot="1">
      <c r="C2" s="4" t="s">
        <v>14</v>
      </c>
    </row>
    <row r="3" spans="2:25" s="4" customFormat="1" ht="15" customHeight="1">
      <c r="B3" s="5"/>
      <c r="C3" s="5"/>
      <c r="D3" s="57"/>
    </row>
    <row r="4" spans="2:25" s="4" customFormat="1">
      <c r="B4" s="6"/>
      <c r="C4" s="7" t="s">
        <v>15</v>
      </c>
      <c r="D4" s="58" t="s">
        <v>16</v>
      </c>
      <c r="E4" s="307" t="s">
        <v>17</v>
      </c>
      <c r="F4" s="307">
        <v>44562</v>
      </c>
      <c r="G4" s="307">
        <v>44593</v>
      </c>
      <c r="H4" s="307">
        <v>44621</v>
      </c>
      <c r="I4" s="307">
        <v>44652</v>
      </c>
      <c r="J4" s="307">
        <v>44682</v>
      </c>
      <c r="K4" s="307">
        <v>44713</v>
      </c>
      <c r="L4" s="307">
        <v>44743</v>
      </c>
      <c r="M4" s="307">
        <v>44774</v>
      </c>
      <c r="N4" s="307">
        <v>44805</v>
      </c>
      <c r="O4" s="307">
        <v>44835</v>
      </c>
      <c r="P4" s="307">
        <v>44866</v>
      </c>
      <c r="Q4" s="307">
        <v>44896</v>
      </c>
      <c r="R4" s="307" t="s">
        <v>18</v>
      </c>
      <c r="S4" s="307">
        <v>44949</v>
      </c>
      <c r="T4" s="307">
        <v>44980</v>
      </c>
      <c r="U4" s="307">
        <v>45008</v>
      </c>
      <c r="V4" s="307">
        <v>45039</v>
      </c>
      <c r="W4" s="307">
        <v>45069</v>
      </c>
      <c r="X4" s="307">
        <v>45100</v>
      </c>
      <c r="Y4" s="307">
        <v>45130</v>
      </c>
    </row>
    <row r="5" spans="2:25" s="4" customFormat="1">
      <c r="B5" s="9">
        <v>1</v>
      </c>
      <c r="C5" s="10" t="s">
        <v>19</v>
      </c>
      <c r="D5" s="152"/>
    </row>
    <row r="6" spans="2:25" s="4" customFormat="1">
      <c r="B6" s="11">
        <v>1.1000000000000001</v>
      </c>
      <c r="C6" s="151" t="s">
        <v>20</v>
      </c>
      <c r="D6" s="92" t="s">
        <v>21</v>
      </c>
      <c r="E6" s="76">
        <f>Financials!C14/1000000</f>
        <v>46.626055999999998</v>
      </c>
      <c r="F6" s="76">
        <f>Financials!D14/1000000</f>
        <v>63.929101320000001</v>
      </c>
      <c r="G6" s="76">
        <f>Financials!E14/1000000</f>
        <v>65.146114049999994</v>
      </c>
      <c r="H6" s="76">
        <f>Financials!F14/1000000</f>
        <v>52.153998819999998</v>
      </c>
      <c r="I6" s="76">
        <f>Financials!G14/1000000</f>
        <v>53.911683450000005</v>
      </c>
      <c r="J6" s="76">
        <f>Financials!H14/1000000</f>
        <v>53.323830810000004</v>
      </c>
      <c r="K6" s="76">
        <f>Financials!I14/1000000</f>
        <v>55.640039450000003</v>
      </c>
      <c r="L6" s="76">
        <f>Financials!J14/1000000</f>
        <v>56.828388780000004</v>
      </c>
      <c r="M6" s="76">
        <f>Financials!K14/1000000</f>
        <v>57.58311132</v>
      </c>
      <c r="N6" s="76">
        <f>Financials!L14/1000000</f>
        <v>58.933982950000001</v>
      </c>
      <c r="O6" s="76">
        <f>Financials!M14/1000000</f>
        <v>60.684356050000005</v>
      </c>
      <c r="P6" s="76">
        <f>Financials!N14/1000000</f>
        <v>62.992879530000003</v>
      </c>
      <c r="Q6" s="76">
        <f>Financials!O14/1000000</f>
        <v>72.718146950000005</v>
      </c>
      <c r="R6" s="76">
        <f>Financials!P14/1000000</f>
        <v>54.706639000000003</v>
      </c>
      <c r="S6" s="76">
        <f>Financials!Q14/1000000</f>
        <v>74.372748689999995</v>
      </c>
      <c r="T6" s="76">
        <f>Financials!R14/1000000</f>
        <v>78.150195679999996</v>
      </c>
      <c r="U6" s="76">
        <f>Financials!S14/1000000</f>
        <v>76.49288589999999</v>
      </c>
      <c r="V6" s="76">
        <f>Financials!T14/1000000</f>
        <v>63.69499184</v>
      </c>
      <c r="W6" s="76">
        <f>Financials!U14/1000000</f>
        <v>64.140201279999999</v>
      </c>
      <c r="X6" s="76">
        <f>Financials!V14/1000000</f>
        <v>65.573519709999999</v>
      </c>
    </row>
    <row r="7" spans="2:25" s="4" customFormat="1">
      <c r="B7" s="11">
        <v>1.2</v>
      </c>
      <c r="C7" s="11" t="s">
        <v>22</v>
      </c>
      <c r="D7" s="153" t="s">
        <v>23</v>
      </c>
      <c r="E7" s="154">
        <f>Financials!C14/Financials!C5</f>
        <v>0.1863978422778638</v>
      </c>
      <c r="F7" s="154">
        <f>Financials!D14/Financials!D5</f>
        <v>0.24440310408816007</v>
      </c>
      <c r="G7" s="154">
        <f>Financials!E14/Financials!E5</f>
        <v>0.24421658189456019</v>
      </c>
      <c r="H7" s="154">
        <f>Financials!F14/Financials!F5</f>
        <v>0.19655485919233362</v>
      </c>
      <c r="I7" s="154">
        <f>Financials!G14/Financials!G5</f>
        <v>0.20646388929406084</v>
      </c>
      <c r="J7" s="154">
        <f>Financials!H14/Financials!H5</f>
        <v>0.20394332471175414</v>
      </c>
      <c r="K7" s="154">
        <f>Financials!I14/Financials!I5</f>
        <v>0.20999380028504169</v>
      </c>
      <c r="L7" s="154">
        <f>Financials!J14/Financials!J5</f>
        <v>0.20989705005954412</v>
      </c>
      <c r="M7" s="154">
        <f>Financials!K14/Financials!K5</f>
        <v>0.21373237739488096</v>
      </c>
      <c r="N7" s="154">
        <f>Financials!L14/Financials!L5</f>
        <v>0.2183264724727039</v>
      </c>
      <c r="O7" s="154">
        <f>Financials!M14/Financials!M5</f>
        <v>0.21908603618179326</v>
      </c>
      <c r="P7" s="154">
        <f>Financials!N14/Financials!N5</f>
        <v>0.22437389284820222</v>
      </c>
      <c r="Q7" s="154">
        <f>Financials!O14/Financials!O5</f>
        <v>0.25567484696456727</v>
      </c>
      <c r="R7" s="154">
        <f>Financials!P14/Financials!P5</f>
        <v>0.20365344791448942</v>
      </c>
      <c r="S7" s="154">
        <f>Financials!Q14/Financials!Q5</f>
        <v>0.2539406529936748</v>
      </c>
      <c r="T7" s="154">
        <f>Financials!R14/Financials!R5</f>
        <v>0.26315914407193625</v>
      </c>
      <c r="U7" s="154">
        <f>Financials!S14/Financials!S5</f>
        <v>0.25862313988409336</v>
      </c>
      <c r="V7" s="154">
        <f>Financials!T14/Financials!T5</f>
        <v>0.20963612245609337</v>
      </c>
      <c r="W7" s="154">
        <f>Financials!U14/Financials!U5</f>
        <v>0.21544666179863003</v>
      </c>
      <c r="X7" s="154">
        <f>Financials!V14/Financials!V5</f>
        <v>0.21625585557066562</v>
      </c>
    </row>
    <row r="8" spans="2:25" s="4" customFormat="1">
      <c r="B8" s="11">
        <v>1.3</v>
      </c>
      <c r="C8" s="11" t="s">
        <v>24</v>
      </c>
      <c r="D8" s="60" t="s">
        <v>25</v>
      </c>
      <c r="E8" s="77">
        <f>Financials!C14/Financials!C6</f>
        <v>0.26000906121511902</v>
      </c>
      <c r="F8" s="77">
        <f>Financials!D14/Financials!D6</f>
        <v>0.35074836475385995</v>
      </c>
      <c r="G8" s="77">
        <f>Financials!E14/Financials!E6</f>
        <v>0.34877931465185102</v>
      </c>
      <c r="H8" s="77">
        <f>Financials!F14/Financials!F6</f>
        <v>0.26245344553510225</v>
      </c>
      <c r="I8" s="77">
        <f>Financials!G14/Financials!G6</f>
        <v>0.27833958763620448</v>
      </c>
      <c r="J8" s="77">
        <f>Financials!H14/Financials!H6</f>
        <v>0.27362076677545455</v>
      </c>
      <c r="K8" s="77">
        <f>Financials!I14/Financials!I6</f>
        <v>0.28290223680847787</v>
      </c>
      <c r="L8" s="77">
        <f>Financials!J14/Financials!J6</f>
        <v>0.28430475068853134</v>
      </c>
      <c r="M8" s="77">
        <f>Financials!K14/Financials!K6</f>
        <v>0.29133607047485399</v>
      </c>
      <c r="N8" s="77">
        <f>Financials!L14/Financials!L6</f>
        <v>0.29728197236559306</v>
      </c>
      <c r="O8" s="77">
        <f>Financials!M14/Financials!M6</f>
        <v>0.29866270032682846</v>
      </c>
      <c r="P8" s="77">
        <f>Financials!N14/Financials!N6</f>
        <v>0.30831213083449499</v>
      </c>
      <c r="Q8" s="77">
        <f>Financials!O14/Financials!O6</f>
        <v>0.35620858918990927</v>
      </c>
      <c r="R8" s="77">
        <f>Financials!P14/Financials!P6</f>
        <v>0.26795327438495459</v>
      </c>
      <c r="S8" s="77">
        <f>Financials!Q14/Financials!Q6</f>
        <v>0.36146913719303192</v>
      </c>
      <c r="T8" s="77">
        <f>Financials!R14/Financials!R6</f>
        <v>0.37898435422028137</v>
      </c>
      <c r="U8" s="77">
        <f>Financials!S14/Financials!S6</f>
        <v>0.36992899006943519</v>
      </c>
      <c r="V8" s="77">
        <f>Financials!T14/Financials!T6</f>
        <v>0.29909253323752993</v>
      </c>
      <c r="W8" s="77">
        <f>Financials!U14/Financials!U6</f>
        <v>0.30918866368439563</v>
      </c>
      <c r="X8" s="77">
        <f>Financials!V14/Financials!V6</f>
        <v>0.30906422576706377</v>
      </c>
    </row>
    <row r="9" spans="2:25" s="4" customFormat="1">
      <c r="B9" s="11">
        <v>1.4</v>
      </c>
      <c r="C9" s="12" t="s">
        <v>26</v>
      </c>
      <c r="D9" s="60" t="s">
        <v>27</v>
      </c>
      <c r="E9" s="77">
        <f>Financials!C18/Financials!C5</f>
        <v>0.12888264757984264</v>
      </c>
      <c r="F9" s="77">
        <f>Financials!D18/Financials!D5</f>
        <v>0.12442832970575211</v>
      </c>
      <c r="G9" s="77">
        <f>Financials!E18/Financials!E5</f>
        <v>0.12248037987739813</v>
      </c>
      <c r="H9" s="77">
        <f>Financials!F18/Financials!F5</f>
        <v>0.12345724401653874</v>
      </c>
      <c r="I9" s="77">
        <f>Financials!G18/Financials!G5</f>
        <v>0.12629105862744996</v>
      </c>
      <c r="J9" s="77">
        <f>Financials!H18/Financials!H5</f>
        <v>0.12646555601911988</v>
      </c>
      <c r="K9" s="77">
        <f>Financials!I18/Financials!I5</f>
        <v>0.12498927059913255</v>
      </c>
      <c r="L9" s="77">
        <f>Financials!J18/Financials!J5</f>
        <v>0.12252381681725068</v>
      </c>
      <c r="M9" s="77">
        <f>Financials!K18/Financials!K5</f>
        <v>0.12341837087286434</v>
      </c>
      <c r="N9" s="77">
        <f>Financials!L18/Financials!L5</f>
        <v>0.12344453101036877</v>
      </c>
      <c r="O9" s="77">
        <f>Financials!M18/Financials!M5</f>
        <v>0.12052859551716072</v>
      </c>
      <c r="P9" s="77">
        <f>Financials!N18/Financials!N5</f>
        <v>0.11924159971930472</v>
      </c>
      <c r="Q9" s="77">
        <f>Financials!O18/Financials!O5</f>
        <v>0.13741618609320352</v>
      </c>
      <c r="R9" s="77">
        <f>Financials!P18/Financials!P5</f>
        <v>0.14474925051689963</v>
      </c>
      <c r="S9" s="77">
        <f>Financials!Q18/Financials!Q5</f>
        <v>0.13372113546510017</v>
      </c>
      <c r="T9" s="77">
        <f>Financials!R18/Financials!R5</f>
        <v>0.13225794911776864</v>
      </c>
      <c r="U9" s="77">
        <f>Financials!S18/Financials!S5</f>
        <v>0.13298342719066089</v>
      </c>
      <c r="V9" s="77">
        <f>Financials!T18/Financials!T5</f>
        <v>0.12971179727695534</v>
      </c>
      <c r="W9" s="77">
        <f>Financials!U18/Financials!U5</f>
        <v>0.13291594127995165</v>
      </c>
      <c r="X9" s="77">
        <f>Financials!V18/Financials!V5</f>
        <v>0.13064996435600748</v>
      </c>
    </row>
    <row r="10" spans="2:25" s="4" customFormat="1">
      <c r="B10" s="11">
        <v>1.5</v>
      </c>
      <c r="C10" s="12" t="s">
        <v>28</v>
      </c>
      <c r="D10" s="60" t="s">
        <v>25</v>
      </c>
      <c r="E10" s="77">
        <f>Financials!C15/Financials!C5</f>
        <v>5.7515194698021167E-2</v>
      </c>
      <c r="F10" s="77">
        <f>Financials!D15/Financials!D5</f>
        <v>0.11997477438240794</v>
      </c>
      <c r="G10" s="77">
        <f>Financials!E15/Financials!E5</f>
        <v>0.12173620201716207</v>
      </c>
      <c r="H10" s="77">
        <f>Financials!F15/Financials!F5</f>
        <v>7.3097615175794897E-2</v>
      </c>
      <c r="I10" s="77">
        <f>Financials!G15/Financials!G5</f>
        <v>8.0172830666610878E-2</v>
      </c>
      <c r="J10" s="77">
        <f>Financials!H15/Financials!H5</f>
        <v>7.7477768692634272E-2</v>
      </c>
      <c r="K10" s="77">
        <f>Financials!I15/Financials!I5</f>
        <v>8.5004529685909144E-2</v>
      </c>
      <c r="L10" s="77">
        <f>Financials!J15/Financials!J5</f>
        <v>8.737323324229343E-2</v>
      </c>
      <c r="M10" s="77">
        <f>Financials!K15/Financials!K5</f>
        <v>9.0314006522016627E-2</v>
      </c>
      <c r="N10" s="77">
        <f>Financials!L15/Financials!L5</f>
        <v>9.4881941462335126E-2</v>
      </c>
      <c r="O10" s="77">
        <f>Financials!M15/Financials!M5</f>
        <v>9.8557440664632526E-2</v>
      </c>
      <c r="P10" s="77">
        <f>Financials!N15/Financials!N5</f>
        <v>0.10513229312889752</v>
      </c>
      <c r="Q10" s="77">
        <f>Financials!O15/Financials!O5</f>
        <v>0.11825866087136376</v>
      </c>
      <c r="R10" s="77">
        <f>Financials!P15/Financials!P5</f>
        <v>5.8904197397589793E-2</v>
      </c>
      <c r="S10" s="77">
        <f>Financials!Q15/Financials!Q5</f>
        <v>0.12021951752857464</v>
      </c>
      <c r="T10" s="77">
        <f>Financials!R15/Financials!R5</f>
        <v>0.1309011949541676</v>
      </c>
      <c r="U10" s="77">
        <f>Financials!S15/Financials!S5</f>
        <v>0.12563971269343246</v>
      </c>
      <c r="V10" s="77">
        <f>Financials!T15/Financials!T5</f>
        <v>7.9924325179138028E-2</v>
      </c>
      <c r="W10" s="77">
        <f>Financials!U15/Financials!U5</f>
        <v>8.253072051867838E-2</v>
      </c>
      <c r="X10" s="77">
        <f>Financials!V15/Financials!V5</f>
        <v>8.5605891214658142E-2</v>
      </c>
    </row>
    <row r="11" spans="2:25" s="4" customFormat="1">
      <c r="B11" s="10"/>
      <c r="C11" s="11"/>
      <c r="D11" s="62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</row>
    <row r="12" spans="2:25" s="4" customFormat="1">
      <c r="B12" s="9">
        <v>2</v>
      </c>
      <c r="C12" s="10" t="s">
        <v>29</v>
      </c>
      <c r="D12" s="59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</row>
    <row r="13" spans="2:25" s="4" customFormat="1">
      <c r="B13" s="13">
        <v>2.1</v>
      </c>
      <c r="C13" s="10" t="s">
        <v>30</v>
      </c>
      <c r="D13" s="59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</row>
    <row r="14" spans="2:25" s="4" customFormat="1">
      <c r="B14" s="14" t="s">
        <v>31</v>
      </c>
      <c r="C14" s="12" t="s">
        <v>32</v>
      </c>
      <c r="D14" s="60" t="s">
        <v>33</v>
      </c>
      <c r="E14" s="77">
        <f>Financials!C38/Financials!C5</f>
        <v>0.18803085427872263</v>
      </c>
      <c r="F14" s="77">
        <f>Financials!D38/Financials!D5</f>
        <v>0.18341396523566786</v>
      </c>
      <c r="G14" s="77">
        <f>Financials!E38/Financials!E5</f>
        <v>0.18015584684142236</v>
      </c>
      <c r="H14" s="77">
        <f>Financials!F38/Financials!F5</f>
        <v>0.17464008882598675</v>
      </c>
      <c r="I14" s="77">
        <f>Financials!G38/Financials!G5</f>
        <v>0.17906607306497752</v>
      </c>
      <c r="J14" s="77">
        <f>Financials!H38/Financials!H5</f>
        <v>0.17913742509296091</v>
      </c>
      <c r="K14" s="77">
        <f>Financials!I38/Financials!I5</f>
        <v>0.17867375453835044</v>
      </c>
      <c r="L14" s="77">
        <f>Financials!J38/Financials!J5</f>
        <v>0.17869914391554809</v>
      </c>
      <c r="M14" s="77">
        <f>Financials!K38/Financials!K5</f>
        <v>0.18516475089716991</v>
      </c>
      <c r="N14" s="77">
        <f>Financials!L38/Financials!L5</f>
        <v>0.18639394638671392</v>
      </c>
      <c r="O14" s="77">
        <f>Financials!M38/Financials!M5</f>
        <v>0.18236665026350282</v>
      </c>
      <c r="P14" s="77">
        <f>Financials!N38/Financials!N5</f>
        <v>0.17974069612667418</v>
      </c>
      <c r="Q14" s="77">
        <f>Financials!O38/Financials!O5</f>
        <v>0.17847621655830798</v>
      </c>
      <c r="R14" s="77">
        <f>Financials!P38/Financials!P5</f>
        <v>0.18250801112477003</v>
      </c>
      <c r="S14" s="77">
        <f>Financials!Q38/Financials!Q5</f>
        <v>0.17464553033603883</v>
      </c>
      <c r="T14" s="77">
        <f>Financials!R38/Financials!R5</f>
        <v>0.17036785648715944</v>
      </c>
      <c r="U14" s="77">
        <f>Financials!S38/Financials!S5</f>
        <v>0.16428965316416158</v>
      </c>
      <c r="V14" s="77">
        <f>Financials!T38/Financials!T5</f>
        <v>0.15927879700108741</v>
      </c>
      <c r="W14" s="77">
        <f>Financials!U38/Financials!U5</f>
        <v>0.16221188813931076</v>
      </c>
      <c r="X14" s="77">
        <f>Financials!V38/Financials!V5</f>
        <v>0.16062915810717895</v>
      </c>
    </row>
    <row r="15" spans="2:25" s="4" customFormat="1">
      <c r="B15" s="14" t="s">
        <v>34</v>
      </c>
      <c r="C15" s="11" t="s">
        <v>35</v>
      </c>
      <c r="D15" s="60" t="s">
        <v>36</v>
      </c>
      <c r="E15" s="77">
        <f>Financials!C39/Financials!C5</f>
        <v>0.13579338745473829</v>
      </c>
      <c r="F15" s="77">
        <f>Financials!D39/Financials!D5</f>
        <v>0.13142559026692713</v>
      </c>
      <c r="G15" s="77">
        <f>Financials!E39/Financials!E5</f>
        <v>0.12948893534400605</v>
      </c>
      <c r="H15" s="77">
        <f>Financials!F39/Financials!F5</f>
        <v>0.13021326099969027</v>
      </c>
      <c r="I15" s="77">
        <f>Financials!G39/Financials!G5</f>
        <v>0.13345625611067355</v>
      </c>
      <c r="J15" s="77">
        <f>Financials!H39/Financials!H5</f>
        <v>0.13392533504401433</v>
      </c>
      <c r="K15" s="77">
        <f>Financials!I39/Financials!I5</f>
        <v>0.1322996780605333</v>
      </c>
      <c r="L15" s="77">
        <f>Financials!J39/Financials!J5</f>
        <v>0.12969100306554879</v>
      </c>
      <c r="M15" s="77">
        <f>Financials!K39/Financials!K5</f>
        <v>0.13590038892176354</v>
      </c>
      <c r="N15" s="77">
        <f>Financials!L39/Financials!L5</f>
        <v>0.13605328268623001</v>
      </c>
      <c r="O15" s="77">
        <f>Financials!M39/Financials!M5</f>
        <v>0.13322442259383671</v>
      </c>
      <c r="P15" s="77">
        <f>Financials!N39/Financials!N5</f>
        <v>0.13146041920096885</v>
      </c>
      <c r="Q15" s="77">
        <f>Financials!O39/Financials!O5</f>
        <v>0.13002887844092154</v>
      </c>
      <c r="R15" s="77">
        <f>Financials!P39/Financials!P5</f>
        <v>0.13388226626659191</v>
      </c>
      <c r="S15" s="77">
        <f>Financials!Q39/Financials!Q5</f>
        <v>0.12747357987429569</v>
      </c>
      <c r="T15" s="77">
        <f>Financials!R39/Financials!R5</f>
        <v>0.12637589197718807</v>
      </c>
      <c r="U15" s="77">
        <f>Financials!S39/Financials!S5</f>
        <v>0.12334809694304351</v>
      </c>
      <c r="V15" s="77">
        <f>Financials!T39/Financials!T5</f>
        <v>0.12007344120109159</v>
      </c>
      <c r="W15" s="77">
        <f>Financials!U39/Financials!U5</f>
        <v>0.12230986471988282</v>
      </c>
      <c r="X15" s="77">
        <f>Financials!V39/Financials!V5</f>
        <v>0.12011920735615077</v>
      </c>
    </row>
    <row r="16" spans="2:25" s="4" customFormat="1">
      <c r="B16" s="14" t="s">
        <v>37</v>
      </c>
      <c r="C16" s="11" t="s">
        <v>38</v>
      </c>
      <c r="D16" s="60" t="s">
        <v>39</v>
      </c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</row>
    <row r="17" spans="2:24" s="4" customFormat="1">
      <c r="B17" s="14"/>
      <c r="C17" s="11"/>
      <c r="D17" s="60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</row>
    <row r="18" spans="2:24" s="4" customFormat="1">
      <c r="B18" s="14">
        <v>2.2000000000000002</v>
      </c>
      <c r="C18" s="10" t="s">
        <v>40</v>
      </c>
      <c r="D18" s="60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</row>
    <row r="19" spans="2:24" s="4" customFormat="1">
      <c r="B19" s="14" t="s">
        <v>41</v>
      </c>
      <c r="C19" s="11" t="s">
        <v>42</v>
      </c>
      <c r="D19" s="60" t="s">
        <v>36</v>
      </c>
      <c r="E19" s="61">
        <f>Financials!C26/Financials!C6</f>
        <v>6.0002876903735564E-5</v>
      </c>
      <c r="F19" s="61">
        <f>Financials!D26/Financials!D6</f>
        <v>5.9034967281337856E-5</v>
      </c>
      <c r="G19" s="61">
        <f>Financials!E26/Financials!E6</f>
        <v>5.7606896134642387E-5</v>
      </c>
      <c r="H19" s="61">
        <f>Financials!F26/Financials!F6</f>
        <v>5.4147316367901469E-5</v>
      </c>
      <c r="I19" s="61">
        <f>Financials!G26/Financials!G6</f>
        <v>5.5552595862512617E-5</v>
      </c>
      <c r="J19" s="61">
        <f>Financials!H26/Financials!H6</f>
        <v>5.5212827094030959E-5</v>
      </c>
      <c r="K19" s="61">
        <f>Financials!I26/Financials!I6</f>
        <v>5.4709308227480446E-5</v>
      </c>
      <c r="L19" s="61">
        <f>Financials!J26/Financials!J6</f>
        <v>5.3830826160695476E-5</v>
      </c>
      <c r="M19" s="61">
        <f>Financials!K26/Financials!K6</f>
        <v>5.4439158399915185E-5</v>
      </c>
      <c r="N19" s="61">
        <f>Financials!L26/Financials!L6</f>
        <v>5.4276902095139677E-5</v>
      </c>
      <c r="O19" s="61">
        <f>Financials!M26/Financials!M6</f>
        <v>5.2956163082110749E-5</v>
      </c>
      <c r="P19" s="61">
        <f>Financials!N26/Financials!N6</f>
        <v>5.2663706636862902E-5</v>
      </c>
      <c r="Q19" s="61">
        <f>Financials!O26/Financials!O6</f>
        <v>5.2707674499995267E-5</v>
      </c>
      <c r="R19" s="61">
        <f>Financials!P26/Financials!P6</f>
        <v>5.2702510793655438E-5</v>
      </c>
      <c r="S19" s="61">
        <f>Financials!Q26/Financials!Q6</f>
        <v>5.2296143207088232E-5</v>
      </c>
      <c r="T19" s="61">
        <f>Financials!R26/Financials!R6</f>
        <v>5.21799288655374E-5</v>
      </c>
      <c r="U19" s="61">
        <f>Financials!S26/Financials!S6</f>
        <v>5.2036681402644305E-5</v>
      </c>
      <c r="V19" s="61">
        <f>Financials!T26/Financials!T6</f>
        <v>5.0525725251993723E-5</v>
      </c>
      <c r="W19" s="61">
        <f>Financials!U26/Financials!U6</f>
        <v>5.1868718133902569E-5</v>
      </c>
      <c r="X19" s="61">
        <f>Financials!V26/Financials!V6</f>
        <v>5.0714542759955912E-5</v>
      </c>
    </row>
    <row r="20" spans="2:24" s="4" customFormat="1">
      <c r="B20" s="14" t="s">
        <v>43</v>
      </c>
      <c r="C20" s="11" t="s">
        <v>44</v>
      </c>
      <c r="D20" s="60" t="s">
        <v>45</v>
      </c>
      <c r="E20" s="61">
        <f>Financials!C26/Financials!C14</f>
        <v>2.3077225317963843E-4</v>
      </c>
      <c r="F20" s="61">
        <f>Financials!D26/Financials!D14</f>
        <v>1.6831145406127852E-4</v>
      </c>
      <c r="G20" s="61">
        <f>Financials!E26/Financials!E14</f>
        <v>1.6516718083509389E-4</v>
      </c>
      <c r="H20" s="61">
        <f>Financials!F26/Financials!F14</f>
        <v>2.0631208044346081E-4</v>
      </c>
      <c r="I20" s="61">
        <f>Financials!G26/Financials!G14</f>
        <v>1.995856799756454E-4</v>
      </c>
      <c r="J20" s="61">
        <f>Financials!H26/Financials!H14</f>
        <v>2.017859526698172E-4</v>
      </c>
      <c r="K20" s="61">
        <f>Financials!I26/Financials!I14</f>
        <v>1.9338591608421298E-4</v>
      </c>
      <c r="L20" s="61">
        <f>Financials!J26/Financials!J14</f>
        <v>1.8934198612695561E-4</v>
      </c>
      <c r="M20" s="61">
        <f>Financials!K26/Financials!K14</f>
        <v>1.868603441763452E-4</v>
      </c>
      <c r="N20" s="61">
        <f>Financials!L26/Financials!L14</f>
        <v>1.8257717298912E-4</v>
      </c>
      <c r="O20" s="61">
        <f>Financials!M26/Financials!M14</f>
        <v>1.7731093646498371E-4</v>
      </c>
      <c r="P20" s="61">
        <f>Financials!N26/Financials!N14</f>
        <v>1.7081295664338715E-4</v>
      </c>
      <c r="Q20" s="61">
        <f>Financials!O26/Financials!O14</f>
        <v>1.479685670125564E-4</v>
      </c>
      <c r="R20" s="61">
        <f>Financials!P26/Financials!P14</f>
        <v>1.9668545165057571E-4</v>
      </c>
      <c r="S20" s="61">
        <f>Financials!Q26/Financials!Q14</f>
        <v>1.4467664822836871E-4</v>
      </c>
      <c r="T20" s="61">
        <f>Financials!R26/Financials!R14</f>
        <v>1.376835963924998E-4</v>
      </c>
      <c r="U20" s="61">
        <f>Financials!S26/Financials!S14</f>
        <v>1.4066667603660122E-4</v>
      </c>
      <c r="V20" s="61">
        <f>Financials!T26/Financials!T14</f>
        <v>1.6893007894606239E-4</v>
      </c>
      <c r="W20" s="61">
        <f>Financials!U26/Financials!U14</f>
        <v>1.6775750286513599E-4</v>
      </c>
      <c r="X20" s="61">
        <f>Financials!V26/Financials!V14</f>
        <v>1.6409062755188807E-4</v>
      </c>
    </row>
    <row r="21" spans="2:24" s="4" customFormat="1">
      <c r="B21" s="14" t="s">
        <v>46</v>
      </c>
      <c r="C21" s="12" t="s">
        <v>47</v>
      </c>
      <c r="D21" s="64" t="s">
        <v>48</v>
      </c>
      <c r="E21" s="61">
        <f>Financials!C31/Financials!C5</f>
        <v>0.68373861396328439</v>
      </c>
      <c r="F21" s="61">
        <f>Financials!D31/Financials!D5</f>
        <v>0.68307191499544795</v>
      </c>
      <c r="G21" s="61">
        <f>Financials!E31/Financials!E5</f>
        <v>0.66485885617798002</v>
      </c>
      <c r="H21" s="61">
        <f>Financials!F31/Financials!F5</f>
        <v>0.65686173046678387</v>
      </c>
      <c r="I21" s="61">
        <f>Financials!G31/Financials!G5</f>
        <v>0.65933322911625125</v>
      </c>
      <c r="J21" s="61">
        <f>Financials!H31/Financials!H5</f>
        <v>0.67654829963275298</v>
      </c>
      <c r="K21" s="61">
        <f>Financials!I31/Financials!I5</f>
        <v>0.70696700427337822</v>
      </c>
      <c r="L21" s="61">
        <f>Financials!J31/Financials!J5</f>
        <v>0.70402944424391189</v>
      </c>
      <c r="M21" s="61">
        <f>Financials!K31/Financials!K5</f>
        <v>0.70234903053769215</v>
      </c>
      <c r="N21" s="61">
        <f>Financials!L31/Financials!L5</f>
        <v>0.71410078954866452</v>
      </c>
      <c r="O21" s="61">
        <f>Financials!M31/Financials!M5</f>
        <v>0.74881528822611509</v>
      </c>
      <c r="P21" s="61">
        <f>Financials!N31/Financials!N5</f>
        <v>0.77767349689119636</v>
      </c>
      <c r="Q21" s="61">
        <f>Financials!O31/Financials!O5</f>
        <v>0.77690518026925914</v>
      </c>
      <c r="R21" s="61">
        <f>Financials!P31/Financials!P5</f>
        <v>0.77028152699824592</v>
      </c>
      <c r="S21" s="61">
        <f>Financials!Q31/Financials!Q5</f>
        <v>0.76025129647120926</v>
      </c>
      <c r="T21" s="61">
        <f>Financials!R31/Financials!R5</f>
        <v>0.78306892108741633</v>
      </c>
      <c r="U21" s="61">
        <f>Financials!S31/Financials!S5</f>
        <v>0.79307263980201259</v>
      </c>
      <c r="V21" s="61">
        <f>Financials!T31/Financials!T5</f>
        <v>0.76211891074922167</v>
      </c>
      <c r="W21" s="61">
        <f>Financials!U31/Financials!U5</f>
        <v>0.7646315822191434</v>
      </c>
      <c r="X21" s="61">
        <f>Financials!V31/Financials!V5</f>
        <v>0.76635572356393411</v>
      </c>
    </row>
    <row r="22" spans="2:24" s="4" customFormat="1">
      <c r="B22" s="10"/>
      <c r="C22" s="10"/>
      <c r="D22" s="59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</row>
    <row r="23" spans="2:24" s="4" customFormat="1">
      <c r="B23" s="9">
        <v>3</v>
      </c>
      <c r="C23" s="10" t="s">
        <v>49</v>
      </c>
      <c r="D23" s="59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</row>
    <row r="24" spans="2:24" s="4" customFormat="1">
      <c r="B24" s="11">
        <v>3.1</v>
      </c>
      <c r="C24" s="12" t="s">
        <v>50</v>
      </c>
      <c r="D24" s="64" t="s">
        <v>48</v>
      </c>
      <c r="E24" s="61">
        <f>Financials!C6/Financials!C5</f>
        <v>0.71688979378932938</v>
      </c>
      <c r="F24" s="61">
        <f>Financials!D6/Financials!D5</f>
        <v>0.69680468577429178</v>
      </c>
      <c r="G24" s="61">
        <f>Financials!E6/Financials!E5</f>
        <v>0.70020374384397022</v>
      </c>
      <c r="H24" s="61">
        <f>Financials!F6/Financials!F5</f>
        <v>0.74891323598967607</v>
      </c>
      <c r="I24" s="61">
        <f>Financials!G6/Financials!G5</f>
        <v>0.74176976062748701</v>
      </c>
      <c r="J24" s="61">
        <f>Financials!H6/Financials!H5</f>
        <v>0.74535031501873972</v>
      </c>
      <c r="K24" s="61">
        <f>Financials!I6/Financials!I5</f>
        <v>0.74228398705523668</v>
      </c>
      <c r="L24" s="61">
        <f>Financials!J6/Financials!J5</f>
        <v>0.73828189487236451</v>
      </c>
      <c r="M24" s="61">
        <f>Financials!K6/Financials!K5</f>
        <v>0.73362827008174658</v>
      </c>
      <c r="N24" s="61">
        <f>Financials!L6/Financials!L5</f>
        <v>0.73440871888527826</v>
      </c>
      <c r="O24" s="61">
        <f>Financials!M6/Financials!M5</f>
        <v>0.73355673789209708</v>
      </c>
      <c r="P24" s="61">
        <f>Financials!N6/Financials!N5</f>
        <v>0.72774915550970765</v>
      </c>
      <c r="Q24" s="61">
        <f>Financials!O6/Financials!O5</f>
        <v>0.71776721483899042</v>
      </c>
      <c r="R24" s="61">
        <f>Financials!P6/Financials!P5</f>
        <v>0.76003343635917309</v>
      </c>
      <c r="S24" s="61">
        <f>Financials!Q6/Financials!Q5</f>
        <v>0.70252374785199234</v>
      </c>
      <c r="T24" s="61">
        <f>Financials!R6/Financials!R5</f>
        <v>0.69437996883369302</v>
      </c>
      <c r="U24" s="61">
        <f>Financials!S6/Financials!S5</f>
        <v>0.69911563253139508</v>
      </c>
      <c r="V24" s="61">
        <f>Financials!T6/Financials!T5</f>
        <v>0.70090724160474749</v>
      </c>
      <c r="W24" s="61">
        <f>Financials!U6/Financials!U5</f>
        <v>0.69681294013595285</v>
      </c>
      <c r="X24" s="61">
        <f>Financials!V6/Financials!V5</f>
        <v>0.69971170242671121</v>
      </c>
    </row>
    <row r="25" spans="2:24" s="4" customFormat="1">
      <c r="B25" s="14" t="s">
        <v>51</v>
      </c>
      <c r="C25" s="15" t="s">
        <v>52</v>
      </c>
      <c r="D25" s="66" t="s">
        <v>48</v>
      </c>
      <c r="E25" s="67">
        <f>Financials!C7/Financials!C5</f>
        <v>0.64043002321543041</v>
      </c>
      <c r="F25" s="67">
        <f>Financials!D7/Financials!D5</f>
        <v>0.65140261268486055</v>
      </c>
      <c r="G25" s="67">
        <f>Financials!E7/Financials!E5</f>
        <v>0.65006796596942606</v>
      </c>
      <c r="H25" s="67">
        <f>Financials!F7/Financials!F5</f>
        <v>0.66006715622045431</v>
      </c>
      <c r="I25" s="67">
        <f>Financials!G7/Financials!G5</f>
        <v>0.68066203432186678</v>
      </c>
      <c r="J25" s="67">
        <f>Financials!H7/Financials!H5</f>
        <v>0.6898966659652358</v>
      </c>
      <c r="K25" s="67">
        <f>Financials!I7/Financials!I5</f>
        <v>0.68663785776268194</v>
      </c>
      <c r="L25" s="67">
        <f>Financials!J7/Financials!J5</f>
        <v>0.68227709983476204</v>
      </c>
      <c r="M25" s="67">
        <f>Financials!K7/Financials!K5</f>
        <v>0.68242399598763981</v>
      </c>
      <c r="N25" s="67">
        <f>Financials!L7/Financials!L5</f>
        <v>0.68716744160130117</v>
      </c>
      <c r="O25" s="67">
        <f>Financials!M7/Financials!M5</f>
        <v>0.68474396171431984</v>
      </c>
      <c r="P25" s="67">
        <f>Financials!N7/Financials!N5</f>
        <v>0.68341269495985879</v>
      </c>
      <c r="Q25" s="67">
        <f>Financials!O7/Financials!O5</f>
        <v>0.66920763292002083</v>
      </c>
      <c r="R25" s="67">
        <f>Financials!P7/Financials!P5</f>
        <v>0.66052160814120631</v>
      </c>
      <c r="S25" s="67">
        <f>Financials!Q7/Financials!Q5</f>
        <v>0.6482400796874519</v>
      </c>
      <c r="T25" s="67">
        <f>Financials!R7/Financials!R5</f>
        <v>0.64355142586459402</v>
      </c>
      <c r="U25" s="67">
        <f>Financials!S7/Financials!S5</f>
        <v>0.64893838532257164</v>
      </c>
      <c r="V25" s="67">
        <f>Financials!T7/Financials!T5</f>
        <v>0.6338776608845933</v>
      </c>
      <c r="W25" s="67">
        <f>Financials!U7/Financials!U5</f>
        <v>0.6427651751041723</v>
      </c>
      <c r="X25" s="67">
        <f>Financials!V7/Financials!V5</f>
        <v>0.63328271319104035</v>
      </c>
    </row>
    <row r="26" spans="2:24" s="4" customFormat="1">
      <c r="B26" s="14" t="s">
        <v>53</v>
      </c>
      <c r="C26" s="15" t="s">
        <v>54</v>
      </c>
      <c r="D26" s="66" t="s">
        <v>48</v>
      </c>
      <c r="E26" s="78">
        <f>Financials!C8/Financials!C5</f>
        <v>4.1258364860973083E-2</v>
      </c>
      <c r="F26" s="78">
        <f>Financials!D8/Financials!D5</f>
        <v>4.1836944828130183E-2</v>
      </c>
      <c r="G26" s="78">
        <f>Financials!E8/Financials!E5</f>
        <v>4.5885390830598546E-2</v>
      </c>
      <c r="H26" s="78">
        <f>Financials!F8/Financials!F5</f>
        <v>8.4274990981271489E-2</v>
      </c>
      <c r="I26" s="78">
        <f>Financials!G8/Financials!G5</f>
        <v>5.7358584384742485E-2</v>
      </c>
      <c r="J26" s="78">
        <f>Financials!H8/Financials!H5</f>
        <v>5.1501449023200876E-2</v>
      </c>
      <c r="K26" s="78">
        <f>Financials!I8/Financials!I5</f>
        <v>5.2494654853054927E-2</v>
      </c>
      <c r="L26" s="78">
        <f>Financials!J8/Financials!J5</f>
        <v>5.2876786386444267E-2</v>
      </c>
      <c r="M26" s="78">
        <f>Financials!K8/Financials!K5</f>
        <v>4.740569294586184E-2</v>
      </c>
      <c r="N26" s="78">
        <f>Financials!L8/Financials!L5</f>
        <v>4.3584365603738122E-2</v>
      </c>
      <c r="O26" s="78">
        <f>Financials!M8/Financials!M5</f>
        <v>4.4787504007776778E-2</v>
      </c>
      <c r="P26" s="78">
        <f>Financials!N8/Financials!N5</f>
        <v>4.1027024252241188E-2</v>
      </c>
      <c r="Q26" s="78">
        <f>Financials!O8/Financials!O5</f>
        <v>4.5150613467808964E-2</v>
      </c>
      <c r="R26" s="78">
        <f>Financials!P8/Financials!P5</f>
        <v>4.7879116096584448E-2</v>
      </c>
      <c r="S26" s="78">
        <f>Financials!Q8/Financials!Q5</f>
        <v>5.1106977078431252E-2</v>
      </c>
      <c r="T26" s="78">
        <f>Financials!R8/Financials!R5</f>
        <v>4.7775521000088819E-2</v>
      </c>
      <c r="U26" s="78">
        <f>Financials!S8/Financials!S5</f>
        <v>4.700829581922452E-2</v>
      </c>
      <c r="V26" s="78">
        <f>Financials!T8/Financials!T5</f>
        <v>6.4248788153724742E-2</v>
      </c>
      <c r="W26" s="78">
        <f>Financials!U8/Financials!U5</f>
        <v>5.1172038872647659E-2</v>
      </c>
      <c r="X26" s="78">
        <f>Financials!V8/Financials!V5</f>
        <v>6.3486478628436191E-2</v>
      </c>
    </row>
    <row r="27" spans="2:24" s="4" customFormat="1">
      <c r="B27" s="11">
        <v>3.2</v>
      </c>
      <c r="C27" s="12" t="s">
        <v>55</v>
      </c>
      <c r="D27" s="60" t="s">
        <v>56</v>
      </c>
      <c r="E27" s="79">
        <f>Financials!C9/Financials!C5</f>
        <v>1.7490018026951586E-2</v>
      </c>
      <c r="F27" s="79">
        <f>Financials!D9/Financials!D5</f>
        <v>1.4336376101127401E-2</v>
      </c>
      <c r="G27" s="79">
        <f>Financials!E9/Financials!E5</f>
        <v>1.1714847916097624E-2</v>
      </c>
      <c r="H27" s="79">
        <f>Financials!F9/Financials!F5</f>
        <v>9.4218498887643706E-3</v>
      </c>
      <c r="I27" s="79">
        <f>Financials!G9/Financials!G5</f>
        <v>7.1806289036660392E-3</v>
      </c>
      <c r="J27" s="79">
        <f>Financials!H9/Financials!H5</f>
        <v>4.7807734743972093E-3</v>
      </c>
      <c r="K27" s="79">
        <f>Financials!I9/Financials!I5</f>
        <v>2.3588431366245383E-3</v>
      </c>
      <c r="L27" s="79">
        <f>Financials!J9/Financials!J5</f>
        <v>0</v>
      </c>
      <c r="M27" s="79">
        <f>Financials!K9/Financials!K5</f>
        <v>0</v>
      </c>
      <c r="N27" s="79">
        <f>Financials!L9/Financials!L5</f>
        <v>0</v>
      </c>
      <c r="O27" s="79">
        <f>Financials!M9/Financials!M5</f>
        <v>0</v>
      </c>
      <c r="P27" s="79">
        <f>Financials!N9/Financials!N5</f>
        <v>0</v>
      </c>
      <c r="Q27" s="79">
        <f>Financials!O9/Financials!O5</f>
        <v>0</v>
      </c>
      <c r="R27" s="79">
        <f>Financials!P9/Financials!P5</f>
        <v>0</v>
      </c>
      <c r="S27" s="79">
        <f>Financials!Q9/Financials!Q5</f>
        <v>1.7072157306713819E-2</v>
      </c>
      <c r="T27" s="79">
        <f>Financials!R9/Financials!R5</f>
        <v>1.543369233594704E-2</v>
      </c>
      <c r="U27" s="79">
        <f>Financials!S9/Financials!S5</f>
        <v>1.408753770734081E-2</v>
      </c>
      <c r="V27" s="79">
        <f>Financials!T9/Financials!T5</f>
        <v>3.2089684491755623E-2</v>
      </c>
      <c r="W27" s="79">
        <f>Financials!U9/Financials!U5</f>
        <v>2.9967839014634103E-2</v>
      </c>
      <c r="X27" s="79">
        <f>Financials!V9/Financials!V5</f>
        <v>2.6399803698346103E-2</v>
      </c>
    </row>
    <row r="28" spans="2:24" s="4" customFormat="1">
      <c r="B28" s="11"/>
      <c r="C28" s="11"/>
      <c r="D28" s="68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</row>
    <row r="29" spans="2:24" s="4" customFormat="1">
      <c r="B29" s="9">
        <v>4</v>
      </c>
      <c r="C29" s="10" t="s">
        <v>57</v>
      </c>
      <c r="D29" s="59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</row>
    <row r="30" spans="2:24">
      <c r="B30" s="11">
        <v>4.0999999999999996</v>
      </c>
      <c r="C30" s="12" t="s">
        <v>58</v>
      </c>
      <c r="D30" s="64" t="s">
        <v>48</v>
      </c>
      <c r="E30" s="16" t="e">
        <f>Financials!C5/Financials!#REF!-1</f>
        <v>#REF!</v>
      </c>
      <c r="F30" s="16">
        <f>Financials!D5/Financials!C5-1</f>
        <v>4.5692713231933357E-2</v>
      </c>
      <c r="G30" s="16">
        <f>Financials!E5/Financials!D5-1</f>
        <v>1.9815209709742376E-2</v>
      </c>
      <c r="H30" s="16">
        <f>Financials!F5/Financials!E5-1</f>
        <v>-5.3037945282765619E-3</v>
      </c>
      <c r="I30" s="16">
        <f>Financials!G5/Financials!F5-1</f>
        <v>-1.5909677080573892E-2</v>
      </c>
      <c r="J30" s="16">
        <f>Financials!H5/Financials!G5-1</f>
        <v>1.3203849573621973E-3</v>
      </c>
      <c r="K30" s="16">
        <f>Financials!I5/Financials!H5-1</f>
        <v>1.3372487591186255E-2</v>
      </c>
      <c r="L30" s="16">
        <f>Financials!J5/Financials!I5-1</f>
        <v>2.182859493151712E-2</v>
      </c>
      <c r="M30" s="16">
        <f>Financials!K5/Financials!J5-1</f>
        <v>-4.9021168686786964E-3</v>
      </c>
      <c r="N30" s="16">
        <f>Financials!L5/Financials!K5-1</f>
        <v>1.9235503750716365E-3</v>
      </c>
      <c r="O30" s="16">
        <f>Financials!M5/Financials!L5-1</f>
        <v>2.6130637360778808E-2</v>
      </c>
      <c r="P30" s="16">
        <f>Financials!N5/Financials!M5-1</f>
        <v>1.3577796923129437E-2</v>
      </c>
      <c r="Q30" s="16">
        <f>Financials!O5/Financials!N5-1</f>
        <v>1.3061148889330632E-2</v>
      </c>
      <c r="R30" s="16">
        <f>Financials!P5/Financials!O5-1</f>
        <v>-5.551847305209856E-2</v>
      </c>
      <c r="S30" s="16">
        <f>Financials!Q5/Financials!P5-1</f>
        <v>9.0268171596422198E-2</v>
      </c>
      <c r="T30" s="16">
        <f>Financials!R5/Financials!Q5-1</f>
        <v>1.3981436141710768E-2</v>
      </c>
      <c r="U30" s="16">
        <f>Financials!S5/Financials!R5-1</f>
        <v>-4.0396217176105198E-3</v>
      </c>
      <c r="V30" s="16">
        <f>Financials!T5/Financials!S5-1</f>
        <v>2.7272121126038495E-2</v>
      </c>
      <c r="W30" s="16">
        <f>Financials!U5/Financials!T5-1</f>
        <v>-2.0168536716800523E-2</v>
      </c>
      <c r="X30" s="16">
        <f>Financials!V5/Financials!U5-1</f>
        <v>1.8521194231064131E-2</v>
      </c>
    </row>
    <row r="31" spans="2:24">
      <c r="B31" s="11">
        <v>4.2</v>
      </c>
      <c r="C31" s="12" t="s">
        <v>59</v>
      </c>
      <c r="D31" s="64" t="s">
        <v>48</v>
      </c>
      <c r="E31" s="16" t="e">
        <f>Financials!C6/Financials!#REF!-1</f>
        <v>#REF!</v>
      </c>
      <c r="F31" s="16">
        <f>Financials!D6/Financials!C6-1</f>
        <v>1.6395530767130184E-2</v>
      </c>
      <c r="G31" s="16">
        <f>Financials!E6/Financials!D6-1</f>
        <v>2.4789933888430538E-2</v>
      </c>
      <c r="H31" s="16">
        <f>Financials!F6/Financials!E6-1</f>
        <v>6.3891989461397403E-2</v>
      </c>
      <c r="I31" s="16">
        <f>Financials!G6/Financials!F6-1</f>
        <v>-2.5296378554281795E-2</v>
      </c>
      <c r="J31" s="16">
        <f>Financials!H6/Financials!G6-1</f>
        <v>6.1538013241562162E-3</v>
      </c>
      <c r="K31" s="16">
        <f>Financials!I6/Financials!H6-1</f>
        <v>9.2035319557850492E-3</v>
      </c>
      <c r="L31" s="16">
        <f>Financials!J6/Financials!I6-1</f>
        <v>1.6319312361332328E-2</v>
      </c>
      <c r="M31" s="16">
        <f>Financials!K6/Financials!J6-1</f>
        <v>-1.1174534234178357E-2</v>
      </c>
      <c r="N31" s="16">
        <f>Financials!L6/Financials!K6-1</f>
        <v>2.9894172016504683E-3</v>
      </c>
      <c r="O31" s="16">
        <f>Financials!M6/Financials!L6-1</f>
        <v>2.4940232376372773E-2</v>
      </c>
      <c r="P31" s="16">
        <f>Financials!N6/Financials!M6-1</f>
        <v>5.5532825910726835E-3</v>
      </c>
      <c r="Q31" s="16">
        <f>Financials!O6/Financials!N6-1</f>
        <v>-8.3418332433493614E-4</v>
      </c>
      <c r="R31" s="16">
        <f>Financials!P6/Financials!O6-1</f>
        <v>9.7978374503870924E-5</v>
      </c>
      <c r="S31" s="16">
        <f>Financials!Q6/Financials!P6-1</f>
        <v>7.7705077592056249E-3</v>
      </c>
      <c r="T31" s="16">
        <f>Financials!R6/Financials!Q6-1</f>
        <v>2.2271847447379312E-3</v>
      </c>
      <c r="U31" s="16">
        <f>Financials!S6/Financials!R6-1</f>
        <v>2.7528170327519863E-3</v>
      </c>
      <c r="V31" s="16">
        <f>Financials!T6/Financials!S6-1</f>
        <v>2.9904689999298295E-2</v>
      </c>
      <c r="W31" s="16">
        <f>Financials!U6/Financials!T6-1</f>
        <v>-2.5892154852214078E-2</v>
      </c>
      <c r="X31" s="16">
        <f>Financials!V6/Financials!U6-1</f>
        <v>2.2758272304842508E-2</v>
      </c>
    </row>
    <row r="32" spans="2:24">
      <c r="B32" s="11" t="s">
        <v>60</v>
      </c>
      <c r="C32" s="17" t="s">
        <v>61</v>
      </c>
      <c r="D32" s="64" t="s">
        <v>48</v>
      </c>
      <c r="E32" s="16" t="e">
        <f>Financials!C8/Financials!#REF!-1</f>
        <v>#REF!</v>
      </c>
      <c r="F32" s="16">
        <f>Financials!D8/Financials!C8-1</f>
        <v>6.0356814868458564E-2</v>
      </c>
      <c r="G32" s="16">
        <f>Financials!E8/Financials!D8-1</f>
        <v>0.118499920698242</v>
      </c>
      <c r="H32" s="16">
        <f>Financials!F8/Financials!E8-1</f>
        <v>0.82689985260698706</v>
      </c>
      <c r="I32" s="16">
        <f>Financials!G8/Financials!F8-1</f>
        <v>-0.33021615105332447</v>
      </c>
      <c r="J32" s="16">
        <f>Financials!H8/Financials!G8-1</f>
        <v>-0.10092880926309866</v>
      </c>
      <c r="K32" s="16">
        <f>Financials!I8/Financials!H8-1</f>
        <v>3.2915383598555836E-2</v>
      </c>
      <c r="L32" s="16">
        <f>Financials!J8/Financials!I8-1</f>
        <v>2.9266931823821452E-2</v>
      </c>
      <c r="M32" s="16">
        <f>Financials!K8/Financials!J8-1</f>
        <v>-0.10786362177838238</v>
      </c>
      <c r="N32" s="16">
        <f>Financials!L8/Financials!K8-1</f>
        <v>-7.8840543974067923E-2</v>
      </c>
      <c r="O32" s="16">
        <f>Financials!M8/Financials!L8-1</f>
        <v>5.4456785057730217E-2</v>
      </c>
      <c r="P32" s="16">
        <f>Financials!N8/Financials!M8-1</f>
        <v>-7.1524931403235348E-2</v>
      </c>
      <c r="Q32" s="16">
        <f>Financials!O8/Financials!N8-1</f>
        <v>0.11488301153740088</v>
      </c>
      <c r="R32" s="16">
        <f>Financials!P8/Financials!O8-1</f>
        <v>1.5576136536683549E-3</v>
      </c>
      <c r="S32" s="16">
        <f>Financials!Q8/Financials!P8-1</f>
        <v>0.16377065822851344</v>
      </c>
      <c r="T32" s="16">
        <f>Financials!R8/Financials!Q8-1</f>
        <v>-5.2115891696259187E-2</v>
      </c>
      <c r="U32" s="16">
        <f>Financials!S8/Financials!R8-1</f>
        <v>-2.0033709597048976E-2</v>
      </c>
      <c r="V32" s="16">
        <f>Financials!T8/Financials!S8-1</f>
        <v>0.40402853871300204</v>
      </c>
      <c r="W32" s="16">
        <f>Financials!U8/Financials!T8-1</f>
        <v>-0.21959658433083906</v>
      </c>
      <c r="X32" s="16">
        <f>Financials!V8/Financials!U8-1</f>
        <v>0.26362610235416839</v>
      </c>
    </row>
    <row r="33" spans="2:24">
      <c r="B33" s="11" t="s">
        <v>62</v>
      </c>
      <c r="C33" s="17" t="s">
        <v>63</v>
      </c>
      <c r="D33" s="64" t="s">
        <v>48</v>
      </c>
      <c r="E33" s="16" t="e">
        <f>Financials!C7/Financials!#REF!-1</f>
        <v>#REF!</v>
      </c>
      <c r="F33" s="16">
        <f>Financials!D7/Financials!C7-1</f>
        <v>6.3608732839916193E-2</v>
      </c>
      <c r="G33" s="16">
        <f>Financials!E7/Financials!D7-1</f>
        <v>1.7725729266335311E-2</v>
      </c>
      <c r="H33" s="16">
        <f>Financials!F7/Financials!E7-1</f>
        <v>9.9963850239572771E-3</v>
      </c>
      <c r="I33" s="16">
        <f>Financials!G7/Financials!F7-1</f>
        <v>1.479510810727791E-2</v>
      </c>
      <c r="J33" s="16">
        <f>Financials!H7/Financials!G7-1</f>
        <v>1.4905430759556859E-2</v>
      </c>
      <c r="K33" s="16">
        <f>Financials!I7/Financials!H7-1</f>
        <v>8.5857032251765997E-3</v>
      </c>
      <c r="L33" s="16">
        <f>Financials!J7/Financials!I7-1</f>
        <v>1.5339079248764209E-2</v>
      </c>
      <c r="M33" s="16">
        <f>Financials!K7/Financials!J7-1</f>
        <v>-4.6878695330958564E-3</v>
      </c>
      <c r="N33" s="16">
        <f>Financials!L7/Financials!K7-1</f>
        <v>8.8877982593691396E-3</v>
      </c>
      <c r="O33" s="16">
        <f>Financials!M7/Financials!L7-1</f>
        <v>2.251171304843913E-2</v>
      </c>
      <c r="P33" s="16">
        <f>Financials!N7/Financials!M7-1</f>
        <v>1.160721740794024E-2</v>
      </c>
      <c r="Q33" s="16">
        <f>Financials!O7/Financials!N7-1</f>
        <v>-7.9958150451301391E-3</v>
      </c>
      <c r="R33" s="16">
        <f>Financials!P7/Financials!O7-1</f>
        <v>-6.7777433563958822E-2</v>
      </c>
      <c r="S33" s="16">
        <f>Financials!Q7/Financials!P7-1</f>
        <v>6.9996072384761465E-2</v>
      </c>
      <c r="T33" s="16">
        <f>Financials!R7/Financials!Q7-1</f>
        <v>6.6474127052629228E-3</v>
      </c>
      <c r="U33" s="16">
        <f>Financials!S7/Financials!R7-1</f>
        <v>4.2972383434967121E-3</v>
      </c>
      <c r="V33" s="16">
        <f>Financials!T7/Financials!S7-1</f>
        <v>3.4309326726753575E-3</v>
      </c>
      <c r="W33" s="16">
        <f>Financials!U7/Financials!T7-1</f>
        <v>-6.4304503318540762E-3</v>
      </c>
      <c r="X33" s="16">
        <f>Financials!V7/Financials!U7-1</f>
        <v>3.4953515032769555E-3</v>
      </c>
    </row>
    <row r="34" spans="2:24">
      <c r="B34" s="11">
        <v>4.3</v>
      </c>
      <c r="C34" s="12" t="s">
        <v>64</v>
      </c>
      <c r="D34" s="64" t="s">
        <v>48</v>
      </c>
      <c r="E34" s="16" t="e">
        <f>Financials!C31/Financials!#REF!-1</f>
        <v>#REF!</v>
      </c>
      <c r="F34" s="16">
        <f>Financials!D31/Financials!C31-1</f>
        <v>4.4673080526761666E-2</v>
      </c>
      <c r="G34" s="16">
        <f>Financials!E31/Financials!D31-1</f>
        <v>-7.3765895571266116E-3</v>
      </c>
      <c r="H34" s="16">
        <f>Financials!F31/Financials!E31-1</f>
        <v>-1.7268304778370491E-2</v>
      </c>
      <c r="I34" s="16">
        <f>Financials!G31/Financials!F31-1</f>
        <v>-1.2206952760919987E-2</v>
      </c>
      <c r="J34" s="16">
        <f>Financials!H31/Financials!G31-1</f>
        <v>2.7464677820860928E-2</v>
      </c>
      <c r="K34" s="16">
        <f>Financials!I31/Financials!H31-1</f>
        <v>5.8935351924308987E-2</v>
      </c>
      <c r="L34" s="16">
        <f>Financials!J31/Financials!I31-1</f>
        <v>1.7582735055041487E-2</v>
      </c>
      <c r="M34" s="16">
        <f>Financials!K31/Financials!J31-1</f>
        <v>-7.2772677029451227E-3</v>
      </c>
      <c r="N34" s="16">
        <f>Financials!L31/Financials!K31-1</f>
        <v>1.8687813724893143E-2</v>
      </c>
      <c r="O34" s="16">
        <f>Financials!M31/Financials!L31-1</f>
        <v>7.6013806760530267E-2</v>
      </c>
      <c r="P34" s="16">
        <f>Financials!N31/Financials!M31-1</f>
        <v>5.2639552234231557E-2</v>
      </c>
      <c r="Q34" s="16">
        <f>Financials!O31/Financials!N31-1</f>
        <v>1.2060276771607592E-2</v>
      </c>
      <c r="R34" s="16">
        <f>Financials!P31/Financials!O31-1</f>
        <v>-6.3570830423704483E-2</v>
      </c>
      <c r="S34" s="16">
        <f>Financials!Q31/Financials!P31-1</f>
        <v>7.6071230979114945E-2</v>
      </c>
      <c r="T34" s="16">
        <f>Financials!R31/Financials!Q31-1</f>
        <v>4.4414331008283847E-2</v>
      </c>
      <c r="U34" s="16">
        <f>Financials!S31/Financials!R31-1</f>
        <v>8.6837889642796817E-3</v>
      </c>
      <c r="V34" s="16">
        <f>Financials!T31/Financials!S31-1</f>
        <v>-1.2822444371466624E-2</v>
      </c>
      <c r="W34" s="16">
        <f>Financials!U31/Financials!T31-1</f>
        <v>-1.6938076839216554E-2</v>
      </c>
      <c r="X34" s="16">
        <f>Financials!V31/Financials!U31-1</f>
        <v>2.0817822492772642E-2</v>
      </c>
    </row>
    <row r="35" spans="2:24">
      <c r="B35" s="11">
        <v>4.4000000000000004</v>
      </c>
      <c r="C35" s="12" t="s">
        <v>65</v>
      </c>
      <c r="D35" s="64" t="s">
        <v>48</v>
      </c>
      <c r="E35" s="16" t="e">
        <f>Financials!C14/Financials!#REF!-1</f>
        <v>#REF!</v>
      </c>
      <c r="F35" s="16">
        <f>Financials!D14/Financials!C14-1</f>
        <v>0.37110248655815958</v>
      </c>
      <c r="G35" s="16">
        <f>Financials!E14/Financials!D14-1</f>
        <v>1.9036912843623188E-2</v>
      </c>
      <c r="H35" s="16">
        <f>Financials!F14/Financials!E14-1</f>
        <v>-0.19943039457470135</v>
      </c>
      <c r="I35" s="16">
        <f>Financials!G14/Financials!F14-1</f>
        <v>3.3701819031486613E-2</v>
      </c>
      <c r="J35" s="16">
        <f>Financials!H14/Financials!G14-1</f>
        <v>-1.0903993390323219E-2</v>
      </c>
      <c r="K35" s="16">
        <f>Financials!I14/Financials!H14-1</f>
        <v>4.343665120859308E-2</v>
      </c>
      <c r="L35" s="16">
        <f>Financials!J14/Financials!I14-1</f>
        <v>2.1357808904285402E-2</v>
      </c>
      <c r="M35" s="16">
        <f>Financials!K14/Financials!J14-1</f>
        <v>1.3280730919923878E-2</v>
      </c>
      <c r="N35" s="16">
        <f>Financials!L14/Financials!K14-1</f>
        <v>2.3459510940507577E-2</v>
      </c>
      <c r="O35" s="16">
        <f>Financials!M14/Financials!L14-1</f>
        <v>2.9700573631431526E-2</v>
      </c>
      <c r="P35" s="16">
        <f>Financials!N14/Financials!M14-1</f>
        <v>3.8041492573438918E-2</v>
      </c>
      <c r="Q35" s="16">
        <f>Financials!O14/Financials!N14-1</f>
        <v>0.15438677343474039</v>
      </c>
      <c r="R35" s="16">
        <f>Financials!P14/Financials!O14-1</f>
        <v>-0.24768931422832419</v>
      </c>
      <c r="S35" s="16">
        <f>Financials!Q14/Financials!P14-1</f>
        <v>0.35948305451555895</v>
      </c>
      <c r="T35" s="16">
        <f>Financials!R14/Financials!Q14-1</f>
        <v>5.079074064809852E-2</v>
      </c>
      <c r="U35" s="16">
        <f>Financials!S14/Financials!R14-1</f>
        <v>-2.1206725915135949E-2</v>
      </c>
      <c r="V35" s="16">
        <f>Financials!T14/Financials!S14-1</f>
        <v>-0.16730829160676219</v>
      </c>
      <c r="W35" s="16">
        <f>Financials!U14/Financials!T14-1</f>
        <v>6.9897087218151466E-3</v>
      </c>
      <c r="X35" s="16">
        <f>Financials!V14/Financials!U14-1</f>
        <v>2.2346646898455003E-2</v>
      </c>
    </row>
    <row r="36" spans="2:24">
      <c r="B36" s="11">
        <v>4.5</v>
      </c>
      <c r="C36" s="12" t="s">
        <v>66</v>
      </c>
      <c r="D36" s="64" t="s">
        <v>48</v>
      </c>
      <c r="E36" s="18" t="e">
        <f>Financials!C41/Financials!#REF!-1</f>
        <v>#REF!</v>
      </c>
      <c r="F36" s="18">
        <f>Financials!D41/Financials!C41-1</f>
        <v>-0.13173617119918002</v>
      </c>
      <c r="G36" s="18">
        <f>Financials!E41/Financials!D41-1</f>
        <v>6.9962781199750523E-5</v>
      </c>
      <c r="H36" s="18">
        <f>Financials!F41/Financials!E41-1</f>
        <v>0.17426687842452604</v>
      </c>
      <c r="I36" s="18">
        <f>Financials!G41/Financials!F41-1</f>
        <v>-1.1915159668851594E-4</v>
      </c>
      <c r="J36" s="18">
        <f>Financials!H41/Financials!G41-1</f>
        <v>-1.908988377323817E-2</v>
      </c>
      <c r="K36" s="18">
        <f>Financials!I41/Financials!H41-1</f>
        <v>6.0742464325747036E-5</v>
      </c>
      <c r="L36" s="18">
        <f>Financials!J41/Financials!I41-1</f>
        <v>-1.2147754980573744E-4</v>
      </c>
      <c r="M36" s="18">
        <f>Financials!K41/Financials!J41-1</f>
        <v>0</v>
      </c>
      <c r="N36" s="18">
        <f>Financials!L41/Financials!K41-1</f>
        <v>0</v>
      </c>
      <c r="O36" s="18">
        <f>Financials!M41/Financials!L41-1</f>
        <v>0</v>
      </c>
      <c r="P36" s="18">
        <f>Financials!N41/Financials!M41-1</f>
        <v>0</v>
      </c>
      <c r="Q36" s="18">
        <f>Financials!O41/Financials!N41-1</f>
        <v>0</v>
      </c>
      <c r="R36" s="18">
        <f>Financials!P41/Financials!O41-1</f>
        <v>0.12186580733763819</v>
      </c>
      <c r="S36" s="18">
        <f>Financials!Q41/Financials!P41-1</f>
        <v>-8.6968820175073791E-2</v>
      </c>
      <c r="T36" s="18">
        <f>Financials!R41/Financials!Q41-1</f>
        <v>0</v>
      </c>
      <c r="U36" s="18">
        <f>Financials!S41/Financials!R41-1</f>
        <v>0</v>
      </c>
      <c r="V36" s="18">
        <f>Financials!T41/Financials!S41-1</f>
        <v>0.1236583569290064</v>
      </c>
      <c r="W36" s="18">
        <f>Financials!U41/Financials!T41-1</f>
        <v>-2.3311844098391821E-2</v>
      </c>
      <c r="X36" s="18">
        <f>Financials!V41/Financials!U41-1</f>
        <v>-2.930013244637486E-4</v>
      </c>
    </row>
    <row r="37" spans="2:24">
      <c r="B37" s="11">
        <v>4.5999999999999996</v>
      </c>
      <c r="C37" s="12" t="s">
        <v>67</v>
      </c>
      <c r="D37" s="64" t="s">
        <v>48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</row>
    <row r="38" spans="2:24">
      <c r="B38" s="11"/>
      <c r="C38" s="12"/>
      <c r="D38" s="68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</row>
    <row r="39" spans="2:24">
      <c r="B39" s="13">
        <v>5</v>
      </c>
      <c r="C39" s="21" t="s">
        <v>68</v>
      </c>
      <c r="D39" s="68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</row>
    <row r="40" spans="2:24">
      <c r="B40" s="13">
        <v>5.0999999999999996</v>
      </c>
      <c r="C40" s="12" t="s">
        <v>69</v>
      </c>
      <c r="D40" s="64" t="s">
        <v>48</v>
      </c>
      <c r="E40" s="16" t="e">
        <f>Financials!C48/((Financials!C6+Financials!#REF!)/2)</f>
        <v>#REF!</v>
      </c>
      <c r="F40" s="16">
        <f>Financials!D48/((Financials!D6+Financials!C6)/2)</f>
        <v>0</v>
      </c>
      <c r="G40" s="16">
        <f>Financials!E48/((Financials!E6+Financials!D6)/2)</f>
        <v>0</v>
      </c>
      <c r="H40" s="16">
        <f>Financials!F48/((Financials!F6+Financials!E6)/2)</f>
        <v>0</v>
      </c>
      <c r="I40" s="16">
        <f>Financials!G48/((Financials!G6+Financials!F6)/2)</f>
        <v>0</v>
      </c>
      <c r="J40" s="16">
        <f>Financials!H48/((Financials!H6+Financials!G6)/2)</f>
        <v>0</v>
      </c>
      <c r="K40" s="16">
        <f>Financials!I48/((Financials!I6+Financials!H6)/2)</f>
        <v>0</v>
      </c>
      <c r="L40" s="16">
        <f>Financials!J48/((Financials!J6+Financials!I6)/2)</f>
        <v>0</v>
      </c>
      <c r="M40" s="16">
        <f>Financials!K48/((Financials!K6+Financials!J6)/2)</f>
        <v>0</v>
      </c>
      <c r="N40" s="16">
        <f>Financials!L48/((Financials!L6+Financials!K6)/2)</f>
        <v>2.0188301141196748E-3</v>
      </c>
      <c r="O40" s="16">
        <f>Financials!M48/((Financials!M6+Financials!L6)/2)</f>
        <v>0</v>
      </c>
      <c r="P40" s="16">
        <f>Financials!N48/((Financials!N6+Financials!M6)/2)</f>
        <v>0</v>
      </c>
      <c r="Q40" s="16">
        <f>Financials!O48/((Financials!O6+Financials!N6)/2)</f>
        <v>0</v>
      </c>
      <c r="R40" s="16">
        <f>Financials!P48/((Financials!P6+Financials!O6)/2)</f>
        <v>1.7773803007442128E-2</v>
      </c>
      <c r="S40" s="16">
        <f>Financials!Q48/((Financials!Q6+Financials!P6)/2)</f>
        <v>0</v>
      </c>
      <c r="T40" s="16">
        <f>Financials!R48/((Financials!R6+Financials!Q6)/2)</f>
        <v>0</v>
      </c>
      <c r="U40" s="16">
        <f>Financials!S48/((Financials!S6+Financials!R6)/2)</f>
        <v>0</v>
      </c>
      <c r="V40" s="16">
        <f>Financials!T48/((Financials!T6+Financials!S6)/2)</f>
        <v>0</v>
      </c>
      <c r="W40" s="16">
        <f>Financials!U48/((Financials!U6+Financials!T6)/2)</f>
        <v>0</v>
      </c>
      <c r="X40" s="16">
        <f>Financials!V48/((Financials!V6+Financials!U6)/2)</f>
        <v>0</v>
      </c>
    </row>
    <row r="41" spans="2:24">
      <c r="B41" s="13">
        <v>5.2</v>
      </c>
      <c r="C41" s="12" t="s">
        <v>70</v>
      </c>
      <c r="D41" s="64" t="s">
        <v>48</v>
      </c>
      <c r="E41" s="16" t="e">
        <f>Financials!C49/((Financials!C18+Financials!#REF!)/2)</f>
        <v>#REF!</v>
      </c>
      <c r="F41" s="16">
        <f>Financials!D49/((Financials!D18+Financials!C18)/2)</f>
        <v>0</v>
      </c>
      <c r="G41" s="16">
        <f>Financials!E49/((Financials!E18+Financials!D18)/2)</f>
        <v>0</v>
      </c>
      <c r="H41" s="16">
        <f>Financials!F49/((Financials!F18+Financials!E18)/2)</f>
        <v>0</v>
      </c>
      <c r="I41" s="16">
        <f>Financials!G49/((Financials!G18+Financials!F18)/2)</f>
        <v>0</v>
      </c>
      <c r="J41" s="16">
        <f>Financials!H49/((Financials!H18+Financials!G18)/2)</f>
        <v>0</v>
      </c>
      <c r="K41" s="16">
        <f>Financials!I49/((Financials!I18+Financials!H18)/2)</f>
        <v>0</v>
      </c>
      <c r="L41" s="16">
        <f>Financials!J49/((Financials!J18+Financials!I18)/2)</f>
        <v>0</v>
      </c>
      <c r="M41" s="16">
        <f>Financials!K49/((Financials!K18+Financials!J18)/2)</f>
        <v>0</v>
      </c>
      <c r="N41" s="16">
        <f>Financials!L49/((Financials!L18+Financials!K18)/2)</f>
        <v>0</v>
      </c>
      <c r="O41" s="16">
        <f>Financials!M49/((Financials!M18+Financials!L18)/2)</f>
        <v>0</v>
      </c>
      <c r="P41" s="16">
        <f>Financials!N49/((Financials!N18+Financials!M18)/2)</f>
        <v>0</v>
      </c>
      <c r="Q41" s="16">
        <f>Financials!O49/((Financials!O18+Financials!N18)/2)</f>
        <v>0</v>
      </c>
      <c r="R41" s="16">
        <f>Financials!P49/((Financials!P18+Financials!O18)/2)</f>
        <v>0</v>
      </c>
      <c r="S41" s="16">
        <f>Financials!Q49/((Financials!Q18+Financials!P18)/2)</f>
        <v>0</v>
      </c>
      <c r="T41" s="16">
        <f>Financials!R49/((Financials!R18+Financials!Q18)/2)</f>
        <v>0</v>
      </c>
      <c r="U41" s="16">
        <f>Financials!S49/((Financials!S18+Financials!R18)/2)</f>
        <v>0</v>
      </c>
      <c r="V41" s="16">
        <f>Financials!T49/((Financials!T18+Financials!S18)/2)</f>
        <v>0</v>
      </c>
      <c r="W41" s="16">
        <f>Financials!U49/((Financials!U18+Financials!T18)/2)</f>
        <v>0</v>
      </c>
      <c r="X41" s="16">
        <f>Financials!V49/((Financials!V18+Financials!U18)/2)</f>
        <v>0</v>
      </c>
    </row>
    <row r="42" spans="2:24">
      <c r="B42" s="13">
        <v>5.3</v>
      </c>
      <c r="C42" s="12" t="s">
        <v>71</v>
      </c>
      <c r="D42" s="64" t="s">
        <v>48</v>
      </c>
      <c r="E42" s="16" t="e">
        <f>Financials!C50/((Financials!C9+Financials!#REF!)/2)</f>
        <v>#REF!</v>
      </c>
      <c r="F42" s="16">
        <f>Financials!D50/((Financials!D9+Financials!C9)/2)</f>
        <v>1.0193230769230769E-2</v>
      </c>
      <c r="G42" s="16">
        <f>Financials!E50/((Financials!E9+Financials!D9)/2)</f>
        <v>0</v>
      </c>
      <c r="H42" s="16">
        <f>Financials!F50/((Financials!F9+Financials!E9)/2)</f>
        <v>0</v>
      </c>
      <c r="I42" s="16">
        <f>Financials!G50/((Financials!G9+Financials!F9)/2)</f>
        <v>9.1803885714285716E-2</v>
      </c>
      <c r="J42" s="16">
        <f>Financials!H50/((Financials!H9+Financials!G9)/2)</f>
        <v>0.15598144</v>
      </c>
      <c r="K42" s="16">
        <f>Financials!I50/((Financials!I9+Financials!H9)/2)</f>
        <v>0.31879671466666665</v>
      </c>
      <c r="L42" s="16">
        <f>Financials!J50/((Financials!J9+Financials!I9)/2)</f>
        <v>1.084710144</v>
      </c>
      <c r="M42" s="16" t="e">
        <f>Financials!K50/((Financials!K9+Financials!J9)/2)</f>
        <v>#DIV/0!</v>
      </c>
      <c r="N42" s="16" t="e">
        <f>Financials!L50/((Financials!L9+Financials!K9)/2)</f>
        <v>#DIV/0!</v>
      </c>
      <c r="O42" s="16" t="e">
        <f>Financials!M50/((Financials!M9+Financials!L9)/2)</f>
        <v>#DIV/0!</v>
      </c>
      <c r="P42" s="16" t="e">
        <f>Financials!N50/((Financials!N9+Financials!M9)/2)</f>
        <v>#DIV/0!</v>
      </c>
      <c r="Q42" s="16" t="e">
        <f>Financials!O50/((Financials!O9+Financials!N9)/2)</f>
        <v>#DIV/0!</v>
      </c>
      <c r="R42" s="16" t="e">
        <f>Financials!P50/((Financials!P9+Financials!O9)/2)</f>
        <v>#DIV/0!</v>
      </c>
      <c r="S42" s="16">
        <f>Financials!Q50/((Financials!Q9+Financials!P9)/2)</f>
        <v>2.5883199999999999E-2</v>
      </c>
      <c r="T42" s="16">
        <f>Financials!R50/((Financials!R9+Financials!Q9)/2)</f>
        <v>2.9428601749366467E-2</v>
      </c>
      <c r="U42" s="16">
        <f>Financials!S50/((Financials!S9+Financials!R9)/2)</f>
        <v>4.3743275478563742E-2</v>
      </c>
      <c r="V42" s="16">
        <f>Financials!T50/((Financials!T9+Financials!S9)/2)</f>
        <v>3.5170894892420229E-2</v>
      </c>
      <c r="W42" s="16">
        <f>Financials!U50/((Financials!U9+Financials!T9)/2)</f>
        <v>3.5697017552366483E-2</v>
      </c>
      <c r="X42" s="16">
        <f>Financials!V50/((Financials!V9+Financials!U9)/2)</f>
        <v>4.8214422228596746E-2</v>
      </c>
    </row>
    <row r="43" spans="2:24">
      <c r="B43" s="13">
        <v>5.4</v>
      </c>
      <c r="C43" s="12" t="s">
        <v>72</v>
      </c>
      <c r="D43" s="64" t="s">
        <v>48</v>
      </c>
      <c r="E43" s="16" t="e">
        <f>(Financials!C52+Financials!C53)/((Financials!C5+Financials!#REF!)/2)</f>
        <v>#REF!</v>
      </c>
      <c r="F43" s="16">
        <f>(Financials!D52+Financials!D53)/((Financials!D5+Financials!C5)/2)</f>
        <v>4.1749132825536382E-3</v>
      </c>
      <c r="G43" s="16">
        <f>(Financials!E52+Financials!E53)/((Financials!E5+Financials!D5)/2)</f>
        <v>6.9932672795665219E-3</v>
      </c>
      <c r="H43" s="16">
        <f>(Financials!F52+Financials!F53)/((Financials!F5+Financials!E5)/2)</f>
        <v>1.1626078920446554E-2</v>
      </c>
      <c r="I43" s="16">
        <f>(Financials!G52+Financials!G53)/((Financials!G5+Financials!F5)/2)</f>
        <v>1.5012798783850157E-2</v>
      </c>
      <c r="J43" s="16">
        <f>(Financials!H52+Financials!H53)/((Financials!H5+Financials!G5)/2)</f>
        <v>2.7130407495564762E-2</v>
      </c>
      <c r="K43" s="16">
        <f>(Financials!I52+Financials!I53)/((Financials!I5+Financials!H5)/2)</f>
        <v>3.0779441980142361E-2</v>
      </c>
      <c r="L43" s="16">
        <f>(Financials!J52+Financials!J53)/((Financials!J5+Financials!I5)/2)</f>
        <v>3.4689893710937267E-2</v>
      </c>
      <c r="M43" s="16">
        <f>(Financials!K52+Financials!K53)/((Financials!K5+Financials!J5)/2)</f>
        <v>3.8942197653674529E-2</v>
      </c>
      <c r="N43" s="16">
        <f>(Financials!L52+Financials!L53)/((Financials!L5+Financials!K5)/2)</f>
        <v>4.3646045078889473E-2</v>
      </c>
      <c r="O43" s="16">
        <f>(Financials!M52+Financials!M53)/((Financials!M5+Financials!L5)/2)</f>
        <v>4.6532652349397262E-2</v>
      </c>
      <c r="P43" s="16">
        <f>(Financials!N52+Financials!N53)/((Financials!N5+Financials!M5)/2)</f>
        <v>4.9923353518139958E-2</v>
      </c>
      <c r="Q43" s="16">
        <f>(Financials!O52+Financials!O53)/((Financials!O5+Financials!N5)/2)</f>
        <v>5.5172558798261565E-2</v>
      </c>
      <c r="R43" s="16">
        <f>(Financials!P52+Financials!P53)/((Financials!P5+Financials!O5)/2)</f>
        <v>5.4730155654328289E-2</v>
      </c>
      <c r="S43" s="16">
        <f>(Financials!Q52+Financials!Q53)/((Financials!Q5+Financials!P5)/2)</f>
        <v>4.3229690624296694E-3</v>
      </c>
      <c r="T43" s="16">
        <f>(Financials!R52+Financials!R53)/((Financials!R5+Financials!Q5)/2)</f>
        <v>1.0498978475288325E-2</v>
      </c>
      <c r="U43" s="16">
        <f>(Financials!S52+Financials!S53)/((Financials!S5+Financials!R5)/2)</f>
        <v>1.3584396636944157E-2</v>
      </c>
      <c r="V43" s="16">
        <f>(Financials!T52+Financials!T53)/((Financials!T5+Financials!S5)/2)</f>
        <v>1.6905624647268403E-2</v>
      </c>
      <c r="W43" s="16">
        <f>(Financials!U52+Financials!U53)/((Financials!U5+Financials!T5)/2)</f>
        <v>2.4119143929956875E-2</v>
      </c>
      <c r="X43" s="16">
        <f>(Financials!V52+Financials!V53)/((Financials!V5+Financials!U5)/2)</f>
        <v>2.9093450013703108E-2</v>
      </c>
    </row>
    <row r="44" spans="2:24">
      <c r="B44" s="13">
        <v>5.5</v>
      </c>
      <c r="C44" s="12" t="s">
        <v>73</v>
      </c>
      <c r="D44" s="64" t="s">
        <v>48</v>
      </c>
      <c r="E44" s="16" t="e">
        <f>Financials!C42/((Financials!C31+Financials!#REF!)/2)</f>
        <v>#REF!</v>
      </c>
      <c r="F44" s="16">
        <f>Financials!D42/((Financials!D31+Financials!C31)/2)</f>
        <v>0</v>
      </c>
      <c r="G44" s="16">
        <f>Financials!E42/((Financials!E31+Financials!D31)/2)</f>
        <v>0</v>
      </c>
      <c r="H44" s="16">
        <f>Financials!F42/((Financials!F31+Financials!E31)/2)</f>
        <v>0</v>
      </c>
      <c r="I44" s="16">
        <f>Financials!G42/((Financials!G31+Financials!F31)/2)</f>
        <v>0</v>
      </c>
      <c r="J44" s="16">
        <f>Financials!H42/((Financials!H31+Financials!G31)/2)</f>
        <v>0</v>
      </c>
      <c r="K44" s="16">
        <f>Financials!I42/((Financials!I31+Financials!H31)/2)</f>
        <v>0</v>
      </c>
      <c r="L44" s="16">
        <f>Financials!J42/((Financials!J31+Financials!I31)/2)</f>
        <v>0</v>
      </c>
      <c r="M44" s="16">
        <f>Financials!K42/((Financials!K31+Financials!J31)/2)</f>
        <v>4.3339560800616565E-2</v>
      </c>
      <c r="N44" s="16">
        <f>Financials!L42/((Financials!L31+Financials!K31)/2)</f>
        <v>0</v>
      </c>
      <c r="O44" s="16">
        <f>Financials!M42/((Financials!M31+Financials!L31)/2)</f>
        <v>0</v>
      </c>
      <c r="P44" s="16">
        <f>Financials!N42/((Financials!N31+Financials!M31)/2)</f>
        <v>0</v>
      </c>
      <c r="Q44" s="16">
        <f>Financials!O42/((Financials!O31+Financials!N31)/2)</f>
        <v>0</v>
      </c>
      <c r="R44" s="16">
        <f>Financials!P42/((Financials!P31+Financials!O31)/2)</f>
        <v>3.5215507088993833E-2</v>
      </c>
      <c r="S44" s="16">
        <f>Financials!Q42/((Financials!Q31+Financials!P31)/2)</f>
        <v>0</v>
      </c>
      <c r="T44" s="16">
        <f>Financials!R42/((Financials!R31+Financials!Q31)/2)</f>
        <v>0</v>
      </c>
      <c r="U44" s="16">
        <f>Financials!S42/((Financials!S31+Financials!R31)/2)</f>
        <v>3.6098118417170193E-2</v>
      </c>
      <c r="V44" s="16">
        <f>Financials!T42/((Financials!T31+Financials!S31)/2)</f>
        <v>0</v>
      </c>
      <c r="W44" s="16">
        <f>Financials!U42/((Financials!U31+Financials!T31)/2)</f>
        <v>0</v>
      </c>
      <c r="X44" s="16">
        <f>Financials!V42/((Financials!V31+Financials!U31)/2)</f>
        <v>0</v>
      </c>
    </row>
    <row r="45" spans="2:24">
      <c r="B45" s="13"/>
      <c r="C45" s="21"/>
      <c r="D45" s="68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2:24">
      <c r="B46" s="13">
        <v>6</v>
      </c>
      <c r="C46" s="21" t="s">
        <v>74</v>
      </c>
      <c r="D46" s="68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</row>
    <row r="47" spans="2:24">
      <c r="B47" s="13">
        <v>6.1</v>
      </c>
      <c r="C47" s="12" t="s">
        <v>75</v>
      </c>
      <c r="D47" s="69">
        <v>0.15</v>
      </c>
      <c r="E47" s="16">
        <f>(SFP!B4+SFP!B11)/(SFP!B31+SFP!B34+SFP!B35+SFP!B36+SFP!B37+SFP!B38)</f>
        <v>0.18365786085752861</v>
      </c>
      <c r="F47" s="16">
        <f>(SFP!C4+SFP!C11)/(SFP!C31+SFP!C34+SFP!C35+SFP!C36+SFP!C37+SFP!C38)</f>
        <v>0.19181053927842773</v>
      </c>
      <c r="G47" s="16">
        <f>(SFP!D4+SFP!D11)/(SFP!D31+SFP!D34+SFP!D35+SFP!D36+SFP!D37+SFP!D38)</f>
        <v>0.22328525490111617</v>
      </c>
      <c r="H47" s="16">
        <f>(SFP!E4+SFP!E11)/(SFP!E31+SFP!E34+SFP!E35+SFP!E36+SFP!E37+SFP!E38)</f>
        <v>0.23888694416353098</v>
      </c>
      <c r="I47" s="16">
        <f>(SFP!F4+SFP!F11)/(SFP!F31+SFP!F34+SFP!F35+SFP!F36+SFP!F37+SFP!F38)</f>
        <v>0.22276455095321093</v>
      </c>
      <c r="J47" s="16">
        <f>(SFP!G4+SFP!G11)/(SFP!G31+SFP!G34+SFP!G35+SFP!G36+SFP!G37+SFP!G38)</f>
        <v>0.19607061601493569</v>
      </c>
      <c r="K47" s="16">
        <f>(SFP!H4+SFP!H11)/(SFP!H31+SFP!H34+SFP!H35+SFP!H36+SFP!H37+SFP!H38)</f>
        <v>0.15617273179816715</v>
      </c>
      <c r="L47" s="16">
        <f>(SFP!I4+SFP!I11)/(SFP!I31+SFP!I34+SFP!I35+SFP!I36+SFP!I37+SFP!I38)</f>
        <v>0.1596948156499772</v>
      </c>
      <c r="M47" s="16">
        <f>(SFP!J4+SFP!J11)/(SFP!J31+SFP!J34+SFP!J35+SFP!J36+SFP!J37+SFP!J38)</f>
        <v>0.15297495200558439</v>
      </c>
      <c r="N47" s="16">
        <f>(SFP!K4+SFP!K11)/(SFP!K31+SFP!K34+SFP!K35+SFP!K36+SFP!K37+SFP!K38)</f>
        <v>0.13543169244206738</v>
      </c>
      <c r="O47" s="16">
        <f>(SFP!L4+SFP!L11)/(SFP!L31+SFP!L34+SFP!L35+SFP!L36+SFP!L37+SFP!L38)</f>
        <v>9.3947689638117379E-2</v>
      </c>
      <c r="P47" s="16">
        <f>(SFP!M4+SFP!M11)/(SFP!M31+SFP!M34+SFP!M35+SFP!M36+SFP!M37+SFP!M38)</f>
        <v>5.8181434964657192E-2</v>
      </c>
      <c r="Q47" s="16">
        <f>(SFP!N4+SFP!N11)/(SFP!N31+SFP!N34+SFP!N35+SFP!N36+SFP!N37+SFP!N38)</f>
        <v>6.3923436842858047E-2</v>
      </c>
      <c r="R47" s="16">
        <f>(SFP!O4+SFP!O11)/(SFP!O31+SFP!O34+SFP!O35+SFP!O36+SFP!O37+SFP!O38)</f>
        <v>6.935660276762709E-2</v>
      </c>
      <c r="S47" s="16">
        <f>(SFP!P4+SFP!P11)/(SFP!P31+SFP!P34+SFP!P35+SFP!P36+SFP!P37+SFP!P38)</f>
        <v>9.619980274597624E-2</v>
      </c>
      <c r="T47" s="16">
        <f>(SFP!Q4+SFP!Q11)/(SFP!Q31+SFP!Q34+SFP!Q35+SFP!Q36+SFP!Q37+SFP!Q38)</f>
        <v>6.921395345473802E-2</v>
      </c>
      <c r="U47" s="16">
        <f>(SFP!R4+SFP!R11)/(SFP!R31+SFP!R34+SFP!R35+SFP!R36+SFP!R37+SFP!R38)</f>
        <v>6.2763470215943404E-2</v>
      </c>
      <c r="V47" s="16">
        <f>(SFP!S4+SFP!S11)/(SFP!S31+SFP!S34+SFP!S35+SFP!S36+SFP!S37+SFP!S38)</f>
        <v>0.11339687668291717</v>
      </c>
      <c r="W47" s="16">
        <f>(SFP!T4+SFP!T11)/(SFP!T31+SFP!T34+SFP!T35+SFP!T36+SFP!T37+SFP!T38)</f>
        <v>0.10413366172105623</v>
      </c>
      <c r="X47" s="16">
        <f>(SFP!U4+SFP!U11)/(SFP!U31+SFP!U34+SFP!U35+SFP!U36+SFP!U37+SFP!U38)</f>
        <v>0.10538229905593208</v>
      </c>
    </row>
    <row r="48" spans="2:24">
      <c r="B48" s="13"/>
      <c r="C48" s="12" t="s">
        <v>76</v>
      </c>
      <c r="D48" s="68"/>
      <c r="E48" s="25">
        <f>(SFP!B4+SFP!B11)/(SFP!B32+SFP!B34+SFP!B35+SFP!B36+SFP!B37+SFP!B38)</f>
        <v>0.16552522402183961</v>
      </c>
      <c r="F48" s="25">
        <f>(SFP!C4+SFP!C11)/(SFP!C32+SFP!C34+SFP!C35+SFP!C36+SFP!C37+SFP!C38)</f>
        <v>0.18006217835686369</v>
      </c>
      <c r="G48" s="25">
        <f>(SFP!D4+SFP!D11)/(SFP!D32+SFP!D34+SFP!D35+SFP!D36+SFP!D37+SFP!D38)</f>
        <v>0.20824016310328003</v>
      </c>
      <c r="H48" s="25">
        <f>(SFP!E4+SFP!E11)/(SFP!E32+SFP!E34+SFP!E35+SFP!E36+SFP!E37+SFP!E38)</f>
        <v>0.21215703744704595</v>
      </c>
      <c r="I48" s="25">
        <f>(SFP!F4+SFP!F11)/(SFP!F32+SFP!F34+SFP!F35+SFP!F36+SFP!F37+SFP!F38)</f>
        <v>0.20545350585304328</v>
      </c>
      <c r="J48" s="25">
        <f>(SFP!G4+SFP!G11)/(SFP!G32+SFP!G34+SFP!G35+SFP!G36+SFP!G37+SFP!G38)</f>
        <v>0.18232973106535907</v>
      </c>
      <c r="K48" s="25">
        <f>(SFP!H4+SFP!H11)/(SFP!H32+SFP!H34+SFP!H35+SFP!H36+SFP!H37+SFP!H38)</f>
        <v>0.14513935759455807</v>
      </c>
      <c r="L48" s="25">
        <f>(SFP!I4+SFP!I11)/(SFP!I32+SFP!I34+SFP!I35+SFP!I36+SFP!I37+SFP!I38)</f>
        <v>0.14837518265820226</v>
      </c>
      <c r="M48" s="25">
        <f>(SFP!J4+SFP!J11)/(SFP!J32+SFP!J34+SFP!J35+SFP!J36+SFP!J37+SFP!J38)</f>
        <v>0.14301273157728545</v>
      </c>
      <c r="N48" s="25">
        <f>(SFP!K4+SFP!K11)/(SFP!K32+SFP!K34+SFP!K35+SFP!K36+SFP!K37+SFP!K38)</f>
        <v>0.12724673297960098</v>
      </c>
      <c r="O48" s="25">
        <f>(SFP!L4+SFP!L11)/(SFP!L32+SFP!L34+SFP!L35+SFP!L36+SFP!L37+SFP!L38)</f>
        <v>8.8075278899932302E-2</v>
      </c>
      <c r="P48" s="25">
        <f>(SFP!M4+SFP!M11)/(SFP!M32+SFP!M34+SFP!M35+SFP!M36+SFP!M37+SFP!M38)</f>
        <v>5.4855658701766036E-2</v>
      </c>
      <c r="Q48" s="25">
        <f>(SFP!N4+SFP!N11)/(SFP!N32+SFP!N34+SFP!N35+SFP!N36+SFP!N37+SFP!N38)</f>
        <v>5.9762275075228112E-2</v>
      </c>
      <c r="R48" s="25">
        <f>(SFP!O4+SFP!O11)/(SFP!O32+SFP!O34+SFP!O35+SFP!O36+SFP!O37+SFP!O38)</f>
        <v>6.0503893100934895E-2</v>
      </c>
      <c r="S48" s="25">
        <f>(SFP!P4+SFP!P11)/(SFP!P32+SFP!P34+SFP!P35+SFP!P36+SFP!P37+SFP!P38)</f>
        <v>8.9052647755940129E-2</v>
      </c>
      <c r="T48" s="25">
        <f>(SFP!Q4+SFP!Q11)/(SFP!Q32+SFP!Q34+SFP!Q35+SFP!Q36+SFP!Q37+SFP!Q38)</f>
        <v>6.4348380555019846E-2</v>
      </c>
      <c r="U48" s="25">
        <f>(SFP!R4+SFP!R11)/(SFP!R32+SFP!R34+SFP!R35+SFP!R36+SFP!R37+SFP!R38)</f>
        <v>5.8443072866392554E-2</v>
      </c>
      <c r="V48" s="25">
        <f>(SFP!S4+SFP!S11)/(SFP!S32+SFP!S34+SFP!S35+SFP!S36+SFP!S37+SFP!S38)</f>
        <v>0.10339403108419576</v>
      </c>
      <c r="W48" s="25">
        <f>(SFP!T4+SFP!T11)/(SFP!T32+SFP!T34+SFP!T35+SFP!T36+SFP!T37+SFP!T38)</f>
        <v>9.6691188224736158E-2</v>
      </c>
      <c r="X48" s="25">
        <f>(SFP!U4+SFP!U11)/(SFP!U32+SFP!U34+SFP!U35+SFP!U36+SFP!U37+SFP!U38)</f>
        <v>9.6158471188364861E-2</v>
      </c>
    </row>
    <row r="49" spans="2:24">
      <c r="B49" s="81">
        <v>7</v>
      </c>
      <c r="C49" s="82" t="s">
        <v>77</v>
      </c>
      <c r="D49" s="70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</row>
    <row r="50" spans="2:24">
      <c r="B50" s="81">
        <v>7.1</v>
      </c>
      <c r="C50" s="83" t="s">
        <v>78</v>
      </c>
      <c r="D50" s="84">
        <v>1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</row>
    <row r="51" spans="2:24">
      <c r="B51" s="81">
        <v>7.2</v>
      </c>
      <c r="C51" s="71" t="s">
        <v>79</v>
      </c>
      <c r="D51" s="70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</row>
    <row r="52" spans="2:24">
      <c r="B52" s="81"/>
      <c r="C52" s="71" t="s">
        <v>80</v>
      </c>
      <c r="D52" s="70"/>
      <c r="E52" s="71">
        <f>SCI!B5/SFP!B14</f>
        <v>0.15516546853952246</v>
      </c>
      <c r="F52" s="71">
        <f>SCI!C5/SFP!C14</f>
        <v>1.2729826483700239E-2</v>
      </c>
      <c r="G52" s="71">
        <f>SCI!D5/SFP!D14</f>
        <v>2.1156747232266321E-2</v>
      </c>
      <c r="H52" s="71">
        <f>SCI!E5/SFP!E14</f>
        <v>3.4718171903182667E-2</v>
      </c>
      <c r="I52" s="71">
        <f>SCI!F5/SFP!F14</f>
        <v>4.6740427196210778E-2</v>
      </c>
      <c r="J52" s="71">
        <f>SCI!G5/SFP!G14</f>
        <v>5.7079218413027176E-2</v>
      </c>
      <c r="K52" s="71">
        <f>SCI!H5/SFP!H14</f>
        <v>6.454444932992312E-2</v>
      </c>
      <c r="L52" s="71">
        <f>SCI!I5/SFP!I14</f>
        <v>7.3785911354660394E-2</v>
      </c>
      <c r="M52" s="71">
        <f>SCI!J5/SFP!J14</f>
        <v>8.4120292203782754E-2</v>
      </c>
      <c r="N52" s="71">
        <f>SCI!K5/SFP!K14</f>
        <v>9.2762857704027923E-2</v>
      </c>
      <c r="O52" s="71">
        <f>SCI!L5/SFP!L14</f>
        <v>9.6485956270470394E-2</v>
      </c>
      <c r="P52" s="71">
        <f>SCI!M5/SFP!M14</f>
        <v>0.1019466045373541</v>
      </c>
      <c r="Q52" s="71">
        <f>SCI!N5/SFP!N14</f>
        <v>0.11013607123148433</v>
      </c>
      <c r="R52" s="71">
        <f>SCI!O5/SFP!O14</f>
        <v>0.11761281418528466</v>
      </c>
      <c r="S52" s="71">
        <f>SCI!P5/SFP!P14</f>
        <v>1.0616197946672496E-2</v>
      </c>
      <c r="T52" s="71">
        <f>SCI!Q5/SFP!Q14</f>
        <v>2.858478772977998E-2</v>
      </c>
      <c r="U52" s="71">
        <f>SCI!R5/SFP!R14</f>
        <v>3.1519496459702603E-2</v>
      </c>
      <c r="V52" s="71">
        <f>SCI!S5/SFP!S14</f>
        <v>4.2403517783978363E-2</v>
      </c>
      <c r="W52" s="71">
        <f>SCI!T5/SFP!T14</f>
        <v>5.335797296456022E-2</v>
      </c>
      <c r="X52" s="71">
        <f>SCI!U5/SFP!U14</f>
        <v>6.2115694006755963E-2</v>
      </c>
    </row>
    <row r="53" spans="2:24">
      <c r="B53" s="81"/>
      <c r="C53" s="71" t="s">
        <v>81</v>
      </c>
      <c r="D53" s="70"/>
      <c r="E53" s="71">
        <f>Financials!C32/Financials!C5</f>
        <v>0.71580215453115736</v>
      </c>
      <c r="F53" s="71">
        <f>Financials!D32/Financials!D5</f>
        <v>0.68307191499544795</v>
      </c>
      <c r="G53" s="71">
        <f>Financials!E32/Financials!E5</f>
        <v>0.66485885617798002</v>
      </c>
      <c r="H53" s="71">
        <f>Financials!F32/Financials!F5</f>
        <v>0.65686173046678387</v>
      </c>
      <c r="I53" s="71">
        <f>Financials!G32/Financials!G5</f>
        <v>0.65933322911625125</v>
      </c>
      <c r="J53" s="71">
        <f>Financials!H32/Financials!H5</f>
        <v>0.67654829963275298</v>
      </c>
      <c r="K53" s="71">
        <f>Financials!I32/Financials!I5</f>
        <v>0.70696700427337822</v>
      </c>
      <c r="L53" s="71">
        <f>Financials!J32/Financials!J5</f>
        <v>0.70402944424391189</v>
      </c>
      <c r="M53" s="71">
        <f>Financials!K32/Financials!K5</f>
        <v>0.70234903053769215</v>
      </c>
      <c r="N53" s="71">
        <f>Financials!L32/Financials!L5</f>
        <v>0.71410078954866452</v>
      </c>
      <c r="O53" s="71">
        <f>Financials!M32/Financials!M5</f>
        <v>0.74881528822611509</v>
      </c>
      <c r="P53" s="71">
        <f>Financials!N32/Financials!N5</f>
        <v>0.77767349689119636</v>
      </c>
      <c r="Q53" s="71">
        <f>Financials!O32/Financials!O5</f>
        <v>0.77690518026925914</v>
      </c>
      <c r="R53" s="71">
        <f>Financials!P32/Financials!P5</f>
        <v>0.82257319584653821</v>
      </c>
      <c r="S53" s="71">
        <f>Financials!Q32/Financials!Q5</f>
        <v>0.76025129647120926</v>
      </c>
      <c r="T53" s="71">
        <f>Financials!R32/Financials!R5</f>
        <v>0.78306892108741633</v>
      </c>
      <c r="U53" s="71">
        <f>Financials!S32/Financials!S5</f>
        <v>0.79307263980201259</v>
      </c>
      <c r="V53" s="71">
        <f>Financials!T32/Financials!T5</f>
        <v>0.76211891074922167</v>
      </c>
      <c r="W53" s="71">
        <f>Financials!U32/Financials!U5</f>
        <v>0.7646315822191434</v>
      </c>
      <c r="X53" s="71">
        <f>Financials!V32/Financials!V5</f>
        <v>0.76635572356393411</v>
      </c>
    </row>
    <row r="54" spans="2:24" s="2" customFormat="1">
      <c r="B54" s="85">
        <v>8</v>
      </c>
      <c r="C54" s="74" t="s">
        <v>82</v>
      </c>
      <c r="D54" s="73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</row>
    <row r="55" spans="2:24">
      <c r="B55" s="80">
        <v>8.1</v>
      </c>
      <c r="C55" s="71" t="s">
        <v>83</v>
      </c>
      <c r="D55" s="70"/>
      <c r="E55" s="72" t="e">
        <f>SCI!B33/(SFP!#REF!+SFP!B27/2)</f>
        <v>#REF!</v>
      </c>
      <c r="F55" s="72">
        <f>SCI!C33/(SFP!B27+SFP!C27/2)</f>
        <v>2.3535014005905274E-3</v>
      </c>
      <c r="G55" s="72">
        <f>SCI!D33/(SFP!C27+SFP!D27/2)</f>
        <v>5.237728651113673E-3</v>
      </c>
      <c r="H55" s="72">
        <f>SCI!E33/(SFP!D27+SFP!E27/2)</f>
        <v>8.3831585511112364E-3</v>
      </c>
      <c r="I55" s="72">
        <f>SCI!F33/(SFP!E27+SFP!F27/2)</f>
        <v>1.2347455925436655E-2</v>
      </c>
      <c r="J55" s="72">
        <f>SCI!G33/(SFP!F27+SFP!G27/2)</f>
        <v>1.1156073243932741E-2</v>
      </c>
      <c r="K55" s="72">
        <f>SCI!H33/(SFP!G27+SFP!H27/2)</f>
        <v>1.7683239491080052E-2</v>
      </c>
      <c r="L55" s="72">
        <f>SCI!I33/(SFP!H27+SFP!I27/2)</f>
        <v>2.0233591976862642E-2</v>
      </c>
      <c r="M55" s="72">
        <f>SCI!J33/(SFP!I27+SFP!J27/2)</f>
        <v>2.1646167779222084E-2</v>
      </c>
      <c r="N55" s="72">
        <f>SCI!K33/(SFP!J27+SFP!K27/2)</f>
        <v>2.4834150110575662E-2</v>
      </c>
      <c r="O55" s="72">
        <f>SCI!L33/(SFP!K27+SFP!L27/2)</f>
        <v>2.9794215743760448E-2</v>
      </c>
      <c r="P55" s="72">
        <f>SCI!M33/(SFP!L27+SFP!M27/2)</f>
        <v>3.4467286656822534E-2</v>
      </c>
      <c r="Q55" s="72">
        <f>SCI!N33/(SFP!M27+SFP!N27/2)</f>
        <v>4.3749640619108306E-2</v>
      </c>
      <c r="R55" s="72">
        <f>SCI!O33/(SFP!N27+SFP!O27/2)</f>
        <v>1.478657672985545E-2</v>
      </c>
      <c r="S55" s="72">
        <f>SCI!P33/(SFP!O27+SFP!P27/2)</f>
        <v>3.3115881765613951E-3</v>
      </c>
      <c r="T55" s="72">
        <f>SCI!Q33/(SFP!P27+SFP!Q27/2)</f>
        <v>1.1416835669034229E-2</v>
      </c>
      <c r="U55" s="72">
        <f>SCI!R33/(SFP!Q27+SFP!R27/2)</f>
        <v>1.0579927839833058E-2</v>
      </c>
      <c r="V55" s="72">
        <f>SCI!S33/(SFP!R27+SFP!S27/2)</f>
        <v>1.420781984796218E-2</v>
      </c>
      <c r="W55" s="72">
        <f>SCI!T33/(SFP!S27+SFP!T27/2)</f>
        <v>1.5170836769892141E-2</v>
      </c>
      <c r="X55" s="72">
        <f>SCI!U33/(SFP!T27+SFP!U27/2)</f>
        <v>1.8378752718610232E-2</v>
      </c>
    </row>
    <row r="56" spans="2:24">
      <c r="B56" s="80">
        <v>8.1999999999999993</v>
      </c>
      <c r="C56" s="71" t="s">
        <v>84</v>
      </c>
      <c r="D56" s="70"/>
      <c r="E56" s="72">
        <f>SCI!B23/SCI!B19</f>
        <v>0.76315745779262789</v>
      </c>
      <c r="F56" s="72">
        <f>SCI!C23/SCI!C19</f>
        <v>0.68350577018292957</v>
      </c>
      <c r="G56" s="72">
        <f>SCI!D23/SCI!D19</f>
        <v>0.62278961592304793</v>
      </c>
      <c r="H56" s="72">
        <f>SCI!E23/SCI!E19</f>
        <v>0.61327025166730986</v>
      </c>
      <c r="I56" s="72">
        <f>SCI!F23/SCI!F19</f>
        <v>0.58301627652151111</v>
      </c>
      <c r="J56" s="72">
        <f>SCI!G23/SCI!G19</f>
        <v>0.70959921910395174</v>
      </c>
      <c r="K56" s="72">
        <f>SCI!H23/SCI!H19</f>
        <v>0.64173718888023579</v>
      </c>
      <c r="L56" s="72">
        <f>SCI!I23/SCI!I19</f>
        <v>0.64122767296140371</v>
      </c>
      <c r="M56" s="72">
        <f>SCI!J23/SCI!J19</f>
        <v>0.65666166221951638</v>
      </c>
      <c r="N56" s="72">
        <f>SCI!K23/SCI!K19</f>
        <v>0.65261110361160646</v>
      </c>
      <c r="O56" s="72">
        <f>SCI!L23/SCI!L19</f>
        <v>0.62950070728870622</v>
      </c>
      <c r="P56" s="72">
        <f>SCI!M23/SCI!M19</f>
        <v>0.61265882622462364</v>
      </c>
      <c r="Q56" s="72">
        <f>SCI!N23/SCI!N19</f>
        <v>0.57694134423905485</v>
      </c>
      <c r="R56" s="72">
        <f>SCI!O23/SCI!O19</f>
        <v>0.66623400273701172</v>
      </c>
      <c r="S56" s="72">
        <f>SCI!P23/SCI!P19</f>
        <v>0.60615999353016803</v>
      </c>
      <c r="T56" s="72">
        <f>SCI!Q23/SCI!Q19</f>
        <v>0.49631400197666359</v>
      </c>
      <c r="U56" s="72">
        <f>SCI!R23/SCI!R19</f>
        <v>0.58922512790249415</v>
      </c>
      <c r="V56" s="72">
        <f>SCI!S23/SCI!S19</f>
        <v>0.57475165251092886</v>
      </c>
      <c r="W56" s="72">
        <f>SCI!T23/SCI!T19</f>
        <v>0.62733734191317059</v>
      </c>
      <c r="X56" s="72">
        <f>SCI!U23/SCI!U19</f>
        <v>0.62732526579369519</v>
      </c>
    </row>
    <row r="57" spans="2:24">
      <c r="B57" s="80">
        <v>8.3000000000000007</v>
      </c>
      <c r="C57" s="80" t="s">
        <v>85</v>
      </c>
      <c r="D57" s="70"/>
      <c r="E57" s="72">
        <f>SCI!B23/SFP!B27</f>
        <v>8.3971703333586639E-2</v>
      </c>
      <c r="F57" s="72">
        <f>SCI!C23/SFP!C27</f>
        <v>7.4018939192138393E-3</v>
      </c>
      <c r="G57" s="72">
        <f>SCI!D23/SFP!D27</f>
        <v>1.2803526539509408E-2</v>
      </c>
      <c r="H57" s="72">
        <f>SCI!E23/SFP!E27</f>
        <v>2.0011715202018991E-2</v>
      </c>
      <c r="I57" s="72">
        <f>SCI!F23/SFP!F27</f>
        <v>2.6174962518049648E-2</v>
      </c>
      <c r="J57" s="72">
        <f>SCI!G23/SFP!G27</f>
        <v>4.0854134147030374E-2</v>
      </c>
      <c r="K57" s="72">
        <f>SCI!H23/SFP!H27</f>
        <v>4.7094590058034319E-2</v>
      </c>
      <c r="L57" s="72">
        <f>SCI!I23/SFP!I27</f>
        <v>5.3472204116821291E-2</v>
      </c>
      <c r="M57" s="72">
        <f>SCI!J23/SFP!J27</f>
        <v>6.2303953244171748E-2</v>
      </c>
      <c r="N57" s="72">
        <f>SCI!K23/SFP!K27</f>
        <v>6.9891260798895544E-2</v>
      </c>
      <c r="O57" s="72">
        <f>SCI!L23/SFP!L27</f>
        <v>7.4644157332997688E-2</v>
      </c>
      <c r="P57" s="72">
        <f>SCI!M23/SFP!M27</f>
        <v>8.1045228242174902E-2</v>
      </c>
      <c r="Q57" s="72">
        <f>SCI!N23/SFP!N27</f>
        <v>8.8725377613691661E-2</v>
      </c>
      <c r="R57" s="72">
        <f>SCI!O23/SFP!O27</f>
        <v>9.9678718158389773E-2</v>
      </c>
      <c r="S57" s="72">
        <f>SCI!P23/SFP!P27</f>
        <v>7.2233158001434429E-3</v>
      </c>
      <c r="T57" s="72">
        <f>SCI!Q23/SFP!Q27</f>
        <v>1.6719487960714024E-2</v>
      </c>
      <c r="U57" s="72">
        <f>SCI!R23/SFP!R27</f>
        <v>2.2825699959022266E-2</v>
      </c>
      <c r="V57" s="72">
        <f>SCI!S23/SFP!S27</f>
        <v>2.8294433257311014E-2</v>
      </c>
      <c r="W57" s="72">
        <f>SCI!T23/SFP!T27</f>
        <v>3.8833373743193941E-2</v>
      </c>
      <c r="X57" s="72">
        <f>SCI!U23/SFP!U27</f>
        <v>4.5842999601955217E-2</v>
      </c>
    </row>
    <row r="58" spans="2:24">
      <c r="B58" s="80"/>
      <c r="C58" s="80" t="s">
        <v>86</v>
      </c>
      <c r="D58" s="70"/>
      <c r="E58" s="86">
        <f>(Financials!C36+Financials!C29)/Financials!C5</f>
        <v>0.12818751630794267</v>
      </c>
      <c r="F58" s="86">
        <f>(Financials!D36+Financials!D29)/Financials!D5</f>
        <v>0.133472983927058</v>
      </c>
      <c r="G58" s="86">
        <f>(Financials!E36+Financials!E29)/Financials!E5</f>
        <v>0.15494496041625297</v>
      </c>
      <c r="H58" s="86">
        <f>(Financials!F36+Financials!F29)/Financials!F5</f>
        <v>0.16845762906530812</v>
      </c>
      <c r="I58" s="86">
        <f>(Financials!G36+Financials!G29)/Financials!G5</f>
        <v>0.16155949058303601</v>
      </c>
      <c r="J58" s="86">
        <f>(Financials!H36+Financials!H29)/Financials!H5</f>
        <v>0.1442731223762185</v>
      </c>
      <c r="K58" s="86">
        <f>(Financials!I36+Financials!I29)/Financials!I5</f>
        <v>0.11431863134483117</v>
      </c>
      <c r="L58" s="86">
        <f>(Financials!J36+Financials!J29)/Financials!J5</f>
        <v>0.11723166951619958</v>
      </c>
      <c r="M58" s="86">
        <f>(Financials!K36+Financials!K29)/Financials!K5</f>
        <v>0.11244628045953628</v>
      </c>
      <c r="N58" s="86">
        <f>(Financials!L36+Financials!L29)/Financials!L5</f>
        <v>9.9465402634488637E-2</v>
      </c>
      <c r="O58" s="86">
        <f>(Financials!M36+Financials!M29)/Financials!M5</f>
        <v>6.8779215160140197E-2</v>
      </c>
      <c r="P58" s="86">
        <f>(Financials!N36+Financials!N29)/Financials!N5</f>
        <v>4.2547481014098429E-2</v>
      </c>
      <c r="Q58" s="86">
        <f>(Financials!O36+Financials!O29)/Financials!O5</f>
        <v>4.4580771331706334E-2</v>
      </c>
      <c r="R58" s="86">
        <f>(Financials!P36+Financials!P29)/Financials!P5</f>
        <v>4.7170406206600811E-2</v>
      </c>
      <c r="S58" s="86">
        <f>(Financials!Q36+Financials!Q29)/Financials!Q5</f>
        <v>6.5066433910227775E-2</v>
      </c>
      <c r="T58" s="86">
        <f>(Financials!R36+Financials!R29)/Financials!R5</f>
        <v>4.652698972804474E-2</v>
      </c>
      <c r="U58" s="86">
        <f>(Financials!S36+Financials!S29)/Financials!S5</f>
        <v>4.2601327376392266E-2</v>
      </c>
      <c r="V58" s="86">
        <f>(Financials!T36+Financials!T29)/Financials!T5</f>
        <v>7.856687840297448E-2</v>
      </c>
      <c r="W58" s="86">
        <f>(Financials!U36+Financials!U29)/Financials!U5</f>
        <v>7.3120386847561863E-2</v>
      </c>
      <c r="X58" s="86">
        <f>(Financials!V36+Financials!V29)/Financials!V5</f>
        <v>7.2979632769834532E-2</v>
      </c>
    </row>
    <row r="76" spans="2:4">
      <c r="B76" s="1">
        <v>0</v>
      </c>
      <c r="D76" s="1"/>
    </row>
  </sheetData>
  <pageMargins left="0.7" right="0.7" top="0.75" bottom="0.75" header="0.3" footer="0.3"/>
  <pageSetup scale="6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X54"/>
  <sheetViews>
    <sheetView workbookViewId="0">
      <pane xSplit="3" topLeftCell="P8" activePane="topRight" state="frozen"/>
      <selection pane="topRight" activeCell="U20" sqref="U20:W23"/>
    </sheetView>
  </sheetViews>
  <sheetFormatPr defaultRowHeight="15"/>
  <cols>
    <col min="2" max="2" width="16.5703125" customWidth="1"/>
    <col min="3" max="3" width="14" customWidth="1"/>
    <col min="4" max="4" width="13.7109375" customWidth="1"/>
    <col min="17" max="17" width="13.28515625" customWidth="1"/>
  </cols>
  <sheetData>
    <row r="1" spans="2:24" ht="15.75" thickBot="1">
      <c r="B1" s="97" t="s">
        <v>87</v>
      </c>
    </row>
    <row r="2" spans="2:24" ht="39.75" thickBot="1">
      <c r="B2" s="178" t="s">
        <v>15</v>
      </c>
      <c r="C2" s="179" t="s">
        <v>16</v>
      </c>
      <c r="D2" s="308" t="s">
        <v>17</v>
      </c>
      <c r="E2" s="322">
        <v>44562</v>
      </c>
      <c r="F2" s="322">
        <v>44593</v>
      </c>
      <c r="G2" s="322">
        <v>44621</v>
      </c>
      <c r="H2" s="322">
        <v>44652</v>
      </c>
      <c r="I2" s="322">
        <v>44682</v>
      </c>
      <c r="J2" s="322">
        <v>44713</v>
      </c>
      <c r="K2" s="322">
        <v>44743</v>
      </c>
      <c r="L2" s="322">
        <v>44774</v>
      </c>
      <c r="M2" s="322">
        <v>44805</v>
      </c>
      <c r="N2" s="322">
        <v>44835</v>
      </c>
      <c r="O2" s="322">
        <v>44866</v>
      </c>
      <c r="P2" s="322">
        <v>44896</v>
      </c>
      <c r="Q2" s="322" t="s">
        <v>88</v>
      </c>
      <c r="R2" s="322">
        <v>44949</v>
      </c>
      <c r="S2" s="322">
        <v>44980</v>
      </c>
      <c r="T2" s="322">
        <v>45008</v>
      </c>
      <c r="U2" s="322">
        <v>45039</v>
      </c>
      <c r="V2" s="322">
        <v>45069</v>
      </c>
      <c r="W2" s="322">
        <v>45100</v>
      </c>
      <c r="X2" s="322">
        <v>45130</v>
      </c>
    </row>
    <row r="3" spans="2:24">
      <c r="B3" s="176" t="s">
        <v>89</v>
      </c>
      <c r="C3" s="177"/>
    </row>
    <row r="4" spans="2:24">
      <c r="B4" s="90" t="s">
        <v>1</v>
      </c>
      <c r="C4" s="92" t="s">
        <v>21</v>
      </c>
      <c r="D4" s="181">
        <f>'Prudential Ratios'!E6</f>
        <v>46.626055999999998</v>
      </c>
      <c r="E4" s="181">
        <f>'Prudential Ratios'!F6</f>
        <v>63.929101320000001</v>
      </c>
      <c r="F4" s="181">
        <f>'Prudential Ratios'!G6</f>
        <v>65.146114049999994</v>
      </c>
      <c r="G4" s="181">
        <f>'Prudential Ratios'!H6</f>
        <v>52.153998819999998</v>
      </c>
      <c r="H4" s="181">
        <f>'Prudential Ratios'!I6</f>
        <v>53.911683450000005</v>
      </c>
      <c r="I4" s="181">
        <f>'Prudential Ratios'!J6</f>
        <v>53.323830810000004</v>
      </c>
      <c r="J4" s="181">
        <f>'Prudential Ratios'!K6</f>
        <v>55.640039450000003</v>
      </c>
      <c r="K4" s="181">
        <f>'Prudential Ratios'!L6</f>
        <v>56.828388780000004</v>
      </c>
      <c r="L4" s="181">
        <f>'Prudential Ratios'!M6</f>
        <v>57.58311132</v>
      </c>
      <c r="M4" s="181">
        <f>'Prudential Ratios'!N6</f>
        <v>58.933982950000001</v>
      </c>
      <c r="N4" s="181">
        <f>'Prudential Ratios'!O6</f>
        <v>60.684356050000005</v>
      </c>
      <c r="O4" s="181">
        <f>'Prudential Ratios'!P6</f>
        <v>62.992879530000003</v>
      </c>
      <c r="P4" s="181">
        <f>'Prudential Ratios'!Q6</f>
        <v>72.718146950000005</v>
      </c>
      <c r="Q4" s="181">
        <f>'Prudential Ratios'!R6</f>
        <v>54.706639000000003</v>
      </c>
      <c r="R4" s="181">
        <f>'Prudential Ratios'!S6</f>
        <v>74.372748689999995</v>
      </c>
      <c r="S4" s="181">
        <f>'Prudential Ratios'!T6</f>
        <v>78.150195679999996</v>
      </c>
      <c r="T4" s="181">
        <f>'Prudential Ratios'!U6</f>
        <v>76.49288589999999</v>
      </c>
      <c r="U4" s="181">
        <f>'Prudential Ratios'!V6</f>
        <v>63.69499184</v>
      </c>
      <c r="V4" s="181">
        <f>'Prudential Ratios'!W6</f>
        <v>64.140201279999999</v>
      </c>
      <c r="W4" s="181">
        <f>'Prudential Ratios'!X6</f>
        <v>65.573519709999999</v>
      </c>
    </row>
    <row r="5" spans="2:24">
      <c r="B5" s="90" t="s">
        <v>90</v>
      </c>
      <c r="C5" s="92" t="s">
        <v>23</v>
      </c>
      <c r="D5" s="182">
        <f>'Prudential Ratios'!E7</f>
        <v>0.1863978422778638</v>
      </c>
      <c r="E5" s="182">
        <f>'Prudential Ratios'!F7</f>
        <v>0.24440310408816007</v>
      </c>
      <c r="F5" s="182">
        <f>'Prudential Ratios'!G7</f>
        <v>0.24421658189456019</v>
      </c>
      <c r="G5" s="182">
        <f>'Prudential Ratios'!H7</f>
        <v>0.19655485919233362</v>
      </c>
      <c r="H5" s="182">
        <f>'Prudential Ratios'!I7</f>
        <v>0.20646388929406084</v>
      </c>
      <c r="I5" s="182">
        <f>'Prudential Ratios'!J7</f>
        <v>0.20394332471175414</v>
      </c>
      <c r="J5" s="182">
        <f>'Prudential Ratios'!K7</f>
        <v>0.20999380028504169</v>
      </c>
      <c r="K5" s="182">
        <f>'Prudential Ratios'!L7</f>
        <v>0.20989705005954412</v>
      </c>
      <c r="L5" s="182">
        <f>'Prudential Ratios'!M7</f>
        <v>0.21373237739488096</v>
      </c>
      <c r="M5" s="182">
        <f>'Prudential Ratios'!N7</f>
        <v>0.2183264724727039</v>
      </c>
      <c r="N5" s="182">
        <f>'Prudential Ratios'!O7</f>
        <v>0.21908603618179326</v>
      </c>
      <c r="O5" s="182">
        <f>'Prudential Ratios'!P7</f>
        <v>0.22437389284820222</v>
      </c>
      <c r="P5" s="182">
        <f>'Prudential Ratios'!Q7</f>
        <v>0.25567484696456727</v>
      </c>
      <c r="Q5" s="182">
        <f>'Prudential Ratios'!R7</f>
        <v>0.20365344791448942</v>
      </c>
      <c r="R5" s="182">
        <f>'Prudential Ratios'!S7</f>
        <v>0.2539406529936748</v>
      </c>
      <c r="S5" s="182">
        <f>'Prudential Ratios'!T7</f>
        <v>0.26315914407193625</v>
      </c>
      <c r="T5" s="182">
        <f>'Prudential Ratios'!U7</f>
        <v>0.25862313988409336</v>
      </c>
      <c r="U5" s="182">
        <f>'Prudential Ratios'!V7</f>
        <v>0.20963612245609337</v>
      </c>
      <c r="V5" s="182">
        <f>'Prudential Ratios'!W7</f>
        <v>0.21544666179863003</v>
      </c>
      <c r="W5" s="182">
        <f>'Prudential Ratios'!X7</f>
        <v>0.21625585557066562</v>
      </c>
    </row>
    <row r="6" spans="2:24">
      <c r="B6" s="90" t="s">
        <v>91</v>
      </c>
      <c r="C6" s="92" t="s">
        <v>25</v>
      </c>
      <c r="D6" s="182">
        <f>'Prudential Ratios'!E10</f>
        <v>5.7515194698021167E-2</v>
      </c>
      <c r="E6" s="182">
        <f>'Prudential Ratios'!F10</f>
        <v>0.11997477438240794</v>
      </c>
      <c r="F6" s="182">
        <f>'Prudential Ratios'!G10</f>
        <v>0.12173620201716207</v>
      </c>
      <c r="G6" s="182">
        <f>'Prudential Ratios'!H10</f>
        <v>7.3097615175794897E-2</v>
      </c>
      <c r="H6" s="182">
        <f>'Prudential Ratios'!I10</f>
        <v>8.0172830666610878E-2</v>
      </c>
      <c r="I6" s="182">
        <f>'Prudential Ratios'!J10</f>
        <v>7.7477768692634272E-2</v>
      </c>
      <c r="J6" s="182">
        <f>'Prudential Ratios'!K10</f>
        <v>8.5004529685909144E-2</v>
      </c>
      <c r="K6" s="182">
        <f>'Prudential Ratios'!L10</f>
        <v>8.737323324229343E-2</v>
      </c>
      <c r="L6" s="182">
        <f>'Prudential Ratios'!M10</f>
        <v>9.0314006522016627E-2</v>
      </c>
      <c r="M6" s="182">
        <f>'Prudential Ratios'!N10</f>
        <v>9.4881941462335126E-2</v>
      </c>
      <c r="N6" s="182">
        <f>'Prudential Ratios'!O10</f>
        <v>9.8557440664632526E-2</v>
      </c>
      <c r="O6" s="182">
        <f>'Prudential Ratios'!P10</f>
        <v>0.10513229312889752</v>
      </c>
      <c r="P6" s="182">
        <f>'Prudential Ratios'!Q10</f>
        <v>0.11825866087136376</v>
      </c>
      <c r="Q6" s="182">
        <f>'Prudential Ratios'!R10</f>
        <v>5.8904197397589793E-2</v>
      </c>
      <c r="R6" s="182">
        <f>'Prudential Ratios'!S10</f>
        <v>0.12021951752857464</v>
      </c>
      <c r="S6" s="182">
        <f>'Prudential Ratios'!T10</f>
        <v>0.1309011949541676</v>
      </c>
      <c r="T6" s="182">
        <f>'Prudential Ratios'!U10</f>
        <v>0.12563971269343246</v>
      </c>
      <c r="U6" s="182">
        <f>'Prudential Ratios'!V10</f>
        <v>7.9924325179138028E-2</v>
      </c>
      <c r="V6" s="182">
        <f>'Prudential Ratios'!W10</f>
        <v>8.253072051867838E-2</v>
      </c>
      <c r="W6" s="182">
        <f>'Prudential Ratios'!X10</f>
        <v>8.5605891214658142E-2</v>
      </c>
    </row>
    <row r="7" spans="2:24">
      <c r="B7" s="90" t="s">
        <v>92</v>
      </c>
      <c r="C7" s="92" t="s">
        <v>25</v>
      </c>
      <c r="D7" s="182">
        <f>'Prudential Ratios'!E8</f>
        <v>0.26000906121511902</v>
      </c>
      <c r="E7" s="182">
        <f>'Prudential Ratios'!F8</f>
        <v>0.35074836475385995</v>
      </c>
      <c r="F7" s="182">
        <f>'Prudential Ratios'!G8</f>
        <v>0.34877931465185102</v>
      </c>
      <c r="G7" s="182">
        <f>'Prudential Ratios'!H8</f>
        <v>0.26245344553510225</v>
      </c>
      <c r="H7" s="182">
        <f>'Prudential Ratios'!I8</f>
        <v>0.27833958763620448</v>
      </c>
      <c r="I7" s="182">
        <f>'Prudential Ratios'!J8</f>
        <v>0.27362076677545455</v>
      </c>
      <c r="J7" s="182">
        <f>'Prudential Ratios'!K8</f>
        <v>0.28290223680847787</v>
      </c>
      <c r="K7" s="182">
        <f>'Prudential Ratios'!L8</f>
        <v>0.28430475068853134</v>
      </c>
      <c r="L7" s="182">
        <f>'Prudential Ratios'!M8</f>
        <v>0.29133607047485399</v>
      </c>
      <c r="M7" s="182">
        <f>'Prudential Ratios'!N8</f>
        <v>0.29728197236559306</v>
      </c>
      <c r="N7" s="182">
        <f>'Prudential Ratios'!O8</f>
        <v>0.29866270032682846</v>
      </c>
      <c r="O7" s="182">
        <f>'Prudential Ratios'!P8</f>
        <v>0.30831213083449499</v>
      </c>
      <c r="P7" s="182">
        <f>'Prudential Ratios'!Q8</f>
        <v>0.35620858918990927</v>
      </c>
      <c r="Q7" s="182">
        <f>'Prudential Ratios'!R8</f>
        <v>0.26795327438495459</v>
      </c>
      <c r="R7" s="182">
        <f>'Prudential Ratios'!S8</f>
        <v>0.36146913719303192</v>
      </c>
      <c r="S7" s="182">
        <f>'Prudential Ratios'!T8</f>
        <v>0.37898435422028137</v>
      </c>
      <c r="T7" s="182">
        <f>'Prudential Ratios'!U8</f>
        <v>0.36992899006943519</v>
      </c>
      <c r="U7" s="182">
        <f>'Prudential Ratios'!V8</f>
        <v>0.29909253323752993</v>
      </c>
      <c r="V7" s="182">
        <f>'Prudential Ratios'!W8</f>
        <v>0.30918866368439563</v>
      </c>
      <c r="W7" s="182">
        <f>'Prudential Ratios'!X8</f>
        <v>0.30906422576706377</v>
      </c>
    </row>
    <row r="8" spans="2:24">
      <c r="B8" s="94" t="s">
        <v>93</v>
      </c>
      <c r="C8" s="95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</row>
    <row r="9" spans="2:24">
      <c r="B9" s="90" t="s">
        <v>94</v>
      </c>
      <c r="C9" s="92" t="s">
        <v>39</v>
      </c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</row>
    <row r="10" spans="2:24">
      <c r="B10" s="94" t="s">
        <v>82</v>
      </c>
      <c r="C10" s="95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</row>
    <row r="11" spans="2:24">
      <c r="B11" s="90" t="s">
        <v>83</v>
      </c>
      <c r="C11" s="88"/>
      <c r="D11" s="183" t="e">
        <f>'Prudential Ratios'!E55</f>
        <v>#REF!</v>
      </c>
      <c r="E11" s="183">
        <f>'Prudential Ratios'!F55</f>
        <v>2.3535014005905274E-3</v>
      </c>
      <c r="F11" s="183">
        <f>'Prudential Ratios'!G55</f>
        <v>5.237728651113673E-3</v>
      </c>
      <c r="G11" s="183">
        <f>'Prudential Ratios'!H55</f>
        <v>8.3831585511112364E-3</v>
      </c>
      <c r="H11" s="183">
        <f>'Prudential Ratios'!I55</f>
        <v>1.2347455925436655E-2</v>
      </c>
      <c r="I11" s="183">
        <f>'Prudential Ratios'!J55</f>
        <v>1.1156073243932741E-2</v>
      </c>
      <c r="J11" s="183">
        <f>'Prudential Ratios'!K55</f>
        <v>1.7683239491080052E-2</v>
      </c>
      <c r="K11" s="183">
        <f>'Prudential Ratios'!L55</f>
        <v>2.0233591976862642E-2</v>
      </c>
      <c r="L11" s="183">
        <f>'Prudential Ratios'!M55</f>
        <v>2.1646167779222084E-2</v>
      </c>
      <c r="M11" s="183">
        <f>'Prudential Ratios'!N55</f>
        <v>2.4834150110575662E-2</v>
      </c>
      <c r="N11" s="183">
        <f>'Prudential Ratios'!O55</f>
        <v>2.9794215743760448E-2</v>
      </c>
      <c r="O11" s="183">
        <f>'Prudential Ratios'!P55</f>
        <v>3.4467286656822534E-2</v>
      </c>
      <c r="P11" s="183">
        <f>'Prudential Ratios'!Q55</f>
        <v>4.3749640619108306E-2</v>
      </c>
      <c r="Q11" s="183">
        <f>'Prudential Ratios'!R55</f>
        <v>1.478657672985545E-2</v>
      </c>
      <c r="R11" s="183">
        <f>'Prudential Ratios'!S55</f>
        <v>3.3115881765613951E-3</v>
      </c>
      <c r="S11" s="183">
        <f>'Prudential Ratios'!T55</f>
        <v>1.1416835669034229E-2</v>
      </c>
      <c r="T11" s="183">
        <f>'Prudential Ratios'!U55</f>
        <v>1.0579927839833058E-2</v>
      </c>
      <c r="U11" s="183">
        <f>'Prudential Ratios'!V55</f>
        <v>1.420781984796218E-2</v>
      </c>
      <c r="V11" s="183">
        <f>'Prudential Ratios'!W55</f>
        <v>1.5170836769892141E-2</v>
      </c>
      <c r="W11" s="183">
        <f>'Prudential Ratios'!X55</f>
        <v>1.8378752718610232E-2</v>
      </c>
    </row>
    <row r="12" spans="2:24">
      <c r="B12" s="90" t="s">
        <v>95</v>
      </c>
      <c r="C12" s="88"/>
      <c r="D12" s="183">
        <f>'Prudential Ratios'!E56</f>
        <v>0.76315745779262789</v>
      </c>
      <c r="E12" s="183">
        <f>'Prudential Ratios'!F56</f>
        <v>0.68350577018292957</v>
      </c>
      <c r="F12" s="183">
        <f>'Prudential Ratios'!G56</f>
        <v>0.62278961592304793</v>
      </c>
      <c r="G12" s="183">
        <f>'Prudential Ratios'!H56</f>
        <v>0.61327025166730986</v>
      </c>
      <c r="H12" s="183">
        <f>'Prudential Ratios'!I56</f>
        <v>0.58301627652151111</v>
      </c>
      <c r="I12" s="183">
        <f>'Prudential Ratios'!J56</f>
        <v>0.70959921910395174</v>
      </c>
      <c r="J12" s="183">
        <f>'Prudential Ratios'!K56</f>
        <v>0.64173718888023579</v>
      </c>
      <c r="K12" s="183">
        <f>'Prudential Ratios'!L56</f>
        <v>0.64122767296140371</v>
      </c>
      <c r="L12" s="183">
        <f>'Prudential Ratios'!M56</f>
        <v>0.65666166221951638</v>
      </c>
      <c r="M12" s="183">
        <f>'Prudential Ratios'!N56</f>
        <v>0.65261110361160646</v>
      </c>
      <c r="N12" s="183">
        <f>'Prudential Ratios'!O56</f>
        <v>0.62950070728870622</v>
      </c>
      <c r="O12" s="183">
        <f>'Prudential Ratios'!P56</f>
        <v>0.61265882622462364</v>
      </c>
      <c r="P12" s="183">
        <f>'Prudential Ratios'!Q56</f>
        <v>0.57694134423905485</v>
      </c>
      <c r="Q12" s="183">
        <f>'Prudential Ratios'!R56</f>
        <v>0.66623400273701172</v>
      </c>
      <c r="R12" s="183">
        <f>'Prudential Ratios'!S56</f>
        <v>0.60615999353016803</v>
      </c>
      <c r="S12" s="183">
        <f>'Prudential Ratios'!T56</f>
        <v>0.49631400197666359</v>
      </c>
      <c r="T12" s="183">
        <f>'Prudential Ratios'!U56</f>
        <v>0.58922512790249415</v>
      </c>
      <c r="U12" s="183">
        <f>'Prudential Ratios'!V56</f>
        <v>0.57475165251092886</v>
      </c>
      <c r="V12" s="183">
        <f>'Prudential Ratios'!W56</f>
        <v>0.62733734191317059</v>
      </c>
      <c r="W12" s="183">
        <f>'Prudential Ratios'!X56</f>
        <v>0.62732526579369519</v>
      </c>
    </row>
    <row r="13" spans="2:24">
      <c r="B13" s="90" t="s">
        <v>96</v>
      </c>
      <c r="C13" s="88"/>
      <c r="D13" s="183">
        <f>'Prudential Ratios'!E57</f>
        <v>8.3971703333586639E-2</v>
      </c>
      <c r="E13" s="183">
        <f>'Prudential Ratios'!F57</f>
        <v>7.4018939192138393E-3</v>
      </c>
      <c r="F13" s="183">
        <f>'Prudential Ratios'!G57</f>
        <v>1.2803526539509408E-2</v>
      </c>
      <c r="G13" s="183">
        <f>'Prudential Ratios'!H57</f>
        <v>2.0011715202018991E-2</v>
      </c>
      <c r="H13" s="183">
        <f>'Prudential Ratios'!I57</f>
        <v>2.6174962518049648E-2</v>
      </c>
      <c r="I13" s="183">
        <f>'Prudential Ratios'!J57</f>
        <v>4.0854134147030374E-2</v>
      </c>
      <c r="J13" s="183">
        <f>'Prudential Ratios'!K57</f>
        <v>4.7094590058034319E-2</v>
      </c>
      <c r="K13" s="183">
        <f>'Prudential Ratios'!L57</f>
        <v>5.3472204116821291E-2</v>
      </c>
      <c r="L13" s="183">
        <f>'Prudential Ratios'!M57</f>
        <v>6.2303953244171748E-2</v>
      </c>
      <c r="M13" s="183">
        <f>'Prudential Ratios'!N57</f>
        <v>6.9891260798895544E-2</v>
      </c>
      <c r="N13" s="183">
        <f>'Prudential Ratios'!O57</f>
        <v>7.4644157332997688E-2</v>
      </c>
      <c r="O13" s="183">
        <f>'Prudential Ratios'!P57</f>
        <v>8.1045228242174902E-2</v>
      </c>
      <c r="P13" s="183">
        <f>'Prudential Ratios'!Q57</f>
        <v>8.8725377613691661E-2</v>
      </c>
      <c r="Q13" s="183">
        <f>'Prudential Ratios'!R57</f>
        <v>9.9678718158389773E-2</v>
      </c>
      <c r="R13" s="183">
        <f>'Prudential Ratios'!S57</f>
        <v>7.2233158001434429E-3</v>
      </c>
      <c r="S13" s="183">
        <f>'Prudential Ratios'!T57</f>
        <v>1.6719487960714024E-2</v>
      </c>
      <c r="T13" s="183">
        <f>'Prudential Ratios'!U57</f>
        <v>2.2825699959022266E-2</v>
      </c>
      <c r="U13" s="183">
        <f>'Prudential Ratios'!V57</f>
        <v>2.8294433257311014E-2</v>
      </c>
      <c r="V13" s="183">
        <f>'Prudential Ratios'!W57</f>
        <v>3.8833373743193941E-2</v>
      </c>
      <c r="W13" s="183">
        <f>'Prudential Ratios'!X57</f>
        <v>4.5842999601955217E-2</v>
      </c>
    </row>
    <row r="14" spans="2:24">
      <c r="B14" s="94" t="s">
        <v>97</v>
      </c>
      <c r="C14" s="95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</row>
    <row r="15" spans="2:24">
      <c r="B15" s="90" t="s">
        <v>98</v>
      </c>
      <c r="C15" s="84">
        <v>0.15</v>
      </c>
      <c r="D15" s="184">
        <f>'Prudential Ratios'!E47</f>
        <v>0.18365786085752861</v>
      </c>
      <c r="E15" s="184">
        <f>'Prudential Ratios'!F47</f>
        <v>0.19181053927842773</v>
      </c>
      <c r="F15" s="184">
        <f>'Prudential Ratios'!G47</f>
        <v>0.22328525490111617</v>
      </c>
      <c r="G15" s="184">
        <f>'Prudential Ratios'!H47</f>
        <v>0.23888694416353098</v>
      </c>
      <c r="H15" s="184">
        <f>'Prudential Ratios'!I47</f>
        <v>0.22276455095321093</v>
      </c>
      <c r="I15" s="184">
        <f>'Prudential Ratios'!J47</f>
        <v>0.19607061601493569</v>
      </c>
      <c r="J15" s="184">
        <f>'Prudential Ratios'!K47</f>
        <v>0.15617273179816715</v>
      </c>
      <c r="K15" s="184">
        <f>'Prudential Ratios'!L47</f>
        <v>0.1596948156499772</v>
      </c>
      <c r="L15" s="184">
        <f>'Prudential Ratios'!M47</f>
        <v>0.15297495200558439</v>
      </c>
      <c r="M15" s="184">
        <f>'Prudential Ratios'!N47</f>
        <v>0.13543169244206738</v>
      </c>
      <c r="N15" s="184">
        <f>'Prudential Ratios'!O47</f>
        <v>9.3947689638117379E-2</v>
      </c>
      <c r="O15" s="184">
        <f>'Prudential Ratios'!P47</f>
        <v>5.8181434964657192E-2</v>
      </c>
      <c r="P15" s="184">
        <f>'Prudential Ratios'!Q47</f>
        <v>6.3923436842858047E-2</v>
      </c>
      <c r="Q15" s="184">
        <f>'Prudential Ratios'!R47</f>
        <v>6.935660276762709E-2</v>
      </c>
      <c r="R15" s="184">
        <f>'Prudential Ratios'!S47</f>
        <v>9.619980274597624E-2</v>
      </c>
      <c r="S15" s="184">
        <f>'Prudential Ratios'!T47</f>
        <v>6.921395345473802E-2</v>
      </c>
      <c r="T15" s="184">
        <f>'Prudential Ratios'!U47</f>
        <v>6.2763470215943404E-2</v>
      </c>
      <c r="U15" s="184">
        <f>'Prudential Ratios'!V47</f>
        <v>0.11339687668291717</v>
      </c>
      <c r="V15" s="184">
        <f>'Prudential Ratios'!W47</f>
        <v>0.10413366172105623</v>
      </c>
      <c r="W15" s="184">
        <f>'Prudential Ratios'!X47</f>
        <v>0.10538229905593208</v>
      </c>
    </row>
    <row r="16" spans="2:24">
      <c r="B16" s="90" t="s">
        <v>99</v>
      </c>
      <c r="C16" s="84"/>
      <c r="D16" s="184">
        <f>'Prudential Ratios'!E48</f>
        <v>0.16552522402183961</v>
      </c>
      <c r="E16" s="184">
        <f>'Prudential Ratios'!F48</f>
        <v>0.18006217835686369</v>
      </c>
      <c r="F16" s="184">
        <f>'Prudential Ratios'!G48</f>
        <v>0.20824016310328003</v>
      </c>
      <c r="G16" s="184">
        <f>'Prudential Ratios'!H48</f>
        <v>0.21215703744704595</v>
      </c>
      <c r="H16" s="184">
        <f>'Prudential Ratios'!I48</f>
        <v>0.20545350585304328</v>
      </c>
      <c r="I16" s="184">
        <f>'Prudential Ratios'!J48</f>
        <v>0.18232973106535907</v>
      </c>
      <c r="J16" s="184">
        <f>'Prudential Ratios'!K48</f>
        <v>0.14513935759455807</v>
      </c>
      <c r="K16" s="184">
        <f>'Prudential Ratios'!L48</f>
        <v>0.14837518265820226</v>
      </c>
      <c r="L16" s="184">
        <f>'Prudential Ratios'!M48</f>
        <v>0.14301273157728545</v>
      </c>
      <c r="M16" s="184">
        <f>'Prudential Ratios'!N48</f>
        <v>0.12724673297960098</v>
      </c>
      <c r="N16" s="184">
        <f>'Prudential Ratios'!O48</f>
        <v>8.8075278899932302E-2</v>
      </c>
      <c r="O16" s="184">
        <f>'Prudential Ratios'!P48</f>
        <v>5.4855658701766036E-2</v>
      </c>
      <c r="P16" s="184">
        <f>'Prudential Ratios'!Q48</f>
        <v>5.9762275075228112E-2</v>
      </c>
      <c r="Q16" s="184">
        <f>'Prudential Ratios'!R48</f>
        <v>6.0503893100934895E-2</v>
      </c>
      <c r="R16" s="184">
        <f>'Prudential Ratios'!S48</f>
        <v>8.9052647755940129E-2</v>
      </c>
      <c r="S16" s="184">
        <f>'Prudential Ratios'!T48</f>
        <v>6.4348380555019846E-2</v>
      </c>
      <c r="T16" s="184">
        <f>'Prudential Ratios'!U48</f>
        <v>5.8443072866392554E-2</v>
      </c>
      <c r="U16" s="184">
        <f>'Prudential Ratios'!V48</f>
        <v>0.10339403108419576</v>
      </c>
      <c r="V16" s="184">
        <f>'Prudential Ratios'!W48</f>
        <v>9.6691188224736158E-2</v>
      </c>
      <c r="W16" s="184">
        <f>'Prudential Ratios'!X48</f>
        <v>9.6158471188364861E-2</v>
      </c>
    </row>
    <row r="17" spans="2:23">
      <c r="B17" s="90" t="s">
        <v>100</v>
      </c>
      <c r="C17" s="92" t="s">
        <v>56</v>
      </c>
      <c r="D17" s="184">
        <f>'Prudential Ratios'!E27</f>
        <v>1.7490018026951586E-2</v>
      </c>
      <c r="E17" s="184">
        <f>'Prudential Ratios'!F27</f>
        <v>1.4336376101127401E-2</v>
      </c>
      <c r="F17" s="184">
        <f>'Prudential Ratios'!G27</f>
        <v>1.1714847916097624E-2</v>
      </c>
      <c r="G17" s="184">
        <f>'Prudential Ratios'!H27</f>
        <v>9.4218498887643706E-3</v>
      </c>
      <c r="H17" s="184">
        <f>'Prudential Ratios'!I27</f>
        <v>7.1806289036660392E-3</v>
      </c>
      <c r="I17" s="184">
        <f>'Prudential Ratios'!J27</f>
        <v>4.7807734743972093E-3</v>
      </c>
      <c r="J17" s="184">
        <f>'Prudential Ratios'!K27</f>
        <v>2.3588431366245383E-3</v>
      </c>
      <c r="K17" s="184">
        <f>'Prudential Ratios'!L27</f>
        <v>0</v>
      </c>
      <c r="L17" s="184">
        <f>'Prudential Ratios'!M27</f>
        <v>0</v>
      </c>
      <c r="M17" s="184">
        <f>'Prudential Ratios'!N27</f>
        <v>0</v>
      </c>
      <c r="N17" s="184">
        <f>'Prudential Ratios'!O27</f>
        <v>0</v>
      </c>
      <c r="O17" s="184">
        <f>'Prudential Ratios'!P27</f>
        <v>0</v>
      </c>
      <c r="P17" s="184">
        <f>'Prudential Ratios'!Q27</f>
        <v>0</v>
      </c>
      <c r="Q17" s="184">
        <f>'Prudential Ratios'!R27</f>
        <v>0</v>
      </c>
      <c r="R17" s="184">
        <f>'Prudential Ratios'!S27</f>
        <v>1.7072157306713819E-2</v>
      </c>
      <c r="S17" s="184">
        <f>'Prudential Ratios'!T27</f>
        <v>1.543369233594704E-2</v>
      </c>
      <c r="T17" s="184">
        <f>'Prudential Ratios'!U27</f>
        <v>1.408753770734081E-2</v>
      </c>
      <c r="U17" s="184">
        <f>'Prudential Ratios'!V27</f>
        <v>3.2089684491755623E-2</v>
      </c>
      <c r="V17" s="184">
        <f>'Prudential Ratios'!W27</f>
        <v>2.9967839014634103E-2</v>
      </c>
      <c r="W17" s="184">
        <f>'Prudential Ratios'!X27</f>
        <v>2.6399803698346103E-2</v>
      </c>
    </row>
    <row r="18" spans="2:23">
      <c r="B18" s="90" t="s">
        <v>101</v>
      </c>
      <c r="C18" s="88"/>
      <c r="D18" s="184">
        <f>'Prudential Ratios'!E58</f>
        <v>0.12818751630794267</v>
      </c>
      <c r="E18" s="184">
        <f>'Prudential Ratios'!F58</f>
        <v>0.133472983927058</v>
      </c>
      <c r="F18" s="184">
        <f>'Prudential Ratios'!G58</f>
        <v>0.15494496041625297</v>
      </c>
      <c r="G18" s="184">
        <f>'Prudential Ratios'!H58</f>
        <v>0.16845762906530812</v>
      </c>
      <c r="H18" s="184">
        <f>'Prudential Ratios'!I58</f>
        <v>0.16155949058303601</v>
      </c>
      <c r="I18" s="184">
        <f>'Prudential Ratios'!J58</f>
        <v>0.1442731223762185</v>
      </c>
      <c r="J18" s="184">
        <f>'Prudential Ratios'!K58</f>
        <v>0.11431863134483117</v>
      </c>
      <c r="K18" s="184">
        <f>'Prudential Ratios'!L58</f>
        <v>0.11723166951619958</v>
      </c>
      <c r="L18" s="184">
        <f>'Prudential Ratios'!M58</f>
        <v>0.11244628045953628</v>
      </c>
      <c r="M18" s="184">
        <f>'Prudential Ratios'!N58</f>
        <v>9.9465402634488637E-2</v>
      </c>
      <c r="N18" s="184">
        <f>'Prudential Ratios'!O58</f>
        <v>6.8779215160140197E-2</v>
      </c>
      <c r="O18" s="184">
        <f>'Prudential Ratios'!P58</f>
        <v>4.2547481014098429E-2</v>
      </c>
      <c r="P18" s="184">
        <f>'Prudential Ratios'!Q58</f>
        <v>4.4580771331706334E-2</v>
      </c>
      <c r="Q18" s="184">
        <f>'Prudential Ratios'!R58</f>
        <v>4.7170406206600811E-2</v>
      </c>
      <c r="R18" s="184">
        <f>'Prudential Ratios'!S58</f>
        <v>6.5066433910227775E-2</v>
      </c>
      <c r="S18" s="184">
        <f>'Prudential Ratios'!T58</f>
        <v>4.652698972804474E-2</v>
      </c>
      <c r="T18" s="184">
        <f>'Prudential Ratios'!U58</f>
        <v>4.2601327376392266E-2</v>
      </c>
      <c r="U18" s="184">
        <f>'Prudential Ratios'!V58</f>
        <v>7.856687840297448E-2</v>
      </c>
      <c r="V18" s="184">
        <f>'Prudential Ratios'!W58</f>
        <v>7.3120386847561863E-2</v>
      </c>
      <c r="W18" s="184">
        <f>'Prudential Ratios'!X58</f>
        <v>7.2979632769834532E-2</v>
      </c>
    </row>
    <row r="19" spans="2:23">
      <c r="B19" s="94" t="s">
        <v>102</v>
      </c>
      <c r="C19" s="95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</row>
    <row r="20" spans="2:23">
      <c r="B20" s="90" t="s">
        <v>103</v>
      </c>
      <c r="C20" s="92" t="s">
        <v>33</v>
      </c>
      <c r="D20" s="184">
        <f>'Prudential Ratios'!E14</f>
        <v>0.18803085427872263</v>
      </c>
      <c r="E20" s="184">
        <f>'Prudential Ratios'!F14</f>
        <v>0.18341396523566786</v>
      </c>
      <c r="F20" s="184">
        <f>'Prudential Ratios'!G14</f>
        <v>0.18015584684142236</v>
      </c>
      <c r="G20" s="184">
        <f>'Prudential Ratios'!H14</f>
        <v>0.17464008882598675</v>
      </c>
      <c r="H20" s="184">
        <f>'Prudential Ratios'!I14</f>
        <v>0.17906607306497752</v>
      </c>
      <c r="I20" s="184">
        <f>'Prudential Ratios'!J14</f>
        <v>0.17913742509296091</v>
      </c>
      <c r="J20" s="184">
        <f>'Prudential Ratios'!K14</f>
        <v>0.17867375453835044</v>
      </c>
      <c r="K20" s="184">
        <f>'Prudential Ratios'!L14</f>
        <v>0.17869914391554809</v>
      </c>
      <c r="L20" s="184">
        <f>'Prudential Ratios'!M14</f>
        <v>0.18516475089716991</v>
      </c>
      <c r="M20" s="184">
        <f>'Prudential Ratios'!N14</f>
        <v>0.18639394638671392</v>
      </c>
      <c r="N20" s="184">
        <f>'Prudential Ratios'!O14</f>
        <v>0.18236665026350282</v>
      </c>
      <c r="O20" s="184">
        <f>'Prudential Ratios'!P14</f>
        <v>0.17974069612667418</v>
      </c>
      <c r="P20" s="184">
        <f>'Prudential Ratios'!Q14</f>
        <v>0.17847621655830798</v>
      </c>
      <c r="Q20" s="184">
        <f>'Prudential Ratios'!R14</f>
        <v>0.18250801112477003</v>
      </c>
      <c r="R20" s="184">
        <f>'Prudential Ratios'!S14</f>
        <v>0.17464553033603883</v>
      </c>
      <c r="S20" s="184">
        <f>'Prudential Ratios'!T14</f>
        <v>0.17036785648715944</v>
      </c>
      <c r="T20" s="184">
        <f>'Prudential Ratios'!U14</f>
        <v>0.16428965316416158</v>
      </c>
      <c r="U20" s="184">
        <f>'Prudential Ratios'!V14</f>
        <v>0.15927879700108741</v>
      </c>
      <c r="V20" s="184">
        <f>'Prudential Ratios'!W14</f>
        <v>0.16221188813931076</v>
      </c>
      <c r="W20" s="184">
        <f>'Prudential Ratios'!X14</f>
        <v>0.16062915810717895</v>
      </c>
    </row>
    <row r="21" spans="2:23">
      <c r="B21" s="90" t="s">
        <v>104</v>
      </c>
      <c r="C21" s="92" t="s">
        <v>36</v>
      </c>
      <c r="D21" s="184">
        <f>'Prudential Ratios'!E15</f>
        <v>0.13579338745473829</v>
      </c>
      <c r="E21" s="184">
        <f>'Prudential Ratios'!F15</f>
        <v>0.13142559026692713</v>
      </c>
      <c r="F21" s="184">
        <f>'Prudential Ratios'!G15</f>
        <v>0.12948893534400605</v>
      </c>
      <c r="G21" s="184">
        <f>'Prudential Ratios'!H15</f>
        <v>0.13021326099969027</v>
      </c>
      <c r="H21" s="184">
        <f>'Prudential Ratios'!I15</f>
        <v>0.13345625611067355</v>
      </c>
      <c r="I21" s="184">
        <f>'Prudential Ratios'!J15</f>
        <v>0.13392533504401433</v>
      </c>
      <c r="J21" s="184">
        <f>'Prudential Ratios'!K15</f>
        <v>0.1322996780605333</v>
      </c>
      <c r="K21" s="184">
        <f>'Prudential Ratios'!L15</f>
        <v>0.12969100306554879</v>
      </c>
      <c r="L21" s="184">
        <f>'Prudential Ratios'!M15</f>
        <v>0.13590038892176354</v>
      </c>
      <c r="M21" s="184">
        <f>'Prudential Ratios'!N15</f>
        <v>0.13605328268623001</v>
      </c>
      <c r="N21" s="184">
        <f>'Prudential Ratios'!O15</f>
        <v>0.13322442259383671</v>
      </c>
      <c r="O21" s="184">
        <f>'Prudential Ratios'!P15</f>
        <v>0.13146041920096885</v>
      </c>
      <c r="P21" s="184">
        <f>'Prudential Ratios'!Q15</f>
        <v>0.13002887844092154</v>
      </c>
      <c r="Q21" s="184">
        <f>'Prudential Ratios'!R15</f>
        <v>0.13388226626659191</v>
      </c>
      <c r="R21" s="184">
        <f>'Prudential Ratios'!S15</f>
        <v>0.12747357987429569</v>
      </c>
      <c r="S21" s="184">
        <f>'Prudential Ratios'!T15</f>
        <v>0.12637589197718807</v>
      </c>
      <c r="T21" s="184">
        <f>'Prudential Ratios'!U15</f>
        <v>0.12334809694304351</v>
      </c>
      <c r="U21" s="184">
        <f>'Prudential Ratios'!V15</f>
        <v>0.12007344120109159</v>
      </c>
      <c r="V21" s="184">
        <f>'Prudential Ratios'!W15</f>
        <v>0.12230986471988282</v>
      </c>
      <c r="W21" s="184">
        <f>'Prudential Ratios'!X15</f>
        <v>0.12011920735615077</v>
      </c>
    </row>
    <row r="22" spans="2:23">
      <c r="B22" s="90" t="s">
        <v>105</v>
      </c>
      <c r="C22" s="92" t="s">
        <v>36</v>
      </c>
      <c r="D22" s="184">
        <f>'Prudential Ratios'!E19</f>
        <v>6.0002876903735564E-5</v>
      </c>
      <c r="E22" s="184">
        <f>'Prudential Ratios'!F19</f>
        <v>5.9034967281337856E-5</v>
      </c>
      <c r="F22" s="184">
        <f>'Prudential Ratios'!G19</f>
        <v>5.7606896134642387E-5</v>
      </c>
      <c r="G22" s="184">
        <f>'Prudential Ratios'!H19</f>
        <v>5.4147316367901469E-5</v>
      </c>
      <c r="H22" s="184">
        <f>'Prudential Ratios'!I19</f>
        <v>5.5552595862512617E-5</v>
      </c>
      <c r="I22" s="184">
        <f>'Prudential Ratios'!J19</f>
        <v>5.5212827094030959E-5</v>
      </c>
      <c r="J22" s="184">
        <f>'Prudential Ratios'!K19</f>
        <v>5.4709308227480446E-5</v>
      </c>
      <c r="K22" s="184">
        <f>'Prudential Ratios'!L19</f>
        <v>5.3830826160695476E-5</v>
      </c>
      <c r="L22" s="184">
        <f>'Prudential Ratios'!M19</f>
        <v>5.4439158399915185E-5</v>
      </c>
      <c r="M22" s="184">
        <f>'Prudential Ratios'!N19</f>
        <v>5.4276902095139677E-5</v>
      </c>
      <c r="N22" s="184">
        <f>'Prudential Ratios'!O19</f>
        <v>5.2956163082110749E-5</v>
      </c>
      <c r="O22" s="184">
        <f>'Prudential Ratios'!P19</f>
        <v>5.2663706636862902E-5</v>
      </c>
      <c r="P22" s="184">
        <f>'Prudential Ratios'!Q19</f>
        <v>5.2707674499995267E-5</v>
      </c>
      <c r="Q22" s="184">
        <f>'Prudential Ratios'!R19</f>
        <v>5.2702510793655438E-5</v>
      </c>
      <c r="R22" s="184">
        <f>'Prudential Ratios'!S19</f>
        <v>5.2296143207088232E-5</v>
      </c>
      <c r="S22" s="184">
        <f>'Prudential Ratios'!T19</f>
        <v>5.21799288655374E-5</v>
      </c>
      <c r="T22" s="184">
        <f>'Prudential Ratios'!U19</f>
        <v>5.2036681402644305E-5</v>
      </c>
      <c r="U22" s="184">
        <f>'Prudential Ratios'!V19</f>
        <v>5.0525725251993723E-5</v>
      </c>
      <c r="V22" s="184">
        <f>'Prudential Ratios'!W19</f>
        <v>5.1868718133902569E-5</v>
      </c>
      <c r="W22" s="184">
        <f>'Prudential Ratios'!X19</f>
        <v>5.0714542759955912E-5</v>
      </c>
    </row>
    <row r="23" spans="2:23">
      <c r="B23" s="91" t="s">
        <v>106</v>
      </c>
      <c r="C23" s="93" t="s">
        <v>45</v>
      </c>
      <c r="D23" s="185">
        <f>'Prudential Ratios'!E20</f>
        <v>2.3077225317963843E-4</v>
      </c>
      <c r="E23" s="185">
        <f>'Prudential Ratios'!F20</f>
        <v>1.6831145406127852E-4</v>
      </c>
      <c r="F23" s="185">
        <f>'Prudential Ratios'!G20</f>
        <v>1.6516718083509389E-4</v>
      </c>
      <c r="G23" s="185">
        <f>'Prudential Ratios'!H20</f>
        <v>2.0631208044346081E-4</v>
      </c>
      <c r="H23" s="185">
        <f>'Prudential Ratios'!I20</f>
        <v>1.995856799756454E-4</v>
      </c>
      <c r="I23" s="185">
        <f>'Prudential Ratios'!J20</f>
        <v>2.017859526698172E-4</v>
      </c>
      <c r="J23" s="185">
        <f>'Prudential Ratios'!K20</f>
        <v>1.9338591608421298E-4</v>
      </c>
      <c r="K23" s="185">
        <f>'Prudential Ratios'!L20</f>
        <v>1.8934198612695561E-4</v>
      </c>
      <c r="L23" s="185">
        <f>'Prudential Ratios'!M20</f>
        <v>1.868603441763452E-4</v>
      </c>
      <c r="M23" s="185">
        <f>'Prudential Ratios'!N20</f>
        <v>1.8257717298912E-4</v>
      </c>
      <c r="N23" s="185">
        <f>'Prudential Ratios'!O20</f>
        <v>1.7731093646498371E-4</v>
      </c>
      <c r="O23" s="185">
        <f>'Prudential Ratios'!P20</f>
        <v>1.7081295664338715E-4</v>
      </c>
      <c r="P23" s="185">
        <f>'Prudential Ratios'!Q20</f>
        <v>1.479685670125564E-4</v>
      </c>
      <c r="Q23" s="185">
        <f>'Prudential Ratios'!R20</f>
        <v>1.9668545165057571E-4</v>
      </c>
      <c r="R23" s="185">
        <f>'Prudential Ratios'!S20</f>
        <v>1.4467664822836871E-4</v>
      </c>
      <c r="S23" s="185">
        <f>'Prudential Ratios'!T20</f>
        <v>1.376835963924998E-4</v>
      </c>
      <c r="T23" s="185">
        <f>'Prudential Ratios'!U20</f>
        <v>1.4066667603660122E-4</v>
      </c>
      <c r="U23" s="185">
        <f>'Prudential Ratios'!V20</f>
        <v>1.6893007894606239E-4</v>
      </c>
      <c r="V23" s="185">
        <f>'Prudential Ratios'!W20</f>
        <v>1.6775750286513599E-4</v>
      </c>
      <c r="W23" s="185">
        <f>'Prudential Ratios'!X20</f>
        <v>1.6409062755188807E-4</v>
      </c>
    </row>
    <row r="26" spans="2:23" ht="26.25">
      <c r="B26" s="340"/>
      <c r="C26" s="340"/>
      <c r="D26">
        <f>37194132-32071373</f>
        <v>5122759</v>
      </c>
    </row>
    <row r="27" spans="2:23">
      <c r="B27" s="172"/>
      <c r="C27" s="173"/>
    </row>
    <row r="28" spans="2:23">
      <c r="B28" s="97"/>
      <c r="C28" s="97"/>
    </row>
    <row r="29" spans="2:23">
      <c r="C29" s="174"/>
    </row>
    <row r="30" spans="2:23">
      <c r="C30" s="174"/>
    </row>
    <row r="31" spans="2:23">
      <c r="C31" s="174"/>
    </row>
    <row r="32" spans="2:23">
      <c r="C32" s="174"/>
    </row>
    <row r="33" spans="2:3">
      <c r="C33" s="174"/>
    </row>
    <row r="34" spans="2:3">
      <c r="B34" s="97"/>
      <c r="C34" s="97"/>
    </row>
    <row r="35" spans="2:3">
      <c r="C35" s="174"/>
    </row>
    <row r="36" spans="2:3">
      <c r="C36" s="174"/>
    </row>
    <row r="37" spans="2:3">
      <c r="B37" s="97"/>
      <c r="C37" s="97"/>
    </row>
    <row r="42" spans="2:3">
      <c r="B42" s="97"/>
      <c r="C42" s="97"/>
    </row>
    <row r="43" spans="2:3">
      <c r="C43" s="175"/>
    </row>
    <row r="44" spans="2:3">
      <c r="C44" s="175"/>
    </row>
    <row r="45" spans="2:3">
      <c r="C45" s="174"/>
    </row>
    <row r="48" spans="2:3">
      <c r="B48" s="97"/>
      <c r="C48" s="97"/>
    </row>
    <row r="49" spans="3:3">
      <c r="C49" s="174"/>
    </row>
    <row r="50" spans="3:3">
      <c r="C50" s="174"/>
    </row>
    <row r="51" spans="3:3">
      <c r="C51" s="174"/>
    </row>
    <row r="52" spans="3:3">
      <c r="C52" s="174"/>
    </row>
    <row r="54" spans="3:3" s="97" customFormat="1"/>
  </sheetData>
  <mergeCells count="1">
    <mergeCell ref="B26:C2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56"/>
  <sheetViews>
    <sheetView zoomScale="101" workbookViewId="0">
      <pane xSplit="2" ySplit="11" topLeftCell="U56" activePane="bottomRight" state="frozen"/>
      <selection pane="bottomRight" activeCell="U56" sqref="U56:V56"/>
      <selection pane="bottomLeft" activeCell="A12" sqref="A12"/>
      <selection pane="topRight" activeCell="D1" sqref="D1"/>
    </sheetView>
  </sheetViews>
  <sheetFormatPr defaultRowHeight="12.75"/>
  <cols>
    <col min="1" max="1" width="5" style="26" bestFit="1" customWidth="1"/>
    <col min="2" max="2" width="40.85546875" style="26" customWidth="1"/>
    <col min="3" max="3" width="16.28515625" style="26" customWidth="1"/>
    <col min="4" max="5" width="14.42578125" style="26" customWidth="1"/>
    <col min="6" max="6" width="14.42578125" style="26" bestFit="1" customWidth="1"/>
    <col min="7" max="8" width="14.42578125" style="26" customWidth="1"/>
    <col min="9" max="9" width="14.42578125" style="26" bestFit="1" customWidth="1"/>
    <col min="10" max="11" width="14.42578125" style="26" customWidth="1"/>
    <col min="12" max="12" width="14.42578125" style="26" bestFit="1" customWidth="1"/>
    <col min="13" max="14" width="15.140625" style="26" customWidth="1"/>
    <col min="15" max="15" width="14.42578125" style="26" bestFit="1" customWidth="1"/>
    <col min="16" max="16" width="15.140625" style="26" bestFit="1" customWidth="1"/>
    <col min="17" max="21" width="14.5703125" style="26" bestFit="1" customWidth="1"/>
    <col min="22" max="22" width="13.5703125" style="26" customWidth="1"/>
    <col min="23" max="16384" width="9.140625" style="26"/>
  </cols>
  <sheetData>
    <row r="1" spans="1:23" ht="13.5" thickBot="1">
      <c r="B1" s="37" t="s">
        <v>107</v>
      </c>
    </row>
    <row r="2" spans="1:23">
      <c r="A2" s="27"/>
      <c r="B2" s="28"/>
    </row>
    <row r="3" spans="1:23">
      <c r="A3" s="29"/>
      <c r="B3" s="98" t="s">
        <v>108</v>
      </c>
      <c r="C3" s="8" t="s">
        <v>17</v>
      </c>
      <c r="D3" s="318">
        <v>44562</v>
      </c>
      <c r="E3" s="318">
        <v>44593</v>
      </c>
      <c r="F3" s="318">
        <v>44621</v>
      </c>
      <c r="G3" s="318">
        <v>44652</v>
      </c>
      <c r="H3" s="318">
        <v>44682</v>
      </c>
      <c r="I3" s="318">
        <v>44713</v>
      </c>
      <c r="J3" s="318">
        <v>44743</v>
      </c>
      <c r="K3" s="318">
        <v>44774</v>
      </c>
      <c r="L3" s="318">
        <v>44805</v>
      </c>
      <c r="M3" s="318">
        <v>44835</v>
      </c>
      <c r="N3" s="318">
        <v>44866</v>
      </c>
      <c r="O3" s="318">
        <v>44896</v>
      </c>
      <c r="P3" s="318" t="s">
        <v>18</v>
      </c>
      <c r="Q3" s="318">
        <v>44949</v>
      </c>
      <c r="R3" s="318">
        <v>44980</v>
      </c>
      <c r="S3" s="318">
        <v>45008</v>
      </c>
      <c r="T3" s="318">
        <v>45039</v>
      </c>
      <c r="U3" s="318">
        <v>45069</v>
      </c>
      <c r="V3" s="318">
        <v>45100</v>
      </c>
      <c r="W3" s="318">
        <v>45130</v>
      </c>
    </row>
    <row r="4" spans="1:23">
      <c r="A4" s="30">
        <v>1</v>
      </c>
      <c r="B4" s="51" t="s">
        <v>67</v>
      </c>
      <c r="C4" s="26">
        <v>7076</v>
      </c>
      <c r="P4" s="26">
        <v>8492</v>
      </c>
    </row>
    <row r="5" spans="1:23">
      <c r="A5" s="30">
        <v>2</v>
      </c>
      <c r="B5" s="51" t="s">
        <v>58</v>
      </c>
      <c r="C5" s="55">
        <f>SFP!B27</f>
        <v>250142681</v>
      </c>
      <c r="D5" s="55">
        <f>SFP!C27</f>
        <v>261572378.78999999</v>
      </c>
      <c r="E5" s="55">
        <f>SFP!D27</f>
        <v>266755490.32999998</v>
      </c>
      <c r="F5" s="55">
        <f>SFP!E27</f>
        <v>265340674.02000001</v>
      </c>
      <c r="G5" s="55">
        <f>SFP!F27</f>
        <v>261119189.57999998</v>
      </c>
      <c r="H5" s="55">
        <f>SFP!G27</f>
        <v>261463967.43000001</v>
      </c>
      <c r="I5" s="55">
        <f>SFP!H27</f>
        <v>264960391.09</v>
      </c>
      <c r="J5" s="55">
        <f>SFP!I27</f>
        <v>270744104.13999999</v>
      </c>
      <c r="K5" s="55">
        <f>SFP!J27</f>
        <v>269416884.89999998</v>
      </c>
      <c r="L5" s="55">
        <f>SFP!K27</f>
        <v>269935121.85000002</v>
      </c>
      <c r="M5" s="55">
        <f>SFP!L27</f>
        <v>276988698.63</v>
      </c>
      <c r="N5" s="55">
        <f>SFP!M27</f>
        <v>280749594.93000001</v>
      </c>
      <c r="O5" s="55">
        <f>SFP!N27</f>
        <v>284416507.19</v>
      </c>
      <c r="P5" s="55">
        <f>SFP!O27</f>
        <v>268626137</v>
      </c>
      <c r="Q5" s="55">
        <f>SFP!P27</f>
        <v>292874527.23000002</v>
      </c>
      <c r="R5" s="55">
        <f>SFP!Q27</f>
        <v>296969333.73000002</v>
      </c>
      <c r="S5" s="55">
        <f>SFP!R27</f>
        <v>295769689.95999998</v>
      </c>
      <c r="T5" s="55">
        <f>SFP!S27</f>
        <v>303835956.76999998</v>
      </c>
      <c r="U5" s="55">
        <f>SFP!T27</f>
        <v>297708030.12</v>
      </c>
      <c r="V5" s="55">
        <f>SFP!U27</f>
        <v>303221938.37</v>
      </c>
    </row>
    <row r="6" spans="1:23">
      <c r="A6" s="30">
        <v>3</v>
      </c>
      <c r="B6" s="51" t="s">
        <v>59</v>
      </c>
      <c r="C6" s="55">
        <f>SFP!B32</f>
        <v>179324735</v>
      </c>
      <c r="D6" s="55">
        <f>SFP!C32</f>
        <v>182264859.20999998</v>
      </c>
      <c r="E6" s="55">
        <f>SFP!D32</f>
        <v>186783193.01999998</v>
      </c>
      <c r="F6" s="55">
        <f>SFP!E32</f>
        <v>198717142.81999999</v>
      </c>
      <c r="G6" s="55">
        <f>SFP!F32</f>
        <v>193690318.75</v>
      </c>
      <c r="H6" s="55">
        <f>SFP!G32</f>
        <v>194882250.49000001</v>
      </c>
      <c r="I6" s="55">
        <f>SFP!H32</f>
        <v>196675855.51000002</v>
      </c>
      <c r="J6" s="55">
        <f>SFP!I32</f>
        <v>199885470.22999999</v>
      </c>
      <c r="K6" s="55">
        <f>SFP!J32</f>
        <v>197651843.20000002</v>
      </c>
      <c r="L6" s="55">
        <f>SFP!K32</f>
        <v>198242707.02000001</v>
      </c>
      <c r="M6" s="55">
        <f>SFP!L32</f>
        <v>203186926.19999999</v>
      </c>
      <c r="N6" s="55">
        <f>SFP!M32</f>
        <v>204315280.62</v>
      </c>
      <c r="O6" s="55">
        <f>SFP!N32</f>
        <v>204144844.22</v>
      </c>
      <c r="P6" s="55">
        <f>SFP!O32</f>
        <v>204164846</v>
      </c>
      <c r="Q6" s="55">
        <f>SFP!P32</f>
        <v>205751310.52000001</v>
      </c>
      <c r="R6" s="55">
        <f>SFP!Q32</f>
        <v>206209556.69999999</v>
      </c>
      <c r="S6" s="55">
        <f>SFP!R32</f>
        <v>206777213.88</v>
      </c>
      <c r="T6" s="55">
        <f>SFP!S32</f>
        <v>212960822.35999998</v>
      </c>
      <c r="U6" s="55">
        <f>SFP!T32</f>
        <v>207446807.77000001</v>
      </c>
      <c r="V6" s="55">
        <f>SFP!U32</f>
        <v>212167938.71000001</v>
      </c>
    </row>
    <row r="7" spans="1:23">
      <c r="A7" s="30">
        <v>3.1</v>
      </c>
      <c r="B7" s="99" t="s">
        <v>109</v>
      </c>
      <c r="C7" s="55">
        <f>SFP!B31</f>
        <v>160198883</v>
      </c>
      <c r="D7" s="55">
        <f>SFP!C31</f>
        <v>170388930.94999999</v>
      </c>
      <c r="E7" s="55">
        <f>SFP!D31</f>
        <v>173409199.00999999</v>
      </c>
      <c r="F7" s="55">
        <f>SFP!E31</f>
        <v>175142664.13</v>
      </c>
      <c r="G7" s="55">
        <f>SFP!F31</f>
        <v>177733918.78</v>
      </c>
      <c r="H7" s="55">
        <f>SFP!G31</f>
        <v>180383119.40000001</v>
      </c>
      <c r="I7" s="55">
        <f>SFP!H31</f>
        <v>181931835.33000001</v>
      </c>
      <c r="J7" s="55">
        <f>SFP!I31</f>
        <v>184722502.16999999</v>
      </c>
      <c r="K7" s="55">
        <f>SFP!J31</f>
        <v>183856547.18000001</v>
      </c>
      <c r="L7" s="55">
        <f>SFP!K31</f>
        <v>185490627.08000001</v>
      </c>
      <c r="M7" s="55">
        <f>SFP!L31</f>
        <v>189666338.84999999</v>
      </c>
      <c r="N7" s="55">
        <f>SFP!M31</f>
        <v>191867837.28</v>
      </c>
      <c r="O7" s="55">
        <f>SFP!N31</f>
        <v>190333697.53999999</v>
      </c>
      <c r="P7" s="55">
        <f>SFP!O31</f>
        <v>177433368</v>
      </c>
      <c r="Q7" s="55">
        <f>SFP!P31</f>
        <v>189853006.87</v>
      </c>
      <c r="R7" s="55">
        <f>SFP!Q31</f>
        <v>191115038.16</v>
      </c>
      <c r="S7" s="55">
        <f>SFP!R31</f>
        <v>191936305.03</v>
      </c>
      <c r="T7" s="55">
        <f>SFP!S31</f>
        <v>192594825.56999999</v>
      </c>
      <c r="U7" s="55">
        <f>SFP!T31</f>
        <v>191356354.11000001</v>
      </c>
      <c r="V7" s="55">
        <f>SFP!U31</f>
        <v>192025211.83000001</v>
      </c>
    </row>
    <row r="8" spans="1:23">
      <c r="A8" s="30">
        <v>3.2</v>
      </c>
      <c r="B8" s="99" t="s">
        <v>110</v>
      </c>
      <c r="C8" s="55">
        <f>SFP!B29</f>
        <v>10320478</v>
      </c>
      <c r="D8" s="55">
        <f>SFP!C29</f>
        <v>10943389.18</v>
      </c>
      <c r="E8" s="55">
        <f>SFP!D29</f>
        <v>12240179.93</v>
      </c>
      <c r="F8" s="55">
        <f>SFP!E29</f>
        <v>22361582.91</v>
      </c>
      <c r="G8" s="55">
        <f>SFP!F29</f>
        <v>14977427.07</v>
      </c>
      <c r="H8" s="55">
        <f>SFP!G29</f>
        <v>13465773.189999999</v>
      </c>
      <c r="I8" s="55">
        <f>SFP!H29</f>
        <v>13909004.279999999</v>
      </c>
      <c r="J8" s="55">
        <f>SFP!I29</f>
        <v>14316078.16</v>
      </c>
      <c r="K8" s="55">
        <f>SFP!J29</f>
        <v>12771894.119999999</v>
      </c>
      <c r="L8" s="55">
        <f>SFP!K29</f>
        <v>11764951.039999999</v>
      </c>
      <c r="M8" s="55">
        <f>SFP!L29</f>
        <v>12405632.449999999</v>
      </c>
      <c r="N8" s="55">
        <f>SFP!M29</f>
        <v>11518320.439999999</v>
      </c>
      <c r="O8" s="55">
        <f>SFP!N29</f>
        <v>12841579.779999999</v>
      </c>
      <c r="P8" s="55">
        <f>SFP!O29</f>
        <v>12861582</v>
      </c>
      <c r="Q8" s="55">
        <f>SFP!P29</f>
        <v>14967931.75</v>
      </c>
      <c r="R8" s="55">
        <f>SFP!Q29</f>
        <v>14187864.640000001</v>
      </c>
      <c r="S8" s="55">
        <f>SFP!R29</f>
        <v>13903629.08</v>
      </c>
      <c r="T8" s="55">
        <f>SFP!S29</f>
        <v>19521092.02</v>
      </c>
      <c r="U8" s="55">
        <f>SFP!T29</f>
        <v>15234326.890000001</v>
      </c>
      <c r="V8" s="55">
        <f>SFP!U29</f>
        <v>19250493.109999999</v>
      </c>
    </row>
    <row r="9" spans="1:23">
      <c r="A9" s="30">
        <v>4</v>
      </c>
      <c r="B9" s="51" t="s">
        <v>111</v>
      </c>
      <c r="C9" s="56">
        <f>SFP!B39</f>
        <v>4375000</v>
      </c>
      <c r="D9" s="56">
        <f>SFP!C39</f>
        <v>3750000</v>
      </c>
      <c r="E9" s="56">
        <f>SFP!D39</f>
        <v>3125000</v>
      </c>
      <c r="F9" s="56">
        <f>SFP!E39</f>
        <v>2500000</v>
      </c>
      <c r="G9" s="56">
        <f>SFP!F39</f>
        <v>1875000</v>
      </c>
      <c r="H9" s="56">
        <f>SFP!G39</f>
        <v>1250000</v>
      </c>
      <c r="I9" s="56">
        <f>SFP!H39</f>
        <v>625000</v>
      </c>
      <c r="J9" s="56">
        <f>SFP!I39</f>
        <v>0</v>
      </c>
      <c r="K9" s="56">
        <f>SFP!J39</f>
        <v>0</v>
      </c>
      <c r="L9" s="56">
        <f>SFP!K39</f>
        <v>0</v>
      </c>
      <c r="M9" s="56">
        <f>SFP!L39</f>
        <v>0</v>
      </c>
      <c r="N9" s="56">
        <f>SFP!M39</f>
        <v>0</v>
      </c>
      <c r="O9" s="56">
        <f>SFP!N39</f>
        <v>0</v>
      </c>
      <c r="P9" s="56">
        <f>SFP!O39</f>
        <v>0</v>
      </c>
      <c r="Q9" s="56">
        <f>SFP!P39</f>
        <v>5000000</v>
      </c>
      <c r="R9" s="56">
        <f>SFP!Q39</f>
        <v>4583333.33</v>
      </c>
      <c r="S9" s="56">
        <f>SFP!R39</f>
        <v>4166666.66</v>
      </c>
      <c r="T9" s="56">
        <f>SFP!S39</f>
        <v>9749999.9900000002</v>
      </c>
      <c r="U9" s="56">
        <f>SFP!T39</f>
        <v>8921666.3200000003</v>
      </c>
      <c r="V9" s="56">
        <f>SFP!U39</f>
        <v>8004999.6500000004</v>
      </c>
    </row>
    <row r="10" spans="1:23">
      <c r="A10" s="43">
        <v>4.0999999999999996</v>
      </c>
      <c r="B10" s="53" t="s">
        <v>112</v>
      </c>
      <c r="C10" s="75">
        <f>SFP!B34+SFP!B35+SFP!B36+SFP!B37+SFP!B38</f>
        <v>14392985</v>
      </c>
      <c r="D10" s="75">
        <f>SFP!C34+SFP!C35+SFP!C36+SFP!C37+SFP!C38</f>
        <v>11628418.26</v>
      </c>
      <c r="E10" s="75">
        <f>SFP!D34+SFP!D35+SFP!D36+SFP!D37+SFP!D38</f>
        <v>11701183.26</v>
      </c>
      <c r="F10" s="75">
        <f>SFP!E34+SFP!E35+SFP!E36+SFP!E37+SFP!E38</f>
        <v>11969532.380000001</v>
      </c>
      <c r="G10" s="75">
        <f>SFP!F34+SFP!F35+SFP!F36+SFP!F37+SFP!F38</f>
        <v>11642187.380000001</v>
      </c>
      <c r="H10" s="75">
        <f>SFP!G34+SFP!G35+SFP!G36+SFP!G37+SFP!G38</f>
        <v>12007886.130000001</v>
      </c>
      <c r="I10" s="75">
        <f>SFP!H34+SFP!H35+SFP!H36+SFP!H37+SFP!H38</f>
        <v>12019496.130000001</v>
      </c>
      <c r="J10" s="75">
        <f>SFP!I34+SFP!I35+SFP!I36+SFP!I37+SFP!I38</f>
        <v>14030245.130000001</v>
      </c>
      <c r="K10" s="75">
        <f>SFP!J34+SFP!J35+SFP!J36+SFP!J37+SFP!J38</f>
        <v>14181930.380000001</v>
      </c>
      <c r="L10" s="75">
        <f>SFP!K34+SFP!K35+SFP!K36+SFP!K37+SFP!K38</f>
        <v>12758431.880000001</v>
      </c>
      <c r="M10" s="75">
        <f>SFP!L34+SFP!L35+SFP!L36+SFP!L37+SFP!L38</f>
        <v>13117416.380000001</v>
      </c>
      <c r="N10" s="75">
        <f>SFP!M34+SFP!M35+SFP!M36+SFP!M37+SFP!M38</f>
        <v>13441434.779999999</v>
      </c>
      <c r="O10" s="75">
        <f>SFP!N34+SFP!N35+SFP!N36+SFP!N37+SFP!N38</f>
        <v>8020895.0199999996</v>
      </c>
      <c r="P10" s="75">
        <f>SFP!O34+SFP!O35+SFP!O36+SFP!O37+SFP!O38</f>
        <v>5263066</v>
      </c>
      <c r="Q10" s="75">
        <f>SFP!P34+SFP!P35+SFP!P36+SFP!P37+SFP!P38</f>
        <v>8237847.0199999996</v>
      </c>
      <c r="R10" s="75">
        <f>SFP!Q34+SFP!Q35+SFP!Q36+SFP!Q37+SFP!Q38</f>
        <v>8513627.0199999996</v>
      </c>
      <c r="S10" s="75">
        <f>SFP!R34+SFP!R35+SFP!R36+SFP!R37+SFP!R38</f>
        <v>8820303.0199999996</v>
      </c>
      <c r="T10" s="75">
        <f>SFP!S34+SFP!S35+SFP!S36+SFP!S37+SFP!S38</f>
        <v>17917521.579999998</v>
      </c>
      <c r="U10" s="75">
        <f>SFP!T34+SFP!T35+SFP!T36+SFP!T37+SFP!T38</f>
        <v>17687733.75</v>
      </c>
      <c r="V10" s="75">
        <f>SFP!U34+SFP!U35+SFP!U36+SFP!U37+SFP!U38</f>
        <v>17962859.300000001</v>
      </c>
    </row>
    <row r="11" spans="1:23">
      <c r="A11" s="31"/>
      <c r="B11" s="3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</row>
    <row r="12" spans="1:23" ht="13.5" thickBot="1">
      <c r="A12" s="31"/>
      <c r="B12" s="3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</row>
    <row r="13" spans="1:23" ht="12" customHeight="1">
      <c r="A13" s="33">
        <v>5</v>
      </c>
      <c r="B13" s="100" t="s">
        <v>113</v>
      </c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</row>
    <row r="14" spans="1:23" s="126" customFormat="1">
      <c r="A14" s="123">
        <v>5.0999999999999996</v>
      </c>
      <c r="B14" s="124" t="s">
        <v>114</v>
      </c>
      <c r="C14" s="125">
        <f>C17</f>
        <v>46626056</v>
      </c>
      <c r="D14" s="125">
        <f t="shared" ref="D14:U14" si="0">D17</f>
        <v>63929101.32</v>
      </c>
      <c r="E14" s="125">
        <f t="shared" si="0"/>
        <v>65146114.049999997</v>
      </c>
      <c r="F14" s="125">
        <f t="shared" si="0"/>
        <v>52153998.82</v>
      </c>
      <c r="G14" s="125">
        <f t="shared" si="0"/>
        <v>53911683.450000003</v>
      </c>
      <c r="H14" s="125">
        <f t="shared" si="0"/>
        <v>53323830.810000002</v>
      </c>
      <c r="I14" s="125">
        <f t="shared" si="0"/>
        <v>55640039.450000003</v>
      </c>
      <c r="J14" s="125">
        <f t="shared" si="0"/>
        <v>56828388.780000001</v>
      </c>
      <c r="K14" s="125">
        <f t="shared" si="0"/>
        <v>57583111.32</v>
      </c>
      <c r="L14" s="125">
        <f t="shared" si="0"/>
        <v>58933982.950000003</v>
      </c>
      <c r="M14" s="125">
        <f t="shared" si="0"/>
        <v>60684356.050000004</v>
      </c>
      <c r="N14" s="125">
        <f t="shared" si="0"/>
        <v>62992879.530000001</v>
      </c>
      <c r="O14" s="125">
        <f t="shared" si="0"/>
        <v>72718146.950000003</v>
      </c>
      <c r="P14" s="125">
        <f t="shared" si="0"/>
        <v>54706639</v>
      </c>
      <c r="Q14" s="125">
        <f t="shared" si="0"/>
        <v>74372748.689999998</v>
      </c>
      <c r="R14" s="125">
        <f t="shared" si="0"/>
        <v>78150195.679999992</v>
      </c>
      <c r="S14" s="125">
        <f t="shared" si="0"/>
        <v>76492885.899999991</v>
      </c>
      <c r="T14" s="125">
        <f t="shared" si="0"/>
        <v>63694991.840000004</v>
      </c>
      <c r="U14" s="125">
        <f t="shared" si="0"/>
        <v>64140201.280000001</v>
      </c>
      <c r="V14" s="125">
        <f t="shared" ref="V14" si="1">V17</f>
        <v>65573519.709999993</v>
      </c>
    </row>
    <row r="15" spans="1:23" s="130" customFormat="1">
      <c r="A15" s="127">
        <v>5.2</v>
      </c>
      <c r="B15" s="128" t="s">
        <v>115</v>
      </c>
      <c r="C15" s="129">
        <f>C14-C18</f>
        <v>14387005</v>
      </c>
      <c r="D15" s="129">
        <f t="shared" ref="D15:O15" si="2">D14-D18</f>
        <v>31382087.129999999</v>
      </c>
      <c r="E15" s="129">
        <f t="shared" si="2"/>
        <v>32473800.259999998</v>
      </c>
      <c r="F15" s="129">
        <f t="shared" si="2"/>
        <v>19395770.48</v>
      </c>
      <c r="G15" s="129">
        <f t="shared" si="2"/>
        <v>20934664.570000004</v>
      </c>
      <c r="H15" s="129">
        <f t="shared" si="2"/>
        <v>20257644.790000003</v>
      </c>
      <c r="I15" s="129">
        <f t="shared" si="2"/>
        <v>22522833.430000003</v>
      </c>
      <c r="J15" s="129">
        <f t="shared" si="2"/>
        <v>23655787.760000002</v>
      </c>
      <c r="K15" s="129">
        <f t="shared" si="2"/>
        <v>24332118.300000001</v>
      </c>
      <c r="L15" s="129">
        <f t="shared" si="2"/>
        <v>25611968.430000003</v>
      </c>
      <c r="M15" s="129">
        <f t="shared" si="2"/>
        <v>27299297.230000004</v>
      </c>
      <c r="N15" s="129">
        <f t="shared" si="2"/>
        <v>29515848.710000001</v>
      </c>
      <c r="O15" s="129">
        <f t="shared" si="2"/>
        <v>33634715.270000003</v>
      </c>
      <c r="P15" s="129">
        <f>P14-P18</f>
        <v>15823207</v>
      </c>
      <c r="Q15" s="129">
        <f t="shared" ref="Q15:U15" si="3">Q14-Q18</f>
        <v>35209234.359999999</v>
      </c>
      <c r="R15" s="129">
        <f t="shared" si="3"/>
        <v>38873640.649999991</v>
      </c>
      <c r="S15" s="129">
        <f t="shared" si="3"/>
        <v>37160418.86999999</v>
      </c>
      <c r="T15" s="129">
        <f t="shared" si="3"/>
        <v>24283883.810000002</v>
      </c>
      <c r="U15" s="129">
        <f t="shared" si="3"/>
        <v>24570058.230000004</v>
      </c>
      <c r="V15" s="129">
        <f t="shared" ref="V15" si="4">V14-V18</f>
        <v>25957584.269999996</v>
      </c>
    </row>
    <row r="16" spans="1:23">
      <c r="A16" s="36"/>
      <c r="B16" s="37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</row>
    <row r="17" spans="1:22">
      <c r="A17" s="38">
        <v>5.3</v>
      </c>
      <c r="B17" s="28" t="s">
        <v>116</v>
      </c>
      <c r="C17" s="115">
        <f>SUM(C18:C21)</f>
        <v>46626056</v>
      </c>
      <c r="D17" s="115">
        <f t="shared" ref="D17:U17" si="5">SUM(D18:D21)</f>
        <v>63929101.32</v>
      </c>
      <c r="E17" s="115">
        <f t="shared" si="5"/>
        <v>65146114.049999997</v>
      </c>
      <c r="F17" s="115">
        <f t="shared" si="5"/>
        <v>52153998.82</v>
      </c>
      <c r="G17" s="115">
        <f t="shared" si="5"/>
        <v>53911683.450000003</v>
      </c>
      <c r="H17" s="115">
        <f t="shared" si="5"/>
        <v>53323830.810000002</v>
      </c>
      <c r="I17" s="115">
        <f t="shared" si="5"/>
        <v>55640039.450000003</v>
      </c>
      <c r="J17" s="115">
        <f t="shared" si="5"/>
        <v>56828388.780000001</v>
      </c>
      <c r="K17" s="115">
        <f t="shared" si="5"/>
        <v>57583111.32</v>
      </c>
      <c r="L17" s="115">
        <f t="shared" si="5"/>
        <v>58933982.950000003</v>
      </c>
      <c r="M17" s="115">
        <f t="shared" si="5"/>
        <v>60684356.050000004</v>
      </c>
      <c r="N17" s="115">
        <f t="shared" si="5"/>
        <v>62992879.530000001</v>
      </c>
      <c r="O17" s="115">
        <f t="shared" si="5"/>
        <v>72718146.950000003</v>
      </c>
      <c r="P17" s="115">
        <f t="shared" si="5"/>
        <v>54706639</v>
      </c>
      <c r="Q17" s="115">
        <f t="shared" si="5"/>
        <v>74372748.689999998</v>
      </c>
      <c r="R17" s="115">
        <f t="shared" si="5"/>
        <v>78150195.679999992</v>
      </c>
      <c r="S17" s="115">
        <f t="shared" si="5"/>
        <v>76492885.899999991</v>
      </c>
      <c r="T17" s="115">
        <f t="shared" si="5"/>
        <v>63694991.840000004</v>
      </c>
      <c r="U17" s="115">
        <f t="shared" si="5"/>
        <v>64140201.280000001</v>
      </c>
      <c r="V17" s="115">
        <f t="shared" ref="V17" si="6">SUM(V18:V21)</f>
        <v>65573519.709999993</v>
      </c>
    </row>
    <row r="18" spans="1:22">
      <c r="A18" s="34" t="s">
        <v>117</v>
      </c>
      <c r="B18" s="101" t="s">
        <v>118</v>
      </c>
      <c r="C18" s="110">
        <f>SFP!B42</f>
        <v>32239051</v>
      </c>
      <c r="D18" s="110">
        <f>SFP!C42</f>
        <v>32547014.190000001</v>
      </c>
      <c r="E18" s="110">
        <f>SFP!D42</f>
        <v>32672313.789999999</v>
      </c>
      <c r="F18" s="110">
        <f>SFP!E42</f>
        <v>32758228.34</v>
      </c>
      <c r="G18" s="110">
        <f>SFP!F42</f>
        <v>32977018.879999999</v>
      </c>
      <c r="H18" s="110">
        <f>SFP!G42</f>
        <v>33066186.02</v>
      </c>
      <c r="I18" s="110">
        <f>SFP!H42</f>
        <v>33117206.02</v>
      </c>
      <c r="J18" s="110">
        <f>SFP!I42</f>
        <v>33172601.02</v>
      </c>
      <c r="K18" s="110">
        <f>SFP!J42</f>
        <v>33250993.02</v>
      </c>
      <c r="L18" s="110">
        <f>SFP!K42</f>
        <v>33322014.52</v>
      </c>
      <c r="M18" s="110">
        <f>SFP!L42</f>
        <v>33385058.82</v>
      </c>
      <c r="N18" s="110">
        <f>SFP!M42</f>
        <v>33477030.82</v>
      </c>
      <c r="O18" s="110">
        <f>SFP!N42</f>
        <v>39083431.68</v>
      </c>
      <c r="P18" s="110">
        <f>SFP!O42</f>
        <v>38883432</v>
      </c>
      <c r="Q18" s="110">
        <f>SFP!P42</f>
        <v>39163514.329999998</v>
      </c>
      <c r="R18" s="110">
        <f>SFP!Q42</f>
        <v>39276555.030000001</v>
      </c>
      <c r="S18" s="110">
        <f>SFP!R42</f>
        <v>39332467.030000001</v>
      </c>
      <c r="T18" s="110">
        <f>SFP!S42</f>
        <v>39411108.030000001</v>
      </c>
      <c r="U18" s="110">
        <f>SFP!T42</f>
        <v>39570143.049999997</v>
      </c>
      <c r="V18" s="110">
        <f>SFP!U42</f>
        <v>39615935.439999998</v>
      </c>
    </row>
    <row r="19" spans="1:22">
      <c r="A19" s="34" t="s">
        <v>119</v>
      </c>
      <c r="B19" s="99" t="s">
        <v>120</v>
      </c>
      <c r="C19" s="110">
        <f>SFP!B45</f>
        <v>7656031</v>
      </c>
      <c r="D19" s="110">
        <f>SFP!C45</f>
        <v>24235430.129999999</v>
      </c>
      <c r="E19" s="110">
        <f>SFP!D45</f>
        <v>25326643.260000002</v>
      </c>
      <c r="F19" s="110">
        <f>SFP!E45</f>
        <v>11003100.74</v>
      </c>
      <c r="G19" s="110">
        <f>SFP!F45</f>
        <v>12542994.83</v>
      </c>
      <c r="H19" s="110">
        <f>SFP!G45</f>
        <v>12026171.050000001</v>
      </c>
      <c r="I19" s="110">
        <f>SFP!H45</f>
        <v>14290859.690000001</v>
      </c>
      <c r="J19" s="110">
        <f>SFP!I45</f>
        <v>15424814.02</v>
      </c>
      <c r="K19" s="110">
        <f>SFP!J45</f>
        <v>16101144.559999999</v>
      </c>
      <c r="L19" s="110">
        <f>SFP!K45</f>
        <v>17380994.690000001</v>
      </c>
      <c r="M19" s="110">
        <f>SFP!L45</f>
        <v>19068323.489999998</v>
      </c>
      <c r="N19" s="110">
        <f>SFP!M45</f>
        <v>21284874.969999999</v>
      </c>
      <c r="O19" s="110">
        <f>SFP!N45</f>
        <v>25403741.530000001</v>
      </c>
      <c r="P19" s="110">
        <f>SFP!O45</f>
        <v>8289159</v>
      </c>
      <c r="Q19" s="110">
        <f>SFP!P45</f>
        <v>26778260.620000001</v>
      </c>
      <c r="R19" s="110">
        <f>SFP!Q45</f>
        <v>30442666.91</v>
      </c>
      <c r="S19" s="110">
        <f>SFP!R45</f>
        <v>28729445.130000003</v>
      </c>
      <c r="T19" s="110">
        <f>SFP!S45</f>
        <v>14810349.710000001</v>
      </c>
      <c r="U19" s="110">
        <f>SFP!T45</f>
        <v>15317369.68</v>
      </c>
      <c r="V19" s="110">
        <f>SFP!U45</f>
        <v>16707606.77</v>
      </c>
    </row>
    <row r="20" spans="1:22">
      <c r="A20" s="34" t="s">
        <v>121</v>
      </c>
      <c r="B20" s="99" t="s">
        <v>122</v>
      </c>
      <c r="C20" s="110">
        <f>SFP!B50</f>
        <v>6730974</v>
      </c>
      <c r="D20" s="110">
        <f>SFP!C50</f>
        <v>0</v>
      </c>
      <c r="E20" s="110">
        <f>SFP!D50</f>
        <v>0</v>
      </c>
      <c r="F20" s="110">
        <f>SFP!E50</f>
        <v>0</v>
      </c>
      <c r="G20" s="110">
        <f>SFP!F50</f>
        <v>0</v>
      </c>
      <c r="H20" s="110">
        <f>SFP!G50</f>
        <v>0</v>
      </c>
      <c r="I20" s="110">
        <f>SFP!H50</f>
        <v>0</v>
      </c>
      <c r="J20" s="110">
        <f>SFP!I50</f>
        <v>0</v>
      </c>
      <c r="K20" s="110">
        <f>SFP!J50</f>
        <v>8230973.7400000002</v>
      </c>
      <c r="L20" s="110">
        <f>SFP!K50</f>
        <v>0</v>
      </c>
      <c r="M20" s="110">
        <f>SFP!L50</f>
        <v>0</v>
      </c>
      <c r="N20" s="110">
        <f>SFP!M50</f>
        <v>0</v>
      </c>
      <c r="O20" s="110">
        <f>SFP!N50</f>
        <v>0</v>
      </c>
      <c r="P20" s="110">
        <f>SFP!O50</f>
        <v>7534048</v>
      </c>
      <c r="Q20" s="110">
        <f>SFP!P50</f>
        <v>0</v>
      </c>
      <c r="R20" s="110">
        <f>SFP!Q50</f>
        <v>0</v>
      </c>
      <c r="S20" s="110">
        <f>SFP!R50</f>
        <v>8430973.7400000002</v>
      </c>
      <c r="T20" s="110">
        <f>SFP!S50</f>
        <v>0</v>
      </c>
      <c r="U20" s="110">
        <f>SFP!T50</f>
        <v>0</v>
      </c>
      <c r="V20" s="110">
        <f>SFP!U50</f>
        <v>0</v>
      </c>
    </row>
    <row r="21" spans="1:22">
      <c r="A21" s="34" t="s">
        <v>123</v>
      </c>
      <c r="B21" s="99" t="s">
        <v>124</v>
      </c>
      <c r="C21" s="110">
        <f>SFP!B51</f>
        <v>0</v>
      </c>
      <c r="D21" s="110">
        <f>SFP!C51</f>
        <v>7146657</v>
      </c>
      <c r="E21" s="110">
        <f>SFP!D51</f>
        <v>7147157</v>
      </c>
      <c r="F21" s="110">
        <f>SFP!E51</f>
        <v>8392669.7400000002</v>
      </c>
      <c r="G21" s="110">
        <f>SFP!F51</f>
        <v>8391669.7400000002</v>
      </c>
      <c r="H21" s="110">
        <f>SFP!G51</f>
        <v>8231473.7400000002</v>
      </c>
      <c r="I21" s="110">
        <f>SFP!H51</f>
        <v>8231973.7400000002</v>
      </c>
      <c r="J21" s="110">
        <f>SFP!I51</f>
        <v>8230973.7400000002</v>
      </c>
      <c r="K21" s="110">
        <f>SFP!J51</f>
        <v>0</v>
      </c>
      <c r="L21" s="110">
        <f>SFP!K51</f>
        <v>8230973.7400000002</v>
      </c>
      <c r="M21" s="110">
        <f>SFP!L51</f>
        <v>8230973.7400000002</v>
      </c>
      <c r="N21" s="110">
        <f>SFP!M51</f>
        <v>8230973.7400000002</v>
      </c>
      <c r="O21" s="110">
        <f>SFP!N51</f>
        <v>8230973.7400000002</v>
      </c>
      <c r="P21" s="110">
        <f>SFP!O51</f>
        <v>0</v>
      </c>
      <c r="Q21" s="110">
        <f>SFP!P51</f>
        <v>8430973.7400000002</v>
      </c>
      <c r="R21" s="110">
        <f>SFP!Q51</f>
        <v>8430973.7400000002</v>
      </c>
      <c r="S21" s="110">
        <f>SFP!R51</f>
        <v>0</v>
      </c>
      <c r="T21" s="110">
        <f>SFP!S51</f>
        <v>9473534.0999999996</v>
      </c>
      <c r="U21" s="110">
        <f>SFP!T51</f>
        <v>9252688.5500000007</v>
      </c>
      <c r="V21" s="110">
        <f>SFP!U51</f>
        <v>9249977.5</v>
      </c>
    </row>
    <row r="22" spans="1:22">
      <c r="A22" s="34" t="s">
        <v>125</v>
      </c>
      <c r="B22" s="102" t="s">
        <v>126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</row>
    <row r="23" spans="1:22">
      <c r="A23" s="39" t="s">
        <v>127</v>
      </c>
      <c r="B23" s="99" t="s">
        <v>128</v>
      </c>
      <c r="C23" s="110">
        <f>SFP!B53</f>
        <v>3723905</v>
      </c>
      <c r="D23" s="110">
        <f>SFP!C53</f>
        <v>0</v>
      </c>
      <c r="E23" s="110">
        <f>SFP!D53</f>
        <v>0</v>
      </c>
      <c r="F23" s="110">
        <f>SFP!E53</f>
        <v>0</v>
      </c>
      <c r="G23" s="110">
        <f>SFP!F53</f>
        <v>0</v>
      </c>
      <c r="H23" s="110">
        <f>SFP!G53</f>
        <v>0</v>
      </c>
      <c r="I23" s="110">
        <f>SFP!H53</f>
        <v>0</v>
      </c>
      <c r="J23" s="110">
        <f>SFP!I53</f>
        <v>0</v>
      </c>
      <c r="K23" s="110">
        <f>SFP!J53</f>
        <v>0</v>
      </c>
      <c r="L23" s="110">
        <f>SFP!K53</f>
        <v>0</v>
      </c>
      <c r="M23" s="110">
        <f>SFP!L53</f>
        <v>0</v>
      </c>
      <c r="N23" s="110">
        <f>SFP!M53</f>
        <v>0</v>
      </c>
      <c r="O23" s="110">
        <f>SFP!N53</f>
        <v>0</v>
      </c>
      <c r="P23" s="110">
        <f>SFP!O53</f>
        <v>2591586</v>
      </c>
      <c r="Q23" s="110">
        <f>SFP!P53</f>
        <v>0</v>
      </c>
      <c r="R23" s="110">
        <f>SFP!Q53</f>
        <v>0</v>
      </c>
      <c r="S23" s="110">
        <f>SFP!R53</f>
        <v>0</v>
      </c>
      <c r="T23" s="110">
        <f>SFP!S53</f>
        <v>0</v>
      </c>
      <c r="U23" s="110">
        <f>SFP!T53</f>
        <v>0</v>
      </c>
      <c r="V23" s="110">
        <f>SFP!U53</f>
        <v>0</v>
      </c>
    </row>
    <row r="24" spans="1:22" ht="13.5" thickBot="1">
      <c r="A24" s="40" t="s">
        <v>129</v>
      </c>
      <c r="B24" s="103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</row>
    <row r="25" spans="1:22">
      <c r="A25" s="31"/>
      <c r="B25" s="41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</row>
    <row r="26" spans="1:22">
      <c r="A26" s="33">
        <v>6</v>
      </c>
      <c r="B26" s="104" t="s">
        <v>130</v>
      </c>
      <c r="C26" s="113">
        <f>C27+C28+C29</f>
        <v>10760</v>
      </c>
      <c r="D26" s="113">
        <f t="shared" ref="D26:U26" si="7">D27+D28+D29</f>
        <v>10760</v>
      </c>
      <c r="E26" s="113">
        <f t="shared" si="7"/>
        <v>10760</v>
      </c>
      <c r="F26" s="113">
        <f t="shared" si="7"/>
        <v>10760</v>
      </c>
      <c r="G26" s="113">
        <f t="shared" si="7"/>
        <v>10760</v>
      </c>
      <c r="H26" s="113">
        <f t="shared" si="7"/>
        <v>10760</v>
      </c>
      <c r="I26" s="113">
        <f t="shared" si="7"/>
        <v>10760</v>
      </c>
      <c r="J26" s="113">
        <f t="shared" si="7"/>
        <v>10760</v>
      </c>
      <c r="K26" s="113">
        <f t="shared" si="7"/>
        <v>10760</v>
      </c>
      <c r="L26" s="113">
        <f t="shared" si="7"/>
        <v>10760</v>
      </c>
      <c r="M26" s="113">
        <f t="shared" si="7"/>
        <v>10760</v>
      </c>
      <c r="N26" s="113">
        <f t="shared" si="7"/>
        <v>10760</v>
      </c>
      <c r="O26" s="113">
        <f t="shared" si="7"/>
        <v>10760</v>
      </c>
      <c r="P26" s="113">
        <f t="shared" si="7"/>
        <v>10760</v>
      </c>
      <c r="Q26" s="113">
        <f t="shared" si="7"/>
        <v>10760</v>
      </c>
      <c r="R26" s="113">
        <f t="shared" si="7"/>
        <v>10760</v>
      </c>
      <c r="S26" s="113">
        <f t="shared" si="7"/>
        <v>10760</v>
      </c>
      <c r="T26" s="113">
        <f t="shared" si="7"/>
        <v>10760</v>
      </c>
      <c r="U26" s="113">
        <f t="shared" si="7"/>
        <v>10760</v>
      </c>
      <c r="V26" s="113">
        <f t="shared" ref="V26" si="8">V27+V28+V29</f>
        <v>10760</v>
      </c>
    </row>
    <row r="27" spans="1:22">
      <c r="A27" s="34">
        <v>6.1</v>
      </c>
      <c r="B27" s="99" t="s">
        <v>131</v>
      </c>
      <c r="C27" s="110">
        <f>SFP!B12</f>
        <v>10760</v>
      </c>
      <c r="D27" s="110">
        <f>SFP!C12</f>
        <v>10760</v>
      </c>
      <c r="E27" s="110">
        <f>SFP!D12</f>
        <v>10760</v>
      </c>
      <c r="F27" s="110">
        <f>SFP!E12</f>
        <v>10760</v>
      </c>
      <c r="G27" s="110">
        <f>SFP!F12</f>
        <v>10760</v>
      </c>
      <c r="H27" s="110">
        <f>SFP!G12</f>
        <v>10760</v>
      </c>
      <c r="I27" s="110">
        <f>SFP!H12</f>
        <v>10760</v>
      </c>
      <c r="J27" s="110">
        <f>SFP!I12</f>
        <v>10760</v>
      </c>
      <c r="K27" s="110">
        <f>SFP!J12</f>
        <v>10760</v>
      </c>
      <c r="L27" s="110">
        <f>SFP!K12</f>
        <v>10760</v>
      </c>
      <c r="M27" s="110">
        <f>SFP!L12</f>
        <v>10760</v>
      </c>
      <c r="N27" s="110">
        <f>SFP!M12</f>
        <v>10760</v>
      </c>
      <c r="O27" s="110">
        <f>SFP!N12</f>
        <v>10760</v>
      </c>
      <c r="P27" s="110">
        <f>SFP!O12</f>
        <v>10760</v>
      </c>
      <c r="Q27" s="110">
        <f>SFP!P12</f>
        <v>10760</v>
      </c>
      <c r="R27" s="110">
        <f>SFP!Q12</f>
        <v>10760</v>
      </c>
      <c r="S27" s="110">
        <f>SFP!R12</f>
        <v>10760</v>
      </c>
      <c r="T27" s="110">
        <f>SFP!S12</f>
        <v>10760</v>
      </c>
      <c r="U27" s="110">
        <f>SFP!T12</f>
        <v>10760</v>
      </c>
      <c r="V27" s="110">
        <f>SFP!U12</f>
        <v>10760</v>
      </c>
    </row>
    <row r="28" spans="1:22">
      <c r="A28" s="34">
        <v>6.2</v>
      </c>
      <c r="B28" s="99" t="s">
        <v>132</v>
      </c>
      <c r="C28" s="110">
        <f>SFP!B13</f>
        <v>0</v>
      </c>
      <c r="D28" s="110">
        <f>SFP!C13</f>
        <v>0</v>
      </c>
      <c r="E28" s="110">
        <f>SFP!D13</f>
        <v>0</v>
      </c>
      <c r="F28" s="110">
        <f>SFP!E13</f>
        <v>0</v>
      </c>
      <c r="G28" s="110">
        <f>SFP!F13</f>
        <v>0</v>
      </c>
      <c r="H28" s="110">
        <f>SFP!G13</f>
        <v>0</v>
      </c>
      <c r="I28" s="110">
        <f>SFP!H13</f>
        <v>0</v>
      </c>
      <c r="J28" s="110">
        <f>SFP!I13</f>
        <v>0</v>
      </c>
      <c r="K28" s="110">
        <f>SFP!J13</f>
        <v>0</v>
      </c>
      <c r="L28" s="110">
        <f>SFP!K13</f>
        <v>0</v>
      </c>
      <c r="M28" s="110">
        <f>SFP!L13</f>
        <v>0</v>
      </c>
      <c r="N28" s="110">
        <f>SFP!M13</f>
        <v>0</v>
      </c>
      <c r="O28" s="110">
        <f>SFP!N13</f>
        <v>0</v>
      </c>
      <c r="P28" s="110">
        <f>SFP!O13</f>
        <v>0</v>
      </c>
      <c r="Q28" s="110">
        <f>SFP!P13</f>
        <v>0</v>
      </c>
      <c r="R28" s="110">
        <f>SFP!Q13</f>
        <v>0</v>
      </c>
      <c r="S28" s="110">
        <f>SFP!R13</f>
        <v>0</v>
      </c>
      <c r="T28" s="110">
        <f>SFP!S13</f>
        <v>0</v>
      </c>
      <c r="U28" s="110">
        <f>SFP!T13</f>
        <v>0</v>
      </c>
      <c r="V28" s="110">
        <f>SFP!U13</f>
        <v>0</v>
      </c>
    </row>
    <row r="29" spans="1:22">
      <c r="A29" s="35">
        <v>6.3</v>
      </c>
      <c r="B29" s="103" t="s">
        <v>133</v>
      </c>
      <c r="C29" s="114">
        <f>SFP!B11</f>
        <v>0</v>
      </c>
      <c r="D29" s="114">
        <f>SFP!C11</f>
        <v>0</v>
      </c>
      <c r="E29" s="114">
        <f>SFP!D11</f>
        <v>0</v>
      </c>
      <c r="F29" s="114">
        <f>SFP!E11</f>
        <v>0</v>
      </c>
      <c r="G29" s="114">
        <f>SFP!F11</f>
        <v>0</v>
      </c>
      <c r="H29" s="114">
        <f>SFP!G11</f>
        <v>0</v>
      </c>
      <c r="I29" s="114">
        <f>SFP!H11</f>
        <v>0</v>
      </c>
      <c r="J29" s="114">
        <f>SFP!I11</f>
        <v>0</v>
      </c>
      <c r="K29" s="114">
        <f>SFP!J11</f>
        <v>0</v>
      </c>
      <c r="L29" s="114">
        <f>SFP!K11</f>
        <v>0</v>
      </c>
      <c r="M29" s="114">
        <f>SFP!L11</f>
        <v>0</v>
      </c>
      <c r="N29" s="114">
        <f>SFP!M11</f>
        <v>0</v>
      </c>
      <c r="O29" s="114">
        <f>SFP!N11</f>
        <v>0</v>
      </c>
      <c r="P29" s="114">
        <f>SFP!O11</f>
        <v>0</v>
      </c>
      <c r="Q29" s="114">
        <f>SFP!P11</f>
        <v>0</v>
      </c>
      <c r="R29" s="114">
        <f>SFP!Q11</f>
        <v>0</v>
      </c>
      <c r="S29" s="114">
        <f>SFP!R11</f>
        <v>0</v>
      </c>
      <c r="T29" s="114">
        <f>SFP!S11</f>
        <v>0</v>
      </c>
      <c r="U29" s="114">
        <f>SFP!T11</f>
        <v>0</v>
      </c>
      <c r="V29" s="114">
        <f>SFP!U11</f>
        <v>0</v>
      </c>
    </row>
    <row r="30" spans="1:22">
      <c r="A30" s="31"/>
      <c r="B30" s="4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</row>
    <row r="31" spans="1:22">
      <c r="A31" s="33">
        <v>7</v>
      </c>
      <c r="B31" s="105" t="s">
        <v>64</v>
      </c>
      <c r="C31" s="113">
        <f>C32-C33</f>
        <v>171032210</v>
      </c>
      <c r="D31" s="113">
        <f t="shared" ref="D31:U31" si="9">D32-D33</f>
        <v>178672745.69</v>
      </c>
      <c r="E31" s="113">
        <f t="shared" si="9"/>
        <v>177354750.18000001</v>
      </c>
      <c r="F31" s="113">
        <f t="shared" si="9"/>
        <v>174292134.30000001</v>
      </c>
      <c r="G31" s="113">
        <f t="shared" si="9"/>
        <v>172164558.44999999</v>
      </c>
      <c r="H31" s="113">
        <f t="shared" si="9"/>
        <v>176893002.58000001</v>
      </c>
      <c r="I31" s="113">
        <f t="shared" si="9"/>
        <v>187318253.94</v>
      </c>
      <c r="J31" s="113">
        <f t="shared" si="9"/>
        <v>190611821.16999999</v>
      </c>
      <c r="K31" s="113">
        <f t="shared" si="9"/>
        <v>189224687.91999999</v>
      </c>
      <c r="L31" s="113">
        <f t="shared" si="9"/>
        <v>192760883.63999999</v>
      </c>
      <c r="M31" s="113">
        <f t="shared" si="9"/>
        <v>207413372.19999999</v>
      </c>
      <c r="N31" s="113">
        <f t="shared" si="9"/>
        <v>218331519.24000001</v>
      </c>
      <c r="O31" s="113">
        <f t="shared" si="9"/>
        <v>220964657.78999999</v>
      </c>
      <c r="P31" s="113">
        <f t="shared" si="9"/>
        <v>206917751</v>
      </c>
      <c r="Q31" s="113">
        <f t="shared" si="9"/>
        <v>222658239.03</v>
      </c>
      <c r="R31" s="113">
        <f t="shared" si="9"/>
        <v>232547455.75999999</v>
      </c>
      <c r="S31" s="113">
        <f t="shared" si="9"/>
        <v>234566848.78999999</v>
      </c>
      <c r="T31" s="113">
        <f t="shared" si="9"/>
        <v>231559128.41999999</v>
      </c>
      <c r="U31" s="113">
        <f t="shared" si="9"/>
        <v>227636962.11000001</v>
      </c>
      <c r="V31" s="113">
        <f t="shared" ref="V31" si="10">V32-V33</f>
        <v>232375867.97999999</v>
      </c>
    </row>
    <row r="32" spans="1:22">
      <c r="A32" s="34">
        <v>7.1</v>
      </c>
      <c r="B32" s="51" t="s">
        <v>134</v>
      </c>
      <c r="C32" s="110">
        <f>SFP!B15</f>
        <v>179052670</v>
      </c>
      <c r="D32" s="110">
        <f>SFP!C15</f>
        <v>178672745.69</v>
      </c>
      <c r="E32" s="110">
        <f>SFP!D15</f>
        <v>177354750.18000001</v>
      </c>
      <c r="F32" s="110">
        <f>SFP!E15</f>
        <v>174292134.30000001</v>
      </c>
      <c r="G32" s="110">
        <f>SFP!F15</f>
        <v>172164558.44999999</v>
      </c>
      <c r="H32" s="110">
        <f>SFP!G15</f>
        <v>176893002.58000001</v>
      </c>
      <c r="I32" s="110">
        <f>SFP!H15</f>
        <v>187318253.94</v>
      </c>
      <c r="J32" s="110">
        <f>SFP!I15</f>
        <v>190611821.16999999</v>
      </c>
      <c r="K32" s="110">
        <f>SFP!J15</f>
        <v>189224687.91999999</v>
      </c>
      <c r="L32" s="110">
        <f>SFP!K15</f>
        <v>192760883.63999999</v>
      </c>
      <c r="M32" s="110">
        <f>SFP!L15</f>
        <v>207413372.19999999</v>
      </c>
      <c r="N32" s="110">
        <f>SFP!M15</f>
        <v>218331519.24000001</v>
      </c>
      <c r="O32" s="110">
        <f>SFP!N15</f>
        <v>220964657.78999999</v>
      </c>
      <c r="P32" s="110">
        <f>SFP!O15</f>
        <v>220964660</v>
      </c>
      <c r="Q32" s="110">
        <f>SFP!P15</f>
        <v>222658239.03</v>
      </c>
      <c r="R32" s="110">
        <f>SFP!Q15</f>
        <v>232547455.75999999</v>
      </c>
      <c r="S32" s="110">
        <f>SFP!R15</f>
        <v>234566848.78999999</v>
      </c>
      <c r="T32" s="110">
        <f>SFP!S15</f>
        <v>231559128.41999999</v>
      </c>
      <c r="U32" s="110">
        <f>SFP!T15</f>
        <v>227636962.11000001</v>
      </c>
      <c r="V32" s="110">
        <f>SFP!U15</f>
        <v>232375867.97999999</v>
      </c>
    </row>
    <row r="33" spans="1:22">
      <c r="A33" s="34">
        <v>7.3</v>
      </c>
      <c r="B33" s="51" t="s">
        <v>135</v>
      </c>
      <c r="C33" s="110">
        <f>SFP!B16</f>
        <v>8020460</v>
      </c>
      <c r="D33" s="110">
        <f>SFP!C16</f>
        <v>0</v>
      </c>
      <c r="E33" s="110">
        <f>SFP!D16</f>
        <v>0</v>
      </c>
      <c r="F33" s="110">
        <f>SFP!E16</f>
        <v>0</v>
      </c>
      <c r="G33" s="110">
        <f>SFP!F16</f>
        <v>0</v>
      </c>
      <c r="H33" s="110">
        <f>SFP!G16</f>
        <v>0</v>
      </c>
      <c r="I33" s="110">
        <f>SFP!H16</f>
        <v>0</v>
      </c>
      <c r="J33" s="110">
        <f>SFP!I16</f>
        <v>0</v>
      </c>
      <c r="K33" s="110">
        <f>SFP!J16</f>
        <v>0</v>
      </c>
      <c r="L33" s="110">
        <f>SFP!K16</f>
        <v>0</v>
      </c>
      <c r="M33" s="110">
        <f>SFP!L16</f>
        <v>0</v>
      </c>
      <c r="N33" s="110">
        <f>SFP!M16</f>
        <v>0</v>
      </c>
      <c r="O33" s="110">
        <f>SFP!N16</f>
        <v>0</v>
      </c>
      <c r="P33" s="110">
        <f>SFP!O16</f>
        <v>14046909</v>
      </c>
      <c r="Q33" s="110">
        <f>SFP!P16</f>
        <v>0</v>
      </c>
      <c r="R33" s="110">
        <f>SFP!Q16</f>
        <v>0</v>
      </c>
      <c r="S33" s="110">
        <f>SFP!R16</f>
        <v>0</v>
      </c>
      <c r="T33" s="110">
        <f>SFP!S16</f>
        <v>0</v>
      </c>
      <c r="U33" s="110">
        <f>SFP!T16</f>
        <v>0</v>
      </c>
      <c r="V33" s="110">
        <f>SFP!U16</f>
        <v>0</v>
      </c>
    </row>
    <row r="34" spans="1:22">
      <c r="A34" s="43">
        <v>7.4</v>
      </c>
      <c r="B34" s="51" t="s">
        <v>136</v>
      </c>
      <c r="C34" s="116" t="e">
        <f>(#REF!+#REF!+#REF!)</f>
        <v>#REF!</v>
      </c>
      <c r="D34" s="116" t="e">
        <f>(#REF!+#REF!+#REF!)</f>
        <v>#REF!</v>
      </c>
      <c r="E34" s="116" t="e">
        <f>(#REF!+#REF!+#REF!)</f>
        <v>#REF!</v>
      </c>
      <c r="F34" s="116" t="e">
        <f>(#REF!+#REF!+#REF!)</f>
        <v>#REF!</v>
      </c>
      <c r="G34" s="116" t="e">
        <f>(#REF!+#REF!+#REF!)</f>
        <v>#REF!</v>
      </c>
      <c r="H34" s="116" t="e">
        <f>(#REF!+#REF!+#REF!)</f>
        <v>#REF!</v>
      </c>
      <c r="I34" s="116" t="e">
        <f>(#REF!+#REF!+#REF!)</f>
        <v>#REF!</v>
      </c>
      <c r="J34" s="116" t="e">
        <f>(#REF!+#REF!+#REF!)</f>
        <v>#REF!</v>
      </c>
      <c r="K34" s="116" t="e">
        <f>(#REF!+#REF!+#REF!)</f>
        <v>#REF!</v>
      </c>
      <c r="L34" s="116" t="e">
        <f>(#REF!+#REF!+#REF!)</f>
        <v>#REF!</v>
      </c>
      <c r="M34" s="116" t="e">
        <f>(#REF!+#REF!+#REF!)</f>
        <v>#REF!</v>
      </c>
      <c r="N34" s="116" t="e">
        <f>(#REF!+#REF!+#REF!)</f>
        <v>#REF!</v>
      </c>
      <c r="O34" s="116" t="e">
        <f>(#REF!+#REF!+#REF!)</f>
        <v>#REF!</v>
      </c>
      <c r="P34" s="116" t="e">
        <f>(#REF!+#REF!+#REF!)</f>
        <v>#REF!</v>
      </c>
      <c r="Q34" s="116" t="e">
        <f>(#REF!+#REF!+#REF!)</f>
        <v>#REF!</v>
      </c>
      <c r="R34" s="116" t="e">
        <f>(#REF!+#REF!+#REF!)</f>
        <v>#REF!</v>
      </c>
      <c r="S34" s="116" t="e">
        <f>(#REF!+#REF!+#REF!)</f>
        <v>#REF!</v>
      </c>
      <c r="T34" s="116" t="e">
        <f>(#REF!+#REF!+#REF!)</f>
        <v>#REF!</v>
      </c>
      <c r="U34" s="116" t="e">
        <f>(#REF!+#REF!+#REF!)</f>
        <v>#REF!</v>
      </c>
      <c r="V34" s="116" t="e">
        <f>(#REF!+#REF!+#REF!)</f>
        <v>#REF!</v>
      </c>
    </row>
    <row r="35" spans="1:22">
      <c r="A35" s="43">
        <v>7.5</v>
      </c>
      <c r="B35" s="106" t="s">
        <v>137</v>
      </c>
      <c r="C35" s="116" t="e">
        <f>#REF!</f>
        <v>#REF!</v>
      </c>
      <c r="D35" s="116" t="e">
        <f>#REF!</f>
        <v>#REF!</v>
      </c>
      <c r="E35" s="116" t="e">
        <f>#REF!</f>
        <v>#REF!</v>
      </c>
      <c r="F35" s="116" t="e">
        <f>#REF!</f>
        <v>#REF!</v>
      </c>
      <c r="G35" s="116" t="e">
        <f>#REF!</f>
        <v>#REF!</v>
      </c>
      <c r="H35" s="116" t="e">
        <f>#REF!</f>
        <v>#REF!</v>
      </c>
      <c r="I35" s="116" t="e">
        <f>#REF!</f>
        <v>#REF!</v>
      </c>
      <c r="J35" s="116" t="e">
        <f>#REF!</f>
        <v>#REF!</v>
      </c>
      <c r="K35" s="116" t="e">
        <f>#REF!</f>
        <v>#REF!</v>
      </c>
      <c r="L35" s="116" t="e">
        <f>#REF!</f>
        <v>#REF!</v>
      </c>
      <c r="M35" s="116" t="e">
        <f>#REF!</f>
        <v>#REF!</v>
      </c>
      <c r="N35" s="116" t="e">
        <f>#REF!</f>
        <v>#REF!</v>
      </c>
      <c r="O35" s="116" t="e">
        <f>#REF!</f>
        <v>#REF!</v>
      </c>
      <c r="P35" s="116" t="e">
        <f>#REF!</f>
        <v>#REF!</v>
      </c>
      <c r="Q35" s="116" t="e">
        <f>#REF!</f>
        <v>#REF!</v>
      </c>
      <c r="R35" s="116" t="e">
        <f>#REF!</f>
        <v>#REF!</v>
      </c>
      <c r="S35" s="116" t="e">
        <f>#REF!</f>
        <v>#REF!</v>
      </c>
      <c r="T35" s="116" t="e">
        <f>#REF!</f>
        <v>#REF!</v>
      </c>
      <c r="U35" s="116" t="e">
        <f>#REF!</f>
        <v>#REF!</v>
      </c>
      <c r="V35" s="116" t="e">
        <f>#REF!</f>
        <v>#REF!</v>
      </c>
    </row>
    <row r="36" spans="1:22">
      <c r="A36" s="43">
        <v>7.6</v>
      </c>
      <c r="B36" s="44" t="s">
        <v>138</v>
      </c>
      <c r="C36" s="112">
        <f>SFP!B4</f>
        <v>32065169</v>
      </c>
      <c r="D36" s="112">
        <f>SFP!C4</f>
        <v>34912845.909999996</v>
      </c>
      <c r="E36" s="112">
        <f>SFP!D4</f>
        <v>41332418.890000001</v>
      </c>
      <c r="F36" s="112">
        <f>SFP!E4</f>
        <v>44698660.840000004</v>
      </c>
      <c r="G36" s="112">
        <f>SFP!F4</f>
        <v>42186283.25</v>
      </c>
      <c r="H36" s="112">
        <f>SFP!G4</f>
        <v>37722222.969999999</v>
      </c>
      <c r="I36" s="112">
        <f>SFP!H4</f>
        <v>30289909.27</v>
      </c>
      <c r="J36" s="112">
        <f>SFP!I4</f>
        <v>31739783.34</v>
      </c>
      <c r="K36" s="112">
        <f>SFP!J4</f>
        <v>30294926.600000001</v>
      </c>
      <c r="L36" s="112">
        <f>SFP!K4</f>
        <v>26849205.580000002</v>
      </c>
      <c r="M36" s="112">
        <f>SFP!L4</f>
        <v>19051065.300000001</v>
      </c>
      <c r="N36" s="112">
        <f>SFP!M4</f>
        <v>11945188.060000001</v>
      </c>
      <c r="O36" s="112">
        <f>SFP!N4</f>
        <v>12679507.27</v>
      </c>
      <c r="P36" s="112">
        <f>SFP!O4</f>
        <v>12671204</v>
      </c>
      <c r="Q36" s="112">
        <f>SFP!P4</f>
        <v>19056301.07</v>
      </c>
      <c r="R36" s="112">
        <f>SFP!Q4</f>
        <v>13817089.140000001</v>
      </c>
      <c r="S36" s="112">
        <f>SFP!R4</f>
        <v>12600181.390000001</v>
      </c>
      <c r="T36" s="112">
        <f>SFP!S4</f>
        <v>23871442.669999998</v>
      </c>
      <c r="U36" s="112">
        <f>SFP!T4</f>
        <v>21768526.329999998</v>
      </c>
      <c r="V36" s="112">
        <f>SFP!U4</f>
        <v>22129025.710000001</v>
      </c>
    </row>
    <row r="37" spans="1:22">
      <c r="A37" s="31"/>
      <c r="B37" s="45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</row>
    <row r="38" spans="1:22">
      <c r="A38" s="33">
        <v>8</v>
      </c>
      <c r="B38" s="105" t="s">
        <v>139</v>
      </c>
      <c r="C38" s="113">
        <f>SFP!B7+SFP!B17+SFP!B23+SFP!B24+SFP!B25+SFP!B26</f>
        <v>47034542</v>
      </c>
      <c r="D38" s="113">
        <f>SFP!C7+SFP!C17+SFP!C23+SFP!C24+SFP!C25+SFP!C26</f>
        <v>47976027.190000005</v>
      </c>
      <c r="E38" s="113">
        <f>SFP!D7+SFP!D17+SFP!D23+SFP!D24+SFP!D25+SFP!D26</f>
        <v>48057561.259999998</v>
      </c>
      <c r="F38" s="113">
        <f>SFP!E7+SFP!E17+SFP!E23+SFP!E24+SFP!E25+SFP!E26</f>
        <v>46339118.879999995</v>
      </c>
      <c r="G38" s="113">
        <f>SFP!F7+SFP!F17+SFP!F23+SFP!F24+SFP!F25+SFP!F26</f>
        <v>46757587.879999995</v>
      </c>
      <c r="H38" s="113">
        <f>SFP!G7+SFP!G17+SFP!G23+SFP!G24+SFP!G25+SFP!G26</f>
        <v>46837981.879999995</v>
      </c>
      <c r="I38" s="113">
        <f>SFP!H7+SFP!H17+SFP!H23+SFP!H24+SFP!H25+SFP!H26</f>
        <v>47341467.879999995</v>
      </c>
      <c r="J38" s="113">
        <f>SFP!I7+SFP!I17+SFP!I23+SFP!I24+SFP!I25+SFP!I26</f>
        <v>48381739.629999995</v>
      </c>
      <c r="K38" s="113">
        <f>SFP!J7+SFP!J17+SFP!J23+SFP!J24+SFP!J25+SFP!J26</f>
        <v>49886510.379999995</v>
      </c>
      <c r="L38" s="113">
        <f>SFP!K7+SFP!K17+SFP!K23+SFP!K24+SFP!K25+SFP!K26</f>
        <v>50314272.629999995</v>
      </c>
      <c r="M38" s="113">
        <f>SFP!L7+SFP!L17+SFP!L23+SFP!L24+SFP!L25+SFP!L26</f>
        <v>50513501.129999995</v>
      </c>
      <c r="N38" s="113">
        <f>SFP!M7+SFP!M17+SFP!M23+SFP!M24+SFP!M25+SFP!M26</f>
        <v>50462127.629999995</v>
      </c>
      <c r="O38" s="113">
        <f>SFP!N7+SFP!N17+SFP!N23+SFP!N24+SFP!N25+SFP!N26</f>
        <v>50761582.129999995</v>
      </c>
      <c r="P38" s="113">
        <f>SFP!O7+SFP!O17+SFP!O23+SFP!O24+SFP!O25+SFP!O26</f>
        <v>49026422</v>
      </c>
      <c r="Q38" s="113">
        <f>SFP!P7+SFP!P17+SFP!P23+SFP!P24+SFP!P25+SFP!P26</f>
        <v>51149227.129999995</v>
      </c>
      <c r="R38" s="113">
        <f>SFP!Q7+SFP!Q17+SFP!Q23+SFP!Q24+SFP!Q25+SFP!Q26</f>
        <v>50594028.829999998</v>
      </c>
      <c r="S38" s="113">
        <f>SFP!R7+SFP!R17+SFP!R23+SFP!R24+SFP!R25+SFP!R26</f>
        <v>48591899.780000001</v>
      </c>
      <c r="T38" s="113">
        <f>SFP!S7+SFP!S17+SFP!S23+SFP!S24+SFP!S25+SFP!S26</f>
        <v>48394625.68</v>
      </c>
      <c r="U38" s="113">
        <f>SFP!T7+SFP!T17+SFP!T23+SFP!T24+SFP!T25+SFP!T26</f>
        <v>48291781.68</v>
      </c>
      <c r="V38" s="113">
        <f>SFP!U7+SFP!U17+SFP!U23+SFP!U24+SFP!U25+SFP!U26</f>
        <v>48706284.68</v>
      </c>
    </row>
    <row r="39" spans="1:22">
      <c r="A39" s="35">
        <v>8.1</v>
      </c>
      <c r="B39" s="53" t="s">
        <v>140</v>
      </c>
      <c r="C39" s="114">
        <f>SFP!B23</f>
        <v>33967722</v>
      </c>
      <c r="D39" s="114">
        <f>SFP!C23</f>
        <v>34377304.280000001</v>
      </c>
      <c r="E39" s="114">
        <f>SFP!D23</f>
        <v>34541884.439999998</v>
      </c>
      <c r="F39" s="114">
        <f>SFP!E23</f>
        <v>34550874.439999998</v>
      </c>
      <c r="G39" s="114">
        <f>SFP!F23</f>
        <v>34847989.439999998</v>
      </c>
      <c r="H39" s="114">
        <f>SFP!G23</f>
        <v>35016649.439999998</v>
      </c>
      <c r="I39" s="114">
        <f>SFP!H23</f>
        <v>35054174.439999998</v>
      </c>
      <c r="J39" s="114">
        <f>SFP!I23</f>
        <v>35113074.439999998</v>
      </c>
      <c r="K39" s="114">
        <f>SFP!J23</f>
        <v>36613859.439999998</v>
      </c>
      <c r="L39" s="114">
        <f>SFP!K23</f>
        <v>36725559.439999998</v>
      </c>
      <c r="M39" s="114">
        <f>SFP!L23</f>
        <v>36901659.439999998</v>
      </c>
      <c r="N39" s="114">
        <f>SFP!M23</f>
        <v>36907459.439999998</v>
      </c>
      <c r="O39" s="114">
        <f>SFP!N23</f>
        <v>36982359.439999998</v>
      </c>
      <c r="P39" s="114">
        <f>SFP!O23</f>
        <v>35964276</v>
      </c>
      <c r="Q39" s="114">
        <f>SFP!P23</f>
        <v>37333764.439999998</v>
      </c>
      <c r="R39" s="114">
        <f>SFP!Q23</f>
        <v>37529764.439999998</v>
      </c>
      <c r="S39" s="114">
        <f>SFP!R23</f>
        <v>36482628.390000001</v>
      </c>
      <c r="T39" s="114">
        <f>SFP!S23</f>
        <v>36482628.890000001</v>
      </c>
      <c r="U39" s="114">
        <f>SFP!T23</f>
        <v>36412628.890000001</v>
      </c>
      <c r="V39" s="114">
        <f>SFP!U23</f>
        <v>36422778.890000001</v>
      </c>
    </row>
    <row r="40" spans="1:22">
      <c r="A40" s="31"/>
      <c r="B40" s="32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</row>
    <row r="41" spans="1:22">
      <c r="A41" s="46">
        <v>9</v>
      </c>
      <c r="B41" s="107" t="s">
        <v>141</v>
      </c>
      <c r="C41" s="113">
        <f>C42+C43+C44</f>
        <v>8230974</v>
      </c>
      <c r="D41" s="113">
        <f t="shared" ref="D41:U41" si="11">D42+D43+D44</f>
        <v>7146657</v>
      </c>
      <c r="E41" s="113">
        <f t="shared" si="11"/>
        <v>7147157</v>
      </c>
      <c r="F41" s="113">
        <f t="shared" si="11"/>
        <v>8392669.7400000002</v>
      </c>
      <c r="G41" s="113">
        <f t="shared" si="11"/>
        <v>8391669.7400000002</v>
      </c>
      <c r="H41" s="113">
        <f t="shared" si="11"/>
        <v>8231473.7400000002</v>
      </c>
      <c r="I41" s="113">
        <f t="shared" si="11"/>
        <v>8231973.7400000002</v>
      </c>
      <c r="J41" s="113">
        <f t="shared" si="11"/>
        <v>8230973.7400000002</v>
      </c>
      <c r="K41" s="113">
        <f t="shared" si="11"/>
        <v>8230973.7400000002</v>
      </c>
      <c r="L41" s="113">
        <f t="shared" si="11"/>
        <v>8230973.7400000002</v>
      </c>
      <c r="M41" s="113">
        <f t="shared" si="11"/>
        <v>8230973.7400000002</v>
      </c>
      <c r="N41" s="113">
        <f t="shared" si="11"/>
        <v>8230973.7400000002</v>
      </c>
      <c r="O41" s="113">
        <f t="shared" si="11"/>
        <v>8230973.7400000002</v>
      </c>
      <c r="P41" s="113">
        <f t="shared" si="11"/>
        <v>9234048</v>
      </c>
      <c r="Q41" s="113">
        <f t="shared" si="11"/>
        <v>8430973.7400000002</v>
      </c>
      <c r="R41" s="113">
        <f t="shared" si="11"/>
        <v>8430973.7400000002</v>
      </c>
      <c r="S41" s="113">
        <f t="shared" si="11"/>
        <v>8430973.7400000002</v>
      </c>
      <c r="T41" s="113">
        <f t="shared" si="11"/>
        <v>9473534.0999999996</v>
      </c>
      <c r="U41" s="113">
        <f t="shared" si="11"/>
        <v>9252688.5500000007</v>
      </c>
      <c r="V41" s="113">
        <f t="shared" ref="V41" si="12">V42+V43+V44</f>
        <v>9249977.5</v>
      </c>
    </row>
    <row r="42" spans="1:22">
      <c r="A42" s="47">
        <v>9.1</v>
      </c>
      <c r="B42" s="108" t="s">
        <v>142</v>
      </c>
      <c r="C42" s="110">
        <f>SFP!B50</f>
        <v>6730974</v>
      </c>
      <c r="D42" s="110">
        <f>SFP!C50</f>
        <v>0</v>
      </c>
      <c r="E42" s="110">
        <f>SFP!D50</f>
        <v>0</v>
      </c>
      <c r="F42" s="110">
        <f>SFP!E50</f>
        <v>0</v>
      </c>
      <c r="G42" s="110">
        <f>SFP!F50</f>
        <v>0</v>
      </c>
      <c r="H42" s="110">
        <f>SFP!G50</f>
        <v>0</v>
      </c>
      <c r="I42" s="110">
        <f>SFP!H50</f>
        <v>0</v>
      </c>
      <c r="J42" s="110">
        <f>SFP!I50</f>
        <v>0</v>
      </c>
      <c r="K42" s="110">
        <f>SFP!J50</f>
        <v>8230973.7400000002</v>
      </c>
      <c r="L42" s="110">
        <f>SFP!K50</f>
        <v>0</v>
      </c>
      <c r="M42" s="110">
        <f>SFP!L50</f>
        <v>0</v>
      </c>
      <c r="N42" s="110">
        <f>SFP!M50</f>
        <v>0</v>
      </c>
      <c r="O42" s="110">
        <f>SFP!N50</f>
        <v>0</v>
      </c>
      <c r="P42" s="110">
        <f>SFP!O50</f>
        <v>7534048</v>
      </c>
      <c r="Q42" s="110">
        <f>SFP!P50</f>
        <v>0</v>
      </c>
      <c r="R42" s="110">
        <f>SFP!Q50</f>
        <v>0</v>
      </c>
      <c r="S42" s="110">
        <f>SFP!R50</f>
        <v>8430973.7400000002</v>
      </c>
      <c r="T42" s="110">
        <f>SFP!S50</f>
        <v>0</v>
      </c>
      <c r="U42" s="110">
        <f>SFP!T50</f>
        <v>0</v>
      </c>
      <c r="V42" s="110">
        <f>SFP!U50</f>
        <v>0</v>
      </c>
    </row>
    <row r="43" spans="1:22">
      <c r="A43" s="47"/>
      <c r="B43" s="108" t="s">
        <v>143</v>
      </c>
      <c r="C43" s="110">
        <f>SFP!B51</f>
        <v>0</v>
      </c>
      <c r="D43" s="110">
        <f>SFP!C51</f>
        <v>7146657</v>
      </c>
      <c r="E43" s="110">
        <f>SFP!D51</f>
        <v>7147157</v>
      </c>
      <c r="F43" s="110">
        <f>SFP!E51</f>
        <v>8392669.7400000002</v>
      </c>
      <c r="G43" s="110">
        <f>SFP!F51</f>
        <v>8391669.7400000002</v>
      </c>
      <c r="H43" s="110">
        <f>SFP!G51</f>
        <v>8231473.7400000002</v>
      </c>
      <c r="I43" s="110">
        <f>SFP!H51</f>
        <v>8231973.7400000002</v>
      </c>
      <c r="J43" s="110">
        <f>SFP!I51</f>
        <v>8230973.7400000002</v>
      </c>
      <c r="K43" s="110">
        <f>SFP!J51</f>
        <v>0</v>
      </c>
      <c r="L43" s="110">
        <f>SFP!K51</f>
        <v>8230973.7400000002</v>
      </c>
      <c r="M43" s="110">
        <f>SFP!L51</f>
        <v>8230973.7400000002</v>
      </c>
      <c r="N43" s="110">
        <f>SFP!M51</f>
        <v>8230973.7400000002</v>
      </c>
      <c r="O43" s="110">
        <f>SFP!N51</f>
        <v>8230973.7400000002</v>
      </c>
      <c r="P43" s="110">
        <f>SFP!O51</f>
        <v>0</v>
      </c>
      <c r="Q43" s="110">
        <f>SFP!P51</f>
        <v>8430973.7400000002</v>
      </c>
      <c r="R43" s="110">
        <f>SFP!Q51</f>
        <v>8430973.7400000002</v>
      </c>
      <c r="S43" s="110">
        <f>SFP!R51</f>
        <v>0</v>
      </c>
      <c r="T43" s="110">
        <f>SFP!S51</f>
        <v>9473534.0999999996</v>
      </c>
      <c r="U43" s="110">
        <f>SFP!T51</f>
        <v>9252688.5500000007</v>
      </c>
      <c r="V43" s="110">
        <f>SFP!U51</f>
        <v>9249977.5</v>
      </c>
    </row>
    <row r="44" spans="1:22">
      <c r="A44" s="47">
        <v>9.1999999999999993</v>
      </c>
      <c r="B44" s="108" t="s">
        <v>144</v>
      </c>
      <c r="C44" s="110">
        <f>SFP!B52</f>
        <v>1500000</v>
      </c>
      <c r="D44" s="110">
        <f>SFP!C52</f>
        <v>0</v>
      </c>
      <c r="E44" s="110">
        <f>SFP!D52</f>
        <v>0</v>
      </c>
      <c r="F44" s="110">
        <f>SFP!E52</f>
        <v>0</v>
      </c>
      <c r="G44" s="110">
        <f>SFP!F52</f>
        <v>0</v>
      </c>
      <c r="H44" s="110">
        <f>SFP!G52</f>
        <v>0</v>
      </c>
      <c r="I44" s="110">
        <f>SFP!H52</f>
        <v>0</v>
      </c>
      <c r="J44" s="110">
        <f>SFP!I52</f>
        <v>0</v>
      </c>
      <c r="K44" s="110">
        <f>SFP!J52</f>
        <v>0</v>
      </c>
      <c r="L44" s="110">
        <f>SFP!K52</f>
        <v>0</v>
      </c>
      <c r="M44" s="110">
        <f>SFP!L52</f>
        <v>0</v>
      </c>
      <c r="N44" s="110">
        <f>SFP!M52</f>
        <v>0</v>
      </c>
      <c r="O44" s="110">
        <f>SFP!N52</f>
        <v>0</v>
      </c>
      <c r="P44" s="110">
        <f>SFP!O52</f>
        <v>1700000</v>
      </c>
      <c r="Q44" s="110">
        <f>SFP!P52</f>
        <v>0</v>
      </c>
      <c r="R44" s="110">
        <f>SFP!Q52</f>
        <v>0</v>
      </c>
      <c r="S44" s="110">
        <f>SFP!R52</f>
        <v>0</v>
      </c>
      <c r="T44" s="110">
        <f>SFP!S52</f>
        <v>0</v>
      </c>
      <c r="U44" s="110">
        <f>SFP!T52</f>
        <v>0</v>
      </c>
      <c r="V44" s="110">
        <f>SFP!U52</f>
        <v>0</v>
      </c>
    </row>
    <row r="45" spans="1:22">
      <c r="A45" s="48"/>
      <c r="B45" s="109" t="s">
        <v>145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</row>
    <row r="46" spans="1:22">
      <c r="A46" s="36"/>
      <c r="B46" s="32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</row>
    <row r="47" spans="1:22">
      <c r="A47" s="49">
        <v>10</v>
      </c>
      <c r="B47" s="50" t="s">
        <v>146</v>
      </c>
      <c r="C47" s="120">
        <f>SUM(C48:C53)</f>
        <v>21321125</v>
      </c>
      <c r="D47" s="120">
        <f t="shared" ref="D47:U47" si="13">SUM(D48:D53)</f>
        <v>1109593</v>
      </c>
      <c r="E47" s="120">
        <f t="shared" si="13"/>
        <v>1936049</v>
      </c>
      <c r="F47" s="120">
        <f t="shared" si="13"/>
        <v>3253767</v>
      </c>
      <c r="G47" s="120">
        <f t="shared" si="13"/>
        <v>4152639</v>
      </c>
      <c r="H47" s="120">
        <f t="shared" si="13"/>
        <v>7332668</v>
      </c>
      <c r="I47" s="120">
        <f t="shared" si="13"/>
        <v>8400395.9199999999</v>
      </c>
      <c r="J47" s="120">
        <f t="shared" si="13"/>
        <v>9630737.9199999999</v>
      </c>
      <c r="K47" s="120">
        <f t="shared" si="13"/>
        <v>10911859.92</v>
      </c>
      <c r="L47" s="120">
        <f t="shared" si="13"/>
        <v>12169912.92</v>
      </c>
      <c r="M47" s="120">
        <f t="shared" si="13"/>
        <v>13126779.92</v>
      </c>
      <c r="N47" s="120">
        <f t="shared" si="13"/>
        <v>14338174.92</v>
      </c>
      <c r="O47" s="120">
        <f t="shared" si="13"/>
        <v>16024521.92</v>
      </c>
      <c r="P47" s="120">
        <f t="shared" si="13"/>
        <v>19116415</v>
      </c>
      <c r="Q47" s="120">
        <f t="shared" si="13"/>
        <v>1278383</v>
      </c>
      <c r="R47" s="120">
        <f t="shared" si="13"/>
        <v>3237391.05</v>
      </c>
      <c r="S47" s="120">
        <f t="shared" si="13"/>
        <v>4217377.83</v>
      </c>
      <c r="T47" s="120">
        <f t="shared" si="13"/>
        <v>5313084.8100000005</v>
      </c>
      <c r="U47" s="120">
        <f t="shared" si="13"/>
        <v>7587624.4000000004</v>
      </c>
      <c r="V47" s="120">
        <f t="shared" ref="V47" si="14">SUM(V48:V53)</f>
        <v>9149617.7100000009</v>
      </c>
    </row>
    <row r="48" spans="1:22">
      <c r="A48" s="34">
        <v>10.1</v>
      </c>
      <c r="B48" s="51" t="s">
        <v>147</v>
      </c>
      <c r="C48" s="110">
        <f>SCI!B13</f>
        <v>9682315</v>
      </c>
      <c r="D48" s="110">
        <f>SCI!C13</f>
        <v>0</v>
      </c>
      <c r="E48" s="110">
        <f>SCI!D13</f>
        <v>0</v>
      </c>
      <c r="F48" s="110">
        <f>SCI!E13</f>
        <v>0</v>
      </c>
      <c r="G48" s="110">
        <f>SCI!F13</f>
        <v>0</v>
      </c>
      <c r="H48" s="110">
        <f>SCI!G13</f>
        <v>0</v>
      </c>
      <c r="I48" s="110">
        <f>SCI!H13</f>
        <v>0</v>
      </c>
      <c r="J48" s="110">
        <f>SCI!I13</f>
        <v>0</v>
      </c>
      <c r="K48" s="110">
        <f>SCI!J13</f>
        <v>0</v>
      </c>
      <c r="L48" s="110">
        <f>SCI!K13</f>
        <v>399621.92</v>
      </c>
      <c r="M48" s="110">
        <f>SCI!L13</f>
        <v>0</v>
      </c>
      <c r="N48" s="110">
        <f>SCI!M13</f>
        <v>0</v>
      </c>
      <c r="O48" s="110">
        <f>SCI!N13</f>
        <v>0</v>
      </c>
      <c r="P48" s="110">
        <f>SCI!O13</f>
        <v>3628608</v>
      </c>
      <c r="Q48" s="110">
        <f>SCI!P13</f>
        <v>0</v>
      </c>
      <c r="R48" s="110">
        <f>SCI!Q13</f>
        <v>0</v>
      </c>
      <c r="S48" s="110">
        <f>SCI!R13</f>
        <v>0</v>
      </c>
      <c r="T48" s="110">
        <f>SCI!S13</f>
        <v>0</v>
      </c>
      <c r="U48" s="110">
        <f>SCI!T13</f>
        <v>0</v>
      </c>
      <c r="V48" s="110">
        <f>SCI!U13</f>
        <v>0</v>
      </c>
    </row>
    <row r="49" spans="1:22">
      <c r="A49" s="34">
        <v>10.199999999999999</v>
      </c>
      <c r="B49" s="51" t="s">
        <v>148</v>
      </c>
      <c r="C49" s="116">
        <f>SCI!B15</f>
        <v>0</v>
      </c>
      <c r="D49" s="116">
        <f>SCI!C15</f>
        <v>0</v>
      </c>
      <c r="E49" s="116">
        <f>SCI!D15</f>
        <v>0</v>
      </c>
      <c r="F49" s="116">
        <f>SCI!E15</f>
        <v>0</v>
      </c>
      <c r="G49" s="116">
        <f>SCI!F15</f>
        <v>0</v>
      </c>
      <c r="H49" s="116">
        <f>SCI!G15</f>
        <v>0</v>
      </c>
      <c r="I49" s="116">
        <f>SCI!H15</f>
        <v>0</v>
      </c>
      <c r="J49" s="116">
        <f>SCI!I15</f>
        <v>0</v>
      </c>
      <c r="K49" s="116">
        <f>SCI!J15</f>
        <v>0</v>
      </c>
      <c r="L49" s="116">
        <f>SCI!K15</f>
        <v>0</v>
      </c>
      <c r="M49" s="116">
        <f>SCI!L15</f>
        <v>0</v>
      </c>
      <c r="N49" s="116">
        <f>SCI!M15</f>
        <v>0</v>
      </c>
      <c r="O49" s="116">
        <f>SCI!N15</f>
        <v>0</v>
      </c>
      <c r="P49" s="116">
        <f>SCI!O15</f>
        <v>0</v>
      </c>
      <c r="Q49" s="116">
        <f>SCI!P15</f>
        <v>0</v>
      </c>
      <c r="R49" s="116">
        <f>SCI!Q15</f>
        <v>0</v>
      </c>
      <c r="S49" s="116">
        <f>SCI!R15</f>
        <v>0</v>
      </c>
      <c r="T49" s="116">
        <f>SCI!S15</f>
        <v>0</v>
      </c>
      <c r="U49" s="116">
        <f>SCI!T15</f>
        <v>0</v>
      </c>
      <c r="V49" s="116">
        <f>SCI!U15</f>
        <v>0</v>
      </c>
    </row>
    <row r="50" spans="1:22">
      <c r="A50" s="34">
        <v>10.3</v>
      </c>
      <c r="B50" s="51" t="s">
        <v>149</v>
      </c>
      <c r="C50" s="111">
        <f>SCI!B14</f>
        <v>0</v>
      </c>
      <c r="D50" s="111">
        <f>SCI!C14</f>
        <v>41410</v>
      </c>
      <c r="E50" s="111">
        <f>SCI!D14</f>
        <v>0</v>
      </c>
      <c r="F50" s="111">
        <f>SCI!E14</f>
        <v>0</v>
      </c>
      <c r="G50" s="111">
        <f>SCI!F14</f>
        <v>200821</v>
      </c>
      <c r="H50" s="111">
        <f>SCI!G14</f>
        <v>243721</v>
      </c>
      <c r="I50" s="111">
        <f>SCI!H14</f>
        <v>298871.92</v>
      </c>
      <c r="J50" s="111">
        <f>SCI!I14</f>
        <v>338971.92</v>
      </c>
      <c r="K50" s="111">
        <f>SCI!J14</f>
        <v>394331.92</v>
      </c>
      <c r="L50" s="111">
        <f>SCI!K14</f>
        <v>0</v>
      </c>
      <c r="M50" s="111">
        <f>SCI!L14</f>
        <v>401871.92</v>
      </c>
      <c r="N50" s="111">
        <f>SCI!M14</f>
        <v>416091.92</v>
      </c>
      <c r="O50" s="111">
        <f>SCI!N14</f>
        <v>433691.92</v>
      </c>
      <c r="P50" s="111">
        <f>SCI!O14</f>
        <v>0</v>
      </c>
      <c r="Q50" s="111">
        <f>SCI!P14</f>
        <v>64708</v>
      </c>
      <c r="R50" s="111">
        <f>SCI!Q14</f>
        <v>141012.04999999999</v>
      </c>
      <c r="S50" s="111">
        <f>SCI!R14</f>
        <v>191376.83</v>
      </c>
      <c r="T50" s="111">
        <f>SCI!S14</f>
        <v>244730.81</v>
      </c>
      <c r="U50" s="111">
        <f>SCI!T14</f>
        <v>333261.40000000002</v>
      </c>
      <c r="V50" s="111">
        <f>SCI!U14</f>
        <v>408054.71</v>
      </c>
    </row>
    <row r="51" spans="1:22">
      <c r="A51" s="34">
        <v>10.4</v>
      </c>
      <c r="B51" s="51" t="s">
        <v>150</v>
      </c>
      <c r="C51" s="116">
        <f>SCI!B16+SCI!B17+SCI!B18</f>
        <v>282107</v>
      </c>
      <c r="D51" s="116">
        <f>SCI!C16+SCI!C17+SCI!C18</f>
        <v>0</v>
      </c>
      <c r="E51" s="116">
        <f>SCI!D16+SCI!D17+SCI!D18</f>
        <v>88680</v>
      </c>
      <c r="F51" s="116">
        <f>SCI!E16+SCI!E17+SCI!E18</f>
        <v>160671</v>
      </c>
      <c r="G51" s="116">
        <f>SCI!F16+SCI!F17+SCI!F18</f>
        <v>0</v>
      </c>
      <c r="H51" s="116">
        <f>SCI!G16+SCI!G17+SCI!G18</f>
        <v>0</v>
      </c>
      <c r="I51" s="116">
        <f>SCI!H16+SCI!H17+SCI!H18</f>
        <v>0</v>
      </c>
      <c r="J51" s="116">
        <f>SCI!I16+SCI!I17+SCI!I18</f>
        <v>0</v>
      </c>
      <c r="K51" s="116">
        <f>SCI!J16+SCI!J17+SCI!J18</f>
        <v>0</v>
      </c>
      <c r="L51" s="116">
        <f>SCI!K16+SCI!K17+SCI!K18</f>
        <v>0</v>
      </c>
      <c r="M51" s="116">
        <f>SCI!L16+SCI!L17+SCI!L18</f>
        <v>0</v>
      </c>
      <c r="N51" s="116">
        <f>SCI!M16+SCI!M17+SCI!M18</f>
        <v>0</v>
      </c>
      <c r="O51" s="116">
        <f>SCI!N16+SCI!N17+SCI!N18</f>
        <v>0</v>
      </c>
      <c r="P51" s="116">
        <f>SCI!O16+SCI!O17+SCI!O18</f>
        <v>353752</v>
      </c>
      <c r="Q51" s="116">
        <f>SCI!P16+SCI!P17+SCI!P18</f>
        <v>0</v>
      </c>
      <c r="R51" s="116">
        <f>SCI!Q16+SCI!Q17+SCI!Q18</f>
        <v>0</v>
      </c>
      <c r="S51" s="116">
        <f>SCI!R16+SCI!R17+SCI!R18</f>
        <v>0</v>
      </c>
      <c r="T51" s="116">
        <f>SCI!S16+SCI!S17+SCI!S18</f>
        <v>0</v>
      </c>
      <c r="U51" s="116">
        <f>SCI!T16+SCI!T17+SCI!T18</f>
        <v>0</v>
      </c>
      <c r="V51" s="116">
        <f>SCI!U16+SCI!U17+SCI!U18</f>
        <v>0</v>
      </c>
    </row>
    <row r="52" spans="1:22">
      <c r="A52" s="34">
        <v>10.5</v>
      </c>
      <c r="B52" s="52" t="s">
        <v>151</v>
      </c>
      <c r="C52" s="110">
        <f>SCI!B28</f>
        <v>9236364</v>
      </c>
      <c r="D52" s="110">
        <f>SCI!C28</f>
        <v>817883</v>
      </c>
      <c r="E52" s="110">
        <f>SCI!D28</f>
        <v>1373829</v>
      </c>
      <c r="F52" s="110">
        <f>SCI!E28</f>
        <v>2194916</v>
      </c>
      <c r="G52" s="110">
        <f>SCI!F28</f>
        <v>2834788</v>
      </c>
      <c r="H52" s="110">
        <f>SCI!G28</f>
        <v>5674251</v>
      </c>
      <c r="I52" s="110">
        <f>SCI!H28</f>
        <v>6367478</v>
      </c>
      <c r="J52" s="110">
        <f>SCI!I28</f>
        <v>7204773</v>
      </c>
      <c r="K52" s="110">
        <f>SCI!J28</f>
        <v>8184985</v>
      </c>
      <c r="L52" s="110">
        <f>SCI!K28</f>
        <v>9188348</v>
      </c>
      <c r="M52" s="110">
        <f>SCI!L28</f>
        <v>9808781</v>
      </c>
      <c r="N52" s="110">
        <f>SCI!M28</f>
        <v>10496906</v>
      </c>
      <c r="O52" s="110">
        <f>SCI!N28</f>
        <v>11446316</v>
      </c>
      <c r="P52" s="110">
        <f>SCI!O28</f>
        <v>11709691</v>
      </c>
      <c r="Q52" s="110">
        <f>SCI!P28</f>
        <v>932575</v>
      </c>
      <c r="R52" s="110">
        <f>SCI!Q28</f>
        <v>2514294</v>
      </c>
      <c r="S52" s="110">
        <f>SCI!R28</f>
        <v>3106916</v>
      </c>
      <c r="T52" s="110">
        <f>SCI!S28</f>
        <v>3710639</v>
      </c>
      <c r="U52" s="110">
        <f>SCI!T28</f>
        <v>5660113</v>
      </c>
      <c r="V52" s="110">
        <f>SCI!U28</f>
        <v>6906858</v>
      </c>
    </row>
    <row r="53" spans="1:22">
      <c r="A53" s="34">
        <v>10.6</v>
      </c>
      <c r="B53" s="52" t="s">
        <v>152</v>
      </c>
      <c r="C53" s="110">
        <f>SCI!B25</f>
        <v>2120339</v>
      </c>
      <c r="D53" s="110">
        <f>SCI!C25</f>
        <v>250300</v>
      </c>
      <c r="E53" s="110">
        <f>SCI!D25</f>
        <v>473540</v>
      </c>
      <c r="F53" s="110">
        <f>SCI!E25</f>
        <v>898180</v>
      </c>
      <c r="G53" s="110">
        <f>SCI!F25</f>
        <v>1117030</v>
      </c>
      <c r="H53" s="110">
        <f>SCI!G25</f>
        <v>1414696</v>
      </c>
      <c r="I53" s="110">
        <f>SCI!H25</f>
        <v>1734046</v>
      </c>
      <c r="J53" s="110">
        <f>SCI!I25</f>
        <v>2086993</v>
      </c>
      <c r="K53" s="110">
        <f>SCI!J25</f>
        <v>2332543</v>
      </c>
      <c r="L53" s="110">
        <f>SCI!K25</f>
        <v>2581943</v>
      </c>
      <c r="M53" s="110">
        <f>SCI!L25</f>
        <v>2916127</v>
      </c>
      <c r="N53" s="110">
        <f>SCI!M25</f>
        <v>3425177</v>
      </c>
      <c r="O53" s="110">
        <f>SCI!N25</f>
        <v>4144514</v>
      </c>
      <c r="P53" s="110">
        <f>SCI!O25</f>
        <v>3424364</v>
      </c>
      <c r="Q53" s="110">
        <f>SCI!P25</f>
        <v>281100</v>
      </c>
      <c r="R53" s="110">
        <f>SCI!Q25</f>
        <v>582085</v>
      </c>
      <c r="S53" s="110">
        <f>SCI!R25</f>
        <v>919085</v>
      </c>
      <c r="T53" s="110">
        <f>SCI!S25</f>
        <v>1357715</v>
      </c>
      <c r="U53" s="110">
        <f>SCI!T25</f>
        <v>1594250</v>
      </c>
      <c r="V53" s="110">
        <f>SCI!U25</f>
        <v>1834705</v>
      </c>
    </row>
    <row r="54" spans="1:22">
      <c r="A54" s="34"/>
      <c r="B54" s="53" t="s">
        <v>153</v>
      </c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</row>
    <row r="56" spans="1:22">
      <c r="B56" s="26" t="s">
        <v>154</v>
      </c>
      <c r="C56" s="54">
        <f>SCI!B37</f>
        <v>5421586</v>
      </c>
      <c r="D56" s="54">
        <f>SCI!C37</f>
        <v>896516.62999999989</v>
      </c>
      <c r="E56" s="54">
        <f>SCI!D37</f>
        <v>2068641.58</v>
      </c>
      <c r="F56" s="54">
        <f>SCI!E37</f>
        <v>3348450.040000001</v>
      </c>
      <c r="G56" s="54">
        <f>SCI!F37</f>
        <v>4888361.1199999992</v>
      </c>
      <c r="H56" s="54">
        <f>SCI!G37</f>
        <v>4371520.3900000006</v>
      </c>
      <c r="I56" s="54">
        <f>SCI!H37</f>
        <v>6966208.9799999967</v>
      </c>
      <c r="J56" s="54">
        <f>SCI!I37</f>
        <v>8100163.3099999949</v>
      </c>
      <c r="K56" s="54">
        <f>SCI!J37</f>
        <v>8446493.8499999978</v>
      </c>
      <c r="L56" s="54">
        <f>SCI!K37</f>
        <v>9712544.0300000012</v>
      </c>
      <c r="M56" s="54">
        <f>SCI!L37</f>
        <v>11399872.779999997</v>
      </c>
      <c r="N56" s="54">
        <f>SCI!M37</f>
        <v>13616424.259999998</v>
      </c>
      <c r="O56" s="54">
        <f>SCI!N37</f>
        <v>17735290.869999997</v>
      </c>
      <c r="P56" s="54">
        <f>SCI!O37</f>
        <v>4015367</v>
      </c>
      <c r="Q56" s="54">
        <f>SCI!P37</f>
        <v>1374519.0499999998</v>
      </c>
      <c r="R56" s="54">
        <f>SCI!Q37</f>
        <v>5038925.3899999978</v>
      </c>
      <c r="S56" s="54">
        <f>SCI!R37</f>
        <v>4706525.1100000003</v>
      </c>
      <c r="T56" s="54">
        <f>SCI!S37</f>
        <v>6360665.7400000002</v>
      </c>
      <c r="U56" s="54">
        <f>SCI!T37</f>
        <v>6867685.6700000018</v>
      </c>
      <c r="V56" s="54">
        <f>SCI!U37</f>
        <v>8257922.7799999975</v>
      </c>
    </row>
  </sheetData>
  <pageMargins left="0.7" right="0.7" top="0.75" bottom="0.75" header="0.3" footer="0.3"/>
  <pageSetup scale="6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P80"/>
  <sheetViews>
    <sheetView topLeftCell="F16" workbookViewId="0">
      <selection activeCell="P4" sqref="P4:P7"/>
    </sheetView>
  </sheetViews>
  <sheetFormatPr defaultRowHeight="12.75"/>
  <cols>
    <col min="1" max="2" width="9.140625" style="142"/>
    <col min="3" max="3" width="5.7109375" style="142" bestFit="1" customWidth="1"/>
    <col min="4" max="4" width="18.7109375" style="142" customWidth="1"/>
    <col min="5" max="5" width="12.140625" style="142" bestFit="1" customWidth="1"/>
    <col min="6" max="6" width="21.42578125" style="142" bestFit="1" customWidth="1"/>
    <col min="7" max="7" width="17" style="142" customWidth="1"/>
    <col min="8" max="8" width="22.42578125" style="142" bestFit="1" customWidth="1"/>
    <col min="9" max="10" width="9.140625" style="142"/>
    <col min="11" max="11" width="4.140625" style="166" bestFit="1" customWidth="1"/>
    <col min="12" max="12" width="20.7109375" style="166" customWidth="1"/>
    <col min="13" max="13" width="12" style="166" bestFit="1" customWidth="1"/>
    <col min="14" max="14" width="21.140625" style="142" customWidth="1"/>
    <col min="15" max="15" width="11.28515625" style="142" bestFit="1" customWidth="1"/>
    <col min="16" max="16" width="24.7109375" style="142" customWidth="1"/>
    <col min="17" max="16384" width="9.140625" style="142"/>
  </cols>
  <sheetData>
    <row r="3" spans="3:16" ht="14.25">
      <c r="C3" s="143"/>
      <c r="D3" s="344" t="s">
        <v>155</v>
      </c>
      <c r="E3" s="344"/>
      <c r="F3" s="344"/>
      <c r="G3" s="344"/>
      <c r="H3" s="344"/>
      <c r="K3" s="143"/>
      <c r="L3" s="344" t="s">
        <v>155</v>
      </c>
      <c r="M3" s="344"/>
      <c r="N3" s="344"/>
      <c r="O3" s="344"/>
      <c r="P3" s="344"/>
    </row>
    <row r="4" spans="3:16" ht="28.5">
      <c r="C4" s="143"/>
      <c r="D4" s="144" t="s">
        <v>156</v>
      </c>
      <c r="E4" s="143"/>
      <c r="G4" s="143"/>
      <c r="H4" s="145"/>
      <c r="K4" s="143"/>
      <c r="L4" s="144" t="s">
        <v>156</v>
      </c>
      <c r="M4" s="143"/>
      <c r="O4" s="143"/>
      <c r="P4" s="145"/>
    </row>
    <row r="5" spans="3:16" ht="14.25">
      <c r="C5" s="143"/>
      <c r="D5" s="144" t="s">
        <v>157</v>
      </c>
      <c r="E5" s="143"/>
      <c r="F5" s="143"/>
      <c r="G5" s="143"/>
      <c r="H5" s="146"/>
      <c r="K5" s="143"/>
      <c r="L5" s="144" t="s">
        <v>157</v>
      </c>
      <c r="M5" s="143"/>
      <c r="N5" s="143"/>
      <c r="O5" s="143"/>
      <c r="P5" s="146"/>
    </row>
    <row r="6" spans="3:16" ht="14.25">
      <c r="C6" s="143"/>
      <c r="D6" s="144" t="s">
        <v>158</v>
      </c>
      <c r="E6" s="143"/>
      <c r="F6" s="143"/>
      <c r="G6" s="147"/>
      <c r="H6" s="148"/>
      <c r="K6" s="143"/>
      <c r="L6" s="144" t="s">
        <v>158</v>
      </c>
      <c r="M6" s="143"/>
      <c r="N6" s="143"/>
      <c r="O6" s="147"/>
      <c r="P6" s="148"/>
    </row>
    <row r="7" spans="3:16" ht="14.25">
      <c r="C7" s="143"/>
      <c r="D7" s="144" t="s">
        <v>159</v>
      </c>
      <c r="E7" s="143"/>
      <c r="F7" s="143"/>
      <c r="G7" s="147"/>
      <c r="H7" s="148"/>
      <c r="K7" s="143"/>
      <c r="L7" s="144" t="s">
        <v>159</v>
      </c>
      <c r="M7" s="143"/>
      <c r="N7" s="143"/>
      <c r="O7" s="147"/>
      <c r="P7" s="148"/>
    </row>
    <row r="8" spans="3:16" ht="14.25">
      <c r="C8" s="143"/>
      <c r="D8" s="345" t="s">
        <v>160</v>
      </c>
      <c r="E8" s="345"/>
      <c r="F8" s="345"/>
      <c r="G8" s="345"/>
      <c r="H8" s="346"/>
      <c r="K8" s="143"/>
      <c r="L8" s="345" t="s">
        <v>160</v>
      </c>
      <c r="M8" s="345"/>
      <c r="N8" s="345"/>
      <c r="O8" s="345"/>
      <c r="P8" s="346"/>
    </row>
    <row r="9" spans="3:16" ht="14.25">
      <c r="C9" s="143"/>
      <c r="D9" s="143"/>
      <c r="E9" s="144" t="s">
        <v>161</v>
      </c>
      <c r="F9" s="144" t="s">
        <v>162</v>
      </c>
      <c r="G9" s="144" t="s">
        <v>163</v>
      </c>
      <c r="H9" s="144" t="s">
        <v>164</v>
      </c>
      <c r="K9" s="143"/>
      <c r="L9" s="143"/>
      <c r="M9" s="144" t="s">
        <v>161</v>
      </c>
      <c r="N9" s="144" t="s">
        <v>162</v>
      </c>
      <c r="O9" s="144" t="s">
        <v>163</v>
      </c>
      <c r="P9" s="144" t="s">
        <v>164</v>
      </c>
    </row>
    <row r="10" spans="3:16" ht="57">
      <c r="C10" s="143" t="s">
        <v>165</v>
      </c>
      <c r="D10" s="144" t="s">
        <v>166</v>
      </c>
      <c r="E10" s="144" t="s">
        <v>167</v>
      </c>
      <c r="F10" s="144" t="s">
        <v>168</v>
      </c>
      <c r="G10" s="144" t="s">
        <v>169</v>
      </c>
      <c r="H10" s="144" t="s">
        <v>170</v>
      </c>
      <c r="K10" s="143" t="s">
        <v>165</v>
      </c>
      <c r="L10" s="144" t="s">
        <v>166</v>
      </c>
      <c r="M10" s="144" t="s">
        <v>167</v>
      </c>
      <c r="N10" s="144" t="s">
        <v>168</v>
      </c>
      <c r="O10" s="144" t="s">
        <v>169</v>
      </c>
      <c r="P10" s="144" t="s">
        <v>170</v>
      </c>
    </row>
    <row r="11" spans="3:16" ht="14.25">
      <c r="C11" s="143">
        <v>1</v>
      </c>
      <c r="D11" s="143" t="s">
        <v>171</v>
      </c>
      <c r="E11" s="149"/>
      <c r="F11" s="167"/>
      <c r="G11" s="168"/>
      <c r="H11" s="169"/>
      <c r="K11" s="143">
        <v>1</v>
      </c>
      <c r="L11" s="143" t="s">
        <v>171</v>
      </c>
      <c r="M11" s="149"/>
      <c r="N11" s="167"/>
      <c r="O11" s="168"/>
      <c r="P11" s="169"/>
    </row>
    <row r="12" spans="3:16" ht="14.25">
      <c r="C12" s="143">
        <v>2</v>
      </c>
      <c r="D12" s="143" t="s">
        <v>172</v>
      </c>
      <c r="E12" s="149"/>
      <c r="F12" s="167"/>
      <c r="G12" s="168"/>
      <c r="H12" s="169"/>
      <c r="K12" s="143">
        <v>2</v>
      </c>
      <c r="L12" s="143" t="s">
        <v>172</v>
      </c>
      <c r="M12" s="149"/>
      <c r="N12" s="167"/>
      <c r="O12" s="168"/>
      <c r="P12" s="169"/>
    </row>
    <row r="13" spans="3:16" ht="14.25">
      <c r="C13" s="143">
        <v>3</v>
      </c>
      <c r="D13" s="143" t="s">
        <v>173</v>
      </c>
      <c r="E13" s="149"/>
      <c r="F13" s="167"/>
      <c r="G13" s="168"/>
      <c r="H13" s="169"/>
      <c r="K13" s="143">
        <v>3</v>
      </c>
      <c r="L13" s="143" t="s">
        <v>173</v>
      </c>
      <c r="M13" s="149"/>
      <c r="N13" s="167"/>
      <c r="O13" s="168"/>
      <c r="P13" s="169"/>
    </row>
    <row r="14" spans="3:16" ht="14.25">
      <c r="C14" s="143">
        <v>4</v>
      </c>
      <c r="D14" s="143" t="s">
        <v>174</v>
      </c>
      <c r="E14" s="149"/>
      <c r="F14" s="167"/>
      <c r="G14" s="168"/>
      <c r="H14" s="169"/>
      <c r="K14" s="143">
        <v>4</v>
      </c>
      <c r="L14" s="143" t="s">
        <v>174</v>
      </c>
      <c r="M14" s="149"/>
      <c r="N14" s="167"/>
      <c r="O14" s="168"/>
      <c r="P14" s="169"/>
    </row>
    <row r="15" spans="3:16" ht="14.25">
      <c r="C15" s="143">
        <v>5</v>
      </c>
      <c r="D15" s="143" t="s">
        <v>175</v>
      </c>
      <c r="E15" s="149"/>
      <c r="F15" s="167"/>
      <c r="G15" s="168"/>
      <c r="H15" s="169"/>
      <c r="K15" s="143">
        <v>5</v>
      </c>
      <c r="L15" s="143" t="s">
        <v>175</v>
      </c>
      <c r="M15" s="149"/>
      <c r="N15" s="167"/>
      <c r="O15" s="168"/>
      <c r="P15" s="169"/>
    </row>
    <row r="16" spans="3:16" ht="14.25">
      <c r="C16" s="143"/>
      <c r="D16" s="144" t="s">
        <v>176</v>
      </c>
      <c r="E16" s="144"/>
      <c r="F16" s="170"/>
      <c r="G16" s="170"/>
      <c r="H16" s="170"/>
      <c r="K16" s="143"/>
      <c r="L16" s="144" t="s">
        <v>176</v>
      </c>
      <c r="M16" s="144">
        <f>SUM(M11:M15)</f>
        <v>0</v>
      </c>
      <c r="N16" s="170">
        <f>SUM(N11:N15)</f>
        <v>0</v>
      </c>
      <c r="O16" s="170"/>
      <c r="P16" s="170">
        <f>SUM(P11:P15)</f>
        <v>0</v>
      </c>
    </row>
    <row r="17" spans="3:16" ht="28.5">
      <c r="C17" s="143"/>
      <c r="D17" s="143" t="s">
        <v>177</v>
      </c>
      <c r="E17" s="149"/>
      <c r="F17" s="167"/>
      <c r="G17" s="167"/>
      <c r="H17" s="167"/>
      <c r="K17" s="143"/>
      <c r="L17" s="143" t="s">
        <v>177</v>
      </c>
      <c r="M17" s="149"/>
      <c r="N17" s="167"/>
      <c r="O17" s="167"/>
      <c r="P17" s="167"/>
    </row>
    <row r="18" spans="3:16" ht="14.25">
      <c r="C18" s="143">
        <v>1</v>
      </c>
      <c r="D18" s="143" t="s">
        <v>171</v>
      </c>
      <c r="E18" s="149"/>
      <c r="F18" s="167"/>
      <c r="G18" s="168"/>
      <c r="H18" s="169"/>
      <c r="K18" s="143">
        <v>1</v>
      </c>
      <c r="L18" s="143" t="s">
        <v>171</v>
      </c>
      <c r="M18" s="149">
        <v>0</v>
      </c>
      <c r="N18" s="167">
        <v>0</v>
      </c>
      <c r="O18" s="168">
        <v>0.01</v>
      </c>
      <c r="P18" s="169">
        <f>N18*O18</f>
        <v>0</v>
      </c>
    </row>
    <row r="19" spans="3:16" ht="14.25">
      <c r="C19" s="143">
        <v>2</v>
      </c>
      <c r="D19" s="143" t="s">
        <v>172</v>
      </c>
      <c r="E19" s="149"/>
      <c r="F19" s="167"/>
      <c r="G19" s="168"/>
      <c r="H19" s="169"/>
      <c r="K19" s="143">
        <v>2</v>
      </c>
      <c r="L19" s="143" t="s">
        <v>172</v>
      </c>
      <c r="M19" s="149">
        <v>0</v>
      </c>
      <c r="N19" s="167">
        <v>0</v>
      </c>
      <c r="O19" s="168">
        <v>0.05</v>
      </c>
      <c r="P19" s="169">
        <f>N19*O19</f>
        <v>0</v>
      </c>
    </row>
    <row r="20" spans="3:16" ht="14.25">
      <c r="C20" s="143">
        <v>3</v>
      </c>
      <c r="D20" s="143" t="s">
        <v>173</v>
      </c>
      <c r="E20" s="149"/>
      <c r="F20" s="167"/>
      <c r="G20" s="168"/>
      <c r="H20" s="169"/>
      <c r="K20" s="143">
        <v>3</v>
      </c>
      <c r="L20" s="143" t="s">
        <v>173</v>
      </c>
      <c r="M20" s="149">
        <v>0</v>
      </c>
      <c r="N20" s="167">
        <v>0</v>
      </c>
      <c r="O20" s="168">
        <v>0.25</v>
      </c>
      <c r="P20" s="169">
        <f>N20*O20</f>
        <v>0</v>
      </c>
    </row>
    <row r="21" spans="3:16" ht="14.25">
      <c r="C21" s="143">
        <v>4</v>
      </c>
      <c r="D21" s="143" t="s">
        <v>174</v>
      </c>
      <c r="E21" s="149"/>
      <c r="F21" s="167"/>
      <c r="G21" s="168"/>
      <c r="H21" s="169"/>
      <c r="K21" s="143">
        <v>4</v>
      </c>
      <c r="L21" s="143" t="s">
        <v>174</v>
      </c>
      <c r="M21" s="149">
        <v>0</v>
      </c>
      <c r="N21" s="167">
        <v>0</v>
      </c>
      <c r="O21" s="168">
        <v>0.5</v>
      </c>
      <c r="P21" s="169">
        <f>N21*O21</f>
        <v>0</v>
      </c>
    </row>
    <row r="22" spans="3:16" ht="14.25">
      <c r="C22" s="143">
        <v>5</v>
      </c>
      <c r="D22" s="143" t="s">
        <v>175</v>
      </c>
      <c r="E22" s="149"/>
      <c r="F22" s="167"/>
      <c r="G22" s="168"/>
      <c r="H22" s="169"/>
      <c r="K22" s="143">
        <v>5</v>
      </c>
      <c r="L22" s="143" t="s">
        <v>175</v>
      </c>
      <c r="M22" s="149">
        <v>0</v>
      </c>
      <c r="N22" s="167">
        <v>0</v>
      </c>
      <c r="O22" s="168">
        <v>1</v>
      </c>
      <c r="P22" s="169">
        <f>N22*O22</f>
        <v>0</v>
      </c>
    </row>
    <row r="23" spans="3:16" ht="14.25">
      <c r="C23" s="143"/>
      <c r="D23" s="144" t="s">
        <v>176</v>
      </c>
      <c r="E23" s="144">
        <f>SUM(E17:E22)</f>
        <v>0</v>
      </c>
      <c r="F23" s="170">
        <f>SUM(F17:F22)</f>
        <v>0</v>
      </c>
      <c r="G23" s="170"/>
      <c r="H23" s="170">
        <f>SUM(H17:H22)</f>
        <v>0</v>
      </c>
      <c r="K23" s="143"/>
      <c r="L23" s="144" t="s">
        <v>176</v>
      </c>
      <c r="M23" s="144">
        <f>SUM(M17:M22)</f>
        <v>0</v>
      </c>
      <c r="N23" s="170">
        <f>SUM(N17:N22)</f>
        <v>0</v>
      </c>
      <c r="O23" s="170"/>
      <c r="P23" s="170">
        <f>SUM(P17:P22)</f>
        <v>0</v>
      </c>
    </row>
    <row r="24" spans="3:16" ht="14.25">
      <c r="C24" s="143"/>
      <c r="D24" s="144" t="s">
        <v>178</v>
      </c>
      <c r="E24" s="144">
        <f>E16+E23</f>
        <v>0</v>
      </c>
      <c r="F24" s="170">
        <f>F16+F23</f>
        <v>0</v>
      </c>
      <c r="G24" s="170"/>
      <c r="H24" s="170">
        <f>H16+H23</f>
        <v>0</v>
      </c>
      <c r="K24" s="143"/>
      <c r="L24" s="144" t="s">
        <v>178</v>
      </c>
      <c r="M24" s="144">
        <f>M16+M23</f>
        <v>0</v>
      </c>
      <c r="N24" s="170">
        <f>N16+N23</f>
        <v>0</v>
      </c>
      <c r="O24" s="170"/>
      <c r="P24" s="170">
        <f>P16+P23</f>
        <v>0</v>
      </c>
    </row>
    <row r="26" spans="3:16">
      <c r="F26" s="187">
        <f>F13+F14+F15</f>
        <v>0</v>
      </c>
      <c r="N26" s="187">
        <f>N13+N14+N15</f>
        <v>0</v>
      </c>
    </row>
    <row r="27" spans="3:16">
      <c r="F27" s="150" t="e">
        <f>F26/F24</f>
        <v>#DIV/0!</v>
      </c>
      <c r="N27" s="142" t="e">
        <f>N26/N24</f>
        <v>#DIV/0!</v>
      </c>
    </row>
    <row r="30" spans="3:16" ht="14.25">
      <c r="C30" s="143"/>
      <c r="D30" s="344" t="s">
        <v>155</v>
      </c>
      <c r="E30" s="344"/>
      <c r="F30" s="344"/>
      <c r="G30" s="344"/>
      <c r="H30" s="344"/>
    </row>
    <row r="31" spans="3:16" ht="28.5">
      <c r="C31" s="143"/>
      <c r="D31" s="144" t="s">
        <v>156</v>
      </c>
      <c r="E31" s="143"/>
      <c r="G31" s="143"/>
      <c r="H31" s="145"/>
    </row>
    <row r="32" spans="3:16" ht="14.25">
      <c r="C32" s="143"/>
      <c r="D32" s="144" t="s">
        <v>157</v>
      </c>
      <c r="E32" s="143"/>
      <c r="F32" s="143"/>
      <c r="G32" s="143"/>
      <c r="H32" s="146"/>
    </row>
    <row r="33" spans="3:8" ht="14.25">
      <c r="C33" s="143"/>
      <c r="D33" s="144" t="s">
        <v>158</v>
      </c>
      <c r="E33" s="143"/>
      <c r="F33" s="143"/>
      <c r="G33" s="147"/>
      <c r="H33" s="148"/>
    </row>
    <row r="34" spans="3:8" ht="14.25">
      <c r="C34" s="143"/>
      <c r="D34" s="144" t="s">
        <v>159</v>
      </c>
      <c r="E34" s="143"/>
      <c r="F34" s="143"/>
      <c r="G34" s="147"/>
      <c r="H34" s="148"/>
    </row>
    <row r="35" spans="3:8" ht="14.25">
      <c r="C35" s="143"/>
      <c r="D35" s="345" t="s">
        <v>160</v>
      </c>
      <c r="E35" s="345"/>
      <c r="F35" s="345"/>
      <c r="G35" s="345"/>
      <c r="H35" s="346"/>
    </row>
    <row r="36" spans="3:8" ht="14.25">
      <c r="C36" s="143"/>
      <c r="D36" s="143"/>
      <c r="E36" s="144" t="s">
        <v>161</v>
      </c>
      <c r="F36" s="144" t="s">
        <v>162</v>
      </c>
      <c r="G36" s="144" t="s">
        <v>163</v>
      </c>
      <c r="H36" s="144" t="s">
        <v>164</v>
      </c>
    </row>
    <row r="37" spans="3:8" ht="42.75">
      <c r="C37" s="143" t="s">
        <v>165</v>
      </c>
      <c r="D37" s="144" t="s">
        <v>166</v>
      </c>
      <c r="E37" s="144" t="s">
        <v>167</v>
      </c>
      <c r="F37" s="144" t="s">
        <v>168</v>
      </c>
      <c r="G37" s="144" t="s">
        <v>169</v>
      </c>
      <c r="H37" s="144" t="s">
        <v>170</v>
      </c>
    </row>
    <row r="38" spans="3:8" ht="14.25">
      <c r="C38" s="143">
        <v>1</v>
      </c>
      <c r="D38" s="143" t="s">
        <v>171</v>
      </c>
      <c r="E38" s="149"/>
      <c r="F38" s="167"/>
      <c r="G38" s="211"/>
      <c r="H38" s="212"/>
    </row>
    <row r="39" spans="3:8" ht="14.25">
      <c r="C39" s="143">
        <v>2</v>
      </c>
      <c r="D39" s="143" t="s">
        <v>172</v>
      </c>
      <c r="E39" s="149"/>
      <c r="F39" s="167"/>
      <c r="G39" s="211"/>
      <c r="H39" s="212"/>
    </row>
    <row r="40" spans="3:8" ht="14.25">
      <c r="C40" s="143">
        <v>3</v>
      </c>
      <c r="D40" s="143" t="s">
        <v>173</v>
      </c>
      <c r="E40" s="149"/>
      <c r="F40" s="167"/>
      <c r="G40" s="211"/>
      <c r="H40" s="212"/>
    </row>
    <row r="41" spans="3:8" ht="14.25">
      <c r="C41" s="143">
        <v>4</v>
      </c>
      <c r="D41" s="143" t="s">
        <v>174</v>
      </c>
      <c r="E41" s="149"/>
      <c r="F41" s="167"/>
      <c r="G41" s="211"/>
      <c r="H41" s="212"/>
    </row>
    <row r="42" spans="3:8" ht="14.25">
      <c r="C42" s="143">
        <v>5</v>
      </c>
      <c r="D42" s="143" t="s">
        <v>175</v>
      </c>
      <c r="E42" s="149"/>
      <c r="F42" s="167"/>
      <c r="G42" s="211"/>
      <c r="H42" s="212"/>
    </row>
    <row r="43" spans="3:8" ht="14.25">
      <c r="C43" s="143"/>
      <c r="D43" s="144" t="s">
        <v>176</v>
      </c>
      <c r="E43" s="144"/>
      <c r="F43" s="213"/>
      <c r="G43" s="213"/>
      <c r="H43" s="213"/>
    </row>
    <row r="44" spans="3:8" ht="28.5">
      <c r="C44" s="143"/>
      <c r="D44" s="143" t="s">
        <v>177</v>
      </c>
      <c r="E44" s="149"/>
      <c r="F44" s="167"/>
      <c r="G44" s="167"/>
      <c r="H44" s="167"/>
    </row>
    <row r="45" spans="3:8" ht="14.25">
      <c r="C45" s="143">
        <v>1</v>
      </c>
      <c r="D45" s="143" t="s">
        <v>171</v>
      </c>
      <c r="E45" s="149"/>
      <c r="F45" s="167"/>
      <c r="G45" s="211"/>
      <c r="H45" s="212">
        <f>F45*G45</f>
        <v>0</v>
      </c>
    </row>
    <row r="46" spans="3:8" ht="14.25">
      <c r="C46" s="143">
        <v>2</v>
      </c>
      <c r="D46" s="143" t="s">
        <v>172</v>
      </c>
      <c r="E46" s="149"/>
      <c r="F46" s="167"/>
      <c r="G46" s="211"/>
      <c r="H46" s="212">
        <f>F46*G46</f>
        <v>0</v>
      </c>
    </row>
    <row r="47" spans="3:8" ht="14.25">
      <c r="C47" s="143">
        <v>3</v>
      </c>
      <c r="D47" s="143" t="s">
        <v>173</v>
      </c>
      <c r="E47" s="149"/>
      <c r="F47" s="167"/>
      <c r="G47" s="211"/>
      <c r="H47" s="212">
        <f>F47*G47</f>
        <v>0</v>
      </c>
    </row>
    <row r="48" spans="3:8" ht="14.25">
      <c r="C48" s="143">
        <v>4</v>
      </c>
      <c r="D48" s="143" t="s">
        <v>174</v>
      </c>
      <c r="E48" s="149"/>
      <c r="F48" s="167"/>
      <c r="G48" s="211"/>
      <c r="H48" s="212">
        <f>F48*G48</f>
        <v>0</v>
      </c>
    </row>
    <row r="49" spans="3:8" ht="14.25">
      <c r="C49" s="143">
        <v>5</v>
      </c>
      <c r="D49" s="143" t="s">
        <v>175</v>
      </c>
      <c r="E49" s="149"/>
      <c r="F49" s="167"/>
      <c r="G49" s="211"/>
      <c r="H49" s="212">
        <f>F49*G49</f>
        <v>0</v>
      </c>
    </row>
    <row r="50" spans="3:8" ht="14.25">
      <c r="C50" s="143"/>
      <c r="D50" s="144" t="s">
        <v>176</v>
      </c>
      <c r="E50" s="144">
        <f>SUM(E44:E49)</f>
        <v>0</v>
      </c>
      <c r="F50" s="213">
        <f>SUM(F44:F49)</f>
        <v>0</v>
      </c>
      <c r="G50" s="213"/>
      <c r="H50" s="213">
        <f>SUM(H44:H49)</f>
        <v>0</v>
      </c>
    </row>
    <row r="51" spans="3:8" ht="14.25">
      <c r="C51" s="143"/>
      <c r="D51" s="144" t="s">
        <v>178</v>
      </c>
      <c r="E51" s="144">
        <f>E43+E50</f>
        <v>0</v>
      </c>
      <c r="F51" s="213">
        <f>F43+F50</f>
        <v>0</v>
      </c>
      <c r="G51" s="213"/>
      <c r="H51" s="213">
        <f>H43+H50</f>
        <v>0</v>
      </c>
    </row>
    <row r="52" spans="3:8">
      <c r="F52" s="166"/>
      <c r="G52" s="166"/>
      <c r="H52" s="166"/>
    </row>
    <row r="53" spans="3:8">
      <c r="F53" s="187">
        <f>F40+F41+F42</f>
        <v>0</v>
      </c>
    </row>
    <row r="54" spans="3:8">
      <c r="F54" s="150" t="e">
        <f>F53/F51</f>
        <v>#DIV/0!</v>
      </c>
    </row>
    <row r="56" spans="3:8" ht="14.25">
      <c r="C56" s="212"/>
      <c r="D56" s="341" t="s">
        <v>155</v>
      </c>
      <c r="E56" s="341"/>
      <c r="F56" s="341"/>
      <c r="G56" s="341"/>
      <c r="H56" s="341"/>
    </row>
    <row r="57" spans="3:8" ht="28.5">
      <c r="C57" s="212"/>
      <c r="D57" s="213" t="s">
        <v>156</v>
      </c>
      <c r="E57" s="212"/>
      <c r="F57" s="166"/>
      <c r="G57" s="212"/>
      <c r="H57" s="214"/>
    </row>
    <row r="58" spans="3:8" ht="14.25">
      <c r="C58" s="212"/>
      <c r="D58" s="213" t="s">
        <v>157</v>
      </c>
      <c r="E58" s="212"/>
      <c r="F58" s="212"/>
      <c r="G58" s="212"/>
      <c r="H58" s="215"/>
    </row>
    <row r="59" spans="3:8" ht="14.25">
      <c r="C59" s="212"/>
      <c r="D59" s="213" t="s">
        <v>158</v>
      </c>
      <c r="E59" s="212"/>
      <c r="F59" s="212"/>
      <c r="G59" s="216"/>
      <c r="H59" s="217"/>
    </row>
    <row r="60" spans="3:8" ht="14.25">
      <c r="C60" s="212"/>
      <c r="D60" s="213" t="s">
        <v>159</v>
      </c>
      <c r="E60" s="212"/>
      <c r="F60" s="212"/>
      <c r="G60" s="216"/>
      <c r="H60" s="217"/>
    </row>
    <row r="61" spans="3:8" ht="14.25">
      <c r="C61" s="212"/>
      <c r="D61" s="342" t="s">
        <v>160</v>
      </c>
      <c r="E61" s="342"/>
      <c r="F61" s="342"/>
      <c r="G61" s="342"/>
      <c r="H61" s="343"/>
    </row>
    <row r="62" spans="3:8" ht="14.25">
      <c r="C62" s="212"/>
      <c r="D62" s="212"/>
      <c r="E62" s="213" t="s">
        <v>161</v>
      </c>
      <c r="F62" s="213" t="s">
        <v>162</v>
      </c>
      <c r="G62" s="213" t="s">
        <v>163</v>
      </c>
      <c r="H62" s="213" t="s">
        <v>164</v>
      </c>
    </row>
    <row r="63" spans="3:8" ht="42.75">
      <c r="C63" s="212" t="s">
        <v>165</v>
      </c>
      <c r="D63" s="218" t="s">
        <v>166</v>
      </c>
      <c r="E63" s="213" t="s">
        <v>167</v>
      </c>
      <c r="F63" s="213" t="s">
        <v>168</v>
      </c>
      <c r="G63" s="213" t="s">
        <v>169</v>
      </c>
      <c r="H63" s="213" t="s">
        <v>170</v>
      </c>
    </row>
    <row r="64" spans="3:8" ht="14.25">
      <c r="C64" s="212">
        <v>1</v>
      </c>
      <c r="D64" s="212" t="s">
        <v>171</v>
      </c>
      <c r="E64" s="167"/>
      <c r="F64" s="167"/>
      <c r="G64" s="168"/>
      <c r="H64" s="169"/>
    </row>
    <row r="65" spans="3:8" ht="14.25">
      <c r="C65" s="212">
        <v>2</v>
      </c>
      <c r="D65" s="212" t="s">
        <v>172</v>
      </c>
      <c r="E65" s="167"/>
      <c r="F65" s="167"/>
      <c r="G65" s="168"/>
      <c r="H65" s="169"/>
    </row>
    <row r="66" spans="3:8" ht="14.25">
      <c r="C66" s="212">
        <v>3</v>
      </c>
      <c r="D66" s="212" t="s">
        <v>173</v>
      </c>
      <c r="E66" s="167"/>
      <c r="F66" s="167"/>
      <c r="G66" s="168"/>
      <c r="H66" s="169"/>
    </row>
    <row r="67" spans="3:8" ht="14.25">
      <c r="C67" s="212">
        <v>4</v>
      </c>
      <c r="D67" s="212" t="s">
        <v>174</v>
      </c>
      <c r="E67" s="167"/>
      <c r="F67" s="167"/>
      <c r="G67" s="168"/>
      <c r="H67" s="169"/>
    </row>
    <row r="68" spans="3:8" ht="14.25">
      <c r="C68" s="212">
        <v>5</v>
      </c>
      <c r="D68" s="212" t="s">
        <v>175</v>
      </c>
      <c r="E68" s="167"/>
      <c r="F68" s="167"/>
      <c r="G68" s="168"/>
      <c r="H68" s="169"/>
    </row>
    <row r="69" spans="3:8" ht="14.25">
      <c r="C69" s="212"/>
      <c r="D69" s="213" t="s">
        <v>176</v>
      </c>
      <c r="E69" s="170">
        <f>SUM(E64:E68)</f>
        <v>0</v>
      </c>
      <c r="F69" s="170">
        <f>SUM(F64:F68)</f>
        <v>0</v>
      </c>
      <c r="G69" s="170"/>
      <c r="H69" s="170">
        <f>SUM(H64:H68)</f>
        <v>0</v>
      </c>
    </row>
    <row r="70" spans="3:8" ht="42.75">
      <c r="C70" s="212"/>
      <c r="D70" s="212" t="s">
        <v>177</v>
      </c>
      <c r="E70" s="167"/>
      <c r="F70" s="167"/>
      <c r="G70" s="167"/>
      <c r="H70" s="167"/>
    </row>
    <row r="71" spans="3:8" ht="14.25">
      <c r="C71" s="212">
        <v>1</v>
      </c>
      <c r="D71" s="212" t="s">
        <v>171</v>
      </c>
      <c r="E71" s="167">
        <v>0</v>
      </c>
      <c r="F71" s="167">
        <v>0</v>
      </c>
      <c r="G71" s="168">
        <v>0.01</v>
      </c>
      <c r="H71" s="169">
        <f>F71*G71</f>
        <v>0</v>
      </c>
    </row>
    <row r="72" spans="3:8" ht="14.25">
      <c r="C72" s="212">
        <v>2</v>
      </c>
      <c r="D72" s="212" t="s">
        <v>172</v>
      </c>
      <c r="E72" s="167">
        <v>0</v>
      </c>
      <c r="F72" s="167">
        <v>0</v>
      </c>
      <c r="G72" s="168">
        <v>0.05</v>
      </c>
      <c r="H72" s="169">
        <f>F72*G72</f>
        <v>0</v>
      </c>
    </row>
    <row r="73" spans="3:8" ht="14.25">
      <c r="C73" s="212">
        <v>3</v>
      </c>
      <c r="D73" s="212" t="s">
        <v>173</v>
      </c>
      <c r="E73" s="167">
        <v>0</v>
      </c>
      <c r="F73" s="167">
        <v>0</v>
      </c>
      <c r="G73" s="168">
        <v>0.25</v>
      </c>
      <c r="H73" s="169">
        <f>F73*G73</f>
        <v>0</v>
      </c>
    </row>
    <row r="74" spans="3:8" ht="14.25">
      <c r="C74" s="212">
        <v>4</v>
      </c>
      <c r="D74" s="212" t="s">
        <v>174</v>
      </c>
      <c r="E74" s="167">
        <v>0</v>
      </c>
      <c r="F74" s="167">
        <v>0</v>
      </c>
      <c r="G74" s="168">
        <v>0.5</v>
      </c>
      <c r="H74" s="169">
        <f>F74*G74</f>
        <v>0</v>
      </c>
    </row>
    <row r="75" spans="3:8" ht="14.25">
      <c r="C75" s="212">
        <v>5</v>
      </c>
      <c r="D75" s="212" t="s">
        <v>175</v>
      </c>
      <c r="E75" s="167">
        <v>0</v>
      </c>
      <c r="F75" s="167">
        <v>0</v>
      </c>
      <c r="G75" s="168">
        <v>1</v>
      </c>
      <c r="H75" s="169">
        <f>F75*G75</f>
        <v>0</v>
      </c>
    </row>
    <row r="76" spans="3:8" ht="14.25">
      <c r="C76" s="212"/>
      <c r="D76" s="213" t="s">
        <v>176</v>
      </c>
      <c r="E76" s="170">
        <f>SUM(E70:E75)</f>
        <v>0</v>
      </c>
      <c r="F76" s="170">
        <f>SUM(F70:F75)</f>
        <v>0</v>
      </c>
      <c r="G76" s="170"/>
      <c r="H76" s="170">
        <f>SUM(H70:H75)</f>
        <v>0</v>
      </c>
    </row>
    <row r="77" spans="3:8" ht="14.25">
      <c r="C77" s="212"/>
      <c r="D77" s="213" t="s">
        <v>178</v>
      </c>
      <c r="E77" s="170">
        <f>E69+E76</f>
        <v>0</v>
      </c>
      <c r="F77" s="170">
        <f>F69+F76</f>
        <v>0</v>
      </c>
      <c r="G77" s="170"/>
      <c r="H77" s="170">
        <f>H69+H76</f>
        <v>0</v>
      </c>
    </row>
    <row r="79" spans="3:8">
      <c r="F79" s="187">
        <f>F66+F67+F68</f>
        <v>0</v>
      </c>
    </row>
    <row r="80" spans="3:8">
      <c r="F80" s="150" t="e">
        <f>F79/F77</f>
        <v>#DIV/0!</v>
      </c>
    </row>
  </sheetData>
  <mergeCells count="8">
    <mergeCell ref="D56:H56"/>
    <mergeCell ref="D61:H61"/>
    <mergeCell ref="D3:H3"/>
    <mergeCell ref="D8:H8"/>
    <mergeCell ref="L3:P3"/>
    <mergeCell ref="L8:P8"/>
    <mergeCell ref="D30:H30"/>
    <mergeCell ref="D35:H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8"/>
  <sheetViews>
    <sheetView tabSelected="1" topLeftCell="A30" zoomScale="80" zoomScaleNormal="80" zoomScaleSheetLayoutView="78" workbookViewId="0">
      <pane xSplit="1" topLeftCell="S24" activePane="topRight" state="frozen"/>
      <selection pane="topRight" activeCell="U27" sqref="U27:W27"/>
    </sheetView>
  </sheetViews>
  <sheetFormatPr defaultColWidth="17.140625" defaultRowHeight="14.25"/>
  <cols>
    <col min="1" max="1" width="73.85546875" style="133" customWidth="1"/>
    <col min="2" max="2" width="19.28515625" style="134" bestFit="1" customWidth="1"/>
    <col min="3" max="4" width="18.85546875" style="134" customWidth="1"/>
    <col min="5" max="13" width="19.28515625" style="134" customWidth="1"/>
    <col min="14" max="14" width="19.28515625" style="134" bestFit="1" customWidth="1"/>
    <col min="15" max="15" width="19.28515625" style="134" customWidth="1"/>
    <col min="16" max="16" width="19.140625" style="315" bestFit="1" customWidth="1"/>
    <col min="17" max="17" width="23.85546875" style="134" customWidth="1"/>
    <col min="18" max="18" width="21.5703125" style="134" customWidth="1"/>
    <col min="19" max="19" width="23.42578125" style="134" customWidth="1"/>
    <col min="20" max="20" width="20.28515625" style="134" customWidth="1"/>
    <col min="21" max="21" width="19" style="134" bestFit="1" customWidth="1"/>
    <col min="22" max="22" width="19.42578125" style="134" customWidth="1"/>
    <col min="23" max="23" width="19" style="134" bestFit="1" customWidth="1"/>
    <col min="24" max="16384" width="17.140625" style="134"/>
  </cols>
  <sheetData>
    <row r="1" spans="1:23">
      <c r="A1" s="133" t="s">
        <v>13</v>
      </c>
    </row>
    <row r="2" spans="1:23" ht="14.25" customHeight="1">
      <c r="A2" s="165" t="s">
        <v>179</v>
      </c>
    </row>
    <row r="3" spans="1:23" s="289" customFormat="1" ht="12.75">
      <c r="A3" s="287"/>
      <c r="B3" s="288" t="s">
        <v>180</v>
      </c>
      <c r="C3" s="314">
        <v>44562</v>
      </c>
      <c r="D3" s="314">
        <v>44593</v>
      </c>
      <c r="E3" s="314">
        <v>44621</v>
      </c>
      <c r="F3" s="314">
        <v>44652</v>
      </c>
      <c r="G3" s="314">
        <v>44682</v>
      </c>
      <c r="H3" s="314">
        <v>44713</v>
      </c>
      <c r="I3" s="314">
        <v>44743</v>
      </c>
      <c r="J3" s="314">
        <v>44774</v>
      </c>
      <c r="K3" s="314">
        <v>44805</v>
      </c>
      <c r="L3" s="314">
        <v>44835</v>
      </c>
      <c r="M3" s="314">
        <v>44866</v>
      </c>
      <c r="N3" s="314">
        <v>44896</v>
      </c>
      <c r="O3" s="314" t="s">
        <v>18</v>
      </c>
      <c r="P3" s="314">
        <v>44949</v>
      </c>
      <c r="Q3" s="314">
        <v>44980</v>
      </c>
      <c r="R3" s="314">
        <v>45008</v>
      </c>
      <c r="S3" s="314">
        <v>45039</v>
      </c>
      <c r="T3" s="314">
        <v>45069</v>
      </c>
      <c r="U3" s="314">
        <v>45100</v>
      </c>
      <c r="V3" s="314">
        <v>45130</v>
      </c>
      <c r="W3" s="314">
        <v>45161</v>
      </c>
    </row>
    <row r="4" spans="1:23" s="136" customFormat="1" ht="15.75">
      <c r="A4" s="156" t="s">
        <v>181</v>
      </c>
      <c r="B4" s="281">
        <f t="shared" ref="B4:W4" si="0">SUM(B5:B6)</f>
        <v>32065169</v>
      </c>
      <c r="C4" s="281">
        <f t="shared" si="0"/>
        <v>34912845.909999996</v>
      </c>
      <c r="D4" s="281">
        <f t="shared" si="0"/>
        <v>41332418.890000001</v>
      </c>
      <c r="E4" s="281">
        <f t="shared" si="0"/>
        <v>44698660.840000004</v>
      </c>
      <c r="F4" s="281">
        <f t="shared" si="0"/>
        <v>42186283.25</v>
      </c>
      <c r="G4" s="281">
        <f t="shared" si="0"/>
        <v>37722222.969999999</v>
      </c>
      <c r="H4" s="281">
        <f t="shared" si="0"/>
        <v>30289909.27</v>
      </c>
      <c r="I4" s="281">
        <f t="shared" si="0"/>
        <v>31739783.34</v>
      </c>
      <c r="J4" s="281">
        <f t="shared" si="0"/>
        <v>30294926.600000001</v>
      </c>
      <c r="K4" s="281">
        <f t="shared" si="0"/>
        <v>26849205.580000002</v>
      </c>
      <c r="L4" s="281">
        <f t="shared" si="0"/>
        <v>19051065.300000001</v>
      </c>
      <c r="M4" s="281">
        <f t="shared" si="0"/>
        <v>11945188.060000001</v>
      </c>
      <c r="N4" s="281">
        <f t="shared" si="0"/>
        <v>12679507.27</v>
      </c>
      <c r="O4" s="281">
        <f t="shared" si="0"/>
        <v>12671204</v>
      </c>
      <c r="P4" s="281">
        <f t="shared" si="0"/>
        <v>19056301.07</v>
      </c>
      <c r="Q4" s="281">
        <f t="shared" si="0"/>
        <v>13817089.140000001</v>
      </c>
      <c r="R4" s="281">
        <f t="shared" si="0"/>
        <v>12600181.390000001</v>
      </c>
      <c r="S4" s="281">
        <f t="shared" si="0"/>
        <v>23871442.669999998</v>
      </c>
      <c r="T4" s="281">
        <f t="shared" si="0"/>
        <v>21768526.329999998</v>
      </c>
      <c r="U4" s="281">
        <f t="shared" si="0"/>
        <v>22129025.710000001</v>
      </c>
      <c r="V4" s="281">
        <f t="shared" si="0"/>
        <v>10868772.92</v>
      </c>
      <c r="W4" s="281">
        <f t="shared" si="0"/>
        <v>9505274.459999999</v>
      </c>
    </row>
    <row r="5" spans="1:23">
      <c r="A5" s="155" t="s">
        <v>182</v>
      </c>
      <c r="B5" s="137">
        <f>2564179</f>
        <v>2564179</v>
      </c>
      <c r="C5" s="134">
        <v>7389364.8200000003</v>
      </c>
      <c r="D5" s="134">
        <v>5773753.8200000003</v>
      </c>
      <c r="E5" s="134">
        <v>6398099.8200000003</v>
      </c>
      <c r="F5" s="134">
        <v>6563170.3200000003</v>
      </c>
      <c r="G5" s="134">
        <v>6873142.3200000003</v>
      </c>
      <c r="H5" s="134">
        <v>6532208.3200000003</v>
      </c>
      <c r="I5" s="134">
        <v>4655373.32</v>
      </c>
      <c r="J5" s="134">
        <v>4119181.82</v>
      </c>
      <c r="K5" s="134">
        <v>4880512.32</v>
      </c>
      <c r="L5" s="134">
        <v>6703389.3200000003</v>
      </c>
      <c r="M5" s="134">
        <v>6099339.3200000003</v>
      </c>
      <c r="N5" s="134">
        <v>3746665.82</v>
      </c>
      <c r="O5" s="134">
        <f>2224896</f>
        <v>2224896</v>
      </c>
      <c r="P5" s="325">
        <v>5024003.03</v>
      </c>
      <c r="Q5" s="327">
        <v>8989085.1300000008</v>
      </c>
      <c r="R5" s="327">
        <v>6610486.1299999999</v>
      </c>
      <c r="S5" s="327">
        <v>3971152.13</v>
      </c>
      <c r="T5" s="325">
        <v>5446568.1299999999</v>
      </c>
      <c r="U5" s="325">
        <v>4387640.78</v>
      </c>
      <c r="V5" s="374">
        <v>5208069.78</v>
      </c>
      <c r="W5" s="376">
        <v>3530423.78</v>
      </c>
    </row>
    <row r="6" spans="1:23">
      <c r="A6" s="155" t="s">
        <v>183</v>
      </c>
      <c r="B6" s="137">
        <f>32065169-B5</f>
        <v>29500990</v>
      </c>
      <c r="C6" s="134">
        <v>27523481.09</v>
      </c>
      <c r="D6" s="134">
        <v>35558665.07</v>
      </c>
      <c r="E6" s="134">
        <v>38300561.020000003</v>
      </c>
      <c r="F6" s="134">
        <v>35623112.93</v>
      </c>
      <c r="G6" s="134">
        <v>30849080.649999999</v>
      </c>
      <c r="H6" s="134">
        <v>23757700.949999999</v>
      </c>
      <c r="I6" s="134">
        <v>27084410.02</v>
      </c>
      <c r="J6" s="134">
        <v>26175744.780000001</v>
      </c>
      <c r="K6" s="134">
        <v>21968693.260000002</v>
      </c>
      <c r="L6" s="134">
        <v>12347675.98</v>
      </c>
      <c r="M6" s="134">
        <v>5845848.7400000002</v>
      </c>
      <c r="N6" s="134">
        <v>8932841.4499999993</v>
      </c>
      <c r="O6" s="134">
        <f>12671204-O5</f>
        <v>10446308</v>
      </c>
      <c r="P6" s="329">
        <v>14032298.039999999</v>
      </c>
      <c r="Q6" s="331">
        <v>4828004.01</v>
      </c>
      <c r="R6" s="331">
        <v>5989695.2599999998</v>
      </c>
      <c r="S6" s="331">
        <v>19900290.539999999</v>
      </c>
      <c r="T6" s="329">
        <v>16321958.199999999</v>
      </c>
      <c r="U6" s="329">
        <v>17741384.93</v>
      </c>
      <c r="V6" s="378">
        <v>5660703.1399999997</v>
      </c>
      <c r="W6" s="380">
        <v>5974850.6799999997</v>
      </c>
    </row>
    <row r="7" spans="1:23" s="136" customFormat="1" ht="15">
      <c r="A7" s="156" t="s">
        <v>184</v>
      </c>
      <c r="B7" s="135">
        <v>12164278</v>
      </c>
      <c r="C7" s="136">
        <v>12269995.779999999</v>
      </c>
      <c r="D7" s="136">
        <v>12203071.689999999</v>
      </c>
      <c r="E7" s="136">
        <v>11833081.689999999</v>
      </c>
      <c r="F7" s="136">
        <v>11978435.689999999</v>
      </c>
      <c r="G7" s="136">
        <v>11886997.689999999</v>
      </c>
      <c r="H7" s="136">
        <v>12382821.689999999</v>
      </c>
      <c r="I7" s="136">
        <v>12380933.189999999</v>
      </c>
      <c r="J7" s="136">
        <v>12384918.939999999</v>
      </c>
      <c r="K7" s="136">
        <v>12700981.189999999</v>
      </c>
      <c r="L7" s="136">
        <v>12724109.689999999</v>
      </c>
      <c r="M7" s="136">
        <v>12666936.189999999</v>
      </c>
      <c r="N7" s="136">
        <v>12882090.689999999</v>
      </c>
      <c r="O7" s="316">
        <v>11749297</v>
      </c>
      <c r="P7" s="329">
        <v>12918330.689999999</v>
      </c>
      <c r="Q7" s="331">
        <v>12167132.390000001</v>
      </c>
      <c r="R7" s="331">
        <v>11399085.390000001</v>
      </c>
      <c r="S7" s="331">
        <v>11201810.789999999</v>
      </c>
      <c r="T7" s="329">
        <v>11168966.789999999</v>
      </c>
      <c r="U7" s="329">
        <v>11573319.789999999</v>
      </c>
      <c r="V7" s="378">
        <v>11584966.390000001</v>
      </c>
      <c r="W7" s="380">
        <v>11604125.390000001</v>
      </c>
    </row>
    <row r="8" spans="1:23" s="136" customFormat="1" ht="15.75">
      <c r="A8" s="156" t="s">
        <v>185</v>
      </c>
      <c r="B8" s="282">
        <f>SUM(B9:B13)</f>
        <v>10760</v>
      </c>
      <c r="C8" s="282">
        <f t="shared" ref="C8:W8" si="1">SUM(C9:C13)</f>
        <v>10760</v>
      </c>
      <c r="D8" s="282">
        <f t="shared" si="1"/>
        <v>10760</v>
      </c>
      <c r="E8" s="282">
        <f t="shared" si="1"/>
        <v>10760</v>
      </c>
      <c r="F8" s="282">
        <f t="shared" si="1"/>
        <v>10760</v>
      </c>
      <c r="G8" s="282">
        <f t="shared" si="1"/>
        <v>10760</v>
      </c>
      <c r="H8" s="282">
        <f t="shared" si="1"/>
        <v>10760</v>
      </c>
      <c r="I8" s="282">
        <f t="shared" si="1"/>
        <v>10760</v>
      </c>
      <c r="J8" s="282">
        <f t="shared" si="1"/>
        <v>10760</v>
      </c>
      <c r="K8" s="282">
        <f t="shared" si="1"/>
        <v>10760</v>
      </c>
      <c r="L8" s="282">
        <f t="shared" si="1"/>
        <v>10760</v>
      </c>
      <c r="M8" s="282">
        <f t="shared" si="1"/>
        <v>10760</v>
      </c>
      <c r="N8" s="282">
        <f t="shared" si="1"/>
        <v>10760</v>
      </c>
      <c r="O8" s="282">
        <f t="shared" si="1"/>
        <v>10760</v>
      </c>
      <c r="P8" s="282">
        <f t="shared" si="1"/>
        <v>10760</v>
      </c>
      <c r="Q8" s="282">
        <f t="shared" si="1"/>
        <v>10760</v>
      </c>
      <c r="R8" s="282">
        <f t="shared" si="1"/>
        <v>10760</v>
      </c>
      <c r="S8" s="282">
        <f t="shared" si="1"/>
        <v>10760</v>
      </c>
      <c r="T8" s="282">
        <f t="shared" si="1"/>
        <v>10760</v>
      </c>
      <c r="U8" s="282">
        <f t="shared" si="1"/>
        <v>10760</v>
      </c>
      <c r="V8" s="282">
        <f t="shared" si="1"/>
        <v>10760</v>
      </c>
      <c r="W8" s="282">
        <f t="shared" si="1"/>
        <v>10760</v>
      </c>
    </row>
    <row r="9" spans="1:23" ht="15">
      <c r="A9" s="157" t="s">
        <v>186</v>
      </c>
      <c r="B9" s="139"/>
      <c r="C9" s="134">
        <v>0</v>
      </c>
      <c r="D9" s="134">
        <v>0</v>
      </c>
      <c r="E9" s="134">
        <v>0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4">
        <v>0</v>
      </c>
      <c r="M9" s="134">
        <v>0</v>
      </c>
      <c r="N9" s="134">
        <v>0</v>
      </c>
      <c r="P9" s="324">
        <v>0</v>
      </c>
      <c r="Q9" s="326">
        <v>0</v>
      </c>
      <c r="R9" s="326">
        <v>0</v>
      </c>
      <c r="S9" s="326">
        <v>0</v>
      </c>
      <c r="T9" s="324">
        <v>0</v>
      </c>
      <c r="U9" s="324">
        <v>0</v>
      </c>
      <c r="V9" s="373">
        <v>0</v>
      </c>
      <c r="W9" s="375">
        <v>0</v>
      </c>
    </row>
    <row r="10" spans="1:23">
      <c r="A10" s="155" t="s">
        <v>187</v>
      </c>
      <c r="B10" s="139"/>
      <c r="C10" s="134">
        <v>0</v>
      </c>
      <c r="D10" s="134">
        <v>0</v>
      </c>
      <c r="E10" s="134">
        <v>0</v>
      </c>
      <c r="F10" s="134">
        <v>0</v>
      </c>
      <c r="G10" s="134">
        <v>0</v>
      </c>
      <c r="H10" s="134">
        <v>0</v>
      </c>
      <c r="I10" s="134">
        <v>0</v>
      </c>
      <c r="J10" s="134">
        <v>0</v>
      </c>
      <c r="K10" s="134">
        <v>0</v>
      </c>
      <c r="L10" s="134">
        <v>0</v>
      </c>
      <c r="M10" s="134">
        <v>0</v>
      </c>
      <c r="N10" s="134">
        <v>0</v>
      </c>
      <c r="P10" s="328">
        <v>0</v>
      </c>
      <c r="Q10" s="330">
        <v>0</v>
      </c>
      <c r="R10" s="330">
        <v>0</v>
      </c>
      <c r="S10" s="330">
        <v>0</v>
      </c>
      <c r="T10" s="328">
        <v>0</v>
      </c>
      <c r="U10" s="328">
        <v>0</v>
      </c>
      <c r="V10" s="377">
        <v>0</v>
      </c>
      <c r="W10" s="379">
        <v>0</v>
      </c>
    </row>
    <row r="11" spans="1:23">
      <c r="A11" s="263" t="s">
        <v>188</v>
      </c>
      <c r="B11" s="139"/>
      <c r="C11" s="134">
        <v>0</v>
      </c>
      <c r="D11" s="134">
        <v>0</v>
      </c>
      <c r="E11" s="134">
        <v>0</v>
      </c>
      <c r="F11" s="134">
        <v>0</v>
      </c>
      <c r="G11" s="134">
        <v>0</v>
      </c>
      <c r="H11" s="134">
        <v>0</v>
      </c>
      <c r="I11" s="134">
        <v>0</v>
      </c>
      <c r="J11" s="134">
        <v>0</v>
      </c>
      <c r="K11" s="134">
        <v>0</v>
      </c>
      <c r="L11" s="134">
        <v>0</v>
      </c>
      <c r="M11" s="134">
        <v>0</v>
      </c>
      <c r="N11" s="134">
        <v>0</v>
      </c>
      <c r="P11" s="328">
        <v>0</v>
      </c>
      <c r="Q11" s="330">
        <v>0</v>
      </c>
      <c r="R11" s="330">
        <v>0</v>
      </c>
      <c r="S11" s="330">
        <v>0</v>
      </c>
      <c r="T11" s="328">
        <v>0</v>
      </c>
      <c r="U11" s="328">
        <v>0</v>
      </c>
      <c r="V11" s="377">
        <v>0</v>
      </c>
      <c r="W11" s="379">
        <v>0</v>
      </c>
    </row>
    <row r="12" spans="1:23">
      <c r="A12" s="264" t="s">
        <v>189</v>
      </c>
      <c r="B12" s="280">
        <f>10760</f>
        <v>10760</v>
      </c>
      <c r="C12" s="134">
        <v>10760</v>
      </c>
      <c r="D12" s="134">
        <v>10760</v>
      </c>
      <c r="E12" s="134">
        <v>10760</v>
      </c>
      <c r="F12" s="134">
        <v>10760</v>
      </c>
      <c r="G12" s="134">
        <v>10760</v>
      </c>
      <c r="H12" s="134">
        <v>10760</v>
      </c>
      <c r="I12" s="134">
        <v>10760</v>
      </c>
      <c r="J12" s="134">
        <v>10760</v>
      </c>
      <c r="K12" s="134">
        <v>10760</v>
      </c>
      <c r="L12" s="134">
        <v>10760</v>
      </c>
      <c r="M12" s="134">
        <v>10760</v>
      </c>
      <c r="N12" s="134">
        <v>10760</v>
      </c>
      <c r="O12" s="134">
        <v>10760</v>
      </c>
      <c r="P12" s="329">
        <v>10760</v>
      </c>
      <c r="Q12" s="331">
        <v>10760</v>
      </c>
      <c r="R12" s="331">
        <v>10760</v>
      </c>
      <c r="S12" s="331">
        <v>10760</v>
      </c>
      <c r="T12" s="329">
        <v>10760</v>
      </c>
      <c r="U12" s="329">
        <v>10760</v>
      </c>
      <c r="V12" s="378">
        <v>10760</v>
      </c>
      <c r="W12" s="380">
        <v>10760</v>
      </c>
    </row>
    <row r="13" spans="1:23">
      <c r="A13" s="263" t="s">
        <v>190</v>
      </c>
      <c r="B13" s="139"/>
    </row>
    <row r="14" spans="1:23" s="136" customFormat="1" ht="15.75">
      <c r="A14" s="156" t="s">
        <v>191</v>
      </c>
      <c r="B14" s="283">
        <f t="shared" ref="B14:W14" si="2">B15-B16</f>
        <v>171032210</v>
      </c>
      <c r="C14" s="283">
        <f t="shared" si="2"/>
        <v>178672745.69</v>
      </c>
      <c r="D14" s="283">
        <f t="shared" si="2"/>
        <v>177354750.18000001</v>
      </c>
      <c r="E14" s="283">
        <f t="shared" si="2"/>
        <v>174292134.30000001</v>
      </c>
      <c r="F14" s="283">
        <f t="shared" si="2"/>
        <v>172164558.44999999</v>
      </c>
      <c r="G14" s="283">
        <f t="shared" si="2"/>
        <v>176893002.58000001</v>
      </c>
      <c r="H14" s="283">
        <f t="shared" si="2"/>
        <v>187318253.94</v>
      </c>
      <c r="I14" s="283">
        <f t="shared" si="2"/>
        <v>190611821.16999999</v>
      </c>
      <c r="J14" s="283">
        <f t="shared" si="2"/>
        <v>189224687.91999999</v>
      </c>
      <c r="K14" s="283">
        <f t="shared" si="2"/>
        <v>192760883.63999999</v>
      </c>
      <c r="L14" s="283">
        <f t="shared" si="2"/>
        <v>207413372.19999999</v>
      </c>
      <c r="M14" s="283">
        <f t="shared" si="2"/>
        <v>218331519.24000001</v>
      </c>
      <c r="N14" s="283">
        <f t="shared" si="2"/>
        <v>220964657.78999999</v>
      </c>
      <c r="O14" s="283">
        <f t="shared" si="2"/>
        <v>206917751</v>
      </c>
      <c r="P14" s="283">
        <f t="shared" si="2"/>
        <v>222658239.03</v>
      </c>
      <c r="Q14" s="283">
        <f t="shared" si="2"/>
        <v>232547455.75999999</v>
      </c>
      <c r="R14" s="283">
        <f t="shared" si="2"/>
        <v>234566848.78999999</v>
      </c>
      <c r="S14" s="283">
        <f t="shared" si="2"/>
        <v>231559128.41999999</v>
      </c>
      <c r="T14" s="283">
        <f t="shared" si="2"/>
        <v>227636962.11000001</v>
      </c>
      <c r="U14" s="283">
        <f t="shared" si="2"/>
        <v>232375867.97999999</v>
      </c>
      <c r="V14" s="283">
        <f t="shared" si="2"/>
        <v>239108093.69999999</v>
      </c>
      <c r="W14" s="283">
        <f t="shared" si="2"/>
        <v>239632561.22</v>
      </c>
    </row>
    <row r="15" spans="1:23" ht="15">
      <c r="A15" s="157" t="s">
        <v>192</v>
      </c>
      <c r="B15" s="303">
        <f>179052670</f>
        <v>179052670</v>
      </c>
      <c r="C15" s="134">
        <v>178672745.69</v>
      </c>
      <c r="D15" s="134">
        <v>177354750.18000001</v>
      </c>
      <c r="E15" s="134">
        <v>174292134.30000001</v>
      </c>
      <c r="F15" s="134">
        <v>172164558.44999999</v>
      </c>
      <c r="G15" s="134">
        <v>176893002.58000001</v>
      </c>
      <c r="H15" s="134">
        <v>187318253.94</v>
      </c>
      <c r="I15" s="134">
        <v>190611821.16999999</v>
      </c>
      <c r="J15" s="134">
        <v>189224687.91999999</v>
      </c>
      <c r="K15" s="134">
        <v>192760883.63999999</v>
      </c>
      <c r="L15" s="134">
        <v>207413372.19999999</v>
      </c>
      <c r="M15" s="134">
        <v>218331519.24000001</v>
      </c>
      <c r="N15" s="134">
        <v>220964657.78999999</v>
      </c>
      <c r="O15" s="134">
        <f>220964660</f>
        <v>220964660</v>
      </c>
      <c r="P15" s="325">
        <v>222658239.03</v>
      </c>
      <c r="Q15" s="327">
        <v>232547455.75999999</v>
      </c>
      <c r="R15" s="327">
        <v>234566848.78999999</v>
      </c>
      <c r="S15" s="327">
        <v>231559128.41999999</v>
      </c>
      <c r="T15" s="325">
        <v>227636962.11000001</v>
      </c>
      <c r="U15" s="325">
        <v>232375867.97999999</v>
      </c>
      <c r="V15" s="374">
        <v>239108093.69999999</v>
      </c>
      <c r="W15" s="376">
        <v>239632561.22</v>
      </c>
    </row>
    <row r="16" spans="1:23" ht="15">
      <c r="A16" s="157" t="s">
        <v>193</v>
      </c>
      <c r="B16" s="304">
        <f>8020460</f>
        <v>8020460</v>
      </c>
      <c r="C16" s="134">
        <v>0</v>
      </c>
      <c r="D16" s="134">
        <v>0</v>
      </c>
      <c r="E16" s="134">
        <v>0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4">
        <v>0</v>
      </c>
      <c r="L16" s="134">
        <v>0</v>
      </c>
      <c r="M16" s="134">
        <v>0</v>
      </c>
      <c r="N16" s="134">
        <v>0</v>
      </c>
      <c r="O16" s="134">
        <f>14046909</f>
        <v>14046909</v>
      </c>
      <c r="P16" s="328">
        <v>0</v>
      </c>
      <c r="Q16" s="330">
        <v>0</v>
      </c>
      <c r="R16" s="330">
        <v>0</v>
      </c>
      <c r="S16" s="330">
        <v>0</v>
      </c>
      <c r="T16" s="328">
        <v>0</v>
      </c>
      <c r="U16" s="328">
        <v>0</v>
      </c>
      <c r="V16" s="377">
        <v>0</v>
      </c>
      <c r="W16" s="379">
        <v>0</v>
      </c>
    </row>
    <row r="17" spans="1:23" s="136" customFormat="1" ht="15.75">
      <c r="A17" s="156" t="s">
        <v>194</v>
      </c>
      <c r="B17" s="283"/>
      <c r="C17" s="283">
        <f t="shared" ref="C17:U17" si="3">SUM(C18:C20)</f>
        <v>0</v>
      </c>
      <c r="D17" s="283">
        <f t="shared" si="3"/>
        <v>0</v>
      </c>
      <c r="E17" s="283">
        <f t="shared" si="3"/>
        <v>0</v>
      </c>
      <c r="F17" s="283">
        <f t="shared" si="3"/>
        <v>0</v>
      </c>
      <c r="G17" s="283">
        <f t="shared" si="3"/>
        <v>0</v>
      </c>
      <c r="H17" s="283">
        <f t="shared" si="3"/>
        <v>0</v>
      </c>
      <c r="I17" s="283">
        <f t="shared" si="3"/>
        <v>0</v>
      </c>
      <c r="J17" s="283">
        <f t="shared" si="3"/>
        <v>0</v>
      </c>
      <c r="K17" s="283">
        <f t="shared" si="3"/>
        <v>0</v>
      </c>
      <c r="L17" s="283">
        <f t="shared" si="3"/>
        <v>0</v>
      </c>
      <c r="M17" s="283">
        <f t="shared" si="3"/>
        <v>0</v>
      </c>
      <c r="N17" s="283">
        <f t="shared" si="3"/>
        <v>0</v>
      </c>
      <c r="O17" s="283">
        <f t="shared" si="3"/>
        <v>0</v>
      </c>
      <c r="P17" s="283">
        <f t="shared" si="3"/>
        <v>0</v>
      </c>
      <c r="Q17" s="283">
        <f t="shared" si="3"/>
        <v>0</v>
      </c>
      <c r="R17" s="283">
        <f t="shared" si="3"/>
        <v>0</v>
      </c>
      <c r="S17" s="283">
        <f t="shared" si="3"/>
        <v>0</v>
      </c>
      <c r="T17" s="283">
        <f t="shared" si="3"/>
        <v>0</v>
      </c>
      <c r="U17" s="283">
        <f t="shared" si="3"/>
        <v>0</v>
      </c>
    </row>
    <row r="18" spans="1:23" ht="15">
      <c r="A18" s="157" t="s">
        <v>195</v>
      </c>
      <c r="B18" s="139"/>
      <c r="P18" s="324">
        <v>0</v>
      </c>
      <c r="Q18" s="326">
        <v>0</v>
      </c>
      <c r="R18" s="326">
        <v>0</v>
      </c>
      <c r="S18" s="326">
        <v>0</v>
      </c>
      <c r="T18" s="324">
        <v>0</v>
      </c>
      <c r="U18" s="324">
        <v>0</v>
      </c>
      <c r="V18" s="373">
        <v>0</v>
      </c>
      <c r="W18" s="375">
        <v>0</v>
      </c>
    </row>
    <row r="19" spans="1:23" ht="15">
      <c r="A19" s="157" t="s">
        <v>196</v>
      </c>
      <c r="B19" s="323"/>
      <c r="P19" s="328">
        <v>0</v>
      </c>
      <c r="Q19" s="330">
        <v>0</v>
      </c>
      <c r="R19" s="330">
        <v>0</v>
      </c>
      <c r="S19" s="330">
        <v>0</v>
      </c>
      <c r="T19" s="328">
        <v>0</v>
      </c>
      <c r="U19" s="328">
        <v>0</v>
      </c>
      <c r="V19" s="377">
        <v>0</v>
      </c>
      <c r="W19" s="379">
        <v>0</v>
      </c>
    </row>
    <row r="20" spans="1:23" ht="15">
      <c r="A20" s="157" t="s">
        <v>197</v>
      </c>
      <c r="B20" s="323"/>
      <c r="P20" s="328">
        <v>0</v>
      </c>
      <c r="Q20" s="330">
        <v>0</v>
      </c>
      <c r="R20" s="330">
        <v>0</v>
      </c>
      <c r="S20" s="330">
        <v>0</v>
      </c>
      <c r="T20" s="328">
        <v>0</v>
      </c>
      <c r="U20" s="328">
        <v>0</v>
      </c>
      <c r="V20" s="377">
        <v>0</v>
      </c>
      <c r="W20" s="379">
        <v>0</v>
      </c>
    </row>
    <row r="21" spans="1:23" s="136" customFormat="1" ht="15.75">
      <c r="A21" s="156" t="s">
        <v>198</v>
      </c>
      <c r="B21" s="283">
        <f t="shared" ref="B21:W21" si="4">SUM(B22:B26)</f>
        <v>34870264</v>
      </c>
      <c r="C21" s="283">
        <f t="shared" si="4"/>
        <v>35706031.410000004</v>
      </c>
      <c r="D21" s="283">
        <f t="shared" si="4"/>
        <v>35854489.57</v>
      </c>
      <c r="E21" s="283">
        <f t="shared" si="4"/>
        <v>34506037.189999998</v>
      </c>
      <c r="F21" s="283">
        <f t="shared" si="4"/>
        <v>34779152.189999998</v>
      </c>
      <c r="G21" s="283">
        <f t="shared" si="4"/>
        <v>34950984.189999998</v>
      </c>
      <c r="H21" s="283">
        <f t="shared" si="4"/>
        <v>34958646.189999998</v>
      </c>
      <c r="I21" s="283">
        <f t="shared" si="4"/>
        <v>36000806.439999998</v>
      </c>
      <c r="J21" s="283">
        <f t="shared" si="4"/>
        <v>37501591.439999998</v>
      </c>
      <c r="K21" s="283">
        <f t="shared" si="4"/>
        <v>37613291.439999998</v>
      </c>
      <c r="L21" s="283">
        <f t="shared" si="4"/>
        <v>37789391.439999998</v>
      </c>
      <c r="M21" s="283">
        <f t="shared" si="4"/>
        <v>37795191.439999998</v>
      </c>
      <c r="N21" s="283">
        <f t="shared" si="4"/>
        <v>37879491.439999998</v>
      </c>
      <c r="O21" s="283">
        <f t="shared" si="4"/>
        <v>37277125</v>
      </c>
      <c r="P21" s="283">
        <f t="shared" si="4"/>
        <v>38230896.439999998</v>
      </c>
      <c r="Q21" s="283">
        <f t="shared" si="4"/>
        <v>38426896.439999998</v>
      </c>
      <c r="R21" s="283">
        <f t="shared" si="4"/>
        <v>37192814.390000001</v>
      </c>
      <c r="S21" s="283">
        <f t="shared" si="4"/>
        <v>37192814.890000001</v>
      </c>
      <c r="T21" s="283">
        <f t="shared" si="4"/>
        <v>37122814.890000001</v>
      </c>
      <c r="U21" s="283">
        <f t="shared" si="4"/>
        <v>37132964.890000001</v>
      </c>
      <c r="V21" s="283">
        <f t="shared" si="4"/>
        <v>37541664.890000001</v>
      </c>
      <c r="W21" s="283">
        <f t="shared" si="4"/>
        <v>37623126.890000001</v>
      </c>
    </row>
    <row r="22" spans="1:23" ht="15">
      <c r="A22" s="157" t="s">
        <v>199</v>
      </c>
      <c r="B22" s="139"/>
      <c r="C22" s="134">
        <v>0</v>
      </c>
      <c r="D22" s="134">
        <v>0</v>
      </c>
      <c r="E22" s="134">
        <v>0</v>
      </c>
      <c r="F22" s="134">
        <v>0</v>
      </c>
      <c r="G22" s="134">
        <v>0</v>
      </c>
      <c r="H22" s="134">
        <v>0</v>
      </c>
      <c r="I22" s="134">
        <v>0</v>
      </c>
      <c r="J22" s="134">
        <v>0</v>
      </c>
      <c r="K22" s="134">
        <v>0</v>
      </c>
      <c r="L22" s="134">
        <v>0</v>
      </c>
      <c r="M22" s="134">
        <v>0</v>
      </c>
      <c r="N22" s="134">
        <v>0</v>
      </c>
      <c r="P22" s="324">
        <v>0</v>
      </c>
      <c r="Q22" s="326">
        <v>0</v>
      </c>
      <c r="R22" s="326">
        <v>0</v>
      </c>
      <c r="S22" s="326">
        <v>0</v>
      </c>
      <c r="T22" s="324">
        <v>0</v>
      </c>
      <c r="U22" s="324">
        <v>0</v>
      </c>
      <c r="V22" s="373">
        <v>0</v>
      </c>
      <c r="W22" s="375">
        <v>0</v>
      </c>
    </row>
    <row r="23" spans="1:23" ht="15">
      <c r="A23" s="157" t="s">
        <v>200</v>
      </c>
      <c r="B23" s="295">
        <f>34855454-B25</f>
        <v>33967722</v>
      </c>
      <c r="C23" s="134">
        <v>34377304.280000001</v>
      </c>
      <c r="D23" s="134">
        <v>34541884.439999998</v>
      </c>
      <c r="E23" s="134">
        <v>34550874.439999998</v>
      </c>
      <c r="F23" s="134">
        <v>34847989.439999998</v>
      </c>
      <c r="G23" s="134">
        <v>35016649.439999998</v>
      </c>
      <c r="H23" s="134">
        <v>35054174.439999998</v>
      </c>
      <c r="I23" s="134">
        <v>35113074.439999998</v>
      </c>
      <c r="J23" s="134">
        <v>36613859.439999998</v>
      </c>
      <c r="K23" s="134">
        <v>36725559.439999998</v>
      </c>
      <c r="L23" s="134">
        <v>36901659.439999998</v>
      </c>
      <c r="M23" s="134">
        <v>36907459.439999998</v>
      </c>
      <c r="N23" s="134">
        <v>36982359.439999998</v>
      </c>
      <c r="O23" s="134">
        <f>36674462-O25</f>
        <v>35964276</v>
      </c>
      <c r="P23" s="329">
        <v>37333764.439999998</v>
      </c>
      <c r="Q23" s="331">
        <v>37529764.439999998</v>
      </c>
      <c r="R23" s="331">
        <v>36482628.390000001</v>
      </c>
      <c r="S23" s="331">
        <v>36482628.890000001</v>
      </c>
      <c r="T23" s="329">
        <v>36412628.890000001</v>
      </c>
      <c r="U23" s="329">
        <v>36422778.890000001</v>
      </c>
      <c r="V23" s="378">
        <v>36831478.890000001</v>
      </c>
      <c r="W23" s="380">
        <v>36912940.890000001</v>
      </c>
    </row>
    <row r="24" spans="1:23" ht="15">
      <c r="A24" s="157" t="s">
        <v>201</v>
      </c>
      <c r="B24" s="323"/>
      <c r="C24" s="134">
        <v>0</v>
      </c>
      <c r="D24" s="134">
        <v>0</v>
      </c>
      <c r="E24" s="134">
        <v>0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4">
        <v>0</v>
      </c>
      <c r="L24" s="134">
        <v>0</v>
      </c>
      <c r="M24" s="134">
        <v>0</v>
      </c>
      <c r="N24" s="134">
        <v>0</v>
      </c>
      <c r="P24" s="328">
        <v>0</v>
      </c>
      <c r="Q24" s="330">
        <v>0</v>
      </c>
      <c r="R24" s="330">
        <v>0</v>
      </c>
      <c r="S24" s="330">
        <v>0</v>
      </c>
      <c r="T24" s="328">
        <v>0</v>
      </c>
      <c r="U24" s="328">
        <v>0</v>
      </c>
      <c r="V24" s="377">
        <v>0</v>
      </c>
      <c r="W24" s="379">
        <v>0</v>
      </c>
    </row>
    <row r="25" spans="1:23" ht="15">
      <c r="A25" s="157" t="s">
        <v>202</v>
      </c>
      <c r="B25" s="295">
        <f>887732</f>
        <v>887732</v>
      </c>
      <c r="C25" s="134">
        <v>887732</v>
      </c>
      <c r="D25" s="134">
        <v>887732</v>
      </c>
      <c r="E25" s="134">
        <v>887732</v>
      </c>
      <c r="F25" s="134">
        <v>887732</v>
      </c>
      <c r="G25" s="134">
        <v>887732</v>
      </c>
      <c r="H25" s="134">
        <v>887732</v>
      </c>
      <c r="I25" s="134">
        <v>887732</v>
      </c>
      <c r="J25" s="134">
        <v>0</v>
      </c>
      <c r="K25" s="134">
        <v>887732</v>
      </c>
      <c r="L25" s="134">
        <v>887732</v>
      </c>
      <c r="M25" s="134">
        <v>887732</v>
      </c>
      <c r="N25" s="134">
        <v>887732</v>
      </c>
      <c r="O25" s="134">
        <f>710186</f>
        <v>710186</v>
      </c>
      <c r="P25" s="329">
        <v>887732</v>
      </c>
      <c r="Q25" s="331">
        <v>887732</v>
      </c>
      <c r="R25" s="331">
        <v>710186</v>
      </c>
      <c r="S25" s="331">
        <v>710186</v>
      </c>
      <c r="T25" s="329">
        <v>710186</v>
      </c>
      <c r="U25" s="329">
        <v>710186</v>
      </c>
      <c r="V25" s="378">
        <v>710186</v>
      </c>
      <c r="W25" s="380">
        <v>710186</v>
      </c>
    </row>
    <row r="26" spans="1:23" ht="15">
      <c r="A26" s="157" t="s">
        <v>203</v>
      </c>
      <c r="B26" s="323">
        <f>14810</f>
        <v>14810</v>
      </c>
      <c r="C26" s="134">
        <v>440995.13</v>
      </c>
      <c r="D26" s="134">
        <v>424873.13</v>
      </c>
      <c r="E26" s="134">
        <v>-932569.25</v>
      </c>
      <c r="F26" s="134">
        <v>-956569.25</v>
      </c>
      <c r="G26" s="134">
        <v>-953397.25</v>
      </c>
      <c r="H26" s="134">
        <v>-983260.25</v>
      </c>
      <c r="I26" s="134">
        <v>0</v>
      </c>
      <c r="J26" s="134">
        <v>887732</v>
      </c>
      <c r="K26" s="134">
        <v>0</v>
      </c>
      <c r="L26" s="134">
        <v>0</v>
      </c>
      <c r="M26" s="134">
        <v>0</v>
      </c>
      <c r="N26" s="134">
        <v>9400</v>
      </c>
      <c r="O26" s="134">
        <f>115285+487378</f>
        <v>602663</v>
      </c>
      <c r="P26" s="329">
        <v>9400</v>
      </c>
      <c r="Q26" s="331">
        <v>9400</v>
      </c>
      <c r="R26" s="330">
        <v>0</v>
      </c>
      <c r="S26" s="330">
        <v>0</v>
      </c>
      <c r="T26" s="328">
        <v>0</v>
      </c>
      <c r="U26" s="328">
        <v>0</v>
      </c>
      <c r="V26" s="377">
        <v>0</v>
      </c>
      <c r="W26" s="379">
        <v>0</v>
      </c>
    </row>
    <row r="27" spans="1:23" s="136" customFormat="1" ht="15.75">
      <c r="A27" s="156" t="s">
        <v>58</v>
      </c>
      <c r="B27" s="283">
        <f t="shared" ref="B27:I27" si="5">B4+B7+B8+B14+B17+B21</f>
        <v>250142681</v>
      </c>
      <c r="C27" s="283">
        <f t="shared" si="5"/>
        <v>261572378.78999999</v>
      </c>
      <c r="D27" s="283">
        <f t="shared" si="5"/>
        <v>266755490.32999998</v>
      </c>
      <c r="E27" s="283">
        <f t="shared" si="5"/>
        <v>265340674.02000001</v>
      </c>
      <c r="F27" s="283">
        <f t="shared" si="5"/>
        <v>261119189.57999998</v>
      </c>
      <c r="G27" s="283">
        <f t="shared" si="5"/>
        <v>261463967.43000001</v>
      </c>
      <c r="H27" s="283">
        <f t="shared" si="5"/>
        <v>264960391.09</v>
      </c>
      <c r="I27" s="283">
        <f t="shared" si="5"/>
        <v>270744104.13999999</v>
      </c>
      <c r="J27" s="283">
        <f t="shared" ref="J27:W27" si="6">J4+J7+J8+J14+J17+J21</f>
        <v>269416884.89999998</v>
      </c>
      <c r="K27" s="283">
        <f t="shared" si="6"/>
        <v>269935121.85000002</v>
      </c>
      <c r="L27" s="283">
        <f t="shared" si="6"/>
        <v>276988698.63</v>
      </c>
      <c r="M27" s="283">
        <f t="shared" si="6"/>
        <v>280749594.93000001</v>
      </c>
      <c r="N27" s="283">
        <f t="shared" si="6"/>
        <v>284416507.19</v>
      </c>
      <c r="O27" s="283">
        <f t="shared" si="6"/>
        <v>268626137</v>
      </c>
      <c r="P27" s="283">
        <f t="shared" si="6"/>
        <v>292874527.23000002</v>
      </c>
      <c r="Q27" s="283">
        <f t="shared" si="6"/>
        <v>296969333.73000002</v>
      </c>
      <c r="R27" s="283">
        <f t="shared" si="6"/>
        <v>295769689.95999998</v>
      </c>
      <c r="S27" s="283">
        <f t="shared" si="6"/>
        <v>303835956.76999998</v>
      </c>
      <c r="T27" s="283">
        <f t="shared" si="6"/>
        <v>297708030.12</v>
      </c>
      <c r="U27" s="283">
        <f t="shared" si="6"/>
        <v>303221938.37</v>
      </c>
      <c r="V27" s="283">
        <f t="shared" si="6"/>
        <v>299114257.89999998</v>
      </c>
      <c r="W27" s="283">
        <f t="shared" si="6"/>
        <v>298375847.95999998</v>
      </c>
    </row>
    <row r="28" spans="1:23">
      <c r="A28" s="164" t="s">
        <v>204</v>
      </c>
      <c r="B28" s="139"/>
    </row>
    <row r="29" spans="1:23" ht="15">
      <c r="A29" s="157" t="s">
        <v>205</v>
      </c>
      <c r="B29" s="295">
        <f>10320478</f>
        <v>10320478</v>
      </c>
      <c r="C29" s="134">
        <v>10943389.18</v>
      </c>
      <c r="D29" s="134">
        <v>12240179.93</v>
      </c>
      <c r="E29" s="134">
        <v>22361582.91</v>
      </c>
      <c r="F29" s="134">
        <v>14977427.07</v>
      </c>
      <c r="G29" s="134">
        <v>13465773.189999999</v>
      </c>
      <c r="H29" s="134">
        <v>13909004.279999999</v>
      </c>
      <c r="I29" s="134">
        <v>14316078.16</v>
      </c>
      <c r="J29" s="134">
        <v>12771894.119999999</v>
      </c>
      <c r="K29" s="134">
        <v>11764951.039999999</v>
      </c>
      <c r="L29" s="134">
        <v>12405632.449999999</v>
      </c>
      <c r="M29" s="134">
        <v>11518320.439999999</v>
      </c>
      <c r="N29" s="134">
        <v>12841579.779999999</v>
      </c>
      <c r="O29" s="134">
        <f>12861582</f>
        <v>12861582</v>
      </c>
      <c r="P29" s="325">
        <v>14967931.75</v>
      </c>
      <c r="Q29" s="327">
        <v>14187864.640000001</v>
      </c>
      <c r="R29" s="327">
        <v>13903629.08</v>
      </c>
      <c r="S29" s="327">
        <v>19521092.02</v>
      </c>
      <c r="T29" s="325">
        <v>15234326.890000001</v>
      </c>
      <c r="U29" s="325">
        <v>19250493.109999999</v>
      </c>
      <c r="V29" s="374">
        <v>15059850.91</v>
      </c>
      <c r="W29" s="376">
        <v>14483965.68</v>
      </c>
    </row>
    <row r="30" spans="1:23" ht="15">
      <c r="A30" s="157" t="s">
        <v>206</v>
      </c>
      <c r="B30" s="290">
        <f>8805374</f>
        <v>8805374</v>
      </c>
      <c r="C30" s="134">
        <v>932539.08</v>
      </c>
      <c r="D30" s="134">
        <v>1133814.08</v>
      </c>
      <c r="E30" s="134">
        <v>1212895.78</v>
      </c>
      <c r="F30" s="134">
        <v>978972.9</v>
      </c>
      <c r="G30" s="134">
        <v>1033357.9</v>
      </c>
      <c r="H30" s="134">
        <v>835015.9</v>
      </c>
      <c r="I30" s="134">
        <v>846889.9</v>
      </c>
      <c r="J30" s="134">
        <v>1023401.9</v>
      </c>
      <c r="K30" s="134">
        <v>987128.9</v>
      </c>
      <c r="L30" s="134">
        <v>1114954.8999999999</v>
      </c>
      <c r="M30" s="134">
        <v>929122.9</v>
      </c>
      <c r="N30" s="134">
        <v>969566.9</v>
      </c>
      <c r="O30" s="134">
        <f>13869896</f>
        <v>13869896</v>
      </c>
      <c r="P30" s="329">
        <v>930371.9</v>
      </c>
      <c r="Q30" s="331">
        <v>906653.9</v>
      </c>
      <c r="R30" s="331">
        <v>937279.77</v>
      </c>
      <c r="S30" s="331">
        <v>844904.77</v>
      </c>
      <c r="T30" s="329">
        <v>856126.77</v>
      </c>
      <c r="U30" s="329">
        <v>892233.77</v>
      </c>
      <c r="V30" s="378">
        <v>980158.77</v>
      </c>
      <c r="W30" s="380">
        <v>1058663.77</v>
      </c>
    </row>
    <row r="31" spans="1:23" ht="15">
      <c r="A31" s="157" t="s">
        <v>207</v>
      </c>
      <c r="B31" s="295">
        <f>160198883</f>
        <v>160198883</v>
      </c>
      <c r="C31" s="134">
        <v>170388930.94999999</v>
      </c>
      <c r="D31" s="134">
        <v>173409199.00999999</v>
      </c>
      <c r="E31" s="134">
        <v>175142664.13</v>
      </c>
      <c r="F31" s="134">
        <v>177733918.78</v>
      </c>
      <c r="G31" s="134">
        <v>180383119.40000001</v>
      </c>
      <c r="H31" s="134">
        <v>181931835.33000001</v>
      </c>
      <c r="I31" s="134">
        <v>184722502.16999999</v>
      </c>
      <c r="J31" s="134">
        <v>183856547.18000001</v>
      </c>
      <c r="K31" s="134">
        <v>185490627.08000001</v>
      </c>
      <c r="L31" s="134">
        <v>189666338.84999999</v>
      </c>
      <c r="M31" s="134">
        <v>191867837.28</v>
      </c>
      <c r="N31" s="134">
        <v>190333697.53999999</v>
      </c>
      <c r="O31" s="134">
        <f>177433368</f>
        <v>177433368</v>
      </c>
      <c r="P31" s="329">
        <v>189853006.87</v>
      </c>
      <c r="Q31" s="331">
        <v>191115038.16</v>
      </c>
      <c r="R31" s="331">
        <v>191936305.03</v>
      </c>
      <c r="S31" s="331">
        <v>192594825.56999999</v>
      </c>
      <c r="T31" s="329">
        <v>191356354.11000001</v>
      </c>
      <c r="U31" s="329">
        <v>192025211.83000001</v>
      </c>
      <c r="V31" s="378">
        <v>190045093.09999999</v>
      </c>
      <c r="W31" s="380">
        <v>188792937.97</v>
      </c>
    </row>
    <row r="32" spans="1:23" s="136" customFormat="1" ht="15.75">
      <c r="A32" s="156" t="s">
        <v>208</v>
      </c>
      <c r="B32" s="279">
        <f t="shared" ref="B32:T32" si="7">SUM(B29:B31)</f>
        <v>179324735</v>
      </c>
      <c r="C32" s="279">
        <f t="shared" si="7"/>
        <v>182264859.20999998</v>
      </c>
      <c r="D32" s="279">
        <f t="shared" si="7"/>
        <v>186783193.01999998</v>
      </c>
      <c r="E32" s="279">
        <f t="shared" si="7"/>
        <v>198717142.81999999</v>
      </c>
      <c r="F32" s="279">
        <f t="shared" si="7"/>
        <v>193690318.75</v>
      </c>
      <c r="G32" s="279">
        <f t="shared" si="7"/>
        <v>194882250.49000001</v>
      </c>
      <c r="H32" s="279">
        <f t="shared" si="7"/>
        <v>196675855.51000002</v>
      </c>
      <c r="I32" s="279">
        <f t="shared" si="7"/>
        <v>199885470.22999999</v>
      </c>
      <c r="J32" s="279">
        <f t="shared" si="7"/>
        <v>197651843.20000002</v>
      </c>
      <c r="K32" s="279">
        <f t="shared" si="7"/>
        <v>198242707.02000001</v>
      </c>
      <c r="L32" s="279">
        <f t="shared" si="7"/>
        <v>203186926.19999999</v>
      </c>
      <c r="M32" s="279">
        <f t="shared" si="7"/>
        <v>204315280.62</v>
      </c>
      <c r="N32" s="279">
        <f t="shared" si="7"/>
        <v>204144844.22</v>
      </c>
      <c r="O32" s="279">
        <f t="shared" si="7"/>
        <v>204164846</v>
      </c>
      <c r="P32" s="279">
        <f t="shared" si="7"/>
        <v>205751310.52000001</v>
      </c>
      <c r="Q32" s="279">
        <f t="shared" si="7"/>
        <v>206209556.69999999</v>
      </c>
      <c r="R32" s="279">
        <f t="shared" si="7"/>
        <v>206777213.88</v>
      </c>
      <c r="S32" s="279">
        <f t="shared" si="7"/>
        <v>212960822.35999998</v>
      </c>
      <c r="T32" s="279">
        <f t="shared" ref="T32:W32" si="8">SUM(T29:T31)</f>
        <v>207446807.77000001</v>
      </c>
      <c r="U32" s="279">
        <f t="shared" si="8"/>
        <v>212167938.71000001</v>
      </c>
      <c r="V32" s="279">
        <f t="shared" si="8"/>
        <v>206085102.78</v>
      </c>
      <c r="W32" s="279">
        <f t="shared" si="8"/>
        <v>204335567.41999999</v>
      </c>
    </row>
    <row r="33" spans="1:23" s="136" customFormat="1" ht="15" customHeight="1">
      <c r="A33" s="156" t="s">
        <v>209</v>
      </c>
      <c r="B33" s="285">
        <f t="shared" ref="B33:T33" si="9">SUM(B34:B39)</f>
        <v>18767985</v>
      </c>
      <c r="C33" s="285">
        <f t="shared" si="9"/>
        <v>15378418.26</v>
      </c>
      <c r="D33" s="285">
        <f t="shared" si="9"/>
        <v>14826183.26</v>
      </c>
      <c r="E33" s="285">
        <f t="shared" si="9"/>
        <v>14469532.380000001</v>
      </c>
      <c r="F33" s="285">
        <f t="shared" si="9"/>
        <v>13517187.380000001</v>
      </c>
      <c r="G33" s="285">
        <f t="shared" si="9"/>
        <v>13257886.130000001</v>
      </c>
      <c r="H33" s="285">
        <f t="shared" si="9"/>
        <v>12644496.130000001</v>
      </c>
      <c r="I33" s="285">
        <f t="shared" si="9"/>
        <v>14030245.130000001</v>
      </c>
      <c r="J33" s="285">
        <f t="shared" si="9"/>
        <v>14181930.380000001</v>
      </c>
      <c r="K33" s="285">
        <f t="shared" si="9"/>
        <v>12758431.880000001</v>
      </c>
      <c r="L33" s="285">
        <f t="shared" si="9"/>
        <v>13117416.380000001</v>
      </c>
      <c r="M33" s="285">
        <f t="shared" si="9"/>
        <v>13441434.779999999</v>
      </c>
      <c r="N33" s="285">
        <f t="shared" si="9"/>
        <v>8020895.0199999996</v>
      </c>
      <c r="O33" s="285">
        <f t="shared" si="9"/>
        <v>5263066</v>
      </c>
      <c r="P33" s="285">
        <f t="shared" si="9"/>
        <v>13237847.02</v>
      </c>
      <c r="Q33" s="285">
        <f t="shared" si="9"/>
        <v>13096960.35</v>
      </c>
      <c r="R33" s="285">
        <f t="shared" si="9"/>
        <v>12986969.68</v>
      </c>
      <c r="S33" s="285">
        <f t="shared" si="9"/>
        <v>27667521.57</v>
      </c>
      <c r="T33" s="285">
        <f t="shared" ref="T33:W33" si="10">SUM(T34:T39)</f>
        <v>26609400.07</v>
      </c>
      <c r="U33" s="285">
        <f t="shared" si="10"/>
        <v>25967858.950000003</v>
      </c>
      <c r="V33" s="285">
        <f t="shared" si="10"/>
        <v>25305897.09</v>
      </c>
      <c r="W33" s="285">
        <f t="shared" si="10"/>
        <v>24535786.509999998</v>
      </c>
    </row>
    <row r="34" spans="1:23" ht="15">
      <c r="A34" s="157" t="s">
        <v>210</v>
      </c>
      <c r="B34" s="301">
        <f>645904</f>
        <v>645904</v>
      </c>
      <c r="C34" s="134">
        <v>0</v>
      </c>
      <c r="D34" s="134">
        <v>0</v>
      </c>
      <c r="E34" s="134">
        <v>0</v>
      </c>
      <c r="F34" s="134">
        <v>0</v>
      </c>
      <c r="G34" s="134">
        <v>0</v>
      </c>
      <c r="H34" s="134">
        <v>0</v>
      </c>
      <c r="I34" s="134">
        <v>0</v>
      </c>
      <c r="J34" s="134">
        <v>0</v>
      </c>
      <c r="K34" s="134">
        <v>0</v>
      </c>
      <c r="L34" s="134">
        <v>0</v>
      </c>
      <c r="M34" s="134">
        <v>0</v>
      </c>
      <c r="N34" s="134">
        <v>0</v>
      </c>
      <c r="O34" s="134">
        <f>256750</f>
        <v>256750</v>
      </c>
      <c r="P34" s="324">
        <v>0</v>
      </c>
      <c r="Q34" s="326">
        <v>0</v>
      </c>
      <c r="R34" s="326">
        <v>0</v>
      </c>
      <c r="S34" s="326">
        <v>0</v>
      </c>
      <c r="T34" s="324">
        <v>0</v>
      </c>
      <c r="U34" s="324">
        <v>0</v>
      </c>
      <c r="V34" s="373">
        <v>0</v>
      </c>
      <c r="W34" s="375">
        <v>0</v>
      </c>
    </row>
    <row r="35" spans="1:23" ht="15">
      <c r="A35" s="157" t="s">
        <v>211</v>
      </c>
      <c r="B35" s="295">
        <f>9611935</f>
        <v>9611935</v>
      </c>
      <c r="C35" s="134">
        <v>0</v>
      </c>
      <c r="D35" s="134">
        <v>0</v>
      </c>
      <c r="E35" s="134">
        <v>0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4">
        <v>0</v>
      </c>
      <c r="L35" s="134">
        <v>0</v>
      </c>
      <c r="M35" s="134">
        <v>0</v>
      </c>
      <c r="N35" s="134">
        <v>0</v>
      </c>
      <c r="O35" s="134">
        <f>3548668</f>
        <v>3548668</v>
      </c>
      <c r="P35" s="328">
        <v>0</v>
      </c>
      <c r="Q35" s="330">
        <v>0</v>
      </c>
      <c r="R35" s="330">
        <v>0</v>
      </c>
      <c r="S35" s="330">
        <v>0</v>
      </c>
      <c r="T35" s="328">
        <v>0</v>
      </c>
      <c r="U35" s="328">
        <v>0</v>
      </c>
      <c r="V35" s="377">
        <v>0</v>
      </c>
      <c r="W35" s="379">
        <v>0</v>
      </c>
    </row>
    <row r="36" spans="1:23" ht="15">
      <c r="A36" s="157" t="s">
        <v>212</v>
      </c>
      <c r="B36" s="306"/>
      <c r="C36" s="134">
        <v>0</v>
      </c>
      <c r="D36" s="134">
        <v>0</v>
      </c>
      <c r="E36" s="134">
        <v>0</v>
      </c>
      <c r="F36" s="134">
        <v>0</v>
      </c>
      <c r="G36" s="134">
        <v>0</v>
      </c>
      <c r="H36" s="134">
        <v>0</v>
      </c>
      <c r="I36" s="134">
        <v>0</v>
      </c>
      <c r="J36" s="134">
        <v>0</v>
      </c>
      <c r="K36" s="134">
        <v>0</v>
      </c>
      <c r="L36" s="134">
        <v>0</v>
      </c>
      <c r="M36" s="134">
        <v>0</v>
      </c>
      <c r="N36" s="134">
        <v>0</v>
      </c>
      <c r="P36" s="328">
        <v>0</v>
      </c>
      <c r="Q36" s="330">
        <v>0</v>
      </c>
      <c r="R36" s="330">
        <v>0</v>
      </c>
      <c r="S36" s="330">
        <v>0</v>
      </c>
      <c r="T36" s="328">
        <v>0</v>
      </c>
      <c r="U36" s="328">
        <v>0</v>
      </c>
      <c r="V36" s="377">
        <v>0</v>
      </c>
      <c r="W36" s="379">
        <v>0</v>
      </c>
    </row>
    <row r="37" spans="1:23" ht="15">
      <c r="A37" s="157" t="s">
        <v>213</v>
      </c>
      <c r="B37" s="278"/>
      <c r="C37" s="134">
        <v>0</v>
      </c>
      <c r="D37" s="134">
        <v>0</v>
      </c>
      <c r="E37" s="134">
        <v>0</v>
      </c>
      <c r="F37" s="134">
        <v>0</v>
      </c>
      <c r="G37" s="134">
        <v>0</v>
      </c>
      <c r="H37" s="134">
        <v>0</v>
      </c>
      <c r="I37" s="134">
        <v>0</v>
      </c>
      <c r="J37" s="134">
        <v>0</v>
      </c>
      <c r="K37" s="134">
        <v>0</v>
      </c>
      <c r="L37" s="134">
        <v>0</v>
      </c>
      <c r="M37" s="134">
        <v>0</v>
      </c>
      <c r="N37" s="134">
        <v>0</v>
      </c>
      <c r="P37" s="328">
        <v>0</v>
      </c>
      <c r="Q37" s="330">
        <v>0</v>
      </c>
      <c r="R37" s="330">
        <v>0</v>
      </c>
      <c r="S37" s="330">
        <v>0</v>
      </c>
      <c r="T37" s="328">
        <v>0</v>
      </c>
      <c r="U37" s="328">
        <v>0</v>
      </c>
      <c r="V37" s="377">
        <v>0</v>
      </c>
      <c r="W37" s="379">
        <v>0</v>
      </c>
    </row>
    <row r="38" spans="1:23" ht="15">
      <c r="A38" s="157" t="s">
        <v>214</v>
      </c>
      <c r="B38" s="284">
        <f>4135146</f>
        <v>4135146</v>
      </c>
      <c r="C38" s="134">
        <v>11628418.26</v>
      </c>
      <c r="D38" s="134">
        <v>11701183.26</v>
      </c>
      <c r="E38" s="134">
        <v>11969532.380000001</v>
      </c>
      <c r="F38" s="134">
        <v>11642187.380000001</v>
      </c>
      <c r="G38" s="134">
        <v>12007886.130000001</v>
      </c>
      <c r="H38" s="134">
        <v>12019496.130000001</v>
      </c>
      <c r="I38" s="134">
        <v>14030245.130000001</v>
      </c>
      <c r="J38" s="134">
        <v>14181930.380000001</v>
      </c>
      <c r="K38" s="134">
        <v>12758431.880000001</v>
      </c>
      <c r="L38" s="134">
        <v>13117416.380000001</v>
      </c>
      <c r="M38" s="134">
        <v>13441434.779999999</v>
      </c>
      <c r="N38" s="134">
        <v>8020895.0199999996</v>
      </c>
      <c r="O38" s="134">
        <f>1457648</f>
        <v>1457648</v>
      </c>
      <c r="P38" s="329">
        <v>8237847.0199999996</v>
      </c>
      <c r="Q38" s="331">
        <v>8513627.0199999996</v>
      </c>
      <c r="R38" s="331">
        <v>8820303.0199999996</v>
      </c>
      <c r="S38" s="331">
        <v>17917521.579999998</v>
      </c>
      <c r="T38" s="329">
        <v>17687733.75</v>
      </c>
      <c r="U38" s="329">
        <v>17962859.300000001</v>
      </c>
      <c r="V38" s="378">
        <v>18217564.109999999</v>
      </c>
      <c r="W38" s="380">
        <v>18364120.199999999</v>
      </c>
    </row>
    <row r="39" spans="1:23" ht="15">
      <c r="A39" s="157" t="s">
        <v>215</v>
      </c>
      <c r="B39" s="284">
        <v>4375000</v>
      </c>
      <c r="C39" s="134">
        <v>3750000</v>
      </c>
      <c r="D39" s="134">
        <v>3125000</v>
      </c>
      <c r="E39" s="134">
        <v>2500000</v>
      </c>
      <c r="F39" s="134">
        <v>1875000</v>
      </c>
      <c r="G39" s="134">
        <v>1250000</v>
      </c>
      <c r="H39" s="134">
        <v>625000</v>
      </c>
      <c r="I39" s="134">
        <v>0</v>
      </c>
      <c r="J39" s="134">
        <v>0</v>
      </c>
      <c r="K39" s="134">
        <v>0</v>
      </c>
      <c r="L39" s="134">
        <v>0</v>
      </c>
      <c r="M39" s="134">
        <v>0</v>
      </c>
      <c r="N39" s="134">
        <v>0</v>
      </c>
      <c r="P39" s="329">
        <v>5000000</v>
      </c>
      <c r="Q39" s="331">
        <v>4583333.33</v>
      </c>
      <c r="R39" s="331">
        <v>4166666.66</v>
      </c>
      <c r="S39" s="331">
        <v>9749999.9900000002</v>
      </c>
      <c r="T39" s="329">
        <v>8921666.3200000003</v>
      </c>
      <c r="U39" s="329">
        <v>8004999.6500000004</v>
      </c>
      <c r="V39" s="378">
        <v>7088332.9800000004</v>
      </c>
      <c r="W39" s="380">
        <v>6171666.3099999996</v>
      </c>
    </row>
    <row r="40" spans="1:23" s="136" customFormat="1" ht="15.75">
      <c r="A40" s="156" t="s">
        <v>216</v>
      </c>
      <c r="B40" s="283">
        <f t="shared" ref="B40:I40" si="11">B32+B33</f>
        <v>198092720</v>
      </c>
      <c r="C40" s="283">
        <f t="shared" si="11"/>
        <v>197643277.46999997</v>
      </c>
      <c r="D40" s="283">
        <f t="shared" si="11"/>
        <v>201609376.27999997</v>
      </c>
      <c r="E40" s="283">
        <f t="shared" si="11"/>
        <v>213186675.19999999</v>
      </c>
      <c r="F40" s="283">
        <f t="shared" si="11"/>
        <v>207207506.13</v>
      </c>
      <c r="G40" s="283">
        <f t="shared" si="11"/>
        <v>208140136.62</v>
      </c>
      <c r="H40" s="283">
        <f t="shared" si="11"/>
        <v>209320351.64000002</v>
      </c>
      <c r="I40" s="283">
        <f t="shared" si="11"/>
        <v>213915715.35999998</v>
      </c>
      <c r="J40" s="283">
        <f t="shared" ref="J40:W40" si="12">J32+J33</f>
        <v>211833773.58000001</v>
      </c>
      <c r="K40" s="283">
        <f t="shared" si="12"/>
        <v>211001138.90000001</v>
      </c>
      <c r="L40" s="283">
        <f t="shared" si="12"/>
        <v>216304342.57999998</v>
      </c>
      <c r="M40" s="283">
        <f t="shared" si="12"/>
        <v>217756715.40000001</v>
      </c>
      <c r="N40" s="283">
        <f t="shared" si="12"/>
        <v>212165739.24000001</v>
      </c>
      <c r="O40" s="283">
        <f t="shared" si="12"/>
        <v>209427912</v>
      </c>
      <c r="P40" s="283">
        <f t="shared" si="12"/>
        <v>218989157.54000002</v>
      </c>
      <c r="Q40" s="283">
        <f t="shared" si="12"/>
        <v>219306517.04999998</v>
      </c>
      <c r="R40" s="283">
        <f t="shared" si="12"/>
        <v>219764183.56</v>
      </c>
      <c r="S40" s="283">
        <f t="shared" si="12"/>
        <v>240628343.92999998</v>
      </c>
      <c r="T40" s="283">
        <f t="shared" si="12"/>
        <v>234056207.84</v>
      </c>
      <c r="U40" s="283">
        <f t="shared" si="12"/>
        <v>238135797.66000003</v>
      </c>
      <c r="V40" s="283">
        <f t="shared" si="12"/>
        <v>231390999.87</v>
      </c>
      <c r="W40" s="283">
        <f t="shared" si="12"/>
        <v>228871353.92999998</v>
      </c>
    </row>
    <row r="41" spans="1:23">
      <c r="A41" s="164" t="s">
        <v>217</v>
      </c>
      <c r="B41" s="284"/>
    </row>
    <row r="42" spans="1:23" ht="15">
      <c r="A42" s="157" t="s">
        <v>218</v>
      </c>
      <c r="B42" s="284">
        <f>32239051</f>
        <v>32239051</v>
      </c>
      <c r="C42" s="134">
        <v>32547014.190000001</v>
      </c>
      <c r="D42" s="134">
        <v>32672313.789999999</v>
      </c>
      <c r="E42" s="134">
        <v>32758228.34</v>
      </c>
      <c r="F42" s="134">
        <v>32977018.879999999</v>
      </c>
      <c r="G42" s="134">
        <v>33066186.02</v>
      </c>
      <c r="H42" s="134">
        <v>33117206.02</v>
      </c>
      <c r="I42" s="134">
        <v>33172601.02</v>
      </c>
      <c r="J42" s="134">
        <v>33250993.02</v>
      </c>
      <c r="K42" s="134">
        <v>33322014.52</v>
      </c>
      <c r="L42" s="134">
        <v>33385058.82</v>
      </c>
      <c r="M42" s="134">
        <v>33477030.82</v>
      </c>
      <c r="N42" s="134">
        <v>39083431.68</v>
      </c>
      <c r="O42" s="315">
        <f>38883432</f>
        <v>38883432</v>
      </c>
      <c r="P42" s="325">
        <v>39163514.329999998</v>
      </c>
      <c r="Q42" s="327">
        <v>39276555.030000001</v>
      </c>
      <c r="R42" s="327">
        <v>39332467.030000001</v>
      </c>
      <c r="S42" s="327">
        <v>39411108.030000001</v>
      </c>
      <c r="T42" s="325">
        <v>39570143.049999997</v>
      </c>
      <c r="U42" s="325">
        <v>39615935.439999998</v>
      </c>
      <c r="V42" s="374">
        <v>39654601.439999998</v>
      </c>
      <c r="W42" s="376">
        <v>39726614.240000002</v>
      </c>
    </row>
    <row r="43" spans="1:23">
      <c r="A43" s="155" t="s">
        <v>219</v>
      </c>
      <c r="B43" s="278">
        <v>200000</v>
      </c>
      <c r="C43" s="134">
        <v>0</v>
      </c>
      <c r="D43" s="134">
        <v>0</v>
      </c>
      <c r="E43" s="134">
        <v>0</v>
      </c>
      <c r="F43" s="134">
        <v>0</v>
      </c>
      <c r="G43" s="134">
        <v>0</v>
      </c>
      <c r="H43" s="134">
        <v>0</v>
      </c>
      <c r="I43" s="134">
        <v>0</v>
      </c>
      <c r="J43" s="134">
        <v>0</v>
      </c>
      <c r="K43" s="134">
        <v>0</v>
      </c>
      <c r="L43" s="134">
        <v>0</v>
      </c>
      <c r="M43" s="134">
        <v>0</v>
      </c>
      <c r="N43" s="134">
        <v>0</v>
      </c>
      <c r="O43" s="134">
        <v>200000</v>
      </c>
      <c r="P43" s="328">
        <v>0</v>
      </c>
      <c r="Q43" s="330">
        <v>0</v>
      </c>
      <c r="R43" s="330">
        <v>0</v>
      </c>
      <c r="S43" s="330">
        <v>0</v>
      </c>
      <c r="T43" s="328">
        <v>0</v>
      </c>
      <c r="U43" s="328">
        <v>0</v>
      </c>
      <c r="V43" s="377">
        <v>0</v>
      </c>
      <c r="W43" s="379">
        <v>0</v>
      </c>
    </row>
    <row r="44" spans="1:23">
      <c r="A44" s="155"/>
      <c r="B44" s="139"/>
    </row>
    <row r="45" spans="1:23" s="136" customFormat="1" ht="15.75">
      <c r="A45" s="156" t="s">
        <v>120</v>
      </c>
      <c r="B45" s="286">
        <f t="shared" ref="B45:W45" si="13">B47+B46</f>
        <v>7656031</v>
      </c>
      <c r="C45" s="286">
        <f t="shared" si="13"/>
        <v>24235430.129999999</v>
      </c>
      <c r="D45" s="286">
        <f t="shared" si="13"/>
        <v>25326643.260000002</v>
      </c>
      <c r="E45" s="286">
        <f t="shared" si="13"/>
        <v>11003100.74</v>
      </c>
      <c r="F45" s="286">
        <f t="shared" si="13"/>
        <v>12542994.83</v>
      </c>
      <c r="G45" s="286">
        <f t="shared" si="13"/>
        <v>12026171.050000001</v>
      </c>
      <c r="H45" s="286">
        <f t="shared" si="13"/>
        <v>14290859.690000001</v>
      </c>
      <c r="I45" s="286">
        <f t="shared" si="13"/>
        <v>15424814.02</v>
      </c>
      <c r="J45" s="286">
        <f t="shared" si="13"/>
        <v>16101144.559999999</v>
      </c>
      <c r="K45" s="286">
        <f t="shared" si="13"/>
        <v>17380994.690000001</v>
      </c>
      <c r="L45" s="286">
        <f t="shared" si="13"/>
        <v>19068323.489999998</v>
      </c>
      <c r="M45" s="286">
        <f t="shared" si="13"/>
        <v>21284874.969999999</v>
      </c>
      <c r="N45" s="286">
        <f t="shared" si="13"/>
        <v>25403741.530000001</v>
      </c>
      <c r="O45" s="286">
        <f t="shared" si="13"/>
        <v>8289159</v>
      </c>
      <c r="P45" s="286">
        <f t="shared" si="13"/>
        <v>26778260.620000001</v>
      </c>
      <c r="Q45" s="286">
        <f t="shared" si="13"/>
        <v>30442666.91</v>
      </c>
      <c r="R45" s="286">
        <f t="shared" si="13"/>
        <v>28729445.130000003</v>
      </c>
      <c r="S45" s="286">
        <f t="shared" si="13"/>
        <v>14810349.710000001</v>
      </c>
      <c r="T45" s="286">
        <f t="shared" si="13"/>
        <v>15317369.68</v>
      </c>
      <c r="U45" s="286">
        <f t="shared" si="13"/>
        <v>16707606.77</v>
      </c>
      <c r="V45" s="286">
        <f t="shared" si="13"/>
        <v>19321409.759999998</v>
      </c>
      <c r="W45" s="286">
        <f t="shared" si="13"/>
        <v>21030645</v>
      </c>
    </row>
    <row r="46" spans="1:23" ht="15">
      <c r="A46" s="157" t="s">
        <v>220</v>
      </c>
      <c r="B46" s="305">
        <f>7042667</f>
        <v>7042667</v>
      </c>
      <c r="C46" s="134">
        <v>23338913.550000001</v>
      </c>
      <c r="D46" s="134">
        <v>23258001.710000001</v>
      </c>
      <c r="E46" s="134">
        <v>7654650.71</v>
      </c>
      <c r="F46" s="134">
        <v>7654633.71</v>
      </c>
      <c r="G46" s="134">
        <v>7654650.71</v>
      </c>
      <c r="H46" s="134">
        <v>7654650.71</v>
      </c>
      <c r="I46" s="134">
        <v>7654650.71</v>
      </c>
      <c r="J46" s="134">
        <v>7654650.71</v>
      </c>
      <c r="K46" s="134">
        <v>7668450.71</v>
      </c>
      <c r="L46" s="134">
        <v>7668450.71</v>
      </c>
      <c r="M46" s="134">
        <v>7668450.71</v>
      </c>
      <c r="N46" s="134">
        <v>7668450.71</v>
      </c>
      <c r="O46" s="134">
        <f>7656031</f>
        <v>7656031</v>
      </c>
      <c r="P46" s="325">
        <v>25403741.530000001</v>
      </c>
      <c r="Q46" s="327">
        <v>25403741.530000001</v>
      </c>
      <c r="R46" s="327">
        <v>24022919.98</v>
      </c>
      <c r="S46" s="327">
        <v>8449683.9800000004</v>
      </c>
      <c r="T46" s="325">
        <v>8449683.9800000004</v>
      </c>
      <c r="U46" s="325">
        <v>8449683.9800000004</v>
      </c>
      <c r="V46" s="374">
        <v>8449683.9800000004</v>
      </c>
      <c r="W46" s="376">
        <v>8449683.9800000004</v>
      </c>
    </row>
    <row r="47" spans="1:23" ht="15">
      <c r="A47" s="157" t="s">
        <v>221</v>
      </c>
      <c r="B47" s="304">
        <f>7656031-B46</f>
        <v>613364</v>
      </c>
      <c r="C47" s="134">
        <v>896516.58</v>
      </c>
      <c r="D47" s="134">
        <v>2068641.55</v>
      </c>
      <c r="E47" s="134">
        <v>3348450.03</v>
      </c>
      <c r="F47" s="134">
        <v>4888361.12</v>
      </c>
      <c r="G47" s="134">
        <v>4371520.34</v>
      </c>
      <c r="H47" s="134">
        <v>6636208.9800000004</v>
      </c>
      <c r="I47" s="134">
        <v>7770163.3099999996</v>
      </c>
      <c r="J47" s="134">
        <v>8446493.8499999996</v>
      </c>
      <c r="K47" s="134">
        <v>9712543.9800000004</v>
      </c>
      <c r="L47" s="134">
        <v>11399872.779999999</v>
      </c>
      <c r="M47" s="134">
        <v>13616424.26</v>
      </c>
      <c r="N47" s="134">
        <v>17735290.82</v>
      </c>
      <c r="O47" s="134">
        <f>8289159-O46</f>
        <v>633128</v>
      </c>
      <c r="P47" s="329">
        <v>1374519.09</v>
      </c>
      <c r="Q47" s="331">
        <v>5038925.38</v>
      </c>
      <c r="R47" s="331">
        <v>4706525.1500000004</v>
      </c>
      <c r="S47" s="331">
        <v>6360665.7300000004</v>
      </c>
      <c r="T47" s="329">
        <v>6867685.7000000002</v>
      </c>
      <c r="U47" s="329">
        <v>8257922.79</v>
      </c>
      <c r="V47" s="378">
        <v>10871725.779999999</v>
      </c>
      <c r="W47" s="380">
        <v>12580961.02</v>
      </c>
    </row>
    <row r="48" spans="1:23">
      <c r="A48" s="155"/>
      <c r="B48" s="139"/>
      <c r="C48" s="310"/>
    </row>
    <row r="49" spans="1:23" s="136" customFormat="1" ht="15.75">
      <c r="A49" s="156" t="s">
        <v>222</v>
      </c>
      <c r="B49" s="286">
        <f t="shared" ref="B49:W49" si="14">SUM(B50:B54)</f>
        <v>11954879</v>
      </c>
      <c r="C49" s="286">
        <f t="shared" si="14"/>
        <v>7146657</v>
      </c>
      <c r="D49" s="286">
        <f t="shared" si="14"/>
        <v>7147157</v>
      </c>
      <c r="E49" s="286">
        <f t="shared" si="14"/>
        <v>8392669.7400000002</v>
      </c>
      <c r="F49" s="286">
        <f t="shared" si="14"/>
        <v>8391669.7400000002</v>
      </c>
      <c r="G49" s="286">
        <f t="shared" si="14"/>
        <v>8231473.7400000002</v>
      </c>
      <c r="H49" s="286">
        <f t="shared" si="14"/>
        <v>8231973.7400000002</v>
      </c>
      <c r="I49" s="286">
        <f t="shared" si="14"/>
        <v>8230973.7400000002</v>
      </c>
      <c r="J49" s="286">
        <f t="shared" si="14"/>
        <v>8230973.7400000002</v>
      </c>
      <c r="K49" s="286">
        <f t="shared" si="14"/>
        <v>8230973.7400000002</v>
      </c>
      <c r="L49" s="286">
        <f t="shared" si="14"/>
        <v>8230973.7400000002</v>
      </c>
      <c r="M49" s="286">
        <f t="shared" si="14"/>
        <v>8230973.7400000002</v>
      </c>
      <c r="N49" s="286">
        <f t="shared" si="14"/>
        <v>8230973.7400000002</v>
      </c>
      <c r="O49" s="286">
        <f t="shared" si="14"/>
        <v>11825634</v>
      </c>
      <c r="P49" s="286">
        <f t="shared" si="14"/>
        <v>8430973.7400000002</v>
      </c>
      <c r="Q49" s="286">
        <f t="shared" si="14"/>
        <v>8430973.7400000002</v>
      </c>
      <c r="R49" s="286">
        <f t="shared" si="14"/>
        <v>8430973.7400000002</v>
      </c>
      <c r="S49" s="286">
        <f t="shared" si="14"/>
        <v>9473534.0999999996</v>
      </c>
      <c r="T49" s="286">
        <f t="shared" si="14"/>
        <v>9252688.5500000007</v>
      </c>
      <c r="U49" s="286">
        <f t="shared" si="14"/>
        <v>9249977.5</v>
      </c>
      <c r="V49" s="286">
        <f t="shared" si="14"/>
        <v>9234625.8300000001</v>
      </c>
      <c r="W49" s="286">
        <f t="shared" si="14"/>
        <v>9234613.7899999991</v>
      </c>
    </row>
    <row r="50" spans="1:23" ht="15">
      <c r="A50" s="157" t="s">
        <v>223</v>
      </c>
      <c r="B50" s="304">
        <f>6730974</f>
        <v>6730974</v>
      </c>
      <c r="C50" s="134">
        <v>0</v>
      </c>
      <c r="D50" s="134">
        <v>0</v>
      </c>
      <c r="E50" s="134">
        <v>0</v>
      </c>
      <c r="F50" s="134">
        <v>0</v>
      </c>
      <c r="G50" s="134">
        <v>0</v>
      </c>
      <c r="H50" s="134">
        <v>0</v>
      </c>
      <c r="I50" s="134">
        <v>0</v>
      </c>
      <c r="J50" s="134">
        <v>8230973.7400000002</v>
      </c>
      <c r="K50" s="134">
        <v>0</v>
      </c>
      <c r="L50" s="134">
        <v>0</v>
      </c>
      <c r="M50" s="134">
        <v>0</v>
      </c>
      <c r="N50" s="134">
        <v>0</v>
      </c>
      <c r="O50" s="134">
        <f>7534048</f>
        <v>7534048</v>
      </c>
      <c r="P50" s="324">
        <v>0</v>
      </c>
      <c r="Q50" s="326">
        <v>0</v>
      </c>
      <c r="R50" s="327">
        <v>8430973.7400000002</v>
      </c>
      <c r="S50" s="326">
        <v>0</v>
      </c>
      <c r="T50" s="324">
        <v>0</v>
      </c>
      <c r="U50" s="324">
        <v>0</v>
      </c>
      <c r="V50" s="373">
        <v>0</v>
      </c>
      <c r="W50" s="375">
        <v>0</v>
      </c>
    </row>
    <row r="51" spans="1:23" ht="15">
      <c r="A51" s="157" t="s">
        <v>224</v>
      </c>
      <c r="B51" s="305"/>
      <c r="C51" s="134">
        <v>7146657</v>
      </c>
      <c r="D51" s="134">
        <v>7147157</v>
      </c>
      <c r="E51" s="134">
        <v>8392669.7400000002</v>
      </c>
      <c r="F51" s="134">
        <v>8391669.7400000002</v>
      </c>
      <c r="G51" s="134">
        <v>8231473.7400000002</v>
      </c>
      <c r="H51" s="134">
        <v>8231973.7400000002</v>
      </c>
      <c r="I51" s="134">
        <v>8230973.7400000002</v>
      </c>
      <c r="J51" s="134">
        <v>0</v>
      </c>
      <c r="K51" s="134">
        <v>8230973.7400000002</v>
      </c>
      <c r="L51" s="134">
        <v>8230973.7400000002</v>
      </c>
      <c r="M51" s="134">
        <v>8230973.7400000002</v>
      </c>
      <c r="N51" s="134">
        <v>8230973.7400000002</v>
      </c>
      <c r="P51" s="329">
        <v>8430973.7400000002</v>
      </c>
      <c r="Q51" s="331">
        <v>8430973.7400000002</v>
      </c>
      <c r="R51" s="330">
        <v>0</v>
      </c>
      <c r="S51" s="331">
        <v>9473534.0999999996</v>
      </c>
      <c r="T51" s="329">
        <v>9252688.5500000007</v>
      </c>
      <c r="U51" s="329">
        <v>9249977.5</v>
      </c>
      <c r="V51" s="378">
        <v>9234625.8300000001</v>
      </c>
      <c r="W51" s="380">
        <v>9234613.7899999991</v>
      </c>
    </row>
    <row r="52" spans="1:23" ht="15">
      <c r="A52" s="157" t="s">
        <v>225</v>
      </c>
      <c r="B52" s="321">
        <v>1500000</v>
      </c>
      <c r="C52" s="134">
        <v>0</v>
      </c>
      <c r="D52" s="134">
        <v>0</v>
      </c>
      <c r="E52" s="134">
        <v>0</v>
      </c>
      <c r="F52" s="134">
        <v>0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4">
        <v>0</v>
      </c>
      <c r="M52" s="134">
        <v>0</v>
      </c>
      <c r="N52" s="134">
        <v>0</v>
      </c>
      <c r="O52" s="315">
        <v>1700000</v>
      </c>
      <c r="P52" s="328">
        <v>0</v>
      </c>
      <c r="Q52" s="330">
        <v>0</v>
      </c>
      <c r="R52" s="330">
        <v>0</v>
      </c>
      <c r="S52" s="330">
        <v>0</v>
      </c>
      <c r="T52" s="328">
        <v>0</v>
      </c>
      <c r="U52" s="328">
        <v>0</v>
      </c>
      <c r="V52" s="377">
        <v>0</v>
      </c>
      <c r="W52" s="379">
        <v>0</v>
      </c>
    </row>
    <row r="53" spans="1:23" ht="15">
      <c r="A53" s="157" t="s">
        <v>128</v>
      </c>
      <c r="B53" s="305">
        <f>3223905+500000</f>
        <v>3723905</v>
      </c>
      <c r="C53" s="134">
        <v>0</v>
      </c>
      <c r="D53" s="134">
        <v>0</v>
      </c>
      <c r="E53" s="134">
        <v>0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4">
        <v>0</v>
      </c>
      <c r="L53" s="134">
        <v>0</v>
      </c>
      <c r="M53" s="134">
        <v>0</v>
      </c>
      <c r="N53" s="134">
        <v>0</v>
      </c>
      <c r="O53" s="134">
        <f>2333006+258580</f>
        <v>2591586</v>
      </c>
      <c r="P53" s="328">
        <v>0</v>
      </c>
      <c r="Q53" s="330">
        <v>0</v>
      </c>
      <c r="R53" s="330">
        <v>0</v>
      </c>
      <c r="S53" s="330">
        <v>0</v>
      </c>
      <c r="T53" s="328">
        <v>0</v>
      </c>
      <c r="U53" s="328">
        <v>0</v>
      </c>
      <c r="V53" s="377">
        <v>0</v>
      </c>
      <c r="W53" s="379">
        <v>0</v>
      </c>
    </row>
    <row r="54" spans="1:23" ht="15">
      <c r="A54" s="157" t="s">
        <v>226</v>
      </c>
      <c r="B54" s="284"/>
      <c r="C54" s="134">
        <v>0</v>
      </c>
      <c r="D54" s="134">
        <v>0</v>
      </c>
      <c r="E54" s="134">
        <v>0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4">
        <v>0</v>
      </c>
      <c r="M54" s="134">
        <v>0</v>
      </c>
      <c r="N54" s="134">
        <v>0</v>
      </c>
      <c r="P54" s="328">
        <v>0</v>
      </c>
      <c r="Q54" s="330">
        <v>0</v>
      </c>
      <c r="R54" s="330">
        <v>0</v>
      </c>
      <c r="S54" s="330">
        <v>0</v>
      </c>
      <c r="T54" s="328">
        <v>0</v>
      </c>
      <c r="U54" s="328">
        <v>0</v>
      </c>
      <c r="V54" s="377">
        <v>0</v>
      </c>
      <c r="W54" s="379">
        <v>0</v>
      </c>
    </row>
    <row r="55" spans="1:23" s="136" customFormat="1" ht="15.75">
      <c r="A55" s="156" t="s">
        <v>227</v>
      </c>
      <c r="B55" s="279">
        <f>B42+B43+B45+B49</f>
        <v>52049961</v>
      </c>
      <c r="C55" s="279">
        <f>C42+C43+C45+C49</f>
        <v>63929101.32</v>
      </c>
      <c r="D55" s="279">
        <f t="shared" ref="D55:T55" si="15">D42+D43+D45+D49</f>
        <v>65146114.049999997</v>
      </c>
      <c r="E55" s="279">
        <f t="shared" si="15"/>
        <v>52153998.82</v>
      </c>
      <c r="F55" s="279">
        <f t="shared" si="15"/>
        <v>53911683.450000003</v>
      </c>
      <c r="G55" s="279">
        <f t="shared" si="15"/>
        <v>53323830.810000002</v>
      </c>
      <c r="H55" s="279">
        <f t="shared" si="15"/>
        <v>55640039.450000003</v>
      </c>
      <c r="I55" s="279">
        <f t="shared" si="15"/>
        <v>56828388.780000001</v>
      </c>
      <c r="J55" s="279">
        <f t="shared" si="15"/>
        <v>57583111.32</v>
      </c>
      <c r="K55" s="279">
        <f t="shared" si="15"/>
        <v>58933982.950000003</v>
      </c>
      <c r="L55" s="279">
        <f t="shared" si="15"/>
        <v>60684356.050000004</v>
      </c>
      <c r="M55" s="279">
        <f t="shared" si="15"/>
        <v>62992879.530000001</v>
      </c>
      <c r="N55" s="279">
        <f t="shared" si="15"/>
        <v>72718146.950000003</v>
      </c>
      <c r="O55" s="279">
        <f t="shared" si="15"/>
        <v>59198225</v>
      </c>
      <c r="P55" s="279">
        <f t="shared" si="15"/>
        <v>74372748.689999998</v>
      </c>
      <c r="Q55" s="279">
        <f t="shared" si="15"/>
        <v>78150195.679999992</v>
      </c>
      <c r="R55" s="279">
        <f t="shared" si="15"/>
        <v>76492885.899999991</v>
      </c>
      <c r="S55" s="279">
        <f t="shared" si="15"/>
        <v>63694991.840000004</v>
      </c>
      <c r="T55" s="279">
        <f t="shared" ref="T55:W55" si="16">T42+T43+T45+T49</f>
        <v>64140201.280000001</v>
      </c>
      <c r="U55" s="279">
        <f t="shared" si="16"/>
        <v>65573519.709999993</v>
      </c>
      <c r="V55" s="279">
        <f t="shared" si="16"/>
        <v>68210637.030000001</v>
      </c>
      <c r="W55" s="279">
        <f t="shared" si="16"/>
        <v>69991873.030000001</v>
      </c>
    </row>
    <row r="56" spans="1:23" s="136" customFormat="1" ht="15.75">
      <c r="A56" s="156" t="s">
        <v>228</v>
      </c>
      <c r="B56" s="275">
        <f t="shared" ref="B56:T56" si="17">B40+B55</f>
        <v>250142681</v>
      </c>
      <c r="C56" s="275">
        <f t="shared" si="17"/>
        <v>261572378.78999996</v>
      </c>
      <c r="D56" s="275">
        <f t="shared" si="17"/>
        <v>266755490.32999998</v>
      </c>
      <c r="E56" s="275">
        <f t="shared" si="17"/>
        <v>265340674.01999998</v>
      </c>
      <c r="F56" s="275">
        <f t="shared" si="17"/>
        <v>261119189.57999998</v>
      </c>
      <c r="G56" s="275">
        <f t="shared" si="17"/>
        <v>261463967.43000001</v>
      </c>
      <c r="H56" s="275">
        <f t="shared" si="17"/>
        <v>264960391.09000003</v>
      </c>
      <c r="I56" s="275">
        <f t="shared" si="17"/>
        <v>270744104.13999999</v>
      </c>
      <c r="J56" s="275">
        <f t="shared" si="17"/>
        <v>269416884.90000004</v>
      </c>
      <c r="K56" s="275">
        <f t="shared" si="17"/>
        <v>269935121.85000002</v>
      </c>
      <c r="L56" s="275">
        <f t="shared" si="17"/>
        <v>276988698.63</v>
      </c>
      <c r="M56" s="275">
        <f t="shared" si="17"/>
        <v>280749594.93000001</v>
      </c>
      <c r="N56" s="275">
        <f t="shared" si="17"/>
        <v>284883886.19</v>
      </c>
      <c r="O56" s="275">
        <f t="shared" si="17"/>
        <v>268626137</v>
      </c>
      <c r="P56" s="275">
        <f t="shared" si="17"/>
        <v>293361906.23000002</v>
      </c>
      <c r="Q56" s="275">
        <f t="shared" si="17"/>
        <v>297456712.72999996</v>
      </c>
      <c r="R56" s="275">
        <f t="shared" si="17"/>
        <v>296257069.45999998</v>
      </c>
      <c r="S56" s="275">
        <f t="shared" si="17"/>
        <v>304323335.76999998</v>
      </c>
      <c r="T56" s="275">
        <f t="shared" ref="T56:W56" si="18">T40+T55</f>
        <v>298196409.12</v>
      </c>
      <c r="U56" s="275">
        <f t="shared" si="18"/>
        <v>303709317.37</v>
      </c>
      <c r="V56" s="275">
        <f t="shared" si="18"/>
        <v>299601636.89999998</v>
      </c>
      <c r="W56" s="275">
        <f t="shared" si="18"/>
        <v>298863226.95999998</v>
      </c>
    </row>
    <row r="57" spans="1:23" ht="15.75">
      <c r="A57" s="138"/>
      <c r="B57" s="188"/>
      <c r="C57" s="310"/>
    </row>
    <row r="58" spans="1:23">
      <c r="B58" s="310">
        <f>B27-B56</f>
        <v>0</v>
      </c>
      <c r="N58" s="320">
        <f>N27-N56</f>
        <v>-467379</v>
      </c>
      <c r="O58" s="320">
        <f>O56-O27</f>
        <v>0</v>
      </c>
      <c r="P58" s="320">
        <f t="shared" ref="P58:U58" si="19">P56-P27</f>
        <v>487379</v>
      </c>
      <c r="Q58" s="320">
        <f t="shared" si="19"/>
        <v>487378.9999999404</v>
      </c>
      <c r="R58" s="320">
        <f t="shared" si="19"/>
        <v>487379.5</v>
      </c>
      <c r="S58" s="320">
        <f t="shared" si="19"/>
        <v>487379</v>
      </c>
      <c r="T58" s="320">
        <f t="shared" si="19"/>
        <v>488379</v>
      </c>
      <c r="U58" s="320">
        <f t="shared" si="19"/>
        <v>487379</v>
      </c>
    </row>
  </sheetData>
  <pageMargins left="0.7" right="0.7" top="0.75" bottom="0.75" header="0.3" footer="0.3"/>
  <pageSetup scale="2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39"/>
  <sheetViews>
    <sheetView topLeftCell="A13" zoomScale="80" zoomScaleNormal="80" zoomScaleSheetLayoutView="100" workbookViewId="0">
      <pane xSplit="1" topLeftCell="P13" activePane="topRight" state="frozen"/>
      <selection pane="topRight" activeCell="U7" sqref="U7:W7"/>
    </sheetView>
  </sheetViews>
  <sheetFormatPr defaultRowHeight="14.25"/>
  <cols>
    <col min="1" max="1" width="44.42578125" style="159" bestFit="1" customWidth="1"/>
    <col min="2" max="2" width="21.42578125" style="159" customWidth="1"/>
    <col min="3" max="4" width="15.140625" style="159" hidden="1" customWidth="1"/>
    <col min="5" max="5" width="16.28515625" style="159" hidden="1" customWidth="1"/>
    <col min="6" max="13" width="16.7109375" style="159" hidden="1" customWidth="1"/>
    <col min="14" max="14" width="16.7109375" style="159" bestFit="1" customWidth="1"/>
    <col min="15" max="15" width="17.5703125" style="159" bestFit="1" customWidth="1"/>
    <col min="16" max="16" width="16.5703125" style="159" bestFit="1" customWidth="1"/>
    <col min="17" max="17" width="18.85546875" style="159" customWidth="1"/>
    <col min="18" max="18" width="16.85546875" style="159" customWidth="1"/>
    <col min="19" max="19" width="18.42578125" style="159" customWidth="1"/>
    <col min="20" max="20" width="18" style="159" customWidth="1"/>
    <col min="21" max="21" width="14.7109375" style="159" customWidth="1"/>
    <col min="22" max="22" width="17.85546875" style="159" customWidth="1"/>
    <col min="23" max="23" width="17.28515625" style="159" customWidth="1"/>
    <col min="24" max="16384" width="9.140625" style="159"/>
  </cols>
  <sheetData>
    <row r="1" spans="1:24">
      <c r="A1" s="158" t="s">
        <v>13</v>
      </c>
    </row>
    <row r="2" spans="1:24">
      <c r="A2" s="158" t="s">
        <v>229</v>
      </c>
      <c r="B2" s="291" t="s">
        <v>17</v>
      </c>
      <c r="C2" s="312">
        <v>44562</v>
      </c>
      <c r="D2" s="312">
        <v>44593</v>
      </c>
      <c r="E2" s="312">
        <v>44621</v>
      </c>
      <c r="F2" s="312">
        <v>44652</v>
      </c>
      <c r="G2" s="312">
        <v>44682</v>
      </c>
      <c r="H2" s="312">
        <v>44713</v>
      </c>
      <c r="I2" s="312">
        <v>44743</v>
      </c>
      <c r="J2" s="312">
        <v>44774</v>
      </c>
      <c r="K2" s="312">
        <v>44805</v>
      </c>
      <c r="L2" s="312">
        <v>44835</v>
      </c>
      <c r="M2" s="312">
        <v>44866</v>
      </c>
      <c r="N2" s="312">
        <v>44896</v>
      </c>
      <c r="O2" s="312" t="s">
        <v>18</v>
      </c>
      <c r="P2" s="312">
        <v>44949</v>
      </c>
      <c r="Q2" s="312">
        <v>44980</v>
      </c>
      <c r="R2" s="312">
        <v>45008</v>
      </c>
      <c r="S2" s="312">
        <v>45039</v>
      </c>
      <c r="T2" s="312">
        <v>45069</v>
      </c>
      <c r="U2" s="312">
        <v>45100</v>
      </c>
      <c r="V2" s="312">
        <v>45130</v>
      </c>
      <c r="W2" s="312">
        <v>45161</v>
      </c>
      <c r="X2" s="311"/>
    </row>
    <row r="3" spans="1:24" s="161" customFormat="1" ht="15">
      <c r="A3" s="160" t="s">
        <v>230</v>
      </c>
      <c r="B3" s="296">
        <f t="shared" ref="B3:I3" si="0">B4+B7</f>
        <v>37488109</v>
      </c>
      <c r="C3" s="296">
        <f t="shared" si="0"/>
        <v>2874057.63</v>
      </c>
      <c r="D3" s="296">
        <f t="shared" si="0"/>
        <v>5572732.5800000001</v>
      </c>
      <c r="E3" s="296">
        <f t="shared" si="0"/>
        <v>8819043.040000001</v>
      </c>
      <c r="F3" s="296">
        <f t="shared" si="0"/>
        <v>11923967.119999999</v>
      </c>
      <c r="G3" s="296">
        <f t="shared" si="0"/>
        <v>15297125.390000001</v>
      </c>
      <c r="H3" s="296">
        <f t="shared" si="0"/>
        <v>19743281.899999999</v>
      </c>
      <c r="I3" s="296">
        <f t="shared" si="0"/>
        <v>22916419.229999997</v>
      </c>
      <c r="J3" s="296">
        <f t="shared" ref="J3:T3" si="1">J4+J7</f>
        <v>25956562.77</v>
      </c>
      <c r="K3" s="296">
        <f t="shared" si="1"/>
        <v>29308271.950000003</v>
      </c>
      <c r="L3" s="296">
        <f t="shared" si="1"/>
        <v>33246295.699999999</v>
      </c>
      <c r="M3" s="296">
        <f t="shared" si="1"/>
        <v>37554894.18</v>
      </c>
      <c r="N3" s="296">
        <f t="shared" si="1"/>
        <v>44172907.789999999</v>
      </c>
      <c r="O3" s="296">
        <f t="shared" si="1"/>
        <v>44172907</v>
      </c>
      <c r="P3" s="296">
        <f t="shared" si="1"/>
        <v>3554752.25</v>
      </c>
      <c r="Q3" s="296">
        <f t="shared" si="1"/>
        <v>10145112.639999999</v>
      </c>
      <c r="R3" s="296">
        <f t="shared" si="1"/>
        <v>11649052.140000001</v>
      </c>
      <c r="S3" s="296">
        <f t="shared" si="1"/>
        <v>15202262.75</v>
      </c>
      <c r="T3" s="296">
        <f t="shared" si="1"/>
        <v>18761954.27</v>
      </c>
      <c r="U3" s="296">
        <f t="shared" ref="U3:W3" si="2">U4+U7</f>
        <v>22566580.689999998</v>
      </c>
      <c r="V3" s="296">
        <f t="shared" si="2"/>
        <v>27067535.68</v>
      </c>
      <c r="W3" s="296">
        <f t="shared" si="2"/>
        <v>30560464.439999998</v>
      </c>
    </row>
    <row r="4" spans="1:24" s="162" customFormat="1" ht="15">
      <c r="A4" s="156" t="s">
        <v>231</v>
      </c>
      <c r="B4" s="296">
        <f>SUM(B5:B6)</f>
        <v>33124180</v>
      </c>
      <c r="C4" s="296">
        <f t="shared" ref="C4:T4" si="3">SUM(C5:C6)</f>
        <v>2785070.4499999997</v>
      </c>
      <c r="D4" s="296">
        <f t="shared" si="3"/>
        <v>5397465.9199999999</v>
      </c>
      <c r="E4" s="296">
        <f t="shared" si="3"/>
        <v>8522774.2800000012</v>
      </c>
      <c r="F4" s="296">
        <f t="shared" si="3"/>
        <v>9872564.0099999998</v>
      </c>
      <c r="G4" s="296">
        <f t="shared" si="3"/>
        <v>12680622.33</v>
      </c>
      <c r="H4" s="296">
        <f t="shared" si="3"/>
        <v>15643377.25</v>
      </c>
      <c r="I4" s="296">
        <f t="shared" si="3"/>
        <v>18266935.439999998</v>
      </c>
      <c r="J4" s="296">
        <f t="shared" si="3"/>
        <v>20669849.34</v>
      </c>
      <c r="K4" s="296">
        <f t="shared" si="3"/>
        <v>23375348.420000002</v>
      </c>
      <c r="L4" s="296">
        <f t="shared" si="3"/>
        <v>26670818.759999998</v>
      </c>
      <c r="M4" s="296">
        <f t="shared" si="3"/>
        <v>29909233.350000001</v>
      </c>
      <c r="N4" s="296">
        <f t="shared" si="3"/>
        <v>32661128.989999998</v>
      </c>
      <c r="O4" s="296">
        <f t="shared" si="3"/>
        <v>33633282</v>
      </c>
      <c r="P4" s="296">
        <f t="shared" si="3"/>
        <v>2978873.84</v>
      </c>
      <c r="Q4" s="296">
        <f t="shared" si="3"/>
        <v>8570960.8599999994</v>
      </c>
      <c r="R4" s="296">
        <f t="shared" si="3"/>
        <v>9693168.0600000005</v>
      </c>
      <c r="S4" s="296">
        <f t="shared" si="3"/>
        <v>12640590.82</v>
      </c>
      <c r="T4" s="296">
        <f t="shared" si="3"/>
        <v>15552469.27</v>
      </c>
      <c r="U4" s="296">
        <f t="shared" ref="U4:W4" si="4">SUM(U5:U6)</f>
        <v>18793589.609999999</v>
      </c>
      <c r="V4" s="296">
        <f t="shared" si="4"/>
        <v>22407379.329999998</v>
      </c>
      <c r="W4" s="296">
        <f t="shared" si="4"/>
        <v>25459500.969999999</v>
      </c>
    </row>
    <row r="5" spans="1:24" ht="15">
      <c r="A5" s="157" t="s">
        <v>232</v>
      </c>
      <c r="B5" s="295">
        <f>26538293</f>
        <v>26538293</v>
      </c>
      <c r="C5" s="159">
        <v>2274473.0499999998</v>
      </c>
      <c r="D5" s="159">
        <v>3752249.62</v>
      </c>
      <c r="E5" s="159">
        <v>6051104.2800000003</v>
      </c>
      <c r="F5" s="159">
        <v>8047045.0099999998</v>
      </c>
      <c r="G5" s="159">
        <v>10096914.33</v>
      </c>
      <c r="H5" s="159">
        <v>12090353.550000001</v>
      </c>
      <c r="I5" s="159">
        <v>14064466.939999999</v>
      </c>
      <c r="J5" s="159">
        <v>15917636.039999999</v>
      </c>
      <c r="K5" s="159">
        <v>17881050.420000002</v>
      </c>
      <c r="L5" s="159">
        <v>20012477.559999999</v>
      </c>
      <c r="M5" s="159">
        <v>22258157.050000001</v>
      </c>
      <c r="N5" s="159">
        <v>24336179.289999999</v>
      </c>
      <c r="O5" s="313">
        <f>24336179</f>
        <v>24336179</v>
      </c>
      <c r="P5" s="333">
        <v>2363783.94</v>
      </c>
      <c r="Q5" s="335">
        <v>6647319.6600000001</v>
      </c>
      <c r="R5" s="335">
        <v>7393428.96</v>
      </c>
      <c r="S5" s="335">
        <v>9818921.6199999992</v>
      </c>
      <c r="T5" s="333">
        <v>12146246.869999999</v>
      </c>
      <c r="U5" s="333">
        <v>14434188.310000001</v>
      </c>
      <c r="V5" s="382">
        <v>16928091.129999999</v>
      </c>
      <c r="W5" s="384">
        <v>19390871.57</v>
      </c>
    </row>
    <row r="6" spans="1:24" ht="15">
      <c r="A6" s="157" t="s">
        <v>233</v>
      </c>
      <c r="B6" s="299">
        <f>560854+147914+357803+4090980+665900+762436</f>
        <v>6585887</v>
      </c>
      <c r="C6" s="159">
        <v>510597.4</v>
      </c>
      <c r="D6" s="159">
        <v>1645216.3</v>
      </c>
      <c r="E6" s="159">
        <v>2471670</v>
      </c>
      <c r="F6" s="159">
        <v>1825519</v>
      </c>
      <c r="G6" s="159">
        <v>2583708</v>
      </c>
      <c r="H6" s="159">
        <v>3553023.7</v>
      </c>
      <c r="I6" s="159">
        <v>4202468.5</v>
      </c>
      <c r="J6" s="159">
        <v>4752213.3</v>
      </c>
      <c r="K6" s="159">
        <v>5494298</v>
      </c>
      <c r="L6" s="159">
        <v>6658341.2000000002</v>
      </c>
      <c r="M6" s="159">
        <v>7651076.2999999998</v>
      </c>
      <c r="N6" s="159">
        <v>8324949.7000000002</v>
      </c>
      <c r="O6" s="313">
        <f>549073+11114+38502+373464+4669620+751100+2904230</f>
        <v>9297103</v>
      </c>
      <c r="P6" s="337">
        <v>615089.9</v>
      </c>
      <c r="Q6" s="339">
        <v>1923641.2</v>
      </c>
      <c r="R6" s="339">
        <v>2299739.1</v>
      </c>
      <c r="S6" s="339">
        <v>2821669.2</v>
      </c>
      <c r="T6" s="337">
        <v>3406222.4</v>
      </c>
      <c r="U6" s="337">
        <v>4359401.3</v>
      </c>
      <c r="V6" s="386">
        <v>5479288.2000000002</v>
      </c>
      <c r="W6" s="388">
        <v>6068629.4000000004</v>
      </c>
    </row>
    <row r="7" spans="1:24" s="162" customFormat="1" ht="15">
      <c r="A7" s="156" t="s">
        <v>234</v>
      </c>
      <c r="B7" s="296">
        <f t="shared" ref="B7:W7" si="5">SUM(B8:B11)</f>
        <v>4363929</v>
      </c>
      <c r="C7" s="296">
        <f t="shared" si="5"/>
        <v>88987.18</v>
      </c>
      <c r="D7" s="296">
        <f t="shared" si="5"/>
        <v>175266.66</v>
      </c>
      <c r="E7" s="296">
        <f t="shared" si="5"/>
        <v>296268.76</v>
      </c>
      <c r="F7" s="296">
        <f t="shared" si="5"/>
        <v>2051403.1099999999</v>
      </c>
      <c r="G7" s="296">
        <f t="shared" si="5"/>
        <v>2616503.06</v>
      </c>
      <c r="H7" s="296">
        <f t="shared" si="5"/>
        <v>4099904.65</v>
      </c>
      <c r="I7" s="296">
        <f t="shared" si="5"/>
        <v>4649483.79</v>
      </c>
      <c r="J7" s="296">
        <f t="shared" si="5"/>
        <v>5286713.43</v>
      </c>
      <c r="K7" s="296">
        <f t="shared" si="5"/>
        <v>5932923.5300000003</v>
      </c>
      <c r="L7" s="296">
        <f t="shared" si="5"/>
        <v>6575476.9400000004</v>
      </c>
      <c r="M7" s="296">
        <f t="shared" si="5"/>
        <v>7645660.8300000001</v>
      </c>
      <c r="N7" s="296">
        <f t="shared" si="5"/>
        <v>11511778.800000001</v>
      </c>
      <c r="O7" s="296">
        <f t="shared" si="5"/>
        <v>10539625</v>
      </c>
      <c r="P7" s="296">
        <f t="shared" si="5"/>
        <v>575878.41</v>
      </c>
      <c r="Q7" s="296">
        <f t="shared" si="5"/>
        <v>1574151.78</v>
      </c>
      <c r="R7" s="296">
        <f t="shared" si="5"/>
        <v>1955884.08</v>
      </c>
      <c r="S7" s="296">
        <f t="shared" si="5"/>
        <v>2561671.9300000002</v>
      </c>
      <c r="T7" s="296">
        <f t="shared" si="5"/>
        <v>3209485</v>
      </c>
      <c r="U7" s="296">
        <f t="shared" si="5"/>
        <v>3772991.08</v>
      </c>
      <c r="V7" s="296">
        <f t="shared" si="5"/>
        <v>4660156.3499999996</v>
      </c>
      <c r="W7" s="296">
        <f t="shared" si="5"/>
        <v>5100963.47</v>
      </c>
    </row>
    <row r="8" spans="1:24" ht="15">
      <c r="A8" s="157" t="s">
        <v>235</v>
      </c>
      <c r="B8" s="186">
        <v>0</v>
      </c>
      <c r="C8" s="319">
        <v>0</v>
      </c>
      <c r="D8" s="319">
        <v>0</v>
      </c>
      <c r="E8" s="319">
        <v>0</v>
      </c>
      <c r="F8" s="319">
        <v>0</v>
      </c>
      <c r="G8" s="319">
        <v>0</v>
      </c>
      <c r="H8" s="319">
        <v>0</v>
      </c>
      <c r="I8" s="319">
        <v>0</v>
      </c>
      <c r="J8" s="319">
        <v>0</v>
      </c>
      <c r="K8" s="319">
        <v>0</v>
      </c>
      <c r="L8" s="319">
        <v>0</v>
      </c>
      <c r="M8" s="319">
        <v>0</v>
      </c>
      <c r="N8" s="319">
        <v>0</v>
      </c>
      <c r="P8" s="332">
        <v>0</v>
      </c>
      <c r="Q8" s="334">
        <v>0</v>
      </c>
      <c r="R8" s="334">
        <v>0</v>
      </c>
      <c r="S8" s="334">
        <v>0</v>
      </c>
      <c r="T8" s="332">
        <v>0</v>
      </c>
      <c r="U8" s="332">
        <v>0</v>
      </c>
      <c r="V8" s="381">
        <v>0</v>
      </c>
      <c r="W8" s="383">
        <v>0</v>
      </c>
    </row>
    <row r="9" spans="1:24" ht="15">
      <c r="A9" s="157" t="s">
        <v>236</v>
      </c>
      <c r="B9" s="186">
        <v>0</v>
      </c>
      <c r="C9" s="319">
        <v>0</v>
      </c>
      <c r="D9" s="319">
        <v>0</v>
      </c>
      <c r="E9" s="319">
        <v>0</v>
      </c>
      <c r="F9" s="319">
        <v>0</v>
      </c>
      <c r="G9" s="319">
        <v>0</v>
      </c>
      <c r="H9" s="319">
        <v>0</v>
      </c>
      <c r="I9" s="319">
        <v>0</v>
      </c>
      <c r="J9" s="319">
        <v>0</v>
      </c>
      <c r="K9" s="319">
        <v>0</v>
      </c>
      <c r="L9" s="319">
        <v>0</v>
      </c>
      <c r="M9" s="319">
        <v>0</v>
      </c>
      <c r="N9" s="319">
        <v>0</v>
      </c>
      <c r="P9" s="336">
        <v>0</v>
      </c>
      <c r="Q9" s="338">
        <v>0</v>
      </c>
      <c r="R9" s="338">
        <v>0</v>
      </c>
      <c r="S9" s="338">
        <v>0</v>
      </c>
      <c r="T9" s="336">
        <v>0</v>
      </c>
      <c r="U9" s="336">
        <v>0</v>
      </c>
      <c r="V9" s="385">
        <v>0</v>
      </c>
      <c r="W9" s="387">
        <v>0</v>
      </c>
    </row>
    <row r="10" spans="1:24" ht="29.25">
      <c r="A10" s="157" t="s">
        <v>237</v>
      </c>
      <c r="B10" s="300"/>
      <c r="C10" s="319">
        <v>0</v>
      </c>
      <c r="D10" s="319">
        <v>0</v>
      </c>
      <c r="E10" s="319">
        <v>0</v>
      </c>
      <c r="F10" s="319">
        <v>1643394.15</v>
      </c>
      <c r="G10" s="319">
        <v>2100760.63</v>
      </c>
      <c r="H10" s="319">
        <v>3455248.82</v>
      </c>
      <c r="I10" s="319">
        <v>0</v>
      </c>
      <c r="J10" s="319">
        <v>0</v>
      </c>
      <c r="K10" s="319">
        <v>0</v>
      </c>
      <c r="L10" s="319">
        <v>0</v>
      </c>
      <c r="M10" s="319">
        <v>0</v>
      </c>
      <c r="N10" s="319">
        <v>0</v>
      </c>
      <c r="O10" s="159">
        <f>755827</f>
        <v>755827</v>
      </c>
      <c r="P10" s="336">
        <v>0</v>
      </c>
      <c r="Q10" s="338">
        <v>0</v>
      </c>
      <c r="R10" s="338">
        <v>0</v>
      </c>
      <c r="S10" s="338">
        <v>0</v>
      </c>
      <c r="T10" s="336">
        <v>0</v>
      </c>
      <c r="U10" s="336">
        <v>0</v>
      </c>
      <c r="V10" s="385">
        <v>0</v>
      </c>
      <c r="W10" s="387">
        <v>0</v>
      </c>
    </row>
    <row r="11" spans="1:24" ht="29.25">
      <c r="A11" s="157" t="s">
        <v>238</v>
      </c>
      <c r="B11" s="300">
        <f>10949816-B6</f>
        <v>4363929</v>
      </c>
      <c r="C11" s="159">
        <v>88987.18</v>
      </c>
      <c r="D11" s="159">
        <v>175266.66</v>
      </c>
      <c r="E11" s="159">
        <v>296268.76</v>
      </c>
      <c r="F11" s="159">
        <v>408008.96000000002</v>
      </c>
      <c r="G11" s="159">
        <v>515742.43</v>
      </c>
      <c r="H11" s="159">
        <v>644655.82999999996</v>
      </c>
      <c r="I11" s="159">
        <v>4649483.79</v>
      </c>
      <c r="J11" s="159">
        <v>5286713.43</v>
      </c>
      <c r="K11" s="159">
        <v>5932923.5300000003</v>
      </c>
      <c r="L11" s="159">
        <v>6575476.9400000004</v>
      </c>
      <c r="M11" s="159">
        <v>7645660.8300000001</v>
      </c>
      <c r="N11" s="159">
        <v>11511778.800000001</v>
      </c>
      <c r="O11" s="276">
        <f>19080901-O6</f>
        <v>9783798</v>
      </c>
      <c r="P11" s="333">
        <v>575878.41</v>
      </c>
      <c r="Q11" s="335">
        <v>1574151.78</v>
      </c>
      <c r="R11" s="335">
        <v>1955884.08</v>
      </c>
      <c r="S11" s="335">
        <v>2561671.9300000002</v>
      </c>
      <c r="T11" s="337">
        <v>3209485</v>
      </c>
      <c r="U11" s="337">
        <v>3772991.08</v>
      </c>
      <c r="V11" s="389">
        <v>4660156.3499999996</v>
      </c>
      <c r="W11" s="390">
        <v>5100963.47</v>
      </c>
    </row>
    <row r="12" spans="1:24" s="162" customFormat="1" ht="15">
      <c r="A12" s="156" t="s">
        <v>239</v>
      </c>
      <c r="B12" s="296">
        <f t="shared" ref="B12:W12" si="6">B13+B14+B15+B16+B17+B18</f>
        <v>9964422</v>
      </c>
      <c r="C12" s="296">
        <f t="shared" si="6"/>
        <v>41410</v>
      </c>
      <c r="D12" s="296">
        <f t="shared" si="6"/>
        <v>88680</v>
      </c>
      <c r="E12" s="296">
        <f t="shared" si="6"/>
        <v>160671</v>
      </c>
      <c r="F12" s="296">
        <f t="shared" si="6"/>
        <v>200821</v>
      </c>
      <c r="G12" s="296">
        <f t="shared" si="6"/>
        <v>243721</v>
      </c>
      <c r="H12" s="296">
        <f t="shared" si="6"/>
        <v>298871.92</v>
      </c>
      <c r="I12" s="296">
        <f t="shared" si="6"/>
        <v>338971.92</v>
      </c>
      <c r="J12" s="296">
        <f t="shared" si="6"/>
        <v>394331.92</v>
      </c>
      <c r="K12" s="296">
        <f t="shared" si="6"/>
        <v>399621.92</v>
      </c>
      <c r="L12" s="296">
        <f t="shared" si="6"/>
        <v>401871.92</v>
      </c>
      <c r="M12" s="296">
        <f t="shared" si="6"/>
        <v>416091.92</v>
      </c>
      <c r="N12" s="296">
        <f t="shared" si="6"/>
        <v>433691.92</v>
      </c>
      <c r="O12" s="296">
        <f t="shared" si="6"/>
        <v>3982360</v>
      </c>
      <c r="P12" s="296">
        <f t="shared" si="6"/>
        <v>64708</v>
      </c>
      <c r="Q12" s="296">
        <f t="shared" si="6"/>
        <v>141012.04999999999</v>
      </c>
      <c r="R12" s="296">
        <f t="shared" si="6"/>
        <v>191376.83</v>
      </c>
      <c r="S12" s="296">
        <f t="shared" si="6"/>
        <v>244730.81</v>
      </c>
      <c r="T12" s="296">
        <f t="shared" si="6"/>
        <v>333261.40000000002</v>
      </c>
      <c r="U12" s="296">
        <f t="shared" si="6"/>
        <v>408054.71</v>
      </c>
      <c r="V12" s="296">
        <f t="shared" si="6"/>
        <v>492468.69</v>
      </c>
      <c r="W12" s="296">
        <f t="shared" si="6"/>
        <v>629457.27</v>
      </c>
    </row>
    <row r="13" spans="1:24" ht="15">
      <c r="A13" s="157" t="s">
        <v>240</v>
      </c>
      <c r="B13" s="300">
        <f>9611935+70380</f>
        <v>9682315</v>
      </c>
      <c r="C13" s="159">
        <v>0</v>
      </c>
      <c r="D13" s="159">
        <v>0</v>
      </c>
      <c r="E13" s="159">
        <v>0</v>
      </c>
      <c r="F13" s="159">
        <v>0</v>
      </c>
      <c r="G13" s="159">
        <v>0</v>
      </c>
      <c r="H13" s="159">
        <v>0</v>
      </c>
      <c r="I13" s="159">
        <v>0</v>
      </c>
      <c r="J13" s="159">
        <v>0</v>
      </c>
      <c r="K13" s="159">
        <v>399621.92</v>
      </c>
      <c r="L13" s="159">
        <v>0</v>
      </c>
      <c r="M13" s="159">
        <v>0</v>
      </c>
      <c r="N13" s="159">
        <v>0</v>
      </c>
      <c r="O13" s="276">
        <f>3548668+79940</f>
        <v>3628608</v>
      </c>
      <c r="P13" s="332">
        <v>0</v>
      </c>
      <c r="Q13" s="334">
        <v>0</v>
      </c>
      <c r="R13" s="334">
        <v>0</v>
      </c>
      <c r="S13" s="334">
        <v>0</v>
      </c>
      <c r="T13" s="332">
        <v>0</v>
      </c>
      <c r="U13" s="332">
        <v>0</v>
      </c>
      <c r="V13" s="381">
        <v>0</v>
      </c>
      <c r="W13" s="383">
        <v>0</v>
      </c>
    </row>
    <row r="14" spans="1:24" ht="15">
      <c r="A14" s="157" t="s">
        <v>241</v>
      </c>
      <c r="B14" s="300"/>
      <c r="C14" s="159">
        <v>41410</v>
      </c>
      <c r="D14" s="159">
        <v>0</v>
      </c>
      <c r="E14" s="159">
        <v>0</v>
      </c>
      <c r="F14" s="159">
        <v>200821</v>
      </c>
      <c r="G14" s="159">
        <v>243721</v>
      </c>
      <c r="H14" s="159">
        <v>298871.92</v>
      </c>
      <c r="I14" s="159">
        <v>338971.92</v>
      </c>
      <c r="J14" s="159">
        <v>394331.92</v>
      </c>
      <c r="K14" s="159">
        <v>0</v>
      </c>
      <c r="L14" s="159">
        <v>401871.92</v>
      </c>
      <c r="M14" s="159">
        <v>416091.92</v>
      </c>
      <c r="N14" s="159">
        <v>433691.92</v>
      </c>
      <c r="P14" s="337">
        <v>64708</v>
      </c>
      <c r="Q14" s="339">
        <v>141012.04999999999</v>
      </c>
      <c r="R14" s="339">
        <v>191376.83</v>
      </c>
      <c r="S14" s="339">
        <v>244730.81</v>
      </c>
      <c r="T14" s="337">
        <v>333261.40000000002</v>
      </c>
      <c r="U14" s="337">
        <v>408054.71</v>
      </c>
      <c r="V14" s="386">
        <v>492468.69</v>
      </c>
      <c r="W14" s="388">
        <v>629457.27</v>
      </c>
    </row>
    <row r="15" spans="1:24" ht="15">
      <c r="A15" s="157" t="s">
        <v>242</v>
      </c>
      <c r="B15" s="297"/>
      <c r="C15" s="159">
        <v>0</v>
      </c>
      <c r="D15" s="294">
        <v>0</v>
      </c>
      <c r="E15" s="159">
        <v>0</v>
      </c>
      <c r="F15" s="159">
        <v>0</v>
      </c>
      <c r="G15" s="159">
        <v>0</v>
      </c>
      <c r="H15" s="159">
        <v>0</v>
      </c>
      <c r="I15" s="159">
        <v>0</v>
      </c>
      <c r="J15" s="159">
        <v>0</v>
      </c>
      <c r="K15" s="159">
        <v>0</v>
      </c>
      <c r="L15" s="159">
        <v>0</v>
      </c>
      <c r="M15" s="159">
        <v>0</v>
      </c>
      <c r="N15" s="159">
        <v>0</v>
      </c>
      <c r="P15" s="336">
        <v>0</v>
      </c>
      <c r="Q15" s="338">
        <v>0</v>
      </c>
      <c r="R15" s="338">
        <v>0</v>
      </c>
      <c r="S15" s="338">
        <v>0</v>
      </c>
      <c r="T15" s="336">
        <v>0</v>
      </c>
      <c r="U15" s="336">
        <v>0</v>
      </c>
      <c r="V15" s="385">
        <v>0</v>
      </c>
      <c r="W15" s="387">
        <v>0</v>
      </c>
    </row>
    <row r="16" spans="1:24" ht="15">
      <c r="A16" s="157" t="s">
        <v>243</v>
      </c>
      <c r="B16" s="299">
        <f>352487-70380</f>
        <v>282107</v>
      </c>
      <c r="C16" s="159">
        <v>0</v>
      </c>
      <c r="D16" s="159">
        <v>88680</v>
      </c>
      <c r="E16" s="159">
        <v>160671</v>
      </c>
      <c r="F16" s="159">
        <v>0</v>
      </c>
      <c r="G16" s="159">
        <v>0</v>
      </c>
      <c r="H16" s="159">
        <v>0</v>
      </c>
      <c r="I16" s="159">
        <v>0</v>
      </c>
      <c r="J16" s="159">
        <v>0</v>
      </c>
      <c r="K16" s="159">
        <v>0</v>
      </c>
      <c r="L16" s="159">
        <v>0</v>
      </c>
      <c r="M16" s="159">
        <v>0</v>
      </c>
      <c r="N16" s="159">
        <v>0</v>
      </c>
      <c r="O16" s="159">
        <f>433692-79940</f>
        <v>353752</v>
      </c>
      <c r="P16" s="336">
        <v>0</v>
      </c>
      <c r="Q16" s="338">
        <v>0</v>
      </c>
      <c r="R16" s="338">
        <v>0</v>
      </c>
      <c r="S16" s="338">
        <v>0</v>
      </c>
      <c r="T16" s="336">
        <v>0</v>
      </c>
      <c r="U16" s="336">
        <v>0</v>
      </c>
      <c r="V16" s="385">
        <v>0</v>
      </c>
      <c r="W16" s="387">
        <v>0</v>
      </c>
    </row>
    <row r="17" spans="1:23" ht="15">
      <c r="A17" s="157" t="s">
        <v>244</v>
      </c>
      <c r="B17" s="298"/>
      <c r="C17" s="159">
        <v>0</v>
      </c>
      <c r="D17" s="159">
        <v>0</v>
      </c>
      <c r="E17" s="159">
        <v>0</v>
      </c>
      <c r="F17" s="159">
        <v>0</v>
      </c>
      <c r="G17" s="159">
        <v>0</v>
      </c>
      <c r="H17" s="159">
        <v>0</v>
      </c>
      <c r="I17" s="159">
        <v>0</v>
      </c>
      <c r="J17" s="159">
        <v>0</v>
      </c>
      <c r="K17" s="159">
        <v>0</v>
      </c>
      <c r="L17" s="159">
        <v>0</v>
      </c>
      <c r="M17" s="159">
        <v>0</v>
      </c>
      <c r="N17" s="159">
        <v>0</v>
      </c>
      <c r="P17" s="336">
        <v>0</v>
      </c>
      <c r="Q17" s="338">
        <v>0</v>
      </c>
      <c r="R17" s="338">
        <v>0</v>
      </c>
      <c r="S17" s="338">
        <v>0</v>
      </c>
      <c r="T17" s="336">
        <v>0</v>
      </c>
      <c r="U17" s="336">
        <v>0</v>
      </c>
      <c r="V17" s="385">
        <v>0</v>
      </c>
      <c r="W17" s="387">
        <v>0</v>
      </c>
    </row>
    <row r="18" spans="1:23" ht="15">
      <c r="A18" s="157" t="s">
        <v>245</v>
      </c>
      <c r="B18" s="298"/>
      <c r="C18" s="159">
        <v>0</v>
      </c>
      <c r="D18" s="159">
        <v>0</v>
      </c>
      <c r="E18" s="159">
        <v>0</v>
      </c>
      <c r="F18" s="159">
        <v>0</v>
      </c>
      <c r="G18" s="159">
        <v>0</v>
      </c>
      <c r="H18" s="159">
        <v>0</v>
      </c>
      <c r="I18" s="159">
        <v>0</v>
      </c>
      <c r="J18" s="159">
        <v>0</v>
      </c>
      <c r="K18" s="159">
        <v>0</v>
      </c>
      <c r="L18" s="159">
        <v>0</v>
      </c>
      <c r="M18" s="159">
        <v>0</v>
      </c>
      <c r="N18" s="159">
        <v>0</v>
      </c>
      <c r="P18" s="336">
        <v>0</v>
      </c>
      <c r="Q18" s="338">
        <v>0</v>
      </c>
      <c r="R18" s="338">
        <v>0</v>
      </c>
      <c r="S18" s="338">
        <v>0</v>
      </c>
      <c r="T18" s="336">
        <v>0</v>
      </c>
      <c r="U18" s="336">
        <v>0</v>
      </c>
      <c r="V18" s="385">
        <v>0</v>
      </c>
      <c r="W18" s="387">
        <v>0</v>
      </c>
    </row>
    <row r="19" spans="1:23" s="162" customFormat="1" ht="15">
      <c r="A19" s="156" t="s">
        <v>246</v>
      </c>
      <c r="B19" s="296">
        <f t="shared" ref="B19:I19" si="7">B3-B12</f>
        <v>27523687</v>
      </c>
      <c r="C19" s="296">
        <f t="shared" si="7"/>
        <v>2832647.63</v>
      </c>
      <c r="D19" s="296">
        <f t="shared" si="7"/>
        <v>5484052.5800000001</v>
      </c>
      <c r="E19" s="296">
        <f t="shared" si="7"/>
        <v>8658372.040000001</v>
      </c>
      <c r="F19" s="296">
        <f t="shared" si="7"/>
        <v>11723146.119999999</v>
      </c>
      <c r="G19" s="296">
        <f t="shared" si="7"/>
        <v>15053404.390000001</v>
      </c>
      <c r="H19" s="296">
        <f t="shared" si="7"/>
        <v>19444409.979999997</v>
      </c>
      <c r="I19" s="296">
        <f t="shared" si="7"/>
        <v>22577447.309999995</v>
      </c>
      <c r="J19" s="296">
        <f t="shared" ref="J19:T19" si="8">J3-J12</f>
        <v>25562230.849999998</v>
      </c>
      <c r="K19" s="296">
        <f t="shared" si="8"/>
        <v>28908650.030000001</v>
      </c>
      <c r="L19" s="296">
        <f t="shared" si="8"/>
        <v>32844423.779999997</v>
      </c>
      <c r="M19" s="296">
        <f t="shared" si="8"/>
        <v>37138802.259999998</v>
      </c>
      <c r="N19" s="296">
        <f t="shared" si="8"/>
        <v>43739215.869999997</v>
      </c>
      <c r="O19" s="296">
        <f t="shared" si="8"/>
        <v>40190547</v>
      </c>
      <c r="P19" s="296">
        <f t="shared" si="8"/>
        <v>3490044.25</v>
      </c>
      <c r="Q19" s="296">
        <f t="shared" si="8"/>
        <v>10004100.589999998</v>
      </c>
      <c r="R19" s="296">
        <f t="shared" si="8"/>
        <v>11457675.310000001</v>
      </c>
      <c r="S19" s="296">
        <f t="shared" si="8"/>
        <v>14957531.939999999</v>
      </c>
      <c r="T19" s="296">
        <f t="shared" si="8"/>
        <v>18428692.870000001</v>
      </c>
      <c r="U19" s="296">
        <f t="shared" ref="U19:W19" si="9">U3-U12</f>
        <v>22158525.979999997</v>
      </c>
      <c r="V19" s="296">
        <f t="shared" si="9"/>
        <v>26575066.989999998</v>
      </c>
      <c r="W19" s="296">
        <f t="shared" si="9"/>
        <v>29931007.169999998</v>
      </c>
    </row>
    <row r="20" spans="1:23" s="162" customFormat="1" ht="15">
      <c r="A20" s="156" t="s">
        <v>193</v>
      </c>
      <c r="B20" s="296">
        <f t="shared" ref="B20:T20" si="10">B21-B22</f>
        <v>51290</v>
      </c>
      <c r="C20" s="296">
        <f t="shared" si="10"/>
        <v>0</v>
      </c>
      <c r="D20" s="296">
        <f t="shared" si="10"/>
        <v>0</v>
      </c>
      <c r="E20" s="296">
        <f t="shared" si="10"/>
        <v>0</v>
      </c>
      <c r="F20" s="296">
        <f t="shared" si="10"/>
        <v>0</v>
      </c>
      <c r="G20" s="296">
        <f t="shared" si="10"/>
        <v>0</v>
      </c>
      <c r="H20" s="296">
        <f t="shared" si="10"/>
        <v>0</v>
      </c>
      <c r="I20" s="296">
        <f t="shared" si="10"/>
        <v>0</v>
      </c>
      <c r="J20" s="296">
        <f t="shared" si="10"/>
        <v>0</v>
      </c>
      <c r="K20" s="296">
        <f t="shared" si="10"/>
        <v>0</v>
      </c>
      <c r="L20" s="296">
        <f t="shared" si="10"/>
        <v>0</v>
      </c>
      <c r="M20" s="296">
        <f t="shared" si="10"/>
        <v>0</v>
      </c>
      <c r="N20" s="296">
        <f t="shared" si="10"/>
        <v>0</v>
      </c>
      <c r="O20" s="296">
        <f t="shared" si="10"/>
        <v>7222661</v>
      </c>
      <c r="P20" s="296">
        <f t="shared" si="10"/>
        <v>0</v>
      </c>
      <c r="Q20" s="296">
        <f t="shared" si="10"/>
        <v>0</v>
      </c>
      <c r="R20" s="296">
        <f t="shared" si="10"/>
        <v>0</v>
      </c>
      <c r="S20" s="296">
        <f t="shared" si="10"/>
        <v>0</v>
      </c>
      <c r="T20" s="296">
        <f t="shared" si="10"/>
        <v>0</v>
      </c>
      <c r="U20" s="296">
        <f t="shared" ref="U20:W20" si="11">U21-U22</f>
        <v>0</v>
      </c>
      <c r="V20" s="296">
        <f t="shared" si="11"/>
        <v>0</v>
      </c>
      <c r="W20" s="296">
        <f t="shared" si="11"/>
        <v>0</v>
      </c>
    </row>
    <row r="21" spans="1:23" ht="15">
      <c r="A21" s="157" t="s">
        <v>247</v>
      </c>
      <c r="B21" s="302">
        <f>51290</f>
        <v>51290</v>
      </c>
      <c r="C21" s="159">
        <v>0</v>
      </c>
      <c r="D21" s="159">
        <v>0</v>
      </c>
      <c r="E21" s="159">
        <v>0</v>
      </c>
      <c r="F21" s="159">
        <v>0</v>
      </c>
      <c r="G21" s="159">
        <v>0</v>
      </c>
      <c r="H21" s="159">
        <v>0</v>
      </c>
      <c r="I21" s="159">
        <v>0</v>
      </c>
      <c r="J21" s="159">
        <v>0</v>
      </c>
      <c r="K21" s="159">
        <v>0</v>
      </c>
      <c r="L21" s="159">
        <v>0</v>
      </c>
      <c r="M21" s="159">
        <v>0</v>
      </c>
      <c r="N21" s="159">
        <v>0</v>
      </c>
      <c r="O21" s="276">
        <f>7222661</f>
        <v>7222661</v>
      </c>
      <c r="P21" s="332">
        <v>0</v>
      </c>
      <c r="Q21" s="334">
        <v>0</v>
      </c>
      <c r="R21" s="334">
        <v>0</v>
      </c>
      <c r="S21" s="334">
        <v>0</v>
      </c>
      <c r="T21" s="332">
        <v>0</v>
      </c>
      <c r="U21" s="332">
        <v>0</v>
      </c>
      <c r="V21" s="381">
        <v>0</v>
      </c>
      <c r="W21" s="383">
        <v>0</v>
      </c>
    </row>
    <row r="22" spans="1:23" ht="15">
      <c r="A22" s="157" t="s">
        <v>248</v>
      </c>
      <c r="B22" s="297">
        <v>0</v>
      </c>
      <c r="C22" s="159">
        <v>0</v>
      </c>
      <c r="D22" s="294">
        <v>0</v>
      </c>
      <c r="E22" s="159">
        <v>0</v>
      </c>
      <c r="F22" s="159">
        <v>0</v>
      </c>
      <c r="G22" s="159">
        <v>0</v>
      </c>
      <c r="H22" s="159">
        <v>0</v>
      </c>
      <c r="I22" s="159">
        <v>0</v>
      </c>
      <c r="J22" s="159">
        <v>0</v>
      </c>
      <c r="K22" s="159">
        <v>0</v>
      </c>
      <c r="L22" s="159">
        <v>0</v>
      </c>
      <c r="M22" s="159">
        <v>0</v>
      </c>
      <c r="N22" s="159">
        <v>0</v>
      </c>
      <c r="P22" s="336">
        <v>0</v>
      </c>
      <c r="Q22" s="338">
        <v>0</v>
      </c>
      <c r="R22" s="338">
        <v>0</v>
      </c>
      <c r="S22" s="338">
        <v>0</v>
      </c>
      <c r="T22" s="336">
        <v>0</v>
      </c>
      <c r="U22" s="336">
        <v>0</v>
      </c>
      <c r="V22" s="385">
        <v>0</v>
      </c>
      <c r="W22" s="387">
        <v>0</v>
      </c>
    </row>
    <row r="23" spans="1:23" s="162" customFormat="1" ht="15">
      <c r="A23" s="156" t="s">
        <v>249</v>
      </c>
      <c r="B23" s="292">
        <f t="shared" ref="B23:W23" si="12">SUM(B24:B28)</f>
        <v>21004907</v>
      </c>
      <c r="C23" s="292">
        <f t="shared" si="12"/>
        <v>1936131</v>
      </c>
      <c r="D23" s="292">
        <f t="shared" si="12"/>
        <v>3415411</v>
      </c>
      <c r="E23" s="292">
        <f t="shared" si="12"/>
        <v>5309922</v>
      </c>
      <c r="F23" s="292">
        <f t="shared" si="12"/>
        <v>6834785</v>
      </c>
      <c r="G23" s="292">
        <f t="shared" si="12"/>
        <v>10681884</v>
      </c>
      <c r="H23" s="292">
        <f t="shared" si="12"/>
        <v>12478201</v>
      </c>
      <c r="I23" s="292">
        <f t="shared" si="12"/>
        <v>14477284</v>
      </c>
      <c r="J23" s="292">
        <f t="shared" si="12"/>
        <v>16785737</v>
      </c>
      <c r="K23" s="292">
        <f t="shared" si="12"/>
        <v>18866106</v>
      </c>
      <c r="L23" s="292">
        <f t="shared" si="12"/>
        <v>20675588</v>
      </c>
      <c r="M23" s="292">
        <f t="shared" si="12"/>
        <v>22753415</v>
      </c>
      <c r="N23" s="292">
        <f t="shared" si="12"/>
        <v>25234962</v>
      </c>
      <c r="O23" s="292">
        <f t="shared" si="12"/>
        <v>26776309</v>
      </c>
      <c r="P23" s="292">
        <f t="shared" si="12"/>
        <v>2115525.2000000002</v>
      </c>
      <c r="Q23" s="292">
        <f t="shared" si="12"/>
        <v>4965175.2</v>
      </c>
      <c r="R23" s="292">
        <f t="shared" si="12"/>
        <v>6751150.2000000002</v>
      </c>
      <c r="S23" s="292">
        <f t="shared" si="12"/>
        <v>8596866.1999999993</v>
      </c>
      <c r="T23" s="292">
        <f t="shared" si="12"/>
        <v>11561007.199999999</v>
      </c>
      <c r="U23" s="292">
        <f t="shared" si="12"/>
        <v>13900603.199999999</v>
      </c>
      <c r="V23" s="292">
        <f t="shared" si="12"/>
        <v>15703341.199999999</v>
      </c>
      <c r="W23" s="292">
        <f t="shared" si="12"/>
        <v>17350046.199999999</v>
      </c>
    </row>
    <row r="24" spans="1:23" ht="15">
      <c r="A24" s="157" t="s">
        <v>250</v>
      </c>
      <c r="B24" s="300">
        <f>7312796</f>
        <v>7312796</v>
      </c>
      <c r="C24" s="159">
        <v>640185</v>
      </c>
      <c r="D24" s="159">
        <v>1290517</v>
      </c>
      <c r="E24" s="159">
        <v>1892521</v>
      </c>
      <c r="F24" s="159">
        <v>2537362</v>
      </c>
      <c r="G24" s="159">
        <v>3183530</v>
      </c>
      <c r="H24" s="159">
        <v>3835995</v>
      </c>
      <c r="I24" s="159">
        <v>4558105</v>
      </c>
      <c r="J24" s="159">
        <v>5510964</v>
      </c>
      <c r="K24" s="159">
        <v>6287546</v>
      </c>
      <c r="L24" s="159">
        <v>7049212</v>
      </c>
      <c r="M24" s="159">
        <v>7837172</v>
      </c>
      <c r="N24" s="159">
        <v>8604157</v>
      </c>
      <c r="O24" s="276">
        <f>8604157</f>
        <v>8604157</v>
      </c>
      <c r="P24" s="333">
        <v>871250.2</v>
      </c>
      <c r="Q24" s="335">
        <v>1772356.2</v>
      </c>
      <c r="R24" s="335">
        <v>2601556.2000000002</v>
      </c>
      <c r="S24" s="335">
        <v>3376778.2</v>
      </c>
      <c r="T24" s="333">
        <v>4143610.2</v>
      </c>
      <c r="U24" s="333">
        <v>4983806.2</v>
      </c>
      <c r="V24" s="382">
        <v>5767421.2000000002</v>
      </c>
      <c r="W24" s="384">
        <v>6634842.2000000002</v>
      </c>
    </row>
    <row r="25" spans="1:23" ht="15">
      <c r="A25" s="157" t="s">
        <v>152</v>
      </c>
      <c r="B25" s="300">
        <f>2120339</f>
        <v>2120339</v>
      </c>
      <c r="C25" s="159">
        <v>250300</v>
      </c>
      <c r="D25" s="159">
        <v>473540</v>
      </c>
      <c r="E25" s="159">
        <v>898180</v>
      </c>
      <c r="F25" s="159">
        <v>1117030</v>
      </c>
      <c r="G25" s="159">
        <v>1414696</v>
      </c>
      <c r="H25" s="159">
        <v>1734046</v>
      </c>
      <c r="I25" s="159">
        <v>2086993</v>
      </c>
      <c r="J25" s="159">
        <v>2332543</v>
      </c>
      <c r="K25" s="159">
        <v>2581943</v>
      </c>
      <c r="L25" s="159">
        <v>2916127</v>
      </c>
      <c r="M25" s="159">
        <v>3425177</v>
      </c>
      <c r="N25" s="159">
        <v>4144514</v>
      </c>
      <c r="O25" s="276">
        <f>3424364</f>
        <v>3424364</v>
      </c>
      <c r="P25" s="337">
        <v>281100</v>
      </c>
      <c r="Q25" s="339">
        <v>582085</v>
      </c>
      <c r="R25" s="339">
        <v>919085</v>
      </c>
      <c r="S25" s="339">
        <v>1357715</v>
      </c>
      <c r="T25" s="337">
        <v>1594250</v>
      </c>
      <c r="U25" s="337">
        <v>1834705</v>
      </c>
      <c r="V25" s="386">
        <v>2049717</v>
      </c>
      <c r="W25" s="388">
        <v>2232909</v>
      </c>
    </row>
    <row r="26" spans="1:23" ht="15">
      <c r="A26" s="157" t="s">
        <v>251</v>
      </c>
      <c r="B26" s="300">
        <f>1283281</f>
        <v>1283281</v>
      </c>
      <c r="C26" s="159">
        <v>227763</v>
      </c>
      <c r="D26" s="159">
        <v>277525</v>
      </c>
      <c r="E26" s="159">
        <v>324305</v>
      </c>
      <c r="F26" s="159">
        <v>345605</v>
      </c>
      <c r="G26" s="159">
        <v>409407</v>
      </c>
      <c r="H26" s="159">
        <v>540682</v>
      </c>
      <c r="I26" s="159">
        <v>627413</v>
      </c>
      <c r="J26" s="159">
        <v>757245</v>
      </c>
      <c r="K26" s="159">
        <v>808269</v>
      </c>
      <c r="L26" s="159">
        <v>901468</v>
      </c>
      <c r="M26" s="159">
        <v>994160</v>
      </c>
      <c r="N26" s="159">
        <v>1039975</v>
      </c>
      <c r="O26" s="276">
        <f>1657275</f>
        <v>1657275</v>
      </c>
      <c r="P26" s="337">
        <v>30600</v>
      </c>
      <c r="Q26" s="339">
        <v>96440</v>
      </c>
      <c r="R26" s="339">
        <v>123593</v>
      </c>
      <c r="S26" s="339">
        <v>151734</v>
      </c>
      <c r="T26" s="337">
        <v>163034</v>
      </c>
      <c r="U26" s="337">
        <v>175234</v>
      </c>
      <c r="V26" s="386">
        <v>188564</v>
      </c>
      <c r="W26" s="388">
        <v>196064</v>
      </c>
    </row>
    <row r="27" spans="1:23" ht="15">
      <c r="A27" s="157" t="s">
        <v>252</v>
      </c>
      <c r="B27" s="300">
        <f>1052127</f>
        <v>1052127</v>
      </c>
      <c r="C27" s="159">
        <v>0</v>
      </c>
      <c r="D27" s="159">
        <v>0</v>
      </c>
      <c r="E27" s="159">
        <v>0</v>
      </c>
      <c r="F27" s="159">
        <v>0</v>
      </c>
      <c r="G27" s="159">
        <v>0</v>
      </c>
      <c r="H27" s="159">
        <v>0</v>
      </c>
      <c r="I27" s="159">
        <v>0</v>
      </c>
      <c r="J27" s="159">
        <v>0</v>
      </c>
      <c r="K27" s="159">
        <v>0</v>
      </c>
      <c r="L27" s="159">
        <v>0</v>
      </c>
      <c r="M27" s="159">
        <v>0</v>
      </c>
      <c r="N27" s="159">
        <v>0</v>
      </c>
      <c r="O27" s="276">
        <f>1380822</f>
        <v>1380822</v>
      </c>
      <c r="P27" s="336">
        <v>0</v>
      </c>
      <c r="Q27" s="338">
        <v>0</v>
      </c>
      <c r="R27" s="338">
        <v>0</v>
      </c>
      <c r="S27" s="338">
        <v>0</v>
      </c>
      <c r="T27" s="336">
        <v>0</v>
      </c>
      <c r="U27" s="336">
        <v>0</v>
      </c>
      <c r="V27" s="385">
        <v>0</v>
      </c>
      <c r="W27" s="387">
        <v>0</v>
      </c>
    </row>
    <row r="28" spans="1:23" ht="15">
      <c r="A28" s="157" t="s">
        <v>151</v>
      </c>
      <c r="B28" s="300">
        <f>9236364</f>
        <v>9236364</v>
      </c>
      <c r="C28" s="159">
        <v>817883</v>
      </c>
      <c r="D28" s="294">
        <v>1373829</v>
      </c>
      <c r="E28" s="159">
        <v>2194916</v>
      </c>
      <c r="F28" s="159">
        <v>2834788</v>
      </c>
      <c r="G28" s="159">
        <v>5674251</v>
      </c>
      <c r="H28" s="159">
        <v>6367478</v>
      </c>
      <c r="I28" s="159">
        <v>7204773</v>
      </c>
      <c r="J28" s="159">
        <v>8184985</v>
      </c>
      <c r="K28" s="159">
        <v>9188348</v>
      </c>
      <c r="L28" s="159">
        <v>9808781</v>
      </c>
      <c r="M28" s="159">
        <v>10496906</v>
      </c>
      <c r="N28" s="159">
        <v>11446316</v>
      </c>
      <c r="O28" s="276">
        <f>11709691</f>
        <v>11709691</v>
      </c>
      <c r="P28" s="337">
        <v>932575</v>
      </c>
      <c r="Q28" s="339">
        <v>2514294</v>
      </c>
      <c r="R28" s="339">
        <v>3106916</v>
      </c>
      <c r="S28" s="339">
        <v>3710639</v>
      </c>
      <c r="T28" s="337">
        <v>5660113</v>
      </c>
      <c r="U28" s="337">
        <v>6906858</v>
      </c>
      <c r="V28" s="386">
        <v>7697639</v>
      </c>
      <c r="W28" s="388">
        <v>8286231</v>
      </c>
    </row>
    <row r="29" spans="1:23" s="162" customFormat="1" ht="15">
      <c r="A29" s="156" t="s">
        <v>253</v>
      </c>
      <c r="B29" s="292">
        <f>B19-B20-B23</f>
        <v>6467490</v>
      </c>
      <c r="C29" s="292">
        <f t="shared" ref="C29:T29" si="13">C19-C20-C23</f>
        <v>896516.62999999989</v>
      </c>
      <c r="D29" s="292">
        <f t="shared" si="13"/>
        <v>2068641.58</v>
      </c>
      <c r="E29" s="292">
        <f t="shared" si="13"/>
        <v>3348450.040000001</v>
      </c>
      <c r="F29" s="292">
        <f t="shared" si="13"/>
        <v>4888361.1199999992</v>
      </c>
      <c r="G29" s="292">
        <f t="shared" si="13"/>
        <v>4371520.3900000006</v>
      </c>
      <c r="H29" s="292">
        <f t="shared" si="13"/>
        <v>6966208.9799999967</v>
      </c>
      <c r="I29" s="292">
        <f t="shared" si="13"/>
        <v>8100163.3099999949</v>
      </c>
      <c r="J29" s="292">
        <f t="shared" si="13"/>
        <v>8776493.8499999978</v>
      </c>
      <c r="K29" s="292">
        <f t="shared" si="13"/>
        <v>10042544.030000001</v>
      </c>
      <c r="L29" s="292">
        <f t="shared" si="13"/>
        <v>12168835.779999997</v>
      </c>
      <c r="M29" s="292">
        <f t="shared" si="13"/>
        <v>14385387.259999998</v>
      </c>
      <c r="N29" s="292">
        <f t="shared" si="13"/>
        <v>18504253.869999997</v>
      </c>
      <c r="O29" s="292">
        <f t="shared" si="13"/>
        <v>6191577</v>
      </c>
      <c r="P29" s="292">
        <f t="shared" si="13"/>
        <v>1374519.0499999998</v>
      </c>
      <c r="Q29" s="292">
        <f t="shared" si="13"/>
        <v>5038925.3899999978</v>
      </c>
      <c r="R29" s="292">
        <f t="shared" si="13"/>
        <v>4706525.1100000003</v>
      </c>
      <c r="S29" s="292">
        <f t="shared" si="13"/>
        <v>6360665.7400000002</v>
      </c>
      <c r="T29" s="292">
        <f t="shared" si="13"/>
        <v>6867685.6700000018</v>
      </c>
      <c r="U29" s="292">
        <f t="shared" ref="U29:W29" si="14">U19-U20-U23</f>
        <v>8257922.7799999975</v>
      </c>
      <c r="V29" s="292">
        <f t="shared" si="14"/>
        <v>10871725.789999999</v>
      </c>
      <c r="W29" s="292">
        <f t="shared" si="14"/>
        <v>12580960.969999999</v>
      </c>
    </row>
    <row r="30" spans="1:23" s="163" customFormat="1" ht="15">
      <c r="A30" s="157" t="s">
        <v>254</v>
      </c>
      <c r="B30" s="292">
        <f>B31-B32</f>
        <v>0</v>
      </c>
      <c r="C30" s="292">
        <f t="shared" ref="C30:T30" si="15">C31-C32</f>
        <v>0</v>
      </c>
      <c r="D30" s="292">
        <f t="shared" si="15"/>
        <v>0</v>
      </c>
      <c r="E30" s="292">
        <f t="shared" si="15"/>
        <v>0</v>
      </c>
      <c r="F30" s="292">
        <f t="shared" si="15"/>
        <v>0</v>
      </c>
      <c r="G30" s="292">
        <f t="shared" si="15"/>
        <v>0</v>
      </c>
      <c r="H30" s="292">
        <f t="shared" si="15"/>
        <v>0</v>
      </c>
      <c r="I30" s="292">
        <f t="shared" si="15"/>
        <v>0</v>
      </c>
      <c r="J30" s="292">
        <f t="shared" si="15"/>
        <v>0</v>
      </c>
      <c r="K30" s="292">
        <f t="shared" si="15"/>
        <v>0</v>
      </c>
      <c r="L30" s="292">
        <f t="shared" si="15"/>
        <v>0</v>
      </c>
      <c r="M30" s="292">
        <f t="shared" si="15"/>
        <v>0</v>
      </c>
      <c r="N30" s="292">
        <f t="shared" si="15"/>
        <v>0</v>
      </c>
      <c r="O30" s="292">
        <f t="shared" si="15"/>
        <v>0</v>
      </c>
      <c r="P30" s="292">
        <f t="shared" si="15"/>
        <v>0</v>
      </c>
      <c r="Q30" s="292">
        <f t="shared" si="15"/>
        <v>0</v>
      </c>
      <c r="R30" s="292">
        <f t="shared" si="15"/>
        <v>0</v>
      </c>
      <c r="S30" s="292">
        <f t="shared" si="15"/>
        <v>0</v>
      </c>
      <c r="T30" s="292">
        <f t="shared" si="15"/>
        <v>0</v>
      </c>
      <c r="U30" s="292">
        <f t="shared" ref="U30:W30" si="16">U31-U32</f>
        <v>0</v>
      </c>
      <c r="V30" s="292">
        <f t="shared" si="16"/>
        <v>0</v>
      </c>
      <c r="W30" s="292">
        <f t="shared" si="16"/>
        <v>0</v>
      </c>
    </row>
    <row r="31" spans="1:23" ht="15">
      <c r="A31" s="157" t="s">
        <v>255</v>
      </c>
      <c r="B31" s="132"/>
      <c r="C31" s="159">
        <v>0</v>
      </c>
      <c r="D31" s="159">
        <v>0</v>
      </c>
      <c r="E31" s="159">
        <v>0</v>
      </c>
      <c r="F31" s="159">
        <v>0</v>
      </c>
      <c r="G31" s="159">
        <v>0</v>
      </c>
      <c r="H31" s="159">
        <v>0</v>
      </c>
      <c r="I31" s="159">
        <v>0</v>
      </c>
      <c r="J31" s="159">
        <v>0</v>
      </c>
      <c r="K31" s="159">
        <v>0</v>
      </c>
      <c r="L31" s="159">
        <v>0</v>
      </c>
      <c r="M31" s="159">
        <v>0</v>
      </c>
      <c r="N31" s="159">
        <v>0</v>
      </c>
      <c r="P31" s="332">
        <v>0</v>
      </c>
      <c r="Q31" s="334">
        <v>0</v>
      </c>
      <c r="R31" s="334">
        <v>0</v>
      </c>
      <c r="S31" s="334">
        <v>0</v>
      </c>
      <c r="T31" s="332">
        <v>0</v>
      </c>
      <c r="U31" s="332">
        <v>0</v>
      </c>
    </row>
    <row r="32" spans="1:23" ht="15">
      <c r="A32" s="157" t="s">
        <v>256</v>
      </c>
      <c r="B32" s="132"/>
      <c r="C32" s="159">
        <v>0</v>
      </c>
      <c r="D32" s="159">
        <v>0</v>
      </c>
      <c r="E32" s="159">
        <v>0</v>
      </c>
      <c r="F32" s="159">
        <v>0</v>
      </c>
      <c r="G32" s="159">
        <v>0</v>
      </c>
      <c r="H32" s="159">
        <v>0</v>
      </c>
      <c r="I32" s="159">
        <v>0</v>
      </c>
      <c r="J32" s="159">
        <v>0</v>
      </c>
      <c r="K32" s="159">
        <v>0</v>
      </c>
      <c r="L32" s="159">
        <v>0</v>
      </c>
      <c r="M32" s="159">
        <v>0</v>
      </c>
      <c r="N32" s="159">
        <v>0</v>
      </c>
      <c r="P32" s="336">
        <v>0</v>
      </c>
      <c r="Q32" s="338">
        <v>0</v>
      </c>
      <c r="R32" s="338">
        <v>0</v>
      </c>
      <c r="S32" s="338">
        <v>0</v>
      </c>
      <c r="T32" s="336">
        <v>0</v>
      </c>
      <c r="U32" s="336">
        <v>0</v>
      </c>
    </row>
    <row r="33" spans="1:23" s="162" customFormat="1" ht="15">
      <c r="A33" s="156" t="s">
        <v>257</v>
      </c>
      <c r="B33" s="293">
        <f>B29+B30</f>
        <v>6467490</v>
      </c>
      <c r="C33" s="293">
        <f t="shared" ref="C33:W33" si="17">C29+C30</f>
        <v>896516.62999999989</v>
      </c>
      <c r="D33" s="293">
        <f t="shared" si="17"/>
        <v>2068641.58</v>
      </c>
      <c r="E33" s="293">
        <f t="shared" si="17"/>
        <v>3348450.040000001</v>
      </c>
      <c r="F33" s="293">
        <f t="shared" si="17"/>
        <v>4888361.1199999992</v>
      </c>
      <c r="G33" s="293">
        <f t="shared" si="17"/>
        <v>4371520.3900000006</v>
      </c>
      <c r="H33" s="293">
        <f t="shared" si="17"/>
        <v>6966208.9799999967</v>
      </c>
      <c r="I33" s="293">
        <f t="shared" si="17"/>
        <v>8100163.3099999949</v>
      </c>
      <c r="J33" s="293">
        <f t="shared" si="17"/>
        <v>8776493.8499999978</v>
      </c>
      <c r="K33" s="293">
        <f t="shared" si="17"/>
        <v>10042544.030000001</v>
      </c>
      <c r="L33" s="293">
        <f t="shared" si="17"/>
        <v>12168835.779999997</v>
      </c>
      <c r="M33" s="293">
        <f t="shared" si="17"/>
        <v>14385387.259999998</v>
      </c>
      <c r="N33" s="293">
        <f t="shared" si="17"/>
        <v>18504253.869999997</v>
      </c>
      <c r="O33" s="293">
        <f t="shared" si="17"/>
        <v>6191577</v>
      </c>
      <c r="P33" s="293">
        <f t="shared" si="17"/>
        <v>1374519.0499999998</v>
      </c>
      <c r="Q33" s="293">
        <f t="shared" si="17"/>
        <v>5038925.3899999978</v>
      </c>
      <c r="R33" s="293">
        <f t="shared" si="17"/>
        <v>4706525.1100000003</v>
      </c>
      <c r="S33" s="293">
        <f t="shared" si="17"/>
        <v>6360665.7400000002</v>
      </c>
      <c r="T33" s="293">
        <f t="shared" si="17"/>
        <v>6867685.6700000018</v>
      </c>
      <c r="U33" s="293">
        <f t="shared" si="17"/>
        <v>8257922.7799999975</v>
      </c>
      <c r="V33" s="293">
        <f t="shared" si="17"/>
        <v>10871725.789999999</v>
      </c>
      <c r="W33" s="293">
        <f t="shared" si="17"/>
        <v>12580960.969999999</v>
      </c>
    </row>
    <row r="34" spans="1:23" ht="29.25">
      <c r="A34" s="157" t="s">
        <v>258</v>
      </c>
      <c r="B34" s="186">
        <v>1045904</v>
      </c>
      <c r="C34" s="159">
        <v>0</v>
      </c>
      <c r="D34" s="159">
        <v>0</v>
      </c>
      <c r="E34" s="159">
        <v>0</v>
      </c>
      <c r="F34" s="159">
        <v>0</v>
      </c>
      <c r="G34" s="159">
        <v>0</v>
      </c>
      <c r="H34" s="159">
        <v>0</v>
      </c>
      <c r="I34" s="159">
        <v>0</v>
      </c>
      <c r="J34" s="159">
        <v>330000</v>
      </c>
      <c r="K34" s="159">
        <v>330000</v>
      </c>
      <c r="L34" s="159">
        <v>768963</v>
      </c>
      <c r="M34" s="159">
        <v>768963</v>
      </c>
      <c r="N34" s="159">
        <v>768963</v>
      </c>
      <c r="O34" s="276">
        <f>2176210</f>
        <v>2176210</v>
      </c>
      <c r="P34" s="332">
        <v>0</v>
      </c>
      <c r="Q34" s="334">
        <v>0</v>
      </c>
      <c r="R34" s="334">
        <v>0</v>
      </c>
      <c r="S34" s="334">
        <v>0</v>
      </c>
      <c r="T34" s="332">
        <v>0</v>
      </c>
      <c r="U34" s="332">
        <v>0</v>
      </c>
    </row>
    <row r="35" spans="1:23" s="162" customFormat="1" ht="29.25">
      <c r="A35" s="156" t="s">
        <v>259</v>
      </c>
      <c r="B35" s="292">
        <f>B33-B34</f>
        <v>5421586</v>
      </c>
      <c r="C35" s="292">
        <f t="shared" ref="C35:W35" si="18">C33-C34</f>
        <v>896516.62999999989</v>
      </c>
      <c r="D35" s="292">
        <f t="shared" si="18"/>
        <v>2068641.58</v>
      </c>
      <c r="E35" s="292">
        <f t="shared" si="18"/>
        <v>3348450.040000001</v>
      </c>
      <c r="F35" s="292">
        <f t="shared" si="18"/>
        <v>4888361.1199999992</v>
      </c>
      <c r="G35" s="292">
        <f t="shared" si="18"/>
        <v>4371520.3900000006</v>
      </c>
      <c r="H35" s="292">
        <f t="shared" si="18"/>
        <v>6966208.9799999967</v>
      </c>
      <c r="I35" s="292">
        <f t="shared" si="18"/>
        <v>8100163.3099999949</v>
      </c>
      <c r="J35" s="292">
        <f t="shared" si="18"/>
        <v>8446493.8499999978</v>
      </c>
      <c r="K35" s="292">
        <f t="shared" si="18"/>
        <v>9712544.0300000012</v>
      </c>
      <c r="L35" s="292">
        <f t="shared" si="18"/>
        <v>11399872.779999997</v>
      </c>
      <c r="M35" s="292">
        <f t="shared" si="18"/>
        <v>13616424.259999998</v>
      </c>
      <c r="N35" s="292">
        <f t="shared" si="18"/>
        <v>17735290.869999997</v>
      </c>
      <c r="O35" s="292">
        <f t="shared" si="18"/>
        <v>4015367</v>
      </c>
      <c r="P35" s="292">
        <f t="shared" si="18"/>
        <v>1374519.0499999998</v>
      </c>
      <c r="Q35" s="292">
        <f t="shared" si="18"/>
        <v>5038925.3899999978</v>
      </c>
      <c r="R35" s="292">
        <f t="shared" si="18"/>
        <v>4706525.1100000003</v>
      </c>
      <c r="S35" s="292">
        <f t="shared" si="18"/>
        <v>6360665.7400000002</v>
      </c>
      <c r="T35" s="292">
        <f t="shared" si="18"/>
        <v>6867685.6700000018</v>
      </c>
      <c r="U35" s="292">
        <f t="shared" si="18"/>
        <v>8257922.7799999975</v>
      </c>
      <c r="V35" s="292">
        <f t="shared" si="18"/>
        <v>10871725.789999999</v>
      </c>
      <c r="W35" s="292">
        <f t="shared" si="18"/>
        <v>12580960.969999999</v>
      </c>
    </row>
    <row r="36" spans="1:23">
      <c r="A36" s="155" t="s">
        <v>260</v>
      </c>
      <c r="B36" s="132"/>
      <c r="C36" s="159">
        <v>0</v>
      </c>
      <c r="D36" s="159">
        <v>0</v>
      </c>
      <c r="E36" s="159">
        <v>0</v>
      </c>
      <c r="F36" s="159">
        <v>0</v>
      </c>
      <c r="G36" s="159">
        <v>0</v>
      </c>
      <c r="H36" s="159">
        <v>0</v>
      </c>
      <c r="I36" s="159">
        <v>0</v>
      </c>
      <c r="J36" s="159">
        <v>0</v>
      </c>
      <c r="K36" s="159">
        <v>0</v>
      </c>
      <c r="L36" s="159">
        <v>0</v>
      </c>
      <c r="M36" s="159">
        <v>0</v>
      </c>
      <c r="N36" s="159">
        <v>0</v>
      </c>
      <c r="P36" s="332">
        <v>0</v>
      </c>
      <c r="Q36" s="334">
        <v>0</v>
      </c>
      <c r="R36" s="334">
        <v>0</v>
      </c>
      <c r="S36" s="334">
        <v>0</v>
      </c>
      <c r="T36" s="332">
        <v>0</v>
      </c>
      <c r="U36" s="332">
        <v>0</v>
      </c>
    </row>
    <row r="37" spans="1:23" s="162" customFormat="1" ht="15">
      <c r="A37" s="156" t="s">
        <v>261</v>
      </c>
      <c r="B37" s="292">
        <f t="shared" ref="B37:W37" si="19">B35-B36</f>
        <v>5421586</v>
      </c>
      <c r="C37" s="292">
        <f t="shared" si="19"/>
        <v>896516.62999999989</v>
      </c>
      <c r="D37" s="292">
        <f t="shared" si="19"/>
        <v>2068641.58</v>
      </c>
      <c r="E37" s="292">
        <f t="shared" si="19"/>
        <v>3348450.040000001</v>
      </c>
      <c r="F37" s="292">
        <f t="shared" si="19"/>
        <v>4888361.1199999992</v>
      </c>
      <c r="G37" s="292">
        <f t="shared" si="19"/>
        <v>4371520.3900000006</v>
      </c>
      <c r="H37" s="292">
        <f t="shared" si="19"/>
        <v>6966208.9799999967</v>
      </c>
      <c r="I37" s="292">
        <f t="shared" si="19"/>
        <v>8100163.3099999949</v>
      </c>
      <c r="J37" s="292">
        <f t="shared" si="19"/>
        <v>8446493.8499999978</v>
      </c>
      <c r="K37" s="292">
        <f t="shared" si="19"/>
        <v>9712544.0300000012</v>
      </c>
      <c r="L37" s="292">
        <f t="shared" si="19"/>
        <v>11399872.779999997</v>
      </c>
      <c r="M37" s="292">
        <f t="shared" si="19"/>
        <v>13616424.259999998</v>
      </c>
      <c r="N37" s="292">
        <f t="shared" si="19"/>
        <v>17735290.869999997</v>
      </c>
      <c r="O37" s="292">
        <f t="shared" si="19"/>
        <v>4015367</v>
      </c>
      <c r="P37" s="292">
        <f t="shared" si="19"/>
        <v>1374519.0499999998</v>
      </c>
      <c r="Q37" s="292">
        <f t="shared" si="19"/>
        <v>5038925.3899999978</v>
      </c>
      <c r="R37" s="292">
        <f t="shared" si="19"/>
        <v>4706525.1100000003</v>
      </c>
      <c r="S37" s="292">
        <f t="shared" si="19"/>
        <v>6360665.7400000002</v>
      </c>
      <c r="T37" s="292">
        <f t="shared" si="19"/>
        <v>6867685.6700000018</v>
      </c>
      <c r="U37" s="292">
        <f t="shared" si="19"/>
        <v>8257922.7799999975</v>
      </c>
      <c r="V37" s="292">
        <f t="shared" si="19"/>
        <v>10871725.789999999</v>
      </c>
      <c r="W37" s="292">
        <f t="shared" si="19"/>
        <v>12580960.969999999</v>
      </c>
    </row>
    <row r="38" spans="1:23">
      <c r="B38" s="317">
        <f>5421586-B37</f>
        <v>0</v>
      </c>
      <c r="O38" s="317">
        <f>6963696-O37</f>
        <v>2948329</v>
      </c>
    </row>
    <row r="39" spans="1:23">
      <c r="B39" s="309"/>
    </row>
  </sheetData>
  <pageMargins left="0.7" right="0.7" top="0.75" bottom="0.75" header="0.3" footer="0.3"/>
  <pageSetup scale="3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0"/>
  <sheetViews>
    <sheetView workbookViewId="0">
      <selection activeCell="H27" sqref="H27"/>
    </sheetView>
  </sheetViews>
  <sheetFormatPr defaultRowHeight="12.75"/>
  <cols>
    <col min="1" max="1" width="5" style="26" bestFit="1" customWidth="1"/>
    <col min="2" max="2" width="28.42578125" style="26" bestFit="1" customWidth="1"/>
    <col min="3" max="4" width="14.7109375" style="26" bestFit="1" customWidth="1"/>
    <col min="5" max="12" width="14.42578125" style="26" bestFit="1" customWidth="1"/>
    <col min="13" max="16384" width="9.140625" style="26"/>
  </cols>
  <sheetData>
    <row r="1" spans="1:12">
      <c r="A1" s="189"/>
      <c r="B1" s="190"/>
      <c r="E1" s="122"/>
    </row>
    <row r="2" spans="1:12" ht="15.75">
      <c r="A2" s="191"/>
      <c r="B2" s="192" t="s">
        <v>108</v>
      </c>
      <c r="C2" s="192" t="s">
        <v>262</v>
      </c>
      <c r="D2" s="192" t="s">
        <v>263</v>
      </c>
      <c r="E2" s="193" t="s">
        <v>264</v>
      </c>
      <c r="F2" s="193" t="s">
        <v>265</v>
      </c>
      <c r="G2" s="194">
        <v>43466</v>
      </c>
      <c r="H2" s="194">
        <v>43497</v>
      </c>
      <c r="I2" s="195">
        <v>43525</v>
      </c>
      <c r="J2" s="195">
        <v>43556</v>
      </c>
      <c r="K2" s="195">
        <v>43586</v>
      </c>
      <c r="L2" s="195">
        <v>43617</v>
      </c>
    </row>
    <row r="3" spans="1:12">
      <c r="A3" s="30">
        <v>2</v>
      </c>
      <c r="B3" s="51" t="s">
        <v>58</v>
      </c>
      <c r="C3" s="196">
        <v>463518893.97999996</v>
      </c>
      <c r="D3" s="196">
        <v>456370932.63</v>
      </c>
      <c r="E3" s="196">
        <v>436833618.45000005</v>
      </c>
      <c r="F3" s="196">
        <v>590186392</v>
      </c>
      <c r="G3" s="196">
        <v>602313936.84000003</v>
      </c>
      <c r="H3" s="196">
        <v>626251080.43000007</v>
      </c>
      <c r="I3" s="196">
        <v>598286974.44000006</v>
      </c>
      <c r="J3" s="196">
        <v>589072781.48000002</v>
      </c>
      <c r="K3" s="196">
        <v>617101547.82000005</v>
      </c>
      <c r="L3" s="196">
        <v>604177230.95000005</v>
      </c>
    </row>
    <row r="4" spans="1:12">
      <c r="A4" s="30">
        <v>3</v>
      </c>
      <c r="B4" s="51" t="s">
        <v>59</v>
      </c>
      <c r="C4" s="197">
        <v>363910285.35000002</v>
      </c>
      <c r="D4" s="197">
        <v>352811563.69999999</v>
      </c>
      <c r="E4" s="197">
        <v>346819825.96000004</v>
      </c>
      <c r="F4" s="197">
        <v>433315333</v>
      </c>
      <c r="G4" s="197">
        <v>438395348.75</v>
      </c>
      <c r="H4" s="197">
        <v>454200200.84000003</v>
      </c>
      <c r="I4" s="197">
        <v>471183574.06999999</v>
      </c>
      <c r="J4" s="197">
        <v>463060081.56999999</v>
      </c>
      <c r="K4" s="197">
        <v>486178640.04999995</v>
      </c>
      <c r="L4" s="197">
        <v>466221165.13999999</v>
      </c>
    </row>
    <row r="5" spans="1:12">
      <c r="A5" s="30">
        <v>3.1</v>
      </c>
      <c r="B5" s="99" t="s">
        <v>109</v>
      </c>
      <c r="C5" s="197">
        <v>242281651.97</v>
      </c>
      <c r="D5" s="197">
        <v>244644369.28</v>
      </c>
      <c r="E5" s="197">
        <v>243234342.24000001</v>
      </c>
      <c r="F5" s="197">
        <v>365696388</v>
      </c>
      <c r="G5" s="197">
        <v>373130884.45999998</v>
      </c>
      <c r="H5" s="197">
        <v>380563374.49000001</v>
      </c>
      <c r="I5" s="197">
        <v>389962101.52999997</v>
      </c>
      <c r="J5" s="197">
        <v>394639975.25999999</v>
      </c>
      <c r="K5" s="197">
        <v>397105169.01999998</v>
      </c>
      <c r="L5" s="197">
        <v>404014250.98000002</v>
      </c>
    </row>
    <row r="6" spans="1:12">
      <c r="A6" s="30">
        <v>3.2</v>
      </c>
      <c r="B6" s="99" t="s">
        <v>110</v>
      </c>
      <c r="C6" s="197">
        <v>4074376.91</v>
      </c>
      <c r="D6" s="197">
        <v>4984401.29</v>
      </c>
      <c r="E6" s="197">
        <v>5076228.9000000004</v>
      </c>
      <c r="F6" s="197">
        <v>67618945</v>
      </c>
      <c r="G6" s="197">
        <v>14363007.560000001</v>
      </c>
      <c r="H6" s="197">
        <v>15611949.109999999</v>
      </c>
      <c r="I6" s="197">
        <v>13612358.779999999</v>
      </c>
      <c r="J6" s="197">
        <v>14419908.76</v>
      </c>
      <c r="K6" s="197">
        <v>14679037.42</v>
      </c>
      <c r="L6" s="197">
        <v>13096148.84</v>
      </c>
    </row>
    <row r="7" spans="1:12">
      <c r="A7" s="30">
        <v>4</v>
      </c>
      <c r="B7" s="51" t="s">
        <v>111</v>
      </c>
      <c r="C7" s="198">
        <v>782851.88</v>
      </c>
      <c r="D7" s="198">
        <v>782851.88</v>
      </c>
      <c r="E7" s="198">
        <v>782851.88</v>
      </c>
      <c r="F7" s="198">
        <v>0</v>
      </c>
      <c r="G7" s="198">
        <v>0</v>
      </c>
      <c r="H7" s="198">
        <v>0</v>
      </c>
      <c r="I7" s="198">
        <v>0</v>
      </c>
      <c r="J7" s="198">
        <v>0</v>
      </c>
      <c r="K7" s="198">
        <v>0</v>
      </c>
      <c r="L7" s="198">
        <v>0</v>
      </c>
    </row>
    <row r="8" spans="1:12" ht="13.5" thickBot="1">
      <c r="A8" s="43">
        <v>4.0999999999999996</v>
      </c>
      <c r="B8" s="53" t="s">
        <v>112</v>
      </c>
      <c r="C8" s="75">
        <v>4642444.88</v>
      </c>
      <c r="D8" s="75">
        <v>27506533.770000003</v>
      </c>
      <c r="E8" s="75">
        <v>4912342.24</v>
      </c>
      <c r="F8" s="75">
        <v>58156529</v>
      </c>
      <c r="G8" s="75">
        <v>3901907.32</v>
      </c>
      <c r="H8" s="75">
        <v>4415903.3899999997</v>
      </c>
      <c r="I8" s="75">
        <v>-44130680.829999998</v>
      </c>
      <c r="J8" s="75">
        <v>10574287.379999999</v>
      </c>
      <c r="K8" s="75">
        <v>12876255.23</v>
      </c>
      <c r="L8" s="75">
        <v>10617409.810000001</v>
      </c>
    </row>
    <row r="9" spans="1:12">
      <c r="A9" s="34">
        <v>5.0999999999999996</v>
      </c>
      <c r="B9" s="199" t="s">
        <v>114</v>
      </c>
      <c r="C9" s="200">
        <v>94944699.390000001</v>
      </c>
      <c r="D9" s="200">
        <v>75269883.280000001</v>
      </c>
      <c r="E9" s="200">
        <v>78350880.049999997</v>
      </c>
      <c r="F9" s="200">
        <v>88729697</v>
      </c>
      <c r="G9" s="200">
        <v>155788125.82999998</v>
      </c>
      <c r="H9" s="200">
        <v>163406421.19999999</v>
      </c>
      <c r="I9" s="200">
        <v>167005526.25999999</v>
      </c>
      <c r="J9" s="200">
        <v>111209857.65000001</v>
      </c>
      <c r="K9" s="200">
        <v>113818097.59999999</v>
      </c>
      <c r="L9" s="200">
        <v>123110101.06000002</v>
      </c>
    </row>
    <row r="10" spans="1:12" ht="13.5" thickBot="1">
      <c r="A10" s="35">
        <v>5.2</v>
      </c>
      <c r="B10" s="201" t="s">
        <v>115</v>
      </c>
      <c r="C10" s="202">
        <v>85006163.939999998</v>
      </c>
      <c r="D10" s="202">
        <v>65331347.829999998</v>
      </c>
      <c r="E10" s="202">
        <v>67704198.769999996</v>
      </c>
      <c r="F10" s="202">
        <v>65523502</v>
      </c>
      <c r="G10" s="202">
        <v>131996813.03999999</v>
      </c>
      <c r="H10" s="202">
        <v>139578976.91</v>
      </c>
      <c r="I10" s="202">
        <v>142917002.03</v>
      </c>
      <c r="J10" s="202">
        <v>87051630.75</v>
      </c>
      <c r="K10" s="202">
        <v>89639870.699999988</v>
      </c>
      <c r="L10" s="202">
        <v>98730332.050000012</v>
      </c>
    </row>
    <row r="11" spans="1:12" ht="13.5" thickBot="1">
      <c r="A11" s="38">
        <v>5.3</v>
      </c>
      <c r="B11" s="190" t="s">
        <v>116</v>
      </c>
      <c r="C11" s="203">
        <v>94944699.390000001</v>
      </c>
      <c r="D11" s="203">
        <v>75269883.280000001</v>
      </c>
      <c r="E11" s="203">
        <v>78350880.049999997</v>
      </c>
      <c r="F11" s="203">
        <v>92958252</v>
      </c>
      <c r="G11" s="203">
        <v>160016680.76999998</v>
      </c>
      <c r="H11" s="203">
        <v>167634976.13999999</v>
      </c>
      <c r="I11" s="203">
        <v>171234081.19999999</v>
      </c>
      <c r="J11" s="203">
        <v>115438412.59</v>
      </c>
      <c r="K11" s="203">
        <v>118046652.53999999</v>
      </c>
      <c r="L11" s="203">
        <v>127338656.00000001</v>
      </c>
    </row>
    <row r="12" spans="1:12">
      <c r="A12" s="33">
        <v>7</v>
      </c>
      <c r="B12" s="105" t="s">
        <v>64</v>
      </c>
      <c r="C12" s="204">
        <v>299631067.07999998</v>
      </c>
      <c r="D12" s="204">
        <v>309643144.38</v>
      </c>
      <c r="E12" s="204">
        <v>310639770.16000003</v>
      </c>
      <c r="F12" s="204">
        <v>467465209</v>
      </c>
      <c r="G12" s="204">
        <v>472919770.68000001</v>
      </c>
      <c r="H12" s="204">
        <v>478687357.68000001</v>
      </c>
      <c r="I12" s="204">
        <v>475787713.94</v>
      </c>
      <c r="J12" s="204">
        <v>479582540.77999997</v>
      </c>
      <c r="K12" s="204">
        <v>481266665.38999999</v>
      </c>
      <c r="L12" s="204">
        <v>485276972.57000005</v>
      </c>
    </row>
    <row r="13" spans="1:12">
      <c r="A13" s="34">
        <v>7.1</v>
      </c>
      <c r="B13" s="51" t="s">
        <v>134</v>
      </c>
      <c r="C13" s="200">
        <v>309603490.20999998</v>
      </c>
      <c r="D13" s="200">
        <v>319615567.50999999</v>
      </c>
      <c r="E13" s="200">
        <v>320612193.29000002</v>
      </c>
      <c r="F13" s="200">
        <v>478678153</v>
      </c>
      <c r="G13" s="200">
        <v>484132714.24000001</v>
      </c>
      <c r="H13" s="200">
        <v>489900301.24000001</v>
      </c>
      <c r="I13" s="200">
        <v>487605607.92000002</v>
      </c>
      <c r="J13" s="200">
        <v>491602084.89999998</v>
      </c>
      <c r="K13" s="200">
        <v>493487859.64999998</v>
      </c>
      <c r="L13" s="200">
        <v>497699816.97000003</v>
      </c>
    </row>
    <row r="14" spans="1:12">
      <c r="A14" s="34">
        <v>7.3</v>
      </c>
      <c r="B14" s="51" t="s">
        <v>135</v>
      </c>
      <c r="C14" s="200">
        <v>9972423.1300000008</v>
      </c>
      <c r="D14" s="200">
        <v>9972423.1300000008</v>
      </c>
      <c r="E14" s="200">
        <v>9972423.1300000008</v>
      </c>
      <c r="F14" s="200">
        <v>11212944</v>
      </c>
      <c r="G14" s="200">
        <v>11212943.560000001</v>
      </c>
      <c r="H14" s="200">
        <v>11212943.560000001</v>
      </c>
      <c r="I14" s="200">
        <v>11817893.98</v>
      </c>
      <c r="J14" s="200">
        <v>12019544.119999999</v>
      </c>
      <c r="K14" s="200">
        <v>12221194.26</v>
      </c>
      <c r="L14" s="200">
        <v>12422844.4</v>
      </c>
    </row>
    <row r="15" spans="1:12" ht="13.5" thickBot="1">
      <c r="A15" s="43">
        <v>7.6</v>
      </c>
      <c r="B15" s="44" t="s">
        <v>138</v>
      </c>
      <c r="C15" s="205">
        <v>64879933.079999998</v>
      </c>
      <c r="D15" s="205">
        <v>49119809.189999998</v>
      </c>
      <c r="E15" s="205">
        <v>36488011.020000003</v>
      </c>
      <c r="F15" s="205">
        <v>86995878</v>
      </c>
      <c r="G15" s="205">
        <v>99084093.540000007</v>
      </c>
      <c r="H15" s="205">
        <v>106402453.78</v>
      </c>
      <c r="I15" s="205">
        <v>93263618.600000009</v>
      </c>
      <c r="J15" s="205">
        <v>81785848.030000001</v>
      </c>
      <c r="K15" s="205">
        <v>86648913.530000001</v>
      </c>
      <c r="L15" s="205">
        <v>81659238.829999998</v>
      </c>
    </row>
    <row r="16" spans="1:12">
      <c r="A16" s="33">
        <v>8</v>
      </c>
      <c r="B16" s="105" t="s">
        <v>139</v>
      </c>
      <c r="C16" s="204">
        <v>54697471.630000003</v>
      </c>
      <c r="D16" s="204">
        <v>57847365.859999999</v>
      </c>
      <c r="E16" s="204">
        <v>43977605.75</v>
      </c>
      <c r="F16" s="204">
        <v>31496750</v>
      </c>
      <c r="G16" s="204">
        <v>26081517.679999996</v>
      </c>
      <c r="H16" s="204">
        <v>36932714.030000001</v>
      </c>
      <c r="I16" s="204">
        <v>25007086.960000001</v>
      </c>
      <c r="J16" s="204">
        <v>23475837.73</v>
      </c>
      <c r="K16" s="204">
        <v>44957413.959999993</v>
      </c>
      <c r="L16" s="204">
        <v>33012464.609999996</v>
      </c>
    </row>
    <row r="17" spans="1:12" ht="13.5" thickBot="1">
      <c r="A17" s="35">
        <v>8.1</v>
      </c>
      <c r="B17" s="53" t="s">
        <v>140</v>
      </c>
      <c r="C17" s="202">
        <v>5970994.9500000002</v>
      </c>
      <c r="D17" s="202">
        <v>5779199.6399999997</v>
      </c>
      <c r="E17" s="202">
        <v>5967618.2599999998</v>
      </c>
      <c r="F17" s="202">
        <v>3048281</v>
      </c>
      <c r="G17" s="202">
        <v>7005758.3499999996</v>
      </c>
      <c r="H17" s="202">
        <v>7005758.4100000001</v>
      </c>
      <c r="I17" s="202">
        <v>6855145.9100000001</v>
      </c>
      <c r="J17" s="202">
        <v>6223465.2300000004</v>
      </c>
      <c r="K17" s="202">
        <v>6843368.5800000001</v>
      </c>
      <c r="L17" s="202">
        <v>6621497.3099999996</v>
      </c>
    </row>
    <row r="18" spans="1:12" ht="13.5" thickBot="1">
      <c r="A18" s="46">
        <v>9</v>
      </c>
      <c r="B18" s="206" t="s">
        <v>141</v>
      </c>
      <c r="C18" s="204">
        <v>6545698.6699999999</v>
      </c>
      <c r="D18" s="204">
        <v>43521403.869999997</v>
      </c>
      <c r="E18" s="204">
        <v>43551629.869999997</v>
      </c>
      <c r="F18" s="204">
        <v>18430545</v>
      </c>
      <c r="G18" s="204">
        <v>14759404.379999999</v>
      </c>
      <c r="H18" s="204">
        <v>14858404.379999999</v>
      </c>
      <c r="I18" s="204">
        <v>14602688.379999999</v>
      </c>
      <c r="J18" s="204">
        <v>16880137.379999999</v>
      </c>
      <c r="K18" s="204">
        <v>16989737.379999999</v>
      </c>
      <c r="L18" s="204">
        <v>17093937.34</v>
      </c>
    </row>
    <row r="19" spans="1:12">
      <c r="A19" s="207">
        <v>10</v>
      </c>
      <c r="B19" s="208" t="s">
        <v>146</v>
      </c>
      <c r="C19" s="204">
        <v>22339454.649999999</v>
      </c>
      <c r="D19" s="204">
        <v>4546921.07</v>
      </c>
      <c r="E19" s="204">
        <v>5916993.0600000005</v>
      </c>
      <c r="F19" s="204">
        <v>68345005</v>
      </c>
      <c r="G19" s="204">
        <v>18479434.449999999</v>
      </c>
      <c r="H19" s="204">
        <v>19450021.170000002</v>
      </c>
      <c r="I19" s="204">
        <v>21786997.959999997</v>
      </c>
      <c r="J19" s="204">
        <v>6653981.0599999996</v>
      </c>
      <c r="K19" s="204">
        <v>12263359.280000001</v>
      </c>
      <c r="L19" s="204">
        <v>13807774.51</v>
      </c>
    </row>
    <row r="21" spans="1:12" ht="15">
      <c r="B21" s="90" t="s">
        <v>1</v>
      </c>
      <c r="C21" s="210">
        <v>94.944699389999997</v>
      </c>
      <c r="D21" s="210">
        <v>75.269883280000002</v>
      </c>
      <c r="E21" s="210">
        <v>78.350880050000001</v>
      </c>
      <c r="F21" s="210">
        <v>88.729697000000002</v>
      </c>
      <c r="G21" s="210">
        <v>155.78812582999998</v>
      </c>
      <c r="H21" s="210">
        <v>163.40642119999998</v>
      </c>
      <c r="I21" s="210">
        <v>167.00552625999998</v>
      </c>
      <c r="J21" s="210">
        <v>111.20985765</v>
      </c>
      <c r="K21" s="210">
        <v>113.81809759999999</v>
      </c>
      <c r="L21" s="210">
        <v>123.11010106000002</v>
      </c>
    </row>
    <row r="22" spans="1:12" ht="15">
      <c r="B22" s="90" t="s">
        <v>90</v>
      </c>
      <c r="C22" s="209">
        <v>0.20483458306253358</v>
      </c>
      <c r="D22" s="209">
        <v>0.16493137029177229</v>
      </c>
      <c r="E22" s="209">
        <v>0.17936092081925703</v>
      </c>
      <c r="F22" s="209">
        <v>0.15034182116486344</v>
      </c>
      <c r="G22" s="209">
        <v>0.25864937917148656</v>
      </c>
      <c r="H22" s="209">
        <v>0.26092796692310843</v>
      </c>
      <c r="I22" s="209">
        <v>0.27913949892744716</v>
      </c>
      <c r="J22" s="209">
        <v>0.18878797518125656</v>
      </c>
      <c r="K22" s="209">
        <v>0.18443981870095577</v>
      </c>
      <c r="L22" s="209">
        <v>0.20376488016012018</v>
      </c>
    </row>
    <row r="23" spans="1:12" ht="15">
      <c r="B23" s="90" t="s">
        <v>91</v>
      </c>
      <c r="C23" s="209">
        <v>0.18339309366678777</v>
      </c>
      <c r="D23" s="209">
        <v>0.14315405114323307</v>
      </c>
      <c r="E23" s="209">
        <v>0.15498852631862953</v>
      </c>
      <c r="F23" s="209">
        <v>0.11102170922300764</v>
      </c>
      <c r="G23" s="209">
        <v>0.21914952480182093</v>
      </c>
      <c r="H23" s="209">
        <v>0.22288021733098087</v>
      </c>
      <c r="I23" s="209">
        <v>0.23887700741566556</v>
      </c>
      <c r="J23" s="209">
        <v>0.14777737740876346</v>
      </c>
      <c r="K23" s="209">
        <v>0.14525951363542308</v>
      </c>
      <c r="L23" s="209">
        <v>0.16341286462377569</v>
      </c>
    </row>
    <row r="24" spans="1:12" ht="15">
      <c r="B24" s="90" t="s">
        <v>92</v>
      </c>
      <c r="C24" s="209">
        <v>0.26090139029372172</v>
      </c>
      <c r="D24" s="209">
        <v>0.21334301656847876</v>
      </c>
      <c r="E24" s="209">
        <v>0.22591234463924931</v>
      </c>
      <c r="F24" s="209">
        <v>0.20476934519185361</v>
      </c>
      <c r="G24" s="209">
        <v>0.35535989666450579</v>
      </c>
      <c r="H24" s="209">
        <v>0.35976739089457771</v>
      </c>
      <c r="I24" s="209">
        <v>0.35443834516011652</v>
      </c>
      <c r="J24" s="209">
        <v>0.24016291206303994</v>
      </c>
      <c r="K24" s="209">
        <v>0.23410756504706712</v>
      </c>
      <c r="L24" s="209">
        <v>0.26405944273900928</v>
      </c>
    </row>
    <row r="25" spans="1:12" ht="15">
      <c r="B25" s="94" t="s">
        <v>93</v>
      </c>
      <c r="C25" s="209"/>
      <c r="D25" s="209"/>
      <c r="E25" s="209"/>
      <c r="F25" s="209"/>
      <c r="G25" s="209"/>
      <c r="H25" s="209"/>
      <c r="I25" s="209"/>
      <c r="J25" s="209"/>
      <c r="K25" s="209"/>
      <c r="L25" s="209"/>
    </row>
    <row r="26" spans="1:12" ht="15">
      <c r="B26" s="90" t="s">
        <v>94</v>
      </c>
      <c r="C26" s="209"/>
      <c r="D26" s="209"/>
      <c r="E26" s="209"/>
      <c r="F26" s="209"/>
      <c r="G26" s="209"/>
      <c r="H26" s="209"/>
      <c r="I26" s="209"/>
      <c r="J26" s="209"/>
      <c r="K26" s="209"/>
      <c r="L26" s="209"/>
    </row>
    <row r="27" spans="1:12" ht="15">
      <c r="B27" s="94" t="s">
        <v>82</v>
      </c>
      <c r="C27" s="209"/>
      <c r="D27" s="209"/>
      <c r="E27" s="209"/>
      <c r="F27" s="209"/>
      <c r="G27" s="209"/>
      <c r="H27" s="209"/>
      <c r="I27" s="209"/>
      <c r="J27" s="209"/>
      <c r="K27" s="209"/>
      <c r="L27" s="209"/>
    </row>
    <row r="28" spans="1:12" ht="15">
      <c r="B28" s="90" t="s">
        <v>83</v>
      </c>
      <c r="C28" s="209">
        <v>0.10366401602677947</v>
      </c>
      <c r="D28" s="209">
        <v>4.9791285087911821E-3</v>
      </c>
      <c r="E28" s="209">
        <v>8.6990957539672831E-3</v>
      </c>
      <c r="F28" s="209">
        <v>2.1403286692598458E-2</v>
      </c>
      <c r="G28" s="209">
        <v>8.6521768483988973E-2</v>
      </c>
      <c r="H28" s="209">
        <v>9.2418745160710331E-2</v>
      </c>
      <c r="I28" s="209">
        <v>9.5308003681039338E-2</v>
      </c>
      <c r="J28" s="209">
        <v>2.5179366139760146E-2</v>
      </c>
      <c r="K28" s="209">
        <v>2.7427623319558749E-2</v>
      </c>
      <c r="L28" s="209">
        <v>3.6644693878419822E-2</v>
      </c>
    </row>
    <row r="29" spans="1:12" ht="15">
      <c r="B29" s="90" t="s">
        <v>95</v>
      </c>
      <c r="C29" s="209">
        <v>0.25741416351582458</v>
      </c>
      <c r="D29" s="209">
        <v>0.47475461442470174</v>
      </c>
      <c r="E29" s="209">
        <v>0.47309013231184821</v>
      </c>
      <c r="F29" s="209">
        <v>0.59346690595014484</v>
      </c>
      <c r="G29" s="209">
        <v>0.29062189047777387</v>
      </c>
      <c r="H29" s="209">
        <v>0.28378980928479264</v>
      </c>
      <c r="I29" s="209">
        <v>0.30491294255765539</v>
      </c>
      <c r="J29" s="209">
        <v>0.35188480121631338</v>
      </c>
      <c r="K29" s="209">
        <v>0.42614588607338072</v>
      </c>
      <c r="L29" s="209">
        <v>0.38569896660788255</v>
      </c>
    </row>
    <row r="30" spans="1:12" ht="15">
      <c r="B30" s="90" t="s">
        <v>96</v>
      </c>
      <c r="C30" s="209">
        <v>5.0864586829587354E-2</v>
      </c>
      <c r="D30" s="209">
        <v>6.8212320229515053E-3</v>
      </c>
      <c r="E30" s="209">
        <v>1.206515205652208E-2</v>
      </c>
      <c r="F30" s="209">
        <v>5.6671521833393947E-2</v>
      </c>
      <c r="G30" s="209">
        <v>5.4654003762069081E-2</v>
      </c>
      <c r="H30" s="209">
        <v>5.5574311322709478E-2</v>
      </c>
      <c r="I30" s="209">
        <v>6.7479628714612397E-2</v>
      </c>
      <c r="J30" s="209">
        <v>2.1463423141422584E-2</v>
      </c>
      <c r="K30" s="209">
        <v>3.0839953808625337E-2</v>
      </c>
      <c r="L30" s="209">
        <v>3.6261474047195714E-2</v>
      </c>
    </row>
    <row r="31" spans="1:12" ht="15">
      <c r="B31" s="90" t="s">
        <v>98</v>
      </c>
      <c r="C31" s="209">
        <v>0.28117847936152124</v>
      </c>
      <c r="D31" s="209">
        <v>0.18048740106872116</v>
      </c>
      <c r="E31" s="209">
        <v>0.14704210574669535</v>
      </c>
      <c r="F31" s="209">
        <v>0.20525015756822076</v>
      </c>
      <c r="G31" s="209">
        <v>0.26279967074539218</v>
      </c>
      <c r="H31" s="209">
        <v>0.27638488587213306</v>
      </c>
      <c r="I31" s="209">
        <v>0.26967942476488815</v>
      </c>
      <c r="J31" s="209">
        <v>0.20183358674780927</v>
      </c>
      <c r="K31" s="209">
        <v>0.21134838898740665</v>
      </c>
      <c r="L31" s="209">
        <v>0.19694405071338303</v>
      </c>
    </row>
    <row r="32" spans="1:12" ht="15">
      <c r="B32" s="90" t="s">
        <v>99</v>
      </c>
      <c r="C32" s="209">
        <v>0.18838482630876585</v>
      </c>
      <c r="D32" s="209">
        <v>0.12915454067729354</v>
      </c>
      <c r="E32" s="209">
        <v>0.1037380550284283</v>
      </c>
      <c r="F32" s="209">
        <v>0.17701090281339443</v>
      </c>
      <c r="G32" s="209">
        <v>0.22402149726273343</v>
      </c>
      <c r="H32" s="209">
        <v>0.232007670028609</v>
      </c>
      <c r="I32" s="209">
        <v>0.21838891639960548</v>
      </c>
      <c r="J32" s="209">
        <v>0.17267718179175012</v>
      </c>
      <c r="K32" s="209">
        <v>0.17362601659559862</v>
      </c>
      <c r="L32" s="209">
        <v>0.17125132722024969</v>
      </c>
    </row>
    <row r="33" spans="2:12" ht="15">
      <c r="B33" s="90" t="s">
        <v>100</v>
      </c>
      <c r="C33" s="209">
        <v>1.6889319727143176E-3</v>
      </c>
      <c r="D33" s="209">
        <v>1.7153850607630448E-3</v>
      </c>
      <c r="E33" s="209">
        <v>1.7921053850611665E-3</v>
      </c>
      <c r="F33" s="209">
        <v>0</v>
      </c>
      <c r="G33" s="209">
        <v>0</v>
      </c>
      <c r="H33" s="209">
        <v>0</v>
      </c>
      <c r="I33" s="209">
        <v>0</v>
      </c>
      <c r="J33" s="209">
        <v>0</v>
      </c>
      <c r="K33" s="209">
        <v>0</v>
      </c>
      <c r="L33" s="209">
        <v>0</v>
      </c>
    </row>
    <row r="34" spans="2:12" ht="15">
      <c r="B34" s="90" t="s">
        <v>101</v>
      </c>
      <c r="C34" s="209">
        <v>0.14978837534289544</v>
      </c>
      <c r="D34" s="209">
        <v>0.10763132723403221</v>
      </c>
      <c r="E34" s="209">
        <v>8.3528394974427586E-2</v>
      </c>
      <c r="F34" s="209">
        <v>0.14740407298309921</v>
      </c>
      <c r="G34" s="209">
        <v>0.16450572945370998</v>
      </c>
      <c r="H34" s="209">
        <v>0.16990382468792126</v>
      </c>
      <c r="I34" s="209">
        <v>0.15588442099595312</v>
      </c>
      <c r="J34" s="209">
        <v>0.13883827364170409</v>
      </c>
      <c r="K34" s="209">
        <v>0.14041273083190237</v>
      </c>
      <c r="L34" s="209">
        <v>0.13515775611338435</v>
      </c>
    </row>
    <row r="35" spans="2:12" ht="15">
      <c r="B35" s="90" t="s">
        <v>103</v>
      </c>
      <c r="C35" s="209">
        <v>0.11800483721459713</v>
      </c>
      <c r="D35" s="209">
        <v>0.12675514964687595</v>
      </c>
      <c r="E35" s="209">
        <v>0.10067358347108002</v>
      </c>
      <c r="F35" s="209">
        <v>5.3367462257584548E-2</v>
      </c>
      <c r="G35" s="209">
        <v>4.3302198545886121E-2</v>
      </c>
      <c r="H35" s="209">
        <v>5.8974291916017219E-2</v>
      </c>
      <c r="I35" s="209">
        <v>4.1797812802805499E-2</v>
      </c>
      <c r="J35" s="209">
        <v>3.9852185448152541E-2</v>
      </c>
      <c r="K35" s="209">
        <v>7.2852537996085931E-2</v>
      </c>
      <c r="L35" s="209">
        <v>5.4640365308192176E-2</v>
      </c>
    </row>
    <row r="36" spans="2:12" ht="15">
      <c r="B36" s="90" t="s">
        <v>104</v>
      </c>
      <c r="C36" s="209">
        <v>1.2881880388370185E-2</v>
      </c>
      <c r="D36" s="209">
        <v>1.2663382408461696E-2</v>
      </c>
      <c r="E36" s="209">
        <v>1.3661078286910861E-2</v>
      </c>
      <c r="F36" s="209">
        <v>5.1649462632815156E-3</v>
      </c>
      <c r="G36" s="209">
        <v>1.1631406682626745E-2</v>
      </c>
      <c r="H36" s="209">
        <v>1.1186820476524634E-2</v>
      </c>
      <c r="I36" s="209">
        <v>1.1457956136211147E-2</v>
      </c>
      <c r="J36" s="209">
        <v>1.056484941362258E-2</v>
      </c>
      <c r="K36" s="209">
        <v>1.108953397406826E-2</v>
      </c>
      <c r="L36" s="209">
        <v>1.0959528050384235E-2</v>
      </c>
    </row>
    <row r="37" spans="2:12" ht="15">
      <c r="B37" s="90" t="s">
        <v>105</v>
      </c>
      <c r="C37" s="209">
        <v>0.12176193961482382</v>
      </c>
      <c r="D37" s="209">
        <v>0.11269645695005888</v>
      </c>
      <c r="E37" s="209">
        <v>0.11464342642449089</v>
      </c>
      <c r="F37" s="209">
        <v>9.7586092112738592E-3</v>
      </c>
      <c r="G37" s="209">
        <v>9.6455287494653201E-3</v>
      </c>
      <c r="H37" s="209">
        <v>9.3098922725698731E-3</v>
      </c>
      <c r="I37" s="209">
        <v>8.9743258736175672E-3</v>
      </c>
      <c r="J37" s="209">
        <v>9.1317630439297047E-3</v>
      </c>
      <c r="K37" s="209">
        <v>8.6975333584485004E-3</v>
      </c>
      <c r="L37" s="209">
        <v>9.0698476520906599E-3</v>
      </c>
    </row>
    <row r="38" spans="2:12" ht="15.75" thickBot="1">
      <c r="B38" s="91" t="s">
        <v>106</v>
      </c>
      <c r="C38" s="209">
        <v>0.46669716661051408</v>
      </c>
      <c r="D38" s="209">
        <v>0.52824066502259104</v>
      </c>
      <c r="E38" s="209">
        <v>0.50746862287477268</v>
      </c>
      <c r="F38" s="209">
        <v>4.7656592358249573E-2</v>
      </c>
      <c r="G38" s="209">
        <v>2.7142986138842883E-2</v>
      </c>
      <c r="H38" s="209">
        <v>2.5877532283902688E-2</v>
      </c>
      <c r="I38" s="209">
        <v>2.5319850394751844E-2</v>
      </c>
      <c r="J38" s="209">
        <v>3.8023202523180283E-2</v>
      </c>
      <c r="K38" s="209">
        <v>3.7151868017164968E-2</v>
      </c>
      <c r="L38" s="209">
        <v>3.4347749726394386E-2</v>
      </c>
    </row>
    <row r="40" spans="2:12">
      <c r="F40" s="209"/>
      <c r="G40" s="209"/>
      <c r="H40" s="209"/>
      <c r="I40" s="209"/>
      <c r="J40" s="209"/>
      <c r="K40" s="209"/>
      <c r="L40" s="209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zoomScaleNormal="100" zoomScaleSheetLayoutView="100" workbookViewId="0">
      <selection activeCell="E38" sqref="E38"/>
    </sheetView>
  </sheetViews>
  <sheetFormatPr defaultColWidth="8.85546875" defaultRowHeight="15"/>
  <cols>
    <col min="1" max="1" width="48" style="265" customWidth="1"/>
    <col min="2" max="2" width="20.7109375" style="273" customWidth="1"/>
    <col min="3" max="3" width="26.140625" style="265" customWidth="1"/>
    <col min="4" max="4" width="22.140625" style="265" customWidth="1"/>
    <col min="5" max="5" width="24.42578125" style="265" customWidth="1"/>
    <col min="6" max="6" width="21.42578125" style="265" customWidth="1"/>
    <col min="7" max="7" width="23.140625" style="274" customWidth="1"/>
    <col min="8" max="8" width="13.7109375" style="265" bestFit="1" customWidth="1"/>
    <col min="9" max="16384" width="8.85546875" style="265"/>
  </cols>
  <sheetData>
    <row r="1" spans="1:8">
      <c r="A1" s="357" t="s">
        <v>266</v>
      </c>
      <c r="B1" s="358"/>
      <c r="C1" s="358"/>
      <c r="D1" s="358"/>
      <c r="E1" s="358"/>
      <c r="F1" s="359"/>
      <c r="G1" s="360"/>
    </row>
    <row r="2" spans="1:8">
      <c r="A2" s="361" t="s">
        <v>267</v>
      </c>
      <c r="B2" s="362"/>
      <c r="C2" s="362"/>
      <c r="D2" s="362"/>
      <c r="E2" s="362"/>
      <c r="F2" s="363"/>
      <c r="G2" s="364"/>
    </row>
    <row r="3" spans="1:8">
      <c r="A3" s="245"/>
      <c r="B3" s="365" t="s">
        <v>268</v>
      </c>
      <c r="C3" s="252" t="s">
        <v>269</v>
      </c>
      <c r="D3" s="367" t="s">
        <v>270</v>
      </c>
      <c r="E3" s="368"/>
      <c r="F3" s="369" t="s">
        <v>271</v>
      </c>
      <c r="G3" s="371" t="s">
        <v>272</v>
      </c>
    </row>
    <row r="4" spans="1:8" ht="21.75" customHeight="1">
      <c r="A4" s="90"/>
      <c r="B4" s="366"/>
      <c r="C4" s="219">
        <v>2019</v>
      </c>
      <c r="D4" s="220" t="s">
        <v>273</v>
      </c>
      <c r="E4" s="221" t="s">
        <v>274</v>
      </c>
      <c r="F4" s="370"/>
      <c r="G4" s="372"/>
    </row>
    <row r="5" spans="1:8">
      <c r="A5" s="353" t="s">
        <v>275</v>
      </c>
      <c r="B5" s="354"/>
      <c r="C5" s="354"/>
      <c r="D5" s="354"/>
      <c r="E5" s="354"/>
      <c r="F5" s="355"/>
      <c r="G5" s="356"/>
    </row>
    <row r="6" spans="1:8">
      <c r="A6" s="235" t="s">
        <v>276</v>
      </c>
      <c r="B6" s="236" t="s">
        <v>277</v>
      </c>
      <c r="C6" s="234">
        <f>C33</f>
        <v>98409139</v>
      </c>
      <c r="D6" s="234">
        <f>D33</f>
        <v>153985536.19000003</v>
      </c>
      <c r="E6" s="234">
        <f>E33</f>
        <v>175657416.46000001</v>
      </c>
      <c r="F6" s="234" t="e">
        <f>F33</f>
        <v>#REF!</v>
      </c>
      <c r="G6" s="234">
        <f>G33</f>
        <v>92813819771.184998</v>
      </c>
      <c r="H6" s="277" t="e">
        <f>F6-C6</f>
        <v>#REF!</v>
      </c>
    </row>
    <row r="7" spans="1:8">
      <c r="A7" s="235" t="s">
        <v>278</v>
      </c>
      <c r="B7" s="237" t="s">
        <v>279</v>
      </c>
      <c r="C7" s="249">
        <f>C33/C29</f>
        <v>0.14919599732487918</v>
      </c>
      <c r="D7" s="249">
        <f>D33/D29</f>
        <v>0.21974079100548016</v>
      </c>
      <c r="E7" s="249">
        <f>E33/E29</f>
        <v>0.23992254014155917</v>
      </c>
      <c r="F7" s="249" t="e">
        <f>F33/F29</f>
        <v>#REF!</v>
      </c>
      <c r="G7" s="249">
        <f>G33/G29</f>
        <v>0.15852844215836145</v>
      </c>
    </row>
    <row r="8" spans="1:8">
      <c r="A8" s="235" t="s">
        <v>28</v>
      </c>
      <c r="B8" s="237" t="s">
        <v>280</v>
      </c>
      <c r="C8" s="251">
        <f>C34/C29</f>
        <v>0.11007418893107167</v>
      </c>
      <c r="D8" s="251">
        <f>D34/D29</f>
        <v>0.18075964856116333</v>
      </c>
      <c r="E8" s="251">
        <f>E34/E29</f>
        <v>0.20203819807576381</v>
      </c>
      <c r="F8" s="249" t="e">
        <f>F34/F29</f>
        <v>#REF!</v>
      </c>
      <c r="G8" s="249">
        <f>G34/G29</f>
        <v>9.2879021526115629E-2</v>
      </c>
    </row>
    <row r="9" spans="1:8">
      <c r="A9" s="353" t="s">
        <v>281</v>
      </c>
      <c r="B9" s="354"/>
      <c r="C9" s="354"/>
      <c r="D9" s="354"/>
      <c r="E9" s="354"/>
      <c r="F9" s="355"/>
      <c r="G9" s="356"/>
    </row>
    <row r="10" spans="1:8">
      <c r="A10" s="235" t="s">
        <v>282</v>
      </c>
      <c r="B10" s="236" t="s">
        <v>283</v>
      </c>
      <c r="C10" s="251">
        <f>C35/C32</f>
        <v>0</v>
      </c>
      <c r="D10" s="251">
        <f>D35/D32</f>
        <v>6.680461637070903E-2</v>
      </c>
      <c r="E10" s="251">
        <f>E35/E32</f>
        <v>5.8669004320712224E-2</v>
      </c>
      <c r="F10" s="251" t="e">
        <f>F35/F32</f>
        <v>#REF!</v>
      </c>
      <c r="G10" s="251">
        <f>G35/G32</f>
        <v>8.1923115843372349E-2</v>
      </c>
    </row>
    <row r="11" spans="1:8">
      <c r="A11" s="235" t="s">
        <v>139</v>
      </c>
      <c r="B11" s="236" t="s">
        <v>284</v>
      </c>
      <c r="C11" s="249">
        <f>C36/C29</f>
        <v>4.1460676614543251E-2</v>
      </c>
      <c r="D11" s="249">
        <f>D36/D29</f>
        <v>3.450476512838186E-2</v>
      </c>
      <c r="E11" s="249">
        <f>E36/E29</f>
        <v>3.1473270026014293E-2</v>
      </c>
      <c r="F11" s="249" t="e">
        <f>F36/F29</f>
        <v>#REF!</v>
      </c>
      <c r="G11" s="249">
        <f>G36/G29</f>
        <v>0.10331964188281548</v>
      </c>
    </row>
    <row r="12" spans="1:8">
      <c r="A12" s="235" t="s">
        <v>285</v>
      </c>
      <c r="B12" s="236" t="s">
        <v>283</v>
      </c>
      <c r="C12" s="238">
        <f>C38/C31</f>
        <v>8.6859989292853296E-3</v>
      </c>
      <c r="D12" s="238">
        <f>D38/D31</f>
        <v>7.9726879541608467E-3</v>
      </c>
      <c r="E12" s="238">
        <f>E38/E31</f>
        <v>7.8282924204748777E-3</v>
      </c>
      <c r="F12" s="238" t="e">
        <f>F38/F31</f>
        <v>#REF!</v>
      </c>
      <c r="G12" s="238">
        <f>G38/G31</f>
        <v>3.3894147010812434E-2</v>
      </c>
    </row>
    <row r="13" spans="1:8" s="266" customFormat="1">
      <c r="A13" s="239" t="s">
        <v>286</v>
      </c>
      <c r="B13" s="236" t="s">
        <v>287</v>
      </c>
      <c r="C13" s="250">
        <f>C38/C33</f>
        <v>4.2969139278822469E-2</v>
      </c>
      <c r="D13" s="250">
        <f>D38/D33</f>
        <v>2.7460728095802852E-2</v>
      </c>
      <c r="E13" s="250">
        <f>E38/E33</f>
        <v>2.4072737862240561E-2</v>
      </c>
      <c r="F13" s="250" t="e">
        <f>F38/F33</f>
        <v>#REF!</v>
      </c>
      <c r="G13" s="250">
        <f>G38/G33</f>
        <v>0.14648773764078013</v>
      </c>
    </row>
    <row r="14" spans="1:8">
      <c r="A14" s="353" t="s">
        <v>288</v>
      </c>
      <c r="B14" s="354"/>
      <c r="C14" s="354"/>
      <c r="D14" s="354"/>
      <c r="E14" s="354"/>
      <c r="F14" s="355"/>
      <c r="G14" s="356"/>
    </row>
    <row r="15" spans="1:8">
      <c r="A15" s="235" t="s">
        <v>289</v>
      </c>
      <c r="B15" s="236"/>
      <c r="C15" s="251">
        <f>C48/C32</f>
        <v>0.18432222967654191</v>
      </c>
      <c r="D15" s="251">
        <f>D48/D32</f>
        <v>0.12920339640568926</v>
      </c>
      <c r="E15" s="251">
        <f>E48/E32</f>
        <v>0.17383407041543647</v>
      </c>
      <c r="F15" s="251" t="e">
        <f>F48/F32</f>
        <v>#REF!</v>
      </c>
      <c r="G15" s="251">
        <f>G48/G32</f>
        <v>0.17443870315662696</v>
      </c>
    </row>
    <row r="16" spans="1:8">
      <c r="A16" s="235" t="s">
        <v>290</v>
      </c>
      <c r="B16" s="236"/>
      <c r="C16" s="251">
        <f>C49/C44</f>
        <v>0.81230274644767986</v>
      </c>
      <c r="D16" s="251">
        <f>D49/D44</f>
        <v>0.33068826204585827</v>
      </c>
      <c r="E16" s="251">
        <f>E49/E44</f>
        <v>0.33091343328538642</v>
      </c>
      <c r="F16" s="251" t="e">
        <f>F49/F44</f>
        <v>#REF!</v>
      </c>
      <c r="G16" s="251">
        <f>G49/G44</f>
        <v>0.69938820574704474</v>
      </c>
    </row>
    <row r="17" spans="1:9">
      <c r="A17" s="235" t="s">
        <v>291</v>
      </c>
      <c r="B17" s="236"/>
      <c r="C17" s="250">
        <f>C50/C30</f>
        <v>2.2379769613754919E-2</v>
      </c>
      <c r="D17" s="250">
        <f>D50/D30</f>
        <v>8.1626280696577722E-2</v>
      </c>
      <c r="E17" s="250">
        <f>E50/E30</f>
        <v>0.10964544222755615</v>
      </c>
      <c r="F17" s="250" t="e">
        <f>F50/F30</f>
        <v>#REF!</v>
      </c>
      <c r="G17" s="250">
        <f>G50/G30</f>
        <v>3.841044164466715E-2</v>
      </c>
    </row>
    <row r="18" spans="1:9">
      <c r="A18" s="239" t="s">
        <v>292</v>
      </c>
      <c r="B18" s="240"/>
      <c r="C18" s="250">
        <f>C47/C44</f>
        <v>0.32162796115314152</v>
      </c>
      <c r="D18" s="250">
        <f>D47/D44</f>
        <v>0.28452021663262222</v>
      </c>
      <c r="E18" s="250">
        <f>E47/E44</f>
        <v>0.28396283960033991</v>
      </c>
      <c r="F18" s="250" t="e">
        <f>F47/F44</f>
        <v>#REF!</v>
      </c>
      <c r="G18" s="250">
        <f>G47/G44</f>
        <v>0.30079836895724715</v>
      </c>
    </row>
    <row r="19" spans="1:9">
      <c r="A19" s="353" t="s">
        <v>293</v>
      </c>
      <c r="B19" s="354"/>
      <c r="C19" s="354"/>
      <c r="D19" s="354"/>
      <c r="E19" s="354"/>
      <c r="F19" s="355"/>
      <c r="G19" s="356"/>
    </row>
    <row r="20" spans="1:9">
      <c r="A20" s="235" t="s">
        <v>294</v>
      </c>
      <c r="B20" s="241" t="s">
        <v>295</v>
      </c>
      <c r="C20" s="249">
        <f>C40/C41</f>
        <v>0.59313783443023149</v>
      </c>
      <c r="D20" s="249">
        <f>D40/D41</f>
        <v>1.4178168206476982</v>
      </c>
      <c r="E20" s="249">
        <f>E40/E41</f>
        <v>2.0006731708475938</v>
      </c>
      <c r="F20" s="249" t="e">
        <f>F40/F41</f>
        <v>#REF!</v>
      </c>
      <c r="G20" s="249">
        <f>G40/G41</f>
        <v>0.61510570462426006</v>
      </c>
      <c r="I20" s="223"/>
    </row>
    <row r="21" spans="1:9">
      <c r="A21" s="235" t="s">
        <v>296</v>
      </c>
      <c r="B21" s="236" t="s">
        <v>297</v>
      </c>
      <c r="C21" s="249">
        <f>C42/C29</f>
        <v>1.1611646592205726E-5</v>
      </c>
      <c r="D21" s="249">
        <f>D42/D29</f>
        <v>1.1921445449206786E-2</v>
      </c>
      <c r="E21" s="249">
        <f>E42/E29</f>
        <v>1.0282181516231097E-2</v>
      </c>
      <c r="F21" s="249" t="e">
        <f>F42/F29</f>
        <v>#REF!</v>
      </c>
      <c r="G21" s="249">
        <f>G42/G29</f>
        <v>3.6576677282176132E-2</v>
      </c>
      <c r="I21" s="224"/>
    </row>
    <row r="22" spans="1:9">
      <c r="A22" s="235" t="s">
        <v>298</v>
      </c>
      <c r="B22" s="236"/>
      <c r="C22" s="249">
        <f>C40/C29</f>
        <v>6.7680720652838644E-2</v>
      </c>
      <c r="D22" s="249">
        <f>D40/D29</f>
        <v>0.12936886465819566</v>
      </c>
      <c r="E22" s="249">
        <f>E40/E29</f>
        <v>0.15742858586785072</v>
      </c>
      <c r="F22" s="249" t="e">
        <f>F40/F29</f>
        <v>#REF!</v>
      </c>
      <c r="G22" s="249">
        <f>G40/G29</f>
        <v>0.11724056070831325</v>
      </c>
    </row>
    <row r="23" spans="1:9">
      <c r="A23" s="353" t="s">
        <v>299</v>
      </c>
      <c r="B23" s="354"/>
      <c r="C23" s="354"/>
      <c r="D23" s="354"/>
      <c r="E23" s="354"/>
      <c r="F23" s="355"/>
      <c r="G23" s="356"/>
    </row>
    <row r="24" spans="1:9">
      <c r="A24" s="242" t="s">
        <v>300</v>
      </c>
      <c r="B24" s="240" t="s">
        <v>301</v>
      </c>
      <c r="C24" s="250">
        <f>C32/C29</f>
        <v>0.82800207020543437</v>
      </c>
      <c r="D24" s="250">
        <f>D32/D29</f>
        <v>0.86523081232939758</v>
      </c>
      <c r="E24" s="250">
        <f>E32/E29</f>
        <v>0.83846194422529452</v>
      </c>
      <c r="F24" s="250" t="e">
        <f>F32/F29</f>
        <v>#REF!</v>
      </c>
      <c r="G24" s="250">
        <f>G32/G29</f>
        <v>0.75523899350036761</v>
      </c>
    </row>
    <row r="25" spans="1:9">
      <c r="A25" s="242" t="s">
        <v>302</v>
      </c>
      <c r="B25" s="243" t="s">
        <v>303</v>
      </c>
      <c r="C25" s="250">
        <f>C32/C31</f>
        <v>1.1218566531308134</v>
      </c>
      <c r="D25" s="250">
        <f>D32/D31</f>
        <v>1.1431784050820011</v>
      </c>
      <c r="E25" s="250">
        <f>E32/E31</f>
        <v>1.1364592253033425</v>
      </c>
      <c r="F25" s="250" t="e">
        <f>F32/F31</f>
        <v>#REF!</v>
      </c>
      <c r="G25" s="250">
        <f>G32/G31</f>
        <v>1.1023021383861471</v>
      </c>
    </row>
    <row r="26" spans="1:9">
      <c r="A26" s="242" t="s">
        <v>304</v>
      </c>
      <c r="B26" s="243"/>
      <c r="C26" s="250">
        <f>C39/C31</f>
        <v>0.11977916882243211</v>
      </c>
      <c r="D26" s="250">
        <f>D39/D31</f>
        <v>7.9726879541608467E-3</v>
      </c>
      <c r="E26" s="250">
        <f>E39/E31</f>
        <v>7.8282924204748777E-3</v>
      </c>
      <c r="F26" s="250" t="e">
        <f>F39/F31</f>
        <v>#REF!</v>
      </c>
      <c r="G26" s="250">
        <f>G39/G31</f>
        <v>6.7272666508328971E-2</v>
      </c>
    </row>
    <row r="27" spans="1:9">
      <c r="A27" s="242" t="s">
        <v>305</v>
      </c>
      <c r="B27" s="244"/>
      <c r="C27" s="250">
        <f>C46/C44</f>
        <v>0.48412626546975585</v>
      </c>
      <c r="D27" s="250">
        <f>D46/D44</f>
        <v>1.2481243403697214E-2</v>
      </c>
      <c r="E27" s="250">
        <f>E46/E44</f>
        <v>1.1558499799963928E-2</v>
      </c>
      <c r="F27" s="250" t="e">
        <f>F46/F44</f>
        <v>#REF!</v>
      </c>
      <c r="G27" s="250">
        <f>G46/G44</f>
        <v>0.33833568901269484</v>
      </c>
    </row>
    <row r="28" spans="1:9">
      <c r="A28" s="353" t="s">
        <v>306</v>
      </c>
      <c r="B28" s="354"/>
      <c r="C28" s="354">
        <v>2015</v>
      </c>
      <c r="D28" s="354">
        <v>2016</v>
      </c>
      <c r="E28" s="354">
        <v>2017</v>
      </c>
      <c r="F28" s="355"/>
      <c r="G28" s="356" t="s">
        <v>307</v>
      </c>
    </row>
    <row r="29" spans="1:9">
      <c r="A29" s="257" t="s">
        <v>58</v>
      </c>
      <c r="B29" s="246"/>
      <c r="C29" s="253">
        <v>659596375</v>
      </c>
      <c r="D29" s="253">
        <v>700759906.63999999</v>
      </c>
      <c r="E29" s="253">
        <v>732142200.38</v>
      </c>
      <c r="F29" s="253" t="e">
        <f>SFP!#REF!</f>
        <v>#REF!</v>
      </c>
      <c r="G29" s="254">
        <v>585471089651.33801</v>
      </c>
    </row>
    <row r="30" spans="1:9">
      <c r="A30" s="257" t="s">
        <v>308</v>
      </c>
      <c r="B30" s="246"/>
      <c r="C30" s="253">
        <v>624882661.5</v>
      </c>
      <c r="D30" s="253">
        <v>669201874.61500001</v>
      </c>
      <c r="E30" s="253">
        <v>695624447.03999996</v>
      </c>
      <c r="F30" s="253" t="e">
        <f>(C29+F29)/2</f>
        <v>#REF!</v>
      </c>
      <c r="G30" s="254">
        <v>569661220979.42395</v>
      </c>
    </row>
    <row r="31" spans="1:9">
      <c r="A31" s="257" t="s">
        <v>59</v>
      </c>
      <c r="B31" s="246"/>
      <c r="C31" s="254">
        <v>486824375</v>
      </c>
      <c r="D31" s="254">
        <v>530380088.16000003</v>
      </c>
      <c r="E31" s="254">
        <v>540163130.46000004</v>
      </c>
      <c r="F31" s="254" t="e">
        <f>SFP!#REF!</f>
        <v>#REF!</v>
      </c>
      <c r="G31" s="254">
        <v>401133755504.83002</v>
      </c>
    </row>
    <row r="32" spans="1:9">
      <c r="A32" s="257" t="s">
        <v>309</v>
      </c>
      <c r="B32" s="246"/>
      <c r="C32" s="255">
        <v>546147164</v>
      </c>
      <c r="D32" s="255">
        <v>606319063.26999998</v>
      </c>
      <c r="E32" s="255">
        <v>613873372.77999997</v>
      </c>
      <c r="F32" s="255" t="e">
        <f>SFP!#REF!</f>
        <v>#REF!</v>
      </c>
      <c r="G32" s="254">
        <v>442170596471.84003</v>
      </c>
    </row>
    <row r="33" spans="1:7">
      <c r="A33" s="257" t="s">
        <v>114</v>
      </c>
      <c r="B33" s="246"/>
      <c r="C33" s="253">
        <v>98409139</v>
      </c>
      <c r="D33" s="253">
        <v>153985536.19000003</v>
      </c>
      <c r="E33" s="253">
        <v>175657416.46000001</v>
      </c>
      <c r="F33" s="253" t="e">
        <f>Financials!#REF!</f>
        <v>#REF!</v>
      </c>
      <c r="G33" s="254">
        <v>92813819771.184998</v>
      </c>
    </row>
    <row r="34" spans="1:7">
      <c r="A34" s="257" t="s">
        <v>310</v>
      </c>
      <c r="B34" s="246"/>
      <c r="C34" s="253">
        <v>72604536</v>
      </c>
      <c r="D34" s="253">
        <v>126669114.45000003</v>
      </c>
      <c r="E34" s="253">
        <v>147920690.90000001</v>
      </c>
      <c r="F34" s="253" t="e">
        <f>Financials!#REF!</f>
        <v>#REF!</v>
      </c>
      <c r="G34" s="254">
        <v>54377981938.644997</v>
      </c>
    </row>
    <row r="35" spans="1:7">
      <c r="A35" s="257" t="s">
        <v>311</v>
      </c>
      <c r="B35" s="246"/>
      <c r="C35" s="254">
        <v>0</v>
      </c>
      <c r="D35" s="254">
        <v>40504912.420000002</v>
      </c>
      <c r="E35" s="254">
        <v>36015339.560000002</v>
      </c>
      <c r="F35" s="254">
        <f>16172116+14580201+5263023</f>
        <v>36015340</v>
      </c>
      <c r="G35" s="254">
        <v>36223992997.295601</v>
      </c>
    </row>
    <row r="36" spans="1:7">
      <c r="A36" s="257" t="s">
        <v>139</v>
      </c>
      <c r="B36" s="246"/>
      <c r="C36" s="255">
        <v>27347312</v>
      </c>
      <c r="D36" s="255">
        <v>24179555.989999998</v>
      </c>
      <c r="E36" s="255">
        <v>23042909.170000002</v>
      </c>
      <c r="F36" s="255" t="e">
        <f>Financials!#REF!</f>
        <v>#REF!</v>
      </c>
      <c r="G36" s="254">
        <v>60490663315.517998</v>
      </c>
    </row>
    <row r="37" spans="1:7">
      <c r="A37" s="257" t="s">
        <v>140</v>
      </c>
      <c r="B37" s="246"/>
      <c r="C37" s="253">
        <v>5678927</v>
      </c>
      <c r="D37" s="253">
        <v>5703357.4500000002</v>
      </c>
      <c r="E37" s="253">
        <v>5726553.9800000004</v>
      </c>
      <c r="F37" s="255" t="e">
        <f>Financials!#REF!</f>
        <v>#REF!</v>
      </c>
      <c r="G37" s="254">
        <v>17300265302.768002</v>
      </c>
    </row>
    <row r="38" spans="1:7">
      <c r="A38" s="257" t="s">
        <v>312</v>
      </c>
      <c r="B38" s="246"/>
      <c r="C38" s="253">
        <v>4228556</v>
      </c>
      <c r="D38" s="253">
        <v>4228554.9400000004</v>
      </c>
      <c r="E38" s="253">
        <v>4228554.9400000004</v>
      </c>
      <c r="F38" s="253" t="e">
        <f>SFP!#REF!+SFP!#REF!</f>
        <v>#REF!</v>
      </c>
      <c r="G38" s="254">
        <v>13596086480.08</v>
      </c>
    </row>
    <row r="39" spans="1:7">
      <c r="A39" s="257" t="s">
        <v>185</v>
      </c>
      <c r="B39" s="246"/>
      <c r="C39" s="253">
        <v>58311419</v>
      </c>
      <c r="D39" s="253">
        <v>4228554.9400000004</v>
      </c>
      <c r="E39" s="253">
        <v>4228554.9400000004</v>
      </c>
      <c r="F39" s="253" t="e">
        <f>SFP!#REF!</f>
        <v>#REF!</v>
      </c>
      <c r="G39" s="254">
        <v>26985337359.310001</v>
      </c>
    </row>
    <row r="40" spans="1:7">
      <c r="A40" s="257" t="s">
        <v>313</v>
      </c>
      <c r="B40" s="246"/>
      <c r="C40" s="253">
        <v>44641958</v>
      </c>
      <c r="D40" s="253">
        <v>90656513.519999996</v>
      </c>
      <c r="E40" s="253">
        <v>115260111.26000001</v>
      </c>
      <c r="F40" s="253" t="e">
        <f>SFP!#REF!+SFP!#REF!</f>
        <v>#REF!</v>
      </c>
      <c r="G40" s="254">
        <v>68640958829.230003</v>
      </c>
    </row>
    <row r="41" spans="1:7">
      <c r="A41" s="257" t="s">
        <v>314</v>
      </c>
      <c r="B41" s="246"/>
      <c r="C41" s="253">
        <v>75264054</v>
      </c>
      <c r="D41" s="253">
        <v>63940921.140000001</v>
      </c>
      <c r="E41" s="253">
        <v>57610664.719999999</v>
      </c>
      <c r="F41" s="253" t="e">
        <f>SFP!#REF!+SFP!#REF!+SFP!#REF!-SFP!#REF!</f>
        <v>#REF!</v>
      </c>
      <c r="G41" s="254">
        <v>111592134999.235</v>
      </c>
    </row>
    <row r="42" spans="1:7">
      <c r="A42" s="257" t="s">
        <v>315</v>
      </c>
      <c r="B42" s="246"/>
      <c r="C42" s="253">
        <v>7659</v>
      </c>
      <c r="D42" s="253">
        <v>8354071</v>
      </c>
      <c r="E42" s="253">
        <v>7528019</v>
      </c>
      <c r="F42" s="253" t="e">
        <f>SFP!#REF!</f>
        <v>#REF!</v>
      </c>
      <c r="G42" s="254">
        <v>21414587104.221001</v>
      </c>
    </row>
    <row r="43" spans="1:7">
      <c r="A43" s="257" t="s">
        <v>316</v>
      </c>
      <c r="B43" s="246"/>
      <c r="C43" s="253">
        <v>512412658.5</v>
      </c>
      <c r="D43" s="253">
        <v>576858696.53999996</v>
      </c>
      <c r="E43" s="253">
        <v>579967320.245</v>
      </c>
      <c r="F43" s="253">
        <f>(C32+E32)/2</f>
        <v>580010268.38999999</v>
      </c>
      <c r="G43" s="254">
        <v>431312247219.79498</v>
      </c>
    </row>
    <row r="44" spans="1:7">
      <c r="A44" s="257" t="s">
        <v>317</v>
      </c>
      <c r="B44" s="246"/>
      <c r="C44" s="253">
        <v>119501967</v>
      </c>
      <c r="D44" s="253">
        <v>93225263.090000004</v>
      </c>
      <c r="E44" s="253">
        <v>125316872.87</v>
      </c>
      <c r="F44" s="253" t="e">
        <f>SCI!#REF!</f>
        <v>#REF!</v>
      </c>
      <c r="G44" s="254">
        <v>89459919464.139999</v>
      </c>
    </row>
    <row r="45" spans="1:7">
      <c r="A45" s="257" t="s">
        <v>318</v>
      </c>
      <c r="B45" s="246"/>
      <c r="C45" s="253">
        <v>60865365</v>
      </c>
      <c r="D45" s="253">
        <v>88921234.909999996</v>
      </c>
      <c r="E45" s="253">
        <v>119433171.29000001</v>
      </c>
      <c r="F45" s="253" t="e">
        <f>SCI!#REF!</f>
        <v>#REF!</v>
      </c>
      <c r="G45" s="254">
        <v>53897611535.760002</v>
      </c>
    </row>
    <row r="46" spans="1:7">
      <c r="A46" s="257" t="s">
        <v>319</v>
      </c>
      <c r="B46" s="246"/>
      <c r="C46" s="253">
        <v>57854041</v>
      </c>
      <c r="D46" s="253">
        <v>1163567.2</v>
      </c>
      <c r="E46" s="253">
        <v>1448475.05</v>
      </c>
      <c r="F46" s="253" t="e">
        <f>SCI!#REF!</f>
        <v>#REF!</v>
      </c>
      <c r="G46" s="254">
        <v>30267483490.919998</v>
      </c>
    </row>
    <row r="47" spans="1:7">
      <c r="A47" s="257" t="s">
        <v>249</v>
      </c>
      <c r="B47" s="246"/>
      <c r="C47" s="253">
        <v>38435174</v>
      </c>
      <c r="D47" s="253">
        <v>26524472.050000001</v>
      </c>
      <c r="E47" s="253">
        <v>35585335.07</v>
      </c>
      <c r="F47" s="253" t="e">
        <f>SCI!#REF!</f>
        <v>#REF!</v>
      </c>
      <c r="G47" s="254">
        <v>26909397861.860001</v>
      </c>
    </row>
    <row r="48" spans="1:7">
      <c r="A48" s="257" t="s">
        <v>320</v>
      </c>
      <c r="B48" s="246"/>
      <c r="C48" s="253">
        <v>100667063</v>
      </c>
      <c r="D48" s="253">
        <v>78338482.280000001</v>
      </c>
      <c r="E48" s="253">
        <v>106712107.11</v>
      </c>
      <c r="F48" s="253" t="e">
        <f>SCI!#REF!+SCI!#REF!</f>
        <v>#REF!</v>
      </c>
      <c r="G48" s="254">
        <v>77131665422.539993</v>
      </c>
    </row>
    <row r="49" spans="1:7">
      <c r="A49" s="257" t="s">
        <v>321</v>
      </c>
      <c r="B49" s="246"/>
      <c r="C49" s="253">
        <v>97071776</v>
      </c>
      <c r="D49" s="253">
        <v>30828500.23</v>
      </c>
      <c r="E49" s="253">
        <v>41469036.649999999</v>
      </c>
      <c r="F49" s="253" t="e">
        <f>SCI!#REF!+SCI!#REF!+SCI!#REF!</f>
        <v>#REF!</v>
      </c>
      <c r="G49" s="254">
        <v>62567212560.300003</v>
      </c>
    </row>
    <row r="50" spans="1:7">
      <c r="A50" s="257" t="s">
        <v>322</v>
      </c>
      <c r="B50" s="246"/>
      <c r="C50" s="253">
        <v>13984730</v>
      </c>
      <c r="D50" s="253">
        <v>54624460.060000002</v>
      </c>
      <c r="E50" s="253">
        <v>76272050.120000005</v>
      </c>
      <c r="F50" s="253" t="e">
        <f>SCI!#REF!</f>
        <v>#REF!</v>
      </c>
      <c r="G50" s="254">
        <v>21880939085.66</v>
      </c>
    </row>
    <row r="51" spans="1:7">
      <c r="A51" s="347" t="s">
        <v>323</v>
      </c>
      <c r="B51" s="348"/>
      <c r="C51" s="348"/>
      <c r="D51" s="348"/>
      <c r="E51" s="348"/>
      <c r="F51" s="348"/>
      <c r="G51" s="349"/>
    </row>
    <row r="52" spans="1:7">
      <c r="A52" s="226">
        <v>1</v>
      </c>
      <c r="B52" s="222"/>
      <c r="C52" s="227"/>
      <c r="D52" s="227"/>
      <c r="E52" s="227"/>
      <c r="F52" s="228"/>
      <c r="G52" s="229"/>
    </row>
    <row r="53" spans="1:7">
      <c r="A53" s="226">
        <v>2</v>
      </c>
      <c r="B53" s="222"/>
      <c r="C53" s="227"/>
      <c r="D53" s="227"/>
      <c r="E53" s="227"/>
      <c r="F53" s="228"/>
      <c r="G53" s="229"/>
    </row>
    <row r="54" spans="1:7">
      <c r="A54" s="226">
        <v>3</v>
      </c>
      <c r="B54" s="222"/>
      <c r="C54" s="227"/>
      <c r="D54" s="227"/>
      <c r="E54" s="227"/>
      <c r="F54" s="228"/>
      <c r="G54" s="229"/>
    </row>
    <row r="55" spans="1:7">
      <c r="A55" s="225">
        <v>4</v>
      </c>
      <c r="B55" s="227"/>
      <c r="C55" s="227"/>
      <c r="D55" s="227"/>
      <c r="E55" s="228"/>
      <c r="F55" s="228"/>
      <c r="G55" s="256"/>
    </row>
    <row r="56" spans="1:7">
      <c r="A56" s="247" t="s">
        <v>324</v>
      </c>
      <c r="B56" s="222"/>
      <c r="C56" s="350"/>
      <c r="D56" s="351"/>
      <c r="E56" s="351"/>
      <c r="F56" s="351"/>
      <c r="G56" s="352"/>
    </row>
    <row r="57" spans="1:7">
      <c r="A57" s="247"/>
      <c r="B57" s="222"/>
      <c r="C57" s="230"/>
      <c r="D57" s="230"/>
      <c r="E57" s="231"/>
      <c r="F57" s="231"/>
      <c r="G57" s="232"/>
    </row>
    <row r="58" spans="1:7">
      <c r="A58" s="248" t="s">
        <v>325</v>
      </c>
      <c r="B58" s="233"/>
      <c r="C58" s="350"/>
      <c r="D58" s="351"/>
      <c r="E58" s="351"/>
      <c r="F58" s="351"/>
      <c r="G58" s="352"/>
    </row>
    <row r="59" spans="1:7">
      <c r="A59" s="90"/>
      <c r="B59" s="222"/>
      <c r="C59" s="227"/>
      <c r="D59" s="227"/>
      <c r="E59" s="227"/>
      <c r="F59" s="228"/>
      <c r="G59" s="229"/>
    </row>
    <row r="60" spans="1:7">
      <c r="A60" s="247" t="s">
        <v>326</v>
      </c>
      <c r="B60" s="222"/>
      <c r="C60" s="350"/>
      <c r="D60" s="351"/>
      <c r="E60" s="351"/>
      <c r="F60" s="351"/>
      <c r="G60" s="352"/>
    </row>
    <row r="61" spans="1:7" ht="15.75" thickBot="1">
      <c r="A61" s="267"/>
      <c r="B61" s="268"/>
      <c r="C61" s="269"/>
      <c r="D61" s="269"/>
      <c r="E61" s="269"/>
      <c r="F61" s="270"/>
      <c r="G61" s="271"/>
    </row>
    <row r="62" spans="1:7">
      <c r="A62" s="272" t="s">
        <v>327</v>
      </c>
    </row>
    <row r="63" spans="1:7">
      <c r="A63" s="266"/>
    </row>
    <row r="64" spans="1:7">
      <c r="A64" s="266"/>
    </row>
  </sheetData>
  <mergeCells count="16">
    <mergeCell ref="A1:G1"/>
    <mergeCell ref="A2:G2"/>
    <mergeCell ref="B3:B4"/>
    <mergeCell ref="D3:E3"/>
    <mergeCell ref="F3:F4"/>
    <mergeCell ref="G3:G4"/>
    <mergeCell ref="A51:G51"/>
    <mergeCell ref="C56:G56"/>
    <mergeCell ref="C58:G58"/>
    <mergeCell ref="C60:G60"/>
    <mergeCell ref="A5:G5"/>
    <mergeCell ref="A9:G9"/>
    <mergeCell ref="A14:G14"/>
    <mergeCell ref="A19:G19"/>
    <mergeCell ref="A23:G23"/>
    <mergeCell ref="A28:G28"/>
  </mergeCells>
  <pageMargins left="0.70866141732283472" right="0.70866141732283472" top="0.74803149606299213" bottom="0.74803149606299213" header="0.31496062992125984" footer="0.31496062992125984"/>
  <pageSetup scale="53" orientation="landscape" r:id="rId1"/>
  <colBreaks count="1" manualBreakCount="1">
    <brk id="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4"/>
  <sheetViews>
    <sheetView topLeftCell="A43" workbookViewId="0">
      <selection sqref="A1:G1"/>
    </sheetView>
  </sheetViews>
  <sheetFormatPr defaultRowHeight="15"/>
  <cols>
    <col min="1" max="1" width="42.42578125" customWidth="1"/>
    <col min="2" max="2" width="18" bestFit="1" customWidth="1"/>
    <col min="3" max="3" width="16.7109375" bestFit="1" customWidth="1"/>
    <col min="4" max="4" width="21" bestFit="1" customWidth="1"/>
    <col min="5" max="6" width="16.28515625" bestFit="1" customWidth="1"/>
    <col min="7" max="7" width="31.85546875" bestFit="1" customWidth="1"/>
  </cols>
  <sheetData>
    <row r="1" spans="1:7">
      <c r="A1" s="357" t="s">
        <v>328</v>
      </c>
      <c r="B1" s="358"/>
      <c r="C1" s="358"/>
      <c r="D1" s="358"/>
      <c r="E1" s="358"/>
      <c r="F1" s="359"/>
      <c r="G1" s="360"/>
    </row>
    <row r="2" spans="1:7">
      <c r="A2" s="361" t="s">
        <v>329</v>
      </c>
      <c r="B2" s="362"/>
      <c r="C2" s="362"/>
      <c r="D2" s="362"/>
      <c r="E2" s="362"/>
      <c r="F2" s="363"/>
      <c r="G2" s="364"/>
    </row>
    <row r="3" spans="1:7">
      <c r="A3" s="245"/>
      <c r="B3" s="365" t="s">
        <v>268</v>
      </c>
      <c r="C3" s="252" t="s">
        <v>269</v>
      </c>
      <c r="D3" s="367" t="s">
        <v>270</v>
      </c>
      <c r="E3" s="368"/>
      <c r="F3" s="369" t="s">
        <v>330</v>
      </c>
      <c r="G3" s="371" t="s">
        <v>272</v>
      </c>
    </row>
    <row r="4" spans="1:7" ht="30">
      <c r="A4" s="90"/>
      <c r="B4" s="366"/>
      <c r="C4" s="219">
        <v>2018</v>
      </c>
      <c r="D4" s="220" t="s">
        <v>331</v>
      </c>
      <c r="E4" s="221" t="s">
        <v>332</v>
      </c>
      <c r="F4" s="370"/>
      <c r="G4" s="372"/>
    </row>
    <row r="5" spans="1:7">
      <c r="A5" s="353" t="s">
        <v>275</v>
      </c>
      <c r="B5" s="354"/>
      <c r="C5" s="354"/>
      <c r="D5" s="354"/>
      <c r="E5" s="354"/>
      <c r="F5" s="355"/>
      <c r="G5" s="356"/>
    </row>
    <row r="6" spans="1:7">
      <c r="A6" s="235" t="s">
        <v>276</v>
      </c>
      <c r="B6" s="236" t="s">
        <v>277</v>
      </c>
      <c r="C6" s="234">
        <v>92958252</v>
      </c>
      <c r="D6" s="234">
        <v>114415998.61</v>
      </c>
      <c r="E6" s="234">
        <v>127048808.22</v>
      </c>
      <c r="F6" s="234" t="e">
        <f>F33</f>
        <v>#REF!</v>
      </c>
      <c r="G6" s="234">
        <v>85391581296.029007</v>
      </c>
    </row>
    <row r="7" spans="1:7">
      <c r="A7" s="235" t="s">
        <v>278</v>
      </c>
      <c r="B7" s="237" t="s">
        <v>279</v>
      </c>
      <c r="C7" s="249">
        <v>0.15751125557354806</v>
      </c>
      <c r="D7" s="249">
        <v>0.17943558922369865</v>
      </c>
      <c r="E7" s="249">
        <v>0.19275909262397464</v>
      </c>
      <c r="F7" s="249" t="e">
        <f>F6/F29</f>
        <v>#REF!</v>
      </c>
      <c r="G7" s="249">
        <v>0.15597716421648317</v>
      </c>
    </row>
    <row r="8" spans="1:7">
      <c r="A8" s="235" t="s">
        <v>28</v>
      </c>
      <c r="B8" s="237" t="s">
        <v>280</v>
      </c>
      <c r="C8" s="251">
        <v>0.1181899814220656</v>
      </c>
      <c r="D8" s="251">
        <v>0.13976271198356527</v>
      </c>
      <c r="E8" s="251">
        <v>0.15360973590124533</v>
      </c>
      <c r="F8" s="249" t="e">
        <f>F34/F29</f>
        <v>#REF!</v>
      </c>
      <c r="G8" s="249">
        <v>9.1529476530776754E-2</v>
      </c>
    </row>
    <row r="9" spans="1:7">
      <c r="A9" s="353" t="s">
        <v>281</v>
      </c>
      <c r="B9" s="354"/>
      <c r="C9" s="354"/>
      <c r="D9" s="354"/>
      <c r="E9" s="354"/>
      <c r="F9" s="355"/>
      <c r="G9" s="356"/>
    </row>
    <row r="10" spans="1:7">
      <c r="A10" s="235" t="s">
        <v>282</v>
      </c>
      <c r="B10" s="236" t="s">
        <v>283</v>
      </c>
      <c r="C10" s="251">
        <v>0</v>
      </c>
      <c r="D10" s="251">
        <v>5.7997793674342386E-2</v>
      </c>
      <c r="E10" s="251">
        <v>4.9062416773035251E-2</v>
      </c>
      <c r="F10" s="251" t="e">
        <f>F35/F32</f>
        <v>#REF!</v>
      </c>
      <c r="G10" s="251">
        <v>7.3407956508729152E-2</v>
      </c>
    </row>
    <row r="11" spans="1:7">
      <c r="A11" s="235" t="s">
        <v>139</v>
      </c>
      <c r="B11" s="236" t="s">
        <v>284</v>
      </c>
      <c r="C11" s="249">
        <v>5.3369039673703739E-2</v>
      </c>
      <c r="D11" s="249">
        <v>4.313589934198693E-2</v>
      </c>
      <c r="E11" s="249">
        <v>4.1315651335798287E-2</v>
      </c>
      <c r="F11" s="249" t="e">
        <f>F36/F29</f>
        <v>#REF!</v>
      </c>
      <c r="G11" s="249">
        <v>0.10567686658211675</v>
      </c>
    </row>
    <row r="12" spans="1:7">
      <c r="A12" s="235" t="s">
        <v>285</v>
      </c>
      <c r="B12" s="236" t="s">
        <v>283</v>
      </c>
      <c r="C12" s="238">
        <v>0</v>
      </c>
      <c r="D12" s="238">
        <v>8.629787820115465E-3</v>
      </c>
      <c r="E12" s="238">
        <v>8.6830722287846648E-3</v>
      </c>
      <c r="F12" s="238" t="e">
        <f>F38/F31</f>
        <v>#REF!</v>
      </c>
      <c r="G12" s="238">
        <v>3.4924322826732836E-2</v>
      </c>
    </row>
    <row r="13" spans="1:7">
      <c r="A13" s="239" t="s">
        <v>286</v>
      </c>
      <c r="B13" s="236" t="s">
        <v>287</v>
      </c>
      <c r="C13" s="250">
        <v>0</v>
      </c>
      <c r="D13" s="250">
        <v>3.6957724368717991E-2</v>
      </c>
      <c r="E13" s="250">
        <v>3.3282917008381208E-2</v>
      </c>
      <c r="F13" s="250" t="e">
        <f>F38/F33</f>
        <v>#REF!</v>
      </c>
      <c r="G13" s="250">
        <v>0.15379721295547349</v>
      </c>
    </row>
    <row r="14" spans="1:7">
      <c r="A14" s="353" t="s">
        <v>288</v>
      </c>
      <c r="B14" s="354"/>
      <c r="C14" s="354"/>
      <c r="D14" s="354"/>
      <c r="E14" s="354"/>
      <c r="F14" s="355"/>
      <c r="G14" s="356"/>
    </row>
    <row r="15" spans="1:7">
      <c r="A15" s="235" t="s">
        <v>289</v>
      </c>
      <c r="B15" s="236"/>
      <c r="C15" s="251">
        <v>0.1927037977853984</v>
      </c>
      <c r="D15" s="251">
        <v>0.13877868068462679</v>
      </c>
      <c r="E15" s="251">
        <v>0.1873746590727593</v>
      </c>
      <c r="F15" s="251" t="e">
        <f>F48/F32</f>
        <v>#REF!</v>
      </c>
      <c r="G15" s="251">
        <v>0.16090340655515664</v>
      </c>
    </row>
    <row r="16" spans="1:7">
      <c r="A16" s="235" t="s">
        <v>290</v>
      </c>
      <c r="B16" s="236"/>
      <c r="C16" s="251">
        <v>0.79311986141810542</v>
      </c>
      <c r="D16" s="251">
        <v>0.35836604868678473</v>
      </c>
      <c r="E16" s="251">
        <v>0.33974950555086231</v>
      </c>
      <c r="F16" s="251" t="e">
        <f>F49/F44</f>
        <v>#REF!</v>
      </c>
      <c r="G16" s="251">
        <v>0.70779969699627798</v>
      </c>
    </row>
    <row r="17" spans="1:9">
      <c r="A17" s="235" t="s">
        <v>291</v>
      </c>
      <c r="B17" s="236"/>
      <c r="C17" s="250">
        <v>2.7977037909074701E-2</v>
      </c>
      <c r="D17" s="250">
        <v>8.1818348036064151E-2</v>
      </c>
      <c r="E17" s="250">
        <v>0.11400955414054095</v>
      </c>
      <c r="F17" s="250" t="e">
        <f>F50/F30</f>
        <v>#REF!</v>
      </c>
      <c r="G17" s="250">
        <v>3.697597245768388E-2</v>
      </c>
    </row>
    <row r="18" spans="1:9">
      <c r="A18" s="239" t="s">
        <v>292</v>
      </c>
      <c r="B18" s="240"/>
      <c r="C18" s="250">
        <v>0.30200756782358568</v>
      </c>
      <c r="D18" s="250">
        <v>0.31934512643499757</v>
      </c>
      <c r="E18" s="250">
        <v>0.30463818249029551</v>
      </c>
      <c r="F18" s="250" t="e">
        <f>F47/F45</f>
        <v>#REF!</v>
      </c>
      <c r="G18" s="250">
        <v>0.31992696870403498</v>
      </c>
    </row>
    <row r="19" spans="1:9">
      <c r="A19" s="353" t="s">
        <v>293</v>
      </c>
      <c r="B19" s="354"/>
      <c r="C19" s="354"/>
      <c r="D19" s="354"/>
      <c r="E19" s="354"/>
      <c r="F19" s="355"/>
      <c r="G19" s="356"/>
    </row>
    <row r="20" spans="1:9">
      <c r="A20" s="235" t="s">
        <v>294</v>
      </c>
      <c r="B20" s="241" t="s">
        <v>295</v>
      </c>
      <c r="C20" s="249">
        <v>1.1755674252429795</v>
      </c>
      <c r="D20" s="249">
        <v>1.0116662174612125</v>
      </c>
      <c r="E20" s="249">
        <v>1.4570233995613726</v>
      </c>
      <c r="F20" s="249" t="e">
        <f>F40/F41</f>
        <v>#REF!</v>
      </c>
      <c r="G20" s="249">
        <v>0.54995223824859307</v>
      </c>
      <c r="I20" s="223"/>
    </row>
    <row r="21" spans="1:9">
      <c r="A21" s="235" t="s">
        <v>296</v>
      </c>
      <c r="B21" s="236" t="s">
        <v>297</v>
      </c>
      <c r="C21" s="249">
        <v>0</v>
      </c>
      <c r="D21" s="249">
        <v>0</v>
      </c>
      <c r="E21" s="249">
        <v>0</v>
      </c>
      <c r="F21" s="249" t="e">
        <f>F42/F29</f>
        <v>#REF!</v>
      </c>
      <c r="G21" s="249">
        <v>3.9238044622780577E-2</v>
      </c>
      <c r="I21" s="224"/>
    </row>
    <row r="22" spans="1:9">
      <c r="A22" s="235" t="s">
        <v>298</v>
      </c>
      <c r="B22" s="236"/>
      <c r="C22" s="249">
        <v>0.14737887226150706</v>
      </c>
      <c r="D22" s="249">
        <v>0.12043217751163511</v>
      </c>
      <c r="E22" s="249">
        <v>0.14934900214320188</v>
      </c>
      <c r="F22" s="249" t="e">
        <f>F40/F29</f>
        <v>#REF!</v>
      </c>
      <c r="G22" s="249">
        <v>0.11016896486052413</v>
      </c>
    </row>
    <row r="23" spans="1:9">
      <c r="A23" s="353" t="s">
        <v>299</v>
      </c>
      <c r="B23" s="354"/>
      <c r="C23" s="354"/>
      <c r="D23" s="354"/>
      <c r="E23" s="354"/>
      <c r="F23" s="355"/>
      <c r="G23" s="356"/>
    </row>
    <row r="24" spans="1:9">
      <c r="A24" s="242" t="s">
        <v>300</v>
      </c>
      <c r="B24" s="240" t="s">
        <v>301</v>
      </c>
      <c r="C24" s="250">
        <v>0.8110866466664729</v>
      </c>
      <c r="D24" s="250">
        <v>0.85847034543070588</v>
      </c>
      <c r="E24" s="250">
        <v>0.8284869095238564</v>
      </c>
      <c r="F24" s="250" t="e">
        <f>F32/F29</f>
        <v>#REF!</v>
      </c>
      <c r="G24" s="250">
        <v>0.75892187654689014</v>
      </c>
    </row>
    <row r="25" spans="1:9">
      <c r="A25" s="242" t="s">
        <v>302</v>
      </c>
      <c r="B25" s="243" t="s">
        <v>303</v>
      </c>
      <c r="C25" s="250">
        <v>1.1046877794190588</v>
      </c>
      <c r="D25" s="250">
        <v>1.1171503046253162</v>
      </c>
      <c r="E25" s="250">
        <v>1.1213025480680283</v>
      </c>
      <c r="F25" s="250" t="e">
        <f>F32/F31</f>
        <v>#REF!</v>
      </c>
      <c r="G25" s="250">
        <v>1.1048811904759108</v>
      </c>
    </row>
    <row r="26" spans="1:9">
      <c r="A26" s="242" t="s">
        <v>304</v>
      </c>
      <c r="B26" s="243"/>
      <c r="C26" s="250">
        <v>9.7586092112738592E-3</v>
      </c>
      <c r="D26" s="250">
        <v>8.629787820115465E-3</v>
      </c>
      <c r="E26" s="250">
        <v>8.6830722287846648E-3</v>
      </c>
      <c r="F26" s="250" t="e">
        <f>F39/F29</f>
        <v>#REF!</v>
      </c>
      <c r="G26" s="250">
        <v>5.9782934598017992E-2</v>
      </c>
    </row>
    <row r="27" spans="1:9">
      <c r="A27" s="242" t="s">
        <v>305</v>
      </c>
      <c r="B27" s="244"/>
      <c r="C27" s="250">
        <v>0.48814818827257594</v>
      </c>
      <c r="D27" s="250">
        <v>1.203500084899308E-2</v>
      </c>
      <c r="E27" s="250">
        <v>1.2230217070811957E-2</v>
      </c>
      <c r="F27" s="250" t="e">
        <f>F46/F44</f>
        <v>#REF!</v>
      </c>
      <c r="G27" s="250">
        <v>0.3210852746392126</v>
      </c>
    </row>
    <row r="28" spans="1:9">
      <c r="A28" s="353" t="s">
        <v>306</v>
      </c>
      <c r="B28" s="354"/>
      <c r="C28" s="354">
        <v>2015</v>
      </c>
      <c r="D28" s="354">
        <v>2016</v>
      </c>
      <c r="E28" s="354">
        <v>2017</v>
      </c>
      <c r="F28" s="355"/>
      <c r="G28" s="356" t="s">
        <v>307</v>
      </c>
    </row>
    <row r="29" spans="1:9">
      <c r="A29" s="257" t="s">
        <v>58</v>
      </c>
      <c r="B29" s="246"/>
      <c r="C29" s="253">
        <v>590168948</v>
      </c>
      <c r="D29" s="253">
        <v>637643842.59000003</v>
      </c>
      <c r="E29" s="253">
        <v>659106693.70000005</v>
      </c>
      <c r="F29" s="253" t="e">
        <f>SFP!#REF!</f>
        <v>#REF!</v>
      </c>
      <c r="G29" s="254">
        <v>547462070649.73102</v>
      </c>
    </row>
    <row r="30" spans="1:9">
      <c r="A30" s="257" t="s">
        <v>308</v>
      </c>
      <c r="B30" s="246"/>
      <c r="C30" s="253">
        <v>564133381.5</v>
      </c>
      <c r="D30" s="253">
        <v>614923991.35000002</v>
      </c>
      <c r="E30" s="253">
        <v>641761675.34000003</v>
      </c>
      <c r="F30" s="253" t="e">
        <f>(F29+C29)/2</f>
        <v>#REF!</v>
      </c>
      <c r="G30" s="254">
        <v>520792906241.42297</v>
      </c>
    </row>
    <row r="31" spans="1:9">
      <c r="A31" s="257" t="s">
        <v>59</v>
      </c>
      <c r="B31" s="246"/>
      <c r="C31" s="254">
        <v>433315333</v>
      </c>
      <c r="D31" s="254">
        <v>489995238.37</v>
      </c>
      <c r="E31" s="254">
        <v>486988341.06</v>
      </c>
      <c r="F31" s="254" t="e">
        <f>SFP!#REF!</f>
        <v>#REF!</v>
      </c>
      <c r="G31" s="254">
        <v>376041284417.90002</v>
      </c>
    </row>
    <row r="32" spans="1:9">
      <c r="A32" s="257" t="s">
        <v>309</v>
      </c>
      <c r="B32" s="246"/>
      <c r="C32" s="255">
        <v>478678153</v>
      </c>
      <c r="D32" s="255">
        <v>547398329.80999994</v>
      </c>
      <c r="E32" s="255">
        <v>546061267.71000004</v>
      </c>
      <c r="F32" s="255" t="e">
        <f>SFP!#REF!</f>
        <v>#REF!</v>
      </c>
      <c r="G32" s="254">
        <v>415480941995.73999</v>
      </c>
    </row>
    <row r="33" spans="1:7">
      <c r="A33" s="257" t="s">
        <v>114</v>
      </c>
      <c r="B33" s="246"/>
      <c r="C33" s="253">
        <v>92958252</v>
      </c>
      <c r="D33" s="253">
        <v>114415998.61</v>
      </c>
      <c r="E33" s="253">
        <v>127048808.22</v>
      </c>
      <c r="F33" s="253" t="e">
        <f>Financials!#REF!</f>
        <v>#REF!</v>
      </c>
      <c r="G33" s="254">
        <v>85391581296.029007</v>
      </c>
    </row>
    <row r="34" spans="1:7">
      <c r="A34" s="257" t="s">
        <v>310</v>
      </c>
      <c r="B34" s="246"/>
      <c r="C34" s="253">
        <v>69752057</v>
      </c>
      <c r="D34" s="253">
        <v>89118832.719999999</v>
      </c>
      <c r="E34" s="253">
        <v>101245205.15000001</v>
      </c>
      <c r="F34" s="253" t="e">
        <f>Financials!#REF!</f>
        <v>#REF!</v>
      </c>
      <c r="G34" s="254">
        <v>50108916747.025002</v>
      </c>
    </row>
    <row r="35" spans="1:7">
      <c r="A35" s="257" t="s">
        <v>311</v>
      </c>
      <c r="B35" s="246"/>
      <c r="C35" s="254">
        <v>0</v>
      </c>
      <c r="D35" s="254">
        <v>31747895.390000001</v>
      </c>
      <c r="E35" s="254">
        <v>26791085.5</v>
      </c>
      <c r="F35" s="254">
        <f>22604726+734025+3452334</f>
        <v>26791085</v>
      </c>
      <c r="G35" s="254">
        <v>30499606920.229099</v>
      </c>
    </row>
    <row r="36" spans="1:7">
      <c r="A36" s="257" t="s">
        <v>139</v>
      </c>
      <c r="B36" s="246"/>
      <c r="C36" s="255">
        <v>31496750</v>
      </c>
      <c r="D36" s="255">
        <v>27505340.609999999</v>
      </c>
      <c r="E36" s="255">
        <v>27231422.350000001</v>
      </c>
      <c r="F36" s="255" t="e">
        <f>Financials!#REF!</f>
        <v>#REF!</v>
      </c>
      <c r="G36" s="254">
        <v>57854076198.820999</v>
      </c>
    </row>
    <row r="37" spans="1:7">
      <c r="A37" s="257" t="s">
        <v>140</v>
      </c>
      <c r="B37" s="246"/>
      <c r="C37" s="253">
        <v>7005759</v>
      </c>
      <c r="D37" s="253">
        <v>5982262.1699999999</v>
      </c>
      <c r="E37" s="253">
        <v>5325780.8099999996</v>
      </c>
      <c r="F37" s="255" t="e">
        <f>Financials!#REF!</f>
        <v>#REF!</v>
      </c>
      <c r="G37" s="254">
        <v>17751023583.351002</v>
      </c>
    </row>
    <row r="38" spans="1:7">
      <c r="A38" s="257" t="s">
        <v>312</v>
      </c>
      <c r="B38" s="246"/>
      <c r="C38" s="253">
        <v>0</v>
      </c>
      <c r="D38" s="253">
        <v>4228554.9400000004</v>
      </c>
      <c r="E38" s="253">
        <v>4228554.9400000004</v>
      </c>
      <c r="F38" s="253" t="e">
        <f>SFP!#REF!+SFP!#REF!</f>
        <v>#REF!</v>
      </c>
      <c r="G38" s="254">
        <v>13132987213.190001</v>
      </c>
    </row>
    <row r="39" spans="1:7">
      <c r="A39" s="257" t="s">
        <v>185</v>
      </c>
      <c r="B39" s="246"/>
      <c r="C39" s="253">
        <v>4228555</v>
      </c>
      <c r="D39" s="253">
        <v>4228554.9400000004</v>
      </c>
      <c r="E39" s="253">
        <v>4228554.9400000004</v>
      </c>
      <c r="F39" s="253" t="e">
        <f>SFP!#REF!</f>
        <v>#REF!</v>
      </c>
      <c r="G39" s="254">
        <v>22480851512.509998</v>
      </c>
    </row>
    <row r="40" spans="1:7">
      <c r="A40" s="257" t="s">
        <v>313</v>
      </c>
      <c r="B40" s="246"/>
      <c r="C40" s="253">
        <v>86978434</v>
      </c>
      <c r="D40" s="253">
        <v>76792836.439999998</v>
      </c>
      <c r="E40" s="253">
        <v>98436927.010000005</v>
      </c>
      <c r="F40" s="253" t="e">
        <f>SFP!#REF!</f>
        <v>#REF!</v>
      </c>
      <c r="G40" s="254">
        <v>60313329623.879997</v>
      </c>
    </row>
    <row r="41" spans="1:7">
      <c r="A41" s="257" t="s">
        <v>314</v>
      </c>
      <c r="B41" s="246"/>
      <c r="C41" s="253">
        <v>73988469</v>
      </c>
      <c r="D41" s="253">
        <v>75907285.540000007</v>
      </c>
      <c r="E41" s="253">
        <v>67560292.469999999</v>
      </c>
      <c r="F41" s="253" t="e">
        <f>SFP!#REF!+SFP!#REF!+SFP!#REF!-SFP!#REF!</f>
        <v>#REF!</v>
      </c>
      <c r="G41" s="254">
        <v>109670123020.05901</v>
      </c>
    </row>
    <row r="42" spans="1:7">
      <c r="A42" s="257" t="s">
        <v>315</v>
      </c>
      <c r="B42" s="246"/>
      <c r="C42" s="253">
        <v>0</v>
      </c>
      <c r="D42" s="253">
        <v>0</v>
      </c>
      <c r="E42" s="253">
        <v>0</v>
      </c>
      <c r="F42" s="253" t="e">
        <f>SFP!#REF!</f>
        <v>#REF!</v>
      </c>
      <c r="G42" s="254">
        <v>21481341157.433998</v>
      </c>
    </row>
    <row r="43" spans="1:7">
      <c r="A43" s="257" t="s">
        <v>316</v>
      </c>
      <c r="B43" s="246"/>
      <c r="C43" s="253">
        <v>445483841</v>
      </c>
      <c r="D43" s="253">
        <v>504627081.32499999</v>
      </c>
      <c r="E43" s="253">
        <v>512088379.35500002</v>
      </c>
      <c r="F43" s="253" t="e">
        <f>(C32+F32)/2</f>
        <v>#REF!</v>
      </c>
      <c r="G43" s="254">
        <v>393392009454.375</v>
      </c>
    </row>
    <row r="44" spans="1:7">
      <c r="A44" s="257" t="s">
        <v>317</v>
      </c>
      <c r="B44" s="246"/>
      <c r="C44" s="253">
        <v>110748089</v>
      </c>
      <c r="D44" s="253">
        <v>89428467.310000002</v>
      </c>
      <c r="E44" s="253">
        <v>119356968.2</v>
      </c>
      <c r="F44" s="253" t="e">
        <f>SCI!#REF!</f>
        <v>#REF!</v>
      </c>
      <c r="G44" s="254">
        <v>79322865013.129898</v>
      </c>
    </row>
    <row r="45" spans="1:7">
      <c r="A45" s="257" t="s">
        <v>318</v>
      </c>
      <c r="B45" s="246"/>
      <c r="C45" s="253">
        <v>56358341</v>
      </c>
      <c r="D45" s="253">
        <v>85938886.040000007</v>
      </c>
      <c r="E45" s="253">
        <v>115166187.13</v>
      </c>
      <c r="F45" s="253" t="e">
        <f>SCI!#REF!</f>
        <v>#REF!</v>
      </c>
      <c r="G45" s="254">
        <v>46800235781.199997</v>
      </c>
    </row>
    <row r="46" spans="1:7">
      <c r="A46" s="257" t="s">
        <v>319</v>
      </c>
      <c r="B46" s="246"/>
      <c r="C46" s="253">
        <v>54061479</v>
      </c>
      <c r="D46" s="253">
        <v>1076271.68</v>
      </c>
      <c r="E46" s="253">
        <v>1459761.63</v>
      </c>
      <c r="F46" s="253" t="e">
        <f>SCI!#REF!</f>
        <v>#REF!</v>
      </c>
      <c r="G46" s="254">
        <v>25469403897.91</v>
      </c>
    </row>
    <row r="47" spans="1:7">
      <c r="A47" s="257" t="s">
        <v>249</v>
      </c>
      <c r="B47" s="246"/>
      <c r="C47" s="253">
        <v>33446761</v>
      </c>
      <c r="D47" s="253">
        <v>28558545.199999999</v>
      </c>
      <c r="E47" s="253">
        <v>36360689.859999999</v>
      </c>
      <c r="F47" s="253" t="e">
        <f>SCI!#REF!</f>
        <v>#REF!</v>
      </c>
      <c r="G47" s="254">
        <v>25377523752.57</v>
      </c>
    </row>
    <row r="48" spans="1:7">
      <c r="A48" s="257" t="s">
        <v>320</v>
      </c>
      <c r="B48" s="246"/>
      <c r="C48" s="253">
        <v>92243098</v>
      </c>
      <c r="D48" s="253">
        <v>75967218.019999996</v>
      </c>
      <c r="E48" s="253">
        <v>102318043.87</v>
      </c>
      <c r="F48" s="253" t="e">
        <f>SCI!#REF!</f>
        <v>#REF!</v>
      </c>
      <c r="G48" s="254">
        <v>66852298925.860001</v>
      </c>
    </row>
    <row r="49" spans="1:7">
      <c r="A49" s="257" t="s">
        <v>321</v>
      </c>
      <c r="B49" s="246"/>
      <c r="C49" s="253">
        <v>87836509</v>
      </c>
      <c r="D49" s="253">
        <v>32048126.469999999</v>
      </c>
      <c r="E49" s="253">
        <v>40551470.93</v>
      </c>
      <c r="F49" s="253" t="e">
        <f>SCI!#REF!+SCI!#REF!</f>
        <v>#REF!</v>
      </c>
      <c r="G49" s="254">
        <v>56144699821.169998</v>
      </c>
    </row>
    <row r="50" spans="1:7">
      <c r="A50" s="257" t="s">
        <v>322</v>
      </c>
      <c r="B50" s="246"/>
      <c r="C50" s="253">
        <v>15782781</v>
      </c>
      <c r="D50" s="253">
        <v>50312065.140000001</v>
      </c>
      <c r="E50" s="253">
        <v>73166962.469999999</v>
      </c>
      <c r="F50" s="253" t="e">
        <f>SCI!#REF!</f>
        <v>#REF!</v>
      </c>
      <c r="G50" s="254">
        <v>19256824157.34</v>
      </c>
    </row>
    <row r="51" spans="1:7">
      <c r="A51" s="347" t="s">
        <v>323</v>
      </c>
      <c r="B51" s="348"/>
      <c r="C51" s="348"/>
      <c r="D51" s="348"/>
      <c r="E51" s="348"/>
      <c r="F51" s="348"/>
      <c r="G51" s="349"/>
    </row>
    <row r="52" spans="1:7">
      <c r="A52" s="226">
        <v>1</v>
      </c>
      <c r="B52" s="222"/>
      <c r="C52" s="227"/>
      <c r="D52" s="227"/>
      <c r="E52" s="227"/>
      <c r="F52" s="228"/>
      <c r="G52" s="229"/>
    </row>
    <row r="53" spans="1:7">
      <c r="A53" s="226">
        <v>2</v>
      </c>
      <c r="B53" s="222"/>
      <c r="C53" s="227"/>
      <c r="D53" s="227"/>
      <c r="E53" s="227"/>
      <c r="F53" s="228"/>
      <c r="G53" s="229"/>
    </row>
    <row r="54" spans="1:7">
      <c r="A54" s="226">
        <v>3</v>
      </c>
      <c r="B54" s="222"/>
      <c r="C54" s="227"/>
      <c r="D54" s="227"/>
      <c r="E54" s="227"/>
      <c r="F54" s="228"/>
      <c r="G54" s="229"/>
    </row>
    <row r="55" spans="1:7">
      <c r="A55" s="225">
        <v>4</v>
      </c>
      <c r="B55" s="227"/>
      <c r="C55" s="227"/>
      <c r="D55" s="227"/>
      <c r="E55" s="228"/>
      <c r="F55" s="228"/>
      <c r="G55" s="256"/>
    </row>
    <row r="56" spans="1:7">
      <c r="A56" s="247" t="s">
        <v>324</v>
      </c>
      <c r="B56" s="222"/>
      <c r="C56" s="350"/>
      <c r="D56" s="351"/>
      <c r="E56" s="351"/>
      <c r="F56" s="351"/>
      <c r="G56" s="352"/>
    </row>
    <row r="57" spans="1:7">
      <c r="A57" s="247"/>
      <c r="B57" s="222"/>
      <c r="C57" s="230"/>
      <c r="D57" s="230"/>
      <c r="E57" s="231"/>
      <c r="F57" s="231"/>
      <c r="G57" s="232"/>
    </row>
    <row r="58" spans="1:7">
      <c r="A58" s="248" t="s">
        <v>333</v>
      </c>
      <c r="B58" s="233"/>
      <c r="C58" s="350"/>
      <c r="D58" s="351"/>
      <c r="E58" s="351"/>
      <c r="F58" s="351"/>
      <c r="G58" s="352"/>
    </row>
    <row r="59" spans="1:7">
      <c r="A59" s="90"/>
      <c r="B59" s="222"/>
      <c r="C59" s="227"/>
      <c r="D59" s="227"/>
      <c r="E59" s="227"/>
      <c r="F59" s="228"/>
      <c r="G59" s="229"/>
    </row>
    <row r="60" spans="1:7">
      <c r="A60" s="247" t="s">
        <v>334</v>
      </c>
      <c r="B60" s="222"/>
      <c r="C60" s="350"/>
      <c r="D60" s="351"/>
      <c r="E60" s="351"/>
      <c r="F60" s="351"/>
      <c r="G60" s="352"/>
    </row>
    <row r="61" spans="1:7">
      <c r="A61" s="259"/>
      <c r="B61" s="222"/>
      <c r="C61" s="227"/>
      <c r="D61" s="227"/>
      <c r="E61" s="227"/>
      <c r="F61" s="227"/>
      <c r="G61" s="260"/>
    </row>
    <row r="62" spans="1:7">
      <c r="A62" s="261" t="s">
        <v>327</v>
      </c>
      <c r="B62" s="222"/>
      <c r="C62" s="227"/>
      <c r="D62" s="227"/>
      <c r="E62" s="227"/>
      <c r="F62" s="227"/>
      <c r="G62" s="260"/>
    </row>
    <row r="63" spans="1:7">
      <c r="A63" s="262"/>
      <c r="B63" s="222"/>
      <c r="C63" s="258" t="s">
        <v>335</v>
      </c>
      <c r="D63" s="227"/>
      <c r="E63" s="227"/>
      <c r="F63" s="227"/>
      <c r="G63" s="260"/>
    </row>
    <row r="64" spans="1:7">
      <c r="A64" s="262"/>
      <c r="B64" s="222"/>
      <c r="C64" s="227"/>
      <c r="D64" s="227"/>
      <c r="E64" s="227"/>
      <c r="F64" s="227"/>
      <c r="G64" s="260"/>
    </row>
  </sheetData>
  <mergeCells count="16">
    <mergeCell ref="C58:G58"/>
    <mergeCell ref="C60:G60"/>
    <mergeCell ref="A9:G9"/>
    <mergeCell ref="A5:G5"/>
    <mergeCell ref="A28:G28"/>
    <mergeCell ref="A19:G19"/>
    <mergeCell ref="A23:G23"/>
    <mergeCell ref="A51:G51"/>
    <mergeCell ref="A14:G14"/>
    <mergeCell ref="G3:G4"/>
    <mergeCell ref="B3:B4"/>
    <mergeCell ref="A1:G1"/>
    <mergeCell ref="A2:G2"/>
    <mergeCell ref="C56:G56"/>
    <mergeCell ref="D3:E3"/>
    <mergeCell ref="F3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  <_Flow_SignoffStatus xmlns="df647032-17c5-4266-af02-4596a72daf50" xsi:nil="true"/>
  </documentManagement>
</p:properties>
</file>

<file path=customXml/itemProps1.xml><?xml version="1.0" encoding="utf-8"?>
<ds:datastoreItem xmlns:ds="http://schemas.openxmlformats.org/officeDocument/2006/customXml" ds:itemID="{1F849133-CB0F-481A-B934-161C401CE920}"/>
</file>

<file path=customXml/itemProps2.xml><?xml version="1.0" encoding="utf-8"?>
<ds:datastoreItem xmlns:ds="http://schemas.openxmlformats.org/officeDocument/2006/customXml" ds:itemID="{4221AB4F-109F-4240-913D-9751A6AFDD3D}"/>
</file>

<file path=customXml/itemProps3.xml><?xml version="1.0" encoding="utf-8"?>
<ds:datastoreItem xmlns:ds="http://schemas.openxmlformats.org/officeDocument/2006/customXml" ds:itemID="{35A35867-94B5-43C5-97B0-CCBD2BBDFB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wilfred</dc:creator>
  <cp:keywords/>
  <dc:description/>
  <cp:lastModifiedBy>Lorna Olala</cp:lastModifiedBy>
  <cp:revision/>
  <dcterms:created xsi:type="dcterms:W3CDTF">2012-07-31T14:31:17Z</dcterms:created>
  <dcterms:modified xsi:type="dcterms:W3CDTF">2023-10-05T08:22:31Z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gn-off status">
    <vt:lpwstr/>
  </property>
  <property fmtid="{D5CDD505-2E9C-101B-9397-08002B2CF9AE}" pid="3" name="lcf76f155ced4ddcb4097134ff3c332f">
    <vt:lpwstr/>
  </property>
  <property fmtid="{D5CDD505-2E9C-101B-9397-08002B2CF9AE}" pid="4" name="TaxCatchAll">
    <vt:lpwstr/>
  </property>
  <property fmtid="{D5CDD505-2E9C-101B-9397-08002B2CF9AE}" pid="5" name="MSIP_Label_2e417465-7ab2-4d43-aa73-f6726da16fc6_Enabled">
    <vt:lpwstr>true</vt:lpwstr>
  </property>
  <property fmtid="{D5CDD505-2E9C-101B-9397-08002B2CF9AE}" pid="6" name="MSIP_Label_2e417465-7ab2-4d43-aa73-f6726da16fc6_SetDate">
    <vt:lpwstr>2023-05-31T08:23:34Z</vt:lpwstr>
  </property>
  <property fmtid="{D5CDD505-2E9C-101B-9397-08002B2CF9AE}" pid="7" name="MSIP_Label_2e417465-7ab2-4d43-aa73-f6726da16fc6_Method">
    <vt:lpwstr>Privileged</vt:lpwstr>
  </property>
  <property fmtid="{D5CDD505-2E9C-101B-9397-08002B2CF9AE}" pid="8" name="MSIP_Label_2e417465-7ab2-4d43-aa73-f6726da16fc6_Name">
    <vt:lpwstr>Supervision</vt:lpwstr>
  </property>
  <property fmtid="{D5CDD505-2E9C-101B-9397-08002B2CF9AE}" pid="9" name="MSIP_Label_2e417465-7ab2-4d43-aa73-f6726da16fc6_SiteId">
    <vt:lpwstr>d6c8161d-ccd5-4325-b291-dd442c369fe4</vt:lpwstr>
  </property>
  <property fmtid="{D5CDD505-2E9C-101B-9397-08002B2CF9AE}" pid="10" name="MSIP_Label_2e417465-7ab2-4d43-aa73-f6726da16fc6_ActionId">
    <vt:lpwstr>efac2f2e-1e2b-412c-9a74-70ddbf0cb857</vt:lpwstr>
  </property>
  <property fmtid="{D5CDD505-2E9C-101B-9397-08002B2CF9AE}" pid="11" name="MSIP_Label_2e417465-7ab2-4d43-aa73-f6726da16fc6_ContentBits">
    <vt:lpwstr>0</vt:lpwstr>
  </property>
  <property fmtid="{D5CDD505-2E9C-101B-9397-08002B2CF9AE}" pid="12" name="MediaServiceImageTags">
    <vt:lpwstr/>
  </property>
  <property fmtid="{D5CDD505-2E9C-101B-9397-08002B2CF9AE}" pid="13" name="ContentTypeId">
    <vt:lpwstr>0x010100F4FB27488935CD4FBFBB981DE553EA38</vt:lpwstr>
  </property>
</Properties>
</file>
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srake.sharepoint.com/sites/Supervision/Shared Documents/DT Saccos/Portfolio 2/JUMUIKA- 1920/Returns/"/>
    </mc:Choice>
  </mc:AlternateContent>
  <xr:revisionPtr revIDLastSave="483" documentId="11_3C87E9481A63BFDF1AB8582D888267CE59EC8FDA" xr6:coauthVersionLast="47" xr6:coauthVersionMax="47" xr10:uidLastSave="{C0F433F3-69E4-4108-A43F-90475B042128}"/>
  <bookViews>
    <workbookView xWindow="-108" yWindow="-108" windowWidth="23256" windowHeight="12576" tabRatio="744" firstSheet="6" activeTab="1" xr2:uid="{00000000-000D-0000-FFFF-FFFF00000000}"/>
  </bookViews>
  <sheets>
    <sheet name="Evolutive SFP" sheetId="1" r:id="rId1"/>
    <sheet name="Evolutitve SCI" sheetId="2" r:id="rId2"/>
    <sheet name="Financials" sheetId="5" r:id="rId3"/>
    <sheet name="FORM 4" sheetId="4" r:id="rId4"/>
    <sheet name="CAELS" sheetId="3" r:id="rId5"/>
    <sheet name="CAELS (2)" sheetId="6" r:id="rId6"/>
    <sheet name="Performance" sheetId="7" r:id="rId7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M4" i="5" l="1"/>
  <c r="CM5" i="5"/>
  <c r="CM6" i="5"/>
  <c r="CM7" i="5"/>
  <c r="CM8" i="5"/>
  <c r="CM15" i="5"/>
  <c r="CM17" i="5"/>
  <c r="CM18" i="5"/>
  <c r="CM19" i="5"/>
  <c r="CM20" i="5"/>
  <c r="CM22" i="5"/>
  <c r="CM21" i="5" s="1"/>
  <c r="CM26" i="5"/>
  <c r="CM27" i="5"/>
  <c r="CM28" i="5"/>
  <c r="CM30" i="5"/>
  <c r="CM31" i="5"/>
  <c r="CM32" i="5"/>
  <c r="CM33" i="5"/>
  <c r="CM34" i="5"/>
  <c r="CM35" i="5"/>
  <c r="CM38" i="5"/>
  <c r="CM39" i="5"/>
  <c r="CM40" i="5"/>
  <c r="CM44" i="5"/>
  <c r="CM45" i="5"/>
  <c r="CM46" i="5"/>
  <c r="CM47" i="5"/>
  <c r="CL4" i="5"/>
  <c r="CL5" i="5"/>
  <c r="CL6" i="5"/>
  <c r="CL7" i="5"/>
  <c r="CL8" i="5"/>
  <c r="CL15" i="5"/>
  <c r="CL17" i="5"/>
  <c r="CL18" i="5"/>
  <c r="CL19" i="5"/>
  <c r="CL20" i="5"/>
  <c r="CL22" i="5"/>
  <c r="CL21" i="5" s="1"/>
  <c r="CL26" i="5"/>
  <c r="CL27" i="5"/>
  <c r="CL28" i="5"/>
  <c r="CL30" i="5"/>
  <c r="CL31" i="5"/>
  <c r="CL32" i="5"/>
  <c r="CL33" i="5"/>
  <c r="CL34" i="5"/>
  <c r="CL35" i="5"/>
  <c r="CL38" i="5"/>
  <c r="CL39" i="5"/>
  <c r="CL40" i="5"/>
  <c r="CL44" i="5"/>
  <c r="CL45" i="5"/>
  <c r="CL46" i="5"/>
  <c r="CL47" i="5"/>
  <c r="CP37" i="2"/>
  <c r="CN30" i="2"/>
  <c r="CO30" i="2"/>
  <c r="CN23" i="2"/>
  <c r="CO23" i="2"/>
  <c r="CN20" i="2"/>
  <c r="CO20" i="2"/>
  <c r="CN12" i="2"/>
  <c r="CO12" i="2"/>
  <c r="CO4" i="2"/>
  <c r="CN7" i="2"/>
  <c r="CO7" i="2"/>
  <c r="CN4" i="2"/>
  <c r="CN3" i="2" s="1"/>
  <c r="CN19" i="2" s="1"/>
  <c r="CN29" i="2" s="1"/>
  <c r="CN33" i="2" s="1"/>
  <c r="CN35" i="2" s="1"/>
  <c r="CN37" i="2" s="1"/>
  <c r="CN4" i="1"/>
  <c r="CN8" i="1"/>
  <c r="CN13" i="1"/>
  <c r="CN16" i="1"/>
  <c r="CN20" i="1"/>
  <c r="CN26" i="1"/>
  <c r="CN30" i="1"/>
  <c r="CN37" i="1"/>
  <c r="CN47" i="1"/>
  <c r="CO47" i="1"/>
  <c r="CN48" i="1"/>
  <c r="CO48" i="1"/>
  <c r="CN49" i="1"/>
  <c r="CO49" i="1"/>
  <c r="CM47" i="1"/>
  <c r="CM30" i="1"/>
  <c r="CM37" i="1" s="1"/>
  <c r="CM48" i="1" s="1"/>
  <c r="CM20" i="1"/>
  <c r="CM16" i="1"/>
  <c r="CM13" i="1"/>
  <c r="CM8" i="1"/>
  <c r="CM4" i="1"/>
  <c r="CM26" i="1" s="1"/>
  <c r="CM49" i="1" s="1"/>
  <c r="CK4" i="5"/>
  <c r="CK5" i="5"/>
  <c r="CK6" i="5"/>
  <c r="CK7" i="5"/>
  <c r="CK8" i="5"/>
  <c r="CK15" i="5"/>
  <c r="CK17" i="5"/>
  <c r="CK18" i="5"/>
  <c r="CK19" i="5"/>
  <c r="CK20" i="5"/>
  <c r="CK22" i="5"/>
  <c r="CK21" i="5" s="1"/>
  <c r="CK26" i="5"/>
  <c r="CK27" i="5"/>
  <c r="CK28" i="5"/>
  <c r="CK30" i="5"/>
  <c r="CK31" i="5"/>
  <c r="CK32" i="5"/>
  <c r="CK33" i="5"/>
  <c r="CK34" i="5"/>
  <c r="CK35" i="5"/>
  <c r="CK38" i="5"/>
  <c r="CK39" i="5"/>
  <c r="CK40" i="5"/>
  <c r="CK44" i="5"/>
  <c r="CK45" i="5"/>
  <c r="CK46" i="5"/>
  <c r="CK47" i="5"/>
  <c r="CI7" i="2"/>
  <c r="CJ7" i="2"/>
  <c r="CK7" i="2"/>
  <c r="CL7" i="2"/>
  <c r="CM7" i="2"/>
  <c r="CL47" i="1"/>
  <c r="CL30" i="1"/>
  <c r="CL37" i="1" s="1"/>
  <c r="CL48" i="1" s="1"/>
  <c r="CL20" i="1"/>
  <c r="CL16" i="1"/>
  <c r="CL13" i="1"/>
  <c r="CL8" i="1"/>
  <c r="CL4" i="1"/>
  <c r="CL26" i="1" s="1"/>
  <c r="CL49" i="1" s="1"/>
  <c r="CM30" i="2"/>
  <c r="CM23" i="2"/>
  <c r="CM20" i="2"/>
  <c r="CM12" i="2"/>
  <c r="CM4" i="2"/>
  <c r="CM3" i="2" s="1"/>
  <c r="CM19" i="2" s="1"/>
  <c r="CM29" i="2" s="1"/>
  <c r="CM33" i="2" s="1"/>
  <c r="CM35" i="2" s="1"/>
  <c r="CM37" i="2" s="1"/>
  <c r="CL3" i="2"/>
  <c r="CG4" i="5"/>
  <c r="CH4" i="5"/>
  <c r="CI4" i="5"/>
  <c r="CJ4" i="5"/>
  <c r="CG5" i="5"/>
  <c r="CH5" i="5"/>
  <c r="CI5" i="5"/>
  <c r="CJ5" i="5"/>
  <c r="CG6" i="5"/>
  <c r="CH6" i="5"/>
  <c r="CI6" i="5"/>
  <c r="CJ6" i="5"/>
  <c r="CG7" i="5"/>
  <c r="CH7" i="5"/>
  <c r="CI7" i="5"/>
  <c r="CJ7" i="5"/>
  <c r="CG8" i="5"/>
  <c r="CH8" i="5"/>
  <c r="CI8" i="5"/>
  <c r="CJ8" i="5"/>
  <c r="CG15" i="5"/>
  <c r="CH15" i="5"/>
  <c r="CI15" i="5"/>
  <c r="CJ15" i="5"/>
  <c r="CG17" i="5"/>
  <c r="CH17" i="5"/>
  <c r="CI17" i="5"/>
  <c r="CJ17" i="5"/>
  <c r="CG18" i="5"/>
  <c r="CH18" i="5"/>
  <c r="CI18" i="5"/>
  <c r="CJ18" i="5"/>
  <c r="CG19" i="5"/>
  <c r="CH19" i="5"/>
  <c r="CI19" i="5"/>
  <c r="CJ19" i="5"/>
  <c r="CG20" i="5"/>
  <c r="CH20" i="5"/>
  <c r="CI20" i="5"/>
  <c r="CJ20" i="5"/>
  <c r="CG22" i="5"/>
  <c r="CG21" i="5" s="1"/>
  <c r="CH22" i="5"/>
  <c r="CH21" i="5" s="1"/>
  <c r="CI22" i="5"/>
  <c r="CI21" i="5" s="1"/>
  <c r="CJ22" i="5"/>
  <c r="CJ21" i="5" s="1"/>
  <c r="CG26" i="5"/>
  <c r="CH26" i="5"/>
  <c r="CI26" i="5"/>
  <c r="CJ26" i="5"/>
  <c r="CG27" i="5"/>
  <c r="CH27" i="5"/>
  <c r="CI27" i="5"/>
  <c r="CJ27" i="5"/>
  <c r="CG28" i="5"/>
  <c r="CH28" i="5"/>
  <c r="CI28" i="5"/>
  <c r="CJ28" i="5"/>
  <c r="CG30" i="5"/>
  <c r="CH30" i="5"/>
  <c r="CI30" i="5"/>
  <c r="CJ30" i="5"/>
  <c r="CG31" i="5"/>
  <c r="CH31" i="5"/>
  <c r="CI31" i="5"/>
  <c r="CJ31" i="5"/>
  <c r="CG32" i="5"/>
  <c r="CH32" i="5"/>
  <c r="CI32" i="5"/>
  <c r="CJ32" i="5"/>
  <c r="CG33" i="5"/>
  <c r="CH33" i="5"/>
  <c r="CI33" i="5"/>
  <c r="CJ33" i="5"/>
  <c r="CG34" i="5"/>
  <c r="CH34" i="5"/>
  <c r="CI34" i="5"/>
  <c r="CJ34" i="5"/>
  <c r="CG35" i="5"/>
  <c r="CH35" i="5"/>
  <c r="CI35" i="5"/>
  <c r="CJ35" i="5"/>
  <c r="CG38" i="5"/>
  <c r="CH38" i="5"/>
  <c r="CI38" i="5"/>
  <c r="CJ38" i="5"/>
  <c r="CG39" i="5"/>
  <c r="CH39" i="5"/>
  <c r="CI39" i="5"/>
  <c r="CJ39" i="5"/>
  <c r="CG40" i="5"/>
  <c r="CH40" i="5"/>
  <c r="CI40" i="5"/>
  <c r="CJ40" i="5"/>
  <c r="CG44" i="5"/>
  <c r="CH44" i="5"/>
  <c r="CI44" i="5"/>
  <c r="CJ44" i="5"/>
  <c r="CG45" i="5"/>
  <c r="CH45" i="5"/>
  <c r="CI45" i="5"/>
  <c r="CJ45" i="5"/>
  <c r="CG46" i="5"/>
  <c r="CH46" i="5"/>
  <c r="CI46" i="5"/>
  <c r="CJ46" i="5"/>
  <c r="CG47" i="5"/>
  <c r="CH47" i="5"/>
  <c r="CI47" i="5"/>
  <c r="CJ47" i="5"/>
  <c r="CI30" i="2"/>
  <c r="CJ30" i="2"/>
  <c r="CK30" i="2"/>
  <c r="CL30" i="2"/>
  <c r="CI23" i="2"/>
  <c r="CJ23" i="2"/>
  <c r="CK23" i="2"/>
  <c r="CL23" i="2"/>
  <c r="CI20" i="2"/>
  <c r="CJ20" i="2"/>
  <c r="CK20" i="2"/>
  <c r="CL20" i="2"/>
  <c r="CI12" i="2"/>
  <c r="CJ12" i="2"/>
  <c r="CK12" i="2"/>
  <c r="CL12" i="2"/>
  <c r="CI4" i="2"/>
  <c r="CJ4" i="2"/>
  <c r="CK4" i="2"/>
  <c r="CL4" i="2"/>
  <c r="CI3" i="2"/>
  <c r="CI19" i="2" s="1"/>
  <c r="CI29" i="2" s="1"/>
  <c r="CI33" i="2" s="1"/>
  <c r="CI35" i="2" s="1"/>
  <c r="CI37" i="2" s="1"/>
  <c r="CJ3" i="2"/>
  <c r="CJ19" i="2" s="1"/>
  <c r="CJ29" i="2" s="1"/>
  <c r="CJ33" i="2" s="1"/>
  <c r="CJ35" i="2" s="1"/>
  <c r="CJ37" i="2" s="1"/>
  <c r="CK3" i="2"/>
  <c r="CK19" i="2" s="1"/>
  <c r="CK29" i="2" s="1"/>
  <c r="CK33" i="2" s="1"/>
  <c r="CK35" i="2" s="1"/>
  <c r="CK37" i="2" s="1"/>
  <c r="CL19" i="2"/>
  <c r="CL29" i="2" s="1"/>
  <c r="CL33" i="2" s="1"/>
  <c r="CL35" i="2" s="1"/>
  <c r="CL37" i="2" s="1"/>
  <c r="CH30" i="2"/>
  <c r="CH28" i="2"/>
  <c r="CH27" i="2"/>
  <c r="CH24" i="2"/>
  <c r="CH23" i="2"/>
  <c r="CH20" i="2"/>
  <c r="CH12" i="2"/>
  <c r="CH7" i="2"/>
  <c r="CH4" i="2"/>
  <c r="CH3" i="2"/>
  <c r="CH19" i="2" s="1"/>
  <c r="CH29" i="2" s="1"/>
  <c r="CH33" i="2" s="1"/>
  <c r="CH35" i="2" s="1"/>
  <c r="CH37" i="2" s="1"/>
  <c r="CH47" i="1"/>
  <c r="CI47" i="1"/>
  <c r="CJ47" i="1"/>
  <c r="CK47" i="1"/>
  <c r="CH30" i="1"/>
  <c r="CH37" i="1" s="1"/>
  <c r="CH48" i="1" s="1"/>
  <c r="CI30" i="1"/>
  <c r="CI37" i="1" s="1"/>
  <c r="CI48" i="1" s="1"/>
  <c r="CJ30" i="1"/>
  <c r="CJ37" i="1" s="1"/>
  <c r="CJ48" i="1" s="1"/>
  <c r="CK30" i="1"/>
  <c r="CK37" i="1" s="1"/>
  <c r="CK48" i="1" s="1"/>
  <c r="CH20" i="1"/>
  <c r="CI20" i="1"/>
  <c r="CJ20" i="1"/>
  <c r="CK20" i="1"/>
  <c r="CH16" i="1"/>
  <c r="CI16" i="1"/>
  <c r="CJ16" i="1"/>
  <c r="CK16" i="1"/>
  <c r="CH13" i="1"/>
  <c r="CI13" i="1"/>
  <c r="CJ13" i="1"/>
  <c r="CK13" i="1"/>
  <c r="CH8" i="1"/>
  <c r="CI8" i="1"/>
  <c r="CJ8" i="1"/>
  <c r="CK8" i="1"/>
  <c r="CH4" i="1"/>
  <c r="CH26" i="1" s="1"/>
  <c r="CH49" i="1" s="1"/>
  <c r="CI4" i="1"/>
  <c r="CI26" i="1" s="1"/>
  <c r="CI49" i="1" s="1"/>
  <c r="CJ4" i="1"/>
  <c r="CJ26" i="1" s="1"/>
  <c r="CJ49" i="1" s="1"/>
  <c r="CK4" i="1"/>
  <c r="CK26" i="1" s="1"/>
  <c r="CK49" i="1" s="1"/>
  <c r="CG41" i="1"/>
  <c r="CG40" i="1"/>
  <c r="CG47" i="1" s="1"/>
  <c r="CG30" i="1"/>
  <c r="CG37" i="1" s="1"/>
  <c r="CG20" i="1"/>
  <c r="CG16" i="1"/>
  <c r="CG13" i="1"/>
  <c r="CG8" i="1"/>
  <c r="CG4" i="1"/>
  <c r="CE26" i="1"/>
  <c r="CF26" i="1"/>
  <c r="CG7" i="6"/>
  <c r="CF33" i="5"/>
  <c r="CG4" i="2"/>
  <c r="CG5" i="2"/>
  <c r="CG6" i="2"/>
  <c r="CG7" i="2"/>
  <c r="CG8" i="2"/>
  <c r="CG9" i="2"/>
  <c r="CG10" i="2"/>
  <c r="CG11" i="2"/>
  <c r="CG12" i="2"/>
  <c r="CG13" i="2"/>
  <c r="CG14" i="2"/>
  <c r="CG15" i="2"/>
  <c r="CG16" i="2"/>
  <c r="CG17" i="2"/>
  <c r="CG18" i="2"/>
  <c r="CG19" i="2"/>
  <c r="CG20" i="2"/>
  <c r="CG21" i="2"/>
  <c r="CG22" i="2"/>
  <c r="CG23" i="2"/>
  <c r="CG24" i="2"/>
  <c r="CG25" i="2"/>
  <c r="CG26" i="2"/>
  <c r="CG27" i="2"/>
  <c r="CG28" i="2"/>
  <c r="CG29" i="2"/>
  <c r="CG30" i="2"/>
  <c r="CG31" i="2"/>
  <c r="CG32" i="2"/>
  <c r="CG33" i="2"/>
  <c r="CG34" i="2"/>
  <c r="CG35" i="2"/>
  <c r="CG36" i="2"/>
  <c r="CG37" i="2"/>
  <c r="CG3" i="2"/>
  <c r="CF5" i="1"/>
  <c r="CF6" i="1"/>
  <c r="CF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7" i="1"/>
  <c r="CF28" i="1"/>
  <c r="CF29" i="1"/>
  <c r="CF30" i="1"/>
  <c r="CF31" i="1"/>
  <c r="CF32" i="1"/>
  <c r="CF33" i="1"/>
  <c r="CF34" i="1"/>
  <c r="CF35" i="1"/>
  <c r="CF36" i="1"/>
  <c r="CF37" i="1"/>
  <c r="CF38" i="1"/>
  <c r="CF39" i="1"/>
  <c r="CF40" i="1"/>
  <c r="CF41" i="1"/>
  <c r="CF42" i="1"/>
  <c r="CF43" i="1"/>
  <c r="CF44" i="1"/>
  <c r="CF45" i="1"/>
  <c r="CF46" i="1"/>
  <c r="CF47" i="1"/>
  <c r="CF48" i="1"/>
  <c r="CF50" i="1"/>
  <c r="CF4" i="1"/>
  <c r="CF24" i="2"/>
  <c r="CF27" i="2"/>
  <c r="CF28" i="2"/>
  <c r="CD4" i="1"/>
  <c r="CD8" i="1"/>
  <c r="CD13" i="1"/>
  <c r="CD20" i="1"/>
  <c r="CD26" i="1"/>
  <c r="CD30" i="1"/>
  <c r="CD37" i="1"/>
  <c r="CD47" i="1"/>
  <c r="CD48" i="1"/>
  <c r="CD49" i="1"/>
  <c r="CE49" i="1"/>
  <c r="CF49" i="1" s="1"/>
  <c r="CE41" i="1"/>
  <c r="CE40" i="1"/>
  <c r="CG3" i="6"/>
  <c r="CE4" i="1"/>
  <c r="CE13" i="1"/>
  <c r="CE20" i="1"/>
  <c r="CE8" i="1"/>
  <c r="CG4" i="6"/>
  <c r="CE30" i="1"/>
  <c r="CG5" i="6"/>
  <c r="CG6" i="6"/>
  <c r="CG8" i="6"/>
  <c r="CE4" i="2"/>
  <c r="CE7" i="2"/>
  <c r="CE3" i="2"/>
  <c r="CE12" i="2"/>
  <c r="CE19" i="2"/>
  <c r="CE23" i="2"/>
  <c r="CE29" i="2"/>
  <c r="CE33" i="2"/>
  <c r="CG9" i="6"/>
  <c r="CF4" i="2"/>
  <c r="CF7" i="2"/>
  <c r="CF3" i="2"/>
  <c r="CF12" i="2"/>
  <c r="CF19" i="2"/>
  <c r="CF23" i="2"/>
  <c r="CG10" i="6"/>
  <c r="CG12" i="6"/>
  <c r="CG13" i="6"/>
  <c r="CG14" i="6"/>
  <c r="CG15" i="6"/>
  <c r="CG16" i="6"/>
  <c r="CG17" i="6"/>
  <c r="CG18" i="6"/>
  <c r="CG19" i="6"/>
  <c r="CG21" i="6"/>
  <c r="CE4" i="5"/>
  <c r="CF4" i="5"/>
  <c r="CE5" i="5"/>
  <c r="CF5" i="5"/>
  <c r="CE6" i="5"/>
  <c r="CF6" i="5"/>
  <c r="CE7" i="5"/>
  <c r="CF7" i="5"/>
  <c r="CE8" i="5"/>
  <c r="CF8" i="5"/>
  <c r="CE15" i="5"/>
  <c r="CE17" i="5"/>
  <c r="CE18" i="5"/>
  <c r="CE19" i="5"/>
  <c r="CE20" i="5"/>
  <c r="CE22" i="5"/>
  <c r="CE21" i="5"/>
  <c r="CE14" i="5"/>
  <c r="CE26" i="5"/>
  <c r="CE11" i="5"/>
  <c r="CF15" i="5"/>
  <c r="CF17" i="5"/>
  <c r="CF18" i="5"/>
  <c r="CF19" i="5"/>
  <c r="CF20" i="5"/>
  <c r="CF22" i="5"/>
  <c r="CF21" i="5"/>
  <c r="CF14" i="5"/>
  <c r="CF26" i="5"/>
  <c r="CF11" i="5"/>
  <c r="CE12" i="5"/>
  <c r="CF12" i="5"/>
  <c r="CE27" i="5"/>
  <c r="CE28" i="5"/>
  <c r="CE25" i="5"/>
  <c r="CF27" i="5"/>
  <c r="CF28" i="5"/>
  <c r="CF25" i="5"/>
  <c r="CE30" i="5"/>
  <c r="CF30" i="5"/>
  <c r="CE31" i="5"/>
  <c r="CF31" i="5"/>
  <c r="CE32" i="5"/>
  <c r="CF32" i="5"/>
  <c r="CE34" i="5"/>
  <c r="CF34" i="5"/>
  <c r="CE35" i="5"/>
  <c r="CF35" i="5"/>
  <c r="CE38" i="5"/>
  <c r="CE39" i="5"/>
  <c r="CE40" i="5"/>
  <c r="CE37" i="5"/>
  <c r="CF38" i="5"/>
  <c r="CF39" i="5"/>
  <c r="CF40" i="5"/>
  <c r="CF37" i="5"/>
  <c r="CE44" i="5"/>
  <c r="CE45" i="5"/>
  <c r="CE46" i="5"/>
  <c r="CE47" i="5"/>
  <c r="CE43" i="5"/>
  <c r="CF44" i="5"/>
  <c r="CF45" i="5"/>
  <c r="CF46" i="5"/>
  <c r="CF47" i="5"/>
  <c r="CF43" i="5"/>
  <c r="CF29" i="2"/>
  <c r="CF33" i="2"/>
  <c r="CF35" i="2"/>
  <c r="CF37" i="2"/>
  <c r="CF30" i="2"/>
  <c r="CF20" i="2"/>
  <c r="CE47" i="1"/>
  <c r="CE37" i="1"/>
  <c r="CE48" i="1"/>
  <c r="CD16" i="1"/>
  <c r="CE16" i="1"/>
  <c r="BG20" i="6"/>
  <c r="BH20" i="6"/>
  <c r="BI20" i="6"/>
  <c r="BJ20" i="6"/>
  <c r="BK20" i="6"/>
  <c r="BL20" i="6"/>
  <c r="BM20" i="6"/>
  <c r="BN20" i="6"/>
  <c r="BO20" i="6"/>
  <c r="BP20" i="6"/>
  <c r="BQ20" i="6"/>
  <c r="BR20" i="6"/>
  <c r="BS20" i="6"/>
  <c r="BT20" i="6"/>
  <c r="BU20" i="6"/>
  <c r="BV20" i="6"/>
  <c r="BW20" i="6"/>
  <c r="BX20" i="6"/>
  <c r="BY20" i="6"/>
  <c r="BZ20" i="6"/>
  <c r="CA20" i="6"/>
  <c r="CB20" i="6"/>
  <c r="CC20" i="6"/>
  <c r="BZ49" i="1"/>
  <c r="CA49" i="1"/>
  <c r="CB49" i="1"/>
  <c r="CC49" i="1"/>
  <c r="CC3" i="6"/>
  <c r="CD3" i="6"/>
  <c r="CD19" i="6"/>
  <c r="CE3" i="6"/>
  <c r="CF3" i="6"/>
  <c r="CF5" i="6"/>
  <c r="CE5" i="6"/>
  <c r="CD8" i="6"/>
  <c r="CE8" i="6"/>
  <c r="CF8" i="6"/>
  <c r="CF10" i="6"/>
  <c r="CC12" i="6"/>
  <c r="CF12" i="6"/>
  <c r="CF13" i="6"/>
  <c r="CF14" i="6"/>
  <c r="CF15" i="6"/>
  <c r="CF16" i="6"/>
  <c r="CF17" i="6"/>
  <c r="CE18" i="6"/>
  <c r="CF18" i="6"/>
  <c r="CC19" i="6"/>
  <c r="CE19" i="6"/>
  <c r="CF21" i="6"/>
  <c r="CF22" i="6"/>
  <c r="CF23" i="6"/>
  <c r="CF24" i="6"/>
  <c r="CB6" i="5"/>
  <c r="CC6" i="5"/>
  <c r="CD6" i="5"/>
  <c r="CB7" i="5"/>
  <c r="CC7" i="5"/>
  <c r="CD7" i="5"/>
  <c r="CB8" i="5"/>
  <c r="CC8" i="5"/>
  <c r="CD8" i="5"/>
  <c r="CB15" i="5"/>
  <c r="CC15" i="5"/>
  <c r="CD15" i="5"/>
  <c r="CB17" i="5"/>
  <c r="CC17" i="5"/>
  <c r="CD17" i="5"/>
  <c r="CB18" i="5"/>
  <c r="CC18" i="5"/>
  <c r="CD18" i="5"/>
  <c r="CB19" i="5"/>
  <c r="CC19" i="5"/>
  <c r="CD19" i="5"/>
  <c r="CB20" i="5"/>
  <c r="CC20" i="5"/>
  <c r="CD20" i="5"/>
  <c r="CB22" i="5"/>
  <c r="CB21" i="5"/>
  <c r="CC22" i="5"/>
  <c r="CC21" i="5"/>
  <c r="CD22" i="5"/>
  <c r="CD21" i="5"/>
  <c r="CB26" i="5"/>
  <c r="CC26" i="5"/>
  <c r="CD26" i="5"/>
  <c r="CB27" i="5"/>
  <c r="CB25" i="5"/>
  <c r="CC27" i="5"/>
  <c r="CD27" i="5"/>
  <c r="CB28" i="5"/>
  <c r="CC28" i="5"/>
  <c r="CD28" i="5"/>
  <c r="CB31" i="5"/>
  <c r="CC31" i="5"/>
  <c r="CD31" i="5"/>
  <c r="CB32" i="5"/>
  <c r="CC32" i="5"/>
  <c r="CD32" i="5"/>
  <c r="CB34" i="5"/>
  <c r="CB35" i="5"/>
  <c r="CC35" i="5"/>
  <c r="CD35" i="5"/>
  <c r="CB38" i="5"/>
  <c r="CB39" i="5"/>
  <c r="CB40" i="5"/>
  <c r="CB37" i="5"/>
  <c r="CC38" i="5"/>
  <c r="CD38" i="5"/>
  <c r="CD39" i="5"/>
  <c r="CC40" i="5"/>
  <c r="CD40" i="5"/>
  <c r="CB44" i="5"/>
  <c r="CB45" i="5"/>
  <c r="CB46" i="5"/>
  <c r="CB47" i="5"/>
  <c r="CB43" i="5"/>
  <c r="CC44" i="5"/>
  <c r="CD44" i="5"/>
  <c r="CC45" i="5"/>
  <c r="CD45" i="5"/>
  <c r="CC46" i="5"/>
  <c r="CD46" i="5"/>
  <c r="CD47" i="5"/>
  <c r="CE35" i="2"/>
  <c r="CE37" i="2"/>
  <c r="CB30" i="2"/>
  <c r="CC30" i="2"/>
  <c r="CD30" i="2"/>
  <c r="CE30" i="2"/>
  <c r="CB23" i="2"/>
  <c r="CC47" i="5"/>
  <c r="CC43" i="5"/>
  <c r="CC23" i="2"/>
  <c r="CD23" i="2"/>
  <c r="CB20" i="2"/>
  <c r="CC20" i="2"/>
  <c r="CD20" i="2"/>
  <c r="CE20" i="2"/>
  <c r="CB12" i="2"/>
  <c r="CC12" i="2"/>
  <c r="CD12" i="2"/>
  <c r="CF11" i="6"/>
  <c r="CB7" i="2"/>
  <c r="CC39" i="5"/>
  <c r="CC7" i="2"/>
  <c r="CD7" i="2"/>
  <c r="CB4" i="2"/>
  <c r="CC4" i="2"/>
  <c r="CC3" i="2"/>
  <c r="CC19" i="2"/>
  <c r="CD4" i="2"/>
  <c r="CA47" i="1"/>
  <c r="CB47" i="1"/>
  <c r="CC47" i="1"/>
  <c r="CC37" i="1"/>
  <c r="CA30" i="1"/>
  <c r="CC18" i="6"/>
  <c r="CB30" i="1"/>
  <c r="CC5" i="5"/>
  <c r="CC30" i="1"/>
  <c r="CD5" i="5"/>
  <c r="CA20" i="1"/>
  <c r="CB20" i="1"/>
  <c r="CC34" i="5"/>
  <c r="CC20" i="1"/>
  <c r="CD34" i="5"/>
  <c r="CA16" i="1"/>
  <c r="CA26" i="1"/>
  <c r="CB16" i="1"/>
  <c r="CC16" i="1"/>
  <c r="CA13" i="1"/>
  <c r="CB30" i="5"/>
  <c r="CB13" i="1"/>
  <c r="CC30" i="5"/>
  <c r="CC13" i="1"/>
  <c r="CD30" i="5"/>
  <c r="CA8" i="1"/>
  <c r="CB8" i="1"/>
  <c r="CC8" i="1"/>
  <c r="CA4" i="1"/>
  <c r="CB4" i="1"/>
  <c r="CD12" i="6"/>
  <c r="CC4" i="1"/>
  <c r="CE12" i="6"/>
  <c r="G31" i="7"/>
  <c r="G32" i="7"/>
  <c r="G37" i="7"/>
  <c r="G40" i="7"/>
  <c r="G41" i="7"/>
  <c r="G42" i="7"/>
  <c r="G43" i="7"/>
  <c r="G46" i="7"/>
  <c r="G47" i="7"/>
  <c r="CB3" i="6"/>
  <c r="CB19" i="6"/>
  <c r="CB8" i="6"/>
  <c r="CB18" i="6"/>
  <c r="CA5" i="5"/>
  <c r="CA6" i="5"/>
  <c r="CA7" i="5"/>
  <c r="CA8" i="5"/>
  <c r="CA15" i="5"/>
  <c r="CA17" i="5"/>
  <c r="CA18" i="5"/>
  <c r="CA19" i="5"/>
  <c r="CA20" i="5"/>
  <c r="CA22" i="5"/>
  <c r="CA21" i="5"/>
  <c r="CA26" i="5"/>
  <c r="G39" i="7"/>
  <c r="CA27" i="5"/>
  <c r="CA28" i="5"/>
  <c r="CA31" i="5"/>
  <c r="CA32" i="5"/>
  <c r="CA34" i="5"/>
  <c r="G36" i="7"/>
  <c r="CA35" i="5"/>
  <c r="CA38" i="5"/>
  <c r="CA40" i="5"/>
  <c r="CA44" i="5"/>
  <c r="CA45" i="5"/>
  <c r="CA46" i="5"/>
  <c r="CA7" i="2"/>
  <c r="CA4" i="2"/>
  <c r="G48" i="7"/>
  <c r="CA12" i="2"/>
  <c r="G49" i="7"/>
  <c r="CA20" i="2"/>
  <c r="CA23" i="2"/>
  <c r="CA30" i="2"/>
  <c r="BZ4" i="1"/>
  <c r="BZ8" i="1"/>
  <c r="BZ13" i="1"/>
  <c r="CA30" i="5"/>
  <c r="BZ16" i="1"/>
  <c r="BZ20" i="1"/>
  <c r="BZ30" i="1"/>
  <c r="BZ37" i="1"/>
  <c r="BZ47" i="1"/>
  <c r="F46" i="7"/>
  <c r="F43" i="7"/>
  <c r="F42" i="7"/>
  <c r="F41" i="7"/>
  <c r="F37" i="7"/>
  <c r="F32" i="7"/>
  <c r="F30" i="7"/>
  <c r="CA3" i="6"/>
  <c r="CA8" i="6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H3" i="3"/>
  <c r="BI3" i="3"/>
  <c r="BJ3" i="3"/>
  <c r="BK3" i="3"/>
  <c r="BL3" i="3"/>
  <c r="BM3" i="3"/>
  <c r="BN3" i="3"/>
  <c r="BO3" i="3"/>
  <c r="BP3" i="3"/>
  <c r="BQ3" i="3"/>
  <c r="BR3" i="3"/>
  <c r="BS3" i="3"/>
  <c r="BU3" i="3"/>
  <c r="BV3" i="3"/>
  <c r="BW3" i="3"/>
  <c r="BX3" i="3"/>
  <c r="AB19" i="3"/>
  <c r="AC19" i="3"/>
  <c r="AD19" i="3"/>
  <c r="AE19" i="3"/>
  <c r="AF19" i="3"/>
  <c r="AJ19" i="3"/>
  <c r="AK19" i="3"/>
  <c r="AL19" i="3"/>
  <c r="AM19" i="3"/>
  <c r="AR19" i="3"/>
  <c r="AS19" i="3"/>
  <c r="AT19" i="3"/>
  <c r="AU19" i="3"/>
  <c r="AV19" i="3"/>
  <c r="AY19" i="3"/>
  <c r="AZ19" i="3"/>
  <c r="BA19" i="3"/>
  <c r="BB19" i="3"/>
  <c r="BC19" i="3"/>
  <c r="BD19" i="3"/>
  <c r="BH19" i="3"/>
  <c r="BI19" i="3"/>
  <c r="BJ19" i="3"/>
  <c r="BK19" i="3"/>
  <c r="BL19" i="3"/>
  <c r="BP19" i="3"/>
  <c r="BQ19" i="3"/>
  <c r="BR19" i="3"/>
  <c r="BS19" i="3"/>
  <c r="BX19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G3" i="3"/>
  <c r="H3" i="3"/>
  <c r="I3" i="3"/>
  <c r="J3" i="3"/>
  <c r="K3" i="3"/>
  <c r="L3" i="3"/>
  <c r="M3" i="3"/>
  <c r="N3" i="3"/>
  <c r="O3" i="3"/>
  <c r="P3" i="3"/>
  <c r="Q3" i="3"/>
  <c r="R3" i="3"/>
  <c r="S3" i="3"/>
  <c r="U3" i="3"/>
  <c r="V3" i="3"/>
  <c r="W3" i="3"/>
  <c r="X3" i="3"/>
  <c r="Y3" i="3"/>
  <c r="Z3" i="3"/>
  <c r="H19" i="3"/>
  <c r="I19" i="3"/>
  <c r="J19" i="3"/>
  <c r="M19" i="3"/>
  <c r="N19" i="3"/>
  <c r="P19" i="3"/>
  <c r="Q19" i="3"/>
  <c r="R19" i="3"/>
  <c r="U19" i="3"/>
  <c r="V19" i="3"/>
  <c r="X19" i="3"/>
  <c r="Y19" i="3"/>
  <c r="Z19" i="3"/>
  <c r="G32" i="3"/>
  <c r="U32" i="3"/>
  <c r="V32" i="3"/>
  <c r="W32" i="3"/>
  <c r="X32" i="3"/>
  <c r="Y32" i="3"/>
  <c r="Z32" i="3"/>
  <c r="BZ6" i="5"/>
  <c r="BZ7" i="5"/>
  <c r="BZ8" i="5"/>
  <c r="BZ15" i="5"/>
  <c r="BZ17" i="5"/>
  <c r="BZ18" i="5"/>
  <c r="BZ19" i="5"/>
  <c r="BZ20" i="5"/>
  <c r="BZ22" i="5"/>
  <c r="BZ21" i="5"/>
  <c r="BZ26" i="5"/>
  <c r="BZ27" i="5"/>
  <c r="BZ28" i="5"/>
  <c r="BZ31" i="5"/>
  <c r="BZ32" i="5"/>
  <c r="BZ35" i="5"/>
  <c r="BZ38" i="5"/>
  <c r="BZ40" i="5"/>
  <c r="BZ44" i="5"/>
  <c r="BZ45" i="5"/>
  <c r="BZ46" i="5"/>
  <c r="CF19" i="6"/>
  <c r="CC6" i="6"/>
  <c r="CF6" i="6"/>
  <c r="CF4" i="6"/>
  <c r="CD43" i="5"/>
  <c r="CD10" i="6"/>
  <c r="CC29" i="2"/>
  <c r="CC33" i="2"/>
  <c r="CC35" i="2"/>
  <c r="CC37" i="2"/>
  <c r="CC37" i="5"/>
  <c r="CD37" i="5"/>
  <c r="CD14" i="5"/>
  <c r="CD11" i="5"/>
  <c r="CD12" i="5"/>
  <c r="CB14" i="5"/>
  <c r="CC14" i="5"/>
  <c r="CC48" i="1"/>
  <c r="CB37" i="1"/>
  <c r="CB48" i="1"/>
  <c r="CC5" i="6"/>
  <c r="CA37" i="1"/>
  <c r="CA48" i="1"/>
  <c r="CC13" i="6"/>
  <c r="CB5" i="5"/>
  <c r="CD18" i="6"/>
  <c r="CD5" i="6"/>
  <c r="CC26" i="1"/>
  <c r="CE14" i="6"/>
  <c r="CB26" i="1"/>
  <c r="CD14" i="6"/>
  <c r="CC21" i="6"/>
  <c r="CE13" i="6"/>
  <c r="CD13" i="6"/>
  <c r="CB4" i="5"/>
  <c r="CC25" i="5"/>
  <c r="CB11" i="5"/>
  <c r="CB12" i="5"/>
  <c r="CC16" i="6"/>
  <c r="CC23" i="6"/>
  <c r="CC14" i="6"/>
  <c r="CD25" i="5"/>
  <c r="CC11" i="5"/>
  <c r="CC12" i="5"/>
  <c r="CE22" i="6"/>
  <c r="CE15" i="6"/>
  <c r="CE4" i="6"/>
  <c r="CE11" i="6"/>
  <c r="CD11" i="6"/>
  <c r="CC24" i="6"/>
  <c r="CC22" i="6"/>
  <c r="CC17" i="6"/>
  <c r="CC15" i="6"/>
  <c r="CC11" i="6"/>
  <c r="CC9" i="6"/>
  <c r="CE24" i="6"/>
  <c r="CE17" i="6"/>
  <c r="CE6" i="6"/>
  <c r="CD22" i="6"/>
  <c r="CD15" i="6"/>
  <c r="CD4" i="6"/>
  <c r="CD4" i="5"/>
  <c r="CE23" i="6"/>
  <c r="CE21" i="6"/>
  <c r="CE16" i="6"/>
  <c r="CD24" i="6"/>
  <c r="CD17" i="6"/>
  <c r="CD6" i="6"/>
  <c r="CC4" i="5"/>
  <c r="CD23" i="6"/>
  <c r="CD21" i="6"/>
  <c r="CD16" i="6"/>
  <c r="CC4" i="6"/>
  <c r="G12" i="7"/>
  <c r="G15" i="7"/>
  <c r="G20" i="7"/>
  <c r="CD3" i="2"/>
  <c r="CD19" i="2"/>
  <c r="CB3" i="2"/>
  <c r="CB19" i="2"/>
  <c r="BZ14" i="5"/>
  <c r="BZ11" i="5"/>
  <c r="BZ25" i="5"/>
  <c r="F38" i="7"/>
  <c r="F39" i="7"/>
  <c r="BW19" i="3"/>
  <c r="AQ19" i="3"/>
  <c r="AI19" i="3"/>
  <c r="CA19" i="6"/>
  <c r="BO19" i="3"/>
  <c r="AA19" i="3"/>
  <c r="CB15" i="6"/>
  <c r="CA25" i="5"/>
  <c r="G38" i="7"/>
  <c r="CB13" i="6"/>
  <c r="G25" i="7"/>
  <c r="AN19" i="3"/>
  <c r="CA14" i="5"/>
  <c r="CA11" i="5"/>
  <c r="CB12" i="6"/>
  <c r="G10" i="7"/>
  <c r="CB4" i="6"/>
  <c r="CB6" i="6"/>
  <c r="CB5" i="6"/>
  <c r="BZ48" i="1"/>
  <c r="BZ26" i="1"/>
  <c r="CB16" i="6"/>
  <c r="CA3" i="2"/>
  <c r="F10" i="7"/>
  <c r="CA5" i="6"/>
  <c r="BV19" i="3"/>
  <c r="BN19" i="3"/>
  <c r="BF19" i="3"/>
  <c r="AX19" i="3"/>
  <c r="AP19" i="3"/>
  <c r="AH19" i="3"/>
  <c r="AH5" i="3"/>
  <c r="BU19" i="3"/>
  <c r="BM19" i="3"/>
  <c r="BE19" i="3"/>
  <c r="AW19" i="3"/>
  <c r="AO19" i="3"/>
  <c r="AG19" i="3"/>
  <c r="BM5" i="3"/>
  <c r="W19" i="3"/>
  <c r="O19" i="3"/>
  <c r="G19" i="3"/>
  <c r="L19" i="3"/>
  <c r="S19" i="3"/>
  <c r="K19" i="3"/>
  <c r="BZ3" i="6"/>
  <c r="BZ8" i="6"/>
  <c r="BY6" i="5"/>
  <c r="BY7" i="5"/>
  <c r="BY8" i="5"/>
  <c r="BY15" i="5"/>
  <c r="BY17" i="5"/>
  <c r="BY18" i="5"/>
  <c r="BY19" i="5"/>
  <c r="BY20" i="5"/>
  <c r="BY22" i="5"/>
  <c r="BY21" i="5"/>
  <c r="BY26" i="5"/>
  <c r="BY27" i="5"/>
  <c r="BY28" i="5"/>
  <c r="BY31" i="5"/>
  <c r="BY32" i="5"/>
  <c r="BY35" i="5"/>
  <c r="BY38" i="5"/>
  <c r="BY40" i="5"/>
  <c r="BY44" i="5"/>
  <c r="BY45" i="5"/>
  <c r="BY46" i="5"/>
  <c r="BU3" i="6"/>
  <c r="BV3" i="6"/>
  <c r="BW3" i="6"/>
  <c r="BW19" i="6"/>
  <c r="BX3" i="6"/>
  <c r="BX19" i="6"/>
  <c r="BY3" i="6"/>
  <c r="BU8" i="6"/>
  <c r="BV8" i="6"/>
  <c r="BW8" i="6"/>
  <c r="BX8" i="6"/>
  <c r="BY8" i="6"/>
  <c r="BU18" i="6"/>
  <c r="BY19" i="6"/>
  <c r="BT6" i="5"/>
  <c r="BU26" i="3"/>
  <c r="BU6" i="5"/>
  <c r="BV26" i="3"/>
  <c r="BV6" i="5"/>
  <c r="BW26" i="3"/>
  <c r="BW6" i="5"/>
  <c r="BX26" i="3"/>
  <c r="BX6" i="5"/>
  <c r="BT7" i="5"/>
  <c r="BU27" i="3"/>
  <c r="BU7" i="5"/>
  <c r="BV27" i="3"/>
  <c r="BV7" i="5"/>
  <c r="BW27" i="3"/>
  <c r="BW7" i="5"/>
  <c r="BX27" i="3"/>
  <c r="BX7" i="5"/>
  <c r="BT8" i="5"/>
  <c r="BU8" i="5"/>
  <c r="BV8" i="5"/>
  <c r="BW8" i="5"/>
  <c r="BX8" i="5"/>
  <c r="BT15" i="5"/>
  <c r="BU15" i="5"/>
  <c r="BV15" i="5"/>
  <c r="BW15" i="5"/>
  <c r="BX15" i="5"/>
  <c r="BT17" i="5"/>
  <c r="BU17" i="5"/>
  <c r="BV17" i="5"/>
  <c r="BW17" i="5"/>
  <c r="BX17" i="5"/>
  <c r="BT18" i="5"/>
  <c r="BU18" i="5"/>
  <c r="BV18" i="5"/>
  <c r="BW18" i="5"/>
  <c r="BX18" i="5"/>
  <c r="BT19" i="5"/>
  <c r="BU19" i="5"/>
  <c r="BV19" i="5"/>
  <c r="BW19" i="5"/>
  <c r="BX19" i="5"/>
  <c r="BT20" i="5"/>
  <c r="BU20" i="5"/>
  <c r="BV20" i="5"/>
  <c r="BW20" i="5"/>
  <c r="BX20" i="5"/>
  <c r="BT22" i="5"/>
  <c r="BT21" i="5"/>
  <c r="BU22" i="5"/>
  <c r="BU21" i="5"/>
  <c r="BV22" i="5"/>
  <c r="BV21" i="5"/>
  <c r="BW22" i="5"/>
  <c r="BW21" i="5"/>
  <c r="BX22" i="5"/>
  <c r="BX21" i="5"/>
  <c r="BT26" i="5"/>
  <c r="BU26" i="5"/>
  <c r="BV26" i="5"/>
  <c r="BW26" i="5"/>
  <c r="BX26" i="5"/>
  <c r="BT27" i="5"/>
  <c r="BU27" i="5"/>
  <c r="BV27" i="5"/>
  <c r="BW27" i="5"/>
  <c r="BX27" i="5"/>
  <c r="BT28" i="5"/>
  <c r="BU28" i="5"/>
  <c r="BV28" i="5"/>
  <c r="BW28" i="5"/>
  <c r="BX28" i="5"/>
  <c r="BT31" i="5"/>
  <c r="BU28" i="3"/>
  <c r="BU31" i="5"/>
  <c r="BV28" i="3"/>
  <c r="BV31" i="5"/>
  <c r="BW28" i="3"/>
  <c r="BW31" i="5"/>
  <c r="BX28" i="3"/>
  <c r="BX31" i="5"/>
  <c r="BT32" i="5"/>
  <c r="BU32" i="5"/>
  <c r="BV32" i="5"/>
  <c r="BW32" i="5"/>
  <c r="BX32" i="5"/>
  <c r="BT35" i="5"/>
  <c r="BU35" i="5"/>
  <c r="BV35" i="5"/>
  <c r="BW35" i="5"/>
  <c r="BX35" i="5"/>
  <c r="BT38" i="5"/>
  <c r="BU38" i="3"/>
  <c r="BU38" i="5"/>
  <c r="BV38" i="5"/>
  <c r="BW38" i="5"/>
  <c r="BX38" i="5"/>
  <c r="BU39" i="5"/>
  <c r="BW39" i="5"/>
  <c r="BT40" i="5"/>
  <c r="BU40" i="5"/>
  <c r="BV40" i="5"/>
  <c r="BW40" i="5"/>
  <c r="BX40" i="5"/>
  <c r="BT44" i="5"/>
  <c r="BU33" i="3"/>
  <c r="BU44" i="5"/>
  <c r="BV33" i="3"/>
  <c r="BV44" i="5"/>
  <c r="BW33" i="3"/>
  <c r="BW44" i="5"/>
  <c r="BX33" i="3"/>
  <c r="BX44" i="5"/>
  <c r="BT45" i="5"/>
  <c r="BU34" i="3"/>
  <c r="BU45" i="5"/>
  <c r="BV34" i="3"/>
  <c r="BV45" i="5"/>
  <c r="BW34" i="3"/>
  <c r="BW45" i="5"/>
  <c r="BX34" i="3"/>
  <c r="BX45" i="5"/>
  <c r="BT46" i="5"/>
  <c r="BU46" i="5"/>
  <c r="BV46" i="5"/>
  <c r="BW46" i="5"/>
  <c r="BX35" i="3"/>
  <c r="BX46" i="5"/>
  <c r="BU47" i="5"/>
  <c r="BV47" i="5"/>
  <c r="BT30" i="2"/>
  <c r="BU30" i="2"/>
  <c r="BV30" i="2"/>
  <c r="BW30" i="2"/>
  <c r="BX30" i="2"/>
  <c r="BY30" i="2"/>
  <c r="BZ30" i="2"/>
  <c r="BT23" i="2"/>
  <c r="BU23" i="2"/>
  <c r="BV23" i="2"/>
  <c r="BW23" i="2"/>
  <c r="BX47" i="5"/>
  <c r="BX23" i="2"/>
  <c r="BY10" i="6"/>
  <c r="BY23" i="2"/>
  <c r="BZ23" i="2"/>
  <c r="BT20" i="2"/>
  <c r="BU20" i="2"/>
  <c r="BV20" i="2"/>
  <c r="BW20" i="2"/>
  <c r="BX20" i="2"/>
  <c r="BY20" i="2"/>
  <c r="BZ20" i="2"/>
  <c r="BT12" i="2"/>
  <c r="BU12" i="2"/>
  <c r="BV12" i="2"/>
  <c r="BW12" i="2"/>
  <c r="BX12" i="2"/>
  <c r="BY12" i="2"/>
  <c r="BZ12" i="2"/>
  <c r="BT7" i="2"/>
  <c r="BU7" i="2"/>
  <c r="BV39" i="5"/>
  <c r="BV7" i="2"/>
  <c r="BW7" i="2"/>
  <c r="BX39" i="5"/>
  <c r="BX7" i="2"/>
  <c r="BY39" i="5"/>
  <c r="BY7" i="2"/>
  <c r="BZ39" i="5"/>
  <c r="BZ37" i="5"/>
  <c r="BZ7" i="2"/>
  <c r="CA39" i="5"/>
  <c r="CA37" i="5"/>
  <c r="BT4" i="2"/>
  <c r="BT3" i="2"/>
  <c r="BU4" i="2"/>
  <c r="BV4" i="2"/>
  <c r="BV3" i="2"/>
  <c r="BV19" i="2"/>
  <c r="BV29" i="2"/>
  <c r="BV33" i="2"/>
  <c r="BW4" i="2"/>
  <c r="BW3" i="2"/>
  <c r="BW19" i="2"/>
  <c r="BW29" i="2"/>
  <c r="BX4" i="2"/>
  <c r="BX3" i="2"/>
  <c r="BX19" i="2"/>
  <c r="BY4" i="2"/>
  <c r="BY3" i="2"/>
  <c r="BY19" i="2"/>
  <c r="BZ4" i="2"/>
  <c r="BS47" i="1"/>
  <c r="BT47" i="1"/>
  <c r="BU47" i="1"/>
  <c r="BV47" i="1"/>
  <c r="BW47" i="1"/>
  <c r="BX47" i="1"/>
  <c r="BY47" i="1"/>
  <c r="BS30" i="1"/>
  <c r="BU5" i="3"/>
  <c r="BT30" i="1"/>
  <c r="BU30" i="1"/>
  <c r="BW5" i="3"/>
  <c r="BV30" i="1"/>
  <c r="BW30" i="1"/>
  <c r="BW37" i="1"/>
  <c r="BX30" i="1"/>
  <c r="BX37" i="1"/>
  <c r="BY30" i="1"/>
  <c r="BS20" i="1"/>
  <c r="BT20" i="1"/>
  <c r="BU20" i="1"/>
  <c r="BV20" i="1"/>
  <c r="BW20" i="1"/>
  <c r="BX34" i="5"/>
  <c r="BX20" i="1"/>
  <c r="BY20" i="1"/>
  <c r="BS16" i="1"/>
  <c r="BT16" i="1"/>
  <c r="BU16" i="1"/>
  <c r="BV16" i="1"/>
  <c r="BW16" i="1"/>
  <c r="BX16" i="1"/>
  <c r="BY16" i="1"/>
  <c r="BS13" i="1"/>
  <c r="BT30" i="5"/>
  <c r="BT13" i="1"/>
  <c r="BU30" i="5"/>
  <c r="BU13" i="1"/>
  <c r="BV30" i="5"/>
  <c r="BV13" i="1"/>
  <c r="BW30" i="5"/>
  <c r="BW13" i="1"/>
  <c r="BX30" i="5"/>
  <c r="BX13" i="1"/>
  <c r="BY30" i="5"/>
  <c r="BY13" i="1"/>
  <c r="BZ30" i="5"/>
  <c r="BS8" i="1"/>
  <c r="BT8" i="1"/>
  <c r="BU8" i="1"/>
  <c r="BV8" i="1"/>
  <c r="BW8" i="1"/>
  <c r="BX8" i="1"/>
  <c r="BY8" i="1"/>
  <c r="BS4" i="1"/>
  <c r="BT4" i="1"/>
  <c r="BU4" i="1"/>
  <c r="BV4" i="1"/>
  <c r="BW4" i="1"/>
  <c r="BX4" i="1"/>
  <c r="BY4" i="1"/>
  <c r="BR15" i="1"/>
  <c r="BS32" i="5"/>
  <c r="BR41" i="1"/>
  <c r="BS24" i="2"/>
  <c r="BS23" i="2"/>
  <c r="BR5" i="1"/>
  <c r="BR4" i="1"/>
  <c r="BR7" i="1"/>
  <c r="BT8" i="6"/>
  <c r="BG6" i="5"/>
  <c r="BH26" i="3"/>
  <c r="BH6" i="5"/>
  <c r="BI6" i="5"/>
  <c r="BJ26" i="3"/>
  <c r="BJ6" i="5"/>
  <c r="BK26" i="3"/>
  <c r="BK6" i="5"/>
  <c r="BL6" i="5"/>
  <c r="BM26" i="3"/>
  <c r="BM6" i="5"/>
  <c r="BN6" i="5"/>
  <c r="BO26" i="3"/>
  <c r="BO6" i="5"/>
  <c r="BP6" i="5"/>
  <c r="BQ6" i="5"/>
  <c r="BR26" i="3"/>
  <c r="BR6" i="5"/>
  <c r="BS26" i="3"/>
  <c r="BS6" i="5"/>
  <c r="BG7" i="5"/>
  <c r="BH7" i="5"/>
  <c r="BI7" i="5"/>
  <c r="BJ27" i="3"/>
  <c r="BJ7" i="5"/>
  <c r="BK27" i="3"/>
  <c r="BK7" i="5"/>
  <c r="BL7" i="5"/>
  <c r="BM27" i="3"/>
  <c r="BM7" i="5"/>
  <c r="BN27" i="3"/>
  <c r="BN7" i="5"/>
  <c r="BO27" i="3"/>
  <c r="BO7" i="5"/>
  <c r="BP27" i="3"/>
  <c r="BP7" i="5"/>
  <c r="BQ7" i="5"/>
  <c r="BR27" i="3"/>
  <c r="BR7" i="5"/>
  <c r="BS7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G22" i="5"/>
  <c r="BG21" i="5"/>
  <c r="BH22" i="5"/>
  <c r="BH21" i="5"/>
  <c r="BI22" i="5"/>
  <c r="BI21" i="5"/>
  <c r="BJ22" i="5"/>
  <c r="BJ21" i="5"/>
  <c r="BK22" i="5"/>
  <c r="BK21" i="5"/>
  <c r="BL22" i="5"/>
  <c r="BL21" i="5"/>
  <c r="BM22" i="5"/>
  <c r="BM21" i="5"/>
  <c r="BN22" i="5"/>
  <c r="BN21" i="5"/>
  <c r="BO22" i="5"/>
  <c r="BO21" i="5"/>
  <c r="BP22" i="5"/>
  <c r="BP21" i="5"/>
  <c r="BQ22" i="5"/>
  <c r="BQ21" i="5"/>
  <c r="BR22" i="5"/>
  <c r="BR21" i="5"/>
  <c r="BS22" i="5"/>
  <c r="BS21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G31" i="5"/>
  <c r="BH28" i="3"/>
  <c r="BH31" i="5"/>
  <c r="BI28" i="3"/>
  <c r="BI31" i="5"/>
  <c r="BJ31" i="5"/>
  <c r="BK31" i="5"/>
  <c r="BL28" i="3"/>
  <c r="BL31" i="5"/>
  <c r="BM28" i="3"/>
  <c r="BM31" i="5"/>
  <c r="BN31" i="5"/>
  <c r="BO31" i="5"/>
  <c r="BP28" i="3"/>
  <c r="BP31" i="5"/>
  <c r="BQ28" i="3"/>
  <c r="BQ31" i="5"/>
  <c r="BR31" i="5"/>
  <c r="BS31" i="5"/>
  <c r="BT28" i="3"/>
  <c r="BG32" i="5"/>
  <c r="BH32" i="5"/>
  <c r="BI32" i="5"/>
  <c r="BJ32" i="5"/>
  <c r="BK32" i="5"/>
  <c r="BL32" i="5"/>
  <c r="BM32" i="5"/>
  <c r="BN32" i="5"/>
  <c r="BO32" i="5"/>
  <c r="BP32" i="5"/>
  <c r="BQ32" i="5"/>
  <c r="BR32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G38" i="5"/>
  <c r="BH38" i="5"/>
  <c r="BI38" i="3"/>
  <c r="BI38" i="5"/>
  <c r="BJ38" i="5"/>
  <c r="BK38" i="5"/>
  <c r="BL38" i="5"/>
  <c r="BM38" i="5"/>
  <c r="BN38" i="5"/>
  <c r="BO38" i="5"/>
  <c r="BP38" i="5"/>
  <c r="BQ38" i="3"/>
  <c r="BQ38" i="5"/>
  <c r="BR38" i="5"/>
  <c r="BS38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G44" i="5"/>
  <c r="BH33" i="3"/>
  <c r="BH44" i="5"/>
  <c r="BI33" i="3"/>
  <c r="BI44" i="5"/>
  <c r="BJ33" i="3"/>
  <c r="BJ44" i="5"/>
  <c r="BK33" i="3"/>
  <c r="BK44" i="5"/>
  <c r="BL33" i="3"/>
  <c r="BL44" i="5"/>
  <c r="BM33" i="3"/>
  <c r="BM44" i="5"/>
  <c r="BN33" i="3"/>
  <c r="BN44" i="5"/>
  <c r="BO33" i="3"/>
  <c r="BO44" i="5"/>
  <c r="BP33" i="3"/>
  <c r="BP44" i="5"/>
  <c r="BQ33" i="3"/>
  <c r="BQ44" i="5"/>
  <c r="BR33" i="3"/>
  <c r="BR44" i="5"/>
  <c r="BS33" i="3"/>
  <c r="BS44" i="5"/>
  <c r="BT33" i="3"/>
  <c r="BG45" i="5"/>
  <c r="BH34" i="3"/>
  <c r="BH45" i="5"/>
  <c r="BI34" i="3"/>
  <c r="BI45" i="5"/>
  <c r="BJ34" i="3"/>
  <c r="BJ45" i="5"/>
  <c r="BK34" i="3"/>
  <c r="BK45" i="5"/>
  <c r="BL34" i="3"/>
  <c r="BL45" i="5"/>
  <c r="BM34" i="3"/>
  <c r="BM45" i="5"/>
  <c r="BN34" i="3"/>
  <c r="BN45" i="5"/>
  <c r="BO34" i="3"/>
  <c r="BO45" i="5"/>
  <c r="BP34" i="3"/>
  <c r="BP45" i="5"/>
  <c r="BQ34" i="3"/>
  <c r="BQ45" i="5"/>
  <c r="BR34" i="3"/>
  <c r="BR45" i="5"/>
  <c r="BS34" i="3"/>
  <c r="BS45" i="5"/>
  <c r="BT34" i="3"/>
  <c r="BG46" i="5"/>
  <c r="BH46" i="5"/>
  <c r="BI46" i="5"/>
  <c r="BJ46" i="5"/>
  <c r="BK46" i="5"/>
  <c r="BL35" i="3"/>
  <c r="BL46" i="5"/>
  <c r="BM35" i="3"/>
  <c r="BM46" i="5"/>
  <c r="BN35" i="3"/>
  <c r="BN46" i="5"/>
  <c r="BO35" i="3"/>
  <c r="BO46" i="5"/>
  <c r="BP46" i="5"/>
  <c r="BQ46" i="5"/>
  <c r="BR46" i="5"/>
  <c r="BS46" i="5"/>
  <c r="BT35" i="3"/>
  <c r="BH3" i="6"/>
  <c r="BH19" i="6"/>
  <c r="BI3" i="6"/>
  <c r="BI19" i="6"/>
  <c r="BJ3" i="6"/>
  <c r="BJ19" i="6"/>
  <c r="BK3" i="6"/>
  <c r="BK19" i="6"/>
  <c r="BL3" i="6"/>
  <c r="BL19" i="6"/>
  <c r="BM3" i="6"/>
  <c r="BN3" i="6"/>
  <c r="BN19" i="6"/>
  <c r="BO3" i="6"/>
  <c r="BO19" i="6"/>
  <c r="BP3" i="6"/>
  <c r="BP19" i="6"/>
  <c r="BQ3" i="6"/>
  <c r="BQ19" i="6"/>
  <c r="BR3" i="6"/>
  <c r="BR19" i="6"/>
  <c r="BS3" i="6"/>
  <c r="BS19" i="6"/>
  <c r="BM19" i="6"/>
  <c r="BQ27" i="6"/>
  <c r="BI28" i="6"/>
  <c r="BH29" i="6"/>
  <c r="BI29" i="6"/>
  <c r="BJ29" i="6"/>
  <c r="BK29" i="6"/>
  <c r="BL29" i="6"/>
  <c r="BM29" i="6"/>
  <c r="BN29" i="6"/>
  <c r="BO29" i="6"/>
  <c r="BP29" i="6"/>
  <c r="BQ29" i="6"/>
  <c r="BR29" i="6"/>
  <c r="BS29" i="6"/>
  <c r="BT29" i="6"/>
  <c r="BH30" i="6"/>
  <c r="BI30" i="6"/>
  <c r="BJ30" i="6"/>
  <c r="BK30" i="6"/>
  <c r="BL30" i="6"/>
  <c r="BM30" i="6"/>
  <c r="BN30" i="6"/>
  <c r="BO30" i="6"/>
  <c r="BP30" i="6"/>
  <c r="BQ30" i="6"/>
  <c r="BR30" i="6"/>
  <c r="BS30" i="6"/>
  <c r="BT30" i="6"/>
  <c r="BH31" i="6"/>
  <c r="BI31" i="6"/>
  <c r="BJ31" i="6"/>
  <c r="BK31" i="6"/>
  <c r="BL31" i="6"/>
  <c r="BM31" i="6"/>
  <c r="BN31" i="6"/>
  <c r="BO31" i="6"/>
  <c r="BP31" i="6"/>
  <c r="BQ31" i="6"/>
  <c r="BR31" i="6"/>
  <c r="BS31" i="6"/>
  <c r="BT31" i="6"/>
  <c r="BH33" i="6"/>
  <c r="BI33" i="6"/>
  <c r="BJ33" i="6"/>
  <c r="BK33" i="6"/>
  <c r="BL33" i="6"/>
  <c r="BM33" i="6"/>
  <c r="BN33" i="6"/>
  <c r="BO33" i="6"/>
  <c r="BP33" i="6"/>
  <c r="BQ33" i="6"/>
  <c r="BR33" i="6"/>
  <c r="BS33" i="6"/>
  <c r="BT33" i="6"/>
  <c r="BH34" i="6"/>
  <c r="BI34" i="6"/>
  <c r="BJ34" i="6"/>
  <c r="BK34" i="6"/>
  <c r="BL34" i="6"/>
  <c r="BM34" i="6"/>
  <c r="BN34" i="6"/>
  <c r="BO34" i="6"/>
  <c r="BP34" i="6"/>
  <c r="BQ34" i="6"/>
  <c r="BR34" i="6"/>
  <c r="BS34" i="6"/>
  <c r="BT34" i="6"/>
  <c r="BH35" i="6"/>
  <c r="BI35" i="6"/>
  <c r="BJ35" i="6"/>
  <c r="BK35" i="6"/>
  <c r="BL35" i="6"/>
  <c r="BM35" i="6"/>
  <c r="BN35" i="6"/>
  <c r="BO35" i="6"/>
  <c r="BP35" i="6"/>
  <c r="BQ35" i="6"/>
  <c r="BR35" i="6"/>
  <c r="BS35" i="6"/>
  <c r="BT35" i="6"/>
  <c r="BI36" i="6"/>
  <c r="BL36" i="6"/>
  <c r="BM36" i="6"/>
  <c r="BQ36" i="6"/>
  <c r="BT36" i="6"/>
  <c r="BH38" i="6"/>
  <c r="BI38" i="6"/>
  <c r="BJ38" i="6"/>
  <c r="BK38" i="6"/>
  <c r="BL38" i="6"/>
  <c r="BM38" i="6"/>
  <c r="BN38" i="6"/>
  <c r="BO38" i="6"/>
  <c r="BP38" i="6"/>
  <c r="BQ38" i="6"/>
  <c r="BR38" i="6"/>
  <c r="BS38" i="6"/>
  <c r="BT38" i="6"/>
  <c r="BI40" i="6"/>
  <c r="BJ40" i="6"/>
  <c r="BK40" i="6"/>
  <c r="BL40" i="6"/>
  <c r="BM40" i="6"/>
  <c r="BN40" i="6"/>
  <c r="BO40" i="6"/>
  <c r="BP40" i="6"/>
  <c r="BQ40" i="6"/>
  <c r="BR40" i="6"/>
  <c r="BS40" i="6"/>
  <c r="BT40" i="6"/>
  <c r="BS20" i="2"/>
  <c r="BS9" i="2"/>
  <c r="BS7" i="2"/>
  <c r="BT39" i="5"/>
  <c r="BR40" i="1"/>
  <c r="BS18" i="5"/>
  <c r="BF47" i="1"/>
  <c r="BG47" i="1"/>
  <c r="BH47" i="1"/>
  <c r="BI47" i="1"/>
  <c r="BJ47" i="1"/>
  <c r="BK47" i="1"/>
  <c r="BL47" i="1"/>
  <c r="BM47" i="1"/>
  <c r="BN47" i="1"/>
  <c r="BO47" i="1"/>
  <c r="BP47" i="1"/>
  <c r="BQ47" i="1"/>
  <c r="BF30" i="1"/>
  <c r="BG30" i="1"/>
  <c r="BH30" i="1"/>
  <c r="BI30" i="1"/>
  <c r="BJ30" i="1"/>
  <c r="BL5" i="3"/>
  <c r="BK30" i="1"/>
  <c r="BL30" i="1"/>
  <c r="BM30" i="1"/>
  <c r="BN30" i="1"/>
  <c r="BO30" i="1"/>
  <c r="BP30" i="1"/>
  <c r="BQ30" i="1"/>
  <c r="BR30" i="1"/>
  <c r="BG30" i="2"/>
  <c r="BH30" i="2"/>
  <c r="BI30" i="2"/>
  <c r="BJ30" i="2"/>
  <c r="BK30" i="2"/>
  <c r="BL30" i="2"/>
  <c r="BM30" i="2"/>
  <c r="BN30" i="2"/>
  <c r="BO30" i="2"/>
  <c r="BP30" i="2"/>
  <c r="BQ30" i="2"/>
  <c r="BR30" i="2"/>
  <c r="BS30" i="2"/>
  <c r="BG23" i="2"/>
  <c r="BH23" i="2"/>
  <c r="BI23" i="2"/>
  <c r="BJ23" i="2"/>
  <c r="BK23" i="2"/>
  <c r="BL23" i="2"/>
  <c r="BM23" i="2"/>
  <c r="BN23" i="2"/>
  <c r="BO23" i="2"/>
  <c r="BP23" i="2"/>
  <c r="BQ23" i="2"/>
  <c r="BR23" i="2"/>
  <c r="BG20" i="2"/>
  <c r="BH20" i="2"/>
  <c r="BI20" i="2"/>
  <c r="BJ20" i="2"/>
  <c r="BK20" i="2"/>
  <c r="BL20" i="2"/>
  <c r="BM20" i="2"/>
  <c r="BN20" i="2"/>
  <c r="BO20" i="2"/>
  <c r="BP20" i="2"/>
  <c r="BQ20" i="2"/>
  <c r="BR20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BG7" i="2"/>
  <c r="BH39" i="5"/>
  <c r="BH7" i="2"/>
  <c r="BI39" i="5"/>
  <c r="BI7" i="2"/>
  <c r="BJ39" i="5"/>
  <c r="BJ7" i="2"/>
  <c r="BK39" i="5"/>
  <c r="BK7" i="2"/>
  <c r="BL39" i="5"/>
  <c r="BL7" i="2"/>
  <c r="BM39" i="5"/>
  <c r="BM7" i="2"/>
  <c r="BN39" i="5"/>
  <c r="BN7" i="2"/>
  <c r="BO39" i="5"/>
  <c r="BO7" i="2"/>
  <c r="BP39" i="5"/>
  <c r="BP7" i="2"/>
  <c r="BQ39" i="5"/>
  <c r="BQ7" i="2"/>
  <c r="BR39" i="5"/>
  <c r="BR7" i="2"/>
  <c r="BS39" i="5"/>
  <c r="BG4" i="2"/>
  <c r="BH4" i="2"/>
  <c r="BI4" i="2"/>
  <c r="BJ4" i="2"/>
  <c r="BJ3" i="2"/>
  <c r="BJ19" i="2"/>
  <c r="BK4" i="2"/>
  <c r="BK3" i="2"/>
  <c r="BL4" i="2"/>
  <c r="BL3" i="2"/>
  <c r="BL19" i="2"/>
  <c r="BL29" i="2"/>
  <c r="BM4" i="2"/>
  <c r="BM3" i="2"/>
  <c r="BN4" i="2"/>
  <c r="BO4" i="2"/>
  <c r="BP4" i="2"/>
  <c r="BQ4" i="2"/>
  <c r="BR4" i="2"/>
  <c r="BR3" i="2"/>
  <c r="BR19" i="2"/>
  <c r="BS4" i="2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F4" i="1"/>
  <c r="BG4" i="1"/>
  <c r="BH4" i="1"/>
  <c r="BI4" i="1"/>
  <c r="BJ4" i="1"/>
  <c r="BK4" i="1"/>
  <c r="BL4" i="1"/>
  <c r="BM4" i="1"/>
  <c r="BN4" i="1"/>
  <c r="BO4" i="1"/>
  <c r="BP4" i="1"/>
  <c r="BQ4" i="1"/>
  <c r="BG27" i="6"/>
  <c r="AS6" i="5"/>
  <c r="AT26" i="3"/>
  <c r="AT6" i="5"/>
  <c r="AU26" i="3"/>
  <c r="AU6" i="5"/>
  <c r="AV6" i="5"/>
  <c r="AW26" i="3"/>
  <c r="AW6" i="5"/>
  <c r="AX26" i="3"/>
  <c r="AX6" i="5"/>
  <c r="AY6" i="5"/>
  <c r="AZ6" i="5"/>
  <c r="BA26" i="3"/>
  <c r="BA6" i="5"/>
  <c r="BB6" i="5"/>
  <c r="BC6" i="5"/>
  <c r="BD6" i="5"/>
  <c r="BE26" i="3"/>
  <c r="BE6" i="5"/>
  <c r="BF26" i="3"/>
  <c r="BF6" i="5"/>
  <c r="BG26" i="3"/>
  <c r="AS7" i="5"/>
  <c r="AT27" i="3"/>
  <c r="AT7" i="5"/>
  <c r="AU7" i="5"/>
  <c r="AV27" i="3"/>
  <c r="AV7" i="5"/>
  <c r="AW27" i="3"/>
  <c r="AW7" i="5"/>
  <c r="AX27" i="3"/>
  <c r="AX7" i="5"/>
  <c r="AY7" i="5"/>
  <c r="AZ27" i="3"/>
  <c r="AZ7" i="5"/>
  <c r="BA7" i="5"/>
  <c r="BB27" i="3"/>
  <c r="BB7" i="5"/>
  <c r="BC27" i="3"/>
  <c r="BC7" i="5"/>
  <c r="BD7" i="5"/>
  <c r="BE27" i="3"/>
  <c r="BE7" i="5"/>
  <c r="BF27" i="3"/>
  <c r="BF7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AS22" i="5"/>
  <c r="AS21" i="5"/>
  <c r="AT22" i="5"/>
  <c r="AT21" i="5"/>
  <c r="AU22" i="5"/>
  <c r="AU21" i="5"/>
  <c r="AV22" i="5"/>
  <c r="AV21" i="5"/>
  <c r="AW22" i="5"/>
  <c r="AW21" i="5"/>
  <c r="AX22" i="5"/>
  <c r="AX21" i="5"/>
  <c r="AY22" i="5"/>
  <c r="AY21" i="5"/>
  <c r="AZ22" i="5"/>
  <c r="AZ21" i="5"/>
  <c r="BA22" i="5"/>
  <c r="BA21" i="5"/>
  <c r="BB22" i="5"/>
  <c r="BB21" i="5"/>
  <c r="BC22" i="5"/>
  <c r="BC21" i="5"/>
  <c r="BD22" i="5"/>
  <c r="BD21" i="5"/>
  <c r="BE22" i="5"/>
  <c r="BE21" i="5"/>
  <c r="BF22" i="5"/>
  <c r="BF21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AS31" i="5"/>
  <c r="AT28" i="3"/>
  <c r="AT31" i="5"/>
  <c r="AU31" i="5"/>
  <c r="AV31" i="5"/>
  <c r="AW28" i="3"/>
  <c r="AW31" i="5"/>
  <c r="AX31" i="5"/>
  <c r="AY31" i="5"/>
  <c r="AZ28" i="3"/>
  <c r="AZ31" i="5"/>
  <c r="BA28" i="3"/>
  <c r="BA31" i="5"/>
  <c r="BB31" i="5"/>
  <c r="BC28" i="3"/>
  <c r="BC31" i="5"/>
  <c r="BD28" i="3"/>
  <c r="BD31" i="5"/>
  <c r="BE28" i="3"/>
  <c r="BE31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AS38" i="5"/>
  <c r="AT38" i="5"/>
  <c r="AU38" i="3"/>
  <c r="AU38" i="5"/>
  <c r="AV38" i="5"/>
  <c r="AW38" i="5"/>
  <c r="AX38" i="3"/>
  <c r="AX38" i="5"/>
  <c r="AY38" i="5"/>
  <c r="AZ38" i="5"/>
  <c r="BA38" i="5"/>
  <c r="BB38" i="5"/>
  <c r="BC38" i="3"/>
  <c r="BC38" i="5"/>
  <c r="BD38" i="5"/>
  <c r="BE38" i="5"/>
  <c r="BF38" i="3"/>
  <c r="BF38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AS44" i="5"/>
  <c r="AT33" i="3"/>
  <c r="AT44" i="5"/>
  <c r="AU33" i="3"/>
  <c r="AU44" i="5"/>
  <c r="AV33" i="3"/>
  <c r="AV44" i="5"/>
  <c r="AW33" i="3"/>
  <c r="AW44" i="5"/>
  <c r="AX33" i="3"/>
  <c r="AX44" i="5"/>
  <c r="AY33" i="3"/>
  <c r="AY44" i="5"/>
  <c r="AZ33" i="3"/>
  <c r="AZ44" i="5"/>
  <c r="BA44" i="5"/>
  <c r="BB33" i="3"/>
  <c r="BB44" i="5"/>
  <c r="BC33" i="3"/>
  <c r="BC44" i="5"/>
  <c r="BD33" i="3"/>
  <c r="BD44" i="5"/>
  <c r="BE33" i="3"/>
  <c r="BE44" i="5"/>
  <c r="BF44" i="5"/>
  <c r="BG33" i="3"/>
  <c r="AS45" i="5"/>
  <c r="AT34" i="3"/>
  <c r="AT45" i="5"/>
  <c r="AU45" i="5"/>
  <c r="AV34" i="3"/>
  <c r="AV45" i="5"/>
  <c r="AW34" i="3"/>
  <c r="AW45" i="5"/>
  <c r="AX34" i="3"/>
  <c r="AX45" i="5"/>
  <c r="AY34" i="3"/>
  <c r="AY45" i="5"/>
  <c r="AZ45" i="5"/>
  <c r="BA34" i="3"/>
  <c r="BA45" i="5"/>
  <c r="BB34" i="3"/>
  <c r="BB45" i="5"/>
  <c r="BC45" i="5"/>
  <c r="BD34" i="3"/>
  <c r="BD45" i="5"/>
  <c r="BE34" i="3"/>
  <c r="BE45" i="5"/>
  <c r="BF34" i="3"/>
  <c r="BF45" i="5"/>
  <c r="BG34" i="3"/>
  <c r="AS46" i="5"/>
  <c r="AT35" i="3"/>
  <c r="AT46" i="5"/>
  <c r="AU35" i="3"/>
  <c r="AU46" i="5"/>
  <c r="AV46" i="5"/>
  <c r="AW46" i="5"/>
  <c r="AX46" i="5"/>
  <c r="AY46" i="5"/>
  <c r="AZ46" i="5"/>
  <c r="BA35" i="3"/>
  <c r="BA46" i="5"/>
  <c r="BB46" i="5"/>
  <c r="BC35" i="3"/>
  <c r="BC46" i="5"/>
  <c r="BD46" i="5"/>
  <c r="BE46" i="5"/>
  <c r="BF46" i="5"/>
  <c r="AQ6" i="5"/>
  <c r="AR26" i="3"/>
  <c r="AR6" i="5"/>
  <c r="AS26" i="3"/>
  <c r="AQ7" i="5"/>
  <c r="AR7" i="5"/>
  <c r="AS27" i="3"/>
  <c r="AQ8" i="5"/>
  <c r="AR8" i="5"/>
  <c r="AQ15" i="5"/>
  <c r="AR15" i="5"/>
  <c r="AQ17" i="5"/>
  <c r="AR17" i="5"/>
  <c r="AQ18" i="5"/>
  <c r="AR18" i="5"/>
  <c r="AQ19" i="5"/>
  <c r="AR19" i="5"/>
  <c r="AQ20" i="5"/>
  <c r="AR20" i="5"/>
  <c r="AQ22" i="5"/>
  <c r="AQ21" i="5"/>
  <c r="AR22" i="5"/>
  <c r="AR21" i="5"/>
  <c r="AQ26" i="5"/>
  <c r="AR26" i="5"/>
  <c r="AQ27" i="5"/>
  <c r="AR27" i="5"/>
  <c r="AQ28" i="5"/>
  <c r="AR28" i="5"/>
  <c r="AQ31" i="5"/>
  <c r="AR28" i="3"/>
  <c r="AR31" i="5"/>
  <c r="AS28" i="3"/>
  <c r="AQ32" i="5"/>
  <c r="AR32" i="5"/>
  <c r="AQ35" i="5"/>
  <c r="AR35" i="5"/>
  <c r="AQ38" i="5"/>
  <c r="AR38" i="5"/>
  <c r="AQ40" i="5"/>
  <c r="AR40" i="5"/>
  <c r="AQ44" i="5"/>
  <c r="AR33" i="3"/>
  <c r="AR44" i="5"/>
  <c r="AQ45" i="5"/>
  <c r="AR34" i="3"/>
  <c r="AR45" i="5"/>
  <c r="AS34" i="3"/>
  <c r="AQ46" i="5"/>
  <c r="AR46" i="5"/>
  <c r="AS35" i="3"/>
  <c r="BF11" i="2"/>
  <c r="BF7" i="2"/>
  <c r="BG39" i="5"/>
  <c r="BF21" i="2"/>
  <c r="BF20" i="2"/>
  <c r="BE41" i="1"/>
  <c r="BE47" i="1"/>
  <c r="BE40" i="1"/>
  <c r="BE14" i="1"/>
  <c r="BE6" i="1"/>
  <c r="BE5" i="1"/>
  <c r="AH3" i="6"/>
  <c r="AH19" i="6"/>
  <c r="AI3" i="6"/>
  <c r="AI19" i="6"/>
  <c r="AJ3" i="6"/>
  <c r="AJ19" i="6"/>
  <c r="AK3" i="6"/>
  <c r="AK19" i="6"/>
  <c r="AL3" i="6"/>
  <c r="AM3" i="6"/>
  <c r="AN3" i="6"/>
  <c r="AO3" i="6"/>
  <c r="AO19" i="6"/>
  <c r="AP3" i="6"/>
  <c r="AQ3" i="6"/>
  <c r="AQ19" i="6"/>
  <c r="AR3" i="6"/>
  <c r="AR19" i="6"/>
  <c r="AS3" i="6"/>
  <c r="AT3" i="6"/>
  <c r="AU3" i="6"/>
  <c r="AV3" i="6"/>
  <c r="AV19" i="6"/>
  <c r="AW3" i="6"/>
  <c r="AW19" i="6"/>
  <c r="AX3" i="6"/>
  <c r="AX19" i="6"/>
  <c r="AY3" i="6"/>
  <c r="AY19" i="6"/>
  <c r="AZ3" i="6"/>
  <c r="AZ19" i="6"/>
  <c r="BA3" i="6"/>
  <c r="BA19" i="6"/>
  <c r="BB3" i="6"/>
  <c r="BC3" i="6"/>
  <c r="BD3" i="6"/>
  <c r="BE3" i="6"/>
  <c r="BE19" i="6"/>
  <c r="BF3" i="6"/>
  <c r="BF19" i="6"/>
  <c r="AP19" i="6"/>
  <c r="AS19" i="6"/>
  <c r="AS27" i="6"/>
  <c r="BE27" i="6"/>
  <c r="AU28" i="6"/>
  <c r="BD28" i="6"/>
  <c r="BA29" i="6"/>
  <c r="BG29" i="6"/>
  <c r="BG30" i="6"/>
  <c r="BG31" i="6"/>
  <c r="AH33" i="6"/>
  <c r="AI33" i="6"/>
  <c r="AJ33" i="6"/>
  <c r="AK33" i="6"/>
  <c r="AL33" i="6"/>
  <c r="AM33" i="6"/>
  <c r="AN33" i="6"/>
  <c r="AO33" i="6"/>
  <c r="AP33" i="6"/>
  <c r="AQ33" i="6"/>
  <c r="AR33" i="6"/>
  <c r="AS33" i="6"/>
  <c r="AT33" i="6"/>
  <c r="AU33" i="6"/>
  <c r="AV33" i="6"/>
  <c r="AW33" i="6"/>
  <c r="AX33" i="6"/>
  <c r="AY33" i="6"/>
  <c r="AZ33" i="6"/>
  <c r="BA33" i="6"/>
  <c r="BB33" i="6"/>
  <c r="BC33" i="6"/>
  <c r="BD33" i="6"/>
  <c r="BE33" i="6"/>
  <c r="BF33" i="6"/>
  <c r="BG33" i="6"/>
  <c r="AR34" i="6"/>
  <c r="AU34" i="6"/>
  <c r="AV34" i="6"/>
  <c r="AW34" i="6"/>
  <c r="BA34" i="6"/>
  <c r="BC34" i="6"/>
  <c r="BD34" i="6"/>
  <c r="BG34" i="6"/>
  <c r="AS35" i="6"/>
  <c r="AU35" i="6"/>
  <c r="AV35" i="6"/>
  <c r="AW35" i="6"/>
  <c r="AX35" i="6"/>
  <c r="BA35" i="6"/>
  <c r="BC35" i="6"/>
  <c r="BD35" i="6"/>
  <c r="BE35" i="6"/>
  <c r="BF35" i="6"/>
  <c r="BG35" i="6"/>
  <c r="BB36" i="6"/>
  <c r="BG38" i="6"/>
  <c r="BG40" i="6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AO30" i="1"/>
  <c r="AP30" i="1"/>
  <c r="AQ30" i="1"/>
  <c r="AR30" i="1"/>
  <c r="AS30" i="1"/>
  <c r="AT30" i="1"/>
  <c r="AU30" i="1"/>
  <c r="AV30" i="1"/>
  <c r="AW30" i="1"/>
  <c r="AW37" i="1"/>
  <c r="AW48" i="1"/>
  <c r="AX30" i="1"/>
  <c r="AX37" i="1"/>
  <c r="AY30" i="1"/>
  <c r="AZ30" i="1"/>
  <c r="AZ37" i="1"/>
  <c r="AZ48" i="1"/>
  <c r="BA30" i="1"/>
  <c r="BB30" i="1"/>
  <c r="BC30" i="1"/>
  <c r="BD30" i="1"/>
  <c r="BF5" i="3"/>
  <c r="BE30" i="1"/>
  <c r="BE37" i="1"/>
  <c r="BE48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AO13" i="1"/>
  <c r="AP30" i="5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G39" i="6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AP7" i="2"/>
  <c r="AQ39" i="5"/>
  <c r="AQ37" i="5"/>
  <c r="AQ7" i="2"/>
  <c r="AR39" i="5"/>
  <c r="AR37" i="5"/>
  <c r="AR7" i="2"/>
  <c r="AS39" i="5"/>
  <c r="AS37" i="5"/>
  <c r="AS7" i="2"/>
  <c r="AT39" i="5"/>
  <c r="AT7" i="2"/>
  <c r="AU39" i="5"/>
  <c r="AU7" i="2"/>
  <c r="AV39" i="5"/>
  <c r="AV7" i="2"/>
  <c r="AW39" i="5"/>
  <c r="AW7" i="2"/>
  <c r="AX39" i="5"/>
  <c r="AX37" i="5"/>
  <c r="AX7" i="2"/>
  <c r="AY39" i="5"/>
  <c r="AY37" i="5"/>
  <c r="AY7" i="2"/>
  <c r="AZ39" i="5"/>
  <c r="AZ7" i="2"/>
  <c r="BA39" i="5"/>
  <c r="BA37" i="5"/>
  <c r="BA7" i="2"/>
  <c r="BB39" i="5"/>
  <c r="BB7" i="2"/>
  <c r="BC39" i="5"/>
  <c r="BC7" i="2"/>
  <c r="BD39" i="5"/>
  <c r="BD7" i="2"/>
  <c r="BE39" i="5"/>
  <c r="BE7" i="2"/>
  <c r="BF39" i="5"/>
  <c r="BF37" i="5"/>
  <c r="AP4" i="2"/>
  <c r="AP3" i="2"/>
  <c r="AP19" i="2"/>
  <c r="AP29" i="2"/>
  <c r="AP33" i="2"/>
  <c r="AQ4" i="2"/>
  <c r="AQ3" i="2"/>
  <c r="AR4" i="2"/>
  <c r="AR3" i="2"/>
  <c r="AR19" i="2"/>
  <c r="AR29" i="2"/>
  <c r="AR33" i="2"/>
  <c r="AS4" i="2"/>
  <c r="AS3" i="2"/>
  <c r="AS19" i="2"/>
  <c r="AS29" i="2"/>
  <c r="AS33" i="2"/>
  <c r="AT4" i="2"/>
  <c r="AU4" i="2"/>
  <c r="AU3" i="2"/>
  <c r="AU19" i="2"/>
  <c r="AU29" i="2"/>
  <c r="AU33" i="2"/>
  <c r="AV4" i="2"/>
  <c r="AW4" i="2"/>
  <c r="AW3" i="2"/>
  <c r="AW19" i="2"/>
  <c r="AX4" i="2"/>
  <c r="AY4" i="2"/>
  <c r="AY3" i="2"/>
  <c r="AZ4" i="2"/>
  <c r="BA4" i="2"/>
  <c r="BB4" i="2"/>
  <c r="BC4" i="2"/>
  <c r="BC3" i="2"/>
  <c r="BD4" i="2"/>
  <c r="BE4" i="2"/>
  <c r="BF4" i="2"/>
  <c r="AH4" i="2"/>
  <c r="AI4" i="2"/>
  <c r="AJ4" i="2"/>
  <c r="AK4" i="2"/>
  <c r="AL4" i="2"/>
  <c r="AM4" i="2"/>
  <c r="AN4" i="2"/>
  <c r="AO4" i="2"/>
  <c r="AH7" i="2"/>
  <c r="AI7" i="2"/>
  <c r="AJ39" i="5"/>
  <c r="AJ7" i="2"/>
  <c r="AK7" i="2"/>
  <c r="AL39" i="5"/>
  <c r="AL38" i="5"/>
  <c r="AL40" i="5"/>
  <c r="AL37" i="5"/>
  <c r="AL7" i="2"/>
  <c r="AM39" i="5"/>
  <c r="AM7" i="2"/>
  <c r="AN7" i="2"/>
  <c r="AO39" i="5"/>
  <c r="AO7" i="2"/>
  <c r="AP39" i="5"/>
  <c r="AH12" i="2"/>
  <c r="AI12" i="2"/>
  <c r="AJ12" i="2"/>
  <c r="AK12" i="2"/>
  <c r="AL12" i="2"/>
  <c r="AM12" i="2"/>
  <c r="AN12" i="2"/>
  <c r="AO12" i="2"/>
  <c r="AH20" i="2"/>
  <c r="AI20" i="2"/>
  <c r="AJ20" i="2"/>
  <c r="AK20" i="2"/>
  <c r="AL20" i="2"/>
  <c r="AM20" i="2"/>
  <c r="AN20" i="2"/>
  <c r="AO20" i="2"/>
  <c r="AH23" i="2"/>
  <c r="AI47" i="5"/>
  <c r="AI23" i="2"/>
  <c r="AJ47" i="5"/>
  <c r="AJ23" i="2"/>
  <c r="AK23" i="2"/>
  <c r="AL23" i="2"/>
  <c r="AM23" i="2"/>
  <c r="AN23" i="2"/>
  <c r="AO23" i="2"/>
  <c r="AP47" i="5"/>
  <c r="AG4" i="2"/>
  <c r="AG7" i="2"/>
  <c r="AH39" i="5"/>
  <c r="AG12" i="2"/>
  <c r="AG20" i="2"/>
  <c r="AG23" i="2"/>
  <c r="AH47" i="5"/>
  <c r="AO6" i="5"/>
  <c r="AP26" i="3"/>
  <c r="AP6" i="5"/>
  <c r="AQ26" i="3"/>
  <c r="AO7" i="5"/>
  <c r="AP27" i="3"/>
  <c r="AP7" i="5"/>
  <c r="AO8" i="5"/>
  <c r="AP8" i="5"/>
  <c r="AO15" i="5"/>
  <c r="AP15" i="5"/>
  <c r="AO17" i="5"/>
  <c r="AP17" i="5"/>
  <c r="AO18" i="5"/>
  <c r="AP18" i="5"/>
  <c r="AO19" i="5"/>
  <c r="AP19" i="5"/>
  <c r="AO20" i="5"/>
  <c r="AP20" i="5"/>
  <c r="AO22" i="5"/>
  <c r="AO21" i="5"/>
  <c r="AP22" i="5"/>
  <c r="AP21" i="5"/>
  <c r="AO26" i="5"/>
  <c r="AP26" i="5"/>
  <c r="AP25" i="5"/>
  <c r="AO27" i="5"/>
  <c r="AP27" i="5"/>
  <c r="AO28" i="5"/>
  <c r="AP28" i="5"/>
  <c r="AO31" i="5"/>
  <c r="AP28" i="3"/>
  <c r="AP31" i="5"/>
  <c r="AQ28" i="3"/>
  <c r="AO32" i="5"/>
  <c r="AP32" i="5"/>
  <c r="AO35" i="5"/>
  <c r="AP35" i="5"/>
  <c r="AO38" i="5"/>
  <c r="AP38" i="5"/>
  <c r="AO40" i="5"/>
  <c r="AP40" i="5"/>
  <c r="AO44" i="5"/>
  <c r="AP33" i="3"/>
  <c r="AP34" i="6"/>
  <c r="AP44" i="5"/>
  <c r="AQ33" i="3"/>
  <c r="AO45" i="5"/>
  <c r="AP34" i="3"/>
  <c r="AP35" i="6"/>
  <c r="AP45" i="5"/>
  <c r="AO46" i="5"/>
  <c r="AP35" i="3"/>
  <c r="AP46" i="5"/>
  <c r="AQ35" i="3"/>
  <c r="AM6" i="5"/>
  <c r="AN26" i="3"/>
  <c r="AN6" i="5"/>
  <c r="AO26" i="3"/>
  <c r="AM7" i="5"/>
  <c r="AN27" i="3"/>
  <c r="AN7" i="5"/>
  <c r="AM8" i="5"/>
  <c r="AN8" i="5"/>
  <c r="AM15" i="5"/>
  <c r="AN15" i="5"/>
  <c r="AM17" i="5"/>
  <c r="AN17" i="5"/>
  <c r="AM18" i="5"/>
  <c r="AN18" i="5"/>
  <c r="AM19" i="5"/>
  <c r="AN19" i="5"/>
  <c r="AM20" i="5"/>
  <c r="AN20" i="5"/>
  <c r="AM22" i="5"/>
  <c r="AM21" i="5"/>
  <c r="AN22" i="5"/>
  <c r="AN21" i="5"/>
  <c r="AM26" i="5"/>
  <c r="AN26" i="5"/>
  <c r="AM27" i="5"/>
  <c r="AN27" i="5"/>
  <c r="AM28" i="5"/>
  <c r="AN28" i="5"/>
  <c r="AM31" i="5"/>
  <c r="AN28" i="3"/>
  <c r="AN31" i="5"/>
  <c r="AO28" i="3"/>
  <c r="AM32" i="5"/>
  <c r="AN32" i="5"/>
  <c r="AM35" i="5"/>
  <c r="AN35" i="5"/>
  <c r="AM38" i="5"/>
  <c r="AN38" i="5"/>
  <c r="AN39" i="5"/>
  <c r="AM40" i="5"/>
  <c r="AN40" i="5"/>
  <c r="AM44" i="5"/>
  <c r="AN33" i="3"/>
  <c r="AN34" i="6"/>
  <c r="AN44" i="5"/>
  <c r="AO33" i="3"/>
  <c r="AM45" i="5"/>
  <c r="AN45" i="5"/>
  <c r="AO34" i="3"/>
  <c r="AM46" i="5"/>
  <c r="AN46" i="5"/>
  <c r="AO35" i="3"/>
  <c r="AN47" i="5"/>
  <c r="AI6" i="5"/>
  <c r="AJ26" i="3"/>
  <c r="AJ6" i="5"/>
  <c r="AK26" i="3"/>
  <c r="AK6" i="5"/>
  <c r="AL26" i="3"/>
  <c r="AL6" i="5"/>
  <c r="AM26" i="3"/>
  <c r="AI7" i="5"/>
  <c r="AJ27" i="3"/>
  <c r="AJ7" i="5"/>
  <c r="AK27" i="3"/>
  <c r="AK7" i="5"/>
  <c r="AL7" i="5"/>
  <c r="AI8" i="5"/>
  <c r="AJ8" i="5"/>
  <c r="AK8" i="5"/>
  <c r="AL8" i="5"/>
  <c r="AI15" i="5"/>
  <c r="AJ15" i="5"/>
  <c r="AK15" i="5"/>
  <c r="AK14" i="5"/>
  <c r="AL15" i="5"/>
  <c r="AI17" i="5"/>
  <c r="AJ17" i="5"/>
  <c r="AK17" i="5"/>
  <c r="AL17" i="5"/>
  <c r="AI18" i="5"/>
  <c r="AJ18" i="5"/>
  <c r="AK18" i="5"/>
  <c r="AL18" i="5"/>
  <c r="AI19" i="5"/>
  <c r="AJ19" i="5"/>
  <c r="AK19" i="5"/>
  <c r="AL19" i="5"/>
  <c r="AI20" i="5"/>
  <c r="AJ20" i="5"/>
  <c r="AK20" i="5"/>
  <c r="AL20" i="5"/>
  <c r="AI22" i="5"/>
  <c r="AI21" i="5"/>
  <c r="AJ22" i="5"/>
  <c r="AJ21" i="5"/>
  <c r="AK22" i="5"/>
  <c r="AK21" i="5"/>
  <c r="AL22" i="5"/>
  <c r="AL21" i="5"/>
  <c r="AI26" i="5"/>
  <c r="AJ26" i="5"/>
  <c r="AK26" i="5"/>
  <c r="AL26" i="5"/>
  <c r="AI27" i="5"/>
  <c r="AI25" i="5"/>
  <c r="AJ27" i="5"/>
  <c r="AK27" i="5"/>
  <c r="AL27" i="5"/>
  <c r="AI28" i="5"/>
  <c r="AJ28" i="5"/>
  <c r="AK28" i="5"/>
  <c r="AL28" i="5"/>
  <c r="AI31" i="5"/>
  <c r="AJ28" i="3"/>
  <c r="AJ31" i="5"/>
  <c r="AK28" i="3"/>
  <c r="AK31" i="5"/>
  <c r="AL28" i="3"/>
  <c r="AL31" i="5"/>
  <c r="AM28" i="3"/>
  <c r="AI32" i="5"/>
  <c r="AJ32" i="5"/>
  <c r="AK32" i="5"/>
  <c r="AL32" i="5"/>
  <c r="AI35" i="5"/>
  <c r="AJ35" i="5"/>
  <c r="AK35" i="5"/>
  <c r="AL35" i="5"/>
  <c r="AI38" i="5"/>
  <c r="AJ38" i="5"/>
  <c r="AK38" i="3"/>
  <c r="AK38" i="5"/>
  <c r="AL38" i="3"/>
  <c r="AI39" i="5"/>
  <c r="AK39" i="5"/>
  <c r="AI40" i="5"/>
  <c r="AJ40" i="5"/>
  <c r="AK40" i="5"/>
  <c r="AI44" i="5"/>
  <c r="AJ33" i="3"/>
  <c r="AJ34" i="6"/>
  <c r="AJ44" i="5"/>
  <c r="AK44" i="5"/>
  <c r="AL33" i="3"/>
  <c r="AL44" i="5"/>
  <c r="AM33" i="3"/>
  <c r="AM34" i="6"/>
  <c r="AI45" i="5"/>
  <c r="AJ34" i="3"/>
  <c r="AJ45" i="5"/>
  <c r="AK34" i="3"/>
  <c r="AK45" i="5"/>
  <c r="AL34" i="3"/>
  <c r="AL45" i="5"/>
  <c r="AM34" i="3"/>
  <c r="AM35" i="6"/>
  <c r="AI46" i="5"/>
  <c r="AJ46" i="5"/>
  <c r="AK46" i="5"/>
  <c r="AL35" i="3"/>
  <c r="AL46" i="5"/>
  <c r="AM35" i="3"/>
  <c r="AK47" i="5"/>
  <c r="AL47" i="5"/>
  <c r="AH6" i="5"/>
  <c r="AI26" i="3"/>
  <c r="AH7" i="5"/>
  <c r="AI27" i="3"/>
  <c r="AH8" i="5"/>
  <c r="AH15" i="5"/>
  <c r="AH17" i="5"/>
  <c r="AH18" i="5"/>
  <c r="AH19" i="5"/>
  <c r="AH20" i="5"/>
  <c r="AH22" i="5"/>
  <c r="AH21" i="5"/>
  <c r="AH26" i="5"/>
  <c r="AH27" i="5"/>
  <c r="AH28" i="5"/>
  <c r="AH31" i="5"/>
  <c r="AI28" i="3"/>
  <c r="AH32" i="5"/>
  <c r="AH35" i="5"/>
  <c r="AH38" i="5"/>
  <c r="AH40" i="5"/>
  <c r="AH44" i="5"/>
  <c r="AI33" i="3"/>
  <c r="AI34" i="6"/>
  <c r="AH45" i="5"/>
  <c r="AI34" i="3"/>
  <c r="AH46" i="5"/>
  <c r="AE6" i="5"/>
  <c r="AF26" i="3"/>
  <c r="AF6" i="5"/>
  <c r="AG26" i="3"/>
  <c r="AG6" i="5"/>
  <c r="AE7" i="5"/>
  <c r="AF27" i="3"/>
  <c r="AF7" i="5"/>
  <c r="AG27" i="3"/>
  <c r="AG7" i="5"/>
  <c r="AE8" i="5"/>
  <c r="AF8" i="5"/>
  <c r="AG8" i="5"/>
  <c r="AE15" i="5"/>
  <c r="AF15" i="5"/>
  <c r="AG15" i="5"/>
  <c r="AE17" i="5"/>
  <c r="AF17" i="5"/>
  <c r="AG17" i="5"/>
  <c r="AE18" i="5"/>
  <c r="AF18" i="5"/>
  <c r="AG18" i="5"/>
  <c r="AE19" i="5"/>
  <c r="AF19" i="5"/>
  <c r="AG19" i="5"/>
  <c r="AE20" i="5"/>
  <c r="AF20" i="5"/>
  <c r="AG20" i="5"/>
  <c r="AE22" i="5"/>
  <c r="AE21" i="5"/>
  <c r="AF22" i="5"/>
  <c r="AF21" i="5"/>
  <c r="AG22" i="5"/>
  <c r="AG21" i="5"/>
  <c r="AE26" i="5"/>
  <c r="AF26" i="5"/>
  <c r="AG26" i="5"/>
  <c r="AE27" i="5"/>
  <c r="AF27" i="5"/>
  <c r="AG27" i="5"/>
  <c r="AE28" i="5"/>
  <c r="AF28" i="5"/>
  <c r="AG28" i="5"/>
  <c r="AE31" i="5"/>
  <c r="AF31" i="5"/>
  <c r="AG28" i="3"/>
  <c r="AG31" i="5"/>
  <c r="AH28" i="3"/>
  <c r="AE32" i="5"/>
  <c r="AF32" i="5"/>
  <c r="AG32" i="5"/>
  <c r="AE35" i="5"/>
  <c r="AF35" i="5"/>
  <c r="AG35" i="5"/>
  <c r="AE38" i="5"/>
  <c r="AF38" i="5"/>
  <c r="AG38" i="3"/>
  <c r="AG38" i="5"/>
  <c r="AE40" i="5"/>
  <c r="AF40" i="5"/>
  <c r="AG40" i="5"/>
  <c r="AE44" i="5"/>
  <c r="AF44" i="5"/>
  <c r="AG33" i="3"/>
  <c r="AG34" i="6"/>
  <c r="AG44" i="5"/>
  <c r="AH33" i="3"/>
  <c r="AE45" i="5"/>
  <c r="AF34" i="3"/>
  <c r="AF45" i="5"/>
  <c r="AG34" i="3"/>
  <c r="AG45" i="5"/>
  <c r="AE46" i="5"/>
  <c r="AF35" i="3"/>
  <c r="AF46" i="5"/>
  <c r="AG46" i="5"/>
  <c r="AH35" i="3"/>
  <c r="AD3" i="6"/>
  <c r="AE3" i="6"/>
  <c r="AE19" i="6"/>
  <c r="AF3" i="6"/>
  <c r="AF19" i="6"/>
  <c r="AG3" i="6"/>
  <c r="AG5" i="6"/>
  <c r="AD33" i="6"/>
  <c r="AE33" i="6"/>
  <c r="AF33" i="6"/>
  <c r="AG33" i="6"/>
  <c r="AL4" i="1"/>
  <c r="AM4" i="1"/>
  <c r="AN4" i="1"/>
  <c r="AL8" i="1"/>
  <c r="AM8" i="1"/>
  <c r="AN8" i="1"/>
  <c r="AL13" i="1"/>
  <c r="AM13" i="1"/>
  <c r="AN13" i="1"/>
  <c r="AL16" i="1"/>
  <c r="AM16" i="1"/>
  <c r="AN16" i="1"/>
  <c r="AL20" i="1"/>
  <c r="AM20" i="1"/>
  <c r="AN20" i="1"/>
  <c r="AL30" i="1"/>
  <c r="AM30" i="1"/>
  <c r="AO5" i="3"/>
  <c r="AN30" i="1"/>
  <c r="AP5" i="3"/>
  <c r="AL47" i="1"/>
  <c r="AM47" i="1"/>
  <c r="AN47" i="1"/>
  <c r="AG4" i="1"/>
  <c r="AH4" i="1"/>
  <c r="AI4" i="1"/>
  <c r="AJ4" i="1"/>
  <c r="AK4" i="1"/>
  <c r="AG8" i="1"/>
  <c r="AH8" i="1"/>
  <c r="AI8" i="1"/>
  <c r="AJ8" i="1"/>
  <c r="AK8" i="1"/>
  <c r="AG13" i="1"/>
  <c r="AG26" i="1"/>
  <c r="AH13" i="1"/>
  <c r="AI13" i="1"/>
  <c r="AJ30" i="5"/>
  <c r="AJ13" i="1"/>
  <c r="AK30" i="5"/>
  <c r="AK13" i="1"/>
  <c r="AG16" i="1"/>
  <c r="AH16" i="1"/>
  <c r="AI16" i="1"/>
  <c r="AJ16" i="1"/>
  <c r="AK16" i="1"/>
  <c r="AG20" i="1"/>
  <c r="AH20" i="1"/>
  <c r="AI20" i="1"/>
  <c r="AJ20" i="1"/>
  <c r="AK20" i="1"/>
  <c r="AG30" i="1"/>
  <c r="AH30" i="1"/>
  <c r="AI30" i="1"/>
  <c r="AJ30" i="1"/>
  <c r="AK30" i="1"/>
  <c r="AG47" i="1"/>
  <c r="AH47" i="1"/>
  <c r="AI47" i="1"/>
  <c r="AJ47" i="1"/>
  <c r="AK47" i="1"/>
  <c r="AF4" i="1"/>
  <c r="AF8" i="1"/>
  <c r="AF13" i="1"/>
  <c r="AG30" i="5"/>
  <c r="AF16" i="1"/>
  <c r="AF20" i="1"/>
  <c r="AF30" i="1"/>
  <c r="AF47" i="1"/>
  <c r="AE47" i="1"/>
  <c r="AE30" i="1"/>
  <c r="AE25" i="1"/>
  <c r="AE20" i="1"/>
  <c r="AE16" i="1"/>
  <c r="AE13" i="1"/>
  <c r="AF30" i="5"/>
  <c r="AE8" i="1"/>
  <c r="AE5" i="1"/>
  <c r="AE4" i="1"/>
  <c r="AF20" i="2"/>
  <c r="AE23" i="2"/>
  <c r="AF23" i="2"/>
  <c r="AF4" i="2"/>
  <c r="AE12" i="2"/>
  <c r="AE19" i="2"/>
  <c r="AE29" i="2"/>
  <c r="AE33" i="2"/>
  <c r="AF12" i="2"/>
  <c r="AE7" i="2"/>
  <c r="AF39" i="5"/>
  <c r="AF7" i="2"/>
  <c r="AG39" i="5"/>
  <c r="AB6" i="5"/>
  <c r="AC26" i="3"/>
  <c r="AC6" i="5"/>
  <c r="AD26" i="3"/>
  <c r="AD6" i="5"/>
  <c r="AE26" i="3"/>
  <c r="AB7" i="5"/>
  <c r="AC7" i="5"/>
  <c r="AD27" i="3"/>
  <c r="AD7" i="5"/>
  <c r="AE27" i="3"/>
  <c r="AB8" i="5"/>
  <c r="AC8" i="5"/>
  <c r="AD8" i="5"/>
  <c r="AB15" i="5"/>
  <c r="AC15" i="5"/>
  <c r="AD15" i="5"/>
  <c r="AB17" i="5"/>
  <c r="AC17" i="5"/>
  <c r="AD17" i="5"/>
  <c r="AB18" i="5"/>
  <c r="AC18" i="5"/>
  <c r="AD18" i="5"/>
  <c r="AB19" i="5"/>
  <c r="AC19" i="5"/>
  <c r="AD19" i="5"/>
  <c r="AB20" i="5"/>
  <c r="AC20" i="5"/>
  <c r="AD20" i="5"/>
  <c r="AB22" i="5"/>
  <c r="AB21" i="5"/>
  <c r="AC22" i="5"/>
  <c r="AC21" i="5"/>
  <c r="AD22" i="5"/>
  <c r="AD21" i="5"/>
  <c r="AB26" i="5"/>
  <c r="AC26" i="5"/>
  <c r="AD26" i="5"/>
  <c r="AB27" i="5"/>
  <c r="AC27" i="5"/>
  <c r="AD27" i="5"/>
  <c r="AB28" i="5"/>
  <c r="AC28" i="5"/>
  <c r="AD28" i="5"/>
  <c r="AB31" i="5"/>
  <c r="AC28" i="3"/>
  <c r="AC31" i="5"/>
  <c r="AD28" i="3"/>
  <c r="AD31" i="5"/>
  <c r="AE28" i="3"/>
  <c r="AB32" i="5"/>
  <c r="AC32" i="5"/>
  <c r="AD32" i="5"/>
  <c r="AB35" i="5"/>
  <c r="AC35" i="5"/>
  <c r="AD35" i="5"/>
  <c r="AB38" i="5"/>
  <c r="AC38" i="5"/>
  <c r="AD38" i="5"/>
  <c r="AB40" i="5"/>
  <c r="AC40" i="5"/>
  <c r="AD40" i="5"/>
  <c r="AB44" i="5"/>
  <c r="AC33" i="3"/>
  <c r="AC34" i="6"/>
  <c r="AC44" i="5"/>
  <c r="AD33" i="3"/>
  <c r="AD44" i="5"/>
  <c r="AE33" i="3"/>
  <c r="AB45" i="5"/>
  <c r="AB46" i="5"/>
  <c r="AB47" i="5"/>
  <c r="AB43" i="5"/>
  <c r="AC45" i="5"/>
  <c r="AD34" i="3"/>
  <c r="AD35" i="6"/>
  <c r="AD45" i="5"/>
  <c r="AE34" i="3"/>
  <c r="AC46" i="5"/>
  <c r="AD46" i="5"/>
  <c r="AE35" i="3"/>
  <c r="S1" i="1"/>
  <c r="T1" i="1"/>
  <c r="U1" i="1"/>
  <c r="V1" i="1"/>
  <c r="W1" i="1"/>
  <c r="X1" i="1"/>
  <c r="Y1" i="1"/>
  <c r="R1" i="1"/>
  <c r="Z6" i="5"/>
  <c r="AA26" i="3"/>
  <c r="AA6" i="5"/>
  <c r="AB26" i="3"/>
  <c r="Z7" i="5"/>
  <c r="AA27" i="3"/>
  <c r="AA7" i="5"/>
  <c r="AB27" i="3"/>
  <c r="Z8" i="5"/>
  <c r="AA8" i="5"/>
  <c r="Z15" i="5"/>
  <c r="AA15" i="5"/>
  <c r="Z17" i="5"/>
  <c r="AA17" i="5"/>
  <c r="Z18" i="5"/>
  <c r="AA18" i="5"/>
  <c r="Z19" i="5"/>
  <c r="AA19" i="5"/>
  <c r="Z20" i="5"/>
  <c r="AA20" i="5"/>
  <c r="Z22" i="5"/>
  <c r="Z21" i="5"/>
  <c r="AA22" i="5"/>
  <c r="AA21" i="5"/>
  <c r="Z26" i="5"/>
  <c r="AA26" i="5"/>
  <c r="Z27" i="5"/>
  <c r="AA27" i="5"/>
  <c r="Z28" i="5"/>
  <c r="AA28" i="5"/>
  <c r="Z31" i="5"/>
  <c r="AA28" i="3"/>
  <c r="AA31" i="5"/>
  <c r="AB28" i="3"/>
  <c r="Z32" i="5"/>
  <c r="AA32" i="5"/>
  <c r="Z35" i="5"/>
  <c r="AA35" i="5"/>
  <c r="Z38" i="5"/>
  <c r="AA38" i="3"/>
  <c r="AA38" i="5"/>
  <c r="Z40" i="5"/>
  <c r="AA40" i="5"/>
  <c r="Z44" i="5"/>
  <c r="AA33" i="3"/>
  <c r="AA44" i="5"/>
  <c r="AB33" i="3"/>
  <c r="Z45" i="5"/>
  <c r="AA34" i="3"/>
  <c r="AA45" i="5"/>
  <c r="Z46" i="5"/>
  <c r="AA35" i="3"/>
  <c r="AA46" i="5"/>
  <c r="S2" i="1"/>
  <c r="T2" i="1"/>
  <c r="U2" i="1"/>
  <c r="V2" i="1"/>
  <c r="W2" i="1"/>
  <c r="X2" i="1"/>
  <c r="W33" i="6"/>
  <c r="H8" i="4"/>
  <c r="U6" i="5"/>
  <c r="V6" i="5"/>
  <c r="W26" i="3"/>
  <c r="W6" i="5"/>
  <c r="X6" i="5"/>
  <c r="Y26" i="3"/>
  <c r="Y6" i="5"/>
  <c r="Z26" i="3"/>
  <c r="U7" i="5"/>
  <c r="V27" i="3"/>
  <c r="V7" i="5"/>
  <c r="W27" i="3"/>
  <c r="W7" i="5"/>
  <c r="X27" i="3"/>
  <c r="X7" i="5"/>
  <c r="Y27" i="3"/>
  <c r="Y7" i="5"/>
  <c r="Z27" i="3"/>
  <c r="U8" i="5"/>
  <c r="V8" i="5"/>
  <c r="W8" i="5"/>
  <c r="X8" i="5"/>
  <c r="Y8" i="5"/>
  <c r="U15" i="5"/>
  <c r="V15" i="5"/>
  <c r="W15" i="5"/>
  <c r="X15" i="5"/>
  <c r="Y15" i="5"/>
  <c r="U17" i="5"/>
  <c r="V17" i="5"/>
  <c r="W17" i="5"/>
  <c r="X17" i="5"/>
  <c r="Y17" i="5"/>
  <c r="U18" i="5"/>
  <c r="V18" i="5"/>
  <c r="W18" i="5"/>
  <c r="X18" i="5"/>
  <c r="Y18" i="5"/>
  <c r="U19" i="5"/>
  <c r="V19" i="5"/>
  <c r="W19" i="5"/>
  <c r="X19" i="5"/>
  <c r="Y19" i="5"/>
  <c r="U20" i="5"/>
  <c r="V20" i="5"/>
  <c r="W20" i="5"/>
  <c r="X20" i="5"/>
  <c r="Y20" i="5"/>
  <c r="U22" i="5"/>
  <c r="U21" i="5"/>
  <c r="V22" i="5"/>
  <c r="V21" i="5"/>
  <c r="W22" i="5"/>
  <c r="W21" i="5"/>
  <c r="X22" i="5"/>
  <c r="X21" i="5"/>
  <c r="Y22" i="5"/>
  <c r="Y21" i="5"/>
  <c r="U26" i="5"/>
  <c r="V26" i="5"/>
  <c r="W26" i="5"/>
  <c r="X26" i="5"/>
  <c r="Y26" i="5"/>
  <c r="U27" i="5"/>
  <c r="V27" i="5"/>
  <c r="W27" i="5"/>
  <c r="X27" i="5"/>
  <c r="Y27" i="5"/>
  <c r="U28" i="5"/>
  <c r="V28" i="5"/>
  <c r="W28" i="5"/>
  <c r="X28" i="5"/>
  <c r="Y28" i="5"/>
  <c r="U31" i="5"/>
  <c r="V28" i="3"/>
  <c r="V31" i="5"/>
  <c r="W28" i="3"/>
  <c r="W31" i="5"/>
  <c r="X28" i="3"/>
  <c r="X31" i="5"/>
  <c r="Y28" i="3"/>
  <c r="Y31" i="5"/>
  <c r="Z28" i="3"/>
  <c r="U32" i="5"/>
  <c r="V32" i="5"/>
  <c r="W32" i="5"/>
  <c r="X32" i="5"/>
  <c r="Y32" i="5"/>
  <c r="U35" i="5"/>
  <c r="V35" i="5"/>
  <c r="W35" i="5"/>
  <c r="X35" i="5"/>
  <c r="Y35" i="5"/>
  <c r="U38" i="5"/>
  <c r="V38" i="5"/>
  <c r="W38" i="5"/>
  <c r="X38" i="5"/>
  <c r="X39" i="5"/>
  <c r="X40" i="5"/>
  <c r="X37" i="5"/>
  <c r="Y38" i="5"/>
  <c r="U40" i="5"/>
  <c r="V40" i="5"/>
  <c r="W40" i="5"/>
  <c r="W39" i="5"/>
  <c r="W37" i="5"/>
  <c r="Y40" i="5"/>
  <c r="U44" i="5"/>
  <c r="V33" i="3"/>
  <c r="V44" i="5"/>
  <c r="W33" i="3"/>
  <c r="W44" i="5"/>
  <c r="X33" i="3"/>
  <c r="X44" i="5"/>
  <c r="Y44" i="5"/>
  <c r="Z33" i="3"/>
  <c r="U45" i="5"/>
  <c r="V34" i="3"/>
  <c r="V35" i="6"/>
  <c r="V45" i="5"/>
  <c r="W34" i="3"/>
  <c r="W45" i="5"/>
  <c r="X34" i="3"/>
  <c r="X45" i="5"/>
  <c r="Y45" i="5"/>
  <c r="Z34" i="3"/>
  <c r="Z35" i="6"/>
  <c r="U46" i="5"/>
  <c r="V35" i="3"/>
  <c r="V46" i="5"/>
  <c r="W46" i="5"/>
  <c r="X46" i="5"/>
  <c r="Y46" i="5"/>
  <c r="Z35" i="3"/>
  <c r="T6" i="5"/>
  <c r="U26" i="3"/>
  <c r="T7" i="5"/>
  <c r="U27" i="3"/>
  <c r="T8" i="5"/>
  <c r="T15" i="5"/>
  <c r="T17" i="5"/>
  <c r="T18" i="5"/>
  <c r="T19" i="5"/>
  <c r="T20" i="5"/>
  <c r="T22" i="5"/>
  <c r="T21" i="5"/>
  <c r="T26" i="5"/>
  <c r="T27" i="5"/>
  <c r="T28" i="5"/>
  <c r="T31" i="5"/>
  <c r="U28" i="3"/>
  <c r="T32" i="5"/>
  <c r="T35" i="5"/>
  <c r="T38" i="5"/>
  <c r="U38" i="3"/>
  <c r="T40" i="5"/>
  <c r="T44" i="5"/>
  <c r="U33" i="3"/>
  <c r="T45" i="5"/>
  <c r="U34" i="3"/>
  <c r="T46" i="5"/>
  <c r="V3" i="6"/>
  <c r="V19" i="6"/>
  <c r="W3" i="6"/>
  <c r="X3" i="6"/>
  <c r="X19" i="6"/>
  <c r="Y3" i="6"/>
  <c r="Y19" i="6"/>
  <c r="Z3" i="6"/>
  <c r="Z5" i="6"/>
  <c r="AA3" i="6"/>
  <c r="AA19" i="6"/>
  <c r="AB3" i="6"/>
  <c r="AC3" i="6"/>
  <c r="AC5" i="6"/>
  <c r="V33" i="6"/>
  <c r="X33" i="6"/>
  <c r="Y33" i="6"/>
  <c r="Z33" i="6"/>
  <c r="AA33" i="6"/>
  <c r="AB33" i="6"/>
  <c r="AC33" i="6"/>
  <c r="AB34" i="6"/>
  <c r="AA35" i="6"/>
  <c r="U3" i="6"/>
  <c r="U19" i="6"/>
  <c r="U33" i="6"/>
  <c r="U34" i="6"/>
  <c r="AB4" i="2"/>
  <c r="AB7" i="2"/>
  <c r="AC39" i="5"/>
  <c r="AC7" i="2"/>
  <c r="AD39" i="5"/>
  <c r="AD37" i="5"/>
  <c r="AD7" i="2"/>
  <c r="AE39" i="5"/>
  <c r="AB12" i="2"/>
  <c r="AC12" i="2"/>
  <c r="AC19" i="2"/>
  <c r="AD12" i="2"/>
  <c r="AB20" i="2"/>
  <c r="AB23" i="2"/>
  <c r="AC47" i="5"/>
  <c r="AC23" i="2"/>
  <c r="AD47" i="5"/>
  <c r="AD23" i="2"/>
  <c r="Y4" i="2"/>
  <c r="Z4" i="2"/>
  <c r="AA4" i="2"/>
  <c r="Y7" i="2"/>
  <c r="Z39" i="5"/>
  <c r="Z7" i="2"/>
  <c r="AA39" i="5"/>
  <c r="AA7" i="2"/>
  <c r="AA3" i="2"/>
  <c r="Y12" i="2"/>
  <c r="Z12" i="2"/>
  <c r="AA12" i="2"/>
  <c r="Y20" i="2"/>
  <c r="Z20" i="2"/>
  <c r="AA20" i="2"/>
  <c r="Y23" i="2"/>
  <c r="Z23" i="2"/>
  <c r="AA47" i="5"/>
  <c r="AA23" i="2"/>
  <c r="X4" i="2"/>
  <c r="X7" i="2"/>
  <c r="Y39" i="5"/>
  <c r="X12" i="2"/>
  <c r="X20" i="2"/>
  <c r="X23" i="2"/>
  <c r="Y47" i="5"/>
  <c r="AA4" i="1"/>
  <c r="AB4" i="1"/>
  <c r="AC4" i="1"/>
  <c r="AD4" i="1"/>
  <c r="AA8" i="1"/>
  <c r="AB8" i="1"/>
  <c r="AC8" i="1"/>
  <c r="AD8" i="1"/>
  <c r="AA13" i="1"/>
  <c r="AB30" i="5"/>
  <c r="AB13" i="1"/>
  <c r="AC13" i="1"/>
  <c r="AD13" i="1"/>
  <c r="AE30" i="5"/>
  <c r="AA16" i="1"/>
  <c r="AB16" i="1"/>
  <c r="AC16" i="1"/>
  <c r="AD16" i="1"/>
  <c r="AD26" i="1"/>
  <c r="AA20" i="1"/>
  <c r="AB20" i="1"/>
  <c r="AC20" i="1"/>
  <c r="AD20" i="1"/>
  <c r="AA30" i="1"/>
  <c r="AB30" i="1"/>
  <c r="AC30" i="1"/>
  <c r="AD30" i="1"/>
  <c r="AA47" i="1"/>
  <c r="AB47" i="1"/>
  <c r="AC47" i="1"/>
  <c r="AD47" i="1"/>
  <c r="Y4" i="1"/>
  <c r="Z4" i="1"/>
  <c r="Y8" i="1"/>
  <c r="Z8" i="1"/>
  <c r="Y13" i="1"/>
  <c r="Z30" i="5"/>
  <c r="Z13" i="1"/>
  <c r="Y16" i="1"/>
  <c r="Z16" i="1"/>
  <c r="Y20" i="1"/>
  <c r="Z20" i="1"/>
  <c r="Y30" i="1"/>
  <c r="AA18" i="6"/>
  <c r="Y47" i="1"/>
  <c r="Z47" i="1"/>
  <c r="T4" i="2"/>
  <c r="U4" i="2"/>
  <c r="V4" i="2"/>
  <c r="V3" i="2"/>
  <c r="V19" i="2"/>
  <c r="W4" i="2"/>
  <c r="T7" i="2"/>
  <c r="T3" i="2"/>
  <c r="T19" i="2"/>
  <c r="T29" i="2"/>
  <c r="T33" i="2"/>
  <c r="U7" i="2"/>
  <c r="V39" i="5"/>
  <c r="V37" i="5"/>
  <c r="V7" i="2"/>
  <c r="W7" i="2"/>
  <c r="T12" i="2"/>
  <c r="U12" i="2"/>
  <c r="V12" i="2"/>
  <c r="W12" i="2"/>
  <c r="T20" i="2"/>
  <c r="U20" i="2"/>
  <c r="V20" i="2"/>
  <c r="W20" i="2"/>
  <c r="T23" i="2"/>
  <c r="U23" i="2"/>
  <c r="V23" i="2"/>
  <c r="W23" i="2"/>
  <c r="S4" i="2"/>
  <c r="S7" i="2"/>
  <c r="T39" i="5"/>
  <c r="S12" i="2"/>
  <c r="S20" i="2"/>
  <c r="S23" i="2"/>
  <c r="T47" i="5"/>
  <c r="T4" i="1"/>
  <c r="U4" i="1"/>
  <c r="V4" i="1"/>
  <c r="W4" i="1"/>
  <c r="X4" i="1"/>
  <c r="T8" i="1"/>
  <c r="U8" i="1"/>
  <c r="V8" i="1"/>
  <c r="W8" i="1"/>
  <c r="X8" i="1"/>
  <c r="T13" i="1"/>
  <c r="U13" i="1"/>
  <c r="V30" i="5"/>
  <c r="V13" i="1"/>
  <c r="W13" i="1"/>
  <c r="X13" i="1"/>
  <c r="Y30" i="5"/>
  <c r="T16" i="1"/>
  <c r="U16" i="1"/>
  <c r="V16" i="1"/>
  <c r="W16" i="1"/>
  <c r="X16" i="1"/>
  <c r="T20" i="1"/>
  <c r="U20" i="1"/>
  <c r="V34" i="5"/>
  <c r="V20" i="1"/>
  <c r="W20" i="1"/>
  <c r="X20" i="1"/>
  <c r="T30" i="1"/>
  <c r="U30" i="1"/>
  <c r="V30" i="1"/>
  <c r="W30" i="1"/>
  <c r="X30" i="1"/>
  <c r="T37" i="1"/>
  <c r="T48" i="1"/>
  <c r="T47" i="1"/>
  <c r="U47" i="1"/>
  <c r="V47" i="1"/>
  <c r="W47" i="1"/>
  <c r="X47" i="1"/>
  <c r="S4" i="1"/>
  <c r="S8" i="1"/>
  <c r="S13" i="1"/>
  <c r="S16" i="1"/>
  <c r="S20" i="1"/>
  <c r="S30" i="1"/>
  <c r="S47" i="1"/>
  <c r="G38" i="6"/>
  <c r="G37" i="6"/>
  <c r="G36" i="6"/>
  <c r="G35" i="6"/>
  <c r="G34" i="6"/>
  <c r="G33" i="6"/>
  <c r="G31" i="6"/>
  <c r="G30" i="6"/>
  <c r="G29" i="6"/>
  <c r="G28" i="6"/>
  <c r="G27" i="6"/>
  <c r="G26" i="6"/>
  <c r="G25" i="6"/>
  <c r="S8" i="6"/>
  <c r="Q8" i="6"/>
  <c r="S7" i="6"/>
  <c r="Q7" i="6"/>
  <c r="M7" i="6"/>
  <c r="J7" i="6"/>
  <c r="F7" i="6"/>
  <c r="S3" i="6"/>
  <c r="R3" i="6"/>
  <c r="Q3" i="6"/>
  <c r="Q19" i="6"/>
  <c r="P3" i="6"/>
  <c r="O3" i="6"/>
  <c r="O19" i="6"/>
  <c r="N3" i="6"/>
  <c r="M3" i="6"/>
  <c r="M19" i="6"/>
  <c r="L3" i="6"/>
  <c r="L19" i="6"/>
  <c r="K3" i="6"/>
  <c r="K19" i="6"/>
  <c r="J3" i="6"/>
  <c r="I3" i="6"/>
  <c r="I19" i="6"/>
  <c r="H3" i="6"/>
  <c r="H19" i="6"/>
  <c r="G3" i="6"/>
  <c r="D3" i="6"/>
  <c r="D19" i="6"/>
  <c r="L6" i="5"/>
  <c r="M26" i="3"/>
  <c r="M6" i="5"/>
  <c r="N26" i="3"/>
  <c r="N6" i="5"/>
  <c r="O26" i="3"/>
  <c r="O6" i="5"/>
  <c r="P26" i="3"/>
  <c r="P6" i="5"/>
  <c r="Q26" i="3"/>
  <c r="Q6" i="5"/>
  <c r="R26" i="3"/>
  <c r="R6" i="5"/>
  <c r="S26" i="3"/>
  <c r="S6" i="5"/>
  <c r="T26" i="3"/>
  <c r="L7" i="5"/>
  <c r="M27" i="3"/>
  <c r="M7" i="5"/>
  <c r="N27" i="3"/>
  <c r="N7" i="5"/>
  <c r="O7" i="5"/>
  <c r="P27" i="3"/>
  <c r="P7" i="5"/>
  <c r="Q27" i="3"/>
  <c r="Q7" i="5"/>
  <c r="R27" i="3"/>
  <c r="R7" i="5"/>
  <c r="S27" i="3"/>
  <c r="L8" i="5"/>
  <c r="M8" i="5"/>
  <c r="N8" i="5"/>
  <c r="O8" i="5"/>
  <c r="P8" i="5"/>
  <c r="Q8" i="5"/>
  <c r="R8" i="5"/>
  <c r="S8" i="5"/>
  <c r="L15" i="5"/>
  <c r="M15" i="5"/>
  <c r="N15" i="5"/>
  <c r="O15" i="5"/>
  <c r="P15" i="5"/>
  <c r="Q15" i="5"/>
  <c r="R15" i="5"/>
  <c r="S15" i="5"/>
  <c r="L17" i="5"/>
  <c r="M17" i="5"/>
  <c r="N17" i="5"/>
  <c r="O17" i="5"/>
  <c r="P17" i="5"/>
  <c r="Q17" i="5"/>
  <c r="R17" i="5"/>
  <c r="S17" i="5"/>
  <c r="L18" i="5"/>
  <c r="M18" i="5"/>
  <c r="N18" i="5"/>
  <c r="O18" i="5"/>
  <c r="P18" i="5"/>
  <c r="Q18" i="5"/>
  <c r="R18" i="5"/>
  <c r="L19" i="5"/>
  <c r="M19" i="5"/>
  <c r="N19" i="5"/>
  <c r="O19" i="5"/>
  <c r="P19" i="5"/>
  <c r="Q19" i="5"/>
  <c r="R19" i="5"/>
  <c r="S19" i="5"/>
  <c r="L20" i="5"/>
  <c r="M20" i="5"/>
  <c r="N20" i="5"/>
  <c r="O20" i="5"/>
  <c r="P20" i="5"/>
  <c r="Q20" i="5"/>
  <c r="R20" i="5"/>
  <c r="S20" i="5"/>
  <c r="L22" i="5"/>
  <c r="L21" i="5"/>
  <c r="M22" i="5"/>
  <c r="M21" i="5"/>
  <c r="M14" i="5"/>
  <c r="M11" i="5"/>
  <c r="N22" i="5"/>
  <c r="N21" i="5"/>
  <c r="O22" i="5"/>
  <c r="O21" i="5"/>
  <c r="P22" i="5"/>
  <c r="P21" i="5"/>
  <c r="P14" i="5"/>
  <c r="Q22" i="5"/>
  <c r="Q21" i="5"/>
  <c r="R22" i="5"/>
  <c r="R21" i="5"/>
  <c r="S22" i="5"/>
  <c r="S21" i="5"/>
  <c r="L26" i="5"/>
  <c r="M26" i="5"/>
  <c r="M25" i="5"/>
  <c r="N26" i="5"/>
  <c r="O26" i="5"/>
  <c r="P26" i="5"/>
  <c r="Q26" i="5"/>
  <c r="R26" i="5"/>
  <c r="R25" i="5"/>
  <c r="L27" i="5"/>
  <c r="M27" i="5"/>
  <c r="N27" i="5"/>
  <c r="O27" i="5"/>
  <c r="P27" i="5"/>
  <c r="Q27" i="5"/>
  <c r="R27" i="5"/>
  <c r="S27" i="5"/>
  <c r="L28" i="5"/>
  <c r="M28" i="5"/>
  <c r="N28" i="5"/>
  <c r="O28" i="5"/>
  <c r="P28" i="5"/>
  <c r="Q28" i="5"/>
  <c r="R28" i="5"/>
  <c r="L31" i="5"/>
  <c r="M28" i="3"/>
  <c r="M31" i="5"/>
  <c r="N28" i="3"/>
  <c r="N31" i="5"/>
  <c r="O28" i="3"/>
  <c r="O31" i="5"/>
  <c r="P28" i="3"/>
  <c r="P31" i="5"/>
  <c r="Q28" i="3"/>
  <c r="Q31" i="5"/>
  <c r="R31" i="5"/>
  <c r="S28" i="3"/>
  <c r="S31" i="5"/>
  <c r="T28" i="3"/>
  <c r="L32" i="5"/>
  <c r="M32" i="5"/>
  <c r="N32" i="5"/>
  <c r="O32" i="5"/>
  <c r="P32" i="5"/>
  <c r="Q32" i="5"/>
  <c r="R32" i="5"/>
  <c r="S32" i="5"/>
  <c r="L35" i="5"/>
  <c r="M35" i="5"/>
  <c r="N35" i="5"/>
  <c r="O35" i="5"/>
  <c r="P35" i="5"/>
  <c r="Q35" i="5"/>
  <c r="R35" i="5"/>
  <c r="S35" i="5"/>
  <c r="M38" i="5"/>
  <c r="N38" i="5"/>
  <c r="O38" i="5"/>
  <c r="P38" i="5"/>
  <c r="Q38" i="5"/>
  <c r="R38" i="5"/>
  <c r="S38" i="5"/>
  <c r="M40" i="5"/>
  <c r="N40" i="5"/>
  <c r="O40" i="5"/>
  <c r="P40" i="5"/>
  <c r="Q40" i="5"/>
  <c r="R40" i="5"/>
  <c r="S40" i="5"/>
  <c r="M44" i="5"/>
  <c r="N33" i="3"/>
  <c r="N44" i="5"/>
  <c r="O33" i="3"/>
  <c r="O34" i="6"/>
  <c r="O44" i="5"/>
  <c r="P44" i="5"/>
  <c r="Q33" i="3"/>
  <c r="Q44" i="5"/>
  <c r="R33" i="3"/>
  <c r="R44" i="5"/>
  <c r="S33" i="3"/>
  <c r="S44" i="5"/>
  <c r="T33" i="3"/>
  <c r="L45" i="5"/>
  <c r="M34" i="3"/>
  <c r="M45" i="5"/>
  <c r="N45" i="5"/>
  <c r="O45" i="5"/>
  <c r="P34" i="3"/>
  <c r="P45" i="5"/>
  <c r="Q34" i="3"/>
  <c r="Q35" i="6"/>
  <c r="Q45" i="5"/>
  <c r="R34" i="3"/>
  <c r="R35" i="6"/>
  <c r="R45" i="5"/>
  <c r="S45" i="5"/>
  <c r="L46" i="5"/>
  <c r="M46" i="5"/>
  <c r="N35" i="3"/>
  <c r="N46" i="5"/>
  <c r="O46" i="5"/>
  <c r="P35" i="3"/>
  <c r="P46" i="5"/>
  <c r="Q46" i="5"/>
  <c r="R35" i="3"/>
  <c r="R46" i="5"/>
  <c r="S35" i="3"/>
  <c r="S46" i="5"/>
  <c r="P4" i="2"/>
  <c r="Q4" i="2"/>
  <c r="R4" i="2"/>
  <c r="P7" i="2"/>
  <c r="P3" i="2"/>
  <c r="P19" i="2"/>
  <c r="Q7" i="2"/>
  <c r="R11" i="2"/>
  <c r="R7" i="2"/>
  <c r="P12" i="2"/>
  <c r="Q12" i="2"/>
  <c r="R12" i="2"/>
  <c r="P20" i="2"/>
  <c r="Q20" i="2"/>
  <c r="R20" i="2"/>
  <c r="P23" i="2"/>
  <c r="Q23" i="2"/>
  <c r="R23" i="2"/>
  <c r="P30" i="2"/>
  <c r="Q30" i="2"/>
  <c r="R30" i="2"/>
  <c r="L30" i="2"/>
  <c r="M30" i="2"/>
  <c r="N30" i="2"/>
  <c r="O30" i="2"/>
  <c r="L23" i="2"/>
  <c r="M23" i="2"/>
  <c r="N23" i="2"/>
  <c r="O23" i="2"/>
  <c r="Q10" i="6"/>
  <c r="L20" i="2"/>
  <c r="M20" i="2"/>
  <c r="N20" i="2"/>
  <c r="O20" i="2"/>
  <c r="L12" i="2"/>
  <c r="L39" i="2"/>
  <c r="N32" i="3"/>
  <c r="M12" i="2"/>
  <c r="M39" i="2"/>
  <c r="O32" i="3"/>
  <c r="N12" i="2"/>
  <c r="O12" i="2"/>
  <c r="L7" i="2"/>
  <c r="M39" i="5"/>
  <c r="M7" i="2"/>
  <c r="N39" i="5"/>
  <c r="N7" i="2"/>
  <c r="O7" i="2"/>
  <c r="P39" i="5"/>
  <c r="L4" i="2"/>
  <c r="L3" i="2"/>
  <c r="L19" i="2"/>
  <c r="M4" i="2"/>
  <c r="M3" i="2"/>
  <c r="N4" i="2"/>
  <c r="O4" i="2"/>
  <c r="R41" i="1"/>
  <c r="R35" i="1"/>
  <c r="R27" i="1"/>
  <c r="R25" i="1"/>
  <c r="R20" i="1"/>
  <c r="R12" i="1"/>
  <c r="R11" i="1"/>
  <c r="S28" i="5"/>
  <c r="R5" i="1"/>
  <c r="L47" i="1"/>
  <c r="M47" i="1"/>
  <c r="N47" i="1"/>
  <c r="O47" i="1"/>
  <c r="P47" i="1"/>
  <c r="Q47" i="1"/>
  <c r="L30" i="1"/>
  <c r="N5" i="3"/>
  <c r="M30" i="1"/>
  <c r="N30" i="1"/>
  <c r="O30" i="1"/>
  <c r="P30" i="1"/>
  <c r="Q30" i="1"/>
  <c r="L20" i="1"/>
  <c r="M20" i="1"/>
  <c r="N20" i="1"/>
  <c r="O20" i="1"/>
  <c r="P20" i="1"/>
  <c r="Q20" i="1"/>
  <c r="L16" i="1"/>
  <c r="M16" i="1"/>
  <c r="N16" i="1"/>
  <c r="O16" i="1"/>
  <c r="P16" i="1"/>
  <c r="Q16" i="1"/>
  <c r="R16" i="1"/>
  <c r="L13" i="1"/>
  <c r="M13" i="1"/>
  <c r="N13" i="1"/>
  <c r="P39" i="6"/>
  <c r="O13" i="1"/>
  <c r="P13" i="1"/>
  <c r="Q30" i="5"/>
  <c r="Q13" i="1"/>
  <c r="R13" i="1"/>
  <c r="S30" i="5"/>
  <c r="L8" i="1"/>
  <c r="M8" i="1"/>
  <c r="N8" i="1"/>
  <c r="P13" i="6"/>
  <c r="O8" i="1"/>
  <c r="P8" i="1"/>
  <c r="Q8" i="1"/>
  <c r="M4" i="1"/>
  <c r="N4" i="1"/>
  <c r="O4" i="1"/>
  <c r="P4" i="1"/>
  <c r="Q4" i="1"/>
  <c r="L4" i="1"/>
  <c r="K27" i="2"/>
  <c r="K23" i="2"/>
  <c r="K13" i="2"/>
  <c r="K12" i="2"/>
  <c r="K39" i="2"/>
  <c r="K11" i="2"/>
  <c r="K7" i="2"/>
  <c r="L39" i="5"/>
  <c r="L38" i="5"/>
  <c r="L40" i="5"/>
  <c r="L37" i="5"/>
  <c r="K30" i="2"/>
  <c r="K20" i="2"/>
  <c r="K6" i="2"/>
  <c r="K5" i="2"/>
  <c r="M38" i="3"/>
  <c r="K47" i="1"/>
  <c r="K30" i="1"/>
  <c r="K16" i="1"/>
  <c r="K20" i="1"/>
  <c r="K13" i="1"/>
  <c r="L30" i="5"/>
  <c r="K4" i="1"/>
  <c r="K8" i="1"/>
  <c r="J4" i="2"/>
  <c r="J7" i="2"/>
  <c r="J12" i="2"/>
  <c r="J20" i="2"/>
  <c r="J23" i="2"/>
  <c r="J30" i="2"/>
  <c r="J8" i="1"/>
  <c r="J13" i="1"/>
  <c r="J16" i="1"/>
  <c r="J30" i="1"/>
  <c r="J47" i="1"/>
  <c r="J25" i="1"/>
  <c r="J20" i="1"/>
  <c r="J4" i="1"/>
  <c r="D30" i="2"/>
  <c r="E30" i="2"/>
  <c r="F30" i="2"/>
  <c r="G30" i="2"/>
  <c r="H30" i="2"/>
  <c r="I30" i="2"/>
  <c r="D23" i="2"/>
  <c r="E23" i="2"/>
  <c r="F23" i="2"/>
  <c r="G23" i="2"/>
  <c r="H23" i="2"/>
  <c r="I23" i="2"/>
  <c r="D20" i="2"/>
  <c r="E20" i="2"/>
  <c r="F20" i="2"/>
  <c r="G20" i="2"/>
  <c r="H20" i="2"/>
  <c r="I20" i="2"/>
  <c r="D12" i="2"/>
  <c r="D39" i="2"/>
  <c r="F32" i="3"/>
  <c r="E12" i="2"/>
  <c r="F12" i="2"/>
  <c r="G12" i="2"/>
  <c r="G39" i="2"/>
  <c r="H12" i="2"/>
  <c r="H39" i="2"/>
  <c r="I12" i="2"/>
  <c r="D7" i="2"/>
  <c r="E7" i="2"/>
  <c r="E39" i="5"/>
  <c r="E38" i="5"/>
  <c r="E40" i="5"/>
  <c r="E37" i="5"/>
  <c r="F7" i="2"/>
  <c r="G7" i="2"/>
  <c r="H39" i="5"/>
  <c r="H38" i="5"/>
  <c r="H40" i="5"/>
  <c r="H37" i="5"/>
  <c r="H7" i="2"/>
  <c r="I7" i="2"/>
  <c r="J39" i="5"/>
  <c r="J38" i="5"/>
  <c r="J40" i="5"/>
  <c r="J37" i="5"/>
  <c r="D4" i="2"/>
  <c r="D3" i="2"/>
  <c r="D19" i="2"/>
  <c r="D29" i="2"/>
  <c r="E4" i="2"/>
  <c r="E3" i="2"/>
  <c r="E19" i="2"/>
  <c r="E29" i="2"/>
  <c r="E33" i="2"/>
  <c r="F4" i="2"/>
  <c r="F3" i="2"/>
  <c r="F19" i="2"/>
  <c r="G4" i="2"/>
  <c r="H4" i="2"/>
  <c r="H3" i="2"/>
  <c r="I4" i="2"/>
  <c r="F47" i="1"/>
  <c r="G47" i="1"/>
  <c r="H47" i="1"/>
  <c r="I47" i="1"/>
  <c r="F30" i="1"/>
  <c r="G30" i="1"/>
  <c r="H30" i="1"/>
  <c r="I30" i="1"/>
  <c r="F20" i="1"/>
  <c r="G20" i="1"/>
  <c r="H20" i="1"/>
  <c r="I20" i="1"/>
  <c r="F16" i="1"/>
  <c r="G16" i="1"/>
  <c r="H16" i="1"/>
  <c r="I16" i="1"/>
  <c r="F13" i="1"/>
  <c r="G30" i="5"/>
  <c r="G13" i="1"/>
  <c r="H30" i="5"/>
  <c r="H13" i="1"/>
  <c r="I13" i="1"/>
  <c r="F8" i="1"/>
  <c r="G8" i="1"/>
  <c r="H8" i="1"/>
  <c r="I8" i="1"/>
  <c r="F4" i="1"/>
  <c r="G4" i="1"/>
  <c r="H4" i="1"/>
  <c r="I4" i="1"/>
  <c r="F6" i="5"/>
  <c r="G26" i="3"/>
  <c r="F7" i="5"/>
  <c r="G27" i="3"/>
  <c r="F8" i="5"/>
  <c r="F15" i="5"/>
  <c r="F17" i="5"/>
  <c r="F18" i="5"/>
  <c r="F19" i="5"/>
  <c r="F20" i="5"/>
  <c r="F22" i="5"/>
  <c r="F21" i="5"/>
  <c r="F26" i="5"/>
  <c r="F27" i="5"/>
  <c r="F28" i="5"/>
  <c r="F31" i="5"/>
  <c r="G28" i="3"/>
  <c r="F32" i="5"/>
  <c r="F35" i="5"/>
  <c r="F38" i="5"/>
  <c r="F39" i="5"/>
  <c r="F40" i="5"/>
  <c r="F44" i="5"/>
  <c r="G33" i="3"/>
  <c r="F45" i="5"/>
  <c r="G34" i="3"/>
  <c r="F46" i="5"/>
  <c r="E47" i="1"/>
  <c r="E30" i="1"/>
  <c r="E20" i="1"/>
  <c r="E16" i="1"/>
  <c r="E13" i="1"/>
  <c r="E8" i="1"/>
  <c r="E4" i="1"/>
  <c r="C38" i="4"/>
  <c r="D38" i="4"/>
  <c r="C28" i="4"/>
  <c r="D28" i="4"/>
  <c r="D18" i="4"/>
  <c r="M8" i="6"/>
  <c r="C18" i="4"/>
  <c r="K6" i="5"/>
  <c r="L26" i="3"/>
  <c r="K7" i="5"/>
  <c r="L27" i="3"/>
  <c r="K8" i="5"/>
  <c r="K15" i="5"/>
  <c r="K17" i="5"/>
  <c r="K18" i="5"/>
  <c r="K14" i="5"/>
  <c r="K11" i="5"/>
  <c r="K19" i="5"/>
  <c r="K20" i="5"/>
  <c r="K22" i="5"/>
  <c r="K21" i="5"/>
  <c r="K26" i="5"/>
  <c r="K27" i="5"/>
  <c r="K28" i="5"/>
  <c r="K31" i="5"/>
  <c r="L28" i="3"/>
  <c r="K32" i="5"/>
  <c r="K35" i="5"/>
  <c r="K38" i="5"/>
  <c r="L38" i="3"/>
  <c r="K40" i="5"/>
  <c r="K44" i="5"/>
  <c r="L33" i="3"/>
  <c r="L34" i="6"/>
  <c r="K45" i="5"/>
  <c r="L34" i="3"/>
  <c r="L35" i="6"/>
  <c r="K46" i="5"/>
  <c r="L35" i="3"/>
  <c r="E6" i="5"/>
  <c r="G6" i="5"/>
  <c r="H26" i="3"/>
  <c r="H6" i="5"/>
  <c r="I6" i="5"/>
  <c r="J26" i="3"/>
  <c r="J6" i="5"/>
  <c r="K26" i="3"/>
  <c r="G7" i="5"/>
  <c r="H27" i="3"/>
  <c r="H7" i="5"/>
  <c r="I27" i="3"/>
  <c r="I7" i="5"/>
  <c r="J27" i="3"/>
  <c r="J7" i="5"/>
  <c r="K27" i="3"/>
  <c r="E8" i="5"/>
  <c r="G8" i="5"/>
  <c r="H8" i="5"/>
  <c r="I8" i="5"/>
  <c r="J8" i="5"/>
  <c r="E15" i="5"/>
  <c r="G15" i="5"/>
  <c r="H15" i="5"/>
  <c r="I15" i="5"/>
  <c r="J15" i="5"/>
  <c r="G17" i="5"/>
  <c r="H17" i="5"/>
  <c r="H14" i="5"/>
  <c r="H11" i="5"/>
  <c r="I29" i="3"/>
  <c r="I17" i="5"/>
  <c r="J17" i="5"/>
  <c r="G18" i="5"/>
  <c r="H18" i="5"/>
  <c r="I18" i="5"/>
  <c r="J18" i="5"/>
  <c r="E19" i="5"/>
  <c r="G19" i="5"/>
  <c r="H19" i="5"/>
  <c r="I19" i="5"/>
  <c r="J19" i="5"/>
  <c r="E20" i="5"/>
  <c r="G20" i="5"/>
  <c r="H20" i="5"/>
  <c r="I20" i="5"/>
  <c r="J20" i="5"/>
  <c r="E22" i="5"/>
  <c r="E21" i="5"/>
  <c r="G22" i="5"/>
  <c r="G21" i="5"/>
  <c r="H22" i="5"/>
  <c r="H21" i="5"/>
  <c r="I22" i="5"/>
  <c r="I21" i="5"/>
  <c r="J22" i="5"/>
  <c r="J21" i="5"/>
  <c r="E26" i="5"/>
  <c r="G26" i="5"/>
  <c r="H26" i="5"/>
  <c r="H25" i="5"/>
  <c r="I26" i="5"/>
  <c r="J26" i="5"/>
  <c r="E27" i="5"/>
  <c r="G27" i="5"/>
  <c r="H27" i="5"/>
  <c r="I27" i="5"/>
  <c r="J27" i="5"/>
  <c r="E28" i="5"/>
  <c r="G28" i="5"/>
  <c r="G25" i="5"/>
  <c r="H28" i="5"/>
  <c r="I28" i="5"/>
  <c r="J28" i="5"/>
  <c r="G31" i="5"/>
  <c r="H28" i="3"/>
  <c r="H31" i="5"/>
  <c r="I28" i="3"/>
  <c r="I31" i="5"/>
  <c r="J28" i="3"/>
  <c r="J31" i="5"/>
  <c r="K28" i="3"/>
  <c r="E32" i="5"/>
  <c r="G32" i="5"/>
  <c r="H32" i="5"/>
  <c r="I32" i="5"/>
  <c r="J32" i="5"/>
  <c r="E35" i="5"/>
  <c r="G35" i="5"/>
  <c r="H35" i="5"/>
  <c r="I35" i="5"/>
  <c r="J35" i="5"/>
  <c r="G38" i="5"/>
  <c r="I38" i="5"/>
  <c r="J38" i="3"/>
  <c r="G40" i="5"/>
  <c r="I40" i="5"/>
  <c r="E44" i="5"/>
  <c r="F33" i="3"/>
  <c r="F34" i="6"/>
  <c r="G44" i="5"/>
  <c r="H33" i="3"/>
  <c r="H34" i="6"/>
  <c r="H44" i="5"/>
  <c r="I44" i="5"/>
  <c r="J44" i="5"/>
  <c r="K33" i="3"/>
  <c r="E45" i="5"/>
  <c r="G45" i="5"/>
  <c r="H34" i="3"/>
  <c r="H35" i="6"/>
  <c r="H45" i="5"/>
  <c r="I34" i="3"/>
  <c r="I35" i="6"/>
  <c r="I45" i="5"/>
  <c r="J34" i="3"/>
  <c r="J45" i="5"/>
  <c r="K34" i="3"/>
  <c r="K35" i="6"/>
  <c r="E46" i="5"/>
  <c r="G46" i="5"/>
  <c r="H35" i="3"/>
  <c r="H46" i="5"/>
  <c r="I35" i="3"/>
  <c r="I46" i="5"/>
  <c r="J46" i="5"/>
  <c r="K35" i="3"/>
  <c r="D41" i="1"/>
  <c r="E18" i="5"/>
  <c r="D40" i="1"/>
  <c r="D27" i="1"/>
  <c r="D20" i="1"/>
  <c r="E34" i="5"/>
  <c r="D16" i="1"/>
  <c r="D14" i="1"/>
  <c r="D8" i="1"/>
  <c r="D6" i="1"/>
  <c r="D4" i="1"/>
  <c r="J47" i="5"/>
  <c r="I39" i="5"/>
  <c r="G39" i="5"/>
  <c r="D47" i="4"/>
  <c r="C47" i="4"/>
  <c r="F46" i="4"/>
  <c r="F45" i="4"/>
  <c r="F44" i="4"/>
  <c r="F43" i="4"/>
  <c r="F42" i="4"/>
  <c r="E19" i="4"/>
  <c r="F17" i="4"/>
  <c r="F16" i="4"/>
  <c r="F15" i="4"/>
  <c r="F14" i="4"/>
  <c r="F13" i="4"/>
  <c r="B4" i="2"/>
  <c r="C30" i="2"/>
  <c r="C23" i="2"/>
  <c r="C21" i="2"/>
  <c r="C20" i="2"/>
  <c r="C14" i="2"/>
  <c r="C13" i="2"/>
  <c r="C12" i="2"/>
  <c r="C10" i="2"/>
  <c r="C6" i="2"/>
  <c r="D40" i="5"/>
  <c r="B7" i="2"/>
  <c r="C39" i="5"/>
  <c r="B12" i="2"/>
  <c r="B20" i="2"/>
  <c r="B23" i="2"/>
  <c r="C47" i="5"/>
  <c r="B30" i="2"/>
  <c r="C41" i="1"/>
  <c r="C27" i="1"/>
  <c r="C20" i="1"/>
  <c r="C16" i="1"/>
  <c r="C14" i="1"/>
  <c r="C13" i="1"/>
  <c r="D30" i="5"/>
  <c r="C12" i="1"/>
  <c r="C6" i="1"/>
  <c r="C4" i="1"/>
  <c r="E12" i="6"/>
  <c r="B47" i="1"/>
  <c r="B30" i="1"/>
  <c r="D18" i="3"/>
  <c r="B20" i="1"/>
  <c r="C34" i="5"/>
  <c r="B16" i="1"/>
  <c r="B13" i="1"/>
  <c r="C30" i="5"/>
  <c r="B8" i="1"/>
  <c r="B4" i="1"/>
  <c r="F33" i="4"/>
  <c r="F34" i="4"/>
  <c r="F38" i="4"/>
  <c r="F35" i="4"/>
  <c r="F36" i="4"/>
  <c r="D17" i="5"/>
  <c r="C17" i="5"/>
  <c r="D45" i="5"/>
  <c r="E35" i="6"/>
  <c r="D38" i="5"/>
  <c r="E38" i="3"/>
  <c r="D35" i="5"/>
  <c r="D32" i="5"/>
  <c r="D28" i="5"/>
  <c r="D27" i="5"/>
  <c r="D22" i="5"/>
  <c r="D21" i="5"/>
  <c r="D20" i="5"/>
  <c r="D19" i="5"/>
  <c r="D15" i="5"/>
  <c r="D8" i="5"/>
  <c r="D6" i="5"/>
  <c r="C46" i="5"/>
  <c r="C45" i="5"/>
  <c r="C44" i="5"/>
  <c r="C40" i="5"/>
  <c r="C38" i="5"/>
  <c r="C35" i="5"/>
  <c r="C32" i="5"/>
  <c r="C31" i="5"/>
  <c r="C28" i="5"/>
  <c r="C27" i="5"/>
  <c r="C26" i="5"/>
  <c r="C22" i="5"/>
  <c r="C21" i="5"/>
  <c r="C20" i="5"/>
  <c r="C19" i="5"/>
  <c r="C14" i="5"/>
  <c r="C11" i="5"/>
  <c r="C12" i="5"/>
  <c r="C18" i="5"/>
  <c r="C15" i="5"/>
  <c r="C8" i="5"/>
  <c r="C6" i="5"/>
  <c r="C7" i="5"/>
  <c r="C8" i="4"/>
  <c r="D3" i="3"/>
  <c r="D5" i="3"/>
  <c r="F37" i="4"/>
  <c r="D8" i="4"/>
  <c r="J8" i="6"/>
  <c r="E8" i="4"/>
  <c r="F4" i="4"/>
  <c r="F5" i="4"/>
  <c r="F6" i="4"/>
  <c r="F7" i="4"/>
  <c r="F3" i="4"/>
  <c r="F8" i="4"/>
  <c r="F24" i="4"/>
  <c r="F25" i="4"/>
  <c r="F26" i="4"/>
  <c r="F27" i="4"/>
  <c r="F23" i="4"/>
  <c r="F28" i="4"/>
  <c r="Q39" i="2"/>
  <c r="D46" i="5"/>
  <c r="E35" i="3"/>
  <c r="H47" i="5"/>
  <c r="D26" i="5"/>
  <c r="E7" i="5"/>
  <c r="F27" i="3"/>
  <c r="E47" i="5"/>
  <c r="M19" i="2"/>
  <c r="M29" i="2"/>
  <c r="M33" i="2"/>
  <c r="W3" i="2"/>
  <c r="W19" i="2"/>
  <c r="W29" i="2"/>
  <c r="W33" i="2"/>
  <c r="U3" i="2"/>
  <c r="U19" i="2"/>
  <c r="W10" i="6"/>
  <c r="U29" i="2"/>
  <c r="U33" i="2"/>
  <c r="S3" i="2"/>
  <c r="S19" i="2"/>
  <c r="S29" i="2"/>
  <c r="Z30" i="1"/>
  <c r="AC18" i="6"/>
  <c r="AA12" i="6"/>
  <c r="AB12" i="6"/>
  <c r="AB3" i="2"/>
  <c r="AA19" i="2"/>
  <c r="AC10" i="6"/>
  <c r="AB19" i="2"/>
  <c r="AB29" i="2"/>
  <c r="AB33" i="2"/>
  <c r="Y3" i="2"/>
  <c r="Y19" i="2"/>
  <c r="Y29" i="2"/>
  <c r="Y33" i="2"/>
  <c r="AD19" i="2"/>
  <c r="AD29" i="2"/>
  <c r="AD33" i="2"/>
  <c r="I12" i="6"/>
  <c r="R18" i="6"/>
  <c r="Q5" i="5"/>
  <c r="R25" i="3"/>
  <c r="P37" i="1"/>
  <c r="P48" i="1"/>
  <c r="S47" i="5"/>
  <c r="G34" i="5"/>
  <c r="X3" i="2"/>
  <c r="X19" i="2"/>
  <c r="Z10" i="6"/>
  <c r="D33" i="2"/>
  <c r="D35" i="2"/>
  <c r="D37" i="2"/>
  <c r="M12" i="6"/>
  <c r="D41" i="2"/>
  <c r="M33" i="6"/>
  <c r="M47" i="5"/>
  <c r="L44" i="5"/>
  <c r="M33" i="3"/>
  <c r="M34" i="6"/>
  <c r="F39" i="2"/>
  <c r="F33" i="6"/>
  <c r="G47" i="5"/>
  <c r="F47" i="5"/>
  <c r="F43" i="5"/>
  <c r="J30" i="5"/>
  <c r="K47" i="5"/>
  <c r="P18" i="6"/>
  <c r="D47" i="5"/>
  <c r="J13" i="6"/>
  <c r="O39" i="5"/>
  <c r="O37" i="5"/>
  <c r="N3" i="2"/>
  <c r="N19" i="2"/>
  <c r="P10" i="6"/>
  <c r="R39" i="2"/>
  <c r="T32" i="3"/>
  <c r="K12" i="6"/>
  <c r="N47" i="5"/>
  <c r="O10" i="6"/>
  <c r="Q34" i="5"/>
  <c r="P5" i="5"/>
  <c r="Q25" i="3"/>
  <c r="M37" i="1"/>
  <c r="M48" i="1"/>
  <c r="L42" i="2"/>
  <c r="N12" i="6"/>
  <c r="N5" i="5"/>
  <c r="O25" i="3"/>
  <c r="K28" i="6"/>
  <c r="J18" i="6"/>
  <c r="N34" i="5"/>
  <c r="N18" i="6"/>
  <c r="Q47" i="5"/>
  <c r="Q43" i="5"/>
  <c r="L28" i="6"/>
  <c r="F10" i="6"/>
  <c r="O7" i="6"/>
  <c r="O47" i="5"/>
  <c r="M27" i="6"/>
  <c r="S34" i="6"/>
  <c r="Y12" i="6"/>
  <c r="Y10" i="6"/>
  <c r="W39" i="6"/>
  <c r="AB39" i="5"/>
  <c r="X37" i="1"/>
  <c r="X48" i="1"/>
  <c r="AD5" i="5"/>
  <c r="AE25" i="3"/>
  <c r="AC37" i="1"/>
  <c r="Z34" i="6"/>
  <c r="U34" i="5"/>
  <c r="U10" i="6"/>
  <c r="W47" i="5"/>
  <c r="W12" i="6"/>
  <c r="X34" i="5"/>
  <c r="S33" i="6"/>
  <c r="T33" i="6"/>
  <c r="N29" i="2"/>
  <c r="N33" i="2"/>
  <c r="AN3" i="2"/>
  <c r="AN19" i="2"/>
  <c r="AN29" i="2"/>
  <c r="AN33" i="2"/>
  <c r="AM3" i="2"/>
  <c r="AM19" i="2"/>
  <c r="AM29" i="2"/>
  <c r="AM33" i="2"/>
  <c r="AL3" i="2"/>
  <c r="AL19" i="2"/>
  <c r="AL29" i="2"/>
  <c r="AL33" i="2"/>
  <c r="AO3" i="2"/>
  <c r="AO19" i="2"/>
  <c r="AO29" i="2"/>
  <c r="AO33" i="2"/>
  <c r="AK3" i="2"/>
  <c r="AK19" i="2"/>
  <c r="AK29" i="2"/>
  <c r="AK33" i="2"/>
  <c r="AJ3" i="2"/>
  <c r="AJ19" i="2"/>
  <c r="AJ29" i="2"/>
  <c r="AJ33" i="2"/>
  <c r="AI3" i="2"/>
  <c r="AI19" i="2"/>
  <c r="AI29" i="2"/>
  <c r="AH3" i="2"/>
  <c r="AH19" i="2"/>
  <c r="AH29" i="2"/>
  <c r="AH33" i="2"/>
  <c r="AG3" i="2"/>
  <c r="AG19" i="2"/>
  <c r="AG29" i="2"/>
  <c r="AG33" i="2"/>
  <c r="AF35" i="6"/>
  <c r="M18" i="6"/>
  <c r="K37" i="1"/>
  <c r="L5" i="5"/>
  <c r="M25" i="3"/>
  <c r="R12" i="6"/>
  <c r="AB19" i="6"/>
  <c r="K18" i="6"/>
  <c r="N30" i="5"/>
  <c r="AB34" i="5"/>
  <c r="W28" i="6"/>
  <c r="Y18" i="6"/>
  <c r="W37" i="1"/>
  <c r="W48" i="1"/>
  <c r="Y13" i="6"/>
  <c r="X5" i="5"/>
  <c r="V13" i="6"/>
  <c r="M13" i="6"/>
  <c r="G5" i="5"/>
  <c r="H25" i="3"/>
  <c r="F37" i="1"/>
  <c r="B37" i="1"/>
  <c r="W26" i="1"/>
  <c r="M35" i="2"/>
  <c r="M37" i="2"/>
  <c r="D44" i="5"/>
  <c r="D43" i="5"/>
  <c r="M41" i="2"/>
  <c r="I47" i="5"/>
  <c r="AA29" i="2"/>
  <c r="S39" i="5"/>
  <c r="R3" i="2"/>
  <c r="R19" i="2"/>
  <c r="N33" i="6"/>
  <c r="B39" i="2"/>
  <c r="B41" i="2"/>
  <c r="G3" i="2"/>
  <c r="G19" i="2"/>
  <c r="Z3" i="2"/>
  <c r="Z19" i="2"/>
  <c r="O3" i="2"/>
  <c r="O19" i="2"/>
  <c r="O29" i="2"/>
  <c r="O33" i="2"/>
  <c r="E33" i="3"/>
  <c r="C39" i="2"/>
  <c r="D32" i="3"/>
  <c r="C41" i="2"/>
  <c r="D33" i="6"/>
  <c r="E32" i="3"/>
  <c r="BA40" i="6"/>
  <c r="BF40" i="6"/>
  <c r="BF31" i="6"/>
  <c r="AX40" i="6"/>
  <c r="BE14" i="5"/>
  <c r="BE36" i="6"/>
  <c r="AW36" i="6"/>
  <c r="BB34" i="6"/>
  <c r="AT34" i="6"/>
  <c r="AY29" i="6"/>
  <c r="AX28" i="6"/>
  <c r="BD27" i="6"/>
  <c r="AV27" i="6"/>
  <c r="BB37" i="5"/>
  <c r="AT37" i="5"/>
  <c r="AS40" i="6"/>
  <c r="Y29" i="6"/>
  <c r="Z27" i="6"/>
  <c r="P35" i="6"/>
  <c r="Q34" i="6"/>
  <c r="T37" i="5"/>
  <c r="AK37" i="5"/>
  <c r="AJ37" i="5"/>
  <c r="AK31" i="6"/>
  <c r="AN37" i="5"/>
  <c r="AO40" i="6"/>
  <c r="AO37" i="5"/>
  <c r="AP40" i="6"/>
  <c r="AH27" i="6"/>
  <c r="AO38" i="6"/>
  <c r="AM37" i="5"/>
  <c r="AI43" i="5"/>
  <c r="N39" i="6"/>
  <c r="AF37" i="5"/>
  <c r="AA37" i="5"/>
  <c r="AB38" i="6"/>
  <c r="AJ28" i="6"/>
  <c r="U38" i="6"/>
  <c r="U40" i="6"/>
  <c r="AO31" i="6"/>
  <c r="J35" i="6"/>
  <c r="C37" i="5"/>
  <c r="AH37" i="5"/>
  <c r="AN43" i="5"/>
  <c r="W40" i="6"/>
  <c r="AB37" i="5"/>
  <c r="AB31" i="6"/>
  <c r="N37" i="5"/>
  <c r="Y25" i="5"/>
  <c r="AG29" i="6"/>
  <c r="AK27" i="6"/>
  <c r="AP37" i="5"/>
  <c r="AO28" i="6"/>
  <c r="AK35" i="6"/>
  <c r="F37" i="5"/>
  <c r="AJ27" i="6"/>
  <c r="AP43" i="5"/>
  <c r="AI27" i="6"/>
  <c r="AL39" i="6"/>
  <c r="M37" i="5"/>
  <c r="Y43" i="5"/>
  <c r="V34" i="6"/>
  <c r="W43" i="5"/>
  <c r="V28" i="6"/>
  <c r="AD43" i="5"/>
  <c r="AM28" i="6"/>
  <c r="O35" i="6"/>
  <c r="X14" i="5"/>
  <c r="X11" i="5"/>
  <c r="Z37" i="5"/>
  <c r="AA40" i="6"/>
  <c r="AE37" i="5"/>
  <c r="AO25" i="5"/>
  <c r="AH34" i="6"/>
  <c r="I37" i="5"/>
  <c r="AA43" i="5"/>
  <c r="AC27" i="6"/>
  <c r="AG37" i="5"/>
  <c r="AH40" i="6"/>
  <c r="AI28" i="6"/>
  <c r="BF3" i="2"/>
  <c r="BF19" i="2"/>
  <c r="BF29" i="2"/>
  <c r="BF33" i="2"/>
  <c r="S29" i="6"/>
  <c r="AE28" i="6"/>
  <c r="AH25" i="5"/>
  <c r="AL19" i="6"/>
  <c r="AT19" i="6"/>
  <c r="C25" i="5"/>
  <c r="AN25" i="5"/>
  <c r="AA27" i="6"/>
  <c r="AD28" i="6"/>
  <c r="BB19" i="6"/>
  <c r="BG18" i="6"/>
  <c r="BC19" i="6"/>
  <c r="AU19" i="6"/>
  <c r="AM19" i="6"/>
  <c r="H5" i="6"/>
  <c r="N19" i="6"/>
  <c r="O5" i="6"/>
  <c r="AW29" i="2"/>
  <c r="AW33" i="2"/>
  <c r="BC19" i="2"/>
  <c r="BC29" i="2"/>
  <c r="BC33" i="2"/>
  <c r="BD3" i="2"/>
  <c r="BD19" i="2"/>
  <c r="BD29" i="2"/>
  <c r="BD33" i="2"/>
  <c r="AV3" i="2"/>
  <c r="AV19" i="2"/>
  <c r="AV29" i="2"/>
  <c r="AV33" i="2"/>
  <c r="AT3" i="2"/>
  <c r="AT19" i="2"/>
  <c r="AT29" i="2"/>
  <c r="AT33" i="2"/>
  <c r="AZ3" i="2"/>
  <c r="AZ19" i="2"/>
  <c r="AZ29" i="2"/>
  <c r="AZ33" i="2"/>
  <c r="BE3" i="2"/>
  <c r="BE19" i="2"/>
  <c r="BE29" i="2"/>
  <c r="BE33" i="2"/>
  <c r="AX48" i="1"/>
  <c r="AX26" i="1"/>
  <c r="BB3" i="2"/>
  <c r="BB19" i="2"/>
  <c r="BB29" i="2"/>
  <c r="BB33" i="2"/>
  <c r="BA3" i="2"/>
  <c r="BA19" i="2"/>
  <c r="BA29" i="2"/>
  <c r="BA33" i="2"/>
  <c r="AF40" i="6"/>
  <c r="AC38" i="6"/>
  <c r="AE38" i="6"/>
  <c r="O40" i="6"/>
  <c r="Y40" i="6"/>
  <c r="AE40" i="6"/>
  <c r="U36" i="6"/>
  <c r="S43" i="5"/>
  <c r="M35" i="6"/>
  <c r="AA39" i="6"/>
  <c r="E34" i="3"/>
  <c r="M39" i="6"/>
  <c r="M43" i="5"/>
  <c r="AK43" i="5"/>
  <c r="AL43" i="5"/>
  <c r="T34" i="6"/>
  <c r="G43" i="5"/>
  <c r="Y37" i="5"/>
  <c r="Z40" i="6"/>
  <c r="E43" i="5"/>
  <c r="S37" i="5"/>
  <c r="T38" i="6"/>
  <c r="I39" i="6"/>
  <c r="AA31" i="6"/>
  <c r="N34" i="6"/>
  <c r="V5" i="6"/>
  <c r="V18" i="6"/>
  <c r="O5" i="5"/>
  <c r="P25" i="3"/>
  <c r="P26" i="6"/>
  <c r="N37" i="1"/>
  <c r="N48" i="1"/>
  <c r="AF36" i="6"/>
  <c r="AE18" i="6"/>
  <c r="AE5" i="6"/>
  <c r="AI30" i="5"/>
  <c r="G13" i="6"/>
  <c r="Y15" i="6"/>
  <c r="AJ26" i="1"/>
  <c r="K5" i="6"/>
  <c r="I37" i="1"/>
  <c r="U5" i="5"/>
  <c r="V25" i="3"/>
  <c r="D31" i="5"/>
  <c r="D29" i="6"/>
  <c r="S39" i="6"/>
  <c r="O26" i="1"/>
  <c r="U12" i="6"/>
  <c r="Z29" i="6"/>
  <c r="AH5" i="5"/>
  <c r="AI25" i="3"/>
  <c r="Q13" i="6"/>
  <c r="Q12" i="6"/>
  <c r="Z26" i="1"/>
  <c r="AF5" i="5"/>
  <c r="AG25" i="3"/>
  <c r="AG18" i="6"/>
  <c r="AE37" i="1"/>
  <c r="AE48" i="1"/>
  <c r="P26" i="1"/>
  <c r="R16" i="6"/>
  <c r="P12" i="6"/>
  <c r="AG39" i="6"/>
  <c r="R4" i="1"/>
  <c r="R2" i="1"/>
  <c r="G19" i="6"/>
  <c r="Y37" i="1"/>
  <c r="Y48" i="1"/>
  <c r="C47" i="1"/>
  <c r="D18" i="5"/>
  <c r="E3" i="6"/>
  <c r="O39" i="6"/>
  <c r="M30" i="5"/>
  <c r="Q27" i="6"/>
  <c r="R29" i="6"/>
  <c r="AN37" i="1"/>
  <c r="Q25" i="5"/>
  <c r="R28" i="6"/>
  <c r="AI5" i="5"/>
  <c r="AJ25" i="3"/>
  <c r="AO34" i="5"/>
  <c r="J25" i="5"/>
  <c r="F25" i="5"/>
  <c r="X5" i="6"/>
  <c r="AC25" i="5"/>
  <c r="AF12" i="6"/>
  <c r="AE25" i="5"/>
  <c r="AJ34" i="5"/>
  <c r="AN34" i="5"/>
  <c r="I28" i="6"/>
  <c r="AC30" i="5"/>
  <c r="AE12" i="6"/>
  <c r="AP14" i="5"/>
  <c r="AP11" i="5"/>
  <c r="AQ29" i="3"/>
  <c r="F14" i="5"/>
  <c r="F11" i="5"/>
  <c r="AD12" i="6"/>
  <c r="N14" i="5"/>
  <c r="M28" i="6"/>
  <c r="W25" i="5"/>
  <c r="AD27" i="6"/>
  <c r="AN5" i="5"/>
  <c r="V27" i="6"/>
  <c r="AD25" i="5"/>
  <c r="U29" i="6"/>
  <c r="T29" i="6"/>
  <c r="AE36" i="6"/>
  <c r="N29" i="6"/>
  <c r="Q5" i="6"/>
  <c r="D19" i="3"/>
  <c r="V36" i="6"/>
  <c r="T36" i="6"/>
  <c r="M29" i="6"/>
  <c r="N36" i="6"/>
  <c r="R19" i="6"/>
  <c r="R5" i="6"/>
  <c r="AB27" i="6"/>
  <c r="P11" i="5"/>
  <c r="Q28" i="6"/>
  <c r="T14" i="5"/>
  <c r="H29" i="6"/>
  <c r="J27" i="6"/>
  <c r="AA36" i="6"/>
  <c r="L27" i="6"/>
  <c r="J28" i="6"/>
  <c r="P27" i="6"/>
  <c r="Z36" i="6"/>
  <c r="X29" i="6"/>
  <c r="Y36" i="6"/>
  <c r="AL25" i="5"/>
  <c r="AL14" i="5"/>
  <c r="AL11" i="5"/>
  <c r="AM29" i="3"/>
  <c r="AJ14" i="5"/>
  <c r="AJ11" i="5"/>
  <c r="J29" i="6"/>
  <c r="S19" i="6"/>
  <c r="AD14" i="5"/>
  <c r="AD11" i="5"/>
  <c r="AG25" i="5"/>
  <c r="U28" i="6"/>
  <c r="D27" i="6"/>
  <c r="K29" i="6"/>
  <c r="U14" i="5"/>
  <c r="U11" i="5"/>
  <c r="V29" i="3"/>
  <c r="O36" i="6"/>
  <c r="R27" i="6"/>
  <c r="W19" i="6"/>
  <c r="AA28" i="6"/>
  <c r="AB28" i="6"/>
  <c r="AF29" i="6"/>
  <c r="AJ25" i="5"/>
  <c r="AM25" i="5"/>
  <c r="AT40" i="6"/>
  <c r="BA31" i="6"/>
  <c r="AS31" i="6"/>
  <c r="AG40" i="6"/>
  <c r="O26" i="6"/>
  <c r="AL38" i="6"/>
  <c r="AL40" i="6"/>
  <c r="O38" i="6"/>
  <c r="N31" i="6"/>
  <c r="AI38" i="6"/>
  <c r="AK40" i="6"/>
  <c r="AP31" i="6"/>
  <c r="AQ38" i="6"/>
  <c r="J40" i="6"/>
  <c r="AK38" i="6"/>
  <c r="J38" i="6"/>
  <c r="AI26" i="6"/>
  <c r="T31" i="6"/>
  <c r="Y31" i="6"/>
  <c r="D28" i="3"/>
  <c r="AB24" i="6"/>
  <c r="AB17" i="6"/>
  <c r="AK4" i="5"/>
  <c r="R14" i="6"/>
  <c r="Q4" i="5"/>
  <c r="AL12" i="5"/>
  <c r="AG19" i="6"/>
  <c r="AV5" i="6"/>
  <c r="AC19" i="6"/>
  <c r="Z19" i="6"/>
  <c r="M5" i="6"/>
  <c r="L5" i="6"/>
  <c r="Y5" i="6"/>
  <c r="CE9" i="6"/>
  <c r="CC10" i="6"/>
  <c r="CB29" i="2"/>
  <c r="CB33" i="2"/>
  <c r="CE10" i="6"/>
  <c r="CD29" i="2"/>
  <c r="CD33" i="2"/>
  <c r="R29" i="2"/>
  <c r="R33" i="2"/>
  <c r="T10" i="6"/>
  <c r="I30" i="3"/>
  <c r="I39" i="3"/>
  <c r="I40" i="6"/>
  <c r="I38" i="6"/>
  <c r="I31" i="6"/>
  <c r="M30" i="3"/>
  <c r="M39" i="3"/>
  <c r="M40" i="6"/>
  <c r="BE35" i="2"/>
  <c r="BE37" i="2"/>
  <c r="BG9" i="3"/>
  <c r="AQ9" i="3"/>
  <c r="K39" i="3"/>
  <c r="K30" i="3"/>
  <c r="K40" i="6"/>
  <c r="J31" i="6"/>
  <c r="J32" i="3"/>
  <c r="I33" i="6"/>
  <c r="H41" i="2"/>
  <c r="L29" i="2"/>
  <c r="L33" i="2"/>
  <c r="N10" i="6"/>
  <c r="X30" i="3"/>
  <c r="X39" i="3"/>
  <c r="X38" i="6"/>
  <c r="X31" i="6"/>
  <c r="X40" i="6"/>
  <c r="W31" i="6"/>
  <c r="AH4" i="5"/>
  <c r="AI14" i="3"/>
  <c r="AI20" i="3"/>
  <c r="AI22" i="3"/>
  <c r="AI23" i="3"/>
  <c r="AI6" i="3"/>
  <c r="AI4" i="3"/>
  <c r="AZ30" i="3"/>
  <c r="AZ39" i="3"/>
  <c r="AY40" i="6"/>
  <c r="AX31" i="6"/>
  <c r="K12" i="5"/>
  <c r="L29" i="3"/>
  <c r="G17" i="6"/>
  <c r="T35" i="2"/>
  <c r="T37" i="2"/>
  <c r="AF16" i="6"/>
  <c r="AF20" i="3"/>
  <c r="AF22" i="3"/>
  <c r="AF14" i="3"/>
  <c r="AF23" i="3"/>
  <c r="AF4" i="3"/>
  <c r="AF6" i="3"/>
  <c r="AF15" i="6"/>
  <c r="AF17" i="6"/>
  <c r="AF24" i="6"/>
  <c r="AF23" i="6"/>
  <c r="AF6" i="6"/>
  <c r="AF4" i="6"/>
  <c r="AF14" i="6"/>
  <c r="AE4" i="5"/>
  <c r="F29" i="2"/>
  <c r="F33" i="2"/>
  <c r="H10" i="6"/>
  <c r="AM30" i="3"/>
  <c r="AM39" i="3"/>
  <c r="AM40" i="6"/>
  <c r="AL31" i="6"/>
  <c r="AM38" i="6"/>
  <c r="BF35" i="2"/>
  <c r="BF37" i="2"/>
  <c r="O35" i="2"/>
  <c r="O37" i="2"/>
  <c r="AB10" i="6"/>
  <c r="Z29" i="2"/>
  <c r="Z33" i="2"/>
  <c r="E35" i="2"/>
  <c r="E37" i="2"/>
  <c r="F30" i="3"/>
  <c r="F39" i="3"/>
  <c r="F40" i="6"/>
  <c r="F38" i="6"/>
  <c r="BD35" i="2"/>
  <c r="BD37" i="2"/>
  <c r="X12" i="5"/>
  <c r="Y29" i="3"/>
  <c r="I10" i="6"/>
  <c r="G29" i="2"/>
  <c r="G33" i="2"/>
  <c r="N35" i="2"/>
  <c r="N37" i="2"/>
  <c r="V29" i="2"/>
  <c r="V33" i="2"/>
  <c r="X10" i="6"/>
  <c r="AK29" i="3"/>
  <c r="AJ12" i="5"/>
  <c r="AM9" i="3"/>
  <c r="R10" i="6"/>
  <c r="P29" i="2"/>
  <c r="P33" i="2"/>
  <c r="N29" i="3"/>
  <c r="M12" i="5"/>
  <c r="Q6" i="6"/>
  <c r="Q14" i="3"/>
  <c r="Q4" i="3"/>
  <c r="Q23" i="3"/>
  <c r="Q20" i="3"/>
  <c r="Q6" i="3"/>
  <c r="Q22" i="3"/>
  <c r="AZ22" i="3"/>
  <c r="AZ23" i="3"/>
  <c r="AZ20" i="3"/>
  <c r="AZ6" i="3"/>
  <c r="AZ14" i="3"/>
  <c r="AZ4" i="3"/>
  <c r="U35" i="2"/>
  <c r="U37" i="2"/>
  <c r="AC12" i="3"/>
  <c r="AC13" i="3"/>
  <c r="AK12" i="3"/>
  <c r="AK13" i="3"/>
  <c r="AL37" i="1"/>
  <c r="AN18" i="3"/>
  <c r="AN5" i="3"/>
  <c r="AR30" i="3"/>
  <c r="AR39" i="3"/>
  <c r="AR40" i="6"/>
  <c r="AQ18" i="3"/>
  <c r="AQ5" i="3"/>
  <c r="AP5" i="5"/>
  <c r="AQ25" i="3"/>
  <c r="AS33" i="3"/>
  <c r="AS34" i="6"/>
  <c r="BR21" i="3"/>
  <c r="BR5" i="3"/>
  <c r="BR18" i="3"/>
  <c r="BJ5" i="3"/>
  <c r="BJ18" i="3"/>
  <c r="BR47" i="1"/>
  <c r="BT3" i="3"/>
  <c r="Q15" i="6"/>
  <c r="E28" i="3"/>
  <c r="AQ31" i="6"/>
  <c r="K36" i="6"/>
  <c r="Z31" i="6"/>
  <c r="AF31" i="6"/>
  <c r="AF30" i="3"/>
  <c r="AF39" i="3"/>
  <c r="AK30" i="3"/>
  <c r="AK39" i="3"/>
  <c r="AQ30" i="3"/>
  <c r="AQ39" i="3"/>
  <c r="AB40" i="6"/>
  <c r="AO30" i="3"/>
  <c r="AO39" i="3"/>
  <c r="N37" i="3"/>
  <c r="S32" i="3"/>
  <c r="F12" i="3"/>
  <c r="I33" i="3"/>
  <c r="I34" i="6"/>
  <c r="G5" i="6"/>
  <c r="G18" i="3"/>
  <c r="F5" i="5"/>
  <c r="G25" i="3"/>
  <c r="G18" i="6"/>
  <c r="G5" i="3"/>
  <c r="J12" i="3"/>
  <c r="J13" i="3"/>
  <c r="J15" i="3"/>
  <c r="I32" i="3"/>
  <c r="G41" i="2"/>
  <c r="F10" i="3"/>
  <c r="K34" i="5"/>
  <c r="L17" i="3"/>
  <c r="J39" i="2"/>
  <c r="S34" i="5"/>
  <c r="Q39" i="5"/>
  <c r="Q37" i="5"/>
  <c r="Q35" i="3"/>
  <c r="Z5" i="3"/>
  <c r="Z18" i="3"/>
  <c r="Y5" i="5"/>
  <c r="Z25" i="3"/>
  <c r="Z18" i="6"/>
  <c r="U37" i="3"/>
  <c r="V47" i="5"/>
  <c r="W10" i="3"/>
  <c r="Z37" i="3"/>
  <c r="AB37" i="3"/>
  <c r="AE37" i="3"/>
  <c r="AE30" i="3"/>
  <c r="AE39" i="3"/>
  <c r="AI21" i="3"/>
  <c r="AI18" i="3"/>
  <c r="AG37" i="1"/>
  <c r="AG48" i="1"/>
  <c r="AI5" i="3"/>
  <c r="AF33" i="3"/>
  <c r="AF34" i="6"/>
  <c r="AX18" i="3"/>
  <c r="AX5" i="3"/>
  <c r="AT29" i="6"/>
  <c r="AV28" i="3"/>
  <c r="AA18" i="3"/>
  <c r="AA5" i="3"/>
  <c r="E36" i="6"/>
  <c r="Q50" i="1"/>
  <c r="R14" i="3"/>
  <c r="R4" i="3"/>
  <c r="R23" i="3"/>
  <c r="R20" i="3"/>
  <c r="R6" i="3"/>
  <c r="R22" i="3"/>
  <c r="AH36" i="6"/>
  <c r="N30" i="3"/>
  <c r="N39" i="3"/>
  <c r="AK36" i="6"/>
  <c r="AI33" i="2"/>
  <c r="AI35" i="2"/>
  <c r="AI37" i="2"/>
  <c r="P37" i="3"/>
  <c r="Q38" i="3"/>
  <c r="P37" i="5"/>
  <c r="Y33" i="3"/>
  <c r="Y34" i="6"/>
  <c r="AC34" i="3"/>
  <c r="AC35" i="6"/>
  <c r="AG13" i="3"/>
  <c r="AG12" i="3"/>
  <c r="AK28" i="6"/>
  <c r="AL27" i="3"/>
  <c r="AK37" i="3"/>
  <c r="AR28" i="6"/>
  <c r="AR27" i="3"/>
  <c r="BB35" i="3"/>
  <c r="BA36" i="6"/>
  <c r="AZ34" i="3"/>
  <c r="AY35" i="6"/>
  <c r="BF33" i="3"/>
  <c r="BE34" i="6"/>
  <c r="AU27" i="3"/>
  <c r="AS28" i="6"/>
  <c r="BL12" i="3"/>
  <c r="BL13" i="3"/>
  <c r="BO34" i="5"/>
  <c r="BP16" i="3"/>
  <c r="BG34" i="5"/>
  <c r="BL33" i="2"/>
  <c r="AP12" i="5"/>
  <c r="R6" i="6"/>
  <c r="AG31" i="6"/>
  <c r="AQ40" i="6"/>
  <c r="Q26" i="6"/>
  <c r="D5" i="6"/>
  <c r="H43" i="5"/>
  <c r="AE31" i="6"/>
  <c r="AQ28" i="6"/>
  <c r="AJ29" i="6"/>
  <c r="P38" i="6"/>
  <c r="O43" i="5"/>
  <c r="AU39" i="3"/>
  <c r="AU30" i="3"/>
  <c r="E34" i="6"/>
  <c r="Y6" i="6"/>
  <c r="Y14" i="3"/>
  <c r="Y4" i="3"/>
  <c r="Y6" i="3"/>
  <c r="Y23" i="3"/>
  <c r="Y20" i="3"/>
  <c r="Y22" i="3"/>
  <c r="H33" i="6"/>
  <c r="G10" i="6"/>
  <c r="J12" i="6"/>
  <c r="G37" i="5"/>
  <c r="H37" i="3"/>
  <c r="D42" i="2"/>
  <c r="X29" i="2"/>
  <c r="X33" i="2"/>
  <c r="U35" i="6"/>
  <c r="C4" i="2"/>
  <c r="H17" i="3"/>
  <c r="X5" i="3"/>
  <c r="X18" i="3"/>
  <c r="X21" i="3"/>
  <c r="V37" i="1"/>
  <c r="AC37" i="5"/>
  <c r="AD38" i="6"/>
  <c r="AG13" i="6"/>
  <c r="AH16" i="3"/>
  <c r="AI26" i="1"/>
  <c r="AH35" i="6"/>
  <c r="AH34" i="3"/>
  <c r="AI37" i="5"/>
  <c r="AJ37" i="3"/>
  <c r="AV18" i="3"/>
  <c r="AT37" i="1"/>
  <c r="AT48" i="1"/>
  <c r="AV5" i="3"/>
  <c r="AX34" i="6"/>
  <c r="BN10" i="3"/>
  <c r="BR28" i="3"/>
  <c r="BR36" i="6"/>
  <c r="BJ28" i="3"/>
  <c r="BJ36" i="6"/>
  <c r="BT47" i="5"/>
  <c r="O9" i="3"/>
  <c r="J43" i="5"/>
  <c r="K37" i="3"/>
  <c r="Q3" i="2"/>
  <c r="R39" i="5"/>
  <c r="R37" i="5"/>
  <c r="Q22" i="6"/>
  <c r="AA30" i="3"/>
  <c r="AA39" i="3"/>
  <c r="AR31" i="6"/>
  <c r="P30" i="3"/>
  <c r="P39" i="3"/>
  <c r="S12" i="3"/>
  <c r="S13" i="3"/>
  <c r="V10" i="3"/>
  <c r="AA10" i="3"/>
  <c r="Z47" i="5"/>
  <c r="AA10" i="6"/>
  <c r="R23" i="6"/>
  <c r="AA5" i="6"/>
  <c r="AM5" i="5"/>
  <c r="T12" i="3"/>
  <c r="T13" i="3"/>
  <c r="AB36" i="6"/>
  <c r="G30" i="3"/>
  <c r="G39" i="3"/>
  <c r="AI39" i="3"/>
  <c r="AI30" i="3"/>
  <c r="AG30" i="3"/>
  <c r="AG39" i="3"/>
  <c r="AL30" i="3"/>
  <c r="AL39" i="3"/>
  <c r="BC39" i="3"/>
  <c r="BC30" i="3"/>
  <c r="AA33" i="2"/>
  <c r="AI9" i="3"/>
  <c r="H32" i="3"/>
  <c r="F41" i="2"/>
  <c r="AB35" i="2"/>
  <c r="AB37" i="2"/>
  <c r="AB18" i="3"/>
  <c r="AB21" i="3"/>
  <c r="AB5" i="3"/>
  <c r="H27" i="6"/>
  <c r="I26" i="3"/>
  <c r="I3" i="2"/>
  <c r="I19" i="2"/>
  <c r="I29" i="2"/>
  <c r="I33" i="2"/>
  <c r="L18" i="3"/>
  <c r="L21" i="3"/>
  <c r="L5" i="3"/>
  <c r="J3" i="2"/>
  <c r="K39" i="5"/>
  <c r="K37" i="5"/>
  <c r="M32" i="3"/>
  <c r="Q13" i="3"/>
  <c r="Q15" i="3"/>
  <c r="Q12" i="3"/>
  <c r="R34" i="5"/>
  <c r="Q18" i="6"/>
  <c r="Q5" i="3"/>
  <c r="Q18" i="3"/>
  <c r="Q21" i="3"/>
  <c r="R47" i="1"/>
  <c r="T3" i="3"/>
  <c r="T19" i="3"/>
  <c r="O10" i="3"/>
  <c r="P33" i="3"/>
  <c r="P34" i="6"/>
  <c r="O38" i="3"/>
  <c r="W5" i="6"/>
  <c r="W18" i="3"/>
  <c r="W21" i="3"/>
  <c r="W5" i="3"/>
  <c r="Z13" i="6"/>
  <c r="Z12" i="3"/>
  <c r="Z13" i="3"/>
  <c r="Y34" i="3"/>
  <c r="Y35" i="6"/>
  <c r="Y30" i="3"/>
  <c r="Y39" i="3"/>
  <c r="AB35" i="3"/>
  <c r="AA14" i="5"/>
  <c r="AA11" i="5"/>
  <c r="AB29" i="3"/>
  <c r="AO38" i="3"/>
  <c r="BF10" i="3"/>
  <c r="BF11" i="3"/>
  <c r="AX10" i="3"/>
  <c r="BE13" i="3"/>
  <c r="BE12" i="3"/>
  <c r="AW13" i="3"/>
  <c r="AW12" i="3"/>
  <c r="AW15" i="3"/>
  <c r="BA17" i="3"/>
  <c r="BC18" i="3"/>
  <c r="BC5" i="3"/>
  <c r="BS38" i="3"/>
  <c r="BK38" i="3"/>
  <c r="AN26" i="6"/>
  <c r="AO25" i="3"/>
  <c r="AN30" i="3"/>
  <c r="AN39" i="3"/>
  <c r="J33" i="3"/>
  <c r="J34" i="6"/>
  <c r="J34" i="5"/>
  <c r="K17" i="3"/>
  <c r="S26" i="5"/>
  <c r="AE5" i="5"/>
  <c r="AF25" i="3"/>
  <c r="AF18" i="3"/>
  <c r="AF21" i="3"/>
  <c r="AF5" i="3"/>
  <c r="E26" i="1"/>
  <c r="G21" i="3"/>
  <c r="AH30" i="3"/>
  <c r="AH39" i="3"/>
  <c r="Y35" i="2"/>
  <c r="Y37" i="2"/>
  <c r="Q37" i="1"/>
  <c r="Q48" i="1"/>
  <c r="S18" i="3"/>
  <c r="S5" i="3"/>
  <c r="Q11" i="3"/>
  <c r="Q10" i="3"/>
  <c r="P47" i="5"/>
  <c r="O39" i="2"/>
  <c r="R24" i="6"/>
  <c r="E29" i="6"/>
  <c r="AM31" i="6"/>
  <c r="O29" i="6"/>
  <c r="R21" i="6"/>
  <c r="R22" i="6"/>
  <c r="I48" i="1"/>
  <c r="H42" i="2"/>
  <c r="M31" i="6"/>
  <c r="N40" i="6"/>
  <c r="T43" i="5"/>
  <c r="K43" i="5"/>
  <c r="I43" i="5"/>
  <c r="J37" i="3"/>
  <c r="AA29" i="6"/>
  <c r="V10" i="6"/>
  <c r="O37" i="3"/>
  <c r="D39" i="5"/>
  <c r="D37" i="5"/>
  <c r="E37" i="3"/>
  <c r="S33" i="2"/>
  <c r="W35" i="2"/>
  <c r="W37" i="2"/>
  <c r="H37" i="1"/>
  <c r="H48" i="1"/>
  <c r="G42" i="2"/>
  <c r="J5" i="3"/>
  <c r="J21" i="3"/>
  <c r="J18" i="3"/>
  <c r="P13" i="3"/>
  <c r="P12" i="3"/>
  <c r="R16" i="3"/>
  <c r="R17" i="3"/>
  <c r="P5" i="3"/>
  <c r="P18" i="3"/>
  <c r="N10" i="3"/>
  <c r="T10" i="3"/>
  <c r="O34" i="3"/>
  <c r="N43" i="5"/>
  <c r="N38" i="3"/>
  <c r="AD34" i="5"/>
  <c r="AF15" i="3"/>
  <c r="AF12" i="3"/>
  <c r="AF13" i="3"/>
  <c r="X38" i="3"/>
  <c r="X25" i="5"/>
  <c r="U25" i="5"/>
  <c r="AL5" i="5"/>
  <c r="AM25" i="3"/>
  <c r="AM5" i="3"/>
  <c r="AM18" i="3"/>
  <c r="AK37" i="1"/>
  <c r="AI35" i="3"/>
  <c r="AN34" i="3"/>
  <c r="AN35" i="6"/>
  <c r="AP11" i="3"/>
  <c r="AP10" i="3"/>
  <c r="AO47" i="5"/>
  <c r="BQ12" i="3"/>
  <c r="BQ13" i="3"/>
  <c r="BI12" i="3"/>
  <c r="BI13" i="3"/>
  <c r="BL34" i="5"/>
  <c r="BQ3" i="2"/>
  <c r="BQ19" i="2"/>
  <c r="BQ29" i="2"/>
  <c r="BQ33" i="2"/>
  <c r="BI3" i="2"/>
  <c r="BI19" i="2"/>
  <c r="BI29" i="2"/>
  <c r="BI33" i="2"/>
  <c r="AC39" i="3"/>
  <c r="AC30" i="3"/>
  <c r="R17" i="6"/>
  <c r="AD12" i="5"/>
  <c r="AE29" i="3"/>
  <c r="P12" i="5"/>
  <c r="Q29" i="3"/>
  <c r="AC12" i="6"/>
  <c r="T30" i="3"/>
  <c r="T39" i="3"/>
  <c r="AE26" i="1"/>
  <c r="AG15" i="3"/>
  <c r="U47" i="5"/>
  <c r="I39" i="2"/>
  <c r="T37" i="3"/>
  <c r="I37" i="3"/>
  <c r="C11" i="2"/>
  <c r="C7" i="2"/>
  <c r="H31" i="6"/>
  <c r="F34" i="3"/>
  <c r="F35" i="6"/>
  <c r="I5" i="3"/>
  <c r="I18" i="3"/>
  <c r="I10" i="3"/>
  <c r="K4" i="2"/>
  <c r="K3" i="2"/>
  <c r="K19" i="2"/>
  <c r="M10" i="3"/>
  <c r="O18" i="3"/>
  <c r="O5" i="3"/>
  <c r="O18" i="6"/>
  <c r="R47" i="5"/>
  <c r="T34" i="3"/>
  <c r="T35" i="6"/>
  <c r="N34" i="3"/>
  <c r="N35" i="6"/>
  <c r="U16" i="3"/>
  <c r="Z17" i="3"/>
  <c r="X12" i="6"/>
  <c r="X13" i="3"/>
  <c r="X12" i="3"/>
  <c r="AB34" i="3"/>
  <c r="AB35" i="6"/>
  <c r="AG16" i="3"/>
  <c r="AG17" i="3"/>
  <c r="AQ34" i="3"/>
  <c r="AQ35" i="6"/>
  <c r="AI37" i="3"/>
  <c r="AY19" i="2"/>
  <c r="AY29" i="2"/>
  <c r="AY33" i="2"/>
  <c r="BA9" i="3"/>
  <c r="BA5" i="3"/>
  <c r="BA18" i="3"/>
  <c r="AY28" i="3"/>
  <c r="AY36" i="6"/>
  <c r="BE28" i="6"/>
  <c r="BG27" i="3"/>
  <c r="AW28" i="6"/>
  <c r="AY27" i="3"/>
  <c r="AD35" i="2"/>
  <c r="AD37" i="2"/>
  <c r="F34" i="5"/>
  <c r="G16" i="3"/>
  <c r="G17" i="3"/>
  <c r="AF10" i="3"/>
  <c r="AF11" i="3"/>
  <c r="Z39" i="3"/>
  <c r="Z30" i="3"/>
  <c r="AB30" i="3"/>
  <c r="AB39" i="3"/>
  <c r="AF5" i="6"/>
  <c r="G37" i="3"/>
  <c r="R15" i="6"/>
  <c r="Z38" i="6"/>
  <c r="AH31" i="6"/>
  <c r="P36" i="6"/>
  <c r="AF18" i="6"/>
  <c r="AG12" i="6"/>
  <c r="P40" i="6"/>
  <c r="N38" i="6"/>
  <c r="AI29" i="6"/>
  <c r="J30" i="3"/>
  <c r="J39" i="3"/>
  <c r="O30" i="3"/>
  <c r="O39" i="3"/>
  <c r="G16" i="6"/>
  <c r="T12" i="6"/>
  <c r="R4" i="6"/>
  <c r="T40" i="6"/>
  <c r="O31" i="6"/>
  <c r="AI40" i="6"/>
  <c r="AN40" i="6"/>
  <c r="BB40" i="6"/>
  <c r="K27" i="6"/>
  <c r="F12" i="5"/>
  <c r="G29" i="3"/>
  <c r="AG15" i="6"/>
  <c r="AB15" i="6"/>
  <c r="AB22" i="3"/>
  <c r="AB14" i="3"/>
  <c r="AB6" i="3"/>
  <c r="AB23" i="3"/>
  <c r="AB20" i="3"/>
  <c r="AB4" i="3"/>
  <c r="AL4" i="3"/>
  <c r="AL14" i="3"/>
  <c r="AL23" i="3"/>
  <c r="AL20" i="3"/>
  <c r="AL22" i="3"/>
  <c r="AL6" i="3"/>
  <c r="M42" i="2"/>
  <c r="E39" i="6"/>
  <c r="K38" i="6"/>
  <c r="AC40" i="6"/>
  <c r="AC43" i="5"/>
  <c r="AN31" i="6"/>
  <c r="AP30" i="3"/>
  <c r="AP39" i="3"/>
  <c r="U39" i="3"/>
  <c r="U30" i="3"/>
  <c r="E33" i="6"/>
  <c r="L37" i="3"/>
  <c r="Q41" i="2"/>
  <c r="I5" i="5"/>
  <c r="J25" i="3"/>
  <c r="D30" i="1"/>
  <c r="F13" i="3"/>
  <c r="H19" i="2"/>
  <c r="H10" i="3"/>
  <c r="M13" i="3"/>
  <c r="M12" i="3"/>
  <c r="L47" i="5"/>
  <c r="P16" i="3"/>
  <c r="O34" i="5"/>
  <c r="S34" i="3"/>
  <c r="S35" i="6"/>
  <c r="T38" i="3"/>
  <c r="O28" i="6"/>
  <c r="O27" i="3"/>
  <c r="Y11" i="3"/>
  <c r="Y10" i="3"/>
  <c r="X47" i="5"/>
  <c r="U39" i="5"/>
  <c r="U37" i="5"/>
  <c r="Z5" i="5"/>
  <c r="AD37" i="1"/>
  <c r="AD48" i="1"/>
  <c r="AD15" i="3"/>
  <c r="AD12" i="3"/>
  <c r="AD13" i="3"/>
  <c r="AC37" i="3"/>
  <c r="AB14" i="5"/>
  <c r="AB11" i="5"/>
  <c r="AH11" i="3"/>
  <c r="AJ35" i="3"/>
  <c r="AN10" i="3"/>
  <c r="AM47" i="5"/>
  <c r="AX3" i="2"/>
  <c r="AX19" i="2"/>
  <c r="AX29" i="2"/>
  <c r="AX33" i="2"/>
  <c r="AQ19" i="2"/>
  <c r="AQ29" i="2"/>
  <c r="AQ33" i="2"/>
  <c r="BC10" i="3"/>
  <c r="AU10" i="3"/>
  <c r="BB13" i="3"/>
  <c r="BB12" i="3"/>
  <c r="AT13" i="3"/>
  <c r="AT12" i="3"/>
  <c r="AT15" i="3"/>
  <c r="BF16" i="3"/>
  <c r="BE35" i="3"/>
  <c r="AW35" i="3"/>
  <c r="BC34" i="3"/>
  <c r="BB35" i="6"/>
  <c r="AU34" i="3"/>
  <c r="AT35" i="6"/>
  <c r="BA33" i="3"/>
  <c r="AZ34" i="6"/>
  <c r="AW14" i="5"/>
  <c r="BR27" i="6"/>
  <c r="BT26" i="3"/>
  <c r="BJ27" i="6"/>
  <c r="BL26" i="3"/>
  <c r="BV12" i="3"/>
  <c r="BV15" i="3"/>
  <c r="BV13" i="3"/>
  <c r="BV35" i="2"/>
  <c r="BV37" i="2"/>
  <c r="F49" i="7"/>
  <c r="F47" i="7"/>
  <c r="CB11" i="6"/>
  <c r="CA47" i="5"/>
  <c r="CA43" i="5"/>
  <c r="BZ12" i="5"/>
  <c r="F34" i="7"/>
  <c r="F33" i="7"/>
  <c r="F6" i="7"/>
  <c r="J35" i="3"/>
  <c r="K18" i="3"/>
  <c r="K21" i="3"/>
  <c r="R12" i="3"/>
  <c r="R13" i="3"/>
  <c r="R15" i="3"/>
  <c r="R5" i="3"/>
  <c r="R18" i="3"/>
  <c r="R21" i="3"/>
  <c r="P10" i="3"/>
  <c r="P38" i="3"/>
  <c r="U13" i="3"/>
  <c r="U12" i="3"/>
  <c r="Y18" i="3"/>
  <c r="Y21" i="3"/>
  <c r="Y5" i="3"/>
  <c r="U10" i="3"/>
  <c r="X11" i="3"/>
  <c r="X10" i="3"/>
  <c r="W30" i="3"/>
  <c r="W39" i="3"/>
  <c r="AC34" i="5"/>
  <c r="AD39" i="6"/>
  <c r="AE13" i="3"/>
  <c r="AE12" i="3"/>
  <c r="W38" i="3"/>
  <c r="AE35" i="2"/>
  <c r="AE37" i="2"/>
  <c r="AG9" i="3"/>
  <c r="AM17" i="3"/>
  <c r="AJ12" i="3"/>
  <c r="AJ13" i="3"/>
  <c r="AG35" i="3"/>
  <c r="AF38" i="3"/>
  <c r="AF14" i="5"/>
  <c r="AF11" i="5"/>
  <c r="AH28" i="6"/>
  <c r="AH27" i="3"/>
  <c r="AI35" i="6"/>
  <c r="AH14" i="5"/>
  <c r="AH11" i="5"/>
  <c r="AJ35" i="6"/>
  <c r="AM38" i="3"/>
  <c r="AO34" i="6"/>
  <c r="AN38" i="3"/>
  <c r="AP28" i="6"/>
  <c r="AQ27" i="3"/>
  <c r="AO10" i="3"/>
  <c r="AJ10" i="3"/>
  <c r="BB30" i="3"/>
  <c r="BB39" i="3"/>
  <c r="AT30" i="3"/>
  <c r="AT39" i="3"/>
  <c r="BE10" i="3"/>
  <c r="AW10" i="3"/>
  <c r="BD13" i="3"/>
  <c r="BD12" i="3"/>
  <c r="BD15" i="3"/>
  <c r="AV12" i="3"/>
  <c r="AV13" i="3"/>
  <c r="AZ17" i="3"/>
  <c r="AZ16" i="3"/>
  <c r="AW18" i="3"/>
  <c r="AY28" i="6"/>
  <c r="BD35" i="3"/>
  <c r="AV35" i="3"/>
  <c r="AY34" i="6"/>
  <c r="BE38" i="3"/>
  <c r="AW38" i="3"/>
  <c r="BD29" i="6"/>
  <c r="BF28" i="3"/>
  <c r="AV29" i="6"/>
  <c r="AX28" i="3"/>
  <c r="AZ28" i="6"/>
  <c r="BA27" i="3"/>
  <c r="AX27" i="6"/>
  <c r="AZ26" i="3"/>
  <c r="BS15" i="3"/>
  <c r="BS12" i="3"/>
  <c r="BS13" i="3"/>
  <c r="BK12" i="3"/>
  <c r="BK13" i="3"/>
  <c r="BN34" i="5"/>
  <c r="BO16" i="3"/>
  <c r="BS3" i="2"/>
  <c r="BK19" i="2"/>
  <c r="BK29" i="2"/>
  <c r="BK33" i="2"/>
  <c r="BQ5" i="3"/>
  <c r="BQ18" i="3"/>
  <c r="BI5" i="3"/>
  <c r="BI18" i="3"/>
  <c r="BI27" i="6"/>
  <c r="BR38" i="3"/>
  <c r="BJ38" i="3"/>
  <c r="BU13" i="3"/>
  <c r="BU12" i="3"/>
  <c r="BU15" i="3"/>
  <c r="BV37" i="1"/>
  <c r="BV48" i="1"/>
  <c r="BX18" i="3"/>
  <c r="BX5" i="3"/>
  <c r="BU3" i="2"/>
  <c r="BU19" i="2"/>
  <c r="BU29" i="2"/>
  <c r="BU33" i="2"/>
  <c r="BZ10" i="6"/>
  <c r="BZ47" i="5"/>
  <c r="BZ43" i="5"/>
  <c r="BU13" i="6"/>
  <c r="BY47" i="5"/>
  <c r="AE10" i="6"/>
  <c r="AE10" i="3"/>
  <c r="V38" i="3"/>
  <c r="AB38" i="3"/>
  <c r="AC28" i="6"/>
  <c r="AC27" i="3"/>
  <c r="AL17" i="3"/>
  <c r="AL16" i="3"/>
  <c r="AI12" i="3"/>
  <c r="AI13" i="3"/>
  <c r="AI15" i="3"/>
  <c r="AO16" i="3"/>
  <c r="AG36" i="6"/>
  <c r="AF28" i="3"/>
  <c r="AG14" i="5"/>
  <c r="AG11" i="5"/>
  <c r="AH29" i="3"/>
  <c r="AJ43" i="5"/>
  <c r="AK35" i="3"/>
  <c r="AL28" i="6"/>
  <c r="AM27" i="3"/>
  <c r="AO37" i="3"/>
  <c r="AS30" i="3"/>
  <c r="AS39" i="3"/>
  <c r="BD10" i="3"/>
  <c r="AV10" i="3"/>
  <c r="BA26" i="1"/>
  <c r="BC13" i="3"/>
  <c r="BC12" i="3"/>
  <c r="AS26" i="1"/>
  <c r="AU11" i="3"/>
  <c r="AU15" i="3"/>
  <c r="AU13" i="3"/>
  <c r="AU12" i="3"/>
  <c r="BG16" i="3"/>
  <c r="AY16" i="3"/>
  <c r="AP34" i="5"/>
  <c r="AQ16" i="3"/>
  <c r="AQ17" i="3"/>
  <c r="BB18" i="3"/>
  <c r="BB5" i="3"/>
  <c r="BD38" i="3"/>
  <c r="AV38" i="3"/>
  <c r="AW27" i="6"/>
  <c r="AY26" i="3"/>
  <c r="BR12" i="3"/>
  <c r="BR13" i="3"/>
  <c r="BJ12" i="3"/>
  <c r="BJ13" i="3"/>
  <c r="BM34" i="5"/>
  <c r="BR29" i="2"/>
  <c r="BR33" i="2"/>
  <c r="BJ29" i="2"/>
  <c r="BJ33" i="2"/>
  <c r="BP18" i="3"/>
  <c r="BH5" i="3"/>
  <c r="BH18" i="3"/>
  <c r="BU37" i="1"/>
  <c r="BW18" i="3"/>
  <c r="BT19" i="2"/>
  <c r="BT29" i="2"/>
  <c r="BT33" i="2"/>
  <c r="BZ19" i="2"/>
  <c r="BP5" i="3"/>
  <c r="AY5" i="3"/>
  <c r="BO18" i="3"/>
  <c r="BT28" i="6"/>
  <c r="BP38" i="3"/>
  <c r="BH38" i="3"/>
  <c r="BO36" i="6"/>
  <c r="BO28" i="3"/>
  <c r="BS28" i="6"/>
  <c r="BT27" i="3"/>
  <c r="BK28" i="6"/>
  <c r="BL27" i="3"/>
  <c r="BP27" i="6"/>
  <c r="BQ26" i="3"/>
  <c r="BH27" i="6"/>
  <c r="BI26" i="3"/>
  <c r="F40" i="7"/>
  <c r="CA12" i="6"/>
  <c r="CA13" i="6"/>
  <c r="BW16" i="3"/>
  <c r="BV18" i="3"/>
  <c r="BX10" i="6"/>
  <c r="X37" i="3"/>
  <c r="F18" i="4"/>
  <c r="O8" i="6"/>
  <c r="F47" i="4"/>
  <c r="K38" i="3"/>
  <c r="K12" i="3"/>
  <c r="K13" i="3"/>
  <c r="H18" i="6"/>
  <c r="H5" i="3"/>
  <c r="H18" i="3"/>
  <c r="H21" i="3"/>
  <c r="G10" i="3"/>
  <c r="L12" i="6"/>
  <c r="L12" i="3"/>
  <c r="L13" i="3"/>
  <c r="O13" i="3"/>
  <c r="O15" i="3"/>
  <c r="O12" i="3"/>
  <c r="P34" i="5"/>
  <c r="Q16" i="3"/>
  <c r="Q17" i="3"/>
  <c r="O35" i="3"/>
  <c r="U18" i="3"/>
  <c r="V48" i="1"/>
  <c r="V18" i="3"/>
  <c r="Y13" i="3"/>
  <c r="Y12" i="3"/>
  <c r="Y15" i="3"/>
  <c r="AA34" i="5"/>
  <c r="AB16" i="3"/>
  <c r="AB17" i="3"/>
  <c r="AB12" i="3"/>
  <c r="AB13" i="3"/>
  <c r="AB15" i="3"/>
  <c r="AE5" i="3"/>
  <c r="AE18" i="3"/>
  <c r="AC10" i="3"/>
  <c r="AD10" i="3"/>
  <c r="Y35" i="3"/>
  <c r="X35" i="6"/>
  <c r="X34" i="6"/>
  <c r="AA25" i="5"/>
  <c r="AD35" i="3"/>
  <c r="AE34" i="6"/>
  <c r="AG10" i="3"/>
  <c r="AG18" i="3"/>
  <c r="AG21" i="3"/>
  <c r="AH12" i="3"/>
  <c r="AH13" i="3"/>
  <c r="AK5" i="5"/>
  <c r="AL25" i="3"/>
  <c r="AL18" i="3"/>
  <c r="AL21" i="3"/>
  <c r="AL5" i="3"/>
  <c r="AG35" i="6"/>
  <c r="AG27" i="6"/>
  <c r="AH26" i="3"/>
  <c r="AJ38" i="3"/>
  <c r="AN35" i="3"/>
  <c r="AN28" i="6"/>
  <c r="AO27" i="3"/>
  <c r="AM10" i="3"/>
  <c r="AM11" i="3"/>
  <c r="BG30" i="3"/>
  <c r="BG39" i="3"/>
  <c r="AY30" i="3"/>
  <c r="AY39" i="3"/>
  <c r="BB10" i="3"/>
  <c r="AT11" i="3"/>
  <c r="AT10" i="3"/>
  <c r="BA12" i="3"/>
  <c r="BA13" i="3"/>
  <c r="AS12" i="3"/>
  <c r="AS13" i="3"/>
  <c r="AW17" i="3"/>
  <c r="BG18" i="3"/>
  <c r="AU5" i="3"/>
  <c r="AU18" i="3"/>
  <c r="AU21" i="3"/>
  <c r="AZ35" i="6"/>
  <c r="BE4" i="1"/>
  <c r="AR35" i="3"/>
  <c r="AS38" i="3"/>
  <c r="BB38" i="3"/>
  <c r="AT38" i="3"/>
  <c r="AT36" i="6"/>
  <c r="AU28" i="3"/>
  <c r="BP12" i="3"/>
  <c r="BP13" i="3"/>
  <c r="BP15" i="3"/>
  <c r="BH12" i="3"/>
  <c r="BH13" i="3"/>
  <c r="BK34" i="5"/>
  <c r="BP3" i="2"/>
  <c r="BP19" i="2"/>
  <c r="BP29" i="2"/>
  <c r="BP33" i="2"/>
  <c r="BH3" i="2"/>
  <c r="BH19" i="2"/>
  <c r="BH29" i="2"/>
  <c r="BH33" i="2"/>
  <c r="BN18" i="3"/>
  <c r="BH36" i="6"/>
  <c r="BM28" i="6"/>
  <c r="BS35" i="3"/>
  <c r="BK35" i="3"/>
  <c r="BO38" i="3"/>
  <c r="BN36" i="6"/>
  <c r="BN28" i="3"/>
  <c r="BQ28" i="6"/>
  <c r="BS27" i="3"/>
  <c r="BO27" i="6"/>
  <c r="BP26" i="3"/>
  <c r="BX26" i="1"/>
  <c r="BV16" i="3"/>
  <c r="BS37" i="1"/>
  <c r="BU18" i="3"/>
  <c r="BU21" i="3"/>
  <c r="BZ3" i="2"/>
  <c r="F44" i="7"/>
  <c r="F27" i="7"/>
  <c r="F48" i="7"/>
  <c r="F15" i="7"/>
  <c r="BX10" i="3"/>
  <c r="BW10" i="6"/>
  <c r="K5" i="3"/>
  <c r="AG5" i="3"/>
  <c r="BN5" i="3"/>
  <c r="CB17" i="6"/>
  <c r="BO5" i="3"/>
  <c r="U5" i="3"/>
  <c r="V5" i="3"/>
  <c r="AA12" i="3"/>
  <c r="AA13" i="3"/>
  <c r="AD5" i="3"/>
  <c r="AD18" i="3"/>
  <c r="Z10" i="3"/>
  <c r="X35" i="3"/>
  <c r="W27" i="6"/>
  <c r="X26" i="3"/>
  <c r="AC35" i="3"/>
  <c r="AE38" i="3"/>
  <c r="AK5" i="3"/>
  <c r="AK18" i="3"/>
  <c r="AI16" i="3"/>
  <c r="AI17" i="3"/>
  <c r="AP13" i="3"/>
  <c r="AP12" i="3"/>
  <c r="AL34" i="6"/>
  <c r="AO35" i="6"/>
  <c r="AQ38" i="3"/>
  <c r="AQ37" i="3"/>
  <c r="AL10" i="3"/>
  <c r="AS10" i="3"/>
  <c r="AZ12" i="3"/>
  <c r="AZ15" i="3"/>
  <c r="AZ13" i="3"/>
  <c r="AR12" i="3"/>
  <c r="AR13" i="3"/>
  <c r="AV17" i="3"/>
  <c r="BF18" i="3"/>
  <c r="BF21" i="3"/>
  <c r="AZ18" i="3"/>
  <c r="AZ21" i="3"/>
  <c r="AT5" i="3"/>
  <c r="AT18" i="3"/>
  <c r="BF34" i="6"/>
  <c r="BH40" i="6"/>
  <c r="BG20" i="3"/>
  <c r="AR38" i="3"/>
  <c r="AZ35" i="3"/>
  <c r="BA38" i="3"/>
  <c r="AZ29" i="6"/>
  <c r="BB28" i="3"/>
  <c r="BC27" i="6"/>
  <c r="BD26" i="3"/>
  <c r="AT27" i="6"/>
  <c r="AV26" i="3"/>
  <c r="BO12" i="3"/>
  <c r="BO13" i="3"/>
  <c r="BR34" i="5"/>
  <c r="BS17" i="3"/>
  <c r="BJ34" i="5"/>
  <c r="BO3" i="2"/>
  <c r="BO19" i="2"/>
  <c r="BO29" i="2"/>
  <c r="BO33" i="2"/>
  <c r="BG3" i="2"/>
  <c r="BG19" i="2"/>
  <c r="BG29" i="2"/>
  <c r="BG33" i="2"/>
  <c r="BT10" i="3"/>
  <c r="BL10" i="3"/>
  <c r="BM18" i="3"/>
  <c r="BL28" i="6"/>
  <c r="BR35" i="3"/>
  <c r="BJ35" i="3"/>
  <c r="BN38" i="3"/>
  <c r="BU17" i="3"/>
  <c r="BY29" i="2"/>
  <c r="BY33" i="2"/>
  <c r="BW10" i="3"/>
  <c r="BW35" i="3"/>
  <c r="BX38" i="3"/>
  <c r="BV10" i="6"/>
  <c r="BV5" i="3"/>
  <c r="CA19" i="2"/>
  <c r="G44" i="7"/>
  <c r="C5" i="5"/>
  <c r="Y25" i="3"/>
  <c r="D18" i="6"/>
  <c r="F37" i="3"/>
  <c r="F3" i="6"/>
  <c r="F5" i="6"/>
  <c r="F3" i="3"/>
  <c r="K34" i="6"/>
  <c r="I38" i="3"/>
  <c r="I14" i="5"/>
  <c r="I13" i="3"/>
  <c r="I12" i="3"/>
  <c r="J16" i="3"/>
  <c r="N18" i="3"/>
  <c r="N21" i="3"/>
  <c r="P39" i="2"/>
  <c r="R10" i="3"/>
  <c r="M35" i="3"/>
  <c r="R34" i="6"/>
  <c r="S38" i="3"/>
  <c r="S36" i="6"/>
  <c r="R28" i="3"/>
  <c r="O14" i="5"/>
  <c r="O11" i="5"/>
  <c r="P29" i="3"/>
  <c r="Y16" i="3"/>
  <c r="Y17" i="3"/>
  <c r="W13" i="3"/>
  <c r="W12" i="3"/>
  <c r="AC5" i="3"/>
  <c r="AC18" i="3"/>
  <c r="AC21" i="3"/>
  <c r="AB10" i="3"/>
  <c r="W35" i="3"/>
  <c r="W35" i="6"/>
  <c r="W34" i="6"/>
  <c r="Z38" i="3"/>
  <c r="AA34" i="6"/>
  <c r="Z14" i="5"/>
  <c r="Z11" i="5"/>
  <c r="AE35" i="6"/>
  <c r="AD34" i="6"/>
  <c r="AD38" i="3"/>
  <c r="AH37" i="1"/>
  <c r="AH48" i="1"/>
  <c r="AJ18" i="3"/>
  <c r="AJ5" i="3"/>
  <c r="AM15" i="3"/>
  <c r="AM12" i="3"/>
  <c r="AM13" i="3"/>
  <c r="AP18" i="3"/>
  <c r="AP21" i="3"/>
  <c r="AO13" i="3"/>
  <c r="AO12" i="3"/>
  <c r="AI38" i="3"/>
  <c r="AM37" i="3"/>
  <c r="AL35" i="6"/>
  <c r="AQ34" i="6"/>
  <c r="AP38" i="3"/>
  <c r="AQ10" i="3"/>
  <c r="BD37" i="5"/>
  <c r="AV37" i="5"/>
  <c r="BH10" i="3"/>
  <c r="AZ10" i="3"/>
  <c r="AR10" i="3"/>
  <c r="AY12" i="3"/>
  <c r="AY13" i="3"/>
  <c r="AY15" i="3"/>
  <c r="AQ12" i="3"/>
  <c r="AQ13" i="3"/>
  <c r="AU16" i="3"/>
  <c r="AU17" i="3"/>
  <c r="BE18" i="3"/>
  <c r="AS5" i="3"/>
  <c r="AS18" i="3"/>
  <c r="BG3" i="3"/>
  <c r="AR35" i="6"/>
  <c r="AY35" i="3"/>
  <c r="AZ38" i="3"/>
  <c r="BC28" i="6"/>
  <c r="BD27" i="3"/>
  <c r="AT28" i="6"/>
  <c r="BA27" i="6"/>
  <c r="BC26" i="3"/>
  <c r="BN13" i="3"/>
  <c r="BN12" i="3"/>
  <c r="BQ34" i="5"/>
  <c r="BI34" i="5"/>
  <c r="BJ17" i="3"/>
  <c r="BN3" i="2"/>
  <c r="BN19" i="2"/>
  <c r="BN29" i="2"/>
  <c r="BN33" i="2"/>
  <c r="BT18" i="3"/>
  <c r="BL18" i="3"/>
  <c r="BQ35" i="3"/>
  <c r="BI35" i="3"/>
  <c r="BM38" i="3"/>
  <c r="BP28" i="6"/>
  <c r="BQ27" i="3"/>
  <c r="BH28" i="6"/>
  <c r="BI27" i="3"/>
  <c r="BM27" i="6"/>
  <c r="BN26" i="3"/>
  <c r="BX12" i="3"/>
  <c r="BX13" i="3"/>
  <c r="BY37" i="1"/>
  <c r="BY48" i="1"/>
  <c r="CA18" i="6"/>
  <c r="F31" i="7"/>
  <c r="BZ5" i="5"/>
  <c r="BX29" i="2"/>
  <c r="BX33" i="2"/>
  <c r="BX35" i="2"/>
  <c r="BX37" i="2"/>
  <c r="BV11" i="3"/>
  <c r="BV35" i="3"/>
  <c r="BW38" i="3"/>
  <c r="BU10" i="6"/>
  <c r="AW5" i="3"/>
  <c r="BZ11" i="6"/>
  <c r="CB14" i="6"/>
  <c r="CB23" i="6"/>
  <c r="CB24" i="6"/>
  <c r="CA4" i="5"/>
  <c r="CB22" i="6"/>
  <c r="G29" i="7"/>
  <c r="CB21" i="6"/>
  <c r="CA12" i="5"/>
  <c r="G34" i="7"/>
  <c r="G33" i="7"/>
  <c r="AZ5" i="3"/>
  <c r="F13" i="7"/>
  <c r="B3" i="2"/>
  <c r="H38" i="3"/>
  <c r="F27" i="6"/>
  <c r="F26" i="3"/>
  <c r="G12" i="6"/>
  <c r="G13" i="3"/>
  <c r="G15" i="3"/>
  <c r="G12" i="3"/>
  <c r="H13" i="3"/>
  <c r="H12" i="3"/>
  <c r="H34" i="5"/>
  <c r="M18" i="3"/>
  <c r="M5" i="3"/>
  <c r="N13" i="3"/>
  <c r="N15" i="3"/>
  <c r="N12" i="3"/>
  <c r="N17" i="3"/>
  <c r="N39" i="2"/>
  <c r="T35" i="3"/>
  <c r="R38" i="3"/>
  <c r="W34" i="5"/>
  <c r="X16" i="3"/>
  <c r="V13" i="3"/>
  <c r="V12" i="3"/>
  <c r="AE34" i="5"/>
  <c r="AF17" i="3"/>
  <c r="AF16" i="3"/>
  <c r="AC13" i="6"/>
  <c r="U35" i="3"/>
  <c r="Y38" i="3"/>
  <c r="V25" i="5"/>
  <c r="V14" i="5"/>
  <c r="V11" i="5"/>
  <c r="U27" i="6"/>
  <c r="V26" i="3"/>
  <c r="Z25" i="5"/>
  <c r="AC38" i="3"/>
  <c r="AG5" i="5"/>
  <c r="AH25" i="3"/>
  <c r="AH18" i="3"/>
  <c r="AL12" i="3"/>
  <c r="AL15" i="3"/>
  <c r="AL13" i="3"/>
  <c r="AM37" i="1"/>
  <c r="AO18" i="3"/>
  <c r="AN13" i="3"/>
  <c r="AN12" i="3"/>
  <c r="AN15" i="3"/>
  <c r="AD5" i="6"/>
  <c r="AH38" i="3"/>
  <c r="AH43" i="5"/>
  <c r="AL37" i="3"/>
  <c r="AK34" i="6"/>
  <c r="AK33" i="3"/>
  <c r="AI10" i="3"/>
  <c r="AK11" i="3"/>
  <c r="AK10" i="3"/>
  <c r="BC37" i="5"/>
  <c r="AU37" i="5"/>
  <c r="BG10" i="3"/>
  <c r="BG11" i="3"/>
  <c r="AY10" i="3"/>
  <c r="BF12" i="3"/>
  <c r="BF13" i="3"/>
  <c r="BF15" i="3"/>
  <c r="AX12" i="3"/>
  <c r="AX13" i="3"/>
  <c r="BG13" i="6"/>
  <c r="AW26" i="1"/>
  <c r="BB37" i="1"/>
  <c r="BB48" i="1"/>
  <c r="BD18" i="3"/>
  <c r="BD21" i="3"/>
  <c r="BD5" i="3"/>
  <c r="AY21" i="3"/>
  <c r="AY18" i="3"/>
  <c r="AR5" i="3"/>
  <c r="AR18" i="3"/>
  <c r="AS29" i="6"/>
  <c r="AQ25" i="5"/>
  <c r="BF35" i="3"/>
  <c r="AX35" i="3"/>
  <c r="BG38" i="3"/>
  <c r="AY38" i="3"/>
  <c r="AZ27" i="6"/>
  <c r="BB26" i="3"/>
  <c r="BM13" i="3"/>
  <c r="BM15" i="3"/>
  <c r="BM12" i="3"/>
  <c r="BP34" i="5"/>
  <c r="BQ17" i="3"/>
  <c r="BH34" i="5"/>
  <c r="BI17" i="3"/>
  <c r="BM19" i="2"/>
  <c r="BM29" i="2"/>
  <c r="BM33" i="2"/>
  <c r="BR10" i="3"/>
  <c r="BJ10" i="3"/>
  <c r="BS5" i="3"/>
  <c r="BS18" i="3"/>
  <c r="BK5" i="3"/>
  <c r="BK18" i="3"/>
  <c r="BK21" i="3"/>
  <c r="BP36" i="6"/>
  <c r="BS27" i="6"/>
  <c r="BP35" i="3"/>
  <c r="BT38" i="3"/>
  <c r="BL38" i="3"/>
  <c r="BS36" i="6"/>
  <c r="BS28" i="3"/>
  <c r="BK36" i="6"/>
  <c r="BK28" i="3"/>
  <c r="BG28" i="6"/>
  <c r="BH27" i="3"/>
  <c r="BT12" i="3"/>
  <c r="BT13" i="3"/>
  <c r="BW12" i="3"/>
  <c r="BW13" i="3"/>
  <c r="BZ34" i="5"/>
  <c r="F36" i="7"/>
  <c r="BW33" i="2"/>
  <c r="BW35" i="2"/>
  <c r="BW37" i="2"/>
  <c r="BW47" i="5"/>
  <c r="BU35" i="3"/>
  <c r="BV38" i="3"/>
  <c r="BU34" i="5"/>
  <c r="BV5" i="6"/>
  <c r="BE5" i="3"/>
  <c r="F28" i="6"/>
  <c r="H28" i="6"/>
  <c r="L13" i="6"/>
  <c r="L18" i="6"/>
  <c r="K5" i="5"/>
  <c r="L25" i="3"/>
  <c r="J37" i="1"/>
  <c r="J48" i="1"/>
  <c r="K50" i="1"/>
  <c r="AA30" i="5"/>
  <c r="AC39" i="6"/>
  <c r="AB39" i="6"/>
  <c r="AH26" i="1"/>
  <c r="AJ9" i="3"/>
  <c r="AI34" i="5"/>
  <c r="AR29" i="6"/>
  <c r="AQ29" i="6"/>
  <c r="AS36" i="6"/>
  <c r="Q16" i="6"/>
  <c r="Q14" i="6"/>
  <c r="AF11" i="6"/>
  <c r="AB22" i="6"/>
  <c r="AD19" i="6"/>
  <c r="AA5" i="5"/>
  <c r="AB5" i="6"/>
  <c r="AB18" i="6"/>
  <c r="Z37" i="1"/>
  <c r="Z48" i="1"/>
  <c r="AA50" i="1"/>
  <c r="J5" i="5"/>
  <c r="K25" i="3"/>
  <c r="K13" i="6"/>
  <c r="BD19" i="6"/>
  <c r="BD5" i="6"/>
  <c r="AN5" i="6"/>
  <c r="AN19" i="6"/>
  <c r="AU27" i="6"/>
  <c r="Y24" i="6"/>
  <c r="AO29" i="6"/>
  <c r="AQ36" i="6"/>
  <c r="BC36" i="6"/>
  <c r="BD36" i="6"/>
  <c r="BB29" i="6"/>
  <c r="Q24" i="6"/>
  <c r="AB6" i="6"/>
  <c r="AG16" i="6"/>
  <c r="AG6" i="6"/>
  <c r="AG24" i="6"/>
  <c r="AF4" i="5"/>
  <c r="AG24" i="3"/>
  <c r="AG23" i="6"/>
  <c r="AG14" i="6"/>
  <c r="D7" i="5"/>
  <c r="D28" i="6"/>
  <c r="C30" i="1"/>
  <c r="F12" i="6"/>
  <c r="I36" i="6"/>
  <c r="I29" i="6"/>
  <c r="J36" i="6"/>
  <c r="E25" i="5"/>
  <c r="F30" i="5"/>
  <c r="L29" i="6"/>
  <c r="R14" i="5"/>
  <c r="R11" i="5"/>
  <c r="S29" i="3"/>
  <c r="Q14" i="5"/>
  <c r="Q11" i="5"/>
  <c r="R29" i="3"/>
  <c r="P28" i="6"/>
  <c r="P19" i="6"/>
  <c r="P5" i="6"/>
  <c r="AB13" i="6"/>
  <c r="AF27" i="6"/>
  <c r="AE27" i="6"/>
  <c r="AK29" i="6"/>
  <c r="AM36" i="6"/>
  <c r="AL36" i="6"/>
  <c r="AL27" i="6"/>
  <c r="AM27" i="6"/>
  <c r="AP36" i="6"/>
  <c r="AN14" i="5"/>
  <c r="AN11" i="5"/>
  <c r="AO27" i="6"/>
  <c r="AN27" i="6"/>
  <c r="BC37" i="1"/>
  <c r="BC48" i="1"/>
  <c r="BE5" i="6"/>
  <c r="BC29" i="6"/>
  <c r="BT37" i="1"/>
  <c r="BT48" i="1"/>
  <c r="BV18" i="6"/>
  <c r="BU5" i="5"/>
  <c r="BV25" i="3"/>
  <c r="V5" i="5"/>
  <c r="W18" i="6"/>
  <c r="W30" i="5"/>
  <c r="X39" i="6"/>
  <c r="AB4" i="6"/>
  <c r="P4" i="5"/>
  <c r="AF22" i="6"/>
  <c r="AF21" i="6"/>
  <c r="AB14" i="6"/>
  <c r="E12" i="3"/>
  <c r="E17" i="5"/>
  <c r="E14" i="5"/>
  <c r="E11" i="5"/>
  <c r="T5" i="5"/>
  <c r="U13" i="6"/>
  <c r="S37" i="1"/>
  <c r="S48" i="1"/>
  <c r="U18" i="6"/>
  <c r="W14" i="5"/>
  <c r="W11" i="5"/>
  <c r="Y27" i="6"/>
  <c r="X27" i="6"/>
  <c r="AJ39" i="6"/>
  <c r="AH30" i="5"/>
  <c r="BZ15" i="6"/>
  <c r="E5" i="6"/>
  <c r="AP29" i="6"/>
  <c r="E31" i="5"/>
  <c r="F28" i="3"/>
  <c r="G40" i="6"/>
  <c r="F8" i="6"/>
  <c r="D13" i="1"/>
  <c r="G38" i="3"/>
  <c r="H40" i="6"/>
  <c r="L34" i="5"/>
  <c r="K26" i="1"/>
  <c r="R30" i="5"/>
  <c r="P25" i="5"/>
  <c r="AD18" i="6"/>
  <c r="AB37" i="1"/>
  <c r="AB48" i="1"/>
  <c r="AD13" i="6"/>
  <c r="AC5" i="5"/>
  <c r="AJ36" i="6"/>
  <c r="AH29" i="6"/>
  <c r="AU37" i="1"/>
  <c r="AU48" i="1"/>
  <c r="AU49" i="1"/>
  <c r="AW5" i="6"/>
  <c r="AW29" i="6"/>
  <c r="AX36" i="6"/>
  <c r="BO28" i="6"/>
  <c r="BN28" i="6"/>
  <c r="BL27" i="6"/>
  <c r="BK27" i="6"/>
  <c r="BU26" i="1"/>
  <c r="BX9" i="3"/>
  <c r="Q23" i="6"/>
  <c r="Q21" i="6"/>
  <c r="R9" i="6"/>
  <c r="AA4" i="5"/>
  <c r="I27" i="6"/>
  <c r="D14" i="5"/>
  <c r="D11" i="5"/>
  <c r="D12" i="5"/>
  <c r="D12" i="6"/>
  <c r="D12" i="3"/>
  <c r="I34" i="5"/>
  <c r="H26" i="1"/>
  <c r="Y17" i="6"/>
  <c r="AE29" i="6"/>
  <c r="AD29" i="6"/>
  <c r="AB25" i="5"/>
  <c r="AF25" i="5"/>
  <c r="BE26" i="1"/>
  <c r="BG22" i="6"/>
  <c r="AX14" i="5"/>
  <c r="AX11" i="5"/>
  <c r="BN27" i="6"/>
  <c r="X4" i="5"/>
  <c r="Y22" i="6"/>
  <c r="Y23" i="6"/>
  <c r="Y4" i="6"/>
  <c r="Y14" i="6"/>
  <c r="AC14" i="5"/>
  <c r="AC11" i="5"/>
  <c r="AD29" i="3"/>
  <c r="AO30" i="5"/>
  <c r="AQ39" i="6"/>
  <c r="AB23" i="6"/>
  <c r="Q11" i="6"/>
  <c r="AB16" i="6"/>
  <c r="M36" i="6"/>
  <c r="Q17" i="6"/>
  <c r="AG9" i="6"/>
  <c r="AB21" i="6"/>
  <c r="L36" i="6"/>
  <c r="Q4" i="6"/>
  <c r="U37" i="1"/>
  <c r="U48" i="1"/>
  <c r="H13" i="6"/>
  <c r="H12" i="6"/>
  <c r="P30" i="5"/>
  <c r="R39" i="6"/>
  <c r="L26" i="1"/>
  <c r="N16" i="3"/>
  <c r="M34" i="5"/>
  <c r="S25" i="5"/>
  <c r="L14" i="5"/>
  <c r="L11" i="5"/>
  <c r="M29" i="3"/>
  <c r="S27" i="6"/>
  <c r="T27" i="6"/>
  <c r="T30" i="5"/>
  <c r="V39" i="6"/>
  <c r="Y28" i="6"/>
  <c r="X28" i="6"/>
  <c r="AF34" i="5"/>
  <c r="AG17" i="6"/>
  <c r="AL26" i="1"/>
  <c r="AM34" i="5"/>
  <c r="AR36" i="6"/>
  <c r="AQ27" i="6"/>
  <c r="AP27" i="6"/>
  <c r="BV6" i="6"/>
  <c r="BZ6" i="6"/>
  <c r="AN48" i="1"/>
  <c r="K48" i="1"/>
  <c r="J42" i="2"/>
  <c r="I26" i="1"/>
  <c r="K11" i="3"/>
  <c r="AF26" i="1"/>
  <c r="AH16" i="6"/>
  <c r="BW26" i="1"/>
  <c r="BY22" i="6"/>
  <c r="BS48" i="1"/>
  <c r="BU5" i="6"/>
  <c r="BZ19" i="6"/>
  <c r="BJ28" i="6"/>
  <c r="BV26" i="1"/>
  <c r="BZ18" i="6"/>
  <c r="F48" i="1"/>
  <c r="P29" i="6"/>
  <c r="O25" i="5"/>
  <c r="N25" i="5"/>
  <c r="J5" i="6"/>
  <c r="AA13" i="6"/>
  <c r="AH26" i="6"/>
  <c r="AN26" i="1"/>
  <c r="AP15" i="3"/>
  <c r="AM26" i="1"/>
  <c r="AO17" i="3"/>
  <c r="AE14" i="5"/>
  <c r="AE11" i="5"/>
  <c r="AF28" i="6"/>
  <c r="AK25" i="5"/>
  <c r="AI14" i="5"/>
  <c r="AI11" i="5"/>
  <c r="AM29" i="6"/>
  <c r="AM14" i="5"/>
  <c r="AM11" i="5"/>
  <c r="AO14" i="5"/>
  <c r="AO11" i="5"/>
  <c r="BB26" i="1"/>
  <c r="BE9" i="3"/>
  <c r="AT26" i="1"/>
  <c r="AV21" i="6"/>
  <c r="BC26" i="1"/>
  <c r="BF9" i="3"/>
  <c r="AU26" i="1"/>
  <c r="AV26" i="1"/>
  <c r="AW11" i="5"/>
  <c r="BF27" i="6"/>
  <c r="BT26" i="1"/>
  <c r="BV21" i="3"/>
  <c r="BT27" i="6"/>
  <c r="BE11" i="5"/>
  <c r="I25" i="5"/>
  <c r="J14" i="5"/>
  <c r="J11" i="5"/>
  <c r="K29" i="3"/>
  <c r="G14" i="5"/>
  <c r="G11" i="5"/>
  <c r="H29" i="3"/>
  <c r="F26" i="1"/>
  <c r="H21" i="6"/>
  <c r="V26" i="1"/>
  <c r="X15" i="3"/>
  <c r="T25" i="5"/>
  <c r="Y14" i="5"/>
  <c r="Y11" i="5"/>
  <c r="AB29" i="6"/>
  <c r="AY26" i="1"/>
  <c r="AZ26" i="1"/>
  <c r="BR28" i="6"/>
  <c r="BS26" i="1"/>
  <c r="BU11" i="3"/>
  <c r="BZ16" i="6"/>
  <c r="BW48" i="1"/>
  <c r="BY5" i="6"/>
  <c r="K25" i="5"/>
  <c r="AV28" i="6"/>
  <c r="BY16" i="6"/>
  <c r="D25" i="5"/>
  <c r="L25" i="5"/>
  <c r="AL29" i="6"/>
  <c r="AX29" i="6"/>
  <c r="BV13" i="6"/>
  <c r="BW5" i="6"/>
  <c r="BZ4" i="6"/>
  <c r="AG12" i="5"/>
  <c r="AJ30" i="6"/>
  <c r="D29" i="3"/>
  <c r="AH30" i="6"/>
  <c r="AA12" i="5"/>
  <c r="AB30" i="6"/>
  <c r="E19" i="6"/>
  <c r="M11" i="6"/>
  <c r="Q36" i="6"/>
  <c r="S5" i="6"/>
  <c r="AC36" i="6"/>
  <c r="H12" i="5"/>
  <c r="AV14" i="5"/>
  <c r="AV11" i="5"/>
  <c r="I50" i="1"/>
  <c r="J24" i="6"/>
  <c r="AF30" i="6"/>
  <c r="J19" i="6"/>
  <c r="N28" i="6"/>
  <c r="AF37" i="1"/>
  <c r="AF48" i="1"/>
  <c r="D27" i="3"/>
  <c r="I30" i="5"/>
  <c r="K39" i="6"/>
  <c r="J39" i="6"/>
  <c r="I5" i="6"/>
  <c r="I18" i="6"/>
  <c r="G37" i="1"/>
  <c r="H5" i="5"/>
  <c r="I25" i="3"/>
  <c r="BE34" i="5"/>
  <c r="BD26" i="1"/>
  <c r="AG28" i="6"/>
  <c r="J23" i="6"/>
  <c r="AG26" i="6"/>
  <c r="J6" i="6"/>
  <c r="I11" i="5"/>
  <c r="J29" i="3"/>
  <c r="T11" i="5"/>
  <c r="U29" i="3"/>
  <c r="AD36" i="6"/>
  <c r="AC29" i="6"/>
  <c r="N11" i="5"/>
  <c r="O29" i="3"/>
  <c r="N22" i="6"/>
  <c r="N4" i="6"/>
  <c r="N16" i="6"/>
  <c r="N17" i="6"/>
  <c r="N24" i="6"/>
  <c r="N6" i="6"/>
  <c r="N15" i="6"/>
  <c r="N14" i="6"/>
  <c r="N23" i="6"/>
  <c r="M4" i="5"/>
  <c r="E26" i="3"/>
  <c r="E27" i="6"/>
  <c r="D26" i="3"/>
  <c r="D34" i="5"/>
  <c r="Z34" i="5"/>
  <c r="Y26" i="1"/>
  <c r="AA11" i="3"/>
  <c r="AA16" i="6"/>
  <c r="X36" i="6"/>
  <c r="V29" i="6"/>
  <c r="L39" i="6"/>
  <c r="J26" i="1"/>
  <c r="L15" i="3"/>
  <c r="K30" i="5"/>
  <c r="O27" i="6"/>
  <c r="X4" i="6"/>
  <c r="X24" i="6"/>
  <c r="X14" i="6"/>
  <c r="X15" i="6"/>
  <c r="X21" i="6"/>
  <c r="X16" i="6"/>
  <c r="X11" i="6"/>
  <c r="Y9" i="6"/>
  <c r="X17" i="6"/>
  <c r="X23" i="6"/>
  <c r="AL48" i="1"/>
  <c r="AG25" i="6"/>
  <c r="H30" i="6"/>
  <c r="N27" i="6"/>
  <c r="Q29" i="6"/>
  <c r="AK11" i="5"/>
  <c r="AL29" i="3"/>
  <c r="I42" i="2"/>
  <c r="R36" i="6"/>
  <c r="J4" i="6"/>
  <c r="M22" i="6"/>
  <c r="L4" i="5"/>
  <c r="J11" i="6"/>
  <c r="K9" i="6"/>
  <c r="W36" i="6"/>
  <c r="X13" i="6"/>
  <c r="W4" i="5"/>
  <c r="V50" i="1"/>
  <c r="K16" i="6"/>
  <c r="K15" i="6"/>
  <c r="K14" i="6"/>
  <c r="J4" i="5"/>
  <c r="K23" i="6"/>
  <c r="K11" i="6"/>
  <c r="K24" i="6"/>
  <c r="S18" i="6"/>
  <c r="R5" i="5"/>
  <c r="S25" i="3"/>
  <c r="AE39" i="6"/>
  <c r="AD30" i="5"/>
  <c r="AF39" i="6"/>
  <c r="AC26" i="1"/>
  <c r="AE15" i="3"/>
  <c r="AO36" i="6"/>
  <c r="AN29" i="6"/>
  <c r="AN36" i="6"/>
  <c r="V12" i="6"/>
  <c r="U12" i="5"/>
  <c r="U30" i="6"/>
  <c r="J14" i="6"/>
  <c r="J15" i="6"/>
  <c r="W29" i="6"/>
  <c r="X22" i="6"/>
  <c r="Y21" i="6"/>
  <c r="B26" i="1"/>
  <c r="I13" i="6"/>
  <c r="G26" i="1"/>
  <c r="O13" i="6"/>
  <c r="O12" i="6"/>
  <c r="W5" i="5"/>
  <c r="X25" i="3"/>
  <c r="X18" i="6"/>
  <c r="AA26" i="1"/>
  <c r="AC11" i="3"/>
  <c r="D47" i="1"/>
  <c r="R30" i="1"/>
  <c r="S7" i="5"/>
  <c r="T27" i="3"/>
  <c r="Y39" i="6"/>
  <c r="X30" i="5"/>
  <c r="BB27" i="6"/>
  <c r="H26" i="6"/>
  <c r="D13" i="6"/>
  <c r="D13" i="3"/>
  <c r="B48" i="1"/>
  <c r="AC48" i="1"/>
  <c r="Y16" i="6"/>
  <c r="N26" i="1"/>
  <c r="Q9" i="3"/>
  <c r="Q39" i="6"/>
  <c r="G48" i="1"/>
  <c r="S26" i="1"/>
  <c r="V9" i="3"/>
  <c r="T34" i="5"/>
  <c r="AB5" i="5"/>
  <c r="AC25" i="3"/>
  <c r="AA37" i="1"/>
  <c r="AA48" i="1"/>
  <c r="AI36" i="6"/>
  <c r="E3" i="3"/>
  <c r="C8" i="1"/>
  <c r="C26" i="1"/>
  <c r="S12" i="6"/>
  <c r="Q26" i="1"/>
  <c r="S13" i="6"/>
  <c r="N5" i="6"/>
  <c r="M5" i="5"/>
  <c r="N25" i="3"/>
  <c r="L37" i="1"/>
  <c r="L48" i="1"/>
  <c r="N13" i="6"/>
  <c r="T26" i="1"/>
  <c r="V17" i="3"/>
  <c r="U30" i="5"/>
  <c r="AM39" i="6"/>
  <c r="AL30" i="5"/>
  <c r="BA28" i="6"/>
  <c r="BB28" i="6"/>
  <c r="O30" i="5"/>
  <c r="AJ5" i="5"/>
  <c r="AK25" i="3"/>
  <c r="AI37" i="1"/>
  <c r="AI48" i="1"/>
  <c r="O37" i="1"/>
  <c r="O48" i="1"/>
  <c r="X26" i="1"/>
  <c r="Z15" i="3"/>
  <c r="BX5" i="5"/>
  <c r="BX4" i="6"/>
  <c r="T3" i="6"/>
  <c r="U5" i="6"/>
  <c r="AJ37" i="1"/>
  <c r="AJ48" i="1"/>
  <c r="AP39" i="6"/>
  <c r="BG3" i="6"/>
  <c r="AY25" i="5"/>
  <c r="BU48" i="1"/>
  <c r="BU49" i="1"/>
  <c r="BW34" i="5"/>
  <c r="BW5" i="5"/>
  <c r="BX25" i="3"/>
  <c r="BV19" i="6"/>
  <c r="BU16" i="6"/>
  <c r="BY12" i="6"/>
  <c r="BU6" i="6"/>
  <c r="BY34" i="5"/>
  <c r="BY5" i="5"/>
  <c r="BZ17" i="6"/>
  <c r="BZ9" i="6"/>
  <c r="BS49" i="1"/>
  <c r="BV34" i="5"/>
  <c r="BV5" i="5"/>
  <c r="BW25" i="3"/>
  <c r="BV23" i="6"/>
  <c r="BX21" i="6"/>
  <c r="BU19" i="6"/>
  <c r="BY15" i="6"/>
  <c r="BV14" i="6"/>
  <c r="BX12" i="6"/>
  <c r="BV4" i="6"/>
  <c r="BY4" i="5"/>
  <c r="S18" i="5"/>
  <c r="S14" i="5"/>
  <c r="S11" i="5"/>
  <c r="T29" i="3"/>
  <c r="R8" i="1"/>
  <c r="T39" i="6"/>
  <c r="U26" i="1"/>
  <c r="W11" i="3"/>
  <c r="Z39" i="6"/>
  <c r="AY27" i="6"/>
  <c r="BY18" i="6"/>
  <c r="BX15" i="6"/>
  <c r="BW12" i="6"/>
  <c r="BX5" i="6"/>
  <c r="AK48" i="1"/>
  <c r="AM48" i="1"/>
  <c r="AV36" i="6"/>
  <c r="BY26" i="1"/>
  <c r="CA17" i="6"/>
  <c r="BT34" i="5"/>
  <c r="BT5" i="5"/>
  <c r="BU25" i="3"/>
  <c r="BV21" i="6"/>
  <c r="BX18" i="6"/>
  <c r="BW15" i="6"/>
  <c r="BY13" i="6"/>
  <c r="BV12" i="6"/>
  <c r="BZ23" i="6"/>
  <c r="BZ14" i="6"/>
  <c r="BZ5" i="6"/>
  <c r="AU36" i="6"/>
  <c r="AU29" i="6"/>
  <c r="BF28" i="6"/>
  <c r="BV24" i="6"/>
  <c r="BU21" i="6"/>
  <c r="BW18" i="6"/>
  <c r="BV15" i="6"/>
  <c r="BX13" i="6"/>
  <c r="BU12" i="6"/>
  <c r="BZ22" i="6"/>
  <c r="BZ13" i="6"/>
  <c r="Z12" i="6"/>
  <c r="E37" i="1"/>
  <c r="E48" i="1"/>
  <c r="E50" i="1"/>
  <c r="R13" i="6"/>
  <c r="Y34" i="5"/>
  <c r="Z28" i="6"/>
  <c r="AK39" i="6"/>
  <c r="AR27" i="6"/>
  <c r="AZ36" i="6"/>
  <c r="BB25" i="5"/>
  <c r="AT25" i="5"/>
  <c r="BW49" i="1"/>
  <c r="BX48" i="1"/>
  <c r="BX49" i="1"/>
  <c r="BW13" i="6"/>
  <c r="BZ12" i="6"/>
  <c r="BY43" i="5"/>
  <c r="BY37" i="5"/>
  <c r="BY25" i="5"/>
  <c r="BY14" i="5"/>
  <c r="BY11" i="5"/>
  <c r="BY12" i="5"/>
  <c r="BX43" i="5"/>
  <c r="BW43" i="5"/>
  <c r="BV43" i="5"/>
  <c r="BU43" i="5"/>
  <c r="BT43" i="5"/>
  <c r="BX37" i="5"/>
  <c r="BW37" i="5"/>
  <c r="BV37" i="5"/>
  <c r="BU37" i="5"/>
  <c r="BV37" i="3"/>
  <c r="BT37" i="5"/>
  <c r="BX25" i="5"/>
  <c r="BW25" i="5"/>
  <c r="BV25" i="5"/>
  <c r="BU25" i="5"/>
  <c r="BT25" i="5"/>
  <c r="BX14" i="5"/>
  <c r="BX11" i="5"/>
  <c r="BX12" i="5"/>
  <c r="BW14" i="5"/>
  <c r="BW11" i="5"/>
  <c r="BV14" i="5"/>
  <c r="BV11" i="5"/>
  <c r="BU14" i="5"/>
  <c r="BU11" i="5"/>
  <c r="BT14" i="5"/>
  <c r="BT11" i="5"/>
  <c r="BS34" i="5"/>
  <c r="BS19" i="2"/>
  <c r="BU10" i="3"/>
  <c r="BG10" i="6"/>
  <c r="BG47" i="5"/>
  <c r="BT10" i="6"/>
  <c r="BS10" i="6"/>
  <c r="BS47" i="5"/>
  <c r="BR10" i="6"/>
  <c r="BR47" i="5"/>
  <c r="BQ47" i="5"/>
  <c r="BP10" i="6"/>
  <c r="BP47" i="5"/>
  <c r="BO10" i="6"/>
  <c r="BO47" i="5"/>
  <c r="BN10" i="6"/>
  <c r="BN47" i="5"/>
  <c r="BM10" i="6"/>
  <c r="BM47" i="5"/>
  <c r="BL47" i="5"/>
  <c r="BK10" i="6"/>
  <c r="BK47" i="5"/>
  <c r="BJ10" i="6"/>
  <c r="BJ47" i="5"/>
  <c r="BI10" i="6"/>
  <c r="BI47" i="5"/>
  <c r="BH10" i="6"/>
  <c r="BH47" i="5"/>
  <c r="BS5" i="5"/>
  <c r="BT25" i="3"/>
  <c r="BT18" i="6"/>
  <c r="BR37" i="1"/>
  <c r="BR5" i="5"/>
  <c r="BS25" i="3"/>
  <c r="BS5" i="6"/>
  <c r="BS18" i="6"/>
  <c r="BQ37" i="1"/>
  <c r="BQ48" i="1"/>
  <c r="BQ5" i="5"/>
  <c r="BR25" i="3"/>
  <c r="BR5" i="6"/>
  <c r="BR18" i="6"/>
  <c r="BP37" i="1"/>
  <c r="BP48" i="1"/>
  <c r="BP5" i="5"/>
  <c r="BQ25" i="3"/>
  <c r="BQ5" i="6"/>
  <c r="BQ18" i="6"/>
  <c r="BO37" i="1"/>
  <c r="BO48" i="1"/>
  <c r="BO5" i="5"/>
  <c r="BP25" i="3"/>
  <c r="BP5" i="6"/>
  <c r="BP18" i="6"/>
  <c r="BN37" i="1"/>
  <c r="BN48" i="1"/>
  <c r="BN5" i="5"/>
  <c r="BO25" i="3"/>
  <c r="BO5" i="6"/>
  <c r="BO18" i="6"/>
  <c r="BM37" i="1"/>
  <c r="BM48" i="1"/>
  <c r="BM5" i="5"/>
  <c r="BN25" i="3"/>
  <c r="BN5" i="6"/>
  <c r="BN18" i="6"/>
  <c r="BL37" i="1"/>
  <c r="BL48" i="1"/>
  <c r="BL5" i="5"/>
  <c r="BM25" i="3"/>
  <c r="BM5" i="6"/>
  <c r="BM18" i="6"/>
  <c r="BK37" i="1"/>
  <c r="BK48" i="1"/>
  <c r="BK5" i="5"/>
  <c r="BL25" i="3"/>
  <c r="BL5" i="6"/>
  <c r="BL18" i="6"/>
  <c r="BJ37" i="1"/>
  <c r="BJ48" i="1"/>
  <c r="BJ5" i="5"/>
  <c r="BK25" i="3"/>
  <c r="BK5" i="6"/>
  <c r="BK18" i="6"/>
  <c r="BI37" i="1"/>
  <c r="BI48" i="1"/>
  <c r="BI5" i="5"/>
  <c r="BJ25" i="3"/>
  <c r="BJ5" i="6"/>
  <c r="BJ18" i="6"/>
  <c r="BH37" i="1"/>
  <c r="BH48" i="1"/>
  <c r="BH5" i="5"/>
  <c r="BI25" i="3"/>
  <c r="BI5" i="6"/>
  <c r="BI18" i="6"/>
  <c r="BG37" i="1"/>
  <c r="BG48" i="1"/>
  <c r="BG5" i="5"/>
  <c r="BH25" i="3"/>
  <c r="BH5" i="6"/>
  <c r="BH18" i="6"/>
  <c r="BF37" i="1"/>
  <c r="BF48" i="1"/>
  <c r="BS17" i="5"/>
  <c r="BS14" i="5"/>
  <c r="BS11" i="5"/>
  <c r="BT3" i="6"/>
  <c r="BS30" i="5"/>
  <c r="BT39" i="6"/>
  <c r="BR30" i="5"/>
  <c r="BS39" i="6"/>
  <c r="BQ30" i="5"/>
  <c r="BR39" i="6"/>
  <c r="BP30" i="5"/>
  <c r="BQ39" i="6"/>
  <c r="BO30" i="5"/>
  <c r="BP39" i="6"/>
  <c r="BN30" i="5"/>
  <c r="BO39" i="6"/>
  <c r="BM30" i="5"/>
  <c r="BN39" i="6"/>
  <c r="BL30" i="5"/>
  <c r="BM39" i="6"/>
  <c r="BK30" i="5"/>
  <c r="BL39" i="6"/>
  <c r="BJ30" i="5"/>
  <c r="BK39" i="6"/>
  <c r="BI30" i="5"/>
  <c r="BJ39" i="6"/>
  <c r="BH30" i="5"/>
  <c r="BI39" i="6"/>
  <c r="BG30" i="5"/>
  <c r="BH39" i="6"/>
  <c r="BT12" i="6"/>
  <c r="BT13" i="6"/>
  <c r="BS12" i="6"/>
  <c r="BS13" i="6"/>
  <c r="BQ26" i="1"/>
  <c r="BS11" i="3"/>
  <c r="BR12" i="6"/>
  <c r="BR13" i="6"/>
  <c r="BP26" i="1"/>
  <c r="BR15" i="3"/>
  <c r="BQ12" i="6"/>
  <c r="BQ13" i="6"/>
  <c r="BO26" i="1"/>
  <c r="BP12" i="6"/>
  <c r="BP13" i="6"/>
  <c r="BN26" i="1"/>
  <c r="BP21" i="3"/>
  <c r="BO12" i="6"/>
  <c r="BO13" i="6"/>
  <c r="BM26" i="1"/>
  <c r="BO15" i="3"/>
  <c r="BN12" i="6"/>
  <c r="BN13" i="6"/>
  <c r="BL26" i="1"/>
  <c r="BM12" i="6"/>
  <c r="BM13" i="6"/>
  <c r="BK26" i="1"/>
  <c r="BM17" i="3"/>
  <c r="BL12" i="6"/>
  <c r="BL13" i="6"/>
  <c r="BJ26" i="1"/>
  <c r="BL17" i="3"/>
  <c r="BK12" i="6"/>
  <c r="BK13" i="6"/>
  <c r="BI26" i="1"/>
  <c r="BK17" i="3"/>
  <c r="BJ12" i="6"/>
  <c r="BJ13" i="6"/>
  <c r="BH26" i="1"/>
  <c r="BJ16" i="3"/>
  <c r="BI12" i="6"/>
  <c r="BI13" i="6"/>
  <c r="BG26" i="1"/>
  <c r="BH12" i="6"/>
  <c r="BH13" i="6"/>
  <c r="BF26" i="1"/>
  <c r="BH15" i="3"/>
  <c r="BS43" i="5"/>
  <c r="BR43" i="5"/>
  <c r="BQ43" i="5"/>
  <c r="BP43" i="5"/>
  <c r="BO43" i="5"/>
  <c r="BN43" i="5"/>
  <c r="BM43" i="5"/>
  <c r="BK43" i="5"/>
  <c r="BJ43" i="5"/>
  <c r="BI43" i="5"/>
  <c r="BH43" i="5"/>
  <c r="BG43" i="5"/>
  <c r="BS37" i="5"/>
  <c r="BR37" i="5"/>
  <c r="BQ37" i="5"/>
  <c r="BP37" i="5"/>
  <c r="BO37" i="5"/>
  <c r="BN37" i="5"/>
  <c r="BM37" i="5"/>
  <c r="BL37" i="5"/>
  <c r="BK37" i="5"/>
  <c r="BJ37" i="5"/>
  <c r="BI37" i="5"/>
  <c r="BH37" i="5"/>
  <c r="BG37" i="5"/>
  <c r="BS25" i="5"/>
  <c r="BR25" i="5"/>
  <c r="BQ25" i="5"/>
  <c r="BP25" i="5"/>
  <c r="BO25" i="5"/>
  <c r="BN25" i="5"/>
  <c r="BM25" i="5"/>
  <c r="BL25" i="5"/>
  <c r="BK25" i="5"/>
  <c r="BJ25" i="5"/>
  <c r="BI25" i="5"/>
  <c r="BH25" i="5"/>
  <c r="BG25" i="5"/>
  <c r="BR14" i="5"/>
  <c r="BR11" i="5"/>
  <c r="BQ14" i="5"/>
  <c r="BQ11" i="5"/>
  <c r="BP14" i="5"/>
  <c r="BP11" i="5"/>
  <c r="BO14" i="5"/>
  <c r="BO11" i="5"/>
  <c r="BN14" i="5"/>
  <c r="BN11" i="5"/>
  <c r="BM14" i="5"/>
  <c r="BM11" i="5"/>
  <c r="BL14" i="5"/>
  <c r="BL11" i="5"/>
  <c r="BK14" i="5"/>
  <c r="BK11" i="5"/>
  <c r="BJ14" i="5"/>
  <c r="BJ11" i="5"/>
  <c r="BI14" i="5"/>
  <c r="BI11" i="5"/>
  <c r="BH14" i="5"/>
  <c r="BH11" i="5"/>
  <c r="BG14" i="5"/>
  <c r="BG11" i="5"/>
  <c r="BR26" i="1"/>
  <c r="BT15" i="3"/>
  <c r="AI4" i="6"/>
  <c r="AI6" i="6"/>
  <c r="AI14" i="6"/>
  <c r="AI21" i="6"/>
  <c r="AI23" i="6"/>
  <c r="AI24" i="6"/>
  <c r="AL4" i="6"/>
  <c r="AL14" i="6"/>
  <c r="AL21" i="6"/>
  <c r="AL23" i="6"/>
  <c r="AL24" i="6"/>
  <c r="AL6" i="6"/>
  <c r="AJ21" i="6"/>
  <c r="AJ24" i="6"/>
  <c r="BA35" i="2"/>
  <c r="BA37" i="2"/>
  <c r="BB35" i="2"/>
  <c r="BB37" i="2"/>
  <c r="AV4" i="5"/>
  <c r="AW4" i="6"/>
  <c r="AW6" i="6"/>
  <c r="AW14" i="6"/>
  <c r="AW21" i="6"/>
  <c r="AW23" i="6"/>
  <c r="AW24" i="6"/>
  <c r="BE21" i="6"/>
  <c r="BE24" i="6"/>
  <c r="AX4" i="5"/>
  <c r="AY4" i="6"/>
  <c r="AY6" i="6"/>
  <c r="AY14" i="6"/>
  <c r="AY21" i="6"/>
  <c r="AY23" i="6"/>
  <c r="AY24" i="6"/>
  <c r="AW49" i="1"/>
  <c r="AX14" i="6"/>
  <c r="AX23" i="6"/>
  <c r="AZ4" i="5"/>
  <c r="BA24" i="3"/>
  <c r="BA4" i="6"/>
  <c r="BA6" i="6"/>
  <c r="BA14" i="6"/>
  <c r="BA21" i="6"/>
  <c r="BA23" i="6"/>
  <c r="BA24" i="6"/>
  <c r="AT4" i="5"/>
  <c r="AU14" i="6"/>
  <c r="AU21" i="6"/>
  <c r="AU23" i="6"/>
  <c r="AU24" i="6"/>
  <c r="AU4" i="6"/>
  <c r="AU6" i="6"/>
  <c r="BB4" i="5"/>
  <c r="BC4" i="6"/>
  <c r="BC6" i="6"/>
  <c r="BB6" i="6"/>
  <c r="AY4" i="5"/>
  <c r="AZ24" i="3"/>
  <c r="AZ4" i="6"/>
  <c r="AZ6" i="6"/>
  <c r="AZ14" i="6"/>
  <c r="AZ21" i="6"/>
  <c r="AZ23" i="6"/>
  <c r="AZ24" i="6"/>
  <c r="AX49" i="1"/>
  <c r="AV23" i="6"/>
  <c r="AV24" i="6"/>
  <c r="AV6" i="6"/>
  <c r="BC4" i="5"/>
  <c r="BD4" i="6"/>
  <c r="BD14" i="6"/>
  <c r="BD21" i="6"/>
  <c r="BD23" i="6"/>
  <c r="BD24" i="6"/>
  <c r="BB49" i="1"/>
  <c r="BD6" i="6"/>
  <c r="AZ35" i="2"/>
  <c r="AZ37" i="2"/>
  <c r="AT35" i="2"/>
  <c r="AT37" i="2"/>
  <c r="AV35" i="2"/>
  <c r="AV37" i="2"/>
  <c r="AW9" i="6"/>
  <c r="AU35" i="2"/>
  <c r="AU37" i="2"/>
  <c r="BE9" i="6"/>
  <c r="BC35" i="2"/>
  <c r="BC37" i="2"/>
  <c r="AW35" i="2"/>
  <c r="AW37" i="2"/>
  <c r="BF4" i="5"/>
  <c r="AH21" i="6"/>
  <c r="AH23" i="6"/>
  <c r="AH24" i="6"/>
  <c r="Z9" i="6"/>
  <c r="W50" i="1"/>
  <c r="AO4" i="6"/>
  <c r="AO6" i="6"/>
  <c r="AO14" i="6"/>
  <c r="AO21" i="6"/>
  <c r="AO23" i="6"/>
  <c r="AO24" i="6"/>
  <c r="AN23" i="6"/>
  <c r="AK4" i="6"/>
  <c r="AK24" i="6"/>
  <c r="AI9" i="6"/>
  <c r="AG35" i="2"/>
  <c r="AG37" i="2"/>
  <c r="AJ9" i="6"/>
  <c r="AH35" i="2"/>
  <c r="AH37" i="2"/>
  <c r="AJ35" i="2"/>
  <c r="AJ37" i="2"/>
  <c r="AK35" i="2"/>
  <c r="AK37" i="2"/>
  <c r="AO35" i="2"/>
  <c r="AO37" i="2"/>
  <c r="AL35" i="2"/>
  <c r="AL37" i="2"/>
  <c r="AM35" i="2"/>
  <c r="AM37" i="2"/>
  <c r="AN35" i="2"/>
  <c r="AN37" i="2"/>
  <c r="C43" i="5"/>
  <c r="B19" i="2"/>
  <c r="J19" i="2"/>
  <c r="L10" i="3"/>
  <c r="M26" i="1"/>
  <c r="Q19" i="2"/>
  <c r="S10" i="3"/>
  <c r="U39" i="6"/>
  <c r="W13" i="6"/>
  <c r="AB26" i="1"/>
  <c r="AD16" i="3"/>
  <c r="AF13" i="6"/>
  <c r="AE13" i="6"/>
  <c r="AE47" i="5"/>
  <c r="AF10" i="6"/>
  <c r="AD10" i="6"/>
  <c r="AC29" i="2"/>
  <c r="AC33" i="2"/>
  <c r="AF3" i="2"/>
  <c r="AF19" i="2"/>
  <c r="AF29" i="2"/>
  <c r="AF33" i="2"/>
  <c r="AH9" i="3"/>
  <c r="AH11" i="6"/>
  <c r="AG47" i="5"/>
  <c r="AF47" i="5"/>
  <c r="AG10" i="6"/>
  <c r="AH5" i="6"/>
  <c r="AH18" i="6"/>
  <c r="AH22" i="6"/>
  <c r="AH17" i="6"/>
  <c r="AG34" i="5"/>
  <c r="AH39" i="6"/>
  <c r="AH12" i="6"/>
  <c r="AH13" i="6"/>
  <c r="AH15" i="6"/>
  <c r="AM5" i="6"/>
  <c r="AM18" i="6"/>
  <c r="AL5" i="6"/>
  <c r="AL18" i="6"/>
  <c r="AL22" i="6"/>
  <c r="AK5" i="6"/>
  <c r="AK18" i="6"/>
  <c r="AJ5" i="6"/>
  <c r="AJ18" i="6"/>
  <c r="AI5" i="6"/>
  <c r="AI18" i="6"/>
  <c r="AI22" i="6"/>
  <c r="AL34" i="5"/>
  <c r="AK26" i="1"/>
  <c r="AN9" i="3"/>
  <c r="AL16" i="6"/>
  <c r="AL17" i="6"/>
  <c r="AK34" i="5"/>
  <c r="AK16" i="6"/>
  <c r="AK17" i="6"/>
  <c r="AJ17" i="6"/>
  <c r="AI16" i="6"/>
  <c r="AI17" i="6"/>
  <c r="AH34" i="5"/>
  <c r="AI39" i="6"/>
  <c r="AM12" i="6"/>
  <c r="AM13" i="6"/>
  <c r="AL12" i="6"/>
  <c r="AL13" i="6"/>
  <c r="AL15" i="6"/>
  <c r="AK12" i="6"/>
  <c r="AK13" i="6"/>
  <c r="AJ12" i="6"/>
  <c r="AJ13" i="6"/>
  <c r="AI12" i="6"/>
  <c r="AI13" i="6"/>
  <c r="AI15" i="6"/>
  <c r="AP5" i="6"/>
  <c r="AP18" i="6"/>
  <c r="AO5" i="5"/>
  <c r="AP25" i="3"/>
  <c r="AO5" i="6"/>
  <c r="AO18" i="6"/>
  <c r="AO22" i="6"/>
  <c r="AN18" i="6"/>
  <c r="AO16" i="6"/>
  <c r="AO17" i="6"/>
  <c r="AN17" i="6"/>
  <c r="AN30" i="5"/>
  <c r="AO39" i="6"/>
  <c r="AM30" i="5"/>
  <c r="AN39" i="6"/>
  <c r="AP12" i="6"/>
  <c r="AP13" i="6"/>
  <c r="AO12" i="6"/>
  <c r="AO13" i="6"/>
  <c r="AO15" i="6"/>
  <c r="AN12" i="6"/>
  <c r="AN13" i="6"/>
  <c r="AI10" i="6"/>
  <c r="AQ10" i="6"/>
  <c r="AP10" i="6"/>
  <c r="AO10" i="6"/>
  <c r="AN10" i="6"/>
  <c r="AM10" i="6"/>
  <c r="AL10" i="6"/>
  <c r="AK10" i="6"/>
  <c r="AJ10" i="6"/>
  <c r="AZ9" i="6"/>
  <c r="AX35" i="2"/>
  <c r="AX37" i="2"/>
  <c r="AS35" i="2"/>
  <c r="AS37" i="2"/>
  <c r="AR35" i="2"/>
  <c r="AR37" i="2"/>
  <c r="AQ35" i="2"/>
  <c r="AQ37" i="2"/>
  <c r="AP35" i="2"/>
  <c r="AP37" i="2"/>
  <c r="BF47" i="5"/>
  <c r="BF43" i="5"/>
  <c r="BE47" i="5"/>
  <c r="BF10" i="6"/>
  <c r="BD47" i="5"/>
  <c r="BE10" i="6"/>
  <c r="BC47" i="5"/>
  <c r="BC43" i="5"/>
  <c r="BD10" i="6"/>
  <c r="BB47" i="5"/>
  <c r="BC10" i="6"/>
  <c r="BA47" i="5"/>
  <c r="BB10" i="6"/>
  <c r="AZ47" i="5"/>
  <c r="BA10" i="6"/>
  <c r="AY47" i="5"/>
  <c r="AZ10" i="6"/>
  <c r="AZ11" i="6"/>
  <c r="AX47" i="5"/>
  <c r="AY10" i="6"/>
  <c r="AY11" i="6"/>
  <c r="AW47" i="5"/>
  <c r="AX10" i="6"/>
  <c r="AV47" i="5"/>
  <c r="AW10" i="6"/>
  <c r="AU47" i="5"/>
  <c r="AV10" i="6"/>
  <c r="AV11" i="6"/>
  <c r="AT47" i="5"/>
  <c r="AU10" i="6"/>
  <c r="AU11" i="6"/>
  <c r="AS47" i="5"/>
  <c r="AT10" i="6"/>
  <c r="AR47" i="5"/>
  <c r="AS10" i="6"/>
  <c r="AQ47" i="5"/>
  <c r="AQ43" i="5"/>
  <c r="AR10" i="6"/>
  <c r="BG12" i="6"/>
  <c r="BF12" i="6"/>
  <c r="BF13" i="6"/>
  <c r="BE12" i="6"/>
  <c r="BE13" i="6"/>
  <c r="BD12" i="6"/>
  <c r="BD13" i="6"/>
  <c r="BD15" i="6"/>
  <c r="BC12" i="6"/>
  <c r="BC13" i="6"/>
  <c r="BB12" i="6"/>
  <c r="BB13" i="6"/>
  <c r="BA12" i="6"/>
  <c r="BA13" i="6"/>
  <c r="BA15" i="6"/>
  <c r="AZ12" i="6"/>
  <c r="AZ13" i="6"/>
  <c r="AZ15" i="6"/>
  <c r="AY12" i="6"/>
  <c r="AY13" i="6"/>
  <c r="AY15" i="6"/>
  <c r="AX12" i="6"/>
  <c r="AX13" i="6"/>
  <c r="AX15" i="6"/>
  <c r="AW12" i="6"/>
  <c r="AW13" i="6"/>
  <c r="AW15" i="6"/>
  <c r="AV12" i="6"/>
  <c r="AV13" i="6"/>
  <c r="AV15" i="6"/>
  <c r="AU12" i="6"/>
  <c r="AU13" i="6"/>
  <c r="AU15" i="6"/>
  <c r="AT12" i="6"/>
  <c r="AT13" i="6"/>
  <c r="AS12" i="6"/>
  <c r="AS13" i="6"/>
  <c r="AR12" i="6"/>
  <c r="AR13" i="6"/>
  <c r="AQ12" i="6"/>
  <c r="AQ13" i="6"/>
  <c r="BF30" i="5"/>
  <c r="BE30" i="5"/>
  <c r="BF39" i="6"/>
  <c r="BD30" i="5"/>
  <c r="BE39" i="6"/>
  <c r="BC30" i="5"/>
  <c r="BD39" i="6"/>
  <c r="BB30" i="5"/>
  <c r="BC39" i="6"/>
  <c r="BA30" i="5"/>
  <c r="BB39" i="6"/>
  <c r="AZ30" i="5"/>
  <c r="BA39" i="6"/>
  <c r="AY30" i="5"/>
  <c r="AZ39" i="6"/>
  <c r="AX30" i="5"/>
  <c r="AY39" i="6"/>
  <c r="AW30" i="5"/>
  <c r="AX39" i="6"/>
  <c r="AV30" i="5"/>
  <c r="AW39" i="6"/>
  <c r="AU30" i="5"/>
  <c r="AV39" i="6"/>
  <c r="AT30" i="5"/>
  <c r="AU39" i="6"/>
  <c r="AS30" i="5"/>
  <c r="AT39" i="6"/>
  <c r="AR30" i="5"/>
  <c r="AS39" i="6"/>
  <c r="AQ30" i="5"/>
  <c r="AR39" i="6"/>
  <c r="BF34" i="5"/>
  <c r="BD34" i="5"/>
  <c r="BC34" i="5"/>
  <c r="BD16" i="6"/>
  <c r="BD17" i="6"/>
  <c r="BB34" i="5"/>
  <c r="BA34" i="5"/>
  <c r="AZ34" i="5"/>
  <c r="BA16" i="6"/>
  <c r="BA17" i="6"/>
  <c r="AY34" i="5"/>
  <c r="AZ16" i="6"/>
  <c r="AZ17" i="6"/>
  <c r="AX34" i="5"/>
  <c r="AY16" i="6"/>
  <c r="AY17" i="6"/>
  <c r="AW34" i="5"/>
  <c r="AX16" i="6"/>
  <c r="AV34" i="5"/>
  <c r="AW16" i="6"/>
  <c r="AW17" i="6"/>
  <c r="AU34" i="5"/>
  <c r="AV17" i="6"/>
  <c r="AT34" i="5"/>
  <c r="AU16" i="6"/>
  <c r="AU17" i="6"/>
  <c r="AS34" i="5"/>
  <c r="AR26" i="1"/>
  <c r="AU9" i="3"/>
  <c r="AR34" i="5"/>
  <c r="AQ26" i="1"/>
  <c r="AT9" i="3"/>
  <c r="AQ34" i="5"/>
  <c r="AP26" i="1"/>
  <c r="AR21" i="3"/>
  <c r="AO26" i="1"/>
  <c r="BF5" i="5"/>
  <c r="BG25" i="3"/>
  <c r="BE5" i="5"/>
  <c r="BF25" i="3"/>
  <c r="BF5" i="6"/>
  <c r="BF18" i="6"/>
  <c r="BD37" i="1"/>
  <c r="BD5" i="5"/>
  <c r="BE25" i="3"/>
  <c r="BE18" i="6"/>
  <c r="BC5" i="5"/>
  <c r="BD25" i="3"/>
  <c r="BD18" i="6"/>
  <c r="BD22" i="6"/>
  <c r="BB5" i="5"/>
  <c r="BC25" i="3"/>
  <c r="BC5" i="6"/>
  <c r="BC18" i="6"/>
  <c r="BC22" i="6"/>
  <c r="BA37" i="1"/>
  <c r="BA48" i="1"/>
  <c r="BA5" i="5"/>
  <c r="BB25" i="3"/>
  <c r="BB5" i="6"/>
  <c r="BB18" i="6"/>
  <c r="AZ5" i="5"/>
  <c r="BA25" i="3"/>
  <c r="BA5" i="6"/>
  <c r="BA18" i="6"/>
  <c r="BA22" i="6"/>
  <c r="AY37" i="1"/>
  <c r="AY48" i="1"/>
  <c r="AY49" i="1"/>
  <c r="AY5" i="5"/>
  <c r="AZ25" i="3"/>
  <c r="AZ5" i="6"/>
  <c r="AZ18" i="6"/>
  <c r="AZ22" i="6"/>
  <c r="AX5" i="5"/>
  <c r="AY25" i="3"/>
  <c r="AY5" i="6"/>
  <c r="AY18" i="6"/>
  <c r="AY22" i="6"/>
  <c r="AW5" i="5"/>
  <c r="AX25" i="3"/>
  <c r="AX5" i="6"/>
  <c r="AX18" i="6"/>
  <c r="AV37" i="1"/>
  <c r="AV48" i="1"/>
  <c r="AV5" i="5"/>
  <c r="AW25" i="3"/>
  <c r="AW18" i="6"/>
  <c r="AW22" i="6"/>
  <c r="AU5" i="5"/>
  <c r="AV25" i="3"/>
  <c r="AV18" i="6"/>
  <c r="AT5" i="5"/>
  <c r="AU25" i="3"/>
  <c r="AU5" i="6"/>
  <c r="AU18" i="6"/>
  <c r="AU22" i="6"/>
  <c r="AS37" i="1"/>
  <c r="AS48" i="1"/>
  <c r="AS49" i="1"/>
  <c r="AS5" i="5"/>
  <c r="AT25" i="3"/>
  <c r="AT5" i="6"/>
  <c r="AT18" i="6"/>
  <c r="AR37" i="1"/>
  <c r="AR48" i="1"/>
  <c r="AR5" i="5"/>
  <c r="AS25" i="3"/>
  <c r="AS5" i="6"/>
  <c r="AS18" i="6"/>
  <c r="AQ37" i="1"/>
  <c r="AQ48" i="1"/>
  <c r="AQ5" i="5"/>
  <c r="AR5" i="6"/>
  <c r="AR18" i="6"/>
  <c r="AP37" i="1"/>
  <c r="AP48" i="1"/>
  <c r="AQ5" i="6"/>
  <c r="AQ18" i="6"/>
  <c r="AO37" i="1"/>
  <c r="AO48" i="1"/>
  <c r="BF31" i="5"/>
  <c r="BG28" i="3"/>
  <c r="BF17" i="5"/>
  <c r="BF18" i="5"/>
  <c r="AR43" i="5"/>
  <c r="AR25" i="5"/>
  <c r="AR14" i="5"/>
  <c r="AR11" i="5"/>
  <c r="AS29" i="3"/>
  <c r="AQ14" i="5"/>
  <c r="AQ11" i="5"/>
  <c r="AR29" i="3"/>
  <c r="BD43" i="5"/>
  <c r="BA43" i="5"/>
  <c r="AS43" i="5"/>
  <c r="AX43" i="5"/>
  <c r="AU43" i="5"/>
  <c r="BE37" i="5"/>
  <c r="AZ37" i="5"/>
  <c r="AW37" i="5"/>
  <c r="BE25" i="5"/>
  <c r="BD25" i="5"/>
  <c r="BA25" i="5"/>
  <c r="AZ25" i="5"/>
  <c r="AW25" i="5"/>
  <c r="AV25" i="5"/>
  <c r="AS25" i="5"/>
  <c r="BF25" i="5"/>
  <c r="BC25" i="5"/>
  <c r="AX25" i="5"/>
  <c r="AU25" i="5"/>
  <c r="BC14" i="5"/>
  <c r="BC11" i="5"/>
  <c r="BD29" i="3"/>
  <c r="AU14" i="5"/>
  <c r="AU11" i="5"/>
  <c r="AV29" i="3"/>
  <c r="BD14" i="5"/>
  <c r="BD11" i="5"/>
  <c r="BE29" i="3"/>
  <c r="AY14" i="5"/>
  <c r="AY11" i="5"/>
  <c r="AZ29" i="3"/>
  <c r="BB14" i="5"/>
  <c r="BB11" i="5"/>
  <c r="BC29" i="3"/>
  <c r="BA14" i="5"/>
  <c r="BA11" i="5"/>
  <c r="BB29" i="3"/>
  <c r="AZ14" i="5"/>
  <c r="AZ11" i="5"/>
  <c r="BA29" i="3"/>
  <c r="AT14" i="5"/>
  <c r="AT11" i="5"/>
  <c r="AU29" i="3"/>
  <c r="AS14" i="5"/>
  <c r="AS11" i="5"/>
  <c r="CD35" i="2"/>
  <c r="CD37" i="2"/>
  <c r="CF9" i="6"/>
  <c r="CB35" i="2"/>
  <c r="CB37" i="2"/>
  <c r="CD9" i="6"/>
  <c r="V12" i="5"/>
  <c r="W29" i="3"/>
  <c r="AW37" i="3"/>
  <c r="BC24" i="3"/>
  <c r="BL12" i="5"/>
  <c r="BM29" i="3"/>
  <c r="BL39" i="3"/>
  <c r="BL30" i="3"/>
  <c r="BT39" i="3"/>
  <c r="BT30" i="3"/>
  <c r="BN11" i="6"/>
  <c r="BN20" i="3"/>
  <c r="BN22" i="3"/>
  <c r="BN23" i="3"/>
  <c r="BN14" i="3"/>
  <c r="BN4" i="3"/>
  <c r="BN6" i="3"/>
  <c r="S14" i="3"/>
  <c r="S23" i="3"/>
  <c r="S20" i="3"/>
  <c r="S22" i="3"/>
  <c r="S4" i="3"/>
  <c r="S6" i="3"/>
  <c r="I6" i="3"/>
  <c r="I14" i="3"/>
  <c r="I23" i="3"/>
  <c r="I20" i="3"/>
  <c r="I22" i="3"/>
  <c r="I4" i="3"/>
  <c r="BC9" i="6"/>
  <c r="BB6" i="3"/>
  <c r="BB23" i="3"/>
  <c r="BB4" i="3"/>
  <c r="BB14" i="3"/>
  <c r="BB20" i="3"/>
  <c r="BB22" i="3"/>
  <c r="AX14" i="3"/>
  <c r="AX20" i="3"/>
  <c r="AX22" i="3"/>
  <c r="AX23" i="3"/>
  <c r="AX4" i="3"/>
  <c r="AX6" i="3"/>
  <c r="AI30" i="6"/>
  <c r="AJ29" i="3"/>
  <c r="BV49" i="1"/>
  <c r="BX22" i="3"/>
  <c r="BX14" i="3"/>
  <c r="BX23" i="3"/>
  <c r="BX4" i="3"/>
  <c r="BX20" i="3"/>
  <c r="BX6" i="3"/>
  <c r="AN20" i="3"/>
  <c r="AN6" i="3"/>
  <c r="AN4" i="3"/>
  <c r="AN14" i="3"/>
  <c r="AN22" i="3"/>
  <c r="AN23" i="3"/>
  <c r="M23" i="3"/>
  <c r="M14" i="3"/>
  <c r="M20" i="3"/>
  <c r="M22" i="3"/>
  <c r="M4" i="3"/>
  <c r="M6" i="3"/>
  <c r="R25" i="6"/>
  <c r="BB17" i="3"/>
  <c r="G26" i="7"/>
  <c r="G11" i="7"/>
  <c r="G22" i="7"/>
  <c r="G21" i="7"/>
  <c r="G24" i="7"/>
  <c r="F12" i="7"/>
  <c r="F25" i="7"/>
  <c r="BL21" i="3"/>
  <c r="BN35" i="2"/>
  <c r="BN37" i="2"/>
  <c r="BP9" i="3"/>
  <c r="CA29" i="2"/>
  <c r="CA33" i="2"/>
  <c r="CA35" i="2"/>
  <c r="CA37" i="2"/>
  <c r="G50" i="7"/>
  <c r="G45" i="7"/>
  <c r="G18" i="7"/>
  <c r="CB10" i="6"/>
  <c r="BL11" i="3"/>
  <c r="BP35" i="2"/>
  <c r="BP37" i="2"/>
  <c r="BR9" i="3"/>
  <c r="F20" i="7"/>
  <c r="BX16" i="3"/>
  <c r="BJ35" i="2"/>
  <c r="BJ37" i="2"/>
  <c r="BL9" i="3"/>
  <c r="BC14" i="3"/>
  <c r="BC6" i="3"/>
  <c r="BC4" i="3"/>
  <c r="BC23" i="3"/>
  <c r="BC20" i="3"/>
  <c r="BC22" i="3"/>
  <c r="BK35" i="2"/>
  <c r="BK37" i="2"/>
  <c r="BM9" i="3"/>
  <c r="AV15" i="3"/>
  <c r="AJ15" i="3"/>
  <c r="AX16" i="3"/>
  <c r="AN11" i="3"/>
  <c r="Y37" i="3"/>
  <c r="Y36" i="3"/>
  <c r="Y38" i="6"/>
  <c r="X43" i="5"/>
  <c r="I11" i="3"/>
  <c r="AE17" i="3"/>
  <c r="S21" i="3"/>
  <c r="L30" i="3"/>
  <c r="L39" i="3"/>
  <c r="L40" i="6"/>
  <c r="L38" i="6"/>
  <c r="K31" i="6"/>
  <c r="AV21" i="3"/>
  <c r="AK4" i="3"/>
  <c r="AK14" i="3"/>
  <c r="AK23" i="3"/>
  <c r="AK6" i="3"/>
  <c r="AK22" i="3"/>
  <c r="AK20" i="3"/>
  <c r="AJ4" i="5"/>
  <c r="AA21" i="3"/>
  <c r="R30" i="3"/>
  <c r="R39" i="3"/>
  <c r="Q31" i="6"/>
  <c r="R40" i="6"/>
  <c r="L32" i="3"/>
  <c r="K33" i="6"/>
  <c r="J41" i="2"/>
  <c r="L41" i="2"/>
  <c r="AK15" i="3"/>
  <c r="I9" i="3"/>
  <c r="G35" i="2"/>
  <c r="G37" i="2"/>
  <c r="N9" i="3"/>
  <c r="L35" i="2"/>
  <c r="L37" i="2"/>
  <c r="AV43" i="5"/>
  <c r="BA49" i="1"/>
  <c r="BE22" i="6"/>
  <c r="AQ22" i="6"/>
  <c r="AQ14" i="3"/>
  <c r="AQ20" i="3"/>
  <c r="AQ22" i="3"/>
  <c r="AQ23" i="3"/>
  <c r="AQ6" i="3"/>
  <c r="AQ4" i="3"/>
  <c r="AX17" i="6"/>
  <c r="AX11" i="6"/>
  <c r="AZ36" i="3"/>
  <c r="AZ37" i="3"/>
  <c r="BD11" i="6"/>
  <c r="AK11" i="6"/>
  <c r="AJ15" i="6"/>
  <c r="AJ16" i="6"/>
  <c r="O14" i="3"/>
  <c r="O22" i="3"/>
  <c r="O23" i="3"/>
  <c r="O20" i="3"/>
  <c r="O4" i="3"/>
  <c r="O6" i="3"/>
  <c r="AN24" i="6"/>
  <c r="AH14" i="6"/>
  <c r="AT49" i="1"/>
  <c r="BB4" i="6"/>
  <c r="AX21" i="6"/>
  <c r="BE23" i="6"/>
  <c r="AJ23" i="6"/>
  <c r="BM12" i="5"/>
  <c r="BN29" i="3"/>
  <c r="BM39" i="3"/>
  <c r="BM30" i="3"/>
  <c r="BI6" i="3"/>
  <c r="BI14" i="3"/>
  <c r="BI22" i="3"/>
  <c r="BI23" i="3"/>
  <c r="BI20" i="3"/>
  <c r="BI4" i="3"/>
  <c r="BQ4" i="3"/>
  <c r="BQ14" i="3"/>
  <c r="BQ6" i="3"/>
  <c r="BQ22" i="3"/>
  <c r="BQ20" i="3"/>
  <c r="BQ23" i="3"/>
  <c r="BL37" i="3"/>
  <c r="BP37" i="3"/>
  <c r="BT37" i="3"/>
  <c r="BT12" i="5"/>
  <c r="BU29" i="3"/>
  <c r="B50" i="1"/>
  <c r="K17" i="6"/>
  <c r="K6" i="6"/>
  <c r="M15" i="6"/>
  <c r="M6" i="6"/>
  <c r="N24" i="3"/>
  <c r="BF9" i="6"/>
  <c r="BF23" i="3"/>
  <c r="BF22" i="3"/>
  <c r="BF14" i="3"/>
  <c r="BF20" i="3"/>
  <c r="BF4" i="3"/>
  <c r="BF6" i="3"/>
  <c r="J12" i="5"/>
  <c r="BA6" i="3"/>
  <c r="BA23" i="3"/>
  <c r="BA22" i="3"/>
  <c r="BA4" i="3"/>
  <c r="BA20" i="3"/>
  <c r="BA14" i="3"/>
  <c r="AW14" i="3"/>
  <c r="AW20" i="3"/>
  <c r="AW22" i="3"/>
  <c r="AW23" i="3"/>
  <c r="AW4" i="3"/>
  <c r="AW6" i="3"/>
  <c r="AD26" i="6"/>
  <c r="AD25" i="3"/>
  <c r="BX37" i="3"/>
  <c r="BR11" i="3"/>
  <c r="AY20" i="3"/>
  <c r="AY22" i="3"/>
  <c r="AY23" i="3"/>
  <c r="AY14" i="3"/>
  <c r="AY4" i="3"/>
  <c r="AY6" i="3"/>
  <c r="AY11" i="3"/>
  <c r="AI11" i="3"/>
  <c r="M21" i="3"/>
  <c r="G35" i="3"/>
  <c r="BG35" i="3"/>
  <c r="AW30" i="3"/>
  <c r="AW39" i="3"/>
  <c r="AU31" i="6"/>
  <c r="AV40" i="6"/>
  <c r="AB11" i="3"/>
  <c r="R11" i="3"/>
  <c r="BU16" i="3"/>
  <c r="BS16" i="3"/>
  <c r="AL11" i="3"/>
  <c r="AA15" i="3"/>
  <c r="BG12" i="3"/>
  <c r="BG13" i="3"/>
  <c r="BG15" i="3"/>
  <c r="AW16" i="3"/>
  <c r="BA15" i="3"/>
  <c r="AH15" i="3"/>
  <c r="U21" i="3"/>
  <c r="F35" i="3"/>
  <c r="BH21" i="3"/>
  <c r="BR35" i="2"/>
  <c r="BR37" i="2"/>
  <c r="BT9" i="3"/>
  <c r="BB21" i="3"/>
  <c r="AV11" i="3"/>
  <c r="BI21" i="3"/>
  <c r="AW21" i="3"/>
  <c r="BF17" i="3"/>
  <c r="P17" i="3"/>
  <c r="U17" i="3"/>
  <c r="I21" i="3"/>
  <c r="BI15" i="3"/>
  <c r="P21" i="3"/>
  <c r="BA16" i="3"/>
  <c r="AX11" i="3"/>
  <c r="O11" i="3"/>
  <c r="S17" i="3"/>
  <c r="AL9" i="3"/>
  <c r="AH17" i="3"/>
  <c r="BP17" i="3"/>
  <c r="L16" i="3"/>
  <c r="AR9" i="3"/>
  <c r="BC37" i="3"/>
  <c r="BU12" i="5"/>
  <c r="BV29" i="3"/>
  <c r="AI4" i="5"/>
  <c r="AJ22" i="3"/>
  <c r="AJ23" i="3"/>
  <c r="AJ4" i="3"/>
  <c r="AJ14" i="3"/>
  <c r="AJ20" i="3"/>
  <c r="AJ6" i="3"/>
  <c r="R32" i="3"/>
  <c r="Q33" i="6"/>
  <c r="BZ29" i="2"/>
  <c r="BZ33" i="2"/>
  <c r="F45" i="7"/>
  <c r="F18" i="7"/>
  <c r="BV12" i="5"/>
  <c r="BW29" i="3"/>
  <c r="AC4" i="3"/>
  <c r="AC14" i="3"/>
  <c r="AC23" i="3"/>
  <c r="AC20" i="3"/>
  <c r="AC6" i="3"/>
  <c r="AC22" i="3"/>
  <c r="I11" i="6"/>
  <c r="M24" i="6"/>
  <c r="Y30" i="6"/>
  <c r="Z29" i="3"/>
  <c r="AV16" i="3"/>
  <c r="U11" i="3"/>
  <c r="BN12" i="5"/>
  <c r="BO29" i="3"/>
  <c r="BL11" i="6"/>
  <c r="BL20" i="3"/>
  <c r="BL14" i="3"/>
  <c r="BL22" i="3"/>
  <c r="BL23" i="3"/>
  <c r="BL6" i="3"/>
  <c r="BL4" i="3"/>
  <c r="BT21" i="3"/>
  <c r="I15" i="3"/>
  <c r="BN17" i="3"/>
  <c r="BB43" i="5"/>
  <c r="AX37" i="3"/>
  <c r="BO12" i="5"/>
  <c r="BP29" i="3"/>
  <c r="BM37" i="3"/>
  <c r="M4" i="6"/>
  <c r="Y50" i="1"/>
  <c r="AA14" i="3"/>
  <c r="AA20" i="3"/>
  <c r="AA23" i="3"/>
  <c r="AA22" i="3"/>
  <c r="AA6" i="3"/>
  <c r="AA4" i="3"/>
  <c r="AE12" i="5"/>
  <c r="AF29" i="3"/>
  <c r="I17" i="3"/>
  <c r="BC17" i="3"/>
  <c r="BT35" i="2"/>
  <c r="BT37" i="2"/>
  <c r="BV9" i="3"/>
  <c r="BN16" i="3"/>
  <c r="BD11" i="3"/>
  <c r="CA11" i="6"/>
  <c r="BO17" i="3"/>
  <c r="BC11" i="3"/>
  <c r="AC17" i="3"/>
  <c r="M37" i="3"/>
  <c r="L43" i="5"/>
  <c r="M38" i="6"/>
  <c r="AA35" i="2"/>
  <c r="AA37" i="2"/>
  <c r="AC9" i="3"/>
  <c r="AM26" i="6"/>
  <c r="AN25" i="3"/>
  <c r="AV49" i="1"/>
  <c r="AV16" i="6"/>
  <c r="BE17" i="6"/>
  <c r="BE15" i="6"/>
  <c r="AM11" i="6"/>
  <c r="AK15" i="6"/>
  <c r="AJ22" i="6"/>
  <c r="AL9" i="6"/>
  <c r="AK23" i="6"/>
  <c r="AN14" i="6"/>
  <c r="AY9" i="6"/>
  <c r="AX9" i="6"/>
  <c r="BC24" i="6"/>
  <c r="AX4" i="6"/>
  <c r="BE4" i="6"/>
  <c r="AJ6" i="6"/>
  <c r="BH12" i="5"/>
  <c r="BI29" i="3"/>
  <c r="BP12" i="5"/>
  <c r="BQ29" i="3"/>
  <c r="BH30" i="3"/>
  <c r="BH39" i="3"/>
  <c r="BP30" i="3"/>
  <c r="BP39" i="3"/>
  <c r="BJ4" i="3"/>
  <c r="BJ14" i="3"/>
  <c r="BJ22" i="3"/>
  <c r="BJ23" i="3"/>
  <c r="BJ6" i="3"/>
  <c r="BJ20" i="3"/>
  <c r="BR4" i="3"/>
  <c r="BR14" i="3"/>
  <c r="BR6" i="3"/>
  <c r="BR22" i="3"/>
  <c r="BR20" i="3"/>
  <c r="BR23" i="3"/>
  <c r="BL10" i="6"/>
  <c r="BS29" i="2"/>
  <c r="BW12" i="5"/>
  <c r="BX29" i="3"/>
  <c r="BV39" i="3"/>
  <c r="BV30" i="3"/>
  <c r="BX6" i="6"/>
  <c r="BX22" i="6"/>
  <c r="BX24" i="6"/>
  <c r="BV11" i="6"/>
  <c r="BX23" i="6"/>
  <c r="BG17" i="6"/>
  <c r="M17" i="6"/>
  <c r="AF26" i="6"/>
  <c r="E29" i="3"/>
  <c r="G12" i="5"/>
  <c r="BV17" i="6"/>
  <c r="BV14" i="3"/>
  <c r="BV23" i="3"/>
  <c r="BV22" i="3"/>
  <c r="BV20" i="3"/>
  <c r="BV4" i="3"/>
  <c r="BV6" i="3"/>
  <c r="BD20" i="3"/>
  <c r="BD14" i="3"/>
  <c r="BD22" i="3"/>
  <c r="BD6" i="3"/>
  <c r="BD23" i="3"/>
  <c r="BD4" i="3"/>
  <c r="AN4" i="5"/>
  <c r="AP36" i="3"/>
  <c r="AO14" i="3"/>
  <c r="AO20" i="3"/>
  <c r="AO22" i="3"/>
  <c r="AO23" i="3"/>
  <c r="AO4" i="3"/>
  <c r="AO6" i="3"/>
  <c r="J6" i="3"/>
  <c r="J14" i="3"/>
  <c r="J4" i="3"/>
  <c r="J23" i="3"/>
  <c r="J20" i="3"/>
  <c r="J22" i="3"/>
  <c r="BH35" i="3"/>
  <c r="BS21" i="3"/>
  <c r="BI16" i="3"/>
  <c r="AX15" i="3"/>
  <c r="AH21" i="3"/>
  <c r="I16" i="3"/>
  <c r="BV10" i="3"/>
  <c r="BK11" i="3"/>
  <c r="BR16" i="3"/>
  <c r="BC16" i="3"/>
  <c r="AR11" i="3"/>
  <c r="AO15" i="3"/>
  <c r="BG35" i="2"/>
  <c r="BG37" i="2"/>
  <c r="BI9" i="3"/>
  <c r="BD17" i="3"/>
  <c r="AA17" i="3"/>
  <c r="BT17" i="3"/>
  <c r="AJ16" i="3"/>
  <c r="BW17" i="3"/>
  <c r="BW21" i="3"/>
  <c r="AU4" i="3"/>
  <c r="AU14" i="3"/>
  <c r="AU6" i="3"/>
  <c r="AU20" i="3"/>
  <c r="AU23" i="3"/>
  <c r="AU22" i="3"/>
  <c r="BQ21" i="3"/>
  <c r="AR16" i="3"/>
  <c r="AM16" i="3"/>
  <c r="F16" i="7"/>
  <c r="AH10" i="3"/>
  <c r="AC16" i="3"/>
  <c r="M11" i="3"/>
  <c r="F38" i="3"/>
  <c r="O21" i="3"/>
  <c r="K32" i="3"/>
  <c r="J33" i="6"/>
  <c r="I41" i="2"/>
  <c r="K41" i="2"/>
  <c r="BQ15" i="3"/>
  <c r="Q37" i="3"/>
  <c r="Q38" i="6"/>
  <c r="P43" i="5"/>
  <c r="BU36" i="3"/>
  <c r="BU37" i="3"/>
  <c r="BN11" i="3"/>
  <c r="AD40" i="6"/>
  <c r="AD30" i="3"/>
  <c r="AD39" i="3"/>
  <c r="AC31" i="6"/>
  <c r="AD31" i="6"/>
  <c r="H16" i="3"/>
  <c r="Z21" i="3"/>
  <c r="M17" i="3"/>
  <c r="BT5" i="3"/>
  <c r="BT19" i="3"/>
  <c r="BT6" i="3"/>
  <c r="BT4" i="3"/>
  <c r="BI10" i="3"/>
  <c r="AQ21" i="3"/>
  <c r="W9" i="3"/>
  <c r="BD9" i="3"/>
  <c r="H9" i="3"/>
  <c r="F35" i="2"/>
  <c r="F37" i="2"/>
  <c r="L31" i="6"/>
  <c r="AE6" i="3"/>
  <c r="AE14" i="3"/>
  <c r="AE4" i="3"/>
  <c r="AE20" i="3"/>
  <c r="AE23" i="3"/>
  <c r="AE22" i="3"/>
  <c r="BE14" i="3"/>
  <c r="BE20" i="3"/>
  <c r="BE22" i="3"/>
  <c r="BE23" i="3"/>
  <c r="BE6" i="3"/>
  <c r="BE4" i="3"/>
  <c r="U26" i="6"/>
  <c r="U25" i="3"/>
  <c r="P41" i="2"/>
  <c r="P32" i="3"/>
  <c r="O33" i="6"/>
  <c r="N41" i="2"/>
  <c r="AA29" i="3"/>
  <c r="Z12" i="5"/>
  <c r="AE21" i="3"/>
  <c r="CA10" i="6"/>
  <c r="S16" i="3"/>
  <c r="AN21" i="6"/>
  <c r="BO11" i="6"/>
  <c r="BO14" i="3"/>
  <c r="BO20" i="3"/>
  <c r="BO23" i="3"/>
  <c r="BO22" i="3"/>
  <c r="BO6" i="3"/>
  <c r="BO4" i="3"/>
  <c r="BU39" i="3"/>
  <c r="BU30" i="3"/>
  <c r="CA21" i="6"/>
  <c r="CA14" i="6"/>
  <c r="CA23" i="6"/>
  <c r="F29" i="7"/>
  <c r="F22" i="7"/>
  <c r="CA24" i="6"/>
  <c r="BZ4" i="5"/>
  <c r="CA4" i="6"/>
  <c r="CA6" i="6"/>
  <c r="I22" i="6"/>
  <c r="L50" i="1"/>
  <c r="AV14" i="3"/>
  <c r="AV20" i="3"/>
  <c r="AV22" i="3"/>
  <c r="AV23" i="3"/>
  <c r="AV4" i="3"/>
  <c r="AV6" i="3"/>
  <c r="E12" i="5"/>
  <c r="F29" i="3"/>
  <c r="BX15" i="3"/>
  <c r="BE16" i="3"/>
  <c r="AE11" i="3"/>
  <c r="AR17" i="3"/>
  <c r="AF12" i="5"/>
  <c r="AG29" i="3"/>
  <c r="U15" i="3"/>
  <c r="J10" i="6"/>
  <c r="H29" i="2"/>
  <c r="H33" i="2"/>
  <c r="AF9" i="3"/>
  <c r="BQ35" i="2"/>
  <c r="BQ37" i="2"/>
  <c r="BS9" i="3"/>
  <c r="O41" i="2"/>
  <c r="Q32" i="3"/>
  <c r="P33" i="6"/>
  <c r="O42" i="2"/>
  <c r="AA9" i="3"/>
  <c r="AN21" i="3"/>
  <c r="AC15" i="3"/>
  <c r="BH9" i="3"/>
  <c r="AX9" i="3"/>
  <c r="AX30" i="3"/>
  <c r="AX39" i="3"/>
  <c r="AS22" i="6"/>
  <c r="AS6" i="3"/>
  <c r="AS14" i="3"/>
  <c r="AS23" i="3"/>
  <c r="AS4" i="3"/>
  <c r="AS22" i="3"/>
  <c r="AS20" i="3"/>
  <c r="BA39" i="3"/>
  <c r="BA30" i="3"/>
  <c r="AT22" i="6"/>
  <c r="AX22" i="6"/>
  <c r="BE16" i="6"/>
  <c r="AS37" i="3"/>
  <c r="AV37" i="3"/>
  <c r="BB37" i="3"/>
  <c r="BE37" i="3"/>
  <c r="AJ39" i="3"/>
  <c r="AJ30" i="3"/>
  <c r="AH10" i="6"/>
  <c r="AD6" i="3"/>
  <c r="AD20" i="3"/>
  <c r="AD14" i="3"/>
  <c r="AD23" i="3"/>
  <c r="AD22" i="3"/>
  <c r="AD4" i="3"/>
  <c r="AK21" i="6"/>
  <c r="AN4" i="6"/>
  <c r="AY35" i="2"/>
  <c r="AY37" i="2"/>
  <c r="AV14" i="6"/>
  <c r="BC23" i="6"/>
  <c r="AW4" i="5"/>
  <c r="AY24" i="3"/>
  <c r="BD4" i="5"/>
  <c r="BE24" i="3"/>
  <c r="AJ4" i="6"/>
  <c r="BI12" i="5"/>
  <c r="BJ29" i="3"/>
  <c r="BQ12" i="5"/>
  <c r="BR29" i="3"/>
  <c r="BI30" i="3"/>
  <c r="BI39" i="3"/>
  <c r="BQ30" i="3"/>
  <c r="BQ39" i="3"/>
  <c r="BM14" i="3"/>
  <c r="BM20" i="3"/>
  <c r="BM22" i="3"/>
  <c r="BM23" i="3"/>
  <c r="BM4" i="3"/>
  <c r="BM6" i="3"/>
  <c r="BJ37" i="3"/>
  <c r="BN37" i="3"/>
  <c r="BR37" i="3"/>
  <c r="BH37" i="3"/>
  <c r="BW30" i="3"/>
  <c r="BW39" i="3"/>
  <c r="BV9" i="6"/>
  <c r="BW14" i="6"/>
  <c r="M23" i="6"/>
  <c r="K21" i="6"/>
  <c r="I4" i="5"/>
  <c r="K24" i="3"/>
  <c r="AE30" i="6"/>
  <c r="AV12" i="5"/>
  <c r="AW29" i="3"/>
  <c r="E30" i="6"/>
  <c r="F30" i="6"/>
  <c r="X6" i="6"/>
  <c r="X14" i="3"/>
  <c r="X4" i="3"/>
  <c r="X6" i="3"/>
  <c r="X20" i="3"/>
  <c r="X22" i="3"/>
  <c r="X23" i="3"/>
  <c r="AO30" i="6"/>
  <c r="AP29" i="3"/>
  <c r="AO4" i="5"/>
  <c r="AP20" i="3"/>
  <c r="AP22" i="3"/>
  <c r="AP23" i="3"/>
  <c r="AP14" i="3"/>
  <c r="AP4" i="3"/>
  <c r="AP6" i="3"/>
  <c r="N14" i="3"/>
  <c r="N22" i="3"/>
  <c r="N20" i="3"/>
  <c r="N23" i="3"/>
  <c r="N4" i="3"/>
  <c r="N6" i="3"/>
  <c r="AX12" i="5"/>
  <c r="AY29" i="3"/>
  <c r="V26" i="6"/>
  <c r="W25" i="3"/>
  <c r="CA16" i="6"/>
  <c r="AT17" i="3"/>
  <c r="AV39" i="3"/>
  <c r="AV30" i="3"/>
  <c r="AT31" i="6"/>
  <c r="AU40" i="6"/>
  <c r="AO21" i="3"/>
  <c r="X17" i="3"/>
  <c r="G6" i="7"/>
  <c r="G7" i="7"/>
  <c r="G13" i="7"/>
  <c r="BK10" i="3"/>
  <c r="BR17" i="3"/>
  <c r="AS21" i="3"/>
  <c r="AQ15" i="3"/>
  <c r="AZ11" i="3"/>
  <c r="AJ21" i="3"/>
  <c r="O17" i="3"/>
  <c r="Y26" i="6"/>
  <c r="BW11" i="3"/>
  <c r="BO35" i="2"/>
  <c r="BO37" i="2"/>
  <c r="BQ9" i="3"/>
  <c r="AT21" i="3"/>
  <c r="BD16" i="3"/>
  <c r="AS11" i="3"/>
  <c r="AK21" i="3"/>
  <c r="Z11" i="3"/>
  <c r="AA16" i="3"/>
  <c r="BV17" i="3"/>
  <c r="BM11" i="3"/>
  <c r="BB11" i="3"/>
  <c r="CA15" i="6"/>
  <c r="AY17" i="3"/>
  <c r="BU35" i="2"/>
  <c r="BU37" i="2"/>
  <c r="BW9" i="3"/>
  <c r="AW11" i="3"/>
  <c r="AJ11" i="3"/>
  <c r="AD17" i="3"/>
  <c r="W17" i="3"/>
  <c r="AS9" i="3"/>
  <c r="AB12" i="5"/>
  <c r="AC29" i="3"/>
  <c r="R36" i="3"/>
  <c r="V36" i="3"/>
  <c r="V37" i="3"/>
  <c r="U43" i="5"/>
  <c r="V38" i="6"/>
  <c r="BM16" i="3"/>
  <c r="AM21" i="3"/>
  <c r="Y9" i="3"/>
  <c r="BC21" i="3"/>
  <c r="BE15" i="3"/>
  <c r="AK17" i="3"/>
  <c r="K10" i="3"/>
  <c r="AD9" i="3"/>
  <c r="C3" i="2"/>
  <c r="C19" i="2"/>
  <c r="BL35" i="2"/>
  <c r="BL37" i="2"/>
  <c r="BN9" i="3"/>
  <c r="AD37" i="3"/>
  <c r="AX21" i="3"/>
  <c r="M16" i="3"/>
  <c r="R38" i="6"/>
  <c r="BI11" i="3"/>
  <c r="R9" i="3"/>
  <c r="P35" i="2"/>
  <c r="P37" i="2"/>
  <c r="V35" i="2"/>
  <c r="V37" i="2"/>
  <c r="X9" i="3"/>
  <c r="AP9" i="3"/>
  <c r="AW9" i="3"/>
  <c r="AV9" i="3"/>
  <c r="AU37" i="3"/>
  <c r="AF37" i="3"/>
  <c r="BT20" i="3"/>
  <c r="BT14" i="3"/>
  <c r="BT22" i="3"/>
  <c r="BT23" i="3"/>
  <c r="V22" i="3"/>
  <c r="V4" i="3"/>
  <c r="V14" i="3"/>
  <c r="V20" i="3"/>
  <c r="V23" i="3"/>
  <c r="V6" i="3"/>
  <c r="BM35" i="2"/>
  <c r="BM37" i="2"/>
  <c r="BO9" i="3"/>
  <c r="BE17" i="3"/>
  <c r="H11" i="3"/>
  <c r="AK9" i="3"/>
  <c r="N36" i="3"/>
  <c r="AH36" i="3"/>
  <c r="AH37" i="3"/>
  <c r="BG12" i="5"/>
  <c r="BH29" i="3"/>
  <c r="BO30" i="3"/>
  <c r="BO39" i="3"/>
  <c r="BQ37" i="3"/>
  <c r="Y24" i="3"/>
  <c r="AT4" i="3"/>
  <c r="AT6" i="3"/>
  <c r="AT14" i="3"/>
  <c r="AT23" i="3"/>
  <c r="AT20" i="3"/>
  <c r="AT22" i="3"/>
  <c r="BC15" i="6"/>
  <c r="AY37" i="3"/>
  <c r="AY36" i="3"/>
  <c r="AN15" i="6"/>
  <c r="AK14" i="6"/>
  <c r="AV4" i="6"/>
  <c r="BC21" i="6"/>
  <c r="BE6" i="6"/>
  <c r="BD9" i="6"/>
  <c r="BJ12" i="5"/>
  <c r="BK29" i="3"/>
  <c r="BR12" i="5"/>
  <c r="BS29" i="3"/>
  <c r="BJ30" i="3"/>
  <c r="BJ39" i="3"/>
  <c r="BL43" i="5"/>
  <c r="BH22" i="3"/>
  <c r="BH14" i="3"/>
  <c r="BH23" i="3"/>
  <c r="BH20" i="3"/>
  <c r="BH6" i="3"/>
  <c r="BH4" i="3"/>
  <c r="BP22" i="3"/>
  <c r="BP20" i="3"/>
  <c r="BP23" i="3"/>
  <c r="BP4" i="3"/>
  <c r="BP14" i="3"/>
  <c r="BP6" i="3"/>
  <c r="BQ10" i="6"/>
  <c r="BX30" i="3"/>
  <c r="BX39" i="3"/>
  <c r="BX11" i="6"/>
  <c r="O50" i="1"/>
  <c r="P14" i="3"/>
  <c r="P4" i="3"/>
  <c r="P20" i="3"/>
  <c r="P6" i="3"/>
  <c r="P22" i="3"/>
  <c r="P23" i="3"/>
  <c r="L14" i="3"/>
  <c r="L23" i="3"/>
  <c r="L20" i="3"/>
  <c r="L22" i="3"/>
  <c r="L6" i="3"/>
  <c r="L4" i="3"/>
  <c r="D30" i="6"/>
  <c r="BU14" i="3"/>
  <c r="BU23" i="3"/>
  <c r="BU20" i="3"/>
  <c r="BU22" i="3"/>
  <c r="BU4" i="3"/>
  <c r="BU6" i="3"/>
  <c r="H6" i="3"/>
  <c r="H14" i="3"/>
  <c r="H20" i="3"/>
  <c r="H22" i="3"/>
  <c r="H4" i="3"/>
  <c r="H23" i="3"/>
  <c r="AW30" i="6"/>
  <c r="AX29" i="3"/>
  <c r="AM12" i="5"/>
  <c r="AN29" i="3"/>
  <c r="AH20" i="3"/>
  <c r="AH22" i="3"/>
  <c r="AH23" i="3"/>
  <c r="AH14" i="3"/>
  <c r="AH4" i="3"/>
  <c r="AH6" i="3"/>
  <c r="BG14" i="3"/>
  <c r="BG22" i="3"/>
  <c r="BG23" i="3"/>
  <c r="BW6" i="6"/>
  <c r="BW20" i="3"/>
  <c r="BW22" i="3"/>
  <c r="BW23" i="3"/>
  <c r="BW14" i="3"/>
  <c r="BW4" i="3"/>
  <c r="BW6" i="3"/>
  <c r="X30" i="6"/>
  <c r="X29" i="3"/>
  <c r="AN12" i="5"/>
  <c r="AO29" i="3"/>
  <c r="BW15" i="3"/>
  <c r="AT16" i="3"/>
  <c r="BD39" i="3"/>
  <c r="BD30" i="3"/>
  <c r="BC40" i="6"/>
  <c r="G8" i="7"/>
  <c r="BT16" i="3"/>
  <c r="W15" i="3"/>
  <c r="O16" i="3"/>
  <c r="BM21" i="3"/>
  <c r="BA10" i="3"/>
  <c r="BX11" i="3"/>
  <c r="BM10" i="3"/>
  <c r="BG21" i="3"/>
  <c r="AS15" i="3"/>
  <c r="AG11" i="3"/>
  <c r="V21" i="3"/>
  <c r="K15" i="3"/>
  <c r="BO10" i="3"/>
  <c r="BJ15" i="3"/>
  <c r="BP11" i="3"/>
  <c r="AP16" i="3"/>
  <c r="W16" i="3"/>
  <c r="J10" i="3"/>
  <c r="AZ9" i="3"/>
  <c r="AA25" i="3"/>
  <c r="Z26" i="6"/>
  <c r="D37" i="1"/>
  <c r="F18" i="3"/>
  <c r="F18" i="6"/>
  <c r="E5" i="5"/>
  <c r="E31" i="6"/>
  <c r="E38" i="6"/>
  <c r="E30" i="3"/>
  <c r="E40" i="6"/>
  <c r="D30" i="3"/>
  <c r="E39" i="3"/>
  <c r="D31" i="6"/>
  <c r="R37" i="3"/>
  <c r="BA21" i="3"/>
  <c r="K29" i="2"/>
  <c r="K33" i="2"/>
  <c r="M10" i="6"/>
  <c r="H30" i="3"/>
  <c r="H39" i="3"/>
  <c r="F31" i="6"/>
  <c r="H38" i="6"/>
  <c r="AO9" i="3"/>
  <c r="AP37" i="3"/>
  <c r="AO43" i="5"/>
  <c r="AP38" i="6"/>
  <c r="T18" i="3"/>
  <c r="AY9" i="3"/>
  <c r="AS17" i="3"/>
  <c r="AK16" i="3"/>
  <c r="L33" i="6"/>
  <c r="BB31" i="6"/>
  <c r="S30" i="3"/>
  <c r="S39" i="3"/>
  <c r="R31" i="6"/>
  <c r="S31" i="6"/>
  <c r="S40" i="6"/>
  <c r="AN16" i="3"/>
  <c r="V16" i="3"/>
  <c r="BH17" i="3"/>
  <c r="BL15" i="3"/>
  <c r="Q30" i="3"/>
  <c r="Q39" i="3"/>
  <c r="Q40" i="6"/>
  <c r="P31" i="6"/>
  <c r="L11" i="3"/>
  <c r="R33" i="6"/>
  <c r="BQ10" i="3"/>
  <c r="BC9" i="3"/>
  <c r="Z35" i="2"/>
  <c r="Z37" i="2"/>
  <c r="AB9" i="3"/>
  <c r="BB9" i="3"/>
  <c r="AS12" i="5"/>
  <c r="AT29" i="3"/>
  <c r="BG37" i="3"/>
  <c r="AR22" i="6"/>
  <c r="AR22" i="3"/>
  <c r="AR4" i="3"/>
  <c r="AR23" i="3"/>
  <c r="AR14" i="3"/>
  <c r="AR20" i="3"/>
  <c r="AR6" i="3"/>
  <c r="AG36" i="3"/>
  <c r="AG37" i="3"/>
  <c r="BN39" i="3"/>
  <c r="BN30" i="3"/>
  <c r="D48" i="1"/>
  <c r="D50" i="1"/>
  <c r="BE12" i="5"/>
  <c r="BF29" i="3"/>
  <c r="BE30" i="3"/>
  <c r="BE39" i="3"/>
  <c r="BD40" i="6"/>
  <c r="BC31" i="6"/>
  <c r="BT11" i="3"/>
  <c r="BL16" i="3"/>
  <c r="BI35" i="2"/>
  <c r="BI37" i="2"/>
  <c r="BK9" i="3"/>
  <c r="T5" i="3"/>
  <c r="V11" i="3"/>
  <c r="AR37" i="3"/>
  <c r="BA36" i="3"/>
  <c r="BA37" i="3"/>
  <c r="BD36" i="3"/>
  <c r="BD37" i="3"/>
  <c r="AI11" i="6"/>
  <c r="AN16" i="6"/>
  <c r="AX6" i="6"/>
  <c r="BE14" i="6"/>
  <c r="AJ14" i="6"/>
  <c r="BI36" i="3"/>
  <c r="BI37" i="3"/>
  <c r="BX14" i="6"/>
  <c r="U4" i="3"/>
  <c r="U14" i="3"/>
  <c r="U23" i="3"/>
  <c r="U20" i="3"/>
  <c r="U22" i="3"/>
  <c r="U6" i="3"/>
  <c r="K30" i="6"/>
  <c r="AI12" i="5"/>
  <c r="F19" i="6"/>
  <c r="V15" i="3"/>
  <c r="BG4" i="3"/>
  <c r="BG19" i="3"/>
  <c r="BG6" i="3"/>
  <c r="BG5" i="3"/>
  <c r="AQ11" i="3"/>
  <c r="BN21" i="3"/>
  <c r="AJ17" i="3"/>
  <c r="BF30" i="3"/>
  <c r="BF39" i="3"/>
  <c r="AV22" i="6"/>
  <c r="BC17" i="6"/>
  <c r="AW11" i="6"/>
  <c r="BC11" i="6"/>
  <c r="AN11" i="6"/>
  <c r="AN22" i="6"/>
  <c r="AK9" i="6"/>
  <c r="BA9" i="6"/>
  <c r="AV9" i="6"/>
  <c r="BR30" i="3"/>
  <c r="BR39" i="3"/>
  <c r="AT43" i="5"/>
  <c r="AQ26" i="6"/>
  <c r="AR25" i="3"/>
  <c r="BC16" i="6"/>
  <c r="AT37" i="3"/>
  <c r="BF36" i="3"/>
  <c r="BF37" i="3"/>
  <c r="AJ11" i="6"/>
  <c r="AL11" i="6"/>
  <c r="AM14" i="3"/>
  <c r="AM4" i="3"/>
  <c r="AM6" i="3"/>
  <c r="AM22" i="3"/>
  <c r="AM23" i="3"/>
  <c r="AM20" i="3"/>
  <c r="AK22" i="6"/>
  <c r="AE9" i="3"/>
  <c r="AO9" i="6"/>
  <c r="AK6" i="6"/>
  <c r="BD24" i="3"/>
  <c r="AU4" i="5"/>
  <c r="AV24" i="3"/>
  <c r="BC14" i="6"/>
  <c r="AX24" i="6"/>
  <c r="BC49" i="1"/>
  <c r="BK12" i="5"/>
  <c r="BL29" i="3"/>
  <c r="BK39" i="3"/>
  <c r="BK30" i="3"/>
  <c r="BS30" i="3"/>
  <c r="BS39" i="3"/>
  <c r="BK6" i="3"/>
  <c r="BK14" i="3"/>
  <c r="BK4" i="3"/>
  <c r="BK22" i="3"/>
  <c r="BK23" i="3"/>
  <c r="BK20" i="3"/>
  <c r="BS11" i="6"/>
  <c r="BS14" i="3"/>
  <c r="BS4" i="3"/>
  <c r="BS6" i="3"/>
  <c r="BS22" i="3"/>
  <c r="BS20" i="3"/>
  <c r="BS23" i="3"/>
  <c r="BS12" i="5"/>
  <c r="BT29" i="3"/>
  <c r="BK37" i="3"/>
  <c r="BO37" i="3"/>
  <c r="BS37" i="3"/>
  <c r="BW4" i="5"/>
  <c r="BU4" i="6"/>
  <c r="U50" i="1"/>
  <c r="W22" i="3"/>
  <c r="W14" i="3"/>
  <c r="W23" i="3"/>
  <c r="W20" i="3"/>
  <c r="W4" i="3"/>
  <c r="W6" i="3"/>
  <c r="BX17" i="6"/>
  <c r="Z14" i="3"/>
  <c r="Z4" i="3"/>
  <c r="Z6" i="3"/>
  <c r="Z23" i="3"/>
  <c r="Z20" i="3"/>
  <c r="Z22" i="3"/>
  <c r="AL26" i="6"/>
  <c r="H15" i="6"/>
  <c r="Y12" i="5"/>
  <c r="AA30" i="6"/>
  <c r="AG30" i="6"/>
  <c r="BE49" i="1"/>
  <c r="AE26" i="6"/>
  <c r="BU17" i="6"/>
  <c r="K14" i="3"/>
  <c r="K23" i="3"/>
  <c r="K20" i="3"/>
  <c r="K22" i="3"/>
  <c r="K6" i="3"/>
  <c r="K4" i="3"/>
  <c r="AA26" i="6"/>
  <c r="AB25" i="3"/>
  <c r="BJ11" i="3"/>
  <c r="BQ16" i="3"/>
  <c r="BB16" i="3"/>
  <c r="H15" i="3"/>
  <c r="CA22" i="6"/>
  <c r="BS10" i="3"/>
  <c r="BN15" i="3"/>
  <c r="BE21" i="3"/>
  <c r="BH11" i="3"/>
  <c r="J17" i="3"/>
  <c r="F5" i="3"/>
  <c r="F19" i="3"/>
  <c r="G27" i="7"/>
  <c r="G16" i="7"/>
  <c r="BY35" i="2"/>
  <c r="BY37" i="2"/>
  <c r="CA9" i="6"/>
  <c r="BK16" i="3"/>
  <c r="AR15" i="3"/>
  <c r="BA11" i="3"/>
  <c r="AD21" i="3"/>
  <c r="BZ21" i="6"/>
  <c r="BZ24" i="6"/>
  <c r="BH35" i="2"/>
  <c r="BH37" i="2"/>
  <c r="BJ9" i="3"/>
  <c r="AD11" i="3"/>
  <c r="G11" i="3"/>
  <c r="BO21" i="3"/>
  <c r="BX17" i="3"/>
  <c r="BO11" i="3"/>
  <c r="BG17" i="3"/>
  <c r="BC15" i="3"/>
  <c r="BX21" i="3"/>
  <c r="BP10" i="3"/>
  <c r="BK15" i="3"/>
  <c r="BE11" i="3"/>
  <c r="AO11" i="3"/>
  <c r="AI29" i="3"/>
  <c r="AH12" i="5"/>
  <c r="AP17" i="3"/>
  <c r="P11" i="3"/>
  <c r="J11" i="3"/>
  <c r="BW37" i="3"/>
  <c r="AX17" i="3"/>
  <c r="BB15" i="3"/>
  <c r="AN37" i="3"/>
  <c r="AM43" i="5"/>
  <c r="AN38" i="6"/>
  <c r="V30" i="3"/>
  <c r="V39" i="3"/>
  <c r="V40" i="6"/>
  <c r="V31" i="6"/>
  <c r="U31" i="6"/>
  <c r="M15" i="3"/>
  <c r="R24" i="3"/>
  <c r="Z16" i="3"/>
  <c r="S37" i="3"/>
  <c r="S38" i="6"/>
  <c r="R43" i="5"/>
  <c r="AG4" i="6"/>
  <c r="AG14" i="3"/>
  <c r="AG20" i="3"/>
  <c r="AG22" i="3"/>
  <c r="AG23" i="3"/>
  <c r="AG4" i="3"/>
  <c r="AG6" i="3"/>
  <c r="AG21" i="6"/>
  <c r="AG22" i="6"/>
  <c r="AE16" i="3"/>
  <c r="N11" i="3"/>
  <c r="P15" i="3"/>
  <c r="S35" i="2"/>
  <c r="S37" i="2"/>
  <c r="G6" i="3"/>
  <c r="G22" i="3"/>
  <c r="G14" i="3"/>
  <c r="G23" i="3"/>
  <c r="G20" i="3"/>
  <c r="G4" i="3"/>
  <c r="F4" i="5"/>
  <c r="G22" i="6"/>
  <c r="G23" i="6"/>
  <c r="G21" i="6"/>
  <c r="G24" i="6"/>
  <c r="G6" i="6"/>
  <c r="G4" i="6"/>
  <c r="G15" i="6"/>
  <c r="G14" i="6"/>
  <c r="K16" i="3"/>
  <c r="AS16" i="3"/>
  <c r="K9" i="3"/>
  <c r="I35" i="2"/>
  <c r="I37" i="2"/>
  <c r="AA37" i="3"/>
  <c r="AA38" i="6"/>
  <c r="Z43" i="5"/>
  <c r="S15" i="3"/>
  <c r="AN17" i="3"/>
  <c r="X35" i="2"/>
  <c r="X37" i="2"/>
  <c r="Z9" i="3"/>
  <c r="BH16" i="3"/>
  <c r="W36" i="3"/>
  <c r="W37" i="3"/>
  <c r="W38" i="6"/>
  <c r="V43" i="5"/>
  <c r="BJ21" i="3"/>
  <c r="BQ11" i="3"/>
  <c r="F13" i="6"/>
  <c r="P9" i="3"/>
  <c r="K10" i="6"/>
  <c r="R35" i="2"/>
  <c r="R37" i="2"/>
  <c r="L26" i="6"/>
  <c r="K26" i="6"/>
  <c r="Q12" i="5"/>
  <c r="Q30" i="6"/>
  <c r="G4" i="5"/>
  <c r="M30" i="6"/>
  <c r="L12" i="5"/>
  <c r="L30" i="6"/>
  <c r="R30" i="6"/>
  <c r="R12" i="5"/>
  <c r="AP15" i="6"/>
  <c r="AZ49" i="1"/>
  <c r="AP24" i="6"/>
  <c r="BR11" i="6"/>
  <c r="H22" i="6"/>
  <c r="H16" i="6"/>
  <c r="AW12" i="5"/>
  <c r="BX16" i="6"/>
  <c r="AG4" i="5"/>
  <c r="AH6" i="6"/>
  <c r="AG11" i="6"/>
  <c r="AH4" i="6"/>
  <c r="Z30" i="6"/>
  <c r="E18" i="3"/>
  <c r="C37" i="1"/>
  <c r="C48" i="1"/>
  <c r="C42" i="2"/>
  <c r="D5" i="5"/>
  <c r="E18" i="6"/>
  <c r="BB24" i="6"/>
  <c r="AP23" i="6"/>
  <c r="BW21" i="6"/>
  <c r="BF17" i="6"/>
  <c r="H14" i="6"/>
  <c r="AV30" i="6"/>
  <c r="BW17" i="6"/>
  <c r="W12" i="5"/>
  <c r="W30" i="6"/>
  <c r="J26" i="6"/>
  <c r="BY6" i="6"/>
  <c r="BY14" i="6"/>
  <c r="BY4" i="6"/>
  <c r="BY23" i="6"/>
  <c r="BB22" i="6"/>
  <c r="BB17" i="6"/>
  <c r="BA11" i="6"/>
  <c r="AM15" i="6"/>
  <c r="AP9" i="6"/>
  <c r="BB23" i="6"/>
  <c r="AP21" i="6"/>
  <c r="BW24" i="6"/>
  <c r="BU11" i="6"/>
  <c r="H6" i="6"/>
  <c r="P30" i="6"/>
  <c r="H11" i="6"/>
  <c r="AM30" i="6"/>
  <c r="K4" i="6"/>
  <c r="J50" i="1"/>
  <c r="N21" i="6"/>
  <c r="M21" i="6"/>
  <c r="M16" i="6"/>
  <c r="M14" i="6"/>
  <c r="N9" i="6"/>
  <c r="V30" i="6"/>
  <c r="H4" i="6"/>
  <c r="BB16" i="6"/>
  <c r="BB15" i="6"/>
  <c r="AO11" i="6"/>
  <c r="AP17" i="6"/>
  <c r="AP22" i="6"/>
  <c r="BB21" i="6"/>
  <c r="AP14" i="6"/>
  <c r="BK11" i="6"/>
  <c r="BW22" i="6"/>
  <c r="BX9" i="6"/>
  <c r="BY24" i="6"/>
  <c r="BW11" i="6"/>
  <c r="BY21" i="6"/>
  <c r="BW16" i="6"/>
  <c r="H23" i="6"/>
  <c r="H24" i="6"/>
  <c r="E27" i="3"/>
  <c r="AP30" i="6"/>
  <c r="AN30" i="6"/>
  <c r="BG21" i="6"/>
  <c r="BG23" i="6"/>
  <c r="BG14" i="6"/>
  <c r="BG15" i="6"/>
  <c r="BG16" i="6"/>
  <c r="BG24" i="6"/>
  <c r="D26" i="1"/>
  <c r="F21" i="3"/>
  <c r="E30" i="5"/>
  <c r="F39" i="6"/>
  <c r="H39" i="6"/>
  <c r="G39" i="6"/>
  <c r="O12" i="5"/>
  <c r="AP16" i="6"/>
  <c r="BB14" i="6"/>
  <c r="AP6" i="6"/>
  <c r="BW9" i="6"/>
  <c r="BX4" i="5"/>
  <c r="BW4" i="6"/>
  <c r="BW23" i="6"/>
  <c r="BV4" i="5"/>
  <c r="BW24" i="3"/>
  <c r="S22" i="6"/>
  <c r="J30" i="6"/>
  <c r="E28" i="6"/>
  <c r="AO12" i="5"/>
  <c r="AN6" i="6"/>
  <c r="AM4" i="5"/>
  <c r="J16" i="6"/>
  <c r="J22" i="6"/>
  <c r="J17" i="6"/>
  <c r="J21" i="6"/>
  <c r="H36" i="6"/>
  <c r="F36" i="6"/>
  <c r="F29" i="6"/>
  <c r="K22" i="6"/>
  <c r="BY17" i="6"/>
  <c r="H17" i="6"/>
  <c r="G50" i="1"/>
  <c r="BB11" i="6"/>
  <c r="BB9" i="6"/>
  <c r="BC25" i="6"/>
  <c r="AU25" i="6"/>
  <c r="AY25" i="6"/>
  <c r="BA4" i="5"/>
  <c r="AP4" i="6"/>
  <c r="BY11" i="6"/>
  <c r="BY9" i="6"/>
  <c r="G11" i="6"/>
  <c r="BE11" i="6"/>
  <c r="BT4" i="5"/>
  <c r="BU24" i="6"/>
  <c r="BU14" i="6"/>
  <c r="BU15" i="6"/>
  <c r="BU23" i="6"/>
  <c r="BU22" i="6"/>
  <c r="BT49" i="1"/>
  <c r="BU4" i="5"/>
  <c r="BV16" i="6"/>
  <c r="R37" i="6"/>
  <c r="BV22" i="6"/>
  <c r="E16" i="3"/>
  <c r="E14" i="6"/>
  <c r="E22" i="3"/>
  <c r="D4" i="5"/>
  <c r="E15" i="3"/>
  <c r="E20" i="3"/>
  <c r="E21" i="6"/>
  <c r="C50" i="1"/>
  <c r="E22" i="6"/>
  <c r="E16" i="6"/>
  <c r="E11" i="3"/>
  <c r="E17" i="3"/>
  <c r="E11" i="6"/>
  <c r="E23" i="3"/>
  <c r="E17" i="6"/>
  <c r="E21" i="3"/>
  <c r="E23" i="6"/>
  <c r="E15" i="6"/>
  <c r="E14" i="3"/>
  <c r="E24" i="6"/>
  <c r="E4" i="6"/>
  <c r="E6" i="6"/>
  <c r="BG19" i="6"/>
  <c r="BG5" i="6"/>
  <c r="BG6" i="6"/>
  <c r="BG4" i="6"/>
  <c r="AK26" i="6"/>
  <c r="AJ26" i="6"/>
  <c r="AE17" i="6"/>
  <c r="AE6" i="6"/>
  <c r="AE22" i="6"/>
  <c r="AE23" i="6"/>
  <c r="AE24" i="6"/>
  <c r="AF9" i="6"/>
  <c r="AD4" i="5"/>
  <c r="AF36" i="3"/>
  <c r="AE11" i="6"/>
  <c r="AE21" i="6"/>
  <c r="AE4" i="6"/>
  <c r="AE15" i="6"/>
  <c r="AE16" i="6"/>
  <c r="AE14" i="6"/>
  <c r="N37" i="6"/>
  <c r="BT11" i="6"/>
  <c r="BI11" i="6"/>
  <c r="BQ11" i="6"/>
  <c r="V24" i="6"/>
  <c r="V21" i="6"/>
  <c r="V4" i="6"/>
  <c r="V23" i="6"/>
  <c r="V11" i="6"/>
  <c r="V6" i="6"/>
  <c r="U4" i="5"/>
  <c r="V17" i="6"/>
  <c r="W9" i="6"/>
  <c r="V14" i="6"/>
  <c r="T50" i="1"/>
  <c r="V16" i="6"/>
  <c r="V22" i="6"/>
  <c r="AB26" i="6"/>
  <c r="AC26" i="6"/>
  <c r="T28" i="6"/>
  <c r="S28" i="6"/>
  <c r="I14" i="6"/>
  <c r="H4" i="5"/>
  <c r="J25" i="6"/>
  <c r="I21" i="6"/>
  <c r="I17" i="6"/>
  <c r="I15" i="6"/>
  <c r="I24" i="6"/>
  <c r="I6" i="6"/>
  <c r="I16" i="6"/>
  <c r="J9" i="6"/>
  <c r="I23" i="6"/>
  <c r="I4" i="6"/>
  <c r="V15" i="6"/>
  <c r="K25" i="6"/>
  <c r="AA15" i="6"/>
  <c r="AA24" i="6"/>
  <c r="AA23" i="6"/>
  <c r="AA21" i="6"/>
  <c r="AA22" i="6"/>
  <c r="Z4" i="5"/>
  <c r="AB24" i="3"/>
  <c r="AA11" i="6"/>
  <c r="AA14" i="6"/>
  <c r="AB9" i="6"/>
  <c r="AA4" i="6"/>
  <c r="AA6" i="6"/>
  <c r="N30" i="6"/>
  <c r="N12" i="5"/>
  <c r="O30" i="6"/>
  <c r="R37" i="1"/>
  <c r="R48" i="1"/>
  <c r="T18" i="6"/>
  <c r="S5" i="5"/>
  <c r="T25" i="3"/>
  <c r="W23" i="6"/>
  <c r="W15" i="6"/>
  <c r="W6" i="6"/>
  <c r="W22" i="6"/>
  <c r="W16" i="6"/>
  <c r="V4" i="5"/>
  <c r="X24" i="3"/>
  <c r="X9" i="6"/>
  <c r="W14" i="6"/>
  <c r="W11" i="6"/>
  <c r="W24" i="6"/>
  <c r="W4" i="6"/>
  <c r="W17" i="6"/>
  <c r="W21" i="6"/>
  <c r="T19" i="6"/>
  <c r="K42" i="2"/>
  <c r="M50" i="1"/>
  <c r="E19" i="3"/>
  <c r="E4" i="3"/>
  <c r="E5" i="3"/>
  <c r="E6" i="3"/>
  <c r="T4" i="5"/>
  <c r="U15" i="6"/>
  <c r="U17" i="6"/>
  <c r="U4" i="6"/>
  <c r="U6" i="6"/>
  <c r="U21" i="6"/>
  <c r="V9" i="6"/>
  <c r="U11" i="6"/>
  <c r="U14" i="6"/>
  <c r="U22" i="6"/>
  <c r="U16" i="6"/>
  <c r="U23" i="6"/>
  <c r="U24" i="6"/>
  <c r="K37" i="6"/>
  <c r="L23" i="6"/>
  <c r="L21" i="6"/>
  <c r="L24" i="6"/>
  <c r="L11" i="6"/>
  <c r="L14" i="6"/>
  <c r="K4" i="5"/>
  <c r="L24" i="3"/>
  <c r="L16" i="6"/>
  <c r="L4" i="6"/>
  <c r="L22" i="6"/>
  <c r="L15" i="6"/>
  <c r="L17" i="6"/>
  <c r="L6" i="6"/>
  <c r="AC6" i="6"/>
  <c r="AC23" i="6"/>
  <c r="AC16" i="6"/>
  <c r="AC22" i="6"/>
  <c r="AB4" i="5"/>
  <c r="AC15" i="6"/>
  <c r="AC17" i="6"/>
  <c r="AC24" i="6"/>
  <c r="AC9" i="6"/>
  <c r="AC21" i="6"/>
  <c r="AB11" i="6"/>
  <c r="AC14" i="6"/>
  <c r="AC4" i="6"/>
  <c r="BJ11" i="6"/>
  <c r="Z15" i="6"/>
  <c r="Z24" i="6"/>
  <c r="Y11" i="6"/>
  <c r="Z17" i="6"/>
  <c r="Z23" i="6"/>
  <c r="Z16" i="6"/>
  <c r="AA9" i="6"/>
  <c r="Z4" i="6"/>
  <c r="X50" i="1"/>
  <c r="Z14" i="6"/>
  <c r="Z11" i="6"/>
  <c r="Z21" i="6"/>
  <c r="Z22" i="6"/>
  <c r="Y4" i="5"/>
  <c r="Z24" i="3"/>
  <c r="Z6" i="6"/>
  <c r="M26" i="6"/>
  <c r="N26" i="6"/>
  <c r="F42" i="2"/>
  <c r="H50" i="1"/>
  <c r="X26" i="6"/>
  <c r="W26" i="6"/>
  <c r="D23" i="3"/>
  <c r="D22" i="3"/>
  <c r="C4" i="5"/>
  <c r="D4" i="6"/>
  <c r="D21" i="6"/>
  <c r="D17" i="6"/>
  <c r="D6" i="3"/>
  <c r="D17" i="3"/>
  <c r="D22" i="6"/>
  <c r="D4" i="3"/>
  <c r="D16" i="3"/>
  <c r="D20" i="3"/>
  <c r="D6" i="6"/>
  <c r="D16" i="6"/>
  <c r="D21" i="3"/>
  <c r="D15" i="6"/>
  <c r="D14" i="6"/>
  <c r="D11" i="3"/>
  <c r="D15" i="3"/>
  <c r="D23" i="6"/>
  <c r="D14" i="3"/>
  <c r="D24" i="6"/>
  <c r="D11" i="6"/>
  <c r="X25" i="6"/>
  <c r="Y37" i="6"/>
  <c r="Y25" i="6"/>
  <c r="AK12" i="5"/>
  <c r="AK30" i="6"/>
  <c r="T30" i="6"/>
  <c r="T12" i="5"/>
  <c r="I9" i="6"/>
  <c r="I26" i="6"/>
  <c r="AC30" i="6"/>
  <c r="AC12" i="5"/>
  <c r="T5" i="6"/>
  <c r="BM11" i="6"/>
  <c r="BY49" i="1"/>
  <c r="R26" i="1"/>
  <c r="T13" i="6"/>
  <c r="P50" i="1"/>
  <c r="N42" i="2"/>
  <c r="I12" i="5"/>
  <c r="I30" i="6"/>
  <c r="Z50" i="1"/>
  <c r="E13" i="6"/>
  <c r="E13" i="3"/>
  <c r="BH11" i="6"/>
  <c r="BP11" i="6"/>
  <c r="S12" i="5"/>
  <c r="S30" i="6"/>
  <c r="O4" i="5"/>
  <c r="Q36" i="3"/>
  <c r="P21" i="6"/>
  <c r="P24" i="6"/>
  <c r="P16" i="6"/>
  <c r="P17" i="6"/>
  <c r="P4" i="6"/>
  <c r="P23" i="6"/>
  <c r="P15" i="6"/>
  <c r="P6" i="6"/>
  <c r="P22" i="6"/>
  <c r="P11" i="6"/>
  <c r="Q9" i="6"/>
  <c r="P14" i="6"/>
  <c r="R26" i="6"/>
  <c r="AD30" i="6"/>
  <c r="P42" i="2"/>
  <c r="R50" i="1"/>
  <c r="S14" i="6"/>
  <c r="S21" i="6"/>
  <c r="S17" i="6"/>
  <c r="S16" i="6"/>
  <c r="S24" i="6"/>
  <c r="S15" i="6"/>
  <c r="S23" i="6"/>
  <c r="S4" i="6"/>
  <c r="R11" i="6"/>
  <c r="R4" i="5"/>
  <c r="S6" i="6"/>
  <c r="S11" i="6"/>
  <c r="T9" i="6"/>
  <c r="AB50" i="1"/>
  <c r="AA17" i="6"/>
  <c r="N25" i="6"/>
  <c r="BE4" i="5"/>
  <c r="BF6" i="6"/>
  <c r="BF15" i="6"/>
  <c r="BF21" i="6"/>
  <c r="BF14" i="6"/>
  <c r="BF23" i="6"/>
  <c r="BF4" i="6"/>
  <c r="BF11" i="6"/>
  <c r="BF16" i="6"/>
  <c r="BF22" i="6"/>
  <c r="BG9" i="6"/>
  <c r="BF24" i="6"/>
  <c r="AL30" i="6"/>
  <c r="BR48" i="1"/>
  <c r="BR49" i="1"/>
  <c r="BS33" i="2"/>
  <c r="BU9" i="3"/>
  <c r="BT5" i="6"/>
  <c r="BT19" i="6"/>
  <c r="BH26" i="6"/>
  <c r="BI26" i="6"/>
  <c r="BJ26" i="6"/>
  <c r="BK26" i="6"/>
  <c r="BL26" i="6"/>
  <c r="BM26" i="6"/>
  <c r="BN26" i="6"/>
  <c r="BO26" i="6"/>
  <c r="BP26" i="6"/>
  <c r="BQ26" i="6"/>
  <c r="BR26" i="6"/>
  <c r="BS26" i="6"/>
  <c r="BT26" i="6"/>
  <c r="BS4" i="5"/>
  <c r="BT4" i="6"/>
  <c r="BT6" i="6"/>
  <c r="BT14" i="6"/>
  <c r="BT16" i="6"/>
  <c r="BT17" i="6"/>
  <c r="BT21" i="6"/>
  <c r="BT22" i="6"/>
  <c r="BT23" i="6"/>
  <c r="BT24" i="6"/>
  <c r="BT15" i="6"/>
  <c r="BH9" i="6"/>
  <c r="BI9" i="6"/>
  <c r="BG4" i="5"/>
  <c r="BH36" i="3"/>
  <c r="BH4" i="6"/>
  <c r="BH6" i="6"/>
  <c r="BH14" i="6"/>
  <c r="BH16" i="6"/>
  <c r="BH17" i="6"/>
  <c r="BH21" i="6"/>
  <c r="BH22" i="6"/>
  <c r="BH23" i="6"/>
  <c r="BH24" i="6"/>
  <c r="BH15" i="6"/>
  <c r="BJ9" i="6"/>
  <c r="BH4" i="5"/>
  <c r="BI24" i="3"/>
  <c r="BI4" i="6"/>
  <c r="BI6" i="6"/>
  <c r="BI14" i="6"/>
  <c r="BI16" i="6"/>
  <c r="BI17" i="6"/>
  <c r="BI21" i="6"/>
  <c r="BI22" i="6"/>
  <c r="BI23" i="6"/>
  <c r="BI24" i="6"/>
  <c r="BI15" i="6"/>
  <c r="BK9" i="6"/>
  <c r="BI4" i="5"/>
  <c r="BJ4" i="6"/>
  <c r="BJ6" i="6"/>
  <c r="BJ14" i="6"/>
  <c r="BJ16" i="6"/>
  <c r="BJ17" i="6"/>
  <c r="BJ21" i="6"/>
  <c r="BJ22" i="6"/>
  <c r="BJ23" i="6"/>
  <c r="BJ24" i="6"/>
  <c r="BJ15" i="6"/>
  <c r="BL9" i="6"/>
  <c r="BJ4" i="5"/>
  <c r="BK24" i="3"/>
  <c r="BK4" i="6"/>
  <c r="BK6" i="6"/>
  <c r="BK14" i="6"/>
  <c r="BK16" i="6"/>
  <c r="BK17" i="6"/>
  <c r="BK21" i="6"/>
  <c r="BK22" i="6"/>
  <c r="BK23" i="6"/>
  <c r="BK24" i="6"/>
  <c r="BK15" i="6"/>
  <c r="BM9" i="6"/>
  <c r="BK4" i="5"/>
  <c r="BM36" i="3"/>
  <c r="BL4" i="6"/>
  <c r="BL6" i="6"/>
  <c r="BL14" i="6"/>
  <c r="BL16" i="6"/>
  <c r="BL17" i="6"/>
  <c r="BL21" i="6"/>
  <c r="BL22" i="6"/>
  <c r="BL23" i="6"/>
  <c r="BL24" i="6"/>
  <c r="BL15" i="6"/>
  <c r="BN9" i="6"/>
  <c r="BL4" i="5"/>
  <c r="BM24" i="3"/>
  <c r="BM4" i="6"/>
  <c r="BM6" i="6"/>
  <c r="BM14" i="6"/>
  <c r="BM16" i="6"/>
  <c r="BM17" i="6"/>
  <c r="BM21" i="6"/>
  <c r="BM22" i="6"/>
  <c r="BM23" i="6"/>
  <c r="BM24" i="6"/>
  <c r="BM15" i="6"/>
  <c r="BO9" i="6"/>
  <c r="BM4" i="5"/>
  <c r="BO36" i="3"/>
  <c r="BN4" i="6"/>
  <c r="BN6" i="6"/>
  <c r="BN14" i="6"/>
  <c r="BN16" i="6"/>
  <c r="BN17" i="6"/>
  <c r="BN21" i="6"/>
  <c r="BN22" i="6"/>
  <c r="BN23" i="6"/>
  <c r="BN24" i="6"/>
  <c r="BN15" i="6"/>
  <c r="BP9" i="6"/>
  <c r="BN4" i="5"/>
  <c r="BO24" i="3"/>
  <c r="BO4" i="6"/>
  <c r="BO6" i="6"/>
  <c r="BO14" i="6"/>
  <c r="BO16" i="6"/>
  <c r="BO17" i="6"/>
  <c r="BO21" i="6"/>
  <c r="BO22" i="6"/>
  <c r="BO23" i="6"/>
  <c r="BO24" i="6"/>
  <c r="BO15" i="6"/>
  <c r="BQ9" i="6"/>
  <c r="BO4" i="5"/>
  <c r="BQ36" i="3"/>
  <c r="BP4" i="6"/>
  <c r="BP6" i="6"/>
  <c r="BP14" i="6"/>
  <c r="BP16" i="6"/>
  <c r="BP17" i="6"/>
  <c r="BP21" i="6"/>
  <c r="BP22" i="6"/>
  <c r="BP23" i="6"/>
  <c r="BP24" i="6"/>
  <c r="BP15" i="6"/>
  <c r="BR9" i="6"/>
  <c r="BP4" i="5"/>
  <c r="BQ24" i="3"/>
  <c r="BQ4" i="6"/>
  <c r="BQ6" i="6"/>
  <c r="BQ14" i="6"/>
  <c r="BQ16" i="6"/>
  <c r="BQ17" i="6"/>
  <c r="BQ21" i="6"/>
  <c r="BQ22" i="6"/>
  <c r="BQ23" i="6"/>
  <c r="BQ24" i="6"/>
  <c r="BQ15" i="6"/>
  <c r="BS9" i="6"/>
  <c r="BQ4" i="5"/>
  <c r="BS36" i="3"/>
  <c r="BR4" i="6"/>
  <c r="BR6" i="6"/>
  <c r="BR14" i="6"/>
  <c r="BR16" i="6"/>
  <c r="BR17" i="6"/>
  <c r="BR21" i="6"/>
  <c r="BR22" i="6"/>
  <c r="BR23" i="6"/>
  <c r="BR24" i="6"/>
  <c r="BR15" i="6"/>
  <c r="BT9" i="6"/>
  <c r="BR4" i="5"/>
  <c r="BS24" i="3"/>
  <c r="BS4" i="6"/>
  <c r="BS6" i="6"/>
  <c r="BS14" i="6"/>
  <c r="BS16" i="6"/>
  <c r="BS17" i="6"/>
  <c r="BS21" i="6"/>
  <c r="BS22" i="6"/>
  <c r="BS23" i="6"/>
  <c r="BS24" i="6"/>
  <c r="BS15" i="6"/>
  <c r="AT12" i="5"/>
  <c r="AS30" i="6"/>
  <c r="AY30" i="6"/>
  <c r="AZ12" i="5"/>
  <c r="BA12" i="5"/>
  <c r="AZ30" i="6"/>
  <c r="BA30" i="6"/>
  <c r="BB12" i="5"/>
  <c r="AX30" i="6"/>
  <c r="AY12" i="5"/>
  <c r="BC30" i="6"/>
  <c r="BD12" i="5"/>
  <c r="BD30" i="6"/>
  <c r="AT30" i="6"/>
  <c r="AU12" i="5"/>
  <c r="AU30" i="6"/>
  <c r="BB30" i="6"/>
  <c r="BC12" i="5"/>
  <c r="AW40" i="6"/>
  <c r="AW31" i="6"/>
  <c r="AV31" i="6"/>
  <c r="AZ40" i="6"/>
  <c r="AZ31" i="6"/>
  <c r="AY31" i="6"/>
  <c r="BE40" i="6"/>
  <c r="BE31" i="6"/>
  <c r="BD31" i="6"/>
  <c r="AQ12" i="5"/>
  <c r="AQ30" i="6"/>
  <c r="AR30" i="6"/>
  <c r="AR12" i="5"/>
  <c r="BF14" i="5"/>
  <c r="BF11" i="5"/>
  <c r="BG29" i="3"/>
  <c r="BF29" i="6"/>
  <c r="BF36" i="6"/>
  <c r="BG36" i="6"/>
  <c r="BE29" i="6"/>
  <c r="AR26" i="6"/>
  <c r="AS26" i="6"/>
  <c r="AU26" i="6"/>
  <c r="AT26" i="6"/>
  <c r="AV26" i="6"/>
  <c r="AW26" i="6"/>
  <c r="AX26" i="6"/>
  <c r="AY26" i="6"/>
  <c r="AZ26" i="6"/>
  <c r="BA26" i="6"/>
  <c r="BB26" i="6"/>
  <c r="BC26" i="6"/>
  <c r="BD26" i="6"/>
  <c r="BD48" i="1"/>
  <c r="BE26" i="6"/>
  <c r="BF26" i="6"/>
  <c r="BG26" i="6"/>
  <c r="AQ4" i="6"/>
  <c r="AQ6" i="6"/>
  <c r="AQ14" i="6"/>
  <c r="AQ21" i="6"/>
  <c r="AQ23" i="6"/>
  <c r="AQ24" i="6"/>
  <c r="AP4" i="5"/>
  <c r="AQ24" i="3"/>
  <c r="AQ9" i="6"/>
  <c r="AQ11" i="6"/>
  <c r="AP11" i="6"/>
  <c r="AR9" i="6"/>
  <c r="AQ15" i="6"/>
  <c r="AQ16" i="6"/>
  <c r="AQ17" i="6"/>
  <c r="AQ4" i="5"/>
  <c r="AS36" i="3"/>
  <c r="AR4" i="6"/>
  <c r="AR6" i="6"/>
  <c r="AR14" i="6"/>
  <c r="AR21" i="6"/>
  <c r="AR23" i="6"/>
  <c r="AR24" i="6"/>
  <c r="AS9" i="6"/>
  <c r="AR11" i="6"/>
  <c r="AR15" i="6"/>
  <c r="AR16" i="6"/>
  <c r="AR17" i="6"/>
  <c r="AR4" i="5"/>
  <c r="AT36" i="3"/>
  <c r="AS4" i="6"/>
  <c r="AS6" i="6"/>
  <c r="AS14" i="6"/>
  <c r="AS21" i="6"/>
  <c r="AS23" i="6"/>
  <c r="AS24" i="6"/>
  <c r="AT9" i="6"/>
  <c r="AS11" i="6"/>
  <c r="AS15" i="6"/>
  <c r="AS16" i="6"/>
  <c r="AS17" i="6"/>
  <c r="AS4" i="5"/>
  <c r="AT14" i="6"/>
  <c r="AT21" i="6"/>
  <c r="AT23" i="6"/>
  <c r="AT24" i="6"/>
  <c r="AT4" i="6"/>
  <c r="AT6" i="6"/>
  <c r="AU9" i="6"/>
  <c r="AT11" i="6"/>
  <c r="AT15" i="6"/>
  <c r="AT16" i="6"/>
  <c r="AT17" i="6"/>
  <c r="AR38" i="6"/>
  <c r="AS38" i="6"/>
  <c r="AT38" i="6"/>
  <c r="AU37" i="6"/>
  <c r="AU38" i="6"/>
  <c r="AV37" i="6"/>
  <c r="AV38" i="6"/>
  <c r="AW38" i="6"/>
  <c r="AW37" i="6"/>
  <c r="AW43" i="5"/>
  <c r="AX38" i="6"/>
  <c r="AX37" i="6"/>
  <c r="AY37" i="6"/>
  <c r="AY43" i="5"/>
  <c r="AY38" i="6"/>
  <c r="AZ37" i="6"/>
  <c r="AZ43" i="5"/>
  <c r="AZ38" i="6"/>
  <c r="BA37" i="6"/>
  <c r="BA38" i="6"/>
  <c r="BB37" i="6"/>
  <c r="BB38" i="6"/>
  <c r="BC37" i="6"/>
  <c r="BC38" i="6"/>
  <c r="BD37" i="6"/>
  <c r="BD38" i="6"/>
  <c r="BE43" i="5"/>
  <c r="BE37" i="6"/>
  <c r="BE38" i="6"/>
  <c r="BF38" i="6"/>
  <c r="BF37" i="6"/>
  <c r="AJ38" i="6"/>
  <c r="AJ40" i="6"/>
  <c r="AI31" i="6"/>
  <c r="AJ31" i="6"/>
  <c r="AP26" i="6"/>
  <c r="AO26" i="6"/>
  <c r="AM14" i="6"/>
  <c r="AM21" i="6"/>
  <c r="AM23" i="6"/>
  <c r="AM24" i="6"/>
  <c r="AM4" i="6"/>
  <c r="AM6" i="6"/>
  <c r="AL4" i="5"/>
  <c r="AN36" i="3"/>
  <c r="AM9" i="6"/>
  <c r="AN9" i="6"/>
  <c r="AM22" i="6"/>
  <c r="AM16" i="6"/>
  <c r="AM17" i="6"/>
  <c r="AF43" i="5"/>
  <c r="AG38" i="6"/>
  <c r="AG37" i="6"/>
  <c r="AG43" i="5"/>
  <c r="AH38" i="6"/>
  <c r="AH37" i="6"/>
  <c r="AH9" i="6"/>
  <c r="AF35" i="2"/>
  <c r="AF37" i="2"/>
  <c r="AC35" i="2"/>
  <c r="AC37" i="2"/>
  <c r="AE9" i="6"/>
  <c r="AE43" i="5"/>
  <c r="AF38" i="6"/>
  <c r="AF37" i="6"/>
  <c r="AD6" i="6"/>
  <c r="AD24" i="6"/>
  <c r="AD15" i="6"/>
  <c r="AD17" i="6"/>
  <c r="AD4" i="6"/>
  <c r="AC11" i="6"/>
  <c r="AD9" i="6"/>
  <c r="AD23" i="6"/>
  <c r="AC4" i="5"/>
  <c r="AD14" i="6"/>
  <c r="AD21" i="6"/>
  <c r="AD22" i="6"/>
  <c r="AD11" i="6"/>
  <c r="AD16" i="6"/>
  <c r="Q29" i="2"/>
  <c r="Q33" i="2"/>
  <c r="S9" i="3"/>
  <c r="S10" i="6"/>
  <c r="O14" i="6"/>
  <c r="O15" i="6"/>
  <c r="O22" i="6"/>
  <c r="O21" i="6"/>
  <c r="O23" i="6"/>
  <c r="O24" i="6"/>
  <c r="O16" i="6"/>
  <c r="O11" i="6"/>
  <c r="P9" i="6"/>
  <c r="N50" i="1"/>
  <c r="O17" i="6"/>
  <c r="N11" i="6"/>
  <c r="O4" i="6"/>
  <c r="O6" i="6"/>
  <c r="O9" i="6"/>
  <c r="N4" i="5"/>
  <c r="J29" i="2"/>
  <c r="J33" i="2"/>
  <c r="L9" i="3"/>
  <c r="L10" i="6"/>
  <c r="B29" i="2"/>
  <c r="B33" i="2"/>
  <c r="B35" i="2"/>
  <c r="B37" i="2"/>
  <c r="D10" i="3"/>
  <c r="D10" i="6"/>
  <c r="BG11" i="6"/>
  <c r="BF25" i="6"/>
  <c r="BG37" i="6"/>
  <c r="BB25" i="6"/>
  <c r="AZ25" i="6"/>
  <c r="AX25" i="6"/>
  <c r="BD25" i="6"/>
  <c r="AV25" i="6"/>
  <c r="F7" i="7"/>
  <c r="F8" i="7"/>
  <c r="F11" i="7"/>
  <c r="BX36" i="3"/>
  <c r="AD24" i="3"/>
  <c r="AE36" i="3"/>
  <c r="BE25" i="6"/>
  <c r="BF24" i="3"/>
  <c r="T14" i="3"/>
  <c r="T20" i="3"/>
  <c r="T22" i="3"/>
  <c r="T17" i="3"/>
  <c r="T11" i="3"/>
  <c r="T16" i="3"/>
  <c r="T23" i="3"/>
  <c r="T15" i="3"/>
  <c r="BA25" i="6"/>
  <c r="BB24" i="3"/>
  <c r="I37" i="6"/>
  <c r="H24" i="3"/>
  <c r="I36" i="3"/>
  <c r="AA36" i="3"/>
  <c r="BX24" i="3"/>
  <c r="BN36" i="3"/>
  <c r="AV36" i="3"/>
  <c r="AW36" i="3"/>
  <c r="S24" i="3"/>
  <c r="F25" i="3"/>
  <c r="F26" i="6"/>
  <c r="AO24" i="3"/>
  <c r="AP37" i="6"/>
  <c r="BC36" i="3"/>
  <c r="BT36" i="3"/>
  <c r="Q24" i="3"/>
  <c r="I24" i="3"/>
  <c r="J36" i="3"/>
  <c r="BT24" i="3"/>
  <c r="BU24" i="3"/>
  <c r="BV36" i="3"/>
  <c r="AH24" i="3"/>
  <c r="AI36" i="3"/>
  <c r="AR36" i="3"/>
  <c r="AI24" i="3"/>
  <c r="BG24" i="3"/>
  <c r="BJ36" i="3"/>
  <c r="BP36" i="3"/>
  <c r="F9" i="3"/>
  <c r="F50" i="1"/>
  <c r="P24" i="3"/>
  <c r="V24" i="3"/>
  <c r="BV24" i="3"/>
  <c r="BW36" i="3"/>
  <c r="F6" i="3"/>
  <c r="AF24" i="3"/>
  <c r="BZ35" i="2"/>
  <c r="BZ37" i="2"/>
  <c r="F50" i="7"/>
  <c r="F17" i="7"/>
  <c r="CB9" i="6"/>
  <c r="AK24" i="3"/>
  <c r="AK25" i="6"/>
  <c r="AL37" i="6"/>
  <c r="AL36" i="3"/>
  <c r="AL24" i="3"/>
  <c r="AL25" i="6"/>
  <c r="Z36" i="3"/>
  <c r="AS25" i="6"/>
  <c r="AS24" i="3"/>
  <c r="O24" i="3"/>
  <c r="O36" i="3"/>
  <c r="P36" i="3"/>
  <c r="AM24" i="3"/>
  <c r="AM36" i="3"/>
  <c r="AT24" i="3"/>
  <c r="AR25" i="6"/>
  <c r="AR24" i="3"/>
  <c r="BU9" i="6"/>
  <c r="F22" i="3"/>
  <c r="F14" i="3"/>
  <c r="F16" i="3"/>
  <c r="F23" i="3"/>
  <c r="F20" i="3"/>
  <c r="F17" i="3"/>
  <c r="G9" i="3"/>
  <c r="F15" i="3"/>
  <c r="F11" i="3"/>
  <c r="U9" i="3"/>
  <c r="S36" i="3"/>
  <c r="T4" i="3"/>
  <c r="J24" i="3"/>
  <c r="K36" i="3"/>
  <c r="AW25" i="6"/>
  <c r="AX24" i="3"/>
  <c r="BE36" i="3"/>
  <c r="M36" i="3"/>
  <c r="AK37" i="6"/>
  <c r="AJ24" i="3"/>
  <c r="AJ25" i="6"/>
  <c r="AJ36" i="3"/>
  <c r="AK36" i="3"/>
  <c r="AJ37" i="6"/>
  <c r="T21" i="3"/>
  <c r="BR24" i="3"/>
  <c r="BP24" i="3"/>
  <c r="BN24" i="3"/>
  <c r="BL24" i="3"/>
  <c r="BJ24" i="3"/>
  <c r="BH37" i="6"/>
  <c r="BH24" i="3"/>
  <c r="W24" i="3"/>
  <c r="X36" i="3"/>
  <c r="AF25" i="6"/>
  <c r="AE24" i="3"/>
  <c r="G24" i="3"/>
  <c r="H36" i="3"/>
  <c r="F4" i="3"/>
  <c r="T6" i="3"/>
  <c r="BG36" i="3"/>
  <c r="E10" i="3"/>
  <c r="C29" i="2"/>
  <c r="C33" i="2"/>
  <c r="E10" i="6"/>
  <c r="AP25" i="6"/>
  <c r="AP24" i="3"/>
  <c r="AQ36" i="3"/>
  <c r="J9" i="3"/>
  <c r="H35" i="2"/>
  <c r="H37" i="2"/>
  <c r="G30" i="7"/>
  <c r="G17" i="7"/>
  <c r="F21" i="7"/>
  <c r="F24" i="7"/>
  <c r="F26" i="7"/>
  <c r="AW24" i="3"/>
  <c r="BL36" i="3"/>
  <c r="M24" i="3"/>
  <c r="M9" i="3"/>
  <c r="K35" i="2"/>
  <c r="K37" i="2"/>
  <c r="AN24" i="3"/>
  <c r="AO36" i="3"/>
  <c r="AR37" i="6"/>
  <c r="AC24" i="3"/>
  <c r="AD36" i="3"/>
  <c r="M9" i="6"/>
  <c r="AA24" i="3"/>
  <c r="AB36" i="3"/>
  <c r="T9" i="3"/>
  <c r="AC36" i="3"/>
  <c r="BK36" i="3"/>
  <c r="AU24" i="3"/>
  <c r="AU36" i="3"/>
  <c r="BR36" i="3"/>
  <c r="BB36" i="3"/>
  <c r="AX36" i="3"/>
  <c r="S11" i="3"/>
  <c r="L36" i="3"/>
  <c r="AO25" i="6"/>
  <c r="AO37" i="6"/>
  <c r="D25" i="3"/>
  <c r="E26" i="6"/>
  <c r="E25" i="3"/>
  <c r="D26" i="6"/>
  <c r="AH25" i="6"/>
  <c r="AI25" i="6"/>
  <c r="AI37" i="6"/>
  <c r="BG25" i="6"/>
  <c r="F17" i="6"/>
  <c r="F24" i="6"/>
  <c r="F14" i="6"/>
  <c r="F9" i="6"/>
  <c r="F16" i="6"/>
  <c r="E4" i="5"/>
  <c r="F22" i="6"/>
  <c r="F6" i="6"/>
  <c r="G9" i="6"/>
  <c r="F23" i="6"/>
  <c r="F15" i="6"/>
  <c r="H9" i="6"/>
  <c r="F4" i="6"/>
  <c r="F11" i="6"/>
  <c r="F21" i="6"/>
  <c r="S25" i="6"/>
  <c r="S37" i="6"/>
  <c r="AT25" i="6"/>
  <c r="T22" i="6"/>
  <c r="S26" i="6"/>
  <c r="T26" i="6"/>
  <c r="S50" i="1"/>
  <c r="L37" i="6"/>
  <c r="I25" i="6"/>
  <c r="J37" i="6"/>
  <c r="V25" i="6"/>
  <c r="W37" i="6"/>
  <c r="AC25" i="6"/>
  <c r="AC37" i="6"/>
  <c r="L25" i="6"/>
  <c r="M37" i="6"/>
  <c r="E25" i="6"/>
  <c r="E24" i="3"/>
  <c r="AT37" i="6"/>
  <c r="T6" i="6"/>
  <c r="AB37" i="6"/>
  <c r="AA25" i="6"/>
  <c r="AB25" i="6"/>
  <c r="Q25" i="6"/>
  <c r="Q37" i="6"/>
  <c r="T17" i="6"/>
  <c r="T14" i="6"/>
  <c r="U9" i="6"/>
  <c r="T11" i="6"/>
  <c r="T23" i="6"/>
  <c r="T15" i="6"/>
  <c r="T21" i="6"/>
  <c r="T16" i="6"/>
  <c r="T24" i="6"/>
  <c r="S4" i="5"/>
  <c r="E36" i="3"/>
  <c r="E37" i="6"/>
  <c r="V37" i="6"/>
  <c r="T4" i="6"/>
  <c r="M25" i="6"/>
  <c r="AA37" i="6"/>
  <c r="Z37" i="6"/>
  <c r="Z25" i="6"/>
  <c r="AS37" i="6"/>
  <c r="W25" i="6"/>
  <c r="X37" i="6"/>
  <c r="BS35" i="2"/>
  <c r="BR25" i="6"/>
  <c r="BS37" i="6"/>
  <c r="BQ25" i="6"/>
  <c r="BR37" i="6"/>
  <c r="BP25" i="6"/>
  <c r="BQ37" i="6"/>
  <c r="BO25" i="6"/>
  <c r="BP37" i="6"/>
  <c r="BN25" i="6"/>
  <c r="BO37" i="6"/>
  <c r="BM25" i="6"/>
  <c r="BN37" i="6"/>
  <c r="BL25" i="6"/>
  <c r="BM37" i="6"/>
  <c r="BK25" i="6"/>
  <c r="BL37" i="6"/>
  <c r="BJ25" i="6"/>
  <c r="BK37" i="6"/>
  <c r="BI25" i="6"/>
  <c r="BJ37" i="6"/>
  <c r="BH25" i="6"/>
  <c r="BI37" i="6"/>
  <c r="BS25" i="6"/>
  <c r="BT25" i="6"/>
  <c r="BT37" i="6"/>
  <c r="J35" i="2"/>
  <c r="J37" i="2"/>
  <c r="L9" i="6"/>
  <c r="P25" i="6"/>
  <c r="O37" i="6"/>
  <c r="O25" i="6"/>
  <c r="P37" i="6"/>
  <c r="Q35" i="2"/>
  <c r="Q37" i="2"/>
  <c r="S9" i="6"/>
  <c r="AD25" i="6"/>
  <c r="AE37" i="6"/>
  <c r="AD37" i="6"/>
  <c r="AE25" i="6"/>
  <c r="AN37" i="6"/>
  <c r="AN25" i="6"/>
  <c r="AM25" i="6"/>
  <c r="AM37" i="6"/>
  <c r="AQ37" i="6"/>
  <c r="AQ25" i="6"/>
  <c r="BD49" i="1"/>
  <c r="BF30" i="6"/>
  <c r="BF12" i="5"/>
  <c r="BE30" i="6"/>
  <c r="F24" i="3"/>
  <c r="G36" i="3"/>
  <c r="C35" i="2"/>
  <c r="C37" i="2"/>
  <c r="E9" i="3"/>
  <c r="E9" i="6"/>
  <c r="T37" i="6"/>
  <c r="T24" i="3"/>
  <c r="U36" i="3"/>
  <c r="U24" i="3"/>
  <c r="F36" i="3"/>
  <c r="T36" i="3"/>
  <c r="F37" i="6"/>
  <c r="F25" i="6"/>
  <c r="H37" i="6"/>
  <c r="H25" i="6"/>
  <c r="U25" i="6"/>
  <c r="T25" i="6"/>
  <c r="U37" i="6"/>
  <c r="BS37" i="2"/>
  <c r="CM43" i="5" l="1"/>
  <c r="CM37" i="5"/>
  <c r="CM25" i="5"/>
  <c r="CM14" i="5"/>
  <c r="CM11" i="5" s="1"/>
  <c r="CM12" i="5" s="1"/>
  <c r="CO3" i="2"/>
  <c r="CO19" i="2" s="1"/>
  <c r="CO29" i="2" s="1"/>
  <c r="CO33" i="2" s="1"/>
  <c r="CO35" i="2" s="1"/>
  <c r="CO37" i="2" s="1"/>
  <c r="CL43" i="5"/>
  <c r="CL37" i="5"/>
  <c r="CL25" i="5"/>
  <c r="CL14" i="5"/>
  <c r="CL11" i="5" s="1"/>
  <c r="CL12" i="5" s="1"/>
  <c r="CK43" i="5"/>
  <c r="CK37" i="5"/>
  <c r="CK25" i="5"/>
  <c r="CK14" i="5"/>
  <c r="CK11" i="5" s="1"/>
  <c r="CK12" i="5" s="1"/>
  <c r="CJ43" i="5"/>
  <c r="CI43" i="5"/>
  <c r="CH43" i="5"/>
  <c r="CG43" i="5"/>
  <c r="CJ37" i="5"/>
  <c r="CI37" i="5"/>
  <c r="CH37" i="5"/>
  <c r="CG37" i="5"/>
  <c r="CJ25" i="5"/>
  <c r="CI25" i="5"/>
  <c r="CH25" i="5"/>
  <c r="CG25" i="5"/>
  <c r="CJ14" i="5"/>
  <c r="CJ11" i="5" s="1"/>
  <c r="CJ12" i="5" s="1"/>
  <c r="CI14" i="5"/>
  <c r="CI11" i="5" s="1"/>
  <c r="CI12" i="5" s="1"/>
  <c r="CH14" i="5"/>
  <c r="CH11" i="5" s="1"/>
  <c r="CH12" i="5" s="1"/>
  <c r="CG14" i="5"/>
  <c r="CG11" i="5" s="1"/>
  <c r="CG12" i="5" s="1"/>
  <c r="CG26" i="1"/>
  <c r="CG11" i="6" s="1"/>
  <c r="CG48" i="1"/>
  <c r="CG49" i="1" s="1"/>
</calcChain>
</file>

<file path=xl/sharedStrings.xml><?xml version="1.0" encoding="utf-8"?>
<sst xmlns="http://schemas.openxmlformats.org/spreadsheetml/2006/main" count="432" uniqueCount="291">
  <si>
    <t>2013 Audited</t>
  </si>
  <si>
    <t>Audited 2014</t>
  </si>
  <si>
    <t>Audited 2015</t>
  </si>
  <si>
    <t>Audited 2016</t>
  </si>
  <si>
    <t>Audited 2017</t>
  </si>
  <si>
    <t>Audited 2018</t>
  </si>
  <si>
    <t>Audited 2019</t>
  </si>
  <si>
    <t>Audited 2020</t>
  </si>
  <si>
    <t>Audited 2021</t>
  </si>
  <si>
    <t>Audited 2022</t>
  </si>
  <si>
    <t>Variances</t>
  </si>
  <si>
    <t>Cash &amp; cash Equivalent</t>
  </si>
  <si>
    <t>Cash In Hand</t>
  </si>
  <si>
    <t>Cash at Bank</t>
  </si>
  <si>
    <t>Prepayment and Sundry</t>
  </si>
  <si>
    <t>Financial Investment</t>
  </si>
  <si>
    <t>Government Security</t>
  </si>
  <si>
    <t>Other Securities</t>
  </si>
  <si>
    <t>Balances with Other Saccos</t>
  </si>
  <si>
    <t>Investment In Companies</t>
  </si>
  <si>
    <t>Net Loan Portfolio</t>
  </si>
  <si>
    <t>Gross Loan Portfolio</t>
  </si>
  <si>
    <t>Allowance For Loan Loss</t>
  </si>
  <si>
    <t>Accounts Recievables</t>
  </si>
  <si>
    <t>Tax Recoverable</t>
  </si>
  <si>
    <t>Deffered Tax Assets</t>
  </si>
  <si>
    <t>Retirement Benefit Assets</t>
  </si>
  <si>
    <t>Property&amp;Equipments&amp;Other Assets</t>
  </si>
  <si>
    <t>Investment Properties</t>
  </si>
  <si>
    <t>Property and Equipment</t>
  </si>
  <si>
    <t>Prepaid Lease Rentals</t>
  </si>
  <si>
    <t>Intangible Assets</t>
  </si>
  <si>
    <t>Other Assets</t>
  </si>
  <si>
    <t>Total Assets</t>
  </si>
  <si>
    <t>Savings and Deposits</t>
  </si>
  <si>
    <t>Short Terrm Deposits</t>
  </si>
  <si>
    <t>Non Withdrawable Deposits</t>
  </si>
  <si>
    <t>Total Deposit Liabilities</t>
  </si>
  <si>
    <t>Tax Payable</t>
  </si>
  <si>
    <t>Dividends Payable</t>
  </si>
  <si>
    <t>Deferred Tax Liability</t>
  </si>
  <si>
    <t>Retirement Benefits Liabilty</t>
  </si>
  <si>
    <t>Other Liabilities</t>
  </si>
  <si>
    <t>External Borrowings</t>
  </si>
  <si>
    <t>Total Liabilities</t>
  </si>
  <si>
    <t>Share Capital</t>
  </si>
  <si>
    <t>Capital Grants</t>
  </si>
  <si>
    <t>Prior Year Retained Earnigs</t>
  </si>
  <si>
    <t>Current Year Surplus</t>
  </si>
  <si>
    <t>Statutory Reserves</t>
  </si>
  <si>
    <t>Other Reserves</t>
  </si>
  <si>
    <t>Revaluation Reserves</t>
  </si>
  <si>
    <t>Proposed Dividends</t>
  </si>
  <si>
    <t>Adjustment To Equity</t>
  </si>
  <si>
    <t>Total Equity</t>
  </si>
  <si>
    <t>Total Liabilities and Equity</t>
  </si>
  <si>
    <t>Audit 2017</t>
  </si>
  <si>
    <t>Auidted 2019</t>
  </si>
  <si>
    <t>Financial Income</t>
  </si>
  <si>
    <t>Financial Income From Loans Portfolio</t>
  </si>
  <si>
    <t>Interest from Loans Portfolio</t>
  </si>
  <si>
    <t>Fees&amp;Commision on Loan Portfolio</t>
  </si>
  <si>
    <t>Financial Income from Investments</t>
  </si>
  <si>
    <t>Government Securities</t>
  </si>
  <si>
    <t>Deposits with Banks &amp; other Financial Institutions</t>
  </si>
  <si>
    <t>Other Investments</t>
  </si>
  <si>
    <t>Other Operating Income</t>
  </si>
  <si>
    <t>Financial Expenses</t>
  </si>
  <si>
    <t>Interest Expense on Deposits</t>
  </si>
  <si>
    <t>Cost of External Borrowings</t>
  </si>
  <si>
    <t>Dividend Expenses</t>
  </si>
  <si>
    <t>Other Financial Expense</t>
  </si>
  <si>
    <t>Fees &amp; Commision Expense</t>
  </si>
  <si>
    <t>Other Expenses</t>
  </si>
  <si>
    <t>Net Financial Income</t>
  </si>
  <si>
    <t>Allowance for Loan Loss</t>
  </si>
  <si>
    <t>Provision for Loan Losses</t>
  </si>
  <si>
    <t>Value of Loans Recovered</t>
  </si>
  <si>
    <t>Operating Expeses</t>
  </si>
  <si>
    <t>Personel Expenses</t>
  </si>
  <si>
    <t>Governance Expenses</t>
  </si>
  <si>
    <t>Marketing Expenses</t>
  </si>
  <si>
    <t>Depreciation and Amortization</t>
  </si>
  <si>
    <t>Administrative Expenses</t>
  </si>
  <si>
    <t>Net Operating Income</t>
  </si>
  <si>
    <t>Net Non operating Income/Expense</t>
  </si>
  <si>
    <t>Non Operating Income</t>
  </si>
  <si>
    <t>Non Operating Expense</t>
  </si>
  <si>
    <t>Net Income(Before Tax &amp; Donations)</t>
  </si>
  <si>
    <t>Taxes</t>
  </si>
  <si>
    <t>Net Income(After Tax Before Donations)</t>
  </si>
  <si>
    <t>Donations</t>
  </si>
  <si>
    <t>Net Income/(After Tax &amp; Donations)</t>
  </si>
  <si>
    <t>Total Expenses</t>
  </si>
  <si>
    <t>JUMUIKA Sacco Financial Performance</t>
  </si>
  <si>
    <t>Year</t>
  </si>
  <si>
    <t>2014 Audited</t>
  </si>
  <si>
    <t>audited 2020</t>
  </si>
  <si>
    <t>Membership</t>
  </si>
  <si>
    <t>Total Deposits</t>
  </si>
  <si>
    <t>Deposits-Members(BOSA)</t>
  </si>
  <si>
    <t>Deposits-Customers(FOSA)</t>
  </si>
  <si>
    <t>External Borrowing</t>
  </si>
  <si>
    <t>Share capital and Reserves</t>
  </si>
  <si>
    <t>Core Capital</t>
  </si>
  <si>
    <t>Institutional  Capital</t>
  </si>
  <si>
    <t>Total Capital</t>
  </si>
  <si>
    <t>5.3.1</t>
  </si>
  <si>
    <t>Members Share Capital</t>
  </si>
  <si>
    <t>5.3.2</t>
  </si>
  <si>
    <t>Entrance Fees</t>
  </si>
  <si>
    <t>5.3.3</t>
  </si>
  <si>
    <t>Retained Earnings</t>
  </si>
  <si>
    <t>5.3.4</t>
  </si>
  <si>
    <t>Appropriation Account</t>
  </si>
  <si>
    <t>5.3.5</t>
  </si>
  <si>
    <t>5.3.6</t>
  </si>
  <si>
    <t>Capital Reserves</t>
  </si>
  <si>
    <t>5.3.7</t>
  </si>
  <si>
    <t>Supplementary Capital &amp; reserves</t>
  </si>
  <si>
    <t>a</t>
  </si>
  <si>
    <t>b</t>
  </si>
  <si>
    <t>Risk Mgt  Fund</t>
  </si>
  <si>
    <t>Investments</t>
  </si>
  <si>
    <t>Shares in Kusco,CIC,Coop Bank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</si>
  <si>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</si>
  <si>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</si>
  <si>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</si>
  <si>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</si>
  <si>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</si>
  <si>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Non-performing loans</t>
  </si>
  <si>
    <t>Non-Earning Assets</t>
  </si>
  <si>
    <t>Turnover</t>
  </si>
  <si>
    <t>Loan Interest</t>
  </si>
  <si>
    <t>Income from investments</t>
  </si>
  <si>
    <t>Fees &amp; Commissions</t>
  </si>
  <si>
    <t>Average yield on loans</t>
  </si>
  <si>
    <t>Financial and Operating costs</t>
  </si>
  <si>
    <t>Interest expense on deposits</t>
  </si>
  <si>
    <t>Dividend expense on share capital</t>
  </si>
  <si>
    <t>Interest expense on borrowed funds</t>
  </si>
  <si>
    <t>Opperating expenses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</si>
  <si>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</si>
  <si>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</si>
  <si>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</si>
  <si>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</si>
  <si>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</si>
  <si>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</si>
  <si>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</si>
  <si>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</si>
  <si>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</si>
  <si>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</si>
  <si>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</si>
  <si>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>GRAND TOTAL</t>
  </si>
  <si>
    <t>JUMUIKA SACCO CAELS</t>
  </si>
  <si>
    <t>2016 Audited</t>
  </si>
  <si>
    <t>CAPITAL ADEQUACY</t>
  </si>
  <si>
    <t>10 M</t>
  </si>
  <si>
    <t>CCA</t>
  </si>
  <si>
    <t>Min 10%</t>
  </si>
  <si>
    <t>CCD</t>
  </si>
  <si>
    <t>Min 8%</t>
  </si>
  <si>
    <t>ICA</t>
  </si>
  <si>
    <t>ASSET QUALITY</t>
  </si>
  <si>
    <t>A/LNPL30</t>
  </si>
  <si>
    <t>NPL30</t>
  </si>
  <si>
    <t>EARNINGS</t>
  </si>
  <si>
    <t>ROA</t>
  </si>
  <si>
    <t>Cost Income ratio</t>
  </si>
  <si>
    <t>Operating Expense  ratio</t>
  </si>
  <si>
    <t>LIQUIDITY</t>
  </si>
  <si>
    <t>MIN LIQ ratio</t>
  </si>
  <si>
    <t>Min 15%</t>
  </si>
  <si>
    <t>T/LIQ ratio</t>
  </si>
  <si>
    <t>EB ratio</t>
  </si>
  <si>
    <t>Max 25%</t>
  </si>
  <si>
    <t>LA to TA ratio</t>
  </si>
  <si>
    <t>STRUCTURE</t>
  </si>
  <si>
    <t>NEA ratio</t>
  </si>
  <si>
    <t>Max 10%</t>
  </si>
  <si>
    <t>LB ratio</t>
  </si>
  <si>
    <t>Max 5%</t>
  </si>
  <si>
    <t>PI to Deposit ratio</t>
  </si>
  <si>
    <t>Max 40%</t>
  </si>
  <si>
    <t>PI to CC ratio</t>
  </si>
  <si>
    <t>Gross loans/TA</t>
  </si>
  <si>
    <t>FUNDING MIX</t>
  </si>
  <si>
    <t>Total Deposits/Total Assets</t>
  </si>
  <si>
    <t>BOSA Deposits/Total Assets</t>
  </si>
  <si>
    <t>FOSA Deposits/Total Assets</t>
  </si>
  <si>
    <t>GROWTH RATIOS</t>
  </si>
  <si>
    <t>BOSA Deposits</t>
  </si>
  <si>
    <t>FOSA Deposits</t>
  </si>
  <si>
    <t>Total Loans &amp; advances</t>
  </si>
  <si>
    <t>Core capital</t>
  </si>
  <si>
    <t>Expenses</t>
  </si>
  <si>
    <t xml:space="preserve">Efficiency Ratios </t>
  </si>
  <si>
    <t>FinCost-Deposits/Avg Deposits</t>
  </si>
  <si>
    <t>FinCost-Shares/Avg Share capital</t>
  </si>
  <si>
    <t>FinCost-Ext Loans/Avg Ext Loans</t>
  </si>
  <si>
    <t>OpEx/Average Total Assets</t>
  </si>
  <si>
    <t>Opex/Turnover</t>
  </si>
  <si>
    <t xml:space="preserve">Avge yield on Net loans </t>
  </si>
  <si>
    <t xml:space="preserve">Avge yield on Gross loans </t>
  </si>
  <si>
    <t>ALL/Average Gross Loan portfolio</t>
  </si>
  <si>
    <t>JUMUIKA CAELS</t>
  </si>
  <si>
    <t xml:space="preserve">Financial Performance </t>
  </si>
  <si>
    <t>Prud. Std</t>
  </si>
  <si>
    <t>2017Audited</t>
  </si>
  <si>
    <t>Return March, 2022</t>
  </si>
  <si>
    <t>Return June, 2022</t>
  </si>
  <si>
    <t>Return September, 2022</t>
  </si>
  <si>
    <t>10 Million</t>
  </si>
  <si>
    <t>Core Capital to total Assets</t>
  </si>
  <si>
    <t>Core Capital to Total Deposits</t>
  </si>
  <si>
    <t>Institutional Capital</t>
  </si>
  <si>
    <t>Non performing Loans Ratio</t>
  </si>
  <si>
    <t>Return on Assets</t>
  </si>
  <si>
    <t>Liquidity Ratio</t>
  </si>
  <si>
    <t>External Borrowing ratio</t>
  </si>
  <si>
    <t>Non earning Assets Ratio</t>
  </si>
  <si>
    <t>Land and Building Ratios</t>
  </si>
  <si>
    <t>Loans to total Deposits</t>
  </si>
  <si>
    <t>Gross loans to Total Assets</t>
  </si>
  <si>
    <t>JUMUIKA  SACCO SOCIETY LIMITED</t>
  </si>
  <si>
    <r>
      <t xml:space="preserve">PERFORMANCE AND COMPLIANCE REPORT AS AT :  </t>
    </r>
    <r>
      <rPr>
        <b/>
        <sz val="11"/>
        <color rgb="FFFF0000"/>
        <rFont val="Calibri"/>
        <family val="2"/>
        <scheme val="minor"/>
      </rPr>
      <t>31st August, 2022</t>
    </r>
  </si>
  <si>
    <t>Prudential Std</t>
  </si>
  <si>
    <t>Audited</t>
  </si>
  <si>
    <t>Returns</t>
  </si>
  <si>
    <t>Validated</t>
  </si>
  <si>
    <t>Aggregate for all Licensed Saccos</t>
  </si>
  <si>
    <t xml:space="preserve"> 31st March  , 2022</t>
  </si>
  <si>
    <t xml:space="preserve"> 30th June  , 2022</t>
  </si>
  <si>
    <t>30th July, 2022</t>
  </si>
  <si>
    <t>31st August, 2022</t>
  </si>
  <si>
    <t>30th September 2022</t>
  </si>
  <si>
    <t>31st October 2022</t>
  </si>
  <si>
    <t>30th November 2022</t>
  </si>
  <si>
    <t>A. CAPITAL  ADEQUACY</t>
  </si>
  <si>
    <t xml:space="preserve">Core Capital </t>
  </si>
  <si>
    <r>
      <rPr>
        <sz val="11"/>
        <color theme="1"/>
        <rFont val="Calibri"/>
        <family val="2"/>
      </rPr>
      <t>≥</t>
    </r>
    <r>
      <rPr>
        <sz val="11"/>
        <color theme="1"/>
        <rFont val="Cambria"/>
        <family val="1"/>
      </rPr>
      <t>10M</t>
    </r>
  </si>
  <si>
    <t>Core Capital/Total Assets</t>
  </si>
  <si>
    <r>
      <rPr>
        <sz val="11"/>
        <color theme="1"/>
        <rFont val="Calibri"/>
        <family val="2"/>
      </rPr>
      <t>≥</t>
    </r>
    <r>
      <rPr>
        <sz val="11"/>
        <color theme="1"/>
        <rFont val="Cambria"/>
        <family val="1"/>
      </rPr>
      <t>10%</t>
    </r>
  </si>
  <si>
    <t>Institutional Capital/Total Assets</t>
  </si>
  <si>
    <r>
      <rPr>
        <sz val="11"/>
        <color theme="1"/>
        <rFont val="Calibri"/>
        <family val="2"/>
      </rPr>
      <t>≥</t>
    </r>
    <r>
      <rPr>
        <sz val="11"/>
        <color theme="1"/>
        <rFont val="Cambria"/>
        <family val="1"/>
      </rPr>
      <t>8%</t>
    </r>
  </si>
  <si>
    <t>B. ASSET QUALITY</t>
  </si>
  <si>
    <t>NPL  (Substandard+Doubtful+Loss)</t>
  </si>
  <si>
    <t>&lt;5%</t>
  </si>
  <si>
    <t>&lt;10%</t>
  </si>
  <si>
    <t>Equity investments/Deposits</t>
  </si>
  <si>
    <t>Equity investments/Core capital</t>
  </si>
  <si>
    <t>&lt;40%</t>
  </si>
  <si>
    <t>C. EARNINGS RATING</t>
  </si>
  <si>
    <t xml:space="preserve">Yield on Gross Loans </t>
  </si>
  <si>
    <t>Total Expense/Total Income</t>
  </si>
  <si>
    <t>Net Income/Average Assets (ROA)</t>
  </si>
  <si>
    <t>Operating Expenses/Financial Income (OPEX)</t>
  </si>
  <si>
    <t>D. LIQUIDITY</t>
  </si>
  <si>
    <t>Liquid Assets/Short-term Liabilities</t>
  </si>
  <si>
    <t>&gt;15%</t>
  </si>
  <si>
    <t>External Borrowing/Total Assets</t>
  </si>
  <si>
    <t>&lt;25%</t>
  </si>
  <si>
    <t>Liquid Assets/Total Assets</t>
  </si>
  <si>
    <t>E. STRUCTURE/SENSITIVITY TO RISK</t>
  </si>
  <si>
    <t>Gross loans /Total Assets</t>
  </si>
  <si>
    <t>70-80</t>
  </si>
  <si>
    <t>Gross loans/Deposits</t>
  </si>
  <si>
    <t>&gt;100%</t>
  </si>
  <si>
    <t>Financial Investments/Total Assets</t>
  </si>
  <si>
    <t>Dividends+Interest on Deposits/Total Income</t>
  </si>
  <si>
    <t>F. KEY FINANCIAL STATISTICS</t>
  </si>
  <si>
    <t>AGGREGATE</t>
  </si>
  <si>
    <t>Average Assets</t>
  </si>
  <si>
    <t>Gross Loans</t>
  </si>
  <si>
    <t>Non-performing Loans</t>
  </si>
  <si>
    <t>Equity Investments</t>
  </si>
  <si>
    <t>Financial Investments</t>
  </si>
  <si>
    <t>Liquid Assets</t>
  </si>
  <si>
    <t>Short-term Liabilities)</t>
  </si>
  <si>
    <t>Average Gross Loans</t>
  </si>
  <si>
    <t>Total Income</t>
  </si>
  <si>
    <t>Net Financial Income/Loss</t>
  </si>
  <si>
    <t>Dividends+Interest on Deposits</t>
  </si>
  <si>
    <t>Operating Expenses</t>
  </si>
  <si>
    <t>Interest on Loan portfolio+Fees&amp;Commission on Loan</t>
  </si>
  <si>
    <t>Net Income</t>
  </si>
  <si>
    <t>G. AREAS OF IMPROVEMENT/REGULATORY CONCERNS</t>
  </si>
  <si>
    <t>Prepared by:</t>
  </si>
  <si>
    <t>Checked by:</t>
  </si>
  <si>
    <t>Approved by:</t>
  </si>
  <si>
    <t>DISCLAIMER: This report is prepared based on information submitted by the Sacco as at the stated date and may change upon verification by the Authority.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</si>
</sst>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[$-10409]#,##0.00;\-\ #,##0.00"/>
    <numFmt numFmtId="165" formatCode="[$-10409]0.00;\-\ 0.00"/>
    <numFmt numFmtId="166" formatCode="_(* #,##0.00_);_(* \(#,##0.00\);_(* \-??_);_(@_)"/>
    <numFmt numFmtId="167" formatCode="d/mmm/yy"/>
    <numFmt numFmtId="168" formatCode="\£#,##0;&quot;-£&quot;#,##0"/>
    <numFmt numFmtId="169" formatCode="_-* #,##0.00_-;\-* #,##0.00_-;_-* \-??_-;_-@_-"/>
    <numFmt numFmtId="170" formatCode="0.0%"/>
    <numFmt numFmtId="171" formatCode="_(* #,##0.0_);_(* \(#,##0.0\);_(* \-??_);_(@_)"/>
    <numFmt numFmtId="172" formatCode="#,##0.00_);\-#,##0.00"/>
    <numFmt numFmtId="173" formatCode="0.0"/>
    <numFmt numFmtId="174" formatCode="_(* #,##0_);_(* \(#,##0\);_(* &quot;-&quot;??_);_(@_)"/>
    <numFmt numFmtId="175" formatCode="[$-10409]#,##0;\-\ #,##0"/>
  </numFmts>
  <fonts count="6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u/>
      <sz val="9"/>
      <color indexed="11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u/>
      <sz val="11.95"/>
      <name val="Times New Roman"/>
      <family val="1"/>
    </font>
    <font>
      <b/>
      <u/>
      <sz val="10"/>
      <color indexed="1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11"/>
      <color indexed="62"/>
      <name val="Arial"/>
      <family val="2"/>
    </font>
    <font>
      <sz val="11"/>
      <color indexed="8"/>
      <name val="Calibri"/>
      <family val="2"/>
    </font>
    <font>
      <sz val="8"/>
      <color indexed="8"/>
      <name val="Trebuchet MS"/>
      <family val="2"/>
    </font>
    <font>
      <b/>
      <sz val="11"/>
      <color indexed="8"/>
      <name val="Arial"/>
      <family val="2"/>
    </font>
    <font>
      <sz val="11"/>
      <name val="Cambria"/>
      <family val="1"/>
    </font>
    <font>
      <b/>
      <sz val="11"/>
      <name val="Cambria"/>
      <family val="1"/>
    </font>
    <font>
      <u/>
      <sz val="11.95"/>
      <color indexed="9"/>
      <name val="Times New Roman"/>
      <family val="1"/>
    </font>
    <font>
      <sz val="10"/>
      <color indexed="8"/>
      <name val="MS Sans Serif"/>
      <family val="2"/>
    </font>
    <font>
      <b/>
      <sz val="14"/>
      <color indexed="8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mbria"/>
      <family val="1"/>
    </font>
    <font>
      <sz val="10"/>
      <name val="Arial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mbria"/>
      <family val="1"/>
    </font>
    <font>
      <sz val="11.5"/>
      <color rgb="FF00000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1"/>
      <name val="Cambria"/>
      <family val="1"/>
      <scheme val="major"/>
    </font>
    <font>
      <b/>
      <i/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Arial"/>
      <charset val="1"/>
    </font>
    <font>
      <sz val="9"/>
      <color indexed="8"/>
      <name val="Arial"/>
      <charset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mbria"/>
      <family val="1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a"/>
    </font>
    <font>
      <sz val="12"/>
      <color indexed="8"/>
      <name val="Arial"/>
      <family val="2"/>
    </font>
    <font>
      <sz val="12"/>
      <color rgb="FF000000"/>
      <name val="Cambria"/>
      <family val="1"/>
      <scheme val="major"/>
    </font>
    <font>
      <sz val="12"/>
      <name val="Calibri"/>
      <family val="2"/>
      <scheme val="minor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0"/>
      </patternFill>
    </fill>
    <fill>
      <patternFill patternType="solid">
        <fgColor indexed="14"/>
        <bgColor indexed="0"/>
      </patternFill>
    </fill>
    <fill>
      <patternFill patternType="solid">
        <fgColor indexed="9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AA52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12"/>
      </left>
      <right/>
      <top/>
      <bottom/>
      <diagonal/>
    </border>
  </borders>
  <cellStyleXfs count="461">
    <xf numFmtId="0" fontId="0" fillId="0" borderId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2" applyNumberFormat="0" applyAlignment="0" applyProtection="0"/>
    <xf numFmtId="43" fontId="29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7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8" fontId="2" fillId="0" borderId="0" applyFill="0" applyBorder="0" applyAlignment="0" applyProtection="0"/>
    <xf numFmtId="166" fontId="2" fillId="0" borderId="0" applyFill="0" applyBorder="0" applyAlignment="0" applyProtection="0"/>
    <xf numFmtId="169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ill="0" applyBorder="0" applyAlignment="0" applyProtection="0"/>
    <xf numFmtId="166" fontId="2" fillId="0" borderId="0" applyFill="0" applyBorder="0" applyAlignment="0" applyProtection="0"/>
    <xf numFmtId="43" fontId="21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9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0" fontId="13" fillId="6" borderId="1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24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2" fillId="0" borderId="0"/>
    <xf numFmtId="0" fontId="27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7" borderId="3" applyNumberFormat="0" applyAlignment="0" applyProtection="0"/>
    <xf numFmtId="9" fontId="29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63">
    <xf numFmtId="0" fontId="0" fillId="0" borderId="0" xfId="0"/>
    <xf numFmtId="0" fontId="18" fillId="0" borderId="5" xfId="282" applyFont="1" applyBorder="1" applyAlignment="1">
      <alignment horizontal="left" vertical="top" wrapText="1"/>
    </xf>
    <xf numFmtId="0" fontId="0" fillId="0" borderId="6" xfId="0" applyBorder="1"/>
    <xf numFmtId="0" fontId="31" fillId="0" borderId="6" xfId="0" applyFont="1" applyBorder="1" applyAlignment="1">
      <alignment horizontal="left" vertical="top" wrapText="1"/>
    </xf>
    <xf numFmtId="0" fontId="32" fillId="0" borderId="6" xfId="0" applyFont="1" applyBorder="1" applyAlignment="1">
      <alignment horizontal="left" vertical="top" wrapText="1"/>
    </xf>
    <xf numFmtId="43" fontId="29" fillId="0" borderId="6" xfId="27" applyFont="1" applyBorder="1"/>
    <xf numFmtId="10" fontId="29" fillId="0" borderId="6" xfId="454" applyNumberFormat="1" applyFont="1" applyBorder="1"/>
    <xf numFmtId="17" fontId="30" fillId="0" borderId="0" xfId="0" applyNumberFormat="1" applyFont="1"/>
    <xf numFmtId="0" fontId="17" fillId="0" borderId="5" xfId="240" applyFont="1" applyBorder="1" applyAlignment="1">
      <alignment wrapText="1"/>
    </xf>
    <xf numFmtId="0" fontId="18" fillId="0" borderId="5" xfId="240" applyFont="1" applyBorder="1" applyAlignment="1">
      <alignment wrapText="1"/>
    </xf>
    <xf numFmtId="43" fontId="2" fillId="0" borderId="5" xfId="92" applyBorder="1" applyAlignment="1">
      <alignment wrapText="1"/>
    </xf>
    <xf numFmtId="43" fontId="2" fillId="0" borderId="5" xfId="92" applyBorder="1" applyAlignment="1">
      <alignment horizontal="center" wrapText="1"/>
    </xf>
    <xf numFmtId="0" fontId="7" fillId="0" borderId="7" xfId="0" applyFont="1" applyBorder="1" applyAlignment="1" applyProtection="1">
      <alignment vertical="top" wrapText="1" readingOrder="1"/>
      <protection locked="0"/>
    </xf>
    <xf numFmtId="0" fontId="9" fillId="0" borderId="7" xfId="0" applyFont="1" applyBorder="1" applyAlignment="1" applyProtection="1">
      <alignment vertical="top" wrapText="1" readingOrder="1"/>
      <protection locked="0"/>
    </xf>
    <xf numFmtId="0" fontId="8" fillId="0" borderId="7" xfId="0" applyFont="1" applyBorder="1" applyAlignment="1" applyProtection="1">
      <alignment vertical="top" wrapText="1" readingOrder="1"/>
      <protection locked="0"/>
    </xf>
    <xf numFmtId="164" fontId="8" fillId="0" borderId="7" xfId="0" applyNumberFormat="1" applyFont="1" applyBorder="1" applyAlignment="1" applyProtection="1">
      <alignment vertical="top" wrapText="1" readingOrder="1"/>
      <protection locked="0"/>
    </xf>
    <xf numFmtId="165" fontId="8" fillId="0" borderId="7" xfId="0" applyNumberFormat="1" applyFont="1" applyBorder="1" applyAlignment="1" applyProtection="1">
      <alignment vertical="top" wrapText="1" readingOrder="1"/>
      <protection locked="0"/>
    </xf>
    <xf numFmtId="0" fontId="3" fillId="0" borderId="7" xfId="0" applyFont="1" applyBorder="1" applyAlignment="1" applyProtection="1">
      <alignment vertical="top" wrapText="1" readingOrder="1"/>
      <protection locked="0"/>
    </xf>
    <xf numFmtId="0" fontId="4" fillId="8" borderId="7" xfId="0" applyFont="1" applyFill="1" applyBorder="1" applyAlignment="1" applyProtection="1">
      <alignment vertical="top" wrapText="1" readingOrder="1"/>
      <protection locked="0"/>
    </xf>
    <xf numFmtId="0" fontId="4" fillId="0" borderId="7" xfId="0" applyFont="1" applyBorder="1" applyAlignment="1" applyProtection="1">
      <alignment vertical="top" wrapText="1" readingOrder="1"/>
      <protection locked="0"/>
    </xf>
    <xf numFmtId="0" fontId="5" fillId="0" borderId="7" xfId="0" applyFont="1" applyBorder="1" applyAlignment="1" applyProtection="1">
      <alignment vertical="top" wrapText="1" readingOrder="1"/>
      <protection locked="0"/>
    </xf>
    <xf numFmtId="164" fontId="5" fillId="0" borderId="7" xfId="0" applyNumberFormat="1" applyFont="1" applyBorder="1" applyAlignment="1" applyProtection="1">
      <alignment vertical="top" wrapText="1" readingOrder="1"/>
      <protection locked="0"/>
    </xf>
    <xf numFmtId="0" fontId="4" fillId="9" borderId="7" xfId="0" applyFont="1" applyFill="1" applyBorder="1" applyAlignment="1" applyProtection="1">
      <alignment vertical="top" wrapText="1" readingOrder="1"/>
      <protection locked="0"/>
    </xf>
    <xf numFmtId="164" fontId="0" fillId="0" borderId="0" xfId="0" applyNumberFormat="1"/>
    <xf numFmtId="0" fontId="31" fillId="0" borderId="6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9" fontId="29" fillId="0" borderId="6" xfId="454" applyFont="1" applyBorder="1"/>
    <xf numFmtId="1" fontId="17" fillId="0" borderId="5" xfId="240" applyNumberFormat="1" applyFont="1" applyBorder="1" applyAlignment="1">
      <alignment wrapText="1"/>
    </xf>
    <xf numFmtId="43" fontId="9" fillId="0" borderId="7" xfId="27" applyFont="1" applyBorder="1" applyAlignment="1" applyProtection="1">
      <alignment vertical="top" wrapText="1" readingOrder="1"/>
      <protection locked="0"/>
    </xf>
    <xf numFmtId="43" fontId="8" fillId="0" borderId="7" xfId="27" applyFont="1" applyBorder="1" applyAlignment="1" applyProtection="1">
      <alignment vertical="top" wrapText="1" readingOrder="1"/>
      <protection locked="0"/>
    </xf>
    <xf numFmtId="43" fontId="4" fillId="0" borderId="7" xfId="27" applyFont="1" applyBorder="1" applyAlignment="1" applyProtection="1">
      <alignment vertical="top" wrapText="1" readingOrder="1"/>
      <protection locked="0"/>
    </xf>
    <xf numFmtId="43" fontId="5" fillId="0" borderId="7" xfId="27" applyFont="1" applyBorder="1" applyAlignment="1" applyProtection="1">
      <alignment vertical="top" wrapText="1" readingOrder="1"/>
      <protection locked="0"/>
    </xf>
    <xf numFmtId="0" fontId="22" fillId="11" borderId="7" xfId="0" applyFont="1" applyFill="1" applyBorder="1" applyAlignment="1" applyProtection="1">
      <alignment vertical="top" wrapText="1" readingOrder="1"/>
      <protection locked="0"/>
    </xf>
    <xf numFmtId="164" fontId="9" fillId="0" borderId="7" xfId="0" applyNumberFormat="1" applyFont="1" applyBorder="1" applyAlignment="1" applyProtection="1">
      <alignment vertical="top" wrapText="1" readingOrder="1"/>
      <protection locked="0"/>
    </xf>
    <xf numFmtId="0" fontId="30" fillId="0" borderId="0" xfId="0" applyFont="1"/>
    <xf numFmtId="43" fontId="17" fillId="0" borderId="5" xfId="27" applyFont="1" applyBorder="1" applyAlignment="1">
      <alignment wrapText="1"/>
    </xf>
    <xf numFmtId="17" fontId="9" fillId="8" borderId="7" xfId="0" applyNumberFormat="1" applyFont="1" applyFill="1" applyBorder="1" applyAlignment="1" applyProtection="1">
      <alignment vertical="top" wrapText="1" readingOrder="1"/>
      <protection locked="0"/>
    </xf>
    <xf numFmtId="17" fontId="4" fillId="8" borderId="7" xfId="0" applyNumberFormat="1" applyFont="1" applyFill="1" applyBorder="1" applyAlignment="1" applyProtection="1">
      <alignment vertical="top" wrapText="1" readingOrder="1"/>
      <protection locked="0"/>
    </xf>
    <xf numFmtId="164" fontId="4" fillId="10" borderId="7" xfId="0" applyNumberFormat="1" applyFont="1" applyFill="1" applyBorder="1" applyAlignment="1" applyProtection="1">
      <alignment vertical="top" wrapText="1" readingOrder="1"/>
      <protection locked="0"/>
    </xf>
    <xf numFmtId="0" fontId="33" fillId="0" borderId="6" xfId="0" applyFont="1" applyBorder="1"/>
    <xf numFmtId="43" fontId="33" fillId="0" borderId="6" xfId="27" applyFont="1" applyBorder="1"/>
    <xf numFmtId="0" fontId="34" fillId="0" borderId="6" xfId="0" applyFont="1" applyBorder="1"/>
    <xf numFmtId="0" fontId="35" fillId="0" borderId="6" xfId="0" applyFont="1" applyBorder="1"/>
    <xf numFmtId="173" fontId="34" fillId="0" borderId="6" xfId="0" applyNumberFormat="1" applyFont="1" applyBorder="1"/>
    <xf numFmtId="9" fontId="35" fillId="0" borderId="6" xfId="454" applyFont="1" applyBorder="1"/>
    <xf numFmtId="0" fontId="36" fillId="0" borderId="6" xfId="0" applyFont="1" applyBorder="1"/>
    <xf numFmtId="0" fontId="37" fillId="0" borderId="6" xfId="0" applyFont="1" applyBorder="1"/>
    <xf numFmtId="173" fontId="34" fillId="0" borderId="6" xfId="0" applyNumberFormat="1" applyFont="1" applyBorder="1" applyAlignment="1">
      <alignment horizontal="right"/>
    </xf>
    <xf numFmtId="174" fontId="35" fillId="0" borderId="6" xfId="0" applyNumberFormat="1" applyFont="1" applyBorder="1"/>
    <xf numFmtId="0" fontId="38" fillId="0" borderId="6" xfId="0" applyFont="1" applyBorder="1"/>
    <xf numFmtId="43" fontId="0" fillId="0" borderId="0" xfId="0" applyNumberFormat="1"/>
    <xf numFmtId="173" fontId="38" fillId="0" borderId="6" xfId="0" applyNumberFormat="1" applyFont="1" applyBorder="1"/>
    <xf numFmtId="0" fontId="0" fillId="0" borderId="6" xfId="0" applyBorder="1" applyAlignment="1">
      <alignment horizontal="center" vertical="center"/>
    </xf>
    <xf numFmtId="0" fontId="32" fillId="0" borderId="6" xfId="0" applyFont="1" applyBorder="1" applyAlignment="1">
      <alignment vertical="top" wrapText="1"/>
    </xf>
    <xf numFmtId="0" fontId="34" fillId="0" borderId="6" xfId="240" applyFont="1" applyBorder="1"/>
    <xf numFmtId="0" fontId="35" fillId="0" borderId="6" xfId="240" applyFont="1" applyBorder="1"/>
    <xf numFmtId="0" fontId="0" fillId="0" borderId="8" xfId="0" applyBorder="1"/>
    <xf numFmtId="0" fontId="0" fillId="0" borderId="9" xfId="0" applyBorder="1"/>
    <xf numFmtId="0" fontId="38" fillId="0" borderId="10" xfId="240" applyFont="1" applyBorder="1"/>
    <xf numFmtId="0" fontId="0" fillId="0" borderId="10" xfId="0" applyBorder="1"/>
    <xf numFmtId="0" fontId="34" fillId="0" borderId="10" xfId="240" applyFont="1" applyBorder="1"/>
    <xf numFmtId="0" fontId="38" fillId="0" borderId="11" xfId="240" applyFont="1" applyBorder="1"/>
    <xf numFmtId="0" fontId="0" fillId="0" borderId="12" xfId="0" applyBorder="1"/>
    <xf numFmtId="0" fontId="33" fillId="0" borderId="13" xfId="0" applyFont="1" applyBorder="1"/>
    <xf numFmtId="0" fontId="22" fillId="11" borderId="6" xfId="0" applyFont="1" applyFill="1" applyBorder="1" applyAlignment="1" applyProtection="1">
      <alignment horizontal="center" vertical="top" readingOrder="1"/>
      <protection locked="0"/>
    </xf>
    <xf numFmtId="0" fontId="22" fillId="11" borderId="6" xfId="0" applyFont="1" applyFill="1" applyBorder="1" applyAlignment="1" applyProtection="1">
      <alignment vertical="top" readingOrder="1"/>
      <protection locked="0"/>
    </xf>
    <xf numFmtId="174" fontId="0" fillId="0" borderId="6" xfId="0" applyNumberFormat="1" applyBorder="1"/>
    <xf numFmtId="174" fontId="30" fillId="0" borderId="6" xfId="0" applyNumberFormat="1" applyFont="1" applyBorder="1"/>
    <xf numFmtId="43" fontId="9" fillId="12" borderId="7" xfId="27" applyFont="1" applyFill="1" applyBorder="1" applyAlignment="1" applyProtection="1">
      <alignment vertical="top" wrapText="1" readingOrder="1"/>
      <protection locked="0"/>
    </xf>
    <xf numFmtId="43" fontId="4" fillId="12" borderId="7" xfId="27" applyFont="1" applyFill="1" applyBorder="1" applyAlignment="1" applyProtection="1">
      <alignment vertical="top" wrapText="1" readingOrder="1"/>
      <protection locked="0"/>
    </xf>
    <xf numFmtId="43" fontId="4" fillId="13" borderId="7" xfId="27" applyFont="1" applyFill="1" applyBorder="1" applyAlignment="1" applyProtection="1">
      <alignment vertical="top" wrapText="1" readingOrder="1"/>
      <protection locked="0"/>
    </xf>
    <xf numFmtId="43" fontId="30" fillId="0" borderId="0" xfId="0" applyNumberFormat="1" applyFont="1"/>
    <xf numFmtId="0" fontId="18" fillId="0" borderId="5" xfId="0" applyFont="1" applyBorder="1" applyAlignment="1">
      <alignment wrapText="1"/>
    </xf>
    <xf numFmtId="9" fontId="29" fillId="0" borderId="0" xfId="454" applyFont="1"/>
    <xf numFmtId="174" fontId="29" fillId="0" borderId="6" xfId="27" applyNumberFormat="1" applyFont="1" applyBorder="1"/>
    <xf numFmtId="43" fontId="22" fillId="0" borderId="5" xfId="92" applyFont="1" applyBorder="1" applyAlignment="1">
      <alignment wrapText="1"/>
    </xf>
    <xf numFmtId="0" fontId="17" fillId="0" borderId="5" xfId="0" applyFont="1" applyBorder="1" applyAlignment="1" applyProtection="1">
      <alignment wrapText="1"/>
      <protection locked="0"/>
    </xf>
    <xf numFmtId="2" fontId="17" fillId="0" borderId="5" xfId="0" applyNumberFormat="1" applyFont="1" applyBorder="1" applyAlignment="1">
      <alignment horizontal="center" wrapText="1"/>
    </xf>
    <xf numFmtId="43" fontId="18" fillId="0" borderId="5" xfId="27" applyFont="1" applyBorder="1" applyAlignment="1" applyProtection="1">
      <alignment wrapText="1"/>
    </xf>
    <xf numFmtId="43" fontId="17" fillId="0" borderId="5" xfId="27" applyFont="1" applyBorder="1" applyAlignment="1" applyProtection="1">
      <alignment wrapText="1"/>
    </xf>
    <xf numFmtId="43" fontId="29" fillId="0" borderId="0" xfId="27" applyFont="1"/>
    <xf numFmtId="43" fontId="18" fillId="0" borderId="5" xfId="0" applyNumberFormat="1" applyFont="1" applyBorder="1" applyAlignment="1">
      <alignment wrapText="1"/>
    </xf>
    <xf numFmtId="4" fontId="0" fillId="0" borderId="6" xfId="0" applyNumberFormat="1" applyBorder="1"/>
    <xf numFmtId="4" fontId="30" fillId="0" borderId="6" xfId="0" applyNumberFormat="1" applyFont="1" applyBorder="1"/>
    <xf numFmtId="43" fontId="9" fillId="12" borderId="6" xfId="27" applyFont="1" applyFill="1" applyBorder="1" applyAlignment="1" applyProtection="1">
      <alignment vertical="top" wrapText="1" readingOrder="1"/>
      <protection locked="0"/>
    </xf>
    <xf numFmtId="43" fontId="30" fillId="0" borderId="6" xfId="27" applyFont="1" applyBorder="1"/>
    <xf numFmtId="43" fontId="30" fillId="11" borderId="6" xfId="27" applyFont="1" applyFill="1" applyBorder="1"/>
    <xf numFmtId="0" fontId="30" fillId="11" borderId="6" xfId="0" applyFont="1" applyFill="1" applyBorder="1"/>
    <xf numFmtId="17" fontId="30" fillId="11" borderId="6" xfId="0" applyNumberFormat="1" applyFont="1" applyFill="1" applyBorder="1"/>
    <xf numFmtId="17" fontId="30" fillId="0" borderId="6" xfId="0" applyNumberFormat="1" applyFont="1" applyBorder="1"/>
    <xf numFmtId="0" fontId="30" fillId="0" borderId="6" xfId="0" applyFont="1" applyBorder="1" applyAlignment="1">
      <alignment wrapText="1"/>
    </xf>
    <xf numFmtId="43" fontId="39" fillId="0" borderId="6" xfId="27" applyFont="1" applyBorder="1"/>
    <xf numFmtId="0" fontId="30" fillId="0" borderId="0" xfId="0" applyFont="1" applyAlignment="1">
      <alignment horizontal="center" wrapText="1"/>
    </xf>
    <xf numFmtId="0" fontId="30" fillId="0" borderId="0" xfId="0" applyFont="1" applyAlignment="1">
      <alignment wrapText="1"/>
    </xf>
    <xf numFmtId="43" fontId="22" fillId="0" borderId="0" xfId="92" applyFont="1" applyBorder="1" applyAlignment="1">
      <alignment wrapText="1"/>
    </xf>
    <xf numFmtId="0" fontId="18" fillId="0" borderId="0" xfId="0" applyFont="1" applyAlignment="1">
      <alignment wrapText="1"/>
    </xf>
    <xf numFmtId="43" fontId="18" fillId="0" borderId="0" xfId="0" applyNumberFormat="1" applyFont="1" applyAlignment="1">
      <alignment wrapText="1"/>
    </xf>
    <xf numFmtId="4" fontId="0" fillId="0" borderId="0" xfId="0" applyNumberFormat="1"/>
    <xf numFmtId="4" fontId="30" fillId="0" borderId="0" xfId="0" applyNumberFormat="1" applyFont="1"/>
    <xf numFmtId="164" fontId="18" fillId="0" borderId="5" xfId="0" applyNumberFormat="1" applyFont="1" applyBorder="1" applyAlignment="1">
      <alignment wrapText="1"/>
    </xf>
    <xf numFmtId="17" fontId="9" fillId="0" borderId="6" xfId="0" applyNumberFormat="1" applyFont="1" applyBorder="1" applyAlignment="1" applyProtection="1">
      <alignment horizontal="center" wrapText="1" readingOrder="1"/>
      <protection locked="0"/>
    </xf>
    <xf numFmtId="0" fontId="6" fillId="0" borderId="0" xfId="0" applyFont="1" applyAlignment="1" applyProtection="1">
      <alignment vertical="top" wrapText="1" readingOrder="1"/>
      <protection locked="0"/>
    </xf>
    <xf numFmtId="166" fontId="17" fillId="0" borderId="5" xfId="28" applyFont="1" applyFill="1" applyBorder="1" applyAlignment="1" applyProtection="1">
      <protection locked="0"/>
    </xf>
    <xf numFmtId="166" fontId="17" fillId="14" borderId="5" xfId="28" applyFont="1" applyFill="1" applyBorder="1" applyAlignment="1" applyProtection="1">
      <protection locked="0"/>
    </xf>
    <xf numFmtId="166" fontId="17" fillId="0" borderId="16" xfId="28" applyFont="1" applyFill="1" applyBorder="1" applyAlignment="1" applyProtection="1"/>
    <xf numFmtId="171" fontId="17" fillId="0" borderId="6" xfId="28" applyNumberFormat="1" applyFont="1" applyFill="1" applyBorder="1" applyAlignment="1" applyProtection="1">
      <protection locked="0"/>
    </xf>
    <xf numFmtId="166" fontId="17" fillId="0" borderId="16" xfId="28" applyFont="1" applyFill="1" applyBorder="1" applyAlignment="1" applyProtection="1">
      <protection locked="0"/>
    </xf>
    <xf numFmtId="166" fontId="17" fillId="0" borderId="6" xfId="28" applyFont="1" applyFill="1" applyBorder="1" applyAlignment="1" applyProtection="1">
      <protection locked="0"/>
    </xf>
    <xf numFmtId="166" fontId="17" fillId="14" borderId="6" xfId="28" applyFont="1" applyFill="1" applyBorder="1" applyAlignment="1" applyProtection="1">
      <protection locked="0"/>
    </xf>
    <xf numFmtId="166" fontId="34" fillId="0" borderId="6" xfId="28" applyFont="1" applyBorder="1" applyAlignment="1" applyProtection="1">
      <alignment horizontal="right" vertical="center"/>
      <protection locked="0"/>
    </xf>
    <xf numFmtId="166" fontId="34" fillId="14" borderId="6" xfId="28" applyFont="1" applyFill="1" applyBorder="1" applyAlignment="1" applyProtection="1">
      <alignment horizontal="right" vertical="center"/>
      <protection locked="0"/>
    </xf>
    <xf numFmtId="166" fontId="34" fillId="0" borderId="6" xfId="28" applyFont="1" applyFill="1" applyBorder="1" applyAlignment="1" applyProtection="1">
      <protection locked="0"/>
    </xf>
    <xf numFmtId="166" fontId="26" fillId="0" borderId="6" xfId="0" applyNumberFormat="1" applyFont="1" applyBorder="1" applyAlignment="1" applyProtection="1">
      <alignment horizontal="right" vertical="center"/>
      <protection locked="0"/>
    </xf>
    <xf numFmtId="166" fontId="17" fillId="14" borderId="6" xfId="0" applyNumberFormat="1" applyFont="1" applyFill="1" applyBorder="1" applyAlignment="1" applyProtection="1">
      <alignment horizontal="right" vertical="center"/>
      <protection locked="0"/>
    </xf>
    <xf numFmtId="172" fontId="26" fillId="0" borderId="6" xfId="0" applyNumberFormat="1" applyFont="1" applyBorder="1" applyAlignment="1" applyProtection="1">
      <alignment horizontal="right" vertical="center"/>
      <protection locked="0"/>
    </xf>
    <xf numFmtId="172" fontId="26" fillId="14" borderId="6" xfId="0" applyNumberFormat="1" applyFont="1" applyFill="1" applyBorder="1" applyAlignment="1" applyProtection="1">
      <alignment horizontal="right" vertical="center"/>
      <protection locked="0"/>
    </xf>
    <xf numFmtId="0" fontId="30" fillId="11" borderId="0" xfId="0" applyFont="1" applyFill="1"/>
    <xf numFmtId="4" fontId="0" fillId="15" borderId="0" xfId="0" applyNumberFormat="1" applyFill="1"/>
    <xf numFmtId="17" fontId="4" fillId="8" borderId="15" xfId="0" applyNumberFormat="1" applyFont="1" applyFill="1" applyBorder="1" applyAlignment="1" applyProtection="1">
      <alignment vertical="top" wrapText="1" readingOrder="1"/>
      <protection locked="0"/>
    </xf>
    <xf numFmtId="0" fontId="30" fillId="0" borderId="6" xfId="0" applyFont="1" applyBorder="1"/>
    <xf numFmtId="17" fontId="30" fillId="11" borderId="0" xfId="0" applyNumberFormat="1" applyFont="1" applyFill="1"/>
    <xf numFmtId="43" fontId="9" fillId="12" borderId="17" xfId="27" applyFont="1" applyFill="1" applyBorder="1" applyAlignment="1" applyProtection="1">
      <alignment vertical="top" wrapText="1" readingOrder="1"/>
      <protection locked="0"/>
    </xf>
    <xf numFmtId="43" fontId="9" fillId="12" borderId="18" xfId="27" applyFont="1" applyFill="1" applyBorder="1" applyAlignment="1" applyProtection="1">
      <alignment vertical="top" wrapText="1" readingOrder="1"/>
      <protection locked="0"/>
    </xf>
    <xf numFmtId="164" fontId="8" fillId="0" borderId="6" xfId="240" applyNumberFormat="1" applyFont="1" applyBorder="1" applyAlignment="1" applyProtection="1">
      <alignment vertical="top" wrapText="1" readingOrder="1"/>
      <protection locked="0"/>
    </xf>
    <xf numFmtId="43" fontId="30" fillId="15" borderId="6" xfId="27" applyFont="1" applyFill="1" applyBorder="1"/>
    <xf numFmtId="0" fontId="30" fillId="0" borderId="17" xfId="0" applyFont="1" applyBorder="1"/>
    <xf numFmtId="164" fontId="8" fillId="0" borderId="7" xfId="240" applyNumberFormat="1" applyFont="1" applyBorder="1" applyAlignment="1" applyProtection="1">
      <alignment vertical="top" wrapText="1" readingOrder="1"/>
      <protection locked="0"/>
    </xf>
    <xf numFmtId="43" fontId="4" fillId="12" borderId="15" xfId="27" applyFont="1" applyFill="1" applyBorder="1" applyAlignment="1" applyProtection="1">
      <alignment vertical="top" wrapText="1" readingOrder="1"/>
      <protection locked="0"/>
    </xf>
    <xf numFmtId="43" fontId="4" fillId="13" borderId="15" xfId="27" applyFont="1" applyFill="1" applyBorder="1" applyAlignment="1" applyProtection="1">
      <alignment vertical="top" wrapText="1" readingOrder="1"/>
      <protection locked="0"/>
    </xf>
    <xf numFmtId="43" fontId="4" fillId="12" borderId="6" xfId="27" applyFont="1" applyFill="1" applyBorder="1" applyAlignment="1" applyProtection="1">
      <alignment vertical="top" wrapText="1" readingOrder="1"/>
      <protection locked="0"/>
    </xf>
    <xf numFmtId="1" fontId="17" fillId="0" borderId="5" xfId="0" applyNumberFormat="1" applyFont="1" applyBorder="1" applyAlignment="1" applyProtection="1">
      <alignment wrapText="1"/>
      <protection locked="0"/>
    </xf>
    <xf numFmtId="164" fontId="5" fillId="0" borderId="7" xfId="240" applyNumberFormat="1" applyFont="1" applyBorder="1" applyAlignment="1" applyProtection="1">
      <alignment vertical="top" wrapText="1" readingOrder="1"/>
      <protection locked="0"/>
    </xf>
    <xf numFmtId="164" fontId="5" fillId="10" borderId="7" xfId="240" applyNumberFormat="1" applyFont="1" applyFill="1" applyBorder="1" applyAlignment="1" applyProtection="1">
      <alignment vertical="top" wrapText="1" readingOrder="1"/>
      <protection locked="0"/>
    </xf>
    <xf numFmtId="43" fontId="17" fillId="0" borderId="5" xfId="0" applyNumberFormat="1" applyFont="1" applyBorder="1" applyAlignment="1" applyProtection="1">
      <alignment wrapText="1"/>
      <protection locked="0"/>
    </xf>
    <xf numFmtId="43" fontId="34" fillId="0" borderId="0" xfId="92" applyFont="1" applyProtection="1">
      <protection locked="0"/>
    </xf>
    <xf numFmtId="164" fontId="5" fillId="10" borderId="7" xfId="0" applyNumberFormat="1" applyFont="1" applyFill="1" applyBorder="1" applyAlignment="1" applyProtection="1">
      <alignment vertical="top" wrapText="1" readingOrder="1"/>
      <protection locked="0"/>
    </xf>
    <xf numFmtId="174" fontId="8" fillId="0" borderId="7" xfId="27" applyNumberFormat="1" applyFont="1" applyBorder="1" applyAlignment="1" applyProtection="1">
      <alignment vertical="top" wrapText="1" readingOrder="1"/>
      <protection locked="0"/>
    </xf>
    <xf numFmtId="174" fontId="29" fillId="0" borderId="6" xfId="27" applyNumberFormat="1" applyFont="1" applyFill="1" applyBorder="1"/>
    <xf numFmtId="0" fontId="0" fillId="11" borderId="0" xfId="0" applyFill="1"/>
    <xf numFmtId="174" fontId="0" fillId="11" borderId="6" xfId="0" applyNumberFormat="1" applyFill="1" applyBorder="1"/>
    <xf numFmtId="174" fontId="30" fillId="11" borderId="6" xfId="0" applyNumberFormat="1" applyFont="1" applyFill="1" applyBorder="1"/>
    <xf numFmtId="43" fontId="30" fillId="14" borderId="6" xfId="27" applyFont="1" applyFill="1" applyBorder="1"/>
    <xf numFmtId="165" fontId="8" fillId="0" borderId="6" xfId="240" applyNumberFormat="1" applyFont="1" applyBorder="1" applyAlignment="1" applyProtection="1">
      <alignment vertical="top" wrapText="1" readingOrder="1"/>
      <protection locked="0"/>
    </xf>
    <xf numFmtId="174" fontId="8" fillId="0" borderId="6" xfId="27" applyNumberFormat="1" applyFont="1" applyBorder="1" applyAlignment="1" applyProtection="1">
      <alignment vertical="top" wrapText="1" readingOrder="1"/>
      <protection locked="0"/>
    </xf>
    <xf numFmtId="174" fontId="8" fillId="0" borderId="15" xfId="27" applyNumberFormat="1" applyFont="1" applyBorder="1" applyAlignment="1" applyProtection="1">
      <alignment vertical="top" wrapText="1" readingOrder="1"/>
      <protection locked="0"/>
    </xf>
    <xf numFmtId="164" fontId="8" fillId="0" borderId="15" xfId="240" applyNumberFormat="1" applyFont="1" applyBorder="1" applyAlignment="1" applyProtection="1">
      <alignment vertical="top" wrapText="1" readingOrder="1"/>
      <protection locked="0"/>
    </xf>
    <xf numFmtId="0" fontId="0" fillId="0" borderId="17" xfId="0" applyBorder="1"/>
    <xf numFmtId="164" fontId="8" fillId="0" borderId="17" xfId="240" applyNumberFormat="1" applyFont="1" applyBorder="1" applyAlignment="1" applyProtection="1">
      <alignment vertical="top" wrapText="1" readingOrder="1"/>
      <protection locked="0"/>
    </xf>
    <xf numFmtId="0" fontId="17" fillId="0" borderId="5" xfId="240" applyFont="1" applyBorder="1" applyAlignment="1" applyProtection="1">
      <alignment wrapText="1"/>
      <protection locked="0"/>
    </xf>
    <xf numFmtId="43" fontId="17" fillId="0" borderId="5" xfId="240" applyNumberFormat="1" applyFont="1" applyBorder="1" applyAlignment="1" applyProtection="1">
      <alignment wrapText="1"/>
      <protection locked="0"/>
    </xf>
    <xf numFmtId="43" fontId="29" fillId="0" borderId="6" xfId="27" applyFont="1" applyFill="1" applyBorder="1"/>
    <xf numFmtId="17" fontId="30" fillId="0" borderId="17" xfId="0" applyNumberFormat="1" applyFont="1" applyBorder="1"/>
    <xf numFmtId="43" fontId="4" fillId="12" borderId="17" xfId="27" applyFont="1" applyFill="1" applyBorder="1" applyAlignment="1" applyProtection="1">
      <alignment vertical="top" wrapText="1" readingOrder="1"/>
      <protection locked="0"/>
    </xf>
    <xf numFmtId="43" fontId="5" fillId="0" borderId="15" xfId="27" applyFont="1" applyBorder="1" applyAlignment="1" applyProtection="1">
      <alignment vertical="top" wrapText="1" readingOrder="1"/>
      <protection locked="0"/>
    </xf>
    <xf numFmtId="164" fontId="5" fillId="10" borderId="15" xfId="240" applyNumberFormat="1" applyFont="1" applyFill="1" applyBorder="1" applyAlignment="1" applyProtection="1">
      <alignment vertical="top" wrapText="1" readingOrder="1"/>
      <protection locked="0"/>
    </xf>
    <xf numFmtId="164" fontId="5" fillId="0" borderId="15" xfId="240" applyNumberFormat="1" applyFont="1" applyBorder="1" applyAlignment="1" applyProtection="1">
      <alignment vertical="top" wrapText="1" readingOrder="1"/>
      <protection locked="0"/>
    </xf>
    <xf numFmtId="43" fontId="5" fillId="0" borderId="6" xfId="27" applyFont="1" applyBorder="1" applyAlignment="1" applyProtection="1">
      <alignment vertical="top" wrapText="1" readingOrder="1"/>
      <protection locked="0"/>
    </xf>
    <xf numFmtId="164" fontId="5" fillId="0" borderId="6" xfId="240" applyNumberFormat="1" applyFont="1" applyBorder="1" applyAlignment="1" applyProtection="1">
      <alignment vertical="top" wrapText="1" readingOrder="1"/>
      <protection locked="0"/>
    </xf>
    <xf numFmtId="164" fontId="5" fillId="10" borderId="6" xfId="240" applyNumberFormat="1" applyFont="1" applyFill="1" applyBorder="1" applyAlignment="1" applyProtection="1">
      <alignment vertical="top" wrapText="1" readingOrder="1"/>
      <protection locked="0"/>
    </xf>
    <xf numFmtId="43" fontId="30" fillId="0" borderId="0" xfId="27" applyFont="1"/>
    <xf numFmtId="164" fontId="8" fillId="0" borderId="14" xfId="0" applyNumberFormat="1" applyFont="1" applyBorder="1" applyAlignment="1" applyProtection="1">
      <alignment vertical="top" wrapText="1" readingOrder="1"/>
      <protection locked="0"/>
    </xf>
    <xf numFmtId="164" fontId="42" fillId="0" borderId="14" xfId="0" applyNumberFormat="1" applyFont="1" applyBorder="1" applyAlignment="1" applyProtection="1">
      <alignment vertical="top" wrapText="1" readingOrder="1"/>
      <protection locked="0"/>
    </xf>
    <xf numFmtId="9" fontId="30" fillId="0" borderId="6" xfId="454" applyFont="1" applyBorder="1"/>
    <xf numFmtId="164" fontId="5" fillId="0" borderId="14" xfId="0" applyNumberFormat="1" applyFont="1" applyBorder="1" applyAlignment="1" applyProtection="1">
      <alignment vertical="top" wrapText="1" readingOrder="1"/>
      <protection locked="0"/>
    </xf>
    <xf numFmtId="164" fontId="5" fillId="0" borderId="0" xfId="0" applyNumberFormat="1" applyFont="1" applyAlignment="1" applyProtection="1">
      <alignment vertical="top" wrapText="1" readingOrder="1"/>
      <protection locked="0"/>
    </xf>
    <xf numFmtId="9" fontId="4" fillId="0" borderId="19" xfId="454" applyFont="1" applyFill="1" applyBorder="1" applyAlignment="1" applyProtection="1">
      <alignment vertical="top" wrapText="1" readingOrder="1"/>
      <protection locked="0"/>
    </xf>
    <xf numFmtId="43" fontId="8" fillId="0" borderId="6" xfId="27" applyFont="1" applyFill="1" applyBorder="1" applyAlignment="1" applyProtection="1">
      <alignment vertical="top" wrapText="1" readingOrder="1"/>
      <protection locked="0"/>
    </xf>
    <xf numFmtId="164" fontId="8" fillId="0" borderId="15" xfId="0" applyNumberFormat="1" applyFont="1" applyBorder="1" applyAlignment="1" applyProtection="1">
      <alignment vertical="top" wrapText="1" readingOrder="1"/>
      <protection locked="0"/>
    </xf>
    <xf numFmtId="164" fontId="8" fillId="0" borderId="6" xfId="303" applyNumberFormat="1" applyFont="1" applyBorder="1" applyAlignment="1" applyProtection="1">
      <alignment vertical="top" wrapText="1" readingOrder="1"/>
      <protection locked="0"/>
    </xf>
    <xf numFmtId="164" fontId="8" fillId="15" borderId="15" xfId="0" applyNumberFormat="1" applyFont="1" applyFill="1" applyBorder="1" applyAlignment="1" applyProtection="1">
      <alignment vertical="top" wrapText="1" readingOrder="1"/>
      <protection locked="0"/>
    </xf>
    <xf numFmtId="164" fontId="8" fillId="0" borderId="6" xfId="337" applyNumberFormat="1" applyFont="1" applyBorder="1" applyAlignment="1" applyProtection="1">
      <alignment vertical="top" wrapText="1" readingOrder="1"/>
      <protection locked="0"/>
    </xf>
    <xf numFmtId="164" fontId="8" fillId="0" borderId="6" xfId="338" applyNumberFormat="1" applyFont="1" applyBorder="1" applyAlignment="1" applyProtection="1">
      <alignment vertical="top" wrapText="1" readingOrder="1"/>
      <protection locked="0"/>
    </xf>
    <xf numFmtId="164" fontId="8" fillId="0" borderId="6" xfId="339" applyNumberFormat="1" applyFont="1" applyBorder="1" applyAlignment="1" applyProtection="1">
      <alignment vertical="top" wrapText="1" readingOrder="1"/>
      <protection locked="0"/>
    </xf>
    <xf numFmtId="164" fontId="8" fillId="0" borderId="6" xfId="342" applyNumberFormat="1" applyFont="1" applyBorder="1" applyAlignment="1" applyProtection="1">
      <alignment vertical="top" wrapText="1" readingOrder="1"/>
      <protection locked="0"/>
    </xf>
    <xf numFmtId="164" fontId="8" fillId="0" borderId="6" xfId="343" applyNumberFormat="1" applyFont="1" applyBorder="1" applyAlignment="1" applyProtection="1">
      <alignment vertical="top" wrapText="1" readingOrder="1"/>
      <protection locked="0"/>
    </xf>
    <xf numFmtId="164" fontId="8" fillId="0" borderId="6" xfId="375" applyNumberFormat="1" applyFont="1" applyBorder="1" applyAlignment="1" applyProtection="1">
      <alignment vertical="top" wrapText="1" readingOrder="1"/>
      <protection locked="0"/>
    </xf>
    <xf numFmtId="165" fontId="8" fillId="0" borderId="15" xfId="0" applyNumberFormat="1" applyFont="1" applyBorder="1" applyAlignment="1" applyProtection="1">
      <alignment vertical="top" wrapText="1" readingOrder="1"/>
      <protection locked="0"/>
    </xf>
    <xf numFmtId="165" fontId="8" fillId="0" borderId="6" xfId="375" applyNumberFormat="1" applyFont="1" applyBorder="1" applyAlignment="1" applyProtection="1">
      <alignment vertical="top" wrapText="1" readingOrder="1"/>
      <protection locked="0"/>
    </xf>
    <xf numFmtId="164" fontId="5" fillId="0" borderId="15" xfId="0" applyNumberFormat="1" applyFont="1" applyBorder="1" applyAlignment="1" applyProtection="1">
      <alignment vertical="top" wrapText="1" readingOrder="1"/>
      <protection locked="0"/>
    </xf>
    <xf numFmtId="164" fontId="5" fillId="0" borderId="7" xfId="377" applyNumberFormat="1" applyFont="1" applyBorder="1" applyAlignment="1" applyProtection="1">
      <alignment vertical="top" wrapText="1" readingOrder="1"/>
      <protection locked="0"/>
    </xf>
    <xf numFmtId="164" fontId="5" fillId="10" borderId="15" xfId="0" applyNumberFormat="1" applyFont="1" applyFill="1" applyBorder="1" applyAlignment="1" applyProtection="1">
      <alignment vertical="top" wrapText="1" readingOrder="1"/>
      <protection locked="0"/>
    </xf>
    <xf numFmtId="164" fontId="5" fillId="0" borderId="6" xfId="0" applyNumberFormat="1" applyFont="1" applyBorder="1" applyAlignment="1" applyProtection="1">
      <alignment vertical="top" wrapText="1" readingOrder="1"/>
      <protection locked="0"/>
    </xf>
    <xf numFmtId="9" fontId="0" fillId="0" borderId="6" xfId="454" applyFont="1" applyBorder="1"/>
    <xf numFmtId="0" fontId="43" fillId="0" borderId="20" xfId="0" applyFont="1" applyBorder="1" applyAlignment="1">
      <alignment wrapText="1" readingOrder="1"/>
    </xf>
    <xf numFmtId="4" fontId="43" fillId="0" borderId="20" xfId="0" applyNumberFormat="1" applyFont="1" applyBorder="1" applyAlignment="1">
      <alignment wrapText="1" readingOrder="1"/>
    </xf>
    <xf numFmtId="0" fontId="43" fillId="0" borderId="21" xfId="0" applyFont="1" applyBorder="1" applyAlignment="1">
      <alignment wrapText="1" readingOrder="1"/>
    </xf>
    <xf numFmtId="4" fontId="43" fillId="0" borderId="21" xfId="0" applyNumberFormat="1" applyFont="1" applyBorder="1" applyAlignment="1">
      <alignment wrapText="1" readingOrder="1"/>
    </xf>
    <xf numFmtId="0" fontId="43" fillId="0" borderId="23" xfId="0" applyFont="1" applyBorder="1" applyAlignment="1">
      <alignment wrapText="1" readingOrder="1"/>
    </xf>
    <xf numFmtId="4" fontId="43" fillId="0" borderId="23" xfId="0" applyNumberFormat="1" applyFont="1" applyBorder="1" applyAlignment="1">
      <alignment wrapText="1" readingOrder="1"/>
    </xf>
    <xf numFmtId="0" fontId="43" fillId="0" borderId="24" xfId="0" applyFont="1" applyBorder="1" applyAlignment="1">
      <alignment wrapText="1" readingOrder="1"/>
    </xf>
    <xf numFmtId="4" fontId="43" fillId="0" borderId="24" xfId="0" applyNumberFormat="1" applyFont="1" applyBorder="1" applyAlignment="1">
      <alignment wrapText="1" readingOrder="1"/>
    </xf>
    <xf numFmtId="43" fontId="9" fillId="12" borderId="6" xfId="27" applyFont="1" applyFill="1" applyBorder="1" applyAlignment="1" applyProtection="1">
      <alignment vertical="top" readingOrder="1"/>
      <protection locked="0"/>
    </xf>
    <xf numFmtId="4" fontId="43" fillId="0" borderId="22" xfId="0" applyNumberFormat="1" applyFont="1" applyBorder="1" applyAlignment="1">
      <alignment readingOrder="1"/>
    </xf>
    <xf numFmtId="0" fontId="43" fillId="0" borderId="22" xfId="0" applyFont="1" applyBorder="1" applyAlignment="1">
      <alignment readingOrder="1"/>
    </xf>
    <xf numFmtId="0" fontId="44" fillId="0" borderId="20" xfId="0" applyFont="1" applyBorder="1" applyAlignment="1">
      <alignment wrapText="1" readingOrder="1"/>
    </xf>
    <xf numFmtId="4" fontId="44" fillId="0" borderId="20" xfId="0" applyNumberFormat="1" applyFont="1" applyBorder="1" applyAlignment="1">
      <alignment wrapText="1" readingOrder="1"/>
    </xf>
    <xf numFmtId="0" fontId="44" fillId="0" borderId="21" xfId="0" applyFont="1" applyBorder="1" applyAlignment="1">
      <alignment wrapText="1" readingOrder="1"/>
    </xf>
    <xf numFmtId="4" fontId="44" fillId="0" borderId="21" xfId="0" applyNumberFormat="1" applyFont="1" applyBorder="1" applyAlignment="1">
      <alignment wrapText="1" readingOrder="1"/>
    </xf>
    <xf numFmtId="0" fontId="44" fillId="0" borderId="23" xfId="0" applyFont="1" applyBorder="1" applyAlignment="1">
      <alignment wrapText="1" readingOrder="1"/>
    </xf>
    <xf numFmtId="4" fontId="44" fillId="0" borderId="23" xfId="0" applyNumberFormat="1" applyFont="1" applyBorder="1" applyAlignment="1">
      <alignment wrapText="1" readingOrder="1"/>
    </xf>
    <xf numFmtId="0" fontId="44" fillId="0" borderId="24" xfId="0" applyFont="1" applyBorder="1" applyAlignment="1">
      <alignment wrapText="1" readingOrder="1"/>
    </xf>
    <xf numFmtId="4" fontId="44" fillId="0" borderId="24" xfId="0" applyNumberFormat="1" applyFont="1" applyBorder="1" applyAlignment="1">
      <alignment wrapText="1" readingOrder="1"/>
    </xf>
    <xf numFmtId="4" fontId="44" fillId="16" borderId="23" xfId="0" applyNumberFormat="1" applyFont="1" applyFill="1" applyBorder="1" applyAlignment="1">
      <alignment wrapText="1" readingOrder="1"/>
    </xf>
    <xf numFmtId="4" fontId="44" fillId="16" borderId="24" xfId="0" applyNumberFormat="1" applyFont="1" applyFill="1" applyBorder="1" applyAlignment="1">
      <alignment wrapText="1" readingOrder="1"/>
    </xf>
    <xf numFmtId="174" fontId="0" fillId="0" borderId="0" xfId="0" applyNumberFormat="1"/>
    <xf numFmtId="174" fontId="9" fillId="12" borderId="6" xfId="27" applyNumberFormat="1" applyFont="1" applyFill="1" applyBorder="1" applyAlignment="1" applyProtection="1">
      <alignment vertical="top" wrapText="1" readingOrder="1"/>
      <protection locked="0"/>
    </xf>
    <xf numFmtId="43" fontId="45" fillId="0" borderId="0" xfId="0" applyNumberFormat="1" applyFont="1"/>
    <xf numFmtId="43" fontId="46" fillId="0" borderId="0" xfId="0" applyNumberFormat="1" applyFont="1"/>
    <xf numFmtId="0" fontId="44" fillId="16" borderId="23" xfId="0" applyFont="1" applyFill="1" applyBorder="1" applyAlignment="1">
      <alignment wrapText="1" readingOrder="1"/>
    </xf>
    <xf numFmtId="17" fontId="30" fillId="17" borderId="0" xfId="0" applyNumberFormat="1" applyFont="1" applyFill="1"/>
    <xf numFmtId="164" fontId="48" fillId="0" borderId="7" xfId="0" applyNumberFormat="1" applyFont="1" applyBorder="1" applyAlignment="1" applyProtection="1">
      <alignment vertical="top" wrapText="1" readingOrder="1"/>
      <protection locked="0"/>
    </xf>
    <xf numFmtId="165" fontId="48" fillId="0" borderId="7" xfId="0" applyNumberFormat="1" applyFont="1" applyBorder="1" applyAlignment="1" applyProtection="1">
      <alignment vertical="top" wrapText="1" readingOrder="1"/>
      <protection locked="0"/>
    </xf>
    <xf numFmtId="164" fontId="49" fillId="0" borderId="7" xfId="0" applyNumberFormat="1" applyFont="1" applyBorder="1" applyAlignment="1" applyProtection="1">
      <alignment vertical="top" wrapText="1" readingOrder="1"/>
      <protection locked="0"/>
    </xf>
    <xf numFmtId="166" fontId="2" fillId="0" borderId="6" xfId="28" applyBorder="1" applyAlignment="1" applyProtection="1">
      <alignment horizontal="right" vertical="center"/>
      <protection locked="0"/>
    </xf>
    <xf numFmtId="166" fontId="17" fillId="0" borderId="6" xfId="28" applyFont="1" applyBorder="1" applyAlignment="1" applyProtection="1">
      <alignment horizontal="right" vertical="center"/>
      <protection locked="0"/>
    </xf>
    <xf numFmtId="43" fontId="0" fillId="0" borderId="0" xfId="27" applyFont="1"/>
    <xf numFmtId="17" fontId="30" fillId="0" borderId="34" xfId="0" applyNumberFormat="1" applyFont="1" applyBorder="1" applyAlignment="1" applyProtection="1">
      <alignment horizontal="right" wrapText="1"/>
      <protection locked="0"/>
    </xf>
    <xf numFmtId="0" fontId="30" fillId="0" borderId="6" xfId="0" applyFont="1" applyBorder="1" applyAlignment="1" applyProtection="1">
      <alignment horizontal="right"/>
      <protection locked="0"/>
    </xf>
    <xf numFmtId="17" fontId="30" fillId="0" borderId="0" xfId="0" applyNumberFormat="1" applyFont="1" applyProtection="1">
      <protection locked="0"/>
    </xf>
    <xf numFmtId="17" fontId="30" fillId="0" borderId="26" xfId="0" applyNumberFormat="1" applyFont="1" applyBorder="1" applyAlignment="1" applyProtection="1">
      <alignment horizontal="right" wrapText="1"/>
      <protection locked="0"/>
    </xf>
    <xf numFmtId="0" fontId="0" fillId="0" borderId="6" xfId="0" applyBorder="1" applyAlignment="1" applyProtection="1">
      <alignment horizontal="center"/>
      <protection locked="0"/>
    </xf>
    <xf numFmtId="0" fontId="51" fillId="14" borderId="10" xfId="0" applyFont="1" applyFill="1" applyBorder="1" applyAlignment="1" applyProtection="1">
      <alignment horizontal="left"/>
      <protection locked="0"/>
    </xf>
    <xf numFmtId="0" fontId="0" fillId="0" borderId="10" xfId="0" applyBorder="1" applyAlignment="1" applyProtection="1">
      <alignment horizontal="left"/>
      <protection locked="0"/>
    </xf>
    <xf numFmtId="0" fontId="0" fillId="0" borderId="6" xfId="0" applyBorder="1" applyProtection="1">
      <protection locked="0"/>
    </xf>
    <xf numFmtId="0" fontId="0" fillId="0" borderId="17" xfId="0" applyBorder="1" applyProtection="1">
      <protection locked="0"/>
    </xf>
    <xf numFmtId="0" fontId="47" fillId="0" borderId="26" xfId="0" applyFont="1" applyBorder="1" applyProtection="1">
      <protection locked="0"/>
    </xf>
    <xf numFmtId="0" fontId="0" fillId="0" borderId="6" xfId="0" applyBorder="1" applyAlignment="1" applyProtection="1">
      <alignment horizontal="left"/>
      <protection locked="0"/>
    </xf>
    <xf numFmtId="0" fontId="0" fillId="0" borderId="17" xfId="0" applyBorder="1" applyAlignment="1" applyProtection="1">
      <alignment horizontal="left"/>
      <protection locked="0"/>
    </xf>
    <xf numFmtId="0" fontId="47" fillId="0" borderId="26" xfId="0" applyFont="1" applyBorder="1" applyAlignment="1" applyProtection="1">
      <alignment horizontal="left"/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2" xfId="0" applyBorder="1" applyProtection="1">
      <protection locked="0"/>
    </xf>
    <xf numFmtId="0" fontId="0" fillId="0" borderId="36" xfId="0" applyBorder="1" applyProtection="1">
      <protection locked="0"/>
    </xf>
    <xf numFmtId="0" fontId="47" fillId="0" borderId="30" xfId="0" applyFont="1" applyBorder="1" applyProtection="1">
      <protection locked="0"/>
    </xf>
    <xf numFmtId="174" fontId="51" fillId="0" borderId="6" xfId="459" applyNumberFormat="1" applyFont="1" applyBorder="1" applyAlignment="1" applyProtection="1">
      <alignment horizontal="right"/>
    </xf>
    <xf numFmtId="0" fontId="51" fillId="0" borderId="10" xfId="0" applyFont="1" applyBorder="1"/>
    <xf numFmtId="0" fontId="51" fillId="0" borderId="6" xfId="0" applyFont="1" applyBorder="1" applyAlignment="1">
      <alignment horizontal="center"/>
    </xf>
    <xf numFmtId="9" fontId="51" fillId="0" borderId="6" xfId="0" applyNumberFormat="1" applyFont="1" applyBorder="1" applyAlignment="1">
      <alignment horizontal="center"/>
    </xf>
    <xf numFmtId="170" fontId="0" fillId="14" borderId="6" xfId="454" applyNumberFormat="1" applyFont="1" applyFill="1" applyBorder="1" applyAlignment="1" applyProtection="1">
      <alignment horizontal="right"/>
    </xf>
    <xf numFmtId="0" fontId="51" fillId="14" borderId="10" xfId="0" applyFont="1" applyFill="1" applyBorder="1"/>
    <xf numFmtId="0" fontId="51" fillId="14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51" fillId="14" borderId="10" xfId="0" applyFont="1" applyFill="1" applyBorder="1" applyAlignment="1">
      <alignment horizontal="left"/>
    </xf>
    <xf numFmtId="9" fontId="51" fillId="14" borderId="6" xfId="0" applyNumberFormat="1" applyFont="1" applyFill="1" applyBorder="1" applyAlignment="1">
      <alignment horizontal="center"/>
    </xf>
    <xf numFmtId="0" fontId="47" fillId="0" borderId="6" xfId="0" applyFont="1" applyBorder="1" applyAlignment="1">
      <alignment horizontal="center"/>
    </xf>
    <xf numFmtId="0" fontId="30" fillId="0" borderId="10" xfId="0" applyFont="1" applyBorder="1" applyAlignment="1">
      <alignment horizontal="center"/>
    </xf>
    <xf numFmtId="43" fontId="54" fillId="0" borderId="6" xfId="27" applyFont="1" applyBorder="1" applyAlignment="1" applyProtection="1">
      <alignment horizontal="center"/>
    </xf>
    <xf numFmtId="0" fontId="30" fillId="14" borderId="10" xfId="0" applyFont="1" applyFill="1" applyBorder="1"/>
    <xf numFmtId="0" fontId="30" fillId="14" borderId="29" xfId="0" applyFont="1" applyFill="1" applyBorder="1"/>
    <xf numFmtId="0" fontId="30" fillId="14" borderId="11" xfId="0" applyFont="1" applyFill="1" applyBorder="1"/>
    <xf numFmtId="170" fontId="51" fillId="0" borderId="6" xfId="454" applyNumberFormat="1" applyFont="1" applyBorder="1" applyAlignment="1" applyProtection="1">
      <alignment horizontal="right"/>
    </xf>
    <xf numFmtId="170" fontId="51" fillId="14" borderId="6" xfId="454" applyNumberFormat="1" applyFont="1" applyFill="1" applyBorder="1" applyAlignment="1" applyProtection="1">
      <alignment horizontal="right"/>
    </xf>
    <xf numFmtId="170" fontId="51" fillId="0" borderId="6" xfId="454" applyNumberFormat="1" applyFont="1" applyFill="1" applyBorder="1" applyAlignment="1" applyProtection="1">
      <alignment horizontal="right"/>
    </xf>
    <xf numFmtId="0" fontId="30" fillId="0" borderId="17" xfId="0" applyFont="1" applyBorder="1" applyAlignment="1">
      <alignment horizontal="right"/>
    </xf>
    <xf numFmtId="43" fontId="54" fillId="0" borderId="6" xfId="27" applyFont="1" applyBorder="1" applyProtection="1">
      <protection locked="0"/>
    </xf>
    <xf numFmtId="43" fontId="17" fillId="0" borderId="6" xfId="27" applyFont="1" applyBorder="1" applyProtection="1">
      <protection locked="0"/>
    </xf>
    <xf numFmtId="43" fontId="55" fillId="0" borderId="6" xfId="27" applyFont="1" applyBorder="1" applyProtection="1">
      <protection locked="0"/>
    </xf>
    <xf numFmtId="0" fontId="0" fillId="0" borderId="26" xfId="0" applyBorder="1" applyProtection="1">
      <protection locked="0"/>
    </xf>
    <xf numFmtId="0" fontId="54" fillId="0" borderId="10" xfId="0" applyFont="1" applyBorder="1"/>
    <xf numFmtId="0" fontId="56" fillId="14" borderId="31" xfId="0" applyFont="1" applyFill="1" applyBorder="1"/>
    <xf numFmtId="0" fontId="30" fillId="0" borderId="40" xfId="0" applyFont="1" applyBorder="1" applyAlignment="1" applyProtection="1">
      <alignment horizontal="center"/>
      <protection locked="0"/>
    </xf>
    <xf numFmtId="17" fontId="30" fillId="12" borderId="0" xfId="0" applyNumberFormat="1" applyFont="1" applyFill="1"/>
    <xf numFmtId="17" fontId="30" fillId="0" borderId="0" xfId="0" applyNumberFormat="1" applyFont="1" applyAlignment="1" applyProtection="1">
      <alignment horizontal="right" wrapText="1"/>
      <protection locked="0"/>
    </xf>
    <xf numFmtId="0" fontId="46" fillId="0" borderId="9" xfId="0" applyFont="1" applyBorder="1"/>
    <xf numFmtId="0" fontId="58" fillId="0" borderId="9" xfId="0" applyFont="1" applyBorder="1"/>
    <xf numFmtId="17" fontId="45" fillId="0" borderId="6" xfId="0" applyNumberFormat="1" applyFont="1" applyBorder="1"/>
    <xf numFmtId="0" fontId="45" fillId="0" borderId="6" xfId="0" applyFont="1" applyBorder="1" applyAlignment="1">
      <alignment wrapText="1"/>
    </xf>
    <xf numFmtId="17" fontId="59" fillId="0" borderId="6" xfId="0" applyNumberFormat="1" applyFont="1" applyBorder="1" applyAlignment="1" applyProtection="1">
      <alignment horizontal="center" wrapText="1" readingOrder="1"/>
      <protection locked="0"/>
    </xf>
    <xf numFmtId="0" fontId="45" fillId="0" borderId="6" xfId="0" applyFont="1" applyBorder="1"/>
    <xf numFmtId="43" fontId="45" fillId="0" borderId="6" xfId="27" applyFont="1" applyBorder="1"/>
    <xf numFmtId="9" fontId="45" fillId="0" borderId="6" xfId="454" applyFont="1" applyBorder="1"/>
    <xf numFmtId="170" fontId="45" fillId="0" borderId="6" xfId="454" applyNumberFormat="1" applyFont="1" applyBorder="1"/>
    <xf numFmtId="10" fontId="45" fillId="0" borderId="6" xfId="454" applyNumberFormat="1" applyFont="1" applyBorder="1"/>
    <xf numFmtId="0" fontId="45" fillId="0" borderId="6" xfId="0" applyFont="1" applyBorder="1" applyAlignment="1">
      <alignment horizontal="center" vertical="center"/>
    </xf>
    <xf numFmtId="0" fontId="60" fillId="0" borderId="6" xfId="0" applyFont="1" applyBorder="1" applyAlignment="1">
      <alignment vertical="top" wrapText="1"/>
    </xf>
    <xf numFmtId="0" fontId="60" fillId="0" borderId="6" xfId="0" applyFont="1" applyBorder="1" applyAlignment="1">
      <alignment horizontal="center" vertical="center" wrapText="1"/>
    </xf>
    <xf numFmtId="9" fontId="61" fillId="0" borderId="6" xfId="454" applyFont="1" applyBorder="1"/>
    <xf numFmtId="0" fontId="60" fillId="0" borderId="6" xfId="0" applyFont="1" applyBorder="1" applyAlignment="1">
      <alignment horizontal="left" vertical="top" wrapText="1"/>
    </xf>
    <xf numFmtId="17" fontId="46" fillId="0" borderId="6" xfId="0" applyNumberFormat="1" applyFont="1" applyBorder="1"/>
    <xf numFmtId="0" fontId="46" fillId="0" borderId="6" xfId="0" applyFont="1" applyBorder="1"/>
    <xf numFmtId="17" fontId="46" fillId="17" borderId="6" xfId="0" applyNumberFormat="1" applyFont="1" applyFill="1" applyBorder="1"/>
    <xf numFmtId="17" fontId="46" fillId="17" borderId="6" xfId="0" applyNumberFormat="1" applyFont="1" applyFill="1" applyBorder="1" applyAlignment="1">
      <alignment wrapText="1"/>
    </xf>
    <xf numFmtId="17" fontId="46" fillId="17" borderId="6" xfId="0" applyNumberFormat="1" applyFont="1" applyFill="1" applyBorder="1" applyAlignment="1">
      <alignment horizontal="center" wrapText="1"/>
    </xf>
    <xf numFmtId="43" fontId="30" fillId="0" borderId="39" xfId="27" applyFont="1" applyBorder="1"/>
    <xf numFmtId="17" fontId="30" fillId="17" borderId="6" xfId="0" applyNumberFormat="1" applyFont="1" applyFill="1" applyBorder="1"/>
    <xf numFmtId="17" fontId="0" fillId="11" borderId="0" xfId="0" applyNumberFormat="1" applyFill="1"/>
    <xf numFmtId="164" fontId="8" fillId="0" borderId="42" xfId="0" applyNumberFormat="1" applyFont="1" applyBorder="1" applyAlignment="1" applyProtection="1">
      <alignment vertical="top" wrapText="1" readingOrder="1"/>
      <protection locked="0"/>
    </xf>
    <xf numFmtId="175" fontId="8" fillId="0" borderId="42" xfId="0" applyNumberFormat="1" applyFont="1" applyBorder="1" applyAlignment="1" applyProtection="1">
      <alignment vertical="top" wrapText="1" readingOrder="1"/>
      <protection locked="0"/>
    </xf>
    <xf numFmtId="174" fontId="29" fillId="0" borderId="0" xfId="27" applyNumberFormat="1" applyFont="1"/>
    <xf numFmtId="164" fontId="8" fillId="0" borderId="0" xfId="0" applyNumberFormat="1" applyFont="1" applyAlignment="1" applyProtection="1">
      <alignment vertical="top" wrapText="1" readingOrder="1"/>
      <protection locked="0"/>
    </xf>
    <xf numFmtId="164" fontId="49" fillId="13" borderId="7" xfId="0" applyNumberFormat="1" applyFont="1" applyFill="1" applyBorder="1" applyAlignment="1" applyProtection="1">
      <alignment vertical="top" wrapText="1" readingOrder="1"/>
      <protection locked="0"/>
    </xf>
    <xf numFmtId="166" fontId="34" fillId="12" borderId="6" xfId="28" applyFont="1" applyFill="1" applyBorder="1" applyAlignment="1" applyProtection="1">
      <alignment horizontal="right" vertical="center"/>
      <protection locked="0"/>
    </xf>
    <xf numFmtId="174" fontId="29" fillId="12" borderId="0" xfId="27" applyNumberFormat="1" applyFont="1" applyFill="1"/>
    <xf numFmtId="175" fontId="5" fillId="0" borderId="0" xfId="0" applyNumberFormat="1" applyFont="1" applyAlignment="1" applyProtection="1">
      <alignment vertical="top" wrapText="1" readingOrder="1"/>
      <protection locked="0"/>
    </xf>
    <xf numFmtId="174" fontId="4" fillId="12" borderId="6" xfId="27" applyNumberFormat="1" applyFont="1" applyFill="1" applyBorder="1" applyAlignment="1" applyProtection="1">
      <alignment vertical="top" wrapText="1" readingOrder="1"/>
      <protection locked="0"/>
    </xf>
    <xf numFmtId="174" fontId="4" fillId="13" borderId="15" xfId="27" applyNumberFormat="1" applyFont="1" applyFill="1" applyBorder="1" applyAlignment="1" applyProtection="1">
      <alignment vertical="top" wrapText="1" readingOrder="1"/>
      <protection locked="0"/>
    </xf>
    <xf numFmtId="174" fontId="4" fillId="12" borderId="15" xfId="27" applyNumberFormat="1" applyFont="1" applyFill="1" applyBorder="1" applyAlignment="1" applyProtection="1">
      <alignment vertical="top" wrapText="1" readingOrder="1"/>
      <protection locked="0"/>
    </xf>
    <xf numFmtId="175" fontId="0" fillId="0" borderId="0" xfId="0" applyNumberFormat="1"/>
    <xf numFmtId="0" fontId="0" fillId="12" borderId="0" xfId="0" applyFill="1"/>
    <xf numFmtId="43" fontId="30" fillId="0" borderId="39" xfId="27" applyFont="1" applyFill="1" applyBorder="1"/>
    <xf numFmtId="9" fontId="30" fillId="0" borderId="6" xfId="454" applyFont="1" applyFill="1" applyBorder="1"/>
    <xf numFmtId="9" fontId="29" fillId="0" borderId="6" xfId="454" applyFont="1" applyFill="1" applyBorder="1"/>
    <xf numFmtId="10" fontId="29" fillId="0" borderId="6" xfId="454" applyNumberFormat="1" applyFont="1" applyFill="1" applyBorder="1"/>
    <xf numFmtId="17" fontId="30" fillId="0" borderId="0" xfId="0" applyNumberFormat="1" applyFont="1" applyAlignment="1">
      <alignment horizontal="right"/>
    </xf>
    <xf numFmtId="0" fontId="62" fillId="0" borderId="20" xfId="0" applyFont="1" applyBorder="1" applyAlignment="1">
      <alignment wrapText="1" readingOrder="1"/>
    </xf>
    <xf numFmtId="4" fontId="62" fillId="0" borderId="20" xfId="0" applyNumberFormat="1" applyFont="1" applyBorder="1" applyAlignment="1">
      <alignment wrapText="1" readingOrder="1"/>
    </xf>
    <xf numFmtId="0" fontId="62" fillId="0" borderId="21" xfId="0" applyFont="1" applyBorder="1" applyAlignment="1">
      <alignment wrapText="1" readingOrder="1"/>
    </xf>
    <xf numFmtId="4" fontId="62" fillId="0" borderId="21" xfId="0" applyNumberFormat="1" applyFont="1" applyBorder="1" applyAlignment="1">
      <alignment wrapText="1" readingOrder="1"/>
    </xf>
    <xf numFmtId="0" fontId="62" fillId="0" borderId="23" xfId="0" applyFont="1" applyBorder="1" applyAlignment="1">
      <alignment wrapText="1" readingOrder="1"/>
    </xf>
    <xf numFmtId="4" fontId="62" fillId="0" borderId="23" xfId="0" applyNumberFormat="1" applyFont="1" applyBorder="1" applyAlignment="1">
      <alignment wrapText="1" readingOrder="1"/>
    </xf>
    <xf numFmtId="0" fontId="62" fillId="0" borderId="24" xfId="0" applyFont="1" applyBorder="1" applyAlignment="1">
      <alignment wrapText="1" readingOrder="1"/>
    </xf>
    <xf numFmtId="4" fontId="62" fillId="0" borderId="24" xfId="0" applyNumberFormat="1" applyFont="1" applyBorder="1" applyAlignment="1">
      <alignment wrapText="1" readingOrder="1"/>
    </xf>
    <xf numFmtId="0" fontId="63" fillId="0" borderId="20" xfId="0" applyFont="1" applyBorder="1" applyAlignment="1">
      <alignment wrapText="1" readingOrder="1"/>
    </xf>
    <xf numFmtId="4" fontId="63" fillId="0" borderId="20" xfId="0" applyNumberFormat="1" applyFont="1" applyBorder="1" applyAlignment="1">
      <alignment wrapText="1" readingOrder="1"/>
    </xf>
    <xf numFmtId="0" fontId="63" fillId="0" borderId="21" xfId="0" applyFont="1" applyBorder="1" applyAlignment="1">
      <alignment wrapText="1" readingOrder="1"/>
    </xf>
    <xf numFmtId="4" fontId="63" fillId="0" borderId="21" xfId="0" applyNumberFormat="1" applyFont="1" applyBorder="1" applyAlignment="1">
      <alignment wrapText="1" readingOrder="1"/>
    </xf>
    <xf numFmtId="0" fontId="63" fillId="0" borderId="23" xfId="0" applyFont="1" applyBorder="1" applyAlignment="1">
      <alignment wrapText="1" readingOrder="1"/>
    </xf>
    <xf numFmtId="4" fontId="63" fillId="0" borderId="23" xfId="0" applyNumberFormat="1" applyFont="1" applyBorder="1" applyAlignment="1">
      <alignment wrapText="1" readingOrder="1"/>
    </xf>
    <xf numFmtId="0" fontId="63" fillId="0" borderId="24" xfId="0" applyFont="1" applyBorder="1" applyAlignment="1">
      <alignment wrapText="1" readingOrder="1"/>
    </xf>
    <xf numFmtId="4" fontId="63" fillId="0" borderId="24" xfId="0" applyNumberFormat="1" applyFont="1" applyBorder="1" applyAlignment="1">
      <alignment wrapText="1" readingOrder="1"/>
    </xf>
    <xf numFmtId="4" fontId="63" fillId="16" borderId="23" xfId="0" applyNumberFormat="1" applyFont="1" applyFill="1" applyBorder="1" applyAlignment="1">
      <alignment wrapText="1" readingOrder="1"/>
    </xf>
    <xf numFmtId="4" fontId="63" fillId="16" borderId="24" xfId="0" applyNumberFormat="1" applyFont="1" applyFill="1" applyBorder="1" applyAlignment="1">
      <alignment wrapText="1" readingOrder="1"/>
    </xf>
    <xf numFmtId="0" fontId="6" fillId="0" borderId="0" xfId="0" applyFont="1" applyAlignment="1" applyProtection="1">
      <alignment vertical="top" wrapText="1" readingOrder="1"/>
      <protection locked="0"/>
    </xf>
    <xf numFmtId="0" fontId="19" fillId="0" borderId="0" xfId="0" applyFont="1" applyAlignment="1" applyProtection="1">
      <alignment vertical="top" wrapText="1" readingOrder="1"/>
      <protection locked="0"/>
    </xf>
    <xf numFmtId="0" fontId="33" fillId="0" borderId="10" xfId="240" applyFont="1" applyBorder="1" applyAlignment="1">
      <alignment horizontal="left" vertical="top"/>
    </xf>
    <xf numFmtId="0" fontId="33" fillId="0" borderId="10" xfId="240" applyFont="1" applyBorder="1" applyAlignment="1">
      <alignment horizontal="left" vertical="top" wrapText="1"/>
    </xf>
    <xf numFmtId="0" fontId="41" fillId="0" borderId="10" xfId="0" applyFont="1" applyBorder="1" applyAlignment="1">
      <alignment horizontal="center" vertical="top" wrapText="1"/>
    </xf>
    <xf numFmtId="0" fontId="40" fillId="0" borderId="0" xfId="0" applyFont="1" applyAlignment="1">
      <alignment horizontal="center"/>
    </xf>
    <xf numFmtId="0" fontId="41" fillId="0" borderId="10" xfId="0" applyFont="1" applyBorder="1" applyAlignment="1">
      <alignment horizontal="center" vertical="top"/>
    </xf>
    <xf numFmtId="0" fontId="0" fillId="0" borderId="17" xfId="0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0" fontId="0" fillId="0" borderId="28" xfId="0" applyBorder="1" applyAlignment="1" applyProtection="1">
      <alignment horizontal="center"/>
      <protection locked="0"/>
    </xf>
    <xf numFmtId="0" fontId="50" fillId="18" borderId="10" xfId="0" applyFont="1" applyFill="1" applyBorder="1" applyAlignment="1">
      <alignment horizontal="left"/>
    </xf>
    <xf numFmtId="0" fontId="50" fillId="18" borderId="6" xfId="0" applyFont="1" applyFill="1" applyBorder="1" applyAlignment="1">
      <alignment horizontal="left"/>
    </xf>
    <xf numFmtId="0" fontId="50" fillId="18" borderId="17" xfId="0" applyFont="1" applyFill="1" applyBorder="1" applyAlignment="1">
      <alignment horizontal="left"/>
    </xf>
    <xf numFmtId="0" fontId="50" fillId="18" borderId="26" xfId="0" applyFont="1" applyFill="1" applyBorder="1" applyAlignment="1">
      <alignment horizontal="left"/>
    </xf>
    <xf numFmtId="0" fontId="30" fillId="0" borderId="8" xfId="0" applyFont="1" applyBorder="1" applyAlignment="1" applyProtection="1">
      <alignment horizontal="center"/>
      <protection locked="0"/>
    </xf>
    <xf numFmtId="0" fontId="30" fillId="0" borderId="9" xfId="0" applyFont="1" applyBorder="1" applyAlignment="1" applyProtection="1">
      <alignment horizontal="center"/>
      <protection locked="0"/>
    </xf>
    <xf numFmtId="0" fontId="30" fillId="0" borderId="35" xfId="0" applyFont="1" applyBorder="1" applyAlignment="1" applyProtection="1">
      <alignment horizontal="center"/>
      <protection locked="0"/>
    </xf>
    <xf numFmtId="0" fontId="30" fillId="0" borderId="25" xfId="0" applyFont="1" applyBorder="1" applyAlignment="1" applyProtection="1">
      <alignment horizontal="center"/>
      <protection locked="0"/>
    </xf>
    <xf numFmtId="0" fontId="30" fillId="0" borderId="10" xfId="0" applyFont="1" applyBorder="1" applyAlignment="1" applyProtection="1">
      <alignment horizontal="center"/>
      <protection locked="0"/>
    </xf>
    <xf numFmtId="0" fontId="30" fillId="0" borderId="6" xfId="0" applyFont="1" applyBorder="1" applyAlignment="1" applyProtection="1">
      <alignment horizontal="center"/>
      <protection locked="0"/>
    </xf>
    <xf numFmtId="0" fontId="30" fillId="0" borderId="17" xfId="0" applyFont="1" applyBorder="1" applyAlignment="1" applyProtection="1">
      <alignment horizontal="center"/>
      <protection locked="0"/>
    </xf>
    <xf numFmtId="0" fontId="30" fillId="0" borderId="26" xfId="0" applyFont="1" applyBorder="1" applyAlignment="1" applyProtection="1">
      <alignment horizontal="center"/>
      <protection locked="0"/>
    </xf>
    <xf numFmtId="17" fontId="30" fillId="0" borderId="37" xfId="0" applyNumberFormat="1" applyFont="1" applyBorder="1" applyAlignment="1" applyProtection="1">
      <alignment horizontal="center" wrapText="1"/>
      <protection locked="0"/>
    </xf>
    <xf numFmtId="17" fontId="30" fillId="0" borderId="38" xfId="0" applyNumberFormat="1" applyFont="1" applyBorder="1" applyAlignment="1" applyProtection="1">
      <alignment horizontal="center" wrapText="1"/>
      <protection locked="0"/>
    </xf>
    <xf numFmtId="0" fontId="53" fillId="19" borderId="32" xfId="0" applyFont="1" applyFill="1" applyBorder="1" applyAlignment="1">
      <alignment horizontal="left"/>
    </xf>
    <xf numFmtId="0" fontId="53" fillId="19" borderId="33" xfId="0" applyFont="1" applyFill="1" applyBorder="1" applyAlignment="1">
      <alignment horizontal="left"/>
    </xf>
    <xf numFmtId="0" fontId="53" fillId="19" borderId="34" xfId="0" applyFont="1" applyFill="1" applyBorder="1" applyAlignment="1">
      <alignment horizontal="left"/>
    </xf>
    <xf numFmtId="0" fontId="30" fillId="0" borderId="41" xfId="0" applyFont="1" applyBorder="1" applyAlignment="1" applyProtection="1">
      <alignment horizontal="center"/>
      <protection locked="0"/>
    </xf>
    <xf numFmtId="0" fontId="30" fillId="0" borderId="40" xfId="0" applyFont="1" applyBorder="1" applyAlignment="1" applyProtection="1">
      <alignment horizontal="center"/>
      <protection locked="0"/>
    </xf>
    <xf numFmtId="0" fontId="50" fillId="0" borderId="37" xfId="0" applyFont="1" applyBorder="1" applyAlignment="1">
      <alignment horizontal="center" wrapText="1"/>
    </xf>
    <xf numFmtId="0" fontId="50" fillId="0" borderId="38" xfId="0" applyFont="1" applyBorder="1" applyAlignment="1">
      <alignment horizontal="center" wrapText="1"/>
    </xf>
    <xf numFmtId="0" fontId="30" fillId="0" borderId="13" xfId="0" applyFont="1" applyBorder="1" applyAlignment="1">
      <alignment horizontal="center"/>
    </xf>
    <xf numFmtId="0" fontId="30" fillId="0" borderId="39" xfId="0" applyFont="1" applyBorder="1" applyAlignment="1">
      <alignment horizontal="center"/>
    </xf>
    <xf numFmtId="0" fontId="62" fillId="0" borderId="20" xfId="0" applyFont="1" applyFill="1" applyBorder="1" applyAlignment="1">
      <alignment wrapText="1" readingOrder="1"/>
    </xf>
    <xf numFmtId="4" fontId="62" fillId="0" borderId="20" xfId="0" applyNumberFormat="1" applyFont="1" applyFill="1" applyBorder="1" applyAlignment="1">
      <alignment wrapText="1" readingOrder="1"/>
    </xf>
    <xf numFmtId="0" fontId="62" fillId="0" borderId="23" xfId="0" applyFont="1" applyFill="1" applyBorder="1" applyAlignment="1">
      <alignment wrapText="1" readingOrder="1"/>
    </xf>
    <xf numFmtId="4" fontId="62" fillId="0" borderId="23" xfId="0" applyNumberFormat="1" applyFont="1" applyFill="1" applyBorder="1" applyAlignment="1">
      <alignment wrapText="1" readingOrder="1"/>
    </xf>
    <xf numFmtId="0" fontId="63" fillId="0" borderId="20" xfId="0" applyFont="1" applyFill="1" applyBorder="1" applyAlignment="1">
      <alignment wrapText="1" readingOrder="1"/>
    </xf>
    <xf numFmtId="4" fontId="63" fillId="0" borderId="20" xfId="0" applyNumberFormat="1" applyFont="1" applyFill="1" applyBorder="1" applyAlignment="1">
      <alignment wrapText="1" readingOrder="1"/>
    </xf>
    <xf numFmtId="0" fontId="63" fillId="0" borderId="23" xfId="0" applyFont="1" applyFill="1" applyBorder="1" applyAlignment="1">
      <alignment wrapText="1" readingOrder="1"/>
    </xf>
    <xf numFmtId="4" fontId="63" fillId="0" borderId="23" xfId="0" applyNumberFormat="1" applyFont="1" applyFill="1" applyBorder="1" applyAlignment="1">
      <alignment wrapText="1" readingOrder="1"/>
    </xf>
  </cellXfs>
  <cellStyles count="461">
    <cellStyle name="60% - Accent2 2" xfId="1" xr:uid="{00000000-0005-0000-0000-000000000000}"/>
    <cellStyle name="Accent1 2" xfId="2" xr:uid="{00000000-0005-0000-0000-000001000000}"/>
    <cellStyle name="Accent1 2 10" xfId="3" xr:uid="{00000000-0005-0000-0000-000002000000}"/>
    <cellStyle name="Accent1 2 11" xfId="4" xr:uid="{00000000-0005-0000-0000-000003000000}"/>
    <cellStyle name="Accent1 2 12" xfId="5" xr:uid="{00000000-0005-0000-0000-000004000000}"/>
    <cellStyle name="Accent1 2 2" xfId="6" xr:uid="{00000000-0005-0000-0000-000005000000}"/>
    <cellStyle name="Accent1 2 3" xfId="7" xr:uid="{00000000-0005-0000-0000-000006000000}"/>
    <cellStyle name="Accent1 2 4" xfId="8" xr:uid="{00000000-0005-0000-0000-000007000000}"/>
    <cellStyle name="Accent1 2 5" xfId="9" xr:uid="{00000000-0005-0000-0000-000008000000}"/>
    <cellStyle name="Accent1 2 6" xfId="10" xr:uid="{00000000-0005-0000-0000-000009000000}"/>
    <cellStyle name="Accent1 2 7" xfId="11" xr:uid="{00000000-0005-0000-0000-00000A000000}"/>
    <cellStyle name="Accent1 2 8" xfId="12" xr:uid="{00000000-0005-0000-0000-00000B000000}"/>
    <cellStyle name="Accent1 2 9" xfId="13" xr:uid="{00000000-0005-0000-0000-00000C000000}"/>
    <cellStyle name="Accent5 2" xfId="14" xr:uid="{00000000-0005-0000-0000-00000D000000}"/>
    <cellStyle name="Accent5 2 10" xfId="15" xr:uid="{00000000-0005-0000-0000-00000E000000}"/>
    <cellStyle name="Accent5 2 11" xfId="16" xr:uid="{00000000-0005-0000-0000-00000F000000}"/>
    <cellStyle name="Accent5 2 12" xfId="17" xr:uid="{00000000-0005-0000-0000-000010000000}"/>
    <cellStyle name="Accent5 2 2" xfId="18" xr:uid="{00000000-0005-0000-0000-000011000000}"/>
    <cellStyle name="Accent5 2 3" xfId="19" xr:uid="{00000000-0005-0000-0000-000012000000}"/>
    <cellStyle name="Accent5 2 4" xfId="20" xr:uid="{00000000-0005-0000-0000-000013000000}"/>
    <cellStyle name="Accent5 2 5" xfId="21" xr:uid="{00000000-0005-0000-0000-000014000000}"/>
    <cellStyle name="Accent5 2 6" xfId="22" xr:uid="{00000000-0005-0000-0000-000015000000}"/>
    <cellStyle name="Accent5 2 7" xfId="23" xr:uid="{00000000-0005-0000-0000-000016000000}"/>
    <cellStyle name="Accent5 2 8" xfId="24" xr:uid="{00000000-0005-0000-0000-000017000000}"/>
    <cellStyle name="Accent5 2 9" xfId="25" xr:uid="{00000000-0005-0000-0000-000018000000}"/>
    <cellStyle name="Check Cell 2" xfId="26" xr:uid="{00000000-0005-0000-0000-000019000000}"/>
    <cellStyle name="Comma" xfId="27" builtinId="3"/>
    <cellStyle name="Comma 10" xfId="28" xr:uid="{00000000-0005-0000-0000-00001B000000}"/>
    <cellStyle name="Comma 10 10" xfId="29" xr:uid="{00000000-0005-0000-0000-00001C000000}"/>
    <cellStyle name="Comma 10 10 2" xfId="459" xr:uid="{00000000-0005-0000-0000-00001D000000}"/>
    <cellStyle name="Comma 10 11" xfId="30" xr:uid="{00000000-0005-0000-0000-00001E000000}"/>
    <cellStyle name="Comma 10 12" xfId="31" xr:uid="{00000000-0005-0000-0000-00001F000000}"/>
    <cellStyle name="Comma 10 13" xfId="32" xr:uid="{00000000-0005-0000-0000-000020000000}"/>
    <cellStyle name="Comma 10 14" xfId="33" xr:uid="{00000000-0005-0000-0000-000021000000}"/>
    <cellStyle name="Comma 10 15" xfId="34" xr:uid="{00000000-0005-0000-0000-000022000000}"/>
    <cellStyle name="Comma 10 16" xfId="35" xr:uid="{00000000-0005-0000-0000-000023000000}"/>
    <cellStyle name="Comma 10 2" xfId="36" xr:uid="{00000000-0005-0000-0000-000024000000}"/>
    <cellStyle name="Comma 10 3" xfId="37" xr:uid="{00000000-0005-0000-0000-000025000000}"/>
    <cellStyle name="Comma 10 4" xfId="38" xr:uid="{00000000-0005-0000-0000-000026000000}"/>
    <cellStyle name="Comma 10 5" xfId="39" xr:uid="{00000000-0005-0000-0000-000027000000}"/>
    <cellStyle name="Comma 10 6" xfId="40" xr:uid="{00000000-0005-0000-0000-000028000000}"/>
    <cellStyle name="Comma 10 7" xfId="41" xr:uid="{00000000-0005-0000-0000-000029000000}"/>
    <cellStyle name="Comma 10 8" xfId="42" xr:uid="{00000000-0005-0000-0000-00002A000000}"/>
    <cellStyle name="Comma 10 9" xfId="43" xr:uid="{00000000-0005-0000-0000-00002B000000}"/>
    <cellStyle name="Comma 11" xfId="44" xr:uid="{00000000-0005-0000-0000-00002C000000}"/>
    <cellStyle name="Comma 11 10" xfId="45" xr:uid="{00000000-0005-0000-0000-00002D000000}"/>
    <cellStyle name="Comma 11 11" xfId="46" xr:uid="{00000000-0005-0000-0000-00002E000000}"/>
    <cellStyle name="Comma 11 12" xfId="47" xr:uid="{00000000-0005-0000-0000-00002F000000}"/>
    <cellStyle name="Comma 11 13" xfId="48" xr:uid="{00000000-0005-0000-0000-000030000000}"/>
    <cellStyle name="Comma 11 14" xfId="49" xr:uid="{00000000-0005-0000-0000-000031000000}"/>
    <cellStyle name="Comma 11 15" xfId="50" xr:uid="{00000000-0005-0000-0000-000032000000}"/>
    <cellStyle name="Comma 11 16" xfId="51" xr:uid="{00000000-0005-0000-0000-000033000000}"/>
    <cellStyle name="Comma 11 17" xfId="52" xr:uid="{00000000-0005-0000-0000-000034000000}"/>
    <cellStyle name="Comma 11 2" xfId="53" xr:uid="{00000000-0005-0000-0000-000035000000}"/>
    <cellStyle name="Comma 11 2 2" xfId="54" xr:uid="{00000000-0005-0000-0000-000036000000}"/>
    <cellStyle name="Comma 11 3" xfId="55" xr:uid="{00000000-0005-0000-0000-000037000000}"/>
    <cellStyle name="Comma 11 4" xfId="56" xr:uid="{00000000-0005-0000-0000-000038000000}"/>
    <cellStyle name="Comma 11 5" xfId="57" xr:uid="{00000000-0005-0000-0000-000039000000}"/>
    <cellStyle name="Comma 11 6" xfId="58" xr:uid="{00000000-0005-0000-0000-00003A000000}"/>
    <cellStyle name="Comma 11 7" xfId="59" xr:uid="{00000000-0005-0000-0000-00003B000000}"/>
    <cellStyle name="Comma 11 8" xfId="60" xr:uid="{00000000-0005-0000-0000-00003C000000}"/>
    <cellStyle name="Comma 11 9" xfId="61" xr:uid="{00000000-0005-0000-0000-00003D000000}"/>
    <cellStyle name="Comma 12" xfId="62" xr:uid="{00000000-0005-0000-0000-00003E000000}"/>
    <cellStyle name="Comma 13" xfId="63" xr:uid="{00000000-0005-0000-0000-00003F000000}"/>
    <cellStyle name="Comma 14" xfId="64" xr:uid="{00000000-0005-0000-0000-000040000000}"/>
    <cellStyle name="Comma 15" xfId="65" xr:uid="{00000000-0005-0000-0000-000041000000}"/>
    <cellStyle name="Comma 16" xfId="66" xr:uid="{00000000-0005-0000-0000-000042000000}"/>
    <cellStyle name="Comma 16 10" xfId="67" xr:uid="{00000000-0005-0000-0000-000043000000}"/>
    <cellStyle name="Comma 16 11" xfId="68" xr:uid="{00000000-0005-0000-0000-000044000000}"/>
    <cellStyle name="Comma 16 12" xfId="69" xr:uid="{00000000-0005-0000-0000-000045000000}"/>
    <cellStyle name="Comma 16 13" xfId="70" xr:uid="{00000000-0005-0000-0000-000046000000}"/>
    <cellStyle name="Comma 16 14" xfId="71" xr:uid="{00000000-0005-0000-0000-000047000000}"/>
    <cellStyle name="Comma 16 15" xfId="72" xr:uid="{00000000-0005-0000-0000-000048000000}"/>
    <cellStyle name="Comma 16 16" xfId="73" xr:uid="{00000000-0005-0000-0000-000049000000}"/>
    <cellStyle name="Comma 16 2" xfId="74" xr:uid="{00000000-0005-0000-0000-00004A000000}"/>
    <cellStyle name="Comma 16 3" xfId="75" xr:uid="{00000000-0005-0000-0000-00004B000000}"/>
    <cellStyle name="Comma 16 4" xfId="76" xr:uid="{00000000-0005-0000-0000-00004C000000}"/>
    <cellStyle name="Comma 16 5" xfId="77" xr:uid="{00000000-0005-0000-0000-00004D000000}"/>
    <cellStyle name="Comma 16 6" xfId="78" xr:uid="{00000000-0005-0000-0000-00004E000000}"/>
    <cellStyle name="Comma 16 7" xfId="79" xr:uid="{00000000-0005-0000-0000-00004F000000}"/>
    <cellStyle name="Comma 16 8" xfId="80" xr:uid="{00000000-0005-0000-0000-000050000000}"/>
    <cellStyle name="Comma 16 9" xfId="81" xr:uid="{00000000-0005-0000-0000-000051000000}"/>
    <cellStyle name="Comma 17" xfId="82" xr:uid="{00000000-0005-0000-0000-000052000000}"/>
    <cellStyle name="Comma 17 10" xfId="83" xr:uid="{00000000-0005-0000-0000-000053000000}"/>
    <cellStyle name="Comma 17 2" xfId="84" xr:uid="{00000000-0005-0000-0000-000054000000}"/>
    <cellStyle name="Comma 17 3" xfId="85" xr:uid="{00000000-0005-0000-0000-000055000000}"/>
    <cellStyle name="Comma 17 4" xfId="86" xr:uid="{00000000-0005-0000-0000-000056000000}"/>
    <cellStyle name="Comma 17 5" xfId="87" xr:uid="{00000000-0005-0000-0000-000057000000}"/>
    <cellStyle name="Comma 17 6" xfId="88" xr:uid="{00000000-0005-0000-0000-000058000000}"/>
    <cellStyle name="Comma 17 7" xfId="89" xr:uid="{00000000-0005-0000-0000-000059000000}"/>
    <cellStyle name="Comma 17 8" xfId="90" xr:uid="{00000000-0005-0000-0000-00005A000000}"/>
    <cellStyle name="Comma 17 9" xfId="91" xr:uid="{00000000-0005-0000-0000-00005B000000}"/>
    <cellStyle name="Comma 18" xfId="92" xr:uid="{00000000-0005-0000-0000-00005C000000}"/>
    <cellStyle name="Comma 18 2" xfId="93" xr:uid="{00000000-0005-0000-0000-00005D000000}"/>
    <cellStyle name="Comma 18 3" xfId="94" xr:uid="{00000000-0005-0000-0000-00005E000000}"/>
    <cellStyle name="Comma 2" xfId="95" xr:uid="{00000000-0005-0000-0000-00005F000000}"/>
    <cellStyle name="Comma 2 10" xfId="96" xr:uid="{00000000-0005-0000-0000-000060000000}"/>
    <cellStyle name="Comma 2 11" xfId="97" xr:uid="{00000000-0005-0000-0000-000061000000}"/>
    <cellStyle name="Comma 2 12" xfId="98" xr:uid="{00000000-0005-0000-0000-000062000000}"/>
    <cellStyle name="Comma 2 13" xfId="99" xr:uid="{00000000-0005-0000-0000-000063000000}"/>
    <cellStyle name="Comma 2 14" xfId="100" xr:uid="{00000000-0005-0000-0000-000064000000}"/>
    <cellStyle name="Comma 2 15" xfId="101" xr:uid="{00000000-0005-0000-0000-000065000000}"/>
    <cellStyle name="Comma 2 16" xfId="102" xr:uid="{00000000-0005-0000-0000-000066000000}"/>
    <cellStyle name="Comma 2 17" xfId="103" xr:uid="{00000000-0005-0000-0000-000067000000}"/>
    <cellStyle name="Comma 2 18" xfId="104" xr:uid="{00000000-0005-0000-0000-000068000000}"/>
    <cellStyle name="Comma 2 19" xfId="105" xr:uid="{00000000-0005-0000-0000-000069000000}"/>
    <cellStyle name="Comma 2 2" xfId="106" xr:uid="{00000000-0005-0000-0000-00006A000000}"/>
    <cellStyle name="Comma 2 20" xfId="107" xr:uid="{00000000-0005-0000-0000-00006B000000}"/>
    <cellStyle name="Comma 2 21" xfId="108" xr:uid="{00000000-0005-0000-0000-00006C000000}"/>
    <cellStyle name="Comma 2 22" xfId="109" xr:uid="{00000000-0005-0000-0000-00006D000000}"/>
    <cellStyle name="Comma 2 23" xfId="110" xr:uid="{00000000-0005-0000-0000-00006E000000}"/>
    <cellStyle name="Comma 2 24" xfId="111" xr:uid="{00000000-0005-0000-0000-00006F000000}"/>
    <cellStyle name="Comma 2 25" xfId="112" xr:uid="{00000000-0005-0000-0000-000070000000}"/>
    <cellStyle name="Comma 2 26" xfId="113" xr:uid="{00000000-0005-0000-0000-000071000000}"/>
    <cellStyle name="Comma 2 3" xfId="114" xr:uid="{00000000-0005-0000-0000-000072000000}"/>
    <cellStyle name="Comma 2 4" xfId="115" xr:uid="{00000000-0005-0000-0000-000073000000}"/>
    <cellStyle name="Comma 2 5" xfId="116" xr:uid="{00000000-0005-0000-0000-000074000000}"/>
    <cellStyle name="Comma 2 6" xfId="117" xr:uid="{00000000-0005-0000-0000-000075000000}"/>
    <cellStyle name="Comma 2 7" xfId="118" xr:uid="{00000000-0005-0000-0000-000076000000}"/>
    <cellStyle name="Comma 2 8" xfId="119" xr:uid="{00000000-0005-0000-0000-000077000000}"/>
    <cellStyle name="Comma 2 9" xfId="120" xr:uid="{00000000-0005-0000-0000-000078000000}"/>
    <cellStyle name="Comma 24" xfId="121" xr:uid="{00000000-0005-0000-0000-000079000000}"/>
    <cellStyle name="Comma 3" xfId="122" xr:uid="{00000000-0005-0000-0000-00007A000000}"/>
    <cellStyle name="Comma 3 10" xfId="123" xr:uid="{00000000-0005-0000-0000-00007B000000}"/>
    <cellStyle name="Comma 3 11" xfId="124" xr:uid="{00000000-0005-0000-0000-00007C000000}"/>
    <cellStyle name="Comma 3 12" xfId="125" xr:uid="{00000000-0005-0000-0000-00007D000000}"/>
    <cellStyle name="Comma 3 13" xfId="126" xr:uid="{00000000-0005-0000-0000-00007E000000}"/>
    <cellStyle name="Comma 3 14" xfId="127" xr:uid="{00000000-0005-0000-0000-00007F000000}"/>
    <cellStyle name="Comma 3 15" xfId="128" xr:uid="{00000000-0005-0000-0000-000080000000}"/>
    <cellStyle name="Comma 3 16" xfId="129" xr:uid="{00000000-0005-0000-0000-000081000000}"/>
    <cellStyle name="Comma 3 17" xfId="130" xr:uid="{00000000-0005-0000-0000-000082000000}"/>
    <cellStyle name="Comma 3 18" xfId="131" xr:uid="{00000000-0005-0000-0000-000083000000}"/>
    <cellStyle name="Comma 3 19" xfId="132" xr:uid="{00000000-0005-0000-0000-000084000000}"/>
    <cellStyle name="Comma 3 2" xfId="133" xr:uid="{00000000-0005-0000-0000-000085000000}"/>
    <cellStyle name="Comma 3 20" xfId="134" xr:uid="{00000000-0005-0000-0000-000086000000}"/>
    <cellStyle name="Comma 3 3" xfId="135" xr:uid="{00000000-0005-0000-0000-000087000000}"/>
    <cellStyle name="Comma 3 4" xfId="136" xr:uid="{00000000-0005-0000-0000-000088000000}"/>
    <cellStyle name="Comma 3 5" xfId="137" xr:uid="{00000000-0005-0000-0000-000089000000}"/>
    <cellStyle name="Comma 3 6" xfId="138" xr:uid="{00000000-0005-0000-0000-00008A000000}"/>
    <cellStyle name="Comma 3 7" xfId="139" xr:uid="{00000000-0005-0000-0000-00008B000000}"/>
    <cellStyle name="Comma 3 8" xfId="140" xr:uid="{00000000-0005-0000-0000-00008C000000}"/>
    <cellStyle name="Comma 3 9" xfId="141" xr:uid="{00000000-0005-0000-0000-00008D000000}"/>
    <cellStyle name="Comma 4" xfId="142" xr:uid="{00000000-0005-0000-0000-00008E000000}"/>
    <cellStyle name="Comma 5" xfId="143" xr:uid="{00000000-0005-0000-0000-00008F000000}"/>
    <cellStyle name="Comma 5 10" xfId="144" xr:uid="{00000000-0005-0000-0000-000090000000}"/>
    <cellStyle name="Comma 5 11" xfId="145" xr:uid="{00000000-0005-0000-0000-000091000000}"/>
    <cellStyle name="Comma 5 12" xfId="146" xr:uid="{00000000-0005-0000-0000-000092000000}"/>
    <cellStyle name="Comma 5 13" xfId="147" xr:uid="{00000000-0005-0000-0000-000093000000}"/>
    <cellStyle name="Comma 5 14" xfId="148" xr:uid="{00000000-0005-0000-0000-000094000000}"/>
    <cellStyle name="Comma 5 15" xfId="149" xr:uid="{00000000-0005-0000-0000-000095000000}"/>
    <cellStyle name="Comma 5 16" xfId="150" xr:uid="{00000000-0005-0000-0000-000096000000}"/>
    <cellStyle name="Comma 5 17" xfId="151" xr:uid="{00000000-0005-0000-0000-000097000000}"/>
    <cellStyle name="Comma 5 18" xfId="152" xr:uid="{00000000-0005-0000-0000-000098000000}"/>
    <cellStyle name="Comma 5 19" xfId="153" xr:uid="{00000000-0005-0000-0000-000099000000}"/>
    <cellStyle name="Comma 5 2" xfId="154" xr:uid="{00000000-0005-0000-0000-00009A000000}"/>
    <cellStyle name="Comma 5 20" xfId="155" xr:uid="{00000000-0005-0000-0000-00009B000000}"/>
    <cellStyle name="Comma 5 3" xfId="156" xr:uid="{00000000-0005-0000-0000-00009C000000}"/>
    <cellStyle name="Comma 5 4" xfId="157" xr:uid="{00000000-0005-0000-0000-00009D000000}"/>
    <cellStyle name="Comma 5 5" xfId="158" xr:uid="{00000000-0005-0000-0000-00009E000000}"/>
    <cellStyle name="Comma 5 6" xfId="159" xr:uid="{00000000-0005-0000-0000-00009F000000}"/>
    <cellStyle name="Comma 5 7" xfId="160" xr:uid="{00000000-0005-0000-0000-0000A0000000}"/>
    <cellStyle name="Comma 5 8" xfId="161" xr:uid="{00000000-0005-0000-0000-0000A1000000}"/>
    <cellStyle name="Comma 5 9" xfId="162" xr:uid="{00000000-0005-0000-0000-0000A2000000}"/>
    <cellStyle name="Comma 6" xfId="163" xr:uid="{00000000-0005-0000-0000-0000A3000000}"/>
    <cellStyle name="Comma 6 10" xfId="164" xr:uid="{00000000-0005-0000-0000-0000A4000000}"/>
    <cellStyle name="Comma 6 11" xfId="165" xr:uid="{00000000-0005-0000-0000-0000A5000000}"/>
    <cellStyle name="Comma 6 12" xfId="166" xr:uid="{00000000-0005-0000-0000-0000A6000000}"/>
    <cellStyle name="Comma 6 13" xfId="167" xr:uid="{00000000-0005-0000-0000-0000A7000000}"/>
    <cellStyle name="Comma 6 14" xfId="168" xr:uid="{00000000-0005-0000-0000-0000A8000000}"/>
    <cellStyle name="Comma 6 15" xfId="169" xr:uid="{00000000-0005-0000-0000-0000A9000000}"/>
    <cellStyle name="Comma 6 16" xfId="170" xr:uid="{00000000-0005-0000-0000-0000AA000000}"/>
    <cellStyle name="Comma 6 17" xfId="171" xr:uid="{00000000-0005-0000-0000-0000AB000000}"/>
    <cellStyle name="Comma 6 18" xfId="172" xr:uid="{00000000-0005-0000-0000-0000AC000000}"/>
    <cellStyle name="Comma 6 19" xfId="173" xr:uid="{00000000-0005-0000-0000-0000AD000000}"/>
    <cellStyle name="Comma 6 2" xfId="174" xr:uid="{00000000-0005-0000-0000-0000AE000000}"/>
    <cellStyle name="Comma 6 3" xfId="175" xr:uid="{00000000-0005-0000-0000-0000AF000000}"/>
    <cellStyle name="Comma 6 4" xfId="176" xr:uid="{00000000-0005-0000-0000-0000B0000000}"/>
    <cellStyle name="Comma 6 5" xfId="177" xr:uid="{00000000-0005-0000-0000-0000B1000000}"/>
    <cellStyle name="Comma 6 6" xfId="178" xr:uid="{00000000-0005-0000-0000-0000B2000000}"/>
    <cellStyle name="Comma 6 7" xfId="179" xr:uid="{00000000-0005-0000-0000-0000B3000000}"/>
    <cellStyle name="Comma 6 8" xfId="180" xr:uid="{00000000-0005-0000-0000-0000B4000000}"/>
    <cellStyle name="Comma 6 9" xfId="181" xr:uid="{00000000-0005-0000-0000-0000B5000000}"/>
    <cellStyle name="Comma 7" xfId="182" xr:uid="{00000000-0005-0000-0000-0000B6000000}"/>
    <cellStyle name="Comma 7 10" xfId="183" xr:uid="{00000000-0005-0000-0000-0000B7000000}"/>
    <cellStyle name="Comma 7 11" xfId="184" xr:uid="{00000000-0005-0000-0000-0000B8000000}"/>
    <cellStyle name="Comma 7 12" xfId="185" xr:uid="{00000000-0005-0000-0000-0000B9000000}"/>
    <cellStyle name="Comma 7 13" xfId="186" xr:uid="{00000000-0005-0000-0000-0000BA000000}"/>
    <cellStyle name="Comma 7 14" xfId="187" xr:uid="{00000000-0005-0000-0000-0000BB000000}"/>
    <cellStyle name="Comma 7 15" xfId="188" xr:uid="{00000000-0005-0000-0000-0000BC000000}"/>
    <cellStyle name="Comma 7 16" xfId="189" xr:uid="{00000000-0005-0000-0000-0000BD000000}"/>
    <cellStyle name="Comma 7 17" xfId="190" xr:uid="{00000000-0005-0000-0000-0000BE000000}"/>
    <cellStyle name="Comma 7 18" xfId="191" xr:uid="{00000000-0005-0000-0000-0000BF000000}"/>
    <cellStyle name="Comma 7 19" xfId="192" xr:uid="{00000000-0005-0000-0000-0000C0000000}"/>
    <cellStyle name="Comma 7 2" xfId="193" xr:uid="{00000000-0005-0000-0000-0000C1000000}"/>
    <cellStyle name="Comma 7 3" xfId="194" xr:uid="{00000000-0005-0000-0000-0000C2000000}"/>
    <cellStyle name="Comma 7 4" xfId="195" xr:uid="{00000000-0005-0000-0000-0000C3000000}"/>
    <cellStyle name="Comma 7 5" xfId="196" xr:uid="{00000000-0005-0000-0000-0000C4000000}"/>
    <cellStyle name="Comma 7 6" xfId="197" xr:uid="{00000000-0005-0000-0000-0000C5000000}"/>
    <cellStyle name="Comma 7 7" xfId="198" xr:uid="{00000000-0005-0000-0000-0000C6000000}"/>
    <cellStyle name="Comma 7 8" xfId="199" xr:uid="{00000000-0005-0000-0000-0000C7000000}"/>
    <cellStyle name="Comma 7 9" xfId="200" xr:uid="{00000000-0005-0000-0000-0000C8000000}"/>
    <cellStyle name="Comma 8" xfId="201" xr:uid="{00000000-0005-0000-0000-0000C9000000}"/>
    <cellStyle name="Comma 8 10" xfId="202" xr:uid="{00000000-0005-0000-0000-0000CA000000}"/>
    <cellStyle name="Comma 8 11" xfId="203" xr:uid="{00000000-0005-0000-0000-0000CB000000}"/>
    <cellStyle name="Comma 8 12" xfId="204" xr:uid="{00000000-0005-0000-0000-0000CC000000}"/>
    <cellStyle name="Comma 8 13" xfId="205" xr:uid="{00000000-0005-0000-0000-0000CD000000}"/>
    <cellStyle name="Comma 8 14" xfId="206" xr:uid="{00000000-0005-0000-0000-0000CE000000}"/>
    <cellStyle name="Comma 8 15" xfId="207" xr:uid="{00000000-0005-0000-0000-0000CF000000}"/>
    <cellStyle name="Comma 8 16" xfId="208" xr:uid="{00000000-0005-0000-0000-0000D0000000}"/>
    <cellStyle name="Comma 8 17" xfId="209" xr:uid="{00000000-0005-0000-0000-0000D1000000}"/>
    <cellStyle name="Comma 8 18" xfId="210" xr:uid="{00000000-0005-0000-0000-0000D2000000}"/>
    <cellStyle name="Comma 8 19" xfId="211" xr:uid="{00000000-0005-0000-0000-0000D3000000}"/>
    <cellStyle name="Comma 8 2" xfId="212" xr:uid="{00000000-0005-0000-0000-0000D4000000}"/>
    <cellStyle name="Comma 8 3" xfId="213" xr:uid="{00000000-0005-0000-0000-0000D5000000}"/>
    <cellStyle name="Comma 8 4" xfId="214" xr:uid="{00000000-0005-0000-0000-0000D6000000}"/>
    <cellStyle name="Comma 8 5" xfId="215" xr:uid="{00000000-0005-0000-0000-0000D7000000}"/>
    <cellStyle name="Comma 8 6" xfId="216" xr:uid="{00000000-0005-0000-0000-0000D8000000}"/>
    <cellStyle name="Comma 8 7" xfId="217" xr:uid="{00000000-0005-0000-0000-0000D9000000}"/>
    <cellStyle name="Comma 8 8" xfId="218" xr:uid="{00000000-0005-0000-0000-0000DA000000}"/>
    <cellStyle name="Comma 8 9" xfId="219" xr:uid="{00000000-0005-0000-0000-0000DB000000}"/>
    <cellStyle name="Comma 9" xfId="220" xr:uid="{00000000-0005-0000-0000-0000DC000000}"/>
    <cellStyle name="Comma 9 10" xfId="221" xr:uid="{00000000-0005-0000-0000-0000DD000000}"/>
    <cellStyle name="Comma 9 11" xfId="222" xr:uid="{00000000-0005-0000-0000-0000DE000000}"/>
    <cellStyle name="Comma 9 12" xfId="223" xr:uid="{00000000-0005-0000-0000-0000DF000000}"/>
    <cellStyle name="Comma 9 13" xfId="224" xr:uid="{00000000-0005-0000-0000-0000E0000000}"/>
    <cellStyle name="Comma 9 14" xfId="225" xr:uid="{00000000-0005-0000-0000-0000E1000000}"/>
    <cellStyle name="Comma 9 15" xfId="226" xr:uid="{00000000-0005-0000-0000-0000E2000000}"/>
    <cellStyle name="Comma 9 16" xfId="227" xr:uid="{00000000-0005-0000-0000-0000E3000000}"/>
    <cellStyle name="Comma 9 17" xfId="228" xr:uid="{00000000-0005-0000-0000-0000E4000000}"/>
    <cellStyle name="Comma 9 18" xfId="229" xr:uid="{00000000-0005-0000-0000-0000E5000000}"/>
    <cellStyle name="Comma 9 19" xfId="230" xr:uid="{00000000-0005-0000-0000-0000E6000000}"/>
    <cellStyle name="Comma 9 2" xfId="231" xr:uid="{00000000-0005-0000-0000-0000E7000000}"/>
    <cellStyle name="Comma 9 3" xfId="232" xr:uid="{00000000-0005-0000-0000-0000E8000000}"/>
    <cellStyle name="Comma 9 4" xfId="233" xr:uid="{00000000-0005-0000-0000-0000E9000000}"/>
    <cellStyle name="Comma 9 5" xfId="234" xr:uid="{00000000-0005-0000-0000-0000EA000000}"/>
    <cellStyle name="Comma 9 6" xfId="235" xr:uid="{00000000-0005-0000-0000-0000EB000000}"/>
    <cellStyle name="Comma 9 7" xfId="236" xr:uid="{00000000-0005-0000-0000-0000EC000000}"/>
    <cellStyle name="Comma 9 8" xfId="237" xr:uid="{00000000-0005-0000-0000-0000ED000000}"/>
    <cellStyle name="Comma 9 9" xfId="238" xr:uid="{00000000-0005-0000-0000-0000EE000000}"/>
    <cellStyle name="Input 2" xfId="239" xr:uid="{00000000-0005-0000-0000-0000EF000000}"/>
    <cellStyle name="Normal" xfId="0" builtinId="0"/>
    <cellStyle name="Normal 10" xfId="240" xr:uid="{00000000-0005-0000-0000-0000F1000000}"/>
    <cellStyle name="Normal 10 2" xfId="241" xr:uid="{00000000-0005-0000-0000-0000F2000000}"/>
    <cellStyle name="Normal 10 3" xfId="242" xr:uid="{00000000-0005-0000-0000-0000F3000000}"/>
    <cellStyle name="Normal 10 4" xfId="243" xr:uid="{00000000-0005-0000-0000-0000F4000000}"/>
    <cellStyle name="Normal 10 5" xfId="244" xr:uid="{00000000-0005-0000-0000-0000F5000000}"/>
    <cellStyle name="Normal 11" xfId="245" xr:uid="{00000000-0005-0000-0000-0000F6000000}"/>
    <cellStyle name="Normal 12" xfId="246" xr:uid="{00000000-0005-0000-0000-0000F7000000}"/>
    <cellStyle name="Normal 12 2" xfId="247" xr:uid="{00000000-0005-0000-0000-0000F8000000}"/>
    <cellStyle name="Normal 12 3" xfId="248" xr:uid="{00000000-0005-0000-0000-0000F9000000}"/>
    <cellStyle name="Normal 12 4" xfId="249" xr:uid="{00000000-0005-0000-0000-0000FA000000}"/>
    <cellStyle name="Normal 12 5" xfId="250" xr:uid="{00000000-0005-0000-0000-0000FB000000}"/>
    <cellStyle name="Normal 13" xfId="251" xr:uid="{00000000-0005-0000-0000-0000FC000000}"/>
    <cellStyle name="Normal 13 2" xfId="252" xr:uid="{00000000-0005-0000-0000-0000FD000000}"/>
    <cellStyle name="Normal 13 3" xfId="253" xr:uid="{00000000-0005-0000-0000-0000FE000000}"/>
    <cellStyle name="Normal 13 4" xfId="254" xr:uid="{00000000-0005-0000-0000-0000FF000000}"/>
    <cellStyle name="Normal 13 5" xfId="255" xr:uid="{00000000-0005-0000-0000-000000010000}"/>
    <cellStyle name="Normal 14" xfId="256" xr:uid="{00000000-0005-0000-0000-000001010000}"/>
    <cellStyle name="Normal 14 10" xfId="257" xr:uid="{00000000-0005-0000-0000-000002010000}"/>
    <cellStyle name="Normal 14 11" xfId="258" xr:uid="{00000000-0005-0000-0000-000003010000}"/>
    <cellStyle name="Normal 14 12" xfId="259" xr:uid="{00000000-0005-0000-0000-000004010000}"/>
    <cellStyle name="Normal 14 2" xfId="260" xr:uid="{00000000-0005-0000-0000-000005010000}"/>
    <cellStyle name="Normal 14 3" xfId="261" xr:uid="{00000000-0005-0000-0000-000006010000}"/>
    <cellStyle name="Normal 14 4" xfId="262" xr:uid="{00000000-0005-0000-0000-000007010000}"/>
    <cellStyle name="Normal 14 5" xfId="263" xr:uid="{00000000-0005-0000-0000-000008010000}"/>
    <cellStyle name="Normal 14 6" xfId="264" xr:uid="{00000000-0005-0000-0000-000009010000}"/>
    <cellStyle name="Normal 14 7" xfId="265" xr:uid="{00000000-0005-0000-0000-00000A010000}"/>
    <cellStyle name="Normal 14 8" xfId="266" xr:uid="{00000000-0005-0000-0000-00000B010000}"/>
    <cellStyle name="Normal 14 9" xfId="267" xr:uid="{00000000-0005-0000-0000-00000C010000}"/>
    <cellStyle name="Normal 15" xfId="268" xr:uid="{00000000-0005-0000-0000-00000D010000}"/>
    <cellStyle name="Normal 16" xfId="269" xr:uid="{00000000-0005-0000-0000-00000E010000}"/>
    <cellStyle name="Normal 17" xfId="270" xr:uid="{00000000-0005-0000-0000-00000F010000}"/>
    <cellStyle name="Normal 17 2" xfId="271" xr:uid="{00000000-0005-0000-0000-000010010000}"/>
    <cellStyle name="Normal 17 2 2" xfId="272" xr:uid="{00000000-0005-0000-0000-000011010000}"/>
    <cellStyle name="Normal 17 3" xfId="273" xr:uid="{00000000-0005-0000-0000-000012010000}"/>
    <cellStyle name="Normal 17 3 2" xfId="274" xr:uid="{00000000-0005-0000-0000-000013010000}"/>
    <cellStyle name="Normal 17 4" xfId="275" xr:uid="{00000000-0005-0000-0000-000014010000}"/>
    <cellStyle name="Normal 17 4 2" xfId="276" xr:uid="{00000000-0005-0000-0000-000015010000}"/>
    <cellStyle name="Normal 17 5" xfId="277" xr:uid="{00000000-0005-0000-0000-000016010000}"/>
    <cellStyle name="Normal 17 5 2" xfId="278" xr:uid="{00000000-0005-0000-0000-000017010000}"/>
    <cellStyle name="Normal 17 6" xfId="279" xr:uid="{00000000-0005-0000-0000-000018010000}"/>
    <cellStyle name="Normal 18" xfId="280" xr:uid="{00000000-0005-0000-0000-000019010000}"/>
    <cellStyle name="Normal 19" xfId="281" xr:uid="{00000000-0005-0000-0000-00001A010000}"/>
    <cellStyle name="Normal 2" xfId="282" xr:uid="{00000000-0005-0000-0000-00001B010000}"/>
    <cellStyle name="Normal 2 10" xfId="283" xr:uid="{00000000-0005-0000-0000-00001C010000}"/>
    <cellStyle name="Normal 2 11" xfId="284" xr:uid="{00000000-0005-0000-0000-00001D010000}"/>
    <cellStyle name="Normal 2 12" xfId="285" xr:uid="{00000000-0005-0000-0000-00001E010000}"/>
    <cellStyle name="Normal 2 13" xfId="286" xr:uid="{00000000-0005-0000-0000-00001F010000}"/>
    <cellStyle name="Normal 2 14" xfId="287" xr:uid="{00000000-0005-0000-0000-000020010000}"/>
    <cellStyle name="Normal 2 15" xfId="288" xr:uid="{00000000-0005-0000-0000-000021010000}"/>
    <cellStyle name="Normal 2 16" xfId="289" xr:uid="{00000000-0005-0000-0000-000022010000}"/>
    <cellStyle name="Normal 2 17" xfId="290" xr:uid="{00000000-0005-0000-0000-000023010000}"/>
    <cellStyle name="Normal 2 18" xfId="291" xr:uid="{00000000-0005-0000-0000-000024010000}"/>
    <cellStyle name="Normal 2 19" xfId="292" xr:uid="{00000000-0005-0000-0000-000025010000}"/>
    <cellStyle name="Normal 2 2" xfId="293" xr:uid="{00000000-0005-0000-0000-000026010000}"/>
    <cellStyle name="Normal 2 20" xfId="294" xr:uid="{00000000-0005-0000-0000-000027010000}"/>
    <cellStyle name="Normal 2 3" xfId="295" xr:uid="{00000000-0005-0000-0000-000028010000}"/>
    <cellStyle name="Normal 2 4" xfId="296" xr:uid="{00000000-0005-0000-0000-000029010000}"/>
    <cellStyle name="Normal 2 5" xfId="297" xr:uid="{00000000-0005-0000-0000-00002A010000}"/>
    <cellStyle name="Normal 2 6" xfId="298" xr:uid="{00000000-0005-0000-0000-00002B010000}"/>
    <cellStyle name="Normal 2 7" xfId="299" xr:uid="{00000000-0005-0000-0000-00002C010000}"/>
    <cellStyle name="Normal 2 8" xfId="300" xr:uid="{00000000-0005-0000-0000-00002D010000}"/>
    <cellStyle name="Normal 2 9" xfId="301" xr:uid="{00000000-0005-0000-0000-00002E010000}"/>
    <cellStyle name="Normal 2_deposits mobilized" xfId="302" xr:uid="{00000000-0005-0000-0000-00002F010000}"/>
    <cellStyle name="Normal 20" xfId="303" xr:uid="{00000000-0005-0000-0000-000030010000}"/>
    <cellStyle name="Normal 21" xfId="304" xr:uid="{00000000-0005-0000-0000-000031010000}"/>
    <cellStyle name="Normal 21 10" xfId="305" xr:uid="{00000000-0005-0000-0000-000032010000}"/>
    <cellStyle name="Normal 21 10 2" xfId="306" xr:uid="{00000000-0005-0000-0000-000033010000}"/>
    <cellStyle name="Normal 21 11" xfId="307" xr:uid="{00000000-0005-0000-0000-000034010000}"/>
    <cellStyle name="Normal 21 11 2" xfId="308" xr:uid="{00000000-0005-0000-0000-000035010000}"/>
    <cellStyle name="Normal 21 12" xfId="309" xr:uid="{00000000-0005-0000-0000-000036010000}"/>
    <cellStyle name="Normal 21 12 2" xfId="310" xr:uid="{00000000-0005-0000-0000-000037010000}"/>
    <cellStyle name="Normal 21 13" xfId="311" xr:uid="{00000000-0005-0000-0000-000038010000}"/>
    <cellStyle name="Normal 21 13 2" xfId="312" xr:uid="{00000000-0005-0000-0000-000039010000}"/>
    <cellStyle name="Normal 21 14" xfId="313" xr:uid="{00000000-0005-0000-0000-00003A010000}"/>
    <cellStyle name="Normal 21 14 2" xfId="314" xr:uid="{00000000-0005-0000-0000-00003B010000}"/>
    <cellStyle name="Normal 21 15" xfId="315" xr:uid="{00000000-0005-0000-0000-00003C010000}"/>
    <cellStyle name="Normal 21 15 2" xfId="316" xr:uid="{00000000-0005-0000-0000-00003D010000}"/>
    <cellStyle name="Normal 21 16" xfId="317" xr:uid="{00000000-0005-0000-0000-00003E010000}"/>
    <cellStyle name="Normal 21 16 2" xfId="318" xr:uid="{00000000-0005-0000-0000-00003F010000}"/>
    <cellStyle name="Normal 21 17" xfId="319" xr:uid="{00000000-0005-0000-0000-000040010000}"/>
    <cellStyle name="Normal 21 2" xfId="320" xr:uid="{00000000-0005-0000-0000-000041010000}"/>
    <cellStyle name="Normal 21 2 2" xfId="321" xr:uid="{00000000-0005-0000-0000-000042010000}"/>
    <cellStyle name="Normal 21 3" xfId="322" xr:uid="{00000000-0005-0000-0000-000043010000}"/>
    <cellStyle name="Normal 21 3 2" xfId="323" xr:uid="{00000000-0005-0000-0000-000044010000}"/>
    <cellStyle name="Normal 21 4" xfId="324" xr:uid="{00000000-0005-0000-0000-000045010000}"/>
    <cellStyle name="Normal 21 4 2" xfId="325" xr:uid="{00000000-0005-0000-0000-000046010000}"/>
    <cellStyle name="Normal 21 5" xfId="326" xr:uid="{00000000-0005-0000-0000-000047010000}"/>
    <cellStyle name="Normal 21 5 2" xfId="327" xr:uid="{00000000-0005-0000-0000-000048010000}"/>
    <cellStyle name="Normal 21 6" xfId="328" xr:uid="{00000000-0005-0000-0000-000049010000}"/>
    <cellStyle name="Normal 21 6 2" xfId="329" xr:uid="{00000000-0005-0000-0000-00004A010000}"/>
    <cellStyle name="Normal 21 7" xfId="330" xr:uid="{00000000-0005-0000-0000-00004B010000}"/>
    <cellStyle name="Normal 21 7 2" xfId="331" xr:uid="{00000000-0005-0000-0000-00004C010000}"/>
    <cellStyle name="Normal 21 8" xfId="332" xr:uid="{00000000-0005-0000-0000-00004D010000}"/>
    <cellStyle name="Normal 21 8 2" xfId="333" xr:uid="{00000000-0005-0000-0000-00004E010000}"/>
    <cellStyle name="Normal 21 9" xfId="334" xr:uid="{00000000-0005-0000-0000-00004F010000}"/>
    <cellStyle name="Normal 21 9 2" xfId="335" xr:uid="{00000000-0005-0000-0000-000050010000}"/>
    <cellStyle name="Normal 22" xfId="336" xr:uid="{00000000-0005-0000-0000-000051010000}"/>
    <cellStyle name="Normal 23" xfId="337" xr:uid="{00000000-0005-0000-0000-000052010000}"/>
    <cellStyle name="Normal 24" xfId="338" xr:uid="{00000000-0005-0000-0000-000053010000}"/>
    <cellStyle name="Normal 25" xfId="339" xr:uid="{00000000-0005-0000-0000-000054010000}"/>
    <cellStyle name="Normal 26" xfId="340" xr:uid="{00000000-0005-0000-0000-000055010000}"/>
    <cellStyle name="Normal 27" xfId="341" xr:uid="{00000000-0005-0000-0000-000056010000}"/>
    <cellStyle name="Normal 28" xfId="342" xr:uid="{00000000-0005-0000-0000-000057010000}"/>
    <cellStyle name="Normal 29" xfId="343" xr:uid="{00000000-0005-0000-0000-000058010000}"/>
    <cellStyle name="Normal 3" xfId="344" xr:uid="{00000000-0005-0000-0000-000059010000}"/>
    <cellStyle name="Normal 3 10" xfId="345" xr:uid="{00000000-0005-0000-0000-00005A010000}"/>
    <cellStyle name="Normal 3 11" xfId="346" xr:uid="{00000000-0005-0000-0000-00005B010000}"/>
    <cellStyle name="Normal 3 12" xfId="347" xr:uid="{00000000-0005-0000-0000-00005C010000}"/>
    <cellStyle name="Normal 3 13" xfId="348" xr:uid="{00000000-0005-0000-0000-00005D010000}"/>
    <cellStyle name="Normal 3 14" xfId="349" xr:uid="{00000000-0005-0000-0000-00005E010000}"/>
    <cellStyle name="Normal 3 15" xfId="350" xr:uid="{00000000-0005-0000-0000-00005F010000}"/>
    <cellStyle name="Normal 3 16" xfId="351" xr:uid="{00000000-0005-0000-0000-000060010000}"/>
    <cellStyle name="Normal 3 17" xfId="352" xr:uid="{00000000-0005-0000-0000-000061010000}"/>
    <cellStyle name="Normal 3 18" xfId="353" xr:uid="{00000000-0005-0000-0000-000062010000}"/>
    <cellStyle name="Normal 3 19" xfId="354" xr:uid="{00000000-0005-0000-0000-000063010000}"/>
    <cellStyle name="Normal 3 2" xfId="355" xr:uid="{00000000-0005-0000-0000-000064010000}"/>
    <cellStyle name="Normal 3 20" xfId="356" xr:uid="{00000000-0005-0000-0000-000065010000}"/>
    <cellStyle name="Normal 3 21" xfId="357" xr:uid="{00000000-0005-0000-0000-000066010000}"/>
    <cellStyle name="Normal 3 22" xfId="358" xr:uid="{00000000-0005-0000-0000-000067010000}"/>
    <cellStyle name="Normal 3 23" xfId="359" xr:uid="{00000000-0005-0000-0000-000068010000}"/>
    <cellStyle name="Normal 3 24" xfId="360" xr:uid="{00000000-0005-0000-0000-000069010000}"/>
    <cellStyle name="Normal 3 25" xfId="361" xr:uid="{00000000-0005-0000-0000-00006A010000}"/>
    <cellStyle name="Normal 3 26" xfId="362" xr:uid="{00000000-0005-0000-0000-00006B010000}"/>
    <cellStyle name="Normal 3 27" xfId="363" xr:uid="{00000000-0005-0000-0000-00006C010000}"/>
    <cellStyle name="Normal 3 28" xfId="364" xr:uid="{00000000-0005-0000-0000-00006D010000}"/>
    <cellStyle name="Normal 3 29" xfId="365" xr:uid="{00000000-0005-0000-0000-00006E010000}"/>
    <cellStyle name="Normal 3 3" xfId="366" xr:uid="{00000000-0005-0000-0000-00006F010000}"/>
    <cellStyle name="Normal 3 30" xfId="367" xr:uid="{00000000-0005-0000-0000-000070010000}"/>
    <cellStyle name="Normal 3 4" xfId="368" xr:uid="{00000000-0005-0000-0000-000071010000}"/>
    <cellStyle name="Normal 3 5" xfId="369" xr:uid="{00000000-0005-0000-0000-000072010000}"/>
    <cellStyle name="Normal 3 6" xfId="370" xr:uid="{00000000-0005-0000-0000-000073010000}"/>
    <cellStyle name="Normal 3 7" xfId="371" xr:uid="{00000000-0005-0000-0000-000074010000}"/>
    <cellStyle name="Normal 3 8" xfId="372" xr:uid="{00000000-0005-0000-0000-000075010000}"/>
    <cellStyle name="Normal 3 9" xfId="373" xr:uid="{00000000-0005-0000-0000-000076010000}"/>
    <cellStyle name="Normal 3_deposits mobilized" xfId="374" xr:uid="{00000000-0005-0000-0000-000077010000}"/>
    <cellStyle name="Normal 30" xfId="375" xr:uid="{00000000-0005-0000-0000-000078010000}"/>
    <cellStyle name="Normal 31" xfId="376" xr:uid="{00000000-0005-0000-0000-000079010000}"/>
    <cellStyle name="Normal 32" xfId="377" xr:uid="{00000000-0005-0000-0000-00007A010000}"/>
    <cellStyle name="Normal 33" xfId="378" xr:uid="{00000000-0005-0000-0000-00007B010000}"/>
    <cellStyle name="Normal 34" xfId="379" xr:uid="{00000000-0005-0000-0000-00007C010000}"/>
    <cellStyle name="Normal 4" xfId="380" xr:uid="{00000000-0005-0000-0000-00007D010000}"/>
    <cellStyle name="Normal 4 10" xfId="381" xr:uid="{00000000-0005-0000-0000-00007E010000}"/>
    <cellStyle name="Normal 4 11" xfId="382" xr:uid="{00000000-0005-0000-0000-00007F010000}"/>
    <cellStyle name="Normal 4 12" xfId="383" xr:uid="{00000000-0005-0000-0000-000080010000}"/>
    <cellStyle name="Normal 4 13" xfId="384" xr:uid="{00000000-0005-0000-0000-000081010000}"/>
    <cellStyle name="Normal 4 14" xfId="385" xr:uid="{00000000-0005-0000-0000-000082010000}"/>
    <cellStyle name="Normal 4 15" xfId="386" xr:uid="{00000000-0005-0000-0000-000083010000}"/>
    <cellStyle name="Normal 4 16" xfId="387" xr:uid="{00000000-0005-0000-0000-000084010000}"/>
    <cellStyle name="Normal 4 17" xfId="388" xr:uid="{00000000-0005-0000-0000-000085010000}"/>
    <cellStyle name="Normal 4 18" xfId="389" xr:uid="{00000000-0005-0000-0000-000086010000}"/>
    <cellStyle name="Normal 4 19" xfId="390" xr:uid="{00000000-0005-0000-0000-000087010000}"/>
    <cellStyle name="Normal 4 2" xfId="391" xr:uid="{00000000-0005-0000-0000-000088010000}"/>
    <cellStyle name="Normal 4 20" xfId="392" xr:uid="{00000000-0005-0000-0000-000089010000}"/>
    <cellStyle name="Normal 4 21" xfId="393" xr:uid="{00000000-0005-0000-0000-00008A010000}"/>
    <cellStyle name="Normal 4 22" xfId="394" xr:uid="{00000000-0005-0000-0000-00008B010000}"/>
    <cellStyle name="Normal 4 23" xfId="395" xr:uid="{00000000-0005-0000-0000-00008C010000}"/>
    <cellStyle name="Normal 4 24" xfId="396" xr:uid="{00000000-0005-0000-0000-00008D010000}"/>
    <cellStyle name="Normal 4 25" xfId="397" xr:uid="{00000000-0005-0000-0000-00008E010000}"/>
    <cellStyle name="Normal 4 26" xfId="398" xr:uid="{00000000-0005-0000-0000-00008F010000}"/>
    <cellStyle name="Normal 4 27" xfId="399" xr:uid="{00000000-0005-0000-0000-000090010000}"/>
    <cellStyle name="Normal 4 28" xfId="400" xr:uid="{00000000-0005-0000-0000-000091010000}"/>
    <cellStyle name="Normal 4 29" xfId="401" xr:uid="{00000000-0005-0000-0000-000092010000}"/>
    <cellStyle name="Normal 4 3" xfId="402" xr:uid="{00000000-0005-0000-0000-000093010000}"/>
    <cellStyle name="Normal 4 30" xfId="403" xr:uid="{00000000-0005-0000-0000-000094010000}"/>
    <cellStyle name="Normal 4 4" xfId="404" xr:uid="{00000000-0005-0000-0000-000095010000}"/>
    <cellStyle name="Normal 4 5" xfId="405" xr:uid="{00000000-0005-0000-0000-000096010000}"/>
    <cellStyle name="Normal 4 6" xfId="406" xr:uid="{00000000-0005-0000-0000-000097010000}"/>
    <cellStyle name="Normal 4 7" xfId="407" xr:uid="{00000000-0005-0000-0000-000098010000}"/>
    <cellStyle name="Normal 4 8" xfId="408" xr:uid="{00000000-0005-0000-0000-000099010000}"/>
    <cellStyle name="Normal 4 9" xfId="409" xr:uid="{00000000-0005-0000-0000-00009A010000}"/>
    <cellStyle name="Normal 5" xfId="410" xr:uid="{00000000-0005-0000-0000-00009B010000}"/>
    <cellStyle name="Normal 5 10" xfId="411" xr:uid="{00000000-0005-0000-0000-00009C010000}"/>
    <cellStyle name="Normal 5 11" xfId="412" xr:uid="{00000000-0005-0000-0000-00009D010000}"/>
    <cellStyle name="Normal 5 12" xfId="413" xr:uid="{00000000-0005-0000-0000-00009E010000}"/>
    <cellStyle name="Normal 5 13" xfId="414" xr:uid="{00000000-0005-0000-0000-00009F010000}"/>
    <cellStyle name="Normal 5 14" xfId="415" xr:uid="{00000000-0005-0000-0000-0000A0010000}"/>
    <cellStyle name="Normal 5 15" xfId="416" xr:uid="{00000000-0005-0000-0000-0000A1010000}"/>
    <cellStyle name="Normal 5 2" xfId="417" xr:uid="{00000000-0005-0000-0000-0000A2010000}"/>
    <cellStyle name="Normal 5 3" xfId="418" xr:uid="{00000000-0005-0000-0000-0000A3010000}"/>
    <cellStyle name="Normal 5 4" xfId="419" xr:uid="{00000000-0005-0000-0000-0000A4010000}"/>
    <cellStyle name="Normal 5 5" xfId="420" xr:uid="{00000000-0005-0000-0000-0000A5010000}"/>
    <cellStyle name="Normal 5 6" xfId="421" xr:uid="{00000000-0005-0000-0000-0000A6010000}"/>
    <cellStyle name="Normal 5 7" xfId="422" xr:uid="{00000000-0005-0000-0000-0000A7010000}"/>
    <cellStyle name="Normal 5 8" xfId="423" xr:uid="{00000000-0005-0000-0000-0000A8010000}"/>
    <cellStyle name="Normal 5 9" xfId="424" xr:uid="{00000000-0005-0000-0000-0000A9010000}"/>
    <cellStyle name="Normal 6" xfId="425" xr:uid="{00000000-0005-0000-0000-0000AA010000}"/>
    <cellStyle name="Normal 6 2" xfId="426" xr:uid="{00000000-0005-0000-0000-0000AB010000}"/>
    <cellStyle name="Normal 6 3" xfId="427" xr:uid="{00000000-0005-0000-0000-0000AC010000}"/>
    <cellStyle name="Normal 6 4" xfId="428" xr:uid="{00000000-0005-0000-0000-0000AD010000}"/>
    <cellStyle name="Normal 6 5" xfId="429" xr:uid="{00000000-0005-0000-0000-0000AE010000}"/>
    <cellStyle name="Normal 7" xfId="430" xr:uid="{00000000-0005-0000-0000-0000AF010000}"/>
    <cellStyle name="Normal 7 2" xfId="431" xr:uid="{00000000-0005-0000-0000-0000B0010000}"/>
    <cellStyle name="Normal 7 3" xfId="432" xr:uid="{00000000-0005-0000-0000-0000B1010000}"/>
    <cellStyle name="Normal 7 4" xfId="433" xr:uid="{00000000-0005-0000-0000-0000B2010000}"/>
    <cellStyle name="Normal 7 5" xfId="434" xr:uid="{00000000-0005-0000-0000-0000B3010000}"/>
    <cellStyle name="Normal 8" xfId="435" xr:uid="{00000000-0005-0000-0000-0000B4010000}"/>
    <cellStyle name="Normal 9" xfId="436" xr:uid="{00000000-0005-0000-0000-0000B5010000}"/>
    <cellStyle name="Normal 9 10" xfId="437" xr:uid="{00000000-0005-0000-0000-0000B6010000}"/>
    <cellStyle name="Normal 9 11" xfId="438" xr:uid="{00000000-0005-0000-0000-0000B7010000}"/>
    <cellStyle name="Normal 9 12" xfId="439" xr:uid="{00000000-0005-0000-0000-0000B8010000}"/>
    <cellStyle name="Normal 9 13" xfId="440" xr:uid="{00000000-0005-0000-0000-0000B9010000}"/>
    <cellStyle name="Normal 9 14" xfId="441" xr:uid="{00000000-0005-0000-0000-0000BA010000}"/>
    <cellStyle name="Normal 9 2" xfId="442" xr:uid="{00000000-0005-0000-0000-0000BB010000}"/>
    <cellStyle name="Normal 9 2 2" xfId="443" xr:uid="{00000000-0005-0000-0000-0000BC010000}"/>
    <cellStyle name="Normal 9 2 3" xfId="444" xr:uid="{00000000-0005-0000-0000-0000BD010000}"/>
    <cellStyle name="Normal 9 2 4" xfId="445" xr:uid="{00000000-0005-0000-0000-0000BE010000}"/>
    <cellStyle name="Normal 9 3" xfId="446" xr:uid="{00000000-0005-0000-0000-0000BF010000}"/>
    <cellStyle name="Normal 9 4" xfId="447" xr:uid="{00000000-0005-0000-0000-0000C0010000}"/>
    <cellStyle name="Normal 9 5" xfId="448" xr:uid="{00000000-0005-0000-0000-0000C1010000}"/>
    <cellStyle name="Normal 9 6" xfId="449" xr:uid="{00000000-0005-0000-0000-0000C2010000}"/>
    <cellStyle name="Normal 9 7" xfId="450" xr:uid="{00000000-0005-0000-0000-0000C3010000}"/>
    <cellStyle name="Normal 9 8" xfId="451" xr:uid="{00000000-0005-0000-0000-0000C4010000}"/>
    <cellStyle name="Normal 9 9" xfId="452" xr:uid="{00000000-0005-0000-0000-0000C5010000}"/>
    <cellStyle name="Note 2" xfId="453" xr:uid="{00000000-0005-0000-0000-0000C6010000}"/>
    <cellStyle name="Per cent" xfId="454" builtinId="5"/>
    <cellStyle name="Percent 2" xfId="455" xr:uid="{00000000-0005-0000-0000-0000C8010000}"/>
    <cellStyle name="Percent 2 2" xfId="460" xr:uid="{00000000-0005-0000-0000-0000C9010000}"/>
    <cellStyle name="Percent 3" xfId="456" xr:uid="{00000000-0005-0000-0000-0000CA010000}"/>
    <cellStyle name="Total 2" xfId="457" xr:uid="{00000000-0005-0000-0000-0000CB010000}"/>
    <cellStyle name="Total 2 2" xfId="458" xr:uid="{00000000-0005-0000-0000-0000CC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O50"/>
  <sheetViews>
    <sheetView zoomScale="70" zoomScaleNormal="70" workbookViewId="0">
      <pane xSplit="1" ySplit="3" topLeftCell="CM35" activePane="bottomRight" state="frozen"/>
      <selection pane="bottomRight" activeCell="CN38" sqref="CN38:CN46"/>
      <selection pane="bottomLeft" activeCell="A4" sqref="A4"/>
      <selection pane="topRight" activeCell="B1" sqref="B1"/>
    </sheetView>
  </sheetViews>
  <sheetFormatPr defaultRowHeight="14.45"/>
  <cols>
    <col min="1" max="1" width="35" bestFit="1" customWidth="1"/>
    <col min="2" max="2" width="15" hidden="1" customWidth="1"/>
    <col min="3" max="3" width="14.85546875" hidden="1" customWidth="1"/>
    <col min="4" max="5" width="15.7109375" hidden="1" customWidth="1"/>
    <col min="6" max="9" width="15" hidden="1" customWidth="1"/>
    <col min="10" max="10" width="16" hidden="1" customWidth="1"/>
    <col min="11" max="11" width="16.7109375" hidden="1" customWidth="1"/>
    <col min="12" max="12" width="17" hidden="1" customWidth="1"/>
    <col min="13" max="17" width="15" hidden="1" customWidth="1"/>
    <col min="18" max="18" width="16.7109375" bestFit="1" customWidth="1"/>
    <col min="19" max="19" width="19.5703125" hidden="1" customWidth="1"/>
    <col min="20" max="20" width="20.42578125" hidden="1" customWidth="1"/>
    <col min="21" max="21" width="19.140625" hidden="1" customWidth="1"/>
    <col min="22" max="22" width="15" hidden="1" customWidth="1"/>
    <col min="23" max="23" width="18.7109375" hidden="1" customWidth="1"/>
    <col min="24" max="24" width="18.42578125" hidden="1" customWidth="1"/>
    <col min="25" max="25" width="18.28515625" hidden="1" customWidth="1"/>
    <col min="26" max="26" width="17.85546875" hidden="1" customWidth="1"/>
    <col min="27" max="27" width="17.7109375" hidden="1" customWidth="1"/>
    <col min="28" max="28" width="19.42578125" hidden="1" customWidth="1"/>
    <col min="29" max="29" width="17.85546875" hidden="1" customWidth="1"/>
    <col min="30" max="30" width="18.85546875" hidden="1" customWidth="1"/>
    <col min="31" max="31" width="16.28515625" customWidth="1"/>
    <col min="32" max="36" width="16.28515625" hidden="1" customWidth="1"/>
    <col min="37" max="40" width="15.7109375" hidden="1" customWidth="1"/>
    <col min="41" max="41" width="6.85546875" hidden="1" customWidth="1"/>
    <col min="42" max="42" width="7.42578125" hidden="1" customWidth="1"/>
    <col min="43" max="43" width="7.140625" hidden="1" customWidth="1"/>
    <col min="44" max="44" width="13" bestFit="1" customWidth="1"/>
    <col min="45" max="45" width="16" hidden="1" customWidth="1"/>
    <col min="46" max="50" width="15.7109375" hidden="1" customWidth="1"/>
    <col min="51" max="51" width="6.140625" hidden="1" customWidth="1"/>
    <col min="52" max="56" width="15.7109375" hidden="1" customWidth="1"/>
    <col min="57" max="57" width="15.7109375" bestFit="1" customWidth="1"/>
    <col min="58" max="69" width="21.28515625" hidden="1" customWidth="1"/>
    <col min="70" max="70" width="23.42578125" customWidth="1"/>
    <col min="71" max="71" width="15.5703125" hidden="1" customWidth="1"/>
    <col min="72" max="72" width="19.28515625" hidden="1" customWidth="1"/>
    <col min="73" max="73" width="19" customWidth="1"/>
    <col min="74" max="74" width="17.5703125" hidden="1" customWidth="1"/>
    <col min="75" max="75" width="17.7109375" hidden="1" customWidth="1"/>
    <col min="76" max="76" width="17.140625" customWidth="1"/>
    <col min="77" max="77" width="16.7109375" hidden="1" customWidth="1"/>
    <col min="78" max="78" width="17.28515625" hidden="1" customWidth="1"/>
    <col min="79" max="79" width="15.7109375" bestFit="1" customWidth="1"/>
    <col min="80" max="81" width="15.7109375" hidden="1" customWidth="1"/>
    <col min="82" max="82" width="15.7109375" bestFit="1" customWidth="1"/>
    <col min="83" max="83" width="17.28515625" customWidth="1"/>
    <col min="84" max="84" width="15.7109375" bestFit="1" customWidth="1"/>
    <col min="85" max="85" width="17.28515625" customWidth="1"/>
    <col min="86" max="86" width="16.7109375" customWidth="1"/>
    <col min="87" max="87" width="14.5703125" customWidth="1"/>
    <col min="88" max="88" width="16.85546875" customWidth="1"/>
    <col min="89" max="89" width="15.42578125" customWidth="1"/>
    <col min="90" max="90" width="14.85546875" bestFit="1" customWidth="1"/>
    <col min="91" max="91" width="15.85546875" customWidth="1"/>
    <col min="92" max="92" width="16" customWidth="1"/>
  </cols>
  <sheetData>
    <row r="1" spans="1:92" ht="15" customHeight="1">
      <c r="A1" s="322"/>
      <c r="B1" s="322"/>
      <c r="C1" s="322"/>
      <c r="D1" s="322"/>
      <c r="E1" s="101"/>
      <c r="R1" s="73">
        <f>'Evolutitve SCI'!R5/'Evolutive SFP'!R14</f>
        <v>0.13803271277517498</v>
      </c>
      <c r="S1" s="73">
        <f>'Evolutitve SCI'!S5/'Evolutive SFP'!S14</f>
        <v>2.1549240060824978E-2</v>
      </c>
      <c r="T1" s="73">
        <f>'Evolutitve SCI'!T5/'Evolutive SFP'!T14</f>
        <v>4.2696774656902588E-2</v>
      </c>
      <c r="U1" s="73">
        <f>'Evolutitve SCI'!U5/'Evolutive SFP'!U14</f>
        <v>4.6308651202180279E-2</v>
      </c>
      <c r="V1" s="73">
        <f>'Evolutitve SCI'!V5/'Evolutive SFP'!V14</f>
        <v>5.5089884808990609E-2</v>
      </c>
      <c r="W1" s="73">
        <f>'Evolutitve SCI'!W5/'Evolutive SFP'!W14</f>
        <v>5.0970277857510363E-2</v>
      </c>
      <c r="X1" s="73">
        <f>'Evolutitve SCI'!X5/'Evolutive SFP'!X14</f>
        <v>5.0939452892716959E-2</v>
      </c>
      <c r="Y1" s="73">
        <f>'Evolutitve SCI'!Y5/'Evolutive SFP'!Y14</f>
        <v>5.1560372342626143E-2</v>
      </c>
      <c r="Z1">
        <v>-1115511.4100000001</v>
      </c>
    </row>
    <row r="2" spans="1:92" ht="15">
      <c r="R2" s="23">
        <f t="shared" ref="R2:W2" si="0">R5+R11</f>
        <v>18492812</v>
      </c>
      <c r="S2" s="23">
        <f t="shared" si="0"/>
        <v>10661536.43</v>
      </c>
      <c r="T2" s="23">
        <f t="shared" si="0"/>
        <v>12165835.43</v>
      </c>
      <c r="U2" s="23">
        <f t="shared" si="0"/>
        <v>12165835.43</v>
      </c>
      <c r="V2" s="23">
        <f t="shared" si="0"/>
        <v>8267864.4299999997</v>
      </c>
      <c r="W2" s="23">
        <f t="shared" si="0"/>
        <v>8301101.9299999997</v>
      </c>
      <c r="X2" s="23">
        <f>X5+X11</f>
        <v>5053192.3</v>
      </c>
    </row>
    <row r="3" spans="1:92" ht="15">
      <c r="A3" s="12"/>
      <c r="B3" s="32" t="s">
        <v>0</v>
      </c>
      <c r="C3" s="36" t="s">
        <v>1</v>
      </c>
      <c r="D3" s="86" t="s">
        <v>2</v>
      </c>
      <c r="E3" s="86" t="s">
        <v>3</v>
      </c>
      <c r="F3" s="36">
        <v>42736</v>
      </c>
      <c r="G3" s="36">
        <v>42767</v>
      </c>
      <c r="H3" s="36">
        <v>42795</v>
      </c>
      <c r="I3" s="36">
        <v>42826</v>
      </c>
      <c r="J3" s="36">
        <v>42856</v>
      </c>
      <c r="K3" s="36">
        <v>42887</v>
      </c>
      <c r="L3" s="36">
        <v>42917</v>
      </c>
      <c r="M3" s="36">
        <v>42948</v>
      </c>
      <c r="N3" s="36">
        <v>42979</v>
      </c>
      <c r="O3" s="36">
        <v>43009</v>
      </c>
      <c r="P3" s="36">
        <v>43040</v>
      </c>
      <c r="Q3" s="36">
        <v>43070</v>
      </c>
      <c r="R3" s="116" t="s">
        <v>4</v>
      </c>
      <c r="S3" s="120">
        <v>43101</v>
      </c>
      <c r="T3" s="120">
        <v>43132</v>
      </c>
      <c r="U3" s="120">
        <v>43160</v>
      </c>
      <c r="V3" s="120">
        <v>43191</v>
      </c>
      <c r="W3" s="120">
        <v>43221</v>
      </c>
      <c r="X3" s="120">
        <v>43252</v>
      </c>
      <c r="Y3" s="120">
        <v>43282</v>
      </c>
      <c r="Z3" s="120">
        <v>43313</v>
      </c>
      <c r="AA3" s="120">
        <v>43344</v>
      </c>
      <c r="AB3" s="120">
        <v>43374</v>
      </c>
      <c r="AC3" s="120">
        <v>43405</v>
      </c>
      <c r="AD3" s="120">
        <v>43435</v>
      </c>
      <c r="AE3" s="116" t="s">
        <v>5</v>
      </c>
      <c r="AF3" s="120">
        <v>43466</v>
      </c>
      <c r="AG3" s="120">
        <v>43497</v>
      </c>
      <c r="AH3" s="120">
        <v>43525</v>
      </c>
      <c r="AI3" s="120">
        <v>43556</v>
      </c>
      <c r="AJ3" s="120">
        <v>43586</v>
      </c>
      <c r="AK3" s="120">
        <v>43617</v>
      </c>
      <c r="AL3" s="120">
        <v>43647</v>
      </c>
      <c r="AM3" s="120">
        <v>43678</v>
      </c>
      <c r="AN3" s="120">
        <v>43709</v>
      </c>
      <c r="AO3" s="120">
        <v>43739</v>
      </c>
      <c r="AP3" s="120">
        <v>43770</v>
      </c>
      <c r="AQ3" s="120">
        <v>43800</v>
      </c>
      <c r="AR3" s="120" t="s">
        <v>6</v>
      </c>
      <c r="AS3" s="120">
        <v>43831</v>
      </c>
      <c r="AT3" s="120">
        <v>43862</v>
      </c>
      <c r="AU3" s="120">
        <v>43891</v>
      </c>
      <c r="AV3" s="120">
        <v>43922</v>
      </c>
      <c r="AW3" s="120">
        <v>43952</v>
      </c>
      <c r="AX3" s="120">
        <v>43983</v>
      </c>
      <c r="AY3" s="120">
        <v>44013</v>
      </c>
      <c r="AZ3" s="120">
        <v>44044</v>
      </c>
      <c r="BA3" s="120">
        <v>44075</v>
      </c>
      <c r="BB3" s="120">
        <v>44105</v>
      </c>
      <c r="BC3" s="120">
        <v>44136</v>
      </c>
      <c r="BD3" s="120">
        <v>44166</v>
      </c>
      <c r="BE3" s="120" t="s">
        <v>7</v>
      </c>
      <c r="BF3" s="120">
        <v>44197</v>
      </c>
      <c r="BG3" s="120">
        <v>44228</v>
      </c>
      <c r="BH3" s="120">
        <v>44256</v>
      </c>
      <c r="BI3" s="120">
        <v>44287</v>
      </c>
      <c r="BJ3" s="120">
        <v>44317</v>
      </c>
      <c r="BK3" s="120">
        <v>44348</v>
      </c>
      <c r="BL3" s="120">
        <v>44378</v>
      </c>
      <c r="BM3" s="120">
        <v>44409</v>
      </c>
      <c r="BN3" s="120">
        <v>44440</v>
      </c>
      <c r="BO3" s="120">
        <v>44470</v>
      </c>
      <c r="BP3" s="120">
        <v>44501</v>
      </c>
      <c r="BQ3" s="120">
        <v>44531</v>
      </c>
      <c r="BR3" s="116" t="s">
        <v>8</v>
      </c>
      <c r="BS3" s="120">
        <v>44562</v>
      </c>
      <c r="BT3" s="120">
        <v>44593</v>
      </c>
      <c r="BU3" s="120">
        <v>44621</v>
      </c>
      <c r="BV3" s="120">
        <v>44652</v>
      </c>
      <c r="BW3" s="120">
        <v>44682</v>
      </c>
      <c r="BX3" s="120">
        <v>44713</v>
      </c>
      <c r="BY3" s="120">
        <v>44743</v>
      </c>
      <c r="BZ3" s="120">
        <v>44774</v>
      </c>
      <c r="CA3" s="120">
        <v>44805</v>
      </c>
      <c r="CB3" s="120">
        <v>44835</v>
      </c>
      <c r="CC3" s="120">
        <v>44866</v>
      </c>
      <c r="CD3" s="285">
        <v>44896</v>
      </c>
      <c r="CE3" s="116" t="s">
        <v>9</v>
      </c>
      <c r="CF3" t="s">
        <v>10</v>
      </c>
      <c r="CG3" s="116" t="s">
        <v>9</v>
      </c>
      <c r="CH3" s="303">
        <v>44927</v>
      </c>
      <c r="CI3" s="303">
        <v>44958</v>
      </c>
      <c r="CJ3" s="303">
        <v>44986</v>
      </c>
      <c r="CK3" s="303">
        <v>45017</v>
      </c>
      <c r="CL3" s="303">
        <v>45047</v>
      </c>
      <c r="CM3" s="303">
        <v>45078</v>
      </c>
      <c r="CN3" s="303">
        <v>45108</v>
      </c>
    </row>
    <row r="4" spans="1:92" ht="14.25">
      <c r="A4" s="13" t="s">
        <v>11</v>
      </c>
      <c r="B4" s="68">
        <f t="shared" ref="B4:R4" si="1">SUM(B5:B6)</f>
        <v>128444792</v>
      </c>
      <c r="C4" s="68">
        <f t="shared" si="1"/>
        <v>87766162</v>
      </c>
      <c r="D4" s="84">
        <f t="shared" si="1"/>
        <v>67219689</v>
      </c>
      <c r="E4" s="84">
        <f t="shared" si="1"/>
        <v>50284396</v>
      </c>
      <c r="F4" s="84">
        <f t="shared" si="1"/>
        <v>31944446.670000002</v>
      </c>
      <c r="G4" s="84">
        <f t="shared" si="1"/>
        <v>52742299.149999999</v>
      </c>
      <c r="H4" s="84">
        <f t="shared" si="1"/>
        <v>29959633.23</v>
      </c>
      <c r="I4" s="84">
        <f t="shared" si="1"/>
        <v>22009142.670000002</v>
      </c>
      <c r="J4" s="84">
        <f t="shared" si="1"/>
        <v>12522469</v>
      </c>
      <c r="K4" s="84">
        <f t="shared" si="1"/>
        <v>4760344</v>
      </c>
      <c r="L4" s="84">
        <f t="shared" si="1"/>
        <v>0</v>
      </c>
      <c r="M4" s="84">
        <f t="shared" si="1"/>
        <v>0</v>
      </c>
      <c r="N4" s="84">
        <f t="shared" si="1"/>
        <v>0</v>
      </c>
      <c r="O4" s="84">
        <f t="shared" si="1"/>
        <v>0</v>
      </c>
      <c r="P4" s="84">
        <f t="shared" si="1"/>
        <v>0</v>
      </c>
      <c r="Q4" s="121">
        <f t="shared" si="1"/>
        <v>0</v>
      </c>
      <c r="R4" s="84">
        <f t="shared" si="1"/>
        <v>32611064</v>
      </c>
      <c r="S4" s="84">
        <f t="shared" ref="S4:X4" si="2">SUM(S5:S6)</f>
        <v>19973071</v>
      </c>
      <c r="T4" s="121">
        <f t="shared" si="2"/>
        <v>14066183.1</v>
      </c>
      <c r="U4" s="84">
        <f t="shared" si="2"/>
        <v>14066183.1</v>
      </c>
      <c r="V4" s="84">
        <f t="shared" si="2"/>
        <v>3002343.32</v>
      </c>
      <c r="W4" s="84">
        <f t="shared" si="2"/>
        <v>2215238.52</v>
      </c>
      <c r="X4" s="84">
        <f t="shared" si="2"/>
        <v>1023685.3</v>
      </c>
      <c r="Y4" s="84">
        <f t="shared" ref="Y4:AE4" si="3">SUM(Y5:Y6)</f>
        <v>-1115511.4100000001</v>
      </c>
      <c r="Z4" s="84">
        <f t="shared" si="3"/>
        <v>20537892.149999999</v>
      </c>
      <c r="AA4" s="84">
        <f t="shared" si="3"/>
        <v>21490405.829999998</v>
      </c>
      <c r="AB4" s="84">
        <f t="shared" si="3"/>
        <v>18677023.539999999</v>
      </c>
      <c r="AC4" s="84">
        <f t="shared" si="3"/>
        <v>33459673.170000002</v>
      </c>
      <c r="AD4" s="122">
        <f t="shared" si="3"/>
        <v>-3506044.38</v>
      </c>
      <c r="AE4" s="122">
        <f t="shared" si="3"/>
        <v>31216703</v>
      </c>
      <c r="AF4" s="122">
        <f t="shared" ref="AF4:AK4" si="4">SUM(AF5:AF6)</f>
        <v>-3087569.9899999998</v>
      </c>
      <c r="AG4" s="122">
        <f t="shared" si="4"/>
        <v>9139264.1600000001</v>
      </c>
      <c r="AH4" s="122">
        <f t="shared" si="4"/>
        <v>8287062.3899999997</v>
      </c>
      <c r="AI4" s="122">
        <f t="shared" si="4"/>
        <v>-15539431.140000001</v>
      </c>
      <c r="AJ4" s="122">
        <f t="shared" si="4"/>
        <v>-8391990.0399999991</v>
      </c>
      <c r="AK4" s="122">
        <f t="shared" si="4"/>
        <v>-11171524.640000001</v>
      </c>
      <c r="AL4" s="122">
        <f>SUM(AL5:AL6)</f>
        <v>13296573.08</v>
      </c>
      <c r="AM4" s="122">
        <f>SUM(AM5:AM6)</f>
        <v>11627739.720000001</v>
      </c>
      <c r="AN4" s="122">
        <f>SUM(AN5:AN6)</f>
        <v>13004321.970000001</v>
      </c>
      <c r="AO4" s="122">
        <f t="shared" ref="AO4:CE4" si="5">SUM(AO5:AO6)</f>
        <v>0</v>
      </c>
      <c r="AP4" s="122">
        <f t="shared" si="5"/>
        <v>0</v>
      </c>
      <c r="AQ4" s="122">
        <f t="shared" si="5"/>
        <v>0</v>
      </c>
      <c r="AR4" s="122">
        <f t="shared" si="5"/>
        <v>0</v>
      </c>
      <c r="AS4" s="122">
        <f t="shared" si="5"/>
        <v>7168424.79</v>
      </c>
      <c r="AT4" s="122">
        <f t="shared" si="5"/>
        <v>5727154.6399999997</v>
      </c>
      <c r="AU4" s="122">
        <f t="shared" si="5"/>
        <v>24781324.879999999</v>
      </c>
      <c r="AV4" s="122">
        <f t="shared" si="5"/>
        <v>20716426.530000001</v>
      </c>
      <c r="AW4" s="122">
        <f t="shared" si="5"/>
        <v>21339714.329999998</v>
      </c>
      <c r="AX4" s="122">
        <f t="shared" si="5"/>
        <v>24064174.199999999</v>
      </c>
      <c r="AY4" s="122">
        <f t="shared" si="5"/>
        <v>0</v>
      </c>
      <c r="AZ4" s="122">
        <f t="shared" si="5"/>
        <v>18844132.800000001</v>
      </c>
      <c r="BA4" s="122">
        <f t="shared" si="5"/>
        <v>21757222.949999999</v>
      </c>
      <c r="BB4" s="122">
        <f t="shared" si="5"/>
        <v>27381360.850000001</v>
      </c>
      <c r="BC4" s="122">
        <f t="shared" si="5"/>
        <v>26602215.739999998</v>
      </c>
      <c r="BD4" s="122">
        <f t="shared" si="5"/>
        <v>36650882.049999997</v>
      </c>
      <c r="BE4" s="122">
        <f t="shared" si="5"/>
        <v>36658413</v>
      </c>
      <c r="BF4" s="122">
        <f t="shared" si="5"/>
        <v>20541945.740000002</v>
      </c>
      <c r="BG4" s="122">
        <f t="shared" si="5"/>
        <v>25623839.440000001</v>
      </c>
      <c r="BH4" s="122">
        <f t="shared" si="5"/>
        <v>22364306.329999998</v>
      </c>
      <c r="BI4" s="122">
        <f t="shared" si="5"/>
        <v>15733688</v>
      </c>
      <c r="BJ4" s="122">
        <f t="shared" si="5"/>
        <v>24005055.979999997</v>
      </c>
      <c r="BK4" s="122">
        <f t="shared" si="5"/>
        <v>20147854.120000001</v>
      </c>
      <c r="BL4" s="122">
        <f t="shared" si="5"/>
        <v>11066562.040000001</v>
      </c>
      <c r="BM4" s="122">
        <f t="shared" si="5"/>
        <v>11281817.75</v>
      </c>
      <c r="BN4" s="122">
        <f t="shared" si="5"/>
        <v>11666789.43</v>
      </c>
      <c r="BO4" s="122">
        <f t="shared" si="5"/>
        <v>12415391.99</v>
      </c>
      <c r="BP4" s="122">
        <f t="shared" si="5"/>
        <v>29309264.489999998</v>
      </c>
      <c r="BQ4" s="122">
        <f t="shared" si="5"/>
        <v>19385096.990000002</v>
      </c>
      <c r="BR4" s="122">
        <f t="shared" si="5"/>
        <v>27628340</v>
      </c>
      <c r="BS4" s="122">
        <f t="shared" si="5"/>
        <v>17774237.300000001</v>
      </c>
      <c r="BT4" s="122">
        <f t="shared" si="5"/>
        <v>22295400.449999999</v>
      </c>
      <c r="BU4" s="122">
        <f t="shared" si="5"/>
        <v>22918829.490000002</v>
      </c>
      <c r="BV4" s="122">
        <f t="shared" si="5"/>
        <v>6410573.3100000005</v>
      </c>
      <c r="BW4" s="122">
        <f t="shared" si="5"/>
        <v>20991080.25</v>
      </c>
      <c r="BX4" s="122">
        <f t="shared" si="5"/>
        <v>12574282.810000001</v>
      </c>
      <c r="BY4" s="122">
        <f t="shared" si="5"/>
        <v>25030197.93</v>
      </c>
      <c r="BZ4" s="122">
        <f t="shared" si="5"/>
        <v>11959476.640000001</v>
      </c>
      <c r="CA4" s="122">
        <f t="shared" si="5"/>
        <v>17319180.09</v>
      </c>
      <c r="CB4" s="122">
        <f t="shared" si="5"/>
        <v>22938676.18</v>
      </c>
      <c r="CC4" s="122">
        <f t="shared" si="5"/>
        <v>31441836.07</v>
      </c>
      <c r="CD4" s="122">
        <f t="shared" si="5"/>
        <v>21300556.990000002</v>
      </c>
      <c r="CE4" s="122">
        <f t="shared" si="5"/>
        <v>18898344</v>
      </c>
      <c r="CF4" s="50">
        <f>CE4-CD4</f>
        <v>-2402212.9900000021</v>
      </c>
      <c r="CG4" s="122">
        <f t="shared" ref="CG4:CL4" si="6">SUM(CG5:CG6)</f>
        <v>18898344</v>
      </c>
      <c r="CH4" s="122">
        <f t="shared" si="6"/>
        <v>8787585.8399999999</v>
      </c>
      <c r="CI4" s="122">
        <f t="shared" si="6"/>
        <v>4671734.2</v>
      </c>
      <c r="CJ4" s="122">
        <f t="shared" si="6"/>
        <v>5650814.7400000002</v>
      </c>
      <c r="CK4" s="122">
        <f t="shared" si="6"/>
        <v>7733766.7799999993</v>
      </c>
      <c r="CL4" s="122">
        <f t="shared" si="6"/>
        <v>5242336.92</v>
      </c>
      <c r="CM4" s="122">
        <f t="shared" ref="CM4:CN4" si="7">SUM(CM5:CM6)</f>
        <v>3685964.3</v>
      </c>
      <c r="CN4" s="122">
        <f t="shared" si="7"/>
        <v>4142581.45</v>
      </c>
    </row>
    <row r="5" spans="1:92" ht="15">
      <c r="A5" s="14" t="s">
        <v>12</v>
      </c>
      <c r="B5" s="29">
        <v>7138523</v>
      </c>
      <c r="C5" s="15">
        <v>11411572</v>
      </c>
      <c r="D5" s="166">
        <v>9130921</v>
      </c>
      <c r="E5" s="166">
        <v>5767269</v>
      </c>
      <c r="F5" s="15">
        <v>9147853</v>
      </c>
      <c r="G5" s="15">
        <v>8825525</v>
      </c>
      <c r="H5" s="15">
        <v>4413320</v>
      </c>
      <c r="I5" s="167">
        <v>6043135</v>
      </c>
      <c r="J5" s="102">
        <v>2550959</v>
      </c>
      <c r="K5" s="102">
        <v>1538242</v>
      </c>
      <c r="L5" s="97">
        <v>0</v>
      </c>
      <c r="M5" s="97">
        <v>0</v>
      </c>
      <c r="N5" s="97">
        <v>0</v>
      </c>
      <c r="O5" s="97">
        <v>0</v>
      </c>
      <c r="P5" s="97">
        <v>0</v>
      </c>
      <c r="Q5" s="97">
        <v>0</v>
      </c>
      <c r="R5" s="5">
        <f>589239+136650</f>
        <v>725889</v>
      </c>
      <c r="S5" s="123">
        <v>2839709</v>
      </c>
      <c r="T5" s="147">
        <v>4344008</v>
      </c>
      <c r="U5" s="123">
        <v>4344008</v>
      </c>
      <c r="V5" s="123">
        <v>446037</v>
      </c>
      <c r="W5" s="123">
        <v>423156</v>
      </c>
      <c r="X5" s="168">
        <v>1442019</v>
      </c>
      <c r="Y5" s="123">
        <v>1338199</v>
      </c>
      <c r="Z5" s="123">
        <v>4264850</v>
      </c>
      <c r="AA5" s="123">
        <v>3440169</v>
      </c>
      <c r="AB5" s="123">
        <v>4018646.5</v>
      </c>
      <c r="AC5" s="5">
        <v>15930450</v>
      </c>
      <c r="AD5" s="5">
        <v>6128521.96</v>
      </c>
      <c r="AE5" s="123">
        <f>31216703-AE6</f>
        <v>4894528</v>
      </c>
      <c r="AF5" s="15">
        <v>1374745.9</v>
      </c>
      <c r="AG5" s="15">
        <v>5255359.3499999996</v>
      </c>
      <c r="AH5" s="15">
        <v>2259985.2999999998</v>
      </c>
      <c r="AI5" s="15">
        <v>1871768.75</v>
      </c>
      <c r="AJ5" s="15">
        <v>8801131.75</v>
      </c>
      <c r="AK5" s="15">
        <v>3048258.75</v>
      </c>
      <c r="AL5" s="15">
        <v>2854110.75</v>
      </c>
      <c r="AM5" s="15">
        <v>2745621.75</v>
      </c>
      <c r="AN5" s="15">
        <v>2198232</v>
      </c>
      <c r="AS5" s="15">
        <v>1067632</v>
      </c>
      <c r="AT5" s="15">
        <v>52613</v>
      </c>
      <c r="AU5" s="15">
        <v>477763</v>
      </c>
      <c r="AV5" s="15">
        <v>475930.5</v>
      </c>
      <c r="AW5" s="15">
        <v>1235351.3999999999</v>
      </c>
      <c r="AX5" s="15">
        <v>2923620</v>
      </c>
      <c r="AY5" s="15"/>
      <c r="AZ5" s="15">
        <v>1287257</v>
      </c>
      <c r="BA5" s="15">
        <v>1159857</v>
      </c>
      <c r="BB5" s="15">
        <v>2150360.35</v>
      </c>
      <c r="BC5" s="15">
        <v>1539417</v>
      </c>
      <c r="BD5" s="15">
        <v>16024918.25</v>
      </c>
      <c r="BE5" s="80">
        <f>15938710+26868+2750</f>
        <v>15968328</v>
      </c>
      <c r="BF5" s="184">
        <v>5564428.5</v>
      </c>
      <c r="BG5" s="186">
        <v>7884585.5</v>
      </c>
      <c r="BH5" s="186">
        <v>4412600.2</v>
      </c>
      <c r="BI5" s="186">
        <v>605236.75</v>
      </c>
      <c r="BJ5" s="186">
        <v>13379871.449999999</v>
      </c>
      <c r="BK5" s="186">
        <v>2451144.25</v>
      </c>
      <c r="BL5" s="186">
        <v>652865.05000000005</v>
      </c>
      <c r="BM5" s="186">
        <v>2306735.9500000002</v>
      </c>
      <c r="BN5" s="186">
        <v>3637257.35</v>
      </c>
      <c r="BO5" s="186">
        <v>4042833.75</v>
      </c>
      <c r="BP5" s="186">
        <v>3656920.9</v>
      </c>
      <c r="BQ5" s="192">
        <v>3062432.85</v>
      </c>
      <c r="BR5" s="206">
        <f>2742519+26868</f>
        <v>2769387</v>
      </c>
      <c r="BS5" s="97">
        <v>2610996.9</v>
      </c>
      <c r="BT5" s="97">
        <v>2350759.5</v>
      </c>
      <c r="BU5" s="97">
        <v>11381600</v>
      </c>
      <c r="BV5" s="97">
        <v>1932881.2</v>
      </c>
      <c r="BW5" s="97">
        <v>10354848</v>
      </c>
      <c r="BX5" s="184">
        <v>1331190.5</v>
      </c>
      <c r="BY5" s="210">
        <v>10335365.6</v>
      </c>
      <c r="BZ5" s="102">
        <v>2115160.39</v>
      </c>
      <c r="CA5" s="210">
        <v>3810781.79</v>
      </c>
      <c r="CB5" s="210">
        <v>7907868.79</v>
      </c>
      <c r="CC5" s="210">
        <v>2495612.14</v>
      </c>
      <c r="CD5" s="15">
        <v>1494432.64</v>
      </c>
      <c r="CE5" s="287">
        <v>744133</v>
      </c>
      <c r="CF5" s="50">
        <f t="shared" ref="CF5:CF50" si="8">CE5-CD5</f>
        <v>-750299.6399999999</v>
      </c>
      <c r="CG5" s="287">
        <v>744133</v>
      </c>
      <c r="CH5" s="305">
        <v>1419181</v>
      </c>
      <c r="CI5" s="307">
        <v>3229669.6</v>
      </c>
      <c r="CJ5" s="307">
        <v>2380956.6</v>
      </c>
      <c r="CK5" s="307">
        <v>2176931.6</v>
      </c>
      <c r="CL5" s="97">
        <v>638254.6</v>
      </c>
      <c r="CM5" s="305">
        <v>1548752.64</v>
      </c>
      <c r="CN5" s="356">
        <v>1552888.64</v>
      </c>
    </row>
    <row r="6" spans="1:92" ht="15">
      <c r="A6" s="14" t="s">
        <v>13</v>
      </c>
      <c r="B6" s="29">
        <v>121306269</v>
      </c>
      <c r="C6" s="15">
        <f>81650213-5295623</f>
        <v>76354590</v>
      </c>
      <c r="D6" s="5">
        <f>63855087-5766319</f>
        <v>58088768</v>
      </c>
      <c r="E6" s="5">
        <v>44517127</v>
      </c>
      <c r="F6" s="15">
        <v>22796593.670000002</v>
      </c>
      <c r="G6" s="15">
        <v>43916774.149999999</v>
      </c>
      <c r="H6" s="15">
        <v>25546313.23</v>
      </c>
      <c r="I6" s="167">
        <v>15966007.67</v>
      </c>
      <c r="J6" s="102">
        <v>9971510</v>
      </c>
      <c r="K6" s="102">
        <v>3222102</v>
      </c>
      <c r="L6" s="97">
        <v>0</v>
      </c>
      <c r="M6" s="97">
        <v>0</v>
      </c>
      <c r="N6" s="97">
        <v>0</v>
      </c>
      <c r="O6" s="97">
        <v>0</v>
      </c>
      <c r="P6" s="97">
        <v>0</v>
      </c>
      <c r="Q6" s="97">
        <v>0</v>
      </c>
      <c r="R6" s="82">
        <v>31885175</v>
      </c>
      <c r="S6" s="123">
        <v>17133362</v>
      </c>
      <c r="T6" s="147">
        <v>9722175.0999999996</v>
      </c>
      <c r="U6" s="123">
        <v>9722175.0999999996</v>
      </c>
      <c r="V6" s="123">
        <v>2556306.3199999998</v>
      </c>
      <c r="W6" s="123">
        <v>1792082.52</v>
      </c>
      <c r="X6" s="168">
        <v>-418333.7</v>
      </c>
      <c r="Y6" s="123">
        <v>-2453710.41</v>
      </c>
      <c r="Z6" s="123">
        <v>16273042.15</v>
      </c>
      <c r="AA6" s="123">
        <v>18050236.829999998</v>
      </c>
      <c r="AB6" s="123">
        <v>14658377.039999999</v>
      </c>
      <c r="AC6" s="82">
        <v>17529223.170000002</v>
      </c>
      <c r="AD6" s="82">
        <v>-9634566.3399999999</v>
      </c>
      <c r="AE6" s="123">
        <v>26322175</v>
      </c>
      <c r="AF6" s="15">
        <v>-4462315.8899999997</v>
      </c>
      <c r="AG6" s="15">
        <v>3883904.81</v>
      </c>
      <c r="AH6" s="15">
        <v>6027077.0899999999</v>
      </c>
      <c r="AI6" s="15">
        <v>-17411199.890000001</v>
      </c>
      <c r="AJ6" s="15">
        <v>-17193121.789999999</v>
      </c>
      <c r="AK6" s="15">
        <v>-14219783.390000001</v>
      </c>
      <c r="AL6" s="15">
        <v>10442462.33</v>
      </c>
      <c r="AM6" s="15">
        <v>8882117.9700000007</v>
      </c>
      <c r="AN6" s="15">
        <v>10806089.970000001</v>
      </c>
      <c r="AS6" s="15">
        <v>6100792.79</v>
      </c>
      <c r="AT6" s="15">
        <v>5674541.6399999997</v>
      </c>
      <c r="AU6" s="15">
        <v>24303561.879999999</v>
      </c>
      <c r="AV6" s="15">
        <v>20240496.030000001</v>
      </c>
      <c r="AW6" s="15">
        <v>20104362.93</v>
      </c>
      <c r="AX6" s="15">
        <v>21140554.199999999</v>
      </c>
      <c r="AY6" s="15"/>
      <c r="AZ6" s="15">
        <v>17556875.800000001</v>
      </c>
      <c r="BA6" s="15">
        <v>20597365.949999999</v>
      </c>
      <c r="BB6" s="15">
        <v>25231000.5</v>
      </c>
      <c r="BC6" s="15">
        <v>25062798.739999998</v>
      </c>
      <c r="BD6" s="15">
        <v>20625963.800000001</v>
      </c>
      <c r="BE6" s="80">
        <f>20690085</f>
        <v>20690085</v>
      </c>
      <c r="BF6" s="188">
        <v>14977517.24</v>
      </c>
      <c r="BG6" s="190">
        <v>17739253.940000001</v>
      </c>
      <c r="BH6" s="190">
        <v>17951706.129999999</v>
      </c>
      <c r="BI6" s="190">
        <v>15128451.25</v>
      </c>
      <c r="BJ6" s="190">
        <v>10625184.529999999</v>
      </c>
      <c r="BK6" s="190">
        <v>17696709.870000001</v>
      </c>
      <c r="BL6" s="190">
        <v>10413696.99</v>
      </c>
      <c r="BM6" s="190">
        <v>8975081.8000000007</v>
      </c>
      <c r="BN6" s="190">
        <v>8029532.0800000001</v>
      </c>
      <c r="BO6" s="190">
        <v>8372558.2400000002</v>
      </c>
      <c r="BP6" s="190">
        <v>25652343.59</v>
      </c>
      <c r="BQ6" s="192">
        <v>16322664.140000001</v>
      </c>
      <c r="BR6" s="206">
        <v>24858953</v>
      </c>
      <c r="BS6" s="97">
        <v>15163240.4</v>
      </c>
      <c r="BT6" s="97">
        <v>19944640.949999999</v>
      </c>
      <c r="BU6" s="97">
        <v>11537229.49</v>
      </c>
      <c r="BV6" s="97">
        <v>4477692.1100000003</v>
      </c>
      <c r="BW6" s="97">
        <v>10636232.25</v>
      </c>
      <c r="BX6" s="188">
        <v>11243092.310000001</v>
      </c>
      <c r="BY6" s="210">
        <v>14694832.33</v>
      </c>
      <c r="BZ6" s="102">
        <v>9844316.25</v>
      </c>
      <c r="CA6" s="210">
        <v>13508398.300000001</v>
      </c>
      <c r="CB6" s="210">
        <v>15030807.390000001</v>
      </c>
      <c r="CC6" s="210">
        <v>28946223.93</v>
      </c>
      <c r="CD6" s="15">
        <v>19806124.350000001</v>
      </c>
      <c r="CE6" s="287">
        <v>18154211</v>
      </c>
      <c r="CF6" s="50">
        <f t="shared" si="8"/>
        <v>-1651913.3500000015</v>
      </c>
      <c r="CG6" s="287">
        <v>18154211</v>
      </c>
      <c r="CH6" s="309">
        <v>7368404.8399999999</v>
      </c>
      <c r="CI6" s="311">
        <v>1442064.6</v>
      </c>
      <c r="CJ6" s="311">
        <v>3269858.14</v>
      </c>
      <c r="CK6" s="311">
        <v>5556835.1799999997</v>
      </c>
      <c r="CL6" s="97">
        <v>4604082.32</v>
      </c>
      <c r="CM6" s="309">
        <v>2137211.66</v>
      </c>
      <c r="CN6" s="358">
        <v>2589692.81</v>
      </c>
    </row>
    <row r="7" spans="1:92" s="34" customFormat="1" ht="15">
      <c r="A7" s="13" t="s">
        <v>14</v>
      </c>
      <c r="B7" s="28">
        <v>52413257</v>
      </c>
      <c r="C7" s="33">
        <v>41229631</v>
      </c>
      <c r="D7" s="85">
        <v>17661661</v>
      </c>
      <c r="E7" s="85">
        <v>24583094</v>
      </c>
      <c r="F7" s="15">
        <v>31308205.16</v>
      </c>
      <c r="G7" s="15">
        <v>23008111.84</v>
      </c>
      <c r="H7" s="15">
        <v>25592163.960000001</v>
      </c>
      <c r="I7" s="167">
        <v>25985705.879999999</v>
      </c>
      <c r="J7" s="167">
        <v>27688333</v>
      </c>
      <c r="K7" s="169">
        <v>26515797</v>
      </c>
      <c r="L7" s="117">
        <v>0</v>
      </c>
      <c r="M7" s="117">
        <v>0</v>
      </c>
      <c r="N7" s="117">
        <v>0</v>
      </c>
      <c r="O7" s="117">
        <v>0</v>
      </c>
      <c r="P7" s="117">
        <v>0</v>
      </c>
      <c r="Q7" s="117">
        <v>0</v>
      </c>
      <c r="R7" s="124">
        <v>22121089</v>
      </c>
      <c r="S7" s="123">
        <v>25508717</v>
      </c>
      <c r="T7" s="147">
        <v>19537047</v>
      </c>
      <c r="U7" s="123">
        <v>24008787.940000001</v>
      </c>
      <c r="V7" s="123">
        <v>34137255.020000003</v>
      </c>
      <c r="W7" s="123">
        <v>21858215.960000001</v>
      </c>
      <c r="X7" s="168">
        <v>43289020.799999997</v>
      </c>
      <c r="Y7" s="123">
        <v>0</v>
      </c>
      <c r="Z7" s="123">
        <v>0</v>
      </c>
      <c r="AA7" s="123">
        <v>0</v>
      </c>
      <c r="AB7" s="123">
        <v>0</v>
      </c>
      <c r="AC7" s="141">
        <v>0</v>
      </c>
      <c r="AD7" s="141">
        <v>0</v>
      </c>
      <c r="AE7" s="119">
        <v>26596843</v>
      </c>
      <c r="AF7" s="119"/>
      <c r="AG7" s="119"/>
      <c r="AH7" s="119"/>
      <c r="AI7" s="119"/>
      <c r="AJ7" s="119"/>
      <c r="AK7" s="119"/>
      <c r="AL7" s="119"/>
      <c r="AM7" s="119"/>
      <c r="AN7" s="119"/>
      <c r="BE7" s="159">
        <v>6624843</v>
      </c>
      <c r="BF7" s="183">
        <v>0</v>
      </c>
      <c r="BG7" s="185">
        <v>0</v>
      </c>
      <c r="BH7" s="185">
        <v>0</v>
      </c>
      <c r="BI7" s="185">
        <v>0</v>
      </c>
      <c r="BJ7" s="185">
        <v>0</v>
      </c>
      <c r="BK7" s="185">
        <v>0</v>
      </c>
      <c r="BL7" s="185">
        <v>0</v>
      </c>
      <c r="BM7" s="185">
        <v>0</v>
      </c>
      <c r="BN7" s="185">
        <v>0</v>
      </c>
      <c r="BO7" s="185">
        <v>0</v>
      </c>
      <c r="BP7" s="185">
        <v>0</v>
      </c>
      <c r="BQ7" s="193">
        <v>0</v>
      </c>
      <c r="BR7" s="207">
        <f>1475908+115235871</f>
        <v>116711779</v>
      </c>
      <c r="BS7" s="183">
        <v>0</v>
      </c>
      <c r="BT7" s="186">
        <v>9478169</v>
      </c>
      <c r="BU7" s="186">
        <v>9555209.9499999993</v>
      </c>
      <c r="BV7" s="186">
        <v>9299637.0299999993</v>
      </c>
      <c r="BW7" s="185">
        <v>0</v>
      </c>
      <c r="BX7" s="187">
        <v>0</v>
      </c>
      <c r="BY7" s="210">
        <v>0</v>
      </c>
      <c r="BZ7" s="210">
        <v>0</v>
      </c>
      <c r="CA7" s="210">
        <v>0</v>
      </c>
      <c r="CB7" s="210">
        <v>0</v>
      </c>
      <c r="CC7" s="210">
        <v>0</v>
      </c>
      <c r="CD7" s="15">
        <v>0</v>
      </c>
      <c r="CE7" s="288">
        <v>10075490</v>
      </c>
      <c r="CF7" s="50">
        <f t="shared" si="8"/>
        <v>10075490</v>
      </c>
      <c r="CG7" s="288">
        <v>10075490</v>
      </c>
      <c r="CH7" s="308">
        <v>0</v>
      </c>
      <c r="CI7" s="310">
        <v>0</v>
      </c>
      <c r="CJ7" s="310">
        <v>0</v>
      </c>
      <c r="CK7" s="310">
        <v>0</v>
      </c>
      <c r="CL7" s="34">
        <v>0</v>
      </c>
      <c r="CM7" s="308">
        <v>0</v>
      </c>
      <c r="CN7" s="357">
        <v>0</v>
      </c>
    </row>
    <row r="8" spans="1:92" ht="14.25">
      <c r="A8" s="13" t="s">
        <v>15</v>
      </c>
      <c r="B8" s="68">
        <f t="shared" ref="B8:R8" si="9">SUM(B9:B12)</f>
        <v>23235649</v>
      </c>
      <c r="C8" s="68">
        <f t="shared" si="9"/>
        <v>23582539</v>
      </c>
      <c r="D8" s="84">
        <f t="shared" si="9"/>
        <v>24253235</v>
      </c>
      <c r="E8" s="84">
        <f t="shared" si="9"/>
        <v>23630498</v>
      </c>
      <c r="F8" s="84">
        <f t="shared" si="9"/>
        <v>19804399.100000001</v>
      </c>
      <c r="G8" s="84">
        <f t="shared" si="9"/>
        <v>19804399.100000001</v>
      </c>
      <c r="H8" s="84">
        <f t="shared" si="9"/>
        <v>27179980.630000003</v>
      </c>
      <c r="I8" s="84">
        <f t="shared" si="9"/>
        <v>27179980.630000003</v>
      </c>
      <c r="J8" s="84">
        <f t="shared" si="9"/>
        <v>27179980.630000003</v>
      </c>
      <c r="K8" s="84">
        <f t="shared" si="9"/>
        <v>27179981.100000001</v>
      </c>
      <c r="L8" s="84">
        <f t="shared" si="9"/>
        <v>0</v>
      </c>
      <c r="M8" s="84">
        <f t="shared" si="9"/>
        <v>0</v>
      </c>
      <c r="N8" s="84">
        <f t="shared" si="9"/>
        <v>0</v>
      </c>
      <c r="O8" s="84">
        <f t="shared" si="9"/>
        <v>0</v>
      </c>
      <c r="P8" s="84">
        <f t="shared" si="9"/>
        <v>0</v>
      </c>
      <c r="Q8" s="121">
        <f t="shared" si="9"/>
        <v>0</v>
      </c>
      <c r="R8" s="84">
        <f t="shared" si="9"/>
        <v>18618897</v>
      </c>
      <c r="S8" s="84">
        <f t="shared" ref="S8:X8" si="10">SUM(S9:S12)</f>
        <v>26440724.73</v>
      </c>
      <c r="T8" s="121">
        <f t="shared" si="10"/>
        <v>26440724.73</v>
      </c>
      <c r="U8" s="84">
        <f t="shared" si="10"/>
        <v>26440724.73</v>
      </c>
      <c r="V8" s="84">
        <f t="shared" si="10"/>
        <v>26440724.73</v>
      </c>
      <c r="W8" s="84">
        <f t="shared" si="10"/>
        <v>26496843.23</v>
      </c>
      <c r="X8" s="84">
        <f t="shared" si="10"/>
        <v>18618897.300000001</v>
      </c>
      <c r="Y8" s="84">
        <f t="shared" ref="Y8:AE8" si="11">SUM(Y9:Y12)</f>
        <v>18643100.009999998</v>
      </c>
      <c r="Z8" s="84">
        <f t="shared" si="11"/>
        <v>18618897.300000001</v>
      </c>
      <c r="AA8" s="84">
        <f t="shared" si="11"/>
        <v>18618897.300000001</v>
      </c>
      <c r="AB8" s="84">
        <f t="shared" si="11"/>
        <v>18618897.300000001</v>
      </c>
      <c r="AC8" s="84">
        <f t="shared" si="11"/>
        <v>18618897.300000001</v>
      </c>
      <c r="AD8" s="84">
        <f t="shared" si="11"/>
        <v>18618897.300000001</v>
      </c>
      <c r="AE8" s="84">
        <f t="shared" si="11"/>
        <v>18618897.300000001</v>
      </c>
      <c r="AF8" s="84">
        <f t="shared" ref="AF8:AK8" si="12">SUM(AF9:AF12)</f>
        <v>26403084.899999999</v>
      </c>
      <c r="AG8" s="84">
        <f t="shared" si="12"/>
        <v>26496843.23</v>
      </c>
      <c r="AH8" s="84">
        <f t="shared" si="12"/>
        <v>18618897.300000001</v>
      </c>
      <c r="AI8" s="84">
        <f t="shared" si="12"/>
        <v>18618897.300000001</v>
      </c>
      <c r="AJ8" s="84">
        <f t="shared" si="12"/>
        <v>18618897.300000001</v>
      </c>
      <c r="AK8" s="84">
        <f t="shared" si="12"/>
        <v>18618897.300000001</v>
      </c>
      <c r="AL8" s="84">
        <f>SUM(AL9:AL12)</f>
        <v>18618897.300000001</v>
      </c>
      <c r="AM8" s="84">
        <f>SUM(AM9:AM12)</f>
        <v>18618897.300000001</v>
      </c>
      <c r="AN8" s="84">
        <f>SUM(AN9:AN12)</f>
        <v>18792655.300000001</v>
      </c>
      <c r="AO8" s="84">
        <f t="shared" ref="AO8:BY8" si="13">SUM(AO9:AO12)</f>
        <v>0</v>
      </c>
      <c r="AP8" s="84">
        <f t="shared" si="13"/>
        <v>0</v>
      </c>
      <c r="AQ8" s="84">
        <f t="shared" si="13"/>
        <v>0</v>
      </c>
      <c r="AR8" s="84">
        <f t="shared" si="13"/>
        <v>0</v>
      </c>
      <c r="AS8" s="84">
        <f t="shared" si="13"/>
        <v>18792655.300000001</v>
      </c>
      <c r="AT8" s="84">
        <f t="shared" si="13"/>
        <v>18792655.300000001</v>
      </c>
      <c r="AU8" s="84">
        <f t="shared" si="13"/>
        <v>14306941.300000001</v>
      </c>
      <c r="AV8" s="84">
        <f t="shared" si="13"/>
        <v>14306941.300000001</v>
      </c>
      <c r="AW8" s="84">
        <f t="shared" si="13"/>
        <v>14306941.300000001</v>
      </c>
      <c r="AX8" s="84">
        <f t="shared" si="13"/>
        <v>14306941.300000001</v>
      </c>
      <c r="AY8" s="84">
        <f t="shared" si="13"/>
        <v>0</v>
      </c>
      <c r="AZ8" s="84">
        <f t="shared" si="13"/>
        <v>14306941.300000001</v>
      </c>
      <c r="BA8" s="84">
        <f t="shared" si="13"/>
        <v>14306941.300000001</v>
      </c>
      <c r="BB8" s="84">
        <f t="shared" si="13"/>
        <v>14306941.300000001</v>
      </c>
      <c r="BC8" s="84">
        <f t="shared" si="13"/>
        <v>14306941.300000001</v>
      </c>
      <c r="BD8" s="84">
        <f t="shared" si="13"/>
        <v>14306941.300000001</v>
      </c>
      <c r="BE8" s="84">
        <f t="shared" si="13"/>
        <v>14306941</v>
      </c>
      <c r="BF8" s="84">
        <f t="shared" si="13"/>
        <v>22517511.91</v>
      </c>
      <c r="BG8" s="84">
        <f t="shared" si="13"/>
        <v>22517511.91</v>
      </c>
      <c r="BH8" s="84">
        <f t="shared" si="13"/>
        <v>22517511.91</v>
      </c>
      <c r="BI8" s="84">
        <f t="shared" si="13"/>
        <v>22517511.91</v>
      </c>
      <c r="BJ8" s="84">
        <f t="shared" si="13"/>
        <v>22517511.91</v>
      </c>
      <c r="BK8" s="84">
        <f t="shared" si="13"/>
        <v>22553300.239999998</v>
      </c>
      <c r="BL8" s="84">
        <f t="shared" si="13"/>
        <v>22553300.239999998</v>
      </c>
      <c r="BM8" s="84">
        <f t="shared" si="13"/>
        <v>22553300.239999998</v>
      </c>
      <c r="BN8" s="84">
        <f t="shared" si="13"/>
        <v>22553300.239999998</v>
      </c>
      <c r="BO8" s="84">
        <f t="shared" si="13"/>
        <v>22553300.239999998</v>
      </c>
      <c r="BP8" s="84">
        <f t="shared" si="13"/>
        <v>22553300.239999998</v>
      </c>
      <c r="BQ8" s="191">
        <f t="shared" si="13"/>
        <v>22553300.239999998</v>
      </c>
      <c r="BR8" s="84">
        <f t="shared" si="13"/>
        <v>14306941</v>
      </c>
      <c r="BS8" s="84">
        <f t="shared" si="13"/>
        <v>22553300.239999998</v>
      </c>
      <c r="BT8" s="84">
        <f t="shared" si="13"/>
        <v>22553300.239999998</v>
      </c>
      <c r="BU8" s="84">
        <f t="shared" si="13"/>
        <v>22553300.239999998</v>
      </c>
      <c r="BV8" s="84">
        <f t="shared" si="13"/>
        <v>22553300.239999998</v>
      </c>
      <c r="BW8" s="84">
        <f t="shared" si="13"/>
        <v>14356941.300000001</v>
      </c>
      <c r="BX8" s="84">
        <f t="shared" si="13"/>
        <v>14356941.300000001</v>
      </c>
      <c r="BY8" s="84">
        <f t="shared" si="13"/>
        <v>14356941.300000001</v>
      </c>
      <c r="BZ8" s="84">
        <f t="shared" ref="BZ8:CE8" si="14">SUM(BZ9:BZ12)</f>
        <v>14356941.300000001</v>
      </c>
      <c r="CA8" s="84">
        <f t="shared" si="14"/>
        <v>14356941.300000001</v>
      </c>
      <c r="CB8" s="84">
        <f t="shared" si="14"/>
        <v>14356941.300000001</v>
      </c>
      <c r="CC8" s="84">
        <f t="shared" si="14"/>
        <v>14456941.300000001</v>
      </c>
      <c r="CD8" s="84">
        <f t="shared" si="14"/>
        <v>14356941.300000001</v>
      </c>
      <c r="CE8" s="84">
        <f t="shared" si="14"/>
        <v>14356941</v>
      </c>
      <c r="CF8" s="50">
        <f t="shared" si="8"/>
        <v>-0.30000000074505806</v>
      </c>
      <c r="CG8" s="84">
        <f t="shared" ref="CG8:CN8" si="15">SUM(CG9:CG12)</f>
        <v>14356941</v>
      </c>
      <c r="CH8" s="84">
        <f t="shared" si="15"/>
        <v>22744633.84</v>
      </c>
      <c r="CI8" s="84">
        <f t="shared" si="15"/>
        <v>22744633.84</v>
      </c>
      <c r="CJ8" s="84">
        <f t="shared" si="15"/>
        <v>22744633.84</v>
      </c>
      <c r="CK8" s="84">
        <f t="shared" si="15"/>
        <v>22744633.84</v>
      </c>
      <c r="CL8" s="84">
        <f t="shared" si="15"/>
        <v>22744633.84</v>
      </c>
      <c r="CM8" s="84">
        <f t="shared" si="15"/>
        <v>22764633.84</v>
      </c>
      <c r="CN8" s="84">
        <f t="shared" si="15"/>
        <v>22764633.84</v>
      </c>
    </row>
    <row r="9" spans="1:92" ht="15" customHeight="1">
      <c r="A9" s="14" t="s">
        <v>16</v>
      </c>
      <c r="B9" s="29"/>
      <c r="C9" s="15">
        <v>0</v>
      </c>
      <c r="D9" s="5"/>
      <c r="E9" s="5"/>
      <c r="F9" s="15">
        <v>0</v>
      </c>
      <c r="G9" s="15">
        <v>0</v>
      </c>
      <c r="H9" s="15">
        <v>0</v>
      </c>
      <c r="I9" s="167">
        <v>0</v>
      </c>
      <c r="J9" s="102">
        <v>0</v>
      </c>
      <c r="K9" s="102">
        <v>0</v>
      </c>
      <c r="L9" s="97">
        <v>0</v>
      </c>
      <c r="M9" s="97">
        <v>0</v>
      </c>
      <c r="N9" s="97">
        <v>0</v>
      </c>
      <c r="O9" s="97">
        <v>0</v>
      </c>
      <c r="P9" s="97">
        <v>0</v>
      </c>
      <c r="Q9" s="97">
        <v>0</v>
      </c>
      <c r="R9" s="2"/>
      <c r="S9" s="2"/>
      <c r="T9" s="146"/>
      <c r="U9" s="2"/>
      <c r="V9" s="2"/>
      <c r="W9" s="2"/>
      <c r="X9" s="170">
        <v>0</v>
      </c>
      <c r="Y9" s="123">
        <v>0</v>
      </c>
      <c r="Z9" s="123">
        <v>0</v>
      </c>
      <c r="AA9" s="123">
        <v>0</v>
      </c>
      <c r="AB9" s="123">
        <v>0</v>
      </c>
      <c r="AC9" s="123">
        <v>0</v>
      </c>
      <c r="AD9" s="2">
        <v>0</v>
      </c>
      <c r="AE9" s="2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/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F9" s="183">
        <v>0</v>
      </c>
      <c r="BG9" s="185">
        <v>0</v>
      </c>
      <c r="BH9" s="185">
        <v>0</v>
      </c>
      <c r="BI9" s="185">
        <v>0</v>
      </c>
      <c r="BJ9" s="185">
        <v>0</v>
      </c>
      <c r="BK9" s="185">
        <v>0</v>
      </c>
      <c r="BL9" s="185">
        <v>0</v>
      </c>
      <c r="BM9" s="185">
        <v>0</v>
      </c>
      <c r="BN9" s="185">
        <v>0</v>
      </c>
      <c r="BO9" s="185">
        <v>0</v>
      </c>
      <c r="BP9" s="185">
        <v>0</v>
      </c>
      <c r="BQ9" s="193">
        <v>0</v>
      </c>
      <c r="BS9" s="183">
        <v>0</v>
      </c>
      <c r="BT9" s="185">
        <v>0</v>
      </c>
      <c r="BU9" s="185">
        <v>0</v>
      </c>
      <c r="BV9" s="185">
        <v>0</v>
      </c>
      <c r="BW9" s="185">
        <v>0</v>
      </c>
      <c r="BX9" s="183">
        <v>0</v>
      </c>
      <c r="BY9" s="210">
        <v>0</v>
      </c>
      <c r="BZ9" s="102">
        <v>0</v>
      </c>
      <c r="CA9" s="210">
        <v>0</v>
      </c>
      <c r="CB9" s="210">
        <v>0</v>
      </c>
      <c r="CC9" s="210">
        <v>0</v>
      </c>
      <c r="CD9" s="15">
        <v>0</v>
      </c>
      <c r="CF9" s="50">
        <f t="shared" si="8"/>
        <v>0</v>
      </c>
      <c r="CH9" s="304">
        <v>0</v>
      </c>
      <c r="CI9" s="306">
        <v>0</v>
      </c>
      <c r="CJ9" s="306">
        <v>0</v>
      </c>
      <c r="CK9" s="306">
        <v>0</v>
      </c>
      <c r="CL9">
        <v>0</v>
      </c>
      <c r="CM9" s="304">
        <v>0</v>
      </c>
      <c r="CN9" s="355">
        <v>0</v>
      </c>
    </row>
    <row r="10" spans="1:92" ht="14.25">
      <c r="A10" s="14" t="s">
        <v>17</v>
      </c>
      <c r="B10" s="29"/>
      <c r="C10" s="15">
        <v>0</v>
      </c>
      <c r="D10" s="5"/>
      <c r="E10" s="5"/>
      <c r="F10" s="15">
        <v>1317483.1000000001</v>
      </c>
      <c r="G10" s="15">
        <v>1317483.1000000001</v>
      </c>
      <c r="H10" s="15">
        <v>1317483.1000000001</v>
      </c>
      <c r="I10" s="167">
        <v>1317483.1000000001</v>
      </c>
      <c r="J10" s="102">
        <v>1317483.1000000001</v>
      </c>
      <c r="K10" s="102">
        <v>1317483.1000000001</v>
      </c>
      <c r="L10" s="97">
        <v>0</v>
      </c>
      <c r="M10" s="97">
        <v>0</v>
      </c>
      <c r="N10" s="97">
        <v>0</v>
      </c>
      <c r="O10" s="97">
        <v>0</v>
      </c>
      <c r="P10" s="97">
        <v>0</v>
      </c>
      <c r="Q10" s="97">
        <v>0</v>
      </c>
      <c r="R10" s="2"/>
      <c r="S10" s="2"/>
      <c r="T10" s="146"/>
      <c r="U10" s="2"/>
      <c r="V10" s="2"/>
      <c r="W10" s="2"/>
      <c r="X10" s="170">
        <v>0</v>
      </c>
      <c r="Y10" s="123">
        <v>24202.71</v>
      </c>
      <c r="Z10" s="123">
        <v>0</v>
      </c>
      <c r="AA10" s="123">
        <v>0</v>
      </c>
      <c r="AB10" s="123">
        <v>0</v>
      </c>
      <c r="AC10" s="123">
        <v>0</v>
      </c>
      <c r="AD10" s="2">
        <v>0</v>
      </c>
      <c r="AE10" s="2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/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F10" s="187">
        <v>0</v>
      </c>
      <c r="BG10" s="189">
        <v>0</v>
      </c>
      <c r="BH10" s="189">
        <v>0</v>
      </c>
      <c r="BI10" s="189">
        <v>0</v>
      </c>
      <c r="BJ10" s="189">
        <v>0</v>
      </c>
      <c r="BK10" s="189">
        <v>0</v>
      </c>
      <c r="BL10" s="189">
        <v>0</v>
      </c>
      <c r="BM10" s="189">
        <v>0</v>
      </c>
      <c r="BN10" s="189">
        <v>0</v>
      </c>
      <c r="BO10" s="189">
        <v>0</v>
      </c>
      <c r="BP10" s="189">
        <v>0</v>
      </c>
      <c r="BQ10" s="193">
        <v>0</v>
      </c>
      <c r="BS10" s="187">
        <v>0</v>
      </c>
      <c r="BT10" s="189">
        <v>0</v>
      </c>
      <c r="BU10" s="189">
        <v>0</v>
      </c>
      <c r="BV10" s="189">
        <v>0</v>
      </c>
      <c r="BW10" s="189">
        <v>0</v>
      </c>
      <c r="BX10" s="187">
        <v>0</v>
      </c>
      <c r="BY10" s="210">
        <v>0</v>
      </c>
      <c r="BZ10" s="102">
        <v>0</v>
      </c>
      <c r="CA10" s="210">
        <v>0</v>
      </c>
      <c r="CB10" s="210">
        <v>0</v>
      </c>
      <c r="CC10" s="210">
        <v>0</v>
      </c>
      <c r="CD10" s="15">
        <v>0</v>
      </c>
      <c r="CF10" s="50">
        <f t="shared" si="8"/>
        <v>0</v>
      </c>
      <c r="CH10" s="308">
        <v>0</v>
      </c>
      <c r="CI10" s="310">
        <v>0</v>
      </c>
      <c r="CJ10" s="310">
        <v>0</v>
      </c>
      <c r="CK10" s="310">
        <v>0</v>
      </c>
      <c r="CL10">
        <v>0</v>
      </c>
      <c r="CM10" s="308">
        <v>0</v>
      </c>
      <c r="CN10" s="357">
        <v>0</v>
      </c>
    </row>
    <row r="11" spans="1:92" ht="14.25">
      <c r="A11" s="14" t="s">
        <v>18</v>
      </c>
      <c r="B11" s="29">
        <v>5148733</v>
      </c>
      <c r="C11" s="15">
        <v>5295623</v>
      </c>
      <c r="D11" s="5">
        <v>5766319</v>
      </c>
      <c r="E11" s="5">
        <v>5143582</v>
      </c>
      <c r="F11" s="15">
        <v>0</v>
      </c>
      <c r="G11" s="15">
        <v>0</v>
      </c>
      <c r="H11" s="15">
        <v>7375581.5300000003</v>
      </c>
      <c r="I11" s="167">
        <v>7375581.5300000003</v>
      </c>
      <c r="J11" s="102">
        <v>7375581.5300000003</v>
      </c>
      <c r="K11" s="102">
        <v>7375582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5">
        <f>14155750+3611173</f>
        <v>17766923</v>
      </c>
      <c r="S11" s="123">
        <v>7821827.4299999997</v>
      </c>
      <c r="T11" s="147">
        <v>7821827.4299999997</v>
      </c>
      <c r="U11" s="123">
        <v>7821827.4299999997</v>
      </c>
      <c r="V11" s="123">
        <v>7821827.4299999997</v>
      </c>
      <c r="W11" s="123">
        <v>7877945.9299999997</v>
      </c>
      <c r="X11" s="170">
        <v>3611173.3</v>
      </c>
      <c r="Y11" s="123">
        <v>3611173.3</v>
      </c>
      <c r="Z11" s="123">
        <v>0</v>
      </c>
      <c r="AA11" s="123">
        <v>0</v>
      </c>
      <c r="AB11" s="123">
        <v>0</v>
      </c>
      <c r="AC11" s="123">
        <v>0</v>
      </c>
      <c r="AD11" s="5">
        <v>0</v>
      </c>
      <c r="AE11" s="5">
        <v>0</v>
      </c>
      <c r="AF11" s="15">
        <v>7758945.9299999997</v>
      </c>
      <c r="AG11" s="15">
        <v>7877945.9299999997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/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F11" s="187">
        <v>0</v>
      </c>
      <c r="BG11" s="189">
        <v>0</v>
      </c>
      <c r="BH11" s="189">
        <v>0</v>
      </c>
      <c r="BI11" s="189">
        <v>0</v>
      </c>
      <c r="BJ11" s="189">
        <v>0</v>
      </c>
      <c r="BK11" s="189">
        <v>0</v>
      </c>
      <c r="BL11" s="189">
        <v>0</v>
      </c>
      <c r="BM11" s="189">
        <v>0</v>
      </c>
      <c r="BN11" s="189">
        <v>0</v>
      </c>
      <c r="BO11" s="189">
        <v>0</v>
      </c>
      <c r="BP11" s="189">
        <v>0</v>
      </c>
      <c r="BQ11" s="193">
        <v>0</v>
      </c>
      <c r="BS11" s="187">
        <v>0</v>
      </c>
      <c r="BT11" s="189">
        <v>0</v>
      </c>
      <c r="BU11" s="189">
        <v>0</v>
      </c>
      <c r="BV11" s="189">
        <v>0</v>
      </c>
      <c r="BW11" s="189">
        <v>0</v>
      </c>
      <c r="BX11" s="187">
        <v>0</v>
      </c>
      <c r="BY11" s="210">
        <v>0</v>
      </c>
      <c r="BZ11" s="102">
        <v>0</v>
      </c>
      <c r="CA11" s="210">
        <v>0</v>
      </c>
      <c r="CB11" s="210">
        <v>0</v>
      </c>
      <c r="CC11" s="210">
        <v>0</v>
      </c>
      <c r="CD11" s="15">
        <v>0</v>
      </c>
      <c r="CE11" s="286">
        <v>14356941</v>
      </c>
      <c r="CF11" s="50">
        <f t="shared" si="8"/>
        <v>14356941</v>
      </c>
      <c r="CG11" s="286">
        <v>14356941</v>
      </c>
      <c r="CH11" s="308">
        <v>0</v>
      </c>
      <c r="CI11" s="310">
        <v>0</v>
      </c>
      <c r="CJ11" s="310">
        <v>0</v>
      </c>
      <c r="CK11" s="310">
        <v>0</v>
      </c>
      <c r="CL11">
        <v>0</v>
      </c>
      <c r="CM11" s="308">
        <v>0</v>
      </c>
      <c r="CN11" s="357">
        <v>0</v>
      </c>
    </row>
    <row r="12" spans="1:92" ht="14.25">
      <c r="A12" s="14" t="s">
        <v>19</v>
      </c>
      <c r="B12" s="15">
        <v>18086916</v>
      </c>
      <c r="C12" s="15">
        <f>18236916+50000</f>
        <v>18286916</v>
      </c>
      <c r="D12" s="5">
        <v>18486916</v>
      </c>
      <c r="E12" s="5">
        <v>18486916</v>
      </c>
      <c r="F12" s="15">
        <v>18486916</v>
      </c>
      <c r="G12" s="15">
        <v>18486916</v>
      </c>
      <c r="H12" s="15">
        <v>18486916</v>
      </c>
      <c r="I12" s="167">
        <v>18486916</v>
      </c>
      <c r="J12" s="102">
        <v>18486916</v>
      </c>
      <c r="K12" s="102">
        <v>18486916</v>
      </c>
      <c r="L12" s="97">
        <v>0</v>
      </c>
      <c r="M12" s="97">
        <v>0</v>
      </c>
      <c r="N12" s="97">
        <v>0</v>
      </c>
      <c r="O12" s="97">
        <v>0</v>
      </c>
      <c r="P12" s="97">
        <v>0</v>
      </c>
      <c r="Q12" s="97">
        <v>0</v>
      </c>
      <c r="R12" s="5">
        <f>312100+37000+10000+492874</f>
        <v>851974</v>
      </c>
      <c r="S12" s="123">
        <v>18618897.300000001</v>
      </c>
      <c r="T12" s="147">
        <v>18618897.300000001</v>
      </c>
      <c r="U12" s="123">
        <v>18618897.300000001</v>
      </c>
      <c r="V12" s="123">
        <v>18618897.300000001</v>
      </c>
      <c r="W12" s="123">
        <v>18618897.300000001</v>
      </c>
      <c r="X12" s="170">
        <v>15007724</v>
      </c>
      <c r="Y12" s="123">
        <v>15007724</v>
      </c>
      <c r="Z12" s="123">
        <v>18618897.300000001</v>
      </c>
      <c r="AA12" s="123">
        <v>18618897.300000001</v>
      </c>
      <c r="AB12" s="123">
        <v>18618897.300000001</v>
      </c>
      <c r="AC12" s="123">
        <v>18618897.300000001</v>
      </c>
      <c r="AD12" s="5">
        <v>18618897.300000001</v>
      </c>
      <c r="AE12" s="5">
        <v>18618897.300000001</v>
      </c>
      <c r="AF12" s="15">
        <v>18644138.969999999</v>
      </c>
      <c r="AG12" s="15">
        <v>18618897.300000001</v>
      </c>
      <c r="AH12" s="15">
        <v>18618897.300000001</v>
      </c>
      <c r="AI12" s="15">
        <v>18618897.300000001</v>
      </c>
      <c r="AJ12" s="15">
        <v>18618897.300000001</v>
      </c>
      <c r="AK12" s="15">
        <v>18618897.300000001</v>
      </c>
      <c r="AL12" s="15">
        <v>18618897.300000001</v>
      </c>
      <c r="AM12" s="15">
        <v>18618897.300000001</v>
      </c>
      <c r="AN12" s="15">
        <v>18792655.300000001</v>
      </c>
      <c r="AS12" s="15">
        <v>18792655.300000001</v>
      </c>
      <c r="AT12" s="15">
        <v>18792655.300000001</v>
      </c>
      <c r="AU12" s="15">
        <v>14306941.300000001</v>
      </c>
      <c r="AV12" s="15">
        <v>14306941.300000001</v>
      </c>
      <c r="AW12" s="15">
        <v>14306941.300000001</v>
      </c>
      <c r="AX12" s="15">
        <v>14306941.300000001</v>
      </c>
      <c r="AY12" s="15"/>
      <c r="AZ12" s="15">
        <v>14306941.300000001</v>
      </c>
      <c r="BA12" s="15">
        <v>14306941.300000001</v>
      </c>
      <c r="BB12" s="15">
        <v>14306941.300000001</v>
      </c>
      <c r="BC12" s="15">
        <v>14306941.300000001</v>
      </c>
      <c r="BD12" s="15">
        <v>14306941.300000001</v>
      </c>
      <c r="BE12" s="161">
        <v>14306941</v>
      </c>
      <c r="BF12" s="188">
        <v>22517511.91</v>
      </c>
      <c r="BG12" s="190">
        <v>22517511.91</v>
      </c>
      <c r="BH12" s="190">
        <v>22517511.91</v>
      </c>
      <c r="BI12" s="190">
        <v>22517511.91</v>
      </c>
      <c r="BJ12" s="190">
        <v>22517511.91</v>
      </c>
      <c r="BK12" s="190">
        <v>22553300.239999998</v>
      </c>
      <c r="BL12" s="190">
        <v>22553300.239999998</v>
      </c>
      <c r="BM12" s="190">
        <v>22553300.239999998</v>
      </c>
      <c r="BN12" s="190">
        <v>22553300.239999998</v>
      </c>
      <c r="BO12" s="190">
        <v>22553300.239999998</v>
      </c>
      <c r="BP12" s="190">
        <v>22553300.239999998</v>
      </c>
      <c r="BQ12" s="192">
        <v>22553300.239999998</v>
      </c>
      <c r="BR12" s="50">
        <v>14306941</v>
      </c>
      <c r="BS12" s="188">
        <v>22553300.239999998</v>
      </c>
      <c r="BT12" s="190">
        <v>22553300.239999998</v>
      </c>
      <c r="BU12" s="190">
        <v>22553300.239999998</v>
      </c>
      <c r="BV12" s="190">
        <v>22553300.239999998</v>
      </c>
      <c r="BW12" s="190">
        <v>14356941.300000001</v>
      </c>
      <c r="BX12" s="188">
        <v>14356941.300000001</v>
      </c>
      <c r="BY12" s="210">
        <v>14356941.300000001</v>
      </c>
      <c r="BZ12" s="102">
        <v>14356941.300000001</v>
      </c>
      <c r="CA12" s="210">
        <v>14356941.300000001</v>
      </c>
      <c r="CB12" s="210">
        <v>14356941.300000001</v>
      </c>
      <c r="CC12" s="210">
        <v>14456941.300000001</v>
      </c>
      <c r="CD12" s="15">
        <v>14356941.300000001</v>
      </c>
      <c r="CF12" s="50">
        <f t="shared" si="8"/>
        <v>-14356941.300000001</v>
      </c>
      <c r="CH12" s="309">
        <v>22744633.84</v>
      </c>
      <c r="CI12" s="311">
        <v>22744633.84</v>
      </c>
      <c r="CJ12" s="311">
        <v>22744633.84</v>
      </c>
      <c r="CK12" s="311">
        <v>22744633.84</v>
      </c>
      <c r="CL12" s="97">
        <v>22744633.84</v>
      </c>
      <c r="CM12" s="309">
        <v>22764633.84</v>
      </c>
      <c r="CN12" s="358">
        <v>22764633.84</v>
      </c>
    </row>
    <row r="13" spans="1:92" ht="14.25">
      <c r="A13" s="13" t="s">
        <v>20</v>
      </c>
      <c r="B13" s="68">
        <f t="shared" ref="B13:R13" si="16">B14-B15</f>
        <v>100772491</v>
      </c>
      <c r="C13" s="68">
        <f t="shared" si="16"/>
        <v>108738343</v>
      </c>
      <c r="D13" s="84">
        <f t="shared" si="16"/>
        <v>153940147</v>
      </c>
      <c r="E13" s="84">
        <f t="shared" si="16"/>
        <v>163589556</v>
      </c>
      <c r="F13" s="84">
        <f t="shared" si="16"/>
        <v>171339329.09999999</v>
      </c>
      <c r="G13" s="84">
        <f t="shared" si="16"/>
        <v>172703487.78</v>
      </c>
      <c r="H13" s="84">
        <f t="shared" si="16"/>
        <v>174514620.84999999</v>
      </c>
      <c r="I13" s="84">
        <f t="shared" si="16"/>
        <v>166954648.63</v>
      </c>
      <c r="J13" s="84">
        <f t="shared" si="16"/>
        <v>167797376</v>
      </c>
      <c r="K13" s="84">
        <f t="shared" si="16"/>
        <v>168256362.16</v>
      </c>
      <c r="L13" s="84">
        <f t="shared" si="16"/>
        <v>0</v>
      </c>
      <c r="M13" s="84">
        <f t="shared" si="16"/>
        <v>0</v>
      </c>
      <c r="N13" s="84">
        <f t="shared" si="16"/>
        <v>0</v>
      </c>
      <c r="O13" s="84">
        <f t="shared" si="16"/>
        <v>0</v>
      </c>
      <c r="P13" s="84">
        <f t="shared" si="16"/>
        <v>0</v>
      </c>
      <c r="Q13" s="121">
        <f t="shared" si="16"/>
        <v>0</v>
      </c>
      <c r="R13" s="84">
        <f t="shared" si="16"/>
        <v>123651759.40000001</v>
      </c>
      <c r="S13" s="84">
        <f t="shared" ref="S13:X13" si="17">S14-S15</f>
        <v>146277368.74000001</v>
      </c>
      <c r="T13" s="121">
        <f t="shared" si="17"/>
        <v>151239248.94999999</v>
      </c>
      <c r="U13" s="84">
        <f t="shared" si="17"/>
        <v>147038084.31999999</v>
      </c>
      <c r="V13" s="84">
        <f t="shared" si="17"/>
        <v>121497429.06999999</v>
      </c>
      <c r="W13" s="84">
        <f t="shared" si="17"/>
        <v>117807783.65000001</v>
      </c>
      <c r="X13" s="84">
        <f t="shared" si="17"/>
        <v>152943513.28999999</v>
      </c>
      <c r="Y13" s="84">
        <f t="shared" ref="Y13:AE13" si="18">Y14-Y15</f>
        <v>152959297.03999999</v>
      </c>
      <c r="Z13" s="84">
        <f t="shared" si="18"/>
        <v>145057884.34</v>
      </c>
      <c r="AA13" s="84">
        <f t="shared" si="18"/>
        <v>138563586.37</v>
      </c>
      <c r="AB13" s="84">
        <f t="shared" si="18"/>
        <v>128142419.63999999</v>
      </c>
      <c r="AC13" s="84">
        <f t="shared" si="18"/>
        <v>118726639.15000001</v>
      </c>
      <c r="AD13" s="84">
        <f t="shared" si="18"/>
        <v>109759684.48999999</v>
      </c>
      <c r="AE13" s="84">
        <f t="shared" si="18"/>
        <v>117295757</v>
      </c>
      <c r="AF13" s="84">
        <f t="shared" ref="AF13:AK13" si="19">AF14-AF15</f>
        <v>121042451.13</v>
      </c>
      <c r="AG13" s="84">
        <f t="shared" si="19"/>
        <v>126836397.06999999</v>
      </c>
      <c r="AH13" s="84">
        <f t="shared" si="19"/>
        <v>118511398.28</v>
      </c>
      <c r="AI13" s="84">
        <f t="shared" si="19"/>
        <v>113523611.13</v>
      </c>
      <c r="AJ13" s="84">
        <f t="shared" si="19"/>
        <v>112925247.45</v>
      </c>
      <c r="AK13" s="84">
        <f t="shared" si="19"/>
        <v>113960045.38</v>
      </c>
      <c r="AL13" s="84">
        <f>AL14-AL15</f>
        <v>113464281.67</v>
      </c>
      <c r="AM13" s="84">
        <f>AM14-AM15</f>
        <v>115550237.75</v>
      </c>
      <c r="AN13" s="84">
        <f>AN14-AN15</f>
        <v>114324663.01000001</v>
      </c>
      <c r="AO13" s="84">
        <f t="shared" ref="AO13:BY13" si="20">AO14-AO15</f>
        <v>0</v>
      </c>
      <c r="AP13" s="84">
        <f t="shared" si="20"/>
        <v>0</v>
      </c>
      <c r="AQ13" s="84">
        <f t="shared" si="20"/>
        <v>0</v>
      </c>
      <c r="AR13" s="84">
        <f t="shared" si="20"/>
        <v>0</v>
      </c>
      <c r="AS13" s="84">
        <f t="shared" si="20"/>
        <v>9055156.3799999952</v>
      </c>
      <c r="AT13" s="84">
        <f t="shared" si="20"/>
        <v>9219483.9399999995</v>
      </c>
      <c r="AU13" s="84">
        <f t="shared" si="20"/>
        <v>12456868.93</v>
      </c>
      <c r="AV13" s="84">
        <f t="shared" si="20"/>
        <v>12313807.369999999</v>
      </c>
      <c r="AW13" s="84">
        <f t="shared" si="20"/>
        <v>11563179.52</v>
      </c>
      <c r="AX13" s="84">
        <f t="shared" si="20"/>
        <v>12232786.630000001</v>
      </c>
      <c r="AY13" s="84">
        <f t="shared" si="20"/>
        <v>0</v>
      </c>
      <c r="AZ13" s="84">
        <f t="shared" si="20"/>
        <v>13506010.640000001</v>
      </c>
      <c r="BA13" s="84">
        <f t="shared" si="20"/>
        <v>13935807.199999999</v>
      </c>
      <c r="BB13" s="84">
        <f t="shared" si="20"/>
        <v>14619941</v>
      </c>
      <c r="BC13" s="84">
        <f t="shared" si="20"/>
        <v>14640646.109999999</v>
      </c>
      <c r="BD13" s="84">
        <f t="shared" si="20"/>
        <v>11388143.379999995</v>
      </c>
      <c r="BE13" s="84">
        <f t="shared" si="20"/>
        <v>611484</v>
      </c>
      <c r="BF13" s="84">
        <f t="shared" si="20"/>
        <v>8401214.6700000018</v>
      </c>
      <c r="BG13" s="84">
        <f t="shared" si="20"/>
        <v>-535098.17000000179</v>
      </c>
      <c r="BH13" s="84">
        <f t="shared" si="20"/>
        <v>995349.07999999821</v>
      </c>
      <c r="BI13" s="84">
        <f t="shared" si="20"/>
        <v>2965034.7800000012</v>
      </c>
      <c r="BJ13" s="84">
        <f t="shared" si="20"/>
        <v>2435438.25</v>
      </c>
      <c r="BK13" s="84">
        <f t="shared" si="20"/>
        <v>11530137.680000007</v>
      </c>
      <c r="BL13" s="84">
        <f t="shared" si="20"/>
        <v>3785651.4399999976</v>
      </c>
      <c r="BM13" s="84">
        <f t="shared" si="20"/>
        <v>1142505.1700000018</v>
      </c>
      <c r="BN13" s="84">
        <f t="shared" si="20"/>
        <v>1220666.2399999946</v>
      </c>
      <c r="BO13" s="84">
        <f t="shared" si="20"/>
        <v>-16983062.160000011</v>
      </c>
      <c r="BP13" s="84">
        <f t="shared" si="20"/>
        <v>-16521144.900000006</v>
      </c>
      <c r="BQ13" s="191">
        <f t="shared" si="20"/>
        <v>-715571.53000000119</v>
      </c>
      <c r="BR13" s="84">
        <f t="shared" si="20"/>
        <v>28896087</v>
      </c>
      <c r="BS13" s="84">
        <f t="shared" si="20"/>
        <v>-320578.96999999881</v>
      </c>
      <c r="BT13" s="84">
        <f t="shared" si="20"/>
        <v>-618612.18999999762</v>
      </c>
      <c r="BU13" s="84">
        <f t="shared" si="20"/>
        <v>4806771.5699999928</v>
      </c>
      <c r="BV13" s="84">
        <f t="shared" si="20"/>
        <v>13133517.399999991</v>
      </c>
      <c r="BW13" s="84">
        <f t="shared" si="20"/>
        <v>37099471.879999995</v>
      </c>
      <c r="BX13" s="84">
        <f t="shared" si="20"/>
        <v>32731734.069999993</v>
      </c>
      <c r="BY13" s="84">
        <f t="shared" si="20"/>
        <v>29813020.609999999</v>
      </c>
      <c r="BZ13" s="84">
        <f t="shared" ref="BZ13:CE13" si="21">BZ14-BZ15</f>
        <v>32295615.450000003</v>
      </c>
      <c r="CA13" s="84">
        <f t="shared" si="21"/>
        <v>33664870.539999992</v>
      </c>
      <c r="CB13" s="84">
        <f t="shared" si="21"/>
        <v>30977572.989999995</v>
      </c>
      <c r="CC13" s="84">
        <f t="shared" si="21"/>
        <v>34016022.909999996</v>
      </c>
      <c r="CD13" s="84">
        <f t="shared" si="21"/>
        <v>43026947.019999996</v>
      </c>
      <c r="CE13" s="84">
        <f t="shared" si="21"/>
        <v>43501127</v>
      </c>
      <c r="CF13" s="50">
        <f t="shared" si="8"/>
        <v>474179.98000000417</v>
      </c>
      <c r="CG13" s="84">
        <f t="shared" ref="CG13:CN13" si="22">CG14-CG15</f>
        <v>43501127</v>
      </c>
      <c r="CH13" s="84">
        <f t="shared" si="22"/>
        <v>111627945.61</v>
      </c>
      <c r="CI13" s="84">
        <f t="shared" si="22"/>
        <v>48440087.019999996</v>
      </c>
      <c r="CJ13" s="84">
        <f t="shared" si="22"/>
        <v>50457084.630000003</v>
      </c>
      <c r="CK13" s="84">
        <f t="shared" si="22"/>
        <v>48821138.090000004</v>
      </c>
      <c r="CL13" s="84">
        <f t="shared" si="22"/>
        <v>47955121.359999999</v>
      </c>
      <c r="CM13" s="84">
        <f t="shared" si="22"/>
        <v>42380985.759999998</v>
      </c>
      <c r="CN13" s="84">
        <f t="shared" si="22"/>
        <v>55631257.170000002</v>
      </c>
    </row>
    <row r="14" spans="1:92" ht="14.25">
      <c r="A14" s="14" t="s">
        <v>21</v>
      </c>
      <c r="B14" s="29">
        <v>103051094</v>
      </c>
      <c r="C14" s="15">
        <f>103051094+225628493-216786901</f>
        <v>111892686</v>
      </c>
      <c r="D14" s="5">
        <f>153940147+3422873</f>
        <v>157363020</v>
      </c>
      <c r="E14" s="5">
        <v>167629119</v>
      </c>
      <c r="F14" s="15">
        <v>179587635.09999999</v>
      </c>
      <c r="G14" s="15">
        <v>176682798.08000001</v>
      </c>
      <c r="H14" s="15">
        <v>178350083.22</v>
      </c>
      <c r="I14" s="167">
        <v>170790111</v>
      </c>
      <c r="J14" s="102">
        <v>171339210</v>
      </c>
      <c r="K14" s="102">
        <v>171863501.62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82">
        <v>131998608.40000001</v>
      </c>
      <c r="S14" s="123">
        <v>155427632.74000001</v>
      </c>
      <c r="T14" s="147">
        <v>160998550.94999999</v>
      </c>
      <c r="U14" s="123">
        <v>160998550.94999999</v>
      </c>
      <c r="V14" s="123">
        <v>140299337.47</v>
      </c>
      <c r="W14" s="123">
        <v>157946369.5</v>
      </c>
      <c r="X14" s="171">
        <v>160520167.28999999</v>
      </c>
      <c r="Y14" s="123">
        <v>160535951.03999999</v>
      </c>
      <c r="Z14" s="123">
        <v>152003086.34</v>
      </c>
      <c r="AA14" s="123">
        <v>146140240.37</v>
      </c>
      <c r="AB14" s="123">
        <v>135719073.63999999</v>
      </c>
      <c r="AC14" s="123">
        <v>126303293.15000001</v>
      </c>
      <c r="AD14" s="82">
        <v>117336338.48999999</v>
      </c>
      <c r="AE14" s="123">
        <v>136448447</v>
      </c>
      <c r="AF14" s="15">
        <v>128619105.13</v>
      </c>
      <c r="AG14" s="15">
        <v>130259270.06999999</v>
      </c>
      <c r="AH14" s="15">
        <v>121934271.28</v>
      </c>
      <c r="AI14" s="15">
        <v>120468813.13</v>
      </c>
      <c r="AJ14" s="15">
        <v>119870449.45</v>
      </c>
      <c r="AK14" s="15">
        <v>120905247.38</v>
      </c>
      <c r="AL14" s="15">
        <v>120409483.67</v>
      </c>
      <c r="AM14" s="15">
        <v>122495439.75</v>
      </c>
      <c r="AN14" s="15">
        <v>121269865.01000001</v>
      </c>
      <c r="AS14" s="15">
        <v>119846668.88</v>
      </c>
      <c r="AT14" s="15">
        <v>9219483.9399999995</v>
      </c>
      <c r="AU14" s="15">
        <v>12582695.890000001</v>
      </c>
      <c r="AV14" s="15">
        <v>12438189.26</v>
      </c>
      <c r="AW14" s="15">
        <v>11679979.32</v>
      </c>
      <c r="AX14" s="15">
        <v>12356350.15</v>
      </c>
      <c r="AY14" s="15"/>
      <c r="AZ14" s="15">
        <v>13642434.99</v>
      </c>
      <c r="BA14" s="15">
        <v>14076572.93</v>
      </c>
      <c r="BB14" s="15">
        <v>116377286.7</v>
      </c>
      <c r="BC14" s="15">
        <v>116398200.95</v>
      </c>
      <c r="BD14" s="15">
        <v>109558322.58</v>
      </c>
      <c r="BE14" s="80">
        <f>118974404+23565213-43872986</f>
        <v>98666631</v>
      </c>
      <c r="BF14" s="184">
        <v>104439833.84</v>
      </c>
      <c r="BG14" s="186">
        <v>102918651.95</v>
      </c>
      <c r="BH14" s="186">
        <v>103162082.53</v>
      </c>
      <c r="BI14" s="186">
        <v>105131768.23</v>
      </c>
      <c r="BJ14" s="186">
        <v>104602171.7</v>
      </c>
      <c r="BK14" s="186">
        <v>101318268.01000001</v>
      </c>
      <c r="BL14" s="186">
        <v>108286555.23999999</v>
      </c>
      <c r="BM14" s="186">
        <v>107610656.28</v>
      </c>
      <c r="BN14" s="186">
        <v>107387399.69</v>
      </c>
      <c r="BO14" s="186">
        <v>107700934.59999999</v>
      </c>
      <c r="BP14" s="186">
        <v>106830587.27</v>
      </c>
      <c r="BQ14" s="192">
        <v>101451161.92</v>
      </c>
      <c r="BR14" s="50">
        <v>99799936</v>
      </c>
      <c r="BS14" s="184">
        <v>101846154.48</v>
      </c>
      <c r="BT14" s="186">
        <v>101548121.26000001</v>
      </c>
      <c r="BU14" s="186">
        <v>106973505.02</v>
      </c>
      <c r="BV14" s="186">
        <v>115300250.84999999</v>
      </c>
      <c r="BW14" s="186">
        <v>114621320.17</v>
      </c>
      <c r="BX14" s="184">
        <v>114237824.06999999</v>
      </c>
      <c r="BY14" s="210">
        <v>110077300.34999999</v>
      </c>
      <c r="BZ14" s="102">
        <v>112559895.19</v>
      </c>
      <c r="CA14" s="210">
        <v>112692826.05</v>
      </c>
      <c r="CB14" s="210">
        <v>106252261.83</v>
      </c>
      <c r="CC14" s="210">
        <v>106875689.59</v>
      </c>
      <c r="CD14" s="15">
        <v>111434615.58</v>
      </c>
      <c r="CE14" s="286">
        <v>111434614</v>
      </c>
      <c r="CF14" s="50">
        <f t="shared" si="8"/>
        <v>-1.5799999982118607</v>
      </c>
      <c r="CG14" s="286">
        <v>111434614</v>
      </c>
      <c r="CH14" s="305">
        <v>111627945.61</v>
      </c>
      <c r="CI14" s="307">
        <v>112703800.98999999</v>
      </c>
      <c r="CJ14" s="307">
        <v>108812041.45</v>
      </c>
      <c r="CK14" s="307">
        <v>105937189.29000001</v>
      </c>
      <c r="CL14" s="97">
        <v>107259678.03</v>
      </c>
      <c r="CM14" s="305">
        <v>108082578.63</v>
      </c>
      <c r="CN14" s="356">
        <v>123753696.08</v>
      </c>
    </row>
    <row r="15" spans="1:92" ht="14.25">
      <c r="A15" s="14" t="s">
        <v>22</v>
      </c>
      <c r="B15" s="29">
        <v>2278603</v>
      </c>
      <c r="C15" s="15">
        <v>3154343</v>
      </c>
      <c r="D15" s="5">
        <v>3422873</v>
      </c>
      <c r="E15" s="5">
        <v>4039563</v>
      </c>
      <c r="F15" s="15">
        <v>8248306</v>
      </c>
      <c r="G15" s="15">
        <v>3979310.3</v>
      </c>
      <c r="H15" s="15">
        <v>3835462.37</v>
      </c>
      <c r="I15" s="167">
        <v>3835462.37</v>
      </c>
      <c r="J15" s="102">
        <v>3541834</v>
      </c>
      <c r="K15" s="102">
        <v>3607139.46</v>
      </c>
      <c r="L15" s="97">
        <v>0</v>
      </c>
      <c r="M15" s="97">
        <v>0</v>
      </c>
      <c r="N15" s="97">
        <v>0</v>
      </c>
      <c r="O15" s="97">
        <v>0</v>
      </c>
      <c r="P15" s="97">
        <v>0</v>
      </c>
      <c r="Q15" s="97">
        <v>0</v>
      </c>
      <c r="R15" s="82">
        <v>8346849</v>
      </c>
      <c r="S15" s="123">
        <v>9150264</v>
      </c>
      <c r="T15" s="147">
        <v>9759302</v>
      </c>
      <c r="U15" s="123">
        <v>13960466.630000001</v>
      </c>
      <c r="V15" s="123">
        <v>18801908.399999999</v>
      </c>
      <c r="W15" s="123">
        <v>40138585.850000001</v>
      </c>
      <c r="X15" s="171">
        <v>7576654</v>
      </c>
      <c r="Y15" s="123">
        <v>7576654</v>
      </c>
      <c r="Z15" s="123">
        <v>6945202</v>
      </c>
      <c r="AA15" s="123">
        <v>7576654</v>
      </c>
      <c r="AB15" s="123">
        <v>7576654</v>
      </c>
      <c r="AC15" s="123">
        <v>7576654</v>
      </c>
      <c r="AD15" s="82">
        <v>7576654</v>
      </c>
      <c r="AE15" s="123">
        <v>19152690</v>
      </c>
      <c r="AF15" s="15">
        <v>7576654</v>
      </c>
      <c r="AG15" s="15">
        <v>3422873</v>
      </c>
      <c r="AH15" s="15">
        <v>3422873</v>
      </c>
      <c r="AI15" s="15">
        <v>6945202</v>
      </c>
      <c r="AJ15" s="15">
        <v>6945202</v>
      </c>
      <c r="AK15" s="15">
        <v>6945202</v>
      </c>
      <c r="AL15" s="15">
        <v>6945202</v>
      </c>
      <c r="AM15" s="15">
        <v>6945202</v>
      </c>
      <c r="AN15" s="15">
        <v>6945202</v>
      </c>
      <c r="AS15" s="15">
        <v>110791512.5</v>
      </c>
      <c r="AT15" s="15">
        <v>0</v>
      </c>
      <c r="AU15" s="15">
        <v>125826.96</v>
      </c>
      <c r="AV15" s="15">
        <v>124381.89</v>
      </c>
      <c r="AW15" s="15">
        <v>116799.8</v>
      </c>
      <c r="AX15" s="15">
        <v>123563.52</v>
      </c>
      <c r="AY15" s="15"/>
      <c r="AZ15" s="15">
        <v>136424.35</v>
      </c>
      <c r="BA15" s="15">
        <v>140765.73000000001</v>
      </c>
      <c r="BB15" s="15">
        <v>101757345.7</v>
      </c>
      <c r="BC15" s="15">
        <v>101757554.84</v>
      </c>
      <c r="BD15" s="15">
        <v>98170179.200000003</v>
      </c>
      <c r="BE15" s="160">
        <v>98055147</v>
      </c>
      <c r="BF15" s="188">
        <v>96038619.170000002</v>
      </c>
      <c r="BG15" s="190">
        <v>103453750.12</v>
      </c>
      <c r="BH15" s="190">
        <v>102166733.45</v>
      </c>
      <c r="BI15" s="190">
        <v>102166733.45</v>
      </c>
      <c r="BJ15" s="190">
        <v>102166733.45</v>
      </c>
      <c r="BK15" s="190">
        <v>89788130.329999998</v>
      </c>
      <c r="BL15" s="190">
        <v>104500903.8</v>
      </c>
      <c r="BM15" s="190">
        <v>106468151.11</v>
      </c>
      <c r="BN15" s="190">
        <v>106166733.45</v>
      </c>
      <c r="BO15" s="190">
        <v>124683996.76000001</v>
      </c>
      <c r="BP15" s="190">
        <v>123351732.17</v>
      </c>
      <c r="BQ15" s="192">
        <v>102166733.45</v>
      </c>
      <c r="BR15" s="50">
        <f>78211545.57-19843602+12727643-191737.57</f>
        <v>70903849</v>
      </c>
      <c r="BS15" s="188">
        <v>102166733.45</v>
      </c>
      <c r="BT15" s="190">
        <v>102166733.45</v>
      </c>
      <c r="BU15" s="190">
        <v>102166733.45</v>
      </c>
      <c r="BV15" s="190">
        <v>102166733.45</v>
      </c>
      <c r="BW15" s="190">
        <v>77521848.290000007</v>
      </c>
      <c r="BX15" s="188">
        <v>81506090</v>
      </c>
      <c r="BY15" s="210">
        <v>80264279.739999995</v>
      </c>
      <c r="BZ15" s="102">
        <v>80264279.739999995</v>
      </c>
      <c r="CA15" s="210">
        <v>79027955.510000005</v>
      </c>
      <c r="CB15" s="210">
        <v>75274688.840000004</v>
      </c>
      <c r="CC15" s="210">
        <v>72859666.680000007</v>
      </c>
      <c r="CD15" s="15">
        <v>68407668.560000002</v>
      </c>
      <c r="CE15" s="286">
        <v>67933487</v>
      </c>
      <c r="CF15" s="50">
        <f t="shared" si="8"/>
        <v>-474181.56000000238</v>
      </c>
      <c r="CG15" s="286">
        <v>67933487</v>
      </c>
      <c r="CH15" s="308">
        <v>0</v>
      </c>
      <c r="CI15" s="311">
        <v>64263713.969999999</v>
      </c>
      <c r="CJ15" s="311">
        <v>58354956.82</v>
      </c>
      <c r="CK15" s="311">
        <v>57116051.200000003</v>
      </c>
      <c r="CL15" s="97">
        <v>59304556.670000002</v>
      </c>
      <c r="CM15" s="309">
        <v>65701592.869999997</v>
      </c>
      <c r="CN15" s="358">
        <v>68122438.909999996</v>
      </c>
    </row>
    <row r="16" spans="1:92" ht="14.25">
      <c r="A16" s="13" t="s">
        <v>23</v>
      </c>
      <c r="B16" s="68">
        <f t="shared" ref="B16:R16" si="23">SUM(B17:B19)</f>
        <v>1014864</v>
      </c>
      <c r="C16" s="68">
        <f t="shared" si="23"/>
        <v>633214</v>
      </c>
      <c r="D16" s="84">
        <f t="shared" si="23"/>
        <v>-1056148</v>
      </c>
      <c r="E16" s="84">
        <f t="shared" si="23"/>
        <v>-1042683</v>
      </c>
      <c r="F16" s="84">
        <f t="shared" si="23"/>
        <v>0</v>
      </c>
      <c r="G16" s="84">
        <f t="shared" si="23"/>
        <v>0</v>
      </c>
      <c r="H16" s="84">
        <f t="shared" si="23"/>
        <v>-1042683</v>
      </c>
      <c r="I16" s="84">
        <f t="shared" si="23"/>
        <v>-1042683</v>
      </c>
      <c r="J16" s="84">
        <f t="shared" si="23"/>
        <v>-1042683</v>
      </c>
      <c r="K16" s="84">
        <f t="shared" si="23"/>
        <v>-1042683</v>
      </c>
      <c r="L16" s="84">
        <f t="shared" si="23"/>
        <v>0</v>
      </c>
      <c r="M16" s="84">
        <f t="shared" si="23"/>
        <v>0</v>
      </c>
      <c r="N16" s="84">
        <f t="shared" si="23"/>
        <v>0</v>
      </c>
      <c r="O16" s="84">
        <f t="shared" si="23"/>
        <v>0</v>
      </c>
      <c r="P16" s="84">
        <f t="shared" si="23"/>
        <v>0</v>
      </c>
      <c r="Q16" s="121">
        <f t="shared" si="23"/>
        <v>0</v>
      </c>
      <c r="R16" s="84">
        <f t="shared" si="23"/>
        <v>0</v>
      </c>
      <c r="S16" s="84">
        <f t="shared" ref="S16:X16" si="24">SUM(S17:S19)</f>
        <v>0</v>
      </c>
      <c r="T16" s="121">
        <f t="shared" si="24"/>
        <v>0</v>
      </c>
      <c r="U16" s="84">
        <f t="shared" si="24"/>
        <v>0</v>
      </c>
      <c r="V16" s="84">
        <f t="shared" si="24"/>
        <v>0</v>
      </c>
      <c r="W16" s="84">
        <f t="shared" si="24"/>
        <v>0</v>
      </c>
      <c r="X16" s="84">
        <f t="shared" si="24"/>
        <v>0</v>
      </c>
      <c r="Y16" s="84">
        <f t="shared" ref="Y16:AE16" si="25">SUM(Y17:Y19)</f>
        <v>44295799.5</v>
      </c>
      <c r="Z16" s="84">
        <f t="shared" si="25"/>
        <v>40950010.399999999</v>
      </c>
      <c r="AA16" s="84">
        <f t="shared" si="25"/>
        <v>40616558.009999998</v>
      </c>
      <c r="AB16" s="84">
        <f t="shared" si="25"/>
        <v>40953250.399999999</v>
      </c>
      <c r="AC16" s="84">
        <f t="shared" si="25"/>
        <v>30430425.09</v>
      </c>
      <c r="AD16" s="84">
        <f t="shared" si="25"/>
        <v>69650104.310000002</v>
      </c>
      <c r="AE16" s="84">
        <f t="shared" si="25"/>
        <v>0</v>
      </c>
      <c r="AF16" s="84">
        <f t="shared" ref="AF16:AK16" si="26">SUM(AF17:AF19)</f>
        <v>40251206.359999999</v>
      </c>
      <c r="AG16" s="84">
        <f t="shared" si="26"/>
        <v>37086123.659999996</v>
      </c>
      <c r="AH16" s="84">
        <f t="shared" si="26"/>
        <v>37638956.340000004</v>
      </c>
      <c r="AI16" s="84">
        <f t="shared" si="26"/>
        <v>60639567.740000002</v>
      </c>
      <c r="AJ16" s="84">
        <f t="shared" si="26"/>
        <v>55231655.5</v>
      </c>
      <c r="AK16" s="84">
        <f t="shared" si="26"/>
        <v>53248170.270000003</v>
      </c>
      <c r="AL16" s="84">
        <f>SUM(AL17:AL19)</f>
        <v>43322132.590000004</v>
      </c>
      <c r="AM16" s="84">
        <f>SUM(AM17:AM19)</f>
        <v>46983139.609999999</v>
      </c>
      <c r="AN16" s="84">
        <f>SUM(AN17:AN19)</f>
        <v>47634677.560000002</v>
      </c>
      <c r="AO16" s="84">
        <f t="shared" ref="AO16:BY16" si="27">SUM(AO17:AO19)</f>
        <v>0</v>
      </c>
      <c r="AP16" s="84">
        <f t="shared" si="27"/>
        <v>0</v>
      </c>
      <c r="AQ16" s="84">
        <f t="shared" si="27"/>
        <v>0</v>
      </c>
      <c r="AR16" s="84">
        <f t="shared" si="27"/>
        <v>0</v>
      </c>
      <c r="AS16" s="84">
        <f t="shared" si="27"/>
        <v>34518707.869999997</v>
      </c>
      <c r="AT16" s="84">
        <f t="shared" si="27"/>
        <v>130230264.14</v>
      </c>
      <c r="AU16" s="84">
        <f t="shared" si="27"/>
        <v>122746644.81</v>
      </c>
      <c r="AV16" s="84">
        <f t="shared" si="27"/>
        <v>123306636.97</v>
      </c>
      <c r="AW16" s="84">
        <f t="shared" si="27"/>
        <v>126686269.01000001</v>
      </c>
      <c r="AX16" s="84">
        <f t="shared" si="27"/>
        <v>131862817.03</v>
      </c>
      <c r="AY16" s="84">
        <f t="shared" si="27"/>
        <v>0</v>
      </c>
      <c r="AZ16" s="84">
        <f t="shared" si="27"/>
        <v>127665025.42</v>
      </c>
      <c r="BA16" s="84">
        <f t="shared" si="27"/>
        <v>126413510.92</v>
      </c>
      <c r="BB16" s="84">
        <f t="shared" si="27"/>
        <v>126922384.38</v>
      </c>
      <c r="BC16" s="84">
        <f t="shared" si="27"/>
        <v>125737080.79000001</v>
      </c>
      <c r="BD16" s="84">
        <f t="shared" si="27"/>
        <v>125938998.59999999</v>
      </c>
      <c r="BE16" s="84">
        <f t="shared" si="27"/>
        <v>0</v>
      </c>
      <c r="BF16" s="84">
        <f t="shared" si="27"/>
        <v>14601811.85</v>
      </c>
      <c r="BG16" s="84">
        <f t="shared" si="27"/>
        <v>13483514.800000001</v>
      </c>
      <c r="BH16" s="84">
        <f t="shared" si="27"/>
        <v>13979888.800000001</v>
      </c>
      <c r="BI16" s="84">
        <f t="shared" si="27"/>
        <v>13976589.6</v>
      </c>
      <c r="BJ16" s="84">
        <f t="shared" si="27"/>
        <v>13977489.699999999</v>
      </c>
      <c r="BK16" s="84">
        <f t="shared" si="27"/>
        <v>11552231.15</v>
      </c>
      <c r="BL16" s="84">
        <f t="shared" si="27"/>
        <v>11578081.15</v>
      </c>
      <c r="BM16" s="84">
        <f t="shared" si="27"/>
        <v>11610081.15</v>
      </c>
      <c r="BN16" s="84">
        <f t="shared" si="27"/>
        <v>9393511.0500000007</v>
      </c>
      <c r="BO16" s="84">
        <f t="shared" si="27"/>
        <v>9388661.0500000007</v>
      </c>
      <c r="BP16" s="84">
        <f t="shared" si="27"/>
        <v>9380661.0500000007</v>
      </c>
      <c r="BQ16" s="191">
        <f t="shared" si="27"/>
        <v>9444799.0500000007</v>
      </c>
      <c r="BR16" s="84">
        <f t="shared" si="27"/>
        <v>0</v>
      </c>
      <c r="BS16" s="84">
        <f t="shared" si="27"/>
        <v>9483199</v>
      </c>
      <c r="BT16" s="84">
        <f t="shared" si="27"/>
        <v>0</v>
      </c>
      <c r="BU16" s="84">
        <f t="shared" si="27"/>
        <v>0</v>
      </c>
      <c r="BV16" s="84">
        <f t="shared" si="27"/>
        <v>0</v>
      </c>
      <c r="BW16" s="84">
        <f t="shared" si="27"/>
        <v>0</v>
      </c>
      <c r="BX16" s="84">
        <f t="shared" si="27"/>
        <v>0</v>
      </c>
      <c r="BY16" s="84">
        <f t="shared" si="27"/>
        <v>0</v>
      </c>
      <c r="BZ16" s="84">
        <f t="shared" ref="BZ16:CE16" si="28">SUM(BZ17:BZ19)</f>
        <v>0</v>
      </c>
      <c r="CA16" s="84">
        <f t="shared" si="28"/>
        <v>24000</v>
      </c>
      <c r="CB16" s="84">
        <f t="shared" si="28"/>
        <v>275435.67</v>
      </c>
      <c r="CC16" s="84">
        <f t="shared" si="28"/>
        <v>275435.67</v>
      </c>
      <c r="CD16" s="84">
        <f t="shared" si="28"/>
        <v>0</v>
      </c>
      <c r="CE16" s="84">
        <f t="shared" si="28"/>
        <v>0</v>
      </c>
      <c r="CF16" s="50">
        <f t="shared" si="8"/>
        <v>0</v>
      </c>
      <c r="CG16" s="84">
        <f t="shared" ref="CG16:CN16" si="29">SUM(CG17:CG19)</f>
        <v>0</v>
      </c>
      <c r="CH16" s="84">
        <f t="shared" si="29"/>
        <v>7486538.0800000001</v>
      </c>
      <c r="CI16" s="84">
        <f t="shared" si="29"/>
        <v>6842639.9800000004</v>
      </c>
      <c r="CJ16" s="84">
        <f t="shared" si="29"/>
        <v>6842639.9800000004</v>
      </c>
      <c r="CK16" s="84">
        <f t="shared" si="29"/>
        <v>6826639.9800000004</v>
      </c>
      <c r="CL16" s="84">
        <f t="shared" si="29"/>
        <v>6826639.9800000004</v>
      </c>
      <c r="CM16" s="84">
        <f t="shared" si="29"/>
        <v>10729369.02</v>
      </c>
      <c r="CN16" s="84">
        <f t="shared" si="29"/>
        <v>10721369.02</v>
      </c>
    </row>
    <row r="17" spans="1:92" ht="15" customHeight="1">
      <c r="A17" s="14" t="s">
        <v>24</v>
      </c>
      <c r="B17" s="29">
        <v>1014864</v>
      </c>
      <c r="C17" s="15">
        <v>633214</v>
      </c>
      <c r="D17" s="5">
        <v>-1056148</v>
      </c>
      <c r="E17" s="5">
        <v>-1042683</v>
      </c>
      <c r="F17" s="15">
        <v>0</v>
      </c>
      <c r="G17" s="15">
        <v>0</v>
      </c>
      <c r="H17" s="15">
        <v>-1042683</v>
      </c>
      <c r="I17" s="167">
        <v>-1042683</v>
      </c>
      <c r="J17" s="102">
        <v>-1042683</v>
      </c>
      <c r="K17" s="102">
        <v>-1042683</v>
      </c>
      <c r="L17" s="97">
        <v>0</v>
      </c>
      <c r="M17" s="97">
        <v>0</v>
      </c>
      <c r="N17" s="97">
        <v>0</v>
      </c>
      <c r="O17" s="97">
        <v>0</v>
      </c>
      <c r="P17" s="97">
        <v>0</v>
      </c>
      <c r="Q17" s="97">
        <v>0</v>
      </c>
      <c r="R17" s="2"/>
      <c r="S17" s="2"/>
      <c r="T17" s="146"/>
      <c r="U17" s="2"/>
      <c r="V17" s="2"/>
      <c r="W17" s="2"/>
      <c r="X17" s="123">
        <v>0</v>
      </c>
      <c r="Y17" s="123">
        <v>0</v>
      </c>
      <c r="Z17" s="123">
        <v>0</v>
      </c>
      <c r="AA17" s="123">
        <v>0</v>
      </c>
      <c r="AB17" s="123">
        <v>0</v>
      </c>
      <c r="AC17" s="5">
        <v>0</v>
      </c>
      <c r="AD17" s="5">
        <v>0</v>
      </c>
      <c r="AE17" s="5"/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/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F17" s="183">
        <v>0</v>
      </c>
      <c r="BG17" s="185">
        <v>0</v>
      </c>
      <c r="BH17" s="185">
        <v>0</v>
      </c>
      <c r="BI17" s="185">
        <v>0</v>
      </c>
      <c r="BJ17" s="185">
        <v>0</v>
      </c>
      <c r="BK17" s="185">
        <v>0</v>
      </c>
      <c r="BL17" s="185">
        <v>0</v>
      </c>
      <c r="BM17" s="185">
        <v>0</v>
      </c>
      <c r="BN17" s="185">
        <v>0</v>
      </c>
      <c r="BO17" s="185">
        <v>0</v>
      </c>
      <c r="BP17" s="185">
        <v>0</v>
      </c>
      <c r="BQ17" s="193">
        <v>0</v>
      </c>
      <c r="BS17" s="183">
        <v>0</v>
      </c>
      <c r="BT17" s="185">
        <v>0</v>
      </c>
      <c r="BU17" s="185">
        <v>0</v>
      </c>
      <c r="BV17" s="185">
        <v>0</v>
      </c>
      <c r="BW17" s="185">
        <v>0</v>
      </c>
      <c r="CA17" s="210">
        <v>0</v>
      </c>
      <c r="CB17" s="210">
        <v>0</v>
      </c>
      <c r="CC17" s="210">
        <v>0</v>
      </c>
      <c r="CF17" s="50">
        <f t="shared" si="8"/>
        <v>0</v>
      </c>
      <c r="CH17" s="304">
        <v>0</v>
      </c>
      <c r="CI17" s="306">
        <v>0</v>
      </c>
      <c r="CJ17" s="306">
        <v>0</v>
      </c>
      <c r="CK17" s="306">
        <v>0</v>
      </c>
      <c r="CL17">
        <v>0</v>
      </c>
      <c r="CM17" s="304">
        <v>0</v>
      </c>
      <c r="CN17" s="355">
        <v>0</v>
      </c>
    </row>
    <row r="18" spans="1:92" ht="14.25">
      <c r="A18" s="14" t="s">
        <v>25</v>
      </c>
      <c r="B18" s="29"/>
      <c r="C18" s="15">
        <v>0</v>
      </c>
      <c r="D18" s="5"/>
      <c r="E18" s="5"/>
      <c r="F18" s="15">
        <v>0</v>
      </c>
      <c r="G18" s="15">
        <v>0</v>
      </c>
      <c r="H18" s="15">
        <v>0</v>
      </c>
      <c r="I18" s="167">
        <v>0</v>
      </c>
      <c r="J18" s="102">
        <v>0</v>
      </c>
      <c r="K18" s="15"/>
      <c r="L18" s="97">
        <v>0</v>
      </c>
      <c r="M18" s="97">
        <v>0</v>
      </c>
      <c r="N18" s="97">
        <v>0</v>
      </c>
      <c r="O18" s="97">
        <v>0</v>
      </c>
      <c r="P18" s="97">
        <v>0</v>
      </c>
      <c r="Q18" s="97">
        <v>0</v>
      </c>
      <c r="R18" s="2"/>
      <c r="S18" s="2"/>
      <c r="T18" s="146"/>
      <c r="U18" s="2"/>
      <c r="V18" s="2"/>
      <c r="W18" s="2"/>
      <c r="X18" s="123">
        <v>0</v>
      </c>
      <c r="Y18" s="123">
        <v>0</v>
      </c>
      <c r="Z18" s="123">
        <v>0</v>
      </c>
      <c r="AA18" s="123">
        <v>0</v>
      </c>
      <c r="AB18" s="123">
        <v>0</v>
      </c>
      <c r="AC18" s="5">
        <v>0</v>
      </c>
      <c r="AD18" s="5">
        <v>0</v>
      </c>
      <c r="AE18" s="5"/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/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F18" s="187">
        <v>0</v>
      </c>
      <c r="BG18" s="189">
        <v>0</v>
      </c>
      <c r="BH18" s="189">
        <v>0</v>
      </c>
      <c r="BI18" s="189">
        <v>0</v>
      </c>
      <c r="BJ18" s="189">
        <v>0</v>
      </c>
      <c r="BK18" s="189">
        <v>0</v>
      </c>
      <c r="BL18" s="189">
        <v>0</v>
      </c>
      <c r="BM18" s="189">
        <v>0</v>
      </c>
      <c r="BN18" s="189">
        <v>0</v>
      </c>
      <c r="BO18" s="189">
        <v>0</v>
      </c>
      <c r="BP18" s="189">
        <v>0</v>
      </c>
      <c r="BQ18" s="193">
        <v>0</v>
      </c>
      <c r="BS18" s="187">
        <v>0</v>
      </c>
      <c r="BT18" s="189">
        <v>0</v>
      </c>
      <c r="BU18" s="189">
        <v>0</v>
      </c>
      <c r="BV18" s="189">
        <v>0</v>
      </c>
      <c r="BW18" s="189">
        <v>0</v>
      </c>
      <c r="CA18" s="210">
        <v>0</v>
      </c>
      <c r="CB18" s="210">
        <v>0</v>
      </c>
      <c r="CC18" s="210">
        <v>0</v>
      </c>
      <c r="CF18" s="50">
        <f t="shared" si="8"/>
        <v>0</v>
      </c>
      <c r="CH18" s="308">
        <v>0</v>
      </c>
      <c r="CI18" s="310">
        <v>0</v>
      </c>
      <c r="CJ18" s="310">
        <v>0</v>
      </c>
      <c r="CK18" s="310">
        <v>0</v>
      </c>
      <c r="CL18">
        <v>0</v>
      </c>
      <c r="CM18" s="308">
        <v>0</v>
      </c>
      <c r="CN18" s="357">
        <v>0</v>
      </c>
    </row>
    <row r="19" spans="1:92" ht="14.25">
      <c r="A19" s="14" t="s">
        <v>26</v>
      </c>
      <c r="B19" s="29"/>
      <c r="C19" s="15">
        <v>0</v>
      </c>
      <c r="D19" s="5"/>
      <c r="E19" s="5"/>
      <c r="F19" s="15">
        <v>0</v>
      </c>
      <c r="G19" s="15">
        <v>0</v>
      </c>
      <c r="H19" s="15">
        <v>0</v>
      </c>
      <c r="I19" s="167">
        <v>0</v>
      </c>
      <c r="J19" s="91"/>
      <c r="K19" s="15"/>
      <c r="L19" s="97">
        <v>0</v>
      </c>
      <c r="M19" s="97">
        <v>0</v>
      </c>
      <c r="N19" s="97">
        <v>0</v>
      </c>
      <c r="O19" s="97">
        <v>0</v>
      </c>
      <c r="P19" s="97">
        <v>0</v>
      </c>
      <c r="Q19" s="97">
        <v>0</v>
      </c>
      <c r="R19" s="2"/>
      <c r="S19" s="2"/>
      <c r="T19" s="146"/>
      <c r="U19" s="2"/>
      <c r="V19" s="2"/>
      <c r="W19" s="2"/>
      <c r="X19" s="123">
        <v>0</v>
      </c>
      <c r="Y19" s="123">
        <v>44295799.5</v>
      </c>
      <c r="Z19" s="123">
        <v>40950010.399999999</v>
      </c>
      <c r="AA19" s="123">
        <v>40616558.009999998</v>
      </c>
      <c r="AB19" s="123">
        <v>40953250.399999999</v>
      </c>
      <c r="AC19" s="5">
        <v>30430425.09</v>
      </c>
      <c r="AD19" s="5">
        <v>69650104.310000002</v>
      </c>
      <c r="AE19" s="5"/>
      <c r="AF19" s="15">
        <v>40251206.359999999</v>
      </c>
      <c r="AG19" s="15">
        <v>37086123.659999996</v>
      </c>
      <c r="AH19" s="15">
        <v>37638956.340000004</v>
      </c>
      <c r="AI19" s="15">
        <v>60639567.740000002</v>
      </c>
      <c r="AJ19" s="15">
        <v>55231655.5</v>
      </c>
      <c r="AK19" s="15">
        <v>53248170.270000003</v>
      </c>
      <c r="AL19" s="15">
        <v>43322132.590000004</v>
      </c>
      <c r="AM19" s="15">
        <v>46983139.609999999</v>
      </c>
      <c r="AN19" s="15">
        <v>47634677.560000002</v>
      </c>
      <c r="AS19" s="15">
        <v>34518707.869999997</v>
      </c>
      <c r="AT19" s="15">
        <v>130230264.14</v>
      </c>
      <c r="AU19" s="15">
        <v>122746644.81</v>
      </c>
      <c r="AV19" s="15">
        <v>123306636.97</v>
      </c>
      <c r="AW19" s="15">
        <v>126686269.01000001</v>
      </c>
      <c r="AX19" s="15">
        <v>131862817.03</v>
      </c>
      <c r="AY19" s="15"/>
      <c r="AZ19" s="15">
        <v>127665025.42</v>
      </c>
      <c r="BA19" s="15">
        <v>126413510.92</v>
      </c>
      <c r="BB19" s="15">
        <v>126922384.38</v>
      </c>
      <c r="BC19" s="15">
        <v>125737080.79000001</v>
      </c>
      <c r="BD19" s="15">
        <v>125938998.59999999</v>
      </c>
      <c r="BF19" s="188">
        <v>14601811.85</v>
      </c>
      <c r="BG19" s="190">
        <v>13483514.800000001</v>
      </c>
      <c r="BH19" s="190">
        <v>13979888.800000001</v>
      </c>
      <c r="BI19" s="190">
        <v>13976589.6</v>
      </c>
      <c r="BJ19" s="190">
        <v>13977489.699999999</v>
      </c>
      <c r="BK19" s="190">
        <v>11552231.15</v>
      </c>
      <c r="BL19" s="190">
        <v>11578081.15</v>
      </c>
      <c r="BM19" s="190">
        <v>11610081.15</v>
      </c>
      <c r="BN19" s="190">
        <v>9393511.0500000007</v>
      </c>
      <c r="BO19" s="190">
        <v>9388661.0500000007</v>
      </c>
      <c r="BP19" s="190">
        <v>9380661.0500000007</v>
      </c>
      <c r="BQ19" s="192">
        <v>9444799.0500000007</v>
      </c>
      <c r="BR19">
        <v>0</v>
      </c>
      <c r="BS19" s="188">
        <v>9483199</v>
      </c>
      <c r="BT19" s="189">
        <v>0</v>
      </c>
      <c r="BU19" s="189">
        <v>0</v>
      </c>
      <c r="BV19" s="189">
        <v>0</v>
      </c>
      <c r="BW19" s="189">
        <v>0</v>
      </c>
      <c r="CA19" s="210">
        <v>24000</v>
      </c>
      <c r="CB19" s="210">
        <v>275435.67</v>
      </c>
      <c r="CC19" s="210">
        <v>275435.67</v>
      </c>
      <c r="CF19" s="50">
        <f t="shared" si="8"/>
        <v>0</v>
      </c>
      <c r="CH19" s="309">
        <v>7486538.0800000001</v>
      </c>
      <c r="CI19" s="311">
        <v>6842639.9800000004</v>
      </c>
      <c r="CJ19" s="311">
        <v>6842639.9800000004</v>
      </c>
      <c r="CK19" s="311">
        <v>6826639.9800000004</v>
      </c>
      <c r="CL19" s="97">
        <v>6826639.9800000004</v>
      </c>
      <c r="CM19" s="309">
        <v>10729369.02</v>
      </c>
      <c r="CN19" s="358">
        <v>10721369.02</v>
      </c>
    </row>
    <row r="20" spans="1:92" ht="14.25">
      <c r="A20" s="13" t="s">
        <v>27</v>
      </c>
      <c r="B20" s="68">
        <f t="shared" ref="B20:R20" si="30">SUM(B21:B25)</f>
        <v>15008730</v>
      </c>
      <c r="C20" s="68">
        <f t="shared" si="30"/>
        <v>10355868</v>
      </c>
      <c r="D20" s="84">
        <f t="shared" si="30"/>
        <v>23445547</v>
      </c>
      <c r="E20" s="84">
        <f t="shared" si="30"/>
        <v>40139932</v>
      </c>
      <c r="F20" s="84">
        <f t="shared" si="30"/>
        <v>21382271.890000001</v>
      </c>
      <c r="G20" s="84">
        <f t="shared" si="30"/>
        <v>37531087.280000001</v>
      </c>
      <c r="H20" s="84">
        <f t="shared" si="30"/>
        <v>29989620.450000003</v>
      </c>
      <c r="I20" s="84">
        <f t="shared" si="30"/>
        <v>30668106.660000004</v>
      </c>
      <c r="J20" s="84">
        <f t="shared" si="30"/>
        <v>29868474</v>
      </c>
      <c r="K20" s="84">
        <f t="shared" si="30"/>
        <v>29901187.690000001</v>
      </c>
      <c r="L20" s="84">
        <f t="shared" si="30"/>
        <v>0</v>
      </c>
      <c r="M20" s="84">
        <f t="shared" si="30"/>
        <v>0</v>
      </c>
      <c r="N20" s="84">
        <f t="shared" si="30"/>
        <v>0</v>
      </c>
      <c r="O20" s="84">
        <f t="shared" si="30"/>
        <v>0</v>
      </c>
      <c r="P20" s="84">
        <f t="shared" si="30"/>
        <v>0</v>
      </c>
      <c r="Q20" s="121">
        <f t="shared" si="30"/>
        <v>0</v>
      </c>
      <c r="R20" s="84">
        <f t="shared" si="30"/>
        <v>42811676</v>
      </c>
      <c r="S20" s="84">
        <f t="shared" ref="S20:X20" si="31">SUM(S21:S25)</f>
        <v>42403979.539999999</v>
      </c>
      <c r="T20" s="121">
        <f t="shared" si="31"/>
        <v>42390215.740000002</v>
      </c>
      <c r="U20" s="84">
        <f t="shared" si="31"/>
        <v>42390215.740000002</v>
      </c>
      <c r="V20" s="84">
        <f t="shared" si="31"/>
        <v>50480294.659999996</v>
      </c>
      <c r="W20" s="84">
        <f t="shared" si="31"/>
        <v>50385553.039999999</v>
      </c>
      <c r="X20" s="84">
        <f t="shared" si="31"/>
        <v>23004112.890000001</v>
      </c>
      <c r="Y20" s="84">
        <f t="shared" ref="Y20:AE20" si="32">SUM(Y21:Y25)</f>
        <v>23004112.890000001</v>
      </c>
      <c r="Z20" s="84">
        <f t="shared" si="32"/>
        <v>23004112.890000001</v>
      </c>
      <c r="AA20" s="84">
        <f t="shared" si="32"/>
        <v>23004112.890000001</v>
      </c>
      <c r="AB20" s="84">
        <f t="shared" si="32"/>
        <v>23166512.890000001</v>
      </c>
      <c r="AC20" s="84">
        <f t="shared" si="32"/>
        <v>23215512.890000001</v>
      </c>
      <c r="AD20" s="84">
        <f t="shared" si="32"/>
        <v>22590882.890000001</v>
      </c>
      <c r="AE20" s="84">
        <f t="shared" si="32"/>
        <v>26712888</v>
      </c>
      <c r="AF20" s="84">
        <f t="shared" ref="AF20:AK20" si="33">SUM(AF21:AF25)</f>
        <v>22577382.890000001</v>
      </c>
      <c r="AG20" s="84">
        <f t="shared" si="33"/>
        <v>22590882.890000001</v>
      </c>
      <c r="AH20" s="84">
        <f t="shared" si="33"/>
        <v>22696549.890000001</v>
      </c>
      <c r="AI20" s="84">
        <f t="shared" si="33"/>
        <v>22672881.890000001</v>
      </c>
      <c r="AJ20" s="84">
        <f t="shared" si="33"/>
        <v>22675381.890000001</v>
      </c>
      <c r="AK20" s="84">
        <f t="shared" si="33"/>
        <v>22677380.890000001</v>
      </c>
      <c r="AL20" s="84">
        <f>SUM(AL21:AL25)</f>
        <v>22677380.890000001</v>
      </c>
      <c r="AM20" s="84">
        <f>SUM(AM21:AM25)</f>
        <v>22689380.890000001</v>
      </c>
      <c r="AN20" s="84">
        <f>SUM(AN21:AN25)</f>
        <v>22689380.890000001</v>
      </c>
      <c r="AO20" s="84">
        <f t="shared" ref="AO20:BY20" si="34">SUM(AO21:AO25)</f>
        <v>0</v>
      </c>
      <c r="AP20" s="84">
        <f t="shared" si="34"/>
        <v>0</v>
      </c>
      <c r="AQ20" s="84">
        <f t="shared" si="34"/>
        <v>0</v>
      </c>
      <c r="AR20" s="84">
        <f t="shared" si="34"/>
        <v>0</v>
      </c>
      <c r="AS20" s="84">
        <f t="shared" si="34"/>
        <v>16694133.539999999</v>
      </c>
      <c r="AT20" s="84">
        <f t="shared" si="34"/>
        <v>16694133.539999999</v>
      </c>
      <c r="AU20" s="84">
        <f t="shared" si="34"/>
        <v>16707383.539999999</v>
      </c>
      <c r="AV20" s="84">
        <f t="shared" si="34"/>
        <v>16721083.539999999</v>
      </c>
      <c r="AW20" s="84">
        <f t="shared" si="34"/>
        <v>16733833.539999999</v>
      </c>
      <c r="AX20" s="84">
        <f t="shared" si="34"/>
        <v>17181391.539999999</v>
      </c>
      <c r="AY20" s="84">
        <f t="shared" si="34"/>
        <v>0</v>
      </c>
      <c r="AZ20" s="84">
        <f t="shared" si="34"/>
        <v>17580816.539999999</v>
      </c>
      <c r="BA20" s="84">
        <f t="shared" si="34"/>
        <v>17768766.539999999</v>
      </c>
      <c r="BB20" s="84">
        <f t="shared" si="34"/>
        <v>17780091.539999999</v>
      </c>
      <c r="BC20" s="84">
        <f t="shared" si="34"/>
        <v>17880091.539999999</v>
      </c>
      <c r="BD20" s="84">
        <f t="shared" si="34"/>
        <v>17880091.539999999</v>
      </c>
      <c r="BE20" s="84">
        <f t="shared" si="34"/>
        <v>131512199</v>
      </c>
      <c r="BF20" s="84">
        <f t="shared" si="34"/>
        <v>130123119.73</v>
      </c>
      <c r="BG20" s="84">
        <f t="shared" si="34"/>
        <v>121340294.41</v>
      </c>
      <c r="BH20" s="84">
        <f t="shared" si="34"/>
        <v>132499383.19</v>
      </c>
      <c r="BI20" s="84">
        <f t="shared" si="34"/>
        <v>128693421.07000001</v>
      </c>
      <c r="BJ20" s="84">
        <f t="shared" si="34"/>
        <v>118086554.88999999</v>
      </c>
      <c r="BK20" s="84">
        <f t="shared" si="34"/>
        <v>131393177.68000001</v>
      </c>
      <c r="BL20" s="84">
        <f t="shared" si="34"/>
        <v>131642927.68000001</v>
      </c>
      <c r="BM20" s="84">
        <f t="shared" si="34"/>
        <v>132222127.68000001</v>
      </c>
      <c r="BN20" s="84">
        <f t="shared" si="34"/>
        <v>133802044.69999999</v>
      </c>
      <c r="BO20" s="84">
        <f t="shared" si="34"/>
        <v>132222127.68000001</v>
      </c>
      <c r="BP20" s="84">
        <f t="shared" si="34"/>
        <v>132302827.68000001</v>
      </c>
      <c r="BQ20" s="191">
        <f t="shared" si="34"/>
        <v>129279510.16999999</v>
      </c>
      <c r="BR20" s="205">
        <f t="shared" si="34"/>
        <v>15742274</v>
      </c>
      <c r="BS20" s="205">
        <f t="shared" si="34"/>
        <v>129199584.59999999</v>
      </c>
      <c r="BT20" s="205">
        <f t="shared" si="34"/>
        <v>132799649.53</v>
      </c>
      <c r="BU20" s="205">
        <f t="shared" si="34"/>
        <v>131623114.66999999</v>
      </c>
      <c r="BV20" s="205">
        <f t="shared" si="34"/>
        <v>133633582.62</v>
      </c>
      <c r="BW20" s="205">
        <f t="shared" si="34"/>
        <v>128958543.14</v>
      </c>
      <c r="BX20" s="205">
        <f t="shared" si="34"/>
        <v>149204418.74000001</v>
      </c>
      <c r="BY20" s="205">
        <f t="shared" si="34"/>
        <v>135044260.44</v>
      </c>
      <c r="BZ20" s="205">
        <f t="shared" ref="BZ20:CE20" si="35">SUM(BZ21:BZ25)</f>
        <v>144835150.52000001</v>
      </c>
      <c r="CA20" s="205">
        <f t="shared" si="35"/>
        <v>127990205.69999999</v>
      </c>
      <c r="CB20" s="205">
        <f t="shared" si="35"/>
        <v>122033235.58999999</v>
      </c>
      <c r="CC20" s="205">
        <f t="shared" si="35"/>
        <v>122033235.58999999</v>
      </c>
      <c r="CD20" s="205">
        <f t="shared" si="35"/>
        <v>111045563.47999999</v>
      </c>
      <c r="CE20" s="205">
        <f t="shared" si="35"/>
        <v>132955259</v>
      </c>
      <c r="CF20" s="50">
        <f t="shared" si="8"/>
        <v>21909695.520000011</v>
      </c>
      <c r="CG20" s="205">
        <f t="shared" ref="CG20:CN20" si="36">SUM(CG21:CG25)</f>
        <v>132955259</v>
      </c>
      <c r="CH20" s="205">
        <f t="shared" si="36"/>
        <v>27115990.590000004</v>
      </c>
      <c r="CI20" s="205">
        <f t="shared" si="36"/>
        <v>95105674.879999995</v>
      </c>
      <c r="CJ20" s="205">
        <f t="shared" si="36"/>
        <v>85287674.409999996</v>
      </c>
      <c r="CK20" s="205">
        <f t="shared" si="36"/>
        <v>84736741.069999993</v>
      </c>
      <c r="CL20" s="205">
        <f t="shared" si="36"/>
        <v>87184328.209999993</v>
      </c>
      <c r="CM20" s="205">
        <f t="shared" si="36"/>
        <v>95715087.5</v>
      </c>
      <c r="CN20" s="205">
        <f t="shared" si="36"/>
        <v>83125109.670000002</v>
      </c>
    </row>
    <row r="21" spans="1:92" ht="15" customHeight="1">
      <c r="A21" s="14" t="s">
        <v>28</v>
      </c>
      <c r="B21" s="29"/>
      <c r="C21" s="15">
        <v>0</v>
      </c>
      <c r="D21" s="5"/>
      <c r="E21" s="5"/>
      <c r="F21" s="15">
        <v>0</v>
      </c>
      <c r="G21" s="15">
        <v>0</v>
      </c>
      <c r="H21" s="15">
        <v>0</v>
      </c>
      <c r="I21" s="167">
        <v>0</v>
      </c>
      <c r="J21" s="103">
        <v>0</v>
      </c>
      <c r="K21" s="103">
        <v>0</v>
      </c>
      <c r="L21" s="97">
        <v>0</v>
      </c>
      <c r="M21" s="97">
        <v>0</v>
      </c>
      <c r="N21" s="97">
        <v>0</v>
      </c>
      <c r="O21" s="97">
        <v>0</v>
      </c>
      <c r="P21" s="97">
        <v>0</v>
      </c>
      <c r="Q21" s="97">
        <v>0</v>
      </c>
      <c r="R21" s="2"/>
      <c r="S21" s="123">
        <v>0</v>
      </c>
      <c r="T21" s="147">
        <v>0</v>
      </c>
      <c r="U21" s="123">
        <v>0</v>
      </c>
      <c r="V21" s="123">
        <v>0</v>
      </c>
      <c r="W21" s="123">
        <v>0</v>
      </c>
      <c r="X21" s="172">
        <v>0</v>
      </c>
      <c r="Y21" s="123">
        <v>0</v>
      </c>
      <c r="Z21" s="123">
        <v>0</v>
      </c>
      <c r="AA21" s="123">
        <v>0</v>
      </c>
      <c r="AB21" s="123">
        <v>0</v>
      </c>
      <c r="AC21" s="5">
        <v>0</v>
      </c>
      <c r="AD21" s="5">
        <v>0</v>
      </c>
      <c r="AE21" s="5"/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/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F21" s="183">
        <v>0</v>
      </c>
      <c r="BG21" s="185">
        <v>0</v>
      </c>
      <c r="BH21" s="185">
        <v>0</v>
      </c>
      <c r="BI21" s="185">
        <v>0</v>
      </c>
      <c r="BJ21" s="185">
        <v>0</v>
      </c>
      <c r="BK21" s="185">
        <v>0</v>
      </c>
      <c r="BL21" s="185">
        <v>0</v>
      </c>
      <c r="BM21" s="185">
        <v>0</v>
      </c>
      <c r="BN21" s="185">
        <v>0</v>
      </c>
      <c r="BO21" s="185">
        <v>0</v>
      </c>
      <c r="BP21" s="185">
        <v>0</v>
      </c>
      <c r="BQ21" s="193">
        <v>0</v>
      </c>
      <c r="BS21" s="183">
        <v>0</v>
      </c>
      <c r="BT21" s="185">
        <v>0</v>
      </c>
      <c r="BU21" s="185">
        <v>0</v>
      </c>
      <c r="BV21" s="185">
        <v>0</v>
      </c>
      <c r="BW21" s="185">
        <v>0</v>
      </c>
      <c r="BX21" s="183">
        <v>0</v>
      </c>
      <c r="BY21" s="210">
        <v>0</v>
      </c>
      <c r="BZ21" s="103">
        <v>0</v>
      </c>
      <c r="CA21" s="210">
        <v>0</v>
      </c>
      <c r="CB21" s="210">
        <v>0</v>
      </c>
      <c r="CC21" s="210">
        <v>0</v>
      </c>
      <c r="CD21" s="15">
        <v>0</v>
      </c>
      <c r="CF21" s="50">
        <f t="shared" si="8"/>
        <v>0</v>
      </c>
      <c r="CH21" s="304">
        <v>0</v>
      </c>
      <c r="CI21" s="306">
        <v>0</v>
      </c>
      <c r="CJ21" s="306">
        <v>0</v>
      </c>
      <c r="CK21" s="306">
        <v>0</v>
      </c>
      <c r="CL21">
        <v>0</v>
      </c>
      <c r="CM21" s="304">
        <v>0</v>
      </c>
      <c r="CN21" s="355">
        <v>0</v>
      </c>
    </row>
    <row r="22" spans="1:92" ht="14.25">
      <c r="A22" s="14" t="s">
        <v>29</v>
      </c>
      <c r="B22" s="29">
        <v>3110877</v>
      </c>
      <c r="C22" s="15">
        <v>4576955</v>
      </c>
      <c r="D22" s="5">
        <v>9907043</v>
      </c>
      <c r="E22" s="5">
        <v>14921476</v>
      </c>
      <c r="F22" s="15">
        <v>20113390.02</v>
      </c>
      <c r="G22" s="15">
        <v>14923330.24</v>
      </c>
      <c r="H22" s="15">
        <v>15050807.23</v>
      </c>
      <c r="I22" s="167">
        <v>14976884.23</v>
      </c>
      <c r="J22" s="102">
        <v>14902961</v>
      </c>
      <c r="K22" s="102">
        <v>15096038.210000001</v>
      </c>
      <c r="L22" s="97">
        <v>0</v>
      </c>
      <c r="M22" s="97">
        <v>0</v>
      </c>
      <c r="N22" s="97">
        <v>0</v>
      </c>
      <c r="O22" s="97">
        <v>0</v>
      </c>
      <c r="P22" s="97">
        <v>0</v>
      </c>
      <c r="Q22" s="97">
        <v>0</v>
      </c>
      <c r="R22" s="82">
        <v>15459762</v>
      </c>
      <c r="S22" s="123">
        <v>15405509.029999999</v>
      </c>
      <c r="T22" s="147">
        <v>15351256.32</v>
      </c>
      <c r="U22" s="123">
        <v>15351256.32</v>
      </c>
      <c r="V22" s="123">
        <v>15242750.9</v>
      </c>
      <c r="W22" s="123">
        <v>15188498.189999999</v>
      </c>
      <c r="X22" s="172">
        <v>4613176.8899999997</v>
      </c>
      <c r="Y22" s="123">
        <v>4613176.8899999997</v>
      </c>
      <c r="Z22" s="123">
        <v>4613176.8899999997</v>
      </c>
      <c r="AA22" s="123">
        <v>4613176.8899999997</v>
      </c>
      <c r="AB22" s="123">
        <v>4775576.8899999997</v>
      </c>
      <c r="AC22" s="150">
        <v>4662176.8899999997</v>
      </c>
      <c r="AD22" s="150">
        <v>4037546.89</v>
      </c>
      <c r="AE22" s="5">
        <v>14449570</v>
      </c>
      <c r="AF22" s="15">
        <v>4024046.89</v>
      </c>
      <c r="AG22" s="15">
        <v>4037546.89</v>
      </c>
      <c r="AH22" s="15">
        <v>4143213.89</v>
      </c>
      <c r="AI22" s="15">
        <v>2504641.89</v>
      </c>
      <c r="AJ22" s="15">
        <v>2507141.89</v>
      </c>
      <c r="AK22" s="15">
        <v>2509140.89</v>
      </c>
      <c r="AL22" s="15">
        <v>2509140.89</v>
      </c>
      <c r="AM22" s="15">
        <v>2509140.89</v>
      </c>
      <c r="AN22" s="15">
        <v>2509140.89</v>
      </c>
      <c r="AS22" s="15">
        <v>1834787.8400000001</v>
      </c>
      <c r="AT22" s="15">
        <v>1834787.8400000001</v>
      </c>
      <c r="AU22" s="15">
        <v>1848037.84</v>
      </c>
      <c r="AV22" s="15">
        <v>1848037.84</v>
      </c>
      <c r="AW22" s="15">
        <v>1860787.84</v>
      </c>
      <c r="AX22" s="15">
        <v>1860787.84</v>
      </c>
      <c r="AY22" s="15"/>
      <c r="AZ22" s="15">
        <v>1865287.84</v>
      </c>
      <c r="BA22" s="15">
        <v>1887287.84</v>
      </c>
      <c r="BB22" s="15">
        <v>1887287.84</v>
      </c>
      <c r="BC22" s="15">
        <v>1887287.84</v>
      </c>
      <c r="BD22" s="15">
        <v>1887287.84</v>
      </c>
      <c r="BE22" s="160">
        <v>14586623</v>
      </c>
      <c r="BF22" s="188">
        <v>16156929.710000001</v>
      </c>
      <c r="BG22" s="190">
        <v>16156929.710000001</v>
      </c>
      <c r="BH22" s="190">
        <v>16156929.710000001</v>
      </c>
      <c r="BI22" s="190">
        <v>16174639.710000001</v>
      </c>
      <c r="BJ22" s="190">
        <v>16307389.710000001</v>
      </c>
      <c r="BK22" s="190">
        <v>16330246.710000001</v>
      </c>
      <c r="BL22" s="190">
        <v>16579996.710000001</v>
      </c>
      <c r="BM22" s="190">
        <v>16886996.710000001</v>
      </c>
      <c r="BN22" s="190">
        <v>16886996.710000001</v>
      </c>
      <c r="BO22" s="190">
        <v>16886996.710000001</v>
      </c>
      <c r="BP22" s="190">
        <v>16927696.710000001</v>
      </c>
      <c r="BQ22" s="192">
        <v>16943046.710000001</v>
      </c>
      <c r="BR22" s="204">
        <v>14279292</v>
      </c>
      <c r="BS22" s="188">
        <v>16886996.710000001</v>
      </c>
      <c r="BT22" s="190">
        <v>17010546.710000001</v>
      </c>
      <c r="BU22" s="190">
        <v>17116806.710000001</v>
      </c>
      <c r="BV22" s="190">
        <v>17013246.710000001</v>
      </c>
      <c r="BW22" s="190">
        <v>14279292</v>
      </c>
      <c r="BX22" s="188">
        <v>13570535.699999999</v>
      </c>
      <c r="BY22" s="210">
        <v>12570535.699999999</v>
      </c>
      <c r="BZ22" s="102">
        <v>14968599</v>
      </c>
      <c r="CA22" s="210">
        <v>14968599</v>
      </c>
      <c r="CB22" s="210">
        <v>18763160.969999999</v>
      </c>
      <c r="CC22" s="210">
        <v>18763160.969999999</v>
      </c>
      <c r="CD22" s="15">
        <v>32319997.190000001</v>
      </c>
      <c r="CE22" s="286">
        <v>17192646</v>
      </c>
      <c r="CF22" s="50">
        <f t="shared" si="8"/>
        <v>-15127351.190000001</v>
      </c>
      <c r="CG22" s="286">
        <v>17192646</v>
      </c>
      <c r="CH22" s="309">
        <v>14968599</v>
      </c>
      <c r="CI22" s="311">
        <v>27073990.59</v>
      </c>
      <c r="CJ22" s="311">
        <v>27073990.59</v>
      </c>
      <c r="CK22" s="311">
        <v>24197403.149999999</v>
      </c>
      <c r="CL22" s="97">
        <v>24197403.149999999</v>
      </c>
      <c r="CM22" s="309">
        <v>32331926.190000001</v>
      </c>
      <c r="CN22" s="358">
        <v>32331926.190000001</v>
      </c>
    </row>
    <row r="23" spans="1:92" ht="14.25">
      <c r="A23" s="14" t="s">
        <v>30</v>
      </c>
      <c r="B23" s="29"/>
      <c r="C23" s="15">
        <v>0</v>
      </c>
      <c r="D23" s="5"/>
      <c r="E23" s="5"/>
      <c r="F23" s="15">
        <v>0</v>
      </c>
      <c r="G23" s="15">
        <v>0</v>
      </c>
      <c r="H23" s="15">
        <v>0</v>
      </c>
      <c r="I23" s="167">
        <v>0</v>
      </c>
      <c r="J23" s="102">
        <v>0</v>
      </c>
      <c r="K23" s="102">
        <v>0</v>
      </c>
      <c r="L23" s="97">
        <v>0</v>
      </c>
      <c r="M23" s="97">
        <v>0</v>
      </c>
      <c r="N23" s="97">
        <v>0</v>
      </c>
      <c r="O23" s="97">
        <v>0</v>
      </c>
      <c r="P23" s="97">
        <v>0</v>
      </c>
      <c r="Q23" s="97">
        <v>0</v>
      </c>
      <c r="R23" s="2"/>
      <c r="S23" s="123">
        <v>0</v>
      </c>
      <c r="T23" s="147">
        <v>0</v>
      </c>
      <c r="U23" s="123">
        <v>0</v>
      </c>
      <c r="V23" s="123">
        <v>0</v>
      </c>
      <c r="W23" s="123">
        <v>0</v>
      </c>
      <c r="X23" s="172">
        <v>0</v>
      </c>
      <c r="Y23" s="123">
        <v>0</v>
      </c>
      <c r="Z23" s="123">
        <v>0</v>
      </c>
      <c r="AA23" s="123">
        <v>0</v>
      </c>
      <c r="AB23" s="123">
        <v>0</v>
      </c>
      <c r="AC23" s="5">
        <v>0</v>
      </c>
      <c r="AD23" s="5">
        <v>0</v>
      </c>
      <c r="AE23" s="5"/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/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F23" s="188">
        <v>112242728.19</v>
      </c>
      <c r="BG23" s="189">
        <v>0</v>
      </c>
      <c r="BH23" s="189">
        <v>0</v>
      </c>
      <c r="BI23" s="190">
        <v>110672119.53</v>
      </c>
      <c r="BJ23" s="189">
        <v>0</v>
      </c>
      <c r="BK23" s="189">
        <v>0</v>
      </c>
      <c r="BL23" s="189">
        <v>0</v>
      </c>
      <c r="BM23" s="189">
        <v>0</v>
      </c>
      <c r="BN23" s="189">
        <v>0</v>
      </c>
      <c r="BO23" s="189">
        <v>0</v>
      </c>
      <c r="BP23" s="189">
        <v>0</v>
      </c>
      <c r="BQ23" s="193">
        <v>0</v>
      </c>
      <c r="BR23" s="204"/>
      <c r="BS23" s="187">
        <v>0</v>
      </c>
      <c r="BT23" s="189">
        <v>0</v>
      </c>
      <c r="BU23" s="189">
        <v>0</v>
      </c>
      <c r="BV23" s="189">
        <v>0</v>
      </c>
      <c r="BW23" s="189">
        <v>0</v>
      </c>
      <c r="BX23" s="187">
        <v>0</v>
      </c>
      <c r="BY23" s="210">
        <v>0</v>
      </c>
      <c r="BZ23" s="102"/>
      <c r="CA23" s="210">
        <v>0</v>
      </c>
      <c r="CB23" s="210">
        <v>0</v>
      </c>
      <c r="CC23" s="210">
        <v>0</v>
      </c>
      <c r="CD23" s="15">
        <v>0</v>
      </c>
      <c r="CF23" s="50">
        <f t="shared" si="8"/>
        <v>0</v>
      </c>
      <c r="CH23" s="308">
        <v>0</v>
      </c>
      <c r="CI23" s="310">
        <v>0</v>
      </c>
      <c r="CJ23" s="310">
        <v>0</v>
      </c>
      <c r="CK23" s="310">
        <v>0</v>
      </c>
      <c r="CL23">
        <v>0</v>
      </c>
      <c r="CM23" s="308">
        <v>0</v>
      </c>
      <c r="CN23" s="357">
        <v>0</v>
      </c>
    </row>
    <row r="24" spans="1:92" ht="14.25">
      <c r="A24" s="14" t="s">
        <v>31</v>
      </c>
      <c r="B24" s="29">
        <v>152185</v>
      </c>
      <c r="C24" s="15">
        <v>0</v>
      </c>
      <c r="D24" s="5"/>
      <c r="E24" s="5">
        <v>2148552</v>
      </c>
      <c r="F24" s="15">
        <v>1268881.8700000001</v>
      </c>
      <c r="G24" s="15">
        <v>2041124.4</v>
      </c>
      <c r="H24" s="15">
        <v>1987410.6</v>
      </c>
      <c r="I24" s="167">
        <v>2082286.8</v>
      </c>
      <c r="J24" s="102">
        <v>2024446</v>
      </c>
      <c r="K24" s="102">
        <v>1966604.2</v>
      </c>
      <c r="L24" s="97">
        <v>0</v>
      </c>
      <c r="M24" s="97">
        <v>0</v>
      </c>
      <c r="N24" s="97">
        <v>0</v>
      </c>
      <c r="O24" s="97">
        <v>0</v>
      </c>
      <c r="P24" s="97">
        <v>0</v>
      </c>
      <c r="Q24" s="97">
        <v>0</v>
      </c>
      <c r="R24" s="82">
        <v>1619556</v>
      </c>
      <c r="S24" s="123">
        <v>1655392.51</v>
      </c>
      <c r="T24" s="147">
        <v>1695881.42</v>
      </c>
      <c r="U24" s="123">
        <v>1695881.42</v>
      </c>
      <c r="V24" s="123">
        <v>1457600.76</v>
      </c>
      <c r="W24" s="123">
        <v>1417111.85</v>
      </c>
      <c r="X24" s="172">
        <v>4120044</v>
      </c>
      <c r="Y24" s="123">
        <v>4120044</v>
      </c>
      <c r="Z24" s="123">
        <v>4120044</v>
      </c>
      <c r="AA24" s="123">
        <v>4120044</v>
      </c>
      <c r="AB24" s="123">
        <v>4120044</v>
      </c>
      <c r="AC24" s="150">
        <v>4282444</v>
      </c>
      <c r="AD24" s="150">
        <v>4282444</v>
      </c>
      <c r="AE24" s="150">
        <v>4282444</v>
      </c>
      <c r="AF24" s="15">
        <v>4282444</v>
      </c>
      <c r="AG24" s="15">
        <v>4282444</v>
      </c>
      <c r="AH24" s="15">
        <v>4282444</v>
      </c>
      <c r="AI24" s="15">
        <v>5897348</v>
      </c>
      <c r="AJ24" s="15">
        <v>5897348</v>
      </c>
      <c r="AK24" s="15">
        <v>5897348</v>
      </c>
      <c r="AL24" s="15">
        <v>5897348</v>
      </c>
      <c r="AM24" s="15">
        <v>5897348</v>
      </c>
      <c r="AN24" s="15">
        <v>5897348</v>
      </c>
      <c r="AS24" s="15">
        <v>2142518.7000000002</v>
      </c>
      <c r="AT24" s="15">
        <v>2142518.7000000002</v>
      </c>
      <c r="AU24" s="15">
        <v>2142518.7000000002</v>
      </c>
      <c r="AV24" s="15">
        <v>2142518.7000000002</v>
      </c>
      <c r="AW24" s="15">
        <v>2142518.7000000002</v>
      </c>
      <c r="AX24" s="15">
        <v>2404076.7000000002</v>
      </c>
      <c r="AY24" s="15"/>
      <c r="AZ24" s="15">
        <v>2799001.7</v>
      </c>
      <c r="BA24" s="15">
        <v>2874351.7</v>
      </c>
      <c r="BB24" s="15">
        <v>2885676.7</v>
      </c>
      <c r="BC24" s="15">
        <v>2985676.7</v>
      </c>
      <c r="BD24" s="15">
        <v>2985676.7</v>
      </c>
      <c r="BE24" s="160">
        <v>2089974</v>
      </c>
      <c r="BF24" s="188">
        <v>1723461.83</v>
      </c>
      <c r="BG24" s="190">
        <v>1798461.83</v>
      </c>
      <c r="BH24" s="190">
        <v>1798461.83</v>
      </c>
      <c r="BI24" s="190">
        <v>1846661.83</v>
      </c>
      <c r="BJ24" s="190">
        <v>1846661.83</v>
      </c>
      <c r="BK24" s="190">
        <v>1846661.83</v>
      </c>
      <c r="BL24" s="190">
        <v>1846661.83</v>
      </c>
      <c r="BM24" s="190">
        <v>2118861.83</v>
      </c>
      <c r="BN24" s="190">
        <v>2118861.83</v>
      </c>
      <c r="BO24" s="190">
        <v>2118861.83</v>
      </c>
      <c r="BP24" s="190">
        <v>2158861.83</v>
      </c>
      <c r="BQ24" s="192">
        <v>2158861.83</v>
      </c>
      <c r="BR24" s="204">
        <v>1462982</v>
      </c>
      <c r="BS24" s="188">
        <v>2118861.83</v>
      </c>
      <c r="BT24" s="190">
        <v>2158861.83</v>
      </c>
      <c r="BU24" s="190">
        <v>2158861.83</v>
      </c>
      <c r="BV24" s="190">
        <v>2258861.83</v>
      </c>
      <c r="BW24" s="190">
        <v>1462982</v>
      </c>
      <c r="BX24" s="188">
        <v>7110806</v>
      </c>
      <c r="BY24" s="210">
        <v>9257455.5999999996</v>
      </c>
      <c r="BZ24" s="102">
        <v>9257455.5999999996</v>
      </c>
      <c r="CA24" s="210">
        <v>9257455.5999999996</v>
      </c>
      <c r="CB24" s="210">
        <v>20958246.52</v>
      </c>
      <c r="CC24" s="210">
        <v>20958246.52</v>
      </c>
      <c r="CD24" s="15">
        <v>8778560.7200000007</v>
      </c>
      <c r="CE24" s="286">
        <v>2526742</v>
      </c>
      <c r="CF24" s="50">
        <f t="shared" si="8"/>
        <v>-6251818.7200000007</v>
      </c>
      <c r="CG24" s="286">
        <v>2526742</v>
      </c>
      <c r="CH24" s="309">
        <v>2876587.44</v>
      </c>
      <c r="CI24" s="311">
        <v>2876587.44</v>
      </c>
      <c r="CJ24" s="311">
        <v>2876587.44</v>
      </c>
      <c r="CK24" s="311">
        <v>2876587.44</v>
      </c>
      <c r="CL24" s="97">
        <v>2876587.44</v>
      </c>
      <c r="CM24" s="309">
        <v>8778560.7200000007</v>
      </c>
      <c r="CN24" s="358">
        <v>8778560.7200000007</v>
      </c>
    </row>
    <row r="25" spans="1:92" ht="14.25">
      <c r="A25" s="14" t="s">
        <v>32</v>
      </c>
      <c r="B25" s="29">
        <v>11745668</v>
      </c>
      <c r="C25" s="15">
        <v>5778913</v>
      </c>
      <c r="D25" s="5">
        <v>13538504</v>
      </c>
      <c r="E25" s="5">
        <v>23069904</v>
      </c>
      <c r="F25" s="15">
        <v>0</v>
      </c>
      <c r="G25" s="15">
        <v>20566632.640000001</v>
      </c>
      <c r="H25" s="15">
        <v>12951402.619999999</v>
      </c>
      <c r="I25" s="167">
        <v>13608935.630000001</v>
      </c>
      <c r="J25" s="104">
        <f>488647+12452420</f>
        <v>12941067</v>
      </c>
      <c r="K25" s="104">
        <v>12838545.280000001</v>
      </c>
      <c r="L25" s="97">
        <v>0</v>
      </c>
      <c r="M25" s="97">
        <v>0</v>
      </c>
      <c r="N25" s="97">
        <v>0</v>
      </c>
      <c r="O25" s="97">
        <v>0</v>
      </c>
      <c r="P25" s="97">
        <v>0</v>
      </c>
      <c r="Q25" s="97">
        <v>0</v>
      </c>
      <c r="R25" s="82">
        <f>389280+25343078</f>
        <v>25732358</v>
      </c>
      <c r="S25" s="123">
        <v>25343078</v>
      </c>
      <c r="T25" s="147">
        <v>25343078</v>
      </c>
      <c r="U25" s="123">
        <v>25343078</v>
      </c>
      <c r="V25" s="123">
        <v>33779943</v>
      </c>
      <c r="W25" s="123">
        <v>33779943</v>
      </c>
      <c r="X25" s="172">
        <v>14270892</v>
      </c>
      <c r="Y25" s="123">
        <v>14270892</v>
      </c>
      <c r="Z25" s="123">
        <v>14270892</v>
      </c>
      <c r="AA25" s="123">
        <v>14270892</v>
      </c>
      <c r="AB25" s="123">
        <v>14270892</v>
      </c>
      <c r="AC25" s="150">
        <v>14270892</v>
      </c>
      <c r="AD25" s="150">
        <v>14270892</v>
      </c>
      <c r="AE25" s="5">
        <f>7753599+227275</f>
        <v>7980874</v>
      </c>
      <c r="AF25" s="15">
        <v>14270892</v>
      </c>
      <c r="AG25" s="15">
        <v>14270892</v>
      </c>
      <c r="AH25" s="15">
        <v>14270892</v>
      </c>
      <c r="AI25" s="15">
        <v>14270892</v>
      </c>
      <c r="AJ25" s="15">
        <v>14270892</v>
      </c>
      <c r="AK25" s="15">
        <v>14270892</v>
      </c>
      <c r="AL25" s="15">
        <v>14270892</v>
      </c>
      <c r="AM25" s="15">
        <v>14282892</v>
      </c>
      <c r="AN25" s="15">
        <v>14282892</v>
      </c>
      <c r="AS25" s="15">
        <v>12716827</v>
      </c>
      <c r="AT25" s="15">
        <v>12716827</v>
      </c>
      <c r="AU25" s="15">
        <v>12716827</v>
      </c>
      <c r="AV25" s="15">
        <v>12730527</v>
      </c>
      <c r="AW25" s="15">
        <v>12730527</v>
      </c>
      <c r="AX25" s="15">
        <v>12916527</v>
      </c>
      <c r="AY25" s="15"/>
      <c r="AZ25" s="15">
        <v>12916527</v>
      </c>
      <c r="BA25" s="15">
        <v>13007127</v>
      </c>
      <c r="BB25" s="15">
        <v>13007127</v>
      </c>
      <c r="BC25" s="15">
        <v>13007127</v>
      </c>
      <c r="BD25" s="15">
        <v>13007127</v>
      </c>
      <c r="BE25" s="161">
        <v>114835602</v>
      </c>
      <c r="BF25" s="187">
        <v>0</v>
      </c>
      <c r="BG25" s="190">
        <v>103384902.87</v>
      </c>
      <c r="BH25" s="190">
        <v>114543991.65000001</v>
      </c>
      <c r="BI25" s="189">
        <v>0</v>
      </c>
      <c r="BJ25" s="190">
        <v>99932503.349999994</v>
      </c>
      <c r="BK25" s="190">
        <v>113216269.14</v>
      </c>
      <c r="BL25" s="190">
        <v>113216269.14</v>
      </c>
      <c r="BM25" s="190">
        <v>113216269.14</v>
      </c>
      <c r="BN25" s="190">
        <v>114796186.16</v>
      </c>
      <c r="BO25" s="190">
        <v>113216269.14</v>
      </c>
      <c r="BP25" s="190">
        <v>113216269.14</v>
      </c>
      <c r="BQ25" s="192">
        <v>110177601.63</v>
      </c>
      <c r="BS25" s="188">
        <v>110193726.06</v>
      </c>
      <c r="BT25" s="190">
        <v>113630240.98999999</v>
      </c>
      <c r="BU25" s="190">
        <v>112347446.13</v>
      </c>
      <c r="BV25" s="190">
        <v>114361474.08</v>
      </c>
      <c r="BW25" s="190">
        <v>113216269.14</v>
      </c>
      <c r="BX25" s="188">
        <v>128523077.04000001</v>
      </c>
      <c r="BY25" s="210">
        <v>113216269.14</v>
      </c>
      <c r="BZ25" s="104">
        <v>120609095.92</v>
      </c>
      <c r="CA25" s="210">
        <v>103764151.09999999</v>
      </c>
      <c r="CB25" s="210">
        <v>82311828.099999994</v>
      </c>
      <c r="CC25" s="210">
        <v>82311828.099999994</v>
      </c>
      <c r="CD25" s="15">
        <v>69947005.569999993</v>
      </c>
      <c r="CE25" s="286">
        <v>113235871</v>
      </c>
      <c r="CF25" s="50">
        <f t="shared" si="8"/>
        <v>43288865.430000007</v>
      </c>
      <c r="CG25" s="286">
        <v>113235871</v>
      </c>
      <c r="CH25" s="309">
        <v>9270804.1500000004</v>
      </c>
      <c r="CI25" s="311">
        <v>65155096.850000001</v>
      </c>
      <c r="CJ25" s="311">
        <v>55337096.380000003</v>
      </c>
      <c r="CK25" s="311">
        <v>57662750.479999997</v>
      </c>
      <c r="CL25" s="97">
        <v>60110337.619999997</v>
      </c>
      <c r="CM25" s="309">
        <v>54604600.590000004</v>
      </c>
      <c r="CN25" s="358">
        <v>42014622.759999998</v>
      </c>
    </row>
    <row r="26" spans="1:92" ht="14.25">
      <c r="A26" s="13" t="s">
        <v>33</v>
      </c>
      <c r="B26" s="68">
        <f t="shared" ref="B26:R26" si="37">B20+B16+B13+B8+B7+B4</f>
        <v>320889783</v>
      </c>
      <c r="C26" s="68">
        <f t="shared" si="37"/>
        <v>272305757</v>
      </c>
      <c r="D26" s="84">
        <f t="shared" si="37"/>
        <v>285464131</v>
      </c>
      <c r="E26" s="84">
        <f t="shared" si="37"/>
        <v>301184793</v>
      </c>
      <c r="F26" s="84">
        <f t="shared" si="37"/>
        <v>275778651.92000002</v>
      </c>
      <c r="G26" s="84">
        <f t="shared" si="37"/>
        <v>305789385.14999998</v>
      </c>
      <c r="H26" s="84">
        <f t="shared" si="37"/>
        <v>286193336.12</v>
      </c>
      <c r="I26" s="84">
        <f t="shared" si="37"/>
        <v>271754901.46999997</v>
      </c>
      <c r="J26" s="84">
        <f t="shared" si="37"/>
        <v>264013949.63</v>
      </c>
      <c r="K26" s="84">
        <f t="shared" si="37"/>
        <v>255570988.94999999</v>
      </c>
      <c r="L26" s="84">
        <f t="shared" si="37"/>
        <v>0</v>
      </c>
      <c r="M26" s="84">
        <f t="shared" si="37"/>
        <v>0</v>
      </c>
      <c r="N26" s="84">
        <f t="shared" si="37"/>
        <v>0</v>
      </c>
      <c r="O26" s="84">
        <f t="shared" si="37"/>
        <v>0</v>
      </c>
      <c r="P26" s="84">
        <f t="shared" si="37"/>
        <v>0</v>
      </c>
      <c r="Q26" s="121">
        <f t="shared" si="37"/>
        <v>0</v>
      </c>
      <c r="R26" s="84">
        <f t="shared" si="37"/>
        <v>239814485.40000001</v>
      </c>
      <c r="S26" s="84">
        <f t="shared" ref="S26:X26" si="38">S20+S16+S13+S8+S7+S4</f>
        <v>260603861.00999999</v>
      </c>
      <c r="T26" s="121">
        <f t="shared" si="38"/>
        <v>253673419.51999998</v>
      </c>
      <c r="U26" s="84">
        <f t="shared" si="38"/>
        <v>253943995.82999998</v>
      </c>
      <c r="V26" s="84">
        <f t="shared" si="38"/>
        <v>235558046.79999998</v>
      </c>
      <c r="W26" s="84">
        <f t="shared" si="38"/>
        <v>218763634.40000001</v>
      </c>
      <c r="X26" s="84">
        <f t="shared" si="38"/>
        <v>238879229.58000004</v>
      </c>
      <c r="Y26" s="84">
        <f t="shared" ref="Y26:AD26" si="39">Y20+Y16+Y13+Y8+Y7+Y4</f>
        <v>237786798.03</v>
      </c>
      <c r="Z26" s="84">
        <f t="shared" si="39"/>
        <v>248168797.08000001</v>
      </c>
      <c r="AA26" s="84">
        <f t="shared" si="39"/>
        <v>242293560.40000004</v>
      </c>
      <c r="AB26" s="84">
        <f t="shared" si="39"/>
        <v>229558103.76999998</v>
      </c>
      <c r="AC26" s="84">
        <f t="shared" si="39"/>
        <v>224451147.60000002</v>
      </c>
      <c r="AD26" s="84">
        <f t="shared" si="39"/>
        <v>217113524.61000001</v>
      </c>
      <c r="AE26" s="84">
        <f>AE20+AE16+AE13+AE8+AE7+AE4</f>
        <v>220441088.30000001</v>
      </c>
      <c r="AF26" s="84">
        <f t="shared" ref="AF26:AK26" si="40">AF20+AF16+AF13+AF8+AF7+AF4</f>
        <v>207186555.28999999</v>
      </c>
      <c r="AG26" s="84">
        <f t="shared" si="40"/>
        <v>222149511.00999999</v>
      </c>
      <c r="AH26" s="84">
        <f t="shared" si="40"/>
        <v>205752864.19999999</v>
      </c>
      <c r="AI26" s="84">
        <f t="shared" si="40"/>
        <v>199915526.92000002</v>
      </c>
      <c r="AJ26" s="84">
        <f t="shared" si="40"/>
        <v>201059192.10000002</v>
      </c>
      <c r="AK26" s="84">
        <f t="shared" si="40"/>
        <v>197332969.19999999</v>
      </c>
      <c r="AL26" s="84">
        <f>AL20+AL16+AL13+AL8+AL7+AL4</f>
        <v>211379265.53000003</v>
      </c>
      <c r="AM26" s="84">
        <f>AM20+AM16+AM13+AM8+AM7+AM4</f>
        <v>215469395.27000001</v>
      </c>
      <c r="AN26" s="84">
        <f>AN20+AN16+AN13+AN8+AN7+AN4</f>
        <v>216445698.73000002</v>
      </c>
      <c r="AO26" s="84">
        <f t="shared" ref="AO26:BY26" si="41">AO20+AO16+AO13+AO8+AO7+AO4</f>
        <v>0</v>
      </c>
      <c r="AP26" s="84">
        <f t="shared" si="41"/>
        <v>0</v>
      </c>
      <c r="AQ26" s="84">
        <f t="shared" si="41"/>
        <v>0</v>
      </c>
      <c r="AR26" s="84">
        <f t="shared" si="41"/>
        <v>0</v>
      </c>
      <c r="AS26" s="84">
        <f t="shared" si="41"/>
        <v>86229077.879999995</v>
      </c>
      <c r="AT26" s="84">
        <f t="shared" si="41"/>
        <v>180663691.56</v>
      </c>
      <c r="AU26" s="84">
        <f t="shared" si="41"/>
        <v>190999163.46000001</v>
      </c>
      <c r="AV26" s="84">
        <f t="shared" si="41"/>
        <v>187364895.71000001</v>
      </c>
      <c r="AW26" s="84">
        <f t="shared" si="41"/>
        <v>190629937.70000005</v>
      </c>
      <c r="AX26" s="84">
        <f t="shared" si="41"/>
        <v>199648110.69999999</v>
      </c>
      <c r="AY26" s="84">
        <f t="shared" si="41"/>
        <v>0</v>
      </c>
      <c r="AZ26" s="84">
        <f t="shared" si="41"/>
        <v>191902926.70000005</v>
      </c>
      <c r="BA26" s="84">
        <f t="shared" si="41"/>
        <v>194182248.91</v>
      </c>
      <c r="BB26" s="84">
        <f t="shared" si="41"/>
        <v>201010719.06999999</v>
      </c>
      <c r="BC26" s="84">
        <f t="shared" si="41"/>
        <v>199166975.48000002</v>
      </c>
      <c r="BD26" s="84">
        <f t="shared" si="41"/>
        <v>206165056.87</v>
      </c>
      <c r="BE26" s="84">
        <f t="shared" si="41"/>
        <v>189713880</v>
      </c>
      <c r="BF26" s="84">
        <f t="shared" si="41"/>
        <v>196185603.90000001</v>
      </c>
      <c r="BG26" s="84">
        <f t="shared" si="41"/>
        <v>182430062.39000002</v>
      </c>
      <c r="BH26" s="84">
        <f t="shared" si="41"/>
        <v>192356439.31</v>
      </c>
      <c r="BI26" s="84">
        <f t="shared" si="41"/>
        <v>183886245.36000001</v>
      </c>
      <c r="BJ26" s="84">
        <f t="shared" si="41"/>
        <v>181022050.72999996</v>
      </c>
      <c r="BK26" s="84">
        <f t="shared" si="41"/>
        <v>197176700.87000003</v>
      </c>
      <c r="BL26" s="84">
        <f t="shared" si="41"/>
        <v>180626522.55000001</v>
      </c>
      <c r="BM26" s="84">
        <f t="shared" si="41"/>
        <v>178809831.99000001</v>
      </c>
      <c r="BN26" s="84">
        <f t="shared" si="41"/>
        <v>178636311.66000003</v>
      </c>
      <c r="BO26" s="84">
        <f t="shared" si="41"/>
        <v>159596418.80000001</v>
      </c>
      <c r="BP26" s="84">
        <f t="shared" si="41"/>
        <v>177024908.56000003</v>
      </c>
      <c r="BQ26" s="191">
        <f t="shared" si="41"/>
        <v>179947134.92000002</v>
      </c>
      <c r="BR26" s="205">
        <f t="shared" si="41"/>
        <v>203285421</v>
      </c>
      <c r="BS26" s="205">
        <f t="shared" si="41"/>
        <v>178689742.17000002</v>
      </c>
      <c r="BT26" s="205">
        <f t="shared" si="41"/>
        <v>186507907.03</v>
      </c>
      <c r="BU26" s="205">
        <f t="shared" si="41"/>
        <v>191457225.91999999</v>
      </c>
      <c r="BV26" s="205">
        <f t="shared" si="41"/>
        <v>185030610.59999999</v>
      </c>
      <c r="BW26" s="205">
        <f t="shared" si="41"/>
        <v>201406036.56999999</v>
      </c>
      <c r="BX26" s="205">
        <f t="shared" si="41"/>
        <v>208867376.92000002</v>
      </c>
      <c r="BY26" s="205">
        <f t="shared" si="41"/>
        <v>204244420.28000003</v>
      </c>
      <c r="BZ26" s="205">
        <f t="shared" ref="BZ26:CF26" si="42">BZ20+BZ16+BZ13+BZ8+BZ7+BZ4</f>
        <v>203447183.91000003</v>
      </c>
      <c r="CA26" s="205">
        <f t="shared" si="42"/>
        <v>193355197.63</v>
      </c>
      <c r="CB26" s="205">
        <f t="shared" si="42"/>
        <v>190581861.73000002</v>
      </c>
      <c r="CC26" s="205">
        <f t="shared" si="42"/>
        <v>202223471.53999999</v>
      </c>
      <c r="CD26" s="205">
        <f t="shared" si="42"/>
        <v>189730008.79000002</v>
      </c>
      <c r="CE26" s="205">
        <f>CE20+CE16+CE13+CE8+CE7+CE4</f>
        <v>219787161</v>
      </c>
      <c r="CF26" s="50">
        <f t="shared" si="8"/>
        <v>30057152.209999979</v>
      </c>
      <c r="CG26" s="205">
        <f>CG20+CG16+CG13+CG8+CG7+CG4</f>
        <v>219787161</v>
      </c>
      <c r="CH26" s="205">
        <f t="shared" ref="CH26:CN26" si="43">CH20+CH16+CH13+CH8+CH7+CH4</f>
        <v>177762693.96000001</v>
      </c>
      <c r="CI26" s="205">
        <f t="shared" si="43"/>
        <v>177804769.91999999</v>
      </c>
      <c r="CJ26" s="205">
        <f t="shared" si="43"/>
        <v>170982847.60000002</v>
      </c>
      <c r="CK26" s="205">
        <f t="shared" si="43"/>
        <v>170862919.75999999</v>
      </c>
      <c r="CL26" s="205">
        <f t="shared" si="43"/>
        <v>169953060.31</v>
      </c>
      <c r="CM26" s="205">
        <f t="shared" si="43"/>
        <v>175276040.42000002</v>
      </c>
      <c r="CN26" s="205">
        <f t="shared" si="43"/>
        <v>176384951.15000001</v>
      </c>
    </row>
    <row r="27" spans="1:92" ht="15" customHeight="1">
      <c r="A27" s="14" t="s">
        <v>34</v>
      </c>
      <c r="B27" s="29">
        <v>57969061</v>
      </c>
      <c r="C27" s="15">
        <f>28636276+1891321+3132613</f>
        <v>33660210</v>
      </c>
      <c r="D27" s="5">
        <f>24367647-7748319</f>
        <v>16619328</v>
      </c>
      <c r="E27" s="5">
        <v>17947544</v>
      </c>
      <c r="F27" s="15">
        <v>-6391944.5</v>
      </c>
      <c r="G27" s="15">
        <v>5076590.95</v>
      </c>
      <c r="H27" s="15">
        <v>4654413.07</v>
      </c>
      <c r="I27" s="167">
        <v>31282275.93</v>
      </c>
      <c r="J27" s="102">
        <v>-4342846.38</v>
      </c>
      <c r="K27" s="102">
        <v>-12144472.76</v>
      </c>
      <c r="L27" s="97">
        <v>0</v>
      </c>
      <c r="M27" s="97">
        <v>0</v>
      </c>
      <c r="N27" s="97">
        <v>0</v>
      </c>
      <c r="O27" s="97">
        <v>0</v>
      </c>
      <c r="P27" s="97">
        <v>0</v>
      </c>
      <c r="Q27" s="97">
        <v>0</v>
      </c>
      <c r="R27" s="2">
        <f>-31816265</f>
        <v>-31816265</v>
      </c>
      <c r="S27" s="123">
        <v>-14709981.73</v>
      </c>
      <c r="T27" s="147">
        <v>-10364619.449999999</v>
      </c>
      <c r="U27" s="123">
        <v>-10364619.449999999</v>
      </c>
      <c r="V27" s="123">
        <v>-20482010.789999999</v>
      </c>
      <c r="W27" s="123">
        <v>-20440728.859999999</v>
      </c>
      <c r="X27" s="173">
        <v>-30667169.030000001</v>
      </c>
      <c r="Y27" s="123">
        <v>-41219533.039999999</v>
      </c>
      <c r="Z27" s="123">
        <v>-27431795.920000002</v>
      </c>
      <c r="AA27" s="123">
        <v>-31307044.210000001</v>
      </c>
      <c r="AB27" s="123">
        <v>-35640906.659999996</v>
      </c>
      <c r="AC27" s="5">
        <v>-26085448.059999999</v>
      </c>
      <c r="AD27" s="5">
        <v>-38924042.439999998</v>
      </c>
      <c r="AE27" s="5">
        <v>-28293693</v>
      </c>
      <c r="AF27" s="15">
        <v>-38190432.740000002</v>
      </c>
      <c r="AG27" s="15">
        <v>-35194936.200000003</v>
      </c>
      <c r="AH27" s="15">
        <v>-53133635.57</v>
      </c>
      <c r="AI27" s="15">
        <v>-54864721.009999998</v>
      </c>
      <c r="AJ27" s="15">
        <v>-52818305.259999998</v>
      </c>
      <c r="AK27" s="15">
        <v>-49017961.579999998</v>
      </c>
      <c r="AL27" s="15">
        <v>-45818016.369999997</v>
      </c>
      <c r="AM27" s="15">
        <v>-43282955.810000002</v>
      </c>
      <c r="AN27" s="15">
        <v>-42991537.609999999</v>
      </c>
      <c r="AS27" s="15">
        <v>-42065361.990000002</v>
      </c>
      <c r="AT27" s="15">
        <v>50344997.479999997</v>
      </c>
      <c r="AU27" s="15">
        <v>42591064.07</v>
      </c>
      <c r="AV27" s="15">
        <v>44047926.590000004</v>
      </c>
      <c r="AW27" s="15">
        <v>48511187.5</v>
      </c>
      <c r="AX27" s="15">
        <v>54283435.219999999</v>
      </c>
      <c r="AY27" s="15"/>
      <c r="AZ27" s="15">
        <v>41897611.229999997</v>
      </c>
      <c r="BA27" s="15">
        <v>41756058.689999998</v>
      </c>
      <c r="BB27" s="15">
        <v>42954284.859999999</v>
      </c>
      <c r="BC27" s="15">
        <v>43763547.759999998</v>
      </c>
      <c r="BD27" s="15">
        <v>44982408.670000002</v>
      </c>
      <c r="BE27" s="160">
        <v>43898703</v>
      </c>
      <c r="BF27" s="184">
        <v>26898173.039999999</v>
      </c>
      <c r="BG27" s="186">
        <v>32087693.77</v>
      </c>
      <c r="BH27" s="186">
        <v>21912102.039999999</v>
      </c>
      <c r="BI27" s="186">
        <v>27076837.370000001</v>
      </c>
      <c r="BJ27" s="186">
        <v>26916312.920000002</v>
      </c>
      <c r="BK27" s="186">
        <v>28129937.649999999</v>
      </c>
      <c r="BL27" s="186">
        <v>26635919.760000002</v>
      </c>
      <c r="BM27" s="186">
        <v>26925026.879999999</v>
      </c>
      <c r="BN27" s="186">
        <v>22789620.82</v>
      </c>
      <c r="BO27" s="186">
        <v>23996161.579999998</v>
      </c>
      <c r="BP27" s="186">
        <v>23691499.539999999</v>
      </c>
      <c r="BQ27" s="192">
        <v>24455795.18</v>
      </c>
      <c r="BR27" s="204">
        <v>38360675</v>
      </c>
      <c r="BS27" s="184">
        <v>23748642.25</v>
      </c>
      <c r="BT27" s="186">
        <v>28356816.41</v>
      </c>
      <c r="BU27" s="186">
        <v>30300776.149999999</v>
      </c>
      <c r="BV27" s="186">
        <v>28660541.629999999</v>
      </c>
      <c r="BW27" s="186">
        <v>42808668.619999997</v>
      </c>
      <c r="BX27" s="184">
        <v>42308174.590000004</v>
      </c>
      <c r="BY27" s="210">
        <v>41499014.280000001</v>
      </c>
      <c r="BZ27" s="102">
        <v>41446925.600000001</v>
      </c>
      <c r="CA27" s="210">
        <v>45245395.909999996</v>
      </c>
      <c r="CB27" s="210">
        <v>42520865.82</v>
      </c>
      <c r="CC27" s="210">
        <v>41857694.020000003</v>
      </c>
      <c r="CD27" s="15">
        <v>41053074.560000002</v>
      </c>
      <c r="CE27" s="289">
        <v>41044632</v>
      </c>
      <c r="CF27" s="50">
        <f t="shared" si="8"/>
        <v>-8442.5600000023842</v>
      </c>
      <c r="CG27" s="289">
        <v>41044632</v>
      </c>
      <c r="CH27" s="305">
        <v>43082502.530000001</v>
      </c>
      <c r="CI27" s="307">
        <v>40082531.75</v>
      </c>
      <c r="CJ27" s="307">
        <v>36607691.159999996</v>
      </c>
      <c r="CK27" s="307">
        <v>35997992.450000003</v>
      </c>
      <c r="CL27" s="97">
        <v>35020597.640000001</v>
      </c>
      <c r="CM27" s="305">
        <v>35973686.890000001</v>
      </c>
      <c r="CN27" s="356">
        <v>36040153.630000003</v>
      </c>
    </row>
    <row r="28" spans="1:92" ht="14.25">
      <c r="A28" s="14" t="s">
        <v>35</v>
      </c>
      <c r="B28" s="29"/>
      <c r="C28" s="15">
        <v>7112519</v>
      </c>
      <c r="D28" s="5">
        <v>7748319</v>
      </c>
      <c r="E28" s="5"/>
      <c r="F28" s="15">
        <v>0</v>
      </c>
      <c r="G28" s="15">
        <v>16697146.18</v>
      </c>
      <c r="H28" s="15">
        <v>13713413</v>
      </c>
      <c r="I28" s="167">
        <v>2237547</v>
      </c>
      <c r="J28" s="103">
        <v>2281417</v>
      </c>
      <c r="K28" s="103">
        <v>2137430.33</v>
      </c>
      <c r="L28" s="97">
        <v>0</v>
      </c>
      <c r="M28" s="97">
        <v>0</v>
      </c>
      <c r="N28" s="97">
        <v>0</v>
      </c>
      <c r="O28" s="97">
        <v>0</v>
      </c>
      <c r="P28" s="97">
        <v>0</v>
      </c>
      <c r="Q28" s="97">
        <v>0</v>
      </c>
      <c r="R28" s="2"/>
      <c r="S28" s="123">
        <v>11125695.84</v>
      </c>
      <c r="T28" s="147">
        <v>476276.34</v>
      </c>
      <c r="U28" s="123">
        <v>476276.34</v>
      </c>
      <c r="V28" s="123">
        <v>479276.34</v>
      </c>
      <c r="W28" s="123">
        <v>465276.34</v>
      </c>
      <c r="X28" s="173">
        <v>159985074.75</v>
      </c>
      <c r="Y28" s="123">
        <v>348116.94</v>
      </c>
      <c r="Z28" s="123">
        <v>424657.25</v>
      </c>
      <c r="AA28" s="123">
        <v>410624.25</v>
      </c>
      <c r="AB28" s="123">
        <v>59541.31</v>
      </c>
      <c r="AC28" s="5">
        <v>213125.25</v>
      </c>
      <c r="AD28" s="5">
        <v>208708.25</v>
      </c>
      <c r="AE28" s="5"/>
      <c r="AF28" s="15">
        <v>176675.25</v>
      </c>
      <c r="AG28" s="15">
        <v>144105.95000000001</v>
      </c>
      <c r="AH28" s="15">
        <v>0</v>
      </c>
      <c r="AI28" s="15">
        <v>153105.95000000001</v>
      </c>
      <c r="AJ28" s="15">
        <v>151069.95000000001</v>
      </c>
      <c r="AK28" s="15">
        <v>151569.95000000001</v>
      </c>
      <c r="AL28" s="15">
        <v>152069.95000000001</v>
      </c>
      <c r="AM28" s="15">
        <v>152569.95000000001</v>
      </c>
      <c r="AN28" s="15">
        <v>153069.95000000001</v>
      </c>
      <c r="AS28" s="15">
        <v>155069.95000000001</v>
      </c>
      <c r="AT28" s="15">
        <v>155569.95000000001</v>
      </c>
      <c r="AU28" s="15">
        <v>156069.95000000001</v>
      </c>
      <c r="AV28" s="15">
        <v>156569.95000000001</v>
      </c>
      <c r="AW28" s="15">
        <v>151033.95000000001</v>
      </c>
      <c r="AX28" s="15">
        <v>151533.95000000001</v>
      </c>
      <c r="AY28" s="15"/>
      <c r="AZ28" s="15">
        <v>155244.35</v>
      </c>
      <c r="BA28" s="15">
        <v>200321.55</v>
      </c>
      <c r="BB28" s="15">
        <v>202321.55</v>
      </c>
      <c r="BC28" s="15">
        <v>198261.55</v>
      </c>
      <c r="BD28" s="15">
        <v>200701.55</v>
      </c>
      <c r="BF28" s="188">
        <v>101207.03999999999</v>
      </c>
      <c r="BG28" s="190">
        <v>101207.03999999999</v>
      </c>
      <c r="BH28" s="190">
        <v>101207.03999999999</v>
      </c>
      <c r="BI28" s="190">
        <v>101207.03999999999</v>
      </c>
      <c r="BJ28" s="190">
        <v>75757.039999999994</v>
      </c>
      <c r="BK28" s="190">
        <v>45757.04</v>
      </c>
      <c r="BL28" s="190">
        <v>45757.04</v>
      </c>
      <c r="BM28" s="190">
        <v>45157.04</v>
      </c>
      <c r="BN28" s="190">
        <v>45057.04</v>
      </c>
      <c r="BO28" s="190">
        <v>44957.04</v>
      </c>
      <c r="BP28" s="190">
        <v>44857.04</v>
      </c>
      <c r="BQ28" s="192">
        <v>1657.04</v>
      </c>
      <c r="BR28" s="204"/>
      <c r="BS28" s="188">
        <v>1607.04</v>
      </c>
      <c r="BT28" s="190">
        <v>1557.04</v>
      </c>
      <c r="BU28" s="190">
        <v>1557.04</v>
      </c>
      <c r="BV28" s="190">
        <v>1557.04</v>
      </c>
      <c r="BW28" s="190">
        <v>1557.04</v>
      </c>
      <c r="BX28" s="188">
        <v>1557.04</v>
      </c>
      <c r="BY28" s="210">
        <v>1557.04</v>
      </c>
      <c r="BZ28" s="103">
        <v>1557.04</v>
      </c>
      <c r="CA28" s="210">
        <v>1557.04</v>
      </c>
      <c r="CB28" s="210">
        <v>1557.04</v>
      </c>
      <c r="CC28" s="210">
        <v>1557.04</v>
      </c>
      <c r="CD28" s="15">
        <v>1557.04</v>
      </c>
      <c r="CF28" s="50">
        <f t="shared" si="8"/>
        <v>-1557.04</v>
      </c>
      <c r="CH28" s="308">
        <v>0</v>
      </c>
      <c r="CI28" s="310">
        <v>0</v>
      </c>
      <c r="CJ28" s="310">
        <v>0</v>
      </c>
      <c r="CK28" s="310">
        <v>0</v>
      </c>
      <c r="CL28">
        <v>0</v>
      </c>
      <c r="CM28" s="308">
        <v>0</v>
      </c>
      <c r="CN28" s="357">
        <v>0</v>
      </c>
    </row>
    <row r="29" spans="1:92" ht="14.25">
      <c r="A29" s="14" t="s">
        <v>36</v>
      </c>
      <c r="B29" s="29">
        <v>128848216</v>
      </c>
      <c r="C29" s="15">
        <v>130204762</v>
      </c>
      <c r="D29" s="5">
        <v>145890587</v>
      </c>
      <c r="E29" s="5">
        <v>156610517</v>
      </c>
      <c r="F29" s="15">
        <v>156718569.15000001</v>
      </c>
      <c r="G29" s="15">
        <v>158383753.22</v>
      </c>
      <c r="H29" s="15">
        <v>158962449.22999999</v>
      </c>
      <c r="I29" s="167">
        <v>136371478.96000001</v>
      </c>
      <c r="J29" s="102">
        <v>161715862</v>
      </c>
      <c r="K29" s="102">
        <v>161853764.78999999</v>
      </c>
      <c r="L29" s="97">
        <v>0</v>
      </c>
      <c r="M29" s="97">
        <v>0</v>
      </c>
      <c r="N29" s="97">
        <v>0</v>
      </c>
      <c r="O29" s="97">
        <v>0</v>
      </c>
      <c r="P29" s="97">
        <v>0</v>
      </c>
      <c r="Q29" s="97">
        <v>0</v>
      </c>
      <c r="R29" s="82">
        <v>161769899</v>
      </c>
      <c r="S29" s="123">
        <v>161780524.40000001</v>
      </c>
      <c r="T29" s="147">
        <v>161252048.33000001</v>
      </c>
      <c r="U29" s="123">
        <v>161252048.33000001</v>
      </c>
      <c r="V29" s="123">
        <v>159956882.44999999</v>
      </c>
      <c r="W29" s="123">
        <v>161970221.46000001</v>
      </c>
      <c r="X29" s="173">
        <v>0</v>
      </c>
      <c r="Y29" s="123">
        <v>160040192.09999999</v>
      </c>
      <c r="Z29" s="123">
        <v>161486971.75</v>
      </c>
      <c r="AA29" s="123">
        <v>154096123.69999999</v>
      </c>
      <c r="AB29" s="123">
        <v>151205713.66999999</v>
      </c>
      <c r="AC29" s="5">
        <v>153122507.03</v>
      </c>
      <c r="AD29" s="5">
        <v>155022151.13</v>
      </c>
      <c r="AE29" s="5">
        <v>157923433</v>
      </c>
      <c r="AF29" s="15">
        <v>153403651.03</v>
      </c>
      <c r="AG29" s="15">
        <v>153618085.03</v>
      </c>
      <c r="AH29" s="15">
        <v>152649167.75999999</v>
      </c>
      <c r="AI29" s="15">
        <v>152410444.11000001</v>
      </c>
      <c r="AJ29" s="15">
        <v>152521236.30000001</v>
      </c>
      <c r="AK29" s="15">
        <v>152500966.30000001</v>
      </c>
      <c r="AL29" s="15">
        <v>152274671.30000001</v>
      </c>
      <c r="AM29" s="15">
        <v>152013122.30000001</v>
      </c>
      <c r="AN29" s="15">
        <v>152196869.30000001</v>
      </c>
      <c r="AS29" s="15">
        <v>152171937.63999999</v>
      </c>
      <c r="AT29" s="15">
        <v>152136163.63999999</v>
      </c>
      <c r="AU29" s="15">
        <v>152048782.19</v>
      </c>
      <c r="AV29" s="15">
        <v>151970889.91</v>
      </c>
      <c r="AW29" s="15">
        <v>152194231.33000001</v>
      </c>
      <c r="AX29" s="15">
        <v>151992166.94</v>
      </c>
      <c r="AY29" s="15"/>
      <c r="AZ29" s="15">
        <v>154479310.72999999</v>
      </c>
      <c r="BA29" s="15">
        <v>152228770.59</v>
      </c>
      <c r="BB29" s="15">
        <v>151136776.62</v>
      </c>
      <c r="BC29" s="15">
        <v>149559250.11000001</v>
      </c>
      <c r="BD29" s="15">
        <v>149874935.71000001</v>
      </c>
      <c r="BE29" s="160">
        <v>149658884</v>
      </c>
      <c r="BF29" s="188">
        <v>162955990.53999999</v>
      </c>
      <c r="BG29" s="190">
        <v>163107231.78999999</v>
      </c>
      <c r="BH29" s="190">
        <v>161855584.41</v>
      </c>
      <c r="BI29" s="190">
        <v>157339126.59</v>
      </c>
      <c r="BJ29" s="190">
        <v>156273578.16</v>
      </c>
      <c r="BK29" s="190">
        <v>156769669.16999999</v>
      </c>
      <c r="BL29" s="190">
        <v>155641914.13</v>
      </c>
      <c r="BM29" s="190">
        <v>155314697.66</v>
      </c>
      <c r="BN29" s="190">
        <v>155346701.61000001</v>
      </c>
      <c r="BO29" s="190">
        <v>155486958.53999999</v>
      </c>
      <c r="BP29" s="190">
        <v>154780636.18000001</v>
      </c>
      <c r="BQ29" s="192">
        <v>155718772.25</v>
      </c>
      <c r="BR29" s="204">
        <v>149658884</v>
      </c>
      <c r="BS29" s="188">
        <v>156102965.90000001</v>
      </c>
      <c r="BT29" s="190">
        <v>157690993.87</v>
      </c>
      <c r="BU29" s="190">
        <v>157726707.99000001</v>
      </c>
      <c r="BV29" s="190">
        <v>157271189.81</v>
      </c>
      <c r="BW29" s="190">
        <v>142640357.86000001</v>
      </c>
      <c r="BX29" s="188">
        <v>142625570.86000001</v>
      </c>
      <c r="BY29" s="210">
        <v>142176127.49000001</v>
      </c>
      <c r="BZ29" s="102">
        <v>142226648.69</v>
      </c>
      <c r="CA29" s="210">
        <v>142480207.84</v>
      </c>
      <c r="CB29" s="210">
        <v>142680135.30000001</v>
      </c>
      <c r="CC29" s="210">
        <v>143208543.80000001</v>
      </c>
      <c r="CD29" s="15">
        <v>144129386.52000001</v>
      </c>
      <c r="CE29" s="286">
        <v>144129387</v>
      </c>
      <c r="CF29" s="50">
        <f t="shared" si="8"/>
        <v>0.47999998927116394</v>
      </c>
      <c r="CG29" s="286">
        <v>144129387</v>
      </c>
      <c r="CH29" s="309">
        <v>147283233.19999999</v>
      </c>
      <c r="CI29" s="311">
        <v>147149011.66</v>
      </c>
      <c r="CJ29" s="311">
        <v>144930570.15000001</v>
      </c>
      <c r="CK29" s="311">
        <v>144808492.22</v>
      </c>
      <c r="CL29" s="97">
        <v>144516719.25999999</v>
      </c>
      <c r="CM29" s="309">
        <v>143341424.58000001</v>
      </c>
      <c r="CN29" s="358">
        <v>143038479.87</v>
      </c>
    </row>
    <row r="30" spans="1:92" ht="14.25">
      <c r="A30" s="13" t="s">
        <v>37</v>
      </c>
      <c r="B30" s="68">
        <f t="shared" ref="B30:R30" si="44">SUM(B27:B29)</f>
        <v>186817277</v>
      </c>
      <c r="C30" s="68">
        <f t="shared" si="44"/>
        <v>170977491</v>
      </c>
      <c r="D30" s="84">
        <f t="shared" si="44"/>
        <v>170258234</v>
      </c>
      <c r="E30" s="84">
        <f t="shared" si="44"/>
        <v>174558061</v>
      </c>
      <c r="F30" s="84">
        <f t="shared" si="44"/>
        <v>150326624.65000001</v>
      </c>
      <c r="G30" s="84">
        <f t="shared" si="44"/>
        <v>180157490.34999999</v>
      </c>
      <c r="H30" s="84">
        <f t="shared" si="44"/>
        <v>177330275.29999998</v>
      </c>
      <c r="I30" s="84">
        <f t="shared" si="44"/>
        <v>169891301.89000002</v>
      </c>
      <c r="J30" s="84">
        <f t="shared" si="44"/>
        <v>159654432.62</v>
      </c>
      <c r="K30" s="84">
        <f t="shared" si="44"/>
        <v>151846722.35999998</v>
      </c>
      <c r="L30" s="84">
        <f t="shared" si="44"/>
        <v>0</v>
      </c>
      <c r="M30" s="84">
        <f t="shared" si="44"/>
        <v>0</v>
      </c>
      <c r="N30" s="84">
        <f t="shared" si="44"/>
        <v>0</v>
      </c>
      <c r="O30" s="84">
        <f t="shared" si="44"/>
        <v>0</v>
      </c>
      <c r="P30" s="84">
        <f t="shared" si="44"/>
        <v>0</v>
      </c>
      <c r="Q30" s="121">
        <f t="shared" si="44"/>
        <v>0</v>
      </c>
      <c r="R30" s="84">
        <f t="shared" si="44"/>
        <v>129953634</v>
      </c>
      <c r="S30" s="84">
        <f t="shared" ref="S30:X30" si="45">SUM(S27:S29)</f>
        <v>158196238.50999999</v>
      </c>
      <c r="T30" s="121">
        <f t="shared" si="45"/>
        <v>151363705.22000003</v>
      </c>
      <c r="U30" s="84">
        <f t="shared" si="45"/>
        <v>151363705.22000003</v>
      </c>
      <c r="V30" s="84">
        <f t="shared" si="45"/>
        <v>139954148</v>
      </c>
      <c r="W30" s="84">
        <f t="shared" si="45"/>
        <v>141994768.94</v>
      </c>
      <c r="X30" s="84">
        <f t="shared" si="45"/>
        <v>129317905.72</v>
      </c>
      <c r="Y30" s="84">
        <f t="shared" ref="Y30:AE30" si="46">SUM(Y27:Y29)</f>
        <v>119168776</v>
      </c>
      <c r="Z30" s="84">
        <f t="shared" si="46"/>
        <v>134479833.07999998</v>
      </c>
      <c r="AA30" s="84">
        <f t="shared" si="46"/>
        <v>123199703.73999998</v>
      </c>
      <c r="AB30" s="84">
        <f t="shared" si="46"/>
        <v>115624348.31999999</v>
      </c>
      <c r="AC30" s="84">
        <f t="shared" si="46"/>
        <v>127250184.22</v>
      </c>
      <c r="AD30" s="84">
        <f t="shared" si="46"/>
        <v>116306816.94</v>
      </c>
      <c r="AE30" s="84">
        <f t="shared" si="46"/>
        <v>129629740</v>
      </c>
      <c r="AF30" s="84">
        <f t="shared" ref="AF30:AK30" si="47">SUM(AF27:AF29)</f>
        <v>115389893.53999999</v>
      </c>
      <c r="AG30" s="84">
        <f t="shared" si="47"/>
        <v>118567254.78</v>
      </c>
      <c r="AH30" s="84">
        <f t="shared" si="47"/>
        <v>99515532.189999998</v>
      </c>
      <c r="AI30" s="84">
        <f t="shared" si="47"/>
        <v>97698829.050000012</v>
      </c>
      <c r="AJ30" s="84">
        <f t="shared" si="47"/>
        <v>99854000.99000001</v>
      </c>
      <c r="AK30" s="84">
        <f t="shared" si="47"/>
        <v>103634574.67000002</v>
      </c>
      <c r="AL30" s="84">
        <f>SUM(AL27:AL29)</f>
        <v>106608724.88000003</v>
      </c>
      <c r="AM30" s="84">
        <f>SUM(AM27:AM29)</f>
        <v>108882736.44000001</v>
      </c>
      <c r="AN30" s="84">
        <f>SUM(AN27:AN29)</f>
        <v>109358401.64000002</v>
      </c>
      <c r="AO30" s="84">
        <f t="shared" ref="AO30:BY30" si="48">SUM(AO27:AO29)</f>
        <v>0</v>
      </c>
      <c r="AP30" s="84">
        <f t="shared" si="48"/>
        <v>0</v>
      </c>
      <c r="AQ30" s="84">
        <f t="shared" si="48"/>
        <v>0</v>
      </c>
      <c r="AR30" s="84">
        <f t="shared" si="48"/>
        <v>0</v>
      </c>
      <c r="AS30" s="84">
        <f t="shared" si="48"/>
        <v>110261645.59999999</v>
      </c>
      <c r="AT30" s="84">
        <f t="shared" si="48"/>
        <v>202636731.06999999</v>
      </c>
      <c r="AU30" s="84">
        <f t="shared" si="48"/>
        <v>194795916.21000001</v>
      </c>
      <c r="AV30" s="84">
        <f t="shared" si="48"/>
        <v>196175386.44999999</v>
      </c>
      <c r="AW30" s="84">
        <f t="shared" si="48"/>
        <v>200856452.78000003</v>
      </c>
      <c r="AX30" s="84">
        <f t="shared" si="48"/>
        <v>206427136.11000001</v>
      </c>
      <c r="AY30" s="84">
        <f t="shared" si="48"/>
        <v>0</v>
      </c>
      <c r="AZ30" s="84">
        <f t="shared" si="48"/>
        <v>196532166.31</v>
      </c>
      <c r="BA30" s="84">
        <f t="shared" si="48"/>
        <v>194185150.82999998</v>
      </c>
      <c r="BB30" s="84">
        <f t="shared" si="48"/>
        <v>194293383.03</v>
      </c>
      <c r="BC30" s="84">
        <f t="shared" si="48"/>
        <v>193521059.42000002</v>
      </c>
      <c r="BD30" s="84">
        <f t="shared" si="48"/>
        <v>195058045.93000001</v>
      </c>
      <c r="BE30" s="84">
        <f t="shared" si="48"/>
        <v>193557587</v>
      </c>
      <c r="BF30" s="84">
        <f t="shared" si="48"/>
        <v>189955370.62</v>
      </c>
      <c r="BG30" s="84">
        <f t="shared" si="48"/>
        <v>195296132.59999999</v>
      </c>
      <c r="BH30" s="84">
        <f t="shared" si="48"/>
        <v>183868893.49000001</v>
      </c>
      <c r="BI30" s="84">
        <f t="shared" si="48"/>
        <v>184517171</v>
      </c>
      <c r="BJ30" s="84">
        <f t="shared" si="48"/>
        <v>183265648.12</v>
      </c>
      <c r="BK30" s="84">
        <f t="shared" si="48"/>
        <v>184945363.85999998</v>
      </c>
      <c r="BL30" s="84">
        <f t="shared" si="48"/>
        <v>182323590.93000001</v>
      </c>
      <c r="BM30" s="84">
        <f t="shared" si="48"/>
        <v>182284881.57999998</v>
      </c>
      <c r="BN30" s="84">
        <f t="shared" si="48"/>
        <v>178181379.47000003</v>
      </c>
      <c r="BO30" s="84">
        <f t="shared" si="48"/>
        <v>179528077.16</v>
      </c>
      <c r="BP30" s="84">
        <f t="shared" si="48"/>
        <v>178516992.75999999</v>
      </c>
      <c r="BQ30" s="191">
        <f t="shared" si="48"/>
        <v>180176224.47</v>
      </c>
      <c r="BR30" s="84">
        <f t="shared" si="48"/>
        <v>188019559</v>
      </c>
      <c r="BS30" s="84">
        <f t="shared" si="48"/>
        <v>179853215.19</v>
      </c>
      <c r="BT30" s="84">
        <f t="shared" si="48"/>
        <v>186049367.31999999</v>
      </c>
      <c r="BU30" s="84">
        <f t="shared" si="48"/>
        <v>188029041.18000001</v>
      </c>
      <c r="BV30" s="84">
        <f t="shared" si="48"/>
        <v>185933288.47999999</v>
      </c>
      <c r="BW30" s="84">
        <f t="shared" si="48"/>
        <v>185450583.52000001</v>
      </c>
      <c r="BX30" s="84">
        <f t="shared" si="48"/>
        <v>184935302.49000001</v>
      </c>
      <c r="BY30" s="84">
        <f t="shared" si="48"/>
        <v>183676698.81</v>
      </c>
      <c r="BZ30" s="84">
        <f t="shared" ref="BZ30:CE30" si="49">SUM(BZ27:BZ29)</f>
        <v>183675131.32999998</v>
      </c>
      <c r="CA30" s="84">
        <f t="shared" si="49"/>
        <v>187727160.78999999</v>
      </c>
      <c r="CB30" s="84">
        <f t="shared" si="49"/>
        <v>185202558.16000003</v>
      </c>
      <c r="CC30" s="84">
        <f t="shared" si="49"/>
        <v>185067794.86000001</v>
      </c>
      <c r="CD30" s="84">
        <f t="shared" si="49"/>
        <v>185184018.12</v>
      </c>
      <c r="CE30" s="84">
        <f t="shared" si="49"/>
        <v>185174019</v>
      </c>
      <c r="CF30" s="50">
        <f t="shared" si="8"/>
        <v>-9999.1200000047684</v>
      </c>
      <c r="CG30" s="84">
        <f t="shared" ref="CG30:CN30" si="50">SUM(CG27:CG29)</f>
        <v>185174019</v>
      </c>
      <c r="CH30" s="84">
        <f t="shared" si="50"/>
        <v>190365735.72999999</v>
      </c>
      <c r="CI30" s="84">
        <f t="shared" si="50"/>
        <v>187231543.41</v>
      </c>
      <c r="CJ30" s="84">
        <f t="shared" si="50"/>
        <v>181538261.31</v>
      </c>
      <c r="CK30" s="84">
        <f t="shared" si="50"/>
        <v>180806484.67000002</v>
      </c>
      <c r="CL30" s="84">
        <f t="shared" si="50"/>
        <v>179537316.89999998</v>
      </c>
      <c r="CM30" s="84">
        <f t="shared" si="50"/>
        <v>179315111.47000003</v>
      </c>
      <c r="CN30" s="84">
        <f t="shared" si="50"/>
        <v>179078633.5</v>
      </c>
    </row>
    <row r="31" spans="1:92" ht="15" customHeight="1">
      <c r="A31" s="14" t="s">
        <v>38</v>
      </c>
      <c r="B31" s="29"/>
      <c r="C31" s="15">
        <v>0</v>
      </c>
      <c r="D31" s="5"/>
      <c r="E31" s="5"/>
      <c r="F31" s="15">
        <v>0</v>
      </c>
      <c r="G31" s="15">
        <v>0</v>
      </c>
      <c r="H31" s="15">
        <v>0</v>
      </c>
      <c r="I31" s="167">
        <v>0</v>
      </c>
      <c r="J31" s="105">
        <v>0</v>
      </c>
      <c r="K31" s="105">
        <v>0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0</v>
      </c>
      <c r="R31" s="82">
        <v>0</v>
      </c>
      <c r="S31" s="126">
        <v>0</v>
      </c>
      <c r="T31" s="145">
        <v>0</v>
      </c>
      <c r="U31" s="123">
        <v>0</v>
      </c>
      <c r="V31" s="123">
        <v>0</v>
      </c>
      <c r="W31" s="123">
        <v>1042683</v>
      </c>
      <c r="X31" s="174">
        <v>0</v>
      </c>
      <c r="Y31" s="123">
        <v>0</v>
      </c>
      <c r="Z31" s="123">
        <v>0</v>
      </c>
      <c r="AA31" s="123">
        <v>0</v>
      </c>
      <c r="AB31" s="123">
        <v>0</v>
      </c>
      <c r="AC31" s="82">
        <v>0</v>
      </c>
      <c r="AD31" s="82">
        <v>0</v>
      </c>
      <c r="AE31" s="2">
        <v>1042683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/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60">
        <v>136406</v>
      </c>
      <c r="BF31" s="183">
        <v>0</v>
      </c>
      <c r="BG31" s="185">
        <v>0</v>
      </c>
      <c r="BH31" s="185">
        <v>0</v>
      </c>
      <c r="BI31" s="185">
        <v>0</v>
      </c>
      <c r="BJ31" s="185">
        <v>0</v>
      </c>
      <c r="BK31" s="185">
        <v>0</v>
      </c>
      <c r="BL31" s="185">
        <v>0</v>
      </c>
      <c r="BM31" s="185">
        <v>0</v>
      </c>
      <c r="BN31" s="185">
        <v>0</v>
      </c>
      <c r="BO31" s="185">
        <v>0</v>
      </c>
      <c r="BP31" s="185">
        <v>0</v>
      </c>
      <c r="BQ31" s="193">
        <v>0</v>
      </c>
      <c r="BR31" s="50">
        <v>136406</v>
      </c>
      <c r="BS31" s="183">
        <v>0</v>
      </c>
      <c r="BT31" s="185">
        <v>0</v>
      </c>
      <c r="BU31" s="185">
        <v>0</v>
      </c>
      <c r="BV31" s="185">
        <v>0</v>
      </c>
      <c r="BW31" s="185">
        <v>0</v>
      </c>
      <c r="BX31" s="183">
        <v>0</v>
      </c>
      <c r="BY31" s="210">
        <v>0</v>
      </c>
      <c r="BZ31" s="105">
        <v>0</v>
      </c>
      <c r="CA31" s="210">
        <v>0</v>
      </c>
      <c r="CB31" s="210">
        <v>0</v>
      </c>
      <c r="CC31" s="210">
        <v>0</v>
      </c>
      <c r="CD31" s="15">
        <v>0</v>
      </c>
      <c r="CE31" s="289">
        <v>136406</v>
      </c>
      <c r="CF31" s="50">
        <f t="shared" si="8"/>
        <v>136406</v>
      </c>
      <c r="CG31" s="289">
        <v>136406</v>
      </c>
      <c r="CH31" s="304">
        <v>0</v>
      </c>
      <c r="CI31" s="306">
        <v>0</v>
      </c>
      <c r="CJ31" s="306">
        <v>0</v>
      </c>
      <c r="CK31" s="306">
        <v>0</v>
      </c>
      <c r="CL31">
        <v>0</v>
      </c>
      <c r="CM31" s="304">
        <v>0</v>
      </c>
      <c r="CN31" s="355">
        <v>0</v>
      </c>
    </row>
    <row r="32" spans="1:92" ht="14.25">
      <c r="A32" s="14" t="s">
        <v>39</v>
      </c>
      <c r="B32" s="29"/>
      <c r="C32" s="15">
        <v>0</v>
      </c>
      <c r="D32" s="5"/>
      <c r="E32" s="5"/>
      <c r="F32" s="15">
        <v>0</v>
      </c>
      <c r="G32" s="15">
        <v>0</v>
      </c>
      <c r="H32" s="15">
        <v>0</v>
      </c>
      <c r="I32" s="167">
        <v>0</v>
      </c>
      <c r="J32" s="102"/>
      <c r="K32" s="102"/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82">
        <v>0</v>
      </c>
      <c r="S32" s="126">
        <v>1042683</v>
      </c>
      <c r="T32" s="145">
        <v>1042683</v>
      </c>
      <c r="U32" s="123">
        <v>1042683</v>
      </c>
      <c r="V32" s="123">
        <v>1042683</v>
      </c>
      <c r="W32" s="123">
        <v>0</v>
      </c>
      <c r="X32" s="174">
        <v>0</v>
      </c>
      <c r="Y32" s="123">
        <v>0</v>
      </c>
      <c r="Z32" s="123">
        <v>0</v>
      </c>
      <c r="AA32" s="123">
        <v>0</v>
      </c>
      <c r="AB32" s="123">
        <v>0</v>
      </c>
      <c r="AC32" s="82">
        <v>0</v>
      </c>
      <c r="AD32" s="82">
        <v>0</v>
      </c>
      <c r="AE32" s="2"/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/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F32" s="187">
        <v>0</v>
      </c>
      <c r="BG32" s="189">
        <v>0</v>
      </c>
      <c r="BH32" s="189">
        <v>0</v>
      </c>
      <c r="BI32" s="189">
        <v>0</v>
      </c>
      <c r="BJ32" s="189">
        <v>0</v>
      </c>
      <c r="BK32" s="189">
        <v>0</v>
      </c>
      <c r="BL32" s="189">
        <v>0</v>
      </c>
      <c r="BM32" s="189">
        <v>0</v>
      </c>
      <c r="BN32" s="189">
        <v>0</v>
      </c>
      <c r="BO32" s="189">
        <v>0</v>
      </c>
      <c r="BP32" s="189">
        <v>0</v>
      </c>
      <c r="BQ32" s="193">
        <v>0</v>
      </c>
      <c r="BS32" s="187">
        <v>0</v>
      </c>
      <c r="BT32" s="189">
        <v>0</v>
      </c>
      <c r="BU32" s="189">
        <v>0</v>
      </c>
      <c r="BV32" s="189">
        <v>0</v>
      </c>
      <c r="BW32" s="189">
        <v>0</v>
      </c>
      <c r="BX32" s="187">
        <v>0</v>
      </c>
      <c r="BY32" s="210">
        <v>0</v>
      </c>
      <c r="BZ32" s="102">
        <v>0</v>
      </c>
      <c r="CA32" s="210">
        <v>0</v>
      </c>
      <c r="CB32" s="210">
        <v>0</v>
      </c>
      <c r="CC32" s="210">
        <v>0</v>
      </c>
      <c r="CD32" s="15">
        <v>0</v>
      </c>
      <c r="CF32" s="50">
        <f t="shared" si="8"/>
        <v>0</v>
      </c>
      <c r="CH32" s="308">
        <v>0</v>
      </c>
      <c r="CI32" s="310">
        <v>0</v>
      </c>
      <c r="CJ32" s="310">
        <v>0</v>
      </c>
      <c r="CK32" s="310">
        <v>0</v>
      </c>
      <c r="CL32">
        <v>0</v>
      </c>
      <c r="CM32" s="308">
        <v>0</v>
      </c>
      <c r="CN32" s="357">
        <v>0</v>
      </c>
    </row>
    <row r="33" spans="1:93" ht="14.25">
      <c r="A33" s="14" t="s">
        <v>40</v>
      </c>
      <c r="B33" s="29"/>
      <c r="C33" s="15">
        <v>0</v>
      </c>
      <c r="D33" s="5"/>
      <c r="E33" s="5"/>
      <c r="F33" s="15">
        <v>0</v>
      </c>
      <c r="G33" s="15">
        <v>0</v>
      </c>
      <c r="H33" s="15">
        <v>0</v>
      </c>
      <c r="I33" s="167">
        <v>0</v>
      </c>
      <c r="J33" s="102"/>
      <c r="K33" s="102"/>
      <c r="L33" s="97">
        <v>0</v>
      </c>
      <c r="M33" s="97">
        <v>0</v>
      </c>
      <c r="N33" s="97">
        <v>0</v>
      </c>
      <c r="O33" s="97">
        <v>0</v>
      </c>
      <c r="P33" s="97">
        <v>0</v>
      </c>
      <c r="Q33" s="97">
        <v>0</v>
      </c>
      <c r="R33" s="82">
        <v>0</v>
      </c>
      <c r="S33" s="126">
        <v>0</v>
      </c>
      <c r="T33" s="145">
        <v>0</v>
      </c>
      <c r="U33" s="123">
        <v>0</v>
      </c>
      <c r="V33" s="123">
        <v>0</v>
      </c>
      <c r="W33" s="123">
        <v>0</v>
      </c>
      <c r="X33" s="174">
        <v>2735015.89</v>
      </c>
      <c r="Y33" s="123">
        <v>3464782.55</v>
      </c>
      <c r="Z33" s="123">
        <v>10942375.25</v>
      </c>
      <c r="AA33" s="123">
        <v>14519639.869999999</v>
      </c>
      <c r="AB33" s="123">
        <v>10678179.029999999</v>
      </c>
      <c r="AC33" s="82">
        <v>-2824086.47</v>
      </c>
      <c r="AD33" s="82">
        <v>0</v>
      </c>
      <c r="AE33" s="2"/>
      <c r="AF33" s="15">
        <v>-9257363.6600000001</v>
      </c>
      <c r="AG33" s="15">
        <v>6274559.1699999999</v>
      </c>
      <c r="AH33" s="15">
        <v>8266876.6900000004</v>
      </c>
      <c r="AI33" s="15">
        <v>0</v>
      </c>
      <c r="AJ33" s="15">
        <v>5093329.7300000004</v>
      </c>
      <c r="AK33" s="15">
        <v>-2023697.85</v>
      </c>
      <c r="AL33" s="15">
        <v>9767507.1400000006</v>
      </c>
      <c r="AM33" s="15">
        <v>8935101.9700000007</v>
      </c>
      <c r="AN33" s="15">
        <v>8024562.4500000002</v>
      </c>
      <c r="AS33" s="15">
        <v>9276903.1500000004</v>
      </c>
      <c r="AT33" s="15">
        <v>18124505.940000001</v>
      </c>
      <c r="AU33" s="15">
        <v>22870274.66</v>
      </c>
      <c r="AV33" s="15">
        <v>18762520.960000001</v>
      </c>
      <c r="AW33" s="15">
        <v>18680442.739999998</v>
      </c>
      <c r="AX33" s="15">
        <v>22314157.960000001</v>
      </c>
      <c r="AY33" s="15"/>
      <c r="AZ33" s="15">
        <v>26608336.039999999</v>
      </c>
      <c r="BA33" s="15">
        <v>25262333.989999998</v>
      </c>
      <c r="BB33" s="15">
        <v>27379840.280000001</v>
      </c>
      <c r="BC33" s="15">
        <v>27161523.510000002</v>
      </c>
      <c r="BD33" s="15">
        <v>28891591.960000001</v>
      </c>
      <c r="BE33" s="160">
        <v>0</v>
      </c>
      <c r="BF33" s="187">
        <v>0</v>
      </c>
      <c r="BG33" s="190">
        <v>18792411.77</v>
      </c>
      <c r="BH33" s="190">
        <v>27538024.09</v>
      </c>
      <c r="BI33" s="189">
        <v>0</v>
      </c>
      <c r="BJ33" s="190">
        <v>14694137.32</v>
      </c>
      <c r="BK33" s="190">
        <v>15160894.82</v>
      </c>
      <c r="BL33" s="190">
        <v>13992982.67</v>
      </c>
      <c r="BM33" s="190">
        <v>14847996.220000001</v>
      </c>
      <c r="BN33" s="190">
        <v>17165913.460000001</v>
      </c>
      <c r="BO33" s="190">
        <v>-4532781.38</v>
      </c>
      <c r="BP33" s="190">
        <v>12881050</v>
      </c>
      <c r="BQ33" s="192">
        <v>17070839.23</v>
      </c>
      <c r="BS33" s="188">
        <v>15110493.869999999</v>
      </c>
      <c r="BT33" s="189">
        <v>0</v>
      </c>
      <c r="BU33" s="189">
        <v>0</v>
      </c>
      <c r="BV33" s="190">
        <v>12389089.07</v>
      </c>
      <c r="BW33" s="190">
        <v>24548441.41</v>
      </c>
      <c r="BX33" s="188">
        <v>15293757.26</v>
      </c>
      <c r="BY33" s="210">
        <v>25137338.989999998</v>
      </c>
      <c r="BZ33" s="102">
        <v>25137338.989999998</v>
      </c>
      <c r="CA33" s="210">
        <v>17022135.989999998</v>
      </c>
      <c r="CB33" s="210">
        <v>32641631</v>
      </c>
      <c r="CC33" s="210">
        <v>41756059</v>
      </c>
      <c r="CD33" s="15">
        <v>32641631</v>
      </c>
      <c r="CF33" s="50">
        <f t="shared" si="8"/>
        <v>-32641631</v>
      </c>
      <c r="CH33" s="309">
        <v>11227275.539999999</v>
      </c>
      <c r="CI33" s="311">
        <v>14154846.32</v>
      </c>
      <c r="CJ33" s="311">
        <v>11305068.210000001</v>
      </c>
      <c r="CK33" s="311">
        <v>10864905.91</v>
      </c>
      <c r="CL33" s="97">
        <v>10616199.029999999</v>
      </c>
      <c r="CM33" s="309">
        <v>15732582.369999999</v>
      </c>
      <c r="CN33" s="358">
        <v>16063819.98</v>
      </c>
    </row>
    <row r="34" spans="1:93" ht="14.25">
      <c r="A34" s="14" t="s">
        <v>41</v>
      </c>
      <c r="B34" s="29"/>
      <c r="C34" s="15">
        <v>0</v>
      </c>
      <c r="D34" s="5"/>
      <c r="E34" s="5"/>
      <c r="F34" s="15">
        <v>0</v>
      </c>
      <c r="G34" s="15">
        <v>0</v>
      </c>
      <c r="H34" s="15">
        <v>0</v>
      </c>
      <c r="I34" s="167">
        <v>0</v>
      </c>
      <c r="J34" s="106"/>
      <c r="K34" s="106"/>
      <c r="L34" s="97">
        <v>0</v>
      </c>
      <c r="M34" s="97">
        <v>0</v>
      </c>
      <c r="N34" s="97">
        <v>0</v>
      </c>
      <c r="O34" s="97">
        <v>0</v>
      </c>
      <c r="P34" s="97">
        <v>0</v>
      </c>
      <c r="Q34" s="97">
        <v>0</v>
      </c>
      <c r="R34" s="82">
        <v>0</v>
      </c>
      <c r="S34" s="126">
        <v>0</v>
      </c>
      <c r="T34" s="145">
        <v>0</v>
      </c>
      <c r="U34" s="123">
        <v>0</v>
      </c>
      <c r="V34" s="123">
        <v>0</v>
      </c>
      <c r="W34" s="123">
        <v>0</v>
      </c>
      <c r="X34" s="174">
        <v>0</v>
      </c>
      <c r="Y34" s="123">
        <v>0</v>
      </c>
      <c r="Z34" s="123">
        <v>0</v>
      </c>
      <c r="AA34" s="123">
        <v>0</v>
      </c>
      <c r="AB34" s="123">
        <v>0</v>
      </c>
      <c r="AC34" s="82">
        <v>0</v>
      </c>
      <c r="AD34" s="82">
        <v>0</v>
      </c>
      <c r="AE34" s="2"/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/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F34" s="187">
        <v>0</v>
      </c>
      <c r="BG34" s="189">
        <v>0</v>
      </c>
      <c r="BH34" s="189">
        <v>0</v>
      </c>
      <c r="BI34" s="189">
        <v>0</v>
      </c>
      <c r="BJ34" s="189">
        <v>0</v>
      </c>
      <c r="BK34" s="189">
        <v>0</v>
      </c>
      <c r="BL34" s="189">
        <v>0</v>
      </c>
      <c r="BM34" s="189">
        <v>0</v>
      </c>
      <c r="BN34" s="189">
        <v>0</v>
      </c>
      <c r="BO34" s="189">
        <v>0</v>
      </c>
      <c r="BP34" s="189">
        <v>0</v>
      </c>
      <c r="BQ34" s="193">
        <v>0</v>
      </c>
      <c r="BS34" s="187">
        <v>0</v>
      </c>
      <c r="BT34" s="189">
        <v>0</v>
      </c>
      <c r="BU34" s="189">
        <v>0</v>
      </c>
      <c r="BV34" s="189">
        <v>0</v>
      </c>
      <c r="BW34" s="189">
        <v>0</v>
      </c>
      <c r="BX34" s="187">
        <v>0</v>
      </c>
      <c r="BY34" s="210">
        <v>0</v>
      </c>
      <c r="BZ34" s="106">
        <v>0</v>
      </c>
      <c r="CA34" s="210">
        <v>0</v>
      </c>
      <c r="CB34" s="210">
        <v>0</v>
      </c>
      <c r="CC34" s="210">
        <v>0</v>
      </c>
      <c r="CD34" s="15">
        <v>0</v>
      </c>
      <c r="CF34" s="50">
        <f t="shared" si="8"/>
        <v>0</v>
      </c>
      <c r="CH34" s="308">
        <v>0</v>
      </c>
      <c r="CI34" s="310">
        <v>0</v>
      </c>
      <c r="CJ34" s="310">
        <v>0</v>
      </c>
      <c r="CK34" s="310">
        <v>0</v>
      </c>
      <c r="CL34">
        <v>0</v>
      </c>
      <c r="CM34" s="308">
        <v>0</v>
      </c>
      <c r="CN34" s="357">
        <v>0</v>
      </c>
    </row>
    <row r="35" spans="1:93" ht="14.25">
      <c r="A35" s="14" t="s">
        <v>42</v>
      </c>
      <c r="B35" s="29">
        <v>33671151</v>
      </c>
      <c r="C35" s="15">
        <v>14909432</v>
      </c>
      <c r="D35" s="5">
        <v>17468618</v>
      </c>
      <c r="E35" s="5">
        <v>19703464</v>
      </c>
      <c r="F35" s="15">
        <v>3374285.17</v>
      </c>
      <c r="G35" s="15">
        <v>22071659.629999999</v>
      </c>
      <c r="H35" s="15">
        <v>6893937.4900000002</v>
      </c>
      <c r="I35" s="167">
        <v>1626901.03</v>
      </c>
      <c r="J35" s="107">
        <v>7979658</v>
      </c>
      <c r="K35" s="107">
        <v>7466349.9200000009</v>
      </c>
      <c r="L35" s="97">
        <v>0</v>
      </c>
      <c r="M35" s="97">
        <v>0</v>
      </c>
      <c r="N35" s="97">
        <v>0</v>
      </c>
      <c r="O35" s="97">
        <v>0</v>
      </c>
      <c r="P35" s="97">
        <v>0</v>
      </c>
      <c r="Q35" s="97">
        <v>0</v>
      </c>
      <c r="R35" s="82">
        <f>1042683+8823138</f>
        <v>9865821</v>
      </c>
      <c r="S35" s="126">
        <v>0</v>
      </c>
      <c r="T35" s="145">
        <v>0</v>
      </c>
      <c r="U35" s="123">
        <v>4512705.1100000003</v>
      </c>
      <c r="V35" s="123">
        <v>3836489.61</v>
      </c>
      <c r="W35" s="123">
        <v>8337542.5700000003</v>
      </c>
      <c r="X35" s="174">
        <v>0</v>
      </c>
      <c r="Y35" s="123">
        <v>0</v>
      </c>
      <c r="Z35" s="123">
        <v>0</v>
      </c>
      <c r="AA35" s="123">
        <v>0</v>
      </c>
      <c r="AB35" s="123">
        <v>0</v>
      </c>
      <c r="AC35" s="82">
        <v>0</v>
      </c>
      <c r="AD35" s="82">
        <v>4882916.42</v>
      </c>
      <c r="AE35" s="2">
        <v>16538988</v>
      </c>
      <c r="AF35" s="15">
        <v>0</v>
      </c>
      <c r="AG35" s="15">
        <v>0</v>
      </c>
      <c r="AH35" s="15">
        <v>0</v>
      </c>
      <c r="AI35" s="15">
        <v>5072297.67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/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60">
        <v>16707213</v>
      </c>
      <c r="BF35" s="188">
        <v>22287052.510000002</v>
      </c>
      <c r="BG35" s="189">
        <v>0</v>
      </c>
      <c r="BH35" s="189">
        <v>0</v>
      </c>
      <c r="BI35" s="190">
        <v>17881210.789999999</v>
      </c>
      <c r="BJ35" s="189">
        <v>0</v>
      </c>
      <c r="BK35" s="189">
        <v>0</v>
      </c>
      <c r="BL35" s="189">
        <v>0</v>
      </c>
      <c r="BM35" s="189">
        <v>0</v>
      </c>
      <c r="BN35" s="189">
        <v>0</v>
      </c>
      <c r="BO35" s="189">
        <v>0</v>
      </c>
      <c r="BP35" s="189">
        <v>0</v>
      </c>
      <c r="BQ35" s="193">
        <v>0</v>
      </c>
      <c r="BR35" s="204">
        <v>17586293</v>
      </c>
      <c r="BS35" s="187">
        <v>0</v>
      </c>
      <c r="BT35" s="190">
        <v>16109929.41</v>
      </c>
      <c r="BU35" s="190">
        <v>20456018.030000001</v>
      </c>
      <c r="BV35" s="189">
        <v>0</v>
      </c>
      <c r="BW35" s="190">
        <v>21491853.379999999</v>
      </c>
      <c r="BX35" s="188">
        <v>39174033.109999999</v>
      </c>
      <c r="BY35" s="210">
        <v>25091945.02</v>
      </c>
      <c r="BZ35" s="107">
        <v>25091945.02</v>
      </c>
      <c r="CA35" s="210">
        <v>215876.44</v>
      </c>
      <c r="CB35" s="210">
        <v>215876.44</v>
      </c>
      <c r="CC35" s="210">
        <v>215876.44</v>
      </c>
      <c r="CD35" s="15">
        <v>215876.44</v>
      </c>
      <c r="CE35" s="289">
        <v>23456880</v>
      </c>
      <c r="CF35" s="50">
        <f t="shared" si="8"/>
        <v>23241003.559999999</v>
      </c>
      <c r="CG35" s="289">
        <v>23456880</v>
      </c>
      <c r="CH35" s="308">
        <v>0</v>
      </c>
      <c r="CI35" s="310">
        <v>0</v>
      </c>
      <c r="CJ35" s="310">
        <v>0</v>
      </c>
      <c r="CK35" s="310">
        <v>0</v>
      </c>
      <c r="CL35">
        <v>0</v>
      </c>
      <c r="CM35" s="308">
        <v>0</v>
      </c>
      <c r="CN35" s="357">
        <v>0</v>
      </c>
    </row>
    <row r="36" spans="1:93" ht="14.25">
      <c r="A36" s="14" t="s">
        <v>43</v>
      </c>
      <c r="B36" s="29">
        <v>5711235</v>
      </c>
      <c r="C36" s="15">
        <v>3146881</v>
      </c>
      <c r="D36" s="5">
        <v>18495124</v>
      </c>
      <c r="E36" s="5">
        <v>29110952</v>
      </c>
      <c r="F36" s="15">
        <v>28512339.699999999</v>
      </c>
      <c r="G36" s="15">
        <v>28010877.370000001</v>
      </c>
      <c r="H36" s="15">
        <v>24962487.940000001</v>
      </c>
      <c r="I36" s="167">
        <v>24962487.940000001</v>
      </c>
      <c r="J36" s="108">
        <v>23353476</v>
      </c>
      <c r="K36" s="108">
        <v>23353475.960000001</v>
      </c>
      <c r="L36" s="97">
        <v>0</v>
      </c>
      <c r="M36" s="97">
        <v>0</v>
      </c>
      <c r="N36" s="97">
        <v>0</v>
      </c>
      <c r="O36" s="97">
        <v>0</v>
      </c>
      <c r="P36" s="97">
        <v>0</v>
      </c>
      <c r="Q36" s="97">
        <v>0</v>
      </c>
      <c r="R36" s="82">
        <v>29133453</v>
      </c>
      <c r="S36" s="126">
        <v>29996387.129999999</v>
      </c>
      <c r="T36" s="145">
        <v>29996387.129999999</v>
      </c>
      <c r="U36" s="123">
        <v>29996387.129999999</v>
      </c>
      <c r="V36" s="123">
        <v>28410979.120000001</v>
      </c>
      <c r="W36" s="123">
        <v>28410979.120000001</v>
      </c>
      <c r="X36" s="174">
        <v>28410978.920000002</v>
      </c>
      <c r="Y36" s="123">
        <v>28410978.920000002</v>
      </c>
      <c r="Z36" s="123">
        <v>28410978.920000002</v>
      </c>
      <c r="AA36" s="123">
        <v>28603585.359999999</v>
      </c>
      <c r="AB36" s="123">
        <v>28410978.920000002</v>
      </c>
      <c r="AC36" s="82">
        <v>24541568.41</v>
      </c>
      <c r="AD36" s="82">
        <v>22783568.41</v>
      </c>
      <c r="AE36" s="2">
        <v>23403274</v>
      </c>
      <c r="AF36" s="15">
        <v>23382166.309999999</v>
      </c>
      <c r="AG36" s="15">
        <v>22985844.850000001</v>
      </c>
      <c r="AH36" s="15">
        <v>26089275.41</v>
      </c>
      <c r="AI36" s="15">
        <v>22783568.41</v>
      </c>
      <c r="AJ36" s="15">
        <v>22783568.41</v>
      </c>
      <c r="AK36" s="15">
        <v>22783568.41</v>
      </c>
      <c r="AL36" s="15">
        <v>22783568.41</v>
      </c>
      <c r="AM36" s="15">
        <v>22783568.41</v>
      </c>
      <c r="AN36" s="15">
        <v>27899604.620000001</v>
      </c>
      <c r="AS36" s="15">
        <v>20179592.620000001</v>
      </c>
      <c r="AT36" s="15">
        <v>20179592.620000001</v>
      </c>
      <c r="AU36" s="15">
        <v>23981223.98</v>
      </c>
      <c r="AV36" s="15">
        <v>23981223.98</v>
      </c>
      <c r="AW36" s="15">
        <v>23981223.98</v>
      </c>
      <c r="AX36" s="15">
        <v>23981223.960000001</v>
      </c>
      <c r="AY36" s="15"/>
      <c r="AZ36" s="15">
        <v>25384882.98</v>
      </c>
      <c r="BA36" s="15">
        <v>25084882.98</v>
      </c>
      <c r="BB36" s="15">
        <v>25182042.98</v>
      </c>
      <c r="BC36" s="15">
        <v>25032042.98</v>
      </c>
      <c r="BD36" s="15">
        <v>25032042.98</v>
      </c>
      <c r="BE36" s="160">
        <v>25032043</v>
      </c>
      <c r="BF36" s="188">
        <v>25032042.98</v>
      </c>
      <c r="BG36" s="190">
        <v>26387950.969999999</v>
      </c>
      <c r="BH36" s="190">
        <v>26786652.109999999</v>
      </c>
      <c r="BI36" s="190">
        <v>26187950.969999999</v>
      </c>
      <c r="BJ36" s="190">
        <v>25987950.969999999</v>
      </c>
      <c r="BK36" s="190">
        <v>26174163.969999999</v>
      </c>
      <c r="BL36" s="190">
        <v>26014513.969999999</v>
      </c>
      <c r="BM36" s="190">
        <v>25814513.969999999</v>
      </c>
      <c r="BN36" s="190">
        <v>25814513.969999999</v>
      </c>
      <c r="BO36" s="190">
        <v>25814513.969999999</v>
      </c>
      <c r="BP36" s="190">
        <v>25814513.969999999</v>
      </c>
      <c r="BQ36" s="192">
        <v>25814513.969999999</v>
      </c>
      <c r="BR36" s="204">
        <v>24058606</v>
      </c>
      <c r="BS36" s="188">
        <v>25814513.969999999</v>
      </c>
      <c r="BT36" s="190">
        <v>25814513.969999999</v>
      </c>
      <c r="BU36" s="190">
        <v>25814513.969999999</v>
      </c>
      <c r="BV36" s="190">
        <v>25814513.969999999</v>
      </c>
      <c r="BW36" s="190">
        <v>25814513.969999999</v>
      </c>
      <c r="BX36" s="188">
        <v>26537749.969999999</v>
      </c>
      <c r="BY36" s="210">
        <v>26597167.969999999</v>
      </c>
      <c r="BZ36" s="108">
        <v>26597167.969999999</v>
      </c>
      <c r="CA36" s="210">
        <v>26597167.969999999</v>
      </c>
      <c r="CB36" s="210">
        <v>26597167.969999999</v>
      </c>
      <c r="CC36" s="210">
        <v>26597167.969999999</v>
      </c>
      <c r="CD36" s="15">
        <v>26597167.969999999</v>
      </c>
      <c r="CE36" s="289">
        <v>26597168</v>
      </c>
      <c r="CF36" s="50">
        <f t="shared" si="8"/>
        <v>3.0000001192092896E-2</v>
      </c>
      <c r="CG36" s="289">
        <v>26597168</v>
      </c>
      <c r="CH36" s="309">
        <v>23782823.879999999</v>
      </c>
      <c r="CI36" s="311">
        <v>23685663.870000001</v>
      </c>
      <c r="CJ36" s="311">
        <v>24033302.469999999</v>
      </c>
      <c r="CK36" s="311">
        <v>24033302.469999999</v>
      </c>
      <c r="CL36" s="97">
        <v>24033302.469999999</v>
      </c>
      <c r="CM36" s="309">
        <v>24033302.469999999</v>
      </c>
      <c r="CN36" s="358">
        <v>25789408.260000002</v>
      </c>
    </row>
    <row r="37" spans="1:93" ht="14.25">
      <c r="A37" s="13" t="s">
        <v>44</v>
      </c>
      <c r="B37" s="68">
        <f t="shared" ref="B37:R37" si="51">SUM(B30:B36)</f>
        <v>226199663</v>
      </c>
      <c r="C37" s="68">
        <f t="shared" si="51"/>
        <v>189033804</v>
      </c>
      <c r="D37" s="84">
        <f t="shared" si="51"/>
        <v>206221976</v>
      </c>
      <c r="E37" s="84">
        <f t="shared" si="51"/>
        <v>223372477</v>
      </c>
      <c r="F37" s="84">
        <f t="shared" si="51"/>
        <v>182213249.51999998</v>
      </c>
      <c r="G37" s="84">
        <f t="shared" si="51"/>
        <v>230240027.34999999</v>
      </c>
      <c r="H37" s="84">
        <f t="shared" si="51"/>
        <v>209186700.72999999</v>
      </c>
      <c r="I37" s="84">
        <f t="shared" si="51"/>
        <v>196480690.86000001</v>
      </c>
      <c r="J37" s="84">
        <f t="shared" si="51"/>
        <v>190987566.62</v>
      </c>
      <c r="K37" s="84">
        <f t="shared" si="51"/>
        <v>182666548.23999998</v>
      </c>
      <c r="L37" s="84">
        <f t="shared" si="51"/>
        <v>0</v>
      </c>
      <c r="M37" s="84">
        <f t="shared" si="51"/>
        <v>0</v>
      </c>
      <c r="N37" s="84">
        <f t="shared" si="51"/>
        <v>0</v>
      </c>
      <c r="O37" s="84">
        <f t="shared" si="51"/>
        <v>0</v>
      </c>
      <c r="P37" s="84">
        <f t="shared" si="51"/>
        <v>0</v>
      </c>
      <c r="Q37" s="121">
        <f t="shared" si="51"/>
        <v>0</v>
      </c>
      <c r="R37" s="84">
        <f t="shared" si="51"/>
        <v>168952908</v>
      </c>
      <c r="S37" s="84">
        <f t="shared" ref="S37:X37" si="52">SUM(S30:S36)</f>
        <v>189235308.63999999</v>
      </c>
      <c r="T37" s="121">
        <f t="shared" si="52"/>
        <v>182402775.35000002</v>
      </c>
      <c r="U37" s="84">
        <f t="shared" si="52"/>
        <v>186915480.46000004</v>
      </c>
      <c r="V37" s="84">
        <f t="shared" si="52"/>
        <v>173244299.73000002</v>
      </c>
      <c r="W37" s="84">
        <f t="shared" si="52"/>
        <v>179785973.63</v>
      </c>
      <c r="X37" s="84">
        <f t="shared" si="52"/>
        <v>160463900.53</v>
      </c>
      <c r="Y37" s="84">
        <f t="shared" ref="Y37:AE37" si="53">SUM(Y30:Y36)</f>
        <v>151044537.47</v>
      </c>
      <c r="Z37" s="84">
        <f t="shared" si="53"/>
        <v>173833187.25</v>
      </c>
      <c r="AA37" s="84">
        <f t="shared" si="53"/>
        <v>166322928.96999997</v>
      </c>
      <c r="AB37" s="84">
        <f t="shared" si="53"/>
        <v>154713506.26999998</v>
      </c>
      <c r="AC37" s="84">
        <f t="shared" si="53"/>
        <v>148967666.16</v>
      </c>
      <c r="AD37" s="84">
        <f t="shared" si="53"/>
        <v>143973301.77000001</v>
      </c>
      <c r="AE37" s="84">
        <f t="shared" si="53"/>
        <v>170614685</v>
      </c>
      <c r="AF37" s="84">
        <f t="shared" ref="AF37:AK37" si="54">SUM(AF30:AF36)</f>
        <v>129514696.19</v>
      </c>
      <c r="AG37" s="84">
        <f t="shared" si="54"/>
        <v>147827658.80000001</v>
      </c>
      <c r="AH37" s="84">
        <f t="shared" si="54"/>
        <v>133871684.28999999</v>
      </c>
      <c r="AI37" s="84">
        <f t="shared" si="54"/>
        <v>125554695.13000001</v>
      </c>
      <c r="AJ37" s="84">
        <f t="shared" si="54"/>
        <v>127730899.13000001</v>
      </c>
      <c r="AK37" s="84">
        <f t="shared" si="54"/>
        <v>124394445.23000002</v>
      </c>
      <c r="AL37" s="84">
        <f>SUM(AL30:AL36)</f>
        <v>139159800.43000004</v>
      </c>
      <c r="AM37" s="84">
        <f>SUM(AM30:AM36)</f>
        <v>140601406.82000002</v>
      </c>
      <c r="AN37" s="84">
        <f>SUM(AN30:AN36)</f>
        <v>145282568.71000001</v>
      </c>
      <c r="AO37" s="84">
        <f t="shared" ref="AO37:BY37" si="55">SUM(AO30:AO36)</f>
        <v>0</v>
      </c>
      <c r="AP37" s="84">
        <f t="shared" si="55"/>
        <v>0</v>
      </c>
      <c r="AQ37" s="84">
        <f t="shared" si="55"/>
        <v>0</v>
      </c>
      <c r="AR37" s="84">
        <f t="shared" si="55"/>
        <v>0</v>
      </c>
      <c r="AS37" s="84">
        <f t="shared" si="55"/>
        <v>139718141.37</v>
      </c>
      <c r="AT37" s="84">
        <f t="shared" si="55"/>
        <v>240940829.63</v>
      </c>
      <c r="AU37" s="84">
        <f t="shared" si="55"/>
        <v>241647414.84999999</v>
      </c>
      <c r="AV37" s="84">
        <f t="shared" si="55"/>
        <v>238919131.38999999</v>
      </c>
      <c r="AW37" s="84">
        <f t="shared" si="55"/>
        <v>243518119.50000003</v>
      </c>
      <c r="AX37" s="84">
        <f t="shared" si="55"/>
        <v>252722518.03000003</v>
      </c>
      <c r="AY37" s="84">
        <f t="shared" si="55"/>
        <v>0</v>
      </c>
      <c r="AZ37" s="84">
        <f t="shared" si="55"/>
        <v>248525385.32999998</v>
      </c>
      <c r="BA37" s="84">
        <f t="shared" si="55"/>
        <v>244532367.79999998</v>
      </c>
      <c r="BB37" s="84">
        <f t="shared" si="55"/>
        <v>246855266.28999999</v>
      </c>
      <c r="BC37" s="84">
        <f t="shared" si="55"/>
        <v>245714625.91</v>
      </c>
      <c r="BD37" s="84">
        <f t="shared" si="55"/>
        <v>248981680.87</v>
      </c>
      <c r="BE37" s="84">
        <f t="shared" si="55"/>
        <v>235433249</v>
      </c>
      <c r="BF37" s="84">
        <f t="shared" si="55"/>
        <v>237274466.10999998</v>
      </c>
      <c r="BG37" s="84">
        <f t="shared" si="55"/>
        <v>240476495.34</v>
      </c>
      <c r="BH37" s="84">
        <f t="shared" si="55"/>
        <v>238193569.69</v>
      </c>
      <c r="BI37" s="84">
        <f t="shared" si="55"/>
        <v>228586332.75999999</v>
      </c>
      <c r="BJ37" s="84">
        <f t="shared" si="55"/>
        <v>223947736.41</v>
      </c>
      <c r="BK37" s="84">
        <f t="shared" si="55"/>
        <v>226280422.64999998</v>
      </c>
      <c r="BL37" s="84">
        <f t="shared" si="55"/>
        <v>222331087.56999999</v>
      </c>
      <c r="BM37" s="84">
        <f t="shared" si="55"/>
        <v>222947391.76999998</v>
      </c>
      <c r="BN37" s="84">
        <f t="shared" si="55"/>
        <v>221161806.90000004</v>
      </c>
      <c r="BO37" s="84">
        <f t="shared" si="55"/>
        <v>200809809.75</v>
      </c>
      <c r="BP37" s="84">
        <f t="shared" si="55"/>
        <v>217212556.72999999</v>
      </c>
      <c r="BQ37" s="191">
        <f t="shared" si="55"/>
        <v>223061577.66999999</v>
      </c>
      <c r="BR37" s="84">
        <f t="shared" si="55"/>
        <v>229800864</v>
      </c>
      <c r="BS37" s="84">
        <f t="shared" si="55"/>
        <v>220778223.03</v>
      </c>
      <c r="BT37" s="84">
        <f t="shared" si="55"/>
        <v>227973810.69999999</v>
      </c>
      <c r="BU37" s="84">
        <f t="shared" si="55"/>
        <v>234299573.18000001</v>
      </c>
      <c r="BV37" s="84">
        <f t="shared" si="55"/>
        <v>224136891.51999998</v>
      </c>
      <c r="BW37" s="84">
        <f t="shared" si="55"/>
        <v>257305392.28</v>
      </c>
      <c r="BX37" s="84">
        <f t="shared" si="55"/>
        <v>265940842.83000001</v>
      </c>
      <c r="BY37" s="84">
        <f t="shared" si="55"/>
        <v>260503150.79000002</v>
      </c>
      <c r="BZ37" s="84">
        <f t="shared" ref="BZ37:CE37" si="56">SUM(BZ30:BZ36)</f>
        <v>260501583.31</v>
      </c>
      <c r="CA37" s="84">
        <f t="shared" si="56"/>
        <v>231562341.19</v>
      </c>
      <c r="CB37" s="84">
        <f t="shared" si="56"/>
        <v>244657233.57000002</v>
      </c>
      <c r="CC37" s="84">
        <f t="shared" si="56"/>
        <v>253636898.27000001</v>
      </c>
      <c r="CD37" s="84">
        <f t="shared" si="56"/>
        <v>244638693.53</v>
      </c>
      <c r="CE37" s="84">
        <f t="shared" si="56"/>
        <v>235364473</v>
      </c>
      <c r="CF37" s="50">
        <f t="shared" si="8"/>
        <v>-9274220.5300000012</v>
      </c>
      <c r="CG37" s="84">
        <f t="shared" ref="CG37:CN37" si="57">SUM(CG30:CG36)</f>
        <v>235364473</v>
      </c>
      <c r="CH37" s="84">
        <f t="shared" si="57"/>
        <v>225375835.14999998</v>
      </c>
      <c r="CI37" s="84">
        <f t="shared" si="57"/>
        <v>225072053.59999999</v>
      </c>
      <c r="CJ37" s="84">
        <f t="shared" si="57"/>
        <v>216876631.99000001</v>
      </c>
      <c r="CK37" s="84">
        <f t="shared" si="57"/>
        <v>215704693.05000001</v>
      </c>
      <c r="CL37" s="84">
        <f t="shared" si="57"/>
        <v>214186818.39999998</v>
      </c>
      <c r="CM37" s="84">
        <f t="shared" si="57"/>
        <v>219080996.31000003</v>
      </c>
      <c r="CN37" s="84">
        <f t="shared" si="57"/>
        <v>220931861.73999998</v>
      </c>
    </row>
    <row r="38" spans="1:93" ht="15" customHeight="1">
      <c r="A38" s="14" t="s">
        <v>45</v>
      </c>
      <c r="B38" s="29">
        <v>3584500</v>
      </c>
      <c r="C38" s="15">
        <v>9299642</v>
      </c>
      <c r="D38" s="5">
        <v>10539885</v>
      </c>
      <c r="E38" s="5">
        <v>11804277</v>
      </c>
      <c r="F38" s="15">
        <v>11804277.08</v>
      </c>
      <c r="G38" s="15">
        <v>11804277</v>
      </c>
      <c r="H38" s="15">
        <v>12789238.41</v>
      </c>
      <c r="I38" s="167">
        <v>12794938.41</v>
      </c>
      <c r="J38" s="102">
        <v>12794938.41</v>
      </c>
      <c r="K38" s="102">
        <v>12795398.41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74">
        <v>13382089</v>
      </c>
      <c r="S38" s="136">
        <v>13383288.869999999</v>
      </c>
      <c r="T38" s="144">
        <v>13384488.869999999</v>
      </c>
      <c r="U38" s="143">
        <v>13364988.869999999</v>
      </c>
      <c r="V38" s="143">
        <v>13364988.869999999</v>
      </c>
      <c r="W38" s="143">
        <v>13408595.869999999</v>
      </c>
      <c r="X38" s="175">
        <v>13408595.869999999</v>
      </c>
      <c r="Y38" s="123">
        <v>0</v>
      </c>
      <c r="Z38" s="123">
        <v>13408595.869999999</v>
      </c>
      <c r="AA38" s="123">
        <v>13408595.869999999</v>
      </c>
      <c r="AB38" s="123">
        <v>13408595.869999999</v>
      </c>
      <c r="AC38" s="82">
        <v>13418595.869999999</v>
      </c>
      <c r="AD38" s="82">
        <v>13428595.869999999</v>
      </c>
      <c r="AE38" s="2">
        <v>13428596</v>
      </c>
      <c r="AF38" s="15">
        <v>13468795.869999999</v>
      </c>
      <c r="AG38" s="15">
        <v>13468795.869999999</v>
      </c>
      <c r="AH38" s="15">
        <v>13473795.869999999</v>
      </c>
      <c r="AI38" s="15">
        <v>13473795.869999999</v>
      </c>
      <c r="AJ38" s="15">
        <v>13473795.869999999</v>
      </c>
      <c r="AK38" s="15">
        <v>13473795.869999999</v>
      </c>
      <c r="AL38" s="15">
        <v>13473795.869999999</v>
      </c>
      <c r="AM38" s="15">
        <v>13473795.869999999</v>
      </c>
      <c r="AN38" s="15">
        <v>13473795.869999999</v>
      </c>
      <c r="AS38" s="15">
        <v>13473795.869999999</v>
      </c>
      <c r="AT38" s="15">
        <v>13473795.869999999</v>
      </c>
      <c r="AU38" s="15">
        <v>13473795.869999999</v>
      </c>
      <c r="AV38" s="15">
        <v>13473795.869999999</v>
      </c>
      <c r="AW38" s="15">
        <v>13473795.869999999</v>
      </c>
      <c r="AX38" s="15">
        <v>13473795.869999999</v>
      </c>
      <c r="AY38" s="15"/>
      <c r="AZ38" s="15">
        <v>13473795.869999999</v>
      </c>
      <c r="BA38" s="15">
        <v>13580323.65</v>
      </c>
      <c r="BB38" s="15">
        <v>13586623.65</v>
      </c>
      <c r="BC38" s="15">
        <v>13585923.65</v>
      </c>
      <c r="BD38" s="15">
        <v>13613123.65</v>
      </c>
      <c r="BE38" s="160">
        <v>13598624</v>
      </c>
      <c r="BF38" s="184">
        <v>13629924.289999999</v>
      </c>
      <c r="BG38" s="186">
        <v>13629924.289999999</v>
      </c>
      <c r="BH38" s="186">
        <v>13652824.289999999</v>
      </c>
      <c r="BI38" s="186">
        <v>13703324.289999999</v>
      </c>
      <c r="BJ38" s="186">
        <v>13712524.289999999</v>
      </c>
      <c r="BK38" s="186">
        <v>13721824.289999999</v>
      </c>
      <c r="BL38" s="186">
        <v>13721824.289999999</v>
      </c>
      <c r="BM38" s="186">
        <v>13742724.99</v>
      </c>
      <c r="BN38" s="186">
        <v>13742724.289999999</v>
      </c>
      <c r="BO38" s="186">
        <v>13742724.289999999</v>
      </c>
      <c r="BP38" s="186">
        <v>13744724.289999999</v>
      </c>
      <c r="BQ38" s="192">
        <v>13747224.289999999</v>
      </c>
      <c r="BR38" s="50">
        <v>13598624</v>
      </c>
      <c r="BS38" s="184">
        <v>13757224.289999999</v>
      </c>
      <c r="BT38" s="186">
        <v>13763124.289999999</v>
      </c>
      <c r="BU38" s="186">
        <v>13766924.289999999</v>
      </c>
      <c r="BV38" s="186">
        <v>13766924.289999999</v>
      </c>
      <c r="BW38" s="186">
        <v>13766924.289999999</v>
      </c>
      <c r="BX38" s="184">
        <v>13770424.289999999</v>
      </c>
      <c r="BY38" s="210">
        <v>13769924.289999999</v>
      </c>
      <c r="BZ38" s="102">
        <v>13776924.289999999</v>
      </c>
      <c r="CA38" s="210">
        <v>13777924.289999999</v>
      </c>
      <c r="CB38" s="210">
        <v>13793624.26</v>
      </c>
      <c r="CC38" s="210">
        <v>13802624.289999999</v>
      </c>
      <c r="CD38" s="15">
        <v>13793624.26</v>
      </c>
      <c r="CE38" s="286">
        <v>13824124</v>
      </c>
      <c r="CF38" s="50">
        <f t="shared" si="8"/>
        <v>30499.740000000224</v>
      </c>
      <c r="CG38" s="286">
        <v>13824124</v>
      </c>
      <c r="CH38" s="305">
        <v>13849924.289999999</v>
      </c>
      <c r="CI38" s="307">
        <v>13854224.289999999</v>
      </c>
      <c r="CJ38" s="307">
        <v>13854224.289999999</v>
      </c>
      <c r="CK38" s="307">
        <v>13882924.289999999</v>
      </c>
      <c r="CL38" s="97">
        <v>13939124.289999999</v>
      </c>
      <c r="CM38" s="305">
        <v>13939124.289999999</v>
      </c>
      <c r="CN38" s="356">
        <v>13939424.289999999</v>
      </c>
    </row>
    <row r="39" spans="1:93" ht="14.25">
      <c r="A39" s="14" t="s">
        <v>46</v>
      </c>
      <c r="B39" s="29"/>
      <c r="C39" s="15">
        <v>0</v>
      </c>
      <c r="D39" s="5"/>
      <c r="E39" s="5"/>
      <c r="F39" s="15">
        <v>0</v>
      </c>
      <c r="G39" s="15">
        <v>0</v>
      </c>
      <c r="H39" s="15">
        <v>0</v>
      </c>
      <c r="I39" s="167">
        <v>0</v>
      </c>
      <c r="J39" s="102">
        <v>0</v>
      </c>
      <c r="K39" s="15"/>
      <c r="L39" s="97">
        <v>0</v>
      </c>
      <c r="M39" s="97">
        <v>0</v>
      </c>
      <c r="N39" s="97">
        <v>0</v>
      </c>
      <c r="O39" s="97">
        <v>0</v>
      </c>
      <c r="P39" s="97">
        <v>0</v>
      </c>
      <c r="Q39" s="97">
        <v>0</v>
      </c>
      <c r="R39" s="74">
        <v>0</v>
      </c>
      <c r="S39" s="136">
        <v>0</v>
      </c>
      <c r="T39" s="144">
        <v>0</v>
      </c>
      <c r="U39" s="143">
        <v>0</v>
      </c>
      <c r="V39" s="143">
        <v>0</v>
      </c>
      <c r="W39" s="143">
        <v>0</v>
      </c>
      <c r="X39" s="175">
        <v>0</v>
      </c>
      <c r="Y39" s="123">
        <v>13408595.869999999</v>
      </c>
      <c r="Z39" s="123">
        <v>0</v>
      </c>
      <c r="AA39" s="123">
        <v>0</v>
      </c>
      <c r="AB39" s="123">
        <v>0</v>
      </c>
      <c r="AC39" s="82">
        <v>0</v>
      </c>
      <c r="AD39" s="82">
        <v>0</v>
      </c>
      <c r="AE39" s="2"/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/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F39" s="187">
        <v>0</v>
      </c>
      <c r="BG39" s="189">
        <v>0</v>
      </c>
      <c r="BH39" s="189">
        <v>0</v>
      </c>
      <c r="BI39" s="189">
        <v>0</v>
      </c>
      <c r="BJ39" s="189">
        <v>0</v>
      </c>
      <c r="BK39" s="189">
        <v>0</v>
      </c>
      <c r="BL39" s="189">
        <v>0</v>
      </c>
      <c r="BM39" s="189">
        <v>0</v>
      </c>
      <c r="BN39" s="189">
        <v>0</v>
      </c>
      <c r="BO39" s="189">
        <v>0</v>
      </c>
      <c r="BP39" s="189">
        <v>0</v>
      </c>
      <c r="BQ39" s="193">
        <v>0</v>
      </c>
      <c r="BR39" s="50"/>
      <c r="BS39" s="187">
        <v>0</v>
      </c>
      <c r="BT39" s="189">
        <v>0</v>
      </c>
      <c r="BU39" s="189">
        <v>0</v>
      </c>
      <c r="BV39" s="189">
        <v>0</v>
      </c>
      <c r="BW39" s="189">
        <v>0</v>
      </c>
      <c r="BX39" s="187">
        <v>0</v>
      </c>
      <c r="BY39" s="210">
        <v>0</v>
      </c>
      <c r="BZ39" s="102">
        <v>0</v>
      </c>
      <c r="CA39" s="210">
        <v>0</v>
      </c>
      <c r="CB39" s="210">
        <v>0</v>
      </c>
      <c r="CC39" s="210">
        <v>0</v>
      </c>
      <c r="CD39" s="15">
        <v>0</v>
      </c>
      <c r="CF39" s="50">
        <f t="shared" si="8"/>
        <v>0</v>
      </c>
      <c r="CH39" s="308">
        <v>0</v>
      </c>
      <c r="CI39" s="310">
        <v>0</v>
      </c>
      <c r="CJ39" s="310">
        <v>0</v>
      </c>
      <c r="CK39" s="310">
        <v>0</v>
      </c>
      <c r="CL39">
        <v>0</v>
      </c>
      <c r="CM39" s="308">
        <v>0</v>
      </c>
      <c r="CN39" s="357">
        <v>0</v>
      </c>
    </row>
    <row r="40" spans="1:93" ht="15" customHeight="1">
      <c r="A40" s="14" t="s">
        <v>47</v>
      </c>
      <c r="B40" s="29">
        <v>45148055</v>
      </c>
      <c r="C40" s="15">
        <v>22321562</v>
      </c>
      <c r="D40" s="5">
        <f>22765246-4678446+131265</f>
        <v>18218065</v>
      </c>
      <c r="E40" s="5">
        <v>17898031</v>
      </c>
      <c r="F40" s="15">
        <v>16488457.33</v>
      </c>
      <c r="G40" s="15">
        <v>16418457</v>
      </c>
      <c r="H40" s="15">
        <v>400110</v>
      </c>
      <c r="I40" s="167">
        <v>400110</v>
      </c>
      <c r="J40" s="103">
        <v>14698072</v>
      </c>
      <c r="K40" s="103">
        <v>14698072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137">
        <v>14698071</v>
      </c>
      <c r="S40" s="136">
        <v>7209735</v>
      </c>
      <c r="T40" s="144">
        <v>7209735</v>
      </c>
      <c r="U40" s="143">
        <v>7209735</v>
      </c>
      <c r="V40" s="143">
        <v>7209735</v>
      </c>
      <c r="W40" s="143">
        <v>7209735</v>
      </c>
      <c r="X40" s="175">
        <v>14618578.6</v>
      </c>
      <c r="Y40" s="123">
        <v>14618578.6</v>
      </c>
      <c r="Z40" s="123">
        <v>14618578.6</v>
      </c>
      <c r="AA40" s="123">
        <v>14618578.6</v>
      </c>
      <c r="AB40" s="123">
        <v>14618578.6</v>
      </c>
      <c r="AC40" s="82">
        <v>14618578.6</v>
      </c>
      <c r="AD40" s="82">
        <v>14618578.6</v>
      </c>
      <c r="AE40" s="2">
        <v>7209735</v>
      </c>
      <c r="AF40" s="15">
        <v>14618578.6</v>
      </c>
      <c r="AG40" s="15">
        <v>14618578.6</v>
      </c>
      <c r="AH40" s="15">
        <v>14618578.6</v>
      </c>
      <c r="AI40" s="15">
        <v>14618578.6</v>
      </c>
      <c r="AJ40" s="15">
        <v>14618578.6</v>
      </c>
      <c r="AK40" s="15">
        <v>14618578.6</v>
      </c>
      <c r="AL40" s="15">
        <v>14618578.6</v>
      </c>
      <c r="AM40" s="15">
        <v>14618578.6</v>
      </c>
      <c r="AN40" s="15">
        <v>14618578.6</v>
      </c>
      <c r="AS40" s="15">
        <v>-13871946</v>
      </c>
      <c r="AT40" s="15">
        <v>-121507787.51000001</v>
      </c>
      <c r="AU40" s="15">
        <v>-121507788</v>
      </c>
      <c r="AV40" s="15">
        <v>-121507788</v>
      </c>
      <c r="AW40" s="15">
        <v>-121507788</v>
      </c>
      <c r="AX40" s="15">
        <v>-121507788</v>
      </c>
      <c r="AY40" s="15"/>
      <c r="AZ40" s="15">
        <v>-121507788</v>
      </c>
      <c r="BA40" s="15">
        <v>-121507788</v>
      </c>
      <c r="BB40" s="15">
        <v>-121507788</v>
      </c>
      <c r="BC40" s="15">
        <v>-121507788</v>
      </c>
      <c r="BD40" s="15">
        <v>-121507788</v>
      </c>
      <c r="BE40">
        <f>-121507788</f>
        <v>-121507788</v>
      </c>
      <c r="BF40" s="184">
        <v>-104179188.45</v>
      </c>
      <c r="BG40" s="186">
        <v>-121507788</v>
      </c>
      <c r="BH40" s="186">
        <v>-121507788</v>
      </c>
      <c r="BI40" s="186">
        <v>-121507788</v>
      </c>
      <c r="BJ40" s="186">
        <v>-121507788</v>
      </c>
      <c r="BK40" s="186">
        <v>-108244971.27</v>
      </c>
      <c r="BL40" s="186">
        <v>-121507788</v>
      </c>
      <c r="BM40" s="186">
        <v>-121507788</v>
      </c>
      <c r="BN40" s="186">
        <v>-121507788</v>
      </c>
      <c r="BO40" s="186">
        <v>-121507788</v>
      </c>
      <c r="BP40" s="186">
        <v>-121508188</v>
      </c>
      <c r="BQ40" s="192">
        <v>-121508188</v>
      </c>
      <c r="BR40" s="50">
        <f>-111971756</f>
        <v>-111971756</v>
      </c>
      <c r="BS40" s="188">
        <v>-121508188</v>
      </c>
      <c r="BT40" s="190">
        <v>-121508188</v>
      </c>
      <c r="BU40" s="190">
        <v>-121507788</v>
      </c>
      <c r="BV40" s="190">
        <v>-121508188</v>
      </c>
      <c r="BW40" s="190">
        <v>-121507788</v>
      </c>
      <c r="BX40" s="188">
        <v>-121507788</v>
      </c>
      <c r="BY40" s="210">
        <v>-121507788</v>
      </c>
      <c r="BZ40" s="103">
        <v>-121507788</v>
      </c>
      <c r="CA40" s="210">
        <v>-121507788</v>
      </c>
      <c r="CB40" s="210">
        <v>-121507788</v>
      </c>
      <c r="CC40" s="210">
        <v>-121507788</v>
      </c>
      <c r="CD40" s="15">
        <v>-121507788</v>
      </c>
      <c r="CE40">
        <f>-92767830</f>
        <v>-92767830</v>
      </c>
      <c r="CF40" s="50">
        <f t="shared" si="8"/>
        <v>28739958</v>
      </c>
      <c r="CG40">
        <f>-92767830</f>
        <v>-92767830</v>
      </c>
      <c r="CH40" s="309">
        <v>-113193830.68000001</v>
      </c>
      <c r="CI40" s="311">
        <v>-113193830.68000001</v>
      </c>
      <c r="CJ40" s="311">
        <v>-113193830.68000001</v>
      </c>
      <c r="CK40" s="311">
        <v>-113193830.68000001</v>
      </c>
      <c r="CL40" s="97">
        <v>-113193830.68000001</v>
      </c>
      <c r="CM40" s="309">
        <v>-113193830.68000001</v>
      </c>
      <c r="CN40" s="358">
        <v>-113193830.68000001</v>
      </c>
    </row>
    <row r="41" spans="1:93" ht="14.25">
      <c r="A41" s="14" t="s">
        <v>48</v>
      </c>
      <c r="B41" s="29">
        <v>826227</v>
      </c>
      <c r="C41" s="15">
        <f>6949552-1115957-1389910-4000000</f>
        <v>443685</v>
      </c>
      <c r="D41" s="5">
        <f>393099-78620</f>
        <v>314479</v>
      </c>
      <c r="E41" s="5">
        <v>400110</v>
      </c>
      <c r="F41" s="15">
        <v>139938</v>
      </c>
      <c r="G41" s="15">
        <v>-3983344.2</v>
      </c>
      <c r="H41" s="15">
        <v>-3041115.7</v>
      </c>
      <c r="I41" s="167">
        <v>-2488552.7999999998</v>
      </c>
      <c r="J41" s="102">
        <v>-4736380.4000000004</v>
      </c>
      <c r="K41" s="102">
        <v>-4858783.7</v>
      </c>
      <c r="L41" s="97">
        <v>0</v>
      </c>
      <c r="M41" s="97">
        <v>0</v>
      </c>
      <c r="N41" s="97">
        <v>0</v>
      </c>
      <c r="O41" s="97">
        <v>0</v>
      </c>
      <c r="P41" s="97">
        <v>0</v>
      </c>
      <c r="Q41" s="97">
        <v>0</v>
      </c>
      <c r="R41" s="74">
        <f>-1516666-5971670</f>
        <v>-7488336</v>
      </c>
      <c r="S41" s="136">
        <v>505774.5</v>
      </c>
      <c r="T41" s="144">
        <v>406666.3</v>
      </c>
      <c r="U41" s="143">
        <v>-3815962.5</v>
      </c>
      <c r="V41" s="143">
        <v>-8530730.8000000007</v>
      </c>
      <c r="W41" s="143">
        <v>-31910424.100000001</v>
      </c>
      <c r="X41" s="175">
        <v>118400.58</v>
      </c>
      <c r="Y41" s="123">
        <v>-1420935.92</v>
      </c>
      <c r="Z41" s="123">
        <v>-4592770.6399999997</v>
      </c>
      <c r="AA41" s="123">
        <v>-2326297.04</v>
      </c>
      <c r="AB41" s="123">
        <v>-3452330.97</v>
      </c>
      <c r="AC41" s="2">
        <v>-2823447.03</v>
      </c>
      <c r="AD41" s="2">
        <v>-5176705.63</v>
      </c>
      <c r="AE41" s="2">
        <v>-21081681</v>
      </c>
      <c r="AF41" s="15">
        <v>-604150.02</v>
      </c>
      <c r="AG41" s="15">
        <v>-714008.62</v>
      </c>
      <c r="AH41" s="15">
        <v>-6480948.5599999996</v>
      </c>
      <c r="AI41" s="15">
        <v>-4001296.68</v>
      </c>
      <c r="AJ41" s="15">
        <v>-5033835.5</v>
      </c>
      <c r="AK41" s="15">
        <v>-5423604.5</v>
      </c>
      <c r="AL41" s="15">
        <v>-6142663.3700000001</v>
      </c>
      <c r="AM41" s="15">
        <v>-3494140.02</v>
      </c>
      <c r="AN41" s="15">
        <v>-7198998.4500000002</v>
      </c>
      <c r="AS41" s="15">
        <v>-111592353</v>
      </c>
      <c r="AT41" s="15">
        <v>-2512900.4300000002</v>
      </c>
      <c r="AU41" s="15">
        <v>7115986.7400000002</v>
      </c>
      <c r="AV41" s="15">
        <v>6210002.4500000002</v>
      </c>
      <c r="AW41" s="15">
        <v>4876056.33</v>
      </c>
      <c r="AX41" s="15">
        <v>4689830.8</v>
      </c>
      <c r="AY41" s="15"/>
      <c r="AZ41" s="15">
        <v>1141779.5</v>
      </c>
      <c r="BA41" s="15">
        <v>7307591.46</v>
      </c>
      <c r="BB41" s="15">
        <v>11806863.130000001</v>
      </c>
      <c r="BC41" s="15">
        <v>11104459.92</v>
      </c>
      <c r="BD41" s="15">
        <v>14808286.35</v>
      </c>
      <c r="BE41" s="80">
        <f>11920040-2384008</f>
        <v>9536032</v>
      </c>
      <c r="BF41" s="188">
        <v>-809352.05</v>
      </c>
      <c r="BG41" s="190">
        <v>-438323.24</v>
      </c>
      <c r="BH41" s="190">
        <v>-548672.07999999996</v>
      </c>
      <c r="BI41" s="190">
        <v>-246597.19</v>
      </c>
      <c r="BJ41" s="190">
        <v>585169.09</v>
      </c>
      <c r="BK41" s="190">
        <v>1135015.31</v>
      </c>
      <c r="BL41" s="190">
        <v>1741053.93</v>
      </c>
      <c r="BM41" s="190">
        <v>-160769.23000000001</v>
      </c>
      <c r="BN41" s="190">
        <v>1491229.56</v>
      </c>
      <c r="BO41" s="190">
        <v>1534461.6</v>
      </c>
      <c r="BP41" s="190">
        <v>1827781.93</v>
      </c>
      <c r="BQ41" s="192">
        <v>264768.63</v>
      </c>
      <c r="BR41" s="50">
        <f>19843602-639677</f>
        <v>19203925</v>
      </c>
      <c r="BS41" s="188">
        <v>295833.46000000002</v>
      </c>
      <c r="BT41" s="190">
        <v>520505.82</v>
      </c>
      <c r="BU41" s="190">
        <v>-169816.43</v>
      </c>
      <c r="BV41" s="190">
        <v>1884959.7</v>
      </c>
      <c r="BW41" s="190">
        <v>1571754</v>
      </c>
      <c r="BX41" s="188">
        <v>394143.8</v>
      </c>
      <c r="BY41" s="210">
        <v>1209379.2</v>
      </c>
      <c r="BZ41" s="102">
        <v>406710.31</v>
      </c>
      <c r="CA41" s="210">
        <v>2126515.9</v>
      </c>
      <c r="CB41" s="210">
        <v>3369037.9</v>
      </c>
      <c r="CC41" s="210">
        <v>6021982.9800000004</v>
      </c>
      <c r="CD41" s="15">
        <v>2535725</v>
      </c>
      <c r="CE41">
        <f>10278058+434576-86915</f>
        <v>10625719</v>
      </c>
      <c r="CF41" s="50">
        <f t="shared" si="8"/>
        <v>8089994</v>
      </c>
      <c r="CG41">
        <f>10278058+434576-86915</f>
        <v>10625719</v>
      </c>
      <c r="CH41" s="309">
        <v>1461011.2</v>
      </c>
      <c r="CI41" s="311">
        <v>1802568.71</v>
      </c>
      <c r="CJ41" s="311">
        <v>3176068</v>
      </c>
      <c r="CK41" s="311">
        <v>4199379.0999999996</v>
      </c>
      <c r="CL41" s="97">
        <v>4751194.3</v>
      </c>
      <c r="CM41" s="309">
        <v>5179996.5</v>
      </c>
      <c r="CN41" s="358">
        <v>4437741.8</v>
      </c>
    </row>
    <row r="42" spans="1:93" ht="15" customHeight="1">
      <c r="A42" s="14" t="s">
        <v>49</v>
      </c>
      <c r="B42" s="29">
        <v>35982721</v>
      </c>
      <c r="C42" s="15">
        <v>37372631</v>
      </c>
      <c r="D42" s="5">
        <v>37451251</v>
      </c>
      <c r="E42" s="5">
        <v>37551278</v>
      </c>
      <c r="F42" s="15">
        <v>37451251</v>
      </c>
      <c r="G42" s="15">
        <v>37551279</v>
      </c>
      <c r="H42" s="15">
        <v>37551279</v>
      </c>
      <c r="I42" s="167">
        <v>37551279</v>
      </c>
      <c r="J42" s="102">
        <v>37551279</v>
      </c>
      <c r="K42" s="102">
        <v>37551279</v>
      </c>
      <c r="L42" s="97">
        <v>0</v>
      </c>
      <c r="M42" s="97">
        <v>0</v>
      </c>
      <c r="N42" s="97">
        <v>0</v>
      </c>
      <c r="O42" s="97">
        <v>0</v>
      </c>
      <c r="P42" s="97">
        <v>0</v>
      </c>
      <c r="Q42" s="97">
        <v>0</v>
      </c>
      <c r="R42" s="137">
        <v>37551279</v>
      </c>
      <c r="S42" s="136">
        <v>37551279</v>
      </c>
      <c r="T42" s="144">
        <v>37551279</v>
      </c>
      <c r="U42" s="143">
        <v>37551279</v>
      </c>
      <c r="V42" s="143">
        <v>37551279</v>
      </c>
      <c r="W42" s="143">
        <v>37551279</v>
      </c>
      <c r="X42" s="175">
        <v>37551279</v>
      </c>
      <c r="Y42" s="123">
        <v>37551279</v>
      </c>
      <c r="Z42" s="123">
        <v>37551279</v>
      </c>
      <c r="AA42" s="123">
        <v>37551279</v>
      </c>
      <c r="AB42" s="123">
        <v>37551279</v>
      </c>
      <c r="AC42" s="82">
        <v>37551279</v>
      </c>
      <c r="AD42" s="82">
        <v>37551279</v>
      </c>
      <c r="AE42" s="2">
        <v>37551279</v>
      </c>
      <c r="AF42" s="15">
        <v>37551279</v>
      </c>
      <c r="AG42" s="15">
        <v>37551279</v>
      </c>
      <c r="AH42" s="15">
        <v>37551279</v>
      </c>
      <c r="AI42" s="15">
        <v>37551279</v>
      </c>
      <c r="AJ42" s="15">
        <v>37551279</v>
      </c>
      <c r="AK42" s="15">
        <v>37551279</v>
      </c>
      <c r="AL42" s="15">
        <v>37551279</v>
      </c>
      <c r="AM42" s="15">
        <v>37551279</v>
      </c>
      <c r="AN42" s="15">
        <v>37551279</v>
      </c>
      <c r="AS42" s="15">
        <v>37551279</v>
      </c>
      <c r="AT42" s="15">
        <v>37551279</v>
      </c>
      <c r="AU42" s="15">
        <v>37551279</v>
      </c>
      <c r="AV42" s="15">
        <v>37551279</v>
      </c>
      <c r="AW42" s="15">
        <v>37551279</v>
      </c>
      <c r="AX42" s="15">
        <v>37551279</v>
      </c>
      <c r="AY42" s="15"/>
      <c r="AZ42" s="15">
        <v>37551279</v>
      </c>
      <c r="BA42" s="15">
        <v>37551279</v>
      </c>
      <c r="BB42" s="15">
        <v>37551279</v>
      </c>
      <c r="BC42" s="15">
        <v>37551279</v>
      </c>
      <c r="BD42" s="15">
        <v>37551279</v>
      </c>
      <c r="BE42" s="160">
        <v>39935287</v>
      </c>
      <c r="BF42" s="184">
        <v>37551279</v>
      </c>
      <c r="BG42" s="186">
        <v>37551279</v>
      </c>
      <c r="BH42" s="186">
        <v>37551279</v>
      </c>
      <c r="BI42" s="186">
        <v>37551279</v>
      </c>
      <c r="BJ42" s="186">
        <v>37551279</v>
      </c>
      <c r="BK42" s="186">
        <v>37551279</v>
      </c>
      <c r="BL42" s="186">
        <v>37551279</v>
      </c>
      <c r="BM42" s="186">
        <v>37551279</v>
      </c>
      <c r="BN42" s="186">
        <v>37551279</v>
      </c>
      <c r="BO42" s="186">
        <v>37551279</v>
      </c>
      <c r="BP42" s="186">
        <v>37551279</v>
      </c>
      <c r="BQ42" s="192">
        <v>37551279</v>
      </c>
      <c r="BR42" s="50">
        <v>39935287</v>
      </c>
      <c r="BS42" s="188">
        <v>37551279</v>
      </c>
      <c r="BT42" s="190">
        <v>37551279</v>
      </c>
      <c r="BU42" s="190">
        <v>37551279</v>
      </c>
      <c r="BV42" s="190">
        <v>37551279</v>
      </c>
      <c r="BW42" s="190">
        <v>37551279</v>
      </c>
      <c r="BX42" s="188">
        <v>37551279</v>
      </c>
      <c r="BY42" s="210">
        <v>37551279</v>
      </c>
      <c r="BZ42" s="102">
        <v>37551279</v>
      </c>
      <c r="CA42" s="210">
        <v>37551279</v>
      </c>
      <c r="CB42" s="210">
        <v>37551279</v>
      </c>
      <c r="CC42" s="210">
        <v>37551279</v>
      </c>
      <c r="CD42" s="15">
        <v>37551279</v>
      </c>
      <c r="CE42" s="286">
        <v>40022202</v>
      </c>
      <c r="CF42" s="50">
        <f t="shared" si="8"/>
        <v>2470923</v>
      </c>
      <c r="CG42" s="286">
        <v>40022202</v>
      </c>
      <c r="CH42" s="309">
        <v>37551279</v>
      </c>
      <c r="CI42" s="311">
        <v>37551279</v>
      </c>
      <c r="CJ42" s="311">
        <v>37551279</v>
      </c>
      <c r="CK42" s="311">
        <v>37551279</v>
      </c>
      <c r="CL42" s="97">
        <v>37551279</v>
      </c>
      <c r="CM42" s="309">
        <v>37551279</v>
      </c>
      <c r="CN42" s="358">
        <v>37551279</v>
      </c>
    </row>
    <row r="43" spans="1:93" ht="14.25">
      <c r="A43" s="14" t="s">
        <v>50</v>
      </c>
      <c r="B43" s="29">
        <v>8718475</v>
      </c>
      <c r="C43" s="15">
        <v>12718475</v>
      </c>
      <c r="D43" s="5">
        <v>12718475</v>
      </c>
      <c r="E43" s="5">
        <v>12718475</v>
      </c>
      <c r="F43" s="15">
        <v>27681479.039999999</v>
      </c>
      <c r="G43" s="15">
        <v>13758689</v>
      </c>
      <c r="H43" s="15">
        <v>29307123.68</v>
      </c>
      <c r="I43" s="167">
        <v>27016436</v>
      </c>
      <c r="J43" s="102">
        <v>12718474</v>
      </c>
      <c r="K43" s="102">
        <v>12718475</v>
      </c>
      <c r="L43" s="97">
        <v>0</v>
      </c>
      <c r="M43" s="97">
        <v>0</v>
      </c>
      <c r="N43" s="97">
        <v>0</v>
      </c>
      <c r="O43" s="97">
        <v>0</v>
      </c>
      <c r="P43" s="97">
        <v>0</v>
      </c>
      <c r="Q43" s="97">
        <v>0</v>
      </c>
      <c r="R43" s="137">
        <v>12718475</v>
      </c>
      <c r="S43" s="136">
        <v>12718475</v>
      </c>
      <c r="T43" s="144">
        <v>12718475</v>
      </c>
      <c r="U43" s="143">
        <v>12718475</v>
      </c>
      <c r="V43" s="143">
        <v>12718475</v>
      </c>
      <c r="W43" s="143">
        <v>12718475</v>
      </c>
      <c r="X43" s="175">
        <v>12718475</v>
      </c>
      <c r="Y43" s="123">
        <v>22584743.010000002</v>
      </c>
      <c r="Z43" s="123">
        <v>13349927</v>
      </c>
      <c r="AA43" s="123">
        <v>12718475</v>
      </c>
      <c r="AB43" s="123">
        <v>12718475</v>
      </c>
      <c r="AC43" s="82">
        <v>12718475</v>
      </c>
      <c r="AD43" s="82">
        <v>12718475</v>
      </c>
      <c r="AE43" s="2">
        <v>12718475</v>
      </c>
      <c r="AF43" s="15">
        <v>12637355.65</v>
      </c>
      <c r="AG43" s="15">
        <v>9397207.3599999994</v>
      </c>
      <c r="AH43" s="15">
        <v>0</v>
      </c>
      <c r="AI43" s="15">
        <v>12718475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/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F43" s="188">
        <v>12718475</v>
      </c>
      <c r="BG43" s="189">
        <v>0</v>
      </c>
      <c r="BH43" s="190">
        <v>25015227.41</v>
      </c>
      <c r="BI43" s="190">
        <v>25799695.5</v>
      </c>
      <c r="BJ43" s="190">
        <v>26733130.890000001</v>
      </c>
      <c r="BK43" s="190">
        <v>26733130.890000001</v>
      </c>
      <c r="BL43" s="190">
        <v>26789065.760000002</v>
      </c>
      <c r="BM43" s="190">
        <v>26236993.460000001</v>
      </c>
      <c r="BN43" s="190">
        <v>26197059.91</v>
      </c>
      <c r="BO43" s="190">
        <v>27465932.16</v>
      </c>
      <c r="BP43" s="190">
        <v>28196754.609999999</v>
      </c>
      <c r="BQ43" s="192">
        <v>26830473.329999998</v>
      </c>
      <c r="BR43" s="50">
        <v>12718475</v>
      </c>
      <c r="BS43" s="188">
        <v>27815370.390000001</v>
      </c>
      <c r="BT43" s="190">
        <v>28207375.219999999</v>
      </c>
      <c r="BU43" s="190">
        <v>27517052.98</v>
      </c>
      <c r="BV43" s="190">
        <v>29198744.09</v>
      </c>
      <c r="BW43" s="190">
        <v>12718475</v>
      </c>
      <c r="BX43" s="188">
        <v>12718475</v>
      </c>
      <c r="BY43" s="210">
        <v>12718475</v>
      </c>
      <c r="BZ43" s="102">
        <v>12718475</v>
      </c>
      <c r="CA43" s="210">
        <v>29844925.25</v>
      </c>
      <c r="CB43" s="210">
        <v>12718475</v>
      </c>
      <c r="CC43" s="210">
        <v>12718475</v>
      </c>
      <c r="CD43" s="15">
        <v>12718475</v>
      </c>
      <c r="CE43" s="286">
        <v>12718475</v>
      </c>
      <c r="CF43" s="50">
        <f t="shared" si="8"/>
        <v>0</v>
      </c>
      <c r="CG43" s="286">
        <v>12718475</v>
      </c>
      <c r="CH43" s="309">
        <v>12718475</v>
      </c>
      <c r="CI43" s="311">
        <v>12718475</v>
      </c>
      <c r="CJ43" s="311">
        <v>12718475</v>
      </c>
      <c r="CK43" s="311">
        <v>12718475</v>
      </c>
      <c r="CL43" s="97">
        <v>12718475</v>
      </c>
      <c r="CM43" s="309">
        <v>12718475</v>
      </c>
      <c r="CN43" s="358">
        <v>12718475</v>
      </c>
    </row>
    <row r="44" spans="1:93" ht="14.25">
      <c r="A44" s="14" t="s">
        <v>51</v>
      </c>
      <c r="B44" s="29"/>
      <c r="C44" s="15">
        <v>0</v>
      </c>
      <c r="D44" s="5"/>
      <c r="E44" s="5">
        <v>-3600070</v>
      </c>
      <c r="F44" s="15">
        <v>0</v>
      </c>
      <c r="G44" s="15">
        <v>0</v>
      </c>
      <c r="H44" s="15">
        <v>0</v>
      </c>
      <c r="I44" s="167">
        <v>0</v>
      </c>
      <c r="J44" s="91"/>
      <c r="K44" s="102">
        <v>0</v>
      </c>
      <c r="L44" s="97">
        <v>0</v>
      </c>
      <c r="M44" s="97">
        <v>0</v>
      </c>
      <c r="N44" s="97">
        <v>0</v>
      </c>
      <c r="O44" s="97">
        <v>0</v>
      </c>
      <c r="P44" s="97">
        <v>0</v>
      </c>
      <c r="Q44" s="97">
        <v>0</v>
      </c>
      <c r="R44" s="74"/>
      <c r="S44" s="136">
        <v>0</v>
      </c>
      <c r="T44" s="144">
        <v>0</v>
      </c>
      <c r="U44" s="143">
        <v>0</v>
      </c>
      <c r="V44" s="143">
        <v>0</v>
      </c>
      <c r="W44" s="143">
        <v>0</v>
      </c>
      <c r="X44" s="175">
        <v>0</v>
      </c>
      <c r="Y44" s="123">
        <v>0</v>
      </c>
      <c r="Z44" s="123">
        <v>0</v>
      </c>
      <c r="AA44" s="123">
        <v>0</v>
      </c>
      <c r="AB44" s="123">
        <v>0</v>
      </c>
      <c r="AC44" s="2">
        <v>0</v>
      </c>
      <c r="AD44" s="2">
        <v>0</v>
      </c>
      <c r="AE44" s="2"/>
      <c r="AF44" s="15">
        <v>0</v>
      </c>
      <c r="AG44" s="15">
        <v>0</v>
      </c>
      <c r="AH44" s="15">
        <v>12718475</v>
      </c>
      <c r="AI44" s="15">
        <v>0</v>
      </c>
      <c r="AJ44" s="15">
        <v>12718475</v>
      </c>
      <c r="AK44" s="15">
        <v>12718475</v>
      </c>
      <c r="AL44" s="15">
        <v>12718475</v>
      </c>
      <c r="AM44" s="15">
        <v>12718475</v>
      </c>
      <c r="AN44" s="15">
        <v>12718475</v>
      </c>
      <c r="AS44" s="15">
        <v>12718475</v>
      </c>
      <c r="AT44" s="15">
        <v>12718475</v>
      </c>
      <c r="AU44" s="15">
        <v>12718475</v>
      </c>
      <c r="AV44" s="15">
        <v>12718475</v>
      </c>
      <c r="AW44" s="15">
        <v>12718475</v>
      </c>
      <c r="AX44" s="15">
        <v>12718475</v>
      </c>
      <c r="AY44" s="15"/>
      <c r="AZ44" s="15">
        <v>12718475</v>
      </c>
      <c r="BA44" s="15">
        <v>12718475</v>
      </c>
      <c r="BB44" s="15">
        <v>12718475</v>
      </c>
      <c r="BC44" s="15">
        <v>12718475</v>
      </c>
      <c r="BD44" s="15">
        <v>12718475</v>
      </c>
      <c r="BE44" s="160">
        <v>12718475</v>
      </c>
      <c r="BF44" s="187">
        <v>0</v>
      </c>
      <c r="BG44" s="190">
        <v>12718475</v>
      </c>
      <c r="BH44" s="189">
        <v>0</v>
      </c>
      <c r="BI44" s="189">
        <v>0</v>
      </c>
      <c r="BJ44" s="189">
        <v>0</v>
      </c>
      <c r="BK44" s="189">
        <v>0</v>
      </c>
      <c r="BL44" s="189">
        <v>0</v>
      </c>
      <c r="BM44" s="189">
        <v>0</v>
      </c>
      <c r="BN44" s="189">
        <v>0</v>
      </c>
      <c r="BO44" s="189">
        <v>0</v>
      </c>
      <c r="BP44" s="189">
        <v>0</v>
      </c>
      <c r="BQ44" s="193">
        <v>0</v>
      </c>
      <c r="BS44" s="187">
        <v>0</v>
      </c>
      <c r="BT44" s="189">
        <v>0</v>
      </c>
      <c r="BU44" s="189">
        <v>0</v>
      </c>
      <c r="BV44" s="189">
        <v>0</v>
      </c>
      <c r="BW44" s="189">
        <v>0</v>
      </c>
      <c r="BX44" s="187">
        <v>0</v>
      </c>
      <c r="BY44" s="210">
        <v>0</v>
      </c>
      <c r="BZ44" s="102">
        <v>0</v>
      </c>
      <c r="CA44" s="210">
        <v>0</v>
      </c>
      <c r="CB44" s="210">
        <v>0</v>
      </c>
      <c r="CC44" s="210">
        <v>0</v>
      </c>
      <c r="CD44" s="15">
        <v>0</v>
      </c>
      <c r="CF44" s="50">
        <f t="shared" si="8"/>
        <v>0</v>
      </c>
      <c r="CH44" s="308">
        <v>0</v>
      </c>
      <c r="CI44" s="310">
        <v>0</v>
      </c>
      <c r="CJ44" s="310">
        <v>0</v>
      </c>
      <c r="CK44" s="310">
        <v>0</v>
      </c>
      <c r="CL44">
        <v>0</v>
      </c>
      <c r="CM44" s="308">
        <v>0</v>
      </c>
      <c r="CN44" s="357">
        <v>0</v>
      </c>
    </row>
    <row r="45" spans="1:93" ht="14.25">
      <c r="A45" s="14" t="s">
        <v>52</v>
      </c>
      <c r="B45" s="29">
        <v>430140</v>
      </c>
      <c r="C45" s="29">
        <v>1115957</v>
      </c>
      <c r="D45" s="5"/>
      <c r="E45" s="5">
        <v>1040215</v>
      </c>
      <c r="F45" s="16">
        <v>0</v>
      </c>
      <c r="G45" s="16">
        <v>0</v>
      </c>
      <c r="H45" s="16">
        <v>0</v>
      </c>
      <c r="I45" s="176">
        <v>0</v>
      </c>
      <c r="J45" s="91"/>
      <c r="K45" s="102">
        <v>0</v>
      </c>
      <c r="L45" s="97">
        <v>0</v>
      </c>
      <c r="M45" s="97">
        <v>0</v>
      </c>
      <c r="N45" s="97">
        <v>0</v>
      </c>
      <c r="O45" s="97">
        <v>0</v>
      </c>
      <c r="P45" s="97">
        <v>0</v>
      </c>
      <c r="Q45" s="97">
        <v>0</v>
      </c>
      <c r="R45" s="74"/>
      <c r="S45" s="136">
        <v>0</v>
      </c>
      <c r="T45" s="144">
        <v>0</v>
      </c>
      <c r="U45" s="143">
        <v>0</v>
      </c>
      <c r="V45" s="143">
        <v>0</v>
      </c>
      <c r="W45" s="143">
        <v>0</v>
      </c>
      <c r="X45" s="177">
        <v>0</v>
      </c>
      <c r="Y45" s="142">
        <v>0</v>
      </c>
      <c r="Z45" s="142">
        <v>0</v>
      </c>
      <c r="AA45" s="142">
        <v>0</v>
      </c>
      <c r="AB45" s="142">
        <v>0</v>
      </c>
      <c r="AC45" s="2">
        <v>0</v>
      </c>
      <c r="AD45" s="2">
        <v>0</v>
      </c>
      <c r="AE45" s="2"/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/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F45" s="187">
        <v>0</v>
      </c>
      <c r="BG45" s="189">
        <v>0</v>
      </c>
      <c r="BH45" s="189">
        <v>0</v>
      </c>
      <c r="BI45" s="189">
        <v>0</v>
      </c>
      <c r="BJ45" s="189">
        <v>0</v>
      </c>
      <c r="BK45" s="189">
        <v>0</v>
      </c>
      <c r="BL45" s="189">
        <v>0</v>
      </c>
      <c r="BM45" s="189">
        <v>0</v>
      </c>
      <c r="BN45" s="189">
        <v>0</v>
      </c>
      <c r="BO45" s="189">
        <v>0</v>
      </c>
      <c r="BP45" s="189">
        <v>0</v>
      </c>
      <c r="BQ45" s="193">
        <v>0</v>
      </c>
      <c r="BS45" s="187">
        <v>0</v>
      </c>
      <c r="BT45" s="189">
        <v>0</v>
      </c>
      <c r="BU45" s="189">
        <v>0</v>
      </c>
      <c r="BV45" s="189">
        <v>0</v>
      </c>
      <c r="BW45" s="189">
        <v>0</v>
      </c>
      <c r="BX45" s="187">
        <v>0</v>
      </c>
      <c r="BY45" s="211">
        <v>0</v>
      </c>
      <c r="BZ45" s="102">
        <v>0</v>
      </c>
      <c r="CA45" s="211">
        <v>0</v>
      </c>
      <c r="CB45" s="211">
        <v>0</v>
      </c>
      <c r="CC45" s="211">
        <v>0</v>
      </c>
      <c r="CD45" s="16">
        <v>0</v>
      </c>
      <c r="CF45" s="50">
        <f t="shared" si="8"/>
        <v>0</v>
      </c>
      <c r="CH45" s="308">
        <v>0</v>
      </c>
      <c r="CI45" s="310">
        <v>0</v>
      </c>
      <c r="CJ45" s="310">
        <v>0</v>
      </c>
      <c r="CK45" s="310">
        <v>0</v>
      </c>
      <c r="CL45">
        <v>0</v>
      </c>
      <c r="CM45" s="308">
        <v>0</v>
      </c>
      <c r="CN45" s="357">
        <v>0</v>
      </c>
    </row>
    <row r="46" spans="1:93" ht="14.25">
      <c r="A46" s="14" t="s">
        <v>53</v>
      </c>
      <c r="B46" s="29"/>
      <c r="C46" s="16">
        <v>0</v>
      </c>
      <c r="D46" s="5"/>
      <c r="E46" s="5"/>
      <c r="F46" s="16">
        <v>0</v>
      </c>
      <c r="G46" s="16">
        <v>0</v>
      </c>
      <c r="H46" s="16">
        <v>0</v>
      </c>
      <c r="I46" s="176">
        <v>0</v>
      </c>
      <c r="J46" s="91"/>
      <c r="K46" s="102">
        <v>0</v>
      </c>
      <c r="L46" s="97">
        <v>0</v>
      </c>
      <c r="M46" s="97">
        <v>0</v>
      </c>
      <c r="N46" s="97">
        <v>0</v>
      </c>
      <c r="O46" s="97">
        <v>0</v>
      </c>
      <c r="P46" s="97">
        <v>0</v>
      </c>
      <c r="Q46" s="97">
        <v>0</v>
      </c>
      <c r="R46" s="74"/>
      <c r="S46" s="136">
        <v>0</v>
      </c>
      <c r="T46" s="144">
        <v>0</v>
      </c>
      <c r="U46" s="143">
        <v>0</v>
      </c>
      <c r="V46" s="143">
        <v>0</v>
      </c>
      <c r="W46" s="143">
        <v>0</v>
      </c>
      <c r="X46" s="177">
        <v>0</v>
      </c>
      <c r="Y46" s="142">
        <v>0</v>
      </c>
      <c r="Z46" s="142">
        <v>0</v>
      </c>
      <c r="AA46" s="142">
        <v>0</v>
      </c>
      <c r="AB46" s="142">
        <v>0</v>
      </c>
      <c r="AC46" s="2">
        <v>0</v>
      </c>
      <c r="AD46" s="2">
        <v>0</v>
      </c>
      <c r="AE46" s="2"/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S46" s="16">
        <v>8231685.6399999997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/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F46" s="187">
        <v>0</v>
      </c>
      <c r="BG46" s="189">
        <v>0</v>
      </c>
      <c r="BH46" s="189">
        <v>0</v>
      </c>
      <c r="BI46" s="189">
        <v>0</v>
      </c>
      <c r="BJ46" s="189">
        <v>0</v>
      </c>
      <c r="BK46" s="189">
        <v>0</v>
      </c>
      <c r="BL46" s="189">
        <v>0</v>
      </c>
      <c r="BM46" s="189">
        <v>0</v>
      </c>
      <c r="BN46" s="189">
        <v>0</v>
      </c>
      <c r="BO46" s="189">
        <v>0</v>
      </c>
      <c r="BP46" s="189">
        <v>0</v>
      </c>
      <c r="BQ46" s="193">
        <v>0</v>
      </c>
      <c r="BS46" s="187">
        <v>0</v>
      </c>
      <c r="BT46" s="189">
        <v>0</v>
      </c>
      <c r="BU46" s="189">
        <v>0</v>
      </c>
      <c r="BV46" s="189">
        <v>0</v>
      </c>
      <c r="BW46" s="189">
        <v>0</v>
      </c>
      <c r="BX46" s="187">
        <v>0</v>
      </c>
      <c r="BY46" s="211">
        <v>0</v>
      </c>
      <c r="BZ46" s="102">
        <v>0</v>
      </c>
      <c r="CA46" s="211">
        <v>0</v>
      </c>
      <c r="CB46" s="211">
        <v>0</v>
      </c>
      <c r="CC46" s="211">
        <v>0</v>
      </c>
      <c r="CD46" s="16">
        <v>0</v>
      </c>
      <c r="CF46" s="50">
        <f t="shared" si="8"/>
        <v>0</v>
      </c>
      <c r="CH46" s="308">
        <v>0</v>
      </c>
      <c r="CI46" s="310">
        <v>0</v>
      </c>
      <c r="CJ46" s="310">
        <v>0</v>
      </c>
      <c r="CK46" s="310">
        <v>0</v>
      </c>
      <c r="CL46">
        <v>0</v>
      </c>
      <c r="CM46" s="308">
        <v>0</v>
      </c>
      <c r="CN46" s="357">
        <v>0</v>
      </c>
    </row>
    <row r="47" spans="1:93" ht="14.25">
      <c r="A47" s="13" t="s">
        <v>54</v>
      </c>
      <c r="B47" s="68">
        <f t="shared" ref="B47:R47" si="58">SUM(B38:B46)</f>
        <v>94690118</v>
      </c>
      <c r="C47" s="68">
        <f t="shared" si="58"/>
        <v>83271952</v>
      </c>
      <c r="D47" s="84">
        <f t="shared" si="58"/>
        <v>79242155</v>
      </c>
      <c r="E47" s="84">
        <f t="shared" si="58"/>
        <v>77812316</v>
      </c>
      <c r="F47" s="84">
        <f t="shared" si="58"/>
        <v>93565402.449999988</v>
      </c>
      <c r="G47" s="84">
        <f t="shared" si="58"/>
        <v>75549357.799999997</v>
      </c>
      <c r="H47" s="84">
        <f t="shared" si="58"/>
        <v>77006635.390000001</v>
      </c>
      <c r="I47" s="84">
        <f t="shared" si="58"/>
        <v>75274210.609999999</v>
      </c>
      <c r="J47" s="84">
        <f t="shared" si="58"/>
        <v>73026383.00999999</v>
      </c>
      <c r="K47" s="84">
        <f t="shared" si="58"/>
        <v>72904440.710000008</v>
      </c>
      <c r="L47" s="84">
        <f t="shared" si="58"/>
        <v>0</v>
      </c>
      <c r="M47" s="84">
        <f t="shared" si="58"/>
        <v>0</v>
      </c>
      <c r="N47" s="84">
        <f t="shared" si="58"/>
        <v>0</v>
      </c>
      <c r="O47" s="84">
        <f t="shared" si="58"/>
        <v>0</v>
      </c>
      <c r="P47" s="84">
        <f t="shared" si="58"/>
        <v>0</v>
      </c>
      <c r="Q47" s="121">
        <f t="shared" si="58"/>
        <v>0</v>
      </c>
      <c r="R47" s="84">
        <f t="shared" si="58"/>
        <v>70861578</v>
      </c>
      <c r="S47" s="84">
        <f t="shared" ref="S47:X47" si="59">SUM(S38:S46)</f>
        <v>71368552.370000005</v>
      </c>
      <c r="T47" s="121">
        <f t="shared" si="59"/>
        <v>71270644.170000002</v>
      </c>
      <c r="U47" s="84">
        <f t="shared" si="59"/>
        <v>67028515.369999997</v>
      </c>
      <c r="V47" s="84">
        <f t="shared" si="59"/>
        <v>62313747.069999993</v>
      </c>
      <c r="W47" s="84">
        <f t="shared" si="59"/>
        <v>38977660.769999996</v>
      </c>
      <c r="X47" s="84">
        <f t="shared" si="59"/>
        <v>78415329.049999997</v>
      </c>
      <c r="Y47" s="84">
        <f t="shared" ref="Y47:AE47" si="60">SUM(Y38:Y46)</f>
        <v>86742260.560000002</v>
      </c>
      <c r="Z47" s="84">
        <f t="shared" si="60"/>
        <v>74335609.829999998</v>
      </c>
      <c r="AA47" s="84">
        <f t="shared" si="60"/>
        <v>75970631.430000007</v>
      </c>
      <c r="AB47" s="84">
        <f t="shared" si="60"/>
        <v>74844597.5</v>
      </c>
      <c r="AC47" s="84">
        <f t="shared" si="60"/>
        <v>75483481.439999998</v>
      </c>
      <c r="AD47" s="84">
        <f t="shared" si="60"/>
        <v>73140222.840000004</v>
      </c>
      <c r="AE47" s="84">
        <f t="shared" si="60"/>
        <v>49826404</v>
      </c>
      <c r="AF47" s="84">
        <f t="shared" ref="AF47:AK47" si="61">SUM(AF38:AF46)</f>
        <v>77671859.100000009</v>
      </c>
      <c r="AG47" s="84">
        <f t="shared" si="61"/>
        <v>74321852.209999993</v>
      </c>
      <c r="AH47" s="84">
        <f t="shared" si="61"/>
        <v>71881179.909999996</v>
      </c>
      <c r="AI47" s="84">
        <f t="shared" si="61"/>
        <v>74360831.789999992</v>
      </c>
      <c r="AJ47" s="84">
        <f t="shared" si="61"/>
        <v>73328292.969999999</v>
      </c>
      <c r="AK47" s="84">
        <f t="shared" si="61"/>
        <v>72938523.969999999</v>
      </c>
      <c r="AL47" s="84">
        <f>SUM(AL38:AL46)</f>
        <v>72219465.099999994</v>
      </c>
      <c r="AM47" s="84">
        <f>SUM(AM38:AM46)</f>
        <v>74867988.450000003</v>
      </c>
      <c r="AN47" s="84">
        <f>SUM(AN38:AN46)</f>
        <v>71163130.019999996</v>
      </c>
      <c r="AO47" s="84">
        <f t="shared" ref="AO47:BE47" si="62">SUM(AO38:AO46)</f>
        <v>0</v>
      </c>
      <c r="AP47" s="84">
        <f t="shared" si="62"/>
        <v>0</v>
      </c>
      <c r="AQ47" s="84">
        <f t="shared" si="62"/>
        <v>0</v>
      </c>
      <c r="AR47" s="84">
        <f t="shared" si="62"/>
        <v>0</v>
      </c>
      <c r="AS47" s="84">
        <f t="shared" si="62"/>
        <v>-53489063.489999995</v>
      </c>
      <c r="AT47" s="84">
        <f t="shared" si="62"/>
        <v>-60277138.070000008</v>
      </c>
      <c r="AU47" s="84">
        <f t="shared" si="62"/>
        <v>-50648251.390000001</v>
      </c>
      <c r="AV47" s="84">
        <f t="shared" si="62"/>
        <v>-51554235.679999992</v>
      </c>
      <c r="AW47" s="84">
        <f t="shared" si="62"/>
        <v>-52888181.799999997</v>
      </c>
      <c r="AX47" s="84">
        <f t="shared" si="62"/>
        <v>-53074407.329999998</v>
      </c>
      <c r="AY47" s="84">
        <f t="shared" si="62"/>
        <v>0</v>
      </c>
      <c r="AZ47" s="84">
        <f t="shared" si="62"/>
        <v>-56622458.629999995</v>
      </c>
      <c r="BA47" s="84">
        <f t="shared" si="62"/>
        <v>-50350118.890000001</v>
      </c>
      <c r="BB47" s="84">
        <f t="shared" si="62"/>
        <v>-45844547.219999999</v>
      </c>
      <c r="BC47" s="84">
        <f t="shared" si="62"/>
        <v>-46547650.429999992</v>
      </c>
      <c r="BD47" s="84">
        <f t="shared" si="62"/>
        <v>-42816624</v>
      </c>
      <c r="BE47" s="84">
        <f t="shared" si="62"/>
        <v>-45719370</v>
      </c>
      <c r="BF47" s="84">
        <f t="shared" ref="BF47:BY47" si="63">SUM(BF38:BF46)</f>
        <v>-41088862.209999993</v>
      </c>
      <c r="BG47" s="84">
        <f t="shared" si="63"/>
        <v>-58046432.950000003</v>
      </c>
      <c r="BH47" s="84">
        <f t="shared" si="63"/>
        <v>-45837129.38000001</v>
      </c>
      <c r="BI47" s="84">
        <f t="shared" si="63"/>
        <v>-44700086.400000006</v>
      </c>
      <c r="BJ47" s="84">
        <f t="shared" si="63"/>
        <v>-42925684.730000004</v>
      </c>
      <c r="BK47" s="84">
        <f t="shared" si="63"/>
        <v>-29103721.779999986</v>
      </c>
      <c r="BL47" s="84">
        <f t="shared" si="63"/>
        <v>-41704565.019999996</v>
      </c>
      <c r="BM47" s="84">
        <f t="shared" si="63"/>
        <v>-44137559.780000009</v>
      </c>
      <c r="BN47" s="84">
        <f t="shared" si="63"/>
        <v>-42525495.24000001</v>
      </c>
      <c r="BO47" s="84">
        <f t="shared" si="63"/>
        <v>-41213390.950000018</v>
      </c>
      <c r="BP47" s="84">
        <f t="shared" si="63"/>
        <v>-40187648.170000002</v>
      </c>
      <c r="BQ47" s="84">
        <f t="shared" si="63"/>
        <v>-43114442.750000015</v>
      </c>
      <c r="BR47" s="84">
        <f t="shared" si="63"/>
        <v>-26515445</v>
      </c>
      <c r="BS47" s="84">
        <f t="shared" si="63"/>
        <v>-42088480.860000014</v>
      </c>
      <c r="BT47" s="84">
        <f t="shared" si="63"/>
        <v>-41465903.670000017</v>
      </c>
      <c r="BU47" s="84">
        <f t="shared" si="63"/>
        <v>-42842348.160000011</v>
      </c>
      <c r="BV47" s="84">
        <f t="shared" si="63"/>
        <v>-39106280.920000002</v>
      </c>
      <c r="BW47" s="84">
        <f t="shared" si="63"/>
        <v>-55899355.710000008</v>
      </c>
      <c r="BX47" s="84">
        <f t="shared" si="63"/>
        <v>-57073465.910000011</v>
      </c>
      <c r="BY47" s="84">
        <f t="shared" si="63"/>
        <v>-56258730.510000005</v>
      </c>
      <c r="BZ47" s="84">
        <f t="shared" ref="BZ47:CC47" si="64">SUM(BZ38:BZ46)</f>
        <v>-57054399.400000006</v>
      </c>
      <c r="CA47" s="84">
        <f t="shared" si="64"/>
        <v>-38207143.560000002</v>
      </c>
      <c r="CB47" s="84">
        <f t="shared" si="64"/>
        <v>-54075371.839999989</v>
      </c>
      <c r="CC47" s="84">
        <f t="shared" si="64"/>
        <v>-51413426.730000004</v>
      </c>
      <c r="CD47" s="84">
        <f t="shared" ref="CD47:CE47" si="65">SUM(CD38:CD46)</f>
        <v>-54908684.739999995</v>
      </c>
      <c r="CE47" s="84">
        <f t="shared" si="65"/>
        <v>-15577310</v>
      </c>
      <c r="CF47" s="50">
        <f t="shared" si="8"/>
        <v>39331374.739999995</v>
      </c>
      <c r="CG47" s="84">
        <f t="shared" ref="CG47:CK47" si="66">SUM(CG38:CG46)</f>
        <v>-15577310</v>
      </c>
      <c r="CH47" s="84">
        <f t="shared" si="66"/>
        <v>-47613141.190000013</v>
      </c>
      <c r="CI47" s="84">
        <f t="shared" si="66"/>
        <v>-47267283.680000022</v>
      </c>
      <c r="CJ47" s="84">
        <f t="shared" si="66"/>
        <v>-45893784.390000015</v>
      </c>
      <c r="CK47" s="84">
        <f t="shared" si="66"/>
        <v>-44841773.290000021</v>
      </c>
      <c r="CL47" s="84">
        <f t="shared" ref="CL47:CM47" si="67">SUM(CL38:CL46)</f>
        <v>-44233758.090000018</v>
      </c>
      <c r="CM47" s="84">
        <f t="shared" si="67"/>
        <v>-43804955.890000015</v>
      </c>
      <c r="CN47" s="84">
        <f t="shared" ref="CN47:CO47" si="68">SUM(CN38:CN46)</f>
        <v>-44546910.590000018</v>
      </c>
      <c r="CO47" s="84">
        <f t="shared" si="68"/>
        <v>0</v>
      </c>
    </row>
    <row r="48" spans="1:93" ht="14.25">
      <c r="A48" s="13" t="s">
        <v>55</v>
      </c>
      <c r="B48" s="68">
        <f t="shared" ref="B48:R48" si="69">B47+B37</f>
        <v>320889781</v>
      </c>
      <c r="C48" s="68">
        <f t="shared" si="69"/>
        <v>272305756</v>
      </c>
      <c r="D48" s="84">
        <f t="shared" si="69"/>
        <v>285464131</v>
      </c>
      <c r="E48" s="84">
        <f t="shared" si="69"/>
        <v>301184793</v>
      </c>
      <c r="F48" s="84">
        <f t="shared" si="69"/>
        <v>275778651.96999997</v>
      </c>
      <c r="G48" s="84">
        <f t="shared" si="69"/>
        <v>305789385.14999998</v>
      </c>
      <c r="H48" s="84">
        <f t="shared" si="69"/>
        <v>286193336.12</v>
      </c>
      <c r="I48" s="84">
        <f t="shared" si="69"/>
        <v>271754901.47000003</v>
      </c>
      <c r="J48" s="84">
        <f t="shared" si="69"/>
        <v>264013949.63</v>
      </c>
      <c r="K48" s="84">
        <f t="shared" si="69"/>
        <v>255570988.94999999</v>
      </c>
      <c r="L48" s="84">
        <f t="shared" si="69"/>
        <v>0</v>
      </c>
      <c r="M48" s="84">
        <f t="shared" si="69"/>
        <v>0</v>
      </c>
      <c r="N48" s="84">
        <f t="shared" si="69"/>
        <v>0</v>
      </c>
      <c r="O48" s="84">
        <f t="shared" si="69"/>
        <v>0</v>
      </c>
      <c r="P48" s="84">
        <f t="shared" si="69"/>
        <v>0</v>
      </c>
      <c r="Q48" s="121">
        <f t="shared" si="69"/>
        <v>0</v>
      </c>
      <c r="R48" s="84">
        <f t="shared" si="69"/>
        <v>239814486</v>
      </c>
      <c r="S48" s="84">
        <f t="shared" ref="S48:X48" si="70">S47+S37</f>
        <v>260603861.00999999</v>
      </c>
      <c r="T48" s="121">
        <f t="shared" si="70"/>
        <v>253673419.52000004</v>
      </c>
      <c r="U48" s="84">
        <f t="shared" si="70"/>
        <v>253943995.83000004</v>
      </c>
      <c r="V48" s="84">
        <f t="shared" si="70"/>
        <v>235558046.80000001</v>
      </c>
      <c r="W48" s="84">
        <f t="shared" si="70"/>
        <v>218763634.39999998</v>
      </c>
      <c r="X48" s="84">
        <f t="shared" si="70"/>
        <v>238879229.57999998</v>
      </c>
      <c r="Y48" s="84">
        <f t="shared" ref="Y48:AE48" si="71">Y47+Y37</f>
        <v>237786798.03</v>
      </c>
      <c r="Z48" s="84">
        <f t="shared" si="71"/>
        <v>248168797.07999998</v>
      </c>
      <c r="AA48" s="84">
        <f t="shared" si="71"/>
        <v>242293560.39999998</v>
      </c>
      <c r="AB48" s="84">
        <f t="shared" si="71"/>
        <v>229558103.76999998</v>
      </c>
      <c r="AC48" s="84">
        <f t="shared" si="71"/>
        <v>224451147.59999999</v>
      </c>
      <c r="AD48" s="84">
        <f t="shared" si="71"/>
        <v>217113524.61000001</v>
      </c>
      <c r="AE48" s="84">
        <f t="shared" si="71"/>
        <v>220441089</v>
      </c>
      <c r="AF48" s="84">
        <f t="shared" ref="AF48:AK48" si="72">AF47+AF37</f>
        <v>207186555.29000002</v>
      </c>
      <c r="AG48" s="84">
        <f t="shared" si="72"/>
        <v>222149511.00999999</v>
      </c>
      <c r="AH48" s="84">
        <f t="shared" si="72"/>
        <v>205752864.19999999</v>
      </c>
      <c r="AI48" s="84">
        <f t="shared" si="72"/>
        <v>199915526.92000002</v>
      </c>
      <c r="AJ48" s="84">
        <f t="shared" si="72"/>
        <v>201059192.10000002</v>
      </c>
      <c r="AK48" s="84">
        <f t="shared" si="72"/>
        <v>197332969.20000002</v>
      </c>
      <c r="AL48" s="84">
        <f>AL47+AL37</f>
        <v>211379265.53000003</v>
      </c>
      <c r="AM48" s="84">
        <f>AM47+AM37</f>
        <v>215469395.27000004</v>
      </c>
      <c r="AN48" s="84">
        <f>AN47+AN37</f>
        <v>216445698.73000002</v>
      </c>
      <c r="AO48" s="84">
        <f t="shared" ref="AO48:BE48" si="73">AO47+AO37</f>
        <v>0</v>
      </c>
      <c r="AP48" s="84">
        <f t="shared" si="73"/>
        <v>0</v>
      </c>
      <c r="AQ48" s="84">
        <f t="shared" si="73"/>
        <v>0</v>
      </c>
      <c r="AR48" s="84">
        <f t="shared" si="73"/>
        <v>0</v>
      </c>
      <c r="AS48" s="84">
        <f t="shared" si="73"/>
        <v>86229077.88000001</v>
      </c>
      <c r="AT48" s="84">
        <f t="shared" si="73"/>
        <v>180663691.56</v>
      </c>
      <c r="AU48" s="84">
        <f t="shared" si="73"/>
        <v>190999163.45999998</v>
      </c>
      <c r="AV48" s="84">
        <f t="shared" si="73"/>
        <v>187364895.70999998</v>
      </c>
      <c r="AW48" s="84">
        <f t="shared" si="73"/>
        <v>190629937.70000005</v>
      </c>
      <c r="AX48" s="84">
        <f t="shared" si="73"/>
        <v>199648110.70000005</v>
      </c>
      <c r="AY48" s="84">
        <f t="shared" si="73"/>
        <v>0</v>
      </c>
      <c r="AZ48" s="84">
        <f t="shared" si="73"/>
        <v>191902926.69999999</v>
      </c>
      <c r="BA48" s="84">
        <f t="shared" si="73"/>
        <v>194182248.90999997</v>
      </c>
      <c r="BB48" s="84">
        <f t="shared" si="73"/>
        <v>201010719.06999999</v>
      </c>
      <c r="BC48" s="84">
        <f t="shared" si="73"/>
        <v>199166975.48000002</v>
      </c>
      <c r="BD48" s="84">
        <f t="shared" si="73"/>
        <v>206165056.87</v>
      </c>
      <c r="BE48" s="84">
        <f t="shared" si="73"/>
        <v>189713879</v>
      </c>
      <c r="BF48" s="84">
        <f t="shared" ref="BF48:BY48" si="74">BF47+BF37</f>
        <v>196185603.89999998</v>
      </c>
      <c r="BG48" s="84">
        <f t="shared" si="74"/>
        <v>182430062.38999999</v>
      </c>
      <c r="BH48" s="84">
        <f t="shared" si="74"/>
        <v>192356440.31</v>
      </c>
      <c r="BI48" s="84">
        <f t="shared" si="74"/>
        <v>183886246.35999998</v>
      </c>
      <c r="BJ48" s="84">
        <f t="shared" si="74"/>
        <v>181022051.68000001</v>
      </c>
      <c r="BK48" s="84">
        <f t="shared" si="74"/>
        <v>197176700.87</v>
      </c>
      <c r="BL48" s="84">
        <f t="shared" si="74"/>
        <v>180626522.55000001</v>
      </c>
      <c r="BM48" s="84">
        <f t="shared" si="74"/>
        <v>178809831.98999998</v>
      </c>
      <c r="BN48" s="84">
        <f t="shared" si="74"/>
        <v>178636311.66000003</v>
      </c>
      <c r="BO48" s="84">
        <f t="shared" si="74"/>
        <v>159596418.79999998</v>
      </c>
      <c r="BP48" s="84">
        <f t="shared" si="74"/>
        <v>177024908.56</v>
      </c>
      <c r="BQ48" s="84">
        <f t="shared" si="74"/>
        <v>179947134.91999996</v>
      </c>
      <c r="BR48" s="84">
        <f t="shared" si="74"/>
        <v>203285419</v>
      </c>
      <c r="BS48" s="84">
        <f t="shared" si="74"/>
        <v>178689742.16999999</v>
      </c>
      <c r="BT48" s="84">
        <f t="shared" si="74"/>
        <v>186507907.02999997</v>
      </c>
      <c r="BU48" s="84">
        <f t="shared" si="74"/>
        <v>191457225.01999998</v>
      </c>
      <c r="BV48" s="84">
        <f t="shared" si="74"/>
        <v>185030610.59999996</v>
      </c>
      <c r="BW48" s="84">
        <f t="shared" si="74"/>
        <v>201406036.56999999</v>
      </c>
      <c r="BX48" s="84">
        <f t="shared" si="74"/>
        <v>208867376.92000002</v>
      </c>
      <c r="BY48" s="84">
        <f t="shared" si="74"/>
        <v>204244420.28000003</v>
      </c>
      <c r="BZ48" s="84">
        <f t="shared" ref="BZ48:CC48" si="75">BZ47+BZ37</f>
        <v>203447183.91</v>
      </c>
      <c r="CA48" s="84">
        <f t="shared" si="75"/>
        <v>193355197.63</v>
      </c>
      <c r="CB48" s="84">
        <f t="shared" si="75"/>
        <v>190581861.73000002</v>
      </c>
      <c r="CC48" s="84">
        <f t="shared" si="75"/>
        <v>202223471.54000002</v>
      </c>
      <c r="CD48" s="84">
        <f t="shared" ref="CD48:CE48" si="76">CD47+CD37</f>
        <v>189730008.79000002</v>
      </c>
      <c r="CE48" s="84">
        <f t="shared" si="76"/>
        <v>219787163</v>
      </c>
      <c r="CF48" s="50">
        <f t="shared" si="8"/>
        <v>30057154.209999979</v>
      </c>
      <c r="CG48" s="84">
        <f t="shared" ref="CG48:CK48" si="77">CG47+CG37</f>
        <v>219787163</v>
      </c>
      <c r="CH48" s="84">
        <f t="shared" si="77"/>
        <v>177762693.95999998</v>
      </c>
      <c r="CI48" s="84">
        <f t="shared" si="77"/>
        <v>177804769.91999996</v>
      </c>
      <c r="CJ48" s="84">
        <f t="shared" si="77"/>
        <v>170982847.59999999</v>
      </c>
      <c r="CK48" s="84">
        <f t="shared" si="77"/>
        <v>170862919.75999999</v>
      </c>
      <c r="CL48" s="84">
        <f t="shared" ref="CL48:CM48" si="78">CL47+CL37</f>
        <v>169953060.30999994</v>
      </c>
      <c r="CM48" s="84">
        <f t="shared" si="78"/>
        <v>175276040.42000002</v>
      </c>
      <c r="CN48" s="84">
        <f t="shared" ref="CN48:CO48" si="79">CN47+CN37</f>
        <v>176384951.14999998</v>
      </c>
      <c r="CO48" s="84">
        <f t="shared" si="79"/>
        <v>0</v>
      </c>
    </row>
    <row r="49" spans="2:93" ht="15">
      <c r="G49" s="2"/>
      <c r="AS49" s="50">
        <f>AS26-AS48</f>
        <v>0</v>
      </c>
      <c r="AT49" s="50">
        <f t="shared" ref="AT49:BE49" si="80">AT26-AT48</f>
        <v>0</v>
      </c>
      <c r="AU49" s="50">
        <f t="shared" si="80"/>
        <v>0</v>
      </c>
      <c r="AV49" s="50">
        <f t="shared" si="80"/>
        <v>0</v>
      </c>
      <c r="AW49" s="50">
        <f t="shared" si="80"/>
        <v>0</v>
      </c>
      <c r="AX49" s="50">
        <f t="shared" si="80"/>
        <v>0</v>
      </c>
      <c r="AY49" s="50">
        <f t="shared" si="80"/>
        <v>0</v>
      </c>
      <c r="AZ49" s="50">
        <f t="shared" si="80"/>
        <v>0</v>
      </c>
      <c r="BA49" s="50">
        <f t="shared" si="80"/>
        <v>0</v>
      </c>
      <c r="BB49" s="50">
        <f t="shared" si="80"/>
        <v>0</v>
      </c>
      <c r="BC49" s="50">
        <f t="shared" si="80"/>
        <v>0</v>
      </c>
      <c r="BD49" s="50">
        <f t="shared" si="80"/>
        <v>0</v>
      </c>
      <c r="BE49" s="50">
        <f t="shared" si="80"/>
        <v>1</v>
      </c>
      <c r="BF49" s="50"/>
      <c r="BG49" s="50"/>
      <c r="BH49" s="73"/>
      <c r="BR49" s="50">
        <f>BR48-BR26</f>
        <v>-2</v>
      </c>
      <c r="BS49" s="50">
        <f t="shared" ref="BS49:CE49" si="81">BS48-BS26</f>
        <v>0</v>
      </c>
      <c r="BT49" s="50">
        <f t="shared" si="81"/>
        <v>0</v>
      </c>
      <c r="BU49" s="50">
        <f t="shared" si="81"/>
        <v>-0.90000000596046448</v>
      </c>
      <c r="BV49" s="50">
        <f t="shared" si="81"/>
        <v>0</v>
      </c>
      <c r="BW49" s="50">
        <f t="shared" si="81"/>
        <v>0</v>
      </c>
      <c r="BX49" s="50">
        <f t="shared" si="81"/>
        <v>0</v>
      </c>
      <c r="BY49" s="50">
        <f t="shared" si="81"/>
        <v>0</v>
      </c>
      <c r="BZ49" s="50">
        <f t="shared" si="81"/>
        <v>0</v>
      </c>
      <c r="CA49" s="50">
        <f t="shared" si="81"/>
        <v>0</v>
      </c>
      <c r="CB49" s="50">
        <f t="shared" si="81"/>
        <v>0</v>
      </c>
      <c r="CC49" s="50">
        <f t="shared" si="81"/>
        <v>0</v>
      </c>
      <c r="CD49" s="50">
        <f t="shared" si="81"/>
        <v>0</v>
      </c>
      <c r="CE49" s="50">
        <f t="shared" si="81"/>
        <v>2</v>
      </c>
      <c r="CF49" s="50">
        <f t="shared" si="8"/>
        <v>2</v>
      </c>
      <c r="CG49" s="50">
        <f t="shared" ref="CG49:CK49" si="82">CG48-CG26</f>
        <v>2</v>
      </c>
      <c r="CH49" s="50">
        <f t="shared" si="82"/>
        <v>0</v>
      </c>
      <c r="CI49" s="50">
        <f t="shared" si="82"/>
        <v>0</v>
      </c>
      <c r="CJ49" s="50">
        <f t="shared" si="82"/>
        <v>0</v>
      </c>
      <c r="CK49" s="50">
        <f t="shared" si="82"/>
        <v>0</v>
      </c>
      <c r="CL49" s="50">
        <f t="shared" ref="CL49:CM49" si="83">CL48-CL26</f>
        <v>0</v>
      </c>
      <c r="CM49" s="50">
        <f t="shared" si="83"/>
        <v>0</v>
      </c>
      <c r="CN49" s="50">
        <f t="shared" ref="CN49:CO49" si="84">CN48-CN26</f>
        <v>0</v>
      </c>
      <c r="CO49" s="50">
        <f t="shared" si="84"/>
        <v>0</v>
      </c>
    </row>
    <row r="50" spans="2:93" ht="15">
      <c r="B50" s="23">
        <f>B48-B26</f>
        <v>-2</v>
      </c>
      <c r="C50" s="23">
        <f>C48-C26</f>
        <v>-1</v>
      </c>
      <c r="D50" s="23">
        <f>D48-D26</f>
        <v>0</v>
      </c>
      <c r="E50" s="23">
        <f>E48-E26</f>
        <v>0</v>
      </c>
      <c r="F50" s="23">
        <f>D48-D26</f>
        <v>0</v>
      </c>
      <c r="G50" s="23">
        <f t="shared" ref="G50:S50" si="85">F48-F26</f>
        <v>4.999995231628418E-2</v>
      </c>
      <c r="H50" s="23">
        <f t="shared" si="85"/>
        <v>0</v>
      </c>
      <c r="I50" s="23">
        <f t="shared" si="85"/>
        <v>0</v>
      </c>
      <c r="J50" s="23">
        <f t="shared" si="85"/>
        <v>0</v>
      </c>
      <c r="K50" s="23">
        <f t="shared" si="85"/>
        <v>0</v>
      </c>
      <c r="L50" s="23">
        <f t="shared" si="85"/>
        <v>0</v>
      </c>
      <c r="M50" s="23">
        <f t="shared" si="85"/>
        <v>0</v>
      </c>
      <c r="N50" s="23">
        <f t="shared" si="85"/>
        <v>0</v>
      </c>
      <c r="O50" s="23">
        <f t="shared" si="85"/>
        <v>0</v>
      </c>
      <c r="P50" s="23">
        <f t="shared" si="85"/>
        <v>0</v>
      </c>
      <c r="Q50" s="23">
        <f t="shared" si="85"/>
        <v>0</v>
      </c>
      <c r="R50" s="23">
        <f t="shared" si="85"/>
        <v>0</v>
      </c>
      <c r="S50" s="23">
        <f t="shared" si="85"/>
        <v>0.59999999403953552</v>
      </c>
      <c r="T50" s="23">
        <f t="shared" ref="T50:Y50" si="86">T48-T26</f>
        <v>0</v>
      </c>
      <c r="U50" s="23">
        <f t="shared" si="86"/>
        <v>0</v>
      </c>
      <c r="V50" s="23">
        <f t="shared" si="86"/>
        <v>0</v>
      </c>
      <c r="W50" s="23">
        <f t="shared" si="86"/>
        <v>0</v>
      </c>
      <c r="X50" s="23">
        <f t="shared" si="86"/>
        <v>0</v>
      </c>
      <c r="Y50" s="23">
        <f t="shared" si="86"/>
        <v>0</v>
      </c>
      <c r="Z50" s="23">
        <f>Y48-Y26</f>
        <v>0</v>
      </c>
      <c r="AA50" s="23">
        <f>Z48-Z26</f>
        <v>0</v>
      </c>
      <c r="AB50" s="23">
        <f>AA48-AA26</f>
        <v>0</v>
      </c>
      <c r="AC50" s="23"/>
      <c r="AD50" s="23"/>
      <c r="BE50" s="50"/>
      <c r="BF50" s="50"/>
      <c r="BG50" s="50"/>
      <c r="BH50" s="73"/>
      <c r="CF50" s="50">
        <f t="shared" si="8"/>
        <v>0</v>
      </c>
    </row>
  </sheetData>
  <mergeCells count="1">
    <mergeCell ref="A1:D1"/>
  </mergeCells>
  <phoneticPr fontId="28" type="noConversion"/>
  <pageMargins left="0.7" right="0.7" top="0.75" bottom="0.75" header="0.3" footer="0.3"/>
  <pageSetup scale="42" orientation="landscape" r:id="rId1"/>
  <ignoredErrors>
    <ignoredError sqref="R8:X8 R5:X7 R13:X13 R9:X12 R16:X16 R14:X15 R20:X20 R17:X19 R26:X26 R21:X25 R30:X30 R27:X29 R37:X37 R31:X36 R47:AA48 R38:X46 AC4:AD4 Y37:AA37 Y30:Z30 Y26:Z26 Y20:Z20 Y16:Z16 Y13:Z13 Y8:Z8 Y5:AB7 Y9:AB12 AB8 AB13 Y17:AB18 AB16 AB20 Y27:AB29 AB26 Y31:AB36 AB30 AB37 AB47:AB48 AC37:AD37 AC8:AD8 AC13:AD13 AC16:AD16 AC20:AD20 AC26:AD26 AC30:AD30 AC47:AD48" unlockedFormula="1"/>
    <ignoredError sqref="R4:X4 AA8 AA13 AA16 AA20 AA26 AA30 Y4 AA4:AB4 Z4" formulaRange="1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P42"/>
  <sheetViews>
    <sheetView tabSelected="1" zoomScale="85" zoomScaleNormal="85" workbookViewId="0">
      <pane xSplit="1" ySplit="2" topLeftCell="CN3" activePane="bottomRight" state="frozen"/>
      <selection pane="bottomRight" activeCell="CO36" sqref="CO36"/>
      <selection pane="bottomLeft" activeCell="A3" sqref="A3"/>
      <selection pane="topRight" activeCell="B1" sqref="B1"/>
    </sheetView>
  </sheetViews>
  <sheetFormatPr defaultRowHeight="14.45"/>
  <cols>
    <col min="1" max="1" width="41" customWidth="1"/>
    <col min="2" max="2" width="14.28515625" hidden="1" customWidth="1"/>
    <col min="3" max="3" width="15" hidden="1" customWidth="1"/>
    <col min="4" max="4" width="14.5703125" hidden="1" customWidth="1"/>
    <col min="5" max="5" width="13.85546875" hidden="1" customWidth="1"/>
    <col min="6" max="6" width="13.140625" hidden="1" customWidth="1"/>
    <col min="7" max="7" width="14.5703125" hidden="1" customWidth="1"/>
    <col min="8" max="9" width="14.28515625" hidden="1" customWidth="1"/>
    <col min="10" max="10" width="16.42578125" hidden="1" customWidth="1"/>
    <col min="11" max="11" width="15.140625" hidden="1" customWidth="1"/>
    <col min="12" max="17" width="14.28515625" hidden="1" customWidth="1"/>
    <col min="18" max="18" width="13.140625" customWidth="1"/>
    <col min="19" max="20" width="12" hidden="1" customWidth="1"/>
    <col min="21" max="21" width="15.85546875" hidden="1" customWidth="1"/>
    <col min="22" max="22" width="13.140625" hidden="1" customWidth="1"/>
    <col min="23" max="23" width="2.7109375" hidden="1" customWidth="1"/>
    <col min="24" max="25" width="15.85546875" hidden="1" customWidth="1"/>
    <col min="26" max="26" width="17.140625" hidden="1" customWidth="1"/>
    <col min="27" max="27" width="16.28515625" hidden="1" customWidth="1"/>
    <col min="28" max="28" width="19" hidden="1" customWidth="1"/>
    <col min="29" max="29" width="16.140625" hidden="1" customWidth="1"/>
    <col min="30" max="30" width="17" hidden="1" customWidth="1"/>
    <col min="31" max="31" width="14.140625" hidden="1" customWidth="1"/>
    <col min="32" max="32" width="16.7109375" customWidth="1"/>
    <col min="33" max="41" width="16.7109375" hidden="1" customWidth="1"/>
    <col min="42" max="44" width="0" hidden="1" customWidth="1"/>
    <col min="45" max="45" width="12.7109375" bestFit="1" customWidth="1"/>
    <col min="46" max="46" width="14.28515625" hidden="1" customWidth="1"/>
    <col min="47" max="47" width="12.28515625" hidden="1" customWidth="1"/>
    <col min="48" max="51" width="12.7109375" hidden="1" customWidth="1"/>
    <col min="52" max="52" width="6" hidden="1" customWidth="1"/>
    <col min="53" max="56" width="12.7109375" hidden="1" customWidth="1"/>
    <col min="57" max="57" width="15.5703125" hidden="1" customWidth="1"/>
    <col min="58" max="58" width="16.42578125" customWidth="1"/>
    <col min="59" max="59" width="15" hidden="1" customWidth="1"/>
    <col min="60" max="60" width="13.42578125" hidden="1" customWidth="1"/>
    <col min="61" max="61" width="15" hidden="1" customWidth="1"/>
    <col min="62" max="62" width="14.140625" hidden="1" customWidth="1"/>
    <col min="63" max="63" width="13.85546875" hidden="1" customWidth="1"/>
    <col min="64" max="64" width="13.5703125" hidden="1" customWidth="1"/>
    <col min="65" max="65" width="13.28515625" hidden="1" customWidth="1"/>
    <col min="66" max="66" width="17.140625" hidden="1" customWidth="1"/>
    <col min="67" max="67" width="12.85546875" hidden="1" customWidth="1"/>
    <col min="68" max="68" width="13.7109375" hidden="1" customWidth="1"/>
    <col min="69" max="69" width="15.28515625" hidden="1" customWidth="1"/>
    <col min="70" max="70" width="14.140625" hidden="1" customWidth="1"/>
    <col min="71" max="71" width="19.7109375" customWidth="1"/>
    <col min="72" max="72" width="15.140625" hidden="1" customWidth="1"/>
    <col min="73" max="73" width="14" hidden="1" customWidth="1"/>
    <col min="74" max="74" width="15.42578125" customWidth="1"/>
    <col min="75" max="75" width="15" hidden="1" customWidth="1"/>
    <col min="76" max="76" width="14.85546875" hidden="1" customWidth="1"/>
    <col min="77" max="77" width="15" customWidth="1"/>
    <col min="78" max="78" width="12.7109375" hidden="1" customWidth="1"/>
    <col min="79" max="79" width="14.7109375" hidden="1" customWidth="1"/>
    <col min="80" max="80" width="12.7109375" bestFit="1" customWidth="1"/>
    <col min="81" max="82" width="12.7109375" hidden="1" customWidth="1"/>
    <col min="83" max="84" width="12.7109375" bestFit="1" customWidth="1"/>
    <col min="85" max="85" width="14" bestFit="1" customWidth="1"/>
    <col min="86" max="86" width="12.7109375" bestFit="1" customWidth="1"/>
    <col min="87" max="87" width="18.42578125" customWidth="1"/>
    <col min="88" max="88" width="16.5703125" customWidth="1"/>
    <col min="89" max="89" width="17.7109375" customWidth="1"/>
    <col min="90" max="90" width="17.140625" customWidth="1"/>
    <col min="91" max="91" width="12.5703125" bestFit="1" customWidth="1"/>
    <col min="93" max="93" width="16" customWidth="1"/>
  </cols>
  <sheetData>
    <row r="1" spans="1:93" ht="15" customHeight="1">
      <c r="A1" s="323"/>
      <c r="B1" s="323"/>
      <c r="C1" s="323"/>
    </row>
    <row r="2" spans="1:93" s="34" customFormat="1" ht="15">
      <c r="A2" s="17"/>
      <c r="B2" s="18" t="s">
        <v>0</v>
      </c>
      <c r="C2" s="37" t="s">
        <v>1</v>
      </c>
      <c r="D2" s="37" t="s">
        <v>2</v>
      </c>
      <c r="E2" s="37" t="s">
        <v>3</v>
      </c>
      <c r="F2" s="37">
        <v>42736</v>
      </c>
      <c r="G2" s="37">
        <v>42767</v>
      </c>
      <c r="H2" s="37">
        <v>42795</v>
      </c>
      <c r="I2" s="37">
        <v>42826</v>
      </c>
      <c r="J2" s="37">
        <v>42856</v>
      </c>
      <c r="K2" s="37">
        <v>42887</v>
      </c>
      <c r="L2" s="37">
        <v>42917</v>
      </c>
      <c r="M2" s="37">
        <v>42948</v>
      </c>
      <c r="N2" s="37">
        <v>42979</v>
      </c>
      <c r="O2" s="37">
        <v>43009</v>
      </c>
      <c r="P2" s="37">
        <v>43040</v>
      </c>
      <c r="Q2" s="118">
        <v>43070</v>
      </c>
      <c r="R2" s="125" t="s">
        <v>56</v>
      </c>
      <c r="S2" s="89">
        <v>43101</v>
      </c>
      <c r="T2" s="89">
        <v>43132</v>
      </c>
      <c r="U2" s="89">
        <v>43160</v>
      </c>
      <c r="V2" s="89">
        <v>43191</v>
      </c>
      <c r="W2" s="89">
        <v>43221</v>
      </c>
      <c r="X2" s="89">
        <v>43252</v>
      </c>
      <c r="Y2" s="89">
        <v>43282</v>
      </c>
      <c r="Z2" s="89">
        <v>43313</v>
      </c>
      <c r="AA2" s="89">
        <v>43344</v>
      </c>
      <c r="AB2" s="89">
        <v>43374</v>
      </c>
      <c r="AC2" s="151">
        <v>43405</v>
      </c>
      <c r="AD2" s="89">
        <v>43435</v>
      </c>
      <c r="AE2" s="89">
        <v>43466</v>
      </c>
      <c r="AF2" s="119" t="s">
        <v>5</v>
      </c>
      <c r="AG2" s="89">
        <v>43466</v>
      </c>
      <c r="AH2" s="89">
        <v>43497</v>
      </c>
      <c r="AI2" s="89">
        <v>43525</v>
      </c>
      <c r="AJ2" s="89">
        <v>43556</v>
      </c>
      <c r="AK2" s="89">
        <v>43586</v>
      </c>
      <c r="AL2" s="89">
        <v>43617</v>
      </c>
      <c r="AM2" s="89">
        <v>43647</v>
      </c>
      <c r="AN2" s="89">
        <v>43678</v>
      </c>
      <c r="AO2" s="89">
        <v>43709</v>
      </c>
      <c r="AP2" s="89">
        <v>43739</v>
      </c>
      <c r="AQ2" s="89">
        <v>43770</v>
      </c>
      <c r="AR2" s="89">
        <v>43800</v>
      </c>
      <c r="AS2" s="89" t="s">
        <v>57</v>
      </c>
      <c r="AT2" s="89">
        <v>43831</v>
      </c>
      <c r="AU2" s="89">
        <v>43862</v>
      </c>
      <c r="AV2" s="89">
        <v>43891</v>
      </c>
      <c r="AW2" s="89">
        <v>43922</v>
      </c>
      <c r="AX2" s="89">
        <v>43952</v>
      </c>
      <c r="AY2" s="89">
        <v>43983</v>
      </c>
      <c r="AZ2" s="89">
        <v>44013</v>
      </c>
      <c r="BA2" s="89">
        <v>44044</v>
      </c>
      <c r="BB2" s="89">
        <v>44075</v>
      </c>
      <c r="BC2" s="89">
        <v>44105</v>
      </c>
      <c r="BD2" s="89">
        <v>44136</v>
      </c>
      <c r="BE2" s="89">
        <v>44166</v>
      </c>
      <c r="BF2" s="89" t="s">
        <v>7</v>
      </c>
      <c r="BG2" s="120">
        <v>44197</v>
      </c>
      <c r="BH2" s="120">
        <v>44228</v>
      </c>
      <c r="BI2" s="120">
        <v>44256</v>
      </c>
      <c r="BJ2" s="120">
        <v>44287</v>
      </c>
      <c r="BK2" s="120">
        <v>44317</v>
      </c>
      <c r="BL2" s="120">
        <v>44348</v>
      </c>
      <c r="BM2" s="120">
        <v>44378</v>
      </c>
      <c r="BN2" s="120">
        <v>44409</v>
      </c>
      <c r="BO2" s="120">
        <v>44440</v>
      </c>
      <c r="BP2" s="120">
        <v>44470</v>
      </c>
      <c r="BQ2" s="120">
        <v>44501</v>
      </c>
      <c r="BR2" s="120">
        <v>44531</v>
      </c>
      <c r="BS2" s="116" t="s">
        <v>8</v>
      </c>
      <c r="BT2" s="261">
        <v>44562</v>
      </c>
      <c r="BU2" s="261">
        <v>44593</v>
      </c>
      <c r="BV2" s="261">
        <v>44621</v>
      </c>
      <c r="BW2" s="261">
        <v>44652</v>
      </c>
      <c r="BX2" s="261">
        <v>44682</v>
      </c>
      <c r="BY2" s="261">
        <v>44713</v>
      </c>
      <c r="BZ2" s="261">
        <v>44743</v>
      </c>
      <c r="CA2" s="261">
        <v>44774</v>
      </c>
      <c r="CB2" s="261">
        <v>44805</v>
      </c>
      <c r="CC2" s="261">
        <v>44835</v>
      </c>
      <c r="CD2" s="261">
        <v>44866</v>
      </c>
      <c r="CE2" s="261">
        <v>44896</v>
      </c>
      <c r="CF2" s="261" t="s">
        <v>9</v>
      </c>
      <c r="CG2" s="34" t="s">
        <v>10</v>
      </c>
      <c r="CH2" s="261" t="s">
        <v>9</v>
      </c>
      <c r="CI2" s="7">
        <v>44927</v>
      </c>
      <c r="CJ2" s="7">
        <v>44958</v>
      </c>
      <c r="CK2" s="7">
        <v>44986</v>
      </c>
      <c r="CL2" s="7">
        <v>45017</v>
      </c>
      <c r="CM2" s="7">
        <v>45047</v>
      </c>
      <c r="CN2" s="7">
        <v>45078</v>
      </c>
      <c r="CO2" s="7">
        <v>45108</v>
      </c>
    </row>
    <row r="3" spans="1:93" ht="14.25">
      <c r="A3" s="19" t="s">
        <v>58</v>
      </c>
      <c r="B3" s="69">
        <f>B4+B7</f>
        <v>45996799</v>
      </c>
      <c r="C3" s="69">
        <f>C4+C7</f>
        <v>54375159</v>
      </c>
      <c r="D3" s="69">
        <f t="shared" ref="D3:I3" si="0">D4+D7</f>
        <v>48595560</v>
      </c>
      <c r="E3" s="69">
        <f t="shared" si="0"/>
        <v>53989254</v>
      </c>
      <c r="F3" s="69">
        <f t="shared" si="0"/>
        <v>4232315.58</v>
      </c>
      <c r="G3" s="69">
        <f t="shared" si="0"/>
        <v>8563411.9100000001</v>
      </c>
      <c r="H3" s="69">
        <f t="shared" si="0"/>
        <v>12434931.68</v>
      </c>
      <c r="I3" s="69">
        <f t="shared" si="0"/>
        <v>16148705.77</v>
      </c>
      <c r="J3" s="69">
        <f t="shared" ref="J3:S3" si="1">J4+J7</f>
        <v>16756205.060000001</v>
      </c>
      <c r="K3" s="69">
        <f t="shared" si="1"/>
        <v>17549189.77</v>
      </c>
      <c r="L3" s="69">
        <f t="shared" si="1"/>
        <v>0</v>
      </c>
      <c r="M3" s="69">
        <f t="shared" si="1"/>
        <v>0</v>
      </c>
      <c r="N3" s="69">
        <f t="shared" si="1"/>
        <v>0</v>
      </c>
      <c r="O3" s="69">
        <f t="shared" si="1"/>
        <v>0</v>
      </c>
      <c r="P3" s="69">
        <f t="shared" si="1"/>
        <v>0</v>
      </c>
      <c r="Q3" s="69">
        <f t="shared" si="1"/>
        <v>0</v>
      </c>
      <c r="R3" s="127">
        <f t="shared" si="1"/>
        <v>32296829</v>
      </c>
      <c r="S3" s="129">
        <f t="shared" si="1"/>
        <v>4137918.46</v>
      </c>
      <c r="T3" s="129">
        <f t="shared" ref="T3:AB3" si="2">T4+T7</f>
        <v>8534175.7899999991</v>
      </c>
      <c r="U3" s="129">
        <f t="shared" si="2"/>
        <v>9452871.0999999996</v>
      </c>
      <c r="V3" s="129">
        <f t="shared" si="2"/>
        <v>10017170.57</v>
      </c>
      <c r="W3" s="129">
        <f t="shared" si="2"/>
        <v>10722921.42</v>
      </c>
      <c r="X3" s="129">
        <f t="shared" si="2"/>
        <v>10789065.1</v>
      </c>
      <c r="Y3" s="129">
        <f t="shared" si="2"/>
        <v>10924303.199999999</v>
      </c>
      <c r="Z3" s="129">
        <f t="shared" si="2"/>
        <v>12214539.649999999</v>
      </c>
      <c r="AA3" s="129">
        <f t="shared" si="2"/>
        <v>15533565.969999999</v>
      </c>
      <c r="AB3" s="129">
        <f t="shared" si="2"/>
        <v>18629345.16</v>
      </c>
      <c r="AC3" s="152">
        <v>21674260.16</v>
      </c>
      <c r="AD3" s="129">
        <v>24091900.460000001</v>
      </c>
      <c r="AE3" s="129">
        <v>24091900.460000001</v>
      </c>
      <c r="AF3" s="129">
        <f>AF4+AF7</f>
        <v>24282938</v>
      </c>
      <c r="AG3" s="129">
        <f>AG4+AG7</f>
        <v>484352.05</v>
      </c>
      <c r="AH3" s="129">
        <f t="shared" ref="AH3:AO3" si="3">AH4+AH7</f>
        <v>586883.44999999995</v>
      </c>
      <c r="AI3" s="129">
        <f t="shared" si="3"/>
        <v>2517771.52</v>
      </c>
      <c r="AJ3" s="129">
        <f t="shared" si="3"/>
        <v>2774906.4400000004</v>
      </c>
      <c r="AK3" s="129">
        <f t="shared" si="3"/>
        <v>2886183.66</v>
      </c>
      <c r="AL3" s="129">
        <f t="shared" si="3"/>
        <v>2976988.66</v>
      </c>
      <c r="AM3" s="129">
        <f t="shared" si="3"/>
        <v>3640147.84</v>
      </c>
      <c r="AN3" s="129">
        <f t="shared" si="3"/>
        <v>5858515.1899999995</v>
      </c>
      <c r="AO3" s="129">
        <f t="shared" si="3"/>
        <v>8345643.5599999996</v>
      </c>
      <c r="AP3" s="129">
        <f t="shared" ref="AP3:BF3" si="4">AP4+AP7</f>
        <v>0</v>
      </c>
      <c r="AQ3" s="129">
        <f t="shared" si="4"/>
        <v>0</v>
      </c>
      <c r="AR3" s="129">
        <f t="shared" si="4"/>
        <v>0</v>
      </c>
      <c r="AS3" s="129">
        <f t="shared" si="4"/>
        <v>0</v>
      </c>
      <c r="AT3" s="129">
        <f t="shared" si="4"/>
        <v>170565.8</v>
      </c>
      <c r="AU3" s="129">
        <f t="shared" si="4"/>
        <v>286693.56</v>
      </c>
      <c r="AV3" s="129">
        <f t="shared" si="4"/>
        <v>11387611.139999999</v>
      </c>
      <c r="AW3" s="129">
        <f t="shared" si="4"/>
        <v>11605562.83</v>
      </c>
      <c r="AX3" s="129">
        <f t="shared" si="4"/>
        <v>11888678.809999999</v>
      </c>
      <c r="AY3" s="129">
        <f t="shared" si="4"/>
        <v>12348828.119999999</v>
      </c>
      <c r="AZ3" s="129">
        <f t="shared" si="4"/>
        <v>0</v>
      </c>
      <c r="BA3" s="129">
        <f t="shared" si="4"/>
        <v>13509114.43</v>
      </c>
      <c r="BB3" s="129">
        <f t="shared" si="4"/>
        <v>21182814.25</v>
      </c>
      <c r="BC3" s="129">
        <f t="shared" si="4"/>
        <v>27067015.75</v>
      </c>
      <c r="BD3" s="129">
        <f t="shared" si="4"/>
        <v>28003138.939999998</v>
      </c>
      <c r="BE3" s="129">
        <f t="shared" si="4"/>
        <v>33983388.329999998</v>
      </c>
      <c r="BF3" s="129">
        <f t="shared" si="4"/>
        <v>21249651</v>
      </c>
      <c r="BG3" s="129">
        <f t="shared" ref="BG3:BS3" si="5">BG4+BG7</f>
        <v>883797.26</v>
      </c>
      <c r="BH3" s="129">
        <f t="shared" si="5"/>
        <v>2465954.15</v>
      </c>
      <c r="BI3" s="129">
        <f t="shared" si="5"/>
        <v>4139720.84</v>
      </c>
      <c r="BJ3" s="129">
        <f t="shared" si="5"/>
        <v>6741933.1700000009</v>
      </c>
      <c r="BK3" s="129">
        <f t="shared" si="5"/>
        <v>8355091.6399999997</v>
      </c>
      <c r="BL3" s="129">
        <f t="shared" si="5"/>
        <v>10314273.799999999</v>
      </c>
      <c r="BM3" s="129">
        <f t="shared" si="5"/>
        <v>12089168.399999999</v>
      </c>
      <c r="BN3" s="129">
        <f t="shared" si="5"/>
        <v>13389270.329999998</v>
      </c>
      <c r="BO3" s="129">
        <f t="shared" si="5"/>
        <v>14873414.559999999</v>
      </c>
      <c r="BP3" s="129">
        <f t="shared" si="5"/>
        <v>16403039.919999998</v>
      </c>
      <c r="BQ3" s="129">
        <f t="shared" si="5"/>
        <v>18403211.899999999</v>
      </c>
      <c r="BR3" s="129">
        <f t="shared" si="5"/>
        <v>20609902.489999998</v>
      </c>
      <c r="BS3" s="129">
        <f t="shared" si="5"/>
        <v>20642546</v>
      </c>
      <c r="BT3" s="129">
        <f t="shared" ref="BT3:BZ3" si="6">BT4+BT7</f>
        <v>2200058.09</v>
      </c>
      <c r="BU3" s="129">
        <f t="shared" si="6"/>
        <v>3641521.51</v>
      </c>
      <c r="BV3" s="129">
        <f t="shared" si="6"/>
        <v>5950979.6799999997</v>
      </c>
      <c r="BW3" s="129">
        <f t="shared" si="6"/>
        <v>8285270.7399999993</v>
      </c>
      <c r="BX3" s="129">
        <f t="shared" si="6"/>
        <v>10513809.9</v>
      </c>
      <c r="BY3" s="129">
        <f t="shared" si="6"/>
        <v>11440970.300000001</v>
      </c>
      <c r="BZ3" s="129">
        <f t="shared" si="6"/>
        <v>13583556.449999999</v>
      </c>
      <c r="CA3" s="129">
        <f t="shared" ref="CA3:CE3" si="7">CA4+CA7</f>
        <v>14001555.780000001</v>
      </c>
      <c r="CB3" s="129">
        <f t="shared" si="7"/>
        <v>16744871.58</v>
      </c>
      <c r="CC3" s="129">
        <f t="shared" si="7"/>
        <v>20487091.699999999</v>
      </c>
      <c r="CD3" s="129">
        <f t="shared" si="7"/>
        <v>24358570.530000001</v>
      </c>
      <c r="CE3" s="129">
        <f t="shared" si="7"/>
        <v>25717355.800000001</v>
      </c>
      <c r="CF3" s="129">
        <f t="shared" ref="CF3:CL3" si="8">CF4+CF7</f>
        <v>25717355.969999999</v>
      </c>
      <c r="CG3" s="50">
        <f>CF3-CE3</f>
        <v>0.16999999806284904</v>
      </c>
      <c r="CH3" s="129">
        <f t="shared" si="8"/>
        <v>25717355.969999999</v>
      </c>
      <c r="CI3" s="129">
        <f t="shared" si="8"/>
        <v>3262799.46</v>
      </c>
      <c r="CJ3" s="129">
        <f t="shared" si="8"/>
        <v>5776818.04</v>
      </c>
      <c r="CK3" s="129">
        <f t="shared" si="8"/>
        <v>9110763.540000001</v>
      </c>
      <c r="CL3" s="129">
        <f>CL4+CL7</f>
        <v>11470956.08</v>
      </c>
      <c r="CM3" s="129">
        <f>CM4+CM7</f>
        <v>13293140.359999999</v>
      </c>
      <c r="CN3" s="129">
        <f>CN4+CN7</f>
        <v>14978315.59</v>
      </c>
      <c r="CO3" s="129">
        <f>CO4+CO7</f>
        <v>15539422.809999999</v>
      </c>
    </row>
    <row r="4" spans="1:93" ht="14.25">
      <c r="A4" s="19" t="s">
        <v>59</v>
      </c>
      <c r="B4" s="69">
        <f>SUM(B5:B6)</f>
        <v>26629812</v>
      </c>
      <c r="C4" s="69">
        <f>SUM(C5:C6)</f>
        <v>33720956</v>
      </c>
      <c r="D4" s="69">
        <f t="shared" ref="D4:I4" si="9">SUM(D5:D6)</f>
        <v>31919015</v>
      </c>
      <c r="E4" s="69">
        <f t="shared" si="9"/>
        <v>35153610</v>
      </c>
      <c r="F4" s="69">
        <f t="shared" si="9"/>
        <v>2793175.26</v>
      </c>
      <c r="G4" s="69">
        <f t="shared" si="9"/>
        <v>5647256.6400000006</v>
      </c>
      <c r="H4" s="69">
        <f t="shared" si="9"/>
        <v>8610510.9499999993</v>
      </c>
      <c r="I4" s="69">
        <f t="shared" si="9"/>
        <v>11276470.57</v>
      </c>
      <c r="J4" s="69">
        <f t="shared" ref="J4:S4" si="10">SUM(J5:J6)</f>
        <v>11931972</v>
      </c>
      <c r="K4" s="69">
        <f t="shared" si="10"/>
        <v>12356723</v>
      </c>
      <c r="L4" s="69">
        <f t="shared" si="10"/>
        <v>0</v>
      </c>
      <c r="M4" s="69">
        <f t="shared" si="10"/>
        <v>0</v>
      </c>
      <c r="N4" s="69">
        <f t="shared" si="10"/>
        <v>0</v>
      </c>
      <c r="O4" s="69">
        <f t="shared" si="10"/>
        <v>0</v>
      </c>
      <c r="P4" s="69">
        <f t="shared" si="10"/>
        <v>0</v>
      </c>
      <c r="Q4" s="69">
        <f t="shared" si="10"/>
        <v>0</v>
      </c>
      <c r="R4" s="127">
        <f t="shared" si="10"/>
        <v>18220126</v>
      </c>
      <c r="S4" s="129">
        <f t="shared" si="10"/>
        <v>3552824.77</v>
      </c>
      <c r="T4" s="129">
        <f t="shared" ref="T4:AB4" si="11">SUM(T5:T6)</f>
        <v>7045576.8499999996</v>
      </c>
      <c r="U4" s="129">
        <f t="shared" si="11"/>
        <v>7803836.5899999999</v>
      </c>
      <c r="V4" s="129">
        <f t="shared" si="11"/>
        <v>8157084.0899999999</v>
      </c>
      <c r="W4" s="129">
        <f t="shared" si="11"/>
        <v>8448887.7699999996</v>
      </c>
      <c r="X4" s="129">
        <f t="shared" si="11"/>
        <v>8624981.2699999996</v>
      </c>
      <c r="Y4" s="129">
        <f t="shared" si="11"/>
        <v>8740165.1799999997</v>
      </c>
      <c r="Z4" s="129">
        <f t="shared" si="11"/>
        <v>10249165.789999999</v>
      </c>
      <c r="AA4" s="129">
        <f t="shared" si="11"/>
        <v>11539834.01</v>
      </c>
      <c r="AB4" s="129">
        <f t="shared" si="11"/>
        <v>14358650.49</v>
      </c>
      <c r="AC4" s="152">
        <v>17010028.23</v>
      </c>
      <c r="AD4" s="129">
        <v>18944496.530000001</v>
      </c>
      <c r="AE4" s="129">
        <v>18944496.530000001</v>
      </c>
      <c r="AF4" s="129">
        <f>AF5+AF6</f>
        <v>18223801</v>
      </c>
      <c r="AG4" s="129">
        <f>AG5+AG6</f>
        <v>386158.6</v>
      </c>
      <c r="AH4" s="129">
        <f t="shared" ref="AH4:AO4" si="12">AH5+AH6</f>
        <v>384148.6</v>
      </c>
      <c r="AI4" s="129">
        <f t="shared" si="12"/>
        <v>2075992.94</v>
      </c>
      <c r="AJ4" s="129">
        <f t="shared" si="12"/>
        <v>2303470.3400000003</v>
      </c>
      <c r="AK4" s="129">
        <f t="shared" si="12"/>
        <v>2402914.4900000002</v>
      </c>
      <c r="AL4" s="129">
        <f t="shared" si="12"/>
        <v>2462600.62</v>
      </c>
      <c r="AM4" s="129">
        <f t="shared" si="12"/>
        <v>2963880.23</v>
      </c>
      <c r="AN4" s="129">
        <f t="shared" si="12"/>
        <v>3071459.06</v>
      </c>
      <c r="AO4" s="129">
        <f t="shared" si="12"/>
        <v>3444080.16</v>
      </c>
      <c r="AP4" s="129">
        <f t="shared" ref="AP4:BF4" si="13">AP5+AP6</f>
        <v>0</v>
      </c>
      <c r="AQ4" s="129">
        <f t="shared" si="13"/>
        <v>0</v>
      </c>
      <c r="AR4" s="129">
        <f t="shared" si="13"/>
        <v>0</v>
      </c>
      <c r="AS4" s="129">
        <f t="shared" si="13"/>
        <v>0</v>
      </c>
      <c r="AT4" s="129">
        <f t="shared" si="13"/>
        <v>148908.57999999999</v>
      </c>
      <c r="AU4" s="129">
        <f t="shared" si="13"/>
        <v>249873.02</v>
      </c>
      <c r="AV4" s="129">
        <f t="shared" si="13"/>
        <v>465219.19</v>
      </c>
      <c r="AW4" s="129">
        <f t="shared" si="13"/>
        <v>487893.95</v>
      </c>
      <c r="AX4" s="129">
        <f t="shared" si="13"/>
        <v>556741.94999999995</v>
      </c>
      <c r="AY4" s="129">
        <f t="shared" si="13"/>
        <v>749481.85</v>
      </c>
      <c r="AZ4" s="129">
        <f t="shared" si="13"/>
        <v>0</v>
      </c>
      <c r="BA4" s="129">
        <f t="shared" si="13"/>
        <v>1288292.4099999999</v>
      </c>
      <c r="BB4" s="129">
        <f t="shared" si="13"/>
        <v>8470082.4000000004</v>
      </c>
      <c r="BC4" s="129">
        <f t="shared" si="13"/>
        <v>13901942.17</v>
      </c>
      <c r="BD4" s="129">
        <f t="shared" si="13"/>
        <v>14553886.359999999</v>
      </c>
      <c r="BE4" s="129">
        <f t="shared" si="13"/>
        <v>19974552.43</v>
      </c>
      <c r="BF4" s="129">
        <f t="shared" si="13"/>
        <v>8038120</v>
      </c>
      <c r="BG4" s="129">
        <f t="shared" ref="BG4:BS4" si="14">BG5+BG6</f>
        <v>881047.26</v>
      </c>
      <c r="BH4" s="129">
        <f t="shared" si="14"/>
        <v>2463204.15</v>
      </c>
      <c r="BI4" s="129">
        <f t="shared" si="14"/>
        <v>4092720.84</v>
      </c>
      <c r="BJ4" s="129">
        <f t="shared" si="14"/>
        <v>6166625.9700000007</v>
      </c>
      <c r="BK4" s="129">
        <f t="shared" si="14"/>
        <v>7859784.4399999995</v>
      </c>
      <c r="BL4" s="129">
        <f t="shared" si="14"/>
        <v>9783179.5999999996</v>
      </c>
      <c r="BM4" s="129">
        <f t="shared" si="14"/>
        <v>11558074.199999999</v>
      </c>
      <c r="BN4" s="129">
        <f t="shared" si="14"/>
        <v>12858176.129999999</v>
      </c>
      <c r="BO4" s="129">
        <f t="shared" si="14"/>
        <v>14342320.359999999</v>
      </c>
      <c r="BP4" s="129">
        <f t="shared" si="14"/>
        <v>15871945.719999999</v>
      </c>
      <c r="BQ4" s="129">
        <f t="shared" si="14"/>
        <v>17872117.369999997</v>
      </c>
      <c r="BR4" s="129">
        <f t="shared" si="14"/>
        <v>20080606.579999998</v>
      </c>
      <c r="BS4" s="129">
        <f t="shared" si="14"/>
        <v>12929353</v>
      </c>
      <c r="BT4" s="129">
        <f t="shared" ref="BT4:BZ4" si="15">BT5+BT6</f>
        <v>2199558.09</v>
      </c>
      <c r="BU4" s="129">
        <f t="shared" si="15"/>
        <v>3640121.51</v>
      </c>
      <c r="BV4" s="129">
        <f t="shared" si="15"/>
        <v>5948479.6799999997</v>
      </c>
      <c r="BW4" s="129">
        <f t="shared" si="15"/>
        <v>8172832.9399999995</v>
      </c>
      <c r="BX4" s="129">
        <f t="shared" si="15"/>
        <v>7833880.04</v>
      </c>
      <c r="BY4" s="129">
        <f t="shared" si="15"/>
        <v>8344092.5500000007</v>
      </c>
      <c r="BZ4" s="129">
        <f t="shared" si="15"/>
        <v>9694924.75</v>
      </c>
      <c r="CA4" s="129">
        <f t="shared" ref="CA4:CE4" si="16">CA5+CA6</f>
        <v>10299310.210000001</v>
      </c>
      <c r="CB4" s="129">
        <f t="shared" si="16"/>
        <v>12164862.49</v>
      </c>
      <c r="CC4" s="129">
        <f t="shared" si="16"/>
        <v>15155467.08</v>
      </c>
      <c r="CD4" s="129">
        <f t="shared" si="16"/>
        <v>18571204.75</v>
      </c>
      <c r="CE4" s="129">
        <f t="shared" si="16"/>
        <v>19267550.539999999</v>
      </c>
      <c r="CF4" s="129">
        <f t="shared" ref="CF4:CL4" si="17">CF5+CF6</f>
        <v>18523662.969999999</v>
      </c>
      <c r="CG4" s="50">
        <f t="shared" ref="CG4:CG37" si="18">CF4-CE4</f>
        <v>-743887.5700000003</v>
      </c>
      <c r="CH4" s="129">
        <f t="shared" si="17"/>
        <v>18523662.969999999</v>
      </c>
      <c r="CI4" s="129">
        <f t="shared" si="17"/>
        <v>2754256.79</v>
      </c>
      <c r="CJ4" s="129">
        <f t="shared" si="17"/>
        <v>4819209.45</v>
      </c>
      <c r="CK4" s="129">
        <f t="shared" si="17"/>
        <v>7604065.6900000004</v>
      </c>
      <c r="CL4" s="129">
        <f t="shared" si="17"/>
        <v>9624921.0099999998</v>
      </c>
      <c r="CM4" s="129">
        <f t="shared" ref="CM4:CN4" si="19">CM5+CM6</f>
        <v>10020314.01</v>
      </c>
      <c r="CN4" s="129">
        <f t="shared" si="19"/>
        <v>10608631.65</v>
      </c>
      <c r="CO4" s="129">
        <f t="shared" ref="CO4" si="20">CO5+CO6</f>
        <v>10948367.119999999</v>
      </c>
    </row>
    <row r="5" spans="1:93" ht="14.25">
      <c r="A5" s="20" t="s">
        <v>60</v>
      </c>
      <c r="B5" s="31">
        <v>26629812</v>
      </c>
      <c r="C5" s="21">
        <v>32831263</v>
      </c>
      <c r="D5" s="163">
        <v>29010493</v>
      </c>
      <c r="E5" s="21">
        <v>34153522</v>
      </c>
      <c r="F5" s="21">
        <v>2541350.2599999998</v>
      </c>
      <c r="G5" s="21">
        <v>5368816.4400000004</v>
      </c>
      <c r="H5" s="178">
        <v>8291410.9500000002</v>
      </c>
      <c r="I5" s="82">
        <v>10838487.27</v>
      </c>
      <c r="J5" s="109">
        <v>11420544</v>
      </c>
      <c r="K5" s="109">
        <f>11659081</f>
        <v>11659081</v>
      </c>
      <c r="L5" s="97"/>
      <c r="M5" s="21"/>
      <c r="N5" s="97"/>
      <c r="O5" s="21"/>
      <c r="P5" s="97"/>
      <c r="Q5" s="97"/>
      <c r="R5" s="97">
        <v>18220126</v>
      </c>
      <c r="S5" s="131">
        <v>3349347.37</v>
      </c>
      <c r="T5" s="131">
        <v>6874118.8499999996</v>
      </c>
      <c r="U5" s="131">
        <v>7455625.7400000002</v>
      </c>
      <c r="V5" s="131">
        <v>7729074.3399999999</v>
      </c>
      <c r="W5" s="131">
        <v>8050570.3399999999</v>
      </c>
      <c r="X5" s="21">
        <v>8176809.5</v>
      </c>
      <c r="Y5" s="131">
        <v>8277293.4100000001</v>
      </c>
      <c r="Z5" s="131">
        <v>9369594.0199999996</v>
      </c>
      <c r="AA5" s="131">
        <v>10998176.24</v>
      </c>
      <c r="AB5" s="131">
        <v>13587714.41</v>
      </c>
      <c r="AC5" s="153">
        <v>16179875.49</v>
      </c>
      <c r="AD5" s="156">
        <v>18613488.530000001</v>
      </c>
      <c r="AE5" s="157"/>
      <c r="AF5" s="157">
        <v>18067672</v>
      </c>
      <c r="AG5" s="131">
        <v>314008.59999999998</v>
      </c>
      <c r="AH5" s="131">
        <v>322048.59999999998</v>
      </c>
      <c r="AI5" s="131">
        <v>1954396.51</v>
      </c>
      <c r="AJ5" s="131">
        <v>2180423.91</v>
      </c>
      <c r="AK5" s="131">
        <v>2279868.06</v>
      </c>
      <c r="AL5" s="131">
        <v>2329154.19</v>
      </c>
      <c r="AM5" s="131">
        <v>2802385.55</v>
      </c>
      <c r="AN5" s="131">
        <v>2906964.38</v>
      </c>
      <c r="AO5" s="131">
        <v>3277435.48</v>
      </c>
      <c r="AT5" s="21">
        <v>135158.57999999999</v>
      </c>
      <c r="AU5" s="21">
        <v>229973.02</v>
      </c>
      <c r="AV5" s="21">
        <v>442819.19</v>
      </c>
      <c r="AW5" s="21">
        <v>464443.95</v>
      </c>
      <c r="AX5" s="21">
        <v>520041.95</v>
      </c>
      <c r="AY5" s="21">
        <v>672981.85</v>
      </c>
      <c r="AZ5" s="21"/>
      <c r="BA5" s="21">
        <v>1119392.4099999999</v>
      </c>
      <c r="BB5" s="21">
        <v>8234682.4000000004</v>
      </c>
      <c r="BC5" s="21">
        <v>13615592.17</v>
      </c>
      <c r="BD5" s="21">
        <v>14195772.359999999</v>
      </c>
      <c r="BE5" s="21">
        <v>19554038.43</v>
      </c>
      <c r="BF5" s="163">
        <v>6826396</v>
      </c>
      <c r="BG5" s="195">
        <v>570980.43000000005</v>
      </c>
      <c r="BH5" s="197">
        <v>1722009.81</v>
      </c>
      <c r="BI5" s="197">
        <v>2476006.2000000002</v>
      </c>
      <c r="BJ5" s="197">
        <v>3919148.7</v>
      </c>
      <c r="BK5" s="197">
        <v>4935804.83</v>
      </c>
      <c r="BL5" s="197">
        <v>6338174.79</v>
      </c>
      <c r="BM5" s="197">
        <v>7295164.1600000001</v>
      </c>
      <c r="BN5" s="197">
        <v>8282751.79</v>
      </c>
      <c r="BO5" s="197">
        <v>9228114.2899999991</v>
      </c>
      <c r="BP5" s="197">
        <v>10281781.85</v>
      </c>
      <c r="BQ5" s="197">
        <v>11730040.369999999</v>
      </c>
      <c r="BR5" s="197">
        <v>12871952.59</v>
      </c>
      <c r="BS5" s="50">
        <v>12929353</v>
      </c>
      <c r="BT5" s="195">
        <v>1596459.55</v>
      </c>
      <c r="BU5" s="197">
        <v>2170273.3199999998</v>
      </c>
      <c r="BV5" s="197">
        <v>3752634.58</v>
      </c>
      <c r="BW5" s="197">
        <v>5570810.5800000001</v>
      </c>
      <c r="BX5" s="197">
        <v>7457810.04</v>
      </c>
      <c r="BY5" s="195">
        <v>7955854.9800000004</v>
      </c>
      <c r="BZ5" s="212">
        <v>9281787.1799999997</v>
      </c>
      <c r="CA5" s="213">
        <v>9836172.6400000006</v>
      </c>
      <c r="CB5" s="212">
        <v>11632674.92</v>
      </c>
      <c r="CC5" s="212">
        <v>14563479.51</v>
      </c>
      <c r="CD5" s="212">
        <v>17901667.18</v>
      </c>
      <c r="CE5" s="21">
        <v>18523662.969999999</v>
      </c>
      <c r="CF5" s="164">
        <v>18523662.969999999</v>
      </c>
      <c r="CG5" s="50">
        <f t="shared" si="18"/>
        <v>0</v>
      </c>
      <c r="CH5" s="164">
        <v>18523662.969999999</v>
      </c>
      <c r="CI5" s="313">
        <v>2674471.79</v>
      </c>
      <c r="CJ5" s="315">
        <v>4676624.45</v>
      </c>
      <c r="CK5" s="315">
        <v>7413930.6900000004</v>
      </c>
      <c r="CL5" s="315">
        <v>9397186.0099999998</v>
      </c>
      <c r="CM5" s="97">
        <v>9776479.0099999998</v>
      </c>
      <c r="CN5" s="313">
        <v>10352896.65</v>
      </c>
      <c r="CO5" s="360">
        <v>10690232.119999999</v>
      </c>
    </row>
    <row r="6" spans="1:93" ht="14.25">
      <c r="A6" s="20" t="s">
        <v>61</v>
      </c>
      <c r="B6" s="31"/>
      <c r="C6" s="21">
        <f>114723+586850+188120</f>
        <v>889693</v>
      </c>
      <c r="D6" s="163">
        <v>2908522</v>
      </c>
      <c r="E6" s="21">
        <v>1000088</v>
      </c>
      <c r="F6" s="21">
        <v>251825</v>
      </c>
      <c r="G6" s="21">
        <v>278440.2</v>
      </c>
      <c r="H6" s="178">
        <v>319100</v>
      </c>
      <c r="I6" s="82">
        <v>437983.3</v>
      </c>
      <c r="J6" s="109">
        <v>511428</v>
      </c>
      <c r="K6" s="109">
        <f>287980+313492+96170</f>
        <v>697642</v>
      </c>
      <c r="L6" s="97"/>
      <c r="M6" s="21"/>
      <c r="N6" s="97"/>
      <c r="O6" s="21"/>
      <c r="P6" s="97"/>
      <c r="Q6" s="97"/>
      <c r="R6" s="97"/>
      <c r="S6" s="131">
        <v>203477.4</v>
      </c>
      <c r="T6" s="131">
        <v>171458</v>
      </c>
      <c r="U6" s="131">
        <v>348210.85</v>
      </c>
      <c r="V6" s="131">
        <v>428009.75</v>
      </c>
      <c r="W6" s="131">
        <v>398317.43</v>
      </c>
      <c r="X6" s="21">
        <v>448171.77</v>
      </c>
      <c r="Y6" s="131">
        <v>462871.77</v>
      </c>
      <c r="Z6" s="131">
        <v>879571.77</v>
      </c>
      <c r="AA6" s="131">
        <v>541657.77</v>
      </c>
      <c r="AB6" s="131">
        <v>770936.08</v>
      </c>
      <c r="AC6" s="153">
        <v>830152.74</v>
      </c>
      <c r="AD6" s="156">
        <v>331008</v>
      </c>
      <c r="AE6" s="157"/>
      <c r="AF6" s="157">
        <v>156129</v>
      </c>
      <c r="AG6" s="131">
        <v>72150</v>
      </c>
      <c r="AH6" s="131">
        <v>62100</v>
      </c>
      <c r="AI6" s="131">
        <v>121596.43</v>
      </c>
      <c r="AJ6" s="131">
        <v>123046.43</v>
      </c>
      <c r="AK6" s="131">
        <v>123046.43</v>
      </c>
      <c r="AL6" s="131">
        <v>133446.43</v>
      </c>
      <c r="AM6" s="131">
        <v>161494.68</v>
      </c>
      <c r="AN6" s="131">
        <v>164494.68</v>
      </c>
      <c r="AO6" s="131">
        <v>166644.68</v>
      </c>
      <c r="AT6" s="21">
        <v>13750</v>
      </c>
      <c r="AU6" s="21">
        <v>19900</v>
      </c>
      <c r="AV6" s="21">
        <v>22400</v>
      </c>
      <c r="AW6" s="21">
        <v>23450</v>
      </c>
      <c r="AX6" s="21">
        <v>36700</v>
      </c>
      <c r="AY6" s="21">
        <v>76500</v>
      </c>
      <c r="AZ6" s="21"/>
      <c r="BA6" s="21">
        <v>168900</v>
      </c>
      <c r="BB6" s="21">
        <v>235400</v>
      </c>
      <c r="BC6" s="21">
        <v>286350</v>
      </c>
      <c r="BD6" s="21">
        <v>358114</v>
      </c>
      <c r="BE6" s="21">
        <v>420514</v>
      </c>
      <c r="BF6" s="163">
        <v>1211724</v>
      </c>
      <c r="BG6" s="199">
        <v>310066.83</v>
      </c>
      <c r="BH6" s="201">
        <v>741194.34</v>
      </c>
      <c r="BI6" s="201">
        <v>1616714.64</v>
      </c>
      <c r="BJ6" s="201">
        <v>2247477.27</v>
      </c>
      <c r="BK6" s="201">
        <v>2923979.61</v>
      </c>
      <c r="BL6" s="201">
        <v>3445004.81</v>
      </c>
      <c r="BM6" s="201">
        <v>4262910.04</v>
      </c>
      <c r="BN6" s="201">
        <v>4575424.34</v>
      </c>
      <c r="BO6" s="201">
        <v>5114206.07</v>
      </c>
      <c r="BP6" s="201">
        <v>5590163.8700000001</v>
      </c>
      <c r="BQ6" s="201">
        <v>6142077</v>
      </c>
      <c r="BR6" s="201">
        <v>7208653.9900000002</v>
      </c>
      <c r="BT6" s="199">
        <v>603098.54</v>
      </c>
      <c r="BU6" s="201">
        <v>1469848.19</v>
      </c>
      <c r="BV6" s="201">
        <v>2195845.1</v>
      </c>
      <c r="BW6" s="201">
        <v>2602022.36</v>
      </c>
      <c r="BX6" s="201">
        <v>376070</v>
      </c>
      <c r="BY6" s="199">
        <v>388237.57</v>
      </c>
      <c r="BZ6" s="212">
        <v>413137.57</v>
      </c>
      <c r="CA6" s="213">
        <v>463137.57</v>
      </c>
      <c r="CB6" s="212">
        <v>532187.56999999995</v>
      </c>
      <c r="CC6" s="212">
        <v>591987.56999999995</v>
      </c>
      <c r="CD6" s="212">
        <v>669537.56999999995</v>
      </c>
      <c r="CE6" s="21">
        <v>743887.57</v>
      </c>
      <c r="CF6" s="293"/>
      <c r="CG6" s="50">
        <f t="shared" si="18"/>
        <v>-743887.57</v>
      </c>
      <c r="CH6" s="293"/>
      <c r="CI6" s="317">
        <v>79785</v>
      </c>
      <c r="CJ6" s="319">
        <v>142585</v>
      </c>
      <c r="CK6" s="319">
        <v>190135</v>
      </c>
      <c r="CL6" s="319">
        <v>227735</v>
      </c>
      <c r="CM6" s="97">
        <v>243835</v>
      </c>
      <c r="CN6" s="317">
        <v>255735</v>
      </c>
      <c r="CO6" s="362">
        <v>258135</v>
      </c>
    </row>
    <row r="7" spans="1:93" ht="14.25">
      <c r="A7" s="19" t="s">
        <v>62</v>
      </c>
      <c r="B7" s="69">
        <f t="shared" ref="B7:P7" si="21">SUM(B8:B11)</f>
        <v>19366987</v>
      </c>
      <c r="C7" s="69">
        <f t="shared" si="21"/>
        <v>20654203</v>
      </c>
      <c r="D7" s="69">
        <f t="shared" si="21"/>
        <v>16676545</v>
      </c>
      <c r="E7" s="69">
        <f t="shared" si="21"/>
        <v>18835644</v>
      </c>
      <c r="F7" s="69">
        <f t="shared" si="21"/>
        <v>1439140.32</v>
      </c>
      <c r="G7" s="69">
        <f t="shared" si="21"/>
        <v>2916155.27</v>
      </c>
      <c r="H7" s="69">
        <f t="shared" si="21"/>
        <v>3824420.73</v>
      </c>
      <c r="I7" s="69">
        <f t="shared" si="21"/>
        <v>4872235.1999999993</v>
      </c>
      <c r="J7" s="69">
        <f t="shared" si="21"/>
        <v>4824233.0600000005</v>
      </c>
      <c r="K7" s="69">
        <f t="shared" si="21"/>
        <v>5192466.7699999996</v>
      </c>
      <c r="L7" s="69">
        <f t="shared" si="21"/>
        <v>0</v>
      </c>
      <c r="M7" s="69">
        <f t="shared" si="21"/>
        <v>0</v>
      </c>
      <c r="N7" s="69">
        <f t="shared" si="21"/>
        <v>0</v>
      </c>
      <c r="O7" s="69">
        <f t="shared" si="21"/>
        <v>0</v>
      </c>
      <c r="P7" s="69">
        <f t="shared" si="21"/>
        <v>0</v>
      </c>
      <c r="Q7" s="69">
        <f t="shared" ref="Q7:X7" si="22">SUM(Q8:Q11)</f>
        <v>0</v>
      </c>
      <c r="R7" s="127">
        <f t="shared" si="22"/>
        <v>14076703</v>
      </c>
      <c r="S7" s="129">
        <f t="shared" si="22"/>
        <v>585093.68999999994</v>
      </c>
      <c r="T7" s="129">
        <f t="shared" si="22"/>
        <v>1488598.9400000002</v>
      </c>
      <c r="U7" s="129">
        <f t="shared" si="22"/>
        <v>1649034.51</v>
      </c>
      <c r="V7" s="129">
        <f t="shared" si="22"/>
        <v>1860086.48</v>
      </c>
      <c r="W7" s="129">
        <f t="shared" si="22"/>
        <v>2274033.65</v>
      </c>
      <c r="X7" s="129">
        <f t="shared" si="22"/>
        <v>2164083.83</v>
      </c>
      <c r="Y7" s="129">
        <f t="shared" ref="Y7:AF7" si="23">SUM(Y8:Y11)</f>
        <v>2184138.02</v>
      </c>
      <c r="Z7" s="129">
        <f t="shared" si="23"/>
        <v>1965373.8599999999</v>
      </c>
      <c r="AA7" s="129">
        <f t="shared" si="23"/>
        <v>3993731.96</v>
      </c>
      <c r="AB7" s="129">
        <f t="shared" si="23"/>
        <v>4270694.67</v>
      </c>
      <c r="AC7" s="152">
        <f t="shared" si="23"/>
        <v>4664231.93</v>
      </c>
      <c r="AD7" s="129">
        <f t="shared" si="23"/>
        <v>5147403.93</v>
      </c>
      <c r="AE7" s="129">
        <f t="shared" si="23"/>
        <v>0</v>
      </c>
      <c r="AF7" s="129">
        <f t="shared" si="23"/>
        <v>6059137</v>
      </c>
      <c r="AG7" s="129">
        <f t="shared" ref="AG7:BZ7" si="24">SUM(AG8:AG11)</f>
        <v>98193.45</v>
      </c>
      <c r="AH7" s="129">
        <f t="shared" si="24"/>
        <v>202734.85</v>
      </c>
      <c r="AI7" s="129">
        <f t="shared" si="24"/>
        <v>441778.58</v>
      </c>
      <c r="AJ7" s="129">
        <f t="shared" si="24"/>
        <v>471436.1</v>
      </c>
      <c r="AK7" s="129">
        <f t="shared" si="24"/>
        <v>483269.17</v>
      </c>
      <c r="AL7" s="129">
        <f t="shared" si="24"/>
        <v>514388.04</v>
      </c>
      <c r="AM7" s="129">
        <f t="shared" si="24"/>
        <v>676267.61</v>
      </c>
      <c r="AN7" s="129">
        <f t="shared" si="24"/>
        <v>2787056.13</v>
      </c>
      <c r="AO7" s="129">
        <f t="shared" si="24"/>
        <v>4901563.3999999994</v>
      </c>
      <c r="AP7" s="129">
        <f t="shared" si="24"/>
        <v>0</v>
      </c>
      <c r="AQ7" s="129">
        <f t="shared" si="24"/>
        <v>0</v>
      </c>
      <c r="AR7" s="129">
        <f t="shared" si="24"/>
        <v>0</v>
      </c>
      <c r="AS7" s="129">
        <f t="shared" si="24"/>
        <v>0</v>
      </c>
      <c r="AT7" s="129">
        <f t="shared" si="24"/>
        <v>21657.22</v>
      </c>
      <c r="AU7" s="129">
        <f t="shared" si="24"/>
        <v>36820.54</v>
      </c>
      <c r="AV7" s="129">
        <f t="shared" si="24"/>
        <v>10922391.949999999</v>
      </c>
      <c r="AW7" s="129">
        <f t="shared" si="24"/>
        <v>11117668.880000001</v>
      </c>
      <c r="AX7" s="129">
        <f t="shared" si="24"/>
        <v>11331936.859999999</v>
      </c>
      <c r="AY7" s="129">
        <f t="shared" si="24"/>
        <v>11599346.27</v>
      </c>
      <c r="AZ7" s="129">
        <f t="shared" si="24"/>
        <v>0</v>
      </c>
      <c r="BA7" s="129">
        <f t="shared" si="24"/>
        <v>12220822.02</v>
      </c>
      <c r="BB7" s="129">
        <f t="shared" si="24"/>
        <v>12712731.85</v>
      </c>
      <c r="BC7" s="129">
        <f t="shared" si="24"/>
        <v>13165073.58</v>
      </c>
      <c r="BD7" s="129">
        <f t="shared" si="24"/>
        <v>13449252.58</v>
      </c>
      <c r="BE7" s="129">
        <f t="shared" si="24"/>
        <v>14008835.9</v>
      </c>
      <c r="BF7" s="129">
        <f t="shared" si="24"/>
        <v>13211531</v>
      </c>
      <c r="BG7" s="129">
        <f t="shared" si="24"/>
        <v>2750</v>
      </c>
      <c r="BH7" s="129">
        <f t="shared" si="24"/>
        <v>2750</v>
      </c>
      <c r="BI7" s="129">
        <f t="shared" si="24"/>
        <v>47000</v>
      </c>
      <c r="BJ7" s="129">
        <f t="shared" si="24"/>
        <v>575307.19999999995</v>
      </c>
      <c r="BK7" s="129">
        <f t="shared" si="24"/>
        <v>495307.2</v>
      </c>
      <c r="BL7" s="129">
        <f t="shared" si="24"/>
        <v>531094.19999999995</v>
      </c>
      <c r="BM7" s="129">
        <f t="shared" si="24"/>
        <v>531094.19999999995</v>
      </c>
      <c r="BN7" s="129">
        <f t="shared" si="24"/>
        <v>531094.19999999995</v>
      </c>
      <c r="BO7" s="129">
        <f t="shared" si="24"/>
        <v>531094.19999999995</v>
      </c>
      <c r="BP7" s="129">
        <f t="shared" si="24"/>
        <v>531094.19999999995</v>
      </c>
      <c r="BQ7" s="129">
        <f t="shared" si="24"/>
        <v>531094.53</v>
      </c>
      <c r="BR7" s="129">
        <f t="shared" si="24"/>
        <v>529295.91</v>
      </c>
      <c r="BS7" s="129">
        <f t="shared" si="24"/>
        <v>7713193</v>
      </c>
      <c r="BT7" s="129">
        <f t="shared" si="24"/>
        <v>500</v>
      </c>
      <c r="BU7" s="129">
        <f t="shared" si="24"/>
        <v>1400</v>
      </c>
      <c r="BV7" s="129">
        <f t="shared" si="24"/>
        <v>2500</v>
      </c>
      <c r="BW7" s="129">
        <f t="shared" si="24"/>
        <v>112437.8</v>
      </c>
      <c r="BX7" s="129">
        <f t="shared" si="24"/>
        <v>2679929.86</v>
      </c>
      <c r="BY7" s="129">
        <f t="shared" si="24"/>
        <v>3096877.75</v>
      </c>
      <c r="BZ7" s="129">
        <f t="shared" si="24"/>
        <v>3888631.7</v>
      </c>
      <c r="CA7" s="129">
        <f t="shared" ref="CA7:CF7" si="25">SUM(CA8:CA11)</f>
        <v>3702245.57</v>
      </c>
      <c r="CB7" s="129">
        <f t="shared" si="25"/>
        <v>4580009.09</v>
      </c>
      <c r="CC7" s="129">
        <f t="shared" si="25"/>
        <v>5331624.62</v>
      </c>
      <c r="CD7" s="129">
        <f t="shared" si="25"/>
        <v>5787365.7799999993</v>
      </c>
      <c r="CE7" s="129">
        <f t="shared" si="25"/>
        <v>6449805.2600000007</v>
      </c>
      <c r="CF7" s="129">
        <f t="shared" si="25"/>
        <v>7193693</v>
      </c>
      <c r="CG7" s="50">
        <f t="shared" si="18"/>
        <v>743887.73999999929</v>
      </c>
      <c r="CH7" s="129">
        <f t="shared" ref="CH7:CO7" si="26">SUM(CH8:CH11)</f>
        <v>7193693</v>
      </c>
      <c r="CI7" s="129">
        <f t="shared" si="26"/>
        <v>508542.67</v>
      </c>
      <c r="CJ7" s="129">
        <f t="shared" si="26"/>
        <v>957608.59</v>
      </c>
      <c r="CK7" s="129">
        <f t="shared" si="26"/>
        <v>1506697.85</v>
      </c>
      <c r="CL7" s="129">
        <f t="shared" si="26"/>
        <v>1846035.07</v>
      </c>
      <c r="CM7" s="129">
        <f t="shared" si="26"/>
        <v>3272826.3499999996</v>
      </c>
      <c r="CN7" s="129">
        <f t="shared" si="26"/>
        <v>4369683.9399999995</v>
      </c>
      <c r="CO7" s="129">
        <f t="shared" si="26"/>
        <v>4591055.6899999995</v>
      </c>
    </row>
    <row r="8" spans="1:93" ht="14.25">
      <c r="A8" s="20" t="s">
        <v>63</v>
      </c>
      <c r="B8" s="31"/>
      <c r="C8" s="21">
        <v>0</v>
      </c>
      <c r="E8" s="21">
        <v>0</v>
      </c>
      <c r="F8" s="21">
        <v>0</v>
      </c>
      <c r="G8" s="21">
        <v>0</v>
      </c>
      <c r="H8" s="178">
        <v>0</v>
      </c>
      <c r="I8" s="2">
        <v>0</v>
      </c>
      <c r="J8" s="109">
        <v>0</v>
      </c>
      <c r="K8" s="109">
        <v>0</v>
      </c>
      <c r="M8" s="21"/>
      <c r="O8" s="21"/>
      <c r="S8" s="131">
        <v>0</v>
      </c>
      <c r="T8" s="131">
        <v>0</v>
      </c>
      <c r="U8" s="131">
        <v>0</v>
      </c>
      <c r="V8" s="131">
        <v>0</v>
      </c>
      <c r="W8" s="131">
        <v>0</v>
      </c>
      <c r="X8" s="21">
        <v>0</v>
      </c>
      <c r="Y8" s="179">
        <v>0</v>
      </c>
      <c r="Z8" s="131"/>
      <c r="AA8" s="131"/>
      <c r="AB8" s="131"/>
      <c r="AC8" s="153">
        <v>0</v>
      </c>
      <c r="AD8" s="156">
        <v>0</v>
      </c>
      <c r="AE8" s="157"/>
      <c r="AF8" s="2"/>
      <c r="AG8" s="131">
        <v>0</v>
      </c>
      <c r="AH8" s="131">
        <v>0</v>
      </c>
      <c r="AI8" s="131">
        <v>0</v>
      </c>
      <c r="AJ8" s="131">
        <v>0</v>
      </c>
      <c r="AK8" s="131">
        <v>0</v>
      </c>
      <c r="AL8" s="131">
        <v>0</v>
      </c>
      <c r="AM8" s="131">
        <v>0</v>
      </c>
      <c r="AN8" s="131">
        <v>0</v>
      </c>
      <c r="AO8" s="13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21">
        <v>0</v>
      </c>
      <c r="AZ8" s="21"/>
      <c r="BA8" s="21">
        <v>0</v>
      </c>
      <c r="BB8" s="21">
        <v>0</v>
      </c>
      <c r="BC8" s="21">
        <v>0</v>
      </c>
      <c r="BD8" s="21">
        <v>0</v>
      </c>
      <c r="BE8" s="21">
        <v>0</v>
      </c>
      <c r="BG8" s="194">
        <v>0</v>
      </c>
      <c r="BH8" s="196">
        <v>0</v>
      </c>
      <c r="BI8" s="196">
        <v>0</v>
      </c>
      <c r="BJ8" s="196">
        <v>0</v>
      </c>
      <c r="BK8" s="196">
        <v>0</v>
      </c>
      <c r="BL8" s="196">
        <v>0</v>
      </c>
      <c r="BM8" s="196">
        <v>0</v>
      </c>
      <c r="BN8" s="196">
        <v>0</v>
      </c>
      <c r="BO8" s="196">
        <v>0</v>
      </c>
      <c r="BP8" s="196">
        <v>0</v>
      </c>
      <c r="BQ8" s="196">
        <v>0</v>
      </c>
      <c r="BR8" s="196">
        <v>0</v>
      </c>
      <c r="BT8" s="194">
        <v>0</v>
      </c>
      <c r="BU8" s="196">
        <v>0</v>
      </c>
      <c r="BV8" s="196">
        <v>0</v>
      </c>
      <c r="BW8" s="196">
        <v>0</v>
      </c>
      <c r="BX8" s="196">
        <v>0</v>
      </c>
      <c r="BY8" s="194">
        <v>0</v>
      </c>
      <c r="BZ8" s="212">
        <v>0</v>
      </c>
      <c r="CA8" s="109">
        <v>0</v>
      </c>
      <c r="CB8" s="212">
        <v>0</v>
      </c>
      <c r="CC8" s="212">
        <v>0</v>
      </c>
      <c r="CD8" s="212">
        <v>0</v>
      </c>
      <c r="CE8">
        <v>0</v>
      </c>
      <c r="CG8" s="50">
        <f t="shared" si="18"/>
        <v>0</v>
      </c>
      <c r="CI8" s="312">
        <v>0</v>
      </c>
      <c r="CJ8" s="314">
        <v>0</v>
      </c>
      <c r="CK8" s="314">
        <v>0</v>
      </c>
      <c r="CL8" s="314">
        <v>0</v>
      </c>
      <c r="CM8">
        <v>0</v>
      </c>
      <c r="CN8" s="312">
        <v>0</v>
      </c>
      <c r="CO8" s="359">
        <v>0</v>
      </c>
    </row>
    <row r="9" spans="1:93" ht="14.25">
      <c r="A9" s="20" t="s">
        <v>64</v>
      </c>
      <c r="B9" s="31">
        <v>2381220</v>
      </c>
      <c r="C9" s="21">
        <v>595785</v>
      </c>
      <c r="D9" s="163">
        <v>1366790</v>
      </c>
      <c r="E9" s="21">
        <v>1851959</v>
      </c>
      <c r="F9" s="21">
        <v>0</v>
      </c>
      <c r="G9" s="21">
        <v>376777.54</v>
      </c>
      <c r="H9" s="178">
        <v>188388.77</v>
      </c>
      <c r="I9" s="82">
        <v>188388.77</v>
      </c>
      <c r="J9" s="109">
        <v>188388.77</v>
      </c>
      <c r="K9" s="109">
        <v>188388.77</v>
      </c>
      <c r="L9" s="97"/>
      <c r="M9" s="21"/>
      <c r="N9" s="97"/>
      <c r="O9" s="21"/>
      <c r="P9" s="97"/>
      <c r="Q9" s="97"/>
      <c r="R9" s="97"/>
      <c r="S9" s="131">
        <v>22387.360000000001</v>
      </c>
      <c r="T9" s="131">
        <v>22387.360000000001</v>
      </c>
      <c r="U9" s="131">
        <v>27255.65</v>
      </c>
      <c r="V9" s="131">
        <v>98971.56</v>
      </c>
      <c r="W9" s="131">
        <v>155090.06</v>
      </c>
      <c r="X9" s="21">
        <v>191449.66</v>
      </c>
      <c r="Y9" s="131">
        <v>0</v>
      </c>
      <c r="Z9" s="131">
        <v>127834.41</v>
      </c>
      <c r="AA9" s="131">
        <v>155090.06</v>
      </c>
      <c r="AB9" s="131">
        <v>155090.06</v>
      </c>
      <c r="AC9" s="153">
        <v>155090.06</v>
      </c>
      <c r="AD9" s="156">
        <v>163044.41</v>
      </c>
      <c r="AE9" s="157"/>
      <c r="AF9" s="2"/>
      <c r="AG9" s="131">
        <v>0</v>
      </c>
      <c r="AH9" s="131">
        <v>0</v>
      </c>
      <c r="AI9" s="131">
        <v>0</v>
      </c>
      <c r="AJ9" s="131">
        <v>0</v>
      </c>
      <c r="AK9" s="131">
        <v>0</v>
      </c>
      <c r="AL9" s="131">
        <v>0</v>
      </c>
      <c r="AM9" s="131">
        <v>0</v>
      </c>
      <c r="AN9" s="131">
        <v>0</v>
      </c>
      <c r="AO9" s="131">
        <v>0</v>
      </c>
      <c r="AT9" s="21">
        <v>0</v>
      </c>
      <c r="AU9" s="21">
        <v>0</v>
      </c>
      <c r="AV9" s="21">
        <v>0</v>
      </c>
      <c r="AW9" s="21">
        <v>0</v>
      </c>
      <c r="AX9" s="21">
        <v>0</v>
      </c>
      <c r="AY9" s="21">
        <v>0</v>
      </c>
      <c r="AZ9" s="21"/>
      <c r="BA9" s="21">
        <v>0</v>
      </c>
      <c r="BB9" s="21">
        <v>0</v>
      </c>
      <c r="BC9" s="21">
        <v>0</v>
      </c>
      <c r="BD9" s="21">
        <v>0</v>
      </c>
      <c r="BE9" s="21">
        <v>0</v>
      </c>
      <c r="BG9" s="198">
        <v>0</v>
      </c>
      <c r="BH9" s="200">
        <v>0</v>
      </c>
      <c r="BI9" s="200">
        <v>0</v>
      </c>
      <c r="BJ9" s="200">
        <v>0</v>
      </c>
      <c r="BK9" s="200">
        <v>0</v>
      </c>
      <c r="BL9" s="200">
        <v>0</v>
      </c>
      <c r="BM9" s="200">
        <v>0</v>
      </c>
      <c r="BN9" s="200">
        <v>0</v>
      </c>
      <c r="BO9" s="200">
        <v>0</v>
      </c>
      <c r="BP9" s="200">
        <v>0</v>
      </c>
      <c r="BQ9" s="200">
        <v>0</v>
      </c>
      <c r="BR9" s="200">
        <v>0</v>
      </c>
      <c r="BS9" s="50">
        <f>36189+478187+64555</f>
        <v>578931</v>
      </c>
      <c r="BT9" s="198">
        <v>0</v>
      </c>
      <c r="BU9" s="200">
        <v>0</v>
      </c>
      <c r="BV9" s="200">
        <v>0</v>
      </c>
      <c r="BW9" s="200">
        <v>0</v>
      </c>
      <c r="BX9" s="200">
        <v>0</v>
      </c>
      <c r="BY9" s="198">
        <v>0</v>
      </c>
      <c r="BZ9" s="212">
        <v>0</v>
      </c>
      <c r="CA9" s="109">
        <v>0</v>
      </c>
      <c r="CB9" s="212">
        <v>0</v>
      </c>
      <c r="CC9" s="212">
        <v>0</v>
      </c>
      <c r="CD9" s="212">
        <v>0</v>
      </c>
      <c r="CE9">
        <v>0</v>
      </c>
      <c r="CG9" s="50">
        <f t="shared" si="18"/>
        <v>0</v>
      </c>
      <c r="CI9" s="316">
        <v>0</v>
      </c>
      <c r="CJ9" s="318">
        <v>0</v>
      </c>
      <c r="CK9" s="318">
        <v>0</v>
      </c>
      <c r="CL9" s="318">
        <v>0</v>
      </c>
      <c r="CM9">
        <v>0</v>
      </c>
      <c r="CN9" s="316">
        <v>0</v>
      </c>
      <c r="CO9" s="361">
        <v>0</v>
      </c>
    </row>
    <row r="10" spans="1:93" ht="14.25">
      <c r="A10" s="20" t="s">
        <v>65</v>
      </c>
      <c r="B10" s="31"/>
      <c r="C10" s="21">
        <f>1726071-239557-3825-10500-9000</f>
        <v>1463189</v>
      </c>
      <c r="D10">
        <v>462867</v>
      </c>
      <c r="E10" s="21">
        <v>1127954</v>
      </c>
      <c r="F10" s="21">
        <v>0</v>
      </c>
      <c r="G10" s="21">
        <v>0</v>
      </c>
      <c r="H10" s="178">
        <v>244962</v>
      </c>
      <c r="I10" s="2">
        <v>244962</v>
      </c>
      <c r="J10" s="110">
        <v>244962</v>
      </c>
      <c r="K10" s="110">
        <v>244962</v>
      </c>
      <c r="M10" s="21"/>
      <c r="O10" s="21"/>
      <c r="S10" s="131">
        <v>0</v>
      </c>
      <c r="T10" s="131">
        <v>0</v>
      </c>
      <c r="U10" s="131">
        <v>0</v>
      </c>
      <c r="V10" s="131">
        <v>0</v>
      </c>
      <c r="W10" s="131">
        <v>36359.599999999999</v>
      </c>
      <c r="X10" s="21">
        <v>0</v>
      </c>
      <c r="Y10" s="131">
        <v>63615.25</v>
      </c>
      <c r="Z10" s="131">
        <v>63615.25</v>
      </c>
      <c r="AA10" s="131">
        <v>1573214.6</v>
      </c>
      <c r="AB10" s="131">
        <v>1573214.6</v>
      </c>
      <c r="AC10" s="153">
        <v>1573214.6</v>
      </c>
      <c r="AD10" s="156">
        <v>1621268.11</v>
      </c>
      <c r="AE10" s="157"/>
      <c r="AF10" s="2"/>
      <c r="AG10" s="131">
        <v>0</v>
      </c>
      <c r="AH10" s="131">
        <v>0</v>
      </c>
      <c r="AI10" s="131">
        <v>0</v>
      </c>
      <c r="AJ10" s="131">
        <v>0</v>
      </c>
      <c r="AK10" s="131">
        <v>0</v>
      </c>
      <c r="AL10" s="131">
        <v>0</v>
      </c>
      <c r="AM10" s="131">
        <v>0</v>
      </c>
      <c r="AN10" s="131">
        <v>0</v>
      </c>
      <c r="AO10" s="131">
        <v>4299019.3099999996</v>
      </c>
      <c r="AT10" s="21">
        <v>0</v>
      </c>
      <c r="AU10" s="21">
        <v>0</v>
      </c>
      <c r="AV10" s="21">
        <v>10836886</v>
      </c>
      <c r="AW10" s="21">
        <v>10836886</v>
      </c>
      <c r="AX10" s="21">
        <v>10836886</v>
      </c>
      <c r="AY10" s="21">
        <v>10836886</v>
      </c>
      <c r="AZ10" s="21"/>
      <c r="BA10" s="21">
        <v>10836886</v>
      </c>
      <c r="BB10" s="21">
        <v>10836886</v>
      </c>
      <c r="BC10" s="21">
        <v>10836886</v>
      </c>
      <c r="BD10" s="21">
        <v>10836886</v>
      </c>
      <c r="BE10" s="21">
        <v>10836886</v>
      </c>
      <c r="BF10" s="163">
        <v>10836886</v>
      </c>
      <c r="BG10" s="198">
        <v>0</v>
      </c>
      <c r="BH10" s="200">
        <v>0</v>
      </c>
      <c r="BI10" s="200">
        <v>0</v>
      </c>
      <c r="BJ10" s="201">
        <v>478187.2</v>
      </c>
      <c r="BK10" s="201">
        <v>478187.2</v>
      </c>
      <c r="BL10" s="201">
        <v>478187.2</v>
      </c>
      <c r="BM10" s="201">
        <v>478187.2</v>
      </c>
      <c r="BN10" s="201">
        <v>478187.2</v>
      </c>
      <c r="BO10" s="201">
        <v>478187.2</v>
      </c>
      <c r="BP10" s="201">
        <v>478187.2</v>
      </c>
      <c r="BQ10" s="201">
        <v>478187.2</v>
      </c>
      <c r="BR10" s="201">
        <v>478187.2</v>
      </c>
      <c r="BT10" s="198">
        <v>0</v>
      </c>
      <c r="BU10" s="200">
        <v>0</v>
      </c>
      <c r="BV10" s="200">
        <v>0</v>
      </c>
      <c r="BW10" s="201">
        <v>109937.8</v>
      </c>
      <c r="BX10" s="201">
        <v>109937.8</v>
      </c>
      <c r="BY10" s="199">
        <v>286772.40000000002</v>
      </c>
      <c r="BZ10" s="212">
        <v>747774.7</v>
      </c>
      <c r="CA10" s="110">
        <v>286772.40000000002</v>
      </c>
      <c r="CB10" s="212">
        <v>739393.54</v>
      </c>
      <c r="CC10" s="212">
        <v>901831.34</v>
      </c>
      <c r="CD10" s="212">
        <v>925345.94</v>
      </c>
      <c r="CE10" s="215">
        <v>925391.78</v>
      </c>
      <c r="CF10" s="293">
        <v>243190</v>
      </c>
      <c r="CG10" s="50">
        <f t="shared" si="18"/>
        <v>-682201.78</v>
      </c>
      <c r="CH10" s="293">
        <v>243190</v>
      </c>
      <c r="CI10" s="316">
        <v>0</v>
      </c>
      <c r="CJ10" s="318">
        <v>0</v>
      </c>
      <c r="CK10" s="318">
        <v>0</v>
      </c>
      <c r="CL10" s="318">
        <v>0</v>
      </c>
      <c r="CM10" s="97">
        <v>1182180.45</v>
      </c>
      <c r="CN10" s="317">
        <v>1927060.1</v>
      </c>
      <c r="CO10" s="362">
        <v>1978247.15</v>
      </c>
    </row>
    <row r="11" spans="1:93" s="34" customFormat="1" ht="14.25">
      <c r="A11" s="19" t="s">
        <v>66</v>
      </c>
      <c r="B11" s="30">
        <v>16985767</v>
      </c>
      <c r="C11" s="38">
        <f>239557+3825+10500+9000+19222040-C6</f>
        <v>18595229</v>
      </c>
      <c r="D11" s="34">
        <v>14846888</v>
      </c>
      <c r="E11" s="135">
        <v>15855731</v>
      </c>
      <c r="F11" s="135">
        <v>1439140.32</v>
      </c>
      <c r="G11" s="135">
        <v>2539377.73</v>
      </c>
      <c r="H11" s="180">
        <v>3391069.96</v>
      </c>
      <c r="I11" s="83">
        <v>4438884.43</v>
      </c>
      <c r="J11" s="110">
        <v>4390882.29</v>
      </c>
      <c r="K11" s="110">
        <f>4590814+137900+7509+22893</f>
        <v>4759116</v>
      </c>
      <c r="L11" s="98"/>
      <c r="M11" s="135"/>
      <c r="N11" s="98"/>
      <c r="O11" s="135"/>
      <c r="P11" s="98"/>
      <c r="Q11" s="98"/>
      <c r="R11" s="98">
        <f>923419+13153284</f>
        <v>14076703</v>
      </c>
      <c r="S11" s="132">
        <v>562706.32999999996</v>
      </c>
      <c r="T11" s="132">
        <v>1466211.58</v>
      </c>
      <c r="U11" s="132">
        <v>1621778.86</v>
      </c>
      <c r="V11" s="132">
        <v>1761114.92</v>
      </c>
      <c r="W11" s="132">
        <v>2082583.99</v>
      </c>
      <c r="X11" s="135">
        <v>1972634.17</v>
      </c>
      <c r="Y11" s="132">
        <v>2120522.77</v>
      </c>
      <c r="Z11" s="132">
        <v>1773924.2</v>
      </c>
      <c r="AA11" s="132">
        <v>2265427.2999999998</v>
      </c>
      <c r="AB11" s="132">
        <v>2542390.0099999998</v>
      </c>
      <c r="AC11" s="154">
        <v>2935927.27</v>
      </c>
      <c r="AD11" s="158">
        <v>3363091.41</v>
      </c>
      <c r="AE11" s="158"/>
      <c r="AF11" s="119">
        <v>6059137</v>
      </c>
      <c r="AG11" s="132">
        <v>98193.45</v>
      </c>
      <c r="AH11" s="132">
        <v>202734.85</v>
      </c>
      <c r="AI11" s="132">
        <v>441778.58</v>
      </c>
      <c r="AJ11" s="132">
        <v>471436.1</v>
      </c>
      <c r="AK11" s="132">
        <v>483269.17</v>
      </c>
      <c r="AL11" s="132">
        <v>514388.04</v>
      </c>
      <c r="AM11" s="132">
        <v>676267.61</v>
      </c>
      <c r="AN11" s="132">
        <v>2787056.13</v>
      </c>
      <c r="AO11" s="132">
        <v>602544.09</v>
      </c>
      <c r="AT11" s="135">
        <v>21657.22</v>
      </c>
      <c r="AU11" s="135">
        <v>36820.54</v>
      </c>
      <c r="AV11" s="135">
        <v>85505.95</v>
      </c>
      <c r="AW11" s="135">
        <v>280782.88</v>
      </c>
      <c r="AX11" s="135">
        <v>495050.86</v>
      </c>
      <c r="AY11" s="135">
        <v>762460.27</v>
      </c>
      <c r="AZ11" s="135"/>
      <c r="BA11" s="135">
        <v>1383936.02</v>
      </c>
      <c r="BB11" s="135">
        <v>1875845.85</v>
      </c>
      <c r="BC11" s="135">
        <v>2328187.58</v>
      </c>
      <c r="BD11" s="135">
        <v>2612366.58</v>
      </c>
      <c r="BE11" s="135">
        <v>3171949.9</v>
      </c>
      <c r="BF11" s="97">
        <f>14421755-BF10-BF6+1500</f>
        <v>2374645</v>
      </c>
      <c r="BG11" s="202">
        <v>2750</v>
      </c>
      <c r="BH11" s="203">
        <v>2750</v>
      </c>
      <c r="BI11" s="203">
        <v>47000</v>
      </c>
      <c r="BJ11" s="203">
        <v>97120</v>
      </c>
      <c r="BK11" s="203">
        <v>17120</v>
      </c>
      <c r="BL11" s="203">
        <v>52907</v>
      </c>
      <c r="BM11" s="203">
        <v>52907</v>
      </c>
      <c r="BN11" s="203">
        <v>52907</v>
      </c>
      <c r="BO11" s="203">
        <v>52907</v>
      </c>
      <c r="BP11" s="203">
        <v>52907</v>
      </c>
      <c r="BQ11" s="203">
        <v>52907.33</v>
      </c>
      <c r="BR11" s="203">
        <v>51108.71</v>
      </c>
      <c r="BS11" s="71">
        <v>7134262</v>
      </c>
      <c r="BT11" s="208">
        <v>500</v>
      </c>
      <c r="BU11" s="203">
        <v>1400</v>
      </c>
      <c r="BV11" s="203">
        <v>2500</v>
      </c>
      <c r="BW11" s="203">
        <v>2500</v>
      </c>
      <c r="BX11" s="203">
        <v>2569992.06</v>
      </c>
      <c r="BY11" s="202">
        <v>2810105.35</v>
      </c>
      <c r="BZ11" s="290">
        <v>3140857</v>
      </c>
      <c r="CA11" s="291">
        <v>3415473.17</v>
      </c>
      <c r="CB11" s="290">
        <v>3840615.55</v>
      </c>
      <c r="CC11" s="290">
        <v>4429793.2800000003</v>
      </c>
      <c r="CD11" s="290">
        <v>4862019.84</v>
      </c>
      <c r="CE11" s="298">
        <v>5524413.4800000004</v>
      </c>
      <c r="CF11" s="292">
        <v>6950503</v>
      </c>
      <c r="CG11" s="50">
        <f t="shared" si="18"/>
        <v>1426089.5199999996</v>
      </c>
      <c r="CH11" s="292">
        <v>6950503</v>
      </c>
      <c r="CI11" s="320">
        <v>508542.67</v>
      </c>
      <c r="CJ11" s="321">
        <v>957608.59</v>
      </c>
      <c r="CK11" s="321">
        <v>1506697.85</v>
      </c>
      <c r="CL11" s="321">
        <v>1846035.07</v>
      </c>
      <c r="CM11" s="98">
        <v>2090645.9</v>
      </c>
      <c r="CN11" s="320">
        <v>2442623.84</v>
      </c>
      <c r="CO11" s="320">
        <v>2612808.54</v>
      </c>
    </row>
    <row r="12" spans="1:93" ht="14.25">
      <c r="A12" s="19" t="s">
        <v>67</v>
      </c>
      <c r="B12" s="69">
        <f t="shared" ref="B12:P12" si="27">SUM(B13:B18)</f>
        <v>18442033</v>
      </c>
      <c r="C12" s="69">
        <f t="shared" si="27"/>
        <v>15779774</v>
      </c>
      <c r="D12" s="69">
        <f t="shared" si="27"/>
        <v>12975878</v>
      </c>
      <c r="E12" s="69">
        <f t="shared" si="27"/>
        <v>16791656</v>
      </c>
      <c r="F12" s="69">
        <f t="shared" si="27"/>
        <v>302389.25</v>
      </c>
      <c r="G12" s="69">
        <f t="shared" si="27"/>
        <v>1609364.93</v>
      </c>
      <c r="H12" s="69">
        <f t="shared" si="27"/>
        <v>1206799.55</v>
      </c>
      <c r="I12" s="69">
        <f t="shared" si="27"/>
        <v>3344707.83</v>
      </c>
      <c r="J12" s="69">
        <f t="shared" si="27"/>
        <v>3740772.5</v>
      </c>
      <c r="K12" s="69">
        <f t="shared" si="27"/>
        <v>4576950</v>
      </c>
      <c r="L12" s="69">
        <f t="shared" si="27"/>
        <v>0</v>
      </c>
      <c r="M12" s="69">
        <f t="shared" si="27"/>
        <v>0</v>
      </c>
      <c r="N12" s="69">
        <f t="shared" si="27"/>
        <v>0</v>
      </c>
      <c r="O12" s="69">
        <f t="shared" si="27"/>
        <v>0</v>
      </c>
      <c r="P12" s="69">
        <f t="shared" si="27"/>
        <v>0</v>
      </c>
      <c r="Q12" s="69">
        <f t="shared" ref="Q12:X12" si="28">SUM(Q13:Q18)</f>
        <v>0</v>
      </c>
      <c r="R12" s="127">
        <f t="shared" si="28"/>
        <v>3567513</v>
      </c>
      <c r="S12" s="129">
        <f t="shared" si="28"/>
        <v>278166.42</v>
      </c>
      <c r="T12" s="129">
        <f t="shared" si="28"/>
        <v>1584245.96</v>
      </c>
      <c r="U12" s="129">
        <f t="shared" si="28"/>
        <v>1622630.64</v>
      </c>
      <c r="V12" s="129">
        <f t="shared" si="28"/>
        <v>1624630.64</v>
      </c>
      <c r="W12" s="129">
        <f t="shared" si="28"/>
        <v>1753188.3099999998</v>
      </c>
      <c r="X12" s="129">
        <f t="shared" si="28"/>
        <v>1880947.3499999999</v>
      </c>
      <c r="Y12" s="129">
        <f t="shared" ref="Y12:AF12" si="29">SUM(Y13:Y18)</f>
        <v>2347263.35</v>
      </c>
      <c r="Z12" s="129">
        <f t="shared" si="29"/>
        <v>2357263.38</v>
      </c>
      <c r="AA12" s="129">
        <f t="shared" si="29"/>
        <v>2723016.0700000003</v>
      </c>
      <c r="AB12" s="129">
        <f t="shared" si="29"/>
        <v>3234647.0700000003</v>
      </c>
      <c r="AC12" s="152">
        <f t="shared" si="29"/>
        <v>3234647.0700000003</v>
      </c>
      <c r="AD12" s="129">
        <f t="shared" si="29"/>
        <v>3699095.73</v>
      </c>
      <c r="AE12" s="129">
        <f t="shared" si="29"/>
        <v>0</v>
      </c>
      <c r="AF12" s="129">
        <f t="shared" si="29"/>
        <v>6207690</v>
      </c>
      <c r="AG12" s="129">
        <f t="shared" ref="AG12:BZ12" si="30">SUM(AG13:AG18)</f>
        <v>148043.79999999999</v>
      </c>
      <c r="AH12" s="129">
        <f t="shared" si="30"/>
        <v>178043.8</v>
      </c>
      <c r="AI12" s="129">
        <f t="shared" si="30"/>
        <v>3489250.8</v>
      </c>
      <c r="AJ12" s="129">
        <f t="shared" si="30"/>
        <v>178043.8</v>
      </c>
      <c r="AK12" s="129">
        <f t="shared" si="30"/>
        <v>215210.8</v>
      </c>
      <c r="AL12" s="129">
        <f t="shared" si="30"/>
        <v>215210.8</v>
      </c>
      <c r="AM12" s="129">
        <f t="shared" si="30"/>
        <v>312698.8</v>
      </c>
      <c r="AN12" s="129">
        <f t="shared" si="30"/>
        <v>312698.8</v>
      </c>
      <c r="AO12" s="129">
        <f t="shared" si="30"/>
        <v>5362051.92</v>
      </c>
      <c r="AP12" s="129">
        <f t="shared" si="30"/>
        <v>0</v>
      </c>
      <c r="AQ12" s="129">
        <f t="shared" si="30"/>
        <v>0</v>
      </c>
      <c r="AR12" s="129">
        <f t="shared" si="30"/>
        <v>0</v>
      </c>
      <c r="AS12" s="129">
        <f t="shared" si="30"/>
        <v>0</v>
      </c>
      <c r="AT12" s="129">
        <f t="shared" si="30"/>
        <v>0</v>
      </c>
      <c r="AU12" s="129">
        <f t="shared" si="30"/>
        <v>0</v>
      </c>
      <c r="AV12" s="129">
        <f t="shared" si="30"/>
        <v>377400</v>
      </c>
      <c r="AW12" s="129">
        <f t="shared" si="30"/>
        <v>377400</v>
      </c>
      <c r="AX12" s="129">
        <f t="shared" si="30"/>
        <v>49870</v>
      </c>
      <c r="AY12" s="129">
        <f t="shared" si="30"/>
        <v>49870</v>
      </c>
      <c r="AZ12" s="129">
        <f t="shared" si="30"/>
        <v>0</v>
      </c>
      <c r="BA12" s="129">
        <f t="shared" si="30"/>
        <v>1650009</v>
      </c>
      <c r="BB12" s="129">
        <f t="shared" si="30"/>
        <v>1650009</v>
      </c>
      <c r="BC12" s="129">
        <f t="shared" si="30"/>
        <v>1717433</v>
      </c>
      <c r="BD12" s="129">
        <f t="shared" si="30"/>
        <v>1732153</v>
      </c>
      <c r="BE12" s="129">
        <f t="shared" si="30"/>
        <v>1754153</v>
      </c>
      <c r="BF12" s="129">
        <f t="shared" si="30"/>
        <v>1717433</v>
      </c>
      <c r="BG12" s="129">
        <f t="shared" si="30"/>
        <v>300</v>
      </c>
      <c r="BH12" s="129">
        <f t="shared" si="30"/>
        <v>300</v>
      </c>
      <c r="BI12" s="129">
        <f t="shared" si="30"/>
        <v>79117</v>
      </c>
      <c r="BJ12" s="129">
        <f t="shared" si="30"/>
        <v>103906.98999999999</v>
      </c>
      <c r="BK12" s="129">
        <f t="shared" si="30"/>
        <v>116938.95999999999</v>
      </c>
      <c r="BL12" s="129">
        <f t="shared" si="30"/>
        <v>164080</v>
      </c>
      <c r="BM12" s="129">
        <f t="shared" si="30"/>
        <v>168592.03</v>
      </c>
      <c r="BN12" s="129">
        <f t="shared" si="30"/>
        <v>195292.03</v>
      </c>
      <c r="BO12" s="129">
        <f t="shared" si="30"/>
        <v>217612.03</v>
      </c>
      <c r="BP12" s="129">
        <f t="shared" si="30"/>
        <v>217612.03</v>
      </c>
      <c r="BQ12" s="129">
        <f t="shared" si="30"/>
        <v>455125.03</v>
      </c>
      <c r="BR12" s="129">
        <f t="shared" si="30"/>
        <v>635705.68999999994</v>
      </c>
      <c r="BS12" s="129">
        <f t="shared" si="30"/>
        <v>647779</v>
      </c>
      <c r="BT12" s="129">
        <f t="shared" si="30"/>
        <v>510863.32999999996</v>
      </c>
      <c r="BU12" s="129">
        <f t="shared" si="30"/>
        <v>722633.33</v>
      </c>
      <c r="BV12" s="129">
        <f t="shared" si="30"/>
        <v>737113.33</v>
      </c>
      <c r="BW12" s="129">
        <f t="shared" si="30"/>
        <v>533263.32999999996</v>
      </c>
      <c r="BX12" s="129">
        <f t="shared" si="30"/>
        <v>1460254.74</v>
      </c>
      <c r="BY12" s="129">
        <f t="shared" si="30"/>
        <v>1564536.34</v>
      </c>
      <c r="BZ12" s="129">
        <f t="shared" si="30"/>
        <v>1645722.3</v>
      </c>
      <c r="CA12" s="129">
        <f t="shared" ref="CA12:CF12" si="31">SUM(CA13:CA18)</f>
        <v>1603006.3</v>
      </c>
      <c r="CB12" s="129">
        <f t="shared" si="31"/>
        <v>1662424.29</v>
      </c>
      <c r="CC12" s="129">
        <f t="shared" si="31"/>
        <v>1728864.29</v>
      </c>
      <c r="CD12" s="129">
        <f t="shared" si="31"/>
        <v>1875644.53</v>
      </c>
      <c r="CE12" s="129">
        <f t="shared" si="31"/>
        <v>1936065.04</v>
      </c>
      <c r="CF12" s="294">
        <f t="shared" si="31"/>
        <v>1936065</v>
      </c>
      <c r="CG12" s="50">
        <f t="shared" si="18"/>
        <v>-4.0000000037252903E-2</v>
      </c>
      <c r="CH12" s="294">
        <f t="shared" ref="CH12:CO12" si="32">SUM(CH13:CH18)</f>
        <v>1936065</v>
      </c>
      <c r="CI12" s="294">
        <f t="shared" si="32"/>
        <v>314225.09999999998</v>
      </c>
      <c r="CJ12" s="294">
        <f t="shared" si="32"/>
        <v>661102.1</v>
      </c>
      <c r="CK12" s="294">
        <f t="shared" si="32"/>
        <v>692430.04</v>
      </c>
      <c r="CL12" s="294">
        <f t="shared" si="32"/>
        <v>704607.04</v>
      </c>
      <c r="CM12" s="294">
        <f t="shared" si="32"/>
        <v>438459.04000000004</v>
      </c>
      <c r="CN12" s="294">
        <f t="shared" si="32"/>
        <v>443039.04000000004</v>
      </c>
      <c r="CO12" s="294">
        <f t="shared" si="32"/>
        <v>473375.70000000007</v>
      </c>
    </row>
    <row r="13" spans="1:93" ht="14.25">
      <c r="A13" s="20" t="s">
        <v>68</v>
      </c>
      <c r="B13" s="31">
        <v>13850551</v>
      </c>
      <c r="C13" s="21">
        <f>11067405+2038636</f>
        <v>13106041</v>
      </c>
      <c r="D13">
        <v>9728141</v>
      </c>
      <c r="E13" s="21">
        <v>11745789</v>
      </c>
      <c r="F13" s="21">
        <v>0</v>
      </c>
      <c r="G13" s="21">
        <v>0</v>
      </c>
      <c r="H13" s="178">
        <v>72000</v>
      </c>
      <c r="I13" s="2">
        <v>2029631.5</v>
      </c>
      <c r="J13" s="109">
        <v>2107631.5</v>
      </c>
      <c r="K13" s="109">
        <f>2936447+71880</f>
        <v>3008327</v>
      </c>
      <c r="M13" s="21"/>
      <c r="O13" s="21"/>
      <c r="S13" s="131">
        <v>0</v>
      </c>
      <c r="T13" s="131">
        <v>0</v>
      </c>
      <c r="U13" s="131">
        <v>0</v>
      </c>
      <c r="V13" s="131">
        <v>0</v>
      </c>
      <c r="W13" s="131">
        <v>23836.17</v>
      </c>
      <c r="X13" s="21">
        <v>23836.17</v>
      </c>
      <c r="Y13" s="131">
        <v>0</v>
      </c>
      <c r="Z13" s="131">
        <v>0</v>
      </c>
      <c r="AA13" s="131">
        <v>0</v>
      </c>
      <c r="AB13" s="131">
        <v>0</v>
      </c>
      <c r="AC13" s="155">
        <v>0</v>
      </c>
      <c r="AD13" s="157">
        <v>23836.17</v>
      </c>
      <c r="AE13" s="157"/>
      <c r="AF13" s="2"/>
      <c r="AG13" s="131">
        <v>0</v>
      </c>
      <c r="AH13" s="131">
        <v>0</v>
      </c>
      <c r="AI13" s="131">
        <v>0</v>
      </c>
      <c r="AJ13" s="131">
        <v>0</v>
      </c>
      <c r="AK13" s="131">
        <v>0</v>
      </c>
      <c r="AL13" s="131">
        <v>0</v>
      </c>
      <c r="AM13" s="131">
        <v>0</v>
      </c>
      <c r="AN13" s="131">
        <v>0</v>
      </c>
      <c r="AO13" s="13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1"/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G13" s="194">
        <v>0</v>
      </c>
      <c r="BH13" s="196">
        <v>0</v>
      </c>
      <c r="BI13" s="197">
        <v>2776</v>
      </c>
      <c r="BJ13" s="197">
        <v>2776.03</v>
      </c>
      <c r="BK13" s="197">
        <v>2776</v>
      </c>
      <c r="BL13" s="197">
        <v>2776</v>
      </c>
      <c r="BM13" s="197">
        <v>2776.03</v>
      </c>
      <c r="BN13" s="197">
        <v>2776.03</v>
      </c>
      <c r="BO13" s="197">
        <v>2776.03</v>
      </c>
      <c r="BP13" s="197">
        <v>2776.03</v>
      </c>
      <c r="BQ13" s="197">
        <v>2776.03</v>
      </c>
      <c r="BR13" s="197">
        <v>2776.03</v>
      </c>
      <c r="BT13" s="194">
        <v>0</v>
      </c>
      <c r="BU13" s="196">
        <v>0</v>
      </c>
      <c r="BV13" s="196">
        <v>0</v>
      </c>
      <c r="BW13" s="196">
        <v>0</v>
      </c>
      <c r="BX13" s="197">
        <v>211770.01</v>
      </c>
      <c r="BY13" s="194">
        <v>0</v>
      </c>
      <c r="BZ13" s="212">
        <v>0</v>
      </c>
      <c r="CA13" s="109"/>
      <c r="CB13" s="212">
        <v>0</v>
      </c>
      <c r="CC13" s="212">
        <v>0</v>
      </c>
      <c r="CD13" s="212">
        <v>0</v>
      </c>
      <c r="CE13" s="21">
        <v>0</v>
      </c>
      <c r="CG13" s="50">
        <f t="shared" si="18"/>
        <v>0</v>
      </c>
      <c r="CI13" s="312">
        <v>0</v>
      </c>
      <c r="CJ13" s="314">
        <v>0</v>
      </c>
      <c r="CK13" s="314">
        <v>0</v>
      </c>
      <c r="CL13" s="314">
        <v>0</v>
      </c>
      <c r="CM13">
        <v>0</v>
      </c>
      <c r="CN13" s="312">
        <v>0</v>
      </c>
      <c r="CO13" s="359">
        <v>0</v>
      </c>
    </row>
    <row r="14" spans="1:93" ht="14.25">
      <c r="A14" s="20" t="s">
        <v>69</v>
      </c>
      <c r="B14" s="31">
        <v>2151415</v>
      </c>
      <c r="C14" s="21">
        <f>191540+439562</f>
        <v>631102</v>
      </c>
      <c r="D14">
        <v>855130</v>
      </c>
      <c r="E14" s="21">
        <v>1183523</v>
      </c>
      <c r="F14" s="21">
        <v>60641.25</v>
      </c>
      <c r="G14" s="21">
        <v>142725.93</v>
      </c>
      <c r="H14" s="178">
        <v>231860.45</v>
      </c>
      <c r="I14" s="82">
        <v>231860.45</v>
      </c>
      <c r="J14" s="109">
        <v>260648</v>
      </c>
      <c r="K14" s="109">
        <v>260648</v>
      </c>
      <c r="L14" s="97"/>
      <c r="M14" s="21"/>
      <c r="N14" s="97"/>
      <c r="O14" s="21"/>
      <c r="P14" s="97"/>
      <c r="Q14" s="97"/>
      <c r="R14" s="97">
        <v>767778</v>
      </c>
      <c r="S14" s="131">
        <v>0</v>
      </c>
      <c r="T14" s="131">
        <v>43345.04</v>
      </c>
      <c r="U14" s="131">
        <v>72132.22</v>
      </c>
      <c r="V14" s="131">
        <v>72132.22</v>
      </c>
      <c r="W14" s="131">
        <v>72132.22</v>
      </c>
      <c r="X14" s="21">
        <v>72132.22</v>
      </c>
      <c r="Y14" s="131">
        <v>72132.22</v>
      </c>
      <c r="Z14" s="131">
        <v>72132.22</v>
      </c>
      <c r="AA14" s="131">
        <v>52623.35</v>
      </c>
      <c r="AB14" s="131">
        <v>72132.22</v>
      </c>
      <c r="AC14" s="155">
        <v>72132.22</v>
      </c>
      <c r="AD14" s="157">
        <v>72132.22</v>
      </c>
      <c r="AE14" s="157"/>
      <c r="AF14" s="2"/>
      <c r="AG14" s="131">
        <v>0</v>
      </c>
      <c r="AH14" s="131">
        <v>0</v>
      </c>
      <c r="AI14" s="131">
        <v>3305707</v>
      </c>
      <c r="AJ14" s="131">
        <v>0</v>
      </c>
      <c r="AK14" s="131">
        <v>0</v>
      </c>
      <c r="AL14" s="131">
        <v>0</v>
      </c>
      <c r="AM14" s="131">
        <v>0</v>
      </c>
      <c r="AN14" s="131">
        <v>0</v>
      </c>
      <c r="AO14" s="131">
        <v>5116036.21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/>
      <c r="BA14" s="21">
        <v>1503659</v>
      </c>
      <c r="BB14" s="21">
        <v>1503659</v>
      </c>
      <c r="BC14" s="21">
        <v>1503659</v>
      </c>
      <c r="BD14" s="21">
        <v>1503659</v>
      </c>
      <c r="BE14" s="21">
        <v>1503659</v>
      </c>
      <c r="BF14" s="163">
        <v>1503659</v>
      </c>
      <c r="BG14" s="198">
        <v>0</v>
      </c>
      <c r="BH14" s="200">
        <v>0</v>
      </c>
      <c r="BI14" s="200">
        <v>0</v>
      </c>
      <c r="BJ14" s="200">
        <v>0</v>
      </c>
      <c r="BK14" s="200">
        <v>0</v>
      </c>
      <c r="BL14" s="200">
        <v>0</v>
      </c>
      <c r="BM14" s="200">
        <v>0</v>
      </c>
      <c r="BN14" s="200">
        <v>0</v>
      </c>
      <c r="BO14" s="200">
        <v>0</v>
      </c>
      <c r="BP14" s="200">
        <v>0</v>
      </c>
      <c r="BQ14" s="201">
        <v>226563</v>
      </c>
      <c r="BR14" s="200">
        <v>0</v>
      </c>
      <c r="BS14" s="50">
        <v>226563</v>
      </c>
      <c r="BT14" s="198">
        <v>0</v>
      </c>
      <c r="BU14" s="200">
        <v>0</v>
      </c>
      <c r="BV14" s="200">
        <v>0</v>
      </c>
      <c r="BW14" s="200">
        <v>0</v>
      </c>
      <c r="BX14" s="200">
        <v>0</v>
      </c>
      <c r="BY14" s="199">
        <v>935006.01</v>
      </c>
      <c r="BZ14" s="212">
        <v>994424.01</v>
      </c>
      <c r="CA14" s="109">
        <v>935006.01</v>
      </c>
      <c r="CB14" s="212">
        <v>994424</v>
      </c>
      <c r="CC14" s="212">
        <v>994424</v>
      </c>
      <c r="CD14" s="212">
        <v>1118764.24</v>
      </c>
      <c r="CE14" s="21">
        <v>1118764.24</v>
      </c>
      <c r="CF14" s="293">
        <v>1118764</v>
      </c>
      <c r="CG14" s="50">
        <f t="shared" si="18"/>
        <v>-0.23999999999068677</v>
      </c>
      <c r="CH14" s="293">
        <v>1118764</v>
      </c>
      <c r="CI14" s="317">
        <v>211770.1</v>
      </c>
      <c r="CJ14" s="319">
        <v>211770.1</v>
      </c>
      <c r="CK14" s="319">
        <v>222288.04</v>
      </c>
      <c r="CL14" s="319">
        <v>222288.04</v>
      </c>
      <c r="CM14" s="97">
        <v>222288.04</v>
      </c>
      <c r="CN14" s="317">
        <v>222288.04</v>
      </c>
      <c r="CO14" s="362">
        <v>222288.04</v>
      </c>
    </row>
    <row r="15" spans="1:93" ht="14.25">
      <c r="A15" s="20" t="s">
        <v>70</v>
      </c>
      <c r="B15" s="31"/>
      <c r="C15" s="21"/>
      <c r="E15" s="21">
        <v>590214</v>
      </c>
      <c r="F15" s="21">
        <v>0</v>
      </c>
      <c r="G15" s="21">
        <v>72000</v>
      </c>
      <c r="H15" s="178">
        <v>0</v>
      </c>
      <c r="I15" s="2">
        <v>0</v>
      </c>
      <c r="J15" s="111">
        <v>0</v>
      </c>
      <c r="K15" s="111">
        <v>0</v>
      </c>
      <c r="M15" s="21"/>
      <c r="O15" s="21"/>
      <c r="R15" s="80">
        <v>145720</v>
      </c>
      <c r="S15" s="131">
        <v>0</v>
      </c>
      <c r="T15" s="131">
        <v>0</v>
      </c>
      <c r="U15" s="131">
        <v>0</v>
      </c>
      <c r="V15" s="131">
        <v>0</v>
      </c>
      <c r="W15" s="131">
        <v>0</v>
      </c>
      <c r="X15" s="21">
        <v>0</v>
      </c>
      <c r="Y15" s="131">
        <v>0</v>
      </c>
      <c r="Z15" s="131">
        <v>0</v>
      </c>
      <c r="AA15" s="131">
        <v>0</v>
      </c>
      <c r="AB15" s="131">
        <v>0</v>
      </c>
      <c r="AC15" s="155">
        <v>0</v>
      </c>
      <c r="AD15" s="157">
        <v>0</v>
      </c>
      <c r="AE15" s="157"/>
      <c r="AF15" s="2"/>
      <c r="AG15" s="131">
        <v>0</v>
      </c>
      <c r="AH15" s="131">
        <v>0</v>
      </c>
      <c r="AI15" s="131">
        <v>0</v>
      </c>
      <c r="AJ15" s="131">
        <v>0</v>
      </c>
      <c r="AK15" s="131">
        <v>0</v>
      </c>
      <c r="AL15" s="131">
        <v>0</v>
      </c>
      <c r="AM15" s="131">
        <v>0</v>
      </c>
      <c r="AN15" s="131">
        <v>0</v>
      </c>
      <c r="AO15" s="13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/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163"/>
      <c r="BG15" s="198">
        <v>0</v>
      </c>
      <c r="BH15" s="200">
        <v>0</v>
      </c>
      <c r="BI15" s="200">
        <v>0</v>
      </c>
      <c r="BJ15" s="200">
        <v>0</v>
      </c>
      <c r="BK15" s="200">
        <v>0</v>
      </c>
      <c r="BL15" s="200">
        <v>0</v>
      </c>
      <c r="BM15" s="200">
        <v>0</v>
      </c>
      <c r="BN15" s="200">
        <v>0</v>
      </c>
      <c r="BO15" s="200">
        <v>0</v>
      </c>
      <c r="BP15" s="200">
        <v>0</v>
      </c>
      <c r="BQ15" s="200">
        <v>0</v>
      </c>
      <c r="BR15" s="200">
        <v>0</v>
      </c>
      <c r="BS15" s="50"/>
      <c r="BT15" s="198">
        <v>0</v>
      </c>
      <c r="BU15" s="200">
        <v>0</v>
      </c>
      <c r="BV15" s="200">
        <v>0</v>
      </c>
      <c r="BW15" s="200">
        <v>0</v>
      </c>
      <c r="BX15" s="200">
        <v>0</v>
      </c>
      <c r="BY15" s="198">
        <v>0</v>
      </c>
      <c r="BZ15" s="212">
        <v>0</v>
      </c>
      <c r="CA15" s="111">
        <v>0</v>
      </c>
      <c r="CB15" s="212">
        <v>0</v>
      </c>
      <c r="CC15" s="212">
        <v>0</v>
      </c>
      <c r="CD15" s="212">
        <v>0</v>
      </c>
      <c r="CE15" s="21">
        <v>0</v>
      </c>
      <c r="CG15" s="50">
        <f t="shared" si="18"/>
        <v>0</v>
      </c>
      <c r="CI15" s="316">
        <v>0</v>
      </c>
      <c r="CJ15" s="318">
        <v>0</v>
      </c>
      <c r="CK15" s="318">
        <v>0</v>
      </c>
      <c r="CL15" s="318">
        <v>0</v>
      </c>
      <c r="CM15">
        <v>0</v>
      </c>
      <c r="CN15" s="316">
        <v>0</v>
      </c>
      <c r="CO15" s="361">
        <v>0</v>
      </c>
    </row>
    <row r="16" spans="1:93" ht="14.25">
      <c r="A16" s="20" t="s">
        <v>71</v>
      </c>
      <c r="B16" s="31"/>
      <c r="C16" s="21">
        <v>2042631</v>
      </c>
      <c r="D16">
        <v>2392607</v>
      </c>
      <c r="E16" s="21">
        <v>733492</v>
      </c>
      <c r="F16" s="21">
        <v>71490</v>
      </c>
      <c r="G16" s="21">
        <v>0</v>
      </c>
      <c r="H16" s="178">
        <v>902939.1</v>
      </c>
      <c r="I16" s="82">
        <v>1083215.8799999999</v>
      </c>
      <c r="J16" s="109">
        <v>1372493</v>
      </c>
      <c r="K16" s="109">
        <v>1307975</v>
      </c>
      <c r="M16" s="21"/>
      <c r="O16" s="21"/>
      <c r="R16">
        <v>2654015</v>
      </c>
      <c r="S16" s="131">
        <v>278166.42</v>
      </c>
      <c r="T16" s="131">
        <v>1540900.92</v>
      </c>
      <c r="U16" s="131">
        <v>1550498.42</v>
      </c>
      <c r="V16" s="131">
        <v>1552498.42</v>
      </c>
      <c r="W16" s="131">
        <v>1657219.92</v>
      </c>
      <c r="X16" s="21">
        <v>1784978.96</v>
      </c>
      <c r="Y16" s="131">
        <v>2070573.13</v>
      </c>
      <c r="Z16" s="131">
        <v>600324.96</v>
      </c>
      <c r="AA16" s="131">
        <v>2305834.7200000002</v>
      </c>
      <c r="AB16" s="131">
        <v>2335356.85</v>
      </c>
      <c r="AC16" s="155">
        <v>2335356.85</v>
      </c>
      <c r="AD16" s="157">
        <v>2421478.34</v>
      </c>
      <c r="AE16" s="157"/>
      <c r="AF16" s="157">
        <v>3401675</v>
      </c>
      <c r="AG16" s="131">
        <v>52543.8</v>
      </c>
      <c r="AH16" s="131">
        <v>52543.8</v>
      </c>
      <c r="AI16" s="131">
        <v>52543.8</v>
      </c>
      <c r="AJ16" s="131">
        <v>52543.8</v>
      </c>
      <c r="AK16" s="131">
        <v>89710.8</v>
      </c>
      <c r="AL16" s="131">
        <v>89710.8</v>
      </c>
      <c r="AM16" s="131">
        <v>187198.8</v>
      </c>
      <c r="AN16" s="131">
        <v>187198.8</v>
      </c>
      <c r="AO16" s="131">
        <v>0</v>
      </c>
      <c r="AT16" s="21">
        <v>0</v>
      </c>
      <c r="AU16" s="21">
        <v>0</v>
      </c>
      <c r="AV16" s="21">
        <v>377400</v>
      </c>
      <c r="AW16" s="21">
        <v>377400</v>
      </c>
      <c r="AX16" s="21">
        <v>49870</v>
      </c>
      <c r="AY16" s="21">
        <v>49870</v>
      </c>
      <c r="AZ16" s="21"/>
      <c r="BA16" s="21">
        <v>146350</v>
      </c>
      <c r="BB16" s="21">
        <v>146350</v>
      </c>
      <c r="BC16" s="21">
        <v>213774</v>
      </c>
      <c r="BD16" s="21">
        <v>228494</v>
      </c>
      <c r="BE16" s="21">
        <v>250494</v>
      </c>
      <c r="BF16" s="163">
        <v>213774</v>
      </c>
      <c r="BG16" s="198">
        <v>0</v>
      </c>
      <c r="BH16" s="200">
        <v>0</v>
      </c>
      <c r="BI16" s="201">
        <v>49221</v>
      </c>
      <c r="BJ16" s="201">
        <v>49221</v>
      </c>
      <c r="BK16" s="201">
        <v>49221</v>
      </c>
      <c r="BL16" s="201">
        <v>77750</v>
      </c>
      <c r="BM16" s="201">
        <v>77750</v>
      </c>
      <c r="BN16" s="201">
        <v>77750</v>
      </c>
      <c r="BO16" s="201">
        <v>77750</v>
      </c>
      <c r="BP16" s="201">
        <v>77750</v>
      </c>
      <c r="BQ16" s="201">
        <v>77750</v>
      </c>
      <c r="BR16" s="201">
        <v>77750</v>
      </c>
      <c r="BS16" s="50">
        <v>421216</v>
      </c>
      <c r="BT16" s="199">
        <v>305620</v>
      </c>
      <c r="BU16" s="201">
        <v>305620</v>
      </c>
      <c r="BV16" s="201">
        <v>305620</v>
      </c>
      <c r="BW16" s="201">
        <v>305620</v>
      </c>
      <c r="BX16" s="201">
        <v>578484.73</v>
      </c>
      <c r="BY16" s="199">
        <v>348311</v>
      </c>
      <c r="BZ16" s="212">
        <v>302987.28999999998</v>
      </c>
      <c r="CA16" s="109">
        <v>348311</v>
      </c>
      <c r="CB16" s="212">
        <v>348311</v>
      </c>
      <c r="CC16" s="212">
        <v>348311</v>
      </c>
      <c r="CD16" s="212">
        <v>348311</v>
      </c>
      <c r="CE16" s="21">
        <v>348311</v>
      </c>
      <c r="CF16" s="164">
        <v>817301</v>
      </c>
      <c r="CG16" s="50">
        <f t="shared" si="18"/>
        <v>468990</v>
      </c>
      <c r="CH16" s="164">
        <v>817301</v>
      </c>
      <c r="CI16" s="317">
        <v>73369</v>
      </c>
      <c r="CJ16" s="319">
        <v>378989</v>
      </c>
      <c r="CK16" s="319">
        <v>378989</v>
      </c>
      <c r="CL16" s="319">
        <v>378989</v>
      </c>
      <c r="CM16" s="97">
        <v>73369</v>
      </c>
      <c r="CN16" s="317">
        <v>77949</v>
      </c>
      <c r="CO16" s="362">
        <v>77949</v>
      </c>
    </row>
    <row r="17" spans="1:93" ht="14.25">
      <c r="A17" s="20" t="s">
        <v>72</v>
      </c>
      <c r="B17" s="31">
        <v>699121</v>
      </c>
      <c r="C17" s="21">
        <v>0</v>
      </c>
      <c r="E17" s="21"/>
      <c r="F17" s="21">
        <v>170258</v>
      </c>
      <c r="G17" s="21">
        <v>0</v>
      </c>
      <c r="H17" s="178">
        <v>0</v>
      </c>
      <c r="I17" s="2">
        <v>0</v>
      </c>
      <c r="J17" s="21"/>
      <c r="K17" s="21"/>
      <c r="L17" s="97"/>
      <c r="M17" s="21"/>
      <c r="N17" s="97"/>
      <c r="O17" s="21"/>
      <c r="P17" s="97"/>
      <c r="Q17" s="97"/>
      <c r="R17" s="97"/>
      <c r="S17" s="131">
        <v>0</v>
      </c>
      <c r="T17" s="131">
        <v>0</v>
      </c>
      <c r="U17" s="131">
        <v>0</v>
      </c>
      <c r="V17" s="131">
        <v>0</v>
      </c>
      <c r="W17" s="131">
        <v>0</v>
      </c>
      <c r="X17" s="21">
        <v>0</v>
      </c>
      <c r="Y17" s="131">
        <v>204558</v>
      </c>
      <c r="Z17" s="131">
        <v>174558</v>
      </c>
      <c r="AA17" s="131">
        <v>364558</v>
      </c>
      <c r="AB17" s="131">
        <v>827158</v>
      </c>
      <c r="AC17" s="155">
        <v>827158</v>
      </c>
      <c r="AD17" s="157">
        <v>1181649</v>
      </c>
      <c r="AE17" s="157"/>
      <c r="AF17" s="2"/>
      <c r="AG17" s="131">
        <v>95500</v>
      </c>
      <c r="AH17" s="131">
        <v>125500</v>
      </c>
      <c r="AI17" s="131">
        <v>131000</v>
      </c>
      <c r="AJ17" s="131">
        <v>125500</v>
      </c>
      <c r="AK17" s="131">
        <v>125500</v>
      </c>
      <c r="AL17" s="131">
        <v>125500</v>
      </c>
      <c r="AM17" s="131">
        <v>125500</v>
      </c>
      <c r="AN17" s="131">
        <v>125500</v>
      </c>
      <c r="AO17" s="131">
        <v>246015.71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/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G17" s="198">
        <v>300</v>
      </c>
      <c r="BH17" s="200">
        <v>300</v>
      </c>
      <c r="BI17" s="201">
        <v>27120</v>
      </c>
      <c r="BJ17" s="201">
        <v>51909.96</v>
      </c>
      <c r="BK17" s="201">
        <v>64941.96</v>
      </c>
      <c r="BL17" s="201">
        <v>83554</v>
      </c>
      <c r="BM17" s="201">
        <v>88066</v>
      </c>
      <c r="BN17" s="201">
        <v>114766</v>
      </c>
      <c r="BO17" s="201">
        <v>137086</v>
      </c>
      <c r="BP17" s="201">
        <v>137086</v>
      </c>
      <c r="BQ17" s="201">
        <v>148036</v>
      </c>
      <c r="BR17" s="201">
        <v>329256.65999999997</v>
      </c>
      <c r="BT17" s="199">
        <v>205243.33</v>
      </c>
      <c r="BU17" s="201">
        <v>205243.33</v>
      </c>
      <c r="BV17" s="201">
        <v>219723.33</v>
      </c>
      <c r="BW17" s="201">
        <v>227643.33</v>
      </c>
      <c r="BX17" s="201">
        <v>670000</v>
      </c>
      <c r="BY17" s="199">
        <v>281219.33</v>
      </c>
      <c r="BZ17" s="212">
        <v>348311</v>
      </c>
      <c r="CA17" s="214">
        <v>319689.28999999998</v>
      </c>
      <c r="CB17" s="212">
        <v>319689.28999999998</v>
      </c>
      <c r="CC17" s="212">
        <v>386129.29</v>
      </c>
      <c r="CD17" s="212">
        <v>408569.29</v>
      </c>
      <c r="CE17" s="21">
        <v>468989.8</v>
      </c>
      <c r="CG17" s="50">
        <f t="shared" si="18"/>
        <v>-468989.8</v>
      </c>
      <c r="CI17" s="317">
        <v>29086</v>
      </c>
      <c r="CJ17" s="319">
        <v>70343</v>
      </c>
      <c r="CK17" s="319">
        <v>91153</v>
      </c>
      <c r="CL17" s="319">
        <v>103330</v>
      </c>
      <c r="CM17" s="97">
        <v>142802</v>
      </c>
      <c r="CN17" s="317">
        <v>142802</v>
      </c>
      <c r="CO17" s="362">
        <v>173138.66</v>
      </c>
    </row>
    <row r="18" spans="1:93" ht="14.25">
      <c r="A18" s="20" t="s">
        <v>73</v>
      </c>
      <c r="B18" s="31">
        <v>1740946</v>
      </c>
      <c r="C18" s="21">
        <v>0</v>
      </c>
      <c r="E18" s="21">
        <v>2538638</v>
      </c>
      <c r="F18" s="21">
        <v>0</v>
      </c>
      <c r="G18" s="21">
        <v>1394639</v>
      </c>
      <c r="H18" s="178">
        <v>0</v>
      </c>
      <c r="I18" s="2">
        <v>0</v>
      </c>
      <c r="J18" s="21"/>
      <c r="K18" s="21"/>
      <c r="L18" s="97"/>
      <c r="M18" s="21"/>
      <c r="N18" s="97"/>
      <c r="O18" s="21"/>
      <c r="P18" s="97"/>
      <c r="Q18" s="97"/>
      <c r="R18" s="97"/>
      <c r="S18" s="131">
        <v>0</v>
      </c>
      <c r="T18" s="131">
        <v>0</v>
      </c>
      <c r="U18" s="131">
        <v>0</v>
      </c>
      <c r="V18" s="131">
        <v>0</v>
      </c>
      <c r="W18" s="131">
        <v>0</v>
      </c>
      <c r="X18" s="21">
        <v>0</v>
      </c>
      <c r="Y18" s="131">
        <v>0</v>
      </c>
      <c r="Z18" s="131">
        <v>1510248.2</v>
      </c>
      <c r="AA18" s="131">
        <v>0</v>
      </c>
      <c r="AB18" s="131">
        <v>0</v>
      </c>
      <c r="AC18" s="155">
        <v>0</v>
      </c>
      <c r="AD18" s="157">
        <v>0</v>
      </c>
      <c r="AE18" s="157"/>
      <c r="AF18" s="157">
        <v>2806015</v>
      </c>
      <c r="AG18" s="131">
        <v>0</v>
      </c>
      <c r="AH18" s="131">
        <v>0</v>
      </c>
      <c r="AI18" s="131">
        <v>0</v>
      </c>
      <c r="AJ18" s="131">
        <v>0</v>
      </c>
      <c r="AK18" s="131">
        <v>0</v>
      </c>
      <c r="AL18" s="131">
        <v>0</v>
      </c>
      <c r="AM18" s="131">
        <v>0</v>
      </c>
      <c r="AN18" s="131">
        <v>0</v>
      </c>
      <c r="AO18" s="13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/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G18" s="198">
        <v>0</v>
      </c>
      <c r="BH18" s="200">
        <v>0</v>
      </c>
      <c r="BI18" s="200">
        <v>0</v>
      </c>
      <c r="BJ18" s="200">
        <v>0</v>
      </c>
      <c r="BK18" s="200">
        <v>0</v>
      </c>
      <c r="BL18" s="200">
        <v>0</v>
      </c>
      <c r="BM18" s="200">
        <v>0</v>
      </c>
      <c r="BN18" s="200">
        <v>0</v>
      </c>
      <c r="BO18" s="200">
        <v>0</v>
      </c>
      <c r="BP18" s="200">
        <v>0</v>
      </c>
      <c r="BQ18" s="200">
        <v>0</v>
      </c>
      <c r="BR18" s="201">
        <v>225923</v>
      </c>
      <c r="BT18" s="198">
        <v>0</v>
      </c>
      <c r="BU18" s="201">
        <v>211770</v>
      </c>
      <c r="BV18" s="201">
        <v>211770</v>
      </c>
      <c r="BW18" s="200">
        <v>0</v>
      </c>
      <c r="BX18" s="200">
        <v>0</v>
      </c>
      <c r="BY18" s="198">
        <v>0</v>
      </c>
      <c r="BZ18" s="212">
        <v>0</v>
      </c>
      <c r="CA18" s="105"/>
      <c r="CB18" s="212">
        <v>0</v>
      </c>
      <c r="CC18" s="212">
        <v>0</v>
      </c>
      <c r="CD18" s="212">
        <v>0</v>
      </c>
      <c r="CE18" s="21">
        <v>0</v>
      </c>
      <c r="CG18" s="50">
        <f t="shared" si="18"/>
        <v>0</v>
      </c>
      <c r="CI18" s="316">
        <v>0</v>
      </c>
      <c r="CJ18" s="318">
        <v>0</v>
      </c>
      <c r="CK18" s="318">
        <v>0</v>
      </c>
      <c r="CL18" s="318">
        <v>0</v>
      </c>
      <c r="CM18">
        <v>0</v>
      </c>
      <c r="CN18" s="316">
        <v>0</v>
      </c>
      <c r="CO18" s="361">
        <v>0</v>
      </c>
    </row>
    <row r="19" spans="1:93" ht="14.25">
      <c r="A19" s="19" t="s">
        <v>74</v>
      </c>
      <c r="B19" s="69">
        <f>B3-B12</f>
        <v>27554766</v>
      </c>
      <c r="C19" s="69">
        <f>C3-C12</f>
        <v>38595385</v>
      </c>
      <c r="D19" s="69">
        <f t="shared" ref="D19:I19" si="33">D3-D12</f>
        <v>35619682</v>
      </c>
      <c r="E19" s="69">
        <f t="shared" si="33"/>
        <v>37197598</v>
      </c>
      <c r="F19" s="69">
        <f t="shared" si="33"/>
        <v>3929926.33</v>
      </c>
      <c r="G19" s="69">
        <f t="shared" si="33"/>
        <v>6954046.9800000004</v>
      </c>
      <c r="H19" s="69">
        <f t="shared" si="33"/>
        <v>11228132.129999999</v>
      </c>
      <c r="I19" s="69">
        <f t="shared" si="33"/>
        <v>12803997.939999999</v>
      </c>
      <c r="J19" s="69">
        <f t="shared" ref="J19:R19" si="34">J3-J12</f>
        <v>13015432.560000001</v>
      </c>
      <c r="K19" s="69">
        <f t="shared" si="34"/>
        <v>12972239.77</v>
      </c>
      <c r="L19" s="69">
        <f t="shared" si="34"/>
        <v>0</v>
      </c>
      <c r="M19" s="69">
        <f t="shared" si="34"/>
        <v>0</v>
      </c>
      <c r="N19" s="69">
        <f t="shared" si="34"/>
        <v>0</v>
      </c>
      <c r="O19" s="69">
        <f t="shared" si="34"/>
        <v>0</v>
      </c>
      <c r="P19" s="69">
        <f t="shared" si="34"/>
        <v>0</v>
      </c>
      <c r="Q19" s="69">
        <f t="shared" si="34"/>
        <v>0</v>
      </c>
      <c r="R19" s="127">
        <f t="shared" si="34"/>
        <v>28729316</v>
      </c>
      <c r="S19" s="129">
        <f t="shared" ref="S19:AF19" si="35">S3-S12</f>
        <v>3859752.04</v>
      </c>
      <c r="T19" s="129">
        <f t="shared" si="35"/>
        <v>6949929.8299999991</v>
      </c>
      <c r="U19" s="129">
        <f t="shared" si="35"/>
        <v>7830240.46</v>
      </c>
      <c r="V19" s="129">
        <f t="shared" si="35"/>
        <v>8392539.9299999997</v>
      </c>
      <c r="W19" s="129">
        <f t="shared" si="35"/>
        <v>8969733.1099999994</v>
      </c>
      <c r="X19" s="129">
        <f t="shared" si="35"/>
        <v>8908117.75</v>
      </c>
      <c r="Y19" s="129">
        <f t="shared" si="35"/>
        <v>8577039.8499999996</v>
      </c>
      <c r="Z19" s="129">
        <f t="shared" si="35"/>
        <v>9857276.2699999996</v>
      </c>
      <c r="AA19" s="129">
        <f t="shared" si="35"/>
        <v>12810549.899999999</v>
      </c>
      <c r="AB19" s="129">
        <f t="shared" si="35"/>
        <v>15394698.09</v>
      </c>
      <c r="AC19" s="152">
        <f t="shared" si="35"/>
        <v>18439613.09</v>
      </c>
      <c r="AD19" s="129">
        <f t="shared" si="35"/>
        <v>20392804.73</v>
      </c>
      <c r="AE19" s="129">
        <f t="shared" si="35"/>
        <v>24091900.460000001</v>
      </c>
      <c r="AF19" s="129">
        <f t="shared" si="35"/>
        <v>18075248</v>
      </c>
      <c r="AG19" s="129">
        <f t="shared" ref="AG19:AO19" si="36">AG3-AG12</f>
        <v>336308.25</v>
      </c>
      <c r="AH19" s="129">
        <f t="shared" si="36"/>
        <v>408839.64999999997</v>
      </c>
      <c r="AI19" s="129">
        <f t="shared" si="36"/>
        <v>-971479.2799999998</v>
      </c>
      <c r="AJ19" s="129">
        <f t="shared" si="36"/>
        <v>2596862.6400000006</v>
      </c>
      <c r="AK19" s="129">
        <f t="shared" si="36"/>
        <v>2670972.8600000003</v>
      </c>
      <c r="AL19" s="129">
        <f t="shared" si="36"/>
        <v>2761777.8600000003</v>
      </c>
      <c r="AM19" s="129">
        <f t="shared" si="36"/>
        <v>3327449.04</v>
      </c>
      <c r="AN19" s="129">
        <f t="shared" si="36"/>
        <v>5545816.3899999997</v>
      </c>
      <c r="AO19" s="129">
        <f t="shared" si="36"/>
        <v>2983591.6399999997</v>
      </c>
      <c r="AP19" s="129">
        <f t="shared" ref="AP19:BF19" si="37">AP3-AP12</f>
        <v>0</v>
      </c>
      <c r="AQ19" s="129">
        <f t="shared" si="37"/>
        <v>0</v>
      </c>
      <c r="AR19" s="129">
        <f t="shared" si="37"/>
        <v>0</v>
      </c>
      <c r="AS19" s="129">
        <f t="shared" si="37"/>
        <v>0</v>
      </c>
      <c r="AT19" s="129">
        <f t="shared" si="37"/>
        <v>170565.8</v>
      </c>
      <c r="AU19" s="129">
        <f t="shared" si="37"/>
        <v>286693.56</v>
      </c>
      <c r="AV19" s="129">
        <f t="shared" si="37"/>
        <v>11010211.139999999</v>
      </c>
      <c r="AW19" s="129">
        <f t="shared" si="37"/>
        <v>11228162.83</v>
      </c>
      <c r="AX19" s="129">
        <f t="shared" si="37"/>
        <v>11838808.809999999</v>
      </c>
      <c r="AY19" s="129">
        <f t="shared" si="37"/>
        <v>12298958.119999999</v>
      </c>
      <c r="AZ19" s="129">
        <f t="shared" si="37"/>
        <v>0</v>
      </c>
      <c r="BA19" s="129">
        <f t="shared" si="37"/>
        <v>11859105.43</v>
      </c>
      <c r="BB19" s="129">
        <f t="shared" si="37"/>
        <v>19532805.25</v>
      </c>
      <c r="BC19" s="129">
        <f t="shared" si="37"/>
        <v>25349582.75</v>
      </c>
      <c r="BD19" s="129">
        <f t="shared" si="37"/>
        <v>26270985.939999998</v>
      </c>
      <c r="BE19" s="129">
        <f t="shared" si="37"/>
        <v>32229235.329999998</v>
      </c>
      <c r="BF19" s="129">
        <f t="shared" si="37"/>
        <v>19532218</v>
      </c>
      <c r="BG19" s="129">
        <f t="shared" ref="BG19:BS19" si="38">BG3-BG12</f>
        <v>883497.26</v>
      </c>
      <c r="BH19" s="129">
        <f t="shared" si="38"/>
        <v>2465654.15</v>
      </c>
      <c r="BI19" s="129">
        <f t="shared" si="38"/>
        <v>4060603.84</v>
      </c>
      <c r="BJ19" s="129">
        <f t="shared" si="38"/>
        <v>6638026.1800000006</v>
      </c>
      <c r="BK19" s="129">
        <f t="shared" si="38"/>
        <v>8238152.6799999997</v>
      </c>
      <c r="BL19" s="129">
        <f t="shared" si="38"/>
        <v>10150193.799999999</v>
      </c>
      <c r="BM19" s="129">
        <f t="shared" si="38"/>
        <v>11920576.369999999</v>
      </c>
      <c r="BN19" s="129">
        <f t="shared" si="38"/>
        <v>13193978.299999999</v>
      </c>
      <c r="BO19" s="129">
        <f t="shared" si="38"/>
        <v>14655802.529999999</v>
      </c>
      <c r="BP19" s="129">
        <f t="shared" si="38"/>
        <v>16185427.889999999</v>
      </c>
      <c r="BQ19" s="129">
        <f t="shared" si="38"/>
        <v>17948086.869999997</v>
      </c>
      <c r="BR19" s="129">
        <f t="shared" si="38"/>
        <v>19974196.799999997</v>
      </c>
      <c r="BS19" s="129">
        <f t="shared" si="38"/>
        <v>19994767</v>
      </c>
      <c r="BT19" s="129">
        <f t="shared" ref="BT19:BZ19" si="39">BT3-BT12</f>
        <v>1689194.7599999998</v>
      </c>
      <c r="BU19" s="129">
        <f t="shared" si="39"/>
        <v>2918888.1799999997</v>
      </c>
      <c r="BV19" s="129">
        <f t="shared" si="39"/>
        <v>5213866.3499999996</v>
      </c>
      <c r="BW19" s="129">
        <f t="shared" si="39"/>
        <v>7752007.4099999992</v>
      </c>
      <c r="BX19" s="129">
        <f t="shared" si="39"/>
        <v>9053555.1600000001</v>
      </c>
      <c r="BY19" s="129">
        <f t="shared" si="39"/>
        <v>9876433.9600000009</v>
      </c>
      <c r="BZ19" s="129">
        <f t="shared" si="39"/>
        <v>11937834.149999999</v>
      </c>
      <c r="CA19" s="129">
        <f t="shared" ref="CA19:CE19" si="40">CA3-CA12</f>
        <v>12398549.48</v>
      </c>
      <c r="CB19" s="129">
        <f t="shared" si="40"/>
        <v>15082447.289999999</v>
      </c>
      <c r="CC19" s="129">
        <f t="shared" si="40"/>
        <v>18758227.41</v>
      </c>
      <c r="CD19" s="129">
        <f t="shared" si="40"/>
        <v>22482926</v>
      </c>
      <c r="CE19" s="129">
        <f t="shared" si="40"/>
        <v>23781290.760000002</v>
      </c>
      <c r="CF19" s="294">
        <f t="shared" ref="CF19:CM19" si="41">CF3-CF12</f>
        <v>23781290.969999999</v>
      </c>
      <c r="CG19" s="50">
        <f t="shared" si="18"/>
        <v>0.20999999716877937</v>
      </c>
      <c r="CH19" s="294">
        <f t="shared" si="41"/>
        <v>23781290.969999999</v>
      </c>
      <c r="CI19" s="294">
        <f t="shared" si="41"/>
        <v>2948574.36</v>
      </c>
      <c r="CJ19" s="294">
        <f t="shared" si="41"/>
        <v>5115715.9400000004</v>
      </c>
      <c r="CK19" s="294">
        <f t="shared" si="41"/>
        <v>8418333.5</v>
      </c>
      <c r="CL19" s="294">
        <f t="shared" si="41"/>
        <v>10766349.039999999</v>
      </c>
      <c r="CM19" s="294">
        <f t="shared" si="41"/>
        <v>12854681.32</v>
      </c>
      <c r="CN19" s="294">
        <f t="shared" ref="CN19:CO19" si="42">CN3-CN12</f>
        <v>14535276.550000001</v>
      </c>
      <c r="CO19" s="294">
        <f t="shared" si="42"/>
        <v>15066047.109999999</v>
      </c>
    </row>
    <row r="20" spans="1:93" ht="14.25">
      <c r="A20" s="19" t="s">
        <v>75</v>
      </c>
      <c r="B20" s="69">
        <f>B21-B22</f>
        <v>0</v>
      </c>
      <c r="C20" s="69">
        <f>C21-C22</f>
        <v>2025688</v>
      </c>
      <c r="D20" s="69">
        <f t="shared" ref="D20:I20" si="43">D21-D22</f>
        <v>3790859</v>
      </c>
      <c r="E20" s="69">
        <f t="shared" si="43"/>
        <v>616690</v>
      </c>
      <c r="F20" s="69">
        <f t="shared" si="43"/>
        <v>0</v>
      </c>
      <c r="G20" s="69">
        <f t="shared" si="43"/>
        <v>3979310.3</v>
      </c>
      <c r="H20" s="69">
        <f t="shared" si="43"/>
        <v>3835462.37</v>
      </c>
      <c r="I20" s="69">
        <f t="shared" si="43"/>
        <v>3835462.37</v>
      </c>
      <c r="J20" s="69">
        <f t="shared" ref="J20:S20" si="44">J21-J22</f>
        <v>3541834</v>
      </c>
      <c r="K20" s="69">
        <f t="shared" si="44"/>
        <v>3607139.46</v>
      </c>
      <c r="L20" s="69">
        <f t="shared" si="44"/>
        <v>0</v>
      </c>
      <c r="M20" s="69">
        <f t="shared" si="44"/>
        <v>0</v>
      </c>
      <c r="N20" s="69">
        <f t="shared" si="44"/>
        <v>0</v>
      </c>
      <c r="O20" s="69">
        <f t="shared" si="44"/>
        <v>0</v>
      </c>
      <c r="P20" s="69">
        <f t="shared" si="44"/>
        <v>0</v>
      </c>
      <c r="Q20" s="69">
        <f t="shared" si="44"/>
        <v>0</v>
      </c>
      <c r="R20" s="127">
        <f t="shared" si="44"/>
        <v>4307286</v>
      </c>
      <c r="S20" s="129">
        <f t="shared" si="44"/>
        <v>803415.12</v>
      </c>
      <c r="T20" s="129">
        <f t="shared" ref="T20:AB20" si="45">T21-T22</f>
        <v>1412453</v>
      </c>
      <c r="U20" s="129">
        <f t="shared" si="45"/>
        <v>5613617.6299999999</v>
      </c>
      <c r="V20" s="129">
        <f t="shared" si="45"/>
        <v>10455059.4</v>
      </c>
      <c r="W20" s="129">
        <f t="shared" si="45"/>
        <v>31791737.850000001</v>
      </c>
      <c r="X20" s="129">
        <f t="shared" si="45"/>
        <v>0</v>
      </c>
      <c r="Y20" s="129">
        <f t="shared" si="45"/>
        <v>0</v>
      </c>
      <c r="Z20" s="129">
        <f t="shared" si="45"/>
        <v>0</v>
      </c>
      <c r="AA20" s="129">
        <f t="shared" si="45"/>
        <v>0</v>
      </c>
      <c r="AB20" s="129">
        <f t="shared" si="45"/>
        <v>0</v>
      </c>
      <c r="AC20" s="152">
        <v>0</v>
      </c>
      <c r="AD20" s="129">
        <v>0</v>
      </c>
      <c r="AE20" s="129">
        <v>0</v>
      </c>
      <c r="AF20" s="129">
        <f>AF21</f>
        <v>10805841</v>
      </c>
      <c r="AG20" s="129">
        <f>AG21</f>
        <v>0</v>
      </c>
      <c r="AH20" s="129">
        <f t="shared" ref="AH20:BR20" si="46">AH21</f>
        <v>0</v>
      </c>
      <c r="AI20" s="129">
        <f t="shared" si="46"/>
        <v>0</v>
      </c>
      <c r="AJ20" s="129">
        <f t="shared" si="46"/>
        <v>0</v>
      </c>
      <c r="AK20" s="129">
        <f t="shared" si="46"/>
        <v>0</v>
      </c>
      <c r="AL20" s="129">
        <f t="shared" si="46"/>
        <v>0</v>
      </c>
      <c r="AM20" s="129">
        <f t="shared" si="46"/>
        <v>0</v>
      </c>
      <c r="AN20" s="129">
        <f t="shared" si="46"/>
        <v>0</v>
      </c>
      <c r="AO20" s="129">
        <f t="shared" si="46"/>
        <v>0</v>
      </c>
      <c r="AP20" s="129">
        <f t="shared" si="46"/>
        <v>0</v>
      </c>
      <c r="AQ20" s="129">
        <f t="shared" si="46"/>
        <v>0</v>
      </c>
      <c r="AR20" s="129">
        <f t="shared" si="46"/>
        <v>0</v>
      </c>
      <c r="AS20" s="129">
        <f t="shared" si="46"/>
        <v>0</v>
      </c>
      <c r="AT20" s="129">
        <f t="shared" si="46"/>
        <v>110791512.5</v>
      </c>
      <c r="AU20" s="129">
        <f t="shared" si="46"/>
        <v>0</v>
      </c>
      <c r="AV20" s="129">
        <f t="shared" si="46"/>
        <v>125826.96</v>
      </c>
      <c r="AW20" s="129">
        <f t="shared" si="46"/>
        <v>124381.89</v>
      </c>
      <c r="AX20" s="129">
        <f t="shared" si="46"/>
        <v>116799.8</v>
      </c>
      <c r="AY20" s="129">
        <f t="shared" si="46"/>
        <v>123563.52</v>
      </c>
      <c r="AZ20" s="129">
        <f t="shared" si="46"/>
        <v>0</v>
      </c>
      <c r="BA20" s="129">
        <f t="shared" si="46"/>
        <v>136424.35</v>
      </c>
      <c r="BB20" s="129">
        <f t="shared" si="46"/>
        <v>140765.73000000001</v>
      </c>
      <c r="BC20" s="129">
        <f t="shared" si="46"/>
        <v>147676.17000000001</v>
      </c>
      <c r="BD20" s="129">
        <f t="shared" si="46"/>
        <v>147885.31</v>
      </c>
      <c r="BE20" s="129">
        <f t="shared" si="46"/>
        <v>115031.75</v>
      </c>
      <c r="BF20" s="129">
        <f t="shared" si="46"/>
        <v>-12727643</v>
      </c>
      <c r="BG20" s="129">
        <f t="shared" si="46"/>
        <v>0</v>
      </c>
      <c r="BH20" s="129">
        <f t="shared" si="46"/>
        <v>0</v>
      </c>
      <c r="BI20" s="129">
        <f t="shared" si="46"/>
        <v>0</v>
      </c>
      <c r="BJ20" s="129">
        <f t="shared" si="46"/>
        <v>0</v>
      </c>
      <c r="BK20" s="129">
        <f t="shared" si="46"/>
        <v>0</v>
      </c>
      <c r="BL20" s="129">
        <f t="shared" si="46"/>
        <v>0</v>
      </c>
      <c r="BM20" s="129">
        <f t="shared" si="46"/>
        <v>0</v>
      </c>
      <c r="BN20" s="129">
        <f t="shared" si="46"/>
        <v>0</v>
      </c>
      <c r="BO20" s="129">
        <f t="shared" si="46"/>
        <v>0</v>
      </c>
      <c r="BP20" s="129">
        <f t="shared" si="46"/>
        <v>0</v>
      </c>
      <c r="BQ20" s="129">
        <f t="shared" si="46"/>
        <v>0</v>
      </c>
      <c r="BR20" s="129">
        <f t="shared" si="46"/>
        <v>0</v>
      </c>
      <c r="BS20" s="129">
        <f>BS21+BS22</f>
        <v>0</v>
      </c>
      <c r="BT20" s="129">
        <f t="shared" ref="BT20:BZ20" si="47">BT21+BT22</f>
        <v>0</v>
      </c>
      <c r="BU20" s="129">
        <f t="shared" si="47"/>
        <v>0</v>
      </c>
      <c r="BV20" s="129">
        <f t="shared" si="47"/>
        <v>0</v>
      </c>
      <c r="BW20" s="129">
        <f t="shared" si="47"/>
        <v>0</v>
      </c>
      <c r="BX20" s="129">
        <f t="shared" si="47"/>
        <v>0</v>
      </c>
      <c r="BY20" s="129">
        <f t="shared" si="47"/>
        <v>0</v>
      </c>
      <c r="BZ20" s="129">
        <f t="shared" si="47"/>
        <v>0</v>
      </c>
      <c r="CA20" s="129">
        <f t="shared" ref="CA20:CE20" si="48">CA21+CA22</f>
        <v>0</v>
      </c>
      <c r="CB20" s="129">
        <f t="shared" si="48"/>
        <v>0</v>
      </c>
      <c r="CC20" s="129">
        <f t="shared" si="48"/>
        <v>0</v>
      </c>
      <c r="CD20" s="129">
        <f t="shared" si="48"/>
        <v>0</v>
      </c>
      <c r="CE20" s="129">
        <f t="shared" si="48"/>
        <v>0</v>
      </c>
      <c r="CF20" s="129">
        <f t="shared" ref="CF20:CM20" si="49">CF21+CF22</f>
        <v>0</v>
      </c>
      <c r="CG20" s="50">
        <f t="shared" si="18"/>
        <v>0</v>
      </c>
      <c r="CH20" s="129">
        <f t="shared" si="49"/>
        <v>0</v>
      </c>
      <c r="CI20" s="129">
        <f t="shared" si="49"/>
        <v>0</v>
      </c>
      <c r="CJ20" s="129">
        <f t="shared" si="49"/>
        <v>0</v>
      </c>
      <c r="CK20" s="129">
        <f t="shared" si="49"/>
        <v>0</v>
      </c>
      <c r="CL20" s="129">
        <f t="shared" si="49"/>
        <v>0</v>
      </c>
      <c r="CM20" s="129">
        <f t="shared" si="49"/>
        <v>0</v>
      </c>
      <c r="CN20" s="129">
        <f t="shared" ref="CN20:CO20" si="50">CN21+CN22</f>
        <v>0</v>
      </c>
      <c r="CO20" s="129">
        <f t="shared" si="50"/>
        <v>0</v>
      </c>
    </row>
    <row r="21" spans="1:93" ht="14.25">
      <c r="A21" s="20" t="s">
        <v>76</v>
      </c>
      <c r="B21" s="31"/>
      <c r="C21" s="21">
        <f>1149948+875740</f>
        <v>2025688</v>
      </c>
      <c r="D21">
        <v>3790859</v>
      </c>
      <c r="E21" s="21">
        <v>616690</v>
      </c>
      <c r="F21" s="21">
        <v>0</v>
      </c>
      <c r="G21" s="21">
        <v>3979310.3</v>
      </c>
      <c r="H21" s="178">
        <v>3835462.37</v>
      </c>
      <c r="I21" s="5">
        <v>3835462.37</v>
      </c>
      <c r="J21" s="108">
        <v>3541834</v>
      </c>
      <c r="K21" s="108">
        <v>3607139.46</v>
      </c>
      <c r="M21" s="21"/>
      <c r="O21" s="21"/>
      <c r="R21">
        <v>4307286</v>
      </c>
      <c r="S21" s="131">
        <v>803415.12</v>
      </c>
      <c r="T21" s="131">
        <v>1412453</v>
      </c>
      <c r="U21" s="131">
        <v>5613617.6299999999</v>
      </c>
      <c r="V21" s="131">
        <v>10455059.4</v>
      </c>
      <c r="W21" s="131">
        <v>31791737.850000001</v>
      </c>
      <c r="X21" s="131">
        <v>0</v>
      </c>
      <c r="Y21" s="131"/>
      <c r="Z21" s="131"/>
      <c r="AA21" s="131"/>
      <c r="AB21" s="131"/>
      <c r="AC21" s="155">
        <v>0</v>
      </c>
      <c r="AD21" s="157">
        <v>0</v>
      </c>
      <c r="AE21" s="157"/>
      <c r="AF21" s="2">
        <v>10805841</v>
      </c>
      <c r="AG21" s="2"/>
      <c r="AH21" s="2"/>
      <c r="AI21" s="2"/>
      <c r="AJ21" s="2"/>
      <c r="AK21" s="2"/>
      <c r="AL21" s="2"/>
      <c r="AM21" s="2"/>
      <c r="AN21" s="2"/>
      <c r="AO21" s="2"/>
      <c r="AT21" s="21">
        <v>110791512.5</v>
      </c>
      <c r="AU21" s="21">
        <v>0</v>
      </c>
      <c r="AV21" s="21">
        <v>125826.96</v>
      </c>
      <c r="AW21" s="21">
        <v>124381.89</v>
      </c>
      <c r="AX21" s="21">
        <v>116799.8</v>
      </c>
      <c r="AY21" s="21">
        <v>123563.52</v>
      </c>
      <c r="AZ21" s="21"/>
      <c r="BA21" s="21">
        <v>136424.35</v>
      </c>
      <c r="BB21" s="21">
        <v>140765.73000000001</v>
      </c>
      <c r="BC21" s="21">
        <v>147676.17000000001</v>
      </c>
      <c r="BD21" s="21">
        <v>147885.31</v>
      </c>
      <c r="BE21" s="21">
        <v>115031.75</v>
      </c>
      <c r="BF21" s="163">
        <f>-110782790+98055147</f>
        <v>-12727643</v>
      </c>
      <c r="BG21" s="194">
        <v>0</v>
      </c>
      <c r="BH21" s="196">
        <v>0</v>
      </c>
      <c r="BI21" s="196">
        <v>0</v>
      </c>
      <c r="BJ21" s="196">
        <v>0</v>
      </c>
      <c r="BK21" s="196">
        <v>0</v>
      </c>
      <c r="BL21" s="196">
        <v>0</v>
      </c>
      <c r="BM21" s="196">
        <v>0</v>
      </c>
      <c r="BN21" s="196">
        <v>0</v>
      </c>
      <c r="BO21" s="196">
        <v>0</v>
      </c>
      <c r="BP21" s="196">
        <v>0</v>
      </c>
      <c r="BQ21" s="196">
        <v>0</v>
      </c>
      <c r="BR21" s="196">
        <v>0</v>
      </c>
      <c r="CG21" s="50">
        <f t="shared" si="18"/>
        <v>0</v>
      </c>
      <c r="CI21" s="312">
        <v>0</v>
      </c>
      <c r="CJ21" s="314">
        <v>0</v>
      </c>
      <c r="CK21" s="314">
        <v>0</v>
      </c>
      <c r="CL21" s="314">
        <v>0</v>
      </c>
      <c r="CM21">
        <v>0</v>
      </c>
      <c r="CN21" s="312">
        <v>0</v>
      </c>
      <c r="CO21" s="359">
        <v>0</v>
      </c>
    </row>
    <row r="22" spans="1:93" ht="14.25">
      <c r="A22" s="20" t="s">
        <v>77</v>
      </c>
      <c r="B22" s="31"/>
      <c r="C22" s="21">
        <v>0</v>
      </c>
      <c r="E22" s="21"/>
      <c r="F22" s="21">
        <v>0</v>
      </c>
      <c r="G22" s="21">
        <v>0</v>
      </c>
      <c r="H22" s="178">
        <v>0</v>
      </c>
      <c r="I22" s="2">
        <v>0</v>
      </c>
      <c r="J22" s="105"/>
      <c r="K22" s="105"/>
      <c r="M22" s="21"/>
      <c r="O22" s="21"/>
      <c r="S22" s="131">
        <v>0</v>
      </c>
      <c r="T22" s="131">
        <v>0</v>
      </c>
      <c r="U22" s="131">
        <v>0</v>
      </c>
      <c r="V22" s="131">
        <v>0</v>
      </c>
      <c r="W22" s="131">
        <v>0</v>
      </c>
      <c r="X22" s="131">
        <v>0</v>
      </c>
      <c r="Y22" s="131"/>
      <c r="Z22" s="131"/>
      <c r="AA22" s="131"/>
      <c r="AB22" s="131"/>
      <c r="AC22" s="155">
        <v>0</v>
      </c>
      <c r="AD22" s="157">
        <v>0</v>
      </c>
      <c r="AE22" s="157"/>
      <c r="AF22" s="2"/>
      <c r="AG22" s="2"/>
      <c r="AH22" s="2"/>
      <c r="AI22" s="2"/>
      <c r="AJ22" s="2"/>
      <c r="AK22" s="2"/>
      <c r="AL22" s="2"/>
      <c r="AM22" s="2"/>
      <c r="AN22" s="2"/>
      <c r="AO22" s="2"/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AZ22" s="21"/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G22" s="198">
        <v>0</v>
      </c>
      <c r="BH22" s="200">
        <v>0</v>
      </c>
      <c r="BI22" s="200">
        <v>0</v>
      </c>
      <c r="BJ22" s="200">
        <v>0</v>
      </c>
      <c r="BK22" s="200">
        <v>0</v>
      </c>
      <c r="BL22" s="200">
        <v>0</v>
      </c>
      <c r="BM22" s="200">
        <v>0</v>
      </c>
      <c r="BN22" s="200">
        <v>0</v>
      </c>
      <c r="BO22" s="200">
        <v>0</v>
      </c>
      <c r="BP22" s="200">
        <v>0</v>
      </c>
      <c r="BQ22" s="200">
        <v>0</v>
      </c>
      <c r="BR22" s="200">
        <v>0</v>
      </c>
      <c r="BS22" s="50"/>
      <c r="CG22" s="50">
        <f t="shared" si="18"/>
        <v>0</v>
      </c>
      <c r="CI22" s="316">
        <v>0</v>
      </c>
      <c r="CJ22" s="318">
        <v>0</v>
      </c>
      <c r="CK22" s="318">
        <v>0</v>
      </c>
      <c r="CL22" s="318">
        <v>0</v>
      </c>
      <c r="CM22">
        <v>0</v>
      </c>
      <c r="CN22" s="316">
        <v>0</v>
      </c>
      <c r="CO22" s="361">
        <v>0</v>
      </c>
    </row>
    <row r="23" spans="1:93" ht="14.25">
      <c r="A23" s="19" t="s">
        <v>78</v>
      </c>
      <c r="B23" s="69">
        <f t="shared" ref="B23:P23" si="51">SUM(B24:B28)</f>
        <v>20314717</v>
      </c>
      <c r="C23" s="69">
        <f t="shared" si="51"/>
        <v>26181005</v>
      </c>
      <c r="D23" s="69">
        <f t="shared" si="51"/>
        <v>29719577</v>
      </c>
      <c r="E23" s="69">
        <f t="shared" si="51"/>
        <v>35494235</v>
      </c>
      <c r="F23" s="69">
        <f t="shared" si="51"/>
        <v>3789988.3600000003</v>
      </c>
      <c r="G23" s="69">
        <f t="shared" si="51"/>
        <v>6958080.8700000001</v>
      </c>
      <c r="H23" s="69">
        <f t="shared" si="51"/>
        <v>10433785.42</v>
      </c>
      <c r="I23" s="69">
        <f t="shared" si="51"/>
        <v>12720233.790000001</v>
      </c>
      <c r="J23" s="69">
        <f t="shared" si="51"/>
        <v>14998436</v>
      </c>
      <c r="K23" s="69">
        <f t="shared" si="51"/>
        <v>15417619</v>
      </c>
      <c r="L23" s="69">
        <f t="shared" si="51"/>
        <v>0</v>
      </c>
      <c r="M23" s="69">
        <f t="shared" si="51"/>
        <v>0</v>
      </c>
      <c r="N23" s="69">
        <f t="shared" si="51"/>
        <v>0</v>
      </c>
      <c r="O23" s="69">
        <f t="shared" si="51"/>
        <v>0</v>
      </c>
      <c r="P23" s="69">
        <f t="shared" si="51"/>
        <v>0</v>
      </c>
      <c r="Q23" s="69">
        <f t="shared" ref="Q23:X23" si="52">SUM(Q24:Q28)</f>
        <v>0</v>
      </c>
      <c r="R23" s="127">
        <f t="shared" si="52"/>
        <v>30393701</v>
      </c>
      <c r="S23" s="129">
        <f t="shared" si="52"/>
        <v>2710026.3899999997</v>
      </c>
      <c r="T23" s="129">
        <f t="shared" si="52"/>
        <v>5368489.5599999996</v>
      </c>
      <c r="U23" s="129">
        <f t="shared" si="52"/>
        <v>6122593</v>
      </c>
      <c r="V23" s="129">
        <f t="shared" si="52"/>
        <v>6292751.1399999997</v>
      </c>
      <c r="W23" s="129">
        <f t="shared" si="52"/>
        <v>9004712.2699999996</v>
      </c>
      <c r="X23" s="129">
        <f t="shared" si="52"/>
        <v>8789717.1699999999</v>
      </c>
      <c r="Y23" s="129">
        <f t="shared" ref="Y23:AF23" si="53">SUM(Y24:Y28)</f>
        <v>9997975.7699999996</v>
      </c>
      <c r="Z23" s="129">
        <f t="shared" si="53"/>
        <v>14450046.939999999</v>
      </c>
      <c r="AA23" s="129">
        <f t="shared" si="53"/>
        <v>15136846.939999999</v>
      </c>
      <c r="AB23" s="129">
        <f t="shared" si="53"/>
        <v>18847029.060000002</v>
      </c>
      <c r="AC23" s="152">
        <f t="shared" si="53"/>
        <v>21263060.119999997</v>
      </c>
      <c r="AD23" s="129">
        <f t="shared" si="53"/>
        <v>25569510.359999999</v>
      </c>
      <c r="AE23" s="129">
        <f t="shared" si="53"/>
        <v>16655609.35</v>
      </c>
      <c r="AF23" s="129">
        <f t="shared" si="53"/>
        <v>28351086.350000001</v>
      </c>
      <c r="AG23" s="129">
        <f t="shared" ref="AG23:BZ23" si="54">SUM(AG24:AG28)</f>
        <v>940458.27</v>
      </c>
      <c r="AH23" s="129">
        <f t="shared" si="54"/>
        <v>1122848.27</v>
      </c>
      <c r="AI23" s="129">
        <f t="shared" si="54"/>
        <v>5509469.2799999993</v>
      </c>
      <c r="AJ23" s="129">
        <f t="shared" si="54"/>
        <v>6598159.3200000003</v>
      </c>
      <c r="AK23" s="129">
        <f t="shared" si="54"/>
        <v>7704808.3600000003</v>
      </c>
      <c r="AL23" s="129">
        <f t="shared" si="54"/>
        <v>8185382.3600000003</v>
      </c>
      <c r="AM23" s="129">
        <f t="shared" si="54"/>
        <v>9470112.4100000001</v>
      </c>
      <c r="AN23" s="129">
        <f t="shared" si="54"/>
        <v>9039956.4100000001</v>
      </c>
      <c r="AO23" s="129">
        <f t="shared" si="54"/>
        <v>10182590.09</v>
      </c>
      <c r="AP23" s="129">
        <f t="shared" si="54"/>
        <v>0</v>
      </c>
      <c r="AQ23" s="129">
        <f t="shared" si="54"/>
        <v>0</v>
      </c>
      <c r="AR23" s="129">
        <f t="shared" si="54"/>
        <v>0</v>
      </c>
      <c r="AS23" s="129">
        <f t="shared" si="54"/>
        <v>0</v>
      </c>
      <c r="AT23" s="129">
        <f t="shared" si="54"/>
        <v>971406.33</v>
      </c>
      <c r="AU23" s="129">
        <f t="shared" si="54"/>
        <v>2799593.99</v>
      </c>
      <c r="AV23" s="129">
        <f t="shared" si="54"/>
        <v>3768397.44</v>
      </c>
      <c r="AW23" s="129">
        <f t="shared" si="54"/>
        <v>4893778.49</v>
      </c>
      <c r="AX23" s="129">
        <f t="shared" si="54"/>
        <v>6845952.6799999997</v>
      </c>
      <c r="AY23" s="129">
        <f t="shared" si="54"/>
        <v>7485563.8200000003</v>
      </c>
      <c r="AZ23" s="129">
        <f t="shared" si="54"/>
        <v>0</v>
      </c>
      <c r="BA23" s="129">
        <f t="shared" si="54"/>
        <v>10580901.58</v>
      </c>
      <c r="BB23" s="129">
        <f t="shared" si="54"/>
        <v>12084448.059999999</v>
      </c>
      <c r="BC23" s="129">
        <f t="shared" si="54"/>
        <v>13395043.449999999</v>
      </c>
      <c r="BD23" s="129">
        <f t="shared" si="54"/>
        <v>15018640.710000001</v>
      </c>
      <c r="BE23" s="129">
        <f t="shared" si="54"/>
        <v>17305917.23</v>
      </c>
      <c r="BF23" s="129">
        <f t="shared" si="54"/>
        <v>20339820</v>
      </c>
      <c r="BG23" s="129">
        <f t="shared" si="54"/>
        <v>1692849.31</v>
      </c>
      <c r="BH23" s="129">
        <f t="shared" si="54"/>
        <v>2903977.3899999997</v>
      </c>
      <c r="BI23" s="129">
        <f t="shared" si="54"/>
        <v>4609275.8899999997</v>
      </c>
      <c r="BJ23" s="129">
        <f t="shared" si="54"/>
        <v>6884623.3700000001</v>
      </c>
      <c r="BK23" s="129">
        <f t="shared" si="54"/>
        <v>7652983.6099999994</v>
      </c>
      <c r="BL23" s="129">
        <f t="shared" si="54"/>
        <v>9015178.4600000009</v>
      </c>
      <c r="BM23" s="129">
        <f t="shared" si="54"/>
        <v>10179522.439999999</v>
      </c>
      <c r="BN23" s="129">
        <f t="shared" si="54"/>
        <v>13354747.529999999</v>
      </c>
      <c r="BO23" s="129">
        <f t="shared" si="54"/>
        <v>13164572.970000001</v>
      </c>
      <c r="BP23" s="129">
        <f t="shared" si="54"/>
        <v>14650966.620000001</v>
      </c>
      <c r="BQ23" s="129">
        <f t="shared" si="54"/>
        <v>16120304.939999999</v>
      </c>
      <c r="BR23" s="129">
        <f t="shared" si="54"/>
        <v>19709428.170000002</v>
      </c>
      <c r="BS23" s="129">
        <f t="shared" si="54"/>
        <v>20634442</v>
      </c>
      <c r="BT23" s="129">
        <f t="shared" si="54"/>
        <v>1393361.3</v>
      </c>
      <c r="BU23" s="129">
        <f t="shared" si="54"/>
        <v>2398382.35</v>
      </c>
      <c r="BV23" s="129">
        <f t="shared" si="54"/>
        <v>5383682.7699999996</v>
      </c>
      <c r="BW23" s="129">
        <f t="shared" si="54"/>
        <v>5867047.71</v>
      </c>
      <c r="BX23" s="129">
        <f t="shared" si="54"/>
        <v>7481801.1200000001</v>
      </c>
      <c r="BY23" s="129">
        <f t="shared" si="54"/>
        <v>9482290.1699999999</v>
      </c>
      <c r="BZ23" s="129">
        <f t="shared" si="54"/>
        <v>10728454.939999999</v>
      </c>
      <c r="CA23" s="129">
        <f t="shared" ref="CA23:CF23" si="55">SUM(CA24:CA28)</f>
        <v>12012077.039999999</v>
      </c>
      <c r="CB23" s="129">
        <f t="shared" si="55"/>
        <v>12955931.439999999</v>
      </c>
      <c r="CC23" s="129">
        <f t="shared" si="55"/>
        <v>15389189.489999998</v>
      </c>
      <c r="CD23" s="129">
        <f t="shared" si="55"/>
        <v>16460943.019999998</v>
      </c>
      <c r="CE23" s="129">
        <f t="shared" si="55"/>
        <v>21245565.810000002</v>
      </c>
      <c r="CF23" s="129">
        <f t="shared" si="55"/>
        <v>23346715</v>
      </c>
      <c r="CG23" s="50">
        <f t="shared" si="18"/>
        <v>2101149.1899999976</v>
      </c>
      <c r="CH23" s="129">
        <f t="shared" ref="CH23:CO23" si="56">SUM(CH24:CH28)</f>
        <v>23346715</v>
      </c>
      <c r="CI23" s="129">
        <f t="shared" si="56"/>
        <v>1487563.19</v>
      </c>
      <c r="CJ23" s="129">
        <f t="shared" si="56"/>
        <v>3313147.3200000003</v>
      </c>
      <c r="CK23" s="129">
        <f t="shared" si="56"/>
        <v>5242265.5</v>
      </c>
      <c r="CL23" s="129">
        <f t="shared" si="56"/>
        <v>6566969.9900000002</v>
      </c>
      <c r="CM23" s="129">
        <f t="shared" si="56"/>
        <v>8103486.9900000002</v>
      </c>
      <c r="CN23" s="129">
        <f t="shared" si="56"/>
        <v>9355280.0600000005</v>
      </c>
      <c r="CO23" s="129">
        <f t="shared" si="56"/>
        <v>10628305.27</v>
      </c>
    </row>
    <row r="24" spans="1:93" ht="14.25">
      <c r="A24" s="20" t="s">
        <v>79</v>
      </c>
      <c r="B24" s="31">
        <v>10802000</v>
      </c>
      <c r="C24" s="21">
        <v>13258699</v>
      </c>
      <c r="D24">
        <v>15108365</v>
      </c>
      <c r="E24" s="21">
        <v>18089870</v>
      </c>
      <c r="F24" s="21">
        <v>2553507.1</v>
      </c>
      <c r="G24" s="21">
        <v>3896870.9</v>
      </c>
      <c r="H24" s="178">
        <v>5633522.21</v>
      </c>
      <c r="I24" s="82">
        <v>6879313.6200000001</v>
      </c>
      <c r="J24" s="107">
        <v>8269237</v>
      </c>
      <c r="K24" s="107">
        <v>8346089</v>
      </c>
      <c r="L24" s="97"/>
      <c r="M24" s="21"/>
      <c r="N24" s="97"/>
      <c r="O24" s="21"/>
      <c r="P24" s="97"/>
      <c r="Q24" s="97"/>
      <c r="R24" s="97">
        <v>17464508</v>
      </c>
      <c r="S24" s="131">
        <v>1180751.97</v>
      </c>
      <c r="T24" s="131">
        <v>2552086.5499999998</v>
      </c>
      <c r="U24" s="131">
        <v>2672456.11</v>
      </c>
      <c r="V24" s="131">
        <v>2701716.11</v>
      </c>
      <c r="W24" s="131">
        <v>4884242.01</v>
      </c>
      <c r="X24" s="21">
        <v>4945825.01</v>
      </c>
      <c r="Y24" s="131">
        <v>4961005.01</v>
      </c>
      <c r="Z24" s="131">
        <v>8617143.4100000001</v>
      </c>
      <c r="AA24" s="131">
        <v>8810543.4100000001</v>
      </c>
      <c r="AB24" s="131">
        <v>12118026.050000001</v>
      </c>
      <c r="AC24" s="155">
        <v>13490209.109999999</v>
      </c>
      <c r="AD24" s="157">
        <v>16655609.35</v>
      </c>
      <c r="AE24" s="157">
        <v>16655609.35</v>
      </c>
      <c r="AF24" s="157">
        <v>16655609.35</v>
      </c>
      <c r="AG24" s="131">
        <v>749553.27</v>
      </c>
      <c r="AH24" s="131">
        <v>796453.27</v>
      </c>
      <c r="AI24" s="131">
        <v>2942690.88</v>
      </c>
      <c r="AJ24" s="131">
        <v>3909117.92</v>
      </c>
      <c r="AK24" s="131">
        <v>4867354.96</v>
      </c>
      <c r="AL24" s="131">
        <v>4881354.96</v>
      </c>
      <c r="AM24" s="131">
        <v>5645447.0099999998</v>
      </c>
      <c r="AN24" s="131">
        <v>4953607.01</v>
      </c>
      <c r="AO24" s="131">
        <v>5797949.6900000004</v>
      </c>
      <c r="AT24" s="21">
        <v>807134.33</v>
      </c>
      <c r="AU24" s="21">
        <v>2367502.9900000002</v>
      </c>
      <c r="AV24" s="21">
        <v>3167917.32</v>
      </c>
      <c r="AW24" s="21">
        <v>3885851.53</v>
      </c>
      <c r="AX24" s="21">
        <v>4627142.04</v>
      </c>
      <c r="AY24" s="21">
        <v>4586962.13</v>
      </c>
      <c r="AZ24" s="21"/>
      <c r="BA24" s="21">
        <v>6329509.8799999999</v>
      </c>
      <c r="BB24" s="21">
        <v>7002906.9299999997</v>
      </c>
      <c r="BC24" s="21">
        <v>7820484.4100000001</v>
      </c>
      <c r="BD24" s="21">
        <v>8717632.1500000004</v>
      </c>
      <c r="BE24" s="21">
        <v>9663212.2100000009</v>
      </c>
      <c r="BF24" s="163">
        <v>9663212</v>
      </c>
      <c r="BG24" s="195">
        <v>1096414.32</v>
      </c>
      <c r="BH24" s="197">
        <v>1682577.4</v>
      </c>
      <c r="BI24" s="197">
        <v>2397930.88</v>
      </c>
      <c r="BJ24" s="197">
        <v>3729731.18</v>
      </c>
      <c r="BK24" s="197">
        <v>3951352.3</v>
      </c>
      <c r="BL24" s="197">
        <v>4727087.05</v>
      </c>
      <c r="BM24" s="197">
        <v>5353573.96</v>
      </c>
      <c r="BN24" s="197">
        <v>7427318.96</v>
      </c>
      <c r="BO24" s="197">
        <v>6261594.7999999998</v>
      </c>
      <c r="BP24" s="197">
        <v>7670318.1900000004</v>
      </c>
      <c r="BQ24" s="197">
        <v>8484010.0899999999</v>
      </c>
      <c r="BR24" s="197">
        <v>11043896.77</v>
      </c>
      <c r="BS24" s="50">
        <f>11043897</f>
        <v>11043897</v>
      </c>
      <c r="BT24" s="195">
        <v>791191.75</v>
      </c>
      <c r="BU24" s="197">
        <v>912804.56</v>
      </c>
      <c r="BV24" s="197">
        <v>2406271.27</v>
      </c>
      <c r="BW24" s="197">
        <v>2490335.77</v>
      </c>
      <c r="BX24" s="197">
        <v>3735999.58</v>
      </c>
      <c r="BY24" s="195">
        <v>4583299.76</v>
      </c>
      <c r="BZ24" s="212">
        <v>5206099.5199999996</v>
      </c>
      <c r="CA24" s="107">
        <v>5841999.5199999996</v>
      </c>
      <c r="CB24" s="212">
        <v>6505268.9199999999</v>
      </c>
      <c r="CC24" s="212">
        <v>7595085.29</v>
      </c>
      <c r="CD24" s="212">
        <v>8430816.8699999992</v>
      </c>
      <c r="CE24" s="21">
        <v>9266761.0800000001</v>
      </c>
      <c r="CF24" s="293">
        <f>9717331</f>
        <v>9717331</v>
      </c>
      <c r="CG24" s="50">
        <f t="shared" si="18"/>
        <v>450569.91999999993</v>
      </c>
      <c r="CH24" s="293">
        <f>9717331</f>
        <v>9717331</v>
      </c>
      <c r="CI24" s="313">
        <v>650591.56999999995</v>
      </c>
      <c r="CJ24" s="315">
        <v>1308183.1399999999</v>
      </c>
      <c r="CK24" s="315">
        <v>1993135.71</v>
      </c>
      <c r="CL24" s="315">
        <v>2647227.2799999998</v>
      </c>
      <c r="CM24" s="97">
        <v>3348093.97</v>
      </c>
      <c r="CN24" s="313">
        <v>4072895.03</v>
      </c>
      <c r="CO24" s="360">
        <v>4759246.09</v>
      </c>
    </row>
    <row r="25" spans="1:93" ht="14.25">
      <c r="A25" s="20" t="s">
        <v>80</v>
      </c>
      <c r="B25" s="31">
        <v>2558804</v>
      </c>
      <c r="C25" s="21">
        <v>3781681</v>
      </c>
      <c r="D25">
        <v>3696681</v>
      </c>
      <c r="E25" s="21">
        <v>4225138</v>
      </c>
      <c r="F25" s="21">
        <v>375788.06</v>
      </c>
      <c r="G25" s="21">
        <v>729257.06</v>
      </c>
      <c r="H25" s="178">
        <v>1464526.59</v>
      </c>
      <c r="I25" s="82">
        <v>2155750.65</v>
      </c>
      <c r="J25" s="112">
        <v>2173151</v>
      </c>
      <c r="K25" s="112">
        <v>2173151</v>
      </c>
      <c r="L25" s="97"/>
      <c r="M25" s="21"/>
      <c r="N25" s="97"/>
      <c r="O25" s="21"/>
      <c r="P25" s="97"/>
      <c r="Q25" s="97"/>
      <c r="R25" s="97">
        <v>2921784</v>
      </c>
      <c r="S25" s="131">
        <v>254015</v>
      </c>
      <c r="T25" s="131">
        <v>358815.21</v>
      </c>
      <c r="U25" s="131">
        <v>565317.23</v>
      </c>
      <c r="V25" s="131">
        <v>566817.23</v>
      </c>
      <c r="W25" s="131">
        <v>933148.36</v>
      </c>
      <c r="X25" s="21">
        <v>1048148.36</v>
      </c>
      <c r="Y25" s="131">
        <v>1252632.3600000001</v>
      </c>
      <c r="Z25" s="131">
        <v>1818939.63</v>
      </c>
      <c r="AA25" s="131">
        <v>1838639.63</v>
      </c>
      <c r="AB25" s="131">
        <v>2247605.11</v>
      </c>
      <c r="AC25" s="155">
        <v>2405536.11</v>
      </c>
      <c r="AD25" s="157">
        <v>2411436.11</v>
      </c>
      <c r="AE25" s="157"/>
      <c r="AF25" s="2">
        <v>2411436</v>
      </c>
      <c r="AG25" s="131">
        <v>23350</v>
      </c>
      <c r="AH25" s="131">
        <v>25350</v>
      </c>
      <c r="AI25" s="131">
        <v>564338.4</v>
      </c>
      <c r="AJ25" s="131">
        <v>626238.4</v>
      </c>
      <c r="AK25" s="131">
        <v>628138.4</v>
      </c>
      <c r="AL25" s="131">
        <v>642638.4</v>
      </c>
      <c r="AM25" s="131">
        <v>860213.4</v>
      </c>
      <c r="AN25" s="131">
        <v>871513.4</v>
      </c>
      <c r="AO25" s="131">
        <v>874813.4</v>
      </c>
      <c r="AT25" s="21">
        <v>21100</v>
      </c>
      <c r="AU25" s="21">
        <v>23100</v>
      </c>
      <c r="AV25" s="21">
        <v>25599.119999999999</v>
      </c>
      <c r="AW25" s="21">
        <v>138728.95999999999</v>
      </c>
      <c r="AX25" s="21">
        <v>509981.64</v>
      </c>
      <c r="AY25" s="21">
        <v>829845.69</v>
      </c>
      <c r="AZ25" s="21"/>
      <c r="BA25" s="21">
        <v>1179175.7</v>
      </c>
      <c r="BB25" s="21">
        <v>1729090.13</v>
      </c>
      <c r="BC25" s="21">
        <v>1830104.04</v>
      </c>
      <c r="BD25" s="21">
        <v>1946753.56</v>
      </c>
      <c r="BE25" s="21">
        <v>2306950.02</v>
      </c>
      <c r="BF25" s="163">
        <v>2145871</v>
      </c>
      <c r="BG25" s="199">
        <v>174934.99</v>
      </c>
      <c r="BH25" s="201">
        <v>305952.99</v>
      </c>
      <c r="BI25" s="201">
        <v>666656.01</v>
      </c>
      <c r="BJ25" s="201">
        <v>867553.19</v>
      </c>
      <c r="BK25" s="201">
        <v>1131137.31</v>
      </c>
      <c r="BL25" s="201">
        <v>1339629.4099999999</v>
      </c>
      <c r="BM25" s="201">
        <v>1537155.06</v>
      </c>
      <c r="BN25" s="201">
        <v>1990687.15</v>
      </c>
      <c r="BO25" s="201">
        <v>2130851.75</v>
      </c>
      <c r="BP25" s="201">
        <v>2348065.4300000002</v>
      </c>
      <c r="BQ25" s="201">
        <v>2464243.4300000002</v>
      </c>
      <c r="BR25" s="201">
        <v>2788141.98</v>
      </c>
      <c r="BS25" s="50">
        <v>3104342</v>
      </c>
      <c r="BT25" s="199">
        <v>49100</v>
      </c>
      <c r="BU25" s="201">
        <v>159250.23999999999</v>
      </c>
      <c r="BV25" s="201">
        <v>421834.4</v>
      </c>
      <c r="BW25" s="201">
        <v>693818.84</v>
      </c>
      <c r="BX25" s="201">
        <v>1098376.8400000001</v>
      </c>
      <c r="BY25" s="199">
        <v>1100086.31</v>
      </c>
      <c r="BZ25" s="212">
        <v>1359091.32</v>
      </c>
      <c r="CA25" s="112">
        <v>1470669.42</v>
      </c>
      <c r="CB25" s="212">
        <v>1511169.42</v>
      </c>
      <c r="CC25" s="212">
        <v>2040512.9</v>
      </c>
      <c r="CD25" s="212">
        <v>2229255.0499999998</v>
      </c>
      <c r="CE25" s="21">
        <v>2555947.15</v>
      </c>
      <c r="CF25" s="293">
        <v>2163297</v>
      </c>
      <c r="CG25" s="50">
        <f t="shared" si="18"/>
        <v>-392650.14999999991</v>
      </c>
      <c r="CH25" s="293">
        <v>2163297</v>
      </c>
      <c r="CI25" s="317">
        <v>254748.01</v>
      </c>
      <c r="CJ25" s="319">
        <v>440556.65</v>
      </c>
      <c r="CK25" s="319">
        <v>551051.75</v>
      </c>
      <c r="CL25" s="319">
        <v>791988.76</v>
      </c>
      <c r="CM25" s="97">
        <v>892838.56</v>
      </c>
      <c r="CN25" s="317">
        <v>1019338.56</v>
      </c>
      <c r="CO25" s="362">
        <v>1279652.2</v>
      </c>
    </row>
    <row r="26" spans="1:93" ht="14.25">
      <c r="A26" s="20" t="s">
        <v>81</v>
      </c>
      <c r="B26" s="31"/>
      <c r="C26" s="21">
        <v>2685781</v>
      </c>
      <c r="D26">
        <v>1311825</v>
      </c>
      <c r="E26" s="21">
        <v>2073958</v>
      </c>
      <c r="F26" s="21">
        <v>92420</v>
      </c>
      <c r="G26" s="21">
        <v>593740</v>
      </c>
      <c r="H26" s="178">
        <v>845896.8</v>
      </c>
      <c r="I26" s="82">
        <v>1029050.8</v>
      </c>
      <c r="J26" s="112">
        <v>1254361</v>
      </c>
      <c r="K26" s="112">
        <v>1199891</v>
      </c>
      <c r="L26" s="97"/>
      <c r="M26" s="21"/>
      <c r="N26" s="97"/>
      <c r="O26" s="21"/>
      <c r="P26" s="97"/>
      <c r="Q26" s="97"/>
      <c r="R26" s="97">
        <v>1774153</v>
      </c>
      <c r="S26" s="131">
        <v>36595</v>
      </c>
      <c r="T26" s="131">
        <v>40475</v>
      </c>
      <c r="U26" s="131">
        <v>40475</v>
      </c>
      <c r="V26" s="131">
        <v>40475</v>
      </c>
      <c r="W26" s="131">
        <v>71475</v>
      </c>
      <c r="X26" s="21">
        <v>70825</v>
      </c>
      <c r="Y26" s="131">
        <v>71085</v>
      </c>
      <c r="Z26" s="131">
        <v>72085</v>
      </c>
      <c r="AA26" s="131">
        <v>87285</v>
      </c>
      <c r="AB26" s="131">
        <v>90285</v>
      </c>
      <c r="AC26" s="155">
        <v>90715</v>
      </c>
      <c r="AD26" s="157">
        <v>93645</v>
      </c>
      <c r="AE26" s="157"/>
      <c r="AF26" s="2">
        <v>203215</v>
      </c>
      <c r="AG26" s="131">
        <v>0</v>
      </c>
      <c r="AH26" s="131">
        <v>0</v>
      </c>
      <c r="AI26" s="131">
        <v>22815</v>
      </c>
      <c r="AJ26" s="131">
        <v>25615</v>
      </c>
      <c r="AK26" s="131">
        <v>25615</v>
      </c>
      <c r="AL26" s="131">
        <v>25615</v>
      </c>
      <c r="AM26" s="131">
        <v>34875</v>
      </c>
      <c r="AN26" s="131">
        <v>43275</v>
      </c>
      <c r="AO26" s="131">
        <v>56595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1"/>
      <c r="BA26" s="21">
        <v>41000</v>
      </c>
      <c r="BB26" s="21">
        <v>43000</v>
      </c>
      <c r="BC26" s="21">
        <v>111380</v>
      </c>
      <c r="BD26" s="21">
        <v>216430</v>
      </c>
      <c r="BE26" s="21">
        <v>444905</v>
      </c>
      <c r="BF26" s="163">
        <v>482855</v>
      </c>
      <c r="BG26" s="199">
        <v>28200</v>
      </c>
      <c r="BH26" s="201">
        <v>28200</v>
      </c>
      <c r="BI26" s="201">
        <v>68223</v>
      </c>
      <c r="BJ26" s="201">
        <v>109600</v>
      </c>
      <c r="BK26" s="201">
        <v>115600</v>
      </c>
      <c r="BL26" s="201">
        <v>137400</v>
      </c>
      <c r="BM26" s="201">
        <v>162200</v>
      </c>
      <c r="BN26" s="201">
        <v>187800</v>
      </c>
      <c r="BO26" s="201">
        <v>228500</v>
      </c>
      <c r="BP26" s="201">
        <v>235200</v>
      </c>
      <c r="BQ26" s="201">
        <v>248600</v>
      </c>
      <c r="BR26" s="201">
        <v>274200</v>
      </c>
      <c r="BS26" s="50">
        <v>543030</v>
      </c>
      <c r="BT26" s="199">
        <v>12800</v>
      </c>
      <c r="BU26" s="201">
        <v>12800</v>
      </c>
      <c r="BV26" s="201">
        <v>33000</v>
      </c>
      <c r="BW26" s="201">
        <v>54200</v>
      </c>
      <c r="BX26" s="201">
        <v>62300</v>
      </c>
      <c r="BY26" s="199">
        <v>70000</v>
      </c>
      <c r="BZ26" s="212">
        <v>80100</v>
      </c>
      <c r="CA26" s="112">
        <v>70000</v>
      </c>
      <c r="CB26" s="212">
        <v>109100</v>
      </c>
      <c r="CC26" s="212">
        <v>120800</v>
      </c>
      <c r="CD26" s="212">
        <v>129400</v>
      </c>
      <c r="CE26" s="21">
        <v>141700</v>
      </c>
      <c r="CF26" s="297">
        <v>449080</v>
      </c>
      <c r="CG26" s="50">
        <f t="shared" si="18"/>
        <v>307380</v>
      </c>
      <c r="CH26" s="297">
        <v>449080</v>
      </c>
      <c r="CI26" s="317">
        <v>2000</v>
      </c>
      <c r="CJ26" s="319">
        <v>54920</v>
      </c>
      <c r="CK26" s="319">
        <v>110140</v>
      </c>
      <c r="CL26" s="319">
        <v>172790</v>
      </c>
      <c r="CM26" s="97">
        <v>176790</v>
      </c>
      <c r="CN26" s="317">
        <v>308240</v>
      </c>
      <c r="CO26" s="362">
        <v>323640</v>
      </c>
    </row>
    <row r="27" spans="1:93" ht="14.25">
      <c r="A27" s="20" t="s">
        <v>82</v>
      </c>
      <c r="B27" s="31">
        <v>861797</v>
      </c>
      <c r="C27" s="21">
        <v>1572032</v>
      </c>
      <c r="D27">
        <v>1301066</v>
      </c>
      <c r="E27" s="21">
        <v>2656400</v>
      </c>
      <c r="F27" s="21">
        <v>0</v>
      </c>
      <c r="G27" s="21">
        <v>244673.61</v>
      </c>
      <c r="H27" s="178">
        <v>382910.42</v>
      </c>
      <c r="I27" s="2">
        <v>527057.22</v>
      </c>
      <c r="J27" s="113">
        <v>658822</v>
      </c>
      <c r="K27" s="113">
        <f>790586</f>
        <v>790586</v>
      </c>
      <c r="M27" s="21"/>
      <c r="O27" s="21"/>
      <c r="R27" s="97">
        <v>1749694</v>
      </c>
      <c r="S27" s="131">
        <v>94741.62</v>
      </c>
      <c r="T27" s="131">
        <v>189483</v>
      </c>
      <c r="U27" s="131">
        <v>284224.86</v>
      </c>
      <c r="V27" s="131">
        <v>378967</v>
      </c>
      <c r="W27" s="131">
        <v>473708.1</v>
      </c>
      <c r="X27" s="21">
        <v>0</v>
      </c>
      <c r="Y27" s="131">
        <v>0</v>
      </c>
      <c r="Z27" s="131">
        <v>0</v>
      </c>
      <c r="AA27" s="131">
        <v>0</v>
      </c>
      <c r="AB27" s="131">
        <v>0</v>
      </c>
      <c r="AC27" s="155">
        <v>0</v>
      </c>
      <c r="AD27" s="157">
        <v>0</v>
      </c>
      <c r="AE27" s="157"/>
      <c r="AF27" s="2">
        <v>2329395</v>
      </c>
      <c r="AG27" s="131">
        <v>0</v>
      </c>
      <c r="AH27" s="131">
        <v>0</v>
      </c>
      <c r="AI27" s="131">
        <v>1979625</v>
      </c>
      <c r="AJ27" s="131">
        <v>0</v>
      </c>
      <c r="AK27" s="131">
        <v>0</v>
      </c>
      <c r="AL27" s="131">
        <v>0</v>
      </c>
      <c r="AM27" s="131">
        <v>0</v>
      </c>
      <c r="AN27" s="131">
        <v>0</v>
      </c>
      <c r="AO27" s="13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/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163">
        <v>1295691</v>
      </c>
      <c r="BG27" s="198">
        <v>0</v>
      </c>
      <c r="BH27" s="200">
        <v>0</v>
      </c>
      <c r="BI27" s="200">
        <v>0</v>
      </c>
      <c r="BJ27" s="200">
        <v>0</v>
      </c>
      <c r="BK27" s="200">
        <v>0</v>
      </c>
      <c r="BL27" s="200">
        <v>0</v>
      </c>
      <c r="BM27" s="200">
        <v>0</v>
      </c>
      <c r="BN27" s="200">
        <v>0</v>
      </c>
      <c r="BO27" s="200">
        <v>0</v>
      </c>
      <c r="BP27" s="200">
        <v>0</v>
      </c>
      <c r="BQ27" s="200">
        <v>0</v>
      </c>
      <c r="BR27" s="200">
        <v>0</v>
      </c>
      <c r="BS27" s="50">
        <v>934322</v>
      </c>
      <c r="BT27" s="198">
        <v>0</v>
      </c>
      <c r="BU27" s="200">
        <v>0</v>
      </c>
      <c r="BV27" s="200">
        <v>0</v>
      </c>
      <c r="BW27" s="200">
        <v>0</v>
      </c>
      <c r="BX27" s="200">
        <v>0</v>
      </c>
      <c r="BY27" s="198">
        <v>0</v>
      </c>
      <c r="BZ27" s="212">
        <v>0</v>
      </c>
      <c r="CA27" s="113">
        <v>0</v>
      </c>
      <c r="CB27" s="212">
        <v>0</v>
      </c>
      <c r="CC27" s="212">
        <v>0</v>
      </c>
      <c r="CD27" s="212">
        <v>0</v>
      </c>
      <c r="CE27" s="21">
        <v>0</v>
      </c>
      <c r="CF27" s="297">
        <f>765200+1082889</f>
        <v>1848089</v>
      </c>
      <c r="CG27" s="50">
        <f t="shared" si="18"/>
        <v>1848089</v>
      </c>
      <c r="CH27" s="297">
        <f>765200+1082889</f>
        <v>1848089</v>
      </c>
      <c r="CI27" s="316">
        <v>0</v>
      </c>
      <c r="CJ27" s="318">
        <v>0</v>
      </c>
      <c r="CK27" s="318">
        <v>0</v>
      </c>
      <c r="CL27" s="318">
        <v>0</v>
      </c>
      <c r="CM27">
        <v>0</v>
      </c>
      <c r="CN27" s="316">
        <v>0</v>
      </c>
      <c r="CO27" s="361">
        <v>0</v>
      </c>
    </row>
    <row r="28" spans="1:93" ht="14.25">
      <c r="A28" s="20" t="s">
        <v>83</v>
      </c>
      <c r="B28" s="31">
        <v>6092116</v>
      </c>
      <c r="C28" s="21">
        <v>4882812</v>
      </c>
      <c r="D28">
        <v>8301640</v>
      </c>
      <c r="E28" s="21">
        <v>8448869</v>
      </c>
      <c r="F28" s="21">
        <v>768273.2</v>
      </c>
      <c r="G28" s="21">
        <v>1493539.3</v>
      </c>
      <c r="H28" s="178">
        <v>2106929.4</v>
      </c>
      <c r="I28" s="82">
        <v>2129061.5</v>
      </c>
      <c r="J28" s="112">
        <v>2642865</v>
      </c>
      <c r="K28" s="112">
        <v>2907902</v>
      </c>
      <c r="L28" s="97"/>
      <c r="M28" s="21"/>
      <c r="N28" s="97"/>
      <c r="O28" s="21"/>
      <c r="P28" s="97"/>
      <c r="Q28" s="97"/>
      <c r="R28" s="97">
        <v>6483562</v>
      </c>
      <c r="S28" s="131">
        <v>1143922.8</v>
      </c>
      <c r="T28" s="131">
        <v>2227629.7999999998</v>
      </c>
      <c r="U28" s="131">
        <v>2560119.7999999998</v>
      </c>
      <c r="V28" s="131">
        <v>2604775.7999999998</v>
      </c>
      <c r="W28" s="131">
        <v>2642138.7999999998</v>
      </c>
      <c r="X28" s="21">
        <v>2724918.8</v>
      </c>
      <c r="Y28" s="131">
        <v>3713253.4</v>
      </c>
      <c r="Z28" s="131">
        <v>3941878.9</v>
      </c>
      <c r="AA28" s="131">
        <v>4400378.9000000004</v>
      </c>
      <c r="AB28" s="131">
        <v>4391112.9000000004</v>
      </c>
      <c r="AC28" s="155">
        <v>5276599.9000000004</v>
      </c>
      <c r="AD28" s="157">
        <v>6408819.9000000004</v>
      </c>
      <c r="AE28" s="157"/>
      <c r="AF28" s="2">
        <v>6751431</v>
      </c>
      <c r="AG28" s="131">
        <v>167555</v>
      </c>
      <c r="AH28" s="131">
        <v>301045</v>
      </c>
      <c r="AI28" s="131">
        <v>0</v>
      </c>
      <c r="AJ28" s="131">
        <v>2037188</v>
      </c>
      <c r="AK28" s="131">
        <v>2183700</v>
      </c>
      <c r="AL28" s="131">
        <v>2635774</v>
      </c>
      <c r="AM28" s="131">
        <v>2929577</v>
      </c>
      <c r="AN28" s="131">
        <v>3171561</v>
      </c>
      <c r="AO28" s="131">
        <v>3453232</v>
      </c>
      <c r="AT28" s="21">
        <v>143172</v>
      </c>
      <c r="AU28" s="21">
        <v>408991</v>
      </c>
      <c r="AV28" s="21">
        <v>574881</v>
      </c>
      <c r="AW28" s="21">
        <v>869198</v>
      </c>
      <c r="AX28" s="21">
        <v>1708829</v>
      </c>
      <c r="AY28" s="21">
        <v>2068756</v>
      </c>
      <c r="AZ28" s="21"/>
      <c r="BA28" s="21">
        <v>3031216</v>
      </c>
      <c r="BB28" s="21">
        <v>3309451</v>
      </c>
      <c r="BC28" s="21">
        <v>3633075</v>
      </c>
      <c r="BD28" s="21">
        <v>4137825</v>
      </c>
      <c r="BE28" s="21">
        <v>4890850</v>
      </c>
      <c r="BF28" s="164">
        <v>6752191</v>
      </c>
      <c r="BG28" s="199">
        <v>393300</v>
      </c>
      <c r="BH28" s="201">
        <v>887247</v>
      </c>
      <c r="BI28" s="201">
        <v>1476466</v>
      </c>
      <c r="BJ28" s="201">
        <v>2177739</v>
      </c>
      <c r="BK28" s="201">
        <v>2454894</v>
      </c>
      <c r="BL28" s="201">
        <v>2811062</v>
      </c>
      <c r="BM28" s="201">
        <v>3126593.42</v>
      </c>
      <c r="BN28" s="201">
        <v>3748941.42</v>
      </c>
      <c r="BO28" s="201">
        <v>4543626.42</v>
      </c>
      <c r="BP28" s="201">
        <v>4397383</v>
      </c>
      <c r="BQ28" s="201">
        <v>4923451.42</v>
      </c>
      <c r="BR28" s="201">
        <v>5603189.4199999999</v>
      </c>
      <c r="BS28" s="50">
        <v>5008851</v>
      </c>
      <c r="BT28" s="199">
        <v>540269.55000000005</v>
      </c>
      <c r="BU28" s="201">
        <v>1313527.55</v>
      </c>
      <c r="BV28" s="201">
        <v>2522577.1</v>
      </c>
      <c r="BW28" s="201">
        <v>2628693.1</v>
      </c>
      <c r="BX28" s="201">
        <v>2585124.7000000002</v>
      </c>
      <c r="BY28" s="199">
        <v>3728904.1</v>
      </c>
      <c r="BZ28" s="212">
        <v>4083164.1</v>
      </c>
      <c r="CA28" s="112">
        <v>4629408.0999999996</v>
      </c>
      <c r="CB28" s="212">
        <v>4830393.0999999996</v>
      </c>
      <c r="CC28" s="212">
        <v>5632791.2999999998</v>
      </c>
      <c r="CD28" s="212">
        <v>5671471.0999999996</v>
      </c>
      <c r="CE28" s="21">
        <v>9281157.5800000001</v>
      </c>
      <c r="CF28" s="293">
        <f>7168918+2000000</f>
        <v>9168918</v>
      </c>
      <c r="CG28" s="50">
        <f t="shared" si="18"/>
        <v>-112239.58000000007</v>
      </c>
      <c r="CH28" s="293">
        <f>7168918+2000000</f>
        <v>9168918</v>
      </c>
      <c r="CI28" s="317">
        <v>580223.61</v>
      </c>
      <c r="CJ28" s="319">
        <v>1509487.53</v>
      </c>
      <c r="CK28" s="319">
        <v>2587938.04</v>
      </c>
      <c r="CL28" s="319">
        <v>2954963.95</v>
      </c>
      <c r="CM28" s="97">
        <v>3685764.46</v>
      </c>
      <c r="CN28" s="317">
        <v>3954806.47</v>
      </c>
      <c r="CO28" s="362">
        <v>4265766.9800000004</v>
      </c>
    </row>
    <row r="29" spans="1:93" ht="14.25">
      <c r="A29" s="19" t="s">
        <v>84</v>
      </c>
      <c r="B29" s="69">
        <f>B19-B20-B23</f>
        <v>7240049</v>
      </c>
      <c r="C29" s="69">
        <f>C19-C20-C23</f>
        <v>10388692</v>
      </c>
      <c r="D29" s="69">
        <f t="shared" ref="D29:J29" si="57">D19-D20-D23</f>
        <v>2109246</v>
      </c>
      <c r="E29" s="69">
        <f t="shared" si="57"/>
        <v>1086673</v>
      </c>
      <c r="F29" s="69">
        <f t="shared" si="57"/>
        <v>139937.96999999974</v>
      </c>
      <c r="G29" s="69">
        <f t="shared" si="57"/>
        <v>-3983344.1899999995</v>
      </c>
      <c r="H29" s="69">
        <f t="shared" si="57"/>
        <v>-3041115.6600000011</v>
      </c>
      <c r="I29" s="69">
        <f t="shared" si="57"/>
        <v>-3751698.2200000007</v>
      </c>
      <c r="J29" s="69">
        <f t="shared" si="57"/>
        <v>-5524837.4399999995</v>
      </c>
      <c r="K29" s="69">
        <f t="shared" ref="K29:R29" si="58">K19-K20-K23</f>
        <v>-6052518.6900000013</v>
      </c>
      <c r="L29" s="69">
        <f t="shared" si="58"/>
        <v>0</v>
      </c>
      <c r="M29" s="69">
        <f t="shared" si="58"/>
        <v>0</v>
      </c>
      <c r="N29" s="69">
        <f t="shared" si="58"/>
        <v>0</v>
      </c>
      <c r="O29" s="69">
        <f t="shared" si="58"/>
        <v>0</v>
      </c>
      <c r="P29" s="69">
        <f t="shared" si="58"/>
        <v>0</v>
      </c>
      <c r="Q29" s="69">
        <f t="shared" si="58"/>
        <v>0</v>
      </c>
      <c r="R29" s="127">
        <f t="shared" si="58"/>
        <v>-5971671</v>
      </c>
      <c r="S29" s="129">
        <f t="shared" ref="S29:AF29" si="59">S19-S20-S23</f>
        <v>346310.53000000026</v>
      </c>
      <c r="T29" s="129">
        <f t="shared" si="59"/>
        <v>168987.26999999955</v>
      </c>
      <c r="U29" s="129">
        <f t="shared" si="59"/>
        <v>-3905970.17</v>
      </c>
      <c r="V29" s="129">
        <f t="shared" si="59"/>
        <v>-8355270.6100000003</v>
      </c>
      <c r="W29" s="129">
        <f t="shared" si="59"/>
        <v>-31826717.010000002</v>
      </c>
      <c r="X29" s="129">
        <f t="shared" si="59"/>
        <v>118400.58000000007</v>
      </c>
      <c r="Y29" s="129">
        <f t="shared" si="59"/>
        <v>-1420935.92</v>
      </c>
      <c r="Z29" s="129">
        <f t="shared" si="59"/>
        <v>-4592770.67</v>
      </c>
      <c r="AA29" s="129">
        <f t="shared" si="59"/>
        <v>-2326297.040000001</v>
      </c>
      <c r="AB29" s="129">
        <f t="shared" si="59"/>
        <v>-3452330.9700000025</v>
      </c>
      <c r="AC29" s="152">
        <f t="shared" si="59"/>
        <v>-2823447.0299999975</v>
      </c>
      <c r="AD29" s="129">
        <f t="shared" si="59"/>
        <v>-5176705.629999999</v>
      </c>
      <c r="AE29" s="129">
        <f t="shared" si="59"/>
        <v>7436291.1100000013</v>
      </c>
      <c r="AF29" s="129">
        <f t="shared" si="59"/>
        <v>-21081679.350000001</v>
      </c>
      <c r="AG29" s="129">
        <f t="shared" ref="AG29:BF29" si="60">AG19-AG20-AG23</f>
        <v>-604150.02</v>
      </c>
      <c r="AH29" s="129">
        <f t="shared" si="60"/>
        <v>-714008.62000000011</v>
      </c>
      <c r="AI29" s="129">
        <f t="shared" si="60"/>
        <v>-6480948.5599999987</v>
      </c>
      <c r="AJ29" s="129">
        <f t="shared" si="60"/>
        <v>-4001296.6799999997</v>
      </c>
      <c r="AK29" s="129">
        <f t="shared" si="60"/>
        <v>-5033835.5</v>
      </c>
      <c r="AL29" s="129">
        <f t="shared" si="60"/>
        <v>-5423604.5</v>
      </c>
      <c r="AM29" s="129">
        <f t="shared" si="60"/>
        <v>-6142663.3700000001</v>
      </c>
      <c r="AN29" s="129">
        <f t="shared" si="60"/>
        <v>-3494140.0200000005</v>
      </c>
      <c r="AO29" s="129">
        <f t="shared" si="60"/>
        <v>-7198998.4500000002</v>
      </c>
      <c r="AP29" s="129">
        <f t="shared" si="60"/>
        <v>0</v>
      </c>
      <c r="AQ29" s="129">
        <f t="shared" si="60"/>
        <v>0</v>
      </c>
      <c r="AR29" s="129">
        <f t="shared" si="60"/>
        <v>0</v>
      </c>
      <c r="AS29" s="129">
        <f t="shared" si="60"/>
        <v>0</v>
      </c>
      <c r="AT29" s="129">
        <f t="shared" si="60"/>
        <v>-111592353.03</v>
      </c>
      <c r="AU29" s="129">
        <f t="shared" si="60"/>
        <v>-2512900.4300000002</v>
      </c>
      <c r="AV29" s="129">
        <f t="shared" si="60"/>
        <v>7115986.7399999984</v>
      </c>
      <c r="AW29" s="129">
        <f t="shared" si="60"/>
        <v>6210002.4499999993</v>
      </c>
      <c r="AX29" s="129">
        <f t="shared" si="60"/>
        <v>4876056.3299999982</v>
      </c>
      <c r="AY29" s="129">
        <f t="shared" si="60"/>
        <v>4689830.7799999993</v>
      </c>
      <c r="AZ29" s="129">
        <f t="shared" si="60"/>
        <v>0</v>
      </c>
      <c r="BA29" s="129">
        <f t="shared" si="60"/>
        <v>1141779.5</v>
      </c>
      <c r="BB29" s="129">
        <f t="shared" si="60"/>
        <v>7307591.4600000009</v>
      </c>
      <c r="BC29" s="129">
        <f t="shared" si="60"/>
        <v>11806863.129999999</v>
      </c>
      <c r="BD29" s="129">
        <f t="shared" si="60"/>
        <v>11104459.919999998</v>
      </c>
      <c r="BE29" s="129">
        <f t="shared" si="60"/>
        <v>14808286.349999998</v>
      </c>
      <c r="BF29" s="129">
        <f t="shared" si="60"/>
        <v>11920041</v>
      </c>
      <c r="BG29" s="129">
        <f t="shared" ref="BG29:BS29" si="61">BG19-BG20-BG23</f>
        <v>-809352.05</v>
      </c>
      <c r="BH29" s="129">
        <f t="shared" si="61"/>
        <v>-438323.23999999976</v>
      </c>
      <c r="BI29" s="129">
        <f t="shared" si="61"/>
        <v>-548672.04999999981</v>
      </c>
      <c r="BJ29" s="129">
        <f t="shared" si="61"/>
        <v>-246597.18999999948</v>
      </c>
      <c r="BK29" s="129">
        <f t="shared" si="61"/>
        <v>585169.0700000003</v>
      </c>
      <c r="BL29" s="129">
        <f t="shared" si="61"/>
        <v>1135015.339999998</v>
      </c>
      <c r="BM29" s="129">
        <f t="shared" si="61"/>
        <v>1741053.9299999997</v>
      </c>
      <c r="BN29" s="129">
        <f t="shared" si="61"/>
        <v>-160769.23000000045</v>
      </c>
      <c r="BO29" s="129">
        <f t="shared" si="61"/>
        <v>1491229.5599999987</v>
      </c>
      <c r="BP29" s="129">
        <f t="shared" si="61"/>
        <v>1534461.2699999977</v>
      </c>
      <c r="BQ29" s="129">
        <f t="shared" si="61"/>
        <v>1827781.9299999978</v>
      </c>
      <c r="BR29" s="129">
        <f t="shared" si="61"/>
        <v>264768.62999999523</v>
      </c>
      <c r="BS29" s="129">
        <f t="shared" si="61"/>
        <v>-639675</v>
      </c>
      <c r="BT29" s="129">
        <f t="shared" ref="BT29:BZ29" si="62">BT19-BT20-BT23</f>
        <v>295833.45999999973</v>
      </c>
      <c r="BU29" s="129">
        <f t="shared" si="62"/>
        <v>520505.82999999961</v>
      </c>
      <c r="BV29" s="129">
        <f t="shared" si="62"/>
        <v>-169816.41999999993</v>
      </c>
      <c r="BW29" s="129">
        <f t="shared" si="62"/>
        <v>1884959.6999999993</v>
      </c>
      <c r="BX29" s="129">
        <f t="shared" si="62"/>
        <v>1571754.04</v>
      </c>
      <c r="BY29" s="129">
        <f t="shared" si="62"/>
        <v>394143.79000000097</v>
      </c>
      <c r="BZ29" s="129">
        <f t="shared" si="62"/>
        <v>1209379.209999999</v>
      </c>
      <c r="CA29" s="129">
        <f t="shared" ref="CA29:CE29" si="63">CA19-CA20-CA23</f>
        <v>386472.44000000134</v>
      </c>
      <c r="CB29" s="129">
        <f t="shared" si="63"/>
        <v>2126515.8499999996</v>
      </c>
      <c r="CC29" s="129">
        <f t="shared" si="63"/>
        <v>3369037.9200000018</v>
      </c>
      <c r="CD29" s="129">
        <f t="shared" si="63"/>
        <v>6021982.9800000023</v>
      </c>
      <c r="CE29" s="129">
        <f t="shared" si="63"/>
        <v>2535724.9499999993</v>
      </c>
      <c r="CF29" s="294">
        <f t="shared" ref="CF29:CL29" si="64">CF19-CF20-CF23</f>
        <v>434575.96999999881</v>
      </c>
      <c r="CG29" s="50">
        <f t="shared" si="18"/>
        <v>-2101148.9800000004</v>
      </c>
      <c r="CH29" s="294">
        <f t="shared" si="64"/>
        <v>434575.96999999881</v>
      </c>
      <c r="CI29" s="294">
        <f t="shared" si="64"/>
        <v>1461011.17</v>
      </c>
      <c r="CJ29" s="294">
        <f t="shared" si="64"/>
        <v>1802568.62</v>
      </c>
      <c r="CK29" s="294">
        <f t="shared" si="64"/>
        <v>3176068</v>
      </c>
      <c r="CL29" s="294">
        <f t="shared" si="64"/>
        <v>4199379.0499999989</v>
      </c>
      <c r="CM29" s="294">
        <f t="shared" ref="CM29:CO29" si="65">CM19-CM20-CM23</f>
        <v>4751194.33</v>
      </c>
      <c r="CN29" s="294">
        <f t="shared" si="65"/>
        <v>5179996.49</v>
      </c>
      <c r="CO29" s="294">
        <f t="shared" si="65"/>
        <v>4437741.84</v>
      </c>
    </row>
    <row r="30" spans="1:93" ht="14.25">
      <c r="A30" s="19" t="s">
        <v>85</v>
      </c>
      <c r="B30" s="69">
        <f>B31-B32</f>
        <v>0</v>
      </c>
      <c r="C30" s="69">
        <f>C31-C32</f>
        <v>0</v>
      </c>
      <c r="D30" s="69">
        <f t="shared" ref="D30:J30" si="66">D31-D32</f>
        <v>0</v>
      </c>
      <c r="E30" s="69">
        <f t="shared" si="66"/>
        <v>0</v>
      </c>
      <c r="F30" s="69">
        <f t="shared" si="66"/>
        <v>0</v>
      </c>
      <c r="G30" s="69">
        <f t="shared" si="66"/>
        <v>0</v>
      </c>
      <c r="H30" s="69">
        <f t="shared" si="66"/>
        <v>0</v>
      </c>
      <c r="I30" s="69">
        <f t="shared" si="66"/>
        <v>1263145.3400000001</v>
      </c>
      <c r="J30" s="69">
        <f t="shared" si="66"/>
        <v>788457</v>
      </c>
      <c r="K30" s="69">
        <f t="shared" ref="K30:BF30" si="67">K31-K32</f>
        <v>1193735</v>
      </c>
      <c r="L30" s="69">
        <f t="shared" si="67"/>
        <v>0</v>
      </c>
      <c r="M30" s="69">
        <f t="shared" si="67"/>
        <v>0</v>
      </c>
      <c r="N30" s="69">
        <f t="shared" si="67"/>
        <v>0</v>
      </c>
      <c r="O30" s="69">
        <f t="shared" si="67"/>
        <v>0</v>
      </c>
      <c r="P30" s="69">
        <f t="shared" si="67"/>
        <v>0</v>
      </c>
      <c r="Q30" s="69">
        <f t="shared" si="67"/>
        <v>0</v>
      </c>
      <c r="R30" s="127">
        <f t="shared" si="67"/>
        <v>0</v>
      </c>
      <c r="S30" s="127">
        <f t="shared" si="67"/>
        <v>159464</v>
      </c>
      <c r="T30" s="127">
        <f t="shared" si="67"/>
        <v>237679</v>
      </c>
      <c r="U30" s="127">
        <f t="shared" si="67"/>
        <v>90007.670000000013</v>
      </c>
      <c r="V30" s="127">
        <f t="shared" si="67"/>
        <v>-44897.200000000012</v>
      </c>
      <c r="W30" s="127">
        <f t="shared" si="67"/>
        <v>-83707.070000000007</v>
      </c>
      <c r="X30" s="127">
        <f t="shared" si="67"/>
        <v>0</v>
      </c>
      <c r="Y30" s="127">
        <f t="shared" si="67"/>
        <v>0</v>
      </c>
      <c r="Z30" s="127">
        <f t="shared" si="67"/>
        <v>0</v>
      </c>
      <c r="AA30" s="127">
        <f t="shared" si="67"/>
        <v>0</v>
      </c>
      <c r="AB30" s="127">
        <f t="shared" si="67"/>
        <v>0</v>
      </c>
      <c r="AC30" s="127">
        <f t="shared" si="67"/>
        <v>0</v>
      </c>
      <c r="AD30" s="127">
        <f t="shared" si="67"/>
        <v>0</v>
      </c>
      <c r="AE30" s="127">
        <f t="shared" si="67"/>
        <v>0</v>
      </c>
      <c r="AF30" s="127">
        <f t="shared" si="67"/>
        <v>0</v>
      </c>
      <c r="AG30" s="127">
        <f t="shared" si="67"/>
        <v>0</v>
      </c>
      <c r="AH30" s="127">
        <f t="shared" si="67"/>
        <v>0</v>
      </c>
      <c r="AI30" s="127">
        <f t="shared" si="67"/>
        <v>0</v>
      </c>
      <c r="AJ30" s="127">
        <f t="shared" si="67"/>
        <v>0</v>
      </c>
      <c r="AK30" s="127">
        <f t="shared" si="67"/>
        <v>0</v>
      </c>
      <c r="AL30" s="127">
        <f t="shared" si="67"/>
        <v>0</v>
      </c>
      <c r="AM30" s="127">
        <f t="shared" si="67"/>
        <v>0</v>
      </c>
      <c r="AN30" s="127">
        <f t="shared" si="67"/>
        <v>0</v>
      </c>
      <c r="AO30" s="127">
        <f t="shared" si="67"/>
        <v>0</v>
      </c>
      <c r="AP30" s="127">
        <f t="shared" si="67"/>
        <v>0</v>
      </c>
      <c r="AQ30" s="127">
        <f t="shared" si="67"/>
        <v>0</v>
      </c>
      <c r="AR30" s="127">
        <f t="shared" si="67"/>
        <v>0</v>
      </c>
      <c r="AS30" s="127">
        <f t="shared" si="67"/>
        <v>0</v>
      </c>
      <c r="AT30" s="127">
        <f t="shared" si="67"/>
        <v>0</v>
      </c>
      <c r="AU30" s="127">
        <f t="shared" si="67"/>
        <v>0</v>
      </c>
      <c r="AV30" s="127">
        <f t="shared" si="67"/>
        <v>0</v>
      </c>
      <c r="AW30" s="127">
        <f t="shared" si="67"/>
        <v>0</v>
      </c>
      <c r="AX30" s="127">
        <f t="shared" si="67"/>
        <v>0</v>
      </c>
      <c r="AY30" s="127">
        <f t="shared" si="67"/>
        <v>0</v>
      </c>
      <c r="AZ30" s="127">
        <f t="shared" si="67"/>
        <v>0</v>
      </c>
      <c r="BA30" s="127">
        <f t="shared" si="67"/>
        <v>0</v>
      </c>
      <c r="BB30" s="127">
        <f t="shared" si="67"/>
        <v>0</v>
      </c>
      <c r="BC30" s="127">
        <f t="shared" si="67"/>
        <v>0</v>
      </c>
      <c r="BD30" s="127">
        <f t="shared" si="67"/>
        <v>0</v>
      </c>
      <c r="BE30" s="127">
        <f t="shared" si="67"/>
        <v>0</v>
      </c>
      <c r="BF30" s="127">
        <f t="shared" si="67"/>
        <v>0</v>
      </c>
      <c r="BG30" s="127">
        <f t="shared" ref="BG30:BS30" si="68">BG31-BG32</f>
        <v>0</v>
      </c>
      <c r="BH30" s="127">
        <f t="shared" si="68"/>
        <v>0</v>
      </c>
      <c r="BI30" s="127">
        <f t="shared" si="68"/>
        <v>0</v>
      </c>
      <c r="BJ30" s="127">
        <f t="shared" si="68"/>
        <v>0</v>
      </c>
      <c r="BK30" s="127">
        <f t="shared" si="68"/>
        <v>0</v>
      </c>
      <c r="BL30" s="127">
        <f t="shared" si="68"/>
        <v>0</v>
      </c>
      <c r="BM30" s="127">
        <f t="shared" si="68"/>
        <v>0</v>
      </c>
      <c r="BN30" s="127">
        <f t="shared" si="68"/>
        <v>0</v>
      </c>
      <c r="BO30" s="127">
        <f t="shared" si="68"/>
        <v>0</v>
      </c>
      <c r="BP30" s="127">
        <f t="shared" si="68"/>
        <v>0</v>
      </c>
      <c r="BQ30" s="127">
        <f t="shared" si="68"/>
        <v>0</v>
      </c>
      <c r="BR30" s="127">
        <f t="shared" si="68"/>
        <v>0</v>
      </c>
      <c r="BS30" s="127">
        <f t="shared" si="68"/>
        <v>0</v>
      </c>
      <c r="BT30" s="127">
        <f t="shared" ref="BT30:BZ30" si="69">BT31-BT32</f>
        <v>0</v>
      </c>
      <c r="BU30" s="127">
        <f t="shared" si="69"/>
        <v>0</v>
      </c>
      <c r="BV30" s="127">
        <f t="shared" si="69"/>
        <v>0</v>
      </c>
      <c r="BW30" s="127">
        <f t="shared" si="69"/>
        <v>0</v>
      </c>
      <c r="BX30" s="127">
        <f t="shared" si="69"/>
        <v>0</v>
      </c>
      <c r="BY30" s="127">
        <f t="shared" si="69"/>
        <v>0</v>
      </c>
      <c r="BZ30" s="127">
        <f t="shared" si="69"/>
        <v>0</v>
      </c>
      <c r="CA30" s="127">
        <f t="shared" ref="CA30:CE30" si="70">CA31-CA32</f>
        <v>0</v>
      </c>
      <c r="CB30" s="127">
        <f t="shared" si="70"/>
        <v>0</v>
      </c>
      <c r="CC30" s="127">
        <f t="shared" si="70"/>
        <v>0</v>
      </c>
      <c r="CD30" s="127">
        <f t="shared" si="70"/>
        <v>0</v>
      </c>
      <c r="CE30" s="127">
        <f t="shared" si="70"/>
        <v>0</v>
      </c>
      <c r="CF30" s="127">
        <f t="shared" ref="CF30:CL30" si="71">CF31-CF32</f>
        <v>0</v>
      </c>
      <c r="CG30" s="50">
        <f t="shared" si="18"/>
        <v>0</v>
      </c>
      <c r="CH30" s="127">
        <f t="shared" si="71"/>
        <v>0</v>
      </c>
      <c r="CI30" s="127">
        <f t="shared" si="71"/>
        <v>0</v>
      </c>
      <c r="CJ30" s="127">
        <f t="shared" si="71"/>
        <v>0</v>
      </c>
      <c r="CK30" s="127">
        <f t="shared" si="71"/>
        <v>0</v>
      </c>
      <c r="CL30" s="127">
        <f t="shared" si="71"/>
        <v>0</v>
      </c>
      <c r="CM30" s="127">
        <f t="shared" ref="CM30:CO30" si="72">CM31-CM32</f>
        <v>0</v>
      </c>
      <c r="CN30" s="127">
        <f t="shared" si="72"/>
        <v>0</v>
      </c>
      <c r="CO30" s="127">
        <f t="shared" si="72"/>
        <v>0</v>
      </c>
    </row>
    <row r="31" spans="1:93" ht="14.25">
      <c r="A31" s="20" t="s">
        <v>86</v>
      </c>
      <c r="B31" s="31"/>
      <c r="C31" s="21">
        <v>0</v>
      </c>
      <c r="E31" s="21"/>
      <c r="F31" s="21">
        <v>0</v>
      </c>
      <c r="G31" s="21">
        <v>0</v>
      </c>
      <c r="H31" s="178">
        <v>0</v>
      </c>
      <c r="I31" s="2">
        <v>1386618.34</v>
      </c>
      <c r="J31" s="114">
        <v>950812</v>
      </c>
      <c r="K31" s="114">
        <v>1520090</v>
      </c>
      <c r="M31" s="21"/>
      <c r="O31" s="21"/>
      <c r="S31" s="131">
        <v>209664</v>
      </c>
      <c r="T31" s="131">
        <v>336879</v>
      </c>
      <c r="U31" s="131">
        <v>217207.67</v>
      </c>
      <c r="V31" s="131">
        <v>152302.79999999999</v>
      </c>
      <c r="W31" s="131">
        <v>162492.93</v>
      </c>
      <c r="X31" s="131"/>
      <c r="Y31" s="131"/>
      <c r="Z31" s="131"/>
      <c r="AA31" s="131"/>
      <c r="AB31" s="131"/>
      <c r="AC31" s="155">
        <v>0</v>
      </c>
      <c r="AD31" s="157">
        <v>0</v>
      </c>
      <c r="AE31" s="157"/>
      <c r="AF31" s="2"/>
      <c r="AG31" s="2"/>
      <c r="AH31" s="2"/>
      <c r="AI31" s="2"/>
      <c r="AJ31" s="2"/>
      <c r="AK31" s="2"/>
      <c r="AL31" s="2"/>
      <c r="AM31" s="2"/>
      <c r="AN31" s="2"/>
      <c r="AO31" s="2"/>
      <c r="BG31" s="50"/>
      <c r="BH31" s="165"/>
      <c r="CG31" s="50">
        <f t="shared" si="18"/>
        <v>0</v>
      </c>
      <c r="CI31" s="312">
        <v>0</v>
      </c>
      <c r="CJ31" s="314">
        <v>0</v>
      </c>
      <c r="CK31" s="314">
        <v>0</v>
      </c>
      <c r="CL31" s="314">
        <v>0</v>
      </c>
      <c r="CM31">
        <v>0</v>
      </c>
      <c r="CN31" s="312">
        <v>0</v>
      </c>
      <c r="CO31" s="359">
        <v>0</v>
      </c>
    </row>
    <row r="32" spans="1:93" ht="14.25">
      <c r="A32" s="20" t="s">
        <v>87</v>
      </c>
      <c r="B32" s="31"/>
      <c r="C32" s="21">
        <v>0</v>
      </c>
      <c r="E32" s="21"/>
      <c r="F32" s="21">
        <v>0</v>
      </c>
      <c r="G32" s="21">
        <v>0</v>
      </c>
      <c r="H32" s="178">
        <v>0</v>
      </c>
      <c r="I32" s="2">
        <v>123473</v>
      </c>
      <c r="J32" s="115">
        <v>162355</v>
      </c>
      <c r="K32" s="115">
        <v>326355</v>
      </c>
      <c r="M32" s="21"/>
      <c r="O32" s="21"/>
      <c r="S32" s="131">
        <v>50200</v>
      </c>
      <c r="T32" s="131">
        <v>99200</v>
      </c>
      <c r="U32" s="131">
        <v>127200</v>
      </c>
      <c r="V32" s="131">
        <v>197200</v>
      </c>
      <c r="W32" s="131">
        <v>246200</v>
      </c>
      <c r="X32" s="131"/>
      <c r="Y32" s="131"/>
      <c r="Z32" s="131"/>
      <c r="AA32" s="131"/>
      <c r="AB32" s="131"/>
      <c r="AC32" s="155">
        <v>0</v>
      </c>
      <c r="AD32" s="157">
        <v>0</v>
      </c>
      <c r="AE32" s="157"/>
      <c r="AF32" s="2"/>
      <c r="AG32" s="2"/>
      <c r="AH32" s="2"/>
      <c r="AI32" s="2"/>
      <c r="AJ32" s="2"/>
      <c r="AK32" s="2"/>
      <c r="AL32" s="2"/>
      <c r="AM32" s="2"/>
      <c r="AN32" s="2"/>
      <c r="AO32" s="2"/>
      <c r="BG32" s="50"/>
      <c r="BH32" s="165"/>
      <c r="CG32" s="50">
        <f t="shared" si="18"/>
        <v>0</v>
      </c>
      <c r="CI32" s="316">
        <v>0</v>
      </c>
      <c r="CJ32" s="318">
        <v>0</v>
      </c>
      <c r="CK32" s="318">
        <v>0</v>
      </c>
      <c r="CL32" s="318">
        <v>0</v>
      </c>
      <c r="CM32">
        <v>0</v>
      </c>
      <c r="CN32" s="316">
        <v>0</v>
      </c>
      <c r="CO32" s="361">
        <v>0</v>
      </c>
    </row>
    <row r="33" spans="1:94" ht="14.25">
      <c r="A33" s="22" t="s">
        <v>88</v>
      </c>
      <c r="B33" s="70">
        <f t="shared" ref="B33:P33" si="73">B29+B30</f>
        <v>7240049</v>
      </c>
      <c r="C33" s="70">
        <f t="shared" si="73"/>
        <v>10388692</v>
      </c>
      <c r="D33" s="70">
        <f t="shared" si="73"/>
        <v>2109246</v>
      </c>
      <c r="E33" s="70">
        <f t="shared" si="73"/>
        <v>1086673</v>
      </c>
      <c r="F33" s="70">
        <f t="shared" si="73"/>
        <v>139937.96999999974</v>
      </c>
      <c r="G33" s="70">
        <f t="shared" si="73"/>
        <v>-3983344.1899999995</v>
      </c>
      <c r="H33" s="70">
        <f t="shared" si="73"/>
        <v>-3041115.6600000011</v>
      </c>
      <c r="I33" s="70">
        <f t="shared" si="73"/>
        <v>-2488552.8800000008</v>
      </c>
      <c r="J33" s="70">
        <f t="shared" si="73"/>
        <v>-4736380.4399999995</v>
      </c>
      <c r="K33" s="70">
        <f t="shared" si="73"/>
        <v>-4858783.6900000013</v>
      </c>
      <c r="L33" s="70">
        <f t="shared" si="73"/>
        <v>0</v>
      </c>
      <c r="M33" s="70">
        <f t="shared" si="73"/>
        <v>0</v>
      </c>
      <c r="N33" s="70">
        <f t="shared" si="73"/>
        <v>0</v>
      </c>
      <c r="O33" s="70">
        <f t="shared" si="73"/>
        <v>0</v>
      </c>
      <c r="P33" s="70">
        <f t="shared" si="73"/>
        <v>0</v>
      </c>
      <c r="Q33" s="70">
        <f t="shared" ref="Q33:BZ33" si="74">Q29+Q30</f>
        <v>0</v>
      </c>
      <c r="R33" s="128">
        <f t="shared" si="74"/>
        <v>-5971671</v>
      </c>
      <c r="S33" s="128">
        <f t="shared" si="74"/>
        <v>505774.53000000026</v>
      </c>
      <c r="T33" s="128">
        <f t="shared" si="74"/>
        <v>406666.26999999955</v>
      </c>
      <c r="U33" s="128">
        <f t="shared" si="74"/>
        <v>-3815962.5</v>
      </c>
      <c r="V33" s="128">
        <f t="shared" si="74"/>
        <v>-8400167.8100000005</v>
      </c>
      <c r="W33" s="128">
        <f t="shared" si="74"/>
        <v>-31910424.080000002</v>
      </c>
      <c r="X33" s="128">
        <f t="shared" si="74"/>
        <v>118400.58000000007</v>
      </c>
      <c r="Y33" s="128">
        <f t="shared" si="74"/>
        <v>-1420935.92</v>
      </c>
      <c r="Z33" s="128">
        <f t="shared" si="74"/>
        <v>-4592770.67</v>
      </c>
      <c r="AA33" s="128">
        <f t="shared" si="74"/>
        <v>-2326297.040000001</v>
      </c>
      <c r="AB33" s="128">
        <f t="shared" si="74"/>
        <v>-3452330.9700000025</v>
      </c>
      <c r="AC33" s="128">
        <f t="shared" si="74"/>
        <v>-2823447.0299999975</v>
      </c>
      <c r="AD33" s="128">
        <f t="shared" si="74"/>
        <v>-5176705.629999999</v>
      </c>
      <c r="AE33" s="128">
        <f t="shared" si="74"/>
        <v>7436291.1100000013</v>
      </c>
      <c r="AF33" s="128">
        <f t="shared" si="74"/>
        <v>-21081679.350000001</v>
      </c>
      <c r="AG33" s="128">
        <f t="shared" si="74"/>
        <v>-604150.02</v>
      </c>
      <c r="AH33" s="128">
        <f t="shared" si="74"/>
        <v>-714008.62000000011</v>
      </c>
      <c r="AI33" s="128">
        <f t="shared" si="74"/>
        <v>-6480948.5599999987</v>
      </c>
      <c r="AJ33" s="128">
        <f t="shared" si="74"/>
        <v>-4001296.6799999997</v>
      </c>
      <c r="AK33" s="128">
        <f t="shared" si="74"/>
        <v>-5033835.5</v>
      </c>
      <c r="AL33" s="128">
        <f t="shared" si="74"/>
        <v>-5423604.5</v>
      </c>
      <c r="AM33" s="128">
        <f t="shared" si="74"/>
        <v>-6142663.3700000001</v>
      </c>
      <c r="AN33" s="128">
        <f t="shared" si="74"/>
        <v>-3494140.0200000005</v>
      </c>
      <c r="AO33" s="128">
        <f t="shared" si="74"/>
        <v>-7198998.4500000002</v>
      </c>
      <c r="AP33" s="128">
        <f t="shared" si="74"/>
        <v>0</v>
      </c>
      <c r="AQ33" s="128">
        <f t="shared" si="74"/>
        <v>0</v>
      </c>
      <c r="AR33" s="128">
        <f t="shared" si="74"/>
        <v>0</v>
      </c>
      <c r="AS33" s="128">
        <f t="shared" si="74"/>
        <v>0</v>
      </c>
      <c r="AT33" s="128">
        <f t="shared" si="74"/>
        <v>-111592353.03</v>
      </c>
      <c r="AU33" s="128">
        <f t="shared" si="74"/>
        <v>-2512900.4300000002</v>
      </c>
      <c r="AV33" s="128">
        <f t="shared" si="74"/>
        <v>7115986.7399999984</v>
      </c>
      <c r="AW33" s="128">
        <f t="shared" si="74"/>
        <v>6210002.4499999993</v>
      </c>
      <c r="AX33" s="128">
        <f t="shared" si="74"/>
        <v>4876056.3299999982</v>
      </c>
      <c r="AY33" s="128">
        <f t="shared" si="74"/>
        <v>4689830.7799999993</v>
      </c>
      <c r="AZ33" s="128">
        <f t="shared" si="74"/>
        <v>0</v>
      </c>
      <c r="BA33" s="128">
        <f t="shared" si="74"/>
        <v>1141779.5</v>
      </c>
      <c r="BB33" s="128">
        <f t="shared" si="74"/>
        <v>7307591.4600000009</v>
      </c>
      <c r="BC33" s="128">
        <f t="shared" si="74"/>
        <v>11806863.129999999</v>
      </c>
      <c r="BD33" s="128">
        <f t="shared" si="74"/>
        <v>11104459.919999998</v>
      </c>
      <c r="BE33" s="128">
        <f t="shared" si="74"/>
        <v>14808286.349999998</v>
      </c>
      <c r="BF33" s="128">
        <f t="shared" si="74"/>
        <v>11920041</v>
      </c>
      <c r="BG33" s="128">
        <f t="shared" si="74"/>
        <v>-809352.05</v>
      </c>
      <c r="BH33" s="128">
        <f t="shared" si="74"/>
        <v>-438323.23999999976</v>
      </c>
      <c r="BI33" s="128">
        <f t="shared" si="74"/>
        <v>-548672.04999999981</v>
      </c>
      <c r="BJ33" s="128">
        <f t="shared" si="74"/>
        <v>-246597.18999999948</v>
      </c>
      <c r="BK33" s="128">
        <f t="shared" si="74"/>
        <v>585169.0700000003</v>
      </c>
      <c r="BL33" s="128">
        <f t="shared" si="74"/>
        <v>1135015.339999998</v>
      </c>
      <c r="BM33" s="128">
        <f t="shared" si="74"/>
        <v>1741053.9299999997</v>
      </c>
      <c r="BN33" s="128">
        <f t="shared" si="74"/>
        <v>-160769.23000000045</v>
      </c>
      <c r="BO33" s="128">
        <f t="shared" si="74"/>
        <v>1491229.5599999987</v>
      </c>
      <c r="BP33" s="128">
        <f t="shared" si="74"/>
        <v>1534461.2699999977</v>
      </c>
      <c r="BQ33" s="128">
        <f t="shared" si="74"/>
        <v>1827781.9299999978</v>
      </c>
      <c r="BR33" s="128">
        <f t="shared" si="74"/>
        <v>264768.62999999523</v>
      </c>
      <c r="BS33" s="128">
        <f t="shared" si="74"/>
        <v>-639675</v>
      </c>
      <c r="BT33" s="128">
        <f t="shared" si="74"/>
        <v>295833.45999999973</v>
      </c>
      <c r="BU33" s="128">
        <f t="shared" si="74"/>
        <v>520505.82999999961</v>
      </c>
      <c r="BV33" s="128">
        <f t="shared" si="74"/>
        <v>-169816.41999999993</v>
      </c>
      <c r="BW33" s="128">
        <f t="shared" si="74"/>
        <v>1884959.6999999993</v>
      </c>
      <c r="BX33" s="128">
        <f t="shared" si="74"/>
        <v>1571754.04</v>
      </c>
      <c r="BY33" s="128">
        <f t="shared" si="74"/>
        <v>394143.79000000097</v>
      </c>
      <c r="BZ33" s="128">
        <f t="shared" si="74"/>
        <v>1209379.209999999</v>
      </c>
      <c r="CA33" s="128">
        <f t="shared" ref="CA33:CF33" si="75">CA29+CA30</f>
        <v>386472.44000000134</v>
      </c>
      <c r="CB33" s="128">
        <f t="shared" si="75"/>
        <v>2126515.8499999996</v>
      </c>
      <c r="CC33" s="128">
        <f t="shared" si="75"/>
        <v>3369037.9200000018</v>
      </c>
      <c r="CD33" s="128">
        <f t="shared" si="75"/>
        <v>6021982.9800000023</v>
      </c>
      <c r="CE33" s="128">
        <f t="shared" si="75"/>
        <v>2535724.9499999993</v>
      </c>
      <c r="CF33" s="295">
        <f t="shared" si="75"/>
        <v>434575.96999999881</v>
      </c>
      <c r="CG33" s="50">
        <f t="shared" si="18"/>
        <v>-2101148.9800000004</v>
      </c>
      <c r="CH33" s="295">
        <f t="shared" ref="CH33:CO33" si="76">CH29+CH30</f>
        <v>434575.96999999881</v>
      </c>
      <c r="CI33" s="295">
        <f t="shared" si="76"/>
        <v>1461011.17</v>
      </c>
      <c r="CJ33" s="295">
        <f t="shared" si="76"/>
        <v>1802568.62</v>
      </c>
      <c r="CK33" s="295">
        <f t="shared" si="76"/>
        <v>3176068</v>
      </c>
      <c r="CL33" s="295">
        <f t="shared" si="76"/>
        <v>4199379.0499999989</v>
      </c>
      <c r="CM33" s="295">
        <f t="shared" si="76"/>
        <v>4751194.33</v>
      </c>
      <c r="CN33" s="295">
        <f t="shared" si="76"/>
        <v>5179996.49</v>
      </c>
      <c r="CO33" s="295">
        <f t="shared" si="76"/>
        <v>4437741.84</v>
      </c>
    </row>
    <row r="34" spans="1:94" ht="14.25">
      <c r="A34" s="20" t="s">
        <v>89</v>
      </c>
      <c r="B34" s="31">
        <v>666588</v>
      </c>
      <c r="C34" s="21"/>
      <c r="D34">
        <v>1716148</v>
      </c>
      <c r="E34" s="21">
        <v>586535</v>
      </c>
      <c r="F34" s="21">
        <v>0</v>
      </c>
      <c r="G34" s="21">
        <v>0</v>
      </c>
      <c r="H34" s="178">
        <v>0</v>
      </c>
      <c r="I34" s="181">
        <v>0</v>
      </c>
      <c r="J34" s="21"/>
      <c r="K34" s="21"/>
      <c r="M34" s="21"/>
      <c r="O34" s="21"/>
      <c r="S34" s="2"/>
      <c r="T34" s="2"/>
      <c r="U34" s="2"/>
      <c r="V34" s="2"/>
      <c r="W34" s="2"/>
      <c r="X34" s="2"/>
      <c r="Y34" s="2"/>
      <c r="Z34" s="2"/>
      <c r="AA34" s="2"/>
      <c r="AB34" s="2"/>
      <c r="AC34" s="146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BG34" s="50"/>
      <c r="BH34" s="165"/>
      <c r="CG34" s="50">
        <f t="shared" si="18"/>
        <v>0</v>
      </c>
      <c r="CI34" s="312">
        <v>0</v>
      </c>
      <c r="CJ34" s="314">
        <v>0</v>
      </c>
      <c r="CK34" s="314">
        <v>0</v>
      </c>
      <c r="CL34" s="314">
        <v>0</v>
      </c>
      <c r="CM34">
        <v>0</v>
      </c>
      <c r="CN34" s="312">
        <v>0</v>
      </c>
      <c r="CO34" s="312">
        <v>0</v>
      </c>
    </row>
    <row r="35" spans="1:94" ht="14.25">
      <c r="A35" s="19" t="s">
        <v>90</v>
      </c>
      <c r="B35" s="69">
        <f t="shared" ref="B35:J35" si="77">B33-B34</f>
        <v>6573461</v>
      </c>
      <c r="C35" s="69">
        <f t="shared" si="77"/>
        <v>10388692</v>
      </c>
      <c r="D35" s="69">
        <f t="shared" si="77"/>
        <v>393098</v>
      </c>
      <c r="E35" s="69">
        <f t="shared" si="77"/>
        <v>500138</v>
      </c>
      <c r="F35" s="69">
        <f t="shared" si="77"/>
        <v>139937.96999999974</v>
      </c>
      <c r="G35" s="69">
        <f t="shared" si="77"/>
        <v>-3983344.1899999995</v>
      </c>
      <c r="H35" s="69">
        <f t="shared" si="77"/>
        <v>-3041115.6600000011</v>
      </c>
      <c r="I35" s="69">
        <f t="shared" si="77"/>
        <v>-2488552.8800000008</v>
      </c>
      <c r="J35" s="69">
        <f t="shared" si="77"/>
        <v>-4736380.4399999995</v>
      </c>
      <c r="K35" s="69">
        <f t="shared" ref="K35:BV35" si="78">K33-K34</f>
        <v>-4858783.6900000013</v>
      </c>
      <c r="L35" s="69">
        <f t="shared" si="78"/>
        <v>0</v>
      </c>
      <c r="M35" s="69">
        <f t="shared" si="78"/>
        <v>0</v>
      </c>
      <c r="N35" s="69">
        <f t="shared" si="78"/>
        <v>0</v>
      </c>
      <c r="O35" s="69">
        <f t="shared" si="78"/>
        <v>0</v>
      </c>
      <c r="P35" s="69">
        <f t="shared" si="78"/>
        <v>0</v>
      </c>
      <c r="Q35" s="69">
        <f t="shared" si="78"/>
        <v>0</v>
      </c>
      <c r="R35" s="127">
        <f t="shared" si="78"/>
        <v>-5971671</v>
      </c>
      <c r="S35" s="127">
        <f t="shared" si="78"/>
        <v>505774.53000000026</v>
      </c>
      <c r="T35" s="127">
        <f t="shared" si="78"/>
        <v>406666.26999999955</v>
      </c>
      <c r="U35" s="127">
        <f t="shared" si="78"/>
        <v>-3815962.5</v>
      </c>
      <c r="V35" s="127">
        <f t="shared" si="78"/>
        <v>-8400167.8100000005</v>
      </c>
      <c r="W35" s="127">
        <f t="shared" si="78"/>
        <v>-31910424.080000002</v>
      </c>
      <c r="X35" s="127">
        <f t="shared" si="78"/>
        <v>118400.58000000007</v>
      </c>
      <c r="Y35" s="127">
        <f t="shared" si="78"/>
        <v>-1420935.92</v>
      </c>
      <c r="Z35" s="127">
        <f t="shared" si="78"/>
        <v>-4592770.67</v>
      </c>
      <c r="AA35" s="127">
        <f t="shared" si="78"/>
        <v>-2326297.040000001</v>
      </c>
      <c r="AB35" s="127">
        <f t="shared" si="78"/>
        <v>-3452330.9700000025</v>
      </c>
      <c r="AC35" s="127">
        <f t="shared" si="78"/>
        <v>-2823447.0299999975</v>
      </c>
      <c r="AD35" s="127">
        <f t="shared" si="78"/>
        <v>-5176705.629999999</v>
      </c>
      <c r="AE35" s="127">
        <f t="shared" si="78"/>
        <v>7436291.1100000013</v>
      </c>
      <c r="AF35" s="127">
        <f t="shared" si="78"/>
        <v>-21081679.350000001</v>
      </c>
      <c r="AG35" s="127">
        <f t="shared" si="78"/>
        <v>-604150.02</v>
      </c>
      <c r="AH35" s="127">
        <f t="shared" si="78"/>
        <v>-714008.62000000011</v>
      </c>
      <c r="AI35" s="127">
        <f t="shared" si="78"/>
        <v>-6480948.5599999987</v>
      </c>
      <c r="AJ35" s="127">
        <f t="shared" si="78"/>
        <v>-4001296.6799999997</v>
      </c>
      <c r="AK35" s="127">
        <f t="shared" si="78"/>
        <v>-5033835.5</v>
      </c>
      <c r="AL35" s="127">
        <f t="shared" si="78"/>
        <v>-5423604.5</v>
      </c>
      <c r="AM35" s="127">
        <f t="shared" si="78"/>
        <v>-6142663.3700000001</v>
      </c>
      <c r="AN35" s="127">
        <f t="shared" si="78"/>
        <v>-3494140.0200000005</v>
      </c>
      <c r="AO35" s="127">
        <f t="shared" si="78"/>
        <v>-7198998.4500000002</v>
      </c>
      <c r="AP35" s="127">
        <f t="shared" si="78"/>
        <v>0</v>
      </c>
      <c r="AQ35" s="127">
        <f t="shared" si="78"/>
        <v>0</v>
      </c>
      <c r="AR35" s="127">
        <f t="shared" si="78"/>
        <v>0</v>
      </c>
      <c r="AS35" s="127">
        <f t="shared" si="78"/>
        <v>0</v>
      </c>
      <c r="AT35" s="127">
        <f t="shared" si="78"/>
        <v>-111592353.03</v>
      </c>
      <c r="AU35" s="127">
        <f t="shared" si="78"/>
        <v>-2512900.4300000002</v>
      </c>
      <c r="AV35" s="127">
        <f t="shared" si="78"/>
        <v>7115986.7399999984</v>
      </c>
      <c r="AW35" s="127">
        <f t="shared" si="78"/>
        <v>6210002.4499999993</v>
      </c>
      <c r="AX35" s="127">
        <f t="shared" si="78"/>
        <v>4876056.3299999982</v>
      </c>
      <c r="AY35" s="127">
        <f t="shared" si="78"/>
        <v>4689830.7799999993</v>
      </c>
      <c r="AZ35" s="127">
        <f t="shared" si="78"/>
        <v>0</v>
      </c>
      <c r="BA35" s="127">
        <f t="shared" si="78"/>
        <v>1141779.5</v>
      </c>
      <c r="BB35" s="127">
        <f t="shared" si="78"/>
        <v>7307591.4600000009</v>
      </c>
      <c r="BC35" s="127">
        <f t="shared" si="78"/>
        <v>11806863.129999999</v>
      </c>
      <c r="BD35" s="127">
        <f t="shared" si="78"/>
        <v>11104459.919999998</v>
      </c>
      <c r="BE35" s="127">
        <f t="shared" si="78"/>
        <v>14808286.349999998</v>
      </c>
      <c r="BF35" s="127">
        <f t="shared" si="78"/>
        <v>11920041</v>
      </c>
      <c r="BG35" s="127">
        <f t="shared" si="78"/>
        <v>-809352.05</v>
      </c>
      <c r="BH35" s="127">
        <f t="shared" si="78"/>
        <v>-438323.23999999976</v>
      </c>
      <c r="BI35" s="127">
        <f t="shared" si="78"/>
        <v>-548672.04999999981</v>
      </c>
      <c r="BJ35" s="127">
        <f t="shared" si="78"/>
        <v>-246597.18999999948</v>
      </c>
      <c r="BK35" s="127">
        <f t="shared" si="78"/>
        <v>585169.0700000003</v>
      </c>
      <c r="BL35" s="127">
        <f t="shared" si="78"/>
        <v>1135015.339999998</v>
      </c>
      <c r="BM35" s="127">
        <f t="shared" si="78"/>
        <v>1741053.9299999997</v>
      </c>
      <c r="BN35" s="127">
        <f t="shared" si="78"/>
        <v>-160769.23000000045</v>
      </c>
      <c r="BO35" s="127">
        <f t="shared" si="78"/>
        <v>1491229.5599999987</v>
      </c>
      <c r="BP35" s="127">
        <f t="shared" si="78"/>
        <v>1534461.2699999977</v>
      </c>
      <c r="BQ35" s="127">
        <f t="shared" si="78"/>
        <v>1827781.9299999978</v>
      </c>
      <c r="BR35" s="127">
        <f t="shared" si="78"/>
        <v>264768.62999999523</v>
      </c>
      <c r="BS35" s="127">
        <f t="shared" si="78"/>
        <v>-639675</v>
      </c>
      <c r="BT35" s="127">
        <f t="shared" si="78"/>
        <v>295833.45999999973</v>
      </c>
      <c r="BU35" s="127">
        <f t="shared" si="78"/>
        <v>520505.82999999961</v>
      </c>
      <c r="BV35" s="127">
        <f t="shared" si="78"/>
        <v>-169816.41999999993</v>
      </c>
      <c r="BW35" s="127">
        <f t="shared" ref="BW35:BZ35" si="79">BW33-BW34</f>
        <v>1884959.6999999993</v>
      </c>
      <c r="BX35" s="127">
        <f t="shared" si="79"/>
        <v>1571754.04</v>
      </c>
      <c r="BY35" s="127">
        <f t="shared" si="79"/>
        <v>394143.79000000097</v>
      </c>
      <c r="BZ35" s="127">
        <f t="shared" si="79"/>
        <v>1209379.209999999</v>
      </c>
      <c r="CA35" s="127">
        <f t="shared" ref="CA35:CF35" si="80">CA33-CA34</f>
        <v>386472.44000000134</v>
      </c>
      <c r="CB35" s="127">
        <f t="shared" si="80"/>
        <v>2126515.8499999996</v>
      </c>
      <c r="CC35" s="127">
        <f t="shared" si="80"/>
        <v>3369037.9200000018</v>
      </c>
      <c r="CD35" s="127">
        <f t="shared" si="80"/>
        <v>6021982.9800000023</v>
      </c>
      <c r="CE35" s="127">
        <f t="shared" si="80"/>
        <v>2535724.9499999993</v>
      </c>
      <c r="CF35" s="296">
        <f t="shared" si="80"/>
        <v>434575.96999999881</v>
      </c>
      <c r="CG35" s="50">
        <f t="shared" si="18"/>
        <v>-2101148.9800000004</v>
      </c>
      <c r="CH35" s="296">
        <f t="shared" ref="CH35:CO35" si="81">CH33-CH34</f>
        <v>434575.96999999881</v>
      </c>
      <c r="CI35" s="296">
        <f t="shared" si="81"/>
        <v>1461011.17</v>
      </c>
      <c r="CJ35" s="296">
        <f t="shared" si="81"/>
        <v>1802568.62</v>
      </c>
      <c r="CK35" s="296">
        <f t="shared" si="81"/>
        <v>3176068</v>
      </c>
      <c r="CL35" s="296">
        <f t="shared" si="81"/>
        <v>4199379.0499999989</v>
      </c>
      <c r="CM35" s="296">
        <f t="shared" si="81"/>
        <v>4751194.33</v>
      </c>
      <c r="CN35" s="296">
        <f t="shared" si="81"/>
        <v>5179996.49</v>
      </c>
      <c r="CO35" s="296">
        <f t="shared" si="81"/>
        <v>4437741.84</v>
      </c>
    </row>
    <row r="36" spans="1:94" ht="14.25">
      <c r="A36" s="20" t="s">
        <v>91</v>
      </c>
      <c r="B36" s="31">
        <v>2999</v>
      </c>
      <c r="C36" s="21"/>
      <c r="E36" s="21"/>
      <c r="F36" s="21">
        <v>0</v>
      </c>
      <c r="G36" s="21">
        <v>0</v>
      </c>
      <c r="H36" s="178">
        <v>0</v>
      </c>
      <c r="I36" s="2">
        <v>0</v>
      </c>
      <c r="J36" s="21"/>
      <c r="K36" s="21"/>
      <c r="M36" s="21"/>
      <c r="O36" s="21"/>
      <c r="S36" s="2"/>
      <c r="T36" s="2"/>
      <c r="U36" s="2"/>
      <c r="V36" s="2"/>
      <c r="W36" s="2"/>
      <c r="X36" s="2"/>
      <c r="Y36" s="2"/>
      <c r="Z36" s="2"/>
      <c r="AA36" s="2"/>
      <c r="AB36" s="2"/>
      <c r="AC36" s="146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BG36" s="50"/>
      <c r="BH36" s="165"/>
      <c r="CG36" s="50">
        <f t="shared" si="18"/>
        <v>0</v>
      </c>
      <c r="CI36" s="312">
        <v>0</v>
      </c>
      <c r="CJ36" s="314">
        <v>0</v>
      </c>
      <c r="CK36" s="314">
        <v>0</v>
      </c>
      <c r="CL36" s="314">
        <v>0</v>
      </c>
      <c r="CM36">
        <v>0</v>
      </c>
      <c r="CN36" s="312">
        <v>0</v>
      </c>
      <c r="CO36" s="312">
        <v>0</v>
      </c>
    </row>
    <row r="37" spans="1:94" ht="14.25">
      <c r="A37" s="19" t="s">
        <v>92</v>
      </c>
      <c r="B37" s="69">
        <f t="shared" ref="B37:P37" si="82">B35-B36</f>
        <v>6570462</v>
      </c>
      <c r="C37" s="69">
        <f t="shared" si="82"/>
        <v>10388692</v>
      </c>
      <c r="D37" s="69">
        <f t="shared" si="82"/>
        <v>393098</v>
      </c>
      <c r="E37" s="69">
        <f t="shared" si="82"/>
        <v>500138</v>
      </c>
      <c r="F37" s="69">
        <f t="shared" si="82"/>
        <v>139937.96999999974</v>
      </c>
      <c r="G37" s="69">
        <f t="shared" si="82"/>
        <v>-3983344.1899999995</v>
      </c>
      <c r="H37" s="69">
        <f t="shared" si="82"/>
        <v>-3041115.6600000011</v>
      </c>
      <c r="I37" s="69">
        <f t="shared" si="82"/>
        <v>-2488552.8800000008</v>
      </c>
      <c r="J37" s="69">
        <f t="shared" si="82"/>
        <v>-4736380.4399999995</v>
      </c>
      <c r="K37" s="69">
        <f t="shared" si="82"/>
        <v>-4858783.6900000013</v>
      </c>
      <c r="L37" s="69">
        <f t="shared" si="82"/>
        <v>0</v>
      </c>
      <c r="M37" s="69">
        <f t="shared" si="82"/>
        <v>0</v>
      </c>
      <c r="N37" s="69">
        <f t="shared" si="82"/>
        <v>0</v>
      </c>
      <c r="O37" s="69">
        <f t="shared" si="82"/>
        <v>0</v>
      </c>
      <c r="P37" s="69">
        <f t="shared" si="82"/>
        <v>0</v>
      </c>
      <c r="Q37" s="69">
        <f t="shared" ref="Q37:BZ37" si="83">Q35-Q36</f>
        <v>0</v>
      </c>
      <c r="R37" s="127">
        <f t="shared" si="83"/>
        <v>-5971671</v>
      </c>
      <c r="S37" s="127">
        <f t="shared" si="83"/>
        <v>505774.53000000026</v>
      </c>
      <c r="T37" s="127">
        <f t="shared" si="83"/>
        <v>406666.26999999955</v>
      </c>
      <c r="U37" s="127">
        <f t="shared" si="83"/>
        <v>-3815962.5</v>
      </c>
      <c r="V37" s="127">
        <f t="shared" si="83"/>
        <v>-8400167.8100000005</v>
      </c>
      <c r="W37" s="127">
        <f t="shared" si="83"/>
        <v>-31910424.080000002</v>
      </c>
      <c r="X37" s="127">
        <f t="shared" si="83"/>
        <v>118400.58000000007</v>
      </c>
      <c r="Y37" s="127">
        <f t="shared" si="83"/>
        <v>-1420935.92</v>
      </c>
      <c r="Z37" s="127">
        <f t="shared" si="83"/>
        <v>-4592770.67</v>
      </c>
      <c r="AA37" s="127">
        <f t="shared" si="83"/>
        <v>-2326297.040000001</v>
      </c>
      <c r="AB37" s="127">
        <f t="shared" si="83"/>
        <v>-3452330.9700000025</v>
      </c>
      <c r="AC37" s="127">
        <f t="shared" si="83"/>
        <v>-2823447.0299999975</v>
      </c>
      <c r="AD37" s="127">
        <f t="shared" si="83"/>
        <v>-5176705.629999999</v>
      </c>
      <c r="AE37" s="127">
        <f t="shared" si="83"/>
        <v>7436291.1100000013</v>
      </c>
      <c r="AF37" s="127">
        <f t="shared" si="83"/>
        <v>-21081679.350000001</v>
      </c>
      <c r="AG37" s="127">
        <f t="shared" si="83"/>
        <v>-604150.02</v>
      </c>
      <c r="AH37" s="127">
        <f t="shared" si="83"/>
        <v>-714008.62000000011</v>
      </c>
      <c r="AI37" s="127">
        <f t="shared" si="83"/>
        <v>-6480948.5599999987</v>
      </c>
      <c r="AJ37" s="127">
        <f t="shared" si="83"/>
        <v>-4001296.6799999997</v>
      </c>
      <c r="AK37" s="127">
        <f t="shared" si="83"/>
        <v>-5033835.5</v>
      </c>
      <c r="AL37" s="127">
        <f t="shared" si="83"/>
        <v>-5423604.5</v>
      </c>
      <c r="AM37" s="127">
        <f t="shared" si="83"/>
        <v>-6142663.3700000001</v>
      </c>
      <c r="AN37" s="127">
        <f t="shared" si="83"/>
        <v>-3494140.0200000005</v>
      </c>
      <c r="AO37" s="127">
        <f t="shared" si="83"/>
        <v>-7198998.4500000002</v>
      </c>
      <c r="AP37" s="127">
        <f t="shared" si="83"/>
        <v>0</v>
      </c>
      <c r="AQ37" s="127">
        <f t="shared" si="83"/>
        <v>0</v>
      </c>
      <c r="AR37" s="127">
        <f t="shared" si="83"/>
        <v>0</v>
      </c>
      <c r="AS37" s="127">
        <f t="shared" si="83"/>
        <v>0</v>
      </c>
      <c r="AT37" s="127">
        <f t="shared" si="83"/>
        <v>-111592353.03</v>
      </c>
      <c r="AU37" s="127">
        <f t="shared" si="83"/>
        <v>-2512900.4300000002</v>
      </c>
      <c r="AV37" s="127">
        <f t="shared" si="83"/>
        <v>7115986.7399999984</v>
      </c>
      <c r="AW37" s="127">
        <f t="shared" si="83"/>
        <v>6210002.4499999993</v>
      </c>
      <c r="AX37" s="127">
        <f t="shared" si="83"/>
        <v>4876056.3299999982</v>
      </c>
      <c r="AY37" s="127">
        <f t="shared" si="83"/>
        <v>4689830.7799999993</v>
      </c>
      <c r="AZ37" s="127">
        <f t="shared" si="83"/>
        <v>0</v>
      </c>
      <c r="BA37" s="127">
        <f t="shared" si="83"/>
        <v>1141779.5</v>
      </c>
      <c r="BB37" s="127">
        <f t="shared" si="83"/>
        <v>7307591.4600000009</v>
      </c>
      <c r="BC37" s="127">
        <f t="shared" si="83"/>
        <v>11806863.129999999</v>
      </c>
      <c r="BD37" s="127">
        <f t="shared" si="83"/>
        <v>11104459.919999998</v>
      </c>
      <c r="BE37" s="127">
        <f t="shared" si="83"/>
        <v>14808286.349999998</v>
      </c>
      <c r="BF37" s="127">
        <f t="shared" si="83"/>
        <v>11920041</v>
      </c>
      <c r="BG37" s="127">
        <f t="shared" si="83"/>
        <v>-809352.05</v>
      </c>
      <c r="BH37" s="127">
        <f t="shared" si="83"/>
        <v>-438323.23999999976</v>
      </c>
      <c r="BI37" s="127">
        <f t="shared" si="83"/>
        <v>-548672.04999999981</v>
      </c>
      <c r="BJ37" s="127">
        <f t="shared" si="83"/>
        <v>-246597.18999999948</v>
      </c>
      <c r="BK37" s="127">
        <f t="shared" si="83"/>
        <v>585169.0700000003</v>
      </c>
      <c r="BL37" s="127">
        <f t="shared" si="83"/>
        <v>1135015.339999998</v>
      </c>
      <c r="BM37" s="127">
        <f t="shared" si="83"/>
        <v>1741053.9299999997</v>
      </c>
      <c r="BN37" s="127">
        <f t="shared" si="83"/>
        <v>-160769.23000000045</v>
      </c>
      <c r="BO37" s="127">
        <f t="shared" si="83"/>
        <v>1491229.5599999987</v>
      </c>
      <c r="BP37" s="127">
        <f t="shared" si="83"/>
        <v>1534461.2699999977</v>
      </c>
      <c r="BQ37" s="127">
        <f t="shared" si="83"/>
        <v>1827781.9299999978</v>
      </c>
      <c r="BR37" s="127">
        <f t="shared" si="83"/>
        <v>264768.62999999523</v>
      </c>
      <c r="BS37" s="127">
        <f t="shared" si="83"/>
        <v>-639675</v>
      </c>
      <c r="BT37" s="127">
        <f t="shared" si="83"/>
        <v>295833.45999999973</v>
      </c>
      <c r="BU37" s="127">
        <f t="shared" si="83"/>
        <v>520505.82999999961</v>
      </c>
      <c r="BV37" s="127">
        <f t="shared" si="83"/>
        <v>-169816.41999999993</v>
      </c>
      <c r="BW37" s="127">
        <f t="shared" si="83"/>
        <v>1884959.6999999993</v>
      </c>
      <c r="BX37" s="127">
        <f t="shared" si="83"/>
        <v>1571754.04</v>
      </c>
      <c r="BY37" s="127">
        <f t="shared" si="83"/>
        <v>394143.79000000097</v>
      </c>
      <c r="BZ37" s="127">
        <f t="shared" si="83"/>
        <v>1209379.209999999</v>
      </c>
      <c r="CA37" s="127">
        <f t="shared" ref="CA37:CF37" si="84">CA35-CA36</f>
        <v>386472.44000000134</v>
      </c>
      <c r="CB37" s="127">
        <f t="shared" si="84"/>
        <v>2126515.8499999996</v>
      </c>
      <c r="CC37" s="127">
        <f t="shared" si="84"/>
        <v>3369037.9200000018</v>
      </c>
      <c r="CD37" s="127">
        <f t="shared" si="84"/>
        <v>6021982.9800000023</v>
      </c>
      <c r="CE37" s="127">
        <f t="shared" si="84"/>
        <v>2535724.9499999993</v>
      </c>
      <c r="CF37" s="296">
        <f t="shared" si="84"/>
        <v>434575.96999999881</v>
      </c>
      <c r="CG37" s="50">
        <f t="shared" si="18"/>
        <v>-2101148.9800000004</v>
      </c>
      <c r="CH37" s="296">
        <f t="shared" ref="CH37:CP37" si="85">CH35-CH36</f>
        <v>434575.96999999881</v>
      </c>
      <c r="CI37" s="296">
        <f t="shared" si="85"/>
        <v>1461011.17</v>
      </c>
      <c r="CJ37" s="296">
        <f t="shared" si="85"/>
        <v>1802568.62</v>
      </c>
      <c r="CK37" s="296">
        <f t="shared" si="85"/>
        <v>3176068</v>
      </c>
      <c r="CL37" s="296">
        <f t="shared" si="85"/>
        <v>4199379.0499999989</v>
      </c>
      <c r="CM37" s="296">
        <f t="shared" si="85"/>
        <v>4751194.33</v>
      </c>
      <c r="CN37" s="296">
        <f t="shared" si="85"/>
        <v>5179996.49</v>
      </c>
      <c r="CO37" s="296">
        <f t="shared" si="85"/>
        <v>4437741.84</v>
      </c>
      <c r="CP37" s="296">
        <f t="shared" si="85"/>
        <v>0</v>
      </c>
    </row>
    <row r="38" spans="1:94" ht="15"/>
    <row r="39" spans="1:94" s="34" customFormat="1" ht="15">
      <c r="A39" s="34" t="s">
        <v>93</v>
      </c>
      <c r="B39" s="71">
        <f>B12+B23</f>
        <v>38756750</v>
      </c>
      <c r="C39" s="71">
        <f>C12+C23</f>
        <v>41960779</v>
      </c>
      <c r="D39" s="71">
        <f>D12+D23</f>
        <v>42695455</v>
      </c>
      <c r="E39" s="71"/>
      <c r="F39" s="71">
        <f t="shared" ref="F39:Q39" si="86">F12+F23</f>
        <v>4092377.6100000003</v>
      </c>
      <c r="G39" s="71">
        <f t="shared" si="86"/>
        <v>8567445.8000000007</v>
      </c>
      <c r="H39" s="71">
        <f t="shared" si="86"/>
        <v>11640584.970000001</v>
      </c>
      <c r="I39" s="71">
        <f t="shared" si="86"/>
        <v>16064941.620000001</v>
      </c>
      <c r="J39" s="71">
        <f t="shared" si="86"/>
        <v>18739208.5</v>
      </c>
      <c r="K39" s="71">
        <f t="shared" si="86"/>
        <v>19994569</v>
      </c>
      <c r="L39" s="71">
        <f t="shared" si="86"/>
        <v>0</v>
      </c>
      <c r="M39" s="71">
        <f t="shared" si="86"/>
        <v>0</v>
      </c>
      <c r="N39" s="71">
        <f t="shared" si="86"/>
        <v>0</v>
      </c>
      <c r="O39" s="71">
        <f t="shared" si="86"/>
        <v>0</v>
      </c>
      <c r="P39" s="71">
        <f t="shared" si="86"/>
        <v>0</v>
      </c>
      <c r="Q39" s="71">
        <f t="shared" si="86"/>
        <v>0</v>
      </c>
      <c r="R39" s="71">
        <f>R12+R21+R23</f>
        <v>38268500</v>
      </c>
      <c r="U39" s="71"/>
      <c r="X39" s="71"/>
      <c r="BF39" s="71"/>
    </row>
    <row r="40" spans="1:94" ht="15"/>
    <row r="41" spans="1:94" ht="15">
      <c r="B41" s="50" t="e">
        <f>B39-A39</f>
        <v>#VALUE!</v>
      </c>
      <c r="C41" s="50">
        <f>C39-B39</f>
        <v>3204029</v>
      </c>
      <c r="D41" s="50">
        <f>D39-E39</f>
        <v>42695455</v>
      </c>
      <c r="E41" s="50"/>
      <c r="F41" s="50">
        <f t="shared" ref="F41:Q41" si="87">F39-D39</f>
        <v>-38603077.390000001</v>
      </c>
      <c r="G41" s="50">
        <f t="shared" si="87"/>
        <v>8567445.8000000007</v>
      </c>
      <c r="H41" s="50">
        <f t="shared" si="87"/>
        <v>7548207.3600000003</v>
      </c>
      <c r="I41" s="50">
        <f t="shared" si="87"/>
        <v>7497495.8200000003</v>
      </c>
      <c r="J41" s="50">
        <f t="shared" si="87"/>
        <v>7098623.5299999993</v>
      </c>
      <c r="K41" s="50">
        <f t="shared" si="87"/>
        <v>3929627.379999999</v>
      </c>
      <c r="L41" s="50">
        <f t="shared" si="87"/>
        <v>-18739208.5</v>
      </c>
      <c r="M41" s="50">
        <f t="shared" si="87"/>
        <v>-19994569</v>
      </c>
      <c r="N41" s="50">
        <f t="shared" si="87"/>
        <v>0</v>
      </c>
      <c r="O41" s="50">
        <f t="shared" si="87"/>
        <v>0</v>
      </c>
      <c r="P41" s="50">
        <f t="shared" si="87"/>
        <v>0</v>
      </c>
      <c r="Q41" s="50">
        <f t="shared" si="87"/>
        <v>0</v>
      </c>
    </row>
    <row r="42" spans="1:94" ht="15">
      <c r="C42" s="73">
        <f>C39/'Evolutive SFP'!C48</f>
        <v>0.15409435193870819</v>
      </c>
      <c r="D42" s="73" t="e">
        <f>D39/'Evolutive SFP'!#REF!</f>
        <v>#REF!</v>
      </c>
      <c r="E42" s="73"/>
      <c r="F42" s="73">
        <f>F39/'Evolutive SFP'!G48</f>
        <v>1.3382994337728733E-2</v>
      </c>
      <c r="G42" s="73">
        <f>G39/'Evolutive SFP'!H48</f>
        <v>2.9935867536788823E-2</v>
      </c>
      <c r="H42" s="73">
        <f>H39/'Evolutive SFP'!I48</f>
        <v>4.2834866664898205E-2</v>
      </c>
      <c r="I42" s="73">
        <f>I39/'Evolutive SFP'!J48</f>
        <v>6.0848836368358833E-2</v>
      </c>
      <c r="J42" s="73">
        <f>J39/'Evolutive SFP'!K48</f>
        <v>7.3322909525017119E-2</v>
      </c>
      <c r="K42" s="73" t="e">
        <f>K39/'Evolutive SFP'!L48</f>
        <v>#DIV/0!</v>
      </c>
      <c r="L42" s="73" t="e">
        <f>L39/'Evolutive SFP'!M48</f>
        <v>#DIV/0!</v>
      </c>
      <c r="M42" s="73" t="e">
        <f>M39/'Evolutive SFP'!N48</f>
        <v>#DIV/0!</v>
      </c>
      <c r="N42" s="73" t="e">
        <f>N39/'Evolutive SFP'!O48</f>
        <v>#DIV/0!</v>
      </c>
      <c r="O42" s="73" t="e">
        <f>O39/'Evolutive SFP'!P48</f>
        <v>#DIV/0!</v>
      </c>
      <c r="P42" s="73" t="e">
        <f>P39/'Evolutive SFP'!Q48</f>
        <v>#DIV/0!</v>
      </c>
      <c r="Q42" s="73"/>
    </row>
  </sheetData>
  <mergeCells count="1">
    <mergeCell ref="A1:C1"/>
  </mergeCells>
  <phoneticPr fontId="28" type="noConversion"/>
  <pageMargins left="0.7" right="0.7" top="0.75" bottom="0.75" header="0.3" footer="0.3"/>
  <pageSetup scale="44" orientation="landscape" r:id="rId1"/>
  <ignoredErrors>
    <ignoredError sqref="R29:AB29 AC29:AD29 U7:AD7 R23:AD23 R3:T20 U12:AD12 U9:X11 U3:AB6 U8:AB8 U19:AD19 U13:AB18 R21:AB22 U20:AB20 AC34:AD34 R31:AB32 R30 R34:AB34 R33 AC36:AD36 R36:AB36 R35 AC38:AD38 R37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M47"/>
  <sheetViews>
    <sheetView zoomScale="85" zoomScaleNormal="85" workbookViewId="0">
      <pane xSplit="2" ySplit="2" topLeftCell="CK45" activePane="bottomRight" state="frozen"/>
      <selection pane="bottomRight" activeCell="CL2" sqref="CL2:CM47"/>
      <selection pane="bottomLeft" activeCell="A3" sqref="A3"/>
      <selection pane="topRight" activeCell="C1" sqref="C1"/>
    </sheetView>
  </sheetViews>
  <sheetFormatPr defaultRowHeight="14.45"/>
  <cols>
    <col min="2" max="2" width="35.5703125" bestFit="1" customWidth="1"/>
    <col min="3" max="3" width="14.28515625" hidden="1" customWidth="1"/>
    <col min="4" max="4" width="12.5703125" hidden="1" customWidth="1"/>
    <col min="5" max="6" width="14.140625" hidden="1" customWidth="1"/>
    <col min="7" max="7" width="12.42578125" hidden="1" customWidth="1"/>
    <col min="8" max="8" width="15" hidden="1" customWidth="1"/>
    <col min="9" max="9" width="14.140625" hidden="1" customWidth="1"/>
    <col min="10" max="10" width="14.28515625" hidden="1" customWidth="1"/>
    <col min="11" max="11" width="14.42578125" hidden="1" customWidth="1"/>
    <col min="12" max="12" width="15.28515625" hidden="1" customWidth="1"/>
    <col min="13" max="13" width="15.140625" hidden="1" customWidth="1"/>
    <col min="14" max="18" width="12.5703125" hidden="1" customWidth="1"/>
    <col min="19" max="19" width="12.5703125" bestFit="1" customWidth="1"/>
    <col min="20" max="27" width="12.5703125" hidden="1" customWidth="1"/>
    <col min="28" max="28" width="12.5703125" style="138" hidden="1" customWidth="1"/>
    <col min="29" max="31" width="12.5703125" hidden="1" customWidth="1"/>
    <col min="32" max="32" width="12.7109375" bestFit="1" customWidth="1"/>
    <col min="33" max="42" width="12.5703125" hidden="1" customWidth="1"/>
    <col min="43" max="43" width="0" hidden="1" customWidth="1"/>
    <col min="44" max="44" width="6.85546875" bestFit="1" customWidth="1"/>
    <col min="45" max="45" width="5" bestFit="1" customWidth="1"/>
    <col min="46" max="51" width="13.28515625" hidden="1" customWidth="1"/>
    <col min="52" max="52" width="11.7109375" hidden="1" customWidth="1"/>
    <col min="53" max="57" width="13.28515625" hidden="1" customWidth="1"/>
    <col min="58" max="58" width="13.28515625" bestFit="1" customWidth="1"/>
    <col min="59" max="70" width="13.85546875" hidden="1" customWidth="1"/>
    <col min="71" max="76" width="13.85546875" bestFit="1" customWidth="1"/>
    <col min="77" max="83" width="13.28515625" bestFit="1" customWidth="1"/>
    <col min="84" max="84" width="12.7109375" bestFit="1" customWidth="1"/>
    <col min="85" max="85" width="11" customWidth="1"/>
    <col min="86" max="86" width="14.140625" customWidth="1"/>
    <col min="87" max="87" width="13" customWidth="1"/>
    <col min="88" max="88" width="12" customWidth="1"/>
  </cols>
  <sheetData>
    <row r="1" spans="1:91">
      <c r="A1" s="39"/>
      <c r="B1" s="63" t="s">
        <v>94</v>
      </c>
    </row>
    <row r="2" spans="1:91" s="34" customFormat="1">
      <c r="A2" s="39"/>
      <c r="B2" s="40" t="s">
        <v>95</v>
      </c>
      <c r="C2" s="64" t="s">
        <v>0</v>
      </c>
      <c r="D2" s="65" t="s">
        <v>96</v>
      </c>
      <c r="E2" s="87" t="s">
        <v>2</v>
      </c>
      <c r="F2" s="87" t="s">
        <v>3</v>
      </c>
      <c r="G2" s="88">
        <v>42736</v>
      </c>
      <c r="H2" s="88">
        <v>42767</v>
      </c>
      <c r="I2" s="88">
        <v>42795</v>
      </c>
      <c r="J2" s="88">
        <v>42826</v>
      </c>
      <c r="K2" s="88">
        <v>42856</v>
      </c>
      <c r="L2" s="88">
        <v>42887</v>
      </c>
      <c r="M2" s="88">
        <v>42917</v>
      </c>
      <c r="N2" s="88">
        <v>42948</v>
      </c>
      <c r="O2" s="88">
        <v>42979</v>
      </c>
      <c r="P2" s="88">
        <v>43009</v>
      </c>
      <c r="Q2" s="88">
        <v>43040</v>
      </c>
      <c r="R2" s="88">
        <v>43070</v>
      </c>
      <c r="S2" s="34" t="s">
        <v>56</v>
      </c>
      <c r="T2" s="7">
        <v>43101</v>
      </c>
      <c r="U2" s="7">
        <v>43132</v>
      </c>
      <c r="V2" s="7">
        <v>43160</v>
      </c>
      <c r="W2" s="7">
        <v>43191</v>
      </c>
      <c r="X2" s="7">
        <v>43221</v>
      </c>
      <c r="Y2" s="7">
        <v>43252</v>
      </c>
      <c r="Z2" s="7">
        <v>43282</v>
      </c>
      <c r="AA2" s="7">
        <v>43313</v>
      </c>
      <c r="AB2" s="120">
        <v>43344</v>
      </c>
      <c r="AC2" s="7">
        <v>43374</v>
      </c>
      <c r="AD2" s="7">
        <v>43405</v>
      </c>
      <c r="AE2" s="7">
        <v>43435</v>
      </c>
      <c r="AF2" s="7" t="s">
        <v>5</v>
      </c>
      <c r="AG2" s="7">
        <v>43466</v>
      </c>
      <c r="AH2" s="7">
        <v>43497</v>
      </c>
      <c r="AI2" s="7">
        <v>43525</v>
      </c>
      <c r="AJ2" s="7">
        <v>43556</v>
      </c>
      <c r="AK2" s="7">
        <v>43586</v>
      </c>
      <c r="AL2" s="7">
        <v>43617</v>
      </c>
      <c r="AM2" s="7">
        <v>43647</v>
      </c>
      <c r="AN2" s="7">
        <v>43678</v>
      </c>
      <c r="AO2" s="7">
        <v>43709</v>
      </c>
      <c r="AP2" s="7">
        <v>43739</v>
      </c>
      <c r="AQ2" s="7">
        <v>43770</v>
      </c>
      <c r="AR2" s="7">
        <v>43800</v>
      </c>
      <c r="AS2" s="7"/>
      <c r="AT2" s="7">
        <v>43831</v>
      </c>
      <c r="AU2" s="7">
        <v>43862</v>
      </c>
      <c r="AV2" s="7">
        <v>43891</v>
      </c>
      <c r="AW2" s="7">
        <v>43922</v>
      </c>
      <c r="AX2" s="7">
        <v>43952</v>
      </c>
      <c r="AY2" s="7">
        <v>43983</v>
      </c>
      <c r="AZ2" s="7">
        <v>44013</v>
      </c>
      <c r="BA2" s="7">
        <v>44044</v>
      </c>
      <c r="BB2" s="7">
        <v>44075</v>
      </c>
      <c r="BC2" s="7">
        <v>44105</v>
      </c>
      <c r="BD2" s="7">
        <v>44136</v>
      </c>
      <c r="BE2" s="7">
        <v>44166</v>
      </c>
      <c r="BF2" s="7" t="s">
        <v>97</v>
      </c>
      <c r="BG2" s="120">
        <v>44197</v>
      </c>
      <c r="BH2" s="120">
        <v>44228</v>
      </c>
      <c r="BI2" s="120">
        <v>44256</v>
      </c>
      <c r="BJ2" s="120">
        <v>44287</v>
      </c>
      <c r="BK2" s="120">
        <v>44317</v>
      </c>
      <c r="BL2" s="120">
        <v>44348</v>
      </c>
      <c r="BM2" s="120">
        <v>44378</v>
      </c>
      <c r="BN2" s="120">
        <v>44409</v>
      </c>
      <c r="BO2" s="120">
        <v>44440</v>
      </c>
      <c r="BP2" s="120">
        <v>44470</v>
      </c>
      <c r="BQ2" s="120">
        <v>44501</v>
      </c>
      <c r="BR2" s="120">
        <v>44531</v>
      </c>
      <c r="BS2" s="116" t="s">
        <v>8</v>
      </c>
      <c r="BT2" s="120">
        <v>44562</v>
      </c>
      <c r="BU2" s="120">
        <v>44593</v>
      </c>
      <c r="BV2" s="120">
        <v>44621</v>
      </c>
      <c r="BW2" s="120">
        <v>44652</v>
      </c>
      <c r="BX2" s="120">
        <v>44682</v>
      </c>
      <c r="BY2" s="120">
        <v>44713</v>
      </c>
      <c r="BZ2" s="120">
        <v>44743</v>
      </c>
      <c r="CA2" s="120">
        <v>44774</v>
      </c>
      <c r="CB2" s="120">
        <v>44805</v>
      </c>
      <c r="CC2" s="120">
        <v>44835</v>
      </c>
      <c r="CD2" s="120">
        <v>44866</v>
      </c>
      <c r="CE2" s="120">
        <v>44896</v>
      </c>
      <c r="CF2" s="116" t="s">
        <v>9</v>
      </c>
      <c r="CG2" s="120">
        <v>44927</v>
      </c>
      <c r="CH2" s="120">
        <v>44958</v>
      </c>
      <c r="CI2" s="120">
        <v>44986</v>
      </c>
      <c r="CJ2" s="120">
        <v>45017</v>
      </c>
      <c r="CK2" s="120">
        <v>45047</v>
      </c>
      <c r="CL2" s="120">
        <v>45078</v>
      </c>
      <c r="CM2" s="120">
        <v>45108</v>
      </c>
    </row>
    <row r="3" spans="1:91">
      <c r="A3" s="41">
        <v>1</v>
      </c>
      <c r="B3" s="41" t="s">
        <v>98</v>
      </c>
      <c r="C3" s="2"/>
      <c r="D3" s="74">
        <v>1295</v>
      </c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R3" s="2"/>
    </row>
    <row r="4" spans="1:91">
      <c r="A4" s="41">
        <v>2</v>
      </c>
      <c r="B4" s="41" t="s">
        <v>33</v>
      </c>
      <c r="C4" s="66">
        <f>'Evolutive SFP'!B26</f>
        <v>320889783</v>
      </c>
      <c r="D4" s="66">
        <f>'Evolutive SFP'!C26</f>
        <v>272305757</v>
      </c>
      <c r="E4" s="66">
        <f>'Evolutive SFP'!D26</f>
        <v>285464131</v>
      </c>
      <c r="F4" s="66">
        <f>'Evolutive SFP'!E26</f>
        <v>301184793</v>
      </c>
      <c r="G4" s="66">
        <f>'Evolutive SFP'!F26</f>
        <v>275778651.92000002</v>
      </c>
      <c r="H4" s="66">
        <f>'Evolutive SFP'!G26</f>
        <v>305789385.14999998</v>
      </c>
      <c r="I4" s="66">
        <f>'Evolutive SFP'!H26</f>
        <v>286193336.12</v>
      </c>
      <c r="J4" s="66">
        <f>'Evolutive SFP'!I26</f>
        <v>271754901.46999997</v>
      </c>
      <c r="K4" s="66">
        <f>'Evolutive SFP'!J26</f>
        <v>264013949.63</v>
      </c>
      <c r="L4" s="66">
        <f>'Evolutive SFP'!K26</f>
        <v>255570988.94999999</v>
      </c>
      <c r="M4" s="66">
        <f>'Evolutive SFP'!L26</f>
        <v>0</v>
      </c>
      <c r="N4" s="66">
        <f>'Evolutive SFP'!M26</f>
        <v>0</v>
      </c>
      <c r="O4" s="66">
        <f>'Evolutive SFP'!N26</f>
        <v>0</v>
      </c>
      <c r="P4" s="66">
        <f>'Evolutive SFP'!O26</f>
        <v>0</v>
      </c>
      <c r="Q4" s="66">
        <f>'Evolutive SFP'!P26</f>
        <v>0</v>
      </c>
      <c r="R4" s="66">
        <f>'Evolutive SFP'!Q26</f>
        <v>0</v>
      </c>
      <c r="S4" s="66">
        <f>'Evolutive SFP'!R26</f>
        <v>239814485.40000001</v>
      </c>
      <c r="T4" s="66">
        <f>'Evolutive SFP'!S26</f>
        <v>260603861.00999999</v>
      </c>
      <c r="U4" s="66">
        <f>'Evolutive SFP'!T26</f>
        <v>253673419.51999998</v>
      </c>
      <c r="V4" s="66">
        <f>'Evolutive SFP'!U26</f>
        <v>253943995.82999998</v>
      </c>
      <c r="W4" s="66">
        <f>'Evolutive SFP'!V26</f>
        <v>235558046.79999998</v>
      </c>
      <c r="X4" s="66">
        <f>'Evolutive SFP'!W26</f>
        <v>218763634.40000001</v>
      </c>
      <c r="Y4" s="66">
        <f>'Evolutive SFP'!X26</f>
        <v>238879229.58000004</v>
      </c>
      <c r="Z4" s="66">
        <f>'Evolutive SFP'!Y26</f>
        <v>237786798.03</v>
      </c>
      <c r="AA4" s="66">
        <f>'Evolutive SFP'!Z26</f>
        <v>248168797.08000001</v>
      </c>
      <c r="AB4" s="139">
        <f>'Evolutive SFP'!AA26</f>
        <v>242293560.40000004</v>
      </c>
      <c r="AC4" s="66">
        <f>'Evolutive SFP'!AB26</f>
        <v>229558103.76999998</v>
      </c>
      <c r="AD4" s="66">
        <f>'Evolutive SFP'!AC26</f>
        <v>224451147.60000002</v>
      </c>
      <c r="AE4" s="66">
        <f>'Evolutive SFP'!AD26</f>
        <v>217113524.61000001</v>
      </c>
      <c r="AF4" s="66">
        <f>'Evolutive SFP'!AE26</f>
        <v>220441088.30000001</v>
      </c>
      <c r="AG4" s="66">
        <f>'Evolutive SFP'!AF26</f>
        <v>207186555.28999999</v>
      </c>
      <c r="AH4" s="66">
        <f>'Evolutive SFP'!AG26</f>
        <v>222149511.00999999</v>
      </c>
      <c r="AI4" s="66">
        <f>'Evolutive SFP'!AH26</f>
        <v>205752864.19999999</v>
      </c>
      <c r="AJ4" s="66">
        <f>'Evolutive SFP'!AI26</f>
        <v>199915526.92000002</v>
      </c>
      <c r="AK4" s="66">
        <f>'Evolutive SFP'!AJ26</f>
        <v>201059192.10000002</v>
      </c>
      <c r="AL4" s="66">
        <f>'Evolutive SFP'!AK26</f>
        <v>197332969.19999999</v>
      </c>
      <c r="AM4" s="66">
        <f>'Evolutive SFP'!AL26</f>
        <v>211379265.53000003</v>
      </c>
      <c r="AN4" s="66">
        <f>'Evolutive SFP'!AM26</f>
        <v>215469395.27000001</v>
      </c>
      <c r="AO4" s="66">
        <f>'Evolutive SFP'!AN26</f>
        <v>216445698.73000002</v>
      </c>
      <c r="AP4" s="66">
        <f>'Evolutive SFP'!AO26</f>
        <v>0</v>
      </c>
      <c r="AQ4" s="66">
        <f>'Evolutive SFP'!AP26</f>
        <v>0</v>
      </c>
      <c r="AR4" s="66">
        <f>'Evolutive SFP'!AQ26</f>
        <v>0</v>
      </c>
      <c r="AS4" s="66">
        <f>'Evolutive SFP'!AR26</f>
        <v>0</v>
      </c>
      <c r="AT4" s="66">
        <f>'Evolutive SFP'!AS26</f>
        <v>86229077.879999995</v>
      </c>
      <c r="AU4" s="66">
        <f>'Evolutive SFP'!AT26</f>
        <v>180663691.56</v>
      </c>
      <c r="AV4" s="66">
        <f>'Evolutive SFP'!AU26</f>
        <v>190999163.46000001</v>
      </c>
      <c r="AW4" s="66">
        <f>'Evolutive SFP'!AV26</f>
        <v>187364895.71000001</v>
      </c>
      <c r="AX4" s="66">
        <f>'Evolutive SFP'!AW26</f>
        <v>190629937.70000005</v>
      </c>
      <c r="AY4" s="66">
        <f>'Evolutive SFP'!AX26</f>
        <v>199648110.69999999</v>
      </c>
      <c r="AZ4" s="66">
        <f>'Evolutive SFP'!AY26</f>
        <v>0</v>
      </c>
      <c r="BA4" s="66">
        <f>'Evolutive SFP'!AZ26</f>
        <v>191902926.70000005</v>
      </c>
      <c r="BB4" s="66">
        <f>'Evolutive SFP'!BA26</f>
        <v>194182248.91</v>
      </c>
      <c r="BC4" s="66">
        <f>'Evolutive SFP'!BB26</f>
        <v>201010719.06999999</v>
      </c>
      <c r="BD4" s="66">
        <f>'Evolutive SFP'!BC26</f>
        <v>199166975.48000002</v>
      </c>
      <c r="BE4" s="66">
        <f>'Evolutive SFP'!BD26</f>
        <v>206165056.87</v>
      </c>
      <c r="BF4" s="66">
        <f>'Evolutive SFP'!BE26</f>
        <v>189713880</v>
      </c>
      <c r="BG4" s="66">
        <f>'Evolutive SFP'!BF26</f>
        <v>196185603.90000001</v>
      </c>
      <c r="BH4" s="66">
        <f>'Evolutive SFP'!BG26</f>
        <v>182430062.39000002</v>
      </c>
      <c r="BI4" s="66">
        <f>'Evolutive SFP'!BH26</f>
        <v>192356439.31</v>
      </c>
      <c r="BJ4" s="66">
        <f>'Evolutive SFP'!BI26</f>
        <v>183886245.36000001</v>
      </c>
      <c r="BK4" s="66">
        <f>'Evolutive SFP'!BJ26</f>
        <v>181022050.72999996</v>
      </c>
      <c r="BL4" s="66">
        <f>'Evolutive SFP'!BK26</f>
        <v>197176700.87000003</v>
      </c>
      <c r="BM4" s="66">
        <f>'Evolutive SFP'!BL26</f>
        <v>180626522.55000001</v>
      </c>
      <c r="BN4" s="66">
        <f>'Evolutive SFP'!BM26</f>
        <v>178809831.99000001</v>
      </c>
      <c r="BO4" s="66">
        <f>'Evolutive SFP'!BN26</f>
        <v>178636311.66000003</v>
      </c>
      <c r="BP4" s="66">
        <f>'Evolutive SFP'!BO26</f>
        <v>159596418.80000001</v>
      </c>
      <c r="BQ4" s="66">
        <f>'Evolutive SFP'!BP26</f>
        <v>177024908.56000003</v>
      </c>
      <c r="BR4" s="66">
        <f>'Evolutive SFP'!BQ26</f>
        <v>179947134.92000002</v>
      </c>
      <c r="BS4" s="66">
        <f>'Evolutive SFP'!BR26</f>
        <v>203285421</v>
      </c>
      <c r="BT4" s="66">
        <f>'Evolutive SFP'!BS26</f>
        <v>178689742.17000002</v>
      </c>
      <c r="BU4" s="66">
        <f>'Evolutive SFP'!BT26</f>
        <v>186507907.03</v>
      </c>
      <c r="BV4" s="66">
        <f>'Evolutive SFP'!BU26</f>
        <v>191457225.91999999</v>
      </c>
      <c r="BW4" s="66">
        <f>'Evolutive SFP'!BV26</f>
        <v>185030610.59999999</v>
      </c>
      <c r="BX4" s="66">
        <f>'Evolutive SFP'!BW26</f>
        <v>201406036.56999999</v>
      </c>
      <c r="BY4" s="66">
        <f>'Evolutive SFP'!BX26</f>
        <v>208867376.92000002</v>
      </c>
      <c r="BZ4" s="66">
        <f>'Evolutive SFP'!BY26</f>
        <v>204244420.28000003</v>
      </c>
      <c r="CA4" s="66">
        <f>'Evolutive SFP'!BZ26</f>
        <v>203447183.91000003</v>
      </c>
      <c r="CB4" s="66">
        <f>'Evolutive SFP'!CA26</f>
        <v>193355197.63</v>
      </c>
      <c r="CC4" s="66">
        <f>'Evolutive SFP'!CB26</f>
        <v>190581861.73000002</v>
      </c>
      <c r="CD4" s="66">
        <f>'Evolutive SFP'!CC26</f>
        <v>202223471.53999999</v>
      </c>
      <c r="CE4" s="66">
        <f>'Evolutive SFP'!CD26</f>
        <v>189730008.79000002</v>
      </c>
      <c r="CF4" s="66">
        <f>'Evolutive SFP'!CE26</f>
        <v>219787161</v>
      </c>
      <c r="CG4" s="66">
        <f>'Evolutive SFP'!CF26</f>
        <v>30057152.209999979</v>
      </c>
      <c r="CH4" s="66">
        <f>'Evolutive SFP'!CG26</f>
        <v>219787161</v>
      </c>
      <c r="CI4" s="66">
        <f>'Evolutive SFP'!CH26</f>
        <v>177762693.96000001</v>
      </c>
      <c r="CJ4" s="66">
        <f>'Evolutive SFP'!CI26</f>
        <v>177804769.91999999</v>
      </c>
      <c r="CK4" s="66">
        <f>'Evolutive SFP'!CJ26</f>
        <v>170982847.60000002</v>
      </c>
      <c r="CL4" s="66">
        <f>'Evolutive SFP'!CK26</f>
        <v>170862919.75999999</v>
      </c>
      <c r="CM4" s="66">
        <f>'Evolutive SFP'!CL26</f>
        <v>169953060.31</v>
      </c>
    </row>
    <row r="5" spans="1:91">
      <c r="A5" s="41">
        <v>3</v>
      </c>
      <c r="B5" s="41" t="s">
        <v>99</v>
      </c>
      <c r="C5" s="66">
        <f>'Evolutive SFP'!B30</f>
        <v>186817277</v>
      </c>
      <c r="D5" s="66">
        <f>'Evolutive SFP'!C30</f>
        <v>170977491</v>
      </c>
      <c r="E5" s="66">
        <f>'Evolutive SFP'!D30</f>
        <v>170258234</v>
      </c>
      <c r="F5" s="66">
        <f>'Evolutive SFP'!E30</f>
        <v>174558061</v>
      </c>
      <c r="G5" s="66">
        <f>'Evolutive SFP'!F30</f>
        <v>150326624.65000001</v>
      </c>
      <c r="H5" s="66">
        <f>'Evolutive SFP'!G30</f>
        <v>180157490.34999999</v>
      </c>
      <c r="I5" s="66">
        <f>'Evolutive SFP'!H30</f>
        <v>177330275.29999998</v>
      </c>
      <c r="J5" s="66">
        <f>'Evolutive SFP'!I30</f>
        <v>169891301.89000002</v>
      </c>
      <c r="K5" s="66">
        <f>'Evolutive SFP'!J30</f>
        <v>159654432.62</v>
      </c>
      <c r="L5" s="66">
        <f>'Evolutive SFP'!K30</f>
        <v>151846722.35999998</v>
      </c>
      <c r="M5" s="66">
        <f>'Evolutive SFP'!L30</f>
        <v>0</v>
      </c>
      <c r="N5" s="66">
        <f>'Evolutive SFP'!M30</f>
        <v>0</v>
      </c>
      <c r="O5" s="66">
        <f>'Evolutive SFP'!N30</f>
        <v>0</v>
      </c>
      <c r="P5" s="66">
        <f>'Evolutive SFP'!O30</f>
        <v>0</v>
      </c>
      <c r="Q5" s="66">
        <f>'Evolutive SFP'!P30</f>
        <v>0</v>
      </c>
      <c r="R5" s="66">
        <f>'Evolutive SFP'!Q30</f>
        <v>0</v>
      </c>
      <c r="S5" s="66">
        <f>'Evolutive SFP'!R30</f>
        <v>129953634</v>
      </c>
      <c r="T5" s="66">
        <f>'Evolutive SFP'!S30</f>
        <v>158196238.50999999</v>
      </c>
      <c r="U5" s="66">
        <f>'Evolutive SFP'!T30</f>
        <v>151363705.22000003</v>
      </c>
      <c r="V5" s="66">
        <f>'Evolutive SFP'!U30</f>
        <v>151363705.22000003</v>
      </c>
      <c r="W5" s="66">
        <f>'Evolutive SFP'!V30</f>
        <v>139954148</v>
      </c>
      <c r="X5" s="66">
        <f>'Evolutive SFP'!W30</f>
        <v>141994768.94</v>
      </c>
      <c r="Y5" s="66">
        <f>'Evolutive SFP'!X30</f>
        <v>129317905.72</v>
      </c>
      <c r="Z5" s="66">
        <f>'Evolutive SFP'!Y30</f>
        <v>119168776</v>
      </c>
      <c r="AA5" s="66">
        <f>'Evolutive SFP'!Z30</f>
        <v>134479833.07999998</v>
      </c>
      <c r="AB5" s="139">
        <f>'Evolutive SFP'!AA30</f>
        <v>123199703.73999998</v>
      </c>
      <c r="AC5" s="66">
        <f>'Evolutive SFP'!AB30</f>
        <v>115624348.31999999</v>
      </c>
      <c r="AD5" s="66">
        <f>'Evolutive SFP'!AC30</f>
        <v>127250184.22</v>
      </c>
      <c r="AE5" s="66">
        <f>'Evolutive SFP'!AD30</f>
        <v>116306816.94</v>
      </c>
      <c r="AF5" s="66">
        <f>'Evolutive SFP'!AE30</f>
        <v>129629740</v>
      </c>
      <c r="AG5" s="66">
        <f>'Evolutive SFP'!AF30</f>
        <v>115389893.53999999</v>
      </c>
      <c r="AH5" s="66">
        <f>'Evolutive SFP'!AG30</f>
        <v>118567254.78</v>
      </c>
      <c r="AI5" s="66">
        <f>'Evolutive SFP'!AH30</f>
        <v>99515532.189999998</v>
      </c>
      <c r="AJ5" s="66">
        <f>'Evolutive SFP'!AI30</f>
        <v>97698829.050000012</v>
      </c>
      <c r="AK5" s="66">
        <f>'Evolutive SFP'!AJ30</f>
        <v>99854000.99000001</v>
      </c>
      <c r="AL5" s="66">
        <f>'Evolutive SFP'!AK30</f>
        <v>103634574.67000002</v>
      </c>
      <c r="AM5" s="66">
        <f>'Evolutive SFP'!AL30</f>
        <v>106608724.88000003</v>
      </c>
      <c r="AN5" s="66">
        <f>'Evolutive SFP'!AM30</f>
        <v>108882736.44000001</v>
      </c>
      <c r="AO5" s="66">
        <f>'Evolutive SFP'!AN30</f>
        <v>109358401.64000002</v>
      </c>
      <c r="AP5" s="66">
        <f>'Evolutive SFP'!AO30</f>
        <v>0</v>
      </c>
      <c r="AQ5" s="66">
        <f>'Evolutive SFP'!AP30</f>
        <v>0</v>
      </c>
      <c r="AR5" s="66">
        <f>'Evolutive SFP'!AQ30</f>
        <v>0</v>
      </c>
      <c r="AS5" s="66">
        <f>'Evolutive SFP'!AR30</f>
        <v>0</v>
      </c>
      <c r="AT5" s="66">
        <f>'Evolutive SFP'!AS30</f>
        <v>110261645.59999999</v>
      </c>
      <c r="AU5" s="66">
        <f>'Evolutive SFP'!AT30</f>
        <v>202636731.06999999</v>
      </c>
      <c r="AV5" s="66">
        <f>'Evolutive SFP'!AU30</f>
        <v>194795916.21000001</v>
      </c>
      <c r="AW5" s="66">
        <f>'Evolutive SFP'!AV30</f>
        <v>196175386.44999999</v>
      </c>
      <c r="AX5" s="66">
        <f>'Evolutive SFP'!AW30</f>
        <v>200856452.78000003</v>
      </c>
      <c r="AY5" s="66">
        <f>'Evolutive SFP'!AX30</f>
        <v>206427136.11000001</v>
      </c>
      <c r="AZ5" s="66">
        <f>'Evolutive SFP'!AY30</f>
        <v>0</v>
      </c>
      <c r="BA5" s="66">
        <f>'Evolutive SFP'!AZ30</f>
        <v>196532166.31</v>
      </c>
      <c r="BB5" s="66">
        <f>'Evolutive SFP'!BA30</f>
        <v>194185150.82999998</v>
      </c>
      <c r="BC5" s="66">
        <f>'Evolutive SFP'!BB30</f>
        <v>194293383.03</v>
      </c>
      <c r="BD5" s="66">
        <f>'Evolutive SFP'!BC30</f>
        <v>193521059.42000002</v>
      </c>
      <c r="BE5" s="66">
        <f>'Evolutive SFP'!BD30</f>
        <v>195058045.93000001</v>
      </c>
      <c r="BF5" s="66">
        <f>'Evolutive SFP'!BE30</f>
        <v>193557587</v>
      </c>
      <c r="BG5" s="66">
        <f>'Evolutive SFP'!BF30</f>
        <v>189955370.62</v>
      </c>
      <c r="BH5" s="66">
        <f>'Evolutive SFP'!BG30</f>
        <v>195296132.59999999</v>
      </c>
      <c r="BI5" s="66">
        <f>'Evolutive SFP'!BH30</f>
        <v>183868893.49000001</v>
      </c>
      <c r="BJ5" s="66">
        <f>'Evolutive SFP'!BI30</f>
        <v>184517171</v>
      </c>
      <c r="BK5" s="66">
        <f>'Evolutive SFP'!BJ30</f>
        <v>183265648.12</v>
      </c>
      <c r="BL5" s="66">
        <f>'Evolutive SFP'!BK30</f>
        <v>184945363.85999998</v>
      </c>
      <c r="BM5" s="66">
        <f>'Evolutive SFP'!BL30</f>
        <v>182323590.93000001</v>
      </c>
      <c r="BN5" s="66">
        <f>'Evolutive SFP'!BM30</f>
        <v>182284881.57999998</v>
      </c>
      <c r="BO5" s="66">
        <f>'Evolutive SFP'!BN30</f>
        <v>178181379.47000003</v>
      </c>
      <c r="BP5" s="66">
        <f>'Evolutive SFP'!BO30</f>
        <v>179528077.16</v>
      </c>
      <c r="BQ5" s="66">
        <f>'Evolutive SFP'!BP30</f>
        <v>178516992.75999999</v>
      </c>
      <c r="BR5" s="66">
        <f>'Evolutive SFP'!BQ30</f>
        <v>180176224.47</v>
      </c>
      <c r="BS5" s="66">
        <f>'Evolutive SFP'!BR30</f>
        <v>188019559</v>
      </c>
      <c r="BT5" s="66">
        <f>'Evolutive SFP'!BS30</f>
        <v>179853215.19</v>
      </c>
      <c r="BU5" s="66">
        <f>'Evolutive SFP'!BT30</f>
        <v>186049367.31999999</v>
      </c>
      <c r="BV5" s="66">
        <f>'Evolutive SFP'!BU30</f>
        <v>188029041.18000001</v>
      </c>
      <c r="BW5" s="66">
        <f>'Evolutive SFP'!BV30</f>
        <v>185933288.47999999</v>
      </c>
      <c r="BX5" s="66">
        <f>'Evolutive SFP'!BW30</f>
        <v>185450583.52000001</v>
      </c>
      <c r="BY5" s="66">
        <f>'Evolutive SFP'!BX30</f>
        <v>184935302.49000001</v>
      </c>
      <c r="BZ5" s="66">
        <f>'Evolutive SFP'!BY30</f>
        <v>183676698.81</v>
      </c>
      <c r="CA5" s="66">
        <f>'Evolutive SFP'!BZ30</f>
        <v>183675131.32999998</v>
      </c>
      <c r="CB5" s="66">
        <f>'Evolutive SFP'!CA30</f>
        <v>187727160.78999999</v>
      </c>
      <c r="CC5" s="66">
        <f>'Evolutive SFP'!CB30</f>
        <v>185202558.16000003</v>
      </c>
      <c r="CD5" s="66">
        <f>'Evolutive SFP'!CC30</f>
        <v>185067794.86000001</v>
      </c>
      <c r="CE5" s="66">
        <f>'Evolutive SFP'!CD30</f>
        <v>185184018.12</v>
      </c>
      <c r="CF5" s="66">
        <f>'Evolutive SFP'!CE30</f>
        <v>185174019</v>
      </c>
      <c r="CG5" s="66">
        <f>'Evolutive SFP'!CF30</f>
        <v>-9999.1200000047684</v>
      </c>
      <c r="CH5" s="66">
        <f>'Evolutive SFP'!CG30</f>
        <v>185174019</v>
      </c>
      <c r="CI5" s="66">
        <f>'Evolutive SFP'!CH30</f>
        <v>190365735.72999999</v>
      </c>
      <c r="CJ5" s="66">
        <f>'Evolutive SFP'!CI30</f>
        <v>187231543.41</v>
      </c>
      <c r="CK5" s="66">
        <f>'Evolutive SFP'!CJ30</f>
        <v>181538261.31</v>
      </c>
      <c r="CL5" s="66">
        <f>'Evolutive SFP'!CK30</f>
        <v>180806484.67000002</v>
      </c>
      <c r="CM5" s="66">
        <f>'Evolutive SFP'!CL30</f>
        <v>179537316.89999998</v>
      </c>
    </row>
    <row r="6" spans="1:91">
      <c r="A6" s="41">
        <v>3.1</v>
      </c>
      <c r="B6" s="42" t="s">
        <v>100</v>
      </c>
      <c r="C6" s="66">
        <f>'Evolutive SFP'!B29</f>
        <v>128848216</v>
      </c>
      <c r="D6" s="66">
        <f>'Evolutive SFP'!C29</f>
        <v>130204762</v>
      </c>
      <c r="E6" s="66">
        <f>'Evolutive SFP'!D29</f>
        <v>145890587</v>
      </c>
      <c r="F6" s="66">
        <f>'Evolutive SFP'!E29</f>
        <v>156610517</v>
      </c>
      <c r="G6" s="66">
        <f>'Evolutive SFP'!F29</f>
        <v>156718569.15000001</v>
      </c>
      <c r="H6" s="66">
        <f>'Evolutive SFP'!G29</f>
        <v>158383753.22</v>
      </c>
      <c r="I6" s="66">
        <f>'Evolutive SFP'!H29</f>
        <v>158962449.22999999</v>
      </c>
      <c r="J6" s="66">
        <f>'Evolutive SFP'!I29</f>
        <v>136371478.96000001</v>
      </c>
      <c r="K6" s="66">
        <f>'Evolutive SFP'!J29</f>
        <v>161715862</v>
      </c>
      <c r="L6" s="66">
        <f>'Evolutive SFP'!K29</f>
        <v>161853764.78999999</v>
      </c>
      <c r="M6" s="66">
        <f>'Evolutive SFP'!L29</f>
        <v>0</v>
      </c>
      <c r="N6" s="66">
        <f>'Evolutive SFP'!M29</f>
        <v>0</v>
      </c>
      <c r="O6" s="66">
        <f>'Evolutive SFP'!N29</f>
        <v>0</v>
      </c>
      <c r="P6" s="66">
        <f>'Evolutive SFP'!O29</f>
        <v>0</v>
      </c>
      <c r="Q6" s="66">
        <f>'Evolutive SFP'!P29</f>
        <v>0</v>
      </c>
      <c r="R6" s="66">
        <f>'Evolutive SFP'!Q29</f>
        <v>0</v>
      </c>
      <c r="S6" s="66">
        <f>'Evolutive SFP'!R29</f>
        <v>161769899</v>
      </c>
      <c r="T6" s="66">
        <f>'Evolutive SFP'!S29</f>
        <v>161780524.40000001</v>
      </c>
      <c r="U6" s="66">
        <f>'Evolutive SFP'!T29</f>
        <v>161252048.33000001</v>
      </c>
      <c r="V6" s="66">
        <f>'Evolutive SFP'!U29</f>
        <v>161252048.33000001</v>
      </c>
      <c r="W6" s="66">
        <f>'Evolutive SFP'!V29</f>
        <v>159956882.44999999</v>
      </c>
      <c r="X6" s="66">
        <f>'Evolutive SFP'!W29</f>
        <v>161970221.46000001</v>
      </c>
      <c r="Y6" s="66">
        <f>'Evolutive SFP'!X29</f>
        <v>0</v>
      </c>
      <c r="Z6" s="66">
        <f>'Evolutive SFP'!Y29</f>
        <v>160040192.09999999</v>
      </c>
      <c r="AA6" s="66">
        <f>'Evolutive SFP'!Z29</f>
        <v>161486971.75</v>
      </c>
      <c r="AB6" s="139">
        <f>'Evolutive SFP'!AA29</f>
        <v>154096123.69999999</v>
      </c>
      <c r="AC6" s="66">
        <f>'Evolutive SFP'!AB29</f>
        <v>151205713.66999999</v>
      </c>
      <c r="AD6" s="66">
        <f>'Evolutive SFP'!AC29</f>
        <v>153122507.03</v>
      </c>
      <c r="AE6" s="66">
        <f>'Evolutive SFP'!AD29</f>
        <v>155022151.13</v>
      </c>
      <c r="AF6" s="66">
        <f>'Evolutive SFP'!AE29</f>
        <v>157923433</v>
      </c>
      <c r="AG6" s="66">
        <f>'Evolutive SFP'!AF29</f>
        <v>153403651.03</v>
      </c>
      <c r="AH6" s="66">
        <f>'Evolutive SFP'!AG29</f>
        <v>153618085.03</v>
      </c>
      <c r="AI6" s="66">
        <f>'Evolutive SFP'!AH29</f>
        <v>152649167.75999999</v>
      </c>
      <c r="AJ6" s="66">
        <f>'Evolutive SFP'!AI29</f>
        <v>152410444.11000001</v>
      </c>
      <c r="AK6" s="66">
        <f>'Evolutive SFP'!AJ29</f>
        <v>152521236.30000001</v>
      </c>
      <c r="AL6" s="66">
        <f>'Evolutive SFP'!AK29</f>
        <v>152500966.30000001</v>
      </c>
      <c r="AM6" s="66">
        <f>'Evolutive SFP'!AL29</f>
        <v>152274671.30000001</v>
      </c>
      <c r="AN6" s="66">
        <f>'Evolutive SFP'!AM29</f>
        <v>152013122.30000001</v>
      </c>
      <c r="AO6" s="66">
        <f>'Evolutive SFP'!AN29</f>
        <v>152196869.30000001</v>
      </c>
      <c r="AP6" s="66">
        <f>'Evolutive SFP'!AO29</f>
        <v>0</v>
      </c>
      <c r="AQ6" s="66">
        <f>'Evolutive SFP'!AP29</f>
        <v>0</v>
      </c>
      <c r="AR6" s="66">
        <f>'Evolutive SFP'!AQ29</f>
        <v>0</v>
      </c>
      <c r="AS6" s="66">
        <f>'Evolutive SFP'!AR29</f>
        <v>0</v>
      </c>
      <c r="AT6" s="66">
        <f>'Evolutive SFP'!AS29</f>
        <v>152171937.63999999</v>
      </c>
      <c r="AU6" s="66">
        <f>'Evolutive SFP'!AT29</f>
        <v>152136163.63999999</v>
      </c>
      <c r="AV6" s="66">
        <f>'Evolutive SFP'!AU29</f>
        <v>152048782.19</v>
      </c>
      <c r="AW6" s="66">
        <f>'Evolutive SFP'!AV29</f>
        <v>151970889.91</v>
      </c>
      <c r="AX6" s="66">
        <f>'Evolutive SFP'!AW29</f>
        <v>152194231.33000001</v>
      </c>
      <c r="AY6" s="66">
        <f>'Evolutive SFP'!AX29</f>
        <v>151992166.94</v>
      </c>
      <c r="AZ6" s="66">
        <f>'Evolutive SFP'!AY29</f>
        <v>0</v>
      </c>
      <c r="BA6" s="66">
        <f>'Evolutive SFP'!AZ29</f>
        <v>154479310.72999999</v>
      </c>
      <c r="BB6" s="66">
        <f>'Evolutive SFP'!BA29</f>
        <v>152228770.59</v>
      </c>
      <c r="BC6" s="66">
        <f>'Evolutive SFP'!BB29</f>
        <v>151136776.62</v>
      </c>
      <c r="BD6" s="66">
        <f>'Evolutive SFP'!BC29</f>
        <v>149559250.11000001</v>
      </c>
      <c r="BE6" s="66">
        <f>'Evolutive SFP'!BD29</f>
        <v>149874935.71000001</v>
      </c>
      <c r="BF6" s="66">
        <f>'Evolutive SFP'!BE29</f>
        <v>149658884</v>
      </c>
      <c r="BG6" s="66">
        <f>'Evolutive SFP'!BF29</f>
        <v>162955990.53999999</v>
      </c>
      <c r="BH6" s="66">
        <f>'Evolutive SFP'!BG29</f>
        <v>163107231.78999999</v>
      </c>
      <c r="BI6" s="66">
        <f>'Evolutive SFP'!BH29</f>
        <v>161855584.41</v>
      </c>
      <c r="BJ6" s="66">
        <f>'Evolutive SFP'!BI29</f>
        <v>157339126.59</v>
      </c>
      <c r="BK6" s="66">
        <f>'Evolutive SFP'!BJ29</f>
        <v>156273578.16</v>
      </c>
      <c r="BL6" s="66">
        <f>'Evolutive SFP'!BK29</f>
        <v>156769669.16999999</v>
      </c>
      <c r="BM6" s="66">
        <f>'Evolutive SFP'!BL29</f>
        <v>155641914.13</v>
      </c>
      <c r="BN6" s="66">
        <f>'Evolutive SFP'!BM29</f>
        <v>155314697.66</v>
      </c>
      <c r="BO6" s="66">
        <f>'Evolutive SFP'!BN29</f>
        <v>155346701.61000001</v>
      </c>
      <c r="BP6" s="66">
        <f>'Evolutive SFP'!BO29</f>
        <v>155486958.53999999</v>
      </c>
      <c r="BQ6" s="66">
        <f>'Evolutive SFP'!BP29</f>
        <v>154780636.18000001</v>
      </c>
      <c r="BR6" s="66">
        <f>'Evolutive SFP'!BQ29</f>
        <v>155718772.25</v>
      </c>
      <c r="BS6" s="66">
        <f>'Evolutive SFP'!BR29</f>
        <v>149658884</v>
      </c>
      <c r="BT6" s="66">
        <f>'Evolutive SFP'!BS29</f>
        <v>156102965.90000001</v>
      </c>
      <c r="BU6" s="66">
        <f>'Evolutive SFP'!BT29</f>
        <v>157690993.87</v>
      </c>
      <c r="BV6" s="66">
        <f>'Evolutive SFP'!BU29</f>
        <v>157726707.99000001</v>
      </c>
      <c r="BW6" s="66">
        <f>'Evolutive SFP'!BV29</f>
        <v>157271189.81</v>
      </c>
      <c r="BX6" s="66">
        <f>'Evolutive SFP'!BW29</f>
        <v>142640357.86000001</v>
      </c>
      <c r="BY6" s="66">
        <f>'Evolutive SFP'!BX29</f>
        <v>142625570.86000001</v>
      </c>
      <c r="BZ6" s="66">
        <f>'Evolutive SFP'!BY29</f>
        <v>142176127.49000001</v>
      </c>
      <c r="CA6" s="66">
        <f>'Evolutive SFP'!BZ29</f>
        <v>142226648.69</v>
      </c>
      <c r="CB6" s="66">
        <f>'Evolutive SFP'!CA29</f>
        <v>142480207.84</v>
      </c>
      <c r="CC6" s="66">
        <f>'Evolutive SFP'!CB29</f>
        <v>142680135.30000001</v>
      </c>
      <c r="CD6" s="66">
        <f>'Evolutive SFP'!CC29</f>
        <v>143208543.80000001</v>
      </c>
      <c r="CE6" s="66">
        <f>'Evolutive SFP'!CD29</f>
        <v>144129386.52000001</v>
      </c>
      <c r="CF6" s="66">
        <f>'Evolutive SFP'!CE29</f>
        <v>144129387</v>
      </c>
      <c r="CG6" s="66">
        <f>'Evolutive SFP'!CF29</f>
        <v>0.47999998927116394</v>
      </c>
      <c r="CH6" s="66">
        <f>'Evolutive SFP'!CG29</f>
        <v>144129387</v>
      </c>
      <c r="CI6" s="66">
        <f>'Evolutive SFP'!CH29</f>
        <v>147283233.19999999</v>
      </c>
      <c r="CJ6" s="66">
        <f>'Evolutive SFP'!CI29</f>
        <v>147149011.66</v>
      </c>
      <c r="CK6" s="66">
        <f>'Evolutive SFP'!CJ29</f>
        <v>144930570.15000001</v>
      </c>
      <c r="CL6" s="66">
        <f>'Evolutive SFP'!CK29</f>
        <v>144808492.22</v>
      </c>
      <c r="CM6" s="66">
        <f>'Evolutive SFP'!CL29</f>
        <v>144516719.25999999</v>
      </c>
    </row>
    <row r="7" spans="1:91">
      <c r="A7" s="41">
        <v>3.2</v>
      </c>
      <c r="B7" s="42" t="s">
        <v>101</v>
      </c>
      <c r="C7" s="66">
        <f>('Evolutive SFP'!B27+'Evolutive SFP'!B28)</f>
        <v>57969061</v>
      </c>
      <c r="D7" s="66">
        <f>('Evolutive SFP'!C27+'Evolutive SFP'!C28)</f>
        <v>40772729</v>
      </c>
      <c r="E7" s="66">
        <f>('Evolutive SFP'!D27+'Evolutive SFP'!D28)</f>
        <v>24367647</v>
      </c>
      <c r="F7" s="66">
        <f>('Evolutive SFP'!E27+'Evolutive SFP'!E28)</f>
        <v>17947544</v>
      </c>
      <c r="G7" s="66">
        <f>('Evolutive SFP'!F27+'Evolutive SFP'!F28)</f>
        <v>-6391944.5</v>
      </c>
      <c r="H7" s="66">
        <f>('Evolutive SFP'!G27+'Evolutive SFP'!G28)</f>
        <v>21773737.129999999</v>
      </c>
      <c r="I7" s="66">
        <f>('Evolutive SFP'!H27+'Evolutive SFP'!H28)</f>
        <v>18367826.07</v>
      </c>
      <c r="J7" s="66">
        <f>('Evolutive SFP'!I27+'Evolutive SFP'!I28)</f>
        <v>33519822.93</v>
      </c>
      <c r="K7" s="66">
        <f>('Evolutive SFP'!J27+'Evolutive SFP'!J28)</f>
        <v>-2061429.38</v>
      </c>
      <c r="L7" s="66">
        <f>('Evolutive SFP'!K27+'Evolutive SFP'!K28)</f>
        <v>-10007042.43</v>
      </c>
      <c r="M7" s="66">
        <f>('Evolutive SFP'!L27+'Evolutive SFP'!L28)</f>
        <v>0</v>
      </c>
      <c r="N7" s="66">
        <f>('Evolutive SFP'!M27+'Evolutive SFP'!M28)</f>
        <v>0</v>
      </c>
      <c r="O7" s="66">
        <f>('Evolutive SFP'!N27+'Evolutive SFP'!N28)</f>
        <v>0</v>
      </c>
      <c r="P7" s="66">
        <f>('Evolutive SFP'!O27+'Evolutive SFP'!O28)</f>
        <v>0</v>
      </c>
      <c r="Q7" s="66">
        <f>('Evolutive SFP'!P27+'Evolutive SFP'!P28)</f>
        <v>0</v>
      </c>
      <c r="R7" s="66">
        <f>('Evolutive SFP'!Q27+'Evolutive SFP'!Q28)</f>
        <v>0</v>
      </c>
      <c r="S7" s="66">
        <f>('Evolutive SFP'!R27+'Evolutive SFP'!R28)</f>
        <v>-31816265</v>
      </c>
      <c r="T7" s="66">
        <f>('Evolutive SFP'!S27+'Evolutive SFP'!S28)</f>
        <v>-3584285.8900000006</v>
      </c>
      <c r="U7" s="66">
        <f>('Evolutive SFP'!T27+'Evolutive SFP'!T28)</f>
        <v>-9888343.1099999994</v>
      </c>
      <c r="V7" s="66">
        <f>('Evolutive SFP'!U27+'Evolutive SFP'!U28)</f>
        <v>-9888343.1099999994</v>
      </c>
      <c r="W7" s="66">
        <f>('Evolutive SFP'!V27+'Evolutive SFP'!V28)</f>
        <v>-20002734.449999999</v>
      </c>
      <c r="X7" s="66">
        <f>('Evolutive SFP'!W27+'Evolutive SFP'!W28)</f>
        <v>-19975452.52</v>
      </c>
      <c r="Y7" s="66">
        <f>('Evolutive SFP'!X27+'Evolutive SFP'!X28)</f>
        <v>129317905.72</v>
      </c>
      <c r="Z7" s="66">
        <f>('Evolutive SFP'!Y27+'Evolutive SFP'!Y28)</f>
        <v>-40871416.100000001</v>
      </c>
      <c r="AA7" s="66">
        <f>('Evolutive SFP'!Z27+'Evolutive SFP'!Z28)</f>
        <v>-27007138.670000002</v>
      </c>
      <c r="AB7" s="139">
        <f>('Evolutive SFP'!AA27+'Evolutive SFP'!AA28)</f>
        <v>-30896419.960000001</v>
      </c>
      <c r="AC7" s="66">
        <f>('Evolutive SFP'!AB27+'Evolutive SFP'!AB28)</f>
        <v>-35581365.349999994</v>
      </c>
      <c r="AD7" s="66">
        <f>('Evolutive SFP'!AC27+'Evolutive SFP'!AC28)</f>
        <v>-25872322.809999999</v>
      </c>
      <c r="AE7" s="66">
        <f>('Evolutive SFP'!AD27+'Evolutive SFP'!AD28)</f>
        <v>-38715334.189999998</v>
      </c>
      <c r="AF7" s="66">
        <f>('Evolutive SFP'!AE27+'Evolutive SFP'!AE28)</f>
        <v>-28293693</v>
      </c>
      <c r="AG7" s="66">
        <f>('Evolutive SFP'!AF27+'Evolutive SFP'!AF28)</f>
        <v>-38013757.490000002</v>
      </c>
      <c r="AH7" s="66">
        <f>('Evolutive SFP'!AG27+'Evolutive SFP'!AG28)</f>
        <v>-35050830.25</v>
      </c>
      <c r="AI7" s="66">
        <f>('Evolutive SFP'!AH27+'Evolutive SFP'!AH28)</f>
        <v>-53133635.57</v>
      </c>
      <c r="AJ7" s="66">
        <f>('Evolutive SFP'!AI27+'Evolutive SFP'!AI28)</f>
        <v>-54711615.059999995</v>
      </c>
      <c r="AK7" s="66">
        <f>('Evolutive SFP'!AJ27+'Evolutive SFP'!AJ28)</f>
        <v>-52667235.309999995</v>
      </c>
      <c r="AL7" s="66">
        <f>('Evolutive SFP'!AK27+'Evolutive SFP'!AK28)</f>
        <v>-48866391.629999995</v>
      </c>
      <c r="AM7" s="66">
        <f>('Evolutive SFP'!AL27+'Evolutive SFP'!AL28)</f>
        <v>-45665946.419999994</v>
      </c>
      <c r="AN7" s="66">
        <f>('Evolutive SFP'!AM27+'Evolutive SFP'!AM28)</f>
        <v>-43130385.859999999</v>
      </c>
      <c r="AO7" s="66">
        <f>('Evolutive SFP'!AN27+'Evolutive SFP'!AN28)</f>
        <v>-42838467.659999996</v>
      </c>
      <c r="AP7" s="66">
        <f>('Evolutive SFP'!AO27+'Evolutive SFP'!AO28)</f>
        <v>0</v>
      </c>
      <c r="AQ7" s="66">
        <f>('Evolutive SFP'!AP27+'Evolutive SFP'!AP28)</f>
        <v>0</v>
      </c>
      <c r="AR7" s="66">
        <f>('Evolutive SFP'!AQ27+'Evolutive SFP'!AQ28)</f>
        <v>0</v>
      </c>
      <c r="AS7" s="66">
        <f>('Evolutive SFP'!AR27+'Evolutive SFP'!AR28)</f>
        <v>0</v>
      </c>
      <c r="AT7" s="66">
        <f>('Evolutive SFP'!AS27+'Evolutive SFP'!AS28)</f>
        <v>-41910292.039999999</v>
      </c>
      <c r="AU7" s="66">
        <f>('Evolutive SFP'!AT27+'Evolutive SFP'!AT28)</f>
        <v>50500567.43</v>
      </c>
      <c r="AV7" s="66">
        <f>('Evolutive SFP'!AU27+'Evolutive SFP'!AU28)</f>
        <v>42747134.020000003</v>
      </c>
      <c r="AW7" s="66">
        <f>('Evolutive SFP'!AV27+'Evolutive SFP'!AV28)</f>
        <v>44204496.540000007</v>
      </c>
      <c r="AX7" s="66">
        <f>('Evolutive SFP'!AW27+'Evolutive SFP'!AW28)</f>
        <v>48662221.450000003</v>
      </c>
      <c r="AY7" s="66">
        <f>('Evolutive SFP'!AX27+'Evolutive SFP'!AX28)</f>
        <v>54434969.170000002</v>
      </c>
      <c r="AZ7" s="66">
        <f>('Evolutive SFP'!AY27+'Evolutive SFP'!AY28)</f>
        <v>0</v>
      </c>
      <c r="BA7" s="66">
        <f>('Evolutive SFP'!AZ27+'Evolutive SFP'!AZ28)</f>
        <v>42052855.579999998</v>
      </c>
      <c r="BB7" s="66">
        <f>('Evolutive SFP'!BA27+'Evolutive SFP'!BA28)</f>
        <v>41956380.239999995</v>
      </c>
      <c r="BC7" s="66">
        <f>('Evolutive SFP'!BB27+'Evolutive SFP'!BB28)</f>
        <v>43156606.409999996</v>
      </c>
      <c r="BD7" s="66">
        <f>('Evolutive SFP'!BC27+'Evolutive SFP'!BC28)</f>
        <v>43961809.309999995</v>
      </c>
      <c r="BE7" s="66">
        <f>('Evolutive SFP'!BD27+'Evolutive SFP'!BD28)</f>
        <v>45183110.219999999</v>
      </c>
      <c r="BF7" s="66">
        <f>('Evolutive SFP'!BE27+'Evolutive SFP'!BE28)</f>
        <v>43898703</v>
      </c>
      <c r="BG7" s="66">
        <f>('Evolutive SFP'!BF27+'Evolutive SFP'!BF28)</f>
        <v>26999380.079999998</v>
      </c>
      <c r="BH7" s="66">
        <f>('Evolutive SFP'!BG27+'Evolutive SFP'!BG28)</f>
        <v>32188900.809999999</v>
      </c>
      <c r="BI7" s="66">
        <f>('Evolutive SFP'!BH27+'Evolutive SFP'!BH28)</f>
        <v>22013309.079999998</v>
      </c>
      <c r="BJ7" s="66">
        <f>('Evolutive SFP'!BI27+'Evolutive SFP'!BI28)</f>
        <v>27178044.41</v>
      </c>
      <c r="BK7" s="66">
        <f>('Evolutive SFP'!BJ27+'Evolutive SFP'!BJ28)</f>
        <v>26992069.960000001</v>
      </c>
      <c r="BL7" s="66">
        <f>('Evolutive SFP'!BK27+'Evolutive SFP'!BK28)</f>
        <v>28175694.689999998</v>
      </c>
      <c r="BM7" s="66">
        <f>('Evolutive SFP'!BL27+'Evolutive SFP'!BL28)</f>
        <v>26681676.800000001</v>
      </c>
      <c r="BN7" s="66">
        <f>('Evolutive SFP'!BM27+'Evolutive SFP'!BM28)</f>
        <v>26970183.919999998</v>
      </c>
      <c r="BO7" s="66">
        <f>('Evolutive SFP'!BN27+'Evolutive SFP'!BN28)</f>
        <v>22834677.859999999</v>
      </c>
      <c r="BP7" s="66">
        <f>('Evolutive SFP'!BO27+'Evolutive SFP'!BO28)</f>
        <v>24041118.619999997</v>
      </c>
      <c r="BQ7" s="66">
        <f>('Evolutive SFP'!BP27+'Evolutive SFP'!BP28)</f>
        <v>23736356.579999998</v>
      </c>
      <c r="BR7" s="66">
        <f>('Evolutive SFP'!BQ27+'Evolutive SFP'!BQ28)</f>
        <v>24457452.219999999</v>
      </c>
      <c r="BS7" s="66">
        <f>('Evolutive SFP'!BR27+'Evolutive SFP'!BR28)</f>
        <v>38360675</v>
      </c>
      <c r="BT7" s="66">
        <f>('Evolutive SFP'!BS27+'Evolutive SFP'!BS28)</f>
        <v>23750249.289999999</v>
      </c>
      <c r="BU7" s="66">
        <f>('Evolutive SFP'!BT27+'Evolutive SFP'!BT28)</f>
        <v>28358373.449999999</v>
      </c>
      <c r="BV7" s="66">
        <f>('Evolutive SFP'!BU27+'Evolutive SFP'!BU28)</f>
        <v>30302333.189999998</v>
      </c>
      <c r="BW7" s="66">
        <f>('Evolutive SFP'!BV27+'Evolutive SFP'!BV28)</f>
        <v>28662098.669999998</v>
      </c>
      <c r="BX7" s="66">
        <f>('Evolutive SFP'!BW27+'Evolutive SFP'!BW28)</f>
        <v>42810225.659999996</v>
      </c>
      <c r="BY7" s="66">
        <f>('Evolutive SFP'!BX27+'Evolutive SFP'!BX28)</f>
        <v>42309731.630000003</v>
      </c>
      <c r="BZ7" s="66">
        <f>('Evolutive SFP'!BY27+'Evolutive SFP'!BY28)</f>
        <v>41500571.32</v>
      </c>
      <c r="CA7" s="66">
        <f>('Evolutive SFP'!BZ27+'Evolutive SFP'!BZ28)</f>
        <v>41448482.640000001</v>
      </c>
      <c r="CB7" s="66">
        <f>('Evolutive SFP'!CA27+'Evolutive SFP'!CA28)</f>
        <v>45246952.949999996</v>
      </c>
      <c r="CC7" s="66">
        <f>('Evolutive SFP'!CB27+'Evolutive SFP'!CB28)</f>
        <v>42522422.859999999</v>
      </c>
      <c r="CD7" s="66">
        <f>('Evolutive SFP'!CC27+'Evolutive SFP'!CC28)</f>
        <v>41859251.060000002</v>
      </c>
      <c r="CE7" s="66">
        <f>('Evolutive SFP'!CD27+'Evolutive SFP'!CD28)</f>
        <v>41054631.600000001</v>
      </c>
      <c r="CF7" s="66">
        <f>('Evolutive SFP'!CE27+'Evolutive SFP'!CE28)</f>
        <v>41044632</v>
      </c>
      <c r="CG7" s="66">
        <f>('Evolutive SFP'!CF27+'Evolutive SFP'!CF28)</f>
        <v>-9999.6000000023851</v>
      </c>
      <c r="CH7" s="66">
        <f>('Evolutive SFP'!CG27+'Evolutive SFP'!CG28)</f>
        <v>41044632</v>
      </c>
      <c r="CI7" s="66">
        <f>('Evolutive SFP'!CH27+'Evolutive SFP'!CH28)</f>
        <v>43082502.530000001</v>
      </c>
      <c r="CJ7" s="66">
        <f>('Evolutive SFP'!CI27+'Evolutive SFP'!CI28)</f>
        <v>40082531.75</v>
      </c>
      <c r="CK7" s="66">
        <f>('Evolutive SFP'!CJ27+'Evolutive SFP'!CJ28)</f>
        <v>36607691.159999996</v>
      </c>
      <c r="CL7" s="66">
        <f>('Evolutive SFP'!CK27+'Evolutive SFP'!CK28)</f>
        <v>35997992.450000003</v>
      </c>
      <c r="CM7" s="66">
        <f>('Evolutive SFP'!CL27+'Evolutive SFP'!CL28)</f>
        <v>35020597.640000001</v>
      </c>
    </row>
    <row r="8" spans="1:91">
      <c r="A8" s="41">
        <v>4</v>
      </c>
      <c r="B8" s="41" t="s">
        <v>102</v>
      </c>
      <c r="C8" s="66">
        <f>'Evolutive SFP'!B36</f>
        <v>5711235</v>
      </c>
      <c r="D8" s="66">
        <f>'Evolutive SFP'!C36</f>
        <v>3146881</v>
      </c>
      <c r="E8" s="66">
        <f>'Evolutive SFP'!D36</f>
        <v>18495124</v>
      </c>
      <c r="F8" s="66">
        <f>'Evolutive SFP'!E36</f>
        <v>29110952</v>
      </c>
      <c r="G8" s="66">
        <f>'Evolutive SFP'!F36</f>
        <v>28512339.699999999</v>
      </c>
      <c r="H8" s="66">
        <f>'Evolutive SFP'!G36</f>
        <v>28010877.370000001</v>
      </c>
      <c r="I8" s="66">
        <f>'Evolutive SFP'!H36</f>
        <v>24962487.940000001</v>
      </c>
      <c r="J8" s="66">
        <f>'Evolutive SFP'!I36</f>
        <v>24962487.940000001</v>
      </c>
      <c r="K8" s="66">
        <f>'Evolutive SFP'!J36</f>
        <v>23353476</v>
      </c>
      <c r="L8" s="66">
        <f>'Evolutive SFP'!K36</f>
        <v>23353475.960000001</v>
      </c>
      <c r="M8" s="66">
        <f>'Evolutive SFP'!L36</f>
        <v>0</v>
      </c>
      <c r="N8" s="66">
        <f>'Evolutive SFP'!M36</f>
        <v>0</v>
      </c>
      <c r="O8" s="66">
        <f>'Evolutive SFP'!N36</f>
        <v>0</v>
      </c>
      <c r="P8" s="66">
        <f>'Evolutive SFP'!O36</f>
        <v>0</v>
      </c>
      <c r="Q8" s="66">
        <f>'Evolutive SFP'!P36</f>
        <v>0</v>
      </c>
      <c r="R8" s="66">
        <f>'Evolutive SFP'!Q36</f>
        <v>0</v>
      </c>
      <c r="S8" s="66">
        <f>'Evolutive SFP'!R36</f>
        <v>29133453</v>
      </c>
      <c r="T8" s="66">
        <f>'Evolutive SFP'!S36</f>
        <v>29996387.129999999</v>
      </c>
      <c r="U8" s="66">
        <f>'Evolutive SFP'!T36</f>
        <v>29996387.129999999</v>
      </c>
      <c r="V8" s="66">
        <f>'Evolutive SFP'!U36</f>
        <v>29996387.129999999</v>
      </c>
      <c r="W8" s="66">
        <f>'Evolutive SFP'!V36</f>
        <v>28410979.120000001</v>
      </c>
      <c r="X8" s="66">
        <f>'Evolutive SFP'!W36</f>
        <v>28410979.120000001</v>
      </c>
      <c r="Y8" s="66">
        <f>'Evolutive SFP'!X36</f>
        <v>28410978.920000002</v>
      </c>
      <c r="Z8" s="66">
        <f>'Evolutive SFP'!Y36</f>
        <v>28410978.920000002</v>
      </c>
      <c r="AA8" s="66">
        <f>'Evolutive SFP'!Z36</f>
        <v>28410978.920000002</v>
      </c>
      <c r="AB8" s="139">
        <f>'Evolutive SFP'!AA36</f>
        <v>28603585.359999999</v>
      </c>
      <c r="AC8" s="66">
        <f>'Evolutive SFP'!AB36</f>
        <v>28410978.920000002</v>
      </c>
      <c r="AD8" s="66">
        <f>'Evolutive SFP'!AC36</f>
        <v>24541568.41</v>
      </c>
      <c r="AE8" s="66">
        <f>'Evolutive SFP'!AD36</f>
        <v>22783568.41</v>
      </c>
      <c r="AF8" s="66">
        <f>'Evolutive SFP'!AE36</f>
        <v>23403274</v>
      </c>
      <c r="AG8" s="66">
        <f>'Evolutive SFP'!AF36</f>
        <v>23382166.309999999</v>
      </c>
      <c r="AH8" s="66">
        <f>'Evolutive SFP'!AG36</f>
        <v>22985844.850000001</v>
      </c>
      <c r="AI8" s="66">
        <f>'Evolutive SFP'!AH36</f>
        <v>26089275.41</v>
      </c>
      <c r="AJ8" s="66">
        <f>'Evolutive SFP'!AI36</f>
        <v>22783568.41</v>
      </c>
      <c r="AK8" s="66">
        <f>'Evolutive SFP'!AJ36</f>
        <v>22783568.41</v>
      </c>
      <c r="AL8" s="66">
        <f>'Evolutive SFP'!AK36</f>
        <v>22783568.41</v>
      </c>
      <c r="AM8" s="66">
        <f>'Evolutive SFP'!AL36</f>
        <v>22783568.41</v>
      </c>
      <c r="AN8" s="66">
        <f>'Evolutive SFP'!AM36</f>
        <v>22783568.41</v>
      </c>
      <c r="AO8" s="66">
        <f>'Evolutive SFP'!AN36</f>
        <v>27899604.620000001</v>
      </c>
      <c r="AP8" s="66">
        <f>'Evolutive SFP'!AO36</f>
        <v>0</v>
      </c>
      <c r="AQ8" s="66">
        <f>'Evolutive SFP'!AP36</f>
        <v>0</v>
      </c>
      <c r="AR8" s="66">
        <f>'Evolutive SFP'!AQ36</f>
        <v>0</v>
      </c>
      <c r="AS8" s="66">
        <f>'Evolutive SFP'!AR36</f>
        <v>0</v>
      </c>
      <c r="AT8" s="66">
        <f>'Evolutive SFP'!AS36</f>
        <v>20179592.620000001</v>
      </c>
      <c r="AU8" s="66">
        <f>'Evolutive SFP'!AT36</f>
        <v>20179592.620000001</v>
      </c>
      <c r="AV8" s="66">
        <f>'Evolutive SFP'!AU36</f>
        <v>23981223.98</v>
      </c>
      <c r="AW8" s="66">
        <f>'Evolutive SFP'!AV36</f>
        <v>23981223.98</v>
      </c>
      <c r="AX8" s="66">
        <f>'Evolutive SFP'!AW36</f>
        <v>23981223.98</v>
      </c>
      <c r="AY8" s="66">
        <f>'Evolutive SFP'!AX36</f>
        <v>23981223.960000001</v>
      </c>
      <c r="AZ8" s="66">
        <f>'Evolutive SFP'!AY36</f>
        <v>0</v>
      </c>
      <c r="BA8" s="66">
        <f>'Evolutive SFP'!AZ36</f>
        <v>25384882.98</v>
      </c>
      <c r="BB8" s="66">
        <f>'Evolutive SFP'!BA36</f>
        <v>25084882.98</v>
      </c>
      <c r="BC8" s="66">
        <f>'Evolutive SFP'!BB36</f>
        <v>25182042.98</v>
      </c>
      <c r="BD8" s="66">
        <f>'Evolutive SFP'!BC36</f>
        <v>25032042.98</v>
      </c>
      <c r="BE8" s="66">
        <f>'Evolutive SFP'!BD36</f>
        <v>25032042.98</v>
      </c>
      <c r="BF8" s="66">
        <f>'Evolutive SFP'!BE36</f>
        <v>25032043</v>
      </c>
      <c r="BG8" s="66">
        <f>'Evolutive SFP'!BF36</f>
        <v>25032042.98</v>
      </c>
      <c r="BH8" s="66">
        <f>'Evolutive SFP'!BG36</f>
        <v>26387950.969999999</v>
      </c>
      <c r="BI8" s="66">
        <f>'Evolutive SFP'!BH36</f>
        <v>26786652.109999999</v>
      </c>
      <c r="BJ8" s="66">
        <f>'Evolutive SFP'!BI36</f>
        <v>26187950.969999999</v>
      </c>
      <c r="BK8" s="66">
        <f>'Evolutive SFP'!BJ36</f>
        <v>25987950.969999999</v>
      </c>
      <c r="BL8" s="66">
        <f>'Evolutive SFP'!BK36</f>
        <v>26174163.969999999</v>
      </c>
      <c r="BM8" s="66">
        <f>'Evolutive SFP'!BL36</f>
        <v>26014513.969999999</v>
      </c>
      <c r="BN8" s="66">
        <f>'Evolutive SFP'!BM36</f>
        <v>25814513.969999999</v>
      </c>
      <c r="BO8" s="66">
        <f>'Evolutive SFP'!BN36</f>
        <v>25814513.969999999</v>
      </c>
      <c r="BP8" s="66">
        <f>'Evolutive SFP'!BO36</f>
        <v>25814513.969999999</v>
      </c>
      <c r="BQ8" s="66">
        <f>'Evolutive SFP'!BP36</f>
        <v>25814513.969999999</v>
      </c>
      <c r="BR8" s="66">
        <f>'Evolutive SFP'!BQ36</f>
        <v>25814513.969999999</v>
      </c>
      <c r="BS8" s="66">
        <f>'Evolutive SFP'!BR36</f>
        <v>24058606</v>
      </c>
      <c r="BT8" s="66">
        <f>'Evolutive SFP'!BS36</f>
        <v>25814513.969999999</v>
      </c>
      <c r="BU8" s="66">
        <f>'Evolutive SFP'!BT36</f>
        <v>25814513.969999999</v>
      </c>
      <c r="BV8" s="66">
        <f>'Evolutive SFP'!BU36</f>
        <v>25814513.969999999</v>
      </c>
      <c r="BW8" s="66">
        <f>'Evolutive SFP'!BV36</f>
        <v>25814513.969999999</v>
      </c>
      <c r="BX8" s="66">
        <f>'Evolutive SFP'!BW36</f>
        <v>25814513.969999999</v>
      </c>
      <c r="BY8" s="66">
        <f>'Evolutive SFP'!BX36</f>
        <v>26537749.969999999</v>
      </c>
      <c r="BZ8" s="66">
        <f>'Evolutive SFP'!BY36</f>
        <v>26597167.969999999</v>
      </c>
      <c r="CA8" s="66">
        <f>'Evolutive SFP'!BZ36</f>
        <v>26597167.969999999</v>
      </c>
      <c r="CB8" s="66">
        <f>'Evolutive SFP'!CA36</f>
        <v>26597167.969999999</v>
      </c>
      <c r="CC8" s="66">
        <f>'Evolutive SFP'!CB36</f>
        <v>26597167.969999999</v>
      </c>
      <c r="CD8" s="66">
        <f>'Evolutive SFP'!CC36</f>
        <v>26597167.969999999</v>
      </c>
      <c r="CE8" s="66">
        <f>'Evolutive SFP'!CD36</f>
        <v>26597167.969999999</v>
      </c>
      <c r="CF8" s="66">
        <f>'Evolutive SFP'!CE36</f>
        <v>26597168</v>
      </c>
      <c r="CG8" s="66">
        <f>'Evolutive SFP'!CF36</f>
        <v>3.0000001192092896E-2</v>
      </c>
      <c r="CH8" s="66">
        <f>'Evolutive SFP'!CG36</f>
        <v>26597168</v>
      </c>
      <c r="CI8" s="66">
        <f>'Evolutive SFP'!CH36</f>
        <v>23782823.879999999</v>
      </c>
      <c r="CJ8" s="66">
        <f>'Evolutive SFP'!CI36</f>
        <v>23685663.870000001</v>
      </c>
      <c r="CK8" s="66">
        <f>'Evolutive SFP'!CJ36</f>
        <v>24033302.469999999</v>
      </c>
      <c r="CL8" s="66">
        <f>'Evolutive SFP'!CK36</f>
        <v>24033302.469999999</v>
      </c>
      <c r="CM8" s="66">
        <f>'Evolutive SFP'!CL36</f>
        <v>24033302.469999999</v>
      </c>
    </row>
    <row r="9" spans="1:91">
      <c r="A9" s="41"/>
      <c r="B9" s="41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139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66"/>
      <c r="BV9" s="66"/>
      <c r="BW9" s="66"/>
      <c r="BX9" s="66"/>
      <c r="BY9" s="66"/>
      <c r="BZ9" s="66"/>
      <c r="CA9" s="66"/>
      <c r="CB9" s="66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</row>
    <row r="10" spans="1:91">
      <c r="A10" s="43">
        <v>5</v>
      </c>
      <c r="B10" s="39" t="s">
        <v>103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139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</row>
    <row r="11" spans="1:91" s="34" customFormat="1">
      <c r="A11" s="51">
        <v>5.0999999999999996</v>
      </c>
      <c r="B11" s="39" t="s">
        <v>104</v>
      </c>
      <c r="C11" s="67">
        <f>C14-C22-C26</f>
        <v>76173062</v>
      </c>
      <c r="D11" s="67">
        <f>D14-D22-D26</f>
        <v>63869079</v>
      </c>
      <c r="E11" s="67">
        <f t="shared" ref="E11:J11" si="0">E14-E22-E26</f>
        <v>60755239</v>
      </c>
      <c r="F11" s="67">
        <f>F14-F22-F26</f>
        <v>58285185</v>
      </c>
      <c r="G11" s="67">
        <f t="shared" si="0"/>
        <v>75078486.449999988</v>
      </c>
      <c r="H11" s="67">
        <f t="shared" si="0"/>
        <v>57062441.799999997</v>
      </c>
      <c r="I11" s="67">
        <f t="shared" si="0"/>
        <v>58519719.390000001</v>
      </c>
      <c r="J11" s="67">
        <f t="shared" si="0"/>
        <v>56787294.609999999</v>
      </c>
      <c r="K11" s="67">
        <f>K14-K22-K26</f>
        <v>54539467.00999999</v>
      </c>
      <c r="L11" s="67">
        <f>L14-L22-L26</f>
        <v>54417524.710000008</v>
      </c>
      <c r="M11" s="67">
        <f>M14-M22-M26</f>
        <v>0</v>
      </c>
      <c r="N11" s="67">
        <f t="shared" ref="N11:S11" si="1">N14-N22-N26</f>
        <v>0</v>
      </c>
      <c r="O11" s="67">
        <f t="shared" si="1"/>
        <v>0</v>
      </c>
      <c r="P11" s="67">
        <f t="shared" si="1"/>
        <v>0</v>
      </c>
      <c r="Q11" s="67">
        <f t="shared" si="1"/>
        <v>0</v>
      </c>
      <c r="R11" s="67">
        <f t="shared" si="1"/>
        <v>0</v>
      </c>
      <c r="S11" s="67">
        <f t="shared" si="1"/>
        <v>70009604</v>
      </c>
      <c r="T11" s="67">
        <f t="shared" ref="T11:Y11" si="2">T14-T22-T26</f>
        <v>52749655.070000008</v>
      </c>
      <c r="U11" s="67">
        <f t="shared" si="2"/>
        <v>52651746.870000005</v>
      </c>
      <c r="V11" s="67">
        <f t="shared" si="2"/>
        <v>48409618.069999993</v>
      </c>
      <c r="W11" s="67">
        <f t="shared" si="2"/>
        <v>43694849.769999996</v>
      </c>
      <c r="X11" s="67">
        <f t="shared" si="2"/>
        <v>20358763.469999995</v>
      </c>
      <c r="Y11" s="67">
        <f t="shared" si="2"/>
        <v>63407605.049999997</v>
      </c>
      <c r="Z11" s="67">
        <f t="shared" ref="Z11:AP11" si="3">Z14-Z22-Z26</f>
        <v>58325940.689999998</v>
      </c>
      <c r="AA11" s="67">
        <f t="shared" si="3"/>
        <v>55716712.530000001</v>
      </c>
      <c r="AB11" s="140">
        <f t="shared" si="3"/>
        <v>57351734.13000001</v>
      </c>
      <c r="AC11" s="67">
        <f t="shared" si="3"/>
        <v>56225700.200000003</v>
      </c>
      <c r="AD11" s="67">
        <f t="shared" si="3"/>
        <v>56864584.140000001</v>
      </c>
      <c r="AE11" s="67">
        <f t="shared" si="3"/>
        <v>54521325.540000007</v>
      </c>
      <c r="AF11" s="67">
        <f t="shared" si="3"/>
        <v>31207506.699999999</v>
      </c>
      <c r="AG11" s="67">
        <f t="shared" si="3"/>
        <v>59027720.13000001</v>
      </c>
      <c r="AH11" s="67">
        <f t="shared" si="3"/>
        <v>55702954.909999996</v>
      </c>
      <c r="AI11" s="67">
        <f t="shared" si="3"/>
        <v>53262282.609999999</v>
      </c>
      <c r="AJ11" s="67">
        <f t="shared" si="3"/>
        <v>55741934.489999995</v>
      </c>
      <c r="AK11" s="67">
        <f t="shared" si="3"/>
        <v>54709395.670000002</v>
      </c>
      <c r="AL11" s="67">
        <f t="shared" si="3"/>
        <v>54319626.670000002</v>
      </c>
      <c r="AM11" s="67">
        <f t="shared" si="3"/>
        <v>53600567.799999997</v>
      </c>
      <c r="AN11" s="67">
        <f t="shared" si="3"/>
        <v>56249091.150000006</v>
      </c>
      <c r="AO11" s="67">
        <f t="shared" si="3"/>
        <v>52370474.719999999</v>
      </c>
      <c r="AP11" s="67">
        <f t="shared" si="3"/>
        <v>0</v>
      </c>
      <c r="AQ11" s="67">
        <f>AQ14-AQ22-AQ26</f>
        <v>0</v>
      </c>
      <c r="AR11" s="67">
        <f>AR14-AR22-AR26</f>
        <v>0</v>
      </c>
      <c r="AS11" s="67">
        <f>AS14-AS22-AS26</f>
        <v>0</v>
      </c>
      <c r="AT11" s="67">
        <f>AT14-AT22-AT26</f>
        <v>-80513404.429999992</v>
      </c>
      <c r="AU11" s="67">
        <f t="shared" ref="AU11:BF11" si="4">AU14-AU22-AU26</f>
        <v>-79069793.370000005</v>
      </c>
      <c r="AV11" s="67">
        <f t="shared" si="4"/>
        <v>-64955192.689999998</v>
      </c>
      <c r="AW11" s="67">
        <f t="shared" si="4"/>
        <v>-65861176.979999989</v>
      </c>
      <c r="AX11" s="67">
        <f t="shared" si="4"/>
        <v>-67195123.099999994</v>
      </c>
      <c r="AY11" s="67">
        <f t="shared" si="4"/>
        <v>-67381348.629999995</v>
      </c>
      <c r="AZ11" s="67">
        <f t="shared" si="4"/>
        <v>0</v>
      </c>
      <c r="BA11" s="67">
        <f t="shared" si="4"/>
        <v>-70929399.929999992</v>
      </c>
      <c r="BB11" s="67">
        <f t="shared" si="4"/>
        <v>-64657060.189999998</v>
      </c>
      <c r="BC11" s="67">
        <f t="shared" si="4"/>
        <v>-60151488.519999996</v>
      </c>
      <c r="BD11" s="67">
        <f t="shared" si="4"/>
        <v>-60854591.729999989</v>
      </c>
      <c r="BE11" s="67">
        <f t="shared" si="4"/>
        <v>-57123565.299999997</v>
      </c>
      <c r="BF11" s="67">
        <f t="shared" si="4"/>
        <v>-60026311</v>
      </c>
      <c r="BG11" s="67">
        <f t="shared" ref="BG11:BS11" si="5">BG14-BG22-BG26</f>
        <v>-63606374.11999999</v>
      </c>
      <c r="BH11" s="67">
        <f t="shared" si="5"/>
        <v>-80563944.859999999</v>
      </c>
      <c r="BI11" s="67">
        <f t="shared" si="5"/>
        <v>-68354641.290000007</v>
      </c>
      <c r="BJ11" s="67">
        <f t="shared" si="5"/>
        <v>-67217598.310000002</v>
      </c>
      <c r="BK11" s="67">
        <f t="shared" si="5"/>
        <v>-65443196.640000001</v>
      </c>
      <c r="BL11" s="67">
        <f t="shared" si="5"/>
        <v>-51657022.019999981</v>
      </c>
      <c r="BM11" s="67">
        <f t="shared" si="5"/>
        <v>-64257865.25999999</v>
      </c>
      <c r="BN11" s="67">
        <f t="shared" si="5"/>
        <v>-66690860.020000011</v>
      </c>
      <c r="BO11" s="67">
        <f t="shared" si="5"/>
        <v>-65078795.480000004</v>
      </c>
      <c r="BP11" s="67">
        <f t="shared" si="5"/>
        <v>-63766691.190000013</v>
      </c>
      <c r="BQ11" s="67">
        <f t="shared" si="5"/>
        <v>-62740948.409999996</v>
      </c>
      <c r="BR11" s="67">
        <f t="shared" si="5"/>
        <v>-65667742.99000001</v>
      </c>
      <c r="BS11" s="67">
        <f t="shared" si="5"/>
        <v>-40822386</v>
      </c>
      <c r="BT11" s="67">
        <f t="shared" ref="BT11:BX11" si="6">BT14-BT22-BT26</f>
        <v>-64641781.100000009</v>
      </c>
      <c r="BU11" s="67">
        <f t="shared" si="6"/>
        <v>-64019203.910000011</v>
      </c>
      <c r="BV11" s="67">
        <f t="shared" si="6"/>
        <v>-65395648.400000006</v>
      </c>
      <c r="BW11" s="67">
        <f t="shared" si="6"/>
        <v>-61659581.159999996</v>
      </c>
      <c r="BX11" s="67">
        <f t="shared" si="6"/>
        <v>-70256297.010000005</v>
      </c>
      <c r="BY11" s="67">
        <f t="shared" ref="BY11:BZ11" si="7">BY14-BY22-BY26</f>
        <v>-71430407.210000008</v>
      </c>
      <c r="BZ11" s="67">
        <f t="shared" si="7"/>
        <v>-70615671.810000002</v>
      </c>
      <c r="CA11" s="67">
        <f t="shared" ref="CA11:CE11" si="8">CA14-CA22-CA26</f>
        <v>-71411340.700000003</v>
      </c>
      <c r="CB11" s="67">
        <f t="shared" si="8"/>
        <v>-52564084.859999999</v>
      </c>
      <c r="CC11" s="67">
        <f t="shared" si="8"/>
        <v>-68432313.139999986</v>
      </c>
      <c r="CD11" s="67">
        <f t="shared" si="8"/>
        <v>-65870368.030000001</v>
      </c>
      <c r="CE11" s="67">
        <f t="shared" ref="CE11:CF11" si="9">CE14-CE22-CE26</f>
        <v>-69265626.039999992</v>
      </c>
      <c r="CF11" s="67">
        <f t="shared" si="9"/>
        <v>-15577310</v>
      </c>
      <c r="CG11" s="67">
        <f t="shared" ref="CG11:CJ11" si="10">CG14-CG22-CG26</f>
        <v>53688316.040000007</v>
      </c>
      <c r="CH11" s="67">
        <f t="shared" si="10"/>
        <v>-15577310</v>
      </c>
      <c r="CI11" s="67">
        <f t="shared" si="10"/>
        <v>-70357775.030000016</v>
      </c>
      <c r="CJ11" s="67">
        <f t="shared" si="10"/>
        <v>-70011917.520000026</v>
      </c>
      <c r="CK11" s="67">
        <f t="shared" ref="CK11:CL11" si="11">CK14-CK22-CK26</f>
        <v>-68638418.230000019</v>
      </c>
      <c r="CL11" s="67">
        <f t="shared" si="11"/>
        <v>-67586407.130000025</v>
      </c>
      <c r="CM11" s="67">
        <f t="shared" ref="CM11" si="12">CM14-CM22-CM26</f>
        <v>-66978391.930000022</v>
      </c>
    </row>
    <row r="12" spans="1:91" s="34" customFormat="1">
      <c r="A12" s="51">
        <v>5.2</v>
      </c>
      <c r="B12" s="39" t="s">
        <v>105</v>
      </c>
      <c r="C12" s="67">
        <f>C11-C15</f>
        <v>72588562</v>
      </c>
      <c r="D12" s="67">
        <f>D11-D15</f>
        <v>54569437</v>
      </c>
      <c r="E12" s="67">
        <f t="shared" ref="E12:J12" si="13">E11-E15</f>
        <v>50215354</v>
      </c>
      <c r="F12" s="67">
        <f>F11-F15</f>
        <v>46480908</v>
      </c>
      <c r="G12" s="67">
        <f t="shared" si="13"/>
        <v>63274209.36999999</v>
      </c>
      <c r="H12" s="67">
        <f t="shared" si="13"/>
        <v>45258164.799999997</v>
      </c>
      <c r="I12" s="67">
        <f t="shared" si="13"/>
        <v>45730480.980000004</v>
      </c>
      <c r="J12" s="67">
        <f t="shared" si="13"/>
        <v>43992356.200000003</v>
      </c>
      <c r="K12" s="67">
        <f>K11-K15</f>
        <v>41744528.599999994</v>
      </c>
      <c r="L12" s="67">
        <f>L11-L15</f>
        <v>41622126.300000012</v>
      </c>
      <c r="M12" s="67">
        <f>M11-M15</f>
        <v>0</v>
      </c>
      <c r="N12" s="67">
        <f t="shared" ref="N12:S12" si="14">N11-N15</f>
        <v>0</v>
      </c>
      <c r="O12" s="67">
        <f t="shared" si="14"/>
        <v>0</v>
      </c>
      <c r="P12" s="67">
        <f t="shared" si="14"/>
        <v>0</v>
      </c>
      <c r="Q12" s="67">
        <f t="shared" si="14"/>
        <v>0</v>
      </c>
      <c r="R12" s="67">
        <f t="shared" si="14"/>
        <v>0</v>
      </c>
      <c r="S12" s="67">
        <f t="shared" si="14"/>
        <v>56627515</v>
      </c>
      <c r="T12" s="67">
        <f t="shared" ref="T12:Y12" si="15">T11-T15</f>
        <v>39366366.20000001</v>
      </c>
      <c r="U12" s="67">
        <f t="shared" si="15"/>
        <v>39267258.000000007</v>
      </c>
      <c r="V12" s="67">
        <f t="shared" si="15"/>
        <v>35044629.199999996</v>
      </c>
      <c r="W12" s="67">
        <f t="shared" si="15"/>
        <v>30329860.899999999</v>
      </c>
      <c r="X12" s="67">
        <f t="shared" si="15"/>
        <v>6950167.5999999959</v>
      </c>
      <c r="Y12" s="67">
        <f t="shared" si="15"/>
        <v>49999009.18</v>
      </c>
      <c r="Z12" s="67">
        <f t="shared" ref="Z12:AP12" si="16">Z11-Z15</f>
        <v>58325940.689999998</v>
      </c>
      <c r="AA12" s="67">
        <f t="shared" si="16"/>
        <v>42308116.660000004</v>
      </c>
      <c r="AB12" s="140">
        <f t="shared" si="16"/>
        <v>43943138.260000013</v>
      </c>
      <c r="AC12" s="67">
        <f t="shared" si="16"/>
        <v>42817104.330000006</v>
      </c>
      <c r="AD12" s="67">
        <f t="shared" si="16"/>
        <v>43445988.270000003</v>
      </c>
      <c r="AE12" s="67">
        <f t="shared" si="16"/>
        <v>41092729.670000009</v>
      </c>
      <c r="AF12" s="67">
        <f t="shared" si="16"/>
        <v>17778910.699999999</v>
      </c>
      <c r="AG12" s="67">
        <f t="shared" si="16"/>
        <v>45558924.260000013</v>
      </c>
      <c r="AH12" s="67">
        <f t="shared" si="16"/>
        <v>42234159.039999999</v>
      </c>
      <c r="AI12" s="67">
        <f t="shared" si="16"/>
        <v>39788486.740000002</v>
      </c>
      <c r="AJ12" s="67">
        <f t="shared" si="16"/>
        <v>42268138.619999997</v>
      </c>
      <c r="AK12" s="67">
        <f t="shared" si="16"/>
        <v>41235599.800000004</v>
      </c>
      <c r="AL12" s="67">
        <f t="shared" si="16"/>
        <v>40845830.800000004</v>
      </c>
      <c r="AM12" s="67">
        <f t="shared" si="16"/>
        <v>40126771.93</v>
      </c>
      <c r="AN12" s="67">
        <f t="shared" si="16"/>
        <v>42775295.280000009</v>
      </c>
      <c r="AO12" s="67">
        <f t="shared" si="16"/>
        <v>38896678.850000001</v>
      </c>
      <c r="AP12" s="67">
        <f t="shared" si="16"/>
        <v>0</v>
      </c>
      <c r="AQ12" s="67">
        <f t="shared" ref="AQ12:BF12" si="17">AQ11-AQ15</f>
        <v>0</v>
      </c>
      <c r="AR12" s="67">
        <f t="shared" si="17"/>
        <v>0</v>
      </c>
      <c r="AS12" s="67">
        <f t="shared" si="17"/>
        <v>0</v>
      </c>
      <c r="AT12" s="67">
        <f t="shared" si="17"/>
        <v>-93987200.299999997</v>
      </c>
      <c r="AU12" s="67">
        <f t="shared" si="17"/>
        <v>-92543589.24000001</v>
      </c>
      <c r="AV12" s="67">
        <f t="shared" si="17"/>
        <v>-78428988.560000002</v>
      </c>
      <c r="AW12" s="67">
        <f t="shared" si="17"/>
        <v>-79334972.849999994</v>
      </c>
      <c r="AX12" s="67">
        <f t="shared" si="17"/>
        <v>-80668918.969999999</v>
      </c>
      <c r="AY12" s="67">
        <f t="shared" si="17"/>
        <v>-80855144.5</v>
      </c>
      <c r="AZ12" s="67">
        <f t="shared" si="17"/>
        <v>0</v>
      </c>
      <c r="BA12" s="67">
        <f t="shared" si="17"/>
        <v>-84403195.799999997</v>
      </c>
      <c r="BB12" s="67">
        <f t="shared" si="17"/>
        <v>-78237383.840000004</v>
      </c>
      <c r="BC12" s="67">
        <f t="shared" si="17"/>
        <v>-73738112.170000002</v>
      </c>
      <c r="BD12" s="67">
        <f t="shared" si="17"/>
        <v>-74440515.379999995</v>
      </c>
      <c r="BE12" s="67">
        <f t="shared" si="17"/>
        <v>-70736688.950000003</v>
      </c>
      <c r="BF12" s="67">
        <f t="shared" si="17"/>
        <v>-73624935</v>
      </c>
      <c r="BG12" s="67">
        <f t="shared" ref="BG12:BS12" si="18">BG11-BG15</f>
        <v>-77236298.409999996</v>
      </c>
      <c r="BH12" s="67">
        <f t="shared" si="18"/>
        <v>-94193869.150000006</v>
      </c>
      <c r="BI12" s="67">
        <f t="shared" si="18"/>
        <v>-82007465.580000013</v>
      </c>
      <c r="BJ12" s="67">
        <f t="shared" si="18"/>
        <v>-80920922.599999994</v>
      </c>
      <c r="BK12" s="67">
        <f t="shared" si="18"/>
        <v>-79155720.930000007</v>
      </c>
      <c r="BL12" s="67">
        <f t="shared" si="18"/>
        <v>-65378846.30999998</v>
      </c>
      <c r="BM12" s="67">
        <f t="shared" si="18"/>
        <v>-77979689.549999982</v>
      </c>
      <c r="BN12" s="67">
        <f t="shared" si="18"/>
        <v>-80433585.010000005</v>
      </c>
      <c r="BO12" s="67">
        <f t="shared" si="18"/>
        <v>-78821519.770000011</v>
      </c>
      <c r="BP12" s="67">
        <f t="shared" si="18"/>
        <v>-77509415.480000019</v>
      </c>
      <c r="BQ12" s="67">
        <f t="shared" si="18"/>
        <v>-76485672.699999988</v>
      </c>
      <c r="BR12" s="67">
        <f t="shared" si="18"/>
        <v>-79414967.280000001</v>
      </c>
      <c r="BS12" s="67">
        <f t="shared" si="18"/>
        <v>-54421010</v>
      </c>
      <c r="BT12" s="67">
        <f t="shared" ref="BT12:BX12" si="19">BT11-BT15</f>
        <v>-78399005.390000015</v>
      </c>
      <c r="BU12" s="67">
        <f t="shared" si="19"/>
        <v>-77782328.200000018</v>
      </c>
      <c r="BV12" s="67">
        <f t="shared" si="19"/>
        <v>-79162572.689999998</v>
      </c>
      <c r="BW12" s="67">
        <f t="shared" si="19"/>
        <v>-75426505.449999988</v>
      </c>
      <c r="BX12" s="67">
        <f t="shared" si="19"/>
        <v>-84023221.300000012</v>
      </c>
      <c r="BY12" s="67">
        <f t="shared" ref="BY12:BZ12" si="20">BY11-BY15</f>
        <v>-85200831.5</v>
      </c>
      <c r="BZ12" s="67">
        <f t="shared" si="20"/>
        <v>-84385596.099999994</v>
      </c>
      <c r="CA12" s="67">
        <f t="shared" ref="CA12:CE12" si="21">CA11-CA15</f>
        <v>-85188264.99000001</v>
      </c>
      <c r="CB12" s="67">
        <f t="shared" si="21"/>
        <v>-66342009.149999999</v>
      </c>
      <c r="CC12" s="67">
        <f t="shared" si="21"/>
        <v>-82225937.399999991</v>
      </c>
      <c r="CD12" s="67">
        <f t="shared" si="21"/>
        <v>-79672992.319999993</v>
      </c>
      <c r="CE12" s="67">
        <f t="shared" ref="CE12:CF12" si="22">CE11-CE15</f>
        <v>-83059250.299999997</v>
      </c>
      <c r="CF12" s="67">
        <f t="shared" si="22"/>
        <v>-29401434</v>
      </c>
      <c r="CG12" s="67">
        <f t="shared" ref="CG12:CJ12" si="23">CG11-CG15</f>
        <v>53657816.300000004</v>
      </c>
      <c r="CH12" s="67">
        <f t="shared" si="23"/>
        <v>-29401434</v>
      </c>
      <c r="CI12" s="67">
        <f t="shared" si="23"/>
        <v>-84207699.320000023</v>
      </c>
      <c r="CJ12" s="67">
        <f t="shared" si="23"/>
        <v>-83866141.810000032</v>
      </c>
      <c r="CK12" s="67">
        <f t="shared" ref="CK12:CL12" si="24">CK11-CK15</f>
        <v>-82492642.520000011</v>
      </c>
      <c r="CL12" s="67">
        <f t="shared" si="24"/>
        <v>-81469331.420000017</v>
      </c>
      <c r="CM12" s="67">
        <f t="shared" ref="CM12" si="25">CM11-CM15</f>
        <v>-80917516.220000029</v>
      </c>
    </row>
    <row r="13" spans="1:91">
      <c r="A13" s="43"/>
      <c r="B13" s="39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139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6"/>
      <c r="CF13" s="66"/>
      <c r="CG13" s="66"/>
      <c r="CH13" s="66"/>
      <c r="CI13" s="66"/>
      <c r="CJ13" s="66"/>
      <c r="CK13" s="66"/>
      <c r="CL13" s="66"/>
      <c r="CM13" s="66"/>
    </row>
    <row r="14" spans="1:91" s="34" customFormat="1">
      <c r="A14" s="51">
        <v>5.3</v>
      </c>
      <c r="B14" s="39" t="s">
        <v>106</v>
      </c>
      <c r="C14" s="67">
        <f>C15+C16+C17+C18+C19+C20+C21</f>
        <v>94690118</v>
      </c>
      <c r="D14" s="67">
        <f>D15+D16+D17+D18+D19+D20+D21</f>
        <v>83271952</v>
      </c>
      <c r="E14" s="67">
        <f t="shared" ref="E14:J14" si="26">E15+E16+E17+E18+E19+E20+E21</f>
        <v>79242155</v>
      </c>
      <c r="F14" s="67">
        <f>F15+F16+F17+F18+F19+F20+F21</f>
        <v>77812316</v>
      </c>
      <c r="G14" s="67">
        <f t="shared" si="26"/>
        <v>93565402.449999988</v>
      </c>
      <c r="H14" s="67">
        <f t="shared" si="26"/>
        <v>75549357.799999997</v>
      </c>
      <c r="I14" s="67">
        <f t="shared" si="26"/>
        <v>77006635.390000001</v>
      </c>
      <c r="J14" s="67">
        <f t="shared" si="26"/>
        <v>75274210.609999999</v>
      </c>
      <c r="K14" s="67">
        <f>K15+K16+K17+K18+K19+K20+K21</f>
        <v>73026383.00999999</v>
      </c>
      <c r="L14" s="67">
        <f>L15+L16+L17+L18+L19+L20+L21</f>
        <v>72904440.710000008</v>
      </c>
      <c r="M14" s="67">
        <f>M15+M16+M17+M18+M19+M20+M21</f>
        <v>0</v>
      </c>
      <c r="N14" s="67">
        <f t="shared" ref="N14:S14" si="27">N15+N16+N17+N18+N19+N20+N21</f>
        <v>0</v>
      </c>
      <c r="O14" s="67">
        <f t="shared" si="27"/>
        <v>0</v>
      </c>
      <c r="P14" s="67">
        <f t="shared" si="27"/>
        <v>0</v>
      </c>
      <c r="Q14" s="67">
        <f t="shared" si="27"/>
        <v>0</v>
      </c>
      <c r="R14" s="67">
        <f t="shared" si="27"/>
        <v>0</v>
      </c>
      <c r="S14" s="67">
        <f t="shared" si="27"/>
        <v>70861578</v>
      </c>
      <c r="T14" s="67">
        <f t="shared" ref="T14:Y14" si="28">T15+T16+T17+T18+T19+T20+T21</f>
        <v>71368552.370000005</v>
      </c>
      <c r="U14" s="67">
        <f t="shared" si="28"/>
        <v>71270644.170000002</v>
      </c>
      <c r="V14" s="67">
        <f t="shared" si="28"/>
        <v>67028515.369999997</v>
      </c>
      <c r="W14" s="67">
        <f t="shared" si="28"/>
        <v>62313747.069999993</v>
      </c>
      <c r="X14" s="67">
        <f t="shared" si="28"/>
        <v>38977660.769999996</v>
      </c>
      <c r="Y14" s="67">
        <f t="shared" si="28"/>
        <v>78415329.049999997</v>
      </c>
      <c r="Z14" s="67">
        <f t="shared" ref="Z14:AP14" si="29">Z15+Z16+Z17+Z18+Z19+Z20+Z21</f>
        <v>73333664.689999998</v>
      </c>
      <c r="AA14" s="67">
        <f t="shared" si="29"/>
        <v>74335609.829999998</v>
      </c>
      <c r="AB14" s="140">
        <f t="shared" si="29"/>
        <v>75970631.430000007</v>
      </c>
      <c r="AC14" s="67">
        <f t="shared" si="29"/>
        <v>74844597.5</v>
      </c>
      <c r="AD14" s="67">
        <f t="shared" si="29"/>
        <v>75483481.439999998</v>
      </c>
      <c r="AE14" s="67">
        <f t="shared" si="29"/>
        <v>73140222.840000004</v>
      </c>
      <c r="AF14" s="67">
        <f t="shared" si="29"/>
        <v>49826404</v>
      </c>
      <c r="AG14" s="67">
        <f t="shared" si="29"/>
        <v>77671859.100000009</v>
      </c>
      <c r="AH14" s="67">
        <f t="shared" si="29"/>
        <v>74321852.209999993</v>
      </c>
      <c r="AI14" s="67">
        <f t="shared" si="29"/>
        <v>71881179.909999996</v>
      </c>
      <c r="AJ14" s="67">
        <f t="shared" si="29"/>
        <v>74360831.789999992</v>
      </c>
      <c r="AK14" s="67">
        <f t="shared" si="29"/>
        <v>73328292.969999999</v>
      </c>
      <c r="AL14" s="67">
        <f t="shared" si="29"/>
        <v>72938523.969999999</v>
      </c>
      <c r="AM14" s="67">
        <f t="shared" si="29"/>
        <v>72219465.099999994</v>
      </c>
      <c r="AN14" s="67">
        <f t="shared" si="29"/>
        <v>74867988.450000003</v>
      </c>
      <c r="AO14" s="67">
        <f t="shared" si="29"/>
        <v>71163130.019999996</v>
      </c>
      <c r="AP14" s="67">
        <f t="shared" si="29"/>
        <v>0</v>
      </c>
      <c r="AQ14" s="67">
        <f t="shared" ref="AQ14:BF14" si="30">AQ15+AQ16+AQ17+AQ18+AQ19+AQ20+AQ21</f>
        <v>0</v>
      </c>
      <c r="AR14" s="67">
        <f t="shared" si="30"/>
        <v>0</v>
      </c>
      <c r="AS14" s="67">
        <f t="shared" si="30"/>
        <v>0</v>
      </c>
      <c r="AT14" s="67">
        <f t="shared" si="30"/>
        <v>-61720749.129999995</v>
      </c>
      <c r="AU14" s="67">
        <f t="shared" si="30"/>
        <v>-60277138.070000008</v>
      </c>
      <c r="AV14" s="67">
        <f t="shared" si="30"/>
        <v>-50648251.390000001</v>
      </c>
      <c r="AW14" s="67">
        <f t="shared" si="30"/>
        <v>-51554235.679999992</v>
      </c>
      <c r="AX14" s="67">
        <f t="shared" si="30"/>
        <v>-52888181.799999997</v>
      </c>
      <c r="AY14" s="67">
        <f t="shared" si="30"/>
        <v>-53074407.329999998</v>
      </c>
      <c r="AZ14" s="67">
        <f t="shared" si="30"/>
        <v>0</v>
      </c>
      <c r="BA14" s="67">
        <f t="shared" si="30"/>
        <v>-56622458.629999995</v>
      </c>
      <c r="BB14" s="67">
        <f t="shared" si="30"/>
        <v>-50350118.890000001</v>
      </c>
      <c r="BC14" s="67">
        <f t="shared" si="30"/>
        <v>-45844547.219999999</v>
      </c>
      <c r="BD14" s="67">
        <f t="shared" si="30"/>
        <v>-46547650.429999992</v>
      </c>
      <c r="BE14" s="67">
        <f t="shared" si="30"/>
        <v>-42816624</v>
      </c>
      <c r="BF14" s="67">
        <f t="shared" si="30"/>
        <v>-45719370</v>
      </c>
      <c r="BG14" s="67">
        <f t="shared" ref="BG14:BS14" si="31">BG15+BG16+BG17+BG18+BG19+BG20+BG21</f>
        <v>-41088862.209999993</v>
      </c>
      <c r="BH14" s="67">
        <f t="shared" si="31"/>
        <v>-58046432.950000003</v>
      </c>
      <c r="BI14" s="67">
        <f t="shared" si="31"/>
        <v>-45837129.38000001</v>
      </c>
      <c r="BJ14" s="67">
        <f t="shared" si="31"/>
        <v>-44700086.400000006</v>
      </c>
      <c r="BK14" s="67">
        <f t="shared" si="31"/>
        <v>-42925684.730000004</v>
      </c>
      <c r="BL14" s="67">
        <f t="shared" si="31"/>
        <v>-29103721.779999986</v>
      </c>
      <c r="BM14" s="67">
        <f t="shared" si="31"/>
        <v>-41704565.019999996</v>
      </c>
      <c r="BN14" s="67">
        <f t="shared" si="31"/>
        <v>-44137559.780000009</v>
      </c>
      <c r="BO14" s="67">
        <f t="shared" si="31"/>
        <v>-42525495.24000001</v>
      </c>
      <c r="BP14" s="67">
        <f t="shared" si="31"/>
        <v>-41213390.950000018</v>
      </c>
      <c r="BQ14" s="67">
        <f t="shared" si="31"/>
        <v>-40187648.170000002</v>
      </c>
      <c r="BR14" s="67">
        <f t="shared" si="31"/>
        <v>-43114442.750000015</v>
      </c>
      <c r="BS14" s="67">
        <f t="shared" si="31"/>
        <v>-26515445</v>
      </c>
      <c r="BT14" s="67">
        <f t="shared" ref="BT14:BX14" si="32">BT15+BT16+BT17+BT18+BT19+BT20+BT21</f>
        <v>-42088480.860000014</v>
      </c>
      <c r="BU14" s="67">
        <f t="shared" si="32"/>
        <v>-41465903.670000017</v>
      </c>
      <c r="BV14" s="67">
        <f t="shared" si="32"/>
        <v>-42842348.160000011</v>
      </c>
      <c r="BW14" s="67">
        <f t="shared" si="32"/>
        <v>-39106280.920000002</v>
      </c>
      <c r="BX14" s="67">
        <f t="shared" si="32"/>
        <v>-55899355.710000008</v>
      </c>
      <c r="BY14" s="67">
        <f t="shared" ref="BY14:BZ14" si="33">BY15+BY16+BY17+BY18+BY19+BY20+BY21</f>
        <v>-57073465.910000011</v>
      </c>
      <c r="BZ14" s="67">
        <f t="shared" si="33"/>
        <v>-56258730.510000005</v>
      </c>
      <c r="CA14" s="67">
        <f t="shared" ref="CA14:CE14" si="34">CA15+CA16+CA17+CA18+CA19+CA20+CA21</f>
        <v>-57054399.400000006</v>
      </c>
      <c r="CB14" s="67">
        <f t="shared" si="34"/>
        <v>-38207143.560000002</v>
      </c>
      <c r="CC14" s="67">
        <f t="shared" si="34"/>
        <v>-54075371.839999989</v>
      </c>
      <c r="CD14" s="67">
        <f t="shared" si="34"/>
        <v>-51413426.730000004</v>
      </c>
      <c r="CE14" s="67">
        <f t="shared" ref="CE14:CF14" si="35">CE15+CE16+CE17+CE18+CE19+CE20+CE21</f>
        <v>-54908684.739999995</v>
      </c>
      <c r="CF14" s="67">
        <f t="shared" si="35"/>
        <v>-15577310</v>
      </c>
      <c r="CG14" s="67">
        <f t="shared" ref="CG14:CJ14" si="36">CG15+CG16+CG17+CG18+CG19+CG20+CG21</f>
        <v>39331374.740000002</v>
      </c>
      <c r="CH14" s="67">
        <f t="shared" si="36"/>
        <v>-15577310</v>
      </c>
      <c r="CI14" s="67">
        <f t="shared" si="36"/>
        <v>-47613141.190000013</v>
      </c>
      <c r="CJ14" s="67">
        <f t="shared" si="36"/>
        <v>-47267283.680000022</v>
      </c>
      <c r="CK14" s="67">
        <f t="shared" ref="CK14:CL14" si="37">CK15+CK16+CK17+CK18+CK19+CK20+CK21</f>
        <v>-45893784.390000015</v>
      </c>
      <c r="CL14" s="67">
        <f t="shared" si="37"/>
        <v>-44841773.290000021</v>
      </c>
      <c r="CM14" s="67">
        <f t="shared" ref="CM14" si="38">CM15+CM16+CM17+CM18+CM19+CM20+CM21</f>
        <v>-44233758.090000018</v>
      </c>
    </row>
    <row r="15" spans="1:91">
      <c r="A15" s="43" t="s">
        <v>107</v>
      </c>
      <c r="B15" s="44" t="s">
        <v>108</v>
      </c>
      <c r="C15" s="66">
        <f>'Evolutive SFP'!B38</f>
        <v>3584500</v>
      </c>
      <c r="D15" s="66">
        <f>'Evolutive SFP'!C38</f>
        <v>9299642</v>
      </c>
      <c r="E15" s="66">
        <f>'Evolutive SFP'!D38</f>
        <v>10539885</v>
      </c>
      <c r="F15" s="66">
        <f>'Evolutive SFP'!E38</f>
        <v>11804277</v>
      </c>
      <c r="G15" s="66">
        <f>'Evolutive SFP'!F38</f>
        <v>11804277.08</v>
      </c>
      <c r="H15" s="66">
        <f>'Evolutive SFP'!G38</f>
        <v>11804277</v>
      </c>
      <c r="I15" s="66">
        <f>'Evolutive SFP'!H38</f>
        <v>12789238.41</v>
      </c>
      <c r="J15" s="66">
        <f>'Evolutive SFP'!I38</f>
        <v>12794938.41</v>
      </c>
      <c r="K15" s="66">
        <f>'Evolutive SFP'!J38</f>
        <v>12794938.41</v>
      </c>
      <c r="L15" s="66">
        <f>'Evolutive SFP'!K38</f>
        <v>12795398.41</v>
      </c>
      <c r="M15" s="66">
        <f>'Evolutive SFP'!L38</f>
        <v>0</v>
      </c>
      <c r="N15" s="66">
        <f>'Evolutive SFP'!M38</f>
        <v>0</v>
      </c>
      <c r="O15" s="66">
        <f>'Evolutive SFP'!N38</f>
        <v>0</v>
      </c>
      <c r="P15" s="66">
        <f>'Evolutive SFP'!O38</f>
        <v>0</v>
      </c>
      <c r="Q15" s="66">
        <f>'Evolutive SFP'!P38</f>
        <v>0</v>
      </c>
      <c r="R15" s="66">
        <f>'Evolutive SFP'!Q38</f>
        <v>0</v>
      </c>
      <c r="S15" s="66">
        <f>'Evolutive SFP'!R38</f>
        <v>13382089</v>
      </c>
      <c r="T15" s="66">
        <f>'Evolutive SFP'!S38</f>
        <v>13383288.869999999</v>
      </c>
      <c r="U15" s="66">
        <f>'Evolutive SFP'!T38</f>
        <v>13384488.869999999</v>
      </c>
      <c r="V15" s="66">
        <f>'Evolutive SFP'!U38</f>
        <v>13364988.869999999</v>
      </c>
      <c r="W15" s="66">
        <f>'Evolutive SFP'!V38</f>
        <v>13364988.869999999</v>
      </c>
      <c r="X15" s="66">
        <f>'Evolutive SFP'!W38</f>
        <v>13408595.869999999</v>
      </c>
      <c r="Y15" s="66">
        <f>'Evolutive SFP'!X38</f>
        <v>13408595.869999999</v>
      </c>
      <c r="Z15" s="66">
        <f>'Evolutive SFP'!Y38</f>
        <v>0</v>
      </c>
      <c r="AA15" s="66">
        <f>'Evolutive SFP'!Z38</f>
        <v>13408595.869999999</v>
      </c>
      <c r="AB15" s="139">
        <f>'Evolutive SFP'!AA38</f>
        <v>13408595.869999999</v>
      </c>
      <c r="AC15" s="66">
        <f>'Evolutive SFP'!AB38</f>
        <v>13408595.869999999</v>
      </c>
      <c r="AD15" s="66">
        <f>'Evolutive SFP'!AC38</f>
        <v>13418595.869999999</v>
      </c>
      <c r="AE15" s="66">
        <f>'Evolutive SFP'!AD38</f>
        <v>13428595.869999999</v>
      </c>
      <c r="AF15" s="66">
        <f>'Evolutive SFP'!AE38</f>
        <v>13428596</v>
      </c>
      <c r="AG15" s="66">
        <f>'Evolutive SFP'!AF38</f>
        <v>13468795.869999999</v>
      </c>
      <c r="AH15" s="66">
        <f>'Evolutive SFP'!AG38</f>
        <v>13468795.869999999</v>
      </c>
      <c r="AI15" s="66">
        <f>'Evolutive SFP'!AH38</f>
        <v>13473795.869999999</v>
      </c>
      <c r="AJ15" s="66">
        <f>'Evolutive SFP'!AI38</f>
        <v>13473795.869999999</v>
      </c>
      <c r="AK15" s="66">
        <f>'Evolutive SFP'!AJ38</f>
        <v>13473795.869999999</v>
      </c>
      <c r="AL15" s="66">
        <f>'Evolutive SFP'!AK38</f>
        <v>13473795.869999999</v>
      </c>
      <c r="AM15" s="66">
        <f>'Evolutive SFP'!AL38</f>
        <v>13473795.869999999</v>
      </c>
      <c r="AN15" s="66">
        <f>'Evolutive SFP'!AM38</f>
        <v>13473795.869999999</v>
      </c>
      <c r="AO15" s="66">
        <f>'Evolutive SFP'!AN38</f>
        <v>13473795.869999999</v>
      </c>
      <c r="AP15" s="66">
        <f>'Evolutive SFP'!AO38</f>
        <v>0</v>
      </c>
      <c r="AQ15" s="66">
        <f>'Evolutive SFP'!AP38</f>
        <v>0</v>
      </c>
      <c r="AR15" s="66">
        <f>'Evolutive SFP'!AQ38</f>
        <v>0</v>
      </c>
      <c r="AS15" s="66">
        <f>'Evolutive SFP'!AR38</f>
        <v>0</v>
      </c>
      <c r="AT15" s="66">
        <f>'Evolutive SFP'!AS38</f>
        <v>13473795.869999999</v>
      </c>
      <c r="AU15" s="66">
        <f>'Evolutive SFP'!AT38</f>
        <v>13473795.869999999</v>
      </c>
      <c r="AV15" s="66">
        <f>'Evolutive SFP'!AU38</f>
        <v>13473795.869999999</v>
      </c>
      <c r="AW15" s="66">
        <f>'Evolutive SFP'!AV38</f>
        <v>13473795.869999999</v>
      </c>
      <c r="AX15" s="66">
        <f>'Evolutive SFP'!AW38</f>
        <v>13473795.869999999</v>
      </c>
      <c r="AY15" s="66">
        <f>'Evolutive SFP'!AX38</f>
        <v>13473795.869999999</v>
      </c>
      <c r="AZ15" s="66">
        <f>'Evolutive SFP'!AY38</f>
        <v>0</v>
      </c>
      <c r="BA15" s="66">
        <f>'Evolutive SFP'!AZ38</f>
        <v>13473795.869999999</v>
      </c>
      <c r="BB15" s="66">
        <f>'Evolutive SFP'!BA38</f>
        <v>13580323.65</v>
      </c>
      <c r="BC15" s="66">
        <f>'Evolutive SFP'!BB38</f>
        <v>13586623.65</v>
      </c>
      <c r="BD15" s="66">
        <f>'Evolutive SFP'!BC38</f>
        <v>13585923.65</v>
      </c>
      <c r="BE15" s="66">
        <f>'Evolutive SFP'!BD38</f>
        <v>13613123.65</v>
      </c>
      <c r="BF15" s="66">
        <f>'Evolutive SFP'!BE38</f>
        <v>13598624</v>
      </c>
      <c r="BG15" s="66">
        <f>'Evolutive SFP'!BF38</f>
        <v>13629924.289999999</v>
      </c>
      <c r="BH15" s="66">
        <f>'Evolutive SFP'!BG38</f>
        <v>13629924.289999999</v>
      </c>
      <c r="BI15" s="66">
        <f>'Evolutive SFP'!BH38</f>
        <v>13652824.289999999</v>
      </c>
      <c r="BJ15" s="66">
        <f>'Evolutive SFP'!BI38</f>
        <v>13703324.289999999</v>
      </c>
      <c r="BK15" s="66">
        <f>'Evolutive SFP'!BJ38</f>
        <v>13712524.289999999</v>
      </c>
      <c r="BL15" s="66">
        <f>'Evolutive SFP'!BK38</f>
        <v>13721824.289999999</v>
      </c>
      <c r="BM15" s="66">
        <f>'Evolutive SFP'!BL38</f>
        <v>13721824.289999999</v>
      </c>
      <c r="BN15" s="66">
        <f>'Evolutive SFP'!BM38</f>
        <v>13742724.99</v>
      </c>
      <c r="BO15" s="66">
        <f>'Evolutive SFP'!BN38</f>
        <v>13742724.289999999</v>
      </c>
      <c r="BP15" s="66">
        <f>'Evolutive SFP'!BO38</f>
        <v>13742724.289999999</v>
      </c>
      <c r="BQ15" s="66">
        <f>'Evolutive SFP'!BP38</f>
        <v>13744724.289999999</v>
      </c>
      <c r="BR15" s="66">
        <f>'Evolutive SFP'!BQ38</f>
        <v>13747224.289999999</v>
      </c>
      <c r="BS15" s="66">
        <f>'Evolutive SFP'!BR38</f>
        <v>13598624</v>
      </c>
      <c r="BT15" s="66">
        <f>'Evolutive SFP'!BS38</f>
        <v>13757224.289999999</v>
      </c>
      <c r="BU15" s="66">
        <f>'Evolutive SFP'!BT38</f>
        <v>13763124.289999999</v>
      </c>
      <c r="BV15" s="66">
        <f>'Evolutive SFP'!BU38</f>
        <v>13766924.289999999</v>
      </c>
      <c r="BW15" s="66">
        <f>'Evolutive SFP'!BV38</f>
        <v>13766924.289999999</v>
      </c>
      <c r="BX15" s="66">
        <f>'Evolutive SFP'!BW38</f>
        <v>13766924.289999999</v>
      </c>
      <c r="BY15" s="66">
        <f>'Evolutive SFP'!BX38</f>
        <v>13770424.289999999</v>
      </c>
      <c r="BZ15" s="66">
        <f>'Evolutive SFP'!BY38</f>
        <v>13769924.289999999</v>
      </c>
      <c r="CA15" s="66">
        <f>'Evolutive SFP'!BZ38</f>
        <v>13776924.289999999</v>
      </c>
      <c r="CB15" s="66">
        <f>'Evolutive SFP'!CA38</f>
        <v>13777924.289999999</v>
      </c>
      <c r="CC15" s="66">
        <f>'Evolutive SFP'!CB38</f>
        <v>13793624.26</v>
      </c>
      <c r="CD15" s="66">
        <f>'Evolutive SFP'!CC38</f>
        <v>13802624.289999999</v>
      </c>
      <c r="CE15" s="66">
        <f>'Evolutive SFP'!CD38</f>
        <v>13793624.26</v>
      </c>
      <c r="CF15" s="66">
        <f>'Evolutive SFP'!CE38</f>
        <v>13824124</v>
      </c>
      <c r="CG15" s="66">
        <f>'Evolutive SFP'!CF38</f>
        <v>30499.740000000224</v>
      </c>
      <c r="CH15" s="66">
        <f>'Evolutive SFP'!CG38</f>
        <v>13824124</v>
      </c>
      <c r="CI15" s="66">
        <f>'Evolutive SFP'!CH38</f>
        <v>13849924.289999999</v>
      </c>
      <c r="CJ15" s="66">
        <f>'Evolutive SFP'!CI38</f>
        <v>13854224.289999999</v>
      </c>
      <c r="CK15" s="66">
        <f>'Evolutive SFP'!CJ38</f>
        <v>13854224.289999999</v>
      </c>
      <c r="CL15" s="66">
        <f>'Evolutive SFP'!CK38</f>
        <v>13882924.289999999</v>
      </c>
      <c r="CM15" s="66">
        <f>'Evolutive SFP'!CL38</f>
        <v>13939124.289999999</v>
      </c>
    </row>
    <row r="16" spans="1:91">
      <c r="A16" s="43" t="s">
        <v>109</v>
      </c>
      <c r="B16" s="45" t="s">
        <v>110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139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  <c r="BR16" s="66"/>
      <c r="BS16" s="66"/>
      <c r="BT16" s="66"/>
      <c r="BU16" s="66"/>
      <c r="BV16" s="66"/>
      <c r="BW16" s="66"/>
      <c r="BX16" s="66"/>
      <c r="BY16" s="66"/>
      <c r="BZ16" s="66"/>
      <c r="CA16" s="66"/>
      <c r="CB16" s="66"/>
      <c r="CC16" s="66"/>
      <c r="CD16" s="66"/>
      <c r="CE16" s="66"/>
      <c r="CF16" s="66"/>
      <c r="CG16" s="66"/>
      <c r="CH16" s="66"/>
      <c r="CI16" s="66"/>
      <c r="CJ16" s="66"/>
      <c r="CK16" s="66"/>
      <c r="CL16" s="66"/>
      <c r="CM16" s="66"/>
    </row>
    <row r="17" spans="1:91">
      <c r="A17" s="43" t="s">
        <v>111</v>
      </c>
      <c r="B17" s="42" t="s">
        <v>112</v>
      </c>
      <c r="C17" s="66">
        <f>'Evolutive SFP'!B40</f>
        <v>45148055</v>
      </c>
      <c r="D17" s="66">
        <f>'Evolutive SFP'!C40</f>
        <v>22321562</v>
      </c>
      <c r="E17" s="66">
        <f>'Evolutive SFP'!D40</f>
        <v>18218065</v>
      </c>
      <c r="F17" s="66">
        <f>'Evolutive SFP'!E40</f>
        <v>17898031</v>
      </c>
      <c r="G17" s="66">
        <f>'Evolutive SFP'!F40</f>
        <v>16488457.33</v>
      </c>
      <c r="H17" s="66">
        <f>'Evolutive SFP'!G40</f>
        <v>16418457</v>
      </c>
      <c r="I17" s="66">
        <f>'Evolutive SFP'!H40</f>
        <v>400110</v>
      </c>
      <c r="J17" s="66">
        <f>'Evolutive SFP'!I40</f>
        <v>400110</v>
      </c>
      <c r="K17" s="66">
        <f>'Evolutive SFP'!J40</f>
        <v>14698072</v>
      </c>
      <c r="L17" s="66">
        <f>'Evolutive SFP'!K40</f>
        <v>14698072</v>
      </c>
      <c r="M17" s="66">
        <f>'Evolutive SFP'!L40</f>
        <v>0</v>
      </c>
      <c r="N17" s="66">
        <f>'Evolutive SFP'!M40</f>
        <v>0</v>
      </c>
      <c r="O17" s="66">
        <f>'Evolutive SFP'!N40</f>
        <v>0</v>
      </c>
      <c r="P17" s="66">
        <f>'Evolutive SFP'!O40</f>
        <v>0</v>
      </c>
      <c r="Q17" s="66">
        <f>'Evolutive SFP'!P40</f>
        <v>0</v>
      </c>
      <c r="R17" s="66">
        <f>'Evolutive SFP'!Q40</f>
        <v>0</v>
      </c>
      <c r="S17" s="66">
        <f>'Evolutive SFP'!R40</f>
        <v>14698071</v>
      </c>
      <c r="T17" s="66">
        <f>'Evolutive SFP'!S40</f>
        <v>7209735</v>
      </c>
      <c r="U17" s="66">
        <f>'Evolutive SFP'!T40</f>
        <v>7209735</v>
      </c>
      <c r="V17" s="66">
        <f>'Evolutive SFP'!U40</f>
        <v>7209735</v>
      </c>
      <c r="W17" s="66">
        <f>'Evolutive SFP'!V40</f>
        <v>7209735</v>
      </c>
      <c r="X17" s="66">
        <f>'Evolutive SFP'!W40</f>
        <v>7209735</v>
      </c>
      <c r="Y17" s="66">
        <f>'Evolutive SFP'!X40</f>
        <v>14618578.6</v>
      </c>
      <c r="Z17" s="66">
        <f>'Evolutive SFP'!Y40</f>
        <v>14618578.6</v>
      </c>
      <c r="AA17" s="66">
        <f>'Evolutive SFP'!Z40</f>
        <v>14618578.6</v>
      </c>
      <c r="AB17" s="139">
        <f>'Evolutive SFP'!AA40</f>
        <v>14618578.6</v>
      </c>
      <c r="AC17" s="66">
        <f>'Evolutive SFP'!AB40</f>
        <v>14618578.6</v>
      </c>
      <c r="AD17" s="66">
        <f>'Evolutive SFP'!AC40</f>
        <v>14618578.6</v>
      </c>
      <c r="AE17" s="66">
        <f>'Evolutive SFP'!AD40</f>
        <v>14618578.6</v>
      </c>
      <c r="AF17" s="66">
        <f>'Evolutive SFP'!AE40</f>
        <v>7209735</v>
      </c>
      <c r="AG17" s="66">
        <f>'Evolutive SFP'!AF40</f>
        <v>14618578.6</v>
      </c>
      <c r="AH17" s="66">
        <f>'Evolutive SFP'!AG40</f>
        <v>14618578.6</v>
      </c>
      <c r="AI17" s="66">
        <f>'Evolutive SFP'!AH40</f>
        <v>14618578.6</v>
      </c>
      <c r="AJ17" s="66">
        <f>'Evolutive SFP'!AI40</f>
        <v>14618578.6</v>
      </c>
      <c r="AK17" s="66">
        <f>'Evolutive SFP'!AJ40</f>
        <v>14618578.6</v>
      </c>
      <c r="AL17" s="66">
        <f>'Evolutive SFP'!AK40</f>
        <v>14618578.6</v>
      </c>
      <c r="AM17" s="66">
        <f>'Evolutive SFP'!AL40</f>
        <v>14618578.6</v>
      </c>
      <c r="AN17" s="66">
        <f>'Evolutive SFP'!AM40</f>
        <v>14618578.6</v>
      </c>
      <c r="AO17" s="66">
        <f>'Evolutive SFP'!AN40</f>
        <v>14618578.6</v>
      </c>
      <c r="AP17" s="66">
        <f>'Evolutive SFP'!AO40</f>
        <v>0</v>
      </c>
      <c r="AQ17" s="66">
        <f>'Evolutive SFP'!AP40</f>
        <v>0</v>
      </c>
      <c r="AR17" s="66">
        <f>'Evolutive SFP'!AQ40</f>
        <v>0</v>
      </c>
      <c r="AS17" s="66">
        <f>'Evolutive SFP'!AR40</f>
        <v>0</v>
      </c>
      <c r="AT17" s="66">
        <f>'Evolutive SFP'!AS40</f>
        <v>-13871946</v>
      </c>
      <c r="AU17" s="66">
        <f>'Evolutive SFP'!AT40</f>
        <v>-121507787.51000001</v>
      </c>
      <c r="AV17" s="66">
        <f>'Evolutive SFP'!AU40</f>
        <v>-121507788</v>
      </c>
      <c r="AW17" s="66">
        <f>'Evolutive SFP'!AV40</f>
        <v>-121507788</v>
      </c>
      <c r="AX17" s="66">
        <f>'Evolutive SFP'!AW40</f>
        <v>-121507788</v>
      </c>
      <c r="AY17" s="66">
        <f>'Evolutive SFP'!AX40</f>
        <v>-121507788</v>
      </c>
      <c r="AZ17" s="66">
        <f>'Evolutive SFP'!AY40</f>
        <v>0</v>
      </c>
      <c r="BA17" s="66">
        <f>'Evolutive SFP'!AZ40</f>
        <v>-121507788</v>
      </c>
      <c r="BB17" s="66">
        <f>'Evolutive SFP'!BA40</f>
        <v>-121507788</v>
      </c>
      <c r="BC17" s="66">
        <f>'Evolutive SFP'!BB40</f>
        <v>-121507788</v>
      </c>
      <c r="BD17" s="66">
        <f>'Evolutive SFP'!BC40</f>
        <v>-121507788</v>
      </c>
      <c r="BE17" s="66">
        <f>'Evolutive SFP'!BD40</f>
        <v>-121507788</v>
      </c>
      <c r="BF17" s="66">
        <f>'Evolutive SFP'!BE40</f>
        <v>-121507788</v>
      </c>
      <c r="BG17" s="66">
        <f>'Evolutive SFP'!BF40</f>
        <v>-104179188.45</v>
      </c>
      <c r="BH17" s="66">
        <f>'Evolutive SFP'!BG40</f>
        <v>-121507788</v>
      </c>
      <c r="BI17" s="66">
        <f>'Evolutive SFP'!BH40</f>
        <v>-121507788</v>
      </c>
      <c r="BJ17" s="66">
        <f>'Evolutive SFP'!BI40</f>
        <v>-121507788</v>
      </c>
      <c r="BK17" s="66">
        <f>'Evolutive SFP'!BJ40</f>
        <v>-121507788</v>
      </c>
      <c r="BL17" s="66">
        <f>'Evolutive SFP'!BK40</f>
        <v>-108244971.27</v>
      </c>
      <c r="BM17" s="66">
        <f>'Evolutive SFP'!BL40</f>
        <v>-121507788</v>
      </c>
      <c r="BN17" s="66">
        <f>'Evolutive SFP'!BM40</f>
        <v>-121507788</v>
      </c>
      <c r="BO17" s="66">
        <f>'Evolutive SFP'!BN40</f>
        <v>-121507788</v>
      </c>
      <c r="BP17" s="66">
        <f>'Evolutive SFP'!BO40</f>
        <v>-121507788</v>
      </c>
      <c r="BQ17" s="66">
        <f>'Evolutive SFP'!BP40</f>
        <v>-121508188</v>
      </c>
      <c r="BR17" s="66">
        <f>'Evolutive SFP'!BQ40</f>
        <v>-121508188</v>
      </c>
      <c r="BS17" s="66">
        <f>'Evolutive SFP'!BR40</f>
        <v>-111971756</v>
      </c>
      <c r="BT17" s="66">
        <f>'Evolutive SFP'!BS40</f>
        <v>-121508188</v>
      </c>
      <c r="BU17" s="66">
        <f>'Evolutive SFP'!BT40</f>
        <v>-121508188</v>
      </c>
      <c r="BV17" s="66">
        <f>'Evolutive SFP'!BU40</f>
        <v>-121507788</v>
      </c>
      <c r="BW17" s="66">
        <f>'Evolutive SFP'!BV40</f>
        <v>-121508188</v>
      </c>
      <c r="BX17" s="66">
        <f>'Evolutive SFP'!BW40</f>
        <v>-121507788</v>
      </c>
      <c r="BY17" s="66">
        <f>'Evolutive SFP'!BX40</f>
        <v>-121507788</v>
      </c>
      <c r="BZ17" s="66">
        <f>'Evolutive SFP'!BY40</f>
        <v>-121507788</v>
      </c>
      <c r="CA17" s="66">
        <f>'Evolutive SFP'!BZ40</f>
        <v>-121507788</v>
      </c>
      <c r="CB17" s="66">
        <f>'Evolutive SFP'!CA40</f>
        <v>-121507788</v>
      </c>
      <c r="CC17" s="66">
        <f>'Evolutive SFP'!CB40</f>
        <v>-121507788</v>
      </c>
      <c r="CD17" s="66">
        <f>'Evolutive SFP'!CC40</f>
        <v>-121507788</v>
      </c>
      <c r="CE17" s="66">
        <f>'Evolutive SFP'!CD40</f>
        <v>-121507788</v>
      </c>
      <c r="CF17" s="66">
        <f>'Evolutive SFP'!CE40</f>
        <v>-92767830</v>
      </c>
      <c r="CG17" s="66">
        <f>'Evolutive SFP'!CF40</f>
        <v>28739958</v>
      </c>
      <c r="CH17" s="66">
        <f>'Evolutive SFP'!CG40</f>
        <v>-92767830</v>
      </c>
      <c r="CI17" s="66">
        <f>'Evolutive SFP'!CH40</f>
        <v>-113193830.68000001</v>
      </c>
      <c r="CJ17" s="66">
        <f>'Evolutive SFP'!CI40</f>
        <v>-113193830.68000001</v>
      </c>
      <c r="CK17" s="66">
        <f>'Evolutive SFP'!CJ40</f>
        <v>-113193830.68000001</v>
      </c>
      <c r="CL17" s="66">
        <f>'Evolutive SFP'!CK40</f>
        <v>-113193830.68000001</v>
      </c>
      <c r="CM17" s="66">
        <f>'Evolutive SFP'!CL40</f>
        <v>-113193830.68000001</v>
      </c>
    </row>
    <row r="18" spans="1:91">
      <c r="A18" s="43" t="s">
        <v>113</v>
      </c>
      <c r="B18" s="42" t="s">
        <v>114</v>
      </c>
      <c r="C18" s="66">
        <f>'Evolutive SFP'!B41</f>
        <v>826227</v>
      </c>
      <c r="D18" s="66">
        <f>'Evolutive SFP'!C41</f>
        <v>443685</v>
      </c>
      <c r="E18" s="66">
        <f>'Evolutive SFP'!D41</f>
        <v>314479</v>
      </c>
      <c r="F18" s="66">
        <f>'Evolutive SFP'!E41</f>
        <v>400110</v>
      </c>
      <c r="G18" s="66">
        <f>'Evolutive SFP'!F41</f>
        <v>139938</v>
      </c>
      <c r="H18" s="66">
        <f>'Evolutive SFP'!G41</f>
        <v>-3983344.2</v>
      </c>
      <c r="I18" s="66">
        <f>'Evolutive SFP'!H41</f>
        <v>-3041115.7</v>
      </c>
      <c r="J18" s="66">
        <f>'Evolutive SFP'!I41</f>
        <v>-2488552.7999999998</v>
      </c>
      <c r="K18" s="66">
        <f>'Evolutive SFP'!J41</f>
        <v>-4736380.4000000004</v>
      </c>
      <c r="L18" s="66">
        <f>'Evolutive SFP'!K41</f>
        <v>-4858783.7</v>
      </c>
      <c r="M18" s="66">
        <f>'Evolutive SFP'!L41</f>
        <v>0</v>
      </c>
      <c r="N18" s="66">
        <f>'Evolutive SFP'!M41</f>
        <v>0</v>
      </c>
      <c r="O18" s="66">
        <f>'Evolutive SFP'!N41</f>
        <v>0</v>
      </c>
      <c r="P18" s="66">
        <f>'Evolutive SFP'!O41</f>
        <v>0</v>
      </c>
      <c r="Q18" s="66">
        <f>'Evolutive SFP'!P41</f>
        <v>0</v>
      </c>
      <c r="R18" s="66">
        <f>'Evolutive SFP'!Q41</f>
        <v>0</v>
      </c>
      <c r="S18" s="66">
        <f>'Evolutive SFP'!R41</f>
        <v>-7488336</v>
      </c>
      <c r="T18" s="66">
        <f>'Evolutive SFP'!S41</f>
        <v>505774.5</v>
      </c>
      <c r="U18" s="66">
        <f>'Evolutive SFP'!T41</f>
        <v>406666.3</v>
      </c>
      <c r="V18" s="66">
        <f>'Evolutive SFP'!U41</f>
        <v>-3815962.5</v>
      </c>
      <c r="W18" s="66">
        <f>'Evolutive SFP'!V41</f>
        <v>-8530730.8000000007</v>
      </c>
      <c r="X18" s="66">
        <f>'Evolutive SFP'!W41</f>
        <v>-31910424.100000001</v>
      </c>
      <c r="Y18" s="66">
        <f>'Evolutive SFP'!X41</f>
        <v>118400.58</v>
      </c>
      <c r="Z18" s="66">
        <f>'Evolutive SFP'!Y41</f>
        <v>-1420935.92</v>
      </c>
      <c r="AA18" s="66">
        <f>'Evolutive SFP'!Z41</f>
        <v>-4592770.6399999997</v>
      </c>
      <c r="AB18" s="139">
        <f>'Evolutive SFP'!AA41</f>
        <v>-2326297.04</v>
      </c>
      <c r="AC18" s="66">
        <f>'Evolutive SFP'!AB41</f>
        <v>-3452330.97</v>
      </c>
      <c r="AD18" s="66">
        <f>'Evolutive SFP'!AC41</f>
        <v>-2823447.03</v>
      </c>
      <c r="AE18" s="66">
        <f>'Evolutive SFP'!AD41</f>
        <v>-5176705.63</v>
      </c>
      <c r="AF18" s="66">
        <f>'Evolutive SFP'!AE41</f>
        <v>-21081681</v>
      </c>
      <c r="AG18" s="66">
        <f>'Evolutive SFP'!AF41</f>
        <v>-604150.02</v>
      </c>
      <c r="AH18" s="66">
        <f>'Evolutive SFP'!AG41</f>
        <v>-714008.62</v>
      </c>
      <c r="AI18" s="66">
        <f>'Evolutive SFP'!AH41</f>
        <v>-6480948.5599999996</v>
      </c>
      <c r="AJ18" s="66">
        <f>'Evolutive SFP'!AI41</f>
        <v>-4001296.68</v>
      </c>
      <c r="AK18" s="66">
        <f>'Evolutive SFP'!AJ41</f>
        <v>-5033835.5</v>
      </c>
      <c r="AL18" s="66">
        <f>'Evolutive SFP'!AK41</f>
        <v>-5423604.5</v>
      </c>
      <c r="AM18" s="66">
        <f>'Evolutive SFP'!AL41</f>
        <v>-6142663.3700000001</v>
      </c>
      <c r="AN18" s="66">
        <f>'Evolutive SFP'!AM41</f>
        <v>-3494140.02</v>
      </c>
      <c r="AO18" s="66">
        <f>'Evolutive SFP'!AN41</f>
        <v>-7198998.4500000002</v>
      </c>
      <c r="AP18" s="66">
        <f>'Evolutive SFP'!AO41</f>
        <v>0</v>
      </c>
      <c r="AQ18" s="66">
        <f>'Evolutive SFP'!AP41</f>
        <v>0</v>
      </c>
      <c r="AR18" s="66">
        <f>'Evolutive SFP'!AQ41</f>
        <v>0</v>
      </c>
      <c r="AS18" s="66">
        <f>'Evolutive SFP'!AR41</f>
        <v>0</v>
      </c>
      <c r="AT18" s="66">
        <f>'Evolutive SFP'!AS41</f>
        <v>-111592353</v>
      </c>
      <c r="AU18" s="66">
        <f>'Evolutive SFP'!AT41</f>
        <v>-2512900.4300000002</v>
      </c>
      <c r="AV18" s="66">
        <f>'Evolutive SFP'!AU41</f>
        <v>7115986.7400000002</v>
      </c>
      <c r="AW18" s="66">
        <f>'Evolutive SFP'!AV41</f>
        <v>6210002.4500000002</v>
      </c>
      <c r="AX18" s="66">
        <f>'Evolutive SFP'!AW41</f>
        <v>4876056.33</v>
      </c>
      <c r="AY18" s="66">
        <f>'Evolutive SFP'!AX41</f>
        <v>4689830.8</v>
      </c>
      <c r="AZ18" s="66">
        <f>'Evolutive SFP'!AY41</f>
        <v>0</v>
      </c>
      <c r="BA18" s="66">
        <f>'Evolutive SFP'!AZ41</f>
        <v>1141779.5</v>
      </c>
      <c r="BB18" s="66">
        <f>'Evolutive SFP'!BA41</f>
        <v>7307591.46</v>
      </c>
      <c r="BC18" s="66">
        <f>'Evolutive SFP'!BB41</f>
        <v>11806863.130000001</v>
      </c>
      <c r="BD18" s="66">
        <f>'Evolutive SFP'!BC41</f>
        <v>11104459.92</v>
      </c>
      <c r="BE18" s="66">
        <f>'Evolutive SFP'!BD41</f>
        <v>14808286.35</v>
      </c>
      <c r="BF18" s="66">
        <f>'Evolutive SFP'!BE41</f>
        <v>9536032</v>
      </c>
      <c r="BG18" s="66">
        <f>'Evolutive SFP'!BF41</f>
        <v>-809352.05</v>
      </c>
      <c r="BH18" s="66">
        <f>'Evolutive SFP'!BG41</f>
        <v>-438323.24</v>
      </c>
      <c r="BI18" s="66">
        <f>'Evolutive SFP'!BH41</f>
        <v>-548672.07999999996</v>
      </c>
      <c r="BJ18" s="66">
        <f>'Evolutive SFP'!BI41</f>
        <v>-246597.19</v>
      </c>
      <c r="BK18" s="66">
        <f>'Evolutive SFP'!BJ41</f>
        <v>585169.09</v>
      </c>
      <c r="BL18" s="66">
        <f>'Evolutive SFP'!BK41</f>
        <v>1135015.31</v>
      </c>
      <c r="BM18" s="66">
        <f>'Evolutive SFP'!BL41</f>
        <v>1741053.93</v>
      </c>
      <c r="BN18" s="66">
        <f>'Evolutive SFP'!BM41</f>
        <v>-160769.23000000001</v>
      </c>
      <c r="BO18" s="66">
        <f>'Evolutive SFP'!BN41</f>
        <v>1491229.56</v>
      </c>
      <c r="BP18" s="66">
        <f>'Evolutive SFP'!BO41</f>
        <v>1534461.6</v>
      </c>
      <c r="BQ18" s="66">
        <f>'Evolutive SFP'!BP41</f>
        <v>1827781.93</v>
      </c>
      <c r="BR18" s="66">
        <f>'Evolutive SFP'!BQ41</f>
        <v>264768.63</v>
      </c>
      <c r="BS18" s="66">
        <f>'Evolutive SFP'!BR41</f>
        <v>19203925</v>
      </c>
      <c r="BT18" s="66">
        <f>'Evolutive SFP'!BS41</f>
        <v>295833.46000000002</v>
      </c>
      <c r="BU18" s="66">
        <f>'Evolutive SFP'!BT41</f>
        <v>520505.82</v>
      </c>
      <c r="BV18" s="66">
        <f>'Evolutive SFP'!BU41</f>
        <v>-169816.43</v>
      </c>
      <c r="BW18" s="66">
        <f>'Evolutive SFP'!BV41</f>
        <v>1884959.7</v>
      </c>
      <c r="BX18" s="66">
        <f>'Evolutive SFP'!BW41</f>
        <v>1571754</v>
      </c>
      <c r="BY18" s="66">
        <f>'Evolutive SFP'!BX41</f>
        <v>394143.8</v>
      </c>
      <c r="BZ18" s="66">
        <f>'Evolutive SFP'!BY41</f>
        <v>1209379.2</v>
      </c>
      <c r="CA18" s="66">
        <f>'Evolutive SFP'!BZ41</f>
        <v>406710.31</v>
      </c>
      <c r="CB18" s="66">
        <f>'Evolutive SFP'!CA41</f>
        <v>2126515.9</v>
      </c>
      <c r="CC18" s="66">
        <f>'Evolutive SFP'!CB41</f>
        <v>3369037.9</v>
      </c>
      <c r="CD18" s="66">
        <f>'Evolutive SFP'!CC41</f>
        <v>6021982.9800000004</v>
      </c>
      <c r="CE18" s="66">
        <f>'Evolutive SFP'!CD41</f>
        <v>2535725</v>
      </c>
      <c r="CF18" s="66">
        <f>'Evolutive SFP'!CE41</f>
        <v>10625719</v>
      </c>
      <c r="CG18" s="66">
        <f>'Evolutive SFP'!CF41</f>
        <v>8089994</v>
      </c>
      <c r="CH18" s="66">
        <f>'Evolutive SFP'!CG41</f>
        <v>10625719</v>
      </c>
      <c r="CI18" s="66">
        <f>'Evolutive SFP'!CH41</f>
        <v>1461011.2</v>
      </c>
      <c r="CJ18" s="66">
        <f>'Evolutive SFP'!CI41</f>
        <v>1802568.71</v>
      </c>
      <c r="CK18" s="66">
        <f>'Evolutive SFP'!CJ41</f>
        <v>3176068</v>
      </c>
      <c r="CL18" s="66">
        <f>'Evolutive SFP'!CK41</f>
        <v>4199379.0999999996</v>
      </c>
      <c r="CM18" s="66">
        <f>'Evolutive SFP'!CL41</f>
        <v>4751194.3</v>
      </c>
    </row>
    <row r="19" spans="1:91">
      <c r="A19" s="43" t="s">
        <v>115</v>
      </c>
      <c r="B19" s="42" t="s">
        <v>49</v>
      </c>
      <c r="C19" s="66">
        <f>'Evolutive SFP'!B42</f>
        <v>35982721</v>
      </c>
      <c r="D19" s="66">
        <f>'Evolutive SFP'!C42</f>
        <v>37372631</v>
      </c>
      <c r="E19" s="66">
        <f>'Evolutive SFP'!D42</f>
        <v>37451251</v>
      </c>
      <c r="F19" s="66">
        <f>'Evolutive SFP'!E42</f>
        <v>37551278</v>
      </c>
      <c r="G19" s="66">
        <f>'Evolutive SFP'!F42</f>
        <v>37451251</v>
      </c>
      <c r="H19" s="66">
        <f>'Evolutive SFP'!G42</f>
        <v>37551279</v>
      </c>
      <c r="I19" s="66">
        <f>'Evolutive SFP'!H42</f>
        <v>37551279</v>
      </c>
      <c r="J19" s="66">
        <f>'Evolutive SFP'!I42</f>
        <v>37551279</v>
      </c>
      <c r="K19" s="66">
        <f>'Evolutive SFP'!J42</f>
        <v>37551279</v>
      </c>
      <c r="L19" s="66">
        <f>'Evolutive SFP'!K42</f>
        <v>37551279</v>
      </c>
      <c r="M19" s="66">
        <f>'Evolutive SFP'!L42</f>
        <v>0</v>
      </c>
      <c r="N19" s="66">
        <f>'Evolutive SFP'!M42</f>
        <v>0</v>
      </c>
      <c r="O19" s="66">
        <f>'Evolutive SFP'!N42</f>
        <v>0</v>
      </c>
      <c r="P19" s="66">
        <f>'Evolutive SFP'!O42</f>
        <v>0</v>
      </c>
      <c r="Q19" s="66">
        <f>'Evolutive SFP'!P42</f>
        <v>0</v>
      </c>
      <c r="R19" s="66">
        <f>'Evolutive SFP'!Q42</f>
        <v>0</v>
      </c>
      <c r="S19" s="66">
        <f>'Evolutive SFP'!R42</f>
        <v>37551279</v>
      </c>
      <c r="T19" s="66">
        <f>'Evolutive SFP'!S42</f>
        <v>37551279</v>
      </c>
      <c r="U19" s="66">
        <f>'Evolutive SFP'!T42</f>
        <v>37551279</v>
      </c>
      <c r="V19" s="66">
        <f>'Evolutive SFP'!U42</f>
        <v>37551279</v>
      </c>
      <c r="W19" s="66">
        <f>'Evolutive SFP'!V42</f>
        <v>37551279</v>
      </c>
      <c r="X19" s="66">
        <f>'Evolutive SFP'!W42</f>
        <v>37551279</v>
      </c>
      <c r="Y19" s="66">
        <f>'Evolutive SFP'!X42</f>
        <v>37551279</v>
      </c>
      <c r="Z19" s="66">
        <f>'Evolutive SFP'!Y42</f>
        <v>37551279</v>
      </c>
      <c r="AA19" s="66">
        <f>'Evolutive SFP'!Z42</f>
        <v>37551279</v>
      </c>
      <c r="AB19" s="139">
        <f>'Evolutive SFP'!AA42</f>
        <v>37551279</v>
      </c>
      <c r="AC19" s="66">
        <f>'Evolutive SFP'!AB42</f>
        <v>37551279</v>
      </c>
      <c r="AD19" s="66">
        <f>'Evolutive SFP'!AC42</f>
        <v>37551279</v>
      </c>
      <c r="AE19" s="66">
        <f>'Evolutive SFP'!AD42</f>
        <v>37551279</v>
      </c>
      <c r="AF19" s="66">
        <f>'Evolutive SFP'!AE42</f>
        <v>37551279</v>
      </c>
      <c r="AG19" s="66">
        <f>'Evolutive SFP'!AF42</f>
        <v>37551279</v>
      </c>
      <c r="AH19" s="66">
        <f>'Evolutive SFP'!AG42</f>
        <v>37551279</v>
      </c>
      <c r="AI19" s="66">
        <f>'Evolutive SFP'!AH42</f>
        <v>37551279</v>
      </c>
      <c r="AJ19" s="66">
        <f>'Evolutive SFP'!AI42</f>
        <v>37551279</v>
      </c>
      <c r="AK19" s="66">
        <f>'Evolutive SFP'!AJ42</f>
        <v>37551279</v>
      </c>
      <c r="AL19" s="66">
        <f>'Evolutive SFP'!AK42</f>
        <v>37551279</v>
      </c>
      <c r="AM19" s="66">
        <f>'Evolutive SFP'!AL42</f>
        <v>37551279</v>
      </c>
      <c r="AN19" s="66">
        <f>'Evolutive SFP'!AM42</f>
        <v>37551279</v>
      </c>
      <c r="AO19" s="66">
        <f>'Evolutive SFP'!AN42</f>
        <v>37551279</v>
      </c>
      <c r="AP19" s="66">
        <f>'Evolutive SFP'!AO42</f>
        <v>0</v>
      </c>
      <c r="AQ19" s="66">
        <f>'Evolutive SFP'!AP42</f>
        <v>0</v>
      </c>
      <c r="AR19" s="66">
        <f>'Evolutive SFP'!AQ42</f>
        <v>0</v>
      </c>
      <c r="AS19" s="66">
        <f>'Evolutive SFP'!AR42</f>
        <v>0</v>
      </c>
      <c r="AT19" s="66">
        <f>'Evolutive SFP'!AS42</f>
        <v>37551279</v>
      </c>
      <c r="AU19" s="66">
        <f>'Evolutive SFP'!AT42</f>
        <v>37551279</v>
      </c>
      <c r="AV19" s="66">
        <f>'Evolutive SFP'!AU42</f>
        <v>37551279</v>
      </c>
      <c r="AW19" s="66">
        <f>'Evolutive SFP'!AV42</f>
        <v>37551279</v>
      </c>
      <c r="AX19" s="66">
        <f>'Evolutive SFP'!AW42</f>
        <v>37551279</v>
      </c>
      <c r="AY19" s="66">
        <f>'Evolutive SFP'!AX42</f>
        <v>37551279</v>
      </c>
      <c r="AZ19" s="66">
        <f>'Evolutive SFP'!AY42</f>
        <v>0</v>
      </c>
      <c r="BA19" s="66">
        <f>'Evolutive SFP'!AZ42</f>
        <v>37551279</v>
      </c>
      <c r="BB19" s="66">
        <f>'Evolutive SFP'!BA42</f>
        <v>37551279</v>
      </c>
      <c r="BC19" s="66">
        <f>'Evolutive SFP'!BB42</f>
        <v>37551279</v>
      </c>
      <c r="BD19" s="66">
        <f>'Evolutive SFP'!BC42</f>
        <v>37551279</v>
      </c>
      <c r="BE19" s="66">
        <f>'Evolutive SFP'!BD42</f>
        <v>37551279</v>
      </c>
      <c r="BF19" s="66">
        <f>'Evolutive SFP'!BE42</f>
        <v>39935287</v>
      </c>
      <c r="BG19" s="66">
        <f>'Evolutive SFP'!BF42</f>
        <v>37551279</v>
      </c>
      <c r="BH19" s="66">
        <f>'Evolutive SFP'!BG42</f>
        <v>37551279</v>
      </c>
      <c r="BI19" s="66">
        <f>'Evolutive SFP'!BH42</f>
        <v>37551279</v>
      </c>
      <c r="BJ19" s="66">
        <f>'Evolutive SFP'!BI42</f>
        <v>37551279</v>
      </c>
      <c r="BK19" s="66">
        <f>'Evolutive SFP'!BJ42</f>
        <v>37551279</v>
      </c>
      <c r="BL19" s="66">
        <f>'Evolutive SFP'!BK42</f>
        <v>37551279</v>
      </c>
      <c r="BM19" s="66">
        <f>'Evolutive SFP'!BL42</f>
        <v>37551279</v>
      </c>
      <c r="BN19" s="66">
        <f>'Evolutive SFP'!BM42</f>
        <v>37551279</v>
      </c>
      <c r="BO19" s="66">
        <f>'Evolutive SFP'!BN42</f>
        <v>37551279</v>
      </c>
      <c r="BP19" s="66">
        <f>'Evolutive SFP'!BO42</f>
        <v>37551279</v>
      </c>
      <c r="BQ19" s="66">
        <f>'Evolutive SFP'!BP42</f>
        <v>37551279</v>
      </c>
      <c r="BR19" s="66">
        <f>'Evolutive SFP'!BQ42</f>
        <v>37551279</v>
      </c>
      <c r="BS19" s="66">
        <f>'Evolutive SFP'!BR42</f>
        <v>39935287</v>
      </c>
      <c r="BT19" s="66">
        <f>'Evolutive SFP'!BS42</f>
        <v>37551279</v>
      </c>
      <c r="BU19" s="66">
        <f>'Evolutive SFP'!BT42</f>
        <v>37551279</v>
      </c>
      <c r="BV19" s="66">
        <f>'Evolutive SFP'!BU42</f>
        <v>37551279</v>
      </c>
      <c r="BW19" s="66">
        <f>'Evolutive SFP'!BV42</f>
        <v>37551279</v>
      </c>
      <c r="BX19" s="66">
        <f>'Evolutive SFP'!BW42</f>
        <v>37551279</v>
      </c>
      <c r="BY19" s="66">
        <f>'Evolutive SFP'!BX42</f>
        <v>37551279</v>
      </c>
      <c r="BZ19" s="66">
        <f>'Evolutive SFP'!BY42</f>
        <v>37551279</v>
      </c>
      <c r="CA19" s="66">
        <f>'Evolutive SFP'!BZ42</f>
        <v>37551279</v>
      </c>
      <c r="CB19" s="66">
        <f>'Evolutive SFP'!CA42</f>
        <v>37551279</v>
      </c>
      <c r="CC19" s="66">
        <f>'Evolutive SFP'!CB42</f>
        <v>37551279</v>
      </c>
      <c r="CD19" s="66">
        <f>'Evolutive SFP'!CC42</f>
        <v>37551279</v>
      </c>
      <c r="CE19" s="66">
        <f>'Evolutive SFP'!CD42</f>
        <v>37551279</v>
      </c>
      <c r="CF19" s="66">
        <f>'Evolutive SFP'!CE42</f>
        <v>40022202</v>
      </c>
      <c r="CG19" s="66">
        <f>'Evolutive SFP'!CF42</f>
        <v>2470923</v>
      </c>
      <c r="CH19" s="66">
        <f>'Evolutive SFP'!CG42</f>
        <v>40022202</v>
      </c>
      <c r="CI19" s="66">
        <f>'Evolutive SFP'!CH42</f>
        <v>37551279</v>
      </c>
      <c r="CJ19" s="66">
        <f>'Evolutive SFP'!CI42</f>
        <v>37551279</v>
      </c>
      <c r="CK19" s="66">
        <f>'Evolutive SFP'!CJ42</f>
        <v>37551279</v>
      </c>
      <c r="CL19" s="66">
        <f>'Evolutive SFP'!CK42</f>
        <v>37551279</v>
      </c>
      <c r="CM19" s="66">
        <f>'Evolutive SFP'!CL42</f>
        <v>37551279</v>
      </c>
    </row>
    <row r="20" spans="1:91">
      <c r="A20" s="43" t="s">
        <v>116</v>
      </c>
      <c r="B20" s="42" t="s">
        <v>117</v>
      </c>
      <c r="C20" s="66">
        <f>('Evolutive SFP'!B43+'Evolutive SFP'!B44)</f>
        <v>8718475</v>
      </c>
      <c r="D20" s="66">
        <f>('Evolutive SFP'!C43+'Evolutive SFP'!C44)</f>
        <v>12718475</v>
      </c>
      <c r="E20" s="66">
        <f>('Evolutive SFP'!D43+'Evolutive SFP'!D44)</f>
        <v>12718475</v>
      </c>
      <c r="F20" s="66">
        <f>('Evolutive SFP'!E43+'Evolutive SFP'!E44)</f>
        <v>9118405</v>
      </c>
      <c r="G20" s="66">
        <f>('Evolutive SFP'!F43+'Evolutive SFP'!F44)</f>
        <v>27681479.039999999</v>
      </c>
      <c r="H20" s="66">
        <f>('Evolutive SFP'!G43+'Evolutive SFP'!G44)</f>
        <v>13758689</v>
      </c>
      <c r="I20" s="66">
        <f>('Evolutive SFP'!H43+'Evolutive SFP'!H44)</f>
        <v>29307123.68</v>
      </c>
      <c r="J20" s="66">
        <f>('Evolutive SFP'!I43+'Evolutive SFP'!I44)</f>
        <v>27016436</v>
      </c>
      <c r="K20" s="66">
        <f>('Evolutive SFP'!J43+'Evolutive SFP'!J44)</f>
        <v>12718474</v>
      </c>
      <c r="L20" s="66">
        <f>('Evolutive SFP'!K43+'Evolutive SFP'!K44)</f>
        <v>12718475</v>
      </c>
      <c r="M20" s="66">
        <f>('Evolutive SFP'!L43+'Evolutive SFP'!L44)</f>
        <v>0</v>
      </c>
      <c r="N20" s="66">
        <f>('Evolutive SFP'!M43+'Evolutive SFP'!M44)</f>
        <v>0</v>
      </c>
      <c r="O20" s="66">
        <f>('Evolutive SFP'!N43+'Evolutive SFP'!N44)</f>
        <v>0</v>
      </c>
      <c r="P20" s="66">
        <f>('Evolutive SFP'!O43+'Evolutive SFP'!O44)</f>
        <v>0</v>
      </c>
      <c r="Q20" s="66">
        <f>('Evolutive SFP'!P43+'Evolutive SFP'!P44)</f>
        <v>0</v>
      </c>
      <c r="R20" s="66">
        <f>('Evolutive SFP'!Q43+'Evolutive SFP'!Q44)</f>
        <v>0</v>
      </c>
      <c r="S20" s="66">
        <f>('Evolutive SFP'!R43+'Evolutive SFP'!R44)</f>
        <v>12718475</v>
      </c>
      <c r="T20" s="66">
        <f>('Evolutive SFP'!S43+'Evolutive SFP'!S44)</f>
        <v>12718475</v>
      </c>
      <c r="U20" s="66">
        <f>('Evolutive SFP'!T43+'Evolutive SFP'!T44)</f>
        <v>12718475</v>
      </c>
      <c r="V20" s="66">
        <f>('Evolutive SFP'!U43+'Evolutive SFP'!U44)</f>
        <v>12718475</v>
      </c>
      <c r="W20" s="66">
        <f>('Evolutive SFP'!V43+'Evolutive SFP'!V44)</f>
        <v>12718475</v>
      </c>
      <c r="X20" s="66">
        <f>('Evolutive SFP'!W43+'Evolutive SFP'!W44)</f>
        <v>12718475</v>
      </c>
      <c r="Y20" s="66">
        <f>('Evolutive SFP'!X43+'Evolutive SFP'!X44)</f>
        <v>12718475</v>
      </c>
      <c r="Z20" s="66">
        <f>('Evolutive SFP'!Y43+'Evolutive SFP'!Y44)</f>
        <v>22584743.010000002</v>
      </c>
      <c r="AA20" s="66">
        <f>('Evolutive SFP'!Z43+'Evolutive SFP'!Z44)</f>
        <v>13349927</v>
      </c>
      <c r="AB20" s="139">
        <f>('Evolutive SFP'!AA43+'Evolutive SFP'!AA44)</f>
        <v>12718475</v>
      </c>
      <c r="AC20" s="66">
        <f>('Evolutive SFP'!AB43+'Evolutive SFP'!AB44)</f>
        <v>12718475</v>
      </c>
      <c r="AD20" s="66">
        <f>('Evolutive SFP'!AC43+'Evolutive SFP'!AC44)</f>
        <v>12718475</v>
      </c>
      <c r="AE20" s="66">
        <f>('Evolutive SFP'!AD43+'Evolutive SFP'!AD44)</f>
        <v>12718475</v>
      </c>
      <c r="AF20" s="66">
        <f>('Evolutive SFP'!AE43+'Evolutive SFP'!AE44)</f>
        <v>12718475</v>
      </c>
      <c r="AG20" s="66">
        <f>('Evolutive SFP'!AF43+'Evolutive SFP'!AF44)</f>
        <v>12637355.65</v>
      </c>
      <c r="AH20" s="66">
        <f>('Evolutive SFP'!AG43+'Evolutive SFP'!AG44)</f>
        <v>9397207.3599999994</v>
      </c>
      <c r="AI20" s="66">
        <f>('Evolutive SFP'!AH43+'Evolutive SFP'!AH44)</f>
        <v>12718475</v>
      </c>
      <c r="AJ20" s="66">
        <f>('Evolutive SFP'!AI43+'Evolutive SFP'!AI44)</f>
        <v>12718475</v>
      </c>
      <c r="AK20" s="66">
        <f>('Evolutive SFP'!AJ43+'Evolutive SFP'!AJ44)</f>
        <v>12718475</v>
      </c>
      <c r="AL20" s="66">
        <f>('Evolutive SFP'!AK43+'Evolutive SFP'!AK44)</f>
        <v>12718475</v>
      </c>
      <c r="AM20" s="66">
        <f>('Evolutive SFP'!AL43+'Evolutive SFP'!AL44)</f>
        <v>12718475</v>
      </c>
      <c r="AN20" s="66">
        <f>('Evolutive SFP'!AM43+'Evolutive SFP'!AM44)</f>
        <v>12718475</v>
      </c>
      <c r="AO20" s="66">
        <f>('Evolutive SFP'!AN43+'Evolutive SFP'!AN44)</f>
        <v>12718475</v>
      </c>
      <c r="AP20" s="66">
        <f>('Evolutive SFP'!AO43+'Evolutive SFP'!AO44)</f>
        <v>0</v>
      </c>
      <c r="AQ20" s="66">
        <f>('Evolutive SFP'!AP43+'Evolutive SFP'!AP44)</f>
        <v>0</v>
      </c>
      <c r="AR20" s="66">
        <f>('Evolutive SFP'!AQ43+'Evolutive SFP'!AQ44)</f>
        <v>0</v>
      </c>
      <c r="AS20" s="66">
        <f>('Evolutive SFP'!AR43+'Evolutive SFP'!AR44)</f>
        <v>0</v>
      </c>
      <c r="AT20" s="66">
        <f>('Evolutive SFP'!AS43+'Evolutive SFP'!AS44)</f>
        <v>12718475</v>
      </c>
      <c r="AU20" s="66">
        <f>('Evolutive SFP'!AT43+'Evolutive SFP'!AT44)</f>
        <v>12718475</v>
      </c>
      <c r="AV20" s="66">
        <f>('Evolutive SFP'!AU43+'Evolutive SFP'!AU44)</f>
        <v>12718475</v>
      </c>
      <c r="AW20" s="66">
        <f>('Evolutive SFP'!AV43+'Evolutive SFP'!AV44)</f>
        <v>12718475</v>
      </c>
      <c r="AX20" s="66">
        <f>('Evolutive SFP'!AW43+'Evolutive SFP'!AW44)</f>
        <v>12718475</v>
      </c>
      <c r="AY20" s="66">
        <f>('Evolutive SFP'!AX43+'Evolutive SFP'!AX44)</f>
        <v>12718475</v>
      </c>
      <c r="AZ20" s="66">
        <f>('Evolutive SFP'!AY43+'Evolutive SFP'!AY44)</f>
        <v>0</v>
      </c>
      <c r="BA20" s="66">
        <f>('Evolutive SFP'!AZ43+'Evolutive SFP'!AZ44)</f>
        <v>12718475</v>
      </c>
      <c r="BB20" s="66">
        <f>('Evolutive SFP'!BA43+'Evolutive SFP'!BA44)</f>
        <v>12718475</v>
      </c>
      <c r="BC20" s="66">
        <f>('Evolutive SFP'!BB43+'Evolutive SFP'!BB44)</f>
        <v>12718475</v>
      </c>
      <c r="BD20" s="66">
        <f>('Evolutive SFP'!BC43+'Evolutive SFP'!BC44)</f>
        <v>12718475</v>
      </c>
      <c r="BE20" s="66">
        <f>('Evolutive SFP'!BD43+'Evolutive SFP'!BD44)</f>
        <v>12718475</v>
      </c>
      <c r="BF20" s="66">
        <f>('Evolutive SFP'!BE43+'Evolutive SFP'!BE44)</f>
        <v>12718475</v>
      </c>
      <c r="BG20" s="66">
        <f>('Evolutive SFP'!BF43+'Evolutive SFP'!BF44)</f>
        <v>12718475</v>
      </c>
      <c r="BH20" s="66">
        <f>('Evolutive SFP'!BG43+'Evolutive SFP'!BG44)</f>
        <v>12718475</v>
      </c>
      <c r="BI20" s="66">
        <f>('Evolutive SFP'!BH43+'Evolutive SFP'!BH44)</f>
        <v>25015227.41</v>
      </c>
      <c r="BJ20" s="66">
        <f>('Evolutive SFP'!BI43+'Evolutive SFP'!BI44)</f>
        <v>25799695.5</v>
      </c>
      <c r="BK20" s="66">
        <f>('Evolutive SFP'!BJ43+'Evolutive SFP'!BJ44)</f>
        <v>26733130.890000001</v>
      </c>
      <c r="BL20" s="66">
        <f>('Evolutive SFP'!BK43+'Evolutive SFP'!BK44)</f>
        <v>26733130.890000001</v>
      </c>
      <c r="BM20" s="66">
        <f>('Evolutive SFP'!BL43+'Evolutive SFP'!BL44)</f>
        <v>26789065.760000002</v>
      </c>
      <c r="BN20" s="66">
        <f>('Evolutive SFP'!BM43+'Evolutive SFP'!BM44)</f>
        <v>26236993.460000001</v>
      </c>
      <c r="BO20" s="66">
        <f>('Evolutive SFP'!BN43+'Evolutive SFP'!BN44)</f>
        <v>26197059.91</v>
      </c>
      <c r="BP20" s="66">
        <f>('Evolutive SFP'!BO43+'Evolutive SFP'!BO44)</f>
        <v>27465932.16</v>
      </c>
      <c r="BQ20" s="66">
        <f>('Evolutive SFP'!BP43+'Evolutive SFP'!BP44)</f>
        <v>28196754.609999999</v>
      </c>
      <c r="BR20" s="66">
        <f>('Evolutive SFP'!BQ43+'Evolutive SFP'!BQ44)</f>
        <v>26830473.329999998</v>
      </c>
      <c r="BS20" s="66">
        <f>('Evolutive SFP'!BR43+'Evolutive SFP'!BR44)</f>
        <v>12718475</v>
      </c>
      <c r="BT20" s="66">
        <f>('Evolutive SFP'!BS43+'Evolutive SFP'!BS44)</f>
        <v>27815370.390000001</v>
      </c>
      <c r="BU20" s="66">
        <f>('Evolutive SFP'!BT43+'Evolutive SFP'!BT44)</f>
        <v>28207375.219999999</v>
      </c>
      <c r="BV20" s="66">
        <f>('Evolutive SFP'!BU43+'Evolutive SFP'!BU44)</f>
        <v>27517052.98</v>
      </c>
      <c r="BW20" s="66">
        <f>('Evolutive SFP'!BV43+'Evolutive SFP'!BV44)</f>
        <v>29198744.09</v>
      </c>
      <c r="BX20" s="66">
        <f>('Evolutive SFP'!BW43+'Evolutive SFP'!BW44)</f>
        <v>12718475</v>
      </c>
      <c r="BY20" s="66">
        <f>('Evolutive SFP'!BX43+'Evolutive SFP'!BX44)</f>
        <v>12718475</v>
      </c>
      <c r="BZ20" s="66">
        <f>('Evolutive SFP'!BY43+'Evolutive SFP'!BY44)</f>
        <v>12718475</v>
      </c>
      <c r="CA20" s="66">
        <f>('Evolutive SFP'!BZ43+'Evolutive SFP'!BZ44)</f>
        <v>12718475</v>
      </c>
      <c r="CB20" s="66">
        <f>('Evolutive SFP'!CA43+'Evolutive SFP'!CA44)</f>
        <v>29844925.25</v>
      </c>
      <c r="CC20" s="66">
        <f>('Evolutive SFP'!CB43+'Evolutive SFP'!CB44)</f>
        <v>12718475</v>
      </c>
      <c r="CD20" s="66">
        <f>('Evolutive SFP'!CC43+'Evolutive SFP'!CC44)</f>
        <v>12718475</v>
      </c>
      <c r="CE20" s="66">
        <f>('Evolutive SFP'!CD43+'Evolutive SFP'!CD44)</f>
        <v>12718475</v>
      </c>
      <c r="CF20" s="66">
        <f>('Evolutive SFP'!CE43+'Evolutive SFP'!CE44)</f>
        <v>12718475</v>
      </c>
      <c r="CG20" s="66">
        <f>('Evolutive SFP'!CF43+'Evolutive SFP'!CF44)</f>
        <v>0</v>
      </c>
      <c r="CH20" s="66">
        <f>('Evolutive SFP'!CG43+'Evolutive SFP'!CG44)</f>
        <v>12718475</v>
      </c>
      <c r="CI20" s="66">
        <f>('Evolutive SFP'!CH43+'Evolutive SFP'!CH44)</f>
        <v>12718475</v>
      </c>
      <c r="CJ20" s="66">
        <f>('Evolutive SFP'!CI43+'Evolutive SFP'!CI44)</f>
        <v>12718475</v>
      </c>
      <c r="CK20" s="66">
        <f>('Evolutive SFP'!CJ43+'Evolutive SFP'!CJ44)</f>
        <v>12718475</v>
      </c>
      <c r="CL20" s="66">
        <f>('Evolutive SFP'!CK43+'Evolutive SFP'!CK44)</f>
        <v>12718475</v>
      </c>
      <c r="CM20" s="66">
        <f>('Evolutive SFP'!CL43+'Evolutive SFP'!CL44)</f>
        <v>12718475</v>
      </c>
    </row>
    <row r="21" spans="1:91">
      <c r="A21" s="43" t="s">
        <v>118</v>
      </c>
      <c r="B21" s="46" t="s">
        <v>119</v>
      </c>
      <c r="C21" s="66">
        <f>C22+C23</f>
        <v>430140</v>
      </c>
      <c r="D21" s="66">
        <f>D22+D23</f>
        <v>1115957</v>
      </c>
      <c r="E21" s="66">
        <f t="shared" ref="E21:J21" si="39">E22+E23</f>
        <v>0</v>
      </c>
      <c r="F21" s="66">
        <f>F22+F23</f>
        <v>1040215</v>
      </c>
      <c r="G21" s="66">
        <f t="shared" si="39"/>
        <v>0</v>
      </c>
      <c r="H21" s="66">
        <f t="shared" si="39"/>
        <v>0</v>
      </c>
      <c r="I21" s="66">
        <f t="shared" si="39"/>
        <v>0</v>
      </c>
      <c r="J21" s="66">
        <f t="shared" si="39"/>
        <v>0</v>
      </c>
      <c r="K21" s="66">
        <f>K22+K23</f>
        <v>0</v>
      </c>
      <c r="L21" s="66">
        <f>L22+L23</f>
        <v>0</v>
      </c>
      <c r="M21" s="66">
        <f>M22+M23</f>
        <v>0</v>
      </c>
      <c r="N21" s="66">
        <f t="shared" ref="N21:S21" si="40">N22+N23</f>
        <v>0</v>
      </c>
      <c r="O21" s="66">
        <f t="shared" si="40"/>
        <v>0</v>
      </c>
      <c r="P21" s="66">
        <f t="shared" si="40"/>
        <v>0</v>
      </c>
      <c r="Q21" s="66">
        <f t="shared" si="40"/>
        <v>0</v>
      </c>
      <c r="R21" s="66">
        <f t="shared" si="40"/>
        <v>0</v>
      </c>
      <c r="S21" s="66">
        <f t="shared" si="40"/>
        <v>0</v>
      </c>
      <c r="T21" s="66">
        <f t="shared" ref="T21:Y21" si="41">T22+T23</f>
        <v>0</v>
      </c>
      <c r="U21" s="66">
        <f t="shared" si="41"/>
        <v>0</v>
      </c>
      <c r="V21" s="66">
        <f t="shared" si="41"/>
        <v>0</v>
      </c>
      <c r="W21" s="66">
        <f t="shared" si="41"/>
        <v>0</v>
      </c>
      <c r="X21" s="66">
        <f t="shared" si="41"/>
        <v>0</v>
      </c>
      <c r="Y21" s="66">
        <f t="shared" si="41"/>
        <v>0</v>
      </c>
      <c r="Z21" s="66">
        <f t="shared" ref="Z21:AP21" si="42">Z22+Z23</f>
        <v>0</v>
      </c>
      <c r="AA21" s="66">
        <f t="shared" si="42"/>
        <v>0</v>
      </c>
      <c r="AB21" s="139">
        <f t="shared" si="42"/>
        <v>0</v>
      </c>
      <c r="AC21" s="66">
        <f t="shared" si="42"/>
        <v>0</v>
      </c>
      <c r="AD21" s="66">
        <f t="shared" si="42"/>
        <v>0</v>
      </c>
      <c r="AE21" s="66">
        <f t="shared" si="42"/>
        <v>0</v>
      </c>
      <c r="AF21" s="66">
        <f t="shared" si="42"/>
        <v>0</v>
      </c>
      <c r="AG21" s="66">
        <f t="shared" si="42"/>
        <v>0</v>
      </c>
      <c r="AH21" s="66">
        <f t="shared" si="42"/>
        <v>0</v>
      </c>
      <c r="AI21" s="66">
        <f t="shared" si="42"/>
        <v>0</v>
      </c>
      <c r="AJ21" s="66">
        <f t="shared" si="42"/>
        <v>0</v>
      </c>
      <c r="AK21" s="66">
        <f t="shared" si="42"/>
        <v>0</v>
      </c>
      <c r="AL21" s="66">
        <f t="shared" si="42"/>
        <v>0</v>
      </c>
      <c r="AM21" s="66">
        <f t="shared" si="42"/>
        <v>0</v>
      </c>
      <c r="AN21" s="66">
        <f t="shared" si="42"/>
        <v>0</v>
      </c>
      <c r="AO21" s="66">
        <f t="shared" si="42"/>
        <v>0</v>
      </c>
      <c r="AP21" s="66">
        <f t="shared" si="42"/>
        <v>0</v>
      </c>
      <c r="AQ21" s="66">
        <f t="shared" ref="AQ21:BF21" si="43">AQ22+AQ23</f>
        <v>0</v>
      </c>
      <c r="AR21" s="66">
        <f t="shared" si="43"/>
        <v>0</v>
      </c>
      <c r="AS21" s="66">
        <f t="shared" si="43"/>
        <v>0</v>
      </c>
      <c r="AT21" s="66">
        <f t="shared" si="43"/>
        <v>0</v>
      </c>
      <c r="AU21" s="66">
        <f t="shared" si="43"/>
        <v>0</v>
      </c>
      <c r="AV21" s="66">
        <f t="shared" si="43"/>
        <v>0</v>
      </c>
      <c r="AW21" s="66">
        <f t="shared" si="43"/>
        <v>0</v>
      </c>
      <c r="AX21" s="66">
        <f t="shared" si="43"/>
        <v>0</v>
      </c>
      <c r="AY21" s="66">
        <f t="shared" si="43"/>
        <v>0</v>
      </c>
      <c r="AZ21" s="66">
        <f t="shared" si="43"/>
        <v>0</v>
      </c>
      <c r="BA21" s="66">
        <f t="shared" si="43"/>
        <v>0</v>
      </c>
      <c r="BB21" s="66">
        <f t="shared" si="43"/>
        <v>0</v>
      </c>
      <c r="BC21" s="66">
        <f t="shared" si="43"/>
        <v>0</v>
      </c>
      <c r="BD21" s="66">
        <f t="shared" si="43"/>
        <v>0</v>
      </c>
      <c r="BE21" s="66">
        <f t="shared" si="43"/>
        <v>0</v>
      </c>
      <c r="BF21" s="66">
        <f t="shared" si="43"/>
        <v>0</v>
      </c>
      <c r="BG21" s="66">
        <f t="shared" ref="BG21:BS21" si="44">BG22+BG23</f>
        <v>0</v>
      </c>
      <c r="BH21" s="66">
        <f t="shared" si="44"/>
        <v>0</v>
      </c>
      <c r="BI21" s="66">
        <f t="shared" si="44"/>
        <v>0</v>
      </c>
      <c r="BJ21" s="66">
        <f t="shared" si="44"/>
        <v>0</v>
      </c>
      <c r="BK21" s="66">
        <f t="shared" si="44"/>
        <v>0</v>
      </c>
      <c r="BL21" s="66">
        <f t="shared" si="44"/>
        <v>0</v>
      </c>
      <c r="BM21" s="66">
        <f t="shared" si="44"/>
        <v>0</v>
      </c>
      <c r="BN21" s="66">
        <f t="shared" si="44"/>
        <v>0</v>
      </c>
      <c r="BO21" s="66">
        <f t="shared" si="44"/>
        <v>0</v>
      </c>
      <c r="BP21" s="66">
        <f t="shared" si="44"/>
        <v>0</v>
      </c>
      <c r="BQ21" s="66">
        <f t="shared" si="44"/>
        <v>0</v>
      </c>
      <c r="BR21" s="66">
        <f t="shared" si="44"/>
        <v>0</v>
      </c>
      <c r="BS21" s="66">
        <f t="shared" si="44"/>
        <v>0</v>
      </c>
      <c r="BT21" s="66">
        <f t="shared" ref="BT21:BX21" si="45">BT22+BT23</f>
        <v>0</v>
      </c>
      <c r="BU21" s="66">
        <f t="shared" si="45"/>
        <v>0</v>
      </c>
      <c r="BV21" s="66">
        <f t="shared" si="45"/>
        <v>0</v>
      </c>
      <c r="BW21" s="66">
        <f t="shared" si="45"/>
        <v>0</v>
      </c>
      <c r="BX21" s="66">
        <f t="shared" si="45"/>
        <v>0</v>
      </c>
      <c r="BY21" s="66">
        <f t="shared" ref="BY21:BZ21" si="46">BY22+BY23</f>
        <v>0</v>
      </c>
      <c r="BZ21" s="66">
        <f t="shared" si="46"/>
        <v>0</v>
      </c>
      <c r="CA21" s="66">
        <f t="shared" ref="CA21:CE21" si="47">CA22+CA23</f>
        <v>0</v>
      </c>
      <c r="CB21" s="66">
        <f t="shared" si="47"/>
        <v>0</v>
      </c>
      <c r="CC21" s="66">
        <f t="shared" si="47"/>
        <v>0</v>
      </c>
      <c r="CD21" s="66">
        <f t="shared" si="47"/>
        <v>0</v>
      </c>
      <c r="CE21" s="66">
        <f t="shared" ref="CE21:CF21" si="48">CE22+CE23</f>
        <v>0</v>
      </c>
      <c r="CF21" s="66">
        <f t="shared" si="48"/>
        <v>0</v>
      </c>
      <c r="CG21" s="66">
        <f t="shared" ref="CG21:CJ21" si="49">CG22+CG23</f>
        <v>0</v>
      </c>
      <c r="CH21" s="66">
        <f t="shared" si="49"/>
        <v>0</v>
      </c>
      <c r="CI21" s="66">
        <f t="shared" si="49"/>
        <v>0</v>
      </c>
      <c r="CJ21" s="66">
        <f t="shared" si="49"/>
        <v>0</v>
      </c>
      <c r="CK21" s="66">
        <f t="shared" ref="CK21:CL21" si="50">CK22+CK23</f>
        <v>0</v>
      </c>
      <c r="CL21" s="66">
        <f t="shared" si="50"/>
        <v>0</v>
      </c>
      <c r="CM21" s="66">
        <f t="shared" ref="CM21" si="51">CM22+CM23</f>
        <v>0</v>
      </c>
    </row>
    <row r="22" spans="1:91">
      <c r="A22" s="47" t="s">
        <v>120</v>
      </c>
      <c r="B22" s="42" t="s">
        <v>52</v>
      </c>
      <c r="C22" s="66">
        <f>'Evolutive SFP'!B45</f>
        <v>430140</v>
      </c>
      <c r="D22" s="66">
        <f>'Evolutive SFP'!C45</f>
        <v>1115957</v>
      </c>
      <c r="E22" s="66">
        <f>'Evolutive SFP'!D45</f>
        <v>0</v>
      </c>
      <c r="F22" s="66">
        <f>'Evolutive SFP'!E45</f>
        <v>1040215</v>
      </c>
      <c r="G22" s="66">
        <f>'Evolutive SFP'!F45</f>
        <v>0</v>
      </c>
      <c r="H22" s="66">
        <f>'Evolutive SFP'!G45</f>
        <v>0</v>
      </c>
      <c r="I22" s="66">
        <f>'Evolutive SFP'!H45</f>
        <v>0</v>
      </c>
      <c r="J22" s="66">
        <f>'Evolutive SFP'!I45</f>
        <v>0</v>
      </c>
      <c r="K22" s="66">
        <f>'Evolutive SFP'!J45</f>
        <v>0</v>
      </c>
      <c r="L22" s="66">
        <f>'Evolutive SFP'!K45</f>
        <v>0</v>
      </c>
      <c r="M22" s="66">
        <f>'Evolutive SFP'!L45</f>
        <v>0</v>
      </c>
      <c r="N22" s="66">
        <f>'Evolutive SFP'!M45</f>
        <v>0</v>
      </c>
      <c r="O22" s="66">
        <f>'Evolutive SFP'!N45</f>
        <v>0</v>
      </c>
      <c r="P22" s="66">
        <f>'Evolutive SFP'!O45</f>
        <v>0</v>
      </c>
      <c r="Q22" s="66">
        <f>'Evolutive SFP'!P45</f>
        <v>0</v>
      </c>
      <c r="R22" s="66">
        <f>'Evolutive SFP'!Q45</f>
        <v>0</v>
      </c>
      <c r="S22" s="66">
        <f>'Evolutive SFP'!R45</f>
        <v>0</v>
      </c>
      <c r="T22" s="66">
        <f>'Evolutive SFP'!S45</f>
        <v>0</v>
      </c>
      <c r="U22" s="66">
        <f>'Evolutive SFP'!T45</f>
        <v>0</v>
      </c>
      <c r="V22" s="66">
        <f>'Evolutive SFP'!U45</f>
        <v>0</v>
      </c>
      <c r="W22" s="66">
        <f>'Evolutive SFP'!V45</f>
        <v>0</v>
      </c>
      <c r="X22" s="66">
        <f>'Evolutive SFP'!W45</f>
        <v>0</v>
      </c>
      <c r="Y22" s="66">
        <f>'Evolutive SFP'!X45</f>
        <v>0</v>
      </c>
      <c r="Z22" s="66">
        <f>'Evolutive SFP'!Y45</f>
        <v>0</v>
      </c>
      <c r="AA22" s="66">
        <f>'Evolutive SFP'!Z45</f>
        <v>0</v>
      </c>
      <c r="AB22" s="139">
        <f>'Evolutive SFP'!AA45</f>
        <v>0</v>
      </c>
      <c r="AC22" s="66">
        <f>'Evolutive SFP'!AB45</f>
        <v>0</v>
      </c>
      <c r="AD22" s="66">
        <f>'Evolutive SFP'!AC45</f>
        <v>0</v>
      </c>
      <c r="AE22" s="66">
        <f>'Evolutive SFP'!AD45</f>
        <v>0</v>
      </c>
      <c r="AF22" s="66">
        <f>'Evolutive SFP'!AE45</f>
        <v>0</v>
      </c>
      <c r="AG22" s="66">
        <f>'Evolutive SFP'!AF45</f>
        <v>0</v>
      </c>
      <c r="AH22" s="66">
        <f>'Evolutive SFP'!AG45</f>
        <v>0</v>
      </c>
      <c r="AI22" s="66">
        <f>'Evolutive SFP'!AH45</f>
        <v>0</v>
      </c>
      <c r="AJ22" s="66">
        <f>'Evolutive SFP'!AI45</f>
        <v>0</v>
      </c>
      <c r="AK22" s="66">
        <f>'Evolutive SFP'!AJ45</f>
        <v>0</v>
      </c>
      <c r="AL22" s="66">
        <f>'Evolutive SFP'!AK45</f>
        <v>0</v>
      </c>
      <c r="AM22" s="66">
        <f>'Evolutive SFP'!AL45</f>
        <v>0</v>
      </c>
      <c r="AN22" s="66">
        <f>'Evolutive SFP'!AM45</f>
        <v>0</v>
      </c>
      <c r="AO22" s="66">
        <f>'Evolutive SFP'!AN45</f>
        <v>0</v>
      </c>
      <c r="AP22" s="66">
        <f>'Evolutive SFP'!AO45</f>
        <v>0</v>
      </c>
      <c r="AQ22" s="66">
        <f>'Evolutive SFP'!AP45</f>
        <v>0</v>
      </c>
      <c r="AR22" s="66">
        <f>'Evolutive SFP'!AQ45</f>
        <v>0</v>
      </c>
      <c r="AS22" s="66">
        <f>'Evolutive SFP'!AR45</f>
        <v>0</v>
      </c>
      <c r="AT22" s="66">
        <f>'Evolutive SFP'!AS45</f>
        <v>0</v>
      </c>
      <c r="AU22" s="66">
        <f>'Evolutive SFP'!AT45</f>
        <v>0</v>
      </c>
      <c r="AV22" s="66">
        <f>'Evolutive SFP'!AU45</f>
        <v>0</v>
      </c>
      <c r="AW22" s="66">
        <f>'Evolutive SFP'!AV45</f>
        <v>0</v>
      </c>
      <c r="AX22" s="66">
        <f>'Evolutive SFP'!AW45</f>
        <v>0</v>
      </c>
      <c r="AY22" s="66">
        <f>'Evolutive SFP'!AX45</f>
        <v>0</v>
      </c>
      <c r="AZ22" s="66">
        <f>'Evolutive SFP'!AY45</f>
        <v>0</v>
      </c>
      <c r="BA22" s="66">
        <f>'Evolutive SFP'!AZ45</f>
        <v>0</v>
      </c>
      <c r="BB22" s="66">
        <f>'Evolutive SFP'!BA45</f>
        <v>0</v>
      </c>
      <c r="BC22" s="66">
        <f>'Evolutive SFP'!BB45</f>
        <v>0</v>
      </c>
      <c r="BD22" s="66">
        <f>'Evolutive SFP'!BC45</f>
        <v>0</v>
      </c>
      <c r="BE22" s="66">
        <f>'Evolutive SFP'!BD45</f>
        <v>0</v>
      </c>
      <c r="BF22" s="66">
        <f>'Evolutive SFP'!BE45</f>
        <v>0</v>
      </c>
      <c r="BG22" s="66">
        <f>'Evolutive SFP'!BF45</f>
        <v>0</v>
      </c>
      <c r="BH22" s="66">
        <f>'Evolutive SFP'!BG45</f>
        <v>0</v>
      </c>
      <c r="BI22" s="66">
        <f>'Evolutive SFP'!BH45</f>
        <v>0</v>
      </c>
      <c r="BJ22" s="66">
        <f>'Evolutive SFP'!BI45</f>
        <v>0</v>
      </c>
      <c r="BK22" s="66">
        <f>'Evolutive SFP'!BJ45</f>
        <v>0</v>
      </c>
      <c r="BL22" s="66">
        <f>'Evolutive SFP'!BK45</f>
        <v>0</v>
      </c>
      <c r="BM22" s="66">
        <f>'Evolutive SFP'!BL45</f>
        <v>0</v>
      </c>
      <c r="BN22" s="66">
        <f>'Evolutive SFP'!BM45</f>
        <v>0</v>
      </c>
      <c r="BO22" s="66">
        <f>'Evolutive SFP'!BN45</f>
        <v>0</v>
      </c>
      <c r="BP22" s="66">
        <f>'Evolutive SFP'!BO45</f>
        <v>0</v>
      </c>
      <c r="BQ22" s="66">
        <f>'Evolutive SFP'!BP45</f>
        <v>0</v>
      </c>
      <c r="BR22" s="66">
        <f>'Evolutive SFP'!BQ45</f>
        <v>0</v>
      </c>
      <c r="BS22" s="66">
        <f>'Evolutive SFP'!BR45</f>
        <v>0</v>
      </c>
      <c r="BT22" s="66">
        <f>'Evolutive SFP'!BS45</f>
        <v>0</v>
      </c>
      <c r="BU22" s="66">
        <f>'Evolutive SFP'!BT45</f>
        <v>0</v>
      </c>
      <c r="BV22" s="66">
        <f>'Evolutive SFP'!BU45</f>
        <v>0</v>
      </c>
      <c r="BW22" s="66">
        <f>'Evolutive SFP'!BV45</f>
        <v>0</v>
      </c>
      <c r="BX22" s="66">
        <f>'Evolutive SFP'!BW45</f>
        <v>0</v>
      </c>
      <c r="BY22" s="66">
        <f>'Evolutive SFP'!BX45</f>
        <v>0</v>
      </c>
      <c r="BZ22" s="66">
        <f>'Evolutive SFP'!BY45</f>
        <v>0</v>
      </c>
      <c r="CA22" s="66">
        <f>'Evolutive SFP'!BZ45</f>
        <v>0</v>
      </c>
      <c r="CB22" s="66">
        <f>'Evolutive SFP'!CA45</f>
        <v>0</v>
      </c>
      <c r="CC22" s="66">
        <f>'Evolutive SFP'!CB45</f>
        <v>0</v>
      </c>
      <c r="CD22" s="66">
        <f>'Evolutive SFP'!CC45</f>
        <v>0</v>
      </c>
      <c r="CE22" s="66">
        <f>'Evolutive SFP'!CD45</f>
        <v>0</v>
      </c>
      <c r="CF22" s="66">
        <f>'Evolutive SFP'!CE45</f>
        <v>0</v>
      </c>
      <c r="CG22" s="66">
        <f>'Evolutive SFP'!CF45</f>
        <v>0</v>
      </c>
      <c r="CH22" s="66">
        <f>'Evolutive SFP'!CG45</f>
        <v>0</v>
      </c>
      <c r="CI22" s="66">
        <f>'Evolutive SFP'!CH45</f>
        <v>0</v>
      </c>
      <c r="CJ22" s="66">
        <f>'Evolutive SFP'!CI45</f>
        <v>0</v>
      </c>
      <c r="CK22" s="66">
        <f>'Evolutive SFP'!CJ45</f>
        <v>0</v>
      </c>
      <c r="CL22" s="66">
        <f>'Evolutive SFP'!CK45</f>
        <v>0</v>
      </c>
      <c r="CM22" s="66">
        <f>'Evolutive SFP'!CL45</f>
        <v>0</v>
      </c>
    </row>
    <row r="23" spans="1:91">
      <c r="A23" s="47" t="s">
        <v>121</v>
      </c>
      <c r="B23" s="42" t="s">
        <v>122</v>
      </c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139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  <c r="BR23" s="66"/>
      <c r="BS23" s="66"/>
      <c r="BT23" s="66"/>
      <c r="BU23" s="66"/>
      <c r="BV23" s="66"/>
      <c r="BW23" s="66"/>
      <c r="BX23" s="66"/>
      <c r="BY23" s="66"/>
      <c r="BZ23" s="66"/>
      <c r="CA23" s="66"/>
      <c r="CB23" s="66"/>
      <c r="CC23" s="66"/>
      <c r="CD23" s="66"/>
      <c r="CE23" s="66"/>
      <c r="CF23" s="66"/>
      <c r="CG23" s="66"/>
      <c r="CH23" s="66"/>
      <c r="CI23" s="66"/>
      <c r="CJ23" s="66"/>
      <c r="CK23" s="66"/>
      <c r="CL23" s="66"/>
      <c r="CM23" s="66"/>
    </row>
    <row r="24" spans="1:91">
      <c r="A24" s="41"/>
      <c r="B24" s="48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139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66"/>
      <c r="BO24" s="66"/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6"/>
      <c r="CA24" s="66"/>
      <c r="CB24" s="66"/>
      <c r="CC24" s="66"/>
      <c r="CD24" s="66"/>
      <c r="CE24" s="66"/>
      <c r="CF24" s="66"/>
      <c r="CG24" s="66"/>
      <c r="CH24" s="66"/>
      <c r="CI24" s="66"/>
      <c r="CJ24" s="66"/>
      <c r="CK24" s="66"/>
      <c r="CL24" s="66"/>
      <c r="CM24" s="66"/>
    </row>
    <row r="25" spans="1:91" s="34" customFormat="1">
      <c r="A25" s="51">
        <v>6</v>
      </c>
      <c r="B25" s="46" t="s">
        <v>123</v>
      </c>
      <c r="C25" s="67">
        <f>C26+C27+C28</f>
        <v>23235649</v>
      </c>
      <c r="D25" s="67">
        <f>D26+D27+D28</f>
        <v>23582539</v>
      </c>
      <c r="E25" s="67">
        <f t="shared" ref="E25:J25" si="52">E26+E27+E28</f>
        <v>24253235</v>
      </c>
      <c r="F25" s="67">
        <f>F26+F27+F28</f>
        <v>23630498</v>
      </c>
      <c r="G25" s="67">
        <f t="shared" si="52"/>
        <v>19804399.100000001</v>
      </c>
      <c r="H25" s="67">
        <f t="shared" si="52"/>
        <v>19804399.100000001</v>
      </c>
      <c r="I25" s="67">
        <f t="shared" si="52"/>
        <v>27179980.630000003</v>
      </c>
      <c r="J25" s="67">
        <f t="shared" si="52"/>
        <v>27179980.630000003</v>
      </c>
      <c r="K25" s="67">
        <f>K26+K27+K28</f>
        <v>27179980.630000003</v>
      </c>
      <c r="L25" s="67">
        <f>L26+L27+L28</f>
        <v>27179981.100000001</v>
      </c>
      <c r="M25" s="67">
        <f>M26+M27+M28</f>
        <v>0</v>
      </c>
      <c r="N25" s="67">
        <f t="shared" ref="N25:S25" si="53">N26+N27+N28</f>
        <v>0</v>
      </c>
      <c r="O25" s="67">
        <f t="shared" si="53"/>
        <v>0</v>
      </c>
      <c r="P25" s="67">
        <f t="shared" si="53"/>
        <v>0</v>
      </c>
      <c r="Q25" s="67">
        <f t="shared" si="53"/>
        <v>0</v>
      </c>
      <c r="R25" s="67">
        <f t="shared" si="53"/>
        <v>0</v>
      </c>
      <c r="S25" s="67">
        <f t="shared" si="53"/>
        <v>18618897</v>
      </c>
      <c r="T25" s="67">
        <f t="shared" ref="T25:Y25" si="54">T26+T27+T28</f>
        <v>26440724.73</v>
      </c>
      <c r="U25" s="67">
        <f t="shared" si="54"/>
        <v>26440724.73</v>
      </c>
      <c r="V25" s="67">
        <f t="shared" si="54"/>
        <v>26440724.73</v>
      </c>
      <c r="W25" s="67">
        <f t="shared" si="54"/>
        <v>26440724.73</v>
      </c>
      <c r="X25" s="67">
        <f t="shared" si="54"/>
        <v>26496843.23</v>
      </c>
      <c r="Y25" s="67">
        <f t="shared" si="54"/>
        <v>18618897.300000001</v>
      </c>
      <c r="Z25" s="67">
        <f t="shared" ref="Z25:AP25" si="55">Z26+Z27+Z28</f>
        <v>18643100.010000002</v>
      </c>
      <c r="AA25" s="67">
        <f t="shared" si="55"/>
        <v>18618897.300000001</v>
      </c>
      <c r="AB25" s="140">
        <f t="shared" si="55"/>
        <v>18618897.300000001</v>
      </c>
      <c r="AC25" s="67">
        <f t="shared" si="55"/>
        <v>18618897.300000001</v>
      </c>
      <c r="AD25" s="67">
        <f t="shared" si="55"/>
        <v>18618897.300000001</v>
      </c>
      <c r="AE25" s="67">
        <f t="shared" si="55"/>
        <v>18618897.300000001</v>
      </c>
      <c r="AF25" s="67">
        <f t="shared" si="55"/>
        <v>18618897.300000001</v>
      </c>
      <c r="AG25" s="67">
        <f t="shared" si="55"/>
        <v>26403084.899999999</v>
      </c>
      <c r="AH25" s="67">
        <f t="shared" si="55"/>
        <v>26496843.23</v>
      </c>
      <c r="AI25" s="67">
        <f t="shared" si="55"/>
        <v>18618897.300000001</v>
      </c>
      <c r="AJ25" s="67">
        <f t="shared" si="55"/>
        <v>18618897.300000001</v>
      </c>
      <c r="AK25" s="67">
        <f t="shared" si="55"/>
        <v>18618897.300000001</v>
      </c>
      <c r="AL25" s="67">
        <f t="shared" si="55"/>
        <v>18618897.300000001</v>
      </c>
      <c r="AM25" s="67">
        <f t="shared" si="55"/>
        <v>18618897.300000001</v>
      </c>
      <c r="AN25" s="67">
        <f t="shared" si="55"/>
        <v>18618897.300000001</v>
      </c>
      <c r="AO25" s="67">
        <f t="shared" si="55"/>
        <v>18792655.300000001</v>
      </c>
      <c r="AP25" s="67">
        <f t="shared" si="55"/>
        <v>0</v>
      </c>
      <c r="AQ25" s="67">
        <f t="shared" ref="AQ25:BF25" si="56">AQ26+AQ27+AQ28</f>
        <v>0</v>
      </c>
      <c r="AR25" s="67">
        <f t="shared" si="56"/>
        <v>0</v>
      </c>
      <c r="AS25" s="67">
        <f t="shared" si="56"/>
        <v>0</v>
      </c>
      <c r="AT25" s="67">
        <f t="shared" si="56"/>
        <v>18792655.300000001</v>
      </c>
      <c r="AU25" s="67">
        <f t="shared" si="56"/>
        <v>18792655.300000001</v>
      </c>
      <c r="AV25" s="67">
        <f t="shared" si="56"/>
        <v>14306941.300000001</v>
      </c>
      <c r="AW25" s="67">
        <f t="shared" si="56"/>
        <v>14306941.300000001</v>
      </c>
      <c r="AX25" s="67">
        <f t="shared" si="56"/>
        <v>14306941.300000001</v>
      </c>
      <c r="AY25" s="67">
        <f t="shared" si="56"/>
        <v>14306941.300000001</v>
      </c>
      <c r="AZ25" s="67">
        <f t="shared" si="56"/>
        <v>0</v>
      </c>
      <c r="BA25" s="67">
        <f t="shared" si="56"/>
        <v>14306941.300000001</v>
      </c>
      <c r="BB25" s="67">
        <f t="shared" si="56"/>
        <v>14306941.300000001</v>
      </c>
      <c r="BC25" s="67">
        <f t="shared" si="56"/>
        <v>14306941.300000001</v>
      </c>
      <c r="BD25" s="67">
        <f t="shared" si="56"/>
        <v>14306941.300000001</v>
      </c>
      <c r="BE25" s="67">
        <f t="shared" si="56"/>
        <v>14306941.300000001</v>
      </c>
      <c r="BF25" s="67">
        <f t="shared" si="56"/>
        <v>14306941</v>
      </c>
      <c r="BG25" s="67">
        <f t="shared" ref="BG25:BS25" si="57">BG26+BG27+BG28</f>
        <v>22517511.91</v>
      </c>
      <c r="BH25" s="67">
        <f t="shared" si="57"/>
        <v>22517511.91</v>
      </c>
      <c r="BI25" s="67">
        <f t="shared" si="57"/>
        <v>22517511.91</v>
      </c>
      <c r="BJ25" s="67">
        <f t="shared" si="57"/>
        <v>22517511.91</v>
      </c>
      <c r="BK25" s="67">
        <f t="shared" si="57"/>
        <v>22517511.91</v>
      </c>
      <c r="BL25" s="67">
        <f t="shared" si="57"/>
        <v>22553300.239999998</v>
      </c>
      <c r="BM25" s="67">
        <f t="shared" si="57"/>
        <v>22553300.239999998</v>
      </c>
      <c r="BN25" s="67">
        <f t="shared" si="57"/>
        <v>22553300.239999998</v>
      </c>
      <c r="BO25" s="67">
        <f t="shared" si="57"/>
        <v>22553300.239999998</v>
      </c>
      <c r="BP25" s="67">
        <f t="shared" si="57"/>
        <v>22553300.239999998</v>
      </c>
      <c r="BQ25" s="67">
        <f t="shared" si="57"/>
        <v>22553300.239999998</v>
      </c>
      <c r="BR25" s="67">
        <f t="shared" si="57"/>
        <v>22553300.239999998</v>
      </c>
      <c r="BS25" s="67">
        <f t="shared" si="57"/>
        <v>14306941</v>
      </c>
      <c r="BT25" s="67">
        <f t="shared" ref="BT25:BX25" si="58">BT26+BT27+BT28</f>
        <v>22553300.239999998</v>
      </c>
      <c r="BU25" s="67">
        <f t="shared" si="58"/>
        <v>22553300.239999998</v>
      </c>
      <c r="BV25" s="67">
        <f t="shared" si="58"/>
        <v>22553300.239999998</v>
      </c>
      <c r="BW25" s="67">
        <f t="shared" si="58"/>
        <v>22553300.239999998</v>
      </c>
      <c r="BX25" s="67">
        <f t="shared" si="58"/>
        <v>14356941.300000001</v>
      </c>
      <c r="BY25" s="67">
        <f t="shared" ref="BY25:BZ25" si="59">BY26+BY27+BY28</f>
        <v>14356941.300000001</v>
      </c>
      <c r="BZ25" s="67">
        <f t="shared" si="59"/>
        <v>14356941.300000001</v>
      </c>
      <c r="CA25" s="67">
        <f t="shared" ref="CA25:CE25" si="60">CA26+CA27+CA28</f>
        <v>14356941.300000001</v>
      </c>
      <c r="CB25" s="67">
        <f t="shared" si="60"/>
        <v>14356941.300000001</v>
      </c>
      <c r="CC25" s="67">
        <f t="shared" si="60"/>
        <v>14356941.300000001</v>
      </c>
      <c r="CD25" s="67">
        <f t="shared" si="60"/>
        <v>14456941.300000001</v>
      </c>
      <c r="CE25" s="67">
        <f t="shared" ref="CE25:CF25" si="61">CE26+CE27+CE28</f>
        <v>14356941.300000001</v>
      </c>
      <c r="CF25" s="67">
        <f t="shared" si="61"/>
        <v>14356941</v>
      </c>
      <c r="CG25" s="67">
        <f t="shared" ref="CG25:CJ25" si="62">CG26+CG27+CG28</f>
        <v>-0.30000000074505806</v>
      </c>
      <c r="CH25" s="67">
        <f t="shared" si="62"/>
        <v>14356941</v>
      </c>
      <c r="CI25" s="67">
        <f t="shared" si="62"/>
        <v>22744633.84</v>
      </c>
      <c r="CJ25" s="67">
        <f t="shared" si="62"/>
        <v>22744633.84</v>
      </c>
      <c r="CK25" s="67">
        <f t="shared" ref="CK25:CL25" si="63">CK26+CK27+CK28</f>
        <v>22744633.84</v>
      </c>
      <c r="CL25" s="67">
        <f t="shared" si="63"/>
        <v>22744633.84</v>
      </c>
      <c r="CM25" s="67">
        <f t="shared" ref="CM25" si="64">CM26+CM27+CM28</f>
        <v>22744633.84</v>
      </c>
    </row>
    <row r="26" spans="1:91">
      <c r="A26" s="43">
        <v>6.1</v>
      </c>
      <c r="B26" s="42" t="s">
        <v>124</v>
      </c>
      <c r="C26" s="66">
        <f>'Evolutive SFP'!B12</f>
        <v>18086916</v>
      </c>
      <c r="D26" s="66">
        <f>'Evolutive SFP'!C12</f>
        <v>18286916</v>
      </c>
      <c r="E26" s="66">
        <f>'Evolutive SFP'!D12</f>
        <v>18486916</v>
      </c>
      <c r="F26" s="66">
        <f>'Evolutive SFP'!E12</f>
        <v>18486916</v>
      </c>
      <c r="G26" s="66">
        <f>'Evolutive SFP'!F12</f>
        <v>18486916</v>
      </c>
      <c r="H26" s="66">
        <f>'Evolutive SFP'!G12</f>
        <v>18486916</v>
      </c>
      <c r="I26" s="66">
        <f>'Evolutive SFP'!H12</f>
        <v>18486916</v>
      </c>
      <c r="J26" s="66">
        <f>'Evolutive SFP'!I12</f>
        <v>18486916</v>
      </c>
      <c r="K26" s="66">
        <f>'Evolutive SFP'!J12</f>
        <v>18486916</v>
      </c>
      <c r="L26" s="66">
        <f>'Evolutive SFP'!K12</f>
        <v>18486916</v>
      </c>
      <c r="M26" s="66">
        <f>'Evolutive SFP'!L12</f>
        <v>0</v>
      </c>
      <c r="N26" s="66">
        <f>'Evolutive SFP'!M12</f>
        <v>0</v>
      </c>
      <c r="O26" s="66">
        <f>'Evolutive SFP'!N12</f>
        <v>0</v>
      </c>
      <c r="P26" s="66">
        <f>'Evolutive SFP'!O12</f>
        <v>0</v>
      </c>
      <c r="Q26" s="66">
        <f>'Evolutive SFP'!P12</f>
        <v>0</v>
      </c>
      <c r="R26" s="66">
        <f>'Evolutive SFP'!Q12</f>
        <v>0</v>
      </c>
      <c r="S26" s="66">
        <f>'Evolutive SFP'!R12</f>
        <v>851974</v>
      </c>
      <c r="T26" s="66">
        <f>'Evolutive SFP'!S12</f>
        <v>18618897.300000001</v>
      </c>
      <c r="U26" s="66">
        <f>'Evolutive SFP'!T12</f>
        <v>18618897.300000001</v>
      </c>
      <c r="V26" s="66">
        <f>'Evolutive SFP'!U12</f>
        <v>18618897.300000001</v>
      </c>
      <c r="W26" s="66">
        <f>'Evolutive SFP'!V12</f>
        <v>18618897.300000001</v>
      </c>
      <c r="X26" s="66">
        <f>'Evolutive SFP'!W12</f>
        <v>18618897.300000001</v>
      </c>
      <c r="Y26" s="66">
        <f>'Evolutive SFP'!X12</f>
        <v>15007724</v>
      </c>
      <c r="Z26" s="66">
        <f>'Evolutive SFP'!Y12</f>
        <v>15007724</v>
      </c>
      <c r="AA26" s="66">
        <f>'Evolutive SFP'!Z12</f>
        <v>18618897.300000001</v>
      </c>
      <c r="AB26" s="139">
        <f>'Evolutive SFP'!AA12</f>
        <v>18618897.300000001</v>
      </c>
      <c r="AC26" s="66">
        <f>'Evolutive SFP'!AB12</f>
        <v>18618897.300000001</v>
      </c>
      <c r="AD26" s="66">
        <f>'Evolutive SFP'!AC12</f>
        <v>18618897.300000001</v>
      </c>
      <c r="AE26" s="66">
        <f>'Evolutive SFP'!AD12</f>
        <v>18618897.300000001</v>
      </c>
      <c r="AF26" s="66">
        <f>'Evolutive SFP'!AE12</f>
        <v>18618897.300000001</v>
      </c>
      <c r="AG26" s="66">
        <f>'Evolutive SFP'!AF12</f>
        <v>18644138.969999999</v>
      </c>
      <c r="AH26" s="66">
        <f>'Evolutive SFP'!AG12</f>
        <v>18618897.300000001</v>
      </c>
      <c r="AI26" s="66">
        <f>'Evolutive SFP'!AH12</f>
        <v>18618897.300000001</v>
      </c>
      <c r="AJ26" s="66">
        <f>'Evolutive SFP'!AI12</f>
        <v>18618897.300000001</v>
      </c>
      <c r="AK26" s="66">
        <f>'Evolutive SFP'!AJ12</f>
        <v>18618897.300000001</v>
      </c>
      <c r="AL26" s="66">
        <f>'Evolutive SFP'!AK12</f>
        <v>18618897.300000001</v>
      </c>
      <c r="AM26" s="66">
        <f>'Evolutive SFP'!AL12</f>
        <v>18618897.300000001</v>
      </c>
      <c r="AN26" s="66">
        <f>'Evolutive SFP'!AM12</f>
        <v>18618897.300000001</v>
      </c>
      <c r="AO26" s="66">
        <f>'Evolutive SFP'!AN12</f>
        <v>18792655.300000001</v>
      </c>
      <c r="AP26" s="66">
        <f>'Evolutive SFP'!AO12</f>
        <v>0</v>
      </c>
      <c r="AQ26" s="66">
        <f>'Evolutive SFP'!AP12</f>
        <v>0</v>
      </c>
      <c r="AR26" s="66">
        <f>'Evolutive SFP'!AQ12</f>
        <v>0</v>
      </c>
      <c r="AS26" s="66">
        <f>'Evolutive SFP'!AR12</f>
        <v>0</v>
      </c>
      <c r="AT26" s="66">
        <f>'Evolutive SFP'!AS12</f>
        <v>18792655.300000001</v>
      </c>
      <c r="AU26" s="66">
        <f>'Evolutive SFP'!AT12</f>
        <v>18792655.300000001</v>
      </c>
      <c r="AV26" s="66">
        <f>'Evolutive SFP'!AU12</f>
        <v>14306941.300000001</v>
      </c>
      <c r="AW26" s="66">
        <f>'Evolutive SFP'!AV12</f>
        <v>14306941.300000001</v>
      </c>
      <c r="AX26" s="66">
        <f>'Evolutive SFP'!AW12</f>
        <v>14306941.300000001</v>
      </c>
      <c r="AY26" s="66">
        <f>'Evolutive SFP'!AX12</f>
        <v>14306941.300000001</v>
      </c>
      <c r="AZ26" s="66">
        <f>'Evolutive SFP'!AY12</f>
        <v>0</v>
      </c>
      <c r="BA26" s="66">
        <f>'Evolutive SFP'!AZ12</f>
        <v>14306941.300000001</v>
      </c>
      <c r="BB26" s="66">
        <f>'Evolutive SFP'!BA12</f>
        <v>14306941.300000001</v>
      </c>
      <c r="BC26" s="66">
        <f>'Evolutive SFP'!BB12</f>
        <v>14306941.300000001</v>
      </c>
      <c r="BD26" s="66">
        <f>'Evolutive SFP'!BC12</f>
        <v>14306941.300000001</v>
      </c>
      <c r="BE26" s="66">
        <f>'Evolutive SFP'!BD12</f>
        <v>14306941.300000001</v>
      </c>
      <c r="BF26" s="66">
        <f>'Evolutive SFP'!BE12</f>
        <v>14306941</v>
      </c>
      <c r="BG26" s="66">
        <f>'Evolutive SFP'!BF12</f>
        <v>22517511.91</v>
      </c>
      <c r="BH26" s="66">
        <f>'Evolutive SFP'!BG12</f>
        <v>22517511.91</v>
      </c>
      <c r="BI26" s="66">
        <f>'Evolutive SFP'!BH12</f>
        <v>22517511.91</v>
      </c>
      <c r="BJ26" s="66">
        <f>'Evolutive SFP'!BI12</f>
        <v>22517511.91</v>
      </c>
      <c r="BK26" s="66">
        <f>'Evolutive SFP'!BJ12</f>
        <v>22517511.91</v>
      </c>
      <c r="BL26" s="66">
        <f>'Evolutive SFP'!BK12</f>
        <v>22553300.239999998</v>
      </c>
      <c r="BM26" s="66">
        <f>'Evolutive SFP'!BL12</f>
        <v>22553300.239999998</v>
      </c>
      <c r="BN26" s="66">
        <f>'Evolutive SFP'!BM12</f>
        <v>22553300.239999998</v>
      </c>
      <c r="BO26" s="66">
        <f>'Evolutive SFP'!BN12</f>
        <v>22553300.239999998</v>
      </c>
      <c r="BP26" s="66">
        <f>'Evolutive SFP'!BO12</f>
        <v>22553300.239999998</v>
      </c>
      <c r="BQ26" s="66">
        <f>'Evolutive SFP'!BP12</f>
        <v>22553300.239999998</v>
      </c>
      <c r="BR26" s="66">
        <f>'Evolutive SFP'!BQ12</f>
        <v>22553300.239999998</v>
      </c>
      <c r="BS26" s="66">
        <f>'Evolutive SFP'!BR12</f>
        <v>14306941</v>
      </c>
      <c r="BT26" s="66">
        <f>'Evolutive SFP'!BS12</f>
        <v>22553300.239999998</v>
      </c>
      <c r="BU26" s="66">
        <f>'Evolutive SFP'!BT12</f>
        <v>22553300.239999998</v>
      </c>
      <c r="BV26" s="66">
        <f>'Evolutive SFP'!BU12</f>
        <v>22553300.239999998</v>
      </c>
      <c r="BW26" s="66">
        <f>'Evolutive SFP'!BV12</f>
        <v>22553300.239999998</v>
      </c>
      <c r="BX26" s="66">
        <f>'Evolutive SFP'!BW12</f>
        <v>14356941.300000001</v>
      </c>
      <c r="BY26" s="66">
        <f>'Evolutive SFP'!BX12</f>
        <v>14356941.300000001</v>
      </c>
      <c r="BZ26" s="66">
        <f>'Evolutive SFP'!BY12</f>
        <v>14356941.300000001</v>
      </c>
      <c r="CA26" s="66">
        <f>'Evolutive SFP'!BZ12</f>
        <v>14356941.300000001</v>
      </c>
      <c r="CB26" s="66">
        <f>'Evolutive SFP'!CA12</f>
        <v>14356941.300000001</v>
      </c>
      <c r="CC26" s="66">
        <f>'Evolutive SFP'!CB12</f>
        <v>14356941.300000001</v>
      </c>
      <c r="CD26" s="66">
        <f>'Evolutive SFP'!CC12</f>
        <v>14456941.300000001</v>
      </c>
      <c r="CE26" s="66">
        <f>'Evolutive SFP'!CD12</f>
        <v>14356941.300000001</v>
      </c>
      <c r="CF26" s="66">
        <f>'Evolutive SFP'!CE12</f>
        <v>0</v>
      </c>
      <c r="CG26" s="66">
        <f>'Evolutive SFP'!CF12</f>
        <v>-14356941.300000001</v>
      </c>
      <c r="CH26" s="66">
        <f>'Evolutive SFP'!CG12</f>
        <v>0</v>
      </c>
      <c r="CI26" s="66">
        <f>'Evolutive SFP'!CH12</f>
        <v>22744633.84</v>
      </c>
      <c r="CJ26" s="66">
        <f>'Evolutive SFP'!CI12</f>
        <v>22744633.84</v>
      </c>
      <c r="CK26" s="66">
        <f>'Evolutive SFP'!CJ12</f>
        <v>22744633.84</v>
      </c>
      <c r="CL26" s="66">
        <f>'Evolutive SFP'!CK12</f>
        <v>22744633.84</v>
      </c>
      <c r="CM26" s="66">
        <f>'Evolutive SFP'!CL12</f>
        <v>22744633.84</v>
      </c>
    </row>
    <row r="27" spans="1:91">
      <c r="A27" s="43">
        <v>6.2</v>
      </c>
      <c r="B27" s="42" t="s">
        <v>125</v>
      </c>
      <c r="C27" s="66">
        <f>'Evolutive SFP'!B10</f>
        <v>0</v>
      </c>
      <c r="D27" s="66">
        <f>'Evolutive SFP'!C10</f>
        <v>0</v>
      </c>
      <c r="E27" s="66">
        <f>'Evolutive SFP'!D10</f>
        <v>0</v>
      </c>
      <c r="F27" s="66">
        <f>'Evolutive SFP'!E10</f>
        <v>0</v>
      </c>
      <c r="G27" s="66">
        <f>'Evolutive SFP'!F10</f>
        <v>1317483.1000000001</v>
      </c>
      <c r="H27" s="66">
        <f>'Evolutive SFP'!G10</f>
        <v>1317483.1000000001</v>
      </c>
      <c r="I27" s="66">
        <f>'Evolutive SFP'!H10</f>
        <v>1317483.1000000001</v>
      </c>
      <c r="J27" s="66">
        <f>'Evolutive SFP'!I10</f>
        <v>1317483.1000000001</v>
      </c>
      <c r="K27" s="66">
        <f>'Evolutive SFP'!J10</f>
        <v>1317483.1000000001</v>
      </c>
      <c r="L27" s="66">
        <f>'Evolutive SFP'!K10</f>
        <v>1317483.1000000001</v>
      </c>
      <c r="M27" s="66">
        <f>'Evolutive SFP'!L10</f>
        <v>0</v>
      </c>
      <c r="N27" s="66">
        <f>'Evolutive SFP'!M10</f>
        <v>0</v>
      </c>
      <c r="O27" s="66">
        <f>'Evolutive SFP'!N10</f>
        <v>0</v>
      </c>
      <c r="P27" s="66">
        <f>'Evolutive SFP'!O10</f>
        <v>0</v>
      </c>
      <c r="Q27" s="66">
        <f>'Evolutive SFP'!P10</f>
        <v>0</v>
      </c>
      <c r="R27" s="66">
        <f>'Evolutive SFP'!Q10</f>
        <v>0</v>
      </c>
      <c r="S27" s="66">
        <f>'Evolutive SFP'!R10</f>
        <v>0</v>
      </c>
      <c r="T27" s="66">
        <f>'Evolutive SFP'!S10</f>
        <v>0</v>
      </c>
      <c r="U27" s="66">
        <f>'Evolutive SFP'!T10</f>
        <v>0</v>
      </c>
      <c r="V27" s="66">
        <f>'Evolutive SFP'!U10</f>
        <v>0</v>
      </c>
      <c r="W27" s="66">
        <f>'Evolutive SFP'!V10</f>
        <v>0</v>
      </c>
      <c r="X27" s="66">
        <f>'Evolutive SFP'!W10</f>
        <v>0</v>
      </c>
      <c r="Y27" s="66">
        <f>'Evolutive SFP'!X10</f>
        <v>0</v>
      </c>
      <c r="Z27" s="66">
        <f>'Evolutive SFP'!Y10</f>
        <v>24202.71</v>
      </c>
      <c r="AA27" s="66">
        <f>'Evolutive SFP'!Z10</f>
        <v>0</v>
      </c>
      <c r="AB27" s="139">
        <f>'Evolutive SFP'!AA10</f>
        <v>0</v>
      </c>
      <c r="AC27" s="66">
        <f>'Evolutive SFP'!AB10</f>
        <v>0</v>
      </c>
      <c r="AD27" s="66">
        <f>'Evolutive SFP'!AC10</f>
        <v>0</v>
      </c>
      <c r="AE27" s="66">
        <f>'Evolutive SFP'!AD10</f>
        <v>0</v>
      </c>
      <c r="AF27" s="66">
        <f>'Evolutive SFP'!AE10</f>
        <v>0</v>
      </c>
      <c r="AG27" s="66">
        <f>'Evolutive SFP'!AF10</f>
        <v>0</v>
      </c>
      <c r="AH27" s="66">
        <f>'Evolutive SFP'!AG10</f>
        <v>0</v>
      </c>
      <c r="AI27" s="66">
        <f>'Evolutive SFP'!AH10</f>
        <v>0</v>
      </c>
      <c r="AJ27" s="66">
        <f>'Evolutive SFP'!AI10</f>
        <v>0</v>
      </c>
      <c r="AK27" s="66">
        <f>'Evolutive SFP'!AJ10</f>
        <v>0</v>
      </c>
      <c r="AL27" s="66">
        <f>'Evolutive SFP'!AK10</f>
        <v>0</v>
      </c>
      <c r="AM27" s="66">
        <f>'Evolutive SFP'!AL10</f>
        <v>0</v>
      </c>
      <c r="AN27" s="66">
        <f>'Evolutive SFP'!AM10</f>
        <v>0</v>
      </c>
      <c r="AO27" s="66">
        <f>'Evolutive SFP'!AN10</f>
        <v>0</v>
      </c>
      <c r="AP27" s="66">
        <f>'Evolutive SFP'!AO10</f>
        <v>0</v>
      </c>
      <c r="AQ27" s="66">
        <f>'Evolutive SFP'!AP10</f>
        <v>0</v>
      </c>
      <c r="AR27" s="66">
        <f>'Evolutive SFP'!AQ10</f>
        <v>0</v>
      </c>
      <c r="AS27" s="66">
        <f>'Evolutive SFP'!AR10</f>
        <v>0</v>
      </c>
      <c r="AT27" s="66">
        <f>'Evolutive SFP'!AS10</f>
        <v>0</v>
      </c>
      <c r="AU27" s="66">
        <f>'Evolutive SFP'!AT10</f>
        <v>0</v>
      </c>
      <c r="AV27" s="66">
        <f>'Evolutive SFP'!AU10</f>
        <v>0</v>
      </c>
      <c r="AW27" s="66">
        <f>'Evolutive SFP'!AV10</f>
        <v>0</v>
      </c>
      <c r="AX27" s="66">
        <f>'Evolutive SFP'!AW10</f>
        <v>0</v>
      </c>
      <c r="AY27" s="66">
        <f>'Evolutive SFP'!AX10</f>
        <v>0</v>
      </c>
      <c r="AZ27" s="66">
        <f>'Evolutive SFP'!AY10</f>
        <v>0</v>
      </c>
      <c r="BA27" s="66">
        <f>'Evolutive SFP'!AZ10</f>
        <v>0</v>
      </c>
      <c r="BB27" s="66">
        <f>'Evolutive SFP'!BA10</f>
        <v>0</v>
      </c>
      <c r="BC27" s="66">
        <f>'Evolutive SFP'!BB10</f>
        <v>0</v>
      </c>
      <c r="BD27" s="66">
        <f>'Evolutive SFP'!BC10</f>
        <v>0</v>
      </c>
      <c r="BE27" s="66">
        <f>'Evolutive SFP'!BD10</f>
        <v>0</v>
      </c>
      <c r="BF27" s="66">
        <f>'Evolutive SFP'!BE10</f>
        <v>0</v>
      </c>
      <c r="BG27" s="66">
        <f>'Evolutive SFP'!BF10</f>
        <v>0</v>
      </c>
      <c r="BH27" s="66">
        <f>'Evolutive SFP'!BG10</f>
        <v>0</v>
      </c>
      <c r="BI27" s="66">
        <f>'Evolutive SFP'!BH10</f>
        <v>0</v>
      </c>
      <c r="BJ27" s="66">
        <f>'Evolutive SFP'!BI10</f>
        <v>0</v>
      </c>
      <c r="BK27" s="66">
        <f>'Evolutive SFP'!BJ10</f>
        <v>0</v>
      </c>
      <c r="BL27" s="66">
        <f>'Evolutive SFP'!BK10</f>
        <v>0</v>
      </c>
      <c r="BM27" s="66">
        <f>'Evolutive SFP'!BL10</f>
        <v>0</v>
      </c>
      <c r="BN27" s="66">
        <f>'Evolutive SFP'!BM10</f>
        <v>0</v>
      </c>
      <c r="BO27" s="66">
        <f>'Evolutive SFP'!BN10</f>
        <v>0</v>
      </c>
      <c r="BP27" s="66">
        <f>'Evolutive SFP'!BO10</f>
        <v>0</v>
      </c>
      <c r="BQ27" s="66">
        <f>'Evolutive SFP'!BP10</f>
        <v>0</v>
      </c>
      <c r="BR27" s="66">
        <f>'Evolutive SFP'!BQ10</f>
        <v>0</v>
      </c>
      <c r="BS27" s="66">
        <f>'Evolutive SFP'!BR10</f>
        <v>0</v>
      </c>
      <c r="BT27" s="66">
        <f>'Evolutive SFP'!BS10</f>
        <v>0</v>
      </c>
      <c r="BU27" s="66">
        <f>'Evolutive SFP'!BT10</f>
        <v>0</v>
      </c>
      <c r="BV27" s="66">
        <f>'Evolutive SFP'!BU10</f>
        <v>0</v>
      </c>
      <c r="BW27" s="66">
        <f>'Evolutive SFP'!BV10</f>
        <v>0</v>
      </c>
      <c r="BX27" s="66">
        <f>'Evolutive SFP'!BW10</f>
        <v>0</v>
      </c>
      <c r="BY27" s="66">
        <f>'Evolutive SFP'!BX10</f>
        <v>0</v>
      </c>
      <c r="BZ27" s="66">
        <f>'Evolutive SFP'!BY10</f>
        <v>0</v>
      </c>
      <c r="CA27" s="66">
        <f>'Evolutive SFP'!BZ10</f>
        <v>0</v>
      </c>
      <c r="CB27" s="66">
        <f>'Evolutive SFP'!CA10</f>
        <v>0</v>
      </c>
      <c r="CC27" s="66">
        <f>'Evolutive SFP'!CB10</f>
        <v>0</v>
      </c>
      <c r="CD27" s="66">
        <f>'Evolutive SFP'!CC10</f>
        <v>0</v>
      </c>
      <c r="CE27" s="66">
        <f>'Evolutive SFP'!CD10</f>
        <v>0</v>
      </c>
      <c r="CF27" s="66">
        <f>'Evolutive SFP'!CE10</f>
        <v>0</v>
      </c>
      <c r="CG27" s="66">
        <f>'Evolutive SFP'!CF10</f>
        <v>0</v>
      </c>
      <c r="CH27" s="66">
        <f>'Evolutive SFP'!CG10</f>
        <v>0</v>
      </c>
      <c r="CI27" s="66">
        <f>'Evolutive SFP'!CH10</f>
        <v>0</v>
      </c>
      <c r="CJ27" s="66">
        <f>'Evolutive SFP'!CI10</f>
        <v>0</v>
      </c>
      <c r="CK27" s="66">
        <f>'Evolutive SFP'!CJ10</f>
        <v>0</v>
      </c>
      <c r="CL27" s="66">
        <f>'Evolutive SFP'!CK10</f>
        <v>0</v>
      </c>
      <c r="CM27" s="66">
        <f>'Evolutive SFP'!CL10</f>
        <v>0</v>
      </c>
    </row>
    <row r="28" spans="1:91">
      <c r="A28" s="43">
        <v>6.3</v>
      </c>
      <c r="B28" s="42" t="s">
        <v>126</v>
      </c>
      <c r="C28" s="66">
        <f>'Evolutive SFP'!B11</f>
        <v>5148733</v>
      </c>
      <c r="D28" s="66">
        <f>'Evolutive SFP'!C11</f>
        <v>5295623</v>
      </c>
      <c r="E28" s="66">
        <f>'Evolutive SFP'!D11</f>
        <v>5766319</v>
      </c>
      <c r="F28" s="66">
        <f>'Evolutive SFP'!E11</f>
        <v>5143582</v>
      </c>
      <c r="G28" s="66">
        <f>'Evolutive SFP'!F11</f>
        <v>0</v>
      </c>
      <c r="H28" s="66">
        <f>'Evolutive SFP'!G11</f>
        <v>0</v>
      </c>
      <c r="I28" s="66">
        <f>'Evolutive SFP'!H11</f>
        <v>7375581.5300000003</v>
      </c>
      <c r="J28" s="66">
        <f>'Evolutive SFP'!I11</f>
        <v>7375581.5300000003</v>
      </c>
      <c r="K28" s="66">
        <f>'Evolutive SFP'!J11</f>
        <v>7375581.5300000003</v>
      </c>
      <c r="L28" s="66">
        <f>'Evolutive SFP'!K11</f>
        <v>7375582</v>
      </c>
      <c r="M28" s="66">
        <f>'Evolutive SFP'!L11</f>
        <v>0</v>
      </c>
      <c r="N28" s="66">
        <f>'Evolutive SFP'!M11</f>
        <v>0</v>
      </c>
      <c r="O28" s="66">
        <f>'Evolutive SFP'!N11</f>
        <v>0</v>
      </c>
      <c r="P28" s="66">
        <f>'Evolutive SFP'!O11</f>
        <v>0</v>
      </c>
      <c r="Q28" s="66">
        <f>'Evolutive SFP'!P11</f>
        <v>0</v>
      </c>
      <c r="R28" s="66">
        <f>'Evolutive SFP'!Q11</f>
        <v>0</v>
      </c>
      <c r="S28" s="66">
        <f>'Evolutive SFP'!R11</f>
        <v>17766923</v>
      </c>
      <c r="T28" s="66">
        <f>'Evolutive SFP'!S11</f>
        <v>7821827.4299999997</v>
      </c>
      <c r="U28" s="66">
        <f>'Evolutive SFP'!T11</f>
        <v>7821827.4299999997</v>
      </c>
      <c r="V28" s="66">
        <f>'Evolutive SFP'!U11</f>
        <v>7821827.4299999997</v>
      </c>
      <c r="W28" s="66">
        <f>'Evolutive SFP'!V11</f>
        <v>7821827.4299999997</v>
      </c>
      <c r="X28" s="66">
        <f>'Evolutive SFP'!W11</f>
        <v>7877945.9299999997</v>
      </c>
      <c r="Y28" s="66">
        <f>'Evolutive SFP'!X11</f>
        <v>3611173.3</v>
      </c>
      <c r="Z28" s="66">
        <f>'Evolutive SFP'!Y11</f>
        <v>3611173.3</v>
      </c>
      <c r="AA28" s="66">
        <f>'Evolutive SFP'!Z11</f>
        <v>0</v>
      </c>
      <c r="AB28" s="139">
        <f>'Evolutive SFP'!AA11</f>
        <v>0</v>
      </c>
      <c r="AC28" s="66">
        <f>'Evolutive SFP'!AB11</f>
        <v>0</v>
      </c>
      <c r="AD28" s="66">
        <f>'Evolutive SFP'!AC11</f>
        <v>0</v>
      </c>
      <c r="AE28" s="66">
        <f>'Evolutive SFP'!AD11</f>
        <v>0</v>
      </c>
      <c r="AF28" s="66">
        <f>'Evolutive SFP'!AE11</f>
        <v>0</v>
      </c>
      <c r="AG28" s="66">
        <f>'Evolutive SFP'!AF11</f>
        <v>7758945.9299999997</v>
      </c>
      <c r="AH28" s="66">
        <f>'Evolutive SFP'!AG11</f>
        <v>7877945.9299999997</v>
      </c>
      <c r="AI28" s="66">
        <f>'Evolutive SFP'!AH11</f>
        <v>0</v>
      </c>
      <c r="AJ28" s="66">
        <f>'Evolutive SFP'!AI11</f>
        <v>0</v>
      </c>
      <c r="AK28" s="66">
        <f>'Evolutive SFP'!AJ11</f>
        <v>0</v>
      </c>
      <c r="AL28" s="66">
        <f>'Evolutive SFP'!AK11</f>
        <v>0</v>
      </c>
      <c r="AM28" s="66">
        <f>'Evolutive SFP'!AL11</f>
        <v>0</v>
      </c>
      <c r="AN28" s="66">
        <f>'Evolutive SFP'!AM11</f>
        <v>0</v>
      </c>
      <c r="AO28" s="66">
        <f>'Evolutive SFP'!AN11</f>
        <v>0</v>
      </c>
      <c r="AP28" s="66">
        <f>'Evolutive SFP'!AO11</f>
        <v>0</v>
      </c>
      <c r="AQ28" s="66">
        <f>'Evolutive SFP'!AP11</f>
        <v>0</v>
      </c>
      <c r="AR28" s="66">
        <f>'Evolutive SFP'!AQ11</f>
        <v>0</v>
      </c>
      <c r="AS28" s="66">
        <f>'Evolutive SFP'!AR11</f>
        <v>0</v>
      </c>
      <c r="AT28" s="66">
        <f>'Evolutive SFP'!AS11</f>
        <v>0</v>
      </c>
      <c r="AU28" s="66">
        <f>'Evolutive SFP'!AT11</f>
        <v>0</v>
      </c>
      <c r="AV28" s="66">
        <f>'Evolutive SFP'!AU11</f>
        <v>0</v>
      </c>
      <c r="AW28" s="66">
        <f>'Evolutive SFP'!AV11</f>
        <v>0</v>
      </c>
      <c r="AX28" s="66">
        <f>'Evolutive SFP'!AW11</f>
        <v>0</v>
      </c>
      <c r="AY28" s="66">
        <f>'Evolutive SFP'!AX11</f>
        <v>0</v>
      </c>
      <c r="AZ28" s="66">
        <f>'Evolutive SFP'!AY11</f>
        <v>0</v>
      </c>
      <c r="BA28" s="66">
        <f>'Evolutive SFP'!AZ11</f>
        <v>0</v>
      </c>
      <c r="BB28" s="66">
        <f>'Evolutive SFP'!BA11</f>
        <v>0</v>
      </c>
      <c r="BC28" s="66">
        <f>'Evolutive SFP'!BB11</f>
        <v>0</v>
      </c>
      <c r="BD28" s="66">
        <f>'Evolutive SFP'!BC11</f>
        <v>0</v>
      </c>
      <c r="BE28" s="66">
        <f>'Evolutive SFP'!BD11</f>
        <v>0</v>
      </c>
      <c r="BF28" s="66">
        <f>'Evolutive SFP'!BE11</f>
        <v>0</v>
      </c>
      <c r="BG28" s="66">
        <f>'Evolutive SFP'!BF11</f>
        <v>0</v>
      </c>
      <c r="BH28" s="66">
        <f>'Evolutive SFP'!BG11</f>
        <v>0</v>
      </c>
      <c r="BI28" s="66">
        <f>'Evolutive SFP'!BH11</f>
        <v>0</v>
      </c>
      <c r="BJ28" s="66">
        <f>'Evolutive SFP'!BI11</f>
        <v>0</v>
      </c>
      <c r="BK28" s="66">
        <f>'Evolutive SFP'!BJ11</f>
        <v>0</v>
      </c>
      <c r="BL28" s="66">
        <f>'Evolutive SFP'!BK11</f>
        <v>0</v>
      </c>
      <c r="BM28" s="66">
        <f>'Evolutive SFP'!BL11</f>
        <v>0</v>
      </c>
      <c r="BN28" s="66">
        <f>'Evolutive SFP'!BM11</f>
        <v>0</v>
      </c>
      <c r="BO28" s="66">
        <f>'Evolutive SFP'!BN11</f>
        <v>0</v>
      </c>
      <c r="BP28" s="66">
        <f>'Evolutive SFP'!BO11</f>
        <v>0</v>
      </c>
      <c r="BQ28" s="66">
        <f>'Evolutive SFP'!BP11</f>
        <v>0</v>
      </c>
      <c r="BR28" s="66">
        <f>'Evolutive SFP'!BQ11</f>
        <v>0</v>
      </c>
      <c r="BS28" s="66">
        <f>'Evolutive SFP'!BR11</f>
        <v>0</v>
      </c>
      <c r="BT28" s="66">
        <f>'Evolutive SFP'!BS11</f>
        <v>0</v>
      </c>
      <c r="BU28" s="66">
        <f>'Evolutive SFP'!BT11</f>
        <v>0</v>
      </c>
      <c r="BV28" s="66">
        <f>'Evolutive SFP'!BU11</f>
        <v>0</v>
      </c>
      <c r="BW28" s="66">
        <f>'Evolutive SFP'!BV11</f>
        <v>0</v>
      </c>
      <c r="BX28" s="66">
        <f>'Evolutive SFP'!BW11</f>
        <v>0</v>
      </c>
      <c r="BY28" s="66">
        <f>'Evolutive SFP'!BX11</f>
        <v>0</v>
      </c>
      <c r="BZ28" s="66">
        <f>'Evolutive SFP'!BY11</f>
        <v>0</v>
      </c>
      <c r="CA28" s="66">
        <f>'Evolutive SFP'!BZ11</f>
        <v>0</v>
      </c>
      <c r="CB28" s="66">
        <f>'Evolutive SFP'!CA11</f>
        <v>0</v>
      </c>
      <c r="CC28" s="66">
        <f>'Evolutive SFP'!CB11</f>
        <v>0</v>
      </c>
      <c r="CD28" s="66">
        <f>'Evolutive SFP'!CC11</f>
        <v>0</v>
      </c>
      <c r="CE28" s="66">
        <f>'Evolutive SFP'!CD11</f>
        <v>0</v>
      </c>
      <c r="CF28" s="66">
        <f>'Evolutive SFP'!CE11</f>
        <v>14356941</v>
      </c>
      <c r="CG28" s="66">
        <f>'Evolutive SFP'!CF11</f>
        <v>14356941</v>
      </c>
      <c r="CH28" s="66">
        <f>'Evolutive SFP'!CG11</f>
        <v>14356941</v>
      </c>
      <c r="CI28" s="66">
        <f>'Evolutive SFP'!CH11</f>
        <v>0</v>
      </c>
      <c r="CJ28" s="66">
        <f>'Evolutive SFP'!CI11</f>
        <v>0</v>
      </c>
      <c r="CK28" s="66">
        <f>'Evolutive SFP'!CJ11</f>
        <v>0</v>
      </c>
      <c r="CL28" s="66">
        <f>'Evolutive SFP'!CK11</f>
        <v>0</v>
      </c>
      <c r="CM28" s="66">
        <f>'Evolutive SFP'!CL11</f>
        <v>0</v>
      </c>
    </row>
    <row r="29" spans="1:91">
      <c r="A29" s="41"/>
      <c r="B29" s="42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139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6"/>
      <c r="CF29" s="66"/>
      <c r="CG29" s="66"/>
      <c r="CH29" s="66"/>
      <c r="CI29" s="66"/>
      <c r="CJ29" s="66"/>
      <c r="CK29" s="66"/>
      <c r="CL29" s="66"/>
      <c r="CM29" s="66"/>
    </row>
    <row r="30" spans="1:91">
      <c r="A30" s="43">
        <v>7</v>
      </c>
      <c r="B30" s="41" t="s">
        <v>127</v>
      </c>
      <c r="C30" s="66">
        <f>'Evolutive SFP'!B13</f>
        <v>100772491</v>
      </c>
      <c r="D30" s="66">
        <f>'Evolutive SFP'!C13</f>
        <v>108738343</v>
      </c>
      <c r="E30" s="66">
        <f>'Evolutive SFP'!D13</f>
        <v>153940147</v>
      </c>
      <c r="F30" s="66">
        <f>'Evolutive SFP'!E13</f>
        <v>163589556</v>
      </c>
      <c r="G30" s="66">
        <f>'Evolutive SFP'!F13</f>
        <v>171339329.09999999</v>
      </c>
      <c r="H30" s="66">
        <f>'Evolutive SFP'!G13</f>
        <v>172703487.78</v>
      </c>
      <c r="I30" s="66">
        <f>'Evolutive SFP'!H13</f>
        <v>174514620.84999999</v>
      </c>
      <c r="J30" s="66">
        <f>'Evolutive SFP'!I13</f>
        <v>166954648.63</v>
      </c>
      <c r="K30" s="66">
        <f>'Evolutive SFP'!J13</f>
        <v>167797376</v>
      </c>
      <c r="L30" s="66">
        <f>'Evolutive SFP'!K13</f>
        <v>168256362.16</v>
      </c>
      <c r="M30" s="66">
        <f>'Evolutive SFP'!L13</f>
        <v>0</v>
      </c>
      <c r="N30" s="66">
        <f>'Evolutive SFP'!M13</f>
        <v>0</v>
      </c>
      <c r="O30" s="66">
        <f>'Evolutive SFP'!N13</f>
        <v>0</v>
      </c>
      <c r="P30" s="66">
        <f>'Evolutive SFP'!O13</f>
        <v>0</v>
      </c>
      <c r="Q30" s="66">
        <f>'Evolutive SFP'!P13</f>
        <v>0</v>
      </c>
      <c r="R30" s="66">
        <f>'Evolutive SFP'!Q13</f>
        <v>0</v>
      </c>
      <c r="S30" s="66">
        <f>'Evolutive SFP'!R13</f>
        <v>123651759.40000001</v>
      </c>
      <c r="T30" s="66">
        <f>'Evolutive SFP'!S13</f>
        <v>146277368.74000001</v>
      </c>
      <c r="U30" s="66">
        <f>'Evolutive SFP'!T13</f>
        <v>151239248.94999999</v>
      </c>
      <c r="V30" s="66">
        <f>'Evolutive SFP'!U13</f>
        <v>147038084.31999999</v>
      </c>
      <c r="W30" s="66">
        <f>'Evolutive SFP'!V13</f>
        <v>121497429.06999999</v>
      </c>
      <c r="X30" s="66">
        <f>'Evolutive SFP'!W13</f>
        <v>117807783.65000001</v>
      </c>
      <c r="Y30" s="66">
        <f>'Evolutive SFP'!X13</f>
        <v>152943513.28999999</v>
      </c>
      <c r="Z30" s="66">
        <f>'Evolutive SFP'!Y13</f>
        <v>152959297.03999999</v>
      </c>
      <c r="AA30" s="66">
        <f>'Evolutive SFP'!Z13</f>
        <v>145057884.34</v>
      </c>
      <c r="AB30" s="139">
        <f>'Evolutive SFP'!AA13</f>
        <v>138563586.37</v>
      </c>
      <c r="AC30" s="66">
        <f>'Evolutive SFP'!AB13</f>
        <v>128142419.63999999</v>
      </c>
      <c r="AD30" s="66">
        <f>'Evolutive SFP'!AC13</f>
        <v>118726639.15000001</v>
      </c>
      <c r="AE30" s="66">
        <f>'Evolutive SFP'!AD13</f>
        <v>109759684.48999999</v>
      </c>
      <c r="AF30" s="66">
        <f>'Evolutive SFP'!AE13</f>
        <v>117295757</v>
      </c>
      <c r="AG30" s="66">
        <f>'Evolutive SFP'!AF13</f>
        <v>121042451.13</v>
      </c>
      <c r="AH30" s="66">
        <f>'Evolutive SFP'!AG13</f>
        <v>126836397.06999999</v>
      </c>
      <c r="AI30" s="66">
        <f>'Evolutive SFP'!AH13</f>
        <v>118511398.28</v>
      </c>
      <c r="AJ30" s="66">
        <f>'Evolutive SFP'!AI13</f>
        <v>113523611.13</v>
      </c>
      <c r="AK30" s="66">
        <f>'Evolutive SFP'!AJ13</f>
        <v>112925247.45</v>
      </c>
      <c r="AL30" s="66">
        <f>'Evolutive SFP'!AK13</f>
        <v>113960045.38</v>
      </c>
      <c r="AM30" s="66">
        <f>'Evolutive SFP'!AL13</f>
        <v>113464281.67</v>
      </c>
      <c r="AN30" s="66">
        <f>'Evolutive SFP'!AM13</f>
        <v>115550237.75</v>
      </c>
      <c r="AO30" s="66">
        <f>'Evolutive SFP'!AN13</f>
        <v>114324663.01000001</v>
      </c>
      <c r="AP30" s="66">
        <f>'Evolutive SFP'!AO13</f>
        <v>0</v>
      </c>
      <c r="AQ30" s="66">
        <f>'Evolutive SFP'!AP13</f>
        <v>0</v>
      </c>
      <c r="AR30" s="66">
        <f>'Evolutive SFP'!AQ13</f>
        <v>0</v>
      </c>
      <c r="AS30" s="66">
        <f>'Evolutive SFP'!AR13</f>
        <v>0</v>
      </c>
      <c r="AT30" s="66">
        <f>'Evolutive SFP'!AS13</f>
        <v>9055156.3799999952</v>
      </c>
      <c r="AU30" s="66">
        <f>'Evolutive SFP'!AT13</f>
        <v>9219483.9399999995</v>
      </c>
      <c r="AV30" s="66">
        <f>'Evolutive SFP'!AU13</f>
        <v>12456868.93</v>
      </c>
      <c r="AW30" s="66">
        <f>'Evolutive SFP'!AV13</f>
        <v>12313807.369999999</v>
      </c>
      <c r="AX30" s="66">
        <f>'Evolutive SFP'!AW13</f>
        <v>11563179.52</v>
      </c>
      <c r="AY30" s="66">
        <f>'Evolutive SFP'!AX13</f>
        <v>12232786.630000001</v>
      </c>
      <c r="AZ30" s="66">
        <f>'Evolutive SFP'!AY13</f>
        <v>0</v>
      </c>
      <c r="BA30" s="66">
        <f>'Evolutive SFP'!AZ13</f>
        <v>13506010.640000001</v>
      </c>
      <c r="BB30" s="66">
        <f>'Evolutive SFP'!BA13</f>
        <v>13935807.199999999</v>
      </c>
      <c r="BC30" s="66">
        <f>'Evolutive SFP'!BB13</f>
        <v>14619941</v>
      </c>
      <c r="BD30" s="66">
        <f>'Evolutive SFP'!BC13</f>
        <v>14640646.109999999</v>
      </c>
      <c r="BE30" s="66">
        <f>'Evolutive SFP'!BD13</f>
        <v>11388143.379999995</v>
      </c>
      <c r="BF30" s="66">
        <f>'Evolutive SFP'!BE13</f>
        <v>611484</v>
      </c>
      <c r="BG30" s="66">
        <f>'Evolutive SFP'!BF13</f>
        <v>8401214.6700000018</v>
      </c>
      <c r="BH30" s="66">
        <f>'Evolutive SFP'!BG13</f>
        <v>-535098.17000000179</v>
      </c>
      <c r="BI30" s="66">
        <f>'Evolutive SFP'!BH13</f>
        <v>995349.07999999821</v>
      </c>
      <c r="BJ30" s="66">
        <f>'Evolutive SFP'!BI13</f>
        <v>2965034.7800000012</v>
      </c>
      <c r="BK30" s="66">
        <f>'Evolutive SFP'!BJ13</f>
        <v>2435438.25</v>
      </c>
      <c r="BL30" s="66">
        <f>'Evolutive SFP'!BK13</f>
        <v>11530137.680000007</v>
      </c>
      <c r="BM30" s="66">
        <f>'Evolutive SFP'!BL13</f>
        <v>3785651.4399999976</v>
      </c>
      <c r="BN30" s="66">
        <f>'Evolutive SFP'!BM13</f>
        <v>1142505.1700000018</v>
      </c>
      <c r="BO30" s="66">
        <f>'Evolutive SFP'!BN13</f>
        <v>1220666.2399999946</v>
      </c>
      <c r="BP30" s="66">
        <f>'Evolutive SFP'!BO13</f>
        <v>-16983062.160000011</v>
      </c>
      <c r="BQ30" s="66">
        <f>'Evolutive SFP'!BP13</f>
        <v>-16521144.900000006</v>
      </c>
      <c r="BR30" s="66">
        <f>'Evolutive SFP'!BQ13</f>
        <v>-715571.53000000119</v>
      </c>
      <c r="BS30" s="66">
        <f>'Evolutive SFP'!BR13</f>
        <v>28896087</v>
      </c>
      <c r="BT30" s="66">
        <f>'Evolutive SFP'!BS13</f>
        <v>-320578.96999999881</v>
      </c>
      <c r="BU30" s="66">
        <f>'Evolutive SFP'!BT13</f>
        <v>-618612.18999999762</v>
      </c>
      <c r="BV30" s="66">
        <f>'Evolutive SFP'!BU13</f>
        <v>4806771.5699999928</v>
      </c>
      <c r="BW30" s="66">
        <f>'Evolutive SFP'!BV13</f>
        <v>13133517.399999991</v>
      </c>
      <c r="BX30" s="66">
        <f>'Evolutive SFP'!BW13</f>
        <v>37099471.879999995</v>
      </c>
      <c r="BY30" s="66">
        <f>'Evolutive SFP'!BX13</f>
        <v>32731734.069999993</v>
      </c>
      <c r="BZ30" s="66">
        <f>'Evolutive SFP'!BY13</f>
        <v>29813020.609999999</v>
      </c>
      <c r="CA30" s="66">
        <f>'Evolutive SFP'!BZ13</f>
        <v>32295615.450000003</v>
      </c>
      <c r="CB30" s="66">
        <f>'Evolutive SFP'!CA13</f>
        <v>33664870.539999992</v>
      </c>
      <c r="CC30" s="66">
        <f>'Evolutive SFP'!CB13</f>
        <v>30977572.989999995</v>
      </c>
      <c r="CD30" s="66">
        <f>'Evolutive SFP'!CC13</f>
        <v>34016022.909999996</v>
      </c>
      <c r="CE30" s="66">
        <f>'Evolutive SFP'!CD13</f>
        <v>43026947.019999996</v>
      </c>
      <c r="CF30" s="66">
        <f>'Evolutive SFP'!CE13</f>
        <v>43501127</v>
      </c>
      <c r="CG30" s="66">
        <f>'Evolutive SFP'!CF13</f>
        <v>474179.98000000417</v>
      </c>
      <c r="CH30" s="66">
        <f>'Evolutive SFP'!CG13</f>
        <v>43501127</v>
      </c>
      <c r="CI30" s="66">
        <f>'Evolutive SFP'!CH13</f>
        <v>111627945.61</v>
      </c>
      <c r="CJ30" s="66">
        <f>'Evolutive SFP'!CI13</f>
        <v>48440087.019999996</v>
      </c>
      <c r="CK30" s="66">
        <f>'Evolutive SFP'!CJ13</f>
        <v>50457084.630000003</v>
      </c>
      <c r="CL30" s="66">
        <f>'Evolutive SFP'!CK13</f>
        <v>48821138.090000004</v>
      </c>
      <c r="CM30" s="66">
        <f>'Evolutive SFP'!CL13</f>
        <v>47955121.359999999</v>
      </c>
    </row>
    <row r="31" spans="1:91">
      <c r="A31" s="43">
        <v>7.1</v>
      </c>
      <c r="B31" s="41" t="s">
        <v>128</v>
      </c>
      <c r="C31" s="66">
        <f>'Evolutive SFP'!B14</f>
        <v>103051094</v>
      </c>
      <c r="D31" s="66">
        <f>'Evolutive SFP'!C14</f>
        <v>111892686</v>
      </c>
      <c r="E31" s="66">
        <f>'Evolutive SFP'!D14</f>
        <v>157363020</v>
      </c>
      <c r="F31" s="66">
        <f>'Evolutive SFP'!E14</f>
        <v>167629119</v>
      </c>
      <c r="G31" s="66">
        <f>'Evolutive SFP'!F14</f>
        <v>179587635.09999999</v>
      </c>
      <c r="H31" s="66">
        <f>'Evolutive SFP'!G14</f>
        <v>176682798.08000001</v>
      </c>
      <c r="I31" s="66">
        <f>'Evolutive SFP'!H14</f>
        <v>178350083.22</v>
      </c>
      <c r="J31" s="66">
        <f>'Evolutive SFP'!I14</f>
        <v>170790111</v>
      </c>
      <c r="K31" s="66">
        <f>'Evolutive SFP'!J14</f>
        <v>171339210</v>
      </c>
      <c r="L31" s="66">
        <f>'Evolutive SFP'!K14</f>
        <v>171863501.62</v>
      </c>
      <c r="M31" s="66">
        <f>'Evolutive SFP'!L14</f>
        <v>0</v>
      </c>
      <c r="N31" s="66">
        <f>'Evolutive SFP'!M14</f>
        <v>0</v>
      </c>
      <c r="O31" s="66">
        <f>'Evolutive SFP'!N14</f>
        <v>0</v>
      </c>
      <c r="P31" s="66">
        <f>'Evolutive SFP'!O14</f>
        <v>0</v>
      </c>
      <c r="Q31" s="66">
        <f>'Evolutive SFP'!P14</f>
        <v>0</v>
      </c>
      <c r="R31" s="66">
        <f>'Evolutive SFP'!Q14</f>
        <v>0</v>
      </c>
      <c r="S31" s="66">
        <f>'Evolutive SFP'!R14</f>
        <v>131998608.40000001</v>
      </c>
      <c r="T31" s="66">
        <f>'Evolutive SFP'!S14</f>
        <v>155427632.74000001</v>
      </c>
      <c r="U31" s="66">
        <f>'Evolutive SFP'!T14</f>
        <v>160998550.94999999</v>
      </c>
      <c r="V31" s="66">
        <f>'Evolutive SFP'!U14</f>
        <v>160998550.94999999</v>
      </c>
      <c r="W31" s="66">
        <f>'Evolutive SFP'!V14</f>
        <v>140299337.47</v>
      </c>
      <c r="X31" s="66">
        <f>'Evolutive SFP'!W14</f>
        <v>157946369.5</v>
      </c>
      <c r="Y31" s="66">
        <f>'Evolutive SFP'!X14</f>
        <v>160520167.28999999</v>
      </c>
      <c r="Z31" s="66">
        <f>'Evolutive SFP'!Y14</f>
        <v>160535951.03999999</v>
      </c>
      <c r="AA31" s="66">
        <f>'Evolutive SFP'!Z14</f>
        <v>152003086.34</v>
      </c>
      <c r="AB31" s="139">
        <f>'Evolutive SFP'!AA14</f>
        <v>146140240.37</v>
      </c>
      <c r="AC31" s="66">
        <f>'Evolutive SFP'!AB14</f>
        <v>135719073.63999999</v>
      </c>
      <c r="AD31" s="66">
        <f>'Evolutive SFP'!AC14</f>
        <v>126303293.15000001</v>
      </c>
      <c r="AE31" s="66">
        <f>'Evolutive SFP'!AD14</f>
        <v>117336338.48999999</v>
      </c>
      <c r="AF31" s="66">
        <f>'Evolutive SFP'!AE14</f>
        <v>136448447</v>
      </c>
      <c r="AG31" s="66">
        <f>'Evolutive SFP'!AF14</f>
        <v>128619105.13</v>
      </c>
      <c r="AH31" s="66">
        <f>'Evolutive SFP'!AG14</f>
        <v>130259270.06999999</v>
      </c>
      <c r="AI31" s="66">
        <f>'Evolutive SFP'!AH14</f>
        <v>121934271.28</v>
      </c>
      <c r="AJ31" s="66">
        <f>'Evolutive SFP'!AI14</f>
        <v>120468813.13</v>
      </c>
      <c r="AK31" s="66">
        <f>'Evolutive SFP'!AJ14</f>
        <v>119870449.45</v>
      </c>
      <c r="AL31" s="66">
        <f>'Evolutive SFP'!AK14</f>
        <v>120905247.38</v>
      </c>
      <c r="AM31" s="66">
        <f>'Evolutive SFP'!AL14</f>
        <v>120409483.67</v>
      </c>
      <c r="AN31" s="66">
        <f>'Evolutive SFP'!AM14</f>
        <v>122495439.75</v>
      </c>
      <c r="AO31" s="66">
        <f>'Evolutive SFP'!AN14</f>
        <v>121269865.01000001</v>
      </c>
      <c r="AP31" s="66">
        <f>'Evolutive SFP'!AO14</f>
        <v>0</v>
      </c>
      <c r="AQ31" s="66">
        <f>'Evolutive SFP'!AP14</f>
        <v>0</v>
      </c>
      <c r="AR31" s="66">
        <f>'Evolutive SFP'!AQ14</f>
        <v>0</v>
      </c>
      <c r="AS31" s="66">
        <f>'Evolutive SFP'!AR14</f>
        <v>0</v>
      </c>
      <c r="AT31" s="66">
        <f>'Evolutive SFP'!AS14</f>
        <v>119846668.88</v>
      </c>
      <c r="AU31" s="66">
        <f>'Evolutive SFP'!AT14</f>
        <v>9219483.9399999995</v>
      </c>
      <c r="AV31" s="66">
        <f>'Evolutive SFP'!AU14</f>
        <v>12582695.890000001</v>
      </c>
      <c r="AW31" s="66">
        <f>'Evolutive SFP'!AV14</f>
        <v>12438189.26</v>
      </c>
      <c r="AX31" s="66">
        <f>'Evolutive SFP'!AW14</f>
        <v>11679979.32</v>
      </c>
      <c r="AY31" s="66">
        <f>'Evolutive SFP'!AX14</f>
        <v>12356350.15</v>
      </c>
      <c r="AZ31" s="66">
        <f>'Evolutive SFP'!AY14</f>
        <v>0</v>
      </c>
      <c r="BA31" s="66">
        <f>'Evolutive SFP'!AZ14</f>
        <v>13642434.99</v>
      </c>
      <c r="BB31" s="66">
        <f>'Evolutive SFP'!BA14</f>
        <v>14076572.93</v>
      </c>
      <c r="BC31" s="66">
        <f>'Evolutive SFP'!BB14</f>
        <v>116377286.7</v>
      </c>
      <c r="BD31" s="66">
        <f>'Evolutive SFP'!BC14</f>
        <v>116398200.95</v>
      </c>
      <c r="BE31" s="66">
        <f>'Evolutive SFP'!BD14</f>
        <v>109558322.58</v>
      </c>
      <c r="BF31" s="66">
        <f>'Evolutive SFP'!BE14</f>
        <v>98666631</v>
      </c>
      <c r="BG31" s="66">
        <f>'Evolutive SFP'!BF14</f>
        <v>104439833.84</v>
      </c>
      <c r="BH31" s="66">
        <f>'Evolutive SFP'!BG14</f>
        <v>102918651.95</v>
      </c>
      <c r="BI31" s="66">
        <f>'Evolutive SFP'!BH14</f>
        <v>103162082.53</v>
      </c>
      <c r="BJ31" s="66">
        <f>'Evolutive SFP'!BI14</f>
        <v>105131768.23</v>
      </c>
      <c r="BK31" s="66">
        <f>'Evolutive SFP'!BJ14</f>
        <v>104602171.7</v>
      </c>
      <c r="BL31" s="66">
        <f>'Evolutive SFP'!BK14</f>
        <v>101318268.01000001</v>
      </c>
      <c r="BM31" s="66">
        <f>'Evolutive SFP'!BL14</f>
        <v>108286555.23999999</v>
      </c>
      <c r="BN31" s="66">
        <f>'Evolutive SFP'!BM14</f>
        <v>107610656.28</v>
      </c>
      <c r="BO31" s="66">
        <f>'Evolutive SFP'!BN14</f>
        <v>107387399.69</v>
      </c>
      <c r="BP31" s="66">
        <f>'Evolutive SFP'!BO14</f>
        <v>107700934.59999999</v>
      </c>
      <c r="BQ31" s="66">
        <f>'Evolutive SFP'!BP14</f>
        <v>106830587.27</v>
      </c>
      <c r="BR31" s="66">
        <f>'Evolutive SFP'!BQ14</f>
        <v>101451161.92</v>
      </c>
      <c r="BS31" s="66">
        <f>'Evolutive SFP'!BR14</f>
        <v>99799936</v>
      </c>
      <c r="BT31" s="66">
        <f>'Evolutive SFP'!BS14</f>
        <v>101846154.48</v>
      </c>
      <c r="BU31" s="66">
        <f>'Evolutive SFP'!BT14</f>
        <v>101548121.26000001</v>
      </c>
      <c r="BV31" s="66">
        <f>'Evolutive SFP'!BU14</f>
        <v>106973505.02</v>
      </c>
      <c r="BW31" s="66">
        <f>'Evolutive SFP'!BV14</f>
        <v>115300250.84999999</v>
      </c>
      <c r="BX31" s="66">
        <f>'Evolutive SFP'!BW14</f>
        <v>114621320.17</v>
      </c>
      <c r="BY31" s="66">
        <f>'Evolutive SFP'!BX14</f>
        <v>114237824.06999999</v>
      </c>
      <c r="BZ31" s="66">
        <f>'Evolutive SFP'!BY14</f>
        <v>110077300.34999999</v>
      </c>
      <c r="CA31" s="66">
        <f>'Evolutive SFP'!BZ14</f>
        <v>112559895.19</v>
      </c>
      <c r="CB31" s="66">
        <f>'Evolutive SFP'!CA14</f>
        <v>112692826.05</v>
      </c>
      <c r="CC31" s="66">
        <f>'Evolutive SFP'!CB14</f>
        <v>106252261.83</v>
      </c>
      <c r="CD31" s="66">
        <f>'Evolutive SFP'!CC14</f>
        <v>106875689.59</v>
      </c>
      <c r="CE31" s="66">
        <f>'Evolutive SFP'!CD14</f>
        <v>111434615.58</v>
      </c>
      <c r="CF31" s="66">
        <f>'Evolutive SFP'!CE14</f>
        <v>111434614</v>
      </c>
      <c r="CG31" s="66">
        <f>'Evolutive SFP'!CF14</f>
        <v>-1.5799999982118607</v>
      </c>
      <c r="CH31" s="66">
        <f>'Evolutive SFP'!CG14</f>
        <v>111434614</v>
      </c>
      <c r="CI31" s="66">
        <f>'Evolutive SFP'!CH14</f>
        <v>111627945.61</v>
      </c>
      <c r="CJ31" s="66">
        <f>'Evolutive SFP'!CI14</f>
        <v>112703800.98999999</v>
      </c>
      <c r="CK31" s="66">
        <f>'Evolutive SFP'!CJ14</f>
        <v>108812041.45</v>
      </c>
      <c r="CL31" s="66">
        <f>'Evolutive SFP'!CK14</f>
        <v>105937189.29000001</v>
      </c>
      <c r="CM31" s="66">
        <f>'Evolutive SFP'!CL14</f>
        <v>107259678.03</v>
      </c>
    </row>
    <row r="32" spans="1:91">
      <c r="A32" s="43">
        <v>7.2</v>
      </c>
      <c r="B32" s="41" t="s">
        <v>129</v>
      </c>
      <c r="C32" s="66">
        <f>'Evolutive SFP'!B15</f>
        <v>2278603</v>
      </c>
      <c r="D32" s="66">
        <f>'Evolutive SFP'!C15</f>
        <v>3154343</v>
      </c>
      <c r="E32" s="66">
        <f>'Evolutive SFP'!D15</f>
        <v>3422873</v>
      </c>
      <c r="F32" s="66">
        <f>'Evolutive SFP'!E15</f>
        <v>4039563</v>
      </c>
      <c r="G32" s="66">
        <f>'Evolutive SFP'!F15</f>
        <v>8248306</v>
      </c>
      <c r="H32" s="66">
        <f>'Evolutive SFP'!G15</f>
        <v>3979310.3</v>
      </c>
      <c r="I32" s="66">
        <f>'Evolutive SFP'!H15</f>
        <v>3835462.37</v>
      </c>
      <c r="J32" s="66">
        <f>'Evolutive SFP'!I15</f>
        <v>3835462.37</v>
      </c>
      <c r="K32" s="66">
        <f>'Evolutive SFP'!J15</f>
        <v>3541834</v>
      </c>
      <c r="L32" s="66">
        <f>'Evolutive SFP'!K15</f>
        <v>3607139.46</v>
      </c>
      <c r="M32" s="66">
        <f>'Evolutive SFP'!L15</f>
        <v>0</v>
      </c>
      <c r="N32" s="66">
        <f>'Evolutive SFP'!M15</f>
        <v>0</v>
      </c>
      <c r="O32" s="66">
        <f>'Evolutive SFP'!N15</f>
        <v>0</v>
      </c>
      <c r="P32" s="66">
        <f>'Evolutive SFP'!O15</f>
        <v>0</v>
      </c>
      <c r="Q32" s="66">
        <f>'Evolutive SFP'!P15</f>
        <v>0</v>
      </c>
      <c r="R32" s="66">
        <f>'Evolutive SFP'!Q15</f>
        <v>0</v>
      </c>
      <c r="S32" s="66">
        <f>'Evolutive SFP'!R15</f>
        <v>8346849</v>
      </c>
      <c r="T32" s="66">
        <f>'Evolutive SFP'!S15</f>
        <v>9150264</v>
      </c>
      <c r="U32" s="66">
        <f>'Evolutive SFP'!T15</f>
        <v>9759302</v>
      </c>
      <c r="V32" s="66">
        <f>'Evolutive SFP'!U15</f>
        <v>13960466.630000001</v>
      </c>
      <c r="W32" s="66">
        <f>'Evolutive SFP'!V15</f>
        <v>18801908.399999999</v>
      </c>
      <c r="X32" s="66">
        <f>'Evolutive SFP'!W15</f>
        <v>40138585.850000001</v>
      </c>
      <c r="Y32" s="66">
        <f>'Evolutive SFP'!X15</f>
        <v>7576654</v>
      </c>
      <c r="Z32" s="66">
        <f>'Evolutive SFP'!Y15</f>
        <v>7576654</v>
      </c>
      <c r="AA32" s="66">
        <f>'Evolutive SFP'!Z15</f>
        <v>6945202</v>
      </c>
      <c r="AB32" s="139">
        <f>'Evolutive SFP'!AA15</f>
        <v>7576654</v>
      </c>
      <c r="AC32" s="66">
        <f>'Evolutive SFP'!AB15</f>
        <v>7576654</v>
      </c>
      <c r="AD32" s="66">
        <f>'Evolutive SFP'!AC15</f>
        <v>7576654</v>
      </c>
      <c r="AE32" s="66">
        <f>'Evolutive SFP'!AD15</f>
        <v>7576654</v>
      </c>
      <c r="AF32" s="66">
        <f>'Evolutive SFP'!AE15</f>
        <v>19152690</v>
      </c>
      <c r="AG32" s="66">
        <f>'Evolutive SFP'!AF15</f>
        <v>7576654</v>
      </c>
      <c r="AH32" s="66">
        <f>'Evolutive SFP'!AG15</f>
        <v>3422873</v>
      </c>
      <c r="AI32" s="66">
        <f>'Evolutive SFP'!AH15</f>
        <v>3422873</v>
      </c>
      <c r="AJ32" s="66">
        <f>'Evolutive SFP'!AI15</f>
        <v>6945202</v>
      </c>
      <c r="AK32" s="66">
        <f>'Evolutive SFP'!AJ15</f>
        <v>6945202</v>
      </c>
      <c r="AL32" s="66">
        <f>'Evolutive SFP'!AK15</f>
        <v>6945202</v>
      </c>
      <c r="AM32" s="66">
        <f>'Evolutive SFP'!AL15</f>
        <v>6945202</v>
      </c>
      <c r="AN32" s="66">
        <f>'Evolutive SFP'!AM15</f>
        <v>6945202</v>
      </c>
      <c r="AO32" s="66">
        <f>'Evolutive SFP'!AN15</f>
        <v>6945202</v>
      </c>
      <c r="AP32" s="66">
        <f>'Evolutive SFP'!AO15</f>
        <v>0</v>
      </c>
      <c r="AQ32" s="66">
        <f>'Evolutive SFP'!AP15</f>
        <v>0</v>
      </c>
      <c r="AR32" s="66">
        <f>'Evolutive SFP'!AQ15</f>
        <v>0</v>
      </c>
      <c r="AS32" s="66">
        <f>'Evolutive SFP'!AR15</f>
        <v>0</v>
      </c>
      <c r="AT32" s="66">
        <f>'Evolutive SFP'!AS15</f>
        <v>110791512.5</v>
      </c>
      <c r="AU32" s="66">
        <f>'Evolutive SFP'!AT15</f>
        <v>0</v>
      </c>
      <c r="AV32" s="66">
        <f>'Evolutive SFP'!AU15</f>
        <v>125826.96</v>
      </c>
      <c r="AW32" s="66">
        <f>'Evolutive SFP'!AV15</f>
        <v>124381.89</v>
      </c>
      <c r="AX32" s="66">
        <f>'Evolutive SFP'!AW15</f>
        <v>116799.8</v>
      </c>
      <c r="AY32" s="66">
        <f>'Evolutive SFP'!AX15</f>
        <v>123563.52</v>
      </c>
      <c r="AZ32" s="66">
        <f>'Evolutive SFP'!AY15</f>
        <v>0</v>
      </c>
      <c r="BA32" s="66">
        <f>'Evolutive SFP'!AZ15</f>
        <v>136424.35</v>
      </c>
      <c r="BB32" s="66">
        <f>'Evolutive SFP'!BA15</f>
        <v>140765.73000000001</v>
      </c>
      <c r="BC32" s="66">
        <f>'Evolutive SFP'!BB15</f>
        <v>101757345.7</v>
      </c>
      <c r="BD32" s="66">
        <f>'Evolutive SFP'!BC15</f>
        <v>101757554.84</v>
      </c>
      <c r="BE32" s="66">
        <f>'Evolutive SFP'!BD15</f>
        <v>98170179.200000003</v>
      </c>
      <c r="BF32" s="66">
        <f>'Evolutive SFP'!BE15</f>
        <v>98055147</v>
      </c>
      <c r="BG32" s="66">
        <f>'Evolutive SFP'!BF15</f>
        <v>96038619.170000002</v>
      </c>
      <c r="BH32" s="66">
        <f>'Evolutive SFP'!BG15</f>
        <v>103453750.12</v>
      </c>
      <c r="BI32" s="66">
        <f>'Evolutive SFP'!BH15</f>
        <v>102166733.45</v>
      </c>
      <c r="BJ32" s="66">
        <f>'Evolutive SFP'!BI15</f>
        <v>102166733.45</v>
      </c>
      <c r="BK32" s="66">
        <f>'Evolutive SFP'!BJ15</f>
        <v>102166733.45</v>
      </c>
      <c r="BL32" s="66">
        <f>'Evolutive SFP'!BK15</f>
        <v>89788130.329999998</v>
      </c>
      <c r="BM32" s="66">
        <f>'Evolutive SFP'!BL15</f>
        <v>104500903.8</v>
      </c>
      <c r="BN32" s="66">
        <f>'Evolutive SFP'!BM15</f>
        <v>106468151.11</v>
      </c>
      <c r="BO32" s="66">
        <f>'Evolutive SFP'!BN15</f>
        <v>106166733.45</v>
      </c>
      <c r="BP32" s="66">
        <f>'Evolutive SFP'!BO15</f>
        <v>124683996.76000001</v>
      </c>
      <c r="BQ32" s="66">
        <f>'Evolutive SFP'!BP15</f>
        <v>123351732.17</v>
      </c>
      <c r="BR32" s="66">
        <f>'Evolutive SFP'!BQ15</f>
        <v>102166733.45</v>
      </c>
      <c r="BS32" s="66">
        <f>'Evolutive SFP'!BR15</f>
        <v>70903849</v>
      </c>
      <c r="BT32" s="66">
        <f>'Evolutive SFP'!BS15</f>
        <v>102166733.45</v>
      </c>
      <c r="BU32" s="66">
        <f>'Evolutive SFP'!BT15</f>
        <v>102166733.45</v>
      </c>
      <c r="BV32" s="66">
        <f>'Evolutive SFP'!BU15</f>
        <v>102166733.45</v>
      </c>
      <c r="BW32" s="66">
        <f>'Evolutive SFP'!BV15</f>
        <v>102166733.45</v>
      </c>
      <c r="BX32" s="66">
        <f>'Evolutive SFP'!BW15</f>
        <v>77521848.290000007</v>
      </c>
      <c r="BY32" s="66">
        <f>'Evolutive SFP'!BX15</f>
        <v>81506090</v>
      </c>
      <c r="BZ32" s="66">
        <f>'Evolutive SFP'!BY15</f>
        <v>80264279.739999995</v>
      </c>
      <c r="CA32" s="66">
        <f>'Evolutive SFP'!BZ15</f>
        <v>80264279.739999995</v>
      </c>
      <c r="CB32" s="66">
        <f>'Evolutive SFP'!CA15</f>
        <v>79027955.510000005</v>
      </c>
      <c r="CC32" s="66">
        <f>'Evolutive SFP'!CB15</f>
        <v>75274688.840000004</v>
      </c>
      <c r="CD32" s="66">
        <f>'Evolutive SFP'!CC15</f>
        <v>72859666.680000007</v>
      </c>
      <c r="CE32" s="66">
        <f>'Evolutive SFP'!CD15</f>
        <v>68407668.560000002</v>
      </c>
      <c r="CF32" s="66">
        <f>'Evolutive SFP'!CE15</f>
        <v>67933487</v>
      </c>
      <c r="CG32" s="66">
        <f>'Evolutive SFP'!CF15</f>
        <v>-474181.56000000238</v>
      </c>
      <c r="CH32" s="66">
        <f>'Evolutive SFP'!CG15</f>
        <v>67933487</v>
      </c>
      <c r="CI32" s="66">
        <f>'Evolutive SFP'!CH15</f>
        <v>0</v>
      </c>
      <c r="CJ32" s="66">
        <f>'Evolutive SFP'!CI15</f>
        <v>64263713.969999999</v>
      </c>
      <c r="CK32" s="66">
        <f>'Evolutive SFP'!CJ15</f>
        <v>58354956.82</v>
      </c>
      <c r="CL32" s="66">
        <f>'Evolutive SFP'!CK15</f>
        <v>57116051.200000003</v>
      </c>
      <c r="CM32" s="66">
        <f>'Evolutive SFP'!CL15</f>
        <v>59304556.670000002</v>
      </c>
    </row>
    <row r="33" spans="1:91">
      <c r="A33" s="41"/>
      <c r="B33" s="41" t="s">
        <v>130</v>
      </c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139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66"/>
      <c r="BX33" s="66"/>
      <c r="BY33" s="66"/>
      <c r="BZ33" s="66"/>
      <c r="CA33" s="66"/>
      <c r="CB33" s="66"/>
      <c r="CC33" s="66"/>
      <c r="CD33" s="66"/>
      <c r="CE33" s="66"/>
      <c r="CF33" s="66">
        <f>11286078+2008953+63038754</f>
        <v>76333785</v>
      </c>
      <c r="CG33" s="66">
        <f t="shared" ref="CG33:CM33" si="65">11286078+2008953+63038754</f>
        <v>76333785</v>
      </c>
      <c r="CH33" s="66">
        <f t="shared" si="65"/>
        <v>76333785</v>
      </c>
      <c r="CI33" s="66">
        <f t="shared" si="65"/>
        <v>76333785</v>
      </c>
      <c r="CJ33" s="66">
        <f t="shared" si="65"/>
        <v>76333785</v>
      </c>
      <c r="CK33" s="66">
        <f t="shared" si="65"/>
        <v>76333785</v>
      </c>
      <c r="CL33" s="66">
        <f t="shared" si="65"/>
        <v>76333785</v>
      </c>
      <c r="CM33" s="66">
        <f t="shared" si="65"/>
        <v>76333785</v>
      </c>
    </row>
    <row r="34" spans="1:91">
      <c r="A34" s="43">
        <v>8</v>
      </c>
      <c r="B34" s="41" t="s">
        <v>131</v>
      </c>
      <c r="C34" s="66">
        <f>'Evolutive SFP'!B20+'Evolutive SFP'!B7</f>
        <v>67421987</v>
      </c>
      <c r="D34" s="66">
        <f>'Evolutive SFP'!C20+'Evolutive SFP'!C7</f>
        <v>51585499</v>
      </c>
      <c r="E34" s="66">
        <f>'Evolutive SFP'!D20+'Evolutive SFP'!D7</f>
        <v>41107208</v>
      </c>
      <c r="F34" s="66">
        <f>'Evolutive SFP'!E20+'Evolutive SFP'!E7</f>
        <v>64723026</v>
      </c>
      <c r="G34" s="66">
        <f>'Evolutive SFP'!F20+'Evolutive SFP'!F7</f>
        <v>52690477.049999997</v>
      </c>
      <c r="H34" s="66">
        <f>'Evolutive SFP'!G20+'Evolutive SFP'!G7</f>
        <v>60539199.120000005</v>
      </c>
      <c r="I34" s="66">
        <f>'Evolutive SFP'!H20+'Evolutive SFP'!H7</f>
        <v>55581784.410000004</v>
      </c>
      <c r="J34" s="66">
        <f>'Evolutive SFP'!I20+'Evolutive SFP'!I7</f>
        <v>56653812.540000007</v>
      </c>
      <c r="K34" s="66">
        <f>'Evolutive SFP'!J20+'Evolutive SFP'!J7</f>
        <v>57556807</v>
      </c>
      <c r="L34" s="66">
        <f>'Evolutive SFP'!K20+'Evolutive SFP'!K7</f>
        <v>56416984.689999998</v>
      </c>
      <c r="M34" s="66">
        <f>'Evolutive SFP'!L20+'Evolutive SFP'!L7</f>
        <v>0</v>
      </c>
      <c r="N34" s="66">
        <f>'Evolutive SFP'!M20+'Evolutive SFP'!M7</f>
        <v>0</v>
      </c>
      <c r="O34" s="66">
        <f>'Evolutive SFP'!N20+'Evolutive SFP'!N7</f>
        <v>0</v>
      </c>
      <c r="P34" s="66">
        <f>'Evolutive SFP'!O20+'Evolutive SFP'!O7</f>
        <v>0</v>
      </c>
      <c r="Q34" s="66">
        <f>'Evolutive SFP'!P20+'Evolutive SFP'!P7</f>
        <v>0</v>
      </c>
      <c r="R34" s="66">
        <f>'Evolutive SFP'!Q20+'Evolutive SFP'!Q7</f>
        <v>0</v>
      </c>
      <c r="S34" s="66">
        <f>'Evolutive SFP'!R20+'Evolutive SFP'!R7</f>
        <v>64932765</v>
      </c>
      <c r="T34" s="66">
        <f>'Evolutive SFP'!S20+'Evolutive SFP'!S7</f>
        <v>67912696.539999992</v>
      </c>
      <c r="U34" s="66">
        <f>'Evolutive SFP'!T20+'Evolutive SFP'!T7</f>
        <v>61927262.740000002</v>
      </c>
      <c r="V34" s="66">
        <f>'Evolutive SFP'!U20+'Evolutive SFP'!U7</f>
        <v>66399003.680000007</v>
      </c>
      <c r="W34" s="66">
        <f>'Evolutive SFP'!V20+'Evolutive SFP'!V7</f>
        <v>84617549.680000007</v>
      </c>
      <c r="X34" s="66">
        <f>'Evolutive SFP'!W20+'Evolutive SFP'!W7</f>
        <v>72243769</v>
      </c>
      <c r="Y34" s="66">
        <f>'Evolutive SFP'!X20+'Evolutive SFP'!X7</f>
        <v>66293133.689999998</v>
      </c>
      <c r="Z34" s="66">
        <f>'Evolutive SFP'!Y20+'Evolutive SFP'!Y7</f>
        <v>23004112.890000001</v>
      </c>
      <c r="AA34" s="66">
        <f>'Evolutive SFP'!Z20+'Evolutive SFP'!Z7</f>
        <v>23004112.890000001</v>
      </c>
      <c r="AB34" s="139">
        <f>'Evolutive SFP'!AA20+'Evolutive SFP'!AA7</f>
        <v>23004112.890000001</v>
      </c>
      <c r="AC34" s="66">
        <f>'Evolutive SFP'!AB20+'Evolutive SFP'!AB7</f>
        <v>23166512.890000001</v>
      </c>
      <c r="AD34" s="66">
        <f>'Evolutive SFP'!AC20+'Evolutive SFP'!AC7</f>
        <v>23215512.890000001</v>
      </c>
      <c r="AE34" s="66">
        <f>'Evolutive SFP'!AD20+'Evolutive SFP'!AD7</f>
        <v>22590882.890000001</v>
      </c>
      <c r="AF34" s="66">
        <f>'Evolutive SFP'!AE20+'Evolutive SFP'!AE7</f>
        <v>53309731</v>
      </c>
      <c r="AG34" s="66">
        <f>'Evolutive SFP'!AF20+'Evolutive SFP'!AF7</f>
        <v>22577382.890000001</v>
      </c>
      <c r="AH34" s="66">
        <f>'Evolutive SFP'!AG20+'Evolutive SFP'!AG7</f>
        <v>22590882.890000001</v>
      </c>
      <c r="AI34" s="66">
        <f>'Evolutive SFP'!AH20+'Evolutive SFP'!AH7</f>
        <v>22696549.890000001</v>
      </c>
      <c r="AJ34" s="66">
        <f>'Evolutive SFP'!AI20+'Evolutive SFP'!AI7</f>
        <v>22672881.890000001</v>
      </c>
      <c r="AK34" s="66">
        <f>'Evolutive SFP'!AJ20+'Evolutive SFP'!AJ7</f>
        <v>22675381.890000001</v>
      </c>
      <c r="AL34" s="66">
        <f>'Evolutive SFP'!AK20+'Evolutive SFP'!AK7</f>
        <v>22677380.890000001</v>
      </c>
      <c r="AM34" s="66">
        <f>'Evolutive SFP'!AL20+'Evolutive SFP'!AL7</f>
        <v>22677380.890000001</v>
      </c>
      <c r="AN34" s="66">
        <f>'Evolutive SFP'!AM20+'Evolutive SFP'!AM7</f>
        <v>22689380.890000001</v>
      </c>
      <c r="AO34" s="66">
        <f>'Evolutive SFP'!AN20+'Evolutive SFP'!AN7</f>
        <v>22689380.890000001</v>
      </c>
      <c r="AP34" s="66">
        <f>'Evolutive SFP'!AO20+'Evolutive SFP'!AO7</f>
        <v>0</v>
      </c>
      <c r="AQ34" s="66">
        <f>'Evolutive SFP'!AP20+'Evolutive SFP'!AP7</f>
        <v>0</v>
      </c>
      <c r="AR34" s="66">
        <f>'Evolutive SFP'!AQ20+'Evolutive SFP'!AQ7</f>
        <v>0</v>
      </c>
      <c r="AS34" s="66">
        <f>'Evolutive SFP'!AR20+'Evolutive SFP'!AR7</f>
        <v>0</v>
      </c>
      <c r="AT34" s="66">
        <f>'Evolutive SFP'!AS20+'Evolutive SFP'!AS7</f>
        <v>16694133.539999999</v>
      </c>
      <c r="AU34" s="66">
        <f>'Evolutive SFP'!AT20+'Evolutive SFP'!AT7</f>
        <v>16694133.539999999</v>
      </c>
      <c r="AV34" s="66">
        <f>'Evolutive SFP'!AU20+'Evolutive SFP'!AU7</f>
        <v>16707383.539999999</v>
      </c>
      <c r="AW34" s="66">
        <f>'Evolutive SFP'!AV20+'Evolutive SFP'!AV7</f>
        <v>16721083.539999999</v>
      </c>
      <c r="AX34" s="66">
        <f>'Evolutive SFP'!AW20+'Evolutive SFP'!AW7</f>
        <v>16733833.539999999</v>
      </c>
      <c r="AY34" s="66">
        <f>'Evolutive SFP'!AX20+'Evolutive SFP'!AX7</f>
        <v>17181391.539999999</v>
      </c>
      <c r="AZ34" s="66">
        <f>'Evolutive SFP'!AY20+'Evolutive SFP'!AY7</f>
        <v>0</v>
      </c>
      <c r="BA34" s="66">
        <f>'Evolutive SFP'!AZ20+'Evolutive SFP'!AZ7</f>
        <v>17580816.539999999</v>
      </c>
      <c r="BB34" s="66">
        <f>'Evolutive SFP'!BA20+'Evolutive SFP'!BA7</f>
        <v>17768766.539999999</v>
      </c>
      <c r="BC34" s="66">
        <f>'Evolutive SFP'!BB20+'Evolutive SFP'!BB7</f>
        <v>17780091.539999999</v>
      </c>
      <c r="BD34" s="66">
        <f>'Evolutive SFP'!BC20+'Evolutive SFP'!BC7</f>
        <v>17880091.539999999</v>
      </c>
      <c r="BE34" s="66">
        <f>'Evolutive SFP'!BD20+'Evolutive SFP'!BD7</f>
        <v>17880091.539999999</v>
      </c>
      <c r="BF34" s="66">
        <f>'Evolutive SFP'!BE20+'Evolutive SFP'!BE7</f>
        <v>138137042</v>
      </c>
      <c r="BG34" s="66">
        <f>'Evolutive SFP'!BF20+'Evolutive SFP'!BF7</f>
        <v>130123119.73</v>
      </c>
      <c r="BH34" s="66">
        <f>'Evolutive SFP'!BG20+'Evolutive SFP'!BG7</f>
        <v>121340294.41</v>
      </c>
      <c r="BI34" s="66">
        <f>'Evolutive SFP'!BH20+'Evolutive SFP'!BH7</f>
        <v>132499383.19</v>
      </c>
      <c r="BJ34" s="66">
        <f>'Evolutive SFP'!BI20+'Evolutive SFP'!BI7</f>
        <v>128693421.07000001</v>
      </c>
      <c r="BK34" s="66">
        <f>'Evolutive SFP'!BJ20+'Evolutive SFP'!BJ7</f>
        <v>118086554.88999999</v>
      </c>
      <c r="BL34" s="66">
        <f>'Evolutive SFP'!BK20+'Evolutive SFP'!BK7</f>
        <v>131393177.68000001</v>
      </c>
      <c r="BM34" s="66">
        <f>'Evolutive SFP'!BL20+'Evolutive SFP'!BL7</f>
        <v>131642927.68000001</v>
      </c>
      <c r="BN34" s="66">
        <f>'Evolutive SFP'!BM20+'Evolutive SFP'!BM7</f>
        <v>132222127.68000001</v>
      </c>
      <c r="BO34" s="66">
        <f>'Evolutive SFP'!BN20+'Evolutive SFP'!BN7</f>
        <v>133802044.69999999</v>
      </c>
      <c r="BP34" s="66">
        <f>'Evolutive SFP'!BO20+'Evolutive SFP'!BO7</f>
        <v>132222127.68000001</v>
      </c>
      <c r="BQ34" s="66">
        <f>'Evolutive SFP'!BP20+'Evolutive SFP'!BP7</f>
        <v>132302827.68000001</v>
      </c>
      <c r="BR34" s="66">
        <f>'Evolutive SFP'!BQ20+'Evolutive SFP'!BQ7</f>
        <v>129279510.16999999</v>
      </c>
      <c r="BS34" s="66">
        <f>'Evolutive SFP'!BR20+'Evolutive SFP'!BR7</f>
        <v>132454053</v>
      </c>
      <c r="BT34" s="66">
        <f>'Evolutive SFP'!BS20+'Evolutive SFP'!BS7</f>
        <v>129199584.59999999</v>
      </c>
      <c r="BU34" s="66">
        <f>'Evolutive SFP'!BT20+'Evolutive SFP'!BT7</f>
        <v>142277818.53</v>
      </c>
      <c r="BV34" s="66">
        <f>'Evolutive SFP'!BU20+'Evolutive SFP'!BU7</f>
        <v>141178324.61999997</v>
      </c>
      <c r="BW34" s="66">
        <f>'Evolutive SFP'!BV20+'Evolutive SFP'!BV7</f>
        <v>142933219.65000001</v>
      </c>
      <c r="BX34" s="66">
        <f>'Evolutive SFP'!BW20+'Evolutive SFP'!BW7</f>
        <v>128958543.14</v>
      </c>
      <c r="BY34" s="66">
        <f>'Evolutive SFP'!BX20+'Evolutive SFP'!BX7</f>
        <v>149204418.74000001</v>
      </c>
      <c r="BZ34" s="66">
        <f>'Evolutive SFP'!BY20+'Evolutive SFP'!BY7</f>
        <v>135044260.44</v>
      </c>
      <c r="CA34" s="66">
        <f>'Evolutive SFP'!BZ20+'Evolutive SFP'!BZ7</f>
        <v>144835150.52000001</v>
      </c>
      <c r="CB34" s="66">
        <f>'Evolutive SFP'!CA20+'Evolutive SFP'!CA7</f>
        <v>127990205.69999999</v>
      </c>
      <c r="CC34" s="66">
        <f>'Evolutive SFP'!CB20+'Evolutive SFP'!CB7</f>
        <v>122033235.58999999</v>
      </c>
      <c r="CD34" s="66">
        <f>'Evolutive SFP'!CC20+'Evolutive SFP'!CC7</f>
        <v>122033235.58999999</v>
      </c>
      <c r="CE34" s="66">
        <f>'Evolutive SFP'!CD20+'Evolutive SFP'!CD7</f>
        <v>111045563.47999999</v>
      </c>
      <c r="CF34" s="66">
        <f>'Evolutive SFP'!CE20+'Evolutive SFP'!CE7</f>
        <v>143030749</v>
      </c>
      <c r="CG34" s="66">
        <f>'Evolutive SFP'!CF20+'Evolutive SFP'!CF7</f>
        <v>31985185.520000011</v>
      </c>
      <c r="CH34" s="66">
        <f>'Evolutive SFP'!CG20+'Evolutive SFP'!CG7</f>
        <v>143030749</v>
      </c>
      <c r="CI34" s="66">
        <f>'Evolutive SFP'!CH20+'Evolutive SFP'!CH7</f>
        <v>27115990.590000004</v>
      </c>
      <c r="CJ34" s="66">
        <f>'Evolutive SFP'!CI20+'Evolutive SFP'!CI7</f>
        <v>95105674.879999995</v>
      </c>
      <c r="CK34" s="66">
        <f>'Evolutive SFP'!CJ20+'Evolutive SFP'!CJ7</f>
        <v>85287674.409999996</v>
      </c>
      <c r="CL34" s="66">
        <f>'Evolutive SFP'!CK20+'Evolutive SFP'!CK7</f>
        <v>84736741.069999993</v>
      </c>
      <c r="CM34" s="66">
        <f>'Evolutive SFP'!CL20+'Evolutive SFP'!CL7</f>
        <v>87184328.209999993</v>
      </c>
    </row>
    <row r="35" spans="1:91">
      <c r="A35" s="43">
        <v>8.1</v>
      </c>
      <c r="B35" s="41" t="s">
        <v>29</v>
      </c>
      <c r="C35" s="66">
        <f>'Evolutive SFP'!B22</f>
        <v>3110877</v>
      </c>
      <c r="D35" s="66">
        <f>'Evolutive SFP'!C22</f>
        <v>4576955</v>
      </c>
      <c r="E35" s="66">
        <f>'Evolutive SFP'!D22</f>
        <v>9907043</v>
      </c>
      <c r="F35" s="66">
        <f>'Evolutive SFP'!E22</f>
        <v>14921476</v>
      </c>
      <c r="G35" s="66">
        <f>'Evolutive SFP'!F22</f>
        <v>20113390.02</v>
      </c>
      <c r="H35" s="66">
        <f>'Evolutive SFP'!G22</f>
        <v>14923330.24</v>
      </c>
      <c r="I35" s="66">
        <f>'Evolutive SFP'!H22</f>
        <v>15050807.23</v>
      </c>
      <c r="J35" s="66">
        <f>'Evolutive SFP'!I22</f>
        <v>14976884.23</v>
      </c>
      <c r="K35" s="66">
        <f>'Evolutive SFP'!J22</f>
        <v>14902961</v>
      </c>
      <c r="L35" s="66">
        <f>'Evolutive SFP'!K22</f>
        <v>15096038.210000001</v>
      </c>
      <c r="M35" s="66">
        <f>'Evolutive SFP'!L22</f>
        <v>0</v>
      </c>
      <c r="N35" s="66">
        <f>'Evolutive SFP'!M22</f>
        <v>0</v>
      </c>
      <c r="O35" s="66">
        <f>'Evolutive SFP'!N22</f>
        <v>0</v>
      </c>
      <c r="P35" s="66">
        <f>'Evolutive SFP'!O22</f>
        <v>0</v>
      </c>
      <c r="Q35" s="66">
        <f>'Evolutive SFP'!P22</f>
        <v>0</v>
      </c>
      <c r="R35" s="66">
        <f>'Evolutive SFP'!Q22</f>
        <v>0</v>
      </c>
      <c r="S35" s="66">
        <f>'Evolutive SFP'!R22</f>
        <v>15459762</v>
      </c>
      <c r="T35" s="66">
        <f>'Evolutive SFP'!S22</f>
        <v>15405509.029999999</v>
      </c>
      <c r="U35" s="66">
        <f>'Evolutive SFP'!T22</f>
        <v>15351256.32</v>
      </c>
      <c r="V35" s="66">
        <f>'Evolutive SFP'!U22</f>
        <v>15351256.32</v>
      </c>
      <c r="W35" s="66">
        <f>'Evolutive SFP'!V22</f>
        <v>15242750.9</v>
      </c>
      <c r="X35" s="66">
        <f>'Evolutive SFP'!W22</f>
        <v>15188498.189999999</v>
      </c>
      <c r="Y35" s="66">
        <f>'Evolutive SFP'!X22</f>
        <v>4613176.8899999997</v>
      </c>
      <c r="Z35" s="66">
        <f>'Evolutive SFP'!Y22</f>
        <v>4613176.8899999997</v>
      </c>
      <c r="AA35" s="66">
        <f>'Evolutive SFP'!Z22</f>
        <v>4613176.8899999997</v>
      </c>
      <c r="AB35" s="139">
        <f>'Evolutive SFP'!AA22</f>
        <v>4613176.8899999997</v>
      </c>
      <c r="AC35" s="66">
        <f>'Evolutive SFP'!AB22</f>
        <v>4775576.8899999997</v>
      </c>
      <c r="AD35" s="66">
        <f>'Evolutive SFP'!AC22</f>
        <v>4662176.8899999997</v>
      </c>
      <c r="AE35" s="66">
        <f>'Evolutive SFP'!AD22</f>
        <v>4037546.89</v>
      </c>
      <c r="AF35" s="66">
        <f>'Evolutive SFP'!AE22</f>
        <v>14449570</v>
      </c>
      <c r="AG35" s="66">
        <f>'Evolutive SFP'!AF22</f>
        <v>4024046.89</v>
      </c>
      <c r="AH35" s="66">
        <f>'Evolutive SFP'!AG22</f>
        <v>4037546.89</v>
      </c>
      <c r="AI35" s="66">
        <f>'Evolutive SFP'!AH22</f>
        <v>4143213.89</v>
      </c>
      <c r="AJ35" s="66">
        <f>'Evolutive SFP'!AI22</f>
        <v>2504641.89</v>
      </c>
      <c r="AK35" s="66">
        <f>'Evolutive SFP'!AJ22</f>
        <v>2507141.89</v>
      </c>
      <c r="AL35" s="66">
        <f>'Evolutive SFP'!AK22</f>
        <v>2509140.89</v>
      </c>
      <c r="AM35" s="66">
        <f>'Evolutive SFP'!AL22</f>
        <v>2509140.89</v>
      </c>
      <c r="AN35" s="66">
        <f>'Evolutive SFP'!AM22</f>
        <v>2509140.89</v>
      </c>
      <c r="AO35" s="66">
        <f>'Evolutive SFP'!AN22</f>
        <v>2509140.89</v>
      </c>
      <c r="AP35" s="66">
        <f>'Evolutive SFP'!AO22</f>
        <v>0</v>
      </c>
      <c r="AQ35" s="66">
        <f>'Evolutive SFP'!AP22</f>
        <v>0</v>
      </c>
      <c r="AR35" s="66">
        <f>'Evolutive SFP'!AQ22</f>
        <v>0</v>
      </c>
      <c r="AS35" s="66">
        <f>'Evolutive SFP'!AR22</f>
        <v>0</v>
      </c>
      <c r="AT35" s="66">
        <f>'Evolutive SFP'!AS22</f>
        <v>1834787.8400000001</v>
      </c>
      <c r="AU35" s="66">
        <f>'Evolutive SFP'!AT22</f>
        <v>1834787.8400000001</v>
      </c>
      <c r="AV35" s="66">
        <f>'Evolutive SFP'!AU22</f>
        <v>1848037.84</v>
      </c>
      <c r="AW35" s="66">
        <f>'Evolutive SFP'!AV22</f>
        <v>1848037.84</v>
      </c>
      <c r="AX35" s="66">
        <f>'Evolutive SFP'!AW22</f>
        <v>1860787.84</v>
      </c>
      <c r="AY35" s="66">
        <f>'Evolutive SFP'!AX22</f>
        <v>1860787.84</v>
      </c>
      <c r="AZ35" s="66">
        <f>'Evolutive SFP'!AY22</f>
        <v>0</v>
      </c>
      <c r="BA35" s="66">
        <f>'Evolutive SFP'!AZ22</f>
        <v>1865287.84</v>
      </c>
      <c r="BB35" s="66">
        <f>'Evolutive SFP'!BA22</f>
        <v>1887287.84</v>
      </c>
      <c r="BC35" s="66">
        <f>'Evolutive SFP'!BB22</f>
        <v>1887287.84</v>
      </c>
      <c r="BD35" s="66">
        <f>'Evolutive SFP'!BC22</f>
        <v>1887287.84</v>
      </c>
      <c r="BE35" s="66">
        <f>'Evolutive SFP'!BD22</f>
        <v>1887287.84</v>
      </c>
      <c r="BF35" s="66">
        <f>'Evolutive SFP'!BE22</f>
        <v>14586623</v>
      </c>
      <c r="BG35" s="66">
        <f>'Evolutive SFP'!BF22</f>
        <v>16156929.710000001</v>
      </c>
      <c r="BH35" s="66">
        <f>'Evolutive SFP'!BG22</f>
        <v>16156929.710000001</v>
      </c>
      <c r="BI35" s="66">
        <f>'Evolutive SFP'!BH22</f>
        <v>16156929.710000001</v>
      </c>
      <c r="BJ35" s="66">
        <f>'Evolutive SFP'!BI22</f>
        <v>16174639.710000001</v>
      </c>
      <c r="BK35" s="66">
        <f>'Evolutive SFP'!BJ22</f>
        <v>16307389.710000001</v>
      </c>
      <c r="BL35" s="66">
        <f>'Evolutive SFP'!BK22</f>
        <v>16330246.710000001</v>
      </c>
      <c r="BM35" s="66">
        <f>'Evolutive SFP'!BL22</f>
        <v>16579996.710000001</v>
      </c>
      <c r="BN35" s="66">
        <f>'Evolutive SFP'!BM22</f>
        <v>16886996.710000001</v>
      </c>
      <c r="BO35" s="66">
        <f>'Evolutive SFP'!BN22</f>
        <v>16886996.710000001</v>
      </c>
      <c r="BP35" s="66">
        <f>'Evolutive SFP'!BO22</f>
        <v>16886996.710000001</v>
      </c>
      <c r="BQ35" s="66">
        <f>'Evolutive SFP'!BP22</f>
        <v>16927696.710000001</v>
      </c>
      <c r="BR35" s="66">
        <f>'Evolutive SFP'!BQ22</f>
        <v>16943046.710000001</v>
      </c>
      <c r="BS35" s="66">
        <f>'Evolutive SFP'!BR22</f>
        <v>14279292</v>
      </c>
      <c r="BT35" s="66">
        <f>'Evolutive SFP'!BS22</f>
        <v>16886996.710000001</v>
      </c>
      <c r="BU35" s="66">
        <f>'Evolutive SFP'!BT22</f>
        <v>17010546.710000001</v>
      </c>
      <c r="BV35" s="66">
        <f>'Evolutive SFP'!BU22</f>
        <v>17116806.710000001</v>
      </c>
      <c r="BW35" s="66">
        <f>'Evolutive SFP'!BV22</f>
        <v>17013246.710000001</v>
      </c>
      <c r="BX35" s="66">
        <f>'Evolutive SFP'!BW22</f>
        <v>14279292</v>
      </c>
      <c r="BY35" s="66">
        <f>'Evolutive SFP'!BX22</f>
        <v>13570535.699999999</v>
      </c>
      <c r="BZ35" s="66">
        <f>'Evolutive SFP'!BY22</f>
        <v>12570535.699999999</v>
      </c>
      <c r="CA35" s="66">
        <f>'Evolutive SFP'!BZ22</f>
        <v>14968599</v>
      </c>
      <c r="CB35" s="66">
        <f>'Evolutive SFP'!CA22</f>
        <v>14968599</v>
      </c>
      <c r="CC35" s="66">
        <f>'Evolutive SFP'!CB22</f>
        <v>18763160.969999999</v>
      </c>
      <c r="CD35" s="66">
        <f>'Evolutive SFP'!CC22</f>
        <v>18763160.969999999</v>
      </c>
      <c r="CE35" s="66">
        <f>'Evolutive SFP'!CD22</f>
        <v>32319997.190000001</v>
      </c>
      <c r="CF35" s="66">
        <f>'Evolutive SFP'!CE22</f>
        <v>17192646</v>
      </c>
      <c r="CG35" s="66">
        <f>'Evolutive SFP'!CF22</f>
        <v>-15127351.190000001</v>
      </c>
      <c r="CH35" s="66">
        <f>'Evolutive SFP'!CG22</f>
        <v>17192646</v>
      </c>
      <c r="CI35" s="66">
        <f>'Evolutive SFP'!CH22</f>
        <v>14968599</v>
      </c>
      <c r="CJ35" s="66">
        <f>'Evolutive SFP'!CI22</f>
        <v>27073990.59</v>
      </c>
      <c r="CK35" s="66">
        <f>'Evolutive SFP'!CJ22</f>
        <v>27073990.59</v>
      </c>
      <c r="CL35" s="66">
        <f>'Evolutive SFP'!CK22</f>
        <v>24197403.149999999</v>
      </c>
      <c r="CM35" s="66">
        <f>'Evolutive SFP'!CL22</f>
        <v>24197403.149999999</v>
      </c>
    </row>
    <row r="36" spans="1:91">
      <c r="A36" s="39"/>
      <c r="B36" s="41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139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66"/>
      <c r="BV36" s="66"/>
      <c r="BW36" s="66"/>
      <c r="BX36" s="66"/>
      <c r="BY36" s="66"/>
      <c r="BZ36" s="66"/>
      <c r="CA36" s="66"/>
      <c r="CB36" s="66"/>
      <c r="CC36" s="66"/>
      <c r="CD36" s="66"/>
      <c r="CE36" s="66"/>
      <c r="CF36" s="66"/>
      <c r="CG36" s="66"/>
      <c r="CH36" s="66"/>
      <c r="CI36" s="66"/>
      <c r="CJ36" s="66"/>
      <c r="CK36" s="66"/>
      <c r="CL36" s="66"/>
      <c r="CM36" s="66"/>
    </row>
    <row r="37" spans="1:91">
      <c r="A37" s="43">
        <v>9</v>
      </c>
      <c r="B37" s="41" t="s">
        <v>132</v>
      </c>
      <c r="C37" s="66">
        <f>C38+C39+C40+C41</f>
        <v>45996799</v>
      </c>
      <c r="D37" s="66">
        <f>D38+D39+D40+D41</f>
        <v>54375159</v>
      </c>
      <c r="E37" s="66">
        <f t="shared" ref="E37:J37" si="66">E38+E39+E40+E41</f>
        <v>53989254</v>
      </c>
      <c r="F37" s="66">
        <f>F38+F39+F40+F41</f>
        <v>4232315.58</v>
      </c>
      <c r="G37" s="66">
        <f t="shared" si="66"/>
        <v>4232315.58</v>
      </c>
      <c r="H37" s="66">
        <f t="shared" si="66"/>
        <v>8563411.9100000001</v>
      </c>
      <c r="I37" s="66">
        <f t="shared" si="66"/>
        <v>12434931.68</v>
      </c>
      <c r="J37" s="66">
        <f t="shared" si="66"/>
        <v>16148705.77</v>
      </c>
      <c r="K37" s="66">
        <f>K38+K39+K40+K41</f>
        <v>16756205.060000001</v>
      </c>
      <c r="L37" s="66">
        <f>L38+L39+L40+L41</f>
        <v>17549189.77</v>
      </c>
      <c r="M37" s="66">
        <f>M38+M39+M40+M41</f>
        <v>0</v>
      </c>
      <c r="N37" s="66">
        <f t="shared" ref="N37:S37" si="67">N38+N39+N40+N41</f>
        <v>0</v>
      </c>
      <c r="O37" s="66">
        <f t="shared" si="67"/>
        <v>0</v>
      </c>
      <c r="P37" s="66">
        <f t="shared" si="67"/>
        <v>0</v>
      </c>
      <c r="Q37" s="66">
        <f t="shared" si="67"/>
        <v>0</v>
      </c>
      <c r="R37" s="66">
        <f t="shared" si="67"/>
        <v>0</v>
      </c>
      <c r="S37" s="66">
        <f t="shared" si="67"/>
        <v>32296829</v>
      </c>
      <c r="T37" s="66">
        <f t="shared" ref="T37:Y37" si="68">T38+T39+T40+T41</f>
        <v>4137918.46</v>
      </c>
      <c r="U37" s="66">
        <f t="shared" si="68"/>
        <v>8534175.7899999991</v>
      </c>
      <c r="V37" s="66">
        <f t="shared" si="68"/>
        <v>9452871.0999999996</v>
      </c>
      <c r="W37" s="66">
        <f t="shared" si="68"/>
        <v>10017170.57</v>
      </c>
      <c r="X37" s="66">
        <f t="shared" si="68"/>
        <v>10722921.42</v>
      </c>
      <c r="Y37" s="66">
        <f t="shared" si="68"/>
        <v>10789065.1</v>
      </c>
      <c r="Z37" s="66">
        <f t="shared" ref="Z37:AP37" si="69">Z38+Z39+Z40+Z41</f>
        <v>10924303.199999999</v>
      </c>
      <c r="AA37" s="66">
        <f t="shared" si="69"/>
        <v>12214539.649999999</v>
      </c>
      <c r="AB37" s="139">
        <f t="shared" si="69"/>
        <v>15533565.969999999</v>
      </c>
      <c r="AC37" s="66">
        <f t="shared" si="69"/>
        <v>18629345.159999996</v>
      </c>
      <c r="AD37" s="66">
        <f t="shared" si="69"/>
        <v>21674260.16</v>
      </c>
      <c r="AE37" s="66">
        <f t="shared" si="69"/>
        <v>24091900.460000001</v>
      </c>
      <c r="AF37" s="66">
        <f t="shared" si="69"/>
        <v>0</v>
      </c>
      <c r="AG37" s="66">
        <f t="shared" si="69"/>
        <v>24282938</v>
      </c>
      <c r="AH37" s="66">
        <f t="shared" si="69"/>
        <v>484352.05</v>
      </c>
      <c r="AI37" s="66">
        <f t="shared" si="69"/>
        <v>586883.44999999995</v>
      </c>
      <c r="AJ37" s="66">
        <f t="shared" si="69"/>
        <v>2517771.52</v>
      </c>
      <c r="AK37" s="66">
        <f t="shared" si="69"/>
        <v>2774906.4400000004</v>
      </c>
      <c r="AL37" s="66">
        <f t="shared" si="69"/>
        <v>2886183.66</v>
      </c>
      <c r="AM37" s="66">
        <f t="shared" si="69"/>
        <v>2976988.66</v>
      </c>
      <c r="AN37" s="66">
        <f t="shared" si="69"/>
        <v>3640147.84</v>
      </c>
      <c r="AO37" s="66">
        <f t="shared" si="69"/>
        <v>5858515.1899999995</v>
      </c>
      <c r="AP37" s="66">
        <f t="shared" si="69"/>
        <v>8345643.5599999987</v>
      </c>
      <c r="AQ37" s="66">
        <f t="shared" ref="AQ37:BF37" si="70">AQ38+AQ39+AQ40+AQ41</f>
        <v>0</v>
      </c>
      <c r="AR37" s="66">
        <f t="shared" si="70"/>
        <v>0</v>
      </c>
      <c r="AS37" s="66">
        <f t="shared" si="70"/>
        <v>0</v>
      </c>
      <c r="AT37" s="66">
        <f t="shared" si="70"/>
        <v>0</v>
      </c>
      <c r="AU37" s="66">
        <f t="shared" si="70"/>
        <v>170565.8</v>
      </c>
      <c r="AV37" s="66">
        <f t="shared" si="70"/>
        <v>286693.56</v>
      </c>
      <c r="AW37" s="66">
        <f t="shared" si="70"/>
        <v>11387611.139999999</v>
      </c>
      <c r="AX37" s="66">
        <f t="shared" si="70"/>
        <v>11605562.83</v>
      </c>
      <c r="AY37" s="66">
        <f t="shared" si="70"/>
        <v>11888678.809999999</v>
      </c>
      <c r="AZ37" s="66">
        <f t="shared" si="70"/>
        <v>12348828.119999999</v>
      </c>
      <c r="BA37" s="66">
        <f t="shared" si="70"/>
        <v>0</v>
      </c>
      <c r="BB37" s="66">
        <f t="shared" si="70"/>
        <v>13509114.43</v>
      </c>
      <c r="BC37" s="66">
        <f t="shared" si="70"/>
        <v>21182814.25</v>
      </c>
      <c r="BD37" s="66">
        <f t="shared" si="70"/>
        <v>27067015.75</v>
      </c>
      <c r="BE37" s="66">
        <f t="shared" si="70"/>
        <v>28003138.939999998</v>
      </c>
      <c r="BF37" s="66">
        <f t="shared" si="70"/>
        <v>33983388.329999998</v>
      </c>
      <c r="BG37" s="66">
        <f t="shared" ref="BG37:BS37" si="71">BG38+BG39+BG40+BG41</f>
        <v>21249651</v>
      </c>
      <c r="BH37" s="66">
        <f t="shared" si="71"/>
        <v>883797.26</v>
      </c>
      <c r="BI37" s="66">
        <f t="shared" si="71"/>
        <v>2465954.15</v>
      </c>
      <c r="BJ37" s="66">
        <f t="shared" si="71"/>
        <v>4139720.84</v>
      </c>
      <c r="BK37" s="66">
        <f t="shared" si="71"/>
        <v>6741933.1699999999</v>
      </c>
      <c r="BL37" s="66">
        <f t="shared" si="71"/>
        <v>8355091.6400000006</v>
      </c>
      <c r="BM37" s="66">
        <f t="shared" si="71"/>
        <v>10314273.800000001</v>
      </c>
      <c r="BN37" s="66">
        <f t="shared" si="71"/>
        <v>12089168.4</v>
      </c>
      <c r="BO37" s="66">
        <f t="shared" si="71"/>
        <v>13389270.33</v>
      </c>
      <c r="BP37" s="66">
        <f t="shared" si="71"/>
        <v>14873414.559999999</v>
      </c>
      <c r="BQ37" s="66">
        <f t="shared" si="71"/>
        <v>16403039.919999998</v>
      </c>
      <c r="BR37" s="66">
        <f t="shared" si="71"/>
        <v>18403211.899999999</v>
      </c>
      <c r="BS37" s="66">
        <f t="shared" si="71"/>
        <v>20609902.490000002</v>
      </c>
      <c r="BT37" s="66">
        <f t="shared" ref="BT37:BX37" si="72">BT38+BT39+BT40+BT41</f>
        <v>20642546</v>
      </c>
      <c r="BU37" s="66">
        <f t="shared" si="72"/>
        <v>2200058.09</v>
      </c>
      <c r="BV37" s="66">
        <f t="shared" si="72"/>
        <v>3641521.51</v>
      </c>
      <c r="BW37" s="66">
        <f t="shared" si="72"/>
        <v>5950979.6799999997</v>
      </c>
      <c r="BX37" s="66">
        <f t="shared" si="72"/>
        <v>8285270.7400000002</v>
      </c>
      <c r="BY37" s="66">
        <f t="shared" ref="BY37:BZ37" si="73">BY38+BY39+BY40+BY41</f>
        <v>10513809.9</v>
      </c>
      <c r="BZ37" s="66">
        <f t="shared" si="73"/>
        <v>11440970.300000001</v>
      </c>
      <c r="CA37" s="66">
        <f t="shared" ref="CA37:CE37" si="74">CA38+CA39+CA40+CA41</f>
        <v>13583556.449999999</v>
      </c>
      <c r="CB37" s="66">
        <f t="shared" si="74"/>
        <v>14001555.780000001</v>
      </c>
      <c r="CC37" s="66">
        <f t="shared" si="74"/>
        <v>16744871.58</v>
      </c>
      <c r="CD37" s="66">
        <f t="shared" si="74"/>
        <v>20487091.699999999</v>
      </c>
      <c r="CE37" s="66">
        <f t="shared" ref="CE37:CF37" si="75">CE38+CE39+CE40+CE41</f>
        <v>24358570.530000001</v>
      </c>
      <c r="CF37" s="66">
        <f t="shared" si="75"/>
        <v>25717355.800000001</v>
      </c>
      <c r="CG37" s="66">
        <f t="shared" ref="CG37:CJ37" si="76">CG38+CG39+CG40+CG41</f>
        <v>25717355.969999999</v>
      </c>
      <c r="CH37" s="66">
        <f t="shared" si="76"/>
        <v>0.16999999934341758</v>
      </c>
      <c r="CI37" s="66">
        <f t="shared" si="76"/>
        <v>25717355.969999999</v>
      </c>
      <c r="CJ37" s="66">
        <f t="shared" si="76"/>
        <v>3262799.46</v>
      </c>
      <c r="CK37" s="66">
        <f t="shared" ref="CK37:CL37" si="77">CK38+CK39+CK40+CK41</f>
        <v>5776818.04</v>
      </c>
      <c r="CL37" s="66">
        <f t="shared" si="77"/>
        <v>9110763.540000001</v>
      </c>
      <c r="CM37" s="66">
        <f t="shared" ref="CM37" si="78">CM38+CM39+CM40+CM41</f>
        <v>11470956.08</v>
      </c>
    </row>
    <row r="38" spans="1:91">
      <c r="A38" s="41">
        <v>9.1</v>
      </c>
      <c r="B38" s="41" t="s">
        <v>133</v>
      </c>
      <c r="C38" s="66">
        <f>'Evolutitve SCI'!B5</f>
        <v>26629812</v>
      </c>
      <c r="D38" s="66">
        <f>'Evolutitve SCI'!C5</f>
        <v>32831263</v>
      </c>
      <c r="E38" s="66">
        <f>'Evolutitve SCI'!E5</f>
        <v>34153522</v>
      </c>
      <c r="F38" s="66">
        <f>'Evolutitve SCI'!F5</f>
        <v>2541350.2599999998</v>
      </c>
      <c r="G38" s="66">
        <f>'Evolutitve SCI'!F5</f>
        <v>2541350.2599999998</v>
      </c>
      <c r="H38" s="66">
        <f>'Evolutitve SCI'!G5</f>
        <v>5368816.4400000004</v>
      </c>
      <c r="I38" s="66">
        <f>'Evolutitve SCI'!H5</f>
        <v>8291410.9500000002</v>
      </c>
      <c r="J38" s="66">
        <f>'Evolutitve SCI'!I5</f>
        <v>10838487.27</v>
      </c>
      <c r="K38" s="66">
        <f>'Evolutitve SCI'!J5</f>
        <v>11420544</v>
      </c>
      <c r="L38" s="66">
        <f>'Evolutitve SCI'!K5</f>
        <v>11659081</v>
      </c>
      <c r="M38" s="66">
        <f>'Evolutitve SCI'!L5</f>
        <v>0</v>
      </c>
      <c r="N38" s="66">
        <f>'Evolutitve SCI'!M5</f>
        <v>0</v>
      </c>
      <c r="O38" s="66">
        <f>'Evolutitve SCI'!N5</f>
        <v>0</v>
      </c>
      <c r="P38" s="66">
        <f>'Evolutitve SCI'!O5</f>
        <v>0</v>
      </c>
      <c r="Q38" s="66">
        <f>'Evolutitve SCI'!P5</f>
        <v>0</v>
      </c>
      <c r="R38" s="66">
        <f>'Evolutitve SCI'!Q5</f>
        <v>0</v>
      </c>
      <c r="S38" s="66">
        <f>'Evolutitve SCI'!R5</f>
        <v>18220126</v>
      </c>
      <c r="T38" s="66">
        <f>'Evolutitve SCI'!S5</f>
        <v>3349347.37</v>
      </c>
      <c r="U38" s="66">
        <f>'Evolutitve SCI'!T5</f>
        <v>6874118.8499999996</v>
      </c>
      <c r="V38" s="66">
        <f>'Evolutitve SCI'!U5</f>
        <v>7455625.7400000002</v>
      </c>
      <c r="W38" s="66">
        <f>'Evolutitve SCI'!V5</f>
        <v>7729074.3399999999</v>
      </c>
      <c r="X38" s="66">
        <f>'Evolutitve SCI'!W5</f>
        <v>8050570.3399999999</v>
      </c>
      <c r="Y38" s="66">
        <f>'Evolutitve SCI'!X5</f>
        <v>8176809.5</v>
      </c>
      <c r="Z38" s="66">
        <f>'Evolutitve SCI'!Y5</f>
        <v>8277293.4100000001</v>
      </c>
      <c r="AA38" s="66">
        <f>'Evolutitve SCI'!Z5</f>
        <v>9369594.0199999996</v>
      </c>
      <c r="AB38" s="139">
        <f>'Evolutitve SCI'!AA5</f>
        <v>10998176.24</v>
      </c>
      <c r="AC38" s="66">
        <f>'Evolutitve SCI'!AB5</f>
        <v>13587714.41</v>
      </c>
      <c r="AD38" s="66">
        <f>'Evolutitve SCI'!AC5</f>
        <v>16179875.49</v>
      </c>
      <c r="AE38" s="66">
        <f>'Evolutitve SCI'!AD5</f>
        <v>18613488.530000001</v>
      </c>
      <c r="AF38" s="66">
        <f>'Evolutitve SCI'!AE5</f>
        <v>0</v>
      </c>
      <c r="AG38" s="66">
        <f>'Evolutitve SCI'!AF5</f>
        <v>18067672</v>
      </c>
      <c r="AH38" s="66">
        <f>'Evolutitve SCI'!AG5</f>
        <v>314008.59999999998</v>
      </c>
      <c r="AI38" s="66">
        <f>'Evolutitve SCI'!AH5</f>
        <v>322048.59999999998</v>
      </c>
      <c r="AJ38" s="66">
        <f>'Evolutitve SCI'!AI5</f>
        <v>1954396.51</v>
      </c>
      <c r="AK38" s="66">
        <f>'Evolutitve SCI'!AJ5</f>
        <v>2180423.91</v>
      </c>
      <c r="AL38" s="66">
        <f>'Evolutitve SCI'!AK5</f>
        <v>2279868.06</v>
      </c>
      <c r="AM38" s="66">
        <f>'Evolutitve SCI'!AL5</f>
        <v>2329154.19</v>
      </c>
      <c r="AN38" s="66">
        <f>'Evolutitve SCI'!AM5</f>
        <v>2802385.55</v>
      </c>
      <c r="AO38" s="66">
        <f>'Evolutitve SCI'!AN5</f>
        <v>2906964.38</v>
      </c>
      <c r="AP38" s="66">
        <f>'Evolutitve SCI'!AO5</f>
        <v>3277435.48</v>
      </c>
      <c r="AQ38" s="66">
        <f>'Evolutitve SCI'!AP5</f>
        <v>0</v>
      </c>
      <c r="AR38" s="66">
        <f>'Evolutitve SCI'!AQ5</f>
        <v>0</v>
      </c>
      <c r="AS38" s="66">
        <f>'Evolutitve SCI'!AR5</f>
        <v>0</v>
      </c>
      <c r="AT38" s="66">
        <f>'Evolutitve SCI'!AS5</f>
        <v>0</v>
      </c>
      <c r="AU38" s="66">
        <f>'Evolutitve SCI'!AT5</f>
        <v>135158.57999999999</v>
      </c>
      <c r="AV38" s="66">
        <f>'Evolutitve SCI'!AU5</f>
        <v>229973.02</v>
      </c>
      <c r="AW38" s="66">
        <f>'Evolutitve SCI'!AV5</f>
        <v>442819.19</v>
      </c>
      <c r="AX38" s="66">
        <f>'Evolutitve SCI'!AW5</f>
        <v>464443.95</v>
      </c>
      <c r="AY38" s="66">
        <f>'Evolutitve SCI'!AX5</f>
        <v>520041.95</v>
      </c>
      <c r="AZ38" s="66">
        <f>'Evolutitve SCI'!AY5</f>
        <v>672981.85</v>
      </c>
      <c r="BA38" s="66">
        <f>'Evolutitve SCI'!AZ5</f>
        <v>0</v>
      </c>
      <c r="BB38" s="66">
        <f>'Evolutitve SCI'!BA5</f>
        <v>1119392.4099999999</v>
      </c>
      <c r="BC38" s="66">
        <f>'Evolutitve SCI'!BB5</f>
        <v>8234682.4000000004</v>
      </c>
      <c r="BD38" s="66">
        <f>'Evolutitve SCI'!BC5</f>
        <v>13615592.17</v>
      </c>
      <c r="BE38" s="66">
        <f>'Evolutitve SCI'!BD5</f>
        <v>14195772.359999999</v>
      </c>
      <c r="BF38" s="66">
        <f>'Evolutitve SCI'!BE5</f>
        <v>19554038.43</v>
      </c>
      <c r="BG38" s="66">
        <f>'Evolutitve SCI'!BF5</f>
        <v>6826396</v>
      </c>
      <c r="BH38" s="66">
        <f>'Evolutitve SCI'!BG5</f>
        <v>570980.43000000005</v>
      </c>
      <c r="BI38" s="66">
        <f>'Evolutitve SCI'!BH5</f>
        <v>1722009.81</v>
      </c>
      <c r="BJ38" s="66">
        <f>'Evolutitve SCI'!BI5</f>
        <v>2476006.2000000002</v>
      </c>
      <c r="BK38" s="66">
        <f>'Evolutitve SCI'!BJ5</f>
        <v>3919148.7</v>
      </c>
      <c r="BL38" s="66">
        <f>'Evolutitve SCI'!BK5</f>
        <v>4935804.83</v>
      </c>
      <c r="BM38" s="66">
        <f>'Evolutitve SCI'!BL5</f>
        <v>6338174.79</v>
      </c>
      <c r="BN38" s="66">
        <f>'Evolutitve SCI'!BM5</f>
        <v>7295164.1600000001</v>
      </c>
      <c r="BO38" s="66">
        <f>'Evolutitve SCI'!BN5</f>
        <v>8282751.79</v>
      </c>
      <c r="BP38" s="66">
        <f>'Evolutitve SCI'!BO5</f>
        <v>9228114.2899999991</v>
      </c>
      <c r="BQ38" s="66">
        <f>'Evolutitve SCI'!BP5</f>
        <v>10281781.85</v>
      </c>
      <c r="BR38" s="66">
        <f>'Evolutitve SCI'!BQ5</f>
        <v>11730040.369999999</v>
      </c>
      <c r="BS38" s="66">
        <f>'Evolutitve SCI'!BR5</f>
        <v>12871952.59</v>
      </c>
      <c r="BT38" s="66">
        <f>'Evolutitve SCI'!BS5</f>
        <v>12929353</v>
      </c>
      <c r="BU38" s="66">
        <f>'Evolutitve SCI'!BT5</f>
        <v>1596459.55</v>
      </c>
      <c r="BV38" s="66">
        <f>'Evolutitve SCI'!BU5</f>
        <v>2170273.3199999998</v>
      </c>
      <c r="BW38" s="66">
        <f>'Evolutitve SCI'!BV5</f>
        <v>3752634.58</v>
      </c>
      <c r="BX38" s="66">
        <f>'Evolutitve SCI'!BW5</f>
        <v>5570810.5800000001</v>
      </c>
      <c r="BY38" s="66">
        <f>'Evolutitve SCI'!BX5</f>
        <v>7457810.04</v>
      </c>
      <c r="BZ38" s="66">
        <f>'Evolutitve SCI'!BY5</f>
        <v>7955854.9800000004</v>
      </c>
      <c r="CA38" s="66">
        <f>'Evolutitve SCI'!BZ5</f>
        <v>9281787.1799999997</v>
      </c>
      <c r="CB38" s="66">
        <f>'Evolutitve SCI'!CA5</f>
        <v>9836172.6400000006</v>
      </c>
      <c r="CC38" s="66">
        <f>'Evolutitve SCI'!CB5</f>
        <v>11632674.92</v>
      </c>
      <c r="CD38" s="66">
        <f>'Evolutitve SCI'!CC5</f>
        <v>14563479.51</v>
      </c>
      <c r="CE38" s="66">
        <f>'Evolutitve SCI'!CD5</f>
        <v>17901667.18</v>
      </c>
      <c r="CF38" s="66">
        <f>'Evolutitve SCI'!CE5</f>
        <v>18523662.969999999</v>
      </c>
      <c r="CG38" s="66">
        <f>'Evolutitve SCI'!CF5</f>
        <v>18523662.969999999</v>
      </c>
      <c r="CH38" s="66">
        <f>'Evolutitve SCI'!CG5</f>
        <v>0</v>
      </c>
      <c r="CI38" s="66">
        <f>'Evolutitve SCI'!CH5</f>
        <v>18523662.969999999</v>
      </c>
      <c r="CJ38" s="66">
        <f>'Evolutitve SCI'!CI5</f>
        <v>2674471.79</v>
      </c>
      <c r="CK38" s="66">
        <f>'Evolutitve SCI'!CJ5</f>
        <v>4676624.45</v>
      </c>
      <c r="CL38" s="66">
        <f>'Evolutitve SCI'!CK5</f>
        <v>7413930.6900000004</v>
      </c>
      <c r="CM38" s="66">
        <f>'Evolutitve SCI'!CL5</f>
        <v>9397186.0099999998</v>
      </c>
    </row>
    <row r="39" spans="1:91">
      <c r="A39" s="41">
        <v>9.1999999999999993</v>
      </c>
      <c r="B39" s="41" t="s">
        <v>134</v>
      </c>
      <c r="C39" s="66">
        <f>'Evolutitve SCI'!B7</f>
        <v>19366987</v>
      </c>
      <c r="D39" s="66">
        <f>'Evolutitve SCI'!C7</f>
        <v>20654203</v>
      </c>
      <c r="E39" s="66">
        <f>'Evolutitve SCI'!E7</f>
        <v>18835644</v>
      </c>
      <c r="F39" s="66">
        <f>'Evolutitve SCI'!F7</f>
        <v>1439140.32</v>
      </c>
      <c r="G39" s="66">
        <f>'Evolutitve SCI'!F7</f>
        <v>1439140.32</v>
      </c>
      <c r="H39" s="66">
        <f>'Evolutitve SCI'!G7</f>
        <v>2916155.27</v>
      </c>
      <c r="I39" s="66">
        <f>'Evolutitve SCI'!H7</f>
        <v>3824420.73</v>
      </c>
      <c r="J39" s="66">
        <f>'Evolutitve SCI'!I7</f>
        <v>4872235.1999999993</v>
      </c>
      <c r="K39" s="66">
        <f>'Evolutitve SCI'!J7</f>
        <v>4824233.0600000005</v>
      </c>
      <c r="L39" s="66">
        <f>'Evolutitve SCI'!K7</f>
        <v>5192466.7699999996</v>
      </c>
      <c r="M39" s="66">
        <f>'Evolutitve SCI'!L7</f>
        <v>0</v>
      </c>
      <c r="N39" s="66">
        <f>'Evolutitve SCI'!M7</f>
        <v>0</v>
      </c>
      <c r="O39" s="66">
        <f>'Evolutitve SCI'!N7</f>
        <v>0</v>
      </c>
      <c r="P39" s="66">
        <f>'Evolutitve SCI'!O7</f>
        <v>0</v>
      </c>
      <c r="Q39" s="66">
        <f>'Evolutitve SCI'!P7</f>
        <v>0</v>
      </c>
      <c r="R39" s="66">
        <f>'Evolutitve SCI'!Q7</f>
        <v>0</v>
      </c>
      <c r="S39" s="66">
        <f>'Evolutitve SCI'!R7</f>
        <v>14076703</v>
      </c>
      <c r="T39" s="66">
        <f>'Evolutitve SCI'!S7</f>
        <v>585093.68999999994</v>
      </c>
      <c r="U39" s="66">
        <f>'Evolutitve SCI'!T7</f>
        <v>1488598.9400000002</v>
      </c>
      <c r="V39" s="66">
        <f>'Evolutitve SCI'!U7</f>
        <v>1649034.51</v>
      </c>
      <c r="W39" s="66">
        <f>'Evolutitve SCI'!V7</f>
        <v>1860086.48</v>
      </c>
      <c r="X39" s="66">
        <f>'Evolutitve SCI'!W7</f>
        <v>2274033.65</v>
      </c>
      <c r="Y39" s="66">
        <f>'Evolutitve SCI'!X7</f>
        <v>2164083.83</v>
      </c>
      <c r="Z39" s="66">
        <f>'Evolutitve SCI'!Y7</f>
        <v>2184138.02</v>
      </c>
      <c r="AA39" s="66">
        <f>'Evolutitve SCI'!Z7</f>
        <v>1965373.8599999999</v>
      </c>
      <c r="AB39" s="139">
        <f>'Evolutitve SCI'!AA7</f>
        <v>3993731.96</v>
      </c>
      <c r="AC39" s="66">
        <f>'Evolutitve SCI'!AB7</f>
        <v>4270694.67</v>
      </c>
      <c r="AD39" s="66">
        <f>'Evolutitve SCI'!AC7</f>
        <v>4664231.93</v>
      </c>
      <c r="AE39" s="66">
        <f>'Evolutitve SCI'!AD7</f>
        <v>5147403.93</v>
      </c>
      <c r="AF39" s="66">
        <f>'Evolutitve SCI'!AE7</f>
        <v>0</v>
      </c>
      <c r="AG39" s="66">
        <f>'Evolutitve SCI'!AF7</f>
        <v>6059137</v>
      </c>
      <c r="AH39" s="66">
        <f>'Evolutitve SCI'!AG7</f>
        <v>98193.45</v>
      </c>
      <c r="AI39" s="66">
        <f>'Evolutitve SCI'!AH7</f>
        <v>202734.85</v>
      </c>
      <c r="AJ39" s="66">
        <f>'Evolutitve SCI'!AI7</f>
        <v>441778.58</v>
      </c>
      <c r="AK39" s="66">
        <f>'Evolutitve SCI'!AJ7</f>
        <v>471436.1</v>
      </c>
      <c r="AL39" s="66">
        <f>'Evolutitve SCI'!AK7</f>
        <v>483269.17</v>
      </c>
      <c r="AM39" s="66">
        <f>'Evolutitve SCI'!AL7</f>
        <v>514388.04</v>
      </c>
      <c r="AN39" s="66">
        <f>'Evolutitve SCI'!AM7</f>
        <v>676267.61</v>
      </c>
      <c r="AO39" s="66">
        <f>'Evolutitve SCI'!AN7</f>
        <v>2787056.13</v>
      </c>
      <c r="AP39" s="66">
        <f>'Evolutitve SCI'!AO7</f>
        <v>4901563.3999999994</v>
      </c>
      <c r="AQ39" s="66">
        <f>'Evolutitve SCI'!AP7</f>
        <v>0</v>
      </c>
      <c r="AR39" s="66">
        <f>'Evolutitve SCI'!AQ7</f>
        <v>0</v>
      </c>
      <c r="AS39" s="66">
        <f>'Evolutitve SCI'!AR7</f>
        <v>0</v>
      </c>
      <c r="AT39" s="66">
        <f>'Evolutitve SCI'!AS7</f>
        <v>0</v>
      </c>
      <c r="AU39" s="66">
        <f>'Evolutitve SCI'!AT7</f>
        <v>21657.22</v>
      </c>
      <c r="AV39" s="66">
        <f>'Evolutitve SCI'!AU7</f>
        <v>36820.54</v>
      </c>
      <c r="AW39" s="66">
        <f>'Evolutitve SCI'!AV7</f>
        <v>10922391.949999999</v>
      </c>
      <c r="AX39" s="66">
        <f>'Evolutitve SCI'!AW7</f>
        <v>11117668.880000001</v>
      </c>
      <c r="AY39" s="66">
        <f>'Evolutitve SCI'!AX7</f>
        <v>11331936.859999999</v>
      </c>
      <c r="AZ39" s="66">
        <f>'Evolutitve SCI'!AY7</f>
        <v>11599346.27</v>
      </c>
      <c r="BA39" s="66">
        <f>'Evolutitve SCI'!AZ7</f>
        <v>0</v>
      </c>
      <c r="BB39" s="66">
        <f>'Evolutitve SCI'!BA7</f>
        <v>12220822.02</v>
      </c>
      <c r="BC39" s="66">
        <f>'Evolutitve SCI'!BB7</f>
        <v>12712731.85</v>
      </c>
      <c r="BD39" s="66">
        <f>'Evolutitve SCI'!BC7</f>
        <v>13165073.58</v>
      </c>
      <c r="BE39" s="66">
        <f>'Evolutitve SCI'!BD7</f>
        <v>13449252.58</v>
      </c>
      <c r="BF39" s="66">
        <f>'Evolutitve SCI'!BE7</f>
        <v>14008835.9</v>
      </c>
      <c r="BG39" s="66">
        <f>'Evolutitve SCI'!BF7</f>
        <v>13211531</v>
      </c>
      <c r="BH39" s="66">
        <f>'Evolutitve SCI'!BG7</f>
        <v>2750</v>
      </c>
      <c r="BI39" s="66">
        <f>'Evolutitve SCI'!BH7</f>
        <v>2750</v>
      </c>
      <c r="BJ39" s="66">
        <f>'Evolutitve SCI'!BI7</f>
        <v>47000</v>
      </c>
      <c r="BK39" s="66">
        <f>'Evolutitve SCI'!BJ7</f>
        <v>575307.19999999995</v>
      </c>
      <c r="BL39" s="66">
        <f>'Evolutitve SCI'!BK7</f>
        <v>495307.2</v>
      </c>
      <c r="BM39" s="66">
        <f>'Evolutitve SCI'!BL7</f>
        <v>531094.19999999995</v>
      </c>
      <c r="BN39" s="66">
        <f>'Evolutitve SCI'!BM7</f>
        <v>531094.19999999995</v>
      </c>
      <c r="BO39" s="66">
        <f>'Evolutitve SCI'!BN7</f>
        <v>531094.19999999995</v>
      </c>
      <c r="BP39" s="66">
        <f>'Evolutitve SCI'!BO7</f>
        <v>531094.19999999995</v>
      </c>
      <c r="BQ39" s="66">
        <f>'Evolutitve SCI'!BP7</f>
        <v>531094.19999999995</v>
      </c>
      <c r="BR39" s="66">
        <f>'Evolutitve SCI'!BQ7</f>
        <v>531094.53</v>
      </c>
      <c r="BS39" s="66">
        <f>'Evolutitve SCI'!BR7</f>
        <v>529295.91</v>
      </c>
      <c r="BT39" s="66">
        <f>'Evolutitve SCI'!BS7</f>
        <v>7713193</v>
      </c>
      <c r="BU39" s="66">
        <f>'Evolutitve SCI'!BT7</f>
        <v>500</v>
      </c>
      <c r="BV39" s="66">
        <f>'Evolutitve SCI'!BU7</f>
        <v>1400</v>
      </c>
      <c r="BW39" s="66">
        <f>'Evolutitve SCI'!BV7</f>
        <v>2500</v>
      </c>
      <c r="BX39" s="66">
        <f>'Evolutitve SCI'!BW7</f>
        <v>112437.8</v>
      </c>
      <c r="BY39" s="66">
        <f>'Evolutitve SCI'!BX7</f>
        <v>2679929.86</v>
      </c>
      <c r="BZ39" s="66">
        <f>'Evolutitve SCI'!BY7</f>
        <v>3096877.75</v>
      </c>
      <c r="CA39" s="66">
        <f>'Evolutitve SCI'!BZ7</f>
        <v>3888631.7</v>
      </c>
      <c r="CB39" s="66">
        <f>'Evolutitve SCI'!CA7</f>
        <v>3702245.57</v>
      </c>
      <c r="CC39" s="66">
        <f>'Evolutitve SCI'!CB7</f>
        <v>4580009.09</v>
      </c>
      <c r="CD39" s="66">
        <f>'Evolutitve SCI'!CC7</f>
        <v>5331624.62</v>
      </c>
      <c r="CE39" s="66">
        <f>'Evolutitve SCI'!CD7</f>
        <v>5787365.7799999993</v>
      </c>
      <c r="CF39" s="66">
        <f>'Evolutitve SCI'!CE7</f>
        <v>6449805.2600000007</v>
      </c>
      <c r="CG39" s="66">
        <f>'Evolutitve SCI'!CF7</f>
        <v>7193693</v>
      </c>
      <c r="CH39" s="66">
        <f>'Evolutitve SCI'!CG7</f>
        <v>743887.73999999929</v>
      </c>
      <c r="CI39" s="66">
        <f>'Evolutitve SCI'!CH7</f>
        <v>7193693</v>
      </c>
      <c r="CJ39" s="66">
        <f>'Evolutitve SCI'!CI7</f>
        <v>508542.67</v>
      </c>
      <c r="CK39" s="66">
        <f>'Evolutitve SCI'!CJ7</f>
        <v>957608.59</v>
      </c>
      <c r="CL39" s="66">
        <f>'Evolutitve SCI'!CK7</f>
        <v>1506697.85</v>
      </c>
      <c r="CM39" s="66">
        <f>'Evolutitve SCI'!CL7</f>
        <v>1846035.07</v>
      </c>
    </row>
    <row r="40" spans="1:91">
      <c r="A40" s="41">
        <v>9.3000000000000007</v>
      </c>
      <c r="B40" s="41" t="s">
        <v>135</v>
      </c>
      <c r="C40" s="66">
        <f>'Evolutitve SCI'!B6</f>
        <v>0</v>
      </c>
      <c r="D40" s="66">
        <f>'Evolutitve SCI'!C6</f>
        <v>889693</v>
      </c>
      <c r="E40" s="66">
        <f>'Evolutitve SCI'!E6</f>
        <v>1000088</v>
      </c>
      <c r="F40" s="66">
        <f>'Evolutitve SCI'!F6</f>
        <v>251825</v>
      </c>
      <c r="G40" s="66">
        <f>'Evolutitve SCI'!F6</f>
        <v>251825</v>
      </c>
      <c r="H40" s="66">
        <f>'Evolutitve SCI'!G6</f>
        <v>278440.2</v>
      </c>
      <c r="I40" s="66">
        <f>'Evolutitve SCI'!H6</f>
        <v>319100</v>
      </c>
      <c r="J40" s="66">
        <f>'Evolutitve SCI'!I6</f>
        <v>437983.3</v>
      </c>
      <c r="K40" s="66">
        <f>'Evolutitve SCI'!J6</f>
        <v>511428</v>
      </c>
      <c r="L40" s="66">
        <f>'Evolutitve SCI'!K6</f>
        <v>697642</v>
      </c>
      <c r="M40" s="66">
        <f>'Evolutitve SCI'!L6</f>
        <v>0</v>
      </c>
      <c r="N40" s="66">
        <f>'Evolutitve SCI'!M6</f>
        <v>0</v>
      </c>
      <c r="O40" s="66">
        <f>'Evolutitve SCI'!N6</f>
        <v>0</v>
      </c>
      <c r="P40" s="66">
        <f>'Evolutitve SCI'!O6</f>
        <v>0</v>
      </c>
      <c r="Q40" s="66">
        <f>'Evolutitve SCI'!P6</f>
        <v>0</v>
      </c>
      <c r="R40" s="66">
        <f>'Evolutitve SCI'!Q6</f>
        <v>0</v>
      </c>
      <c r="S40" s="66">
        <f>'Evolutitve SCI'!R6</f>
        <v>0</v>
      </c>
      <c r="T40" s="66">
        <f>'Evolutitve SCI'!S6</f>
        <v>203477.4</v>
      </c>
      <c r="U40" s="66">
        <f>'Evolutitve SCI'!T6</f>
        <v>171458</v>
      </c>
      <c r="V40" s="66">
        <f>'Evolutitve SCI'!U6</f>
        <v>348210.85</v>
      </c>
      <c r="W40" s="66">
        <f>'Evolutitve SCI'!V6</f>
        <v>428009.75</v>
      </c>
      <c r="X40" s="66">
        <f>'Evolutitve SCI'!W6</f>
        <v>398317.43</v>
      </c>
      <c r="Y40" s="66">
        <f>'Evolutitve SCI'!X6</f>
        <v>448171.77</v>
      </c>
      <c r="Z40" s="66">
        <f>'Evolutitve SCI'!Y6</f>
        <v>462871.77</v>
      </c>
      <c r="AA40" s="66">
        <f>'Evolutitve SCI'!Z6</f>
        <v>879571.77</v>
      </c>
      <c r="AB40" s="139">
        <f>'Evolutitve SCI'!AA6</f>
        <v>541657.77</v>
      </c>
      <c r="AC40" s="66">
        <f>'Evolutitve SCI'!AB6</f>
        <v>770936.08</v>
      </c>
      <c r="AD40" s="66">
        <f>'Evolutitve SCI'!AC6</f>
        <v>830152.74</v>
      </c>
      <c r="AE40" s="66">
        <f>'Evolutitve SCI'!AD6</f>
        <v>331008</v>
      </c>
      <c r="AF40" s="66">
        <f>'Evolutitve SCI'!AE6</f>
        <v>0</v>
      </c>
      <c r="AG40" s="66">
        <f>'Evolutitve SCI'!AF6</f>
        <v>156129</v>
      </c>
      <c r="AH40" s="66">
        <f>'Evolutitve SCI'!AG6</f>
        <v>72150</v>
      </c>
      <c r="AI40" s="66">
        <f>'Evolutitve SCI'!AH6</f>
        <v>62100</v>
      </c>
      <c r="AJ40" s="66">
        <f>'Evolutitve SCI'!AI6</f>
        <v>121596.43</v>
      </c>
      <c r="AK40" s="66">
        <f>'Evolutitve SCI'!AJ6</f>
        <v>123046.43</v>
      </c>
      <c r="AL40" s="66">
        <f>'Evolutitve SCI'!AK6</f>
        <v>123046.43</v>
      </c>
      <c r="AM40" s="66">
        <f>'Evolutitve SCI'!AL6</f>
        <v>133446.43</v>
      </c>
      <c r="AN40" s="66">
        <f>'Evolutitve SCI'!AM6</f>
        <v>161494.68</v>
      </c>
      <c r="AO40" s="66">
        <f>'Evolutitve SCI'!AN6</f>
        <v>164494.68</v>
      </c>
      <c r="AP40" s="66">
        <f>'Evolutitve SCI'!AO6</f>
        <v>166644.68</v>
      </c>
      <c r="AQ40" s="66">
        <f>'Evolutitve SCI'!AP6</f>
        <v>0</v>
      </c>
      <c r="AR40" s="66">
        <f>'Evolutitve SCI'!AQ6</f>
        <v>0</v>
      </c>
      <c r="AS40" s="66">
        <f>'Evolutitve SCI'!AR6</f>
        <v>0</v>
      </c>
      <c r="AT40" s="66">
        <f>'Evolutitve SCI'!AS6</f>
        <v>0</v>
      </c>
      <c r="AU40" s="66">
        <f>'Evolutitve SCI'!AT6</f>
        <v>13750</v>
      </c>
      <c r="AV40" s="66">
        <f>'Evolutitve SCI'!AU6</f>
        <v>19900</v>
      </c>
      <c r="AW40" s="66">
        <f>'Evolutitve SCI'!AV6</f>
        <v>22400</v>
      </c>
      <c r="AX40" s="66">
        <f>'Evolutitve SCI'!AW6</f>
        <v>23450</v>
      </c>
      <c r="AY40" s="66">
        <f>'Evolutitve SCI'!AX6</f>
        <v>36700</v>
      </c>
      <c r="AZ40" s="66">
        <f>'Evolutitve SCI'!AY6</f>
        <v>76500</v>
      </c>
      <c r="BA40" s="66">
        <f>'Evolutitve SCI'!AZ6</f>
        <v>0</v>
      </c>
      <c r="BB40" s="66">
        <f>'Evolutitve SCI'!BA6</f>
        <v>168900</v>
      </c>
      <c r="BC40" s="66">
        <f>'Evolutitve SCI'!BB6</f>
        <v>235400</v>
      </c>
      <c r="BD40" s="66">
        <f>'Evolutitve SCI'!BC6</f>
        <v>286350</v>
      </c>
      <c r="BE40" s="66">
        <f>'Evolutitve SCI'!BD6</f>
        <v>358114</v>
      </c>
      <c r="BF40" s="66">
        <f>'Evolutitve SCI'!BE6</f>
        <v>420514</v>
      </c>
      <c r="BG40" s="66">
        <f>'Evolutitve SCI'!BF6</f>
        <v>1211724</v>
      </c>
      <c r="BH40" s="66">
        <f>'Evolutitve SCI'!BG6</f>
        <v>310066.83</v>
      </c>
      <c r="BI40" s="66">
        <f>'Evolutitve SCI'!BH6</f>
        <v>741194.34</v>
      </c>
      <c r="BJ40" s="66">
        <f>'Evolutitve SCI'!BI6</f>
        <v>1616714.64</v>
      </c>
      <c r="BK40" s="66">
        <f>'Evolutitve SCI'!BJ6</f>
        <v>2247477.27</v>
      </c>
      <c r="BL40" s="66">
        <f>'Evolutitve SCI'!BK6</f>
        <v>2923979.61</v>
      </c>
      <c r="BM40" s="66">
        <f>'Evolutitve SCI'!BL6</f>
        <v>3445004.81</v>
      </c>
      <c r="BN40" s="66">
        <f>'Evolutitve SCI'!BM6</f>
        <v>4262910.04</v>
      </c>
      <c r="BO40" s="66">
        <f>'Evolutitve SCI'!BN6</f>
        <v>4575424.34</v>
      </c>
      <c r="BP40" s="66">
        <f>'Evolutitve SCI'!BO6</f>
        <v>5114206.07</v>
      </c>
      <c r="BQ40" s="66">
        <f>'Evolutitve SCI'!BP6</f>
        <v>5590163.8700000001</v>
      </c>
      <c r="BR40" s="66">
        <f>'Evolutitve SCI'!BQ6</f>
        <v>6142077</v>
      </c>
      <c r="BS40" s="66">
        <f>'Evolutitve SCI'!BR6</f>
        <v>7208653.9900000002</v>
      </c>
      <c r="BT40" s="66">
        <f>'Evolutitve SCI'!BS6</f>
        <v>0</v>
      </c>
      <c r="BU40" s="66">
        <f>'Evolutitve SCI'!BT6</f>
        <v>603098.54</v>
      </c>
      <c r="BV40" s="66">
        <f>'Evolutitve SCI'!BU6</f>
        <v>1469848.19</v>
      </c>
      <c r="BW40" s="66">
        <f>'Evolutitve SCI'!BV6</f>
        <v>2195845.1</v>
      </c>
      <c r="BX40" s="66">
        <f>'Evolutitve SCI'!BW6</f>
        <v>2602022.36</v>
      </c>
      <c r="BY40" s="66">
        <f>'Evolutitve SCI'!BX6</f>
        <v>376070</v>
      </c>
      <c r="BZ40" s="66">
        <f>'Evolutitve SCI'!BY6</f>
        <v>388237.57</v>
      </c>
      <c r="CA40" s="66">
        <f>'Evolutitve SCI'!BZ6</f>
        <v>413137.57</v>
      </c>
      <c r="CB40" s="66">
        <f>'Evolutitve SCI'!CA6</f>
        <v>463137.57</v>
      </c>
      <c r="CC40" s="66">
        <f>'Evolutitve SCI'!CB6</f>
        <v>532187.56999999995</v>
      </c>
      <c r="CD40" s="66">
        <f>'Evolutitve SCI'!CC6</f>
        <v>591987.56999999995</v>
      </c>
      <c r="CE40" s="66">
        <f>'Evolutitve SCI'!CD6</f>
        <v>669537.56999999995</v>
      </c>
      <c r="CF40" s="66">
        <f>'Evolutitve SCI'!CE6</f>
        <v>743887.57</v>
      </c>
      <c r="CG40" s="66">
        <f>'Evolutitve SCI'!CF6</f>
        <v>0</v>
      </c>
      <c r="CH40" s="66">
        <f>'Evolutitve SCI'!CG6</f>
        <v>-743887.57</v>
      </c>
      <c r="CI40" s="66">
        <f>'Evolutitve SCI'!CH6</f>
        <v>0</v>
      </c>
      <c r="CJ40" s="66">
        <f>'Evolutitve SCI'!CI6</f>
        <v>79785</v>
      </c>
      <c r="CK40" s="66">
        <f>'Evolutitve SCI'!CJ6</f>
        <v>142585</v>
      </c>
      <c r="CL40" s="66">
        <f>'Evolutitve SCI'!CK6</f>
        <v>190135</v>
      </c>
      <c r="CM40" s="66">
        <f>'Evolutitve SCI'!CL6</f>
        <v>227735</v>
      </c>
    </row>
    <row r="41" spans="1:91">
      <c r="A41" s="41">
        <v>9.4</v>
      </c>
      <c r="B41" s="41" t="s">
        <v>136</v>
      </c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139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6"/>
      <c r="BR41" s="66"/>
      <c r="BS41" s="66"/>
      <c r="BT41" s="66"/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6"/>
      <c r="CF41" s="66"/>
      <c r="CG41" s="66"/>
      <c r="CH41" s="66"/>
      <c r="CI41" s="66"/>
      <c r="CJ41" s="66"/>
      <c r="CK41" s="66"/>
      <c r="CL41" s="66"/>
      <c r="CM41" s="66"/>
    </row>
    <row r="42" spans="1:91">
      <c r="A42" s="41"/>
      <c r="B42" s="41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139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66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66"/>
      <c r="CF42" s="66"/>
      <c r="CG42" s="66"/>
      <c r="CH42" s="66"/>
      <c r="CI42" s="66"/>
      <c r="CJ42" s="66"/>
      <c r="CK42" s="66"/>
      <c r="CL42" s="66"/>
      <c r="CM42" s="66"/>
    </row>
    <row r="43" spans="1:91" ht="15">
      <c r="A43" s="43">
        <v>10</v>
      </c>
      <c r="B43" s="49" t="s">
        <v>137</v>
      </c>
      <c r="C43" s="67">
        <f>SUM(C44:C47)</f>
        <v>36316683</v>
      </c>
      <c r="D43" s="67">
        <f>SUM(D44:D47)</f>
        <v>41960779</v>
      </c>
      <c r="E43" s="67">
        <f t="shared" ref="E43:J43" si="79">SUM(E44:E47)</f>
        <v>49747253</v>
      </c>
      <c r="F43" s="67">
        <f>SUM(F44:F47)</f>
        <v>3922119.6100000003</v>
      </c>
      <c r="G43" s="67">
        <f t="shared" si="79"/>
        <v>3922119.6100000003</v>
      </c>
      <c r="H43" s="67">
        <f t="shared" si="79"/>
        <v>7172806.7999999998</v>
      </c>
      <c r="I43" s="67">
        <f t="shared" si="79"/>
        <v>11640584.970000001</v>
      </c>
      <c r="J43" s="67">
        <f t="shared" si="79"/>
        <v>16064941.620000001</v>
      </c>
      <c r="K43" s="67">
        <f>SUM(K44:K47)</f>
        <v>18739208.5</v>
      </c>
      <c r="L43" s="67">
        <f>SUM(L44:L47)</f>
        <v>19994569</v>
      </c>
      <c r="M43" s="67">
        <f>SUM(M44:M47)</f>
        <v>0</v>
      </c>
      <c r="N43" s="67">
        <f t="shared" ref="N43:S43" si="80">SUM(N44:N47)</f>
        <v>0</v>
      </c>
      <c r="O43" s="67">
        <f t="shared" si="80"/>
        <v>0</v>
      </c>
      <c r="P43" s="67">
        <f t="shared" si="80"/>
        <v>0</v>
      </c>
      <c r="Q43" s="67">
        <f t="shared" si="80"/>
        <v>0</v>
      </c>
      <c r="R43" s="67">
        <f t="shared" si="80"/>
        <v>0</v>
      </c>
      <c r="S43" s="67">
        <f t="shared" si="80"/>
        <v>33961214</v>
      </c>
      <c r="T43" s="67">
        <f t="shared" ref="T43:Y43" si="81">SUM(T44:T47)</f>
        <v>2988192.8099999996</v>
      </c>
      <c r="U43" s="67">
        <f t="shared" si="81"/>
        <v>6952735.5199999996</v>
      </c>
      <c r="V43" s="67">
        <f t="shared" si="81"/>
        <v>7745223.6399999997</v>
      </c>
      <c r="W43" s="67">
        <f t="shared" si="81"/>
        <v>7917381.7799999993</v>
      </c>
      <c r="X43" s="67">
        <f t="shared" si="81"/>
        <v>10757900.58</v>
      </c>
      <c r="Y43" s="67">
        <f t="shared" si="81"/>
        <v>10670664.52</v>
      </c>
      <c r="Z43" s="67">
        <f t="shared" ref="Z43:AP43" si="82">SUM(Z44:Z47)</f>
        <v>12140681.119999999</v>
      </c>
      <c r="AA43" s="67">
        <f t="shared" si="82"/>
        <v>15122504.119999999</v>
      </c>
      <c r="AB43" s="140">
        <f t="shared" si="82"/>
        <v>17495305.009999998</v>
      </c>
      <c r="AC43" s="67">
        <f t="shared" si="82"/>
        <v>21254518.130000003</v>
      </c>
      <c r="AD43" s="67">
        <f t="shared" si="82"/>
        <v>23670549.189999998</v>
      </c>
      <c r="AE43" s="67">
        <f t="shared" si="82"/>
        <v>28086957.09</v>
      </c>
      <c r="AF43" s="67">
        <f t="shared" si="82"/>
        <v>16655609.35</v>
      </c>
      <c r="AG43" s="67">
        <f t="shared" si="82"/>
        <v>31752761.350000001</v>
      </c>
      <c r="AH43" s="67">
        <f t="shared" si="82"/>
        <v>993002.07000000007</v>
      </c>
      <c r="AI43" s="67">
        <f t="shared" si="82"/>
        <v>1175392.07</v>
      </c>
      <c r="AJ43" s="67">
        <f t="shared" si="82"/>
        <v>8867720.0799999982</v>
      </c>
      <c r="AK43" s="67">
        <f t="shared" si="82"/>
        <v>6650703.1200000001</v>
      </c>
      <c r="AL43" s="67">
        <f t="shared" si="82"/>
        <v>7794519.1600000001</v>
      </c>
      <c r="AM43" s="67">
        <f t="shared" si="82"/>
        <v>8275093.1600000001</v>
      </c>
      <c r="AN43" s="67">
        <f t="shared" si="82"/>
        <v>9657311.2100000009</v>
      </c>
      <c r="AO43" s="67">
        <f t="shared" si="82"/>
        <v>9227155.2100000009</v>
      </c>
      <c r="AP43" s="67">
        <f t="shared" si="82"/>
        <v>15298626.300000001</v>
      </c>
      <c r="AQ43" s="67">
        <f t="shared" ref="AQ43:BF43" si="83">SUM(AQ44:AQ47)</f>
        <v>0</v>
      </c>
      <c r="AR43" s="67">
        <f t="shared" si="83"/>
        <v>0</v>
      </c>
      <c r="AS43" s="67">
        <f t="shared" si="83"/>
        <v>0</v>
      </c>
      <c r="AT43" s="67">
        <f t="shared" si="83"/>
        <v>0</v>
      </c>
      <c r="AU43" s="67">
        <f t="shared" si="83"/>
        <v>971406.33</v>
      </c>
      <c r="AV43" s="67">
        <f t="shared" si="83"/>
        <v>2799593.99</v>
      </c>
      <c r="AW43" s="67">
        <f t="shared" si="83"/>
        <v>4145797.44</v>
      </c>
      <c r="AX43" s="67">
        <f t="shared" si="83"/>
        <v>5271178.49</v>
      </c>
      <c r="AY43" s="67">
        <f t="shared" si="83"/>
        <v>6895822.6799999997</v>
      </c>
      <c r="AZ43" s="67">
        <f t="shared" si="83"/>
        <v>7535433.8200000003</v>
      </c>
      <c r="BA43" s="67">
        <f t="shared" si="83"/>
        <v>0</v>
      </c>
      <c r="BB43" s="67">
        <f t="shared" si="83"/>
        <v>12230910.58</v>
      </c>
      <c r="BC43" s="67">
        <f t="shared" si="83"/>
        <v>13734457.059999999</v>
      </c>
      <c r="BD43" s="67">
        <f t="shared" si="83"/>
        <v>15112476.449999999</v>
      </c>
      <c r="BE43" s="67">
        <f t="shared" si="83"/>
        <v>16750793.710000001</v>
      </c>
      <c r="BF43" s="67">
        <f t="shared" si="83"/>
        <v>19060070.23</v>
      </c>
      <c r="BG43" s="67">
        <f t="shared" ref="BG43:BS43" si="84">SUM(BG44:BG47)</f>
        <v>22057253</v>
      </c>
      <c r="BH43" s="67">
        <f t="shared" si="84"/>
        <v>1692849.31</v>
      </c>
      <c r="BI43" s="67">
        <f t="shared" si="84"/>
        <v>2903977.3899999997</v>
      </c>
      <c r="BJ43" s="67">
        <f t="shared" si="84"/>
        <v>4661272.8899999997</v>
      </c>
      <c r="BK43" s="67">
        <f t="shared" si="84"/>
        <v>6936620.4000000004</v>
      </c>
      <c r="BL43" s="67">
        <f t="shared" si="84"/>
        <v>7704980.6099999994</v>
      </c>
      <c r="BM43" s="67">
        <f t="shared" si="84"/>
        <v>9095704.4600000009</v>
      </c>
      <c r="BN43" s="67">
        <f t="shared" si="84"/>
        <v>10260048.469999999</v>
      </c>
      <c r="BO43" s="67">
        <f t="shared" si="84"/>
        <v>13435273.559999999</v>
      </c>
      <c r="BP43" s="67">
        <f t="shared" si="84"/>
        <v>13245099</v>
      </c>
      <c r="BQ43" s="67">
        <f t="shared" si="84"/>
        <v>14731492.65</v>
      </c>
      <c r="BR43" s="67">
        <f t="shared" si="84"/>
        <v>16427393.969999999</v>
      </c>
      <c r="BS43" s="67">
        <f t="shared" si="84"/>
        <v>19789954.200000003</v>
      </c>
      <c r="BT43" s="67">
        <f t="shared" ref="BT43:BX43" si="85">SUM(BT44:BT47)</f>
        <v>21282221</v>
      </c>
      <c r="BU43" s="67">
        <f t="shared" si="85"/>
        <v>1698981.3</v>
      </c>
      <c r="BV43" s="67">
        <f t="shared" si="85"/>
        <v>2704002.35</v>
      </c>
      <c r="BW43" s="67">
        <f t="shared" si="85"/>
        <v>5689302.7699999996</v>
      </c>
      <c r="BX43" s="67">
        <f t="shared" si="85"/>
        <v>6172667.71</v>
      </c>
      <c r="BY43" s="67">
        <f t="shared" ref="BY43:BZ43" si="86">SUM(BY44:BY47)</f>
        <v>8272055.8600000003</v>
      </c>
      <c r="BZ43" s="67">
        <f t="shared" si="86"/>
        <v>10765607.18</v>
      </c>
      <c r="CA43" s="67">
        <f t="shared" ref="CA43:CE43" si="87">SUM(CA44:CA47)</f>
        <v>12025866.24</v>
      </c>
      <c r="CB43" s="67">
        <f t="shared" si="87"/>
        <v>13295394.049999999</v>
      </c>
      <c r="CC43" s="67">
        <f t="shared" si="87"/>
        <v>14298666.439999999</v>
      </c>
      <c r="CD43" s="67">
        <f t="shared" si="87"/>
        <v>16731924.489999998</v>
      </c>
      <c r="CE43" s="67">
        <f t="shared" ref="CE43:CF43" si="88">SUM(CE44:CE47)</f>
        <v>17928018.259999998</v>
      </c>
      <c r="CF43" s="67">
        <f t="shared" si="88"/>
        <v>22712641.050000001</v>
      </c>
      <c r="CG43" s="67">
        <f t="shared" ref="CG43:CJ43" si="89">SUM(CG44:CG47)</f>
        <v>25282780</v>
      </c>
      <c r="CH43" s="67">
        <f t="shared" si="89"/>
        <v>2570138.9499999974</v>
      </c>
      <c r="CI43" s="67">
        <f t="shared" si="89"/>
        <v>25282780</v>
      </c>
      <c r="CJ43" s="67">
        <f t="shared" si="89"/>
        <v>1772702.29</v>
      </c>
      <c r="CK43" s="67">
        <f t="shared" ref="CK43:CL43" si="90">SUM(CK44:CK47)</f>
        <v>3903906.4200000004</v>
      </c>
      <c r="CL43" s="67">
        <f t="shared" si="90"/>
        <v>5843542.54</v>
      </c>
      <c r="CM43" s="67">
        <f t="shared" ref="CM43" si="91">SUM(CM44:CM47)</f>
        <v>7168247.0300000003</v>
      </c>
    </row>
    <row r="44" spans="1:91">
      <c r="A44" s="41">
        <v>10.1</v>
      </c>
      <c r="B44" s="41" t="s">
        <v>138</v>
      </c>
      <c r="C44" s="66">
        <f>'Evolutitve SCI'!B13+'Evolutitve SCI'!B16</f>
        <v>13850551</v>
      </c>
      <c r="D44" s="66">
        <f>'Evolutitve SCI'!C13+'Evolutitve SCI'!C16</f>
        <v>15148672</v>
      </c>
      <c r="E44" s="66">
        <f>'Evolutitve SCI'!E13+'Evolutitve SCI'!E16</f>
        <v>12479281</v>
      </c>
      <c r="F44" s="66">
        <f>'Evolutitve SCI'!F13+'Evolutitve SCI'!F16</f>
        <v>71490</v>
      </c>
      <c r="G44" s="66">
        <f>'Evolutitve SCI'!F13+'Evolutitve SCI'!F16</f>
        <v>71490</v>
      </c>
      <c r="H44" s="66">
        <f>'Evolutitve SCI'!G13+'Evolutitve SCI'!G16</f>
        <v>0</v>
      </c>
      <c r="I44" s="66">
        <f>'Evolutitve SCI'!H13+'Evolutitve SCI'!H16</f>
        <v>974939.1</v>
      </c>
      <c r="J44" s="66">
        <f>'Evolutitve SCI'!I13+'Evolutitve SCI'!I16</f>
        <v>3112847.38</v>
      </c>
      <c r="K44" s="66">
        <f>'Evolutitve SCI'!J13+'Evolutitve SCI'!J16</f>
        <v>3480124.5</v>
      </c>
      <c r="L44" s="66">
        <f>'Evolutitve SCI'!K13+'Evolutitve SCI'!K16</f>
        <v>4316302</v>
      </c>
      <c r="M44" s="66">
        <f>'Evolutitve SCI'!L13+'Evolutitve SCI'!L16</f>
        <v>0</v>
      </c>
      <c r="N44" s="66">
        <f>'Evolutitve SCI'!M13+'Evolutitve SCI'!M16</f>
        <v>0</v>
      </c>
      <c r="O44" s="66">
        <f>'Evolutitve SCI'!N13+'Evolutitve SCI'!N16</f>
        <v>0</v>
      </c>
      <c r="P44" s="66">
        <f>'Evolutitve SCI'!O13+'Evolutitve SCI'!O16</f>
        <v>0</v>
      </c>
      <c r="Q44" s="66">
        <f>'Evolutitve SCI'!P13+'Evolutitve SCI'!P16</f>
        <v>0</v>
      </c>
      <c r="R44" s="66">
        <f>'Evolutitve SCI'!Q13+'Evolutitve SCI'!Q16</f>
        <v>0</v>
      </c>
      <c r="S44" s="66">
        <f>'Evolutitve SCI'!R13+'Evolutitve SCI'!R16</f>
        <v>2654015</v>
      </c>
      <c r="T44" s="66">
        <f>'Evolutitve SCI'!S13+'Evolutitve SCI'!S16</f>
        <v>278166.42</v>
      </c>
      <c r="U44" s="66">
        <f>'Evolutitve SCI'!T13+'Evolutitve SCI'!T16</f>
        <v>1540900.92</v>
      </c>
      <c r="V44" s="66">
        <f>'Evolutitve SCI'!U13+'Evolutitve SCI'!U16</f>
        <v>1550498.42</v>
      </c>
      <c r="W44" s="66">
        <f>'Evolutitve SCI'!V13+'Evolutitve SCI'!V16</f>
        <v>1552498.42</v>
      </c>
      <c r="X44" s="66">
        <f>'Evolutitve SCI'!W13+'Evolutitve SCI'!W16</f>
        <v>1681056.0899999999</v>
      </c>
      <c r="Y44" s="66">
        <f>'Evolutitve SCI'!X13+'Evolutitve SCI'!X16</f>
        <v>1808815.13</v>
      </c>
      <c r="Z44" s="66">
        <f>'Evolutitve SCI'!Y13+'Evolutitve SCI'!Y16</f>
        <v>2070573.13</v>
      </c>
      <c r="AA44" s="66">
        <f>'Evolutitve SCI'!Z13+'Evolutitve SCI'!Z16</f>
        <v>600324.96</v>
      </c>
      <c r="AB44" s="139">
        <f>'Evolutitve SCI'!AA13+'Evolutitve SCI'!AA16</f>
        <v>2305834.7200000002</v>
      </c>
      <c r="AC44" s="66">
        <f>'Evolutitve SCI'!AB13+'Evolutitve SCI'!AB16</f>
        <v>2335356.85</v>
      </c>
      <c r="AD44" s="66">
        <f>'Evolutitve SCI'!AC13+'Evolutitve SCI'!AC16</f>
        <v>2335356.85</v>
      </c>
      <c r="AE44" s="66">
        <f>'Evolutitve SCI'!AD13+'Evolutitve SCI'!AD16</f>
        <v>2445314.5099999998</v>
      </c>
      <c r="AF44" s="66">
        <f>'Evolutitve SCI'!AE13+'Evolutitve SCI'!AE16</f>
        <v>0</v>
      </c>
      <c r="AG44" s="66">
        <f>'Evolutitve SCI'!AF13+'Evolutitve SCI'!AF16</f>
        <v>3401675</v>
      </c>
      <c r="AH44" s="66">
        <f>'Evolutitve SCI'!AG13+'Evolutitve SCI'!AG16</f>
        <v>52543.8</v>
      </c>
      <c r="AI44" s="66">
        <f>'Evolutitve SCI'!AH13+'Evolutitve SCI'!AH16</f>
        <v>52543.8</v>
      </c>
      <c r="AJ44" s="66">
        <f>'Evolutitve SCI'!AI13+'Evolutitve SCI'!AI16</f>
        <v>52543.8</v>
      </c>
      <c r="AK44" s="66">
        <f>'Evolutitve SCI'!AJ13+'Evolutitve SCI'!AJ16</f>
        <v>52543.8</v>
      </c>
      <c r="AL44" s="66">
        <f>'Evolutitve SCI'!AK13+'Evolutitve SCI'!AK16</f>
        <v>89710.8</v>
      </c>
      <c r="AM44" s="66">
        <f>'Evolutitve SCI'!AL13+'Evolutitve SCI'!AL16</f>
        <v>89710.8</v>
      </c>
      <c r="AN44" s="66">
        <f>'Evolutitve SCI'!AM13+'Evolutitve SCI'!AM16</f>
        <v>187198.8</v>
      </c>
      <c r="AO44" s="66">
        <f>'Evolutitve SCI'!AN13+'Evolutitve SCI'!AN16</f>
        <v>187198.8</v>
      </c>
      <c r="AP44" s="66">
        <f>'Evolutitve SCI'!AO13+'Evolutitve SCI'!AO16</f>
        <v>0</v>
      </c>
      <c r="AQ44" s="66">
        <f>'Evolutitve SCI'!AP13+'Evolutitve SCI'!AP16</f>
        <v>0</v>
      </c>
      <c r="AR44" s="66">
        <f>'Evolutitve SCI'!AQ13+'Evolutitve SCI'!AQ16</f>
        <v>0</v>
      </c>
      <c r="AS44" s="66">
        <f>'Evolutitve SCI'!AR13+'Evolutitve SCI'!AR16</f>
        <v>0</v>
      </c>
      <c r="AT44" s="66">
        <f>'Evolutitve SCI'!AS13+'Evolutitve SCI'!AS16</f>
        <v>0</v>
      </c>
      <c r="AU44" s="66">
        <f>'Evolutitve SCI'!AT13+'Evolutitve SCI'!AT16</f>
        <v>0</v>
      </c>
      <c r="AV44" s="66">
        <f>'Evolutitve SCI'!AU13+'Evolutitve SCI'!AU16</f>
        <v>0</v>
      </c>
      <c r="AW44" s="66">
        <f>'Evolutitve SCI'!AV13+'Evolutitve SCI'!AV16</f>
        <v>377400</v>
      </c>
      <c r="AX44" s="66">
        <f>'Evolutitve SCI'!AW13+'Evolutitve SCI'!AW16</f>
        <v>377400</v>
      </c>
      <c r="AY44" s="66">
        <f>'Evolutitve SCI'!AX13+'Evolutitve SCI'!AX16</f>
        <v>49870</v>
      </c>
      <c r="AZ44" s="66">
        <f>'Evolutitve SCI'!AY13+'Evolutitve SCI'!AY16</f>
        <v>49870</v>
      </c>
      <c r="BA44" s="66">
        <f>'Evolutitve SCI'!AZ13+'Evolutitve SCI'!AZ16</f>
        <v>0</v>
      </c>
      <c r="BB44" s="66">
        <f>'Evolutitve SCI'!BA13+'Evolutitve SCI'!BA16</f>
        <v>146350</v>
      </c>
      <c r="BC44" s="66">
        <f>'Evolutitve SCI'!BB13+'Evolutitve SCI'!BB16</f>
        <v>146350</v>
      </c>
      <c r="BD44" s="66">
        <f>'Evolutitve SCI'!BC13+'Evolutitve SCI'!BC16</f>
        <v>213774</v>
      </c>
      <c r="BE44" s="66">
        <f>'Evolutitve SCI'!BD13+'Evolutitve SCI'!BD16</f>
        <v>228494</v>
      </c>
      <c r="BF44" s="66">
        <f>'Evolutitve SCI'!BE13+'Evolutitve SCI'!BE16</f>
        <v>250494</v>
      </c>
      <c r="BG44" s="66">
        <f>'Evolutitve SCI'!BF13+'Evolutitve SCI'!BF16</f>
        <v>213774</v>
      </c>
      <c r="BH44" s="66">
        <f>'Evolutitve SCI'!BG13+'Evolutitve SCI'!BG16</f>
        <v>0</v>
      </c>
      <c r="BI44" s="66">
        <f>'Evolutitve SCI'!BH13+'Evolutitve SCI'!BH16</f>
        <v>0</v>
      </c>
      <c r="BJ44" s="66">
        <f>'Evolutitve SCI'!BI13+'Evolutitve SCI'!BI16</f>
        <v>51997</v>
      </c>
      <c r="BK44" s="66">
        <f>'Evolutitve SCI'!BJ13+'Evolutitve SCI'!BJ16</f>
        <v>51997.03</v>
      </c>
      <c r="BL44" s="66">
        <f>'Evolutitve SCI'!BK13+'Evolutitve SCI'!BK16</f>
        <v>51997</v>
      </c>
      <c r="BM44" s="66">
        <f>'Evolutitve SCI'!BL13+'Evolutitve SCI'!BL16</f>
        <v>80526</v>
      </c>
      <c r="BN44" s="66">
        <f>'Evolutitve SCI'!BM13+'Evolutitve SCI'!BM16</f>
        <v>80526.03</v>
      </c>
      <c r="BO44" s="66">
        <f>'Evolutitve SCI'!BN13+'Evolutitve SCI'!BN16</f>
        <v>80526.03</v>
      </c>
      <c r="BP44" s="66">
        <f>'Evolutitve SCI'!BO13+'Evolutitve SCI'!BO16</f>
        <v>80526.03</v>
      </c>
      <c r="BQ44" s="66">
        <f>'Evolutitve SCI'!BP13+'Evolutitve SCI'!BP16</f>
        <v>80526.03</v>
      </c>
      <c r="BR44" s="66">
        <f>'Evolutitve SCI'!BQ13+'Evolutitve SCI'!BQ16</f>
        <v>80526.03</v>
      </c>
      <c r="BS44" s="66">
        <f>'Evolutitve SCI'!BR13+'Evolutitve SCI'!BR16</f>
        <v>80526.03</v>
      </c>
      <c r="BT44" s="66">
        <f>'Evolutitve SCI'!BS13+'Evolutitve SCI'!BS16</f>
        <v>421216</v>
      </c>
      <c r="BU44" s="66">
        <f>'Evolutitve SCI'!BT13+'Evolutitve SCI'!BT16</f>
        <v>305620</v>
      </c>
      <c r="BV44" s="66">
        <f>'Evolutitve SCI'!BU13+'Evolutitve SCI'!BU16</f>
        <v>305620</v>
      </c>
      <c r="BW44" s="66">
        <f>'Evolutitve SCI'!BV13+'Evolutitve SCI'!BV16</f>
        <v>305620</v>
      </c>
      <c r="BX44" s="66">
        <f>'Evolutitve SCI'!BW13+'Evolutitve SCI'!BW16</f>
        <v>305620</v>
      </c>
      <c r="BY44" s="66">
        <f>'Evolutitve SCI'!BX13+'Evolutitve SCI'!BX16</f>
        <v>790254.74</v>
      </c>
      <c r="BZ44" s="66">
        <f>'Evolutitve SCI'!BY13+'Evolutitve SCI'!BY16</f>
        <v>348311</v>
      </c>
      <c r="CA44" s="66">
        <f>'Evolutitve SCI'!BZ13+'Evolutitve SCI'!BZ16</f>
        <v>302987.28999999998</v>
      </c>
      <c r="CB44" s="66">
        <f>'Evolutitve SCI'!CA13+'Evolutitve SCI'!CA16</f>
        <v>348311</v>
      </c>
      <c r="CC44" s="66">
        <f>'Evolutitve SCI'!CB13+'Evolutitve SCI'!CB16</f>
        <v>348311</v>
      </c>
      <c r="CD44" s="66">
        <f>'Evolutitve SCI'!CC13+'Evolutitve SCI'!CC16</f>
        <v>348311</v>
      </c>
      <c r="CE44" s="66">
        <f>'Evolutitve SCI'!CD13+'Evolutitve SCI'!CD16</f>
        <v>348311</v>
      </c>
      <c r="CF44" s="66">
        <f>'Evolutitve SCI'!CE13+'Evolutitve SCI'!CE16</f>
        <v>348311</v>
      </c>
      <c r="CG44" s="66">
        <f>'Evolutitve SCI'!CF13+'Evolutitve SCI'!CF16</f>
        <v>817301</v>
      </c>
      <c r="CH44" s="66">
        <f>'Evolutitve SCI'!CG13+'Evolutitve SCI'!CG16</f>
        <v>468990</v>
      </c>
      <c r="CI44" s="66">
        <f>'Evolutitve SCI'!CH13+'Evolutitve SCI'!CH16</f>
        <v>817301</v>
      </c>
      <c r="CJ44" s="66">
        <f>'Evolutitve SCI'!CI13+'Evolutitve SCI'!CI16</f>
        <v>73369</v>
      </c>
      <c r="CK44" s="66">
        <f>'Evolutitve SCI'!CJ13+'Evolutitve SCI'!CJ16</f>
        <v>378989</v>
      </c>
      <c r="CL44" s="66">
        <f>'Evolutitve SCI'!CK13+'Evolutitve SCI'!CK16</f>
        <v>378989</v>
      </c>
      <c r="CM44" s="66">
        <f>'Evolutitve SCI'!CL13+'Evolutitve SCI'!CL16</f>
        <v>378989</v>
      </c>
    </row>
    <row r="45" spans="1:91">
      <c r="A45" s="41">
        <v>10.199999999999999</v>
      </c>
      <c r="B45" s="41" t="s">
        <v>139</v>
      </c>
      <c r="C45" s="66">
        <f>'Evolutitve SCI'!B15</f>
        <v>0</v>
      </c>
      <c r="D45" s="66">
        <f>'Evolutitve SCI'!C15</f>
        <v>0</v>
      </c>
      <c r="E45" s="66">
        <f>'Evolutitve SCI'!E15</f>
        <v>590214</v>
      </c>
      <c r="F45" s="66">
        <f>'Evolutitve SCI'!F15</f>
        <v>0</v>
      </c>
      <c r="G45" s="66">
        <f>'Evolutitve SCI'!F15</f>
        <v>0</v>
      </c>
      <c r="H45" s="66">
        <f>'Evolutitve SCI'!G15</f>
        <v>72000</v>
      </c>
      <c r="I45" s="66">
        <f>'Evolutitve SCI'!H15</f>
        <v>0</v>
      </c>
      <c r="J45" s="66">
        <f>'Evolutitve SCI'!I15</f>
        <v>0</v>
      </c>
      <c r="K45" s="66">
        <f>'Evolutitve SCI'!J15</f>
        <v>0</v>
      </c>
      <c r="L45" s="66">
        <f>'Evolutitve SCI'!K15</f>
        <v>0</v>
      </c>
      <c r="M45" s="66">
        <f>'Evolutitve SCI'!L15</f>
        <v>0</v>
      </c>
      <c r="N45" s="66">
        <f>'Evolutitve SCI'!M15</f>
        <v>0</v>
      </c>
      <c r="O45" s="66">
        <f>'Evolutitve SCI'!N15</f>
        <v>0</v>
      </c>
      <c r="P45" s="66">
        <f>'Evolutitve SCI'!O15</f>
        <v>0</v>
      </c>
      <c r="Q45" s="66">
        <f>'Evolutitve SCI'!P15</f>
        <v>0</v>
      </c>
      <c r="R45" s="66">
        <f>'Evolutitve SCI'!Q15</f>
        <v>0</v>
      </c>
      <c r="S45" s="66">
        <f>'Evolutitve SCI'!R15</f>
        <v>145720</v>
      </c>
      <c r="T45" s="66">
        <f>'Evolutitve SCI'!S15</f>
        <v>0</v>
      </c>
      <c r="U45" s="66">
        <f>'Evolutitve SCI'!T15</f>
        <v>0</v>
      </c>
      <c r="V45" s="66">
        <f>'Evolutitve SCI'!U15</f>
        <v>0</v>
      </c>
      <c r="W45" s="66">
        <f>'Evolutitve SCI'!V15</f>
        <v>0</v>
      </c>
      <c r="X45" s="66">
        <f>'Evolutitve SCI'!W15</f>
        <v>0</v>
      </c>
      <c r="Y45" s="66">
        <f>'Evolutitve SCI'!X15</f>
        <v>0</v>
      </c>
      <c r="Z45" s="66">
        <f>'Evolutitve SCI'!Y15</f>
        <v>0</v>
      </c>
      <c r="AA45" s="66">
        <f>'Evolutitve SCI'!Z15</f>
        <v>0</v>
      </c>
      <c r="AB45" s="139">
        <f>'Evolutitve SCI'!AA15</f>
        <v>0</v>
      </c>
      <c r="AC45" s="66">
        <f>'Evolutitve SCI'!AB15</f>
        <v>0</v>
      </c>
      <c r="AD45" s="66">
        <f>'Evolutitve SCI'!AC15</f>
        <v>0</v>
      </c>
      <c r="AE45" s="66">
        <f>'Evolutitve SCI'!AD15</f>
        <v>0</v>
      </c>
      <c r="AF45" s="66">
        <f>'Evolutitve SCI'!AE15</f>
        <v>0</v>
      </c>
      <c r="AG45" s="66">
        <f>'Evolutitve SCI'!AF15</f>
        <v>0</v>
      </c>
      <c r="AH45" s="66">
        <f>'Evolutitve SCI'!AG15</f>
        <v>0</v>
      </c>
      <c r="AI45" s="66">
        <f>'Evolutitve SCI'!AH15</f>
        <v>0</v>
      </c>
      <c r="AJ45" s="66">
        <f>'Evolutitve SCI'!AI15</f>
        <v>0</v>
      </c>
      <c r="AK45" s="66">
        <f>'Evolutitve SCI'!AJ15</f>
        <v>0</v>
      </c>
      <c r="AL45" s="66">
        <f>'Evolutitve SCI'!AK15</f>
        <v>0</v>
      </c>
      <c r="AM45" s="66">
        <f>'Evolutitve SCI'!AL15</f>
        <v>0</v>
      </c>
      <c r="AN45" s="66">
        <f>'Evolutitve SCI'!AM15</f>
        <v>0</v>
      </c>
      <c r="AO45" s="66">
        <f>'Evolutitve SCI'!AN15</f>
        <v>0</v>
      </c>
      <c r="AP45" s="66">
        <f>'Evolutitve SCI'!AO15</f>
        <v>0</v>
      </c>
      <c r="AQ45" s="66">
        <f>'Evolutitve SCI'!AP15</f>
        <v>0</v>
      </c>
      <c r="AR45" s="66">
        <f>'Evolutitve SCI'!AQ15</f>
        <v>0</v>
      </c>
      <c r="AS45" s="66">
        <f>'Evolutitve SCI'!AR15</f>
        <v>0</v>
      </c>
      <c r="AT45" s="66">
        <f>'Evolutitve SCI'!AS15</f>
        <v>0</v>
      </c>
      <c r="AU45" s="66">
        <f>'Evolutitve SCI'!AT15</f>
        <v>0</v>
      </c>
      <c r="AV45" s="66">
        <f>'Evolutitve SCI'!AU15</f>
        <v>0</v>
      </c>
      <c r="AW45" s="66">
        <f>'Evolutitve SCI'!AV15</f>
        <v>0</v>
      </c>
      <c r="AX45" s="66">
        <f>'Evolutitve SCI'!AW15</f>
        <v>0</v>
      </c>
      <c r="AY45" s="66">
        <f>'Evolutitve SCI'!AX15</f>
        <v>0</v>
      </c>
      <c r="AZ45" s="66">
        <f>'Evolutitve SCI'!AY15</f>
        <v>0</v>
      </c>
      <c r="BA45" s="66">
        <f>'Evolutitve SCI'!AZ15</f>
        <v>0</v>
      </c>
      <c r="BB45" s="66">
        <f>'Evolutitve SCI'!BA15</f>
        <v>0</v>
      </c>
      <c r="BC45" s="66">
        <f>'Evolutitve SCI'!BB15</f>
        <v>0</v>
      </c>
      <c r="BD45" s="66">
        <f>'Evolutitve SCI'!BC15</f>
        <v>0</v>
      </c>
      <c r="BE45" s="66">
        <f>'Evolutitve SCI'!BD15</f>
        <v>0</v>
      </c>
      <c r="BF45" s="66">
        <f>'Evolutitve SCI'!BE15</f>
        <v>0</v>
      </c>
      <c r="BG45" s="66">
        <f>'Evolutitve SCI'!BF15</f>
        <v>0</v>
      </c>
      <c r="BH45" s="66">
        <f>'Evolutitve SCI'!BG15</f>
        <v>0</v>
      </c>
      <c r="BI45" s="66">
        <f>'Evolutitve SCI'!BH15</f>
        <v>0</v>
      </c>
      <c r="BJ45" s="66">
        <f>'Evolutitve SCI'!BI15</f>
        <v>0</v>
      </c>
      <c r="BK45" s="66">
        <f>'Evolutitve SCI'!BJ15</f>
        <v>0</v>
      </c>
      <c r="BL45" s="66">
        <f>'Evolutitve SCI'!BK15</f>
        <v>0</v>
      </c>
      <c r="BM45" s="66">
        <f>'Evolutitve SCI'!BL15</f>
        <v>0</v>
      </c>
      <c r="BN45" s="66">
        <f>'Evolutitve SCI'!BM15</f>
        <v>0</v>
      </c>
      <c r="BO45" s="66">
        <f>'Evolutitve SCI'!BN15</f>
        <v>0</v>
      </c>
      <c r="BP45" s="66">
        <f>'Evolutitve SCI'!BO15</f>
        <v>0</v>
      </c>
      <c r="BQ45" s="66">
        <f>'Evolutitve SCI'!BP15</f>
        <v>0</v>
      </c>
      <c r="BR45" s="66">
        <f>'Evolutitve SCI'!BQ15</f>
        <v>0</v>
      </c>
      <c r="BS45" s="66">
        <f>'Evolutitve SCI'!BR15</f>
        <v>0</v>
      </c>
      <c r="BT45" s="66">
        <f>'Evolutitve SCI'!BS15</f>
        <v>0</v>
      </c>
      <c r="BU45" s="66">
        <f>'Evolutitve SCI'!BT15</f>
        <v>0</v>
      </c>
      <c r="BV45" s="66">
        <f>'Evolutitve SCI'!BU15</f>
        <v>0</v>
      </c>
      <c r="BW45" s="66">
        <f>'Evolutitve SCI'!BV15</f>
        <v>0</v>
      </c>
      <c r="BX45" s="66">
        <f>'Evolutitve SCI'!BW15</f>
        <v>0</v>
      </c>
      <c r="BY45" s="66">
        <f>'Evolutitve SCI'!BX15</f>
        <v>0</v>
      </c>
      <c r="BZ45" s="66">
        <f>'Evolutitve SCI'!BY15</f>
        <v>0</v>
      </c>
      <c r="CA45" s="66">
        <f>'Evolutitve SCI'!BZ15</f>
        <v>0</v>
      </c>
      <c r="CB45" s="66">
        <f>'Evolutitve SCI'!CA15</f>
        <v>0</v>
      </c>
      <c r="CC45" s="66">
        <f>'Evolutitve SCI'!CB15</f>
        <v>0</v>
      </c>
      <c r="CD45" s="66">
        <f>'Evolutitve SCI'!CC15</f>
        <v>0</v>
      </c>
      <c r="CE45" s="66">
        <f>'Evolutitve SCI'!CD15</f>
        <v>0</v>
      </c>
      <c r="CF45" s="66">
        <f>'Evolutitve SCI'!CE15</f>
        <v>0</v>
      </c>
      <c r="CG45" s="66">
        <f>'Evolutitve SCI'!CF15</f>
        <v>0</v>
      </c>
      <c r="CH45" s="66">
        <f>'Evolutitve SCI'!CG15</f>
        <v>0</v>
      </c>
      <c r="CI45" s="66">
        <f>'Evolutitve SCI'!CH15</f>
        <v>0</v>
      </c>
      <c r="CJ45" s="66">
        <f>'Evolutitve SCI'!CI15</f>
        <v>0</v>
      </c>
      <c r="CK45" s="66">
        <f>'Evolutitve SCI'!CJ15</f>
        <v>0</v>
      </c>
      <c r="CL45" s="66">
        <f>'Evolutitve SCI'!CK15</f>
        <v>0</v>
      </c>
      <c r="CM45" s="66">
        <f>'Evolutitve SCI'!CL15</f>
        <v>0</v>
      </c>
    </row>
    <row r="46" spans="1:91">
      <c r="A46" s="41">
        <v>10.3</v>
      </c>
      <c r="B46" s="41" t="s">
        <v>140</v>
      </c>
      <c r="C46" s="66">
        <f>'Evolutitve SCI'!B14</f>
        <v>2151415</v>
      </c>
      <c r="D46" s="66">
        <f>'Evolutitve SCI'!C14</f>
        <v>631102</v>
      </c>
      <c r="E46" s="66">
        <f>'Evolutitve SCI'!E14</f>
        <v>1183523</v>
      </c>
      <c r="F46" s="66">
        <f>'Evolutitve SCI'!F14</f>
        <v>60641.25</v>
      </c>
      <c r="G46" s="66">
        <f>'Evolutitve SCI'!F14</f>
        <v>60641.25</v>
      </c>
      <c r="H46" s="66">
        <f>'Evolutitve SCI'!G14</f>
        <v>142725.93</v>
      </c>
      <c r="I46" s="66">
        <f>'Evolutitve SCI'!H14</f>
        <v>231860.45</v>
      </c>
      <c r="J46" s="66">
        <f>'Evolutitve SCI'!I14</f>
        <v>231860.45</v>
      </c>
      <c r="K46" s="66">
        <f>'Evolutitve SCI'!J14</f>
        <v>260648</v>
      </c>
      <c r="L46" s="66">
        <f>'Evolutitve SCI'!K14</f>
        <v>260648</v>
      </c>
      <c r="M46" s="66">
        <f>'Evolutitve SCI'!L14</f>
        <v>0</v>
      </c>
      <c r="N46" s="66">
        <f>'Evolutitve SCI'!M14</f>
        <v>0</v>
      </c>
      <c r="O46" s="66">
        <f>'Evolutitve SCI'!N14</f>
        <v>0</v>
      </c>
      <c r="P46" s="66">
        <f>'Evolutitve SCI'!O14</f>
        <v>0</v>
      </c>
      <c r="Q46" s="66">
        <f>'Evolutitve SCI'!P14</f>
        <v>0</v>
      </c>
      <c r="R46" s="66">
        <f>'Evolutitve SCI'!Q14</f>
        <v>0</v>
      </c>
      <c r="S46" s="66">
        <f>'Evolutitve SCI'!R14</f>
        <v>767778</v>
      </c>
      <c r="T46" s="66">
        <f>'Evolutitve SCI'!S14</f>
        <v>0</v>
      </c>
      <c r="U46" s="66">
        <f>'Evolutitve SCI'!T14</f>
        <v>43345.04</v>
      </c>
      <c r="V46" s="66">
        <f>'Evolutitve SCI'!U14</f>
        <v>72132.22</v>
      </c>
      <c r="W46" s="66">
        <f>'Evolutitve SCI'!V14</f>
        <v>72132.22</v>
      </c>
      <c r="X46" s="66">
        <f>'Evolutitve SCI'!W14</f>
        <v>72132.22</v>
      </c>
      <c r="Y46" s="66">
        <f>'Evolutitve SCI'!X14</f>
        <v>72132.22</v>
      </c>
      <c r="Z46" s="66">
        <f>'Evolutitve SCI'!Y14</f>
        <v>72132.22</v>
      </c>
      <c r="AA46" s="66">
        <f>'Evolutitve SCI'!Z14</f>
        <v>72132.22</v>
      </c>
      <c r="AB46" s="139">
        <f>'Evolutitve SCI'!AA14</f>
        <v>52623.35</v>
      </c>
      <c r="AC46" s="66">
        <f>'Evolutitve SCI'!AB14</f>
        <v>72132.22</v>
      </c>
      <c r="AD46" s="66">
        <f>'Evolutitve SCI'!AC14</f>
        <v>72132.22</v>
      </c>
      <c r="AE46" s="66">
        <f>'Evolutitve SCI'!AD14</f>
        <v>72132.22</v>
      </c>
      <c r="AF46" s="66">
        <f>'Evolutitve SCI'!AE14</f>
        <v>0</v>
      </c>
      <c r="AG46" s="66">
        <f>'Evolutitve SCI'!AF14</f>
        <v>0</v>
      </c>
      <c r="AH46" s="66">
        <f>'Evolutitve SCI'!AG14</f>
        <v>0</v>
      </c>
      <c r="AI46" s="66">
        <f>'Evolutitve SCI'!AH14</f>
        <v>0</v>
      </c>
      <c r="AJ46" s="66">
        <f>'Evolutitve SCI'!AI14</f>
        <v>3305707</v>
      </c>
      <c r="AK46" s="66">
        <f>'Evolutitve SCI'!AJ14</f>
        <v>0</v>
      </c>
      <c r="AL46" s="66">
        <f>'Evolutitve SCI'!AK14</f>
        <v>0</v>
      </c>
      <c r="AM46" s="66">
        <f>'Evolutitve SCI'!AL14</f>
        <v>0</v>
      </c>
      <c r="AN46" s="66">
        <f>'Evolutitve SCI'!AM14</f>
        <v>0</v>
      </c>
      <c r="AO46" s="66">
        <f>'Evolutitve SCI'!AN14</f>
        <v>0</v>
      </c>
      <c r="AP46" s="66">
        <f>'Evolutitve SCI'!AO14</f>
        <v>5116036.21</v>
      </c>
      <c r="AQ46" s="66">
        <f>'Evolutitve SCI'!AP14</f>
        <v>0</v>
      </c>
      <c r="AR46" s="66">
        <f>'Evolutitve SCI'!AQ14</f>
        <v>0</v>
      </c>
      <c r="AS46" s="66">
        <f>'Evolutitve SCI'!AR14</f>
        <v>0</v>
      </c>
      <c r="AT46" s="66">
        <f>'Evolutitve SCI'!AS14</f>
        <v>0</v>
      </c>
      <c r="AU46" s="66">
        <f>'Evolutitve SCI'!AT14</f>
        <v>0</v>
      </c>
      <c r="AV46" s="66">
        <f>'Evolutitve SCI'!AU14</f>
        <v>0</v>
      </c>
      <c r="AW46" s="66">
        <f>'Evolutitve SCI'!AV14</f>
        <v>0</v>
      </c>
      <c r="AX46" s="66">
        <f>'Evolutitve SCI'!AW14</f>
        <v>0</v>
      </c>
      <c r="AY46" s="66">
        <f>'Evolutitve SCI'!AX14</f>
        <v>0</v>
      </c>
      <c r="AZ46" s="66">
        <f>'Evolutitve SCI'!AY14</f>
        <v>0</v>
      </c>
      <c r="BA46" s="66">
        <f>'Evolutitve SCI'!AZ14</f>
        <v>0</v>
      </c>
      <c r="BB46" s="66">
        <f>'Evolutitve SCI'!BA14</f>
        <v>1503659</v>
      </c>
      <c r="BC46" s="66">
        <f>'Evolutitve SCI'!BB14</f>
        <v>1503659</v>
      </c>
      <c r="BD46" s="66">
        <f>'Evolutitve SCI'!BC14</f>
        <v>1503659</v>
      </c>
      <c r="BE46" s="66">
        <f>'Evolutitve SCI'!BD14</f>
        <v>1503659</v>
      </c>
      <c r="BF46" s="66">
        <f>'Evolutitve SCI'!BE14</f>
        <v>1503659</v>
      </c>
      <c r="BG46" s="66">
        <f>'Evolutitve SCI'!BF14</f>
        <v>1503659</v>
      </c>
      <c r="BH46" s="66">
        <f>'Evolutitve SCI'!BG14</f>
        <v>0</v>
      </c>
      <c r="BI46" s="66">
        <f>'Evolutitve SCI'!BH14</f>
        <v>0</v>
      </c>
      <c r="BJ46" s="66">
        <f>'Evolutitve SCI'!BI14</f>
        <v>0</v>
      </c>
      <c r="BK46" s="66">
        <f>'Evolutitve SCI'!BJ14</f>
        <v>0</v>
      </c>
      <c r="BL46" s="66">
        <f>'Evolutitve SCI'!BK14</f>
        <v>0</v>
      </c>
      <c r="BM46" s="66">
        <f>'Evolutitve SCI'!BL14</f>
        <v>0</v>
      </c>
      <c r="BN46" s="66">
        <f>'Evolutitve SCI'!BM14</f>
        <v>0</v>
      </c>
      <c r="BO46" s="66">
        <f>'Evolutitve SCI'!BN14</f>
        <v>0</v>
      </c>
      <c r="BP46" s="66">
        <f>'Evolutitve SCI'!BO14</f>
        <v>0</v>
      </c>
      <c r="BQ46" s="66">
        <f>'Evolutitve SCI'!BP14</f>
        <v>0</v>
      </c>
      <c r="BR46" s="66">
        <f>'Evolutitve SCI'!BQ14</f>
        <v>226563</v>
      </c>
      <c r="BS46" s="66">
        <f>'Evolutitve SCI'!BR14</f>
        <v>0</v>
      </c>
      <c r="BT46" s="66">
        <f>'Evolutitve SCI'!BS14</f>
        <v>226563</v>
      </c>
      <c r="BU46" s="66">
        <f>'Evolutitve SCI'!BT14</f>
        <v>0</v>
      </c>
      <c r="BV46" s="66">
        <f>'Evolutitve SCI'!BU14</f>
        <v>0</v>
      </c>
      <c r="BW46" s="66">
        <f>'Evolutitve SCI'!BV14</f>
        <v>0</v>
      </c>
      <c r="BX46" s="66">
        <f>'Evolutitve SCI'!BW14</f>
        <v>0</v>
      </c>
      <c r="BY46" s="66">
        <f>'Evolutitve SCI'!BX14</f>
        <v>0</v>
      </c>
      <c r="BZ46" s="66">
        <f>'Evolutitve SCI'!BY14</f>
        <v>935006.01</v>
      </c>
      <c r="CA46" s="66">
        <f>'Evolutitve SCI'!BZ14</f>
        <v>994424.01</v>
      </c>
      <c r="CB46" s="66">
        <f>'Evolutitve SCI'!CA14</f>
        <v>935006.01</v>
      </c>
      <c r="CC46" s="66">
        <f>'Evolutitve SCI'!CB14</f>
        <v>994424</v>
      </c>
      <c r="CD46" s="66">
        <f>'Evolutitve SCI'!CC14</f>
        <v>994424</v>
      </c>
      <c r="CE46" s="66">
        <f>'Evolutitve SCI'!CD14</f>
        <v>1118764.24</v>
      </c>
      <c r="CF46" s="66">
        <f>'Evolutitve SCI'!CE14</f>
        <v>1118764.24</v>
      </c>
      <c r="CG46" s="66">
        <f>'Evolutitve SCI'!CF14</f>
        <v>1118764</v>
      </c>
      <c r="CH46" s="66">
        <f>'Evolutitve SCI'!CG14</f>
        <v>-0.23999999999068677</v>
      </c>
      <c r="CI46" s="66">
        <f>'Evolutitve SCI'!CH14</f>
        <v>1118764</v>
      </c>
      <c r="CJ46" s="66">
        <f>'Evolutitve SCI'!CI14</f>
        <v>211770.1</v>
      </c>
      <c r="CK46" s="66">
        <f>'Evolutitve SCI'!CJ14</f>
        <v>211770.1</v>
      </c>
      <c r="CL46" s="66">
        <f>'Evolutitve SCI'!CK14</f>
        <v>222288.04</v>
      </c>
      <c r="CM46" s="66">
        <f>'Evolutitve SCI'!CL14</f>
        <v>222288.04</v>
      </c>
    </row>
    <row r="47" spans="1:91">
      <c r="A47" s="41">
        <v>10.4</v>
      </c>
      <c r="B47" s="41" t="s">
        <v>141</v>
      </c>
      <c r="C47" s="66">
        <f>'Evolutitve SCI'!B23</f>
        <v>20314717</v>
      </c>
      <c r="D47" s="66">
        <f>'Evolutitve SCI'!C23</f>
        <v>26181005</v>
      </c>
      <c r="E47" s="66">
        <f>'Evolutitve SCI'!E23</f>
        <v>35494235</v>
      </c>
      <c r="F47" s="66">
        <f>'Evolutitve SCI'!F23</f>
        <v>3789988.3600000003</v>
      </c>
      <c r="G47" s="66">
        <f>'Evolutitve SCI'!F23</f>
        <v>3789988.3600000003</v>
      </c>
      <c r="H47" s="66">
        <f>'Evolutitve SCI'!G23</f>
        <v>6958080.8700000001</v>
      </c>
      <c r="I47" s="66">
        <f>'Evolutitve SCI'!H23</f>
        <v>10433785.42</v>
      </c>
      <c r="J47" s="66">
        <f>'Evolutitve SCI'!I23</f>
        <v>12720233.790000001</v>
      </c>
      <c r="K47" s="66">
        <f>'Evolutitve SCI'!J23</f>
        <v>14998436</v>
      </c>
      <c r="L47" s="66">
        <f>'Evolutitve SCI'!K23</f>
        <v>15417619</v>
      </c>
      <c r="M47" s="66">
        <f>'Evolutitve SCI'!L23</f>
        <v>0</v>
      </c>
      <c r="N47" s="66">
        <f>'Evolutitve SCI'!M23</f>
        <v>0</v>
      </c>
      <c r="O47" s="66">
        <f>'Evolutitve SCI'!N23</f>
        <v>0</v>
      </c>
      <c r="P47" s="66">
        <f>'Evolutitve SCI'!O23</f>
        <v>0</v>
      </c>
      <c r="Q47" s="66">
        <f>'Evolutitve SCI'!P23</f>
        <v>0</v>
      </c>
      <c r="R47" s="66">
        <f>'Evolutitve SCI'!Q23</f>
        <v>0</v>
      </c>
      <c r="S47" s="66">
        <f>'Evolutitve SCI'!R23</f>
        <v>30393701</v>
      </c>
      <c r="T47" s="66">
        <f>'Evolutitve SCI'!S23</f>
        <v>2710026.3899999997</v>
      </c>
      <c r="U47" s="66">
        <f>'Evolutitve SCI'!T23</f>
        <v>5368489.5599999996</v>
      </c>
      <c r="V47" s="66">
        <f>'Evolutitve SCI'!U23</f>
        <v>6122593</v>
      </c>
      <c r="W47" s="66">
        <f>'Evolutitve SCI'!V23</f>
        <v>6292751.1399999997</v>
      </c>
      <c r="X47" s="66">
        <f>'Evolutitve SCI'!W23</f>
        <v>9004712.2699999996</v>
      </c>
      <c r="Y47" s="66">
        <f>'Evolutitve SCI'!X23</f>
        <v>8789717.1699999999</v>
      </c>
      <c r="Z47" s="66">
        <f>'Evolutitve SCI'!Y23</f>
        <v>9997975.7699999996</v>
      </c>
      <c r="AA47" s="66">
        <f>'Evolutitve SCI'!Z23</f>
        <v>14450046.939999999</v>
      </c>
      <c r="AB47" s="139">
        <f>'Evolutitve SCI'!AA23</f>
        <v>15136846.939999999</v>
      </c>
      <c r="AC47" s="66">
        <f>'Evolutitve SCI'!AB23</f>
        <v>18847029.060000002</v>
      </c>
      <c r="AD47" s="66">
        <f>'Evolutitve SCI'!AC23</f>
        <v>21263060.119999997</v>
      </c>
      <c r="AE47" s="66">
        <f>'Evolutitve SCI'!AD23</f>
        <v>25569510.359999999</v>
      </c>
      <c r="AF47" s="66">
        <f>'Evolutitve SCI'!AE23</f>
        <v>16655609.35</v>
      </c>
      <c r="AG47" s="66">
        <f>'Evolutitve SCI'!AF23</f>
        <v>28351086.350000001</v>
      </c>
      <c r="AH47" s="66">
        <f>'Evolutitve SCI'!AG23</f>
        <v>940458.27</v>
      </c>
      <c r="AI47" s="66">
        <f>'Evolutitve SCI'!AH23</f>
        <v>1122848.27</v>
      </c>
      <c r="AJ47" s="66">
        <f>'Evolutitve SCI'!AI23</f>
        <v>5509469.2799999993</v>
      </c>
      <c r="AK47" s="66">
        <f>'Evolutitve SCI'!AJ23</f>
        <v>6598159.3200000003</v>
      </c>
      <c r="AL47" s="66">
        <f>'Evolutitve SCI'!AK23</f>
        <v>7704808.3600000003</v>
      </c>
      <c r="AM47" s="66">
        <f>'Evolutitve SCI'!AL23</f>
        <v>8185382.3600000003</v>
      </c>
      <c r="AN47" s="66">
        <f>'Evolutitve SCI'!AM23</f>
        <v>9470112.4100000001</v>
      </c>
      <c r="AO47" s="66">
        <f>'Evolutitve SCI'!AN23</f>
        <v>9039956.4100000001</v>
      </c>
      <c r="AP47" s="66">
        <f>'Evolutitve SCI'!AO23</f>
        <v>10182590.09</v>
      </c>
      <c r="AQ47" s="66">
        <f>'Evolutitve SCI'!AP23</f>
        <v>0</v>
      </c>
      <c r="AR47" s="66">
        <f>'Evolutitve SCI'!AQ23</f>
        <v>0</v>
      </c>
      <c r="AS47" s="66">
        <f>'Evolutitve SCI'!AR23</f>
        <v>0</v>
      </c>
      <c r="AT47" s="66">
        <f>'Evolutitve SCI'!AS23</f>
        <v>0</v>
      </c>
      <c r="AU47" s="66">
        <f>'Evolutitve SCI'!AT23</f>
        <v>971406.33</v>
      </c>
      <c r="AV47" s="66">
        <f>'Evolutitve SCI'!AU23</f>
        <v>2799593.99</v>
      </c>
      <c r="AW47" s="66">
        <f>'Evolutitve SCI'!AV23</f>
        <v>3768397.44</v>
      </c>
      <c r="AX47" s="66">
        <f>'Evolutitve SCI'!AW23</f>
        <v>4893778.49</v>
      </c>
      <c r="AY47" s="66">
        <f>'Evolutitve SCI'!AX23</f>
        <v>6845952.6799999997</v>
      </c>
      <c r="AZ47" s="66">
        <f>'Evolutitve SCI'!AY23</f>
        <v>7485563.8200000003</v>
      </c>
      <c r="BA47" s="66">
        <f>'Evolutitve SCI'!AZ23</f>
        <v>0</v>
      </c>
      <c r="BB47" s="66">
        <f>'Evolutitve SCI'!BA23</f>
        <v>10580901.58</v>
      </c>
      <c r="BC47" s="66">
        <f>'Evolutitve SCI'!BB23</f>
        <v>12084448.059999999</v>
      </c>
      <c r="BD47" s="66">
        <f>'Evolutitve SCI'!BC23</f>
        <v>13395043.449999999</v>
      </c>
      <c r="BE47" s="66">
        <f>'Evolutitve SCI'!BD23</f>
        <v>15018640.710000001</v>
      </c>
      <c r="BF47" s="66">
        <f>'Evolutitve SCI'!BE23</f>
        <v>17305917.23</v>
      </c>
      <c r="BG47" s="66">
        <f>'Evolutitve SCI'!BF23</f>
        <v>20339820</v>
      </c>
      <c r="BH47" s="66">
        <f>'Evolutitve SCI'!BG23</f>
        <v>1692849.31</v>
      </c>
      <c r="BI47" s="66">
        <f>'Evolutitve SCI'!BH23</f>
        <v>2903977.3899999997</v>
      </c>
      <c r="BJ47" s="66">
        <f>'Evolutitve SCI'!BI23</f>
        <v>4609275.8899999997</v>
      </c>
      <c r="BK47" s="66">
        <f>'Evolutitve SCI'!BJ23</f>
        <v>6884623.3700000001</v>
      </c>
      <c r="BL47" s="66">
        <f>'Evolutitve SCI'!BK23</f>
        <v>7652983.6099999994</v>
      </c>
      <c r="BM47" s="66">
        <f>'Evolutitve SCI'!BL23</f>
        <v>9015178.4600000009</v>
      </c>
      <c r="BN47" s="66">
        <f>'Evolutitve SCI'!BM23</f>
        <v>10179522.439999999</v>
      </c>
      <c r="BO47" s="66">
        <f>'Evolutitve SCI'!BN23</f>
        <v>13354747.529999999</v>
      </c>
      <c r="BP47" s="66">
        <f>'Evolutitve SCI'!BO23</f>
        <v>13164572.970000001</v>
      </c>
      <c r="BQ47" s="66">
        <f>'Evolutitve SCI'!BP23</f>
        <v>14650966.620000001</v>
      </c>
      <c r="BR47" s="66">
        <f>'Evolutitve SCI'!BQ23</f>
        <v>16120304.939999999</v>
      </c>
      <c r="BS47" s="66">
        <f>'Evolutitve SCI'!BR23</f>
        <v>19709428.170000002</v>
      </c>
      <c r="BT47" s="66">
        <f>'Evolutitve SCI'!BS23</f>
        <v>20634442</v>
      </c>
      <c r="BU47" s="66">
        <f>'Evolutitve SCI'!BT23</f>
        <v>1393361.3</v>
      </c>
      <c r="BV47" s="66">
        <f>'Evolutitve SCI'!BU23</f>
        <v>2398382.35</v>
      </c>
      <c r="BW47" s="66">
        <f>'Evolutitve SCI'!BV23</f>
        <v>5383682.7699999996</v>
      </c>
      <c r="BX47" s="66">
        <f>'Evolutitve SCI'!BW23</f>
        <v>5867047.71</v>
      </c>
      <c r="BY47" s="66">
        <f>'Evolutitve SCI'!BX23</f>
        <v>7481801.1200000001</v>
      </c>
      <c r="BZ47" s="66">
        <f>'Evolutitve SCI'!BY23</f>
        <v>9482290.1699999999</v>
      </c>
      <c r="CA47" s="66">
        <f>'Evolutitve SCI'!BZ23</f>
        <v>10728454.939999999</v>
      </c>
      <c r="CB47" s="66">
        <f>'Evolutitve SCI'!CA23</f>
        <v>12012077.039999999</v>
      </c>
      <c r="CC47" s="66">
        <f>'Evolutitve SCI'!CB23</f>
        <v>12955931.439999999</v>
      </c>
      <c r="CD47" s="66">
        <f>'Evolutitve SCI'!CC23</f>
        <v>15389189.489999998</v>
      </c>
      <c r="CE47" s="66">
        <f>'Evolutitve SCI'!CD23</f>
        <v>16460943.019999998</v>
      </c>
      <c r="CF47" s="66">
        <f>'Evolutitve SCI'!CE23</f>
        <v>21245565.810000002</v>
      </c>
      <c r="CG47" s="66">
        <f>'Evolutitve SCI'!CF23</f>
        <v>23346715</v>
      </c>
      <c r="CH47" s="66">
        <f>'Evolutitve SCI'!CG23</f>
        <v>2101149.1899999976</v>
      </c>
      <c r="CI47" s="66">
        <f>'Evolutitve SCI'!CH23</f>
        <v>23346715</v>
      </c>
      <c r="CJ47" s="66">
        <f>'Evolutitve SCI'!CI23</f>
        <v>1487563.19</v>
      </c>
      <c r="CK47" s="66">
        <f>'Evolutitve SCI'!CJ23</f>
        <v>3313147.3200000003</v>
      </c>
      <c r="CL47" s="66">
        <f>'Evolutitve SCI'!CK23</f>
        <v>5242265.5</v>
      </c>
      <c r="CM47" s="66">
        <f>'Evolutitve SCI'!CL23</f>
        <v>6566969.9900000002</v>
      </c>
    </row>
  </sheetData>
  <pageMargins left="0.7" right="0.7" top="0.75" bottom="0.75" header="0.3" footer="0.3"/>
  <pageSetup scale="7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50"/>
  <sheetViews>
    <sheetView topLeftCell="A18" workbookViewId="0">
      <selection activeCell="G28" sqref="G28"/>
    </sheetView>
  </sheetViews>
  <sheetFormatPr defaultRowHeight="14.45"/>
  <cols>
    <col min="2" max="2" width="19.42578125" customWidth="1"/>
    <col min="3" max="3" width="10.28515625" bestFit="1" customWidth="1"/>
    <col min="4" max="4" width="19.28515625" customWidth="1"/>
    <col min="5" max="5" width="16.42578125" customWidth="1"/>
    <col min="6" max="6" width="16.7109375" customWidth="1"/>
    <col min="7" max="7" width="13.28515625" bestFit="1" customWidth="1"/>
    <col min="8" max="8" width="15.28515625" bestFit="1" customWidth="1"/>
  </cols>
  <sheetData>
    <row r="1" spans="2:8">
      <c r="D1" s="7">
        <v>43160</v>
      </c>
    </row>
    <row r="2" spans="2:8" ht="41.45">
      <c r="B2" s="1" t="s">
        <v>142</v>
      </c>
      <c r="C2" s="1" t="s">
        <v>143</v>
      </c>
      <c r="D2" s="1" t="s">
        <v>144</v>
      </c>
      <c r="E2" s="1" t="s">
        <v>145</v>
      </c>
      <c r="F2" s="1" t="s">
        <v>146</v>
      </c>
    </row>
    <row r="3" spans="2:8">
      <c r="B3" s="8" t="s">
        <v>147</v>
      </c>
      <c r="C3" s="130">
        <v>762</v>
      </c>
      <c r="D3" s="133">
        <v>143444499.23999998</v>
      </c>
      <c r="E3" s="11">
        <v>0.01</v>
      </c>
      <c r="F3" s="10">
        <f>D3*E3</f>
        <v>1434444.9923999999</v>
      </c>
    </row>
    <row r="4" spans="2:8">
      <c r="B4" s="8" t="s">
        <v>148</v>
      </c>
      <c r="C4" s="76">
        <v>38</v>
      </c>
      <c r="D4" s="134">
        <v>2550318</v>
      </c>
      <c r="E4" s="11">
        <v>0.05</v>
      </c>
      <c r="F4" s="10">
        <f>D4*E4</f>
        <v>127515.90000000001</v>
      </c>
    </row>
    <row r="5" spans="2:8">
      <c r="B5" s="8" t="s">
        <v>149</v>
      </c>
      <c r="C5" s="76">
        <v>54</v>
      </c>
      <c r="D5" s="134">
        <v>2280857.08</v>
      </c>
      <c r="E5" s="11">
        <v>0.25</v>
      </c>
      <c r="F5" s="10">
        <f>D5*E5</f>
        <v>570214.27</v>
      </c>
    </row>
    <row r="6" spans="2:8">
      <c r="B6" s="8" t="s">
        <v>150</v>
      </c>
      <c r="C6" s="76">
        <v>44</v>
      </c>
      <c r="D6" s="133">
        <v>1789170.32</v>
      </c>
      <c r="E6" s="11">
        <v>0.5</v>
      </c>
      <c r="F6" s="10">
        <f>D6*E6</f>
        <v>894585.16</v>
      </c>
    </row>
    <row r="7" spans="2:8">
      <c r="B7" s="8" t="s">
        <v>151</v>
      </c>
      <c r="C7" s="76">
        <v>311</v>
      </c>
      <c r="D7" s="133">
        <v>10933706.310000001</v>
      </c>
      <c r="E7" s="11">
        <v>1</v>
      </c>
      <c r="F7" s="10">
        <f>D7*E7</f>
        <v>10933706.310000001</v>
      </c>
    </row>
    <row r="8" spans="2:8">
      <c r="B8" s="9" t="s">
        <v>152</v>
      </c>
      <c r="C8" s="75">
        <f>SUM(C3:C7)</f>
        <v>1209</v>
      </c>
      <c r="D8" s="75">
        <f>SUM(D3:D7)</f>
        <v>160998550.94999999</v>
      </c>
      <c r="E8" s="75">
        <f>SUM(E3:E7)</f>
        <v>1.81</v>
      </c>
      <c r="F8" s="75">
        <f>SUM(F3:F7)</f>
        <v>13960466.6324</v>
      </c>
      <c r="H8" s="50">
        <f>SUM(D5:D7)</f>
        <v>15003733.710000001</v>
      </c>
    </row>
    <row r="9" spans="2:8">
      <c r="B9" s="75"/>
      <c r="D9" s="50"/>
      <c r="F9" s="50"/>
      <c r="G9" s="73"/>
    </row>
    <row r="10" spans="2:8">
      <c r="B10" s="94"/>
      <c r="D10" s="50"/>
      <c r="F10" s="50"/>
      <c r="G10" s="73"/>
    </row>
    <row r="11" spans="2:8">
      <c r="D11" s="7">
        <v>43252</v>
      </c>
    </row>
    <row r="12" spans="2:8" ht="41.45">
      <c r="B12" s="1" t="s">
        <v>142</v>
      </c>
      <c r="C12" s="1" t="s">
        <v>143</v>
      </c>
      <c r="D12" s="1" t="s">
        <v>144</v>
      </c>
      <c r="E12" s="1" t="s">
        <v>145</v>
      </c>
      <c r="F12" s="1" t="s">
        <v>146</v>
      </c>
    </row>
    <row r="13" spans="2:8">
      <c r="B13" s="8" t="s">
        <v>147</v>
      </c>
      <c r="C13" s="76"/>
      <c r="D13" s="76"/>
      <c r="E13" s="77">
        <v>0.01</v>
      </c>
      <c r="F13" s="79">
        <f>D13*E13</f>
        <v>0</v>
      </c>
    </row>
    <row r="14" spans="2:8">
      <c r="B14" s="8" t="s">
        <v>148</v>
      </c>
      <c r="C14" s="76"/>
      <c r="D14" s="76"/>
      <c r="E14" s="77">
        <v>0.05</v>
      </c>
      <c r="F14" s="79">
        <f>D14*E14</f>
        <v>0</v>
      </c>
    </row>
    <row r="15" spans="2:8">
      <c r="B15" s="8" t="s">
        <v>149</v>
      </c>
      <c r="C15" s="76"/>
      <c r="D15" s="76"/>
      <c r="E15" s="77">
        <v>0.25</v>
      </c>
      <c r="F15" s="79">
        <f>D15*E15</f>
        <v>0</v>
      </c>
    </row>
    <row r="16" spans="2:8">
      <c r="B16" s="8" t="s">
        <v>150</v>
      </c>
      <c r="C16" s="76"/>
      <c r="D16" s="76"/>
      <c r="E16" s="77">
        <v>0.5</v>
      </c>
      <c r="F16" s="79">
        <f>D16*E16</f>
        <v>0</v>
      </c>
    </row>
    <row r="17" spans="2:8">
      <c r="B17" s="8" t="s">
        <v>151</v>
      </c>
      <c r="C17" s="76"/>
      <c r="D17" s="76"/>
      <c r="E17" s="77">
        <v>1</v>
      </c>
      <c r="F17" s="79">
        <f>D17*E17</f>
        <v>0</v>
      </c>
    </row>
    <row r="18" spans="2:8">
      <c r="B18" s="9" t="s">
        <v>152</v>
      </c>
      <c r="C18" s="99">
        <f>SUM(C13:C17)</f>
        <v>0</v>
      </c>
      <c r="D18" s="78">
        <f>SUM(D13:D17)</f>
        <v>0</v>
      </c>
      <c r="E18" s="72"/>
      <c r="F18" s="78">
        <f>SUM(F13:F17)</f>
        <v>0</v>
      </c>
      <c r="G18" s="73"/>
    </row>
    <row r="19" spans="2:8">
      <c r="C19" s="72"/>
      <c r="D19" s="72"/>
      <c r="E19" s="81">
        <f>SUM(D15:D17)</f>
        <v>0</v>
      </c>
      <c r="F19" s="72"/>
      <c r="G19" s="50"/>
      <c r="H19" s="80"/>
    </row>
    <row r="20" spans="2:8">
      <c r="C20" s="95"/>
      <c r="D20" s="95"/>
      <c r="E20" s="96"/>
      <c r="F20" s="95"/>
      <c r="G20" s="50"/>
      <c r="H20" s="80"/>
    </row>
    <row r="21" spans="2:8">
      <c r="D21" s="7">
        <v>43344</v>
      </c>
    </row>
    <row r="22" spans="2:8" ht="41.45">
      <c r="B22" s="1" t="s">
        <v>142</v>
      </c>
      <c r="C22" s="1" t="s">
        <v>143</v>
      </c>
      <c r="D22" s="1" t="s">
        <v>144</v>
      </c>
      <c r="E22" s="1" t="s">
        <v>145</v>
      </c>
      <c r="F22" s="1" t="s">
        <v>146</v>
      </c>
    </row>
    <row r="23" spans="2:8">
      <c r="B23" s="8" t="s">
        <v>147</v>
      </c>
      <c r="C23" s="148">
        <v>1382</v>
      </c>
      <c r="D23" s="149">
        <v>149830478.02000001</v>
      </c>
      <c r="E23" s="11">
        <v>0.01</v>
      </c>
      <c r="F23" s="10">
        <f>D23*E23</f>
        <v>1498304.7802000002</v>
      </c>
    </row>
    <row r="24" spans="2:8">
      <c r="B24" s="8" t="s">
        <v>148</v>
      </c>
      <c r="C24" s="148">
        <v>487</v>
      </c>
      <c r="D24" s="149">
        <v>19364168.48</v>
      </c>
      <c r="E24" s="11">
        <v>0.05</v>
      </c>
      <c r="F24" s="10">
        <f>D24*E24</f>
        <v>968208.42400000012</v>
      </c>
    </row>
    <row r="25" spans="2:8">
      <c r="B25" s="8" t="s">
        <v>149</v>
      </c>
      <c r="C25" s="148">
        <v>335</v>
      </c>
      <c r="D25" s="149">
        <v>1609862.44</v>
      </c>
      <c r="E25" s="11">
        <v>0.25</v>
      </c>
      <c r="F25" s="10">
        <f>D25*E25</f>
        <v>402465.61</v>
      </c>
    </row>
    <row r="26" spans="2:8">
      <c r="B26" s="8" t="s">
        <v>150</v>
      </c>
      <c r="C26" s="148">
        <v>105</v>
      </c>
      <c r="D26" s="149">
        <v>641664.06999999995</v>
      </c>
      <c r="E26" s="11">
        <v>0.5</v>
      </c>
      <c r="F26" s="10">
        <f>D26*E26</f>
        <v>320832.03499999997</v>
      </c>
      <c r="H26" s="50"/>
    </row>
    <row r="27" spans="2:8">
      <c r="B27" s="8" t="s">
        <v>151</v>
      </c>
      <c r="C27" s="148">
        <v>28</v>
      </c>
      <c r="D27" s="149">
        <v>417328.61</v>
      </c>
      <c r="E27" s="11">
        <v>1</v>
      </c>
      <c r="F27" s="10">
        <f>D27*E27</f>
        <v>417328.61</v>
      </c>
      <c r="H27" s="73"/>
    </row>
    <row r="28" spans="2:8">
      <c r="B28" s="72" t="s">
        <v>153</v>
      </c>
      <c r="C28" s="10">
        <f>SUM(C23:C27)</f>
        <v>2337</v>
      </c>
      <c r="D28" s="10">
        <f>SUM(D23:D27)</f>
        <v>171863501.62</v>
      </c>
      <c r="E28" s="10">
        <v>1.81</v>
      </c>
      <c r="F28" s="10">
        <f>SUM(F23:F27)</f>
        <v>3607139.4592000004</v>
      </c>
    </row>
    <row r="31" spans="2:8">
      <c r="D31" s="7">
        <v>43435</v>
      </c>
    </row>
    <row r="32" spans="2:8" ht="41.45">
      <c r="B32" s="1" t="s">
        <v>142</v>
      </c>
      <c r="C32" s="1" t="s">
        <v>143</v>
      </c>
      <c r="D32" s="1" t="s">
        <v>144</v>
      </c>
      <c r="E32" s="1" t="s">
        <v>145</v>
      </c>
      <c r="F32" s="1" t="s">
        <v>146</v>
      </c>
    </row>
    <row r="33" spans="2:6">
      <c r="B33" s="8" t="s">
        <v>147</v>
      </c>
      <c r="C33" s="27"/>
      <c r="D33" s="35"/>
      <c r="E33" s="11">
        <v>0.01</v>
      </c>
      <c r="F33" s="10">
        <f>D33*E33</f>
        <v>0</v>
      </c>
    </row>
    <row r="34" spans="2:6">
      <c r="B34" s="8" t="s">
        <v>148</v>
      </c>
      <c r="C34" s="27"/>
      <c r="D34" s="35"/>
      <c r="E34" s="11">
        <v>0.05</v>
      </c>
      <c r="F34" s="10">
        <f>D34*E34</f>
        <v>0</v>
      </c>
    </row>
    <row r="35" spans="2:6">
      <c r="B35" s="8" t="s">
        <v>149</v>
      </c>
      <c r="C35" s="27"/>
      <c r="D35" s="35"/>
      <c r="E35" s="11">
        <v>0.25</v>
      </c>
      <c r="F35" s="10">
        <f>D35*E35</f>
        <v>0</v>
      </c>
    </row>
    <row r="36" spans="2:6">
      <c r="B36" s="8" t="s">
        <v>150</v>
      </c>
      <c r="C36" s="27"/>
      <c r="D36" s="35"/>
      <c r="E36" s="11">
        <v>0.5</v>
      </c>
      <c r="F36" s="10">
        <f>D36*E36</f>
        <v>0</v>
      </c>
    </row>
    <row r="37" spans="2:6">
      <c r="B37" s="8" t="s">
        <v>151</v>
      </c>
      <c r="C37" s="27"/>
      <c r="D37" s="35"/>
      <c r="E37" s="11">
        <v>1</v>
      </c>
      <c r="F37" s="10">
        <f>D37*E37</f>
        <v>0</v>
      </c>
    </row>
    <row r="38" spans="2:6">
      <c r="B38" s="9" t="s">
        <v>152</v>
      </c>
      <c r="C38" s="10">
        <f>SUM(C33:C37)</f>
        <v>0</v>
      </c>
      <c r="D38" s="10">
        <f>SUM(D33:D37)</f>
        <v>0</v>
      </c>
      <c r="E38" s="10">
        <v>1.81</v>
      </c>
      <c r="F38" s="10">
        <f>SUM(F33:F37)</f>
        <v>0</v>
      </c>
    </row>
    <row r="40" spans="2:6">
      <c r="D40" s="34" t="s">
        <v>5</v>
      </c>
    </row>
    <row r="41" spans="2:6" ht="41.45">
      <c r="B41" s="1" t="s">
        <v>142</v>
      </c>
      <c r="C41" s="1" t="s">
        <v>143</v>
      </c>
      <c r="D41" s="1" t="s">
        <v>144</v>
      </c>
      <c r="E41" s="1" t="s">
        <v>145</v>
      </c>
      <c r="F41" s="1" t="s">
        <v>146</v>
      </c>
    </row>
    <row r="42" spans="2:6">
      <c r="B42" s="8" t="s">
        <v>147</v>
      </c>
      <c r="C42" s="27"/>
      <c r="D42" s="35"/>
      <c r="E42" s="11">
        <v>0.01</v>
      </c>
      <c r="F42" s="10">
        <f>D42*E42</f>
        <v>0</v>
      </c>
    </row>
    <row r="43" spans="2:6">
      <c r="B43" s="8" t="s">
        <v>148</v>
      </c>
      <c r="C43" s="27"/>
      <c r="D43" s="35"/>
      <c r="E43" s="11">
        <v>0.05</v>
      </c>
      <c r="F43" s="10">
        <f>D43*E43</f>
        <v>0</v>
      </c>
    </row>
    <row r="44" spans="2:6">
      <c r="B44" s="8" t="s">
        <v>149</v>
      </c>
      <c r="C44" s="27"/>
      <c r="D44" s="35"/>
      <c r="E44" s="11">
        <v>0.25</v>
      </c>
      <c r="F44" s="10">
        <f>D44*E44</f>
        <v>0</v>
      </c>
    </row>
    <row r="45" spans="2:6">
      <c r="B45" s="8" t="s">
        <v>150</v>
      </c>
      <c r="C45" s="27"/>
      <c r="D45" s="35"/>
      <c r="E45" s="11">
        <v>0.5</v>
      </c>
      <c r="F45" s="10">
        <f>D45*E45</f>
        <v>0</v>
      </c>
    </row>
    <row r="46" spans="2:6">
      <c r="B46" s="8" t="s">
        <v>151</v>
      </c>
      <c r="C46" s="27"/>
      <c r="D46" s="35"/>
      <c r="E46" s="11">
        <v>1</v>
      </c>
      <c r="F46" s="10">
        <f>D46*E46</f>
        <v>0</v>
      </c>
    </row>
    <row r="47" spans="2:6">
      <c r="B47" s="9" t="s">
        <v>152</v>
      </c>
      <c r="C47" s="10">
        <f>SUM(C42:C46)</f>
        <v>0</v>
      </c>
      <c r="D47" s="10">
        <f>SUM(D42:D46)</f>
        <v>0</v>
      </c>
      <c r="E47" s="10">
        <v>1.81</v>
      </c>
      <c r="F47" s="10">
        <f>SUM(F42:F46)</f>
        <v>0</v>
      </c>
    </row>
    <row r="49" spans="2:6">
      <c r="D49" s="7"/>
    </row>
    <row r="50" spans="2:6">
      <c r="B50" s="92"/>
      <c r="C50" s="92"/>
      <c r="D50" s="93"/>
      <c r="E50" s="93"/>
      <c r="F50" s="93"/>
    </row>
  </sheetData>
  <dataValidations count="2">
    <dataValidation type="decimal" showErrorMessage="1" errorTitle="Error Msg" error="Enter a NO" sqref="C3:C7" xr:uid="{00000000-0002-0000-0300-000000000000}">
      <formula1>0</formula1>
      <formula2>999999999999</formula2>
    </dataValidation>
    <dataValidation type="decimal" showErrorMessage="1" errorTitle="Error Msg" error="Enter a number" sqref="D3:D7" xr:uid="{00000000-0002-0000-0300-000001000000}">
      <formula1>0</formula1>
      <formula2>999999999999</formula2>
    </dataValidation>
  </dataValidation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X41"/>
  <sheetViews>
    <sheetView workbookViewId="0">
      <pane xSplit="3" ySplit="2" topLeftCell="AO3" activePane="bottomRight" state="frozen"/>
      <selection pane="bottomRight" activeCell="BY9" sqref="BY9"/>
      <selection pane="bottomLeft" activeCell="A3" sqref="A3"/>
      <selection pane="topRight" activeCell="D1" sqref="D1"/>
    </sheetView>
  </sheetViews>
  <sheetFormatPr defaultRowHeight="14.45"/>
  <cols>
    <col min="1" max="1" width="25.42578125" bestFit="1" customWidth="1"/>
    <col min="2" max="2" width="31.42578125" bestFit="1" customWidth="1"/>
    <col min="3" max="3" width="10.5703125" bestFit="1" customWidth="1"/>
    <col min="4" max="4" width="12.5703125" bestFit="1" customWidth="1"/>
    <col min="5" max="5" width="12.140625" customWidth="1"/>
    <col min="6" max="7" width="15" hidden="1" customWidth="1"/>
    <col min="8" max="8" width="0" hidden="1" customWidth="1"/>
    <col min="9" max="16" width="7.7109375" hidden="1" customWidth="1"/>
    <col min="17" max="17" width="7" hidden="1" customWidth="1"/>
    <col min="18" max="19" width="7.28515625" bestFit="1" customWidth="1"/>
    <col min="20" max="20" width="9.7109375" bestFit="1" customWidth="1"/>
  </cols>
  <sheetData>
    <row r="1" spans="1:76" ht="18.600000000000001" thickBot="1">
      <c r="A1" s="327" t="s">
        <v>154</v>
      </c>
      <c r="B1" s="327"/>
    </row>
    <row r="2" spans="1:76">
      <c r="A2" s="56"/>
      <c r="B2" s="57"/>
      <c r="C2" s="57"/>
      <c r="D2" s="89" t="s">
        <v>0</v>
      </c>
      <c r="E2" s="89" t="s">
        <v>96</v>
      </c>
      <c r="F2" s="90" t="s">
        <v>2</v>
      </c>
      <c r="G2" s="89" t="s">
        <v>155</v>
      </c>
      <c r="H2" s="100">
        <v>42736</v>
      </c>
      <c r="I2" s="100">
        <v>42767</v>
      </c>
      <c r="J2" s="100">
        <v>42795</v>
      </c>
      <c r="K2" s="100">
        <v>42826</v>
      </c>
      <c r="L2" s="100">
        <v>42856</v>
      </c>
      <c r="M2" s="100">
        <v>42887</v>
      </c>
      <c r="N2" s="100">
        <v>42917</v>
      </c>
      <c r="O2" s="100">
        <v>42948</v>
      </c>
      <c r="P2" s="100">
        <v>42979</v>
      </c>
      <c r="Q2" s="100">
        <v>43009</v>
      </c>
      <c r="R2" s="100">
        <v>43040</v>
      </c>
      <c r="S2" s="100">
        <v>43070</v>
      </c>
      <c r="T2" t="s">
        <v>56</v>
      </c>
    </row>
    <row r="3" spans="1:76" ht="15">
      <c r="A3" s="328" t="s">
        <v>156</v>
      </c>
      <c r="B3" s="3" t="s">
        <v>104</v>
      </c>
      <c r="C3" s="24" t="s">
        <v>157</v>
      </c>
      <c r="D3" s="5">
        <f>(('Evolutive SFP'!B38+'Evolutive SFP'!B39+'Evolutive SFP'!B40+'Evolutive SFP'!B41+'Evolutive SFP'!B42+'Evolutive SFP'!B43)-'Evolutive SFP'!B12)/1000000</f>
        <v>76.173062000000002</v>
      </c>
      <c r="E3" s="5">
        <f>(('Evolutive SFP'!C38+'Evolutive SFP'!C39+'Evolutive SFP'!C40+'Evolutive SFP'!C41+'Evolutive SFP'!C42+'Evolutive SFP'!C43)-'Evolutive SFP'!C12)/1000000</f>
        <v>63.869078999999999</v>
      </c>
      <c r="F3" s="5">
        <f>(('Evolutive SFP'!D38+'Evolutive SFP'!D39+'Evolutive SFP'!D40+'Evolutive SFP'!D41+'Evolutive SFP'!D42+'Evolutive SFP'!D43)-'Evolutive SFP'!D12)/1000000</f>
        <v>60.755239000000003</v>
      </c>
      <c r="G3" s="5">
        <f>(('Evolutive SFP'!E38+'Evolutive SFP'!E39+'Evolutive SFP'!E40+'Evolutive SFP'!E41+'Evolutive SFP'!E42+'Evolutive SFP'!E43)-'Evolutive SFP'!E12)/1000000</f>
        <v>61.885255000000001</v>
      </c>
      <c r="H3" s="5">
        <f>(('Evolutive SFP'!F38+'Evolutive SFP'!F39+'Evolutive SFP'!F40+'Evolutive SFP'!F41+'Evolutive SFP'!F42+'Evolutive SFP'!F43)-'Evolutive SFP'!F12)/1000000</f>
        <v>75.078486449999986</v>
      </c>
      <c r="I3" s="5">
        <f>(('Evolutive SFP'!G38+'Evolutive SFP'!G39+'Evolutive SFP'!G40+'Evolutive SFP'!G41+'Evolutive SFP'!G42+'Evolutive SFP'!G43)-'Evolutive SFP'!G12)/1000000</f>
        <v>57.062441799999995</v>
      </c>
      <c r="J3" s="5">
        <f>(('Evolutive SFP'!H38+'Evolutive SFP'!H39+'Evolutive SFP'!H40+'Evolutive SFP'!H41+'Evolutive SFP'!H42+'Evolutive SFP'!H43)-'Evolutive SFP'!H12)/1000000</f>
        <v>58.519719389999999</v>
      </c>
      <c r="K3" s="5">
        <f>(('Evolutive SFP'!I38+'Evolutive SFP'!I39+'Evolutive SFP'!I40+'Evolutive SFP'!I41+'Evolutive SFP'!I42+'Evolutive SFP'!I43)-'Evolutive SFP'!I12)/1000000</f>
        <v>56.787294609999996</v>
      </c>
      <c r="L3" s="5">
        <f>(('Evolutive SFP'!J38+'Evolutive SFP'!J39+'Evolutive SFP'!J40+'Evolutive SFP'!J41+'Evolutive SFP'!J42+'Evolutive SFP'!J43)-'Evolutive SFP'!J12)/1000000</f>
        <v>54.539467009999989</v>
      </c>
      <c r="M3" s="5">
        <f>(('Evolutive SFP'!K38+'Evolutive SFP'!K39+'Evolutive SFP'!K40+'Evolutive SFP'!K41+'Evolutive SFP'!K42+'Evolutive SFP'!K43)-'Evolutive SFP'!K12)/1000000</f>
        <v>54.417524710000009</v>
      </c>
      <c r="N3" s="5">
        <f>(('Evolutive SFP'!L38+'Evolutive SFP'!L39+'Evolutive SFP'!L40+'Evolutive SFP'!L41+'Evolutive SFP'!L42+'Evolutive SFP'!L43)-'Evolutive SFP'!L12)/1000000</f>
        <v>0</v>
      </c>
      <c r="O3" s="5">
        <f>(('Evolutive SFP'!M38+'Evolutive SFP'!M39+'Evolutive SFP'!M40+'Evolutive SFP'!M41+'Evolutive SFP'!M42+'Evolutive SFP'!M43)-'Evolutive SFP'!M12)/1000000</f>
        <v>0</v>
      </c>
      <c r="P3" s="5">
        <f>(('Evolutive SFP'!N38+'Evolutive SFP'!N39+'Evolutive SFP'!N40+'Evolutive SFP'!N41+'Evolutive SFP'!N42+'Evolutive SFP'!N43)-'Evolutive SFP'!N12)/1000000</f>
        <v>0</v>
      </c>
      <c r="Q3" s="5">
        <f>(('Evolutive SFP'!O38+'Evolutive SFP'!O39+'Evolutive SFP'!O40+'Evolutive SFP'!O41+'Evolutive SFP'!O42+'Evolutive SFP'!O43)-'Evolutive SFP'!O12)/1000000</f>
        <v>0</v>
      </c>
      <c r="R3" s="5">
        <f>(('Evolutive SFP'!P38+'Evolutive SFP'!P39+'Evolutive SFP'!P40+'Evolutive SFP'!P41+'Evolutive SFP'!P42+'Evolutive SFP'!P43)-'Evolutive SFP'!P12)/1000000</f>
        <v>0</v>
      </c>
      <c r="S3" s="5">
        <f>(('Evolutive SFP'!Q38+'Evolutive SFP'!Q39+'Evolutive SFP'!Q40+'Evolutive SFP'!Q41+'Evolutive SFP'!Q42+'Evolutive SFP'!Q43)-'Evolutive SFP'!Q12)/1000000</f>
        <v>0</v>
      </c>
      <c r="T3" s="5">
        <f>(('Evolutive SFP'!R38+'Evolutive SFP'!R39+'Evolutive SFP'!R40+'Evolutive SFP'!R41+'Evolutive SFP'!R42+'Evolutive SFP'!R43)-'Evolutive SFP'!R12)/1000000</f>
        <v>70.009603999999996</v>
      </c>
      <c r="U3" s="5">
        <f>(('Evolutive SFP'!S38+'Evolutive SFP'!S39+'Evolutive SFP'!S40+'Evolutive SFP'!S41+'Evolutive SFP'!S42+'Evolutive SFP'!S43)-'Evolutive SFP'!S12)/1000000</f>
        <v>52.74965507000001</v>
      </c>
      <c r="V3" s="5">
        <f>(('Evolutive SFP'!T38+'Evolutive SFP'!T39+'Evolutive SFP'!T40+'Evolutive SFP'!T41+'Evolutive SFP'!T42+'Evolutive SFP'!T43)-'Evolutive SFP'!T12)/1000000</f>
        <v>52.651746870000004</v>
      </c>
      <c r="W3" s="5">
        <f>(('Evolutive SFP'!U38+'Evolutive SFP'!U39+'Evolutive SFP'!U40+'Evolutive SFP'!U41+'Evolutive SFP'!U42+'Evolutive SFP'!U43)-'Evolutive SFP'!U12)/1000000</f>
        <v>48.409618069999993</v>
      </c>
      <c r="X3" s="5">
        <f>(('Evolutive SFP'!V38+'Evolutive SFP'!V39+'Evolutive SFP'!V40+'Evolutive SFP'!V41+'Evolutive SFP'!V42+'Evolutive SFP'!V43)-'Evolutive SFP'!V12)/1000000</f>
        <v>43.694849769999998</v>
      </c>
      <c r="Y3" s="5">
        <f>(('Evolutive SFP'!W38+'Evolutive SFP'!W39+'Evolutive SFP'!W40+'Evolutive SFP'!W41+'Evolutive SFP'!W42+'Evolutive SFP'!W43)-'Evolutive SFP'!W12)/1000000</f>
        <v>20.358763469999996</v>
      </c>
      <c r="Z3" s="5">
        <f>(('Evolutive SFP'!X38+'Evolutive SFP'!X39+'Evolutive SFP'!X40+'Evolutive SFP'!X41+'Evolutive SFP'!X42+'Evolutive SFP'!X43)-'Evolutive SFP'!X12)/1000000</f>
        <v>63.407605049999994</v>
      </c>
      <c r="AA3" s="5">
        <f>(('Evolutive SFP'!Y38+'Evolutive SFP'!Y39+'Evolutive SFP'!Y40+'Evolutive SFP'!Y41+'Evolutive SFP'!Y42+'Evolutive SFP'!Y43)-'Evolutive SFP'!Y12)/1000000</f>
        <v>71.734536560000009</v>
      </c>
      <c r="AB3" s="5">
        <f>(('Evolutive SFP'!Z38+'Evolutive SFP'!Z39+'Evolutive SFP'!Z40+'Evolutive SFP'!Z41+'Evolutive SFP'!Z42+'Evolutive SFP'!Z43)-'Evolutive SFP'!Z12)/1000000</f>
        <v>55.716712530000002</v>
      </c>
      <c r="AC3" s="5">
        <f>(('Evolutive SFP'!AA38+'Evolutive SFP'!AA39+'Evolutive SFP'!AA40+'Evolutive SFP'!AA41+'Evolutive SFP'!AA42+'Evolutive SFP'!AA43)-'Evolutive SFP'!AA12)/1000000</f>
        <v>57.351734130000011</v>
      </c>
      <c r="AD3" s="5">
        <f>(('Evolutive SFP'!AB38+'Evolutive SFP'!AB39+'Evolutive SFP'!AB40+'Evolutive SFP'!AB41+'Evolutive SFP'!AB42+'Evolutive SFP'!AB43)-'Evolutive SFP'!AB12)/1000000</f>
        <v>56.225700200000006</v>
      </c>
      <c r="AE3" s="5">
        <f>(('Evolutive SFP'!AC38+'Evolutive SFP'!AC39+'Evolutive SFP'!AC40+'Evolutive SFP'!AC41+'Evolutive SFP'!AC42+'Evolutive SFP'!AC43)-'Evolutive SFP'!AC12)/1000000</f>
        <v>56.864584139999998</v>
      </c>
      <c r="AF3" s="5">
        <f>(('Evolutive SFP'!AD38+'Evolutive SFP'!AD39+'Evolutive SFP'!AD40+'Evolutive SFP'!AD41+'Evolutive SFP'!AD42+'Evolutive SFP'!AD43)-'Evolutive SFP'!AD12)/1000000</f>
        <v>54.521325540000007</v>
      </c>
      <c r="AG3" s="5">
        <f>(('Evolutive SFP'!AE38+'Evolutive SFP'!AE39+'Evolutive SFP'!AE40+'Evolutive SFP'!AE41+'Evolutive SFP'!AE42+'Evolutive SFP'!AE43)-'Evolutive SFP'!AE12)/1000000</f>
        <v>31.2075067</v>
      </c>
      <c r="AH3" s="5">
        <f>(('Evolutive SFP'!AF38+'Evolutive SFP'!AF39+'Evolutive SFP'!AF40+'Evolutive SFP'!AF41+'Evolutive SFP'!AF42+'Evolutive SFP'!AF43)-'Evolutive SFP'!AF12)/1000000</f>
        <v>59.027720130000013</v>
      </c>
      <c r="AI3" s="5">
        <f>(('Evolutive SFP'!AG38+'Evolutive SFP'!AG39+'Evolutive SFP'!AG40+'Evolutive SFP'!AG41+'Evolutive SFP'!AG42+'Evolutive SFP'!AG43)-'Evolutive SFP'!AG12)/1000000</f>
        <v>55.702954909999995</v>
      </c>
      <c r="AJ3" s="5">
        <f>(('Evolutive SFP'!AH38+'Evolutive SFP'!AH39+'Evolutive SFP'!AH40+'Evolutive SFP'!AH41+'Evolutive SFP'!AH42+'Evolutive SFP'!AH43)-'Evolutive SFP'!AH12)/1000000</f>
        <v>40.543807610000002</v>
      </c>
      <c r="AK3" s="5">
        <f>(('Evolutive SFP'!AI38+'Evolutive SFP'!AI39+'Evolutive SFP'!AI40+'Evolutive SFP'!AI41+'Evolutive SFP'!AI42+'Evolutive SFP'!AI43)-'Evolutive SFP'!AI12)/1000000</f>
        <v>55.741934489999991</v>
      </c>
      <c r="AL3" s="5">
        <f>(('Evolutive SFP'!AJ38+'Evolutive SFP'!AJ39+'Evolutive SFP'!AJ40+'Evolutive SFP'!AJ41+'Evolutive SFP'!AJ42+'Evolutive SFP'!AJ43)-'Evolutive SFP'!AJ12)/1000000</f>
        <v>41.990920670000001</v>
      </c>
      <c r="AM3" s="5">
        <f>(('Evolutive SFP'!AK38+'Evolutive SFP'!AK39+'Evolutive SFP'!AK40+'Evolutive SFP'!AK41+'Evolutive SFP'!AK42+'Evolutive SFP'!AK43)-'Evolutive SFP'!AK12)/1000000</f>
        <v>41.60115167</v>
      </c>
      <c r="AN3" s="5">
        <f>(('Evolutive SFP'!AL38+'Evolutive SFP'!AL39+'Evolutive SFP'!AL40+'Evolutive SFP'!AL41+'Evolutive SFP'!AL42+'Evolutive SFP'!AL43)-'Evolutive SFP'!AL12)/1000000</f>
        <v>40.882092799999995</v>
      </c>
      <c r="AO3" s="5">
        <f>(('Evolutive SFP'!AM38+'Evolutive SFP'!AM39+'Evolutive SFP'!AM40+'Evolutive SFP'!AM41+'Evolutive SFP'!AM42+'Evolutive SFP'!AM43)-'Evolutive SFP'!AM12)/1000000</f>
        <v>43.530616150000007</v>
      </c>
      <c r="AP3" s="5">
        <f>(('Evolutive SFP'!AN38+'Evolutive SFP'!AN39+'Evolutive SFP'!AN40+'Evolutive SFP'!AN41+'Evolutive SFP'!AN42+'Evolutive SFP'!AN43)-'Evolutive SFP'!AN12)/1000000</f>
        <v>39.651999719999999</v>
      </c>
      <c r="AQ3" s="5">
        <f>(('Evolutive SFP'!AO38+'Evolutive SFP'!AO39+'Evolutive SFP'!AO40+'Evolutive SFP'!AO41+'Evolutive SFP'!AO42+'Evolutive SFP'!AO43)-'Evolutive SFP'!AO12)/1000000</f>
        <v>0</v>
      </c>
      <c r="AR3" s="5">
        <f>(('Evolutive SFP'!AP38+'Evolutive SFP'!AP39+'Evolutive SFP'!AP40+'Evolutive SFP'!AP41+'Evolutive SFP'!AP42+'Evolutive SFP'!AP43)-'Evolutive SFP'!AP12)/1000000</f>
        <v>0</v>
      </c>
      <c r="AS3" s="5">
        <f>(('Evolutive SFP'!AQ38+'Evolutive SFP'!AQ39+'Evolutive SFP'!AQ40+'Evolutive SFP'!AQ41+'Evolutive SFP'!AQ42+'Evolutive SFP'!AQ43)-'Evolutive SFP'!AQ12)/1000000</f>
        <v>0</v>
      </c>
      <c r="AT3" s="5">
        <f>(('Evolutive SFP'!AR38+'Evolutive SFP'!AR39+'Evolutive SFP'!AR40+'Evolutive SFP'!AR41+'Evolutive SFP'!AR42+'Evolutive SFP'!AR43)-'Evolutive SFP'!AR12)/1000000</f>
        <v>0</v>
      </c>
      <c r="AU3" s="5">
        <f>(('Evolutive SFP'!AS38+'Evolutive SFP'!AS39+'Evolutive SFP'!AS40+'Evolutive SFP'!AS41+'Evolutive SFP'!AS42+'Evolutive SFP'!AS43)-'Evolutive SFP'!AS12)/1000000</f>
        <v>-93.231879429999992</v>
      </c>
      <c r="AV3" s="5">
        <f>(('Evolutive SFP'!AT38+'Evolutive SFP'!AT39+'Evolutive SFP'!AT40+'Evolutive SFP'!AT41+'Evolutive SFP'!AT42+'Evolutive SFP'!AT43)-'Evolutive SFP'!AT12)/1000000</f>
        <v>-91.788268370000011</v>
      </c>
      <c r="AW3" s="5">
        <f>(('Evolutive SFP'!AU38+'Evolutive SFP'!AU39+'Evolutive SFP'!AU40+'Evolutive SFP'!AU41+'Evolutive SFP'!AU42+'Evolutive SFP'!AU43)-'Evolutive SFP'!AU12)/1000000</f>
        <v>-77.673667690000002</v>
      </c>
      <c r="AX3" s="5">
        <f>(('Evolutive SFP'!AV38+'Evolutive SFP'!AV39+'Evolutive SFP'!AV40+'Evolutive SFP'!AV41+'Evolutive SFP'!AV42+'Evolutive SFP'!AV43)-'Evolutive SFP'!AV12)/1000000</f>
        <v>-78.579651979999994</v>
      </c>
      <c r="AY3" s="5">
        <f>(('Evolutive SFP'!AW38+'Evolutive SFP'!AW39+'Evolutive SFP'!AW40+'Evolutive SFP'!AW41+'Evolutive SFP'!AW42+'Evolutive SFP'!AW43)-'Evolutive SFP'!AW12)/1000000</f>
        <v>-79.913598099999987</v>
      </c>
      <c r="AZ3" s="5">
        <f>(('Evolutive SFP'!AX38+'Evolutive SFP'!AX39+'Evolutive SFP'!AX40+'Evolutive SFP'!AX41+'Evolutive SFP'!AX42+'Evolutive SFP'!AX43)-'Evolutive SFP'!AX12)/1000000</f>
        <v>-80.099823629999989</v>
      </c>
      <c r="BA3" s="5">
        <f>(('Evolutive SFP'!AY38+'Evolutive SFP'!AY39+'Evolutive SFP'!AY40+'Evolutive SFP'!AY41+'Evolutive SFP'!AY42+'Evolutive SFP'!AY43)-'Evolutive SFP'!AY12)/1000000</f>
        <v>0</v>
      </c>
      <c r="BB3" s="5">
        <f>(('Evolutive SFP'!AZ38+'Evolutive SFP'!AZ39+'Evolutive SFP'!AZ40+'Evolutive SFP'!AZ41+'Evolutive SFP'!AZ42+'Evolutive SFP'!AZ43)-'Evolutive SFP'!AZ12)/1000000</f>
        <v>-83.647874929999986</v>
      </c>
      <c r="BC3" s="5">
        <f>(('Evolutive SFP'!BA38+'Evolutive SFP'!BA39+'Evolutive SFP'!BA40+'Evolutive SFP'!BA41+'Evolutive SFP'!BA42+'Evolutive SFP'!BA43)-'Evolutive SFP'!BA12)/1000000</f>
        <v>-77.375535189999994</v>
      </c>
      <c r="BD3" s="5">
        <f>(('Evolutive SFP'!BB38+'Evolutive SFP'!BB39+'Evolutive SFP'!BB40+'Evolutive SFP'!BB41+'Evolutive SFP'!BB42+'Evolutive SFP'!BB43)-'Evolutive SFP'!BB12)/1000000</f>
        <v>-72.869963519999999</v>
      </c>
      <c r="BE3" s="5">
        <f>(('Evolutive SFP'!BC38+'Evolutive SFP'!BC39+'Evolutive SFP'!BC40+'Evolutive SFP'!BC41+'Evolutive SFP'!BC42+'Evolutive SFP'!BC43)-'Evolutive SFP'!BC12)/1000000</f>
        <v>-73.573066729999994</v>
      </c>
      <c r="BF3" s="5">
        <f>(('Evolutive SFP'!BD38+'Evolutive SFP'!BD39+'Evolutive SFP'!BD40+'Evolutive SFP'!BD41+'Evolutive SFP'!BD42+'Evolutive SFP'!BD43)-'Evolutive SFP'!BD12)/1000000</f>
        <v>-69.842040299999994</v>
      </c>
      <c r="BG3" s="5">
        <f>(('Evolutive SFP'!BE38+'Evolutive SFP'!BE39+'Evolutive SFP'!BE40+'Evolutive SFP'!BE41+'Evolutive SFP'!BE42+'Evolutive SFP'!BE43)-'Evolutive SFP'!BE12)/1000000</f>
        <v>-72.744786000000005</v>
      </c>
      <c r="BH3" s="5">
        <f>(('Evolutive SFP'!BF38+'Evolutive SFP'!BF39+'Evolutive SFP'!BF40+'Evolutive SFP'!BF41+'Evolutive SFP'!BF42+'Evolutive SFP'!BF43)-'Evolutive SFP'!BF12)/1000000</f>
        <v>-63.606374119999991</v>
      </c>
      <c r="BI3" s="5">
        <f>(('Evolutive SFP'!BG38+'Evolutive SFP'!BG39+'Evolutive SFP'!BG40+'Evolutive SFP'!BG41+'Evolutive SFP'!BG42+'Evolutive SFP'!BG43)-'Evolutive SFP'!BG12)/1000000</f>
        <v>-93.282419860000005</v>
      </c>
      <c r="BJ3" s="5">
        <f>(('Evolutive SFP'!BH38+'Evolutive SFP'!BH39+'Evolutive SFP'!BH40+'Evolutive SFP'!BH41+'Evolutive SFP'!BH42+'Evolutive SFP'!BH43)-'Evolutive SFP'!BH12)/1000000</f>
        <v>-68.354641290000004</v>
      </c>
      <c r="BK3" s="5">
        <f>(('Evolutive SFP'!BI38+'Evolutive SFP'!BI39+'Evolutive SFP'!BI40+'Evolutive SFP'!BI41+'Evolutive SFP'!BI42+'Evolutive SFP'!BI43)-'Evolutive SFP'!BI12)/1000000</f>
        <v>-67.21759831</v>
      </c>
      <c r="BL3" s="5">
        <f>(('Evolutive SFP'!BJ38+'Evolutive SFP'!BJ39+'Evolutive SFP'!BJ40+'Evolutive SFP'!BJ41+'Evolutive SFP'!BJ42+'Evolutive SFP'!BJ43)-'Evolutive SFP'!BJ12)/1000000</f>
        <v>-65.443196639999996</v>
      </c>
      <c r="BM3" s="5">
        <f>(('Evolutive SFP'!BK38+'Evolutive SFP'!BK39+'Evolutive SFP'!BK40+'Evolutive SFP'!BK41+'Evolutive SFP'!BK42+'Evolutive SFP'!BK43)-'Evolutive SFP'!BK12)/1000000</f>
        <v>-51.657022019999978</v>
      </c>
      <c r="BN3" s="5">
        <f>(('Evolutive SFP'!BL38+'Evolutive SFP'!BL39+'Evolutive SFP'!BL40+'Evolutive SFP'!BL41+'Evolutive SFP'!BL42+'Evolutive SFP'!BL43)-'Evolutive SFP'!BL12)/1000000</f>
        <v>-64.257865259999988</v>
      </c>
      <c r="BO3" s="5">
        <f>(('Evolutive SFP'!BM38+'Evolutive SFP'!BM39+'Evolutive SFP'!BM40+'Evolutive SFP'!BM41+'Evolutive SFP'!BM42+'Evolutive SFP'!BM43)-'Evolutive SFP'!BM12)/1000000</f>
        <v>-66.690860020000017</v>
      </c>
      <c r="BP3" s="5">
        <f>(('Evolutive SFP'!BN38+'Evolutive SFP'!BN39+'Evolutive SFP'!BN40+'Evolutive SFP'!BN41+'Evolutive SFP'!BN42+'Evolutive SFP'!BN43)-'Evolutive SFP'!BN12)/1000000</f>
        <v>-65.078795480000011</v>
      </c>
      <c r="BQ3" s="5">
        <f>(('Evolutive SFP'!BO38+'Evolutive SFP'!BO39+'Evolutive SFP'!BO40+'Evolutive SFP'!BO41+'Evolutive SFP'!BO42+'Evolutive SFP'!BO43)-'Evolutive SFP'!BO12)/1000000</f>
        <v>-63.76669119000001</v>
      </c>
      <c r="BR3" s="5">
        <f>(('Evolutive SFP'!BP38+'Evolutive SFP'!BP39+'Evolutive SFP'!BP40+'Evolutive SFP'!BP41+'Evolutive SFP'!BP42+'Evolutive SFP'!BP43)-'Evolutive SFP'!BP12)/1000000</f>
        <v>-62.740948409999994</v>
      </c>
      <c r="BS3" s="5">
        <f>(('Evolutive SFP'!BQ38+'Evolutive SFP'!BQ39+'Evolutive SFP'!BQ40+'Evolutive SFP'!BQ41+'Evolutive SFP'!BQ42+'Evolutive SFP'!BQ43)-'Evolutive SFP'!BQ12)/1000000</f>
        <v>-65.667742990000008</v>
      </c>
      <c r="BT3" s="5">
        <f>(('Evolutive SFP'!BR38+'Evolutive SFP'!BR39+'Evolutive SFP'!BR40+'Evolutive SFP'!BR41+'Evolutive SFP'!BR42+'Evolutive SFP'!BR43)-'Evolutive SFP'!BR12)/1000000</f>
        <v>-40.822386000000002</v>
      </c>
      <c r="BU3" s="5">
        <f>(('Evolutive SFP'!BS38+'Evolutive SFP'!BS39+'Evolutive SFP'!BS40+'Evolutive SFP'!BS41+'Evolutive SFP'!BS42+'Evolutive SFP'!BS43)-'Evolutive SFP'!BS12)/1000000</f>
        <v>-64.641781100000003</v>
      </c>
      <c r="BV3" s="5">
        <f>(('Evolutive SFP'!BT38+'Evolutive SFP'!BT39+'Evolutive SFP'!BT40+'Evolutive SFP'!BT41+'Evolutive SFP'!BT42+'Evolutive SFP'!BT43)-'Evolutive SFP'!BT12)/1000000</f>
        <v>-64.019203910000016</v>
      </c>
      <c r="BW3" s="5">
        <f>(('Evolutive SFP'!BU38+'Evolutive SFP'!BU39+'Evolutive SFP'!BU40+'Evolutive SFP'!BU41+'Evolutive SFP'!BU42+'Evolutive SFP'!BU43)-'Evolutive SFP'!BU12)/1000000</f>
        <v>-65.395648399999999</v>
      </c>
      <c r="BX3" s="5">
        <f>(('Evolutive SFP'!BV38+'Evolutive SFP'!BV39+'Evolutive SFP'!BV40+'Evolutive SFP'!BV41+'Evolutive SFP'!BV42+'Evolutive SFP'!BV43)-'Evolutive SFP'!BV12)/1000000</f>
        <v>-61.659581159999995</v>
      </c>
    </row>
    <row r="4" spans="1:76" ht="15">
      <c r="A4" s="328"/>
      <c r="B4" s="3" t="s">
        <v>158</v>
      </c>
      <c r="C4" s="24" t="s">
        <v>159</v>
      </c>
      <c r="D4" s="26">
        <f>D3/(('Evolutive SFP'!B26)/1000000)</f>
        <v>0.23738076447264136</v>
      </c>
      <c r="E4" s="26">
        <f>E3/(('Evolutive SFP'!C26)/1000000)</f>
        <v>0.23454913220949639</v>
      </c>
      <c r="F4" s="26">
        <f>F3/(('Evolutive SFP'!D26)/1000000)</f>
        <v>0.21282967771527134</v>
      </c>
      <c r="G4" s="26">
        <f>G3/(('Evolutive SFP'!E26)/1000000)</f>
        <v>0.20547270791324448</v>
      </c>
      <c r="H4" s="26">
        <f>H3/(('Evolutive SFP'!F26)/1000000)</f>
        <v>0.27224183571605581</v>
      </c>
      <c r="I4" s="26">
        <f>I3/(('Evolutive SFP'!G26)/1000000)</f>
        <v>0.18660700655782719</v>
      </c>
      <c r="J4" s="26">
        <f>J3/(('Evolutive SFP'!H26)/1000000)</f>
        <v>0.20447617747976793</v>
      </c>
      <c r="K4" s="26">
        <f>K3/(('Evolutive SFP'!I26)/1000000)</f>
        <v>0.20896511637074908</v>
      </c>
      <c r="L4" s="26">
        <f>L3/(('Evolutive SFP'!J26)/1000000)</f>
        <v>0.20657797471093417</v>
      </c>
      <c r="M4" s="26">
        <f>M3/(('Evolutive SFP'!K26)/1000000)</f>
        <v>0.21292528128318303</v>
      </c>
      <c r="N4" s="26" t="e">
        <f>N3/(('Evolutive SFP'!L26)/1000000)</f>
        <v>#DIV/0!</v>
      </c>
      <c r="O4" s="26" t="e">
        <f>O3/(('Evolutive SFP'!M26)/1000000)</f>
        <v>#DIV/0!</v>
      </c>
      <c r="P4" s="26" t="e">
        <f>P3/(('Evolutive SFP'!N26)/1000000)</f>
        <v>#DIV/0!</v>
      </c>
      <c r="Q4" s="26" t="e">
        <f>Q3/(('Evolutive SFP'!O26)/1000000)</f>
        <v>#DIV/0!</v>
      </c>
      <c r="R4" s="26" t="e">
        <f>R3/(('Evolutive SFP'!P26)/1000000)</f>
        <v>#DIV/0!</v>
      </c>
      <c r="S4" s="26" t="e">
        <f>S3/(('Evolutive SFP'!Q26)/1000000)</f>
        <v>#DIV/0!</v>
      </c>
      <c r="T4" s="26">
        <f>T3/(('Evolutive SFP'!R26)/1000000)</f>
        <v>0.29193234046403438</v>
      </c>
      <c r="U4" s="26">
        <f>U3/(('Evolutive SFP'!S26)/1000000)</f>
        <v>0.20241317555911376</v>
      </c>
      <c r="V4" s="26">
        <f>V3/(('Evolutive SFP'!T26)/1000000)</f>
        <v>0.20755720867258173</v>
      </c>
      <c r="W4" s="26">
        <f>W3/(('Evolutive SFP'!U26)/1000000)</f>
        <v>0.19063107954876507</v>
      </c>
      <c r="X4" s="26">
        <f>X3/(('Evolutive SFP'!V26)/1000000)</f>
        <v>0.1854950419380027</v>
      </c>
      <c r="Y4" s="26">
        <f>Y3/(('Evolutive SFP'!W26)/1000000)</f>
        <v>9.3062832521674341E-2</v>
      </c>
      <c r="Z4" s="26">
        <f>Z3/(('Evolutive SFP'!X26)/1000000)</f>
        <v>0.26543791673091005</v>
      </c>
      <c r="AA4" s="26">
        <f>AA3/(('Evolutive SFP'!Y26)/1000000)</f>
        <v>0.30167585902287869</v>
      </c>
      <c r="AB4" s="26">
        <f>AB3/(('Evolutive SFP'!Z26)/1000000)</f>
        <v>0.22451135350444193</v>
      </c>
      <c r="AC4" s="26">
        <f>AC3/(('Evolutive SFP'!AA26)/1000000)</f>
        <v>0.23670350146870844</v>
      </c>
      <c r="AD4" s="26">
        <f>AD3/(('Evolutive SFP'!AB26)/1000000)</f>
        <v>0.24493014742940178</v>
      </c>
      <c r="AE4" s="26">
        <f>AE3/(('Evolutive SFP'!AC26)/1000000)</f>
        <v>0.25334949162897485</v>
      </c>
      <c r="AF4" s="26">
        <f>AF3/(('Evolutive SFP'!AD26)/1000000)</f>
        <v>0.25111897399269073</v>
      </c>
      <c r="AG4" s="26">
        <f>AG3/(('Evolutive SFP'!AE26)/1000000)</f>
        <v>0.14156846593648392</v>
      </c>
      <c r="AH4" s="26">
        <f>AH3/(('Evolutive SFP'!AF26)/1000000)</f>
        <v>0.28490130572120681</v>
      </c>
      <c r="AI4" s="26">
        <f>AI3/(('Evolutive SFP'!AG26)/1000000)</f>
        <v>0.25074534108469204</v>
      </c>
      <c r="AJ4" s="26">
        <f>AJ3/(('Evolutive SFP'!AH26)/1000000)</f>
        <v>0.19705099983730873</v>
      </c>
      <c r="AK4" s="26">
        <f>AK3/(('Evolutive SFP'!AI26)/1000000)</f>
        <v>0.2788274395130208</v>
      </c>
      <c r="AL4" s="26">
        <f>AL3/(('Evolutive SFP'!AJ26)/1000000)</f>
        <v>0.20884854968041025</v>
      </c>
      <c r="AM4" s="26">
        <f>AM3/(('Evolutive SFP'!AK26)/1000000)</f>
        <v>0.21081703599076035</v>
      </c>
      <c r="AN4" s="26">
        <f>AN3/(('Evolutive SFP'!AL26)/1000000)</f>
        <v>0.1934063527824956</v>
      </c>
      <c r="AO4" s="26">
        <f>AO3/(('Evolutive SFP'!AM26)/1000000)</f>
        <v>0.20202691011153923</v>
      </c>
      <c r="AP4" s="26">
        <f>AP3/(('Evolutive SFP'!AN26)/1000000)</f>
        <v>0.18319606235032154</v>
      </c>
      <c r="AQ4" s="26" t="e">
        <f>AQ3/(('Evolutive SFP'!AO26)/1000000)</f>
        <v>#DIV/0!</v>
      </c>
      <c r="AR4" s="26" t="e">
        <f>AR3/(('Evolutive SFP'!AP26)/1000000)</f>
        <v>#DIV/0!</v>
      </c>
      <c r="AS4" s="26" t="e">
        <f>AS3/(('Evolutive SFP'!AQ26)/1000000)</f>
        <v>#DIV/0!</v>
      </c>
      <c r="AT4" s="26" t="e">
        <f>AT3/(('Evolutive SFP'!AR26)/1000000)</f>
        <v>#DIV/0!</v>
      </c>
      <c r="AU4" s="26">
        <f>AU3/(('Evolutive SFP'!AS26)/1000000)</f>
        <v>-1.0812116019580471</v>
      </c>
      <c r="AV4" s="26">
        <f>AV3/(('Evolutive SFP'!AT26)/1000000)</f>
        <v>-0.50806151240143527</v>
      </c>
      <c r="AW4" s="26">
        <f>AW3/(('Evolutive SFP'!AU26)/1000000)</f>
        <v>-0.40667019835543317</v>
      </c>
      <c r="AX4" s="26">
        <f>AX3/(('Evolutive SFP'!AV26)/1000000)</f>
        <v>-0.41939367394425986</v>
      </c>
      <c r="AY4" s="26">
        <f>AY3/(('Evolutive SFP'!AW26)/1000000)</f>
        <v>-0.4192080166640057</v>
      </c>
      <c r="AZ4" s="26">
        <f>AZ3/(('Evolutive SFP'!AX26)/1000000)</f>
        <v>-0.40120501691278959</v>
      </c>
      <c r="BA4" s="26" t="e">
        <f>BA3/(('Evolutive SFP'!AY26)/1000000)</f>
        <v>#DIV/0!</v>
      </c>
      <c r="BB4" s="26">
        <f>BB3/(('Evolutive SFP'!AZ26)/1000000)</f>
        <v>-0.43588639510832411</v>
      </c>
      <c r="BC4" s="26">
        <f>BC3/(('Evolutive SFP'!BA26)/1000000)</f>
        <v>-0.39846863255694487</v>
      </c>
      <c r="BD4" s="26">
        <f>BD3/(('Evolutive SFP'!BB26)/1000000)</f>
        <v>-0.36251779933498846</v>
      </c>
      <c r="BE4" s="26">
        <f>BE3/(('Evolutive SFP'!BC26)/1000000)</f>
        <v>-0.36940394637557805</v>
      </c>
      <c r="BF4" s="26">
        <f>BF3/(('Evolutive SFP'!BD26)/1000000)</f>
        <v>-0.33876759408380142</v>
      </c>
      <c r="BG4" s="26">
        <f>BG3/(('Evolutive SFP'!BE26)/1000000)</f>
        <v>-0.38344472212576119</v>
      </c>
      <c r="BH4" s="26">
        <f>BH3/(('Evolutive SFP'!BF26)/1000000)</f>
        <v>-0.32421529844983688</v>
      </c>
      <c r="BI4" s="26">
        <f>BI3/(('Evolutive SFP'!BG26)/1000000)</f>
        <v>-0.51133249990662355</v>
      </c>
      <c r="BJ4" s="26">
        <f>BJ3/(('Evolutive SFP'!BH26)/1000000)</f>
        <v>-0.35535405799355768</v>
      </c>
      <c r="BK4" s="26">
        <f>BK3/(('Evolutive SFP'!BI26)/1000000)</f>
        <v>-0.36553902211884282</v>
      </c>
      <c r="BL4" s="26">
        <f>BL3/(('Evolutive SFP'!BJ26)/1000000)</f>
        <v>-0.36152057926694559</v>
      </c>
      <c r="BM4" s="26">
        <f>BM3/(('Evolutive SFP'!BK26)/1000000)</f>
        <v>-0.2619833975924864</v>
      </c>
      <c r="BN4" s="26">
        <f>BN3/(('Evolutive SFP'!BL26)/1000000)</f>
        <v>-0.3557498885149189</v>
      </c>
      <c r="BO4" s="26">
        <f>BO3/(('Evolutive SFP'!BM26)/1000000)</f>
        <v>-0.37297087793097261</v>
      </c>
      <c r="BP4" s="26">
        <f>BP3/(('Evolutive SFP'!BN26)/1000000)</f>
        <v>-0.36430888476842843</v>
      </c>
      <c r="BQ4" s="26">
        <f>BQ3/(('Evolutive SFP'!BO26)/1000000)</f>
        <v>-0.39954963694962314</v>
      </c>
      <c r="BR4" s="26">
        <f>BR3/(('Evolutive SFP'!BP26)/1000000)</f>
        <v>-0.35441875903432457</v>
      </c>
      <c r="BS4" s="26">
        <f>BS3/(('Evolutive SFP'!BQ26)/1000000)</f>
        <v>-0.36492797186903941</v>
      </c>
      <c r="BT4" s="26">
        <f>BT3/(('Evolutive SFP'!BR26)/1000000)</f>
        <v>-0.20081315127856611</v>
      </c>
      <c r="BU4" s="26">
        <f>BU3/(('Evolutive SFP'!BS26)/1000000)</f>
        <v>-0.36175429162856909</v>
      </c>
      <c r="BV4" s="26">
        <f>BV3/(('Evolutive SFP'!BT26)/1000000)</f>
        <v>-0.34325195606694814</v>
      </c>
      <c r="BW4" s="26">
        <f>BW3/(('Evolutive SFP'!BU26)/1000000)</f>
        <v>-0.34156793030797095</v>
      </c>
      <c r="BX4" s="26">
        <f>BX3/(('Evolutive SFP'!BV26)/1000000)</f>
        <v>-0.33323989452370101</v>
      </c>
    </row>
    <row r="5" spans="1:76" ht="15">
      <c r="A5" s="328"/>
      <c r="B5" s="3" t="s">
        <v>160</v>
      </c>
      <c r="C5" s="24" t="s">
        <v>161</v>
      </c>
      <c r="D5" s="26">
        <f>D3/('Evolutive SFP'!B30/1000000)</f>
        <v>0.40774099282048742</v>
      </c>
      <c r="E5" s="26">
        <f>E3/('Evolutive SFP'!C30/1000000)</f>
        <v>0.37355255727784664</v>
      </c>
      <c r="F5" s="26">
        <f>F3/('Evolutive SFP'!D30/1000000)</f>
        <v>0.35684170787299491</v>
      </c>
      <c r="G5" s="26">
        <f>G3/('Evolutive SFP'!E30/1000000)</f>
        <v>0.35452533469651681</v>
      </c>
      <c r="H5" s="26">
        <f>H3/('Evolutive SFP'!F30/1000000)</f>
        <v>0.49943572287878135</v>
      </c>
      <c r="I5" s="26">
        <f>I3/('Evolutive SFP'!G30/1000000)</f>
        <v>0.31673643815276425</v>
      </c>
      <c r="J5" s="26">
        <f>J3/('Evolutive SFP'!H30/1000000)</f>
        <v>0.33000410838475702</v>
      </c>
      <c r="K5" s="26">
        <f>K3/('Evolutive SFP'!I30/1000000)</f>
        <v>0.33425663337825395</v>
      </c>
      <c r="L5" s="26">
        <f>L3/('Evolutive SFP'!J30/1000000)</f>
        <v>0.34160947563423805</v>
      </c>
      <c r="M5" s="26">
        <f>M3/('Evolutive SFP'!K30/1000000)</f>
        <v>0.35837141470190126</v>
      </c>
      <c r="N5" s="26" t="e">
        <f>N3/('Evolutive SFP'!L30/1000000)</f>
        <v>#DIV/0!</v>
      </c>
      <c r="O5" s="26" t="e">
        <f>O3/('Evolutive SFP'!M30/1000000)</f>
        <v>#DIV/0!</v>
      </c>
      <c r="P5" s="26" t="e">
        <f>P3/('Evolutive SFP'!N30/1000000)</f>
        <v>#DIV/0!</v>
      </c>
      <c r="Q5" s="26" t="e">
        <f>Q3/('Evolutive SFP'!O30/1000000)</f>
        <v>#DIV/0!</v>
      </c>
      <c r="R5" s="26" t="e">
        <f>R3/('Evolutive SFP'!P30/1000000)</f>
        <v>#DIV/0!</v>
      </c>
      <c r="S5" s="26" t="e">
        <f>S3/('Evolutive SFP'!Q30/1000000)</f>
        <v>#DIV/0!</v>
      </c>
      <c r="T5" s="26">
        <f>T3/('Evolutive SFP'!R30/1000000)</f>
        <v>0.53872755878454315</v>
      </c>
      <c r="U5" s="26">
        <f>U3/('Evolutive SFP'!S30/1000000)</f>
        <v>0.33344443310935973</v>
      </c>
      <c r="V5" s="26">
        <f>V3/('Evolutive SFP'!T30/1000000)</f>
        <v>0.34784922048170769</v>
      </c>
      <c r="W5" s="26">
        <f>W3/('Evolutive SFP'!U30/1000000)</f>
        <v>0.3198231570748013</v>
      </c>
      <c r="X5" s="26">
        <f>X3/('Evolutive SFP'!V30/1000000)</f>
        <v>0.31220832247144253</v>
      </c>
      <c r="Y5" s="26">
        <f>Y3/('Evolutive SFP'!W30/1000000)</f>
        <v>0.14337685551361831</v>
      </c>
      <c r="Z5" s="26">
        <f>Z3/('Evolutive SFP'!X30/1000000)</f>
        <v>0.49032347606440957</v>
      </c>
      <c r="AA5" s="26">
        <f>AA3/('Evolutive SFP'!Y30/1000000)</f>
        <v>0.60195748389662085</v>
      </c>
      <c r="AB5" s="26">
        <f>AB3/('Evolutive SFP'!Z30/1000000)</f>
        <v>0.41431277280701995</v>
      </c>
      <c r="AC5" s="26">
        <f>AC3/('Evolutive SFP'!AA30/1000000)</f>
        <v>0.46551844191959113</v>
      </c>
      <c r="AD5" s="26">
        <f>AD3/('Evolutive SFP'!AB30/1000000)</f>
        <v>0.48627906679647359</v>
      </c>
      <c r="AE5" s="26">
        <f>AE3/('Evolutive SFP'!AC30/1000000)</f>
        <v>0.44687231290516716</v>
      </c>
      <c r="AF5" s="26">
        <f>AF3/('Evolutive SFP'!AD30/1000000)</f>
        <v>0.46877153871493443</v>
      </c>
      <c r="AG5" s="26">
        <f>AG3/('Evolutive SFP'!AE30/1000000)</f>
        <v>0.24074341813846112</v>
      </c>
      <c r="AH5" s="26">
        <f>AH3/('Evolutive SFP'!AF30/1000000)</f>
        <v>0.51155017410201542</v>
      </c>
      <c r="AI5" s="26">
        <f>AI3/('Evolutive SFP'!AG30/1000000)</f>
        <v>0.46980049435534377</v>
      </c>
      <c r="AJ5" s="26">
        <f>AJ3/('Evolutive SFP'!AH30/1000000)</f>
        <v>0.40741185539350527</v>
      </c>
      <c r="AK5" s="26">
        <f>AK3/('Evolutive SFP'!AI30/1000000)</f>
        <v>0.57054864456433296</v>
      </c>
      <c r="AL5" s="26">
        <f>AL3/('Evolutive SFP'!AJ30/1000000)</f>
        <v>0.42052316635970582</v>
      </c>
      <c r="AM5" s="26">
        <f>AM3/('Evolutive SFP'!AK30/1000000)</f>
        <v>0.40142155069839486</v>
      </c>
      <c r="AN5" s="26">
        <f>AN3/('Evolutive SFP'!AL30/1000000)</f>
        <v>0.38347792683964033</v>
      </c>
      <c r="AO5" s="26">
        <f>AO3/('Evolutive SFP'!AM30/1000000)</f>
        <v>0.39979355381087078</v>
      </c>
      <c r="AP5" s="26">
        <f>AP3/('Evolutive SFP'!AN30/1000000)</f>
        <v>0.36258759386893319</v>
      </c>
      <c r="AQ5" s="26" t="e">
        <f>AQ3/('Evolutive SFP'!AO30/1000000)</f>
        <v>#DIV/0!</v>
      </c>
      <c r="AR5" s="26" t="e">
        <f>AR3/('Evolutive SFP'!AP30/1000000)</f>
        <v>#DIV/0!</v>
      </c>
      <c r="AS5" s="26" t="e">
        <f>AS3/('Evolutive SFP'!AQ30/1000000)</f>
        <v>#DIV/0!</v>
      </c>
      <c r="AT5" s="26" t="e">
        <f>AT3/('Evolutive SFP'!AR30/1000000)</f>
        <v>#DIV/0!</v>
      </c>
      <c r="AU5" s="26">
        <f>AU3/('Evolutive SFP'!AS30/1000000)</f>
        <v>-0.84555131498962499</v>
      </c>
      <c r="AV5" s="26">
        <f>AV3/('Evolutive SFP'!AT30/1000000)</f>
        <v>-0.45296954745234291</v>
      </c>
      <c r="AW5" s="26">
        <f>AW3/('Evolutive SFP'!AU30/1000000)</f>
        <v>-0.39874381969211203</v>
      </c>
      <c r="AX5" s="26">
        <f>AX3/('Evolutive SFP'!AV30/1000000)</f>
        <v>-0.40055816074575651</v>
      </c>
      <c r="AY5" s="26">
        <f>AY3/('Evolutive SFP'!AW30/1000000)</f>
        <v>-0.39786423086705658</v>
      </c>
      <c r="AZ5" s="26">
        <f>AZ3/('Evolutive SFP'!AX30/1000000)</f>
        <v>-0.3880295252815828</v>
      </c>
      <c r="BA5" s="26" t="e">
        <f>BA3/('Evolutive SFP'!AY30/1000000)</f>
        <v>#DIV/0!</v>
      </c>
      <c r="BB5" s="26">
        <f>BB3/('Evolutive SFP'!AZ30/1000000)</f>
        <v>-0.42561925867167216</v>
      </c>
      <c r="BC5" s="26">
        <f>BC3/('Evolutive SFP'!BA30/1000000)</f>
        <v>-0.39846267780659839</v>
      </c>
      <c r="BD5" s="26">
        <f>BD3/('Evolutive SFP'!BB30/1000000)</f>
        <v>-0.37505118488131151</v>
      </c>
      <c r="BE5" s="26">
        <f>BE3/('Evolutive SFP'!BC30/1000000)</f>
        <v>-0.38018119035987646</v>
      </c>
      <c r="BF5" s="26">
        <f>BF3/('Evolutive SFP'!BD30/1000000)</f>
        <v>-0.3580577256734338</v>
      </c>
      <c r="BG5" s="26">
        <f>BG3/('Evolutive SFP'!BE30/1000000)</f>
        <v>-0.3758301967258974</v>
      </c>
      <c r="BH5" s="26">
        <f>BH3/('Evolutive SFP'!BF30/1000000)</f>
        <v>-0.33484904329050336</v>
      </c>
      <c r="BI5" s="26">
        <f>BI3/('Evolutive SFP'!BG30/1000000)</f>
        <v>-0.47764601693909842</v>
      </c>
      <c r="BJ5" s="26">
        <f>BJ3/('Evolutive SFP'!BH30/1000000)</f>
        <v>-0.37175750608254776</v>
      </c>
      <c r="BK5" s="26">
        <f>BK3/('Evolutive SFP'!BI30/1000000)</f>
        <v>-0.36428912250123324</v>
      </c>
      <c r="BL5" s="26">
        <f>BL3/('Evolutive SFP'!BJ30/1000000)</f>
        <v>-0.35709472730617048</v>
      </c>
      <c r="BM5" s="26">
        <f>BM3/('Evolutive SFP'!BK30/1000000)</f>
        <v>-0.27930963470435155</v>
      </c>
      <c r="BN5" s="26">
        <f>BN3/('Evolutive SFP'!BL30/1000000)</f>
        <v>-0.35243856778068117</v>
      </c>
      <c r="BO5" s="26">
        <f>BO3/('Evolutive SFP'!BM30/1000000)</f>
        <v>-0.36586062125361268</v>
      </c>
      <c r="BP5" s="26">
        <f>BP3/('Evolutive SFP'!BN30/1000000)</f>
        <v>-0.36523903717423611</v>
      </c>
      <c r="BQ5" s="26">
        <f>BQ3/('Evolutive SFP'!BO30/1000000)</f>
        <v>-0.35519063200999756</v>
      </c>
      <c r="BR5" s="26">
        <f>BR3/('Evolutive SFP'!BP30/1000000)</f>
        <v>-0.35145644927118813</v>
      </c>
      <c r="BS5" s="26">
        <f>BS3/('Evolutive SFP'!BQ30/1000000)</f>
        <v>-0.36446397510640438</v>
      </c>
      <c r="BT5" s="26">
        <f>BT3/('Evolutive SFP'!BR30/1000000)</f>
        <v>-0.21711776273233363</v>
      </c>
      <c r="BU5" s="26">
        <f>BU3/('Evolutive SFP'!BS30/1000000)</f>
        <v>-0.35941409794487872</v>
      </c>
      <c r="BV5" s="26">
        <f>BV3/('Evolutive SFP'!BT30/1000000)</f>
        <v>-0.34409793933826543</v>
      </c>
      <c r="BW5" s="26">
        <f>BW3/('Evolutive SFP'!BU30/1000000)</f>
        <v>-0.34779546813407836</v>
      </c>
      <c r="BX5" s="26">
        <f>BX3/('Evolutive SFP'!BV30/1000000)</f>
        <v>-0.33162206544113504</v>
      </c>
    </row>
    <row r="6" spans="1:76" ht="15">
      <c r="A6" s="328"/>
      <c r="B6" s="3" t="s">
        <v>162</v>
      </c>
      <c r="C6" s="24" t="s">
        <v>161</v>
      </c>
      <c r="D6" s="26">
        <f>((D3*1000000)-'Evolutive SFP'!B38)/'Evolutive SFP'!B26</f>
        <v>0.2262102623566547</v>
      </c>
      <c r="E6" s="26">
        <f>((E3*1000000)-'Evolutive SFP'!C38)/'Evolutive SFP'!C26</f>
        <v>0.20039766180925803</v>
      </c>
      <c r="F6" s="26">
        <f>((F3*1000000)-'Evolutive SFP'!D38)/'Evolutive SFP'!D26</f>
        <v>0.17590775353839463</v>
      </c>
      <c r="G6" s="26">
        <f>((G3*1000000)-'Evolutive SFP'!E38)/'Evolutive SFP'!E26</f>
        <v>0.16627990245178148</v>
      </c>
      <c r="H6" s="26">
        <f>((H3*1000000)-'Evolutive SFP'!F38)/'Evolutive SFP'!F26</f>
        <v>0.22943838810393147</v>
      </c>
      <c r="I6" s="26">
        <f>((I3*1000000)-'Evolutive SFP'!G38)/'Evolutive SFP'!G26</f>
        <v>0.14800436835895839</v>
      </c>
      <c r="J6" s="26">
        <f>((J3*1000000)-'Evolutive SFP'!H38)/'Evolutive SFP'!H26</f>
        <v>0.15978876936821951</v>
      </c>
      <c r="K6" s="26">
        <f>((K3*1000000)-'Evolutive SFP'!I38)/'Evolutive SFP'!I26</f>
        <v>0.16188247557645793</v>
      </c>
      <c r="L6" s="26">
        <f>((L3*1000000)-'Evolutive SFP'!J38)/'Evolutive SFP'!J26</f>
        <v>0.15811485968261332</v>
      </c>
      <c r="M6" s="26">
        <f>((M3*1000000)-'Evolutive SFP'!K38)/'Evolutive SFP'!K26</f>
        <v>0.16285935454177461</v>
      </c>
      <c r="N6" s="26" t="e">
        <f>((N3*1000000)-'Evolutive SFP'!L38)/'Evolutive SFP'!L26</f>
        <v>#DIV/0!</v>
      </c>
      <c r="O6" s="26" t="e">
        <f>((O3*1000000)-'Evolutive SFP'!M38)/'Evolutive SFP'!M26</f>
        <v>#DIV/0!</v>
      </c>
      <c r="P6" s="26" t="e">
        <f>((P3*1000000)-'Evolutive SFP'!N38)/'Evolutive SFP'!N26</f>
        <v>#DIV/0!</v>
      </c>
      <c r="Q6" s="26" t="e">
        <f>((Q3*1000000)-'Evolutive SFP'!O38)/'Evolutive SFP'!O26</f>
        <v>#DIV/0!</v>
      </c>
      <c r="R6" s="26" t="e">
        <f>((R3*1000000)-'Evolutive SFP'!P38)/'Evolutive SFP'!P26</f>
        <v>#DIV/0!</v>
      </c>
      <c r="S6" s="26" t="e">
        <f>((S3*1000000)-'Evolutive SFP'!Q38)/'Evolutive SFP'!Q26</f>
        <v>#DIV/0!</v>
      </c>
      <c r="T6" s="26">
        <f>((T3*1000000)-'Evolutive SFP'!R38)/'Evolutive SFP'!R26</f>
        <v>0.23613050273234246</v>
      </c>
      <c r="U6" s="26">
        <f>((U3*1000000)-'Evolutive SFP'!S38)/'Evolutive SFP'!S26</f>
        <v>0.15105826156002128</v>
      </c>
      <c r="V6" s="26">
        <f>((V3*1000000)-'Evolutive SFP'!T38)/'Evolutive SFP'!T26</f>
        <v>0.15479453099304369</v>
      </c>
      <c r="W6" s="26">
        <f>((W3*1000000)-'Evolutive SFP'!U38)/'Evolutive SFP'!U26</f>
        <v>0.13800140887544449</v>
      </c>
      <c r="X6" s="26">
        <f>((X3*1000000)-'Evolutive SFP'!V38)/'Evolutive SFP'!V26</f>
        <v>0.12875748169941101</v>
      </c>
      <c r="Y6" s="26">
        <f>((Y3*1000000)-'Evolutive SFP'!W38)/'Evolutive SFP'!W26</f>
        <v>3.177021454713954E-2</v>
      </c>
      <c r="Z6" s="26">
        <f>((Z3*1000000)-'Evolutive SFP'!X38)/'Evolutive SFP'!X26</f>
        <v>0.20930664113371758</v>
      </c>
      <c r="AA6" s="26">
        <f>((AA3*1000000)-'Evolutive SFP'!Y38)/'Evolutive SFP'!Y26</f>
        <v>0.30167585902287869</v>
      </c>
      <c r="AB6" s="26">
        <f>((AB3*1000000)-'Evolutive SFP'!Z38)/'Evolutive SFP'!Z26</f>
        <v>0.17048120939378816</v>
      </c>
      <c r="AC6" s="26">
        <f>((AC3*1000000)-'Evolutive SFP'!AA38)/'Evolutive SFP'!AA26</f>
        <v>0.18136321158290267</v>
      </c>
      <c r="AD6" s="26">
        <f>((AD3*1000000)-'Evolutive SFP'!AB38)/'Evolutive SFP'!AB26</f>
        <v>0.1865196811910397</v>
      </c>
      <c r="AE6" s="26">
        <f>((AE3*1000000)-'Evolutive SFP'!AC38)/'Evolutive SFP'!AC26</f>
        <v>0.19356545392864813</v>
      </c>
      <c r="AF6" s="26">
        <f>((AF3*1000000)-'Evolutive SFP'!AD38)/'Evolutive SFP'!AD26</f>
        <v>0.18926840114550525</v>
      </c>
      <c r="AG6" s="26">
        <f>((AG3*1000000)-'Evolutive SFP'!AE38)/'Evolutive SFP'!AE26</f>
        <v>8.0651528429239741E-2</v>
      </c>
      <c r="AH6" s="26">
        <f>((AH3*1000000)-'Evolutive SFP'!AF38)/'Evolutive SFP'!AF26</f>
        <v>0.2198932464330563</v>
      </c>
      <c r="AI6" s="26">
        <f>((AI3*1000000)-'Evolutive SFP'!AG38)/'Evolutive SFP'!AG26</f>
        <v>0.19011592169608171</v>
      </c>
      <c r="AJ6" s="26">
        <f>((AJ3*1000000)-'Evolutive SFP'!AH38)/'Evolutive SFP'!AH26</f>
        <v>0.13156566177220683</v>
      </c>
      <c r="AK6" s="26">
        <f>((AK3*1000000)-'Evolutive SFP'!AI38)/'Evolutive SFP'!AI26</f>
        <v>0.21142999381390917</v>
      </c>
      <c r="AL6" s="26">
        <f>((AL3*1000000)-'Evolutive SFP'!AJ38)/'Evolutive SFP'!AJ26</f>
        <v>0.14183447422695578</v>
      </c>
      <c r="AM6" s="26">
        <f>((AM3*1000000)-'Evolutive SFP'!AK38)/'Evolutive SFP'!AK26</f>
        <v>0.14253753903379673</v>
      </c>
      <c r="AN6" s="26">
        <f>((AN3*1000000)-'Evolutive SFP'!AL38)/'Evolutive SFP'!AL26</f>
        <v>0.12966407495682244</v>
      </c>
      <c r="AO6" s="26">
        <f>((AO3*1000000)-'Evolutive SFP'!AM38)/'Evolutive SFP'!AM26</f>
        <v>0.13949461473327318</v>
      </c>
      <c r="AP6" s="26">
        <f>((AP3*1000000)-'Evolutive SFP'!AN38)/'Evolutive SFP'!AN26</f>
        <v>0.12094582615224603</v>
      </c>
      <c r="AQ6" s="26" t="e">
        <f>((AQ3*1000000)-'Evolutive SFP'!AO38)/'Evolutive SFP'!AO26</f>
        <v>#DIV/0!</v>
      </c>
      <c r="AR6" s="26" t="e">
        <f>((AR3*1000000)-'Evolutive SFP'!AP38)/'Evolutive SFP'!AP26</f>
        <v>#DIV/0!</v>
      </c>
      <c r="AS6" s="26" t="e">
        <f>((AS3*1000000)-'Evolutive SFP'!AQ38)/'Evolutive SFP'!AQ26</f>
        <v>#DIV/0!</v>
      </c>
      <c r="AT6" s="26" t="e">
        <f>((AT3*1000000)-'Evolutive SFP'!AR38)/'Evolutive SFP'!AR26</f>
        <v>#DIV/0!</v>
      </c>
      <c r="AU6" s="26">
        <f>((AU3*1000000)-'Evolutive SFP'!AS38)/'Evolutive SFP'!AS26</f>
        <v>-1.2374674288932568</v>
      </c>
      <c r="AV6" s="26">
        <f>((AV3*1000000)-'Evolutive SFP'!AT38)/'Evolutive SFP'!AT26</f>
        <v>-0.58264094645183062</v>
      </c>
      <c r="AW6" s="26">
        <f>((AW3*1000000)-'Evolutive SFP'!AU38)/'Evolutive SFP'!AU26</f>
        <v>-0.47721394119659877</v>
      </c>
      <c r="AX6" s="26">
        <f>((AX3*1000000)-'Evolutive SFP'!AV38)/'Evolutive SFP'!AV26</f>
        <v>-0.49130573526685944</v>
      </c>
      <c r="AY6" s="26">
        <f>((AY3*1000000)-'Evolutive SFP'!AW38)/'Evolutive SFP'!AW26</f>
        <v>-0.48988839369483766</v>
      </c>
      <c r="AZ6" s="26">
        <f>((AZ3*1000000)-'Evolutive SFP'!AX38)/'Evolutive SFP'!AX26</f>
        <v>-0.46869273729621125</v>
      </c>
      <c r="BA6" s="26" t="e">
        <f>((BA3*1000000)-'Evolutive SFP'!AY38)/'Evolutive SFP'!AY26</f>
        <v>#DIV/0!</v>
      </c>
      <c r="BB6" s="26">
        <f>((BB3*1000000)-'Evolutive SFP'!AZ38)/'Evolutive SFP'!AZ26</f>
        <v>-0.50609791351347833</v>
      </c>
      <c r="BC6" s="26">
        <f>((BC3*1000000)-'Evolutive SFP'!BA38)/'Evolutive SFP'!BA26</f>
        <v>-0.4684046010928446</v>
      </c>
      <c r="BD6" s="26">
        <f>((BD3*1000000)-'Evolutive SFP'!BB38)/'Evolutive SFP'!BB26</f>
        <v>-0.43010933730301393</v>
      </c>
      <c r="BE6" s="26">
        <f>((BE3*1000000)-'Evolutive SFP'!BC38)/'Evolutive SFP'!BC26</f>
        <v>-0.43761768320246619</v>
      </c>
      <c r="BF6" s="26">
        <f>((BF3*1000000)-'Evolutive SFP'!BD38)/'Evolutive SFP'!BD26</f>
        <v>-0.40479781208812565</v>
      </c>
      <c r="BG6" s="26">
        <f>((BG3*1000000)-'Evolutive SFP'!BE38)/'Evolutive SFP'!BE26</f>
        <v>-0.45512436939247669</v>
      </c>
      <c r="BH6" s="26">
        <f>((BH3*1000000)-'Evolutive SFP'!BF38)/'Evolutive SFP'!BF26</f>
        <v>-0.39368993888750875</v>
      </c>
      <c r="BI6" s="26">
        <f>((BI3*1000000)-'Evolutive SFP'!BG38)/'Evolutive SFP'!BG26</f>
        <v>-0.5860456481204408</v>
      </c>
      <c r="BJ6" s="26">
        <f>((BJ3*1000000)-'Evolutive SFP'!BH38)/'Evolutive SFP'!BH26</f>
        <v>-0.42633075281580501</v>
      </c>
      <c r="BK6" s="26">
        <f>((BK3*1000000)-'Evolutive SFP'!BI38)/'Evolutive SFP'!BI26</f>
        <v>-0.4400596816884183</v>
      </c>
      <c r="BL6" s="26">
        <f>((BL3*1000000)-'Evolutive SFP'!BJ38)/'Evolutive SFP'!BJ26</f>
        <v>-0.43727115349092593</v>
      </c>
      <c r="BM6" s="26">
        <f>((BM3*1000000)-'Evolutive SFP'!BK38)/'Evolutive SFP'!BK26</f>
        <v>-0.33157490728635686</v>
      </c>
      <c r="BN6" s="26">
        <f>((BN3*1000000)-'Evolutive SFP'!BL38)/'Evolutive SFP'!BL26</f>
        <v>-0.4317178255392371</v>
      </c>
      <c r="BO6" s="26">
        <f>((BO3*1000000)-'Evolutive SFP'!BM38)/'Evolutive SFP'!BM26</f>
        <v>-0.44982752969925216</v>
      </c>
      <c r="BP6" s="26">
        <f>((BP3*1000000)-'Evolutive SFP'!BN38)/'Evolutive SFP'!BN26</f>
        <v>-0.44124018816522398</v>
      </c>
      <c r="BQ6" s="26">
        <f>((BQ3*1000000)-'Evolutive SFP'!BO38)/'Evolutive SFP'!BO26</f>
        <v>-0.48565886416995224</v>
      </c>
      <c r="BR6" s="26">
        <f>((BR3*1000000)-'Evolutive SFP'!BP38)/'Evolutive SFP'!BP26</f>
        <v>-0.43206164218453064</v>
      </c>
      <c r="BS6" s="26">
        <f>((BS3*1000000)-'Evolutive SFP'!BQ38)/'Evolutive SFP'!BQ26</f>
        <v>-0.44132387723375482</v>
      </c>
      <c r="BT6" s="26">
        <f>((BT3*1000000)-'Evolutive SFP'!BR38)/'Evolutive SFP'!BR26</f>
        <v>-0.26770739255325154</v>
      </c>
      <c r="BU6" s="26">
        <f>((BU3*1000000)-'Evolutive SFP'!BS38)/'Evolutive SFP'!BS26</f>
        <v>-0.43874373782135495</v>
      </c>
      <c r="BV6" s="26">
        <f>((BV3*1000000)-'Evolutive SFP'!BT38)/'Evolutive SFP'!BT26</f>
        <v>-0.41704574051913329</v>
      </c>
      <c r="BW6" s="26">
        <f>((BW3*1000000)-'Evolutive SFP'!BU38)/'Evolutive SFP'!BU26</f>
        <v>-0.41347393554672057</v>
      </c>
      <c r="BX6" s="26">
        <f>((BX3*1000000)-'Evolutive SFP'!BV38)/'Evolutive SFP'!BV26</f>
        <v>-0.40764339049314036</v>
      </c>
    </row>
    <row r="7" spans="1:76" ht="15">
      <c r="A7" s="328" t="s">
        <v>163</v>
      </c>
      <c r="B7" s="3" t="s">
        <v>164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</row>
    <row r="8" spans="1:76" ht="15">
      <c r="A8" s="328"/>
      <c r="B8" s="3" t="s">
        <v>165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</row>
    <row r="9" spans="1:76" ht="15">
      <c r="A9" s="326" t="s">
        <v>166</v>
      </c>
      <c r="B9" s="3" t="s">
        <v>167</v>
      </c>
      <c r="C9" s="24"/>
      <c r="D9" s="24"/>
      <c r="E9" s="6">
        <f>'Evolutitve SCI'!C33/(('Evolutive SFP'!B26+'Evolutive SFP'!C26)/2)</f>
        <v>3.5026197263721838E-2</v>
      </c>
      <c r="F9" s="6">
        <f>'Evolutitve SCI'!D33/(('Evolutive SFP'!C26+'Evolutive SFP'!D26)/2)</f>
        <v>7.5631404469077394E-3</v>
      </c>
      <c r="G9" s="6">
        <f>'Evolutitve SCI'!E33/(('Evolutive SFP'!D26+'Evolutive SFP'!E26)/2)</f>
        <v>3.7046790867377435E-3</v>
      </c>
      <c r="H9" s="6">
        <f>'Evolutitve SCI'!F33/(('Evolutive SFP'!E26+'Evolutive SFP'!F26)/2)</f>
        <v>4.8508435406823078E-4</v>
      </c>
      <c r="I9" s="6">
        <f>'Evolutitve SCI'!G33/(('Evolutive SFP'!F26+'Evolutive SFP'!G26)/2)</f>
        <v>-1.369863519346249E-2</v>
      </c>
      <c r="J9" s="6">
        <f>'Evolutitve SCI'!H33/(('Evolutive SFP'!G26+'Evolutive SFP'!H26)/2)</f>
        <v>-1.0274339269483393E-2</v>
      </c>
      <c r="K9" s="6">
        <f>'Evolutitve SCI'!I33/(('Evolutive SFP'!H26+'Evolutive SFP'!I26)/2)</f>
        <v>-8.9203718637020854E-3</v>
      </c>
      <c r="L9" s="6">
        <f>'Evolutitve SCI'!J33/(('Evolutive SFP'!I26+'Evolutive SFP'!J26)/2)</f>
        <v>-1.7680686102880459E-2</v>
      </c>
      <c r="M9" s="6">
        <f>'Evolutitve SCI'!K33/(('Evolutive SFP'!J26+'Evolutive SFP'!K26)/2)</f>
        <v>-1.870255786581812E-2</v>
      </c>
      <c r="N9" s="6">
        <f>'Evolutitve SCI'!L33/(('Evolutive SFP'!K26+'Evolutive SFP'!L26)/2)</f>
        <v>0</v>
      </c>
      <c r="O9" s="6" t="e">
        <f>'Evolutitve SCI'!M33/(('Evolutive SFP'!L26+'Evolutive SFP'!M26)/2)</f>
        <v>#DIV/0!</v>
      </c>
      <c r="P9" s="6" t="e">
        <f>'Evolutitve SCI'!N33/(('Evolutive SFP'!M26+'Evolutive SFP'!N26)/2)</f>
        <v>#DIV/0!</v>
      </c>
      <c r="Q9" s="6" t="e">
        <f>'Evolutitve SCI'!O33/(('Evolutive SFP'!N26+'Evolutive SFP'!O26)/2)</f>
        <v>#DIV/0!</v>
      </c>
      <c r="R9" s="6" t="e">
        <f>'Evolutitve SCI'!P33/(('Evolutive SFP'!O26+'Evolutive SFP'!P26)/2)</f>
        <v>#DIV/0!</v>
      </c>
      <c r="S9" s="6" t="e">
        <f>'Evolutitve SCI'!Q33/(('Evolutive SFP'!P26+'Evolutive SFP'!Q26)/2)</f>
        <v>#DIV/0!</v>
      </c>
      <c r="T9" s="6">
        <f>'Evolutitve SCI'!R33/(('Evolutive SFP'!Q26+'Evolutive SFP'!R26)/2)</f>
        <v>-4.9802421150995244E-2</v>
      </c>
      <c r="U9" s="6">
        <f>'Evolutitve SCI'!S33/(('Evolutive SFP'!R26+'Evolutive SFP'!S26)/2)</f>
        <v>2.0214068234245429E-3</v>
      </c>
      <c r="V9" s="6">
        <f>'Evolutitve SCI'!T33/(('Evolutive SFP'!S26+'Evolutive SFP'!T26)/2)</f>
        <v>1.5815058739553905E-3</v>
      </c>
      <c r="W9" s="6">
        <f>'Evolutitve SCI'!U33/(('Evolutive SFP'!T26+'Evolutive SFP'!U26)/2)</f>
        <v>-1.5034797406897124E-2</v>
      </c>
      <c r="X9" s="6">
        <f>'Evolutitve SCI'!V33/(('Evolutive SFP'!U26+'Evolutive SFP'!V26)/2)</f>
        <v>-3.4321277863796115E-2</v>
      </c>
      <c r="Y9" s="6">
        <f>'Evolutitve SCI'!W33/(('Evolutive SFP'!V26+'Evolutive SFP'!W26)/2)</f>
        <v>-0.14047502199637485</v>
      </c>
      <c r="Z9" s="6">
        <f>'Evolutitve SCI'!X33/(('Evolutive SFP'!W26+'Evolutive SFP'!X26)/2)</f>
        <v>5.1743658349788859E-4</v>
      </c>
      <c r="AA9" s="6">
        <f>'Evolutitve SCI'!Y33/(('Evolutive SFP'!X26+'Evolutive SFP'!Y26)/2)</f>
        <v>-5.9619768881980627E-3</v>
      </c>
      <c r="AB9" s="6">
        <f>'Evolutitve SCI'!Z33/(('Evolutive SFP'!Y26+'Evolutive SFP'!Z26)/2)</f>
        <v>-1.8902017864246994E-2</v>
      </c>
      <c r="AC9" s="6">
        <f>'Evolutitve SCI'!AA33/(('Evolutive SFP'!Z26+'Evolutive SFP'!AA26)/2)</f>
        <v>-9.486138964680332E-3</v>
      </c>
      <c r="AD9" s="6">
        <f>'Evolutitve SCI'!AB33/(('Evolutive SFP'!AA26+'Evolutive SFP'!AB26)/2)</f>
        <v>-1.4633119821979422E-2</v>
      </c>
      <c r="AE9" s="6">
        <f>'Evolutitve SCI'!AC33/(('Evolutive SFP'!AB26+'Evolutive SFP'!AC26)/2)</f>
        <v>-1.2437839191514612E-2</v>
      </c>
      <c r="AF9" s="6">
        <f>'Evolutitve SCI'!AD33/(('Evolutive SFP'!AC26+'Evolutive SFP'!AD26)/2)</f>
        <v>-2.3447100530443039E-2</v>
      </c>
      <c r="AG9" s="6">
        <f>'Evolutitve SCI'!AE33/(('Evolutive SFP'!AD26+'Evolutive SFP'!AE26)/2)</f>
        <v>3.3990230661924532E-2</v>
      </c>
      <c r="AH9" s="6">
        <f>'Evolutitve SCI'!AF33/(('Evolutive SFP'!AE26+'Evolutive SFP'!AF26)/2)</f>
        <v>-9.8598300021093363E-2</v>
      </c>
      <c r="AI9" s="6">
        <f>'Evolutitve SCI'!AG33/(('Evolutive SFP'!AF26+'Evolutive SFP'!AG26)/2)</f>
        <v>-2.8143455321913173E-3</v>
      </c>
      <c r="AJ9" s="6">
        <f>'Evolutitve SCI'!AH33/(('Evolutive SFP'!AG26+'Evolutive SFP'!AH26)/2)</f>
        <v>-3.3372500895775064E-3</v>
      </c>
      <c r="AK9" s="6">
        <f>'Evolutitve SCI'!AI33/(('Evolutive SFP'!AH26+'Evolutive SFP'!AI26)/2)</f>
        <v>-3.1951952391986498E-2</v>
      </c>
      <c r="AL9" s="6">
        <f>'Evolutitve SCI'!AJ33/(('Evolutive SFP'!AI26+'Evolutive SFP'!AJ26)/2)</f>
        <v>-1.9957850159627748E-2</v>
      </c>
      <c r="AM9" s="6">
        <f>'Evolutitve SCI'!AK33/(('Evolutive SFP'!AJ26+'Evolutive SFP'!AK26)/2)</f>
        <v>-2.5270755747673391E-2</v>
      </c>
      <c r="AN9" s="6">
        <f>'Evolutitve SCI'!AL33/(('Evolutive SFP'!AK26+'Evolutive SFP'!AL26)/2)</f>
        <v>-2.6539966456266693E-2</v>
      </c>
      <c r="AO9" s="6">
        <f>'Evolutitve SCI'!AM33/(('Evolutive SFP'!AL26+'Evolutive SFP'!AM26)/2)</f>
        <v>-2.8781457852005046E-2</v>
      </c>
      <c r="AP9" s="6">
        <f>'Evolutitve SCI'!AN33/(('Evolutive SFP'!AM26+'Evolutive SFP'!AN26)/2)</f>
        <v>-1.6179754162516026E-2</v>
      </c>
      <c r="AQ9" s="6">
        <f>'Evolutitve SCI'!AO33/(('Evolutive SFP'!AN26+'Evolutive SFP'!AO26)/2)</f>
        <v>-6.6520134077417886E-2</v>
      </c>
      <c r="AR9" s="6" t="e">
        <f>'Evolutitve SCI'!AP33/(('Evolutive SFP'!AO26+'Evolutive SFP'!AP26)/2)</f>
        <v>#DIV/0!</v>
      </c>
      <c r="AS9" s="6" t="e">
        <f>'Evolutitve SCI'!AQ33/(('Evolutive SFP'!AP26+'Evolutive SFP'!AQ26)/2)</f>
        <v>#DIV/0!</v>
      </c>
      <c r="AT9" s="6" t="e">
        <f>'Evolutitve SCI'!AR33/(('Evolutive SFP'!AQ26+'Evolutive SFP'!AR26)/2)</f>
        <v>#DIV/0!</v>
      </c>
      <c r="AU9" s="6">
        <f>'Evolutitve SCI'!AS33/(('Evolutive SFP'!AR26+'Evolutive SFP'!AS26)/2)</f>
        <v>0</v>
      </c>
      <c r="AV9" s="6">
        <f>'Evolutitve SCI'!AT33/(('Evolutive SFP'!AS26+'Evolutive SFP'!AT26)/2)</f>
        <v>-0.8362336174497752</v>
      </c>
      <c r="AW9" s="6">
        <f>'Evolutitve SCI'!AU33/(('Evolutive SFP'!AT26+'Evolutive SFP'!AU26)/2)</f>
        <v>-1.3522472832883855E-2</v>
      </c>
      <c r="AX9" s="6">
        <f>'Evolutitve SCI'!AV33/(('Evolutive SFP'!AU26+'Evolutive SFP'!AV26)/2)</f>
        <v>3.761449623735412E-2</v>
      </c>
      <c r="AY9" s="6">
        <f>'Evolutitve SCI'!AW33/(('Evolutive SFP'!AV26+'Evolutive SFP'!AW26)/2)</f>
        <v>3.2857604925325468E-2</v>
      </c>
      <c r="AZ9" s="6">
        <f>'Evolutitve SCI'!AX33/(('Evolutive SFP'!AW26+'Evolutive SFP'!AX26)/2)</f>
        <v>2.4987602300411613E-2</v>
      </c>
      <c r="BA9" s="6">
        <f>'Evolutitve SCI'!AY33/(('Evolutive SFP'!AX26+'Evolutive SFP'!AY26)/2)</f>
        <v>4.6980968300242468E-2</v>
      </c>
      <c r="BB9" s="6">
        <f>'Evolutitve SCI'!AZ33/(('Evolutive SFP'!AY26+'Evolutive SFP'!AZ26)/2)</f>
        <v>0</v>
      </c>
      <c r="BC9" s="6">
        <f>'Evolutitve SCI'!BA33/(('Evolutive SFP'!AZ26+'Evolutive SFP'!BA26)/2)</f>
        <v>5.9146508186750839E-3</v>
      </c>
      <c r="BD9" s="6">
        <f>'Evolutitve SCI'!BB33/(('Evolutive SFP'!BA26+'Evolutive SFP'!BB26)/2)</f>
        <v>3.698239620685672E-2</v>
      </c>
      <c r="BE9" s="6">
        <f>'Evolutitve SCI'!BC33/(('Evolutive SFP'!BB26+'Evolutive SFP'!BC26)/2)</f>
        <v>5.9008102104625405E-2</v>
      </c>
      <c r="BF9" s="6">
        <f>'Evolutitve SCI'!BD33/(('Evolutive SFP'!BC26+'Evolutive SFP'!BD26)/2)</f>
        <v>5.4791918889901162E-2</v>
      </c>
      <c r="BG9" s="6">
        <f>'Evolutitve SCI'!BE33/(('Evolutive SFP'!BD26+'Evolutive SFP'!BE26)/2)</f>
        <v>7.4812196208674728E-2</v>
      </c>
      <c r="BH9" s="6">
        <f>'Evolutitve SCI'!BF33/(('Evolutive SFP'!BE26+'Evolutive SFP'!BF26)/2)</f>
        <v>6.1777957718590258E-2</v>
      </c>
      <c r="BI9" s="6">
        <f>'Evolutitve SCI'!BG33/(('Evolutive SFP'!BF26+'Evolutive SFP'!BG26)/2)</f>
        <v>-4.2753225609004682E-3</v>
      </c>
      <c r="BJ9" s="6">
        <f>'Evolutitve SCI'!BH33/(('Evolutive SFP'!BG26+'Evolutive SFP'!BH26)/2)</f>
        <v>-2.3390556384064124E-3</v>
      </c>
      <c r="BK9" s="6">
        <f>'Evolutitve SCI'!BI33/(('Evolutive SFP'!BH26+'Evolutive SFP'!BI26)/2)</f>
        <v>-2.9165858758489161E-3</v>
      </c>
      <c r="BL9" s="6">
        <f>'Evolutitve SCI'!BJ33/(('Evolutive SFP'!BI26+'Evolutive SFP'!BJ26)/2)</f>
        <v>-1.3515570494959611E-3</v>
      </c>
      <c r="BM9" s="6">
        <f>'Evolutitve SCI'!BK33/(('Evolutive SFP'!BJ26+'Evolutive SFP'!BK26)/2)</f>
        <v>3.0945055610278765E-3</v>
      </c>
      <c r="BN9" s="6">
        <f>'Evolutitve SCI'!BL33/(('Evolutive SFP'!BK26+'Evolutive SFP'!BL26)/2)</f>
        <v>6.0085000319767667E-3</v>
      </c>
      <c r="BO9" s="6">
        <f>'Evolutitve SCI'!BM33/(('Evolutive SFP'!BL26+'Evolutive SFP'!BM26)/2)</f>
        <v>9.687689673061415E-3</v>
      </c>
      <c r="BP9" s="6">
        <f>'Evolutitve SCI'!BN33/(('Evolutive SFP'!BM26+'Evolutive SFP'!BN26)/2)</f>
        <v>-8.995437934136483E-4</v>
      </c>
      <c r="BQ9" s="6">
        <f>'Evolutitve SCI'!BO33/(('Evolutive SFP'!BN26+'Evolutive SFP'!BO26)/2)</f>
        <v>8.8177720587354798E-3</v>
      </c>
      <c r="BR9" s="6">
        <f>'Evolutitve SCI'!BP33/(('Evolutive SFP'!BO26+'Evolutive SFP'!BP26)/2)</f>
        <v>9.1168392807088345E-3</v>
      </c>
      <c r="BS9" s="6">
        <f>'Evolutitve SCI'!BQ33/(('Evolutive SFP'!BP26+'Evolutive SFP'!BQ26)/2)</f>
        <v>1.0240476605291374E-2</v>
      </c>
      <c r="BT9" s="6">
        <f>'Evolutitve SCI'!BR33/(('Evolutive SFP'!BQ26+'Evolutive SFP'!BR26)/2)</f>
        <v>1.3817648104785013E-3</v>
      </c>
      <c r="BU9" s="6">
        <f>'Evolutitve SCI'!BS33/(('Evolutive SFP'!BR26+'Evolutive SFP'!BS26)/2)</f>
        <v>-3.349301534117334E-3</v>
      </c>
      <c r="BV9" s="6">
        <f>'Evolutitve SCI'!BT33/(('Evolutive SFP'!BS26+'Evolutive SFP'!BT26)/2)</f>
        <v>1.620127953441381E-3</v>
      </c>
      <c r="BW9" s="6">
        <f>'Evolutitve SCI'!BU33/(('Evolutive SFP'!BT26+'Evolutive SFP'!BU26)/2)</f>
        <v>2.7542531552446452E-3</v>
      </c>
      <c r="BX9" s="6">
        <f>'Evolutitve SCI'!BV33/(('Evolutive SFP'!BU26+'Evolutive SFP'!BV26)/2)</f>
        <v>-9.0210840047141253E-4</v>
      </c>
    </row>
    <row r="10" spans="1:76" ht="15">
      <c r="A10" s="326"/>
      <c r="B10" s="3" t="s">
        <v>168</v>
      </c>
      <c r="C10" s="24"/>
      <c r="D10" s="26">
        <f>'Evolutitve SCI'!B23/'Evolutitve SCI'!B19</f>
        <v>0.7372487576196437</v>
      </c>
      <c r="E10" s="26">
        <f>'Evolutitve SCI'!C23/'Evolutitve SCI'!C19</f>
        <v>0.67834548094286407</v>
      </c>
      <c r="F10" s="26">
        <f>'Evolutitve SCI'!D23/'Evolutitve SCI'!D19</f>
        <v>0.83435829101450143</v>
      </c>
      <c r="G10" s="26">
        <f>'Evolutitve SCI'!E23/'Evolutitve SCI'!E19</f>
        <v>0.95420771524010772</v>
      </c>
      <c r="H10" s="26">
        <f>'Evolutitve SCI'!F23/'Evolutitve SCI'!F19</f>
        <v>0.96439170654886053</v>
      </c>
      <c r="I10" s="26">
        <f>'Evolutitve SCI'!G23/'Evolutitve SCI'!G19</f>
        <v>1.0005800780483078</v>
      </c>
      <c r="J10" s="26">
        <f>'Evolutitve SCI'!H23/'Evolutitve SCI'!H19</f>
        <v>0.92925388650551988</v>
      </c>
      <c r="K10" s="26">
        <f>'Evolutitve SCI'!I23/'Evolutitve SCI'!I19</f>
        <v>0.99345796911304418</v>
      </c>
      <c r="L10" s="26">
        <f>'Evolutitve SCI'!J23/'Evolutitve SCI'!J19</f>
        <v>1.1523578590921606</v>
      </c>
      <c r="M10" s="26">
        <f>'Evolutitve SCI'!K23/'Evolutitve SCI'!K19</f>
        <v>1.1885086363925572</v>
      </c>
      <c r="N10" s="26" t="e">
        <f>'Evolutitve SCI'!L23/'Evolutitve SCI'!L19</f>
        <v>#DIV/0!</v>
      </c>
      <c r="O10" s="26" t="e">
        <f>'Evolutitve SCI'!M23/'Evolutitve SCI'!M19</f>
        <v>#DIV/0!</v>
      </c>
      <c r="P10" s="26" t="e">
        <f>'Evolutitve SCI'!N23/'Evolutitve SCI'!N19</f>
        <v>#DIV/0!</v>
      </c>
      <c r="Q10" s="26" t="e">
        <f>'Evolutitve SCI'!O23/'Evolutitve SCI'!O19</f>
        <v>#DIV/0!</v>
      </c>
      <c r="R10" s="26" t="e">
        <f>'Evolutitve SCI'!P23/'Evolutitve SCI'!P19</f>
        <v>#DIV/0!</v>
      </c>
      <c r="S10" s="26" t="e">
        <f>'Evolutitve SCI'!Q23/'Evolutitve SCI'!Q19</f>
        <v>#DIV/0!</v>
      </c>
      <c r="T10" s="26">
        <f>'Evolutitve SCI'!R23/'Evolutitve SCI'!R19</f>
        <v>1.0579333319317452</v>
      </c>
      <c r="U10" s="26">
        <f>'Evolutitve SCI'!S23/'Evolutitve SCI'!S19</f>
        <v>0.70212447896005248</v>
      </c>
      <c r="V10" s="26">
        <f>'Evolutitve SCI'!T23/'Evolutitve SCI'!T19</f>
        <v>0.77245233999722274</v>
      </c>
      <c r="W10" s="26">
        <f>'Evolutitve SCI'!U23/'Evolutitve SCI'!U19</f>
        <v>0.781916344878124</v>
      </c>
      <c r="X10" s="26">
        <f>'Evolutitve SCI'!V23/'Evolutitve SCI'!V19</f>
        <v>0.74980294314786777</v>
      </c>
      <c r="Y10" s="26">
        <f>'Evolutitve SCI'!W23/'Evolutitve SCI'!W19</f>
        <v>1.0038996879361999</v>
      </c>
      <c r="Z10" s="26">
        <f>'Evolutitve SCI'!X23/'Evolutitve SCI'!X19</f>
        <v>0.9867086871410069</v>
      </c>
      <c r="AA10" s="26">
        <f>'Evolutitve SCI'!Y23/'Evolutitve SCI'!Y19</f>
        <v>1.1656674033058154</v>
      </c>
      <c r="AB10" s="26">
        <f>'Evolutitve SCI'!Z23/'Evolutitve SCI'!Z19</f>
        <v>1.4659269502243544</v>
      </c>
      <c r="AC10" s="26">
        <f>'Evolutitve SCI'!AA23/'Evolutitve SCI'!AA19</f>
        <v>1.1815922859017942</v>
      </c>
      <c r="AD10" s="26">
        <f>'Evolutitve SCI'!AB23/'Evolutitve SCI'!AB19</f>
        <v>1.2242545420388951</v>
      </c>
      <c r="AE10" s="26">
        <f>'Evolutitve SCI'!AC23/'Evolutitve SCI'!AC19</f>
        <v>1.1531185614480806</v>
      </c>
      <c r="AF10" s="26">
        <f>'Evolutitve SCI'!AD23/'Evolutitve SCI'!AD19</f>
        <v>1.2538496150254659</v>
      </c>
      <c r="AG10" s="26">
        <f>'Evolutitve SCI'!AE23/'Evolutitve SCI'!AE19</f>
        <v>0.69133646711073948</v>
      </c>
      <c r="AH10" s="26">
        <f>'Evolutitve SCI'!AF23/'Evolutitve SCI'!AF19</f>
        <v>1.5685033118217797</v>
      </c>
      <c r="AI10" s="26">
        <f>'Evolutitve SCI'!AG23/'Evolutitve SCI'!AG19</f>
        <v>2.7964174830679891</v>
      </c>
      <c r="AJ10" s="26">
        <f>'Evolutitve SCI'!AH23/'Evolutitve SCI'!AH19</f>
        <v>2.7464270405279922</v>
      </c>
      <c r="AK10" s="26">
        <f>'Evolutitve SCI'!AI23/'Evolutitve SCI'!AI19</f>
        <v>-5.6712164566186125</v>
      </c>
      <c r="AL10" s="26">
        <f>'Evolutitve SCI'!AJ23/'Evolutitve SCI'!AJ19</f>
        <v>2.5408195329114514</v>
      </c>
      <c r="AM10" s="26">
        <f>'Evolutitve SCI'!AK23/'Evolutitve SCI'!AK19</f>
        <v>2.884644945437596</v>
      </c>
      <c r="AN10" s="26">
        <f>'Evolutitve SCI'!AL23/'Evolutitve SCI'!AL19</f>
        <v>2.9638091023005013</v>
      </c>
      <c r="AO10" s="26">
        <f>'Evolutitve SCI'!AM23/'Evolutitve SCI'!AM19</f>
        <v>2.8460578347429779</v>
      </c>
      <c r="AP10" s="26">
        <f>'Evolutitve SCI'!AN23/'Evolutitve SCI'!AN19</f>
        <v>1.6300497121218254</v>
      </c>
      <c r="AQ10" s="26">
        <f>'Evolutitve SCI'!AO23/'Evolutitve SCI'!AO19</f>
        <v>3.4128631926318178</v>
      </c>
      <c r="AR10" s="26" t="e">
        <f>'Evolutitve SCI'!AP23/'Evolutitve SCI'!AP19</f>
        <v>#DIV/0!</v>
      </c>
      <c r="AS10" s="26" t="e">
        <f>'Evolutitve SCI'!AQ23/'Evolutitve SCI'!AQ19</f>
        <v>#DIV/0!</v>
      </c>
      <c r="AT10" s="26" t="e">
        <f>'Evolutitve SCI'!AR23/'Evolutitve SCI'!AR19</f>
        <v>#DIV/0!</v>
      </c>
      <c r="AU10" s="26" t="e">
        <f>'Evolutitve SCI'!AS23/'Evolutitve SCI'!AS19</f>
        <v>#DIV/0!</v>
      </c>
      <c r="AV10" s="26">
        <f>'Evolutitve SCI'!AT23/'Evolutitve SCI'!AT19</f>
        <v>5.695199916982185</v>
      </c>
      <c r="AW10" s="26">
        <f>'Evolutitve SCI'!AU23/'Evolutitve SCI'!AU19</f>
        <v>9.7651094429885354</v>
      </c>
      <c r="AX10" s="26">
        <f>'Evolutitve SCI'!AV23/'Evolutitve SCI'!AV19</f>
        <v>0.34226386688529936</v>
      </c>
      <c r="AY10" s="26">
        <f>'Evolutitve SCI'!AW23/'Evolutitve SCI'!AW19</f>
        <v>0.43584855012295898</v>
      </c>
      <c r="AZ10" s="26">
        <f>'Evolutitve SCI'!AX23/'Evolutitve SCI'!AX19</f>
        <v>0.57826364036028388</v>
      </c>
      <c r="BA10" s="26">
        <f>'Evolutitve SCI'!AY23/'Evolutitve SCI'!AY19</f>
        <v>0.60863397915204875</v>
      </c>
      <c r="BB10" s="26" t="e">
        <f>'Evolutitve SCI'!AZ23/'Evolutitve SCI'!AZ19</f>
        <v>#DIV/0!</v>
      </c>
      <c r="BC10" s="26">
        <f>'Evolutitve SCI'!BA23/'Evolutitve SCI'!BA19</f>
        <v>0.89221751526329085</v>
      </c>
      <c r="BD10" s="26">
        <f>'Evolutitve SCI'!BB23/'Evolutitve SCI'!BB19</f>
        <v>0.61867447636585626</v>
      </c>
      <c r="BE10" s="26">
        <f>'Evolutitve SCI'!BC23/'Evolutitve SCI'!BC19</f>
        <v>0.52841277831288958</v>
      </c>
      <c r="BF10" s="26">
        <f>'Evolutitve SCI'!BD23/'Evolutitve SCI'!BD19</f>
        <v>0.57168165459419384</v>
      </c>
      <c r="BG10" s="26">
        <f>'Evolutitve SCI'!BE23/'Evolutitve SCI'!BE19</f>
        <v>0.53696332081112397</v>
      </c>
      <c r="BH10" s="26">
        <f>'Evolutitve SCI'!BF23/'Evolutitve SCI'!BF19</f>
        <v>1.0413471731679422</v>
      </c>
      <c r="BI10" s="26">
        <f>'Evolutitve SCI'!BG23/'Evolutitve SCI'!BG19</f>
        <v>1.9160776005123095</v>
      </c>
      <c r="BJ10" s="26">
        <f>'Evolutitve SCI'!BH23/'Evolutitve SCI'!BH19</f>
        <v>1.177771582441925</v>
      </c>
      <c r="BK10" s="26">
        <f>'Evolutitve SCI'!BI23/'Evolutitve SCI'!BI19</f>
        <v>1.1351208026242716</v>
      </c>
      <c r="BL10" s="26">
        <f>'Evolutitve SCI'!BJ23/'Evolutitve SCI'!BJ19</f>
        <v>1.0371491740636671</v>
      </c>
      <c r="BM10" s="26">
        <f>'Evolutitve SCI'!BK23/'Evolutitve SCI'!BK19</f>
        <v>0.92896841164152832</v>
      </c>
      <c r="BN10" s="26">
        <f>'Evolutitve SCI'!BL23/'Evolutitve SCI'!BL19</f>
        <v>0.88817796365622126</v>
      </c>
      <c r="BO10" s="26">
        <f>'Evolutitve SCI'!BM23/'Evolutitve SCI'!BM19</f>
        <v>0.85394549089240057</v>
      </c>
      <c r="BP10" s="26">
        <f>'Evolutitve SCI'!BN23/'Evolutitve SCI'!BN19</f>
        <v>1.0121850458098753</v>
      </c>
      <c r="BQ10" s="26">
        <f>'Evolutitve SCI'!BO23/'Evolutitve SCI'!BO19</f>
        <v>0.89824988724107768</v>
      </c>
      <c r="BR10" s="26">
        <f>'Evolutitve SCI'!BP23/'Evolutitve SCI'!BP19</f>
        <v>0.90519489009320231</v>
      </c>
      <c r="BS10" s="26">
        <f>'Evolutitve SCI'!BQ23/'Evolutitve SCI'!BQ19</f>
        <v>0.89816285472435997</v>
      </c>
      <c r="BT10" s="26">
        <f>'Evolutitve SCI'!BR23/'Evolutitve SCI'!BR19</f>
        <v>0.98674446674121108</v>
      </c>
      <c r="BU10" s="26">
        <f>'Evolutitve SCI'!BS23/'Evolutitve SCI'!BS19</f>
        <v>1.0319921207383913</v>
      </c>
      <c r="BV10" s="26">
        <f>'Evolutitve SCI'!BT23/'Evolutitve SCI'!BT19</f>
        <v>0.82486716925406534</v>
      </c>
      <c r="BW10" s="26">
        <f>'Evolutitve SCI'!BU23/'Evolutitve SCI'!BU19</f>
        <v>0.82167668033107055</v>
      </c>
      <c r="BX10" s="26">
        <f>'Evolutitve SCI'!BV23/'Evolutitve SCI'!BV19</f>
        <v>1.032570152090684</v>
      </c>
    </row>
    <row r="11" spans="1:76" ht="18.75" customHeight="1">
      <c r="A11" s="326"/>
      <c r="B11" s="3" t="s">
        <v>169</v>
      </c>
      <c r="C11" s="24"/>
      <c r="D11" s="26">
        <f>('Evolutitve SCI'!B23+'Evolutitve SCI'!B12)/(('Evolutive SFP'!B26+'Evolutive SFP'!C26)/2)</f>
        <v>0.13067107685941132</v>
      </c>
      <c r="E11" s="26">
        <f>('Evolutitve SCI'!C23+'Evolutitve SCI'!C12)/(('Evolutive SFP'!C26+'Evolutive SFP'!D26)/2)</f>
        <v>0.15045910474105767</v>
      </c>
      <c r="F11" s="26">
        <f>('Evolutitve SCI'!D23+'Evolutitve SCI'!D12)/(('Evolutive SFP'!D26+'Evolutive SFP'!E26)/2)</f>
        <v>0.14555708960952599</v>
      </c>
      <c r="G11" s="26">
        <f>('Evolutitve SCI'!E23+'Evolutitve SCI'!E12)/(('Evolutive SFP'!E26+'Evolutive SFP'!F26)/2)</f>
        <v>0.18124507353234415</v>
      </c>
      <c r="H11" s="26">
        <f>('Evolutitve SCI'!F23+'Evolutitve SCI'!F12)/(('Evolutive SFP'!F26+'Evolutive SFP'!G26)/2)</f>
        <v>1.4073598785166471E-2</v>
      </c>
      <c r="I11" s="26">
        <f>('Evolutitve SCI'!G23+'Evolutitve SCI'!G12)/(('Evolutive SFP'!G26+'Evolutive SFP'!H26)/2)</f>
        <v>2.8944918465255126E-2</v>
      </c>
      <c r="J11" s="26">
        <f>('Evolutitve SCI'!H23+'Evolutitve SCI'!H12)/(('Evolutive SFP'!H26+'Evolutive SFP'!I26)/2)</f>
        <v>4.1726397489058521E-2</v>
      </c>
      <c r="K11" s="26">
        <f>('Evolutitve SCI'!I23+'Evolutitve SCI'!I12)/(('Evolutive SFP'!I26+'Evolutive SFP'!J26)/2)</f>
        <v>5.996967381368544E-2</v>
      </c>
      <c r="L11" s="26">
        <f>('Evolutitve SCI'!J23+'Evolutitve SCI'!J12)/(('Evolutive SFP'!J26+'Evolutive SFP'!K26)/2)</f>
        <v>7.2131453814705759E-2</v>
      </c>
      <c r="M11" s="26">
        <f>('Evolutitve SCI'!K23+'Evolutitve SCI'!K12)/(('Evolutive SFP'!K26+'Evolutive SFP'!L26)/2)</f>
        <v>0.15646978620027757</v>
      </c>
      <c r="N11" s="26" t="e">
        <f>('Evolutitve SCI'!L23+'Evolutitve SCI'!L12)/(('Evolutive SFP'!L26+'Evolutive SFP'!M26)/2)</f>
        <v>#DIV/0!</v>
      </c>
      <c r="O11" s="26" t="e">
        <f>('Evolutitve SCI'!M23+'Evolutitve SCI'!M12)/(('Evolutive SFP'!M26+'Evolutive SFP'!N26)/2)</f>
        <v>#DIV/0!</v>
      </c>
      <c r="P11" s="26" t="e">
        <f>('Evolutitve SCI'!N23+'Evolutitve SCI'!N12)/(('Evolutive SFP'!N26+'Evolutive SFP'!O26)/2)</f>
        <v>#DIV/0!</v>
      </c>
      <c r="Q11" s="26" t="e">
        <f>('Evolutitve SCI'!O23+'Evolutitve SCI'!O12)/(('Evolutive SFP'!O26+'Evolutive SFP'!P26)/2)</f>
        <v>#DIV/0!</v>
      </c>
      <c r="R11" s="26" t="e">
        <f>('Evolutitve SCI'!P23+'Evolutitve SCI'!P12)/(('Evolutive SFP'!P26+'Evolutive SFP'!Q26)/2)</f>
        <v>#DIV/0!</v>
      </c>
      <c r="S11" s="26">
        <f>('Evolutitve SCI'!Q23+'Evolutitve SCI'!Q12)/(('Evolutive SFP'!Q26+'Evolutive SFP'!R26)/2)</f>
        <v>0</v>
      </c>
      <c r="T11" s="26">
        <f>('Evolutitve SCI'!R23+'Evolutitve SCI'!R12)/(('Evolutive SFP'!R26+'Evolutive SFP'!S26)/2)</f>
        <v>0.13573129060370256</v>
      </c>
      <c r="U11" s="26">
        <f>('Evolutitve SCI'!S23+'Evolutitve SCI'!S12)/(('Evolutive SFP'!S26+'Evolutive SFP'!T26)/2)</f>
        <v>1.1620940388113007E-2</v>
      </c>
      <c r="V11" s="26">
        <f>('Evolutitve SCI'!T23+'Evolutitve SCI'!T12)/(('Evolutive SFP'!T26+'Evolutive SFP'!U26)/2)</f>
        <v>2.7393605143377988E-2</v>
      </c>
      <c r="W11" s="26">
        <f>('Evolutitve SCI'!U23+'Evolutitve SCI'!U12)/(('Evolutive SFP'!U26+'Evolutive SFP'!V26)/2)</f>
        <v>3.164531693631515E-2</v>
      </c>
      <c r="X11" s="26">
        <f>('Evolutitve SCI'!V23+'Evolutitve SCI'!V12)/(('Evolutive SFP'!V26+'Evolutive SFP'!W26)/2)</f>
        <v>3.4853638325548615E-2</v>
      </c>
      <c r="Y11" s="26">
        <f>('Evolutitve SCI'!W23+'Evolutitve SCI'!W12)/(('Evolutive SFP'!W26+'Evolutive SFP'!X26)/2)</f>
        <v>4.7014392342716149E-2</v>
      </c>
      <c r="Z11" s="26">
        <f>('Evolutitve SCI'!X23+'Evolutitve SCI'!X12)/(('Evolutive SFP'!X26+'Evolutive SFP'!Y26)/2)</f>
        <v>4.477207898999068E-2</v>
      </c>
      <c r="AA11" s="26">
        <f>('Evolutitve SCI'!Y23+'Evolutitve SCI'!Y12)/(('Evolutive SFP'!Y26+'Evolutive SFP'!Z26)/2)</f>
        <v>5.0808095407176262E-2</v>
      </c>
      <c r="AB11" s="26">
        <f>('Evolutitve SCI'!Z23+'Evolutitve SCI'!Z12)/(('Evolutive SFP'!Z26+'Evolutive SFP'!AA26)/2)</f>
        <v>6.8536596391845894E-2</v>
      </c>
      <c r="AC11" s="26">
        <f>('Evolutitve SCI'!AA23+'Evolutitve SCI'!AA12)/(('Evolutive SFP'!AA26+'Evolutive SFP'!AB26)/2)</f>
        <v>7.5701176306820855E-2</v>
      </c>
      <c r="AD11" s="26">
        <f>('Evolutitve SCI'!AB23+'Evolutitve SCI'!AB12)/(('Evolutive SFP'!AB26+'Evolutive SFP'!AC26)/2)</f>
        <v>9.727412409930955E-2</v>
      </c>
      <c r="AE11" s="26">
        <f>('Evolutitve SCI'!AC23+'Evolutitve SCI'!AC12)/(('Evolutive SFP'!AC26+'Evolutive SFP'!AD26)/2)</f>
        <v>0.11095863746250668</v>
      </c>
      <c r="AF11" s="26">
        <f>('Evolutitve SCI'!AD23+'Evolutitve SCI'!AD12)/(('Evolutive SFP'!AD26+'Evolutive SFP'!AE26)/2)</f>
        <v>0.13378264210424501</v>
      </c>
      <c r="AG11" s="26">
        <f>('Evolutitve SCI'!AE23+'Evolutitve SCI'!AE12)/(('Evolutive SFP'!AE26+'Evolutive SFP'!AF26)/2)</f>
        <v>7.7897720597169956E-2</v>
      </c>
      <c r="AH11" s="26">
        <f>('Evolutitve SCI'!AF23+'Evolutitve SCI'!AF12)/(('Evolutive SFP'!AF26+'Evolutive SFP'!AG26)/2)</f>
        <v>0.16098706380680325</v>
      </c>
      <c r="AI11" s="26">
        <f>('Evolutitve SCI'!AG23+'Evolutitve SCI'!AG12)/(('Evolutive SFP'!AG26+'Evolutive SFP'!AH26)/2)</f>
        <v>5.0876187329682394E-3</v>
      </c>
      <c r="AJ11" s="26">
        <f>('Evolutitve SCI'!AH23+'Evolutitve SCI'!AH12)/(('Evolutive SFP'!AH26+'Evolutive SFP'!AI26)/2)</f>
        <v>6.4135737389270026E-3</v>
      </c>
      <c r="AK11" s="26">
        <f>('Evolutitve SCI'!AI23+'Evolutitve SCI'!AI12)/(('Evolutive SFP'!AI26+'Evolutive SFP'!AJ26)/2)</f>
        <v>4.4884226626522833E-2</v>
      </c>
      <c r="AL11" s="26">
        <f>('Evolutitve SCI'!AJ23+'Evolutitve SCI'!AJ12)/(('Evolutive SFP'!AJ26+'Evolutive SFP'!AK26)/2)</f>
        <v>3.4017753250407637E-2</v>
      </c>
      <c r="AM11" s="26">
        <f>('Evolutitve SCI'!AK23+'Evolutitve SCI'!AK12)/(('Evolutive SFP'!AK26+'Evolutive SFP'!AL26)/2)</f>
        <v>3.8755968072411905E-2</v>
      </c>
      <c r="AN11" s="26">
        <f>('Evolutitve SCI'!AL23+'Evolutitve SCI'!AL12)/(('Evolutive SFP'!AL26+'Evolutive SFP'!AM26)/2)</f>
        <v>3.9360991055966313E-2</v>
      </c>
      <c r="AO11" s="26">
        <f>('Evolutitve SCI'!AM23+'Evolutitve SCI'!AM12)/(('Evolutive SFP'!AM26+'Evolutive SFP'!AN26)/2)</f>
        <v>4.529969591662384E-2</v>
      </c>
      <c r="AP11" s="26">
        <f>('Evolutitve SCI'!AN23+'Evolutitve SCI'!AN12)/(('Evolutive SFP'!AN26+'Evolutive SFP'!AO26)/2)</f>
        <v>8.6420337894233187E-2</v>
      </c>
      <c r="AQ11" s="26" t="e">
        <f>('Evolutitve SCI'!AO23+'Evolutitve SCI'!AO12)/(('Evolutive SFP'!AO26+'Evolutive SFP'!AP26)/2)</f>
        <v>#DIV/0!</v>
      </c>
      <c r="AR11" s="26" t="e">
        <f>('Evolutitve SCI'!AP23+'Evolutitve SCI'!AP12)/(('Evolutive SFP'!AP26+'Evolutive SFP'!AQ26)/2)</f>
        <v>#DIV/0!</v>
      </c>
      <c r="AS11" s="26" t="e">
        <f>('Evolutitve SCI'!AQ23+'Evolutitve SCI'!AQ12)/(('Evolutive SFP'!AQ26+'Evolutive SFP'!AR26)/2)</f>
        <v>#DIV/0!</v>
      </c>
      <c r="AT11" s="26">
        <f>('Evolutitve SCI'!AR23+'Evolutitve SCI'!AR12)/(('Evolutive SFP'!AR26+'Evolutive SFP'!AS26)/2)</f>
        <v>0</v>
      </c>
      <c r="AU11" s="26">
        <f>('Evolutitve SCI'!AS23+'Evolutitve SCI'!AS12)/(('Evolutive SFP'!AS26+'Evolutive SFP'!AT26)/2)</f>
        <v>0</v>
      </c>
      <c r="AV11" s="26">
        <f>('Evolutitve SCI'!AT23+'Evolutitve SCI'!AT12)/(('Evolutive SFP'!AT26+'Evolutive SFP'!AU26)/2)</f>
        <v>5.2273522461518326E-3</v>
      </c>
      <c r="AW11" s="26">
        <f>('Evolutitve SCI'!AU23+'Evolutitve SCI'!AU12)/(('Evolutive SFP'!AU26+'Evolutive SFP'!AV26)/2)</f>
        <v>1.4798413972729555E-2</v>
      </c>
      <c r="AX11" s="26">
        <f>('Evolutitve SCI'!AV23+'Evolutitve SCI'!AV12)/(('Evolutive SFP'!AV26+'Evolutive SFP'!AW26)/2)</f>
        <v>2.1935736013106683E-2</v>
      </c>
      <c r="AY11" s="26">
        <f>('Evolutitve SCI'!AW23+'Evolutitve SCI'!AW12)/(('Evolutive SFP'!AW26+'Evolutive SFP'!AX26)/2)</f>
        <v>2.7012426200294589E-2</v>
      </c>
      <c r="AZ11" s="26">
        <f>('Evolutitve SCI'!AX23+'Evolutitve SCI'!AX12)/(('Evolutive SFP'!AX26+'Evolutive SFP'!AY26)/2)</f>
        <v>6.9079768957713464E-2</v>
      </c>
      <c r="BA11" s="26">
        <f>('Evolutitve SCI'!AY23+'Evolutitve SCI'!AY12)/(('Evolutive SFP'!AY26+'Evolutive SFP'!AZ26)/2)</f>
        <v>7.8533808207939107E-2</v>
      </c>
      <c r="BB11" s="26">
        <f>('Evolutitve SCI'!AZ23+'Evolutitve SCI'!AZ12)/(('Evolutive SFP'!AZ26+'Evolutive SFP'!BA26)/2)</f>
        <v>0</v>
      </c>
      <c r="BC11" s="26">
        <f>('Evolutitve SCI'!BA23+'Evolutitve SCI'!BA12)/(('Evolutive SFP'!BA26+'Evolutive SFP'!BB26)/2)</f>
        <v>6.1898422143073069E-2</v>
      </c>
      <c r="BD11" s="26">
        <f>('Evolutitve SCI'!BB23+'Evolutitve SCI'!BB12)/(('Evolutive SFP'!BB26+'Evolutive SFP'!BC26)/2)</f>
        <v>6.8641792119095504E-2</v>
      </c>
      <c r="BE11" s="26">
        <f>('Evolutitve SCI'!BC23+'Evolutitve SCI'!BC12)/(('Evolutive SFP'!BC26+'Evolutive SFP'!BD26)/2)</f>
        <v>7.4568379717646058E-2</v>
      </c>
      <c r="BF11" s="26">
        <f>('Evolutitve SCI'!BD23+'Evolutitve SCI'!BD12)/(('Evolutive SFP'!BD26+'Evolutive SFP'!BE26)/2)</f>
        <v>8.4625839618745258E-2</v>
      </c>
      <c r="BG11" s="26">
        <f>('Evolutitve SCI'!BE23+'Evolutitve SCI'!BE12)/(('Evolutive SFP'!BE26+'Evolutive SFP'!BF26)/2)</f>
        <v>9.878256398466255E-2</v>
      </c>
      <c r="BH11" s="26">
        <f>('Evolutitve SCI'!BF23+'Evolutitve SCI'!BF12)/(('Evolutive SFP'!BF26+'Evolutive SFP'!BG26)/2)</f>
        <v>0.1165152684575143</v>
      </c>
      <c r="BI11" s="26">
        <f>('Evolutitve SCI'!BG23+'Evolutitve SCI'!BG12)/(('Evolutive SFP'!BG26+'Evolutive SFP'!BH26)/2)</f>
        <v>9.0352736948637012E-3</v>
      </c>
      <c r="BJ11" s="26">
        <f>('Evolutitve SCI'!BH23+'Evolutitve SCI'!BH12)/(('Evolutive SFP'!BH26+'Evolutive SFP'!BI26)/2)</f>
        <v>1.5438319512031562E-2</v>
      </c>
      <c r="BK11" s="26">
        <f>('Evolutitve SCI'!BI23+'Evolutitve SCI'!BI12)/(('Evolutive SFP'!BI26+'Evolutive SFP'!BJ26)/2)</f>
        <v>2.5696280080426931E-2</v>
      </c>
      <c r="BL11" s="26">
        <f>('Evolutitve SCI'!BJ23+'Evolutitve SCI'!BJ12)/(('Evolutive SFP'!BJ26+'Evolutive SFP'!BK26)/2)</f>
        <v>3.6956919241189795E-2</v>
      </c>
      <c r="BM11" s="26">
        <f>('Evolutitve SCI'!BK23+'Evolutitve SCI'!BK12)/(('Evolutive SFP'!BK26+'Evolutive SFP'!BL26)/2)</f>
        <v>4.1132113694870485E-2</v>
      </c>
      <c r="BN11" s="26">
        <f>('Evolutitve SCI'!BL23+'Evolutitve SCI'!BL12)/(('Evolutive SFP'!BL26+'Evolutive SFP'!BM26)/2)</f>
        <v>5.1075848862018679E-2</v>
      </c>
      <c r="BO11" s="26">
        <f>('Evolutitve SCI'!BM23+'Evolutitve SCI'!BM12)/(('Evolutive SFP'!BM26+'Evolutive SFP'!BN26)/2)</f>
        <v>5.7900271992485368E-2</v>
      </c>
      <c r="BP11" s="26">
        <f>('Evolutitve SCI'!BN23+'Evolutitve SCI'!BN12)/(('Evolutive SFP'!BN26+'Evolutive SFP'!BO26)/2)</f>
        <v>8.0122580340298843E-2</v>
      </c>
      <c r="BQ11" s="26">
        <f>('Evolutitve SCI'!BO23+'Evolutitve SCI'!BO12)/(('Evolutive SFP'!BO26+'Evolutive SFP'!BP26)/2)</f>
        <v>7.9508836263891325E-2</v>
      </c>
      <c r="BR11" s="26">
        <f>('Evolutitve SCI'!BP23+'Evolutitve SCI'!BP12)/(('Evolutive SFP'!BP26+'Evolutive SFP'!BQ26)/2)</f>
        <v>8.3303882875819871E-2</v>
      </c>
      <c r="BS11" s="26">
        <f>('Evolutitve SCI'!BQ23+'Evolutitve SCI'!BQ12)/(('Evolutive SFP'!BQ26+'Evolutive SFP'!BR26)/2)</f>
        <v>8.6503245686987654E-2</v>
      </c>
      <c r="BT11" s="26">
        <f>('Evolutitve SCI'!BR23+'Evolutitve SCI'!BR12)/(('Evolutive SFP'!BR26+'Evolutive SFP'!BS26)/2)</f>
        <v>0.10652595153651546</v>
      </c>
      <c r="BU11" s="26">
        <f>('Evolutitve SCI'!BS23+'Evolutitve SCI'!BS12)/(('Evolutive SFP'!BS26+'Evolutive SFP'!BT26)/2)</f>
        <v>0.11655179624852852</v>
      </c>
      <c r="BV11" s="26">
        <f>('Evolutitve SCI'!BT23+'Evolutitve SCI'!BT12)/(('Evolutive SFP'!BT26+'Evolutive SFP'!BU26)/2)</f>
        <v>1.0076192029342054E-2</v>
      </c>
      <c r="BW11" s="26">
        <f>('Evolutitve SCI'!BU23+'Evolutitve SCI'!BU12)/(('Evolutive SFP'!BU26+'Evolutive SFP'!BV26)/2)</f>
        <v>1.6579636191429541E-2</v>
      </c>
      <c r="BX11" s="26">
        <f>('Evolutitve SCI'!BV23+'Evolutitve SCI'!BV12)/(('Evolutive SFP'!BV26+'Evolutive SFP'!BW26)/2)</f>
        <v>3.1678134798159341E-2</v>
      </c>
    </row>
    <row r="12" spans="1:76" ht="15">
      <c r="A12" s="326" t="s">
        <v>170</v>
      </c>
      <c r="B12" s="3" t="s">
        <v>171</v>
      </c>
      <c r="C12" s="24" t="s">
        <v>172</v>
      </c>
      <c r="D12" s="26">
        <f>('Evolutive SFP'!B4)/('Evolutive SFP'!B27+'Evolutive SFP'!B28+'Evolutive SFP'!B31+'Evolutive SFP'!B32+'Evolutive SFP'!B33+'Evolutive SFP'!B34+'Evolutive SFP'!B35)</f>
        <v>1.4016204152823217</v>
      </c>
      <c r="E12" s="26">
        <f>('Evolutive SFP'!C4)/('Evolutive SFP'!C27+'Evolutive SFP'!C28+'Evolutive SFP'!C31+'Evolutive SFP'!C32+'Evolutive SFP'!C33+'Evolutive SFP'!C34+'Evolutive SFP'!C35)</f>
        <v>1.5761989194348978</v>
      </c>
      <c r="F12" s="26">
        <f>('Evolutive SFP'!D4)/('Evolutive SFP'!D27+'Evolutive SFP'!D28+'Evolutive SFP'!D31+'Evolutive SFP'!D32+'Evolutive SFP'!D33+'Evolutive SFP'!D34+'Evolutive SFP'!D35)</f>
        <v>1.6067325560730625</v>
      </c>
      <c r="G12" s="26">
        <f>('Evolutive SFP'!E4)/('Evolutive SFP'!E27+'Evolutive SFP'!E28+'Evolutive SFP'!E31+'Evolutive SFP'!E32+'Evolutive SFP'!E33+'Evolutive SFP'!E34+'Evolutive SFP'!E35)</f>
        <v>1.3355391706909945</v>
      </c>
      <c r="H12" s="26">
        <f>('Evolutive SFP'!F4)/('Evolutive SFP'!F27+'Evolutive SFP'!F28+'Evolutive SFP'!F31+'Evolutive SFP'!F32+'Evolutive SFP'!F33+'Evolutive SFP'!F34+'Evolutive SFP'!F35)</f>
        <v>-10.585835966447545</v>
      </c>
      <c r="I12" s="26">
        <f>('Evolutive SFP'!G4)/('Evolutive SFP'!G27+'Evolutive SFP'!G28+'Evolutive SFP'!G31+'Evolutive SFP'!G32+'Evolutive SFP'!G33+'Evolutive SFP'!G34+'Evolutive SFP'!G35)</f>
        <v>1.2029153126085204</v>
      </c>
      <c r="J12" s="26">
        <f>('Evolutive SFP'!H4)/('Evolutive SFP'!H27+'Evolutive SFP'!H28+'Evolutive SFP'!H31+'Evolutive SFP'!H32+'Evolutive SFP'!H33+'Evolutive SFP'!H34+'Evolutive SFP'!H35)</f>
        <v>1.185967605105714</v>
      </c>
      <c r="K12" s="26">
        <f>('Evolutive SFP'!I4)/('Evolutive SFP'!I27+'Evolutive SFP'!I28+'Evolutive SFP'!I31+'Evolutive SFP'!I32+'Evolutive SFP'!I33+'Evolutive SFP'!I34+'Evolutive SFP'!I35)</f>
        <v>0.62620751496066329</v>
      </c>
      <c r="L12" s="26">
        <f>('Evolutive SFP'!J4)/('Evolutive SFP'!J27+'Evolutive SFP'!J28+'Evolutive SFP'!J31+'Evolutive SFP'!J32+'Evolutive SFP'!J33+'Evolutive SFP'!J34+'Evolutive SFP'!J35)</f>
        <v>2.1159150489188097</v>
      </c>
      <c r="M12" s="26">
        <f>('Evolutive SFP'!K4)/('Evolutive SFP'!K27+'Evolutive SFP'!K28+'Evolutive SFP'!K31+'Evolutive SFP'!K32+'Evolutive SFP'!K33+'Evolutive SFP'!K34+'Evolutive SFP'!K35)</f>
        <v>-1.8736403485520576</v>
      </c>
      <c r="N12" s="26" t="e">
        <f>('Evolutive SFP'!L4)/('Evolutive SFP'!L27+'Evolutive SFP'!L28+'Evolutive SFP'!L31+'Evolutive SFP'!L32+'Evolutive SFP'!L33+'Evolutive SFP'!L34+'Evolutive SFP'!L35)</f>
        <v>#DIV/0!</v>
      </c>
      <c r="O12" s="26" t="e">
        <f>('Evolutive SFP'!M4)/('Evolutive SFP'!M27+'Evolutive SFP'!M28+'Evolutive SFP'!M31+'Evolutive SFP'!M32+'Evolutive SFP'!M33+'Evolutive SFP'!M34+'Evolutive SFP'!M35)</f>
        <v>#DIV/0!</v>
      </c>
      <c r="P12" s="26" t="e">
        <f>('Evolutive SFP'!N4)/('Evolutive SFP'!N27+'Evolutive SFP'!N28+'Evolutive SFP'!N31+'Evolutive SFP'!N32+'Evolutive SFP'!N33+'Evolutive SFP'!N34+'Evolutive SFP'!N35)</f>
        <v>#DIV/0!</v>
      </c>
      <c r="Q12" s="26" t="e">
        <f>('Evolutive SFP'!O4)/('Evolutive SFP'!O27+'Evolutive SFP'!O28+'Evolutive SFP'!O31+'Evolutive SFP'!O32+'Evolutive SFP'!O33+'Evolutive SFP'!O34+'Evolutive SFP'!O35)</f>
        <v>#DIV/0!</v>
      </c>
      <c r="R12" s="26" t="e">
        <f>('Evolutive SFP'!P4)/('Evolutive SFP'!P27+'Evolutive SFP'!P28+'Evolutive SFP'!P31+'Evolutive SFP'!P32+'Evolutive SFP'!P33+'Evolutive SFP'!P34+'Evolutive SFP'!P35)</f>
        <v>#DIV/0!</v>
      </c>
      <c r="S12" s="26" t="e">
        <f>('Evolutive SFP'!Q4)/('Evolutive SFP'!Q27+'Evolutive SFP'!Q28+'Evolutive SFP'!Q31+'Evolutive SFP'!Q32+'Evolutive SFP'!Q33+'Evolutive SFP'!Q34+'Evolutive SFP'!Q35)</f>
        <v>#DIV/0!</v>
      </c>
      <c r="T12" s="26">
        <f>('Evolutive SFP'!R4)/('Evolutive SFP'!R27+'Evolutive SFP'!R28+'Evolutive SFP'!R31+'Evolutive SFP'!R32+'Evolutive SFP'!R33+'Evolutive SFP'!R34+'Evolutive SFP'!R35)</f>
        <v>-1.4856676247642189</v>
      </c>
      <c r="U12" s="26">
        <f>('Evolutive SFP'!S4)/('Evolutive SFP'!S27+'Evolutive SFP'!S28+'Evolutive SFP'!S31+'Evolutive SFP'!S32+'Evolutive SFP'!S33+'Evolutive SFP'!S34+'Evolutive SFP'!S35)</f>
        <v>-7.8584546305736991</v>
      </c>
      <c r="V12" s="26">
        <f>('Evolutive SFP'!T4)/('Evolutive SFP'!T27+'Evolutive SFP'!T28+'Evolutive SFP'!T31+'Evolutive SFP'!T32+'Evolutive SFP'!T33+'Evolutive SFP'!T34+'Evolutive SFP'!T35)</f>
        <v>-1.59017901717682</v>
      </c>
      <c r="W12" s="26">
        <f>('Evolutive SFP'!U4)/('Evolutive SFP'!U27+'Evolutive SFP'!U28+'Evolutive SFP'!U31+'Evolutive SFP'!U32+'Evolutive SFP'!U33+'Evolutive SFP'!U34+'Evolutive SFP'!U35)</f>
        <v>-3.2463256830500207</v>
      </c>
      <c r="X12" s="26">
        <f>('Evolutive SFP'!V4)/('Evolutive SFP'!V27+'Evolutive SFP'!V28+'Evolutive SFP'!V31+'Evolutive SFP'!V32+'Evolutive SFP'!V33+'Evolutive SFP'!V34+'Evolutive SFP'!V35)</f>
        <v>-0.19852091403885844</v>
      </c>
      <c r="Y12" s="26">
        <f>('Evolutive SFP'!W4)/('Evolutive SFP'!W27+'Evolutive SFP'!W28+'Evolutive SFP'!W31+'Evolutive SFP'!W32+'Evolutive SFP'!W33+'Evolutive SFP'!W34+'Evolutive SFP'!W35)</f>
        <v>-0.20907891170750242</v>
      </c>
      <c r="Z12" s="26">
        <f>('Evolutive SFP'!X4)/('Evolutive SFP'!X27+'Evolutive SFP'!X28+'Evolutive SFP'!X31+'Evolutive SFP'!X32+'Evolutive SFP'!X33+'Evolutive SFP'!X34+'Evolutive SFP'!X35)</f>
        <v>7.752083691289411E-3</v>
      </c>
      <c r="AA12" s="26">
        <f>('Evolutive SFP'!Y4)/('Evolutive SFP'!Y27+'Evolutive SFP'!Y28+'Evolutive SFP'!Y31+'Evolutive SFP'!Y32+'Evolutive SFP'!Y33+'Evolutive SFP'!Y34+'Evolutive SFP'!Y35)</f>
        <v>2.9821218969329037E-2</v>
      </c>
      <c r="AB12" s="26">
        <f>('Evolutive SFP'!Z4)/('Evolutive SFP'!Z27+'Evolutive SFP'!Z28+'Evolutive SFP'!Z31+'Evolutive SFP'!Z32+'Evolutive SFP'!Z33+'Evolutive SFP'!Z34+'Evolutive SFP'!Z35)</f>
        <v>-1.2784434860977241</v>
      </c>
      <c r="AC12" s="26">
        <f>('Evolutive SFP'!AA4)/('Evolutive SFP'!AA27+'Evolutive SFP'!AA28+'Evolutive SFP'!AA31+'Evolutive SFP'!AA32+'Evolutive SFP'!AA33+'Evolutive SFP'!AA34+'Evolutive SFP'!AA35)</f>
        <v>-1.3122485440909402</v>
      </c>
      <c r="AD12" s="26">
        <f>('Evolutive SFP'!AB4)/('Evolutive SFP'!AB27+'Evolutive SFP'!AB28+'Evolutive SFP'!AB31+'Evolutive SFP'!AB32+'Evolutive SFP'!AB33+'Evolutive SFP'!AB34+'Evolutive SFP'!AB35)</f>
        <v>-0.74998529505440426</v>
      </c>
      <c r="AE12" s="26">
        <f>('Evolutive SFP'!AC4)/('Evolutive SFP'!AC27+'Evolutive SFP'!AC28+'Evolutive SFP'!AC31+'Evolutive SFP'!AC32+'Evolutive SFP'!AC33+'Evolutive SFP'!AC34+'Evolutive SFP'!AC35)</f>
        <v>-1.1659881500686486</v>
      </c>
      <c r="AF12" s="26">
        <f>('Evolutive SFP'!AD4)/('Evolutive SFP'!AD27+'Evolutive SFP'!AD28+'Evolutive SFP'!AD31+'Evolutive SFP'!AD32+'Evolutive SFP'!AD33+'Evolutive SFP'!AD34+'Evolutive SFP'!AD35)</f>
        <v>0.10362973181032578</v>
      </c>
      <c r="AG12" s="26">
        <f>('Evolutive SFP'!AE4)/('Evolutive SFP'!AE27+'Evolutive SFP'!AE28+'Evolutive SFP'!AE31+'Evolutive SFP'!AE32+'Evolutive SFP'!AE33+'Evolutive SFP'!AE34+'Evolutive SFP'!AE35)</f>
        <v>-2.9141746534874553</v>
      </c>
      <c r="AH12" s="26">
        <f>('Evolutive SFP'!AF4)/('Evolutive SFP'!AF27+'Evolutive SFP'!AF28+'Evolutive SFP'!AF31+'Evolutive SFP'!AF32+'Evolutive SFP'!AF33+'Evolutive SFP'!AF34+'Evolutive SFP'!AF35)</f>
        <v>6.5316199719540599E-2</v>
      </c>
      <c r="AI12" s="26">
        <f>('Evolutive SFP'!AG4)/('Evolutive SFP'!AG27+'Evolutive SFP'!AG28+'Evolutive SFP'!AG31+'Evolutive SFP'!AG32+'Evolutive SFP'!AG33+'Evolutive SFP'!AG34+'Evolutive SFP'!AG35)</f>
        <v>-0.3175972360905352</v>
      </c>
      <c r="AJ12" s="26">
        <f>('Evolutive SFP'!AH4)/('Evolutive SFP'!AH27+'Evolutive SFP'!AH28+'Evolutive SFP'!AH31+'Evolutive SFP'!AH32+'Evolutive SFP'!AH33+'Evolutive SFP'!AH34+'Evolutive SFP'!AH35)</f>
        <v>-0.18470383412727581</v>
      </c>
      <c r="AK12" s="26">
        <f>('Evolutive SFP'!AI4)/('Evolutive SFP'!AI27+'Evolutive SFP'!AI28+'Evolutive SFP'!AI31+'Evolutive SFP'!AI32+'Evolutive SFP'!AI33+'Evolutive SFP'!AI34+'Evolutive SFP'!AI35)</f>
        <v>0.3130468337812089</v>
      </c>
      <c r="AL12" s="26">
        <f>('Evolutive SFP'!AJ4)/('Evolutive SFP'!AJ27+'Evolutive SFP'!AJ28+'Evolutive SFP'!AJ31+'Evolutive SFP'!AJ32+'Evolutive SFP'!AJ33+'Evolutive SFP'!AJ34+'Evolutive SFP'!AJ35)</f>
        <v>0.17639901407480785</v>
      </c>
      <c r="AM12" s="26">
        <f>('Evolutive SFP'!AK4)/('Evolutive SFP'!AK27+'Evolutive SFP'!AK28+'Evolutive SFP'!AK31+'Evolutive SFP'!AK32+'Evolutive SFP'!AK33+'Evolutive SFP'!AK34+'Evolutive SFP'!AK35)</f>
        <v>0.21952259770324148</v>
      </c>
      <c r="AN12" s="26">
        <f>('Evolutive SFP'!AL4)/('Evolutive SFP'!AL27+'Evolutive SFP'!AL28+'Evolutive SFP'!AL31+'Evolutive SFP'!AL32+'Evolutive SFP'!AL33+'Evolutive SFP'!AL34+'Evolutive SFP'!AL35)</f>
        <v>-0.37039418277462233</v>
      </c>
      <c r="AO12" s="26">
        <f>('Evolutive SFP'!AM4)/('Evolutive SFP'!AM27+'Evolutive SFP'!AM28+'Evolutive SFP'!AM31+'Evolutive SFP'!AM32+'Evolutive SFP'!AM33+'Evolutive SFP'!AM34+'Evolutive SFP'!AM35)</f>
        <v>-0.34003928019443619</v>
      </c>
      <c r="AP12" s="26">
        <f>('Evolutive SFP'!AN4)/('Evolutive SFP'!AN27+'Evolutive SFP'!AN28+'Evolutive SFP'!AN31+'Evolutive SFP'!AN32+'Evolutive SFP'!AN33+'Evolutive SFP'!AN34+'Evolutive SFP'!AN35)</f>
        <v>-0.37353815642218219</v>
      </c>
      <c r="AQ12" s="26" t="e">
        <f>('Evolutive SFP'!AO4)/('Evolutive SFP'!AO27+'Evolutive SFP'!AO28+'Evolutive SFP'!AO31+'Evolutive SFP'!AO32+'Evolutive SFP'!AO33+'Evolutive SFP'!AO34+'Evolutive SFP'!AO35)</f>
        <v>#DIV/0!</v>
      </c>
      <c r="AR12" s="26" t="e">
        <f>('Evolutive SFP'!AP4)/('Evolutive SFP'!AP27+'Evolutive SFP'!AP28+'Evolutive SFP'!AP31+'Evolutive SFP'!AP32+'Evolutive SFP'!AP33+'Evolutive SFP'!AP34+'Evolutive SFP'!AP35)</f>
        <v>#DIV/0!</v>
      </c>
      <c r="AS12" s="26" t="e">
        <f>('Evolutive SFP'!AQ4)/('Evolutive SFP'!AQ27+'Evolutive SFP'!AQ28+'Evolutive SFP'!AQ31+'Evolutive SFP'!AQ32+'Evolutive SFP'!AQ33+'Evolutive SFP'!AQ34+'Evolutive SFP'!AQ35)</f>
        <v>#DIV/0!</v>
      </c>
      <c r="AT12" s="26" t="e">
        <f>('Evolutive SFP'!AR4)/('Evolutive SFP'!AR27+'Evolutive SFP'!AR28+'Evolutive SFP'!AR31+'Evolutive SFP'!AR32+'Evolutive SFP'!AR33+'Evolutive SFP'!AR34+'Evolutive SFP'!AR35)</f>
        <v>#DIV/0!</v>
      </c>
      <c r="AU12" s="26">
        <f>('Evolutive SFP'!AS4)/('Evolutive SFP'!AS27+'Evolutive SFP'!AS28+'Evolutive SFP'!AS31+'Evolutive SFP'!AS32+'Evolutive SFP'!AS33+'Evolutive SFP'!AS34+'Evolutive SFP'!AS35)</f>
        <v>-0.21966534993234041</v>
      </c>
      <c r="AV12" s="26">
        <f>('Evolutive SFP'!AT4)/('Evolutive SFP'!AT27+'Evolutive SFP'!AT28+'Evolutive SFP'!AT31+'Evolutive SFP'!AT32+'Evolutive SFP'!AT33+'Evolutive SFP'!AT34+'Evolutive SFP'!AT35)</f>
        <v>8.3455716092591767E-2</v>
      </c>
      <c r="AW12" s="26">
        <f>('Evolutive SFP'!AU4)/('Evolutive SFP'!AU27+'Evolutive SFP'!AU28+'Evolutive SFP'!AU31+'Evolutive SFP'!AU32+'Evolutive SFP'!AU33+'Evolutive SFP'!AU34+'Evolutive SFP'!AU35)</f>
        <v>0.37766387576888988</v>
      </c>
      <c r="AX12" s="26">
        <f>('Evolutive SFP'!AV4)/('Evolutive SFP'!AV27+'Evolutive SFP'!AV28+'Evolutive SFP'!AV31+'Evolutive SFP'!AV32+'Evolutive SFP'!AV33+'Evolutive SFP'!AV34+'Evolutive SFP'!AV35)</f>
        <v>0.32900441139680786</v>
      </c>
      <c r="AY12" s="26">
        <f>('Evolutive SFP'!AW4)/('Evolutive SFP'!AW27+'Evolutive SFP'!AW28+'Evolutive SFP'!AW31+'Evolutive SFP'!AW32+'Evolutive SFP'!AW33+'Evolutive SFP'!AW34+'Evolutive SFP'!AW35)</f>
        <v>0.31688253778900577</v>
      </c>
      <c r="AZ12" s="26">
        <f>('Evolutive SFP'!AX4)/('Evolutive SFP'!AX27+'Evolutive SFP'!AX28+'Evolutive SFP'!AX31+'Evolutive SFP'!AX32+'Evolutive SFP'!AX33+'Evolutive SFP'!AX34+'Evolutive SFP'!AX35)</f>
        <v>0.31354329488646004</v>
      </c>
      <c r="BA12" s="26" t="e">
        <f>('Evolutive SFP'!AY4)/('Evolutive SFP'!AY27+'Evolutive SFP'!AY28+'Evolutive SFP'!AY31+'Evolutive SFP'!AY32+'Evolutive SFP'!AY33+'Evolutive SFP'!AY34+'Evolutive SFP'!AY35)</f>
        <v>#DIV/0!</v>
      </c>
      <c r="BB12" s="26">
        <f>('Evolutive SFP'!AZ4)/('Evolutive SFP'!AZ27+'Evolutive SFP'!AZ28+'Evolutive SFP'!AZ31+'Evolutive SFP'!AZ32+'Evolutive SFP'!AZ33+'Evolutive SFP'!AZ34+'Evolutive SFP'!AZ35)</f>
        <v>0.27445100143748424</v>
      </c>
      <c r="BC12" s="26">
        <f>('Evolutive SFP'!BA4)/('Evolutive SFP'!BA27+'Evolutive SFP'!BA28+'Evolutive SFP'!BA31+'Evolutive SFP'!BA32+'Evolutive SFP'!BA33+'Evolutive SFP'!BA34+'Evolutive SFP'!BA35)</f>
        <v>0.32367805899342333</v>
      </c>
      <c r="BD12" s="26">
        <f>('Evolutive SFP'!BB4)/('Evolutive SFP'!BB27+'Evolutive SFP'!BB28+'Evolutive SFP'!BB31+'Evolutive SFP'!BB32+'Evolutive SFP'!BB33+'Evolutive SFP'!BB34+'Evolutive SFP'!BB35)</f>
        <v>0.38818741423619058</v>
      </c>
      <c r="BE12" s="26">
        <f>('Evolutive SFP'!BC4)/('Evolutive SFP'!BC27+'Evolutive SFP'!BC28+'Evolutive SFP'!BC31+'Evolutive SFP'!BC32+'Evolutive SFP'!BC33+'Evolutive SFP'!BC34+'Evolutive SFP'!BC35)</f>
        <v>0.37402937524490437</v>
      </c>
      <c r="BF12" s="26">
        <f>('Evolutive SFP'!BD4)/('Evolutive SFP'!BD27+'Evolutive SFP'!BD28+'Evolutive SFP'!BD31+'Evolutive SFP'!BD32+'Evolutive SFP'!BD33+'Evolutive SFP'!BD34+'Evolutive SFP'!BD35)</f>
        <v>0.49478271219962661</v>
      </c>
      <c r="BG12" s="26">
        <f>('Evolutive SFP'!BE4)/('Evolutive SFP'!BE27+'Evolutive SFP'!BE28+'Evolutive SFP'!BE31+'Evolutive SFP'!BE32+'Evolutive SFP'!BE33+'Evolutive SFP'!BE34+'Evolutive SFP'!BE35)</f>
        <v>0.6035069419967185</v>
      </c>
      <c r="BH12" s="26">
        <f>('Evolutive SFP'!BF4)/('Evolutive SFP'!BF27+'Evolutive SFP'!BF28+'Evolutive SFP'!BF31+'Evolutive SFP'!BF32+'Evolutive SFP'!BF33+'Evolutive SFP'!BF34+'Evolutive SFP'!BF35)</f>
        <v>0.41678702759606651</v>
      </c>
      <c r="BI12" s="26">
        <f>('Evolutive SFP'!BG4)/('Evolutive SFP'!BG27+'Evolutive SFP'!BG28+'Evolutive SFP'!BG31+'Evolutive SFP'!BG32+'Evolutive SFP'!BG33+'Evolutive SFP'!BG34+'Evolutive SFP'!BG35)</f>
        <v>0.50261239154623594</v>
      </c>
      <c r="BJ12" s="26">
        <f>('Evolutive SFP'!BH4)/('Evolutive SFP'!BH27+'Evolutive SFP'!BH28+'Evolutive SFP'!BH31+'Evolutive SFP'!BH32+'Evolutive SFP'!BH33+'Evolutive SFP'!BH34+'Evolutive SFP'!BH35)</f>
        <v>0.4513361175020833</v>
      </c>
      <c r="BK12" s="26">
        <f>('Evolutive SFP'!BI4)/('Evolutive SFP'!BI27+'Evolutive SFP'!BI28+'Evolutive SFP'!BI31+'Evolutive SFP'!BI32+'Evolutive SFP'!BI33+'Evolutive SFP'!BI34+'Evolutive SFP'!BI35)</f>
        <v>0.34917772009689141</v>
      </c>
      <c r="BL12" s="26">
        <f>('Evolutive SFP'!BJ4)/('Evolutive SFP'!BJ27+'Evolutive SFP'!BJ28+'Evolutive SFP'!BJ31+'Evolutive SFP'!BJ32+'Evolutive SFP'!BJ33+'Evolutive SFP'!BJ34+'Evolutive SFP'!BJ35)</f>
        <v>0.57585128382540629</v>
      </c>
      <c r="BM12" s="26">
        <f>('Evolutive SFP'!BK4)/('Evolutive SFP'!BK27+'Evolutive SFP'!BK28+'Evolutive SFP'!BK31+'Evolutive SFP'!BK32+'Evolutive SFP'!BK33+'Evolutive SFP'!BK34+'Evolutive SFP'!BK35)</f>
        <v>0.46491554475810437</v>
      </c>
      <c r="BN12" s="26">
        <f>('Evolutive SFP'!BL4)/('Evolutive SFP'!BL27+'Evolutive SFP'!BL28+'Evolutive SFP'!BL31+'Evolutive SFP'!BL32+'Evolutive SFP'!BL33+'Evolutive SFP'!BL34+'Evolutive SFP'!BL35)</f>
        <v>0.27207509993199214</v>
      </c>
      <c r="BO12" s="26">
        <f>('Evolutive SFP'!BM4)/('Evolutive SFP'!BM27+'Evolutive SFP'!BM28+'Evolutive SFP'!BM31+'Evolutive SFP'!BM32+'Evolutive SFP'!BM33+'Evolutive SFP'!BM34+'Evolutive SFP'!BM35)</f>
        <v>0.26978260919605862</v>
      </c>
      <c r="BP12" s="26">
        <f>('Evolutive SFP'!BN4)/('Evolutive SFP'!BN27+'Evolutive SFP'!BN28+'Evolutive SFP'!BN31+'Evolutive SFP'!BN32+'Evolutive SFP'!BN33+'Evolutive SFP'!BN34+'Evolutive SFP'!BN35)</f>
        <v>0.29166542406003609</v>
      </c>
      <c r="BQ12" s="26">
        <f>('Evolutive SFP'!BO4)/('Evolutive SFP'!BO27+'Evolutive SFP'!BO28+'Evolutive SFP'!BO31+'Evolutive SFP'!BO32+'Evolutive SFP'!BO33+'Evolutive SFP'!BO34+'Evolutive SFP'!BO35)</f>
        <v>0.63641466913660971</v>
      </c>
      <c r="BR12" s="26">
        <f>('Evolutive SFP'!BP4)/('Evolutive SFP'!BP27+'Evolutive SFP'!BP28+'Evolutive SFP'!BP31+'Evolutive SFP'!BP32+'Evolutive SFP'!BP33+'Evolutive SFP'!BP34+'Evolutive SFP'!BP35)</f>
        <v>0.80041890530850368</v>
      </c>
      <c r="BS12" s="26">
        <f>('Evolutive SFP'!BQ4)/('Evolutive SFP'!BQ27+'Evolutive SFP'!BQ28+'Evolutive SFP'!BQ31+'Evolutive SFP'!BQ32+'Evolutive SFP'!BQ33+'Evolutive SFP'!BQ34+'Evolutive SFP'!BQ35)</f>
        <v>0.46679254824002642</v>
      </c>
      <c r="BT12" s="26">
        <f>('Evolutive SFP'!BR4)/('Evolutive SFP'!BR27+'Evolutive SFP'!BR28+'Evolutive SFP'!BR31+'Evolutive SFP'!BR32+'Evolutive SFP'!BR33+'Evolutive SFP'!BR34+'Evolutive SFP'!BR35)</f>
        <v>0.49262977651808182</v>
      </c>
      <c r="BU12" s="26">
        <f>('Evolutive SFP'!BS4)/('Evolutive SFP'!BS27+'Evolutive SFP'!BS28+'Evolutive SFP'!BS31+'Evolutive SFP'!BS32+'Evolutive SFP'!BS33+'Evolutive SFP'!BS34+'Evolutive SFP'!BS35)</f>
        <v>0.45738284589202904</v>
      </c>
      <c r="BV12" s="26">
        <f>('Evolutive SFP'!BT4)/('Evolutive SFP'!BT27+'Evolutive SFP'!BT28+'Evolutive SFP'!BT31+'Evolutive SFP'!BT32+'Evolutive SFP'!BT33+'Evolutive SFP'!BT34+'Evolutive SFP'!BT35)</f>
        <v>0.501377363561475</v>
      </c>
      <c r="BW12" s="26">
        <f>('Evolutive SFP'!BU4)/('Evolutive SFP'!BU27+'Evolutive SFP'!BU28+'Evolutive SFP'!BU31+'Evolutive SFP'!BU32+'Evolutive SFP'!BU33+'Evolutive SFP'!BU34+'Evolutive SFP'!BU35)</f>
        <v>0.45152824981772532</v>
      </c>
      <c r="BX12" s="26">
        <f>('Evolutive SFP'!BV4)/('Evolutive SFP'!BV27+'Evolutive SFP'!BV28+'Evolutive SFP'!BV31+'Evolutive SFP'!BV32+'Evolutive SFP'!BV33+'Evolutive SFP'!BV34+'Evolutive SFP'!BV35)</f>
        <v>0.15616048311687658</v>
      </c>
    </row>
    <row r="13" spans="1:76" ht="15">
      <c r="A13" s="326"/>
      <c r="B13" s="3" t="s">
        <v>173</v>
      </c>
      <c r="C13" s="52"/>
      <c r="D13" s="26">
        <f>('Evolutive SFP'!B4+'Evolutive SFP'!B8)/('Evolutive SFP'!B30+'Evolutive SFP'!B31+'Evolutive SFP'!B32+'Evolutive SFP'!B33+'Evolutive SFP'!B34+'Evolutive SFP'!B35)</f>
        <v>0.68792925948930073</v>
      </c>
      <c r="E13" s="26">
        <f>('Evolutive SFP'!C4+'Evolutive SFP'!C8)/('Evolutive SFP'!C30+'Evolutive SFP'!C31+'Evolutive SFP'!C32+'Evolutive SFP'!C33+'Evolutive SFP'!C34+'Evolutive SFP'!C35)</f>
        <v>0.59901309464356456</v>
      </c>
      <c r="F13" s="26">
        <f>('Evolutive SFP'!D4+'Evolutive SFP'!D8)/('Evolutive SFP'!D30+'Evolutive SFP'!D31+'Evolutive SFP'!D32+'Evolutive SFP'!D33+'Evolutive SFP'!D34+'Evolutive SFP'!D35)</f>
        <v>0.4872660625023425</v>
      </c>
      <c r="G13" s="26">
        <f>('Evolutive SFP'!E4+'Evolutive SFP'!E8)/('Evolutive SFP'!E30+'Evolutive SFP'!E31+'Evolutive SFP'!E32+'Evolutive SFP'!E33+'Evolutive SFP'!E34+'Evolutive SFP'!E35)</f>
        <v>0.38049167996596339</v>
      </c>
      <c r="H13" s="26">
        <f>('Evolutive SFP'!F4+'Evolutive SFP'!F8)/('Evolutive SFP'!F30+'Evolutive SFP'!F31+'Evolutive SFP'!F32+'Evolutive SFP'!F33+'Evolutive SFP'!F34+'Evolutive SFP'!F35)</f>
        <v>0.33668535749465223</v>
      </c>
      <c r="I13" s="26">
        <f>('Evolutive SFP'!G4+'Evolutive SFP'!G8)/('Evolutive SFP'!G30+'Evolutive SFP'!G31+'Evolutive SFP'!G32+'Evolutive SFP'!G33+'Evolutive SFP'!G34+'Evolutive SFP'!G35)</f>
        <v>0.35873511932960556</v>
      </c>
      <c r="J13" s="26">
        <f>('Evolutive SFP'!H4+'Evolutive SFP'!H8)/('Evolutive SFP'!H30+'Evolutive SFP'!H31+'Evolutive SFP'!H32+'Evolutive SFP'!H33+'Evolutive SFP'!H34+'Evolutive SFP'!H35)</f>
        <v>0.31016343071653846</v>
      </c>
      <c r="K13" s="26">
        <f>('Evolutive SFP'!I4+'Evolutive SFP'!I8)/('Evolutive SFP'!I30+'Evolutive SFP'!I31+'Evolutive SFP'!I32+'Evolutive SFP'!I33+'Evolutive SFP'!I34+'Evolutive SFP'!I35)</f>
        <v>0.28678660610117823</v>
      </c>
      <c r="L13" s="26">
        <f>('Evolutive SFP'!J4+'Evolutive SFP'!J8)/('Evolutive SFP'!J30+'Evolutive SFP'!J31+'Evolutive SFP'!J32+'Evolutive SFP'!J33+'Evolutive SFP'!J34+'Evolutive SFP'!J35)</f>
        <v>0.23683994993595414</v>
      </c>
      <c r="M13" s="26">
        <f>('Evolutive SFP'!K4+'Evolutive SFP'!K8)/('Evolutive SFP'!K30+'Evolutive SFP'!K31+'Evolutive SFP'!K32+'Evolutive SFP'!K33+'Evolutive SFP'!K34+'Evolutive SFP'!K35)</f>
        <v>0.20048778573464096</v>
      </c>
      <c r="N13" s="26" t="e">
        <f>('Evolutive SFP'!L4+'Evolutive SFP'!L8)/('Evolutive SFP'!L30+'Evolutive SFP'!L31+'Evolutive SFP'!L32+'Evolutive SFP'!L33+'Evolutive SFP'!L34+'Evolutive SFP'!L35)</f>
        <v>#DIV/0!</v>
      </c>
      <c r="O13" s="26" t="e">
        <f>('Evolutive SFP'!M4+'Evolutive SFP'!M8)/('Evolutive SFP'!M30+'Evolutive SFP'!M31+'Evolutive SFP'!M32+'Evolutive SFP'!M33+'Evolutive SFP'!M34+'Evolutive SFP'!M35)</f>
        <v>#DIV/0!</v>
      </c>
      <c r="P13" s="26" t="e">
        <f>('Evolutive SFP'!N4+'Evolutive SFP'!N8)/('Evolutive SFP'!N30+'Evolutive SFP'!N31+'Evolutive SFP'!N32+'Evolutive SFP'!N33+'Evolutive SFP'!N34+'Evolutive SFP'!N35)</f>
        <v>#DIV/0!</v>
      </c>
      <c r="Q13" s="26" t="e">
        <f>('Evolutive SFP'!O4+'Evolutive SFP'!O8)/('Evolutive SFP'!O30+'Evolutive SFP'!O31+'Evolutive SFP'!O32+'Evolutive SFP'!O33+'Evolutive SFP'!O34+'Evolutive SFP'!O35)</f>
        <v>#DIV/0!</v>
      </c>
      <c r="R13" s="26" t="e">
        <f>('Evolutive SFP'!P4+'Evolutive SFP'!P8)/('Evolutive SFP'!P30+'Evolutive SFP'!P31+'Evolutive SFP'!P32+'Evolutive SFP'!P33+'Evolutive SFP'!P34+'Evolutive SFP'!P35)</f>
        <v>#DIV/0!</v>
      </c>
      <c r="S13" s="26" t="e">
        <f>('Evolutive SFP'!Q4+'Evolutive SFP'!Q8)/('Evolutive SFP'!Q30+'Evolutive SFP'!Q31+'Evolutive SFP'!Q32+'Evolutive SFP'!Q33+'Evolutive SFP'!Q34+'Evolutive SFP'!Q35)</f>
        <v>#DIV/0!</v>
      </c>
      <c r="T13" s="26">
        <f>('Evolutive SFP'!R4+'Evolutive SFP'!R8)/('Evolutive SFP'!R30+'Evolutive SFP'!R31+'Evolutive SFP'!R32+'Evolutive SFP'!R33+'Evolutive SFP'!R34+'Evolutive SFP'!R35)</f>
        <v>0.36640080595364932</v>
      </c>
      <c r="U13" s="26">
        <f>('Evolutive SFP'!S4+'Evolutive SFP'!S8)/('Evolutive SFP'!S30+'Evolutive SFP'!S31+'Evolutive SFP'!S32+'Evolutive SFP'!S33+'Evolutive SFP'!S34+'Evolutive SFP'!S35)</f>
        <v>0.29147268324776543</v>
      </c>
      <c r="V13" s="26">
        <f>('Evolutive SFP'!T4+'Evolutive SFP'!T8)/('Evolutive SFP'!T30+'Evolutive SFP'!T31+'Evolutive SFP'!T32+'Evolutive SFP'!T33+'Evolutive SFP'!T34+'Evolutive SFP'!T35)</f>
        <v>0.26578221755067055</v>
      </c>
      <c r="W13" s="26">
        <f>('Evolutive SFP'!U4+'Evolutive SFP'!U8)/('Evolutive SFP'!U30+'Evolutive SFP'!U31+'Evolutive SFP'!U32+'Evolutive SFP'!U33+'Evolutive SFP'!U34+'Evolutive SFP'!U35)</f>
        <v>0.25813880879883866</v>
      </c>
      <c r="X13" s="26">
        <f>('Evolutive SFP'!V4+'Evolutive SFP'!V8)/('Evolutive SFP'!V30+'Evolutive SFP'!V31+'Evolutive SFP'!V32+'Evolutive SFP'!V33+'Evolutive SFP'!V34+'Evolutive SFP'!V35)</f>
        <v>0.20328932545351794</v>
      </c>
      <c r="Y13" s="26">
        <f>('Evolutive SFP'!W4+'Evolutive SFP'!W8)/('Evolutive SFP'!W30+'Evolutive SFP'!W31+'Evolutive SFP'!W32+'Evolutive SFP'!W33+'Evolutive SFP'!W34+'Evolutive SFP'!W35)</f>
        <v>0.18967519597897162</v>
      </c>
      <c r="Z13" s="26">
        <f>('Evolutive SFP'!X4+'Evolutive SFP'!X8)/('Evolutive SFP'!X30+'Evolutive SFP'!X31+'Evolutive SFP'!X32+'Evolutive SFP'!X33+'Evolutive SFP'!X34+'Evolutive SFP'!X35)</f>
        <v>0.14874780777673097</v>
      </c>
      <c r="AA13" s="26">
        <f>('Evolutive SFP'!Y4+'Evolutive SFP'!Y8)/('Evolutive SFP'!Y30+'Evolutive SFP'!Y31+'Evolutive SFP'!Y32+'Evolutive SFP'!Y33+'Evolutive SFP'!Y34+'Evolutive SFP'!Y35)</f>
        <v>0.14292652685972307</v>
      </c>
      <c r="AB13" s="26">
        <f>('Evolutive SFP'!Z4+'Evolutive SFP'!Z8)/('Evolutive SFP'!Z30+'Evolutive SFP'!Z31+'Evolutive SFP'!Z32+'Evolutive SFP'!Z33+'Evolutive SFP'!Z34+'Evolutive SFP'!Z35)</f>
        <v>0.26926278936119086</v>
      </c>
      <c r="AC13" s="26">
        <f>('Evolutive SFP'!AA4+'Evolutive SFP'!AA8)/('Evolutive SFP'!AA30+'Evolutive SFP'!AA31+'Evolutive SFP'!AA32+'Evolutive SFP'!AA33+'Evolutive SFP'!AA34+'Evolutive SFP'!AA35)</f>
        <v>0.29123942997857566</v>
      </c>
      <c r="AD13" s="26">
        <f>('Evolutive SFP'!AB4+'Evolutive SFP'!AB8)/('Evolutive SFP'!AB30+'Evolutive SFP'!AB31+'Evolutive SFP'!AB32+'Evolutive SFP'!AB33+'Evolutive SFP'!AB34+'Evolutive SFP'!AB35)</f>
        <v>0.29529037638849753</v>
      </c>
      <c r="AE13" s="26">
        <f>('Evolutive SFP'!AC4+'Evolutive SFP'!AC8)/('Evolutive SFP'!AC30+'Evolutive SFP'!AC31+'Evolutive SFP'!AC32+'Evolutive SFP'!AC33+'Evolutive SFP'!AC34+'Evolutive SFP'!AC35)</f>
        <v>0.41855021905965062</v>
      </c>
      <c r="AF13" s="26">
        <f>('Evolutive SFP'!AD4+'Evolutive SFP'!AD8)/('Evolutive SFP'!AD30+'Evolutive SFP'!AD31+'Evolutive SFP'!AD32+'Evolutive SFP'!AD33+'Evolutive SFP'!AD34+'Evolutive SFP'!AD35)</f>
        <v>0.12470406940418408</v>
      </c>
      <c r="AG13" s="26">
        <f>('Evolutive SFP'!AE4+'Evolutive SFP'!AE8)/('Evolutive SFP'!AE30+'Evolutive SFP'!AE31+'Evolutive SFP'!AE32+'Evolutive SFP'!AE33+'Evolutive SFP'!AE34+'Evolutive SFP'!AE35)</f>
        <v>0.33853082421715253</v>
      </c>
      <c r="AH13" s="26">
        <f>('Evolutive SFP'!AF4+'Evolutive SFP'!AF8)/('Evolutive SFP'!AF30+'Evolutive SFP'!AF31+'Evolutive SFP'!AF32+'Evolutive SFP'!AF33+'Evolutive SFP'!AF34+'Evolutive SFP'!AF35)</f>
        <v>0.21968302212678775</v>
      </c>
      <c r="AI13" s="26">
        <f>('Evolutive SFP'!AG4+'Evolutive SFP'!AG8)/('Evolutive SFP'!AG30+'Evolutive SFP'!AG31+'Evolutive SFP'!AG32+'Evolutive SFP'!AG33+'Evolutive SFP'!AG34+'Evolutive SFP'!AG35)</f>
        <v>0.2854500929013456</v>
      </c>
      <c r="AJ13" s="26">
        <f>('Evolutive SFP'!AH4+'Evolutive SFP'!AH8)/('Evolutive SFP'!AH30+'Evolutive SFP'!AH31+'Evolutive SFP'!AH32+'Evolutive SFP'!AH33+'Evolutive SFP'!AH34+'Evolutive SFP'!AH35)</f>
        <v>0.24963219851539842</v>
      </c>
      <c r="AK13" s="26">
        <f>('Evolutive SFP'!AI4+'Evolutive SFP'!AI8)/('Evolutive SFP'!AI30+'Evolutive SFP'!AI31+'Evolutive SFP'!AI32+'Evolutive SFP'!AI33+'Evolutive SFP'!AI34+'Evolutive SFP'!AI35)</f>
        <v>2.9964312529043368E-2</v>
      </c>
      <c r="AL13" s="26">
        <f>('Evolutive SFP'!AJ4+'Evolutive SFP'!AJ8)/('Evolutive SFP'!AJ30+'Evolutive SFP'!AJ31+'Evolutive SFP'!AJ32+'Evolutive SFP'!AJ33+'Evolutive SFP'!AJ34+'Evolutive SFP'!AJ35)</f>
        <v>9.7447997865571637E-2</v>
      </c>
      <c r="AM13" s="26">
        <f>('Evolutive SFP'!AK4+'Evolutive SFP'!AK8)/('Evolutive SFP'!AK30+'Evolutive SFP'!AK31+'Evolutive SFP'!AK32+'Evolutive SFP'!AK33+'Evolutive SFP'!AK34+'Evolutive SFP'!AK35)</f>
        <v>7.3293065595652226E-2</v>
      </c>
      <c r="AN13" s="26">
        <f>('Evolutive SFP'!AL4+'Evolutive SFP'!AL8)/('Evolutive SFP'!AL30+'Evolutive SFP'!AL31+'Evolutive SFP'!AL32+'Evolutive SFP'!AL33+'Evolutive SFP'!AL34+'Evolutive SFP'!AL35)</f>
        <v>0.27424388834410035</v>
      </c>
      <c r="AO13" s="26">
        <f>('Evolutive SFP'!AM4+'Evolutive SFP'!AM8)/('Evolutive SFP'!AM30+'Evolutive SFP'!AM31+'Evolutive SFP'!AM32+'Evolutive SFP'!AM33+'Evolutive SFP'!AM34+'Evolutive SFP'!AM35)</f>
        <v>0.25672374767854139</v>
      </c>
      <c r="AP13" s="26">
        <f>('Evolutive SFP'!AN4+'Evolutive SFP'!AN8)/('Evolutive SFP'!AN30+'Evolutive SFP'!AN31+'Evolutive SFP'!AN32+'Evolutive SFP'!AN33+'Evolutive SFP'!AN34+'Evolutive SFP'!AN35)</f>
        <v>0.27088238499089684</v>
      </c>
      <c r="AQ13" s="26" t="e">
        <f>('Evolutive SFP'!AO4+'Evolutive SFP'!AO8)/('Evolutive SFP'!AO30+'Evolutive SFP'!AO31+'Evolutive SFP'!AO32+'Evolutive SFP'!AO33+'Evolutive SFP'!AO34+'Evolutive SFP'!AO35)</f>
        <v>#DIV/0!</v>
      </c>
      <c r="AR13" s="26" t="e">
        <f>('Evolutive SFP'!AP4+'Evolutive SFP'!AP8)/('Evolutive SFP'!AP30+'Evolutive SFP'!AP31+'Evolutive SFP'!AP32+'Evolutive SFP'!AP33+'Evolutive SFP'!AP34+'Evolutive SFP'!AP35)</f>
        <v>#DIV/0!</v>
      </c>
      <c r="AS13" s="26" t="e">
        <f>('Evolutive SFP'!AQ4+'Evolutive SFP'!AQ8)/('Evolutive SFP'!AQ30+'Evolutive SFP'!AQ31+'Evolutive SFP'!AQ32+'Evolutive SFP'!AQ33+'Evolutive SFP'!AQ34+'Evolutive SFP'!AQ35)</f>
        <v>#DIV/0!</v>
      </c>
      <c r="AT13" s="26" t="e">
        <f>('Evolutive SFP'!AR4+'Evolutive SFP'!AR8)/('Evolutive SFP'!AR30+'Evolutive SFP'!AR31+'Evolutive SFP'!AR32+'Evolutive SFP'!AR33+'Evolutive SFP'!AR34+'Evolutive SFP'!AR35)</f>
        <v>#DIV/0!</v>
      </c>
      <c r="AU13" s="26">
        <f>('Evolutive SFP'!AS4+'Evolutive SFP'!AS8)/('Evolutive SFP'!AS30+'Evolutive SFP'!AS31+'Evolutive SFP'!AS32+'Evolutive SFP'!AS33+'Evolutive SFP'!AS34+'Evolutive SFP'!AS35)</f>
        <v>0.21717747422460656</v>
      </c>
      <c r="AV13" s="26">
        <f>('Evolutive SFP'!AT4+'Evolutive SFP'!AT8)/('Evolutive SFP'!AT30+'Evolutive SFP'!AT31+'Evolutive SFP'!AT32+'Evolutive SFP'!AT33+'Evolutive SFP'!AT34+'Evolutive SFP'!AT35)</f>
        <v>0.1110693628650455</v>
      </c>
      <c r="AW13" s="26">
        <f>('Evolutive SFP'!AU4+'Evolutive SFP'!AU8)/('Evolutive SFP'!AU30+'Evolutive SFP'!AU31+'Evolutive SFP'!AU32+'Evolutive SFP'!AU33+'Evolutive SFP'!AU34+'Evolutive SFP'!AU35)</f>
        <v>0.17957895079509736</v>
      </c>
      <c r="AX13" s="26">
        <f>('Evolutive SFP'!AV4+'Evolutive SFP'!AV8)/('Evolutive SFP'!AV30+'Evolutive SFP'!AV31+'Evolutive SFP'!AV32+'Evolutive SFP'!AV33+'Evolutive SFP'!AV34+'Evolutive SFP'!AV35)</f>
        <v>0.16294644463618024</v>
      </c>
      <c r="AY13" s="26">
        <f>('Evolutive SFP'!AW4+'Evolutive SFP'!AW8)/('Evolutive SFP'!AW30+'Evolutive SFP'!AW31+'Evolutive SFP'!AW32+'Evolutive SFP'!AW33+'Evolutive SFP'!AW34+'Evolutive SFP'!AW35)</f>
        <v>0.16237204933396968</v>
      </c>
      <c r="AZ13" s="26">
        <f>('Evolutive SFP'!AX4+'Evolutive SFP'!AX8)/('Evolutive SFP'!AX30+'Evolutive SFP'!AX31+'Evolutive SFP'!AX32+'Evolutive SFP'!AX33+'Evolutive SFP'!AX34+'Evolutive SFP'!AX35)</f>
        <v>0.1677489657300687</v>
      </c>
      <c r="BA13" s="26" t="e">
        <f>('Evolutive SFP'!AY4+'Evolutive SFP'!AY8)/('Evolutive SFP'!AY30+'Evolutive SFP'!AY31+'Evolutive SFP'!AY32+'Evolutive SFP'!AY33+'Evolutive SFP'!AY34+'Evolutive SFP'!AY35)</f>
        <v>#DIV/0!</v>
      </c>
      <c r="BB13" s="26">
        <f>('Evolutive SFP'!AZ4+'Evolutive SFP'!AZ8)/('Evolutive SFP'!AZ30+'Evolutive SFP'!AZ31+'Evolutive SFP'!AZ32+'Evolutive SFP'!AZ33+'Evolutive SFP'!AZ34+'Evolutive SFP'!AZ35)</f>
        <v>0.1485659203545304</v>
      </c>
      <c r="BC13" s="26">
        <f>('Evolutive SFP'!BA4+'Evolutive SFP'!BA8)/('Evolutive SFP'!BA30+'Evolutive SFP'!BA31+'Evolutive SFP'!BA32+'Evolutive SFP'!BA33+'Evolutive SFP'!BA34+'Evolutive SFP'!BA35)</f>
        <v>0.16434075004132007</v>
      </c>
      <c r="BD13" s="26">
        <f>('Evolutive SFP'!BB4+'Evolutive SFP'!BB8)/('Evolutive SFP'!BB30+'Evolutive SFP'!BB31+'Evolutive SFP'!BB32+'Evolutive SFP'!BB33+'Evolutive SFP'!BB34+'Evolutive SFP'!BB35)</f>
        <v>0.18806196584104701</v>
      </c>
      <c r="BE13" s="26">
        <f>('Evolutive SFP'!BC4+'Evolutive SFP'!BC8)/('Evolutive SFP'!BC30+'Evolutive SFP'!BC31+'Evolutive SFP'!BC32+'Evolutive SFP'!BC33+'Evolutive SFP'!BC34+'Evolutive SFP'!BC35)</f>
        <v>0.1853755584008924</v>
      </c>
      <c r="BF13" s="26">
        <f>('Evolutive SFP'!BD4+'Evolutive SFP'!BD8)/('Evolutive SFP'!BD30+'Evolutive SFP'!BD31+'Evolutive SFP'!BD32+'Evolutive SFP'!BD33+'Evolutive SFP'!BD34+'Evolutive SFP'!BD35)</f>
        <v>0.2275414411477171</v>
      </c>
      <c r="BG13" s="26">
        <f>('Evolutive SFP'!BE4+'Evolutive SFP'!BE8)/('Evolutive SFP'!BE30+'Evolutive SFP'!BE31+'Evolutive SFP'!BE32+'Evolutive SFP'!BE33+'Evolutive SFP'!BE34+'Evolutive SFP'!BE35)</f>
        <v>0.24222938151789872</v>
      </c>
      <c r="BH13" s="26">
        <f>('Evolutive SFP'!BF4+'Evolutive SFP'!BF8)/('Evolutive SFP'!BF30+'Evolutive SFP'!BF31+'Evolutive SFP'!BF32+'Evolutive SFP'!BF33+'Evolutive SFP'!BF34+'Evolutive SFP'!BF35)</f>
        <v>0.20287865646740086</v>
      </c>
      <c r="BI13" s="26">
        <f>('Evolutive SFP'!BG4+'Evolutive SFP'!BG8)/('Evolutive SFP'!BG30+'Evolutive SFP'!BG31+'Evolutive SFP'!BG32+'Evolutive SFP'!BG33+'Evolutive SFP'!BG34+'Evolutive SFP'!BG35)</f>
        <v>0.22486654524961119</v>
      </c>
      <c r="BJ13" s="26">
        <f>('Evolutive SFP'!BH4+'Evolutive SFP'!BH8)/('Evolutive SFP'!BH30+'Evolutive SFP'!BH31+'Evolutive SFP'!BH32+'Evolutive SFP'!BH33+'Evolutive SFP'!BH34+'Evolutive SFP'!BH35)</f>
        <v>0.21230061321439939</v>
      </c>
      <c r="BK13" s="26">
        <f>('Evolutive SFP'!BI4+'Evolutive SFP'!BI8)/('Evolutive SFP'!BI30+'Evolutive SFP'!BI31+'Evolutive SFP'!BI32+'Evolutive SFP'!BI33+'Evolutive SFP'!BI34+'Evolutive SFP'!BI35)</f>
        <v>0.1889896528406429</v>
      </c>
      <c r="BL13" s="26">
        <f>('Evolutive SFP'!BJ4+'Evolutive SFP'!BJ8)/('Evolutive SFP'!BJ30+'Evolutive SFP'!BJ31+'Evolutive SFP'!BJ32+'Evolutive SFP'!BJ33+'Evolutive SFP'!BJ34+'Evolutive SFP'!BJ35)</f>
        <v>0.23501019556368741</v>
      </c>
      <c r="BM13" s="26">
        <f>('Evolutive SFP'!BK4+'Evolutive SFP'!BK8)/('Evolutive SFP'!BK30+'Evolutive SFP'!BK31+'Evolutive SFP'!BK32+'Evolutive SFP'!BK33+'Evolutive SFP'!BK34+'Evolutive SFP'!BK35)</f>
        <v>0.21339239782742414</v>
      </c>
      <c r="BN13" s="26">
        <f>('Evolutive SFP'!BL4+'Evolutive SFP'!BL8)/('Evolutive SFP'!BL30+'Evolutive SFP'!BL31+'Evolutive SFP'!BL32+'Evolutive SFP'!BL33+'Evolutive SFP'!BL34+'Evolutive SFP'!BL35)</f>
        <v>0.17125330614470344</v>
      </c>
      <c r="BO13" s="26">
        <f>('Evolutive SFP'!BM4+'Evolutive SFP'!BM8)/('Evolutive SFP'!BM30+'Evolutive SFP'!BM31+'Evolutive SFP'!BM32+'Evolutive SFP'!BM33+'Evolutive SFP'!BM34+'Evolutive SFP'!BM35)</f>
        <v>0.17163609828862347</v>
      </c>
      <c r="BP13" s="26">
        <f>('Evolutive SFP'!BN4+'Evolutive SFP'!BN8)/('Evolutive SFP'!BN30+'Evolutive SFP'!BN31+'Evolutive SFP'!BN32+'Evolutive SFP'!BN33+'Evolutive SFP'!BN34+'Evolutive SFP'!BN35)</f>
        <v>0.1751756533542663</v>
      </c>
      <c r="BQ13" s="26">
        <f>('Evolutive SFP'!BO4+'Evolutive SFP'!BO8)/('Evolutive SFP'!BO30+'Evolutive SFP'!BO31+'Evolutive SFP'!BO32+'Evolutive SFP'!BO33+'Evolutive SFP'!BO34+'Evolutive SFP'!BO35)</f>
        <v>0.19982647004386803</v>
      </c>
      <c r="BR13" s="26">
        <f>('Evolutive SFP'!BP4+'Evolutive SFP'!BP8)/('Evolutive SFP'!BP30+'Evolutive SFP'!BP31+'Evolutive SFP'!BP32+'Evolutive SFP'!BP33+'Evolutive SFP'!BP34+'Evolutive SFP'!BP35)</f>
        <v>0.27096705892145456</v>
      </c>
      <c r="BS13" s="26">
        <f>('Evolutive SFP'!BQ4+'Evolutive SFP'!BQ8)/('Evolutive SFP'!BQ30+'Evolutive SFP'!BQ31+'Evolutive SFP'!BQ32+'Evolutive SFP'!BQ33+'Evolutive SFP'!BQ34+'Evolutive SFP'!BQ35)</f>
        <v>0.21261861364783402</v>
      </c>
      <c r="BT13" s="26">
        <f>('Evolutive SFP'!BR4+'Evolutive SFP'!BR8)/('Evolutive SFP'!BR30+'Evolutive SFP'!BR31+'Evolutive SFP'!BR32+'Evolutive SFP'!BR33+'Evolutive SFP'!BR34+'Evolutive SFP'!BR35)</f>
        <v>0.20382434511824984</v>
      </c>
      <c r="BU13" s="26">
        <f>('Evolutive SFP'!BS4+'Evolutive SFP'!BS8)/('Evolutive SFP'!BS30+'Evolutive SFP'!BS31+'Evolutive SFP'!BS32+'Evolutive SFP'!BS33+'Evolutive SFP'!BS34+'Evolutive SFP'!BS35)</f>
        <v>0.20684638045939727</v>
      </c>
      <c r="BV13" s="26">
        <f>('Evolutive SFP'!BT4+'Evolutive SFP'!BT8)/('Evolutive SFP'!BT30+'Evolutive SFP'!BT31+'Evolutive SFP'!BT32+'Evolutive SFP'!BT33+'Evolutive SFP'!BT34+'Evolutive SFP'!BT35)</f>
        <v>0.22184832167228524</v>
      </c>
      <c r="BW13" s="26">
        <f>('Evolutive SFP'!BU4+'Evolutive SFP'!BU8)/('Evolutive SFP'!BU30+'Evolutive SFP'!BU31+'Evolutive SFP'!BU32+'Evolutive SFP'!BU33+'Evolutive SFP'!BU34+'Evolutive SFP'!BU35)</f>
        <v>0.21810737854455772</v>
      </c>
      <c r="BX13" s="26">
        <f>('Evolutive SFP'!BV4+'Evolutive SFP'!BV8)/('Evolutive SFP'!BV30+'Evolutive SFP'!BV31+'Evolutive SFP'!BV32+'Evolutive SFP'!BV33+'Evolutive SFP'!BV34+'Evolutive SFP'!BV35)</f>
        <v>0.14604440460934762</v>
      </c>
    </row>
    <row r="14" spans="1:76" ht="15">
      <c r="A14" s="326"/>
      <c r="B14" s="3" t="s">
        <v>174</v>
      </c>
      <c r="C14" s="24" t="s">
        <v>175</v>
      </c>
      <c r="D14" s="26">
        <f>'Evolutive SFP'!B36/'Evolutive SFP'!B26</f>
        <v>1.7798120421926928E-2</v>
      </c>
      <c r="E14" s="26">
        <f>'Evolutive SFP'!C36/'Evolutive SFP'!C26</f>
        <v>1.1556424787596394E-2</v>
      </c>
      <c r="F14" s="26">
        <f>'Evolutive SFP'!D36/'Evolutive SFP'!D26</f>
        <v>6.4789660036132526E-2</v>
      </c>
      <c r="G14" s="26">
        <f>'Evolutive SFP'!E36/'Evolutive SFP'!E26</f>
        <v>9.6654786950017099E-2</v>
      </c>
      <c r="H14" s="26">
        <f>'Evolutive SFP'!F36/'Evolutive SFP'!F26</f>
        <v>0.10338849472754358</v>
      </c>
      <c r="I14" s="26">
        <f>'Evolutive SFP'!G36/'Evolutive SFP'!G26</f>
        <v>9.1601863015159019E-2</v>
      </c>
      <c r="J14" s="26">
        <f>'Evolutive SFP'!H36/'Evolutive SFP'!H26</f>
        <v>8.7222463941415126E-2</v>
      </c>
      <c r="K14" s="26">
        <f>'Evolutive SFP'!I36/'Evolutive SFP'!I26</f>
        <v>9.1856624498659514E-2</v>
      </c>
      <c r="L14" s="26">
        <f>'Evolutive SFP'!J36/'Evolutive SFP'!J26</f>
        <v>8.8455462420559683E-2</v>
      </c>
      <c r="M14" s="26">
        <f>'Evolutive SFP'!K36/'Evolutive SFP'!K26</f>
        <v>9.1377648362775968E-2</v>
      </c>
      <c r="N14" s="26" t="e">
        <f>'Evolutive SFP'!L36/'Evolutive SFP'!L26</f>
        <v>#DIV/0!</v>
      </c>
      <c r="O14" s="26" t="e">
        <f>'Evolutive SFP'!M36/'Evolutive SFP'!M26</f>
        <v>#DIV/0!</v>
      </c>
      <c r="P14" s="26" t="e">
        <f>'Evolutive SFP'!N36/'Evolutive SFP'!N26</f>
        <v>#DIV/0!</v>
      </c>
      <c r="Q14" s="26" t="e">
        <f>'Evolutive SFP'!O36/'Evolutive SFP'!O26</f>
        <v>#DIV/0!</v>
      </c>
      <c r="R14" s="26" t="e">
        <f>'Evolutive SFP'!P36/'Evolutive SFP'!P26</f>
        <v>#DIV/0!</v>
      </c>
      <c r="S14" s="26" t="e">
        <f>'Evolutive SFP'!Q36/'Evolutive SFP'!Q26</f>
        <v>#DIV/0!</v>
      </c>
      <c r="T14" s="26">
        <f>'Evolutive SFP'!R36/'Evolutive SFP'!R26</f>
        <v>0.12148329135084014</v>
      </c>
      <c r="U14" s="26">
        <f>'Evolutive SFP'!S36/'Evolutive SFP'!S26</f>
        <v>0.11510338723971923</v>
      </c>
      <c r="V14" s="26">
        <f>'Evolutive SFP'!T36/'Evolutive SFP'!T26</f>
        <v>0.11824804974348146</v>
      </c>
      <c r="W14" s="26">
        <f>'Evolutive SFP'!U36/'Evolutive SFP'!U26</f>
        <v>0.11812205692030124</v>
      </c>
      <c r="X14" s="26">
        <f>'Evolutive SFP'!V36/'Evolutive SFP'!V26</f>
        <v>0.12061137161712959</v>
      </c>
      <c r="Y14" s="26">
        <f>'Evolutive SFP'!W36/'Evolutive SFP'!W26</f>
        <v>0.12987066702344016</v>
      </c>
      <c r="Z14" s="26">
        <f>'Evolutive SFP'!X36/'Evolutive SFP'!X26</f>
        <v>0.11893448823471375</v>
      </c>
      <c r="AA14" s="26">
        <f>'Evolutive SFP'!Y36/'Evolutive SFP'!Y26</f>
        <v>0.11948089278032827</v>
      </c>
      <c r="AB14" s="26">
        <f>'Evolutive SFP'!Z36/'Evolutive SFP'!Z26</f>
        <v>0.11448247827401686</v>
      </c>
      <c r="AC14" s="26">
        <f>'Evolutive SFP'!AA36/'Evolutive SFP'!AA26</f>
        <v>0.11805342788631536</v>
      </c>
      <c r="AD14" s="26">
        <f>'Evolutive SFP'!AB36/'Evolutive SFP'!AB26</f>
        <v>0.12376378116655674</v>
      </c>
      <c r="AE14" s="26">
        <f>'Evolutive SFP'!AC36/'Evolutive SFP'!AC26</f>
        <v>0.10934035611943557</v>
      </c>
      <c r="AF14" s="26">
        <f>'Evolutive SFP'!AD36/'Evolutive SFP'!AD26</f>
        <v>0.10493850372023583</v>
      </c>
      <c r="AG14" s="26">
        <f>'Evolutive SFP'!AE36/'Evolutive SFP'!AE26</f>
        <v>0.10616566167624022</v>
      </c>
      <c r="AH14" s="26">
        <f>'Evolutive SFP'!AF36/'Evolutive SFP'!AF26</f>
        <v>0.11285561593160266</v>
      </c>
      <c r="AI14" s="26">
        <f>'Evolutive SFP'!AG36/'Evolutive SFP'!AG26</f>
        <v>0.10347015730754996</v>
      </c>
      <c r="AJ14" s="26">
        <f>'Evolutive SFP'!AH36/'Evolutive SFP'!AH26</f>
        <v>0.12679908739758872</v>
      </c>
      <c r="AK14" s="26">
        <f>'Evolutive SFP'!AI36/'Evolutive SFP'!AI26</f>
        <v>0.11396597733560374</v>
      </c>
      <c r="AL14" s="26">
        <f>'Evolutive SFP'!AJ36/'Evolutive SFP'!AJ26</f>
        <v>0.11331771590262944</v>
      </c>
      <c r="AM14" s="26">
        <f>'Evolutive SFP'!AK36/'Evolutive SFP'!AK26</f>
        <v>0.11545748539823826</v>
      </c>
      <c r="AN14" s="26">
        <f>'Evolutive SFP'!AL36/'Evolutive SFP'!AL26</f>
        <v>0.10778525676524521</v>
      </c>
      <c r="AO14" s="26">
        <f>'Evolutive SFP'!AM36/'Evolutive SFP'!AM26</f>
        <v>0.10573923216079205</v>
      </c>
      <c r="AP14" s="26">
        <f>'Evolutive SFP'!AN36/'Evolutive SFP'!AN26</f>
        <v>0.12889886370439124</v>
      </c>
      <c r="AQ14" s="26" t="e">
        <f>'Evolutive SFP'!AO36/'Evolutive SFP'!AO26</f>
        <v>#DIV/0!</v>
      </c>
      <c r="AR14" s="26" t="e">
        <f>'Evolutive SFP'!AP36/'Evolutive SFP'!AP26</f>
        <v>#DIV/0!</v>
      </c>
      <c r="AS14" s="26" t="e">
        <f>'Evolutive SFP'!AQ36/'Evolutive SFP'!AQ26</f>
        <v>#DIV/0!</v>
      </c>
      <c r="AT14" s="26" t="e">
        <f>'Evolutive SFP'!AR36/'Evolutive SFP'!AR26</f>
        <v>#DIV/0!</v>
      </c>
      <c r="AU14" s="26">
        <f>'Evolutive SFP'!AS36/'Evolutive SFP'!AS26</f>
        <v>0.23402305946125007</v>
      </c>
      <c r="AV14" s="26">
        <f>'Evolutive SFP'!AT36/'Evolutive SFP'!AT26</f>
        <v>0.11169700146029719</v>
      </c>
      <c r="AW14" s="26">
        <f>'Evolutive SFP'!AU36/'Evolutive SFP'!AU26</f>
        <v>0.12555669640418224</v>
      </c>
      <c r="AX14" s="26">
        <f>'Evolutive SFP'!AV36/'Evolutive SFP'!AV26</f>
        <v>0.12799208672001028</v>
      </c>
      <c r="AY14" s="26">
        <f>'Evolutive SFP'!AW36/'Evolutive SFP'!AW26</f>
        <v>0.12579988363496167</v>
      </c>
      <c r="AZ14" s="26">
        <f>'Evolutive SFP'!AX36/'Evolutive SFP'!AX26</f>
        <v>0.12011746004466449</v>
      </c>
      <c r="BA14" s="26" t="e">
        <f>'Evolutive SFP'!AY36/'Evolutive SFP'!AY26</f>
        <v>#DIV/0!</v>
      </c>
      <c r="BB14" s="26">
        <f>'Evolutive SFP'!AZ36/'Evolutive SFP'!AZ26</f>
        <v>0.13227981155120128</v>
      </c>
      <c r="BC14" s="26">
        <f>'Evolutive SFP'!BA36/'Evolutive SFP'!BA26</f>
        <v>0.12918216325543946</v>
      </c>
      <c r="BD14" s="26">
        <f>'Evolutive SFP'!BB36/'Evolutive SFP'!BB26</f>
        <v>0.12527711505390218</v>
      </c>
      <c r="BE14" s="26">
        <f>'Evolutive SFP'!BC36/'Evolutive SFP'!BC26</f>
        <v>0.1256837029315318</v>
      </c>
      <c r="BF14" s="26">
        <f>'Evolutive SFP'!BD36/'Evolutive SFP'!BD26</f>
        <v>0.12141748635795382</v>
      </c>
      <c r="BG14" s="26">
        <f>'Evolutive SFP'!BE36/'Evolutive SFP'!BE26</f>
        <v>0.1319462919634557</v>
      </c>
      <c r="BH14" s="26">
        <f>'Evolutive SFP'!BF36/'Evolutive SFP'!BF26</f>
        <v>0.12759367905893526</v>
      </c>
      <c r="BI14" s="26">
        <f>'Evolutive SFP'!BG36/'Evolutive SFP'!BG26</f>
        <v>0.14464694373445802</v>
      </c>
      <c r="BJ14" s="26">
        <f>'Evolutive SFP'!BH36/'Evolutive SFP'!BH26</f>
        <v>0.1392552919262082</v>
      </c>
      <c r="BK14" s="26">
        <f>'Evolutive SFP'!BI36/'Evolutive SFP'!BI26</f>
        <v>0.14241386526072686</v>
      </c>
      <c r="BL14" s="26">
        <f>'Evolutive SFP'!BJ36/'Evolutive SFP'!BJ26</f>
        <v>0.14356234980876356</v>
      </c>
      <c r="BM14" s="26">
        <f>'Evolutive SFP'!BK36/'Evolutive SFP'!BK26</f>
        <v>0.13274470997086418</v>
      </c>
      <c r="BN14" s="26">
        <f>'Evolutive SFP'!BL36/'Evolutive SFP'!BL26</f>
        <v>0.14402377681161863</v>
      </c>
      <c r="BO14" s="26">
        <f>'Evolutive SFP'!BM36/'Evolutive SFP'!BM26</f>
        <v>0.14436853769564351</v>
      </c>
      <c r="BP14" s="26">
        <f>'Evolutive SFP'!BN36/'Evolutive SFP'!BN26</f>
        <v>0.14450877164959036</v>
      </c>
      <c r="BQ14" s="26">
        <f>'Evolutive SFP'!BO36/'Evolutive SFP'!BO26</f>
        <v>0.16174870441391132</v>
      </c>
      <c r="BR14" s="26">
        <f>'Evolutive SFP'!BP36/'Evolutive SFP'!BP26</f>
        <v>0.14582419039211389</v>
      </c>
      <c r="BS14" s="26">
        <f>'Evolutive SFP'!BQ36/'Evolutive SFP'!BQ26</f>
        <v>0.14345609882300422</v>
      </c>
      <c r="BT14" s="26">
        <f>'Evolutive SFP'!BR36/'Evolutive SFP'!BR26</f>
        <v>0.11834890018994525</v>
      </c>
      <c r="BU14" s="26">
        <f>'Evolutive SFP'!BS36/'Evolutive SFP'!BS26</f>
        <v>0.14446556168535321</v>
      </c>
      <c r="BV14" s="26">
        <f>'Evolutive SFP'!BT36/'Evolutive SFP'!BT26</f>
        <v>0.13840975635337383</v>
      </c>
      <c r="BW14" s="26">
        <f>'Evolutive SFP'!BU36/'Evolutive SFP'!BU26</f>
        <v>0.13483175600165931</v>
      </c>
      <c r="BX14" s="26">
        <f>'Evolutive SFP'!BV36/'Evolutive SFP'!BV26</f>
        <v>0.1395148288507026</v>
      </c>
    </row>
    <row r="15" spans="1:76" ht="15">
      <c r="A15" s="326"/>
      <c r="B15" s="3" t="s">
        <v>176</v>
      </c>
      <c r="C15" s="24"/>
      <c r="D15" s="26">
        <f>'Evolutive SFP'!B4/'Evolutive SFP'!B26</f>
        <v>0.40027697609805168</v>
      </c>
      <c r="E15" s="26">
        <f>'Evolutive SFP'!C4/'Evolutive SFP'!C26</f>
        <v>0.32230740534802577</v>
      </c>
      <c r="F15" s="26">
        <f>'Evolutive SFP'!D4/'Evolutive SFP'!D26</f>
        <v>0.2354750797044971</v>
      </c>
      <c r="G15" s="26">
        <f>'Evolutive SFP'!E4/'Evolutive SFP'!E26</f>
        <v>0.1669552951167757</v>
      </c>
      <c r="H15" s="26">
        <f>'Evolutive SFP'!F4/'Evolutive SFP'!F26</f>
        <v>0.11583364574306024</v>
      </c>
      <c r="I15" s="26">
        <f>'Evolutive SFP'!G4/'Evolutive SFP'!G26</f>
        <v>0.17247916936072888</v>
      </c>
      <c r="J15" s="26">
        <f>'Evolutive SFP'!H4/'Evolutive SFP'!H26</f>
        <v>0.10468319645792876</v>
      </c>
      <c r="K15" s="26">
        <f>'Evolutive SFP'!I4/'Evolutive SFP'!I26</f>
        <v>8.0988944637047047E-2</v>
      </c>
      <c r="L15" s="26">
        <f>'Evolutive SFP'!J4/'Evolutive SFP'!J26</f>
        <v>4.7431088461611606E-2</v>
      </c>
      <c r="M15" s="26">
        <f>'Evolutive SFP'!K4/'Evolutive SFP'!K26</f>
        <v>1.8626308171978453E-2</v>
      </c>
      <c r="N15" s="26" t="e">
        <f>'Evolutive SFP'!L4/'Evolutive SFP'!L26</f>
        <v>#DIV/0!</v>
      </c>
      <c r="O15" s="26" t="e">
        <f>'Evolutive SFP'!M4/'Evolutive SFP'!M26</f>
        <v>#DIV/0!</v>
      </c>
      <c r="P15" s="26" t="e">
        <f>'Evolutive SFP'!N4/'Evolutive SFP'!N26</f>
        <v>#DIV/0!</v>
      </c>
      <c r="Q15" s="26" t="e">
        <f>'Evolutive SFP'!O4/'Evolutive SFP'!O26</f>
        <v>#DIV/0!</v>
      </c>
      <c r="R15" s="26" t="e">
        <f>'Evolutive SFP'!P4/'Evolutive SFP'!P26</f>
        <v>#DIV/0!</v>
      </c>
      <c r="S15" s="26" t="e">
        <f>'Evolutive SFP'!Q4/'Evolutive SFP'!Q26</f>
        <v>#DIV/0!</v>
      </c>
      <c r="T15" s="26">
        <f>'Evolutive SFP'!R4/'Evolutive SFP'!R26</f>
        <v>0.13598454632799259</v>
      </c>
      <c r="U15" s="26">
        <f>'Evolutive SFP'!S4/'Evolutive SFP'!S26</f>
        <v>7.6641500715269859E-2</v>
      </c>
      <c r="V15" s="26">
        <f>'Evolutive SFP'!T4/'Evolutive SFP'!T26</f>
        <v>5.5449968414570144E-2</v>
      </c>
      <c r="W15" s="26">
        <f>'Evolutive SFP'!U4/'Evolutive SFP'!U26</f>
        <v>5.5390886695413151E-2</v>
      </c>
      <c r="X15" s="26">
        <f>'Evolutive SFP'!V4/'Evolutive SFP'!V26</f>
        <v>1.274566231460194E-2</v>
      </c>
      <c r="Y15" s="26">
        <f>'Evolutive SFP'!W4/'Evolutive SFP'!W26</f>
        <v>1.012617351177084E-2</v>
      </c>
      <c r="Z15" s="26">
        <f>'Evolutive SFP'!X4/'Evolutive SFP'!X26</f>
        <v>4.285367554976857E-3</v>
      </c>
      <c r="AA15" s="26">
        <f>'Evolutive SFP'!Y4/'Evolutive SFP'!Y26</f>
        <v>-4.6912251615384608E-3</v>
      </c>
      <c r="AB15" s="26">
        <f>'Evolutive SFP'!Z4/'Evolutive SFP'!Z26</f>
        <v>8.2757753559886002E-2</v>
      </c>
      <c r="AC15" s="26">
        <f>'Evolutive SFP'!AA4/'Evolutive SFP'!AA26</f>
        <v>8.8695736669689856E-2</v>
      </c>
      <c r="AD15" s="26">
        <f>'Evolutive SFP'!AB4/'Evolutive SFP'!AB26</f>
        <v>8.1360767636907194E-2</v>
      </c>
      <c r="AE15" s="26">
        <f>'Evolutive SFP'!AC4/'Evolutive SFP'!AC26</f>
        <v>0.14907329959225391</v>
      </c>
      <c r="AF15" s="26">
        <f>'Evolutive SFP'!AD4/'Evolutive SFP'!AD26</f>
        <v>-1.6148438409343178E-2</v>
      </c>
      <c r="AG15" s="26">
        <f>'Evolutive SFP'!AE4/'Evolutive SFP'!AE26</f>
        <v>0.14161018365830666</v>
      </c>
      <c r="AH15" s="26">
        <f>'Evolutive SFP'!AF4/'Evolutive SFP'!AF26</f>
        <v>-1.4902366544384666E-2</v>
      </c>
      <c r="AI15" s="26">
        <f>'Evolutive SFP'!AG4/'Evolutive SFP'!AG26</f>
        <v>4.1140149795731933E-2</v>
      </c>
      <c r="AJ15" s="26">
        <f>'Evolutive SFP'!AH4/'Evolutive SFP'!AH26</f>
        <v>4.0276777784948085E-2</v>
      </c>
      <c r="AK15" s="26">
        <f>'Evolutive SFP'!AI4/'Evolutive SFP'!AI26</f>
        <v>-7.7729986156695061E-2</v>
      </c>
      <c r="AL15" s="26">
        <f>'Evolutive SFP'!AJ4/'Evolutive SFP'!AJ26</f>
        <v>-4.1738902620408962E-2</v>
      </c>
      <c r="AM15" s="26">
        <f>'Evolutive SFP'!AK4/'Evolutive SFP'!AK26</f>
        <v>-5.6612560411420605E-2</v>
      </c>
      <c r="AN15" s="26">
        <f>'Evolutive SFP'!AL4/'Evolutive SFP'!AL26</f>
        <v>6.2903866406484807E-2</v>
      </c>
      <c r="AO15" s="26">
        <f>'Evolutive SFP'!AM4/'Evolutive SFP'!AM26</f>
        <v>5.3964692783536765E-2</v>
      </c>
      <c r="AP15" s="26">
        <f>'Evolutive SFP'!AN4/'Evolutive SFP'!AN26</f>
        <v>6.0081221508688554E-2</v>
      </c>
      <c r="AQ15" s="26" t="e">
        <f>'Evolutive SFP'!AO4/'Evolutive SFP'!AO26</f>
        <v>#DIV/0!</v>
      </c>
      <c r="AR15" s="26" t="e">
        <f>'Evolutive SFP'!AP4/'Evolutive SFP'!AP26</f>
        <v>#DIV/0!</v>
      </c>
      <c r="AS15" s="26" t="e">
        <f>'Evolutive SFP'!AQ4/'Evolutive SFP'!AQ26</f>
        <v>#DIV/0!</v>
      </c>
      <c r="AT15" s="26" t="e">
        <f>'Evolutive SFP'!AR4/'Evolutive SFP'!AR26</f>
        <v>#DIV/0!</v>
      </c>
      <c r="AU15" s="26">
        <f>'Evolutive SFP'!AS4/'Evolutive SFP'!AS26</f>
        <v>8.3132337330289921E-2</v>
      </c>
      <c r="AV15" s="26">
        <f>'Evolutive SFP'!AT4/'Evolutive SFP'!AT26</f>
        <v>3.170063996006614E-2</v>
      </c>
      <c r="AW15" s="26">
        <f>'Evolutive SFP'!AU4/'Evolutive SFP'!AU26</f>
        <v>0.12974572469889287</v>
      </c>
      <c r="AX15" s="26">
        <f>'Evolutive SFP'!AV4/'Evolutive SFP'!AV26</f>
        <v>0.11056727809922576</v>
      </c>
      <c r="AY15" s="26">
        <f>'Evolutive SFP'!AW4/'Evolutive SFP'!AW26</f>
        <v>0.11194314275852588</v>
      </c>
      <c r="AZ15" s="26">
        <f>'Evolutive SFP'!AX4/'Evolutive SFP'!AX26</f>
        <v>0.12053294226340004</v>
      </c>
      <c r="BA15" s="26" t="e">
        <f>'Evolutive SFP'!AY4/'Evolutive SFP'!AY26</f>
        <v>#DIV/0!</v>
      </c>
      <c r="BB15" s="26">
        <f>'Evolutive SFP'!AZ4/'Evolutive SFP'!AZ26</f>
        <v>9.8196172012836716E-2</v>
      </c>
      <c r="BC15" s="26">
        <f>'Evolutive SFP'!BA4/'Evolutive SFP'!BA26</f>
        <v>0.11204537527054846</v>
      </c>
      <c r="BD15" s="26">
        <f>'Evolutive SFP'!BB4/'Evolutive SFP'!BB26</f>
        <v>0.13621841151896338</v>
      </c>
      <c r="BE15" s="26">
        <f>'Evolutive SFP'!BC4/'Evolutive SFP'!BC26</f>
        <v>0.13356740331015041</v>
      </c>
      <c r="BF15" s="26">
        <f>'Evolutive SFP'!BD4/'Evolutive SFP'!BD26</f>
        <v>0.17777446191141244</v>
      </c>
      <c r="BG15" s="26">
        <f>'Evolutive SFP'!BE4/'Evolutive SFP'!BE26</f>
        <v>0.19322999982921651</v>
      </c>
      <c r="BH15" s="26">
        <f>'Evolutive SFP'!BF4/'Evolutive SFP'!BF26</f>
        <v>0.10470669270142099</v>
      </c>
      <c r="BI15" s="26">
        <f>'Evolutive SFP'!BG4/'Evolutive SFP'!BG26</f>
        <v>0.14045842611850459</v>
      </c>
      <c r="BJ15" s="26">
        <f>'Evolutive SFP'!BH4/'Evolutive SFP'!BH26</f>
        <v>0.11626492157071941</v>
      </c>
      <c r="BK15" s="26">
        <f>'Evolutive SFP'!BI4/'Evolutive SFP'!BI26</f>
        <v>8.5562071101063883E-2</v>
      </c>
      <c r="BL15" s="26">
        <f>'Evolutive SFP'!BJ4/'Evolutive SFP'!BJ26</f>
        <v>0.1326084633512648</v>
      </c>
      <c r="BM15" s="26">
        <f>'Evolutive SFP'!BK4/'Evolutive SFP'!BK26</f>
        <v>0.10218171838306403</v>
      </c>
      <c r="BN15" s="26">
        <f>'Evolutive SFP'!BL4/'Evolutive SFP'!BL26</f>
        <v>6.1267647097267335E-2</v>
      </c>
      <c r="BO15" s="26">
        <f>'Evolutive SFP'!BM4/'Evolutive SFP'!BM26</f>
        <v>6.3093945251461003E-2</v>
      </c>
      <c r="BP15" s="26">
        <f>'Evolutive SFP'!BN4/'Evolutive SFP'!BN26</f>
        <v>6.531029062112241E-2</v>
      </c>
      <c r="BQ15" s="26">
        <f>'Evolutive SFP'!BO4/'Evolutive SFP'!BO26</f>
        <v>7.7792422181844095E-2</v>
      </c>
      <c r="BR15" s="26">
        <f>'Evolutive SFP'!BP4/'Evolutive SFP'!BP26</f>
        <v>0.16556576545309185</v>
      </c>
      <c r="BS15" s="26">
        <f>'Evolutive SFP'!BQ4/'Evolutive SFP'!BQ26</f>
        <v>0.10772662203606703</v>
      </c>
      <c r="BT15" s="26">
        <f>'Evolutive SFP'!BR4/'Evolutive SFP'!BR26</f>
        <v>0.13590910683162075</v>
      </c>
      <c r="BU15" s="26">
        <f>'Evolutive SFP'!BS4/'Evolutive SFP'!BS26</f>
        <v>9.9469824535815432E-2</v>
      </c>
      <c r="BV15" s="26">
        <f>'Evolutive SFP'!BT4/'Evolutive SFP'!BT26</f>
        <v>0.11954131492352096</v>
      </c>
      <c r="BW15" s="26">
        <f>'Evolutive SFP'!BU4/'Evolutive SFP'!BU26</f>
        <v>0.11970730997416931</v>
      </c>
      <c r="BX15" s="26">
        <f>'Evolutive SFP'!BV4/'Evolutive SFP'!BV26</f>
        <v>3.464601499834212E-2</v>
      </c>
    </row>
    <row r="16" spans="1:76" ht="15">
      <c r="A16" s="326" t="s">
        <v>177</v>
      </c>
      <c r="B16" s="3" t="s">
        <v>178</v>
      </c>
      <c r="C16" s="24" t="s">
        <v>179</v>
      </c>
      <c r="D16" s="26">
        <f>('Evolutive SFP'!B7+'Evolutive SFP'!B20)/'Evolutive SFP'!B26</f>
        <v>0.21010948485075326</v>
      </c>
      <c r="E16" s="26">
        <f>('Evolutive SFP'!C7+'Evolutive SFP'!C20)/'Evolutive SFP'!C26</f>
        <v>0.18943961952299085</v>
      </c>
      <c r="F16" s="26">
        <f>('Evolutive SFP'!D7+'Evolutive SFP'!D20)/'Evolutive SFP'!D26</f>
        <v>0.14400130712043818</v>
      </c>
      <c r="G16" s="26">
        <f>('Evolutive SFP'!E7+'Evolutive SFP'!E20)/'Evolutive SFP'!E26</f>
        <v>0.21489473407775936</v>
      </c>
      <c r="H16" s="26">
        <f>('Evolutive SFP'!F7+'Evolutive SFP'!F20)/'Evolutive SFP'!F26</f>
        <v>0.1910607535542122</v>
      </c>
      <c r="I16" s="26">
        <f>('Evolutive SFP'!G7+'Evolutive SFP'!G20)/'Evolutive SFP'!G26</f>
        <v>0.19797678421801165</v>
      </c>
      <c r="J16" s="26">
        <f>('Evolutive SFP'!H7+'Evolutive SFP'!H20)/'Evolutive SFP'!H26</f>
        <v>0.19421061707284032</v>
      </c>
      <c r="K16" s="26">
        <f>('Evolutive SFP'!I7+'Evolutive SFP'!I20)/'Evolutive SFP'!I26</f>
        <v>0.20847393086028379</v>
      </c>
      <c r="L16" s="26">
        <f>('Evolutive SFP'!J7+'Evolutive SFP'!J20)/'Evolutive SFP'!J26</f>
        <v>0.2180066889672401</v>
      </c>
      <c r="M16" s="26">
        <f>('Evolutive SFP'!K7+'Evolutive SFP'!K20)/'Evolutive SFP'!K26</f>
        <v>0.22074878264464298</v>
      </c>
      <c r="N16" s="26" t="e">
        <f>('Evolutive SFP'!L7+'Evolutive SFP'!L20)/'Evolutive SFP'!L26</f>
        <v>#DIV/0!</v>
      </c>
      <c r="O16" s="26" t="e">
        <f>('Evolutive SFP'!M7+'Evolutive SFP'!M20)/'Evolutive SFP'!M26</f>
        <v>#DIV/0!</v>
      </c>
      <c r="P16" s="26" t="e">
        <f>('Evolutive SFP'!N7+'Evolutive SFP'!N20)/'Evolutive SFP'!N26</f>
        <v>#DIV/0!</v>
      </c>
      <c r="Q16" s="26" t="e">
        <f>('Evolutive SFP'!O7+'Evolutive SFP'!O20)/'Evolutive SFP'!O26</f>
        <v>#DIV/0!</v>
      </c>
      <c r="R16" s="26" t="e">
        <f>('Evolutive SFP'!P7+'Evolutive SFP'!P20)/'Evolutive SFP'!P26</f>
        <v>#DIV/0!</v>
      </c>
      <c r="S16" s="26" t="e">
        <f>('Evolutive SFP'!Q7+'Evolutive SFP'!Q20)/'Evolutive SFP'!Q26</f>
        <v>#DIV/0!</v>
      </c>
      <c r="T16" s="26">
        <f>('Evolutive SFP'!R7+'Evolutive SFP'!R20)/'Evolutive SFP'!R26</f>
        <v>0.27076248080550686</v>
      </c>
      <c r="U16" s="26">
        <f>('Evolutive SFP'!S7+'Evolutive SFP'!S20)/'Evolutive SFP'!S26</f>
        <v>0.26059743043252154</v>
      </c>
      <c r="V16" s="26">
        <f>('Evolutive SFP'!T7+'Evolutive SFP'!T20)/'Evolutive SFP'!T26</f>
        <v>0.24412200086701463</v>
      </c>
      <c r="W16" s="26">
        <f>('Evolutive SFP'!U7+'Evolutive SFP'!U20)/'Evolutive SFP'!U26</f>
        <v>0.26147105176863522</v>
      </c>
      <c r="X16" s="26">
        <f>('Evolutive SFP'!V7+'Evolutive SFP'!V20)/'Evolutive SFP'!V26</f>
        <v>0.35922164761301634</v>
      </c>
      <c r="Y16" s="26">
        <f>('Evolutive SFP'!W7+'Evolutive SFP'!W20)/'Evolutive SFP'!W26</f>
        <v>0.33023664649813478</v>
      </c>
      <c r="Z16" s="26">
        <f>('Evolutive SFP'!X7+'Evolutive SFP'!X20)/'Evolutive SFP'!X26</f>
        <v>0.27751736225270518</v>
      </c>
      <c r="AA16" s="26">
        <f>('Evolutive SFP'!Y7+'Evolutive SFP'!Y20)/'Evolutive SFP'!Y26</f>
        <v>9.6742599171118507E-2</v>
      </c>
      <c r="AB16" s="26">
        <f>('Evolutive SFP'!Z7+'Evolutive SFP'!Z20)/'Evolutive SFP'!Z26</f>
        <v>9.2695428114535947E-2</v>
      </c>
      <c r="AC16" s="26">
        <f>('Evolutive SFP'!AA7+'Evolutive SFP'!AA20)/'Evolutive SFP'!AA26</f>
        <v>9.4943146041614718E-2</v>
      </c>
      <c r="AD16" s="26">
        <f>('Evolutive SFP'!AB7+'Evolutive SFP'!AB20)/'Evolutive SFP'!AB26</f>
        <v>0.1009178613585827</v>
      </c>
      <c r="AE16" s="26">
        <f>('Evolutive SFP'!AC7+'Evolutive SFP'!AC20)/'Evolutive SFP'!AC26</f>
        <v>0.10343236440640947</v>
      </c>
      <c r="AF16" s="26">
        <f>('Evolutive SFP'!AD7+'Evolutive SFP'!AD20)/'Evolutive SFP'!AD26</f>
        <v>0.10405101630854133</v>
      </c>
      <c r="AG16" s="26">
        <f>('Evolutive SFP'!AE7+'Evolutive SFP'!AE20)/'Evolutive SFP'!AE26</f>
        <v>0.24183209859429822</v>
      </c>
      <c r="AH16" s="26">
        <f>('Evolutive SFP'!AF7+'Evolutive SFP'!AF20)/'Evolutive SFP'!AF26</f>
        <v>0.10897127402112715</v>
      </c>
      <c r="AI16" s="26">
        <f>('Evolutive SFP'!AG7+'Evolutive SFP'!AG20)/'Evolutive SFP'!AG26</f>
        <v>0.10169224675440802</v>
      </c>
      <c r="AJ16" s="26">
        <f>('Evolutive SFP'!AH7+'Evolutive SFP'!AH20)/'Evolutive SFP'!AH26</f>
        <v>0.11030976398918096</v>
      </c>
      <c r="AK16" s="26">
        <f>('Evolutive SFP'!AI7+'Evolutive SFP'!AI20)/'Evolutive SFP'!AI26</f>
        <v>0.1134123108860523</v>
      </c>
      <c r="AL16" s="26">
        <f>('Evolutive SFP'!AJ7+'Evolutive SFP'!AJ20)/'Evolutive SFP'!AJ26</f>
        <v>0.11277963296859382</v>
      </c>
      <c r="AM16" s="26">
        <f>('Evolutive SFP'!AK7+'Evolutive SFP'!AK20)/'Evolutive SFP'!AK26</f>
        <v>0.11491937197284113</v>
      </c>
      <c r="AN16" s="26">
        <f>('Evolutive SFP'!AL7+'Evolutive SFP'!AL20)/'Evolutive SFP'!AL26</f>
        <v>0.10728290134389511</v>
      </c>
      <c r="AO16" s="26">
        <f>('Evolutive SFP'!AM7+'Evolutive SFP'!AM20)/'Evolutive SFP'!AM26</f>
        <v>0.10530210502316782</v>
      </c>
      <c r="AP16" s="26">
        <f>('Evolutive SFP'!AN7+'Evolutive SFP'!AN20)/'Evolutive SFP'!AN26</f>
        <v>0.10482712764970822</v>
      </c>
      <c r="AQ16" s="26" t="e">
        <f>('Evolutive SFP'!AO7+'Evolutive SFP'!AO20)/'Evolutive SFP'!AO26</f>
        <v>#DIV/0!</v>
      </c>
      <c r="AR16" s="26" t="e">
        <f>('Evolutive SFP'!AP7+'Evolutive SFP'!AP20)/'Evolutive SFP'!AP26</f>
        <v>#DIV/0!</v>
      </c>
      <c r="AS16" s="26" t="e">
        <f>('Evolutive SFP'!AQ7+'Evolutive SFP'!AQ20)/'Evolutive SFP'!AQ26</f>
        <v>#DIV/0!</v>
      </c>
      <c r="AT16" s="26" t="e">
        <f>('Evolutive SFP'!AR7+'Evolutive SFP'!AR20)/'Evolutive SFP'!AR26</f>
        <v>#DIV/0!</v>
      </c>
      <c r="AU16" s="26">
        <f>('Evolutive SFP'!AS7+'Evolutive SFP'!AS20)/'Evolutive SFP'!AS26</f>
        <v>0.1936021345749778</v>
      </c>
      <c r="AV16" s="26">
        <f>('Evolutive SFP'!AT7+'Evolutive SFP'!AT20)/'Evolutive SFP'!AT26</f>
        <v>9.2404474833039318E-2</v>
      </c>
      <c r="AW16" s="26">
        <f>('Evolutive SFP'!AU7+'Evolutive SFP'!AU20)/'Evolutive SFP'!AU26</f>
        <v>8.7473595367337523E-2</v>
      </c>
      <c r="AX16" s="26">
        <f>('Evolutive SFP'!AV7+'Evolutive SFP'!AV20)/'Evolutive SFP'!AV26</f>
        <v>8.92434171120325E-2</v>
      </c>
      <c r="AY16" s="26">
        <f>('Evolutive SFP'!AW7+'Evolutive SFP'!AW20)/'Evolutive SFP'!AW26</f>
        <v>8.7781771016127205E-2</v>
      </c>
      <c r="AZ16" s="26">
        <f>('Evolutive SFP'!AX7+'Evolutive SFP'!AX20)/'Evolutive SFP'!AX26</f>
        <v>8.6058372802823621E-2</v>
      </c>
      <c r="BA16" s="26" t="e">
        <f>('Evolutive SFP'!AY7+'Evolutive SFP'!AY20)/'Evolutive SFP'!AY26</f>
        <v>#DIV/0!</v>
      </c>
      <c r="BB16" s="26">
        <f>('Evolutive SFP'!AZ7+'Evolutive SFP'!AZ20)/'Evolutive SFP'!AZ26</f>
        <v>9.1613071474849969E-2</v>
      </c>
      <c r="BC16" s="26">
        <f>('Evolutive SFP'!BA7+'Evolutive SFP'!BA20)/'Evolutive SFP'!BA26</f>
        <v>9.1505617221662242E-2</v>
      </c>
      <c r="BD16" s="26">
        <f>('Evolutive SFP'!BB7+'Evolutive SFP'!BB20)/'Evolutive SFP'!BB26</f>
        <v>8.8453449757613462E-2</v>
      </c>
      <c r="BE16" s="26">
        <f>('Evolutive SFP'!BC7+'Evolutive SFP'!BC20)/'Evolutive SFP'!BC26</f>
        <v>8.9774378994852411E-2</v>
      </c>
      <c r="BF16" s="26">
        <f>('Evolutive SFP'!BD7+'Evolutive SFP'!BD20)/'Evolutive SFP'!BD26</f>
        <v>8.6727071073322184E-2</v>
      </c>
      <c r="BG16" s="26">
        <f>('Evolutive SFP'!BE7+'Evolutive SFP'!BE20)/'Evolutive SFP'!BE26</f>
        <v>0.72813355564706173</v>
      </c>
      <c r="BH16" s="26">
        <f>('Evolutive SFP'!BF7+'Evolutive SFP'!BF20)/'Evolutive SFP'!BF26</f>
        <v>0.66326538310286287</v>
      </c>
      <c r="BI16" s="26">
        <f>('Evolutive SFP'!BG7+'Evolutive SFP'!BG20)/'Evolutive SFP'!BG26</f>
        <v>0.66513321774016632</v>
      </c>
      <c r="BJ16" s="26">
        <f>('Evolutive SFP'!BH7+'Evolutive SFP'!BH20)/'Evolutive SFP'!BH26</f>
        <v>0.68882218690098085</v>
      </c>
      <c r="BK16" s="26">
        <f>('Evolutive SFP'!BI7+'Evolutive SFP'!BI20)/'Evolutive SFP'!BI26</f>
        <v>0.69985343829307489</v>
      </c>
      <c r="BL16" s="26">
        <f>('Evolutive SFP'!BJ7+'Evolutive SFP'!BJ20)/'Evolutive SFP'!BJ26</f>
        <v>0.65233243361124982</v>
      </c>
      <c r="BM16" s="26">
        <f>('Evolutive SFP'!BK7+'Evolutive SFP'!BK20)/'Evolutive SFP'!BK26</f>
        <v>0.66637273623230175</v>
      </c>
      <c r="BN16" s="26">
        <f>('Evolutive SFP'!BL7+'Evolutive SFP'!BL20)/'Evolutive SFP'!BL26</f>
        <v>0.7288128333620516</v>
      </c>
      <c r="BO16" s="26">
        <f>('Evolutive SFP'!BM7+'Evolutive SFP'!BM20)/'Evolutive SFP'!BM26</f>
        <v>0.739456696583634</v>
      </c>
      <c r="BP16" s="26">
        <f>('Evolutive SFP'!BN7+'Evolutive SFP'!BN20)/'Evolutive SFP'!BN26</f>
        <v>0.74901929768157405</v>
      </c>
      <c r="BQ16" s="26">
        <f>('Evolutive SFP'!BO7+'Evolutive SFP'!BO20)/'Evolutive SFP'!BO26</f>
        <v>0.82847803650090424</v>
      </c>
      <c r="BR16" s="26">
        <f>('Evolutive SFP'!BP7+'Evolutive SFP'!BP20)/'Evolutive SFP'!BP26</f>
        <v>0.74736842829752337</v>
      </c>
      <c r="BS16" s="26">
        <f>('Evolutive SFP'!BQ7+'Evolutive SFP'!BQ20)/'Evolutive SFP'!BQ26</f>
        <v>0.71843050031040734</v>
      </c>
      <c r="BT16" s="26">
        <f>('Evolutive SFP'!BR7+'Evolutive SFP'!BR20)/'Evolutive SFP'!BR26</f>
        <v>0.65156690700411812</v>
      </c>
      <c r="BU16" s="26">
        <f>('Evolutive SFP'!BS7+'Evolutive SFP'!BS20)/'Evolutive SFP'!BS26</f>
        <v>0.72303862007413622</v>
      </c>
      <c r="BV16" s="26">
        <f>('Evolutive SFP'!BT7+'Evolutive SFP'!BT20)/'Evolutive SFP'!BT26</f>
        <v>0.7628514029011888</v>
      </c>
      <c r="BW16" s="26">
        <f>('Evolutive SFP'!BU7+'Evolutive SFP'!BU20)/'Evolutive SFP'!BU26</f>
        <v>0.73738833278087423</v>
      </c>
      <c r="BX16" s="26">
        <f>('Evolutive SFP'!BV7+'Evolutive SFP'!BV20)/'Evolutive SFP'!BV26</f>
        <v>0.77248418078775993</v>
      </c>
    </row>
    <row r="17" spans="1:76" ht="15">
      <c r="A17" s="326"/>
      <c r="B17" s="3" t="s">
        <v>180</v>
      </c>
      <c r="C17" s="24" t="s">
        <v>181</v>
      </c>
      <c r="D17" s="26">
        <f>'Evolutive SFP'!B20/'Evolutive SFP'!B26</f>
        <v>4.6772227709100979E-2</v>
      </c>
      <c r="E17" s="26">
        <f>'Evolutive SFP'!C20/'Evolutive SFP'!C26</f>
        <v>3.8030294012476568E-2</v>
      </c>
      <c r="F17" s="26">
        <f>'Evolutive SFP'!D20/'Evolutive SFP'!D26</f>
        <v>8.2131323882509072E-2</v>
      </c>
      <c r="G17" s="26">
        <f>'Evolutive SFP'!E20/'Evolutive SFP'!E26</f>
        <v>0.1332734352228733</v>
      </c>
      <c r="H17" s="26">
        <f>'Evolutive SFP'!F20/'Evolutive SFP'!F26</f>
        <v>7.7534180913331655E-2</v>
      </c>
      <c r="I17" s="26">
        <f>'Evolutive SFP'!G20/'Evolutive SFP'!G26</f>
        <v>0.12273508860220815</v>
      </c>
      <c r="J17" s="26">
        <f>'Evolutive SFP'!H20/'Evolutive SFP'!H26</f>
        <v>0.10478797604646338</v>
      </c>
      <c r="K17" s="26">
        <f>'Evolutive SFP'!I20/'Evolutive SFP'!I26</f>
        <v>0.1128520828662425</v>
      </c>
      <c r="L17" s="26">
        <f>'Evolutive SFP'!J20/'Evolutive SFP'!J26</f>
        <v>0.11313218124216129</v>
      </c>
      <c r="M17" s="26">
        <f>'Evolutive SFP'!K20/'Evolutive SFP'!K26</f>
        <v>0.11699758181805948</v>
      </c>
      <c r="N17" s="26" t="e">
        <f>'Evolutive SFP'!L20/'Evolutive SFP'!L26</f>
        <v>#DIV/0!</v>
      </c>
      <c r="O17" s="26" t="e">
        <f>'Evolutive SFP'!M20/'Evolutive SFP'!M26</f>
        <v>#DIV/0!</v>
      </c>
      <c r="P17" s="26" t="e">
        <f>'Evolutive SFP'!N20/'Evolutive SFP'!N26</f>
        <v>#DIV/0!</v>
      </c>
      <c r="Q17" s="26" t="e">
        <f>'Evolutive SFP'!O20/'Evolutive SFP'!O26</f>
        <v>#DIV/0!</v>
      </c>
      <c r="R17" s="26" t="e">
        <f>'Evolutive SFP'!P20/'Evolutive SFP'!P26</f>
        <v>#DIV/0!</v>
      </c>
      <c r="S17" s="26" t="e">
        <f>'Evolutive SFP'!Q20/'Evolutive SFP'!Q26</f>
        <v>#DIV/0!</v>
      </c>
      <c r="T17" s="26">
        <f>'Evolutive SFP'!R20/'Evolutive SFP'!R26</f>
        <v>0.17851997525750793</v>
      </c>
      <c r="U17" s="26">
        <f>'Evolutive SFP'!S20/'Evolutive SFP'!S26</f>
        <v>0.16271431810587356</v>
      </c>
      <c r="V17" s="26">
        <f>'Evolutive SFP'!T20/'Evolutive SFP'!T26</f>
        <v>0.16710546899320641</v>
      </c>
      <c r="W17" s="26">
        <f>'Evolutive SFP'!U20/'Evolutive SFP'!U26</f>
        <v>0.16692741878558792</v>
      </c>
      <c r="X17" s="26">
        <f>'Evolutive SFP'!V20/'Evolutive SFP'!V26</f>
        <v>0.21430087125344596</v>
      </c>
      <c r="Y17" s="26">
        <f>'Evolutive SFP'!W20/'Evolutive SFP'!W26</f>
        <v>0.23031960123624642</v>
      </c>
      <c r="Z17" s="26">
        <f>'Evolutive SFP'!X20/'Evolutive SFP'!X26</f>
        <v>9.6300180348228986E-2</v>
      </c>
      <c r="AA17" s="26">
        <f>'Evolutive SFP'!Y20/'Evolutive SFP'!Y26</f>
        <v>9.6742599171118507E-2</v>
      </c>
      <c r="AB17" s="26">
        <f>'Evolutive SFP'!Z20/'Evolutive SFP'!Z26</f>
        <v>9.2695428114535947E-2</v>
      </c>
      <c r="AC17" s="26">
        <f>'Evolutive SFP'!AA20/'Evolutive SFP'!AA26</f>
        <v>9.4943146041614718E-2</v>
      </c>
      <c r="AD17" s="26">
        <f>'Evolutive SFP'!AB20/'Evolutive SFP'!AB26</f>
        <v>0.1009178613585827</v>
      </c>
      <c r="AE17" s="26">
        <f>'Evolutive SFP'!AC20/'Evolutive SFP'!AC26</f>
        <v>0.10343236440640947</v>
      </c>
      <c r="AF17" s="26">
        <f>'Evolutive SFP'!AD20/'Evolutive SFP'!AD26</f>
        <v>0.10405101630854133</v>
      </c>
      <c r="AG17" s="26">
        <f>'Evolutive SFP'!AE20/'Evolutive SFP'!AE26</f>
        <v>0.12117926020963125</v>
      </c>
      <c r="AH17" s="26">
        <f>'Evolutive SFP'!AF20/'Evolutive SFP'!AF26</f>
        <v>0.10897127402112715</v>
      </c>
      <c r="AI17" s="26">
        <f>'Evolutive SFP'!AG20/'Evolutive SFP'!AG26</f>
        <v>0.10169224675440802</v>
      </c>
      <c r="AJ17" s="26">
        <f>'Evolutive SFP'!AH20/'Evolutive SFP'!AH26</f>
        <v>0.11030976398918096</v>
      </c>
      <c r="AK17" s="26">
        <f>'Evolutive SFP'!AI20/'Evolutive SFP'!AI26</f>
        <v>0.1134123108860523</v>
      </c>
      <c r="AL17" s="26">
        <f>'Evolutive SFP'!AJ20/'Evolutive SFP'!AJ26</f>
        <v>0.11277963296859382</v>
      </c>
      <c r="AM17" s="26">
        <f>'Evolutive SFP'!AK20/'Evolutive SFP'!AK26</f>
        <v>0.11491937197284113</v>
      </c>
      <c r="AN17" s="26">
        <f>'Evolutive SFP'!AL20/'Evolutive SFP'!AL26</f>
        <v>0.10728290134389511</v>
      </c>
      <c r="AO17" s="26">
        <f>'Evolutive SFP'!AM20/'Evolutive SFP'!AM26</f>
        <v>0.10530210502316782</v>
      </c>
      <c r="AP17" s="26">
        <f>'Evolutive SFP'!AN20/'Evolutive SFP'!AN26</f>
        <v>0.10482712764970822</v>
      </c>
      <c r="AQ17" s="26" t="e">
        <f>'Evolutive SFP'!AO20/'Evolutive SFP'!AO26</f>
        <v>#DIV/0!</v>
      </c>
      <c r="AR17" s="26" t="e">
        <f>'Evolutive SFP'!AP20/'Evolutive SFP'!AP26</f>
        <v>#DIV/0!</v>
      </c>
      <c r="AS17" s="26" t="e">
        <f>'Evolutive SFP'!AQ20/'Evolutive SFP'!AQ26</f>
        <v>#DIV/0!</v>
      </c>
      <c r="AT17" s="26" t="e">
        <f>'Evolutive SFP'!AR20/'Evolutive SFP'!AR26</f>
        <v>#DIV/0!</v>
      </c>
      <c r="AU17" s="26">
        <f>'Evolutive SFP'!AS20/'Evolutive SFP'!AS26</f>
        <v>0.1936021345749778</v>
      </c>
      <c r="AV17" s="26">
        <f>'Evolutive SFP'!AT20/'Evolutive SFP'!AT26</f>
        <v>9.2404474833039318E-2</v>
      </c>
      <c r="AW17" s="26">
        <f>'Evolutive SFP'!AU20/'Evolutive SFP'!AU26</f>
        <v>8.7473595367337523E-2</v>
      </c>
      <c r="AX17" s="26">
        <f>'Evolutive SFP'!AV20/'Evolutive SFP'!AV26</f>
        <v>8.92434171120325E-2</v>
      </c>
      <c r="AY17" s="26">
        <f>'Evolutive SFP'!AW20/'Evolutive SFP'!AW26</f>
        <v>8.7781771016127205E-2</v>
      </c>
      <c r="AZ17" s="26">
        <f>'Evolutive SFP'!AX20/'Evolutive SFP'!AX26</f>
        <v>8.6058372802823621E-2</v>
      </c>
      <c r="BA17" s="26" t="e">
        <f>'Evolutive SFP'!AY20/'Evolutive SFP'!AY26</f>
        <v>#DIV/0!</v>
      </c>
      <c r="BB17" s="26">
        <f>'Evolutive SFP'!AZ20/'Evolutive SFP'!AZ26</f>
        <v>9.1613071474849969E-2</v>
      </c>
      <c r="BC17" s="26">
        <f>'Evolutive SFP'!BA20/'Evolutive SFP'!BA26</f>
        <v>9.1505617221662242E-2</v>
      </c>
      <c r="BD17" s="26">
        <f>'Evolutive SFP'!BB20/'Evolutive SFP'!BB26</f>
        <v>8.8453449757613462E-2</v>
      </c>
      <c r="BE17" s="26">
        <f>'Evolutive SFP'!BC20/'Evolutive SFP'!BC26</f>
        <v>8.9774378994852411E-2</v>
      </c>
      <c r="BF17" s="26">
        <f>'Evolutive SFP'!BD20/'Evolutive SFP'!BD26</f>
        <v>8.6727071073322184E-2</v>
      </c>
      <c r="BG17" s="26">
        <f>'Evolutive SFP'!BE20/'Evolutive SFP'!BE26</f>
        <v>0.69321337479366296</v>
      </c>
      <c r="BH17" s="26">
        <f>'Evolutive SFP'!BF20/'Evolutive SFP'!BF26</f>
        <v>0.66326538310286287</v>
      </c>
      <c r="BI17" s="26">
        <f>'Evolutive SFP'!BG20/'Evolutive SFP'!BG26</f>
        <v>0.66513321774016632</v>
      </c>
      <c r="BJ17" s="26">
        <f>'Evolutive SFP'!BH20/'Evolutive SFP'!BH26</f>
        <v>0.68882218690098085</v>
      </c>
      <c r="BK17" s="26">
        <f>'Evolutive SFP'!BI20/'Evolutive SFP'!BI26</f>
        <v>0.69985343829307489</v>
      </c>
      <c r="BL17" s="26">
        <f>'Evolutive SFP'!BJ20/'Evolutive SFP'!BJ26</f>
        <v>0.65233243361124982</v>
      </c>
      <c r="BM17" s="26">
        <f>'Evolutive SFP'!BK20/'Evolutive SFP'!BK26</f>
        <v>0.66637273623230175</v>
      </c>
      <c r="BN17" s="26">
        <f>'Evolutive SFP'!BL20/'Evolutive SFP'!BL26</f>
        <v>0.7288128333620516</v>
      </c>
      <c r="BO17" s="26">
        <f>'Evolutive SFP'!BM20/'Evolutive SFP'!BM26</f>
        <v>0.739456696583634</v>
      </c>
      <c r="BP17" s="26">
        <f>'Evolutive SFP'!BN20/'Evolutive SFP'!BN26</f>
        <v>0.74901929768157405</v>
      </c>
      <c r="BQ17" s="26">
        <f>'Evolutive SFP'!BO20/'Evolutive SFP'!BO26</f>
        <v>0.82847803650090424</v>
      </c>
      <c r="BR17" s="26">
        <f>'Evolutive SFP'!BP20/'Evolutive SFP'!BP26</f>
        <v>0.74736842829752337</v>
      </c>
      <c r="BS17" s="26">
        <f>'Evolutive SFP'!BQ20/'Evolutive SFP'!BQ26</f>
        <v>0.71843050031040734</v>
      </c>
      <c r="BT17" s="26">
        <f>'Evolutive SFP'!BR20/'Evolutive SFP'!BR26</f>
        <v>7.743926702938525E-2</v>
      </c>
      <c r="BU17" s="26">
        <f>'Evolutive SFP'!BS20/'Evolutive SFP'!BS26</f>
        <v>0.72303862007413622</v>
      </c>
      <c r="BV17" s="26">
        <f>'Evolutive SFP'!BT20/'Evolutive SFP'!BT26</f>
        <v>0.71203227597551144</v>
      </c>
      <c r="BW17" s="26">
        <f>'Evolutive SFP'!BU20/'Evolutive SFP'!BU26</f>
        <v>0.68748052750434419</v>
      </c>
      <c r="BX17" s="26">
        <f>'Evolutive SFP'!BV20/'Evolutive SFP'!BV26</f>
        <v>0.72222418867162297</v>
      </c>
    </row>
    <row r="18" spans="1:76" ht="15">
      <c r="A18" s="326"/>
      <c r="B18" s="3" t="s">
        <v>182</v>
      </c>
      <c r="C18" s="24" t="s">
        <v>183</v>
      </c>
      <c r="D18" s="26">
        <f>'Evolutive SFP'!B12/'Evolutive SFP'!B30</f>
        <v>9.681607766930464E-2</v>
      </c>
      <c r="E18" s="26">
        <f>'Evolutive SFP'!C12/'Evolutive SFP'!C30</f>
        <v>0.10695510790949669</v>
      </c>
      <c r="F18" s="26">
        <f>'Evolutive SFP'!D12/'Evolutive SFP'!D30</f>
        <v>0.10858162666012382</v>
      </c>
      <c r="G18" s="26">
        <f>'Evolutive SFP'!E12/'Evolutive SFP'!E30</f>
        <v>0.10590697384064091</v>
      </c>
      <c r="H18" s="26">
        <f>'Evolutive SFP'!F12/'Evolutive SFP'!F30</f>
        <v>0.12297832165820534</v>
      </c>
      <c r="I18" s="26">
        <f>'Evolutive SFP'!G12/'Evolutive SFP'!G30</f>
        <v>0.10261530599746169</v>
      </c>
      <c r="J18" s="26">
        <f>'Evolutive SFP'!H12/'Evolutive SFP'!H30</f>
        <v>0.10425132408284261</v>
      </c>
      <c r="K18" s="26">
        <f>'Evolutive SFP'!I12/'Evolutive SFP'!I30</f>
        <v>0.10881614181737082</v>
      </c>
      <c r="L18" s="26">
        <f>'Evolutive SFP'!J12/'Evolutive SFP'!J30</f>
        <v>0.11579331495293625</v>
      </c>
      <c r="M18" s="26">
        <f>'Evolutive SFP'!K12/'Evolutive SFP'!K30</f>
        <v>0.12174721793580109</v>
      </c>
      <c r="N18" s="26" t="e">
        <f>'Evolutive SFP'!L12/'Evolutive SFP'!L30</f>
        <v>#DIV/0!</v>
      </c>
      <c r="O18" s="26" t="e">
        <f>'Evolutive SFP'!M12/'Evolutive SFP'!M30</f>
        <v>#DIV/0!</v>
      </c>
      <c r="P18" s="26" t="e">
        <f>'Evolutive SFP'!N12/'Evolutive SFP'!N30</f>
        <v>#DIV/0!</v>
      </c>
      <c r="Q18" s="26" t="e">
        <f>'Evolutive SFP'!O12/'Evolutive SFP'!O30</f>
        <v>#DIV/0!</v>
      </c>
      <c r="R18" s="26" t="e">
        <f>'Evolutive SFP'!P12/'Evolutive SFP'!P30</f>
        <v>#DIV/0!</v>
      </c>
      <c r="S18" s="26" t="e">
        <f>'Evolutive SFP'!Q12/'Evolutive SFP'!Q30</f>
        <v>#DIV/0!</v>
      </c>
      <c r="T18" s="26">
        <f>'Evolutive SFP'!R12/'Evolutive SFP'!R30</f>
        <v>6.5559844213359973E-3</v>
      </c>
      <c r="U18" s="26">
        <f>'Evolutive SFP'!S12/'Evolutive SFP'!S30</f>
        <v>0.11769494316277977</v>
      </c>
      <c r="V18" s="26">
        <f>'Evolutive SFP'!T12/'Evolutive SFP'!T30</f>
        <v>0.12300767395286941</v>
      </c>
      <c r="W18" s="26">
        <f>'Evolutive SFP'!U12/'Evolutive SFP'!U30</f>
        <v>0.12300767395286941</v>
      </c>
      <c r="X18" s="26">
        <f>'Evolutive SFP'!V12/'Evolutive SFP'!V30</f>
        <v>0.13303569466194029</v>
      </c>
      <c r="Y18" s="26">
        <f>'Evolutive SFP'!W12/'Evolutive SFP'!W30</f>
        <v>0.13112382546900322</v>
      </c>
      <c r="Z18" s="26">
        <f>'Evolutive SFP'!X12/'Evolutive SFP'!X30</f>
        <v>0.11605294654627972</v>
      </c>
      <c r="AA18" s="26">
        <f>'Evolutive SFP'!Y12/'Evolutive SFP'!Y30</f>
        <v>0.12593671348944627</v>
      </c>
      <c r="AB18" s="26">
        <f>'Evolutive SFP'!Z12/'Evolutive SFP'!Z30</f>
        <v>0.13845122256304337</v>
      </c>
      <c r="AC18" s="26">
        <f>'Evolutive SFP'!AA12/'Evolutive SFP'!AA30</f>
        <v>0.1511277765674926</v>
      </c>
      <c r="AD18" s="26">
        <f>'Evolutive SFP'!AB12/'Evolutive SFP'!AB30</f>
        <v>0.1610292085579644</v>
      </c>
      <c r="AE18" s="26">
        <f>'Evolutive SFP'!AC12/'Evolutive SFP'!AC30</f>
        <v>0.14631725222346401</v>
      </c>
      <c r="AF18" s="26">
        <f>'Evolutive SFP'!AD12/'Evolutive SFP'!AD30</f>
        <v>0.16008431655046548</v>
      </c>
      <c r="AG18" s="26">
        <f>'Evolutive SFP'!AE12/'Evolutive SFP'!AE30</f>
        <v>0.14363137116528971</v>
      </c>
      <c r="AH18" s="26">
        <f>'Evolutive SFP'!AF12/'Evolutive SFP'!AF30</f>
        <v>0.16157514664433756</v>
      </c>
      <c r="AI18" s="26">
        <f>'Evolutive SFP'!AG12/'Evolutive SFP'!AG30</f>
        <v>0.15703237234046721</v>
      </c>
      <c r="AJ18" s="26">
        <f>'Evolutive SFP'!AH12/'Evolutive SFP'!AH30</f>
        <v>0.18709538993824479</v>
      </c>
      <c r="AK18" s="26">
        <f>'Evolutive SFP'!AI12/'Evolutive SFP'!AI30</f>
        <v>0.19057441610145887</v>
      </c>
      <c r="AL18" s="26">
        <f>'Evolutive SFP'!AJ12/'Evolutive SFP'!AJ30</f>
        <v>0.18646120451262249</v>
      </c>
      <c r="AM18" s="26">
        <f>'Evolutive SFP'!AK12/'Evolutive SFP'!AK30</f>
        <v>0.17965912784693244</v>
      </c>
      <c r="AN18" s="26">
        <f>'Evolutive SFP'!AL12/'Evolutive SFP'!AL30</f>
        <v>0.1746470311970961</v>
      </c>
      <c r="AO18" s="26">
        <f>'Evolutive SFP'!AM12/'Evolutive SFP'!AM30</f>
        <v>0.17099953499295062</v>
      </c>
      <c r="AP18" s="26">
        <f>'Evolutive SFP'!AN12/'Evolutive SFP'!AN30</f>
        <v>0.1718446412728678</v>
      </c>
      <c r="AQ18" s="26" t="e">
        <f>'Evolutive SFP'!AO12/'Evolutive SFP'!AO30</f>
        <v>#DIV/0!</v>
      </c>
      <c r="AR18" s="26" t="e">
        <f>'Evolutive SFP'!AP12/'Evolutive SFP'!AP30</f>
        <v>#DIV/0!</v>
      </c>
      <c r="AS18" s="26" t="e">
        <f>'Evolutive SFP'!AQ12/'Evolutive SFP'!AQ30</f>
        <v>#DIV/0!</v>
      </c>
      <c r="AT18" s="26" t="e">
        <f>'Evolutive SFP'!AR12/'Evolutive SFP'!AR30</f>
        <v>#DIV/0!</v>
      </c>
      <c r="AU18" s="26">
        <f>'Evolutive SFP'!AS12/'Evolutive SFP'!AS30</f>
        <v>0.1704369202703066</v>
      </c>
      <c r="AV18" s="26">
        <f>'Evolutive SFP'!AT12/'Evolutive SFP'!AT30</f>
        <v>9.2740616179344884E-2</v>
      </c>
      <c r="AW18" s="26">
        <f>'Evolutive SFP'!AU12/'Evolutive SFP'!AU30</f>
        <v>7.3445796905600338E-2</v>
      </c>
      <c r="AX18" s="26">
        <f>'Evolutive SFP'!AV12/'Evolutive SFP'!AV30</f>
        <v>7.2929339194376802E-2</v>
      </c>
      <c r="AY18" s="26">
        <f>'Evolutive SFP'!AW12/'Evolutive SFP'!AW30</f>
        <v>7.1229682203292358E-2</v>
      </c>
      <c r="AZ18" s="26">
        <f>'Evolutive SFP'!AX12/'Evolutive SFP'!AX30</f>
        <v>6.9307463977876335E-2</v>
      </c>
      <c r="BA18" s="26" t="e">
        <f>'Evolutive SFP'!AY12/'Evolutive SFP'!AY30</f>
        <v>#DIV/0!</v>
      </c>
      <c r="BB18" s="26">
        <f>'Evolutive SFP'!AZ12/'Evolutive SFP'!AZ30</f>
        <v>7.2796944991859236E-2</v>
      </c>
      <c r="BC18" s="26">
        <f>'Evolutive SFP'!BA12/'Evolutive SFP'!BA30</f>
        <v>7.3676804013325714E-2</v>
      </c>
      <c r="BD18" s="26">
        <f>'Evolutive SFP'!BB12/'Evolutive SFP'!BB30</f>
        <v>7.3635761943529124E-2</v>
      </c>
      <c r="BE18" s="26">
        <f>'Evolutive SFP'!BC12/'Evolutive SFP'!BC30</f>
        <v>7.3929635063383736E-2</v>
      </c>
      <c r="BF18" s="26">
        <f>'Evolutive SFP'!BD12/'Evolutive SFP'!BD30</f>
        <v>7.334709640808304E-2</v>
      </c>
      <c r="BG18" s="26">
        <f>'Evolutive SFP'!BE12/'Evolutive SFP'!BE30</f>
        <v>7.3915681744885567E-2</v>
      </c>
      <c r="BH18" s="26">
        <f>'Evolutive SFP'!BF12/'Evolutive SFP'!BF30</f>
        <v>0.11854106486436546</v>
      </c>
      <c r="BI18" s="26">
        <f>'Evolutive SFP'!BG12/'Evolutive SFP'!BG30</f>
        <v>0.11529932318792882</v>
      </c>
      <c r="BJ18" s="26">
        <f>'Evolutive SFP'!BH12/'Evolutive SFP'!BH30</f>
        <v>0.1224650427954234</v>
      </c>
      <c r="BK18" s="26">
        <f>'Evolutive SFP'!BI12/'Evolutive SFP'!BI30</f>
        <v>0.12203477751130273</v>
      </c>
      <c r="BL18" s="26">
        <f>'Evolutive SFP'!BJ12/'Evolutive SFP'!BJ30</f>
        <v>0.12286815418487933</v>
      </c>
      <c r="BM18" s="26">
        <f>'Evolutive SFP'!BK12/'Evolutive SFP'!BK30</f>
        <v>0.12194574532331832</v>
      </c>
      <c r="BN18" s="26">
        <f>'Evolutive SFP'!BL12/'Evolutive SFP'!BL30</f>
        <v>0.12369929818165411</v>
      </c>
      <c r="BO18" s="26">
        <f>'Evolutive SFP'!BM12/'Evolutive SFP'!BM30</f>
        <v>0.12372556651167999</v>
      </c>
      <c r="BP18" s="26">
        <f>'Evolutive SFP'!BN12/'Evolutive SFP'!BN30</f>
        <v>0.12657495585164241</v>
      </c>
      <c r="BQ18" s="26">
        <f>'Evolutive SFP'!BO12/'Evolutive SFP'!BO30</f>
        <v>0.12562547650916978</v>
      </c>
      <c r="BR18" s="26">
        <f>'Evolutive SFP'!BP12/'Evolutive SFP'!BP30</f>
        <v>0.12633699398197279</v>
      </c>
      <c r="BS18" s="26">
        <f>'Evolutive SFP'!BQ12/'Evolutive SFP'!BQ30</f>
        <v>0.12517356441640393</v>
      </c>
      <c r="BT18" s="26">
        <f>'Evolutive SFP'!BR12/'Evolutive SFP'!BR30</f>
        <v>7.609283351207094E-2</v>
      </c>
      <c r="BU18" s="26">
        <f>'Evolutive SFP'!BS12/'Evolutive SFP'!BS30</f>
        <v>0.12539837120050543</v>
      </c>
      <c r="BV18" s="26">
        <f>'Evolutive SFP'!BT12/'Evolutive SFP'!BT30</f>
        <v>0.12122212810973401</v>
      </c>
      <c r="BW18" s="26">
        <f>'Evolutive SFP'!BU12/'Evolutive SFP'!BU30</f>
        <v>0.11994583442251214</v>
      </c>
      <c r="BX18" s="26">
        <f>'Evolutive SFP'!BV12/'Evolutive SFP'!BV30</f>
        <v>0.12129780753286658</v>
      </c>
    </row>
    <row r="19" spans="1:76">
      <c r="A19" s="326"/>
      <c r="B19" s="53" t="s">
        <v>184</v>
      </c>
      <c r="C19" s="25" t="s">
        <v>181</v>
      </c>
      <c r="D19" s="26">
        <f>'Evolutive SFP'!B12/(CAELS!D3*1000000)</f>
        <v>0.2374450432358883</v>
      </c>
      <c r="E19" s="26">
        <f>'Evolutive SFP'!C12/(CAELS!E3*1000000)</f>
        <v>0.28631876780311799</v>
      </c>
      <c r="F19" s="26">
        <f>'Evolutive SFP'!D12/(CAELS!F3*1000000)</f>
        <v>0.3042851333364025</v>
      </c>
      <c r="G19" s="26">
        <f>'Evolutive SFP'!E12/(CAELS!G3*1000000)</f>
        <v>0.29872892985574673</v>
      </c>
      <c r="H19" s="26">
        <f>'Evolutive SFP'!F12/(CAELS!H3*1000000)</f>
        <v>0.24623453234252038</v>
      </c>
      <c r="I19" s="26">
        <f>'Evolutive SFP'!G12/(CAELS!I3*1000000)</f>
        <v>0.32397695256006381</v>
      </c>
      <c r="J19" s="26">
        <f>'Evolutive SFP'!H12/(CAELS!J3*1000000)</f>
        <v>0.31590917032249288</v>
      </c>
      <c r="K19" s="26">
        <f>'Evolutive SFP'!I12/(CAELS!K3*1000000)</f>
        <v>0.32554669362157873</v>
      </c>
      <c r="L19" s="26">
        <f>'Evolutive SFP'!J12/(CAELS!L3*1000000)</f>
        <v>0.33896400191462017</v>
      </c>
      <c r="M19" s="26">
        <f>'Evolutive SFP'!K12/(CAELS!M3*1000000)</f>
        <v>0.33972357431764555</v>
      </c>
      <c r="N19" s="26" t="e">
        <f>'Evolutive SFP'!L12/(CAELS!N3*1000000)</f>
        <v>#DIV/0!</v>
      </c>
      <c r="O19" s="26" t="e">
        <f>'Evolutive SFP'!M12/(CAELS!O3*1000000)</f>
        <v>#DIV/0!</v>
      </c>
      <c r="P19" s="26" t="e">
        <f>'Evolutive SFP'!N12/(CAELS!P3*1000000)</f>
        <v>#DIV/0!</v>
      </c>
      <c r="Q19" s="26" t="e">
        <f>'Evolutive SFP'!O12/(CAELS!Q3*1000000)</f>
        <v>#DIV/0!</v>
      </c>
      <c r="R19" s="26" t="e">
        <f>'Evolutive SFP'!P12/(CAELS!R3*1000000)</f>
        <v>#DIV/0!</v>
      </c>
      <c r="S19" s="26" t="e">
        <f>'Evolutive SFP'!Q12/(CAELS!S3*1000000)</f>
        <v>#DIV/0!</v>
      </c>
      <c r="T19" s="26">
        <f>'Evolutive SFP'!R12/(CAELS!T3*1000000)</f>
        <v>1.2169387502891746E-2</v>
      </c>
      <c r="U19" s="26">
        <f>'Evolutive SFP'!S12/(CAELS!U3*1000000)</f>
        <v>0.3529671857624907</v>
      </c>
      <c r="V19" s="26">
        <f>'Evolutive SFP'!T12/(CAELS!V3*1000000)</f>
        <v>0.35362354350694308</v>
      </c>
      <c r="W19" s="26">
        <f>'Evolutive SFP'!U12/(CAELS!W3*1000000)</f>
        <v>0.3846115305656243</v>
      </c>
      <c r="X19" s="26">
        <f>'Evolutive SFP'!V12/(CAELS!X3*1000000)</f>
        <v>0.42611194220842386</v>
      </c>
      <c r="Y19" s="26">
        <f>'Evolutive SFP'!W12/(CAELS!Y3*1000000)</f>
        <v>0.91453969330879037</v>
      </c>
      <c r="Z19" s="26">
        <f>'Evolutive SFP'!X12/(CAELS!Z3*1000000)</f>
        <v>0.2366864982231339</v>
      </c>
      <c r="AA19" s="26">
        <f>'Evolutive SFP'!Y12/(CAELS!AA3*1000000)</f>
        <v>0.20921197403216346</v>
      </c>
      <c r="AB19" s="26">
        <f>'Evolutive SFP'!Z12/(CAELS!AB3*1000000)</f>
        <v>0.33417078026588298</v>
      </c>
      <c r="AC19" s="26">
        <f>'Evolutive SFP'!AA12/(CAELS!AC3*1000000)</f>
        <v>0.32464401613029303</v>
      </c>
      <c r="AD19" s="26">
        <f>'Evolutive SFP'!AB12/(CAELS!AD3*1000000)</f>
        <v>0.33114567241974513</v>
      </c>
      <c r="AE19" s="26">
        <f>'Evolutive SFP'!AC12/(CAELS!AE3*1000000)</f>
        <v>0.32742519059245162</v>
      </c>
      <c r="AF19" s="26">
        <f>'Evolutive SFP'!AD12/(CAELS!AF3*1000000)</f>
        <v>0.34149751708329429</v>
      </c>
      <c r="AG19" s="26">
        <f>'Evolutive SFP'!AE12/(CAELS!AG3*1000000)</f>
        <v>0.59661598342298849</v>
      </c>
      <c r="AH19" s="26">
        <f>'Evolutive SFP'!AF12/(CAELS!AH3*1000000)</f>
        <v>0.31585395690260409</v>
      </c>
      <c r="AI19" s="26">
        <f>'Evolutive SFP'!AG12/(CAELS!AI3*1000000)</f>
        <v>0.33425331439028327</v>
      </c>
      <c r="AJ19" s="26">
        <f>'Evolutive SFP'!AH12/(CAELS!AJ3*1000000)</f>
        <v>0.45922912517490611</v>
      </c>
      <c r="AK19" s="26">
        <f>'Evolutive SFP'!AI12/(CAELS!AK3*1000000)</f>
        <v>0.33401957557357825</v>
      </c>
      <c r="AL19" s="26">
        <f>'Evolutive SFP'!AJ12/(CAELS!AL3*1000000)</f>
        <v>0.44340293098889083</v>
      </c>
      <c r="AM19" s="26">
        <f>'Evolutive SFP'!AK12/(CAELS!AM3*1000000)</f>
        <v>0.44755725629169824</v>
      </c>
      <c r="AN19" s="26">
        <f>'Evolutive SFP'!AL12/(CAELS!AN3*1000000)</f>
        <v>0.45542916286320845</v>
      </c>
      <c r="AO19" s="26">
        <f>'Evolutive SFP'!AM12/(CAELS!AO3*1000000)</f>
        <v>0.42771959018089845</v>
      </c>
      <c r="AP19" s="26">
        <f>'Evolutive SFP'!AN12/(CAELS!AP3*1000000)</f>
        <v>0.47393966086712164</v>
      </c>
      <c r="AQ19" s="26" t="e">
        <f>'Evolutive SFP'!AO12/(CAELS!AQ3*1000000)</f>
        <v>#DIV/0!</v>
      </c>
      <c r="AR19" s="26" t="e">
        <f>'Evolutive SFP'!AP12/(CAELS!AR3*1000000)</f>
        <v>#DIV/0!</v>
      </c>
      <c r="AS19" s="26" t="e">
        <f>'Evolutive SFP'!AQ12/(CAELS!AS3*1000000)</f>
        <v>#DIV/0!</v>
      </c>
      <c r="AT19" s="26" t="e">
        <f>'Evolutive SFP'!AR12/(CAELS!AT3*1000000)</f>
        <v>#DIV/0!</v>
      </c>
      <c r="AU19" s="26">
        <f>'Evolutive SFP'!AS12/(CAELS!AU3*1000000)</f>
        <v>-0.20156898493191733</v>
      </c>
      <c r="AV19" s="26">
        <f>'Evolutive SFP'!AT12/(CAELS!AV3*1000000)</f>
        <v>-0.20473918545065586</v>
      </c>
      <c r="AW19" s="26">
        <f>'Evolutive SFP'!AU12/(CAELS!AW3*1000000)</f>
        <v>-0.18419294112774245</v>
      </c>
      <c r="AX19" s="26">
        <f>'Evolutive SFP'!AV12/(CAELS!AX3*1000000)</f>
        <v>-0.18206928816179269</v>
      </c>
      <c r="AY19" s="26">
        <f>'Evolutive SFP'!AW12/(CAELS!AY3*1000000)</f>
        <v>-0.17903012303484309</v>
      </c>
      <c r="AZ19" s="26">
        <f>'Evolutive SFP'!AX12/(CAELS!AZ3*1000000)</f>
        <v>-0.17861389266082708</v>
      </c>
      <c r="BA19" s="26" t="e">
        <f>'Evolutive SFP'!AY12/(CAELS!BA3*1000000)</f>
        <v>#DIV/0!</v>
      </c>
      <c r="BB19" s="26">
        <f>'Evolutive SFP'!AZ12/(CAELS!BB3*1000000)</f>
        <v>-0.17103771389258415</v>
      </c>
      <c r="BC19" s="26">
        <f>'Evolutive SFP'!BA12/(CAELS!BC3*1000000)</f>
        <v>-0.18490264739195017</v>
      </c>
      <c r="BD19" s="26">
        <f>'Evolutive SFP'!BB12/(CAELS!BD3*1000000)</f>
        <v>-0.19633523346108575</v>
      </c>
      <c r="BE19" s="26">
        <f>'Evolutive SFP'!BC12/(CAELS!BE3*1000000)</f>
        <v>-0.19445894993753515</v>
      </c>
      <c r="BF19" s="26">
        <f>'Evolutive SFP'!BD12/(CAELS!BF3*1000000)</f>
        <v>-0.20484712701040611</v>
      </c>
      <c r="BG19" s="26">
        <f>'Evolutive SFP'!BE12/(CAELS!BG3*1000000)</f>
        <v>-0.19667307839767376</v>
      </c>
      <c r="BH19" s="26">
        <f>'Evolutive SFP'!BF12/(CAELS!BH3*1000000)</f>
        <v>-0.35401344946213081</v>
      </c>
      <c r="BI19" s="26">
        <f>'Evolutive SFP'!BG12/(CAELS!BI3*1000000)</f>
        <v>-0.24139073518670187</v>
      </c>
      <c r="BJ19" s="26">
        <f>'Evolutive SFP'!BH12/(CAELS!BJ3*1000000)</f>
        <v>-0.32942184298016669</v>
      </c>
      <c r="BK19" s="26">
        <f>'Evolutive SFP'!BI12/(CAELS!BK3*1000000)</f>
        <v>-0.33499429429405925</v>
      </c>
      <c r="BL19" s="26">
        <f>'Evolutive SFP'!BJ12/(CAELS!BL3*1000000)</f>
        <v>-0.34407720078020937</v>
      </c>
      <c r="BM19" s="26">
        <f>'Evolutive SFP'!BK12/(CAELS!BM3*1000000)</f>
        <v>-0.43659698832944854</v>
      </c>
      <c r="BN19" s="26">
        <f>'Evolutive SFP'!BL12/(CAELS!BN3*1000000)</f>
        <v>-0.35098116236424753</v>
      </c>
      <c r="BO19" s="26">
        <f>'Evolutive SFP'!BM12/(CAELS!BO3*1000000)</f>
        <v>-0.33817677914539501</v>
      </c>
      <c r="BP19" s="26">
        <f>'Evolutive SFP'!BN12/(CAELS!BP3*1000000)</f>
        <v>-0.34655374417510648</v>
      </c>
      <c r="BQ19" s="26">
        <f>'Evolutive SFP'!BO12/(CAELS!BQ3*1000000)</f>
        <v>-0.35368465603460447</v>
      </c>
      <c r="BR19" s="26">
        <f>'Evolutive SFP'!BP12/(CAELS!BR3*1000000)</f>
        <v>-0.35946699582254527</v>
      </c>
      <c r="BS19" s="26">
        <f>'Evolutive SFP'!BQ12/(CAELS!BS3*1000000)</f>
        <v>-0.34344564337218736</v>
      </c>
      <c r="BT19" s="26">
        <f>'Evolutive SFP'!BR12/(CAELS!BT3*1000000)</f>
        <v>-0.35046802506840241</v>
      </c>
      <c r="BU19" s="26">
        <f>'Evolutive SFP'!BS12/(CAELS!BU3*1000000)</f>
        <v>-0.34889664016389543</v>
      </c>
      <c r="BV19" s="26">
        <f>'Evolutive SFP'!BT12/(CAELS!BV3*1000000)</f>
        <v>-0.35228960784495317</v>
      </c>
      <c r="BW19" s="26">
        <f>'Evolutive SFP'!BU12/(CAELS!BW3*1000000)</f>
        <v>-0.34487463297328508</v>
      </c>
      <c r="BX19" s="26">
        <f>'Evolutive SFP'!BV12/(CAELS!BX3*1000000)</f>
        <v>-0.3657712202338288</v>
      </c>
    </row>
    <row r="20" spans="1:76">
      <c r="A20" s="326"/>
      <c r="B20" s="4" t="s">
        <v>185</v>
      </c>
      <c r="C20" s="25"/>
      <c r="D20" s="26">
        <f>'Evolutive SFP'!B14/'Evolutive SFP'!B26</f>
        <v>0.32114171114011442</v>
      </c>
      <c r="E20" s="26">
        <f>'Evolutive SFP'!C14/'Evolutive SFP'!C26</f>
        <v>0.41090826441836853</v>
      </c>
      <c r="F20" s="26">
        <f>'Evolutive SFP'!D14/'Evolutive SFP'!D26</f>
        <v>0.55125321506679936</v>
      </c>
      <c r="G20" s="26">
        <f>'Evolutive SFP'!E14/'Evolutive SFP'!E26</f>
        <v>0.55656567959591507</v>
      </c>
      <c r="H20" s="26">
        <f>'Evolutive SFP'!F14/'Evolutive SFP'!F26</f>
        <v>0.65120209214778579</v>
      </c>
      <c r="I20" s="26">
        <f>'Evolutive SFP'!G14/'Evolutive SFP'!G26</f>
        <v>0.57779245016412573</v>
      </c>
      <c r="J20" s="26">
        <f>'Evolutive SFP'!H14/'Evolutive SFP'!H26</f>
        <v>0.62318041935546098</v>
      </c>
      <c r="K20" s="26">
        <f>'Evolutive SFP'!I14/'Evolutive SFP'!I26</f>
        <v>0.62847113364339502</v>
      </c>
      <c r="L20" s="26">
        <f>'Evolutive SFP'!J14/'Evolutive SFP'!J26</f>
        <v>0.6489778674199671</v>
      </c>
      <c r="M20" s="26">
        <f>'Evolutive SFP'!K14/'Evolutive SFP'!K26</f>
        <v>0.67246874273990254</v>
      </c>
      <c r="N20" s="26" t="e">
        <f>'Evolutive SFP'!L14/'Evolutive SFP'!L26</f>
        <v>#DIV/0!</v>
      </c>
      <c r="O20" s="26" t="e">
        <f>'Evolutive SFP'!M14/'Evolutive SFP'!M26</f>
        <v>#DIV/0!</v>
      </c>
      <c r="P20" s="26" t="e">
        <f>'Evolutive SFP'!N14/'Evolutive SFP'!N26</f>
        <v>#DIV/0!</v>
      </c>
      <c r="Q20" s="26" t="e">
        <f>'Evolutive SFP'!O14/'Evolutive SFP'!O26</f>
        <v>#DIV/0!</v>
      </c>
      <c r="R20" s="26" t="e">
        <f>'Evolutive SFP'!P14/'Evolutive SFP'!P26</f>
        <v>#DIV/0!</v>
      </c>
      <c r="S20" s="26" t="e">
        <f>'Evolutive SFP'!Q14/'Evolutive SFP'!Q26</f>
        <v>#DIV/0!</v>
      </c>
      <c r="T20" s="26">
        <f>'Evolutive SFP'!R14/'Evolutive SFP'!R26</f>
        <v>0.55041966368225059</v>
      </c>
      <c r="U20" s="26">
        <f>'Evolutive SFP'!S14/'Evolutive SFP'!S26</f>
        <v>0.59641339210256705</v>
      </c>
      <c r="V20" s="26">
        <f>'Evolutive SFP'!T14/'Evolutive SFP'!T26</f>
        <v>0.63466858788217118</v>
      </c>
      <c r="W20" s="26">
        <f>'Evolutive SFP'!U14/'Evolutive SFP'!U26</f>
        <v>0.63399235104490792</v>
      </c>
      <c r="X20" s="26">
        <f>'Evolutive SFP'!V14/'Evolutive SFP'!V26</f>
        <v>0.59560409578841866</v>
      </c>
      <c r="Y20" s="26">
        <f>'Evolutive SFP'!W14/'Evolutive SFP'!W26</f>
        <v>0.72199554525228715</v>
      </c>
      <c r="Z20" s="26">
        <f>'Evolutive SFP'!X14/'Evolutive SFP'!X26</f>
        <v>0.67197205706091834</v>
      </c>
      <c r="AA20" s="26">
        <f>'Evolutive SFP'!Y14/'Evolutive SFP'!Y26</f>
        <v>0.67512558464135686</v>
      </c>
      <c r="AB20" s="26">
        <f>'Evolutive SFP'!Z14/'Evolutive SFP'!Z26</f>
        <v>0.61249878360412935</v>
      </c>
      <c r="AC20" s="26">
        <f>'Evolutive SFP'!AA14/'Evolutive SFP'!AA26</f>
        <v>0.60315362954235574</v>
      </c>
      <c r="AD20" s="26">
        <f>'Evolutive SFP'!AB14/'Evolutive SFP'!AB26</f>
        <v>0.59121883048825119</v>
      </c>
      <c r="AE20" s="26">
        <f>'Evolutive SFP'!AC14/'Evolutive SFP'!AC26</f>
        <v>0.56272063876941381</v>
      </c>
      <c r="AF20" s="26">
        <f>'Evolutive SFP'!AD14/'Evolutive SFP'!AD26</f>
        <v>0.54043772123717626</v>
      </c>
      <c r="AG20" s="26">
        <f>'Evolutive SFP'!AE14/'Evolutive SFP'!AE26</f>
        <v>0.61897919327229156</v>
      </c>
      <c r="AH20" s="26">
        <f>'Evolutive SFP'!AF14/'Evolutive SFP'!AF26</f>
        <v>0.62078885837920916</v>
      </c>
      <c r="AI20" s="26">
        <f>'Evolutive SFP'!AG14/'Evolutive SFP'!AG26</f>
        <v>0.58635857210658637</v>
      </c>
      <c r="AJ20" s="26">
        <f>'Evolutive SFP'!AH14/'Evolutive SFP'!AH26</f>
        <v>0.59262490344472207</v>
      </c>
      <c r="AK20" s="26">
        <f>'Evolutive SFP'!AI14/'Evolutive SFP'!AI26</f>
        <v>0.60259858244131215</v>
      </c>
      <c r="AL20" s="26">
        <f>'Evolutive SFP'!AJ14/'Evolutive SFP'!AJ26</f>
        <v>0.59619482301699744</v>
      </c>
      <c r="AM20" s="26">
        <f>'Evolutive SFP'!AK14/'Evolutive SFP'!AK26</f>
        <v>0.61269664096251786</v>
      </c>
      <c r="AN20" s="26">
        <f>'Evolutive SFP'!AL14/'Evolutive SFP'!AL26</f>
        <v>0.5696371560762703</v>
      </c>
      <c r="AO20" s="26">
        <f>'Evolutive SFP'!AM14/'Evolutive SFP'!AM26</f>
        <v>0.56850505194254441</v>
      </c>
      <c r="AP20" s="26">
        <f>'Evolutive SFP'!AN14/'Evolutive SFP'!AN26</f>
        <v>0.56027847040414136</v>
      </c>
      <c r="AQ20" s="26" t="e">
        <f>'Evolutive SFP'!AO14/'Evolutive SFP'!AO26</f>
        <v>#DIV/0!</v>
      </c>
      <c r="AR20" s="26" t="e">
        <f>'Evolutive SFP'!AP14/'Evolutive SFP'!AP26</f>
        <v>#DIV/0!</v>
      </c>
      <c r="AS20" s="26" t="e">
        <f>'Evolutive SFP'!AQ14/'Evolutive SFP'!AQ26</f>
        <v>#DIV/0!</v>
      </c>
      <c r="AT20" s="26" t="e">
        <f>'Evolutive SFP'!AR14/'Evolutive SFP'!AR26</f>
        <v>#DIV/0!</v>
      </c>
      <c r="AU20" s="26">
        <f>'Evolutive SFP'!AS14/'Evolutive SFP'!AS26</f>
        <v>1.3898637423304427</v>
      </c>
      <c r="AV20" s="26">
        <f>'Evolutive SFP'!AT14/'Evolutive SFP'!AT26</f>
        <v>5.1031194261510635E-2</v>
      </c>
      <c r="AW20" s="26">
        <f>'Evolutive SFP'!AU14/'Evolutive SFP'!AU26</f>
        <v>6.5878277485938469E-2</v>
      </c>
      <c r="AX20" s="26">
        <f>'Evolutive SFP'!AV14/'Evolutive SFP'!AV26</f>
        <v>6.6384843398048288E-2</v>
      </c>
      <c r="AY20" s="26">
        <f>'Evolutive SFP'!AW14/'Evolutive SFP'!AW26</f>
        <v>6.1270435593286127E-2</v>
      </c>
      <c r="AZ20" s="26">
        <f>'Evolutive SFP'!AX14/'Evolutive SFP'!AX26</f>
        <v>6.1890644027016085E-2</v>
      </c>
      <c r="BA20" s="26" t="e">
        <f>'Evolutive SFP'!AY14/'Evolutive SFP'!AY26</f>
        <v>#DIV/0!</v>
      </c>
      <c r="BB20" s="26">
        <f>'Evolutive SFP'!AZ14/'Evolutive SFP'!AZ26</f>
        <v>7.1090291454111512E-2</v>
      </c>
      <c r="BC20" s="26">
        <f>'Evolutive SFP'!BA14/'Evolutive SFP'!BA26</f>
        <v>7.2491553728601832E-2</v>
      </c>
      <c r="BD20" s="26">
        <f>'Evolutive SFP'!BB14/'Evolutive SFP'!BB26</f>
        <v>0.57896060089946133</v>
      </c>
      <c r="BE20" s="26">
        <f>'Evolutive SFP'!BC14/'Evolutive SFP'!BC26</f>
        <v>0.58442520738930681</v>
      </c>
      <c r="BF20" s="26">
        <f>'Evolutive SFP'!BD14/'Evolutive SFP'!BD26</f>
        <v>0.53141072615949358</v>
      </c>
      <c r="BG20" s="26">
        <f>'Evolutive SFP'!BE14/'Evolutive SFP'!BE26</f>
        <v>0.52008124550507318</v>
      </c>
      <c r="BH20" s="26">
        <f>'Evolutive SFP'!BF14/'Evolutive SFP'!BF26</f>
        <v>0.53235217958823944</v>
      </c>
      <c r="BI20" s="26">
        <f>'Evolutive SFP'!BG14/'Evolutive SFP'!BG26</f>
        <v>0.56415401388165909</v>
      </c>
      <c r="BJ20" s="26">
        <f>'Evolutive SFP'!BH14/'Evolutive SFP'!BH26</f>
        <v>0.5363068837209285</v>
      </c>
      <c r="BK20" s="26">
        <f>'Evolutive SFP'!BI14/'Evolutive SFP'!BI26</f>
        <v>0.57172176213713077</v>
      </c>
      <c r="BL20" s="26">
        <f>'Evolutive SFP'!BJ14/'Evolutive SFP'!BJ26</f>
        <v>0.57784215391536697</v>
      </c>
      <c r="BM20" s="26">
        <f>'Evolutive SFP'!BK14/'Evolutive SFP'!BK26</f>
        <v>0.51384503119767599</v>
      </c>
      <c r="BN20" s="26">
        <f>'Evolutive SFP'!BL14/'Evolutive SFP'!BL26</f>
        <v>0.5995052869936347</v>
      </c>
      <c r="BO20" s="26">
        <f>'Evolutive SFP'!BM14/'Evolutive SFP'!BM26</f>
        <v>0.6018162149272539</v>
      </c>
      <c r="BP20" s="26">
        <f>'Evolutive SFP'!BN14/'Evolutive SFP'!BN26</f>
        <v>0.60115101287128747</v>
      </c>
      <c r="BQ20" s="26">
        <f>'Evolutive SFP'!BO14/'Evolutive SFP'!BO26</f>
        <v>0.6748330282709325</v>
      </c>
      <c r="BR20" s="26">
        <f>'Evolutive SFP'!BP14/'Evolutive SFP'!BP26</f>
        <v>0.60347771474086831</v>
      </c>
      <c r="BS20" s="26">
        <f>'Evolutive SFP'!BQ14/'Evolutive SFP'!BQ26</f>
        <v>0.56378314645077643</v>
      </c>
      <c r="BT20" s="26">
        <f>'Evolutive SFP'!BR14/'Evolutive SFP'!BR26</f>
        <v>0.49093503857317933</v>
      </c>
      <c r="BU20" s="26">
        <f>'Evolutive SFP'!BS14/'Evolutive SFP'!BS26</f>
        <v>0.56996083403101372</v>
      </c>
      <c r="BV20" s="26">
        <f>'Evolutive SFP'!BT14/'Evolutive SFP'!BT26</f>
        <v>0.54447086387423715</v>
      </c>
      <c r="BW20" s="26">
        <f>'Evolutive SFP'!BU14/'Evolutive SFP'!BU26</f>
        <v>0.55873318181628029</v>
      </c>
      <c r="BX20" s="26">
        <f>'Evolutive SFP'!BV14/'Evolutive SFP'!BV26</f>
        <v>0.62314149251367168</v>
      </c>
    </row>
    <row r="21" spans="1:76">
      <c r="A21" s="325" t="s">
        <v>186</v>
      </c>
      <c r="B21" s="54" t="s">
        <v>187</v>
      </c>
      <c r="C21" s="2"/>
      <c r="D21" s="26">
        <f>'Evolutive SFP'!B30/'Evolutive SFP'!B26</f>
        <v>0.58218518287944365</v>
      </c>
      <c r="E21" s="26">
        <f>'Evolutive SFP'!C30/'Evolutive SFP'!C26</f>
        <v>0.62788790396377847</v>
      </c>
      <c r="F21" s="26">
        <f>'Evolutive SFP'!D30/'Evolutive SFP'!D26</f>
        <v>0.59642601472757362</v>
      </c>
      <c r="G21" s="26">
        <f>'Evolutive SFP'!E30/'Evolutive SFP'!E26</f>
        <v>0.57957129661589524</v>
      </c>
      <c r="H21" s="26">
        <f>'Evolutive SFP'!F30/'Evolutive SFP'!F26</f>
        <v>0.54509884504623618</v>
      </c>
      <c r="I21" s="26">
        <f>'Evolutive SFP'!G30/'Evolutive SFP'!G26</f>
        <v>0.58915547464679552</v>
      </c>
      <c r="J21" s="26">
        <f>'Evolutive SFP'!H30/'Evolutive SFP'!H26</f>
        <v>0.61961706622562984</v>
      </c>
      <c r="K21" s="26">
        <f>'Evolutive SFP'!I30/'Evolutive SFP'!I26</f>
        <v>0.6251637080730077</v>
      </c>
      <c r="L21" s="26">
        <f>'Evolutive SFP'!J30/'Evolutive SFP'!J26</f>
        <v>0.60471968562171163</v>
      </c>
      <c r="M21" s="26">
        <f>'Evolutive SFP'!K30/'Evolutive SFP'!K26</f>
        <v>0.59414694517501487</v>
      </c>
      <c r="N21" s="26" t="e">
        <f>'Evolutive SFP'!L30/'Evolutive SFP'!L26</f>
        <v>#DIV/0!</v>
      </c>
      <c r="O21" s="26" t="e">
        <f>'Evolutive SFP'!M30/'Evolutive SFP'!M26</f>
        <v>#DIV/0!</v>
      </c>
      <c r="P21" s="26" t="e">
        <f>'Evolutive SFP'!N30/'Evolutive SFP'!N26</f>
        <v>#DIV/0!</v>
      </c>
      <c r="Q21" s="26" t="e">
        <f>'Evolutive SFP'!O30/'Evolutive SFP'!O26</f>
        <v>#DIV/0!</v>
      </c>
      <c r="R21" s="26" t="e">
        <f>'Evolutive SFP'!P30/'Evolutive SFP'!P26</f>
        <v>#DIV/0!</v>
      </c>
      <c r="S21" s="26" t="e">
        <f>'Evolutive SFP'!Q30/'Evolutive SFP'!Q26</f>
        <v>#DIV/0!</v>
      </c>
      <c r="T21" s="26">
        <f>'Evolutive SFP'!R30/'Evolutive SFP'!R26</f>
        <v>0.54189234559056376</v>
      </c>
      <c r="U21" s="26">
        <f>'Evolutive SFP'!S30/'Evolutive SFP'!S26</f>
        <v>0.60703720158593366</v>
      </c>
      <c r="V21" s="26">
        <f>'Evolutive SFP'!T30/'Evolutive SFP'!T26</f>
        <v>0.59668728992737963</v>
      </c>
      <c r="W21" s="26">
        <f>'Evolutive SFP'!U30/'Evolutive SFP'!U26</f>
        <v>0.59605152201089562</v>
      </c>
      <c r="X21" s="26">
        <f>'Evolutive SFP'!V30/'Evolutive SFP'!V26</f>
        <v>0.59413868429138295</v>
      </c>
      <c r="Y21" s="26">
        <f>'Evolutive SFP'!W30/'Evolutive SFP'!W26</f>
        <v>0.64907848751666197</v>
      </c>
      <c r="Z21" s="26">
        <f>'Evolutive SFP'!X30/'Evolutive SFP'!X26</f>
        <v>0.54135265735479843</v>
      </c>
      <c r="AA21" s="26">
        <f>'Evolutive SFP'!Y30/'Evolutive SFP'!Y26</f>
        <v>0.50115808357436753</v>
      </c>
      <c r="AB21" s="26">
        <f>'Evolutive SFP'!Z30/'Evolutive SFP'!Z26</f>
        <v>0.54188856400286656</v>
      </c>
      <c r="AC21" s="26">
        <f>'Evolutive SFP'!AA30/'Evolutive SFP'!AA26</f>
        <v>0.50847287701997035</v>
      </c>
      <c r="AD21" s="26">
        <f>'Evolutive SFP'!AB30/'Evolutive SFP'!AB26</f>
        <v>0.50368227660499809</v>
      </c>
      <c r="AE21" s="26">
        <f>'Evolutive SFP'!AC30/'Evolutive SFP'!AC26</f>
        <v>0.56693933437478217</v>
      </c>
      <c r="AF21" s="26">
        <f>'Evolutive SFP'!AD30/'Evolutive SFP'!AD26</f>
        <v>0.53569586302337169</v>
      </c>
      <c r="AG21" s="26">
        <f>'Evolutive SFP'!AE30/'Evolutive SFP'!AE26</f>
        <v>0.58804708777152226</v>
      </c>
      <c r="AH21" s="26">
        <f>'Evolutive SFP'!AF30/'Evolutive SFP'!AF26</f>
        <v>0.55693716891276179</v>
      </c>
      <c r="AI21" s="26">
        <f>'Evolutive SFP'!AG30/'Evolutive SFP'!AG26</f>
        <v>0.53372728231962097</v>
      </c>
      <c r="AJ21" s="26">
        <f>'Evolutive SFP'!AH30/'Evolutive SFP'!AH26</f>
        <v>0.48366535541039629</v>
      </c>
      <c r="AK21" s="26">
        <f>'Evolutive SFP'!AI30/'Evolutive SFP'!AI26</f>
        <v>0.48870055545558522</v>
      </c>
      <c r="AL21" s="26">
        <f>'Evolutive SFP'!AJ30/'Evolutive SFP'!AJ26</f>
        <v>0.49663982008012852</v>
      </c>
      <c r="AM21" s="26">
        <f>'Evolutive SFP'!AK30/'Evolutive SFP'!AK26</f>
        <v>0.52517617856834042</v>
      </c>
      <c r="AN21" s="26">
        <f>'Evolutive SFP'!AL30/'Evolutive SFP'!AL26</f>
        <v>0.5043480712864411</v>
      </c>
      <c r="AO21" s="26">
        <f>'Evolutive SFP'!AM30/'Evolutive SFP'!AM26</f>
        <v>0.50532808292129572</v>
      </c>
      <c r="AP21" s="26">
        <f>'Evolutive SFP'!AN30/'Evolutive SFP'!AN26</f>
        <v>0.50524636101185139</v>
      </c>
      <c r="AQ21" s="26" t="e">
        <f>'Evolutive SFP'!AO30/'Evolutive SFP'!AO26</f>
        <v>#DIV/0!</v>
      </c>
      <c r="AR21" s="26" t="e">
        <f>'Evolutive SFP'!AP30/'Evolutive SFP'!AP26</f>
        <v>#DIV/0!</v>
      </c>
      <c r="AS21" s="26" t="e">
        <f>'Evolutive SFP'!AQ30/'Evolutive SFP'!AQ26</f>
        <v>#DIV/0!</v>
      </c>
      <c r="AT21" s="26" t="e">
        <f>'Evolutive SFP'!AR30/'Evolutive SFP'!AR26</f>
        <v>#DIV/0!</v>
      </c>
      <c r="AU21" s="26">
        <f>'Evolutive SFP'!AS30/'Evolutive SFP'!AS26</f>
        <v>1.2787060735294506</v>
      </c>
      <c r="AV21" s="26">
        <f>'Evolutive SFP'!AT30/'Evolutive SFP'!AT26</f>
        <v>1.1216239927362635</v>
      </c>
      <c r="AW21" s="26">
        <f>'Evolutive SFP'!AU30/'Evolutive SFP'!AU26</f>
        <v>1.0198783737123285</v>
      </c>
      <c r="AX21" s="26">
        <f>'Evolutive SFP'!AV30/'Evolutive SFP'!AV26</f>
        <v>1.0470231667816616</v>
      </c>
      <c r="AY21" s="26">
        <f>'Evolutive SFP'!AW30/'Evolutive SFP'!AW26</f>
        <v>1.0536459026498437</v>
      </c>
      <c r="AZ21" s="26">
        <f>'Evolutive SFP'!AX30/'Evolutive SFP'!AX26</f>
        <v>1.0339548688251123</v>
      </c>
      <c r="BA21" s="26" t="e">
        <f>'Evolutive SFP'!AY30/'Evolutive SFP'!AY26</f>
        <v>#DIV/0!</v>
      </c>
      <c r="BB21" s="26">
        <f>'Evolutive SFP'!AZ30/'Evolutive SFP'!AZ26</f>
        <v>1.0241228192274356</v>
      </c>
      <c r="BC21" s="26">
        <f>'Evolutive SFP'!BA30/'Evolutive SFP'!BA26</f>
        <v>1.0000149443114201</v>
      </c>
      <c r="BD21" s="26">
        <f>'Evolutive SFP'!BB30/'Evolutive SFP'!BB26</f>
        <v>0.96658219983949833</v>
      </c>
      <c r="BE21" s="26">
        <f>'Evolutive SFP'!BC30/'Evolutive SFP'!BC26</f>
        <v>0.97165234825506019</v>
      </c>
      <c r="BF21" s="26">
        <f>'Evolutive SFP'!BD30/'Evolutive SFP'!BD26</f>
        <v>0.94612563783297354</v>
      </c>
      <c r="BG21" s="26">
        <f>'Evolutive SFP'!BE30/'Evolutive SFP'!BE26</f>
        <v>1.0202605470933386</v>
      </c>
      <c r="BH21" s="26">
        <f>'Evolutive SFP'!BF30/'Evolutive SFP'!BF26</f>
        <v>0.9682431679177862</v>
      </c>
      <c r="BI21" s="26">
        <f>'Evolutive SFP'!BG30/'Evolutive SFP'!BG26</f>
        <v>1.0705260418236049</v>
      </c>
      <c r="BJ21" s="26">
        <f>'Evolutive SFP'!BH30/'Evolutive SFP'!BH26</f>
        <v>0.95587594649575758</v>
      </c>
      <c r="BK21" s="26">
        <f>'Evolutive SFP'!BI30/'Evolutive SFP'!BI26</f>
        <v>1.0034310648888654</v>
      </c>
      <c r="BL21" s="26">
        <f>'Evolutive SFP'!BJ30/'Evolutive SFP'!BJ26</f>
        <v>1.0123940557570328</v>
      </c>
      <c r="BM21" s="26">
        <f>'Evolutive SFP'!BK30/'Evolutive SFP'!BK26</f>
        <v>0.9379676353441766</v>
      </c>
      <c r="BN21" s="26">
        <f>'Evolutive SFP'!BL30/'Evolutive SFP'!BL26</f>
        <v>1.0093954550862276</v>
      </c>
      <c r="BO21" s="26">
        <f>'Evolutive SFP'!BM30/'Evolutive SFP'!BM26</f>
        <v>1.0194343317217271</v>
      </c>
      <c r="BP21" s="26">
        <f>'Evolutive SFP'!BN30/'Evolutive SFP'!BN26</f>
        <v>0.9974533050656248</v>
      </c>
      <c r="BQ21" s="26">
        <f>'Evolutive SFP'!BO30/'Evolutive SFP'!BO26</f>
        <v>1.1248878797523494</v>
      </c>
      <c r="BR21" s="26">
        <f>'Evolutive SFP'!BP30/'Evolutive SFP'!BP26</f>
        <v>1.0084286681017787</v>
      </c>
      <c r="BS21" s="26">
        <f>'Evolutive SFP'!BQ30/'Evolutive SFP'!BQ26</f>
        <v>1.0012730936233123</v>
      </c>
      <c r="BT21" s="26">
        <f>'Evolutive SFP'!BR30/'Evolutive SFP'!BR26</f>
        <v>0.92490429503058169</v>
      </c>
      <c r="BU21" s="26">
        <f>'Evolutive SFP'!BS30/'Evolutive SFP'!BS26</f>
        <v>1.0065111349195024</v>
      </c>
      <c r="BV21" s="26">
        <f>'Evolutive SFP'!BT30/'Evolutive SFP'!BT26</f>
        <v>0.99754144627269747</v>
      </c>
      <c r="BW21" s="26">
        <f>'Evolutive SFP'!BU30/'Evolutive SFP'!BU26</f>
        <v>0.98209425252284577</v>
      </c>
      <c r="BX21" s="26">
        <f>'Evolutive SFP'!BV30/'Evolutive SFP'!BV26</f>
        <v>1.00487853267669</v>
      </c>
    </row>
    <row r="22" spans="1:76">
      <c r="A22" s="325"/>
      <c r="B22" s="54" t="s">
        <v>188</v>
      </c>
      <c r="C22" s="2"/>
      <c r="D22" s="26">
        <f>'Evolutive SFP'!B29/'Evolutive SFP'!B26</f>
        <v>0.40153418035126409</v>
      </c>
      <c r="E22" s="26">
        <f>'Evolutive SFP'!C29/'Evolutive SFP'!C26</f>
        <v>0.47815647907877318</v>
      </c>
      <c r="F22" s="26">
        <f>'Evolutive SFP'!D29/'Evolutive SFP'!D26</f>
        <v>0.51106451269003739</v>
      </c>
      <c r="G22" s="26">
        <f>'Evolutive SFP'!E29/'Evolutive SFP'!E26</f>
        <v>0.51998148857402637</v>
      </c>
      <c r="H22" s="26">
        <f>'Evolutive SFP'!F29/'Evolutive SFP'!F26</f>
        <v>0.56827665252153792</v>
      </c>
      <c r="I22" s="26">
        <f>'Evolutive SFP'!G29/'Evolutive SFP'!G26</f>
        <v>0.51795046169541636</v>
      </c>
      <c r="J22" s="26">
        <f>'Evolutive SFP'!H29/'Evolutive SFP'!H26</f>
        <v>0.55543728370861689</v>
      </c>
      <c r="K22" s="26">
        <f>'Evolutive SFP'!I29/'Evolutive SFP'!I26</f>
        <v>0.50181791836072753</v>
      </c>
      <c r="L22" s="26">
        <f>'Evolutive SFP'!J29/'Evolutive SFP'!J26</f>
        <v>0.61252771767035519</v>
      </c>
      <c r="M22" s="26">
        <f>'Evolutive SFP'!K29/'Evolutive SFP'!K26</f>
        <v>0.63330257262362877</v>
      </c>
      <c r="N22" s="26" t="e">
        <f>'Evolutive SFP'!L29/'Evolutive SFP'!L26</f>
        <v>#DIV/0!</v>
      </c>
      <c r="O22" s="26" t="e">
        <f>'Evolutive SFP'!M29/'Evolutive SFP'!M26</f>
        <v>#DIV/0!</v>
      </c>
      <c r="P22" s="26" t="e">
        <f>'Evolutive SFP'!N29/'Evolutive SFP'!N26</f>
        <v>#DIV/0!</v>
      </c>
      <c r="Q22" s="26" t="e">
        <f>'Evolutive SFP'!O29/'Evolutive SFP'!O26</f>
        <v>#DIV/0!</v>
      </c>
      <c r="R22" s="26" t="e">
        <f>'Evolutive SFP'!P29/'Evolutive SFP'!P26</f>
        <v>#DIV/0!</v>
      </c>
      <c r="S22" s="26" t="e">
        <f>'Evolutive SFP'!Q29/'Evolutive SFP'!Q26</f>
        <v>#DIV/0!</v>
      </c>
      <c r="T22" s="26">
        <f>'Evolutive SFP'!R29/'Evolutive SFP'!R26</f>
        <v>0.67456266759772632</v>
      </c>
      <c r="U22" s="26">
        <f>'Evolutive SFP'!S29/'Evolutive SFP'!S26</f>
        <v>0.62079097283133533</v>
      </c>
      <c r="V22" s="26">
        <f>'Evolutive SFP'!T29/'Evolutive SFP'!T26</f>
        <v>0.63566789392093426</v>
      </c>
      <c r="W22" s="26">
        <f>'Evolutive SFP'!U29/'Evolutive SFP'!U26</f>
        <v>0.63499059232709099</v>
      </c>
      <c r="X22" s="26">
        <f>'Evolutive SFP'!V29/'Evolutive SFP'!V26</f>
        <v>0.67905505510415021</v>
      </c>
      <c r="Y22" s="26">
        <f>'Evolutive SFP'!W29/'Evolutive SFP'!W26</f>
        <v>0.74038915062018185</v>
      </c>
      <c r="Z22" s="26">
        <f>'Evolutive SFP'!X29/'Evolutive SFP'!X26</f>
        <v>0</v>
      </c>
      <c r="AA22" s="26">
        <f>'Evolutive SFP'!Y29/'Evolutive SFP'!Y26</f>
        <v>0.67304069622826068</v>
      </c>
      <c r="AB22" s="26">
        <f>'Evolutive SFP'!Z29/'Evolutive SFP'!Z26</f>
        <v>0.65071424631172647</v>
      </c>
      <c r="AC22" s="26">
        <f>'Evolutive SFP'!AA29/'Evolutive SFP'!AA26</f>
        <v>0.63598934881143443</v>
      </c>
      <c r="AD22" s="26">
        <f>'Evolutive SFP'!AB29/'Evolutive SFP'!AB26</f>
        <v>0.65868166353864288</v>
      </c>
      <c r="AE22" s="26">
        <f>'Evolutive SFP'!AC29/'Evolutive SFP'!AC26</f>
        <v>0.6822086171859697</v>
      </c>
      <c r="AF22" s="26">
        <f>'Evolutive SFP'!AD29/'Evolutive SFP'!AD26</f>
        <v>0.71401425318144296</v>
      </c>
      <c r="AG22" s="26">
        <f>'Evolutive SFP'!AE29/'Evolutive SFP'!AE26</f>
        <v>0.71639744758055612</v>
      </c>
      <c r="AH22" s="26">
        <f>'Evolutive SFP'!AF29/'Evolutive SFP'!AF26</f>
        <v>0.74041315477869785</v>
      </c>
      <c r="AI22" s="26">
        <f>'Evolutive SFP'!AG29/'Evolutive SFP'!AG26</f>
        <v>0.69150764425083489</v>
      </c>
      <c r="AJ22" s="26">
        <f>'Evolutive SFP'!AH29/'Evolutive SFP'!AH26</f>
        <v>0.74190543277987575</v>
      </c>
      <c r="AK22" s="26">
        <f>'Evolutive SFP'!AI29/'Evolutive SFP'!AI26</f>
        <v>0.76237422104282049</v>
      </c>
      <c r="AL22" s="26">
        <f>'Evolutive SFP'!AJ29/'Evolutive SFP'!AJ26</f>
        <v>0.75858872557361678</v>
      </c>
      <c r="AM22" s="26">
        <f>'Evolutive SFP'!AK29/'Evolutive SFP'!AK26</f>
        <v>0.77281037688860776</v>
      </c>
      <c r="AN22" s="26">
        <f>'Evolutive SFP'!AL29/'Evolutive SFP'!AL26</f>
        <v>0.72038603653104472</v>
      </c>
      <c r="AO22" s="26">
        <f>'Evolutive SFP'!AM29/'Evolutive SFP'!AM26</f>
        <v>0.70549751211542444</v>
      </c>
      <c r="AP22" s="26">
        <f>'Evolutive SFP'!AN29/'Evolutive SFP'!AN26</f>
        <v>0.70316421251620409</v>
      </c>
      <c r="AQ22" s="26" t="e">
        <f>'Evolutive SFP'!AO29/'Evolutive SFP'!AO26</f>
        <v>#DIV/0!</v>
      </c>
      <c r="AR22" s="26" t="e">
        <f>'Evolutive SFP'!AP29/'Evolutive SFP'!AP26</f>
        <v>#DIV/0!</v>
      </c>
      <c r="AS22" s="26" t="e">
        <f>'Evolutive SFP'!AQ29/'Evolutive SFP'!AQ26</f>
        <v>#DIV/0!</v>
      </c>
      <c r="AT22" s="26" t="e">
        <f>'Evolutive SFP'!AR29/'Evolutive SFP'!AR26</f>
        <v>#DIV/0!</v>
      </c>
      <c r="AU22" s="26">
        <f>'Evolutive SFP'!AS29/'Evolutive SFP'!AS26</f>
        <v>1.7647404029040974</v>
      </c>
      <c r="AV22" s="26">
        <f>'Evolutive SFP'!AT29/'Evolutive SFP'!AT26</f>
        <v>0.84209595368239354</v>
      </c>
      <c r="AW22" s="26">
        <f>'Evolutive SFP'!AU29/'Evolutive SFP'!AU26</f>
        <v>0.79607040908240845</v>
      </c>
      <c r="AX22" s="26">
        <f>'Evolutive SFP'!AV29/'Evolutive SFP'!AV26</f>
        <v>0.81109585300982845</v>
      </c>
      <c r="AY22" s="26">
        <f>'Evolutive SFP'!AW29/'Evolutive SFP'!AW26</f>
        <v>0.7983752875663872</v>
      </c>
      <c r="AZ22" s="26">
        <f>'Evolutive SFP'!AX29/'Evolutive SFP'!AX26</f>
        <v>0.76130030185154163</v>
      </c>
      <c r="BA22" s="26" t="e">
        <f>'Evolutive SFP'!AY29/'Evolutive SFP'!AY26</f>
        <v>#DIV/0!</v>
      </c>
      <c r="BB22" s="26">
        <f>'Evolutive SFP'!AZ29/'Evolutive SFP'!AZ26</f>
        <v>0.8049867367134842</v>
      </c>
      <c r="BC22" s="26">
        <f>'Evolutive SFP'!BA29/'Evolutive SFP'!BA26</f>
        <v>0.78394792234873811</v>
      </c>
      <c r="BD22" s="26">
        <f>'Evolutive SFP'!BB29/'Evolutive SFP'!BB26</f>
        <v>0.75188416478112352</v>
      </c>
      <c r="BE22" s="26">
        <f>'Evolutive SFP'!BC29/'Evolutive SFP'!BC26</f>
        <v>0.75092394082681879</v>
      </c>
      <c r="BF22" s="26">
        <f>'Evolutive SFP'!BD29/'Evolutive SFP'!BD26</f>
        <v>0.72696575251598317</v>
      </c>
      <c r="BG22" s="26">
        <f>'Evolutive SFP'!BE29/'Evolutive SFP'!BE26</f>
        <v>0.78886628643091372</v>
      </c>
      <c r="BH22" s="26">
        <f>'Evolutive SFP'!BF29/'Evolutive SFP'!BF26</f>
        <v>0.83062155071817678</v>
      </c>
      <c r="BI22" s="26">
        <f>'Evolutive SFP'!BG29/'Evolutive SFP'!BG26</f>
        <v>0.8940808858646796</v>
      </c>
      <c r="BJ22" s="26">
        <f>'Evolutive SFP'!BH29/'Evolutive SFP'!BH26</f>
        <v>0.84143574808616062</v>
      </c>
      <c r="BK22" s="26">
        <f>'Evolutive SFP'!BI29/'Evolutive SFP'!BI26</f>
        <v>0.85563292829201087</v>
      </c>
      <c r="BL22" s="26">
        <f>'Evolutive SFP'!BJ29/'Evolutive SFP'!BJ26</f>
        <v>0.86328476298772527</v>
      </c>
      <c r="BM22" s="26">
        <f>'Evolutive SFP'!BK29/'Evolutive SFP'!BK26</f>
        <v>0.79507197593979073</v>
      </c>
      <c r="BN22" s="26">
        <f>'Evolutive SFP'!BL29/'Evolutive SFP'!BL26</f>
        <v>0.86167807436427879</v>
      </c>
      <c r="BO22" s="26">
        <f>'Evolutive SFP'!BM29/'Evolutive SFP'!BM26</f>
        <v>0.8686026709576351</v>
      </c>
      <c r="BP22" s="26">
        <f>'Evolutive SFP'!BN29/'Evolutive SFP'!BN26</f>
        <v>0.86962555466143232</v>
      </c>
      <c r="BQ22" s="26">
        <f>'Evolutive SFP'!BO29/'Evolutive SFP'!BO26</f>
        <v>0.97425092435720728</v>
      </c>
      <c r="BR22" s="26">
        <f>'Evolutive SFP'!BP29/'Evolutive SFP'!BP26</f>
        <v>0.87434382787741616</v>
      </c>
      <c r="BS22" s="26">
        <f>'Evolutive SFP'!BQ29/'Evolutive SFP'!BQ26</f>
        <v>0.865358441629141</v>
      </c>
      <c r="BT22" s="26">
        <f>'Evolutive SFP'!BR29/'Evolutive SFP'!BR26</f>
        <v>0.73620077260729877</v>
      </c>
      <c r="BU22" s="26">
        <f>'Evolutive SFP'!BS29/'Evolutive SFP'!BS26</f>
        <v>0.87359780144228072</v>
      </c>
      <c r="BV22" s="26">
        <f>'Evolutive SFP'!BT29/'Evolutive SFP'!BT26</f>
        <v>0.84549227097720436</v>
      </c>
      <c r="BW22" s="26">
        <f>'Evolutive SFP'!BU29/'Evolutive SFP'!BU26</f>
        <v>0.82382217350159348</v>
      </c>
      <c r="BX22" s="26">
        <f>'Evolutive SFP'!BV29/'Evolutive SFP'!BV26</f>
        <v>0.84997390053470434</v>
      </c>
    </row>
    <row r="23" spans="1:76">
      <c r="A23" s="325"/>
      <c r="B23" s="54" t="s">
        <v>189</v>
      </c>
      <c r="C23" s="2"/>
      <c r="D23" s="26">
        <f>('Evolutive SFP'!B27+'Evolutive SFP'!B28)/'Evolutive SFP'!B26</f>
        <v>0.18065100252817959</v>
      </c>
      <c r="E23" s="26">
        <f>('Evolutive SFP'!C27+'Evolutive SFP'!C28)/'Evolutive SFP'!C26</f>
        <v>0.14973142488500527</v>
      </c>
      <c r="F23" s="26">
        <f>('Evolutive SFP'!D27+'Evolutive SFP'!D28)/'Evolutive SFP'!D26</f>
        <v>8.5361502037536202E-2</v>
      </c>
      <c r="G23" s="26">
        <f>('Evolutive SFP'!E27+'Evolutive SFP'!E28)/'Evolutive SFP'!E26</f>
        <v>5.9589808041868836E-2</v>
      </c>
      <c r="H23" s="26">
        <f>('Evolutive SFP'!F27+'Evolutive SFP'!F28)/'Evolutive SFP'!F26</f>
        <v>-2.3177807475301692E-2</v>
      </c>
      <c r="I23" s="26">
        <f>('Evolutive SFP'!G27+'Evolutive SFP'!G28)/'Evolutive SFP'!G26</f>
        <v>7.1205012951379099E-2</v>
      </c>
      <c r="J23" s="26">
        <f>('Evolutive SFP'!H27+'Evolutive SFP'!H28)/'Evolutive SFP'!H26</f>
        <v>6.4179782517012993E-2</v>
      </c>
      <c r="K23" s="26">
        <f>('Evolutive SFP'!I27+'Evolutive SFP'!I28)/'Evolutive SFP'!I26</f>
        <v>0.12334578971228005</v>
      </c>
      <c r="L23" s="26">
        <f>('Evolutive SFP'!J27+'Evolutive SFP'!J28)/'Evolutive SFP'!J26</f>
        <v>-7.8080320486435349E-3</v>
      </c>
      <c r="M23" s="26">
        <f>('Evolutive SFP'!K27+'Evolutive SFP'!K28)/'Evolutive SFP'!K26</f>
        <v>-3.9155627448613825E-2</v>
      </c>
      <c r="N23" s="26" t="e">
        <f>('Evolutive SFP'!L27+'Evolutive SFP'!L28)/'Evolutive SFP'!L26</f>
        <v>#DIV/0!</v>
      </c>
      <c r="O23" s="26" t="e">
        <f>('Evolutive SFP'!M27+'Evolutive SFP'!M28)/'Evolutive SFP'!M26</f>
        <v>#DIV/0!</v>
      </c>
      <c r="P23" s="26" t="e">
        <f>('Evolutive SFP'!N27+'Evolutive SFP'!N28)/'Evolutive SFP'!N26</f>
        <v>#DIV/0!</v>
      </c>
      <c r="Q23" s="26" t="e">
        <f>('Evolutive SFP'!O27+'Evolutive SFP'!O28)/'Evolutive SFP'!O26</f>
        <v>#DIV/0!</v>
      </c>
      <c r="R23" s="26" t="e">
        <f>('Evolutive SFP'!P27+'Evolutive SFP'!P28)/'Evolutive SFP'!P26</f>
        <v>#DIV/0!</v>
      </c>
      <c r="S23" s="26" t="e">
        <f>('Evolutive SFP'!Q27+'Evolutive SFP'!Q28)/'Evolutive SFP'!Q26</f>
        <v>#DIV/0!</v>
      </c>
      <c r="T23" s="26">
        <f>('Evolutive SFP'!R27+'Evolutive SFP'!R28)/'Evolutive SFP'!R26</f>
        <v>-0.13267032200716261</v>
      </c>
      <c r="U23" s="26">
        <f>('Evolutive SFP'!S27+'Evolutive SFP'!S28)/'Evolutive SFP'!S26</f>
        <v>-1.3753771245401706E-2</v>
      </c>
      <c r="V23" s="26">
        <f>('Evolutive SFP'!T27+'Evolutive SFP'!T28)/'Evolutive SFP'!T26</f>
        <v>-3.8980603993554748E-2</v>
      </c>
      <c r="W23" s="26">
        <f>('Evolutive SFP'!U27+'Evolutive SFP'!U28)/'Evolutive SFP'!U26</f>
        <v>-3.8939070316195395E-2</v>
      </c>
      <c r="X23" s="26">
        <f>('Evolutive SFP'!V27+'Evolutive SFP'!V28)/'Evolutive SFP'!V26</f>
        <v>-8.4916370812767331E-2</v>
      </c>
      <c r="Y23" s="26">
        <f>('Evolutive SFP'!W27+'Evolutive SFP'!W28)/'Evolutive SFP'!W26</f>
        <v>-9.1310663103519915E-2</v>
      </c>
      <c r="Z23" s="26">
        <f>('Evolutive SFP'!X27+'Evolutive SFP'!X28)/'Evolutive SFP'!X26</f>
        <v>0.54135265735479843</v>
      </c>
      <c r="AA23" s="26">
        <f>('Evolutive SFP'!Y27+'Evolutive SFP'!Y28)/'Evolutive SFP'!Y26</f>
        <v>-0.1718826126538931</v>
      </c>
      <c r="AB23" s="26">
        <f>('Evolutive SFP'!Z27+'Evolutive SFP'!Z28)/'Evolutive SFP'!Z26</f>
        <v>-0.1088256823088599</v>
      </c>
      <c r="AC23" s="26">
        <f>('Evolutive SFP'!AA27+'Evolutive SFP'!AA28)/'Evolutive SFP'!AA26</f>
        <v>-0.12751647179146408</v>
      </c>
      <c r="AD23" s="26">
        <f>('Evolutive SFP'!AB27+'Evolutive SFP'!AB28)/'Evolutive SFP'!AB26</f>
        <v>-0.15499938693364473</v>
      </c>
      <c r="AE23" s="26">
        <f>('Evolutive SFP'!AC27+'Evolutive SFP'!AC28)/'Evolutive SFP'!AC26</f>
        <v>-0.11526928281118753</v>
      </c>
      <c r="AF23" s="26">
        <f>('Evolutive SFP'!AD27+'Evolutive SFP'!AD28)/'Evolutive SFP'!AD26</f>
        <v>-0.1783183901580713</v>
      </c>
      <c r="AG23" s="26">
        <f>('Evolutive SFP'!AE27+'Evolutive SFP'!AE28)/'Evolutive SFP'!AE26</f>
        <v>-0.12835035980903384</v>
      </c>
      <c r="AH23" s="26">
        <f>('Evolutive SFP'!AF27+'Evolutive SFP'!AF28)/'Evolutive SFP'!AF26</f>
        <v>-0.18347598586593597</v>
      </c>
      <c r="AI23" s="26">
        <f>('Evolutive SFP'!AG27+'Evolutive SFP'!AG28)/'Evolutive SFP'!AG26</f>
        <v>-0.15778036193121397</v>
      </c>
      <c r="AJ23" s="26">
        <f>('Evolutive SFP'!AH27+'Evolutive SFP'!AH28)/'Evolutive SFP'!AH26</f>
        <v>-0.25824007736947946</v>
      </c>
      <c r="AK23" s="26">
        <f>('Evolutive SFP'!AI27+'Evolutive SFP'!AI28)/'Evolutive SFP'!AI26</f>
        <v>-0.27367366558723516</v>
      </c>
      <c r="AL23" s="26">
        <f>('Evolutive SFP'!AJ27+'Evolutive SFP'!AJ28)/'Evolutive SFP'!AJ26</f>
        <v>-0.2619489054934882</v>
      </c>
      <c r="AM23" s="26">
        <f>('Evolutive SFP'!AK27+'Evolutive SFP'!AK28)/'Evolutive SFP'!AK26</f>
        <v>-0.24763419832026728</v>
      </c>
      <c r="AN23" s="26">
        <f>('Evolutive SFP'!AL27+'Evolutive SFP'!AL28)/'Evolutive SFP'!AL26</f>
        <v>-0.21603796524460367</v>
      </c>
      <c r="AO23" s="26">
        <f>('Evolutive SFP'!AM27+'Evolutive SFP'!AM28)/'Evolutive SFP'!AM26</f>
        <v>-0.20016942919412872</v>
      </c>
      <c r="AP23" s="26">
        <f>('Evolutive SFP'!AN27+'Evolutive SFP'!AN28)/'Evolutive SFP'!AN26</f>
        <v>-0.19791785150435265</v>
      </c>
      <c r="AQ23" s="26" t="e">
        <f>('Evolutive SFP'!AO27+'Evolutive SFP'!AO28)/'Evolutive SFP'!AO26</f>
        <v>#DIV/0!</v>
      </c>
      <c r="AR23" s="26" t="e">
        <f>('Evolutive SFP'!AP27+'Evolutive SFP'!AP28)/'Evolutive SFP'!AP26</f>
        <v>#DIV/0!</v>
      </c>
      <c r="AS23" s="26" t="e">
        <f>('Evolutive SFP'!AQ27+'Evolutive SFP'!AQ28)/'Evolutive SFP'!AQ26</f>
        <v>#DIV/0!</v>
      </c>
      <c r="AT23" s="26" t="e">
        <f>('Evolutive SFP'!AR27+'Evolutive SFP'!AR28)/'Evolutive SFP'!AR26</f>
        <v>#DIV/0!</v>
      </c>
      <c r="AU23" s="26">
        <f>('Evolutive SFP'!AS27+'Evolutive SFP'!AS28)/'Evolutive SFP'!AS26</f>
        <v>-0.48603432937464691</v>
      </c>
      <c r="AV23" s="26">
        <f>('Evolutive SFP'!AT27+'Evolutive SFP'!AT28)/'Evolutive SFP'!AT26</f>
        <v>0.27952803905386997</v>
      </c>
      <c r="AW23" s="26">
        <f>('Evolutive SFP'!AU27+'Evolutive SFP'!AU28)/'Evolutive SFP'!AU26</f>
        <v>0.22380796462992006</v>
      </c>
      <c r="AX23" s="26">
        <f>('Evolutive SFP'!AV27+'Evolutive SFP'!AV28)/'Evolutive SFP'!AV26</f>
        <v>0.23592731377183337</v>
      </c>
      <c r="AY23" s="26">
        <f>('Evolutive SFP'!AW27+'Evolutive SFP'!AW28)/'Evolutive SFP'!AW26</f>
        <v>0.2552706150834565</v>
      </c>
      <c r="AZ23" s="26">
        <f>('Evolutive SFP'!AX27+'Evolutive SFP'!AX28)/'Evolutive SFP'!AX26</f>
        <v>0.27265456697357071</v>
      </c>
      <c r="BA23" s="26" t="e">
        <f>('Evolutive SFP'!AY27+'Evolutive SFP'!AY28)/'Evolutive SFP'!AY26</f>
        <v>#DIV/0!</v>
      </c>
      <c r="BB23" s="26">
        <f>('Evolutive SFP'!AZ27+'Evolutive SFP'!AZ28)/'Evolutive SFP'!AZ26</f>
        <v>0.2191360825139515</v>
      </c>
      <c r="BC23" s="26">
        <f>('Evolutive SFP'!BA27+'Evolutive SFP'!BA28)/'Evolutive SFP'!BA26</f>
        <v>0.21606702196268221</v>
      </c>
      <c r="BD23" s="26">
        <f>('Evolutive SFP'!BB27+'Evolutive SFP'!BB28)/'Evolutive SFP'!BB26</f>
        <v>0.21469803505837484</v>
      </c>
      <c r="BE23" s="26">
        <f>('Evolutive SFP'!BC27+'Evolutive SFP'!BC28)/'Evolutive SFP'!BC26</f>
        <v>0.22072840742824132</v>
      </c>
      <c r="BF23" s="26">
        <f>('Evolutive SFP'!BD27+'Evolutive SFP'!BD28)/'Evolutive SFP'!BD26</f>
        <v>0.21915988531699038</v>
      </c>
      <c r="BG23" s="26">
        <f>('Evolutive SFP'!BE27+'Evolutive SFP'!BE28)/'Evolutive SFP'!BE26</f>
        <v>0.23139426066242491</v>
      </c>
      <c r="BH23" s="26">
        <f>('Evolutive SFP'!BF27+'Evolutive SFP'!BF28)/'Evolutive SFP'!BF26</f>
        <v>0.13762161719960941</v>
      </c>
      <c r="BI23" s="26">
        <f>('Evolutive SFP'!BG27+'Evolutive SFP'!BG28)/'Evolutive SFP'!BG26</f>
        <v>0.17644515595892515</v>
      </c>
      <c r="BJ23" s="26">
        <f>('Evolutive SFP'!BH27+'Evolutive SFP'!BH28)/'Evolutive SFP'!BH26</f>
        <v>0.11444019840959697</v>
      </c>
      <c r="BK23" s="26">
        <f>('Evolutive SFP'!BI27+'Evolutive SFP'!BI28)/'Evolutive SFP'!BI26</f>
        <v>0.14779813659685459</v>
      </c>
      <c r="BL23" s="26">
        <f>('Evolutive SFP'!BJ27+'Evolutive SFP'!BJ28)/'Evolutive SFP'!BJ26</f>
        <v>0.14910929276930751</v>
      </c>
      <c r="BM23" s="26">
        <f>('Evolutive SFP'!BK27+'Evolutive SFP'!BK28)/'Evolutive SFP'!BK26</f>
        <v>0.14289565940438587</v>
      </c>
      <c r="BN23" s="26">
        <f>('Evolutive SFP'!BL27+'Evolutive SFP'!BL28)/'Evolutive SFP'!BL26</f>
        <v>0.14771738072194868</v>
      </c>
      <c r="BO23" s="26">
        <f>('Evolutive SFP'!BM27+'Evolutive SFP'!BM28)/'Evolutive SFP'!BM26</f>
        <v>0.15083166076409218</v>
      </c>
      <c r="BP23" s="26">
        <f>('Evolutive SFP'!BN27+'Evolutive SFP'!BN28)/'Evolutive SFP'!BN26</f>
        <v>0.12782775040419236</v>
      </c>
      <c r="BQ23" s="26">
        <f>('Evolutive SFP'!BO27+'Evolutive SFP'!BO28)/'Evolutive SFP'!BO26</f>
        <v>0.15063695539514196</v>
      </c>
      <c r="BR23" s="26">
        <f>('Evolutive SFP'!BP27+'Evolutive SFP'!BP28)/'Evolutive SFP'!BP26</f>
        <v>0.13408484022436257</v>
      </c>
      <c r="BS23" s="26">
        <f>('Evolutive SFP'!BQ27+'Evolutive SFP'!BQ28)/'Evolutive SFP'!BQ26</f>
        <v>0.13591465199417133</v>
      </c>
      <c r="BT23" s="26">
        <f>('Evolutive SFP'!BR27+'Evolutive SFP'!BR28)/'Evolutive SFP'!BR26</f>
        <v>0.18870352242328287</v>
      </c>
      <c r="BU23" s="26">
        <f>('Evolutive SFP'!BS27+'Evolutive SFP'!BS28)/'Evolutive SFP'!BS26</f>
        <v>0.13291333347722181</v>
      </c>
      <c r="BV23" s="26">
        <f>('Evolutive SFP'!BT27+'Evolutive SFP'!BT28)/'Evolutive SFP'!BT26</f>
        <v>0.15204917529549308</v>
      </c>
      <c r="BW23" s="26">
        <f>('Evolutive SFP'!BU27+'Evolutive SFP'!BU28)/'Evolutive SFP'!BU26</f>
        <v>0.15827207902125234</v>
      </c>
      <c r="BX23" s="26">
        <f>('Evolutive SFP'!BV27+'Evolutive SFP'!BV28)/'Evolutive SFP'!BV26</f>
        <v>0.15490463214198569</v>
      </c>
    </row>
    <row r="24" spans="1:76">
      <c r="A24" s="324" t="s">
        <v>190</v>
      </c>
      <c r="B24" s="54" t="s">
        <v>33</v>
      </c>
      <c r="C24" s="2"/>
      <c r="D24" s="2"/>
      <c r="E24" s="26">
        <f>(Financials!D4-Financials!C4)/Financials!C4</f>
        <v>-0.15140409129199356</v>
      </c>
      <c r="F24" s="26">
        <f>(Financials!E4-Financials!D4)/Financials!D4</f>
        <v>4.8322055857232572E-2</v>
      </c>
      <c r="G24" s="26">
        <f>(Financials!F4-Financials!E4)/Financials!E4</f>
        <v>5.5070533537539254E-2</v>
      </c>
      <c r="H24" s="26">
        <f>(Financials!G4-Financials!F4)/Financials!F4</f>
        <v>-8.4353996850033475E-2</v>
      </c>
      <c r="I24" s="26">
        <f>(Financials!H4-Financials!G4)/Financials!G4</f>
        <v>0.10882181423783921</v>
      </c>
      <c r="J24" s="26">
        <f>(Financials!I4-Financials!H4)/Financials!H4</f>
        <v>-6.4083483540108663E-2</v>
      </c>
      <c r="K24" s="26">
        <f>(Financials!J4-Financials!I4)/Financials!I4</f>
        <v>-5.0449933061844754E-2</v>
      </c>
      <c r="L24" s="26">
        <f>(Financials!K4-Financials!J4)/Financials!J4</f>
        <v>-2.8485049572710378E-2</v>
      </c>
      <c r="M24" s="26">
        <f>(Financials!L4-Financials!K4)/Financials!K4</f>
        <v>-3.1979221900328827E-2</v>
      </c>
      <c r="N24" s="26">
        <f>(Financials!M4-Financials!L4)/Financials!L4</f>
        <v>-1</v>
      </c>
      <c r="O24" s="26" t="e">
        <f>(Financials!N4-Financials!M4)/Financials!M4</f>
        <v>#DIV/0!</v>
      </c>
      <c r="P24" s="26" t="e">
        <f>(Financials!O4-Financials!N4)/Financials!N4</f>
        <v>#DIV/0!</v>
      </c>
      <c r="Q24" s="26" t="e">
        <f>(Financials!P4-Financials!O4)/Financials!O4</f>
        <v>#DIV/0!</v>
      </c>
      <c r="R24" s="26" t="e">
        <f>(Financials!Q4-Financials!P4)/Financials!P4</f>
        <v>#DIV/0!</v>
      </c>
      <c r="S24" s="26" t="e">
        <f>(Financials!R4-Financials!Q4)/Financials!Q4</f>
        <v>#DIV/0!</v>
      </c>
      <c r="T24" s="26" t="e">
        <f>(Financials!S4-Financials!R4)/Financials!R4</f>
        <v>#DIV/0!</v>
      </c>
      <c r="U24" s="26">
        <f>(Financials!T4-Financials!S4)/Financials!S4</f>
        <v>8.668940733635927E-2</v>
      </c>
      <c r="V24" s="26">
        <f>(Financials!U4-Financials!T4)/Financials!T4</f>
        <v>-2.6593779014402522E-2</v>
      </c>
      <c r="W24" s="26">
        <f>(Financials!V4-Financials!U4)/Financials!U4</f>
        <v>1.066632485626543E-3</v>
      </c>
      <c r="X24" s="26">
        <f>(Financials!W4-Financials!V4)/Financials!V4</f>
        <v>-7.2401589846244174E-2</v>
      </c>
      <c r="Y24" s="26">
        <f>(Financials!X4-Financials!W4)/Financials!W4</f>
        <v>-7.1296279741439844E-2</v>
      </c>
      <c r="Z24" s="26">
        <f>(Financials!Y4-Financials!X4)/Financials!X4</f>
        <v>9.1951275335001637E-2</v>
      </c>
      <c r="AA24" s="26">
        <f>(Financials!Z4-Financials!Y4)/Financials!Y4</f>
        <v>-4.5731541914329106E-3</v>
      </c>
      <c r="AB24" s="26">
        <f>(Financials!AA4-Financials!Z4)/Financials!Z4</f>
        <v>4.3660956520766063E-2</v>
      </c>
      <c r="AC24" s="26">
        <f>(Financials!AB4-Financials!AA4)/Financials!AA4</f>
        <v>-2.3674356926128907E-2</v>
      </c>
      <c r="AD24" s="26">
        <f>(Financials!AC4-Financials!AB4)/Financials!AB4</f>
        <v>-5.2562092896630087E-2</v>
      </c>
      <c r="AE24" s="26">
        <f>(Financials!AD4-Financials!AC4)/Financials!AC4</f>
        <v>-2.2246899961836E-2</v>
      </c>
      <c r="AF24" s="26">
        <f>(Financials!AE4-Financials!AD4)/Financials!AD4</f>
        <v>-3.2691403311853724E-2</v>
      </c>
      <c r="AG24" s="26">
        <f>(Financials!AF4-Financials!AE4)/Financials!AE4</f>
        <v>1.5326376815895206E-2</v>
      </c>
      <c r="AH24" s="26">
        <f>(Financials!AG4-Financials!AF4)/Financials!AF4</f>
        <v>-6.0127325228778686E-2</v>
      </c>
      <c r="AI24" s="26">
        <f>(Financials!AH4-Financials!AG4)/Financials!AG4</f>
        <v>7.2219723422961873E-2</v>
      </c>
      <c r="AJ24" s="26">
        <f>(Financials!AI4-Financials!AH4)/Financials!AH4</f>
        <v>-7.3809061003343432E-2</v>
      </c>
      <c r="AK24" s="26">
        <f>(Financials!AJ4-Financials!AI4)/Financials!AI4</f>
        <v>-2.837062464571986E-2</v>
      </c>
      <c r="AL24" s="26">
        <f>(Financials!AK4-Financials!AJ4)/Financials!AJ4</f>
        <v>5.7207421435437897E-3</v>
      </c>
      <c r="AM24" s="26">
        <f>(Financials!AL4-Financials!AK4)/Financials!AK4</f>
        <v>-1.8532964651259212E-2</v>
      </c>
      <c r="AN24" s="26">
        <f>(Financials!AM4-Financials!AL4)/Financials!AL4</f>
        <v>7.1180687073957249E-2</v>
      </c>
      <c r="AO24" s="26">
        <f>(Financials!AN4-Financials!AM4)/Financials!AM4</f>
        <v>1.9349720653748261E-2</v>
      </c>
      <c r="AP24" s="26">
        <f>(Financials!AO4-Financials!AN4)/Financials!AN4</f>
        <v>4.5310539753296462E-3</v>
      </c>
      <c r="AQ24" s="26">
        <f>(Financials!AP4-Financials!AO4)/Financials!AO4</f>
        <v>-1</v>
      </c>
      <c r="AR24" s="26" t="e">
        <f>(Financials!AQ4-Financials!AP4)/Financials!AP4</f>
        <v>#DIV/0!</v>
      </c>
      <c r="AS24" s="26" t="e">
        <f>(Financials!AR4-Financials!AQ4)/Financials!AQ4</f>
        <v>#DIV/0!</v>
      </c>
      <c r="AT24" s="26" t="e">
        <f>(Financials!AS4-Financials!AR4)/Financials!AR4</f>
        <v>#DIV/0!</v>
      </c>
      <c r="AU24" s="26" t="e">
        <f>(Financials!AT4-Financials!AS4)/Financials!AS4</f>
        <v>#DIV/0!</v>
      </c>
      <c r="AV24" s="26">
        <f>(Financials!AU4-Financials!AT4)/Financials!AT4</f>
        <v>1.0951597303570748</v>
      </c>
      <c r="AW24" s="26">
        <f>(Financials!AV4-Financials!AU4)/Financials!AU4</f>
        <v>5.7208351112251601E-2</v>
      </c>
      <c r="AX24" s="26">
        <f>(Financials!AW4-Financials!AV4)/Financials!AV4</f>
        <v>-1.9027663180111815E-2</v>
      </c>
      <c r="AY24" s="26">
        <f>(Financials!AX4-Financials!AW4)/Financials!AW4</f>
        <v>1.7426113774554719E-2</v>
      </c>
      <c r="AZ24" s="26">
        <f>(Financials!AY4-Financials!AX4)/Financials!AX4</f>
        <v>4.7307223140323873E-2</v>
      </c>
      <c r="BA24" s="26">
        <f>(Financials!AZ4-Financials!AY4)/Financials!AY4</f>
        <v>-1</v>
      </c>
      <c r="BB24" s="26" t="e">
        <f>(Financials!BA4-Financials!AZ4)/Financials!AZ4</f>
        <v>#DIV/0!</v>
      </c>
      <c r="BC24" s="26">
        <f>(Financials!BB4-Financials!BA4)/Financials!BA4</f>
        <v>1.1877474977560872E-2</v>
      </c>
      <c r="BD24" s="26">
        <f>(Financials!BC4-Financials!BB4)/Financials!BB4</f>
        <v>3.5165264581753147E-2</v>
      </c>
      <c r="BE24" s="26">
        <f>(Financials!BD4-Financials!BC4)/Financials!BC4</f>
        <v>-9.172364531256208E-3</v>
      </c>
      <c r="BF24" s="26">
        <f>(Financials!BE4-Financials!BD4)/Financials!BD4</f>
        <v>3.5136755845864218E-2</v>
      </c>
      <c r="BG24" s="26">
        <f>(Financials!BF4-Financials!BE4)/Financials!BE4</f>
        <v>-7.9796145475678273E-2</v>
      </c>
      <c r="BH24" s="26">
        <f>(Financials!BG4-Financials!BF4)/Financials!BF4</f>
        <v>3.4113075437601115E-2</v>
      </c>
      <c r="BI24" s="26">
        <f>(Financials!BH4-Financials!BG4)/Financials!BG4</f>
        <v>-7.0114938285744374E-2</v>
      </c>
      <c r="BJ24" s="26">
        <f>(Financials!BI4-Financials!BH4)/Financials!BH4</f>
        <v>5.4411958149635023E-2</v>
      </c>
      <c r="BK24" s="26">
        <f>(Financials!BJ4-Financials!BI4)/Financials!BI4</f>
        <v>-4.4033846646274709E-2</v>
      </c>
      <c r="BL24" s="26">
        <f>(Financials!BK4-Financials!BJ4)/Financials!BJ4</f>
        <v>-1.5575904681683662E-2</v>
      </c>
      <c r="BM24" s="26">
        <f>(Financials!BL4-Financials!BK4)/Financials!BK4</f>
        <v>8.9241338692462605E-2</v>
      </c>
      <c r="BN24" s="26">
        <f>(Financials!BM4-Financials!BL4)/Financials!BL4</f>
        <v>-8.3935770539703219E-2</v>
      </c>
      <c r="BO24" s="26">
        <f>(Financials!BN4-Financials!BM4)/Financials!BM4</f>
        <v>-1.0057717628357244E-2</v>
      </c>
      <c r="BP24" s="26">
        <f>(Financials!BO4-Financials!BN4)/Financials!BN4</f>
        <v>-9.7041828219875223E-4</v>
      </c>
      <c r="BQ24" s="26">
        <f>(Financials!BP4-Financials!BO4)/Financials!BO4</f>
        <v>-0.10658467297644837</v>
      </c>
      <c r="BR24" s="26">
        <f>(Financials!BQ4-Financials!BP4)/Financials!BP4</f>
        <v>0.10920351403273479</v>
      </c>
      <c r="BS24" s="26">
        <f>(Financials!BR4-Financials!BQ4)/Financials!BQ4</f>
        <v>1.6507430416265619E-2</v>
      </c>
      <c r="BT24" s="26">
        <f>(Financials!BS4-Financials!BR4)/Financials!BR4</f>
        <v>0.12969523571673203</v>
      </c>
      <c r="BU24" s="26">
        <f>(Financials!BT4-Financials!BS4)/Financials!BS4</f>
        <v>-0.12099086451457816</v>
      </c>
      <c r="BV24" s="26">
        <f>(Financials!BU4-Financials!BT4)/Financials!BT4</f>
        <v>4.375273457254205E-2</v>
      </c>
      <c r="BW24" s="26">
        <f>(Financials!BV4-Financials!BU4)/Financials!BU4</f>
        <v>2.6536777817167196E-2</v>
      </c>
      <c r="BX24" s="26">
        <f>(Financials!BW4-Financials!BV4)/Financials!BV4</f>
        <v>-3.3566846532527013E-2</v>
      </c>
    </row>
    <row r="25" spans="1:76">
      <c r="A25" s="324"/>
      <c r="B25" s="54" t="s">
        <v>99</v>
      </c>
      <c r="C25" s="2"/>
      <c r="D25" s="26">
        <f>Financials!D5/Financials!C5-1</f>
        <v>-8.47875863215799E-2</v>
      </c>
      <c r="E25" s="26" t="e">
        <f>Financials!#REF!/Financials!D5-1</f>
        <v>#REF!</v>
      </c>
      <c r="F25" s="26" t="e">
        <f>Financials!#REF!/Financials!E5-1</f>
        <v>#REF!</v>
      </c>
      <c r="G25" s="26" t="e">
        <f>Financials!#REF!/Financials!F5-1</f>
        <v>#REF!</v>
      </c>
      <c r="H25" s="26" t="e">
        <f>Financials!#REF!/Financials!G5-1</f>
        <v>#REF!</v>
      </c>
      <c r="I25" s="26" t="e">
        <f>Financials!#REF!/Financials!H5-1</f>
        <v>#REF!</v>
      </c>
      <c r="J25" s="26" t="e">
        <f>Financials!#REF!/Financials!I5-1</f>
        <v>#REF!</v>
      </c>
      <c r="K25" s="26" t="e">
        <f>Financials!#REF!/Financials!J5-1</f>
        <v>#REF!</v>
      </c>
      <c r="L25" s="26" t="e">
        <f>Financials!#REF!/Financials!K5-1</f>
        <v>#REF!</v>
      </c>
      <c r="M25" s="26" t="e">
        <f>Financials!#REF!/Financials!L5-1</f>
        <v>#REF!</v>
      </c>
      <c r="N25" s="26" t="e">
        <f>Financials!#REF!/Financials!M5-1</f>
        <v>#REF!</v>
      </c>
      <c r="O25" s="26" t="e">
        <f>Financials!#REF!/Financials!N5-1</f>
        <v>#REF!</v>
      </c>
      <c r="P25" s="26" t="e">
        <f>Financials!#REF!/Financials!O5-1</f>
        <v>#REF!</v>
      </c>
      <c r="Q25" s="26" t="e">
        <f>Financials!#REF!/Financials!P5-1</f>
        <v>#REF!</v>
      </c>
      <c r="R25" s="26" t="e">
        <f>Financials!#REF!/Financials!Q5-1</f>
        <v>#REF!</v>
      </c>
      <c r="S25" s="26" t="e">
        <f>Financials!#REF!/Financials!R5-1</f>
        <v>#REF!</v>
      </c>
      <c r="T25" s="26" t="e">
        <f>Financials!#REF!/Financials!S5-1</f>
        <v>#REF!</v>
      </c>
      <c r="U25" s="26" t="e">
        <f>Financials!#REF!/Financials!T5-1</f>
        <v>#REF!</v>
      </c>
      <c r="V25" s="26" t="e">
        <f>Financials!#REF!/Financials!U5-1</f>
        <v>#REF!</v>
      </c>
      <c r="W25" s="26" t="e">
        <f>Financials!#REF!/Financials!V5-1</f>
        <v>#REF!</v>
      </c>
      <c r="X25" s="26" t="e">
        <f>Financials!#REF!/Financials!W5-1</f>
        <v>#REF!</v>
      </c>
      <c r="Y25" s="26" t="e">
        <f>Financials!#REF!/Financials!X5-1</f>
        <v>#REF!</v>
      </c>
      <c r="Z25" s="26" t="e">
        <f>Financials!#REF!/Financials!Y5-1</f>
        <v>#REF!</v>
      </c>
      <c r="AA25" s="26" t="e">
        <f>Financials!#REF!/Financials!Z5-1</f>
        <v>#REF!</v>
      </c>
      <c r="AB25" s="26" t="e">
        <f>Financials!#REF!/Financials!AA5-1</f>
        <v>#REF!</v>
      </c>
      <c r="AC25" s="26" t="e">
        <f>Financials!#REF!/Financials!AB5-1</f>
        <v>#REF!</v>
      </c>
      <c r="AD25" s="26" t="e">
        <f>Financials!#REF!/Financials!AC5-1</f>
        <v>#REF!</v>
      </c>
      <c r="AE25" s="26" t="e">
        <f>Financials!#REF!/Financials!AD5-1</f>
        <v>#REF!</v>
      </c>
      <c r="AF25" s="26" t="e">
        <f>Financials!#REF!/Financials!AE5-1</f>
        <v>#REF!</v>
      </c>
      <c r="AG25" s="26" t="e">
        <f>Financials!#REF!/Financials!AF5-1</f>
        <v>#REF!</v>
      </c>
      <c r="AH25" s="26" t="e">
        <f>Financials!#REF!/Financials!AG5-1</f>
        <v>#REF!</v>
      </c>
      <c r="AI25" s="26" t="e">
        <f>Financials!#REF!/Financials!AH5-1</f>
        <v>#REF!</v>
      </c>
      <c r="AJ25" s="26" t="e">
        <f>Financials!#REF!/Financials!AI5-1</f>
        <v>#REF!</v>
      </c>
      <c r="AK25" s="26" t="e">
        <f>Financials!#REF!/Financials!AJ5-1</f>
        <v>#REF!</v>
      </c>
      <c r="AL25" s="26" t="e">
        <f>Financials!#REF!/Financials!AK5-1</f>
        <v>#REF!</v>
      </c>
      <c r="AM25" s="26" t="e">
        <f>Financials!#REF!/Financials!AL5-1</f>
        <v>#REF!</v>
      </c>
      <c r="AN25" s="26" t="e">
        <f>Financials!#REF!/Financials!AM5-1</f>
        <v>#REF!</v>
      </c>
      <c r="AO25" s="26" t="e">
        <f>Financials!#REF!/Financials!AN5-1</f>
        <v>#REF!</v>
      </c>
      <c r="AP25" s="26" t="e">
        <f>Financials!#REF!/Financials!AO5-1</f>
        <v>#REF!</v>
      </c>
      <c r="AQ25" s="26" t="e">
        <f>Financials!#REF!/Financials!AP5-1</f>
        <v>#REF!</v>
      </c>
      <c r="AR25" s="26" t="e">
        <f>Financials!#REF!/Financials!AQ5-1</f>
        <v>#REF!</v>
      </c>
      <c r="AS25" s="26" t="e">
        <f>Financials!#REF!/Financials!AR5-1</f>
        <v>#REF!</v>
      </c>
      <c r="AT25" s="26" t="e">
        <f>Financials!#REF!/Financials!AS5-1</f>
        <v>#REF!</v>
      </c>
      <c r="AU25" s="26" t="e">
        <f>Financials!#REF!/Financials!AT5-1</f>
        <v>#REF!</v>
      </c>
      <c r="AV25" s="26" t="e">
        <f>Financials!#REF!/Financials!AU5-1</f>
        <v>#REF!</v>
      </c>
      <c r="AW25" s="26" t="e">
        <f>Financials!#REF!/Financials!AV5-1</f>
        <v>#REF!</v>
      </c>
      <c r="AX25" s="26" t="e">
        <f>Financials!#REF!/Financials!AW5-1</f>
        <v>#REF!</v>
      </c>
      <c r="AY25" s="26" t="e">
        <f>Financials!#REF!/Financials!AX5-1</f>
        <v>#REF!</v>
      </c>
      <c r="AZ25" s="26" t="e">
        <f>Financials!#REF!/Financials!AY5-1</f>
        <v>#REF!</v>
      </c>
      <c r="BA25" s="26" t="e">
        <f>Financials!#REF!/Financials!AZ5-1</f>
        <v>#REF!</v>
      </c>
      <c r="BB25" s="26" t="e">
        <f>Financials!#REF!/Financials!BA5-1</f>
        <v>#REF!</v>
      </c>
      <c r="BC25" s="26" t="e">
        <f>Financials!#REF!/Financials!BB5-1</f>
        <v>#REF!</v>
      </c>
      <c r="BD25" s="26" t="e">
        <f>Financials!#REF!/Financials!BC5-1</f>
        <v>#REF!</v>
      </c>
      <c r="BE25" s="26" t="e">
        <f>Financials!#REF!/Financials!BD5-1</f>
        <v>#REF!</v>
      </c>
      <c r="BF25" s="26" t="e">
        <f>Financials!#REF!/Financials!BE5-1</f>
        <v>#REF!</v>
      </c>
      <c r="BG25" s="26" t="e">
        <f>Financials!#REF!/Financials!BF5-1</f>
        <v>#REF!</v>
      </c>
      <c r="BH25" s="26" t="e">
        <f>Financials!#REF!/Financials!BG5-1</f>
        <v>#REF!</v>
      </c>
      <c r="BI25" s="26" t="e">
        <f>Financials!#REF!/Financials!BH5-1</f>
        <v>#REF!</v>
      </c>
      <c r="BJ25" s="26" t="e">
        <f>Financials!#REF!/Financials!BI5-1</f>
        <v>#REF!</v>
      </c>
      <c r="BK25" s="26" t="e">
        <f>Financials!#REF!/Financials!BJ5-1</f>
        <v>#REF!</v>
      </c>
      <c r="BL25" s="26" t="e">
        <f>Financials!#REF!/Financials!BK5-1</f>
        <v>#REF!</v>
      </c>
      <c r="BM25" s="26" t="e">
        <f>Financials!#REF!/Financials!BL5-1</f>
        <v>#REF!</v>
      </c>
      <c r="BN25" s="26" t="e">
        <f>Financials!#REF!/Financials!BM5-1</f>
        <v>#REF!</v>
      </c>
      <c r="BO25" s="26" t="e">
        <f>Financials!#REF!/Financials!BN5-1</f>
        <v>#REF!</v>
      </c>
      <c r="BP25" s="26" t="e">
        <f>Financials!#REF!/Financials!BO5-1</f>
        <v>#REF!</v>
      </c>
      <c r="BQ25" s="26" t="e">
        <f>Financials!#REF!/Financials!BP5-1</f>
        <v>#REF!</v>
      </c>
      <c r="BR25" s="26" t="e">
        <f>Financials!#REF!/Financials!BQ5-1</f>
        <v>#REF!</v>
      </c>
      <c r="BS25" s="26" t="e">
        <f>Financials!#REF!/Financials!BR5-1</f>
        <v>#REF!</v>
      </c>
      <c r="BT25" s="26" t="e">
        <f>Financials!#REF!/Financials!BS5-1</f>
        <v>#REF!</v>
      </c>
      <c r="BU25" s="26" t="e">
        <f>Financials!#REF!/Financials!BT5-1</f>
        <v>#REF!</v>
      </c>
      <c r="BV25" s="26" t="e">
        <f>Financials!#REF!/Financials!BU5-1</f>
        <v>#REF!</v>
      </c>
      <c r="BW25" s="26" t="e">
        <f>Financials!#REF!/Financials!BV5-1</f>
        <v>#REF!</v>
      </c>
      <c r="BX25" s="26" t="e">
        <f>Financials!#REF!/Financials!BW5-1</f>
        <v>#REF!</v>
      </c>
    </row>
    <row r="26" spans="1:76">
      <c r="A26" s="324"/>
      <c r="B26" s="55" t="s">
        <v>191</v>
      </c>
      <c r="C26" s="2"/>
      <c r="D26" s="26">
        <f>Financials!D6/Financials!C6-1</f>
        <v>1.0528248214162206E-2</v>
      </c>
      <c r="E26" s="26" t="e">
        <f>Financials!#REF!/Financials!D6-1</f>
        <v>#REF!</v>
      </c>
      <c r="F26" s="26" t="e">
        <f>Financials!#REF!/Financials!E6-1</f>
        <v>#REF!</v>
      </c>
      <c r="G26" s="26" t="e">
        <f>Financials!#REF!/Financials!F6-1</f>
        <v>#REF!</v>
      </c>
      <c r="H26" s="26" t="e">
        <f>Financials!#REF!/Financials!G6-1</f>
        <v>#REF!</v>
      </c>
      <c r="I26" s="26" t="e">
        <f>Financials!#REF!/Financials!H6-1</f>
        <v>#REF!</v>
      </c>
      <c r="J26" s="26" t="e">
        <f>Financials!#REF!/Financials!I6-1</f>
        <v>#REF!</v>
      </c>
      <c r="K26" s="26" t="e">
        <f>Financials!#REF!/Financials!J6-1</f>
        <v>#REF!</v>
      </c>
      <c r="L26" s="26" t="e">
        <f>Financials!#REF!/Financials!K6-1</f>
        <v>#REF!</v>
      </c>
      <c r="M26" s="26" t="e">
        <f>Financials!#REF!/Financials!L6-1</f>
        <v>#REF!</v>
      </c>
      <c r="N26" s="26" t="e">
        <f>Financials!#REF!/Financials!M6-1</f>
        <v>#REF!</v>
      </c>
      <c r="O26" s="26" t="e">
        <f>Financials!#REF!/Financials!N6-1</f>
        <v>#REF!</v>
      </c>
      <c r="P26" s="26" t="e">
        <f>Financials!#REF!/Financials!O6-1</f>
        <v>#REF!</v>
      </c>
      <c r="Q26" s="26" t="e">
        <f>Financials!#REF!/Financials!P6-1</f>
        <v>#REF!</v>
      </c>
      <c r="R26" s="26" t="e">
        <f>Financials!#REF!/Financials!Q6-1</f>
        <v>#REF!</v>
      </c>
      <c r="S26" s="26" t="e">
        <f>Financials!#REF!/Financials!R6-1</f>
        <v>#REF!</v>
      </c>
      <c r="T26" s="26" t="e">
        <f>Financials!#REF!/Financials!S6-1</f>
        <v>#REF!</v>
      </c>
      <c r="U26" s="26" t="e">
        <f>Financials!#REF!/Financials!T6-1</f>
        <v>#REF!</v>
      </c>
      <c r="V26" s="26" t="e">
        <f>Financials!#REF!/Financials!U6-1</f>
        <v>#REF!</v>
      </c>
      <c r="W26" s="26" t="e">
        <f>Financials!#REF!/Financials!V6-1</f>
        <v>#REF!</v>
      </c>
      <c r="X26" s="26" t="e">
        <f>Financials!#REF!/Financials!W6-1</f>
        <v>#REF!</v>
      </c>
      <c r="Y26" s="26" t="e">
        <f>Financials!#REF!/Financials!X6-1</f>
        <v>#REF!</v>
      </c>
      <c r="Z26" s="26" t="e">
        <f>Financials!#REF!/Financials!Y6-1</f>
        <v>#REF!</v>
      </c>
      <c r="AA26" s="26" t="e">
        <f>Financials!#REF!/Financials!Z6-1</f>
        <v>#REF!</v>
      </c>
      <c r="AB26" s="26" t="e">
        <f>Financials!#REF!/Financials!AA6-1</f>
        <v>#REF!</v>
      </c>
      <c r="AC26" s="26" t="e">
        <f>Financials!#REF!/Financials!AB6-1</f>
        <v>#REF!</v>
      </c>
      <c r="AD26" s="26" t="e">
        <f>Financials!#REF!/Financials!AC6-1</f>
        <v>#REF!</v>
      </c>
      <c r="AE26" s="26" t="e">
        <f>Financials!#REF!/Financials!AD6-1</f>
        <v>#REF!</v>
      </c>
      <c r="AF26" s="26" t="e">
        <f>Financials!#REF!/Financials!AE6-1</f>
        <v>#REF!</v>
      </c>
      <c r="AG26" s="26" t="e">
        <f>Financials!#REF!/Financials!AF6-1</f>
        <v>#REF!</v>
      </c>
      <c r="AH26" s="26" t="e">
        <f>Financials!#REF!/Financials!AG6-1</f>
        <v>#REF!</v>
      </c>
      <c r="AI26" s="26" t="e">
        <f>Financials!#REF!/Financials!AH6-1</f>
        <v>#REF!</v>
      </c>
      <c r="AJ26" s="26" t="e">
        <f>Financials!#REF!/Financials!AI6-1</f>
        <v>#REF!</v>
      </c>
      <c r="AK26" s="26" t="e">
        <f>Financials!#REF!/Financials!AJ6-1</f>
        <v>#REF!</v>
      </c>
      <c r="AL26" s="26" t="e">
        <f>Financials!#REF!/Financials!AK6-1</f>
        <v>#REF!</v>
      </c>
      <c r="AM26" s="26" t="e">
        <f>Financials!#REF!/Financials!AL6-1</f>
        <v>#REF!</v>
      </c>
      <c r="AN26" s="26" t="e">
        <f>Financials!#REF!/Financials!AM6-1</f>
        <v>#REF!</v>
      </c>
      <c r="AO26" s="26" t="e">
        <f>Financials!#REF!/Financials!AN6-1</f>
        <v>#REF!</v>
      </c>
      <c r="AP26" s="26" t="e">
        <f>Financials!#REF!/Financials!AO6-1</f>
        <v>#REF!</v>
      </c>
      <c r="AQ26" s="26" t="e">
        <f>Financials!#REF!/Financials!AP6-1</f>
        <v>#REF!</v>
      </c>
      <c r="AR26" s="26" t="e">
        <f>Financials!#REF!/Financials!AQ6-1</f>
        <v>#REF!</v>
      </c>
      <c r="AS26" s="26" t="e">
        <f>Financials!#REF!/Financials!AR6-1</f>
        <v>#REF!</v>
      </c>
      <c r="AT26" s="26" t="e">
        <f>Financials!#REF!/Financials!AS6-1</f>
        <v>#REF!</v>
      </c>
      <c r="AU26" s="26" t="e">
        <f>Financials!#REF!/Financials!AT6-1</f>
        <v>#REF!</v>
      </c>
      <c r="AV26" s="26" t="e">
        <f>Financials!#REF!/Financials!AU6-1</f>
        <v>#REF!</v>
      </c>
      <c r="AW26" s="26" t="e">
        <f>Financials!#REF!/Financials!AV6-1</f>
        <v>#REF!</v>
      </c>
      <c r="AX26" s="26" t="e">
        <f>Financials!#REF!/Financials!AW6-1</f>
        <v>#REF!</v>
      </c>
      <c r="AY26" s="26" t="e">
        <f>Financials!#REF!/Financials!AX6-1</f>
        <v>#REF!</v>
      </c>
      <c r="AZ26" s="26" t="e">
        <f>Financials!#REF!/Financials!AY6-1</f>
        <v>#REF!</v>
      </c>
      <c r="BA26" s="26" t="e">
        <f>Financials!#REF!/Financials!AZ6-1</f>
        <v>#REF!</v>
      </c>
      <c r="BB26" s="26" t="e">
        <f>Financials!#REF!/Financials!BA6-1</f>
        <v>#REF!</v>
      </c>
      <c r="BC26" s="26" t="e">
        <f>Financials!#REF!/Financials!BB6-1</f>
        <v>#REF!</v>
      </c>
      <c r="BD26" s="26" t="e">
        <f>Financials!#REF!/Financials!BC6-1</f>
        <v>#REF!</v>
      </c>
      <c r="BE26" s="26" t="e">
        <f>Financials!#REF!/Financials!BD6-1</f>
        <v>#REF!</v>
      </c>
      <c r="BF26" s="26" t="e">
        <f>Financials!#REF!/Financials!BE6-1</f>
        <v>#REF!</v>
      </c>
      <c r="BG26" s="26" t="e">
        <f>Financials!#REF!/Financials!BF6-1</f>
        <v>#REF!</v>
      </c>
      <c r="BH26" s="26" t="e">
        <f>Financials!#REF!/Financials!BG6-1</f>
        <v>#REF!</v>
      </c>
      <c r="BI26" s="26" t="e">
        <f>Financials!#REF!/Financials!BH6-1</f>
        <v>#REF!</v>
      </c>
      <c r="BJ26" s="26" t="e">
        <f>Financials!#REF!/Financials!BI6-1</f>
        <v>#REF!</v>
      </c>
      <c r="BK26" s="26" t="e">
        <f>Financials!#REF!/Financials!BJ6-1</f>
        <v>#REF!</v>
      </c>
      <c r="BL26" s="26" t="e">
        <f>Financials!#REF!/Financials!BK6-1</f>
        <v>#REF!</v>
      </c>
      <c r="BM26" s="26" t="e">
        <f>Financials!#REF!/Financials!BL6-1</f>
        <v>#REF!</v>
      </c>
      <c r="BN26" s="26" t="e">
        <f>Financials!#REF!/Financials!BM6-1</f>
        <v>#REF!</v>
      </c>
      <c r="BO26" s="26" t="e">
        <f>Financials!#REF!/Financials!BN6-1</f>
        <v>#REF!</v>
      </c>
      <c r="BP26" s="26" t="e">
        <f>Financials!#REF!/Financials!BO6-1</f>
        <v>#REF!</v>
      </c>
      <c r="BQ26" s="26" t="e">
        <f>Financials!#REF!/Financials!BP6-1</f>
        <v>#REF!</v>
      </c>
      <c r="BR26" s="26" t="e">
        <f>Financials!#REF!/Financials!BQ6-1</f>
        <v>#REF!</v>
      </c>
      <c r="BS26" s="26" t="e">
        <f>Financials!#REF!/Financials!BR6-1</f>
        <v>#REF!</v>
      </c>
      <c r="BT26" s="26" t="e">
        <f>Financials!#REF!/Financials!BS6-1</f>
        <v>#REF!</v>
      </c>
      <c r="BU26" s="26" t="e">
        <f>Financials!#REF!/Financials!BT6-1</f>
        <v>#REF!</v>
      </c>
      <c r="BV26" s="26" t="e">
        <f>Financials!#REF!/Financials!BU6-1</f>
        <v>#REF!</v>
      </c>
      <c r="BW26" s="26" t="e">
        <f>Financials!#REF!/Financials!BV6-1</f>
        <v>#REF!</v>
      </c>
      <c r="BX26" s="26" t="e">
        <f>Financials!#REF!/Financials!BW6-1</f>
        <v>#REF!</v>
      </c>
    </row>
    <row r="27" spans="1:76">
      <c r="A27" s="324"/>
      <c r="B27" s="55" t="s">
        <v>192</v>
      </c>
      <c r="C27" s="2"/>
      <c r="D27" s="26">
        <f>Financials!D7/Financials!C7-1</f>
        <v>-0.29664672332712094</v>
      </c>
      <c r="E27" s="26" t="e">
        <f>Financials!#REF!/Financials!D7-1</f>
        <v>#REF!</v>
      </c>
      <c r="F27" s="26" t="e">
        <f>Financials!#REF!/Financials!E7-1</f>
        <v>#REF!</v>
      </c>
      <c r="G27" s="26" t="e">
        <f>Financials!#REF!/Financials!F7-1</f>
        <v>#REF!</v>
      </c>
      <c r="H27" s="26" t="e">
        <f>Financials!#REF!/Financials!G7-1</f>
        <v>#REF!</v>
      </c>
      <c r="I27" s="26" t="e">
        <f>Financials!#REF!/Financials!H7-1</f>
        <v>#REF!</v>
      </c>
      <c r="J27" s="26" t="e">
        <f>Financials!#REF!/Financials!I7-1</f>
        <v>#REF!</v>
      </c>
      <c r="K27" s="26" t="e">
        <f>Financials!#REF!/Financials!J7-1</f>
        <v>#REF!</v>
      </c>
      <c r="L27" s="26" t="e">
        <f>Financials!#REF!/Financials!K7-1</f>
        <v>#REF!</v>
      </c>
      <c r="M27" s="26" t="e">
        <f>Financials!#REF!/Financials!L7-1</f>
        <v>#REF!</v>
      </c>
      <c r="N27" s="26" t="e">
        <f>Financials!#REF!/Financials!M7-1</f>
        <v>#REF!</v>
      </c>
      <c r="O27" s="26" t="e">
        <f>Financials!#REF!/Financials!N7-1</f>
        <v>#REF!</v>
      </c>
      <c r="P27" s="26" t="e">
        <f>Financials!#REF!/Financials!O7-1</f>
        <v>#REF!</v>
      </c>
      <c r="Q27" s="26" t="e">
        <f>Financials!#REF!/Financials!P7-1</f>
        <v>#REF!</v>
      </c>
      <c r="R27" s="26" t="e">
        <f>Financials!#REF!/Financials!Q7-1</f>
        <v>#REF!</v>
      </c>
      <c r="S27" s="26" t="e">
        <f>Financials!#REF!/Financials!R7-1</f>
        <v>#REF!</v>
      </c>
      <c r="T27" s="26" t="e">
        <f>Financials!#REF!/Financials!S7-1</f>
        <v>#REF!</v>
      </c>
      <c r="U27" s="26" t="e">
        <f>Financials!#REF!/Financials!T7-1</f>
        <v>#REF!</v>
      </c>
      <c r="V27" s="26" t="e">
        <f>Financials!#REF!/Financials!U7-1</f>
        <v>#REF!</v>
      </c>
      <c r="W27" s="26" t="e">
        <f>Financials!#REF!/Financials!V7-1</f>
        <v>#REF!</v>
      </c>
      <c r="X27" s="26" t="e">
        <f>Financials!#REF!/Financials!W7-1</f>
        <v>#REF!</v>
      </c>
      <c r="Y27" s="26" t="e">
        <f>Financials!#REF!/Financials!X7-1</f>
        <v>#REF!</v>
      </c>
      <c r="Z27" s="26" t="e">
        <f>Financials!#REF!/Financials!Y7-1</f>
        <v>#REF!</v>
      </c>
      <c r="AA27" s="26" t="e">
        <f>Financials!#REF!/Financials!Z7-1</f>
        <v>#REF!</v>
      </c>
      <c r="AB27" s="26" t="e">
        <f>Financials!#REF!/Financials!AA7-1</f>
        <v>#REF!</v>
      </c>
      <c r="AC27" s="26" t="e">
        <f>Financials!#REF!/Financials!AB7-1</f>
        <v>#REF!</v>
      </c>
      <c r="AD27" s="26" t="e">
        <f>Financials!#REF!/Financials!AC7-1</f>
        <v>#REF!</v>
      </c>
      <c r="AE27" s="26" t="e">
        <f>Financials!#REF!/Financials!AD7-1</f>
        <v>#REF!</v>
      </c>
      <c r="AF27" s="26" t="e">
        <f>Financials!#REF!/Financials!AE7-1</f>
        <v>#REF!</v>
      </c>
      <c r="AG27" s="26" t="e">
        <f>Financials!#REF!/Financials!AF7-1</f>
        <v>#REF!</v>
      </c>
      <c r="AH27" s="26" t="e">
        <f>Financials!#REF!/Financials!AG7-1</f>
        <v>#REF!</v>
      </c>
      <c r="AI27" s="26" t="e">
        <f>Financials!#REF!/Financials!AH7-1</f>
        <v>#REF!</v>
      </c>
      <c r="AJ27" s="26" t="e">
        <f>Financials!#REF!/Financials!AI7-1</f>
        <v>#REF!</v>
      </c>
      <c r="AK27" s="26" t="e">
        <f>Financials!#REF!/Financials!AJ7-1</f>
        <v>#REF!</v>
      </c>
      <c r="AL27" s="26" t="e">
        <f>Financials!#REF!/Financials!AK7-1</f>
        <v>#REF!</v>
      </c>
      <c r="AM27" s="26" t="e">
        <f>Financials!#REF!/Financials!AL7-1</f>
        <v>#REF!</v>
      </c>
      <c r="AN27" s="26" t="e">
        <f>Financials!#REF!/Financials!AM7-1</f>
        <v>#REF!</v>
      </c>
      <c r="AO27" s="26" t="e">
        <f>Financials!#REF!/Financials!AN7-1</f>
        <v>#REF!</v>
      </c>
      <c r="AP27" s="26" t="e">
        <f>Financials!#REF!/Financials!AO7-1</f>
        <v>#REF!</v>
      </c>
      <c r="AQ27" s="26" t="e">
        <f>Financials!#REF!/Financials!AP7-1</f>
        <v>#REF!</v>
      </c>
      <c r="AR27" s="26" t="e">
        <f>Financials!#REF!/Financials!AQ7-1</f>
        <v>#REF!</v>
      </c>
      <c r="AS27" s="26" t="e">
        <f>Financials!#REF!/Financials!AR7-1</f>
        <v>#REF!</v>
      </c>
      <c r="AT27" s="26" t="e">
        <f>Financials!#REF!/Financials!AS7-1</f>
        <v>#REF!</v>
      </c>
      <c r="AU27" s="26" t="e">
        <f>Financials!#REF!/Financials!AT7-1</f>
        <v>#REF!</v>
      </c>
      <c r="AV27" s="26" t="e">
        <f>Financials!#REF!/Financials!AU7-1</f>
        <v>#REF!</v>
      </c>
      <c r="AW27" s="26" t="e">
        <f>Financials!#REF!/Financials!AV7-1</f>
        <v>#REF!</v>
      </c>
      <c r="AX27" s="26" t="e">
        <f>Financials!#REF!/Financials!AW7-1</f>
        <v>#REF!</v>
      </c>
      <c r="AY27" s="26" t="e">
        <f>Financials!#REF!/Financials!AX7-1</f>
        <v>#REF!</v>
      </c>
      <c r="AZ27" s="26" t="e">
        <f>Financials!#REF!/Financials!AY7-1</f>
        <v>#REF!</v>
      </c>
      <c r="BA27" s="26" t="e">
        <f>Financials!#REF!/Financials!AZ7-1</f>
        <v>#REF!</v>
      </c>
      <c r="BB27" s="26" t="e">
        <f>Financials!#REF!/Financials!BA7-1</f>
        <v>#REF!</v>
      </c>
      <c r="BC27" s="26" t="e">
        <f>Financials!#REF!/Financials!BB7-1</f>
        <v>#REF!</v>
      </c>
      <c r="BD27" s="26" t="e">
        <f>Financials!#REF!/Financials!BC7-1</f>
        <v>#REF!</v>
      </c>
      <c r="BE27" s="26" t="e">
        <f>Financials!#REF!/Financials!BD7-1</f>
        <v>#REF!</v>
      </c>
      <c r="BF27" s="26" t="e">
        <f>Financials!#REF!/Financials!BE7-1</f>
        <v>#REF!</v>
      </c>
      <c r="BG27" s="26" t="e">
        <f>Financials!#REF!/Financials!BF7-1</f>
        <v>#REF!</v>
      </c>
      <c r="BH27" s="26" t="e">
        <f>Financials!#REF!/Financials!BG7-1</f>
        <v>#REF!</v>
      </c>
      <c r="BI27" s="26" t="e">
        <f>Financials!#REF!/Financials!BH7-1</f>
        <v>#REF!</v>
      </c>
      <c r="BJ27" s="26" t="e">
        <f>Financials!#REF!/Financials!BI7-1</f>
        <v>#REF!</v>
      </c>
      <c r="BK27" s="26" t="e">
        <f>Financials!#REF!/Financials!BJ7-1</f>
        <v>#REF!</v>
      </c>
      <c r="BL27" s="26" t="e">
        <f>Financials!#REF!/Financials!BK7-1</f>
        <v>#REF!</v>
      </c>
      <c r="BM27" s="26" t="e">
        <f>Financials!#REF!/Financials!BL7-1</f>
        <v>#REF!</v>
      </c>
      <c r="BN27" s="26" t="e">
        <f>Financials!#REF!/Financials!BM7-1</f>
        <v>#REF!</v>
      </c>
      <c r="BO27" s="26" t="e">
        <f>Financials!#REF!/Financials!BN7-1</f>
        <v>#REF!</v>
      </c>
      <c r="BP27" s="26" t="e">
        <f>Financials!#REF!/Financials!BO7-1</f>
        <v>#REF!</v>
      </c>
      <c r="BQ27" s="26" t="e">
        <f>Financials!#REF!/Financials!BP7-1</f>
        <v>#REF!</v>
      </c>
      <c r="BR27" s="26" t="e">
        <f>Financials!#REF!/Financials!BQ7-1</f>
        <v>#REF!</v>
      </c>
      <c r="BS27" s="26" t="e">
        <f>Financials!#REF!/Financials!BR7-1</f>
        <v>#REF!</v>
      </c>
      <c r="BT27" s="26" t="e">
        <f>Financials!#REF!/Financials!BS7-1</f>
        <v>#REF!</v>
      </c>
      <c r="BU27" s="26" t="e">
        <f>Financials!#REF!/Financials!BT7-1</f>
        <v>#REF!</v>
      </c>
      <c r="BV27" s="26" t="e">
        <f>Financials!#REF!/Financials!BU7-1</f>
        <v>#REF!</v>
      </c>
      <c r="BW27" s="26" t="e">
        <f>Financials!#REF!/Financials!BV7-1</f>
        <v>#REF!</v>
      </c>
      <c r="BX27" s="26" t="e">
        <f>Financials!#REF!/Financials!BW7-1</f>
        <v>#REF!</v>
      </c>
    </row>
    <row r="28" spans="1:76">
      <c r="A28" s="324"/>
      <c r="B28" s="54" t="s">
        <v>193</v>
      </c>
      <c r="C28" s="2"/>
      <c r="D28" s="26">
        <f>Financials!D31/Financials!C31-1</f>
        <v>8.579813815465176E-2</v>
      </c>
      <c r="E28" s="26" t="e">
        <f>Financials!#REF!/Financials!D31-1</f>
        <v>#REF!</v>
      </c>
      <c r="F28" s="26" t="e">
        <f>Financials!#REF!/Financials!E31-1</f>
        <v>#REF!</v>
      </c>
      <c r="G28" s="26" t="e">
        <f>Financials!#REF!/Financials!F31-1</f>
        <v>#REF!</v>
      </c>
      <c r="H28" s="26" t="e">
        <f>Financials!#REF!/Financials!G31-1</f>
        <v>#REF!</v>
      </c>
      <c r="I28" s="26" t="e">
        <f>Financials!#REF!/Financials!H31-1</f>
        <v>#REF!</v>
      </c>
      <c r="J28" s="26" t="e">
        <f>Financials!#REF!/Financials!I31-1</f>
        <v>#REF!</v>
      </c>
      <c r="K28" s="26" t="e">
        <f>Financials!#REF!/Financials!J31-1</f>
        <v>#REF!</v>
      </c>
      <c r="L28" s="26" t="e">
        <f>Financials!#REF!/Financials!K31-1</f>
        <v>#REF!</v>
      </c>
      <c r="M28" s="26" t="e">
        <f>Financials!#REF!/Financials!L31-1</f>
        <v>#REF!</v>
      </c>
      <c r="N28" s="26" t="e">
        <f>Financials!#REF!/Financials!M31-1</f>
        <v>#REF!</v>
      </c>
      <c r="O28" s="26" t="e">
        <f>Financials!#REF!/Financials!N31-1</f>
        <v>#REF!</v>
      </c>
      <c r="P28" s="26" t="e">
        <f>Financials!#REF!/Financials!O31-1</f>
        <v>#REF!</v>
      </c>
      <c r="Q28" s="26" t="e">
        <f>Financials!#REF!/Financials!P31-1</f>
        <v>#REF!</v>
      </c>
      <c r="R28" s="26" t="e">
        <f>Financials!#REF!/Financials!Q31-1</f>
        <v>#REF!</v>
      </c>
      <c r="S28" s="26" t="e">
        <f>Financials!#REF!/Financials!R31-1</f>
        <v>#REF!</v>
      </c>
      <c r="T28" s="26" t="e">
        <f>Financials!#REF!/Financials!S31-1</f>
        <v>#REF!</v>
      </c>
      <c r="U28" s="26" t="e">
        <f>Financials!#REF!/Financials!T31-1</f>
        <v>#REF!</v>
      </c>
      <c r="V28" s="26" t="e">
        <f>Financials!#REF!/Financials!U31-1</f>
        <v>#REF!</v>
      </c>
      <c r="W28" s="26" t="e">
        <f>Financials!#REF!/Financials!V31-1</f>
        <v>#REF!</v>
      </c>
      <c r="X28" s="26" t="e">
        <f>Financials!#REF!/Financials!W31-1</f>
        <v>#REF!</v>
      </c>
      <c r="Y28" s="26" t="e">
        <f>Financials!#REF!/Financials!X31-1</f>
        <v>#REF!</v>
      </c>
      <c r="Z28" s="26" t="e">
        <f>Financials!#REF!/Financials!Y31-1</f>
        <v>#REF!</v>
      </c>
      <c r="AA28" s="26" t="e">
        <f>Financials!#REF!/Financials!Z31-1</f>
        <v>#REF!</v>
      </c>
      <c r="AB28" s="26" t="e">
        <f>Financials!#REF!/Financials!AA31-1</f>
        <v>#REF!</v>
      </c>
      <c r="AC28" s="26" t="e">
        <f>Financials!#REF!/Financials!AB31-1</f>
        <v>#REF!</v>
      </c>
      <c r="AD28" s="26" t="e">
        <f>Financials!#REF!/Financials!AC31-1</f>
        <v>#REF!</v>
      </c>
      <c r="AE28" s="26" t="e">
        <f>Financials!#REF!/Financials!AD31-1</f>
        <v>#REF!</v>
      </c>
      <c r="AF28" s="26" t="e">
        <f>Financials!#REF!/Financials!AE31-1</f>
        <v>#REF!</v>
      </c>
      <c r="AG28" s="26" t="e">
        <f>Financials!#REF!/Financials!AF31-1</f>
        <v>#REF!</v>
      </c>
      <c r="AH28" s="26" t="e">
        <f>Financials!#REF!/Financials!AG31-1</f>
        <v>#REF!</v>
      </c>
      <c r="AI28" s="26" t="e">
        <f>Financials!#REF!/Financials!AH31-1</f>
        <v>#REF!</v>
      </c>
      <c r="AJ28" s="26" t="e">
        <f>Financials!#REF!/Financials!AI31-1</f>
        <v>#REF!</v>
      </c>
      <c r="AK28" s="26" t="e">
        <f>Financials!#REF!/Financials!AJ31-1</f>
        <v>#REF!</v>
      </c>
      <c r="AL28" s="26" t="e">
        <f>Financials!#REF!/Financials!AK31-1</f>
        <v>#REF!</v>
      </c>
      <c r="AM28" s="26" t="e">
        <f>Financials!#REF!/Financials!AL31-1</f>
        <v>#REF!</v>
      </c>
      <c r="AN28" s="26" t="e">
        <f>Financials!#REF!/Financials!AM31-1</f>
        <v>#REF!</v>
      </c>
      <c r="AO28" s="26" t="e">
        <f>Financials!#REF!/Financials!AN31-1</f>
        <v>#REF!</v>
      </c>
      <c r="AP28" s="26" t="e">
        <f>Financials!#REF!/Financials!AO31-1</f>
        <v>#REF!</v>
      </c>
      <c r="AQ28" s="26" t="e">
        <f>Financials!#REF!/Financials!AP31-1</f>
        <v>#REF!</v>
      </c>
      <c r="AR28" s="26" t="e">
        <f>Financials!#REF!/Financials!AQ31-1</f>
        <v>#REF!</v>
      </c>
      <c r="AS28" s="26" t="e">
        <f>Financials!#REF!/Financials!AR31-1</f>
        <v>#REF!</v>
      </c>
      <c r="AT28" s="26" t="e">
        <f>Financials!#REF!/Financials!AS31-1</f>
        <v>#REF!</v>
      </c>
      <c r="AU28" s="26" t="e">
        <f>Financials!#REF!/Financials!AT31-1</f>
        <v>#REF!</v>
      </c>
      <c r="AV28" s="26" t="e">
        <f>Financials!#REF!/Financials!AU31-1</f>
        <v>#REF!</v>
      </c>
      <c r="AW28" s="26" t="e">
        <f>Financials!#REF!/Financials!AV31-1</f>
        <v>#REF!</v>
      </c>
      <c r="AX28" s="26" t="e">
        <f>Financials!#REF!/Financials!AW31-1</f>
        <v>#REF!</v>
      </c>
      <c r="AY28" s="26" t="e">
        <f>Financials!#REF!/Financials!AX31-1</f>
        <v>#REF!</v>
      </c>
      <c r="AZ28" s="26" t="e">
        <f>Financials!#REF!/Financials!AY31-1</f>
        <v>#REF!</v>
      </c>
      <c r="BA28" s="26" t="e">
        <f>Financials!#REF!/Financials!AZ31-1</f>
        <v>#REF!</v>
      </c>
      <c r="BB28" s="26" t="e">
        <f>Financials!#REF!/Financials!BA31-1</f>
        <v>#REF!</v>
      </c>
      <c r="BC28" s="26" t="e">
        <f>Financials!#REF!/Financials!BB31-1</f>
        <v>#REF!</v>
      </c>
      <c r="BD28" s="26" t="e">
        <f>Financials!#REF!/Financials!BC31-1</f>
        <v>#REF!</v>
      </c>
      <c r="BE28" s="26" t="e">
        <f>Financials!#REF!/Financials!BD31-1</f>
        <v>#REF!</v>
      </c>
      <c r="BF28" s="26" t="e">
        <f>Financials!#REF!/Financials!BE31-1</f>
        <v>#REF!</v>
      </c>
      <c r="BG28" s="26" t="e">
        <f>Financials!#REF!/Financials!BF31-1</f>
        <v>#REF!</v>
      </c>
      <c r="BH28" s="26" t="e">
        <f>Financials!#REF!/Financials!BG31-1</f>
        <v>#REF!</v>
      </c>
      <c r="BI28" s="26" t="e">
        <f>Financials!#REF!/Financials!BH31-1</f>
        <v>#REF!</v>
      </c>
      <c r="BJ28" s="26" t="e">
        <f>Financials!#REF!/Financials!BI31-1</f>
        <v>#REF!</v>
      </c>
      <c r="BK28" s="26" t="e">
        <f>Financials!#REF!/Financials!BJ31-1</f>
        <v>#REF!</v>
      </c>
      <c r="BL28" s="26" t="e">
        <f>Financials!#REF!/Financials!BK31-1</f>
        <v>#REF!</v>
      </c>
      <c r="BM28" s="26" t="e">
        <f>Financials!#REF!/Financials!BL31-1</f>
        <v>#REF!</v>
      </c>
      <c r="BN28" s="26" t="e">
        <f>Financials!#REF!/Financials!BM31-1</f>
        <v>#REF!</v>
      </c>
      <c r="BO28" s="26" t="e">
        <f>Financials!#REF!/Financials!BN31-1</f>
        <v>#REF!</v>
      </c>
      <c r="BP28" s="26" t="e">
        <f>Financials!#REF!/Financials!BO31-1</f>
        <v>#REF!</v>
      </c>
      <c r="BQ28" s="26" t="e">
        <f>Financials!#REF!/Financials!BP31-1</f>
        <v>#REF!</v>
      </c>
      <c r="BR28" s="26" t="e">
        <f>Financials!#REF!/Financials!BQ31-1</f>
        <v>#REF!</v>
      </c>
      <c r="BS28" s="26" t="e">
        <f>Financials!#REF!/Financials!BR31-1</f>
        <v>#REF!</v>
      </c>
      <c r="BT28" s="26" t="e">
        <f>Financials!#REF!/Financials!BS31-1</f>
        <v>#REF!</v>
      </c>
      <c r="BU28" s="26" t="e">
        <f>Financials!#REF!/Financials!BT31-1</f>
        <v>#REF!</v>
      </c>
      <c r="BV28" s="26" t="e">
        <f>Financials!#REF!/Financials!BU31-1</f>
        <v>#REF!</v>
      </c>
      <c r="BW28" s="26" t="e">
        <f>Financials!#REF!/Financials!BV31-1</f>
        <v>#REF!</v>
      </c>
      <c r="BX28" s="26" t="e">
        <f>Financials!#REF!/Financials!BW31-1</f>
        <v>#REF!</v>
      </c>
    </row>
    <row r="29" spans="1:76">
      <c r="A29" s="324"/>
      <c r="B29" s="54" t="s">
        <v>194</v>
      </c>
      <c r="C29" s="2"/>
      <c r="D29" s="26">
        <f>Financials!D11/Financials!C11-1</f>
        <v>-0.16152669561845889</v>
      </c>
      <c r="E29" s="26" t="e">
        <f>Financials!#REF!/Financials!D11-1</f>
        <v>#REF!</v>
      </c>
      <c r="F29" s="26" t="e">
        <f>Financials!#REF!/Financials!E11-1</f>
        <v>#REF!</v>
      </c>
      <c r="G29" s="26" t="e">
        <f>Financials!#REF!/Financials!F11-1</f>
        <v>#REF!</v>
      </c>
      <c r="H29" s="26" t="e">
        <f>Financials!#REF!/Financials!G11-1</f>
        <v>#REF!</v>
      </c>
      <c r="I29" s="26" t="e">
        <f>Financials!#REF!/Financials!H11-1</f>
        <v>#REF!</v>
      </c>
      <c r="J29" s="26" t="e">
        <f>Financials!#REF!/Financials!I11-1</f>
        <v>#REF!</v>
      </c>
      <c r="K29" s="26" t="e">
        <f>Financials!#REF!/Financials!J11-1</f>
        <v>#REF!</v>
      </c>
      <c r="L29" s="26" t="e">
        <f>Financials!#REF!/Financials!K11-1</f>
        <v>#REF!</v>
      </c>
      <c r="M29" s="26" t="e">
        <f>Financials!#REF!/Financials!L11-1</f>
        <v>#REF!</v>
      </c>
      <c r="N29" s="26" t="e">
        <f>Financials!#REF!/Financials!M11-1</f>
        <v>#REF!</v>
      </c>
      <c r="O29" s="26" t="e">
        <f>Financials!#REF!/Financials!N11-1</f>
        <v>#REF!</v>
      </c>
      <c r="P29" s="26" t="e">
        <f>Financials!#REF!/Financials!O11-1</f>
        <v>#REF!</v>
      </c>
      <c r="Q29" s="26" t="e">
        <f>Financials!#REF!/Financials!P11-1</f>
        <v>#REF!</v>
      </c>
      <c r="R29" s="26" t="e">
        <f>Financials!#REF!/Financials!Q11-1</f>
        <v>#REF!</v>
      </c>
      <c r="S29" s="26" t="e">
        <f>Financials!#REF!/Financials!R11-1</f>
        <v>#REF!</v>
      </c>
      <c r="T29" s="26" t="e">
        <f>Financials!#REF!/Financials!S11-1</f>
        <v>#REF!</v>
      </c>
      <c r="U29" s="26" t="e">
        <f>Financials!#REF!/Financials!T11-1</f>
        <v>#REF!</v>
      </c>
      <c r="V29" s="26" t="e">
        <f>Financials!#REF!/Financials!U11-1</f>
        <v>#REF!</v>
      </c>
      <c r="W29" s="26" t="e">
        <f>Financials!#REF!/Financials!V11-1</f>
        <v>#REF!</v>
      </c>
      <c r="X29" s="26" t="e">
        <f>Financials!#REF!/Financials!W11-1</f>
        <v>#REF!</v>
      </c>
      <c r="Y29" s="26" t="e">
        <f>Financials!#REF!/Financials!X11-1</f>
        <v>#REF!</v>
      </c>
      <c r="Z29" s="26" t="e">
        <f>Financials!#REF!/Financials!Y11-1</f>
        <v>#REF!</v>
      </c>
      <c r="AA29" s="26" t="e">
        <f>Financials!#REF!/Financials!Z11-1</f>
        <v>#REF!</v>
      </c>
      <c r="AB29" s="26" t="e">
        <f>Financials!#REF!/Financials!AA11-1</f>
        <v>#REF!</v>
      </c>
      <c r="AC29" s="26" t="e">
        <f>Financials!#REF!/Financials!AB11-1</f>
        <v>#REF!</v>
      </c>
      <c r="AD29" s="26" t="e">
        <f>Financials!#REF!/Financials!AC11-1</f>
        <v>#REF!</v>
      </c>
      <c r="AE29" s="26" t="e">
        <f>Financials!#REF!/Financials!AD11-1</f>
        <v>#REF!</v>
      </c>
      <c r="AF29" s="26" t="e">
        <f>Financials!#REF!/Financials!AE11-1</f>
        <v>#REF!</v>
      </c>
      <c r="AG29" s="26" t="e">
        <f>Financials!#REF!/Financials!AF11-1</f>
        <v>#REF!</v>
      </c>
      <c r="AH29" s="26" t="e">
        <f>Financials!#REF!/Financials!AG11-1</f>
        <v>#REF!</v>
      </c>
      <c r="AI29" s="26" t="e">
        <f>Financials!#REF!/Financials!AH11-1</f>
        <v>#REF!</v>
      </c>
      <c r="AJ29" s="26" t="e">
        <f>Financials!#REF!/Financials!AI11-1</f>
        <v>#REF!</v>
      </c>
      <c r="AK29" s="26" t="e">
        <f>Financials!#REF!/Financials!AJ11-1</f>
        <v>#REF!</v>
      </c>
      <c r="AL29" s="26" t="e">
        <f>Financials!#REF!/Financials!AK11-1</f>
        <v>#REF!</v>
      </c>
      <c r="AM29" s="26" t="e">
        <f>Financials!#REF!/Financials!AL11-1</f>
        <v>#REF!</v>
      </c>
      <c r="AN29" s="26" t="e">
        <f>Financials!#REF!/Financials!AM11-1</f>
        <v>#REF!</v>
      </c>
      <c r="AO29" s="26" t="e">
        <f>Financials!#REF!/Financials!AN11-1</f>
        <v>#REF!</v>
      </c>
      <c r="AP29" s="26" t="e">
        <f>Financials!#REF!/Financials!AO11-1</f>
        <v>#REF!</v>
      </c>
      <c r="AQ29" s="26" t="e">
        <f>Financials!#REF!/Financials!AP11-1</f>
        <v>#REF!</v>
      </c>
      <c r="AR29" s="26" t="e">
        <f>Financials!#REF!/Financials!AQ11-1</f>
        <v>#REF!</v>
      </c>
      <c r="AS29" s="26" t="e">
        <f>Financials!#REF!/Financials!AR11-1</f>
        <v>#REF!</v>
      </c>
      <c r="AT29" s="26" t="e">
        <f>Financials!#REF!/Financials!AS11-1</f>
        <v>#REF!</v>
      </c>
      <c r="AU29" s="26" t="e">
        <f>Financials!#REF!/Financials!AT11-1</f>
        <v>#REF!</v>
      </c>
      <c r="AV29" s="26" t="e">
        <f>Financials!#REF!/Financials!AU11-1</f>
        <v>#REF!</v>
      </c>
      <c r="AW29" s="26" t="e">
        <f>Financials!#REF!/Financials!AV11-1</f>
        <v>#REF!</v>
      </c>
      <c r="AX29" s="26" t="e">
        <f>Financials!#REF!/Financials!AW11-1</f>
        <v>#REF!</v>
      </c>
      <c r="AY29" s="26" t="e">
        <f>Financials!#REF!/Financials!AX11-1</f>
        <v>#REF!</v>
      </c>
      <c r="AZ29" s="26" t="e">
        <f>Financials!#REF!/Financials!AY11-1</f>
        <v>#REF!</v>
      </c>
      <c r="BA29" s="26" t="e">
        <f>Financials!#REF!/Financials!AZ11-1</f>
        <v>#REF!</v>
      </c>
      <c r="BB29" s="26" t="e">
        <f>Financials!#REF!/Financials!BA11-1</f>
        <v>#REF!</v>
      </c>
      <c r="BC29" s="26" t="e">
        <f>Financials!#REF!/Financials!BB11-1</f>
        <v>#REF!</v>
      </c>
      <c r="BD29" s="26" t="e">
        <f>Financials!#REF!/Financials!BC11-1</f>
        <v>#REF!</v>
      </c>
      <c r="BE29" s="26" t="e">
        <f>Financials!#REF!/Financials!BD11-1</f>
        <v>#REF!</v>
      </c>
      <c r="BF29" s="26" t="e">
        <f>Financials!#REF!/Financials!BE11-1</f>
        <v>#REF!</v>
      </c>
      <c r="BG29" s="26" t="e">
        <f>Financials!#REF!/Financials!BF11-1</f>
        <v>#REF!</v>
      </c>
      <c r="BH29" s="26" t="e">
        <f>Financials!#REF!/Financials!BG11-1</f>
        <v>#REF!</v>
      </c>
      <c r="BI29" s="26" t="e">
        <f>Financials!#REF!/Financials!BH11-1</f>
        <v>#REF!</v>
      </c>
      <c r="BJ29" s="26" t="e">
        <f>Financials!#REF!/Financials!BI11-1</f>
        <v>#REF!</v>
      </c>
      <c r="BK29" s="26" t="e">
        <f>Financials!#REF!/Financials!BJ11-1</f>
        <v>#REF!</v>
      </c>
      <c r="BL29" s="26" t="e">
        <f>Financials!#REF!/Financials!BK11-1</f>
        <v>#REF!</v>
      </c>
      <c r="BM29" s="26" t="e">
        <f>Financials!#REF!/Financials!BL11-1</f>
        <v>#REF!</v>
      </c>
      <c r="BN29" s="26" t="e">
        <f>Financials!#REF!/Financials!BM11-1</f>
        <v>#REF!</v>
      </c>
      <c r="BO29" s="26" t="e">
        <f>Financials!#REF!/Financials!BN11-1</f>
        <v>#REF!</v>
      </c>
      <c r="BP29" s="26" t="e">
        <f>Financials!#REF!/Financials!BO11-1</f>
        <v>#REF!</v>
      </c>
      <c r="BQ29" s="26" t="e">
        <f>Financials!#REF!/Financials!BP11-1</f>
        <v>#REF!</v>
      </c>
      <c r="BR29" s="26" t="e">
        <f>Financials!#REF!/Financials!BQ11-1</f>
        <v>#REF!</v>
      </c>
      <c r="BS29" s="26" t="e">
        <f>Financials!#REF!/Financials!BR11-1</f>
        <v>#REF!</v>
      </c>
      <c r="BT29" s="26" t="e">
        <f>Financials!#REF!/Financials!BS11-1</f>
        <v>#REF!</v>
      </c>
      <c r="BU29" s="26" t="e">
        <f>Financials!#REF!/Financials!BT11-1</f>
        <v>#REF!</v>
      </c>
      <c r="BV29" s="26" t="e">
        <f>Financials!#REF!/Financials!BU11-1</f>
        <v>#REF!</v>
      </c>
      <c r="BW29" s="26" t="e">
        <f>Financials!#REF!/Financials!BV11-1</f>
        <v>#REF!</v>
      </c>
      <c r="BX29" s="26" t="e">
        <f>Financials!#REF!/Financials!BW11-1</f>
        <v>#REF!</v>
      </c>
    </row>
    <row r="30" spans="1:76">
      <c r="A30" s="324"/>
      <c r="B30" s="54" t="s">
        <v>132</v>
      </c>
      <c r="C30" s="2"/>
      <c r="D30" s="26">
        <f>Financials!D37/Financials!C37-1</f>
        <v>0.18215093619884293</v>
      </c>
      <c r="E30" s="26" t="e">
        <f>Financials!#REF!/Financials!D37-1</f>
        <v>#REF!</v>
      </c>
      <c r="F30" s="26" t="e">
        <f>Financials!#REF!/Financials!E37-1</f>
        <v>#REF!</v>
      </c>
      <c r="G30" s="26" t="e">
        <f>Financials!#REF!/Financials!F37-1</f>
        <v>#REF!</v>
      </c>
      <c r="H30" s="26" t="e">
        <f>Financials!#REF!/Financials!G37-1</f>
        <v>#REF!</v>
      </c>
      <c r="I30" s="26" t="e">
        <f>Financials!#REF!/Financials!H37-1</f>
        <v>#REF!</v>
      </c>
      <c r="J30" s="26" t="e">
        <f>Financials!#REF!/Financials!I37-1</f>
        <v>#REF!</v>
      </c>
      <c r="K30" s="26" t="e">
        <f>Financials!#REF!/Financials!J37-1</f>
        <v>#REF!</v>
      </c>
      <c r="L30" s="26" t="e">
        <f>Financials!#REF!/Financials!K37-1</f>
        <v>#REF!</v>
      </c>
      <c r="M30" s="26" t="e">
        <f>Financials!#REF!/Financials!L37-1</f>
        <v>#REF!</v>
      </c>
      <c r="N30" s="26" t="e">
        <f>Financials!#REF!/Financials!M37-1</f>
        <v>#REF!</v>
      </c>
      <c r="O30" s="26" t="e">
        <f>Financials!#REF!/Financials!N37-1</f>
        <v>#REF!</v>
      </c>
      <c r="P30" s="26" t="e">
        <f>Financials!#REF!/Financials!O37-1</f>
        <v>#REF!</v>
      </c>
      <c r="Q30" s="26" t="e">
        <f>Financials!#REF!/Financials!P37-1</f>
        <v>#REF!</v>
      </c>
      <c r="R30" s="26" t="e">
        <f>Financials!#REF!/Financials!Q37-1</f>
        <v>#REF!</v>
      </c>
      <c r="S30" s="26" t="e">
        <f>Financials!#REF!/Financials!R37-1</f>
        <v>#REF!</v>
      </c>
      <c r="T30" s="26" t="e">
        <f>Financials!#REF!/Financials!S37-1</f>
        <v>#REF!</v>
      </c>
      <c r="U30" s="26" t="e">
        <f>Financials!#REF!/Financials!T37-1</f>
        <v>#REF!</v>
      </c>
      <c r="V30" s="26" t="e">
        <f>Financials!#REF!/Financials!U37-1</f>
        <v>#REF!</v>
      </c>
      <c r="W30" s="26" t="e">
        <f>Financials!#REF!/Financials!V37-1</f>
        <v>#REF!</v>
      </c>
      <c r="X30" s="26" t="e">
        <f>Financials!#REF!/Financials!W37-1</f>
        <v>#REF!</v>
      </c>
      <c r="Y30" s="26" t="e">
        <f>Financials!#REF!/Financials!X37-1</f>
        <v>#REF!</v>
      </c>
      <c r="Z30" s="26" t="e">
        <f>Financials!#REF!/Financials!Y37-1</f>
        <v>#REF!</v>
      </c>
      <c r="AA30" s="26" t="e">
        <f>Financials!#REF!/Financials!Z37-1</f>
        <v>#REF!</v>
      </c>
      <c r="AB30" s="26" t="e">
        <f>Financials!#REF!/Financials!AA37-1</f>
        <v>#REF!</v>
      </c>
      <c r="AC30" s="26" t="e">
        <f>Financials!#REF!/Financials!AB37-1</f>
        <v>#REF!</v>
      </c>
      <c r="AD30" s="26" t="e">
        <f>Financials!#REF!/Financials!AC37-1</f>
        <v>#REF!</v>
      </c>
      <c r="AE30" s="26" t="e">
        <f>Financials!#REF!/Financials!AD37-1</f>
        <v>#REF!</v>
      </c>
      <c r="AF30" s="26" t="e">
        <f>Financials!#REF!/Financials!AE37-1</f>
        <v>#REF!</v>
      </c>
      <c r="AG30" s="26" t="e">
        <f>Financials!#REF!/Financials!AF37-1</f>
        <v>#REF!</v>
      </c>
      <c r="AH30" s="26" t="e">
        <f>Financials!#REF!/Financials!AG37-1</f>
        <v>#REF!</v>
      </c>
      <c r="AI30" s="26" t="e">
        <f>Financials!#REF!/Financials!AH37-1</f>
        <v>#REF!</v>
      </c>
      <c r="AJ30" s="26" t="e">
        <f>Financials!#REF!/Financials!AI37-1</f>
        <v>#REF!</v>
      </c>
      <c r="AK30" s="26" t="e">
        <f>Financials!#REF!/Financials!AJ37-1</f>
        <v>#REF!</v>
      </c>
      <c r="AL30" s="26" t="e">
        <f>Financials!#REF!/Financials!AK37-1</f>
        <v>#REF!</v>
      </c>
      <c r="AM30" s="26" t="e">
        <f>Financials!#REF!/Financials!AL37-1</f>
        <v>#REF!</v>
      </c>
      <c r="AN30" s="26" t="e">
        <f>Financials!#REF!/Financials!AM37-1</f>
        <v>#REF!</v>
      </c>
      <c r="AO30" s="26" t="e">
        <f>Financials!#REF!/Financials!AN37-1</f>
        <v>#REF!</v>
      </c>
      <c r="AP30" s="26" t="e">
        <f>Financials!#REF!/Financials!AO37-1</f>
        <v>#REF!</v>
      </c>
      <c r="AQ30" s="26" t="e">
        <f>Financials!#REF!/Financials!AP37-1</f>
        <v>#REF!</v>
      </c>
      <c r="AR30" s="26" t="e">
        <f>Financials!#REF!/Financials!AQ37-1</f>
        <v>#REF!</v>
      </c>
      <c r="AS30" s="26" t="e">
        <f>Financials!#REF!/Financials!AR37-1</f>
        <v>#REF!</v>
      </c>
      <c r="AT30" s="26" t="e">
        <f>Financials!#REF!/Financials!AS37-1</f>
        <v>#REF!</v>
      </c>
      <c r="AU30" s="26" t="e">
        <f>Financials!#REF!/Financials!AT37-1</f>
        <v>#REF!</v>
      </c>
      <c r="AV30" s="26" t="e">
        <f>Financials!#REF!/Financials!AU37-1</f>
        <v>#REF!</v>
      </c>
      <c r="AW30" s="26" t="e">
        <f>Financials!#REF!/Financials!AV37-1</f>
        <v>#REF!</v>
      </c>
      <c r="AX30" s="26" t="e">
        <f>Financials!#REF!/Financials!AW37-1</f>
        <v>#REF!</v>
      </c>
      <c r="AY30" s="26" t="e">
        <f>Financials!#REF!/Financials!AX37-1</f>
        <v>#REF!</v>
      </c>
      <c r="AZ30" s="26" t="e">
        <f>Financials!#REF!/Financials!AY37-1</f>
        <v>#REF!</v>
      </c>
      <c r="BA30" s="26" t="e">
        <f>Financials!#REF!/Financials!AZ37-1</f>
        <v>#REF!</v>
      </c>
      <c r="BB30" s="26" t="e">
        <f>Financials!#REF!/Financials!BA37-1</f>
        <v>#REF!</v>
      </c>
      <c r="BC30" s="26" t="e">
        <f>Financials!#REF!/Financials!BB37-1</f>
        <v>#REF!</v>
      </c>
      <c r="BD30" s="26" t="e">
        <f>Financials!#REF!/Financials!BC37-1</f>
        <v>#REF!</v>
      </c>
      <c r="BE30" s="26" t="e">
        <f>Financials!#REF!/Financials!BD37-1</f>
        <v>#REF!</v>
      </c>
      <c r="BF30" s="26" t="e">
        <f>Financials!#REF!/Financials!BE37-1</f>
        <v>#REF!</v>
      </c>
      <c r="BG30" s="26" t="e">
        <f>Financials!#REF!/Financials!BF37-1</f>
        <v>#REF!</v>
      </c>
      <c r="BH30" s="26" t="e">
        <f>Financials!#REF!/Financials!BG37-1</f>
        <v>#REF!</v>
      </c>
      <c r="BI30" s="26" t="e">
        <f>Financials!#REF!/Financials!BH37-1</f>
        <v>#REF!</v>
      </c>
      <c r="BJ30" s="26" t="e">
        <f>Financials!#REF!/Financials!BI37-1</f>
        <v>#REF!</v>
      </c>
      <c r="BK30" s="26" t="e">
        <f>Financials!#REF!/Financials!BJ37-1</f>
        <v>#REF!</v>
      </c>
      <c r="BL30" s="26" t="e">
        <f>Financials!#REF!/Financials!BK37-1</f>
        <v>#REF!</v>
      </c>
      <c r="BM30" s="26" t="e">
        <f>Financials!#REF!/Financials!BL37-1</f>
        <v>#REF!</v>
      </c>
      <c r="BN30" s="26" t="e">
        <f>Financials!#REF!/Financials!BM37-1</f>
        <v>#REF!</v>
      </c>
      <c r="BO30" s="26" t="e">
        <f>Financials!#REF!/Financials!BN37-1</f>
        <v>#REF!</v>
      </c>
      <c r="BP30" s="26" t="e">
        <f>Financials!#REF!/Financials!BO37-1</f>
        <v>#REF!</v>
      </c>
      <c r="BQ30" s="26" t="e">
        <f>Financials!#REF!/Financials!BP37-1</f>
        <v>#REF!</v>
      </c>
      <c r="BR30" s="26" t="e">
        <f>Financials!#REF!/Financials!BQ37-1</f>
        <v>#REF!</v>
      </c>
      <c r="BS30" s="26" t="e">
        <f>Financials!#REF!/Financials!BR37-1</f>
        <v>#REF!</v>
      </c>
      <c r="BT30" s="26" t="e">
        <f>Financials!#REF!/Financials!BS37-1</f>
        <v>#REF!</v>
      </c>
      <c r="BU30" s="26" t="e">
        <f>Financials!#REF!/Financials!BT37-1</f>
        <v>#REF!</v>
      </c>
      <c r="BV30" s="26" t="e">
        <f>Financials!#REF!/Financials!BU37-1</f>
        <v>#REF!</v>
      </c>
      <c r="BW30" s="26" t="e">
        <f>Financials!#REF!/Financials!BV37-1</f>
        <v>#REF!</v>
      </c>
      <c r="BX30" s="26" t="e">
        <f>Financials!#REF!/Financials!BW37-1</f>
        <v>#REF!</v>
      </c>
    </row>
    <row r="31" spans="1:76">
      <c r="A31" s="324"/>
      <c r="B31" s="54" t="s">
        <v>98</v>
      </c>
      <c r="C31" s="2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</row>
    <row r="32" spans="1:76">
      <c r="A32" s="324"/>
      <c r="B32" s="54" t="s">
        <v>195</v>
      </c>
      <c r="C32" s="2"/>
      <c r="D32" s="26">
        <f>'Evolutitve SCI'!C39/'Evolutitve SCI'!B39-1</f>
        <v>8.2670218736091039E-2</v>
      </c>
      <c r="E32" s="26" t="e">
        <f>'Evolutitve SCI'!#REF!/'Evolutitve SCI'!C39-1</f>
        <v>#REF!</v>
      </c>
      <c r="F32" s="26" t="e">
        <f>'Evolutitve SCI'!#REF!/'Evolutitve SCI'!D39-1</f>
        <v>#REF!</v>
      </c>
      <c r="G32" s="26" t="e">
        <f>'Evolutitve SCI'!#REF!/'Evolutitve SCI'!E39-1</f>
        <v>#REF!</v>
      </c>
      <c r="H32" s="26" t="e">
        <f>'Evolutitve SCI'!#REF!/'Evolutitve SCI'!F39-1</f>
        <v>#REF!</v>
      </c>
      <c r="I32" s="26" t="e">
        <f>'Evolutitve SCI'!#REF!/'Evolutitve SCI'!G39-1</f>
        <v>#REF!</v>
      </c>
      <c r="J32" s="26" t="e">
        <f>'Evolutitve SCI'!#REF!/'Evolutitve SCI'!H39-1</f>
        <v>#REF!</v>
      </c>
      <c r="K32" s="26" t="e">
        <f>'Evolutitve SCI'!#REF!/'Evolutitve SCI'!I39-1</f>
        <v>#REF!</v>
      </c>
      <c r="L32" s="26" t="e">
        <f>'Evolutitve SCI'!#REF!/'Evolutitve SCI'!J39-1</f>
        <v>#REF!</v>
      </c>
      <c r="M32" s="26" t="e">
        <f>'Evolutitve SCI'!#REF!/'Evolutitve SCI'!K39-1</f>
        <v>#REF!</v>
      </c>
      <c r="N32" s="26" t="e">
        <f>'Evolutitve SCI'!#REF!/'Evolutitve SCI'!L39-1</f>
        <v>#REF!</v>
      </c>
      <c r="O32" s="26" t="e">
        <f>'Evolutitve SCI'!#REF!/'Evolutitve SCI'!M39-1</f>
        <v>#REF!</v>
      </c>
      <c r="P32" s="26" t="e">
        <f>'Evolutitve SCI'!#REF!/'Evolutitve SCI'!N39-1</f>
        <v>#REF!</v>
      </c>
      <c r="Q32" s="26" t="e">
        <f>'Evolutitve SCI'!#REF!/'Evolutitve SCI'!O39-1</f>
        <v>#REF!</v>
      </c>
      <c r="R32" s="26" t="e">
        <f>'Evolutitve SCI'!#REF!/'Evolutitve SCI'!P39-1</f>
        <v>#REF!</v>
      </c>
      <c r="S32" s="26" t="e">
        <f>'Evolutitve SCI'!#REF!/'Evolutitve SCI'!Q39-1</f>
        <v>#REF!</v>
      </c>
      <c r="T32" s="26" t="e">
        <f>'Evolutitve SCI'!#REF!/'Evolutitve SCI'!R39-1</f>
        <v>#REF!</v>
      </c>
      <c r="U32" s="26" t="e">
        <f>'Evolutitve SCI'!#REF!/'Evolutitve SCI'!S39-1</f>
        <v>#REF!</v>
      </c>
      <c r="V32" s="26" t="e">
        <f>'Evolutitve SCI'!#REF!/'Evolutitve SCI'!T39-1</f>
        <v>#REF!</v>
      </c>
      <c r="W32" s="26" t="e">
        <f>'Evolutitve SCI'!#REF!/'Evolutitve SCI'!U39-1</f>
        <v>#REF!</v>
      </c>
      <c r="X32" s="26" t="e">
        <f>'Evolutitve SCI'!#REF!/'Evolutitve SCI'!V39-1</f>
        <v>#REF!</v>
      </c>
      <c r="Y32" s="26" t="e">
        <f>'Evolutitve SCI'!#REF!/'Evolutitve SCI'!W39-1</f>
        <v>#REF!</v>
      </c>
      <c r="Z32" s="26" t="e">
        <f>'Evolutitve SCI'!#REF!/'Evolutitve SCI'!X39-1</f>
        <v>#REF!</v>
      </c>
      <c r="AA32" s="26" t="e">
        <f>'Evolutitve SCI'!#REF!/'Evolutitve SCI'!Y39-1</f>
        <v>#REF!</v>
      </c>
      <c r="AB32" s="26" t="e">
        <f>'Evolutitve SCI'!#REF!/'Evolutitve SCI'!Z39-1</f>
        <v>#REF!</v>
      </c>
      <c r="AC32" s="26" t="e">
        <f>'Evolutitve SCI'!#REF!/'Evolutitve SCI'!AA39-1</f>
        <v>#REF!</v>
      </c>
      <c r="AD32" s="26" t="e">
        <f>'Evolutitve SCI'!#REF!/'Evolutitve SCI'!AB39-1</f>
        <v>#REF!</v>
      </c>
      <c r="AE32" s="26" t="e">
        <f>'Evolutitve SCI'!#REF!/'Evolutitve SCI'!AC39-1</f>
        <v>#REF!</v>
      </c>
      <c r="AF32" s="26" t="e">
        <f>'Evolutitve SCI'!#REF!/'Evolutitve SCI'!AD39-1</f>
        <v>#REF!</v>
      </c>
      <c r="AG32" s="26" t="e">
        <f>'Evolutitve SCI'!#REF!/'Evolutitve SCI'!AE39-1</f>
        <v>#REF!</v>
      </c>
      <c r="AH32" s="26" t="e">
        <f>'Evolutitve SCI'!#REF!/'Evolutitve SCI'!AF39-1</f>
        <v>#REF!</v>
      </c>
      <c r="AI32" s="26" t="e">
        <f>'Evolutitve SCI'!#REF!/'Evolutitve SCI'!AG39-1</f>
        <v>#REF!</v>
      </c>
      <c r="AJ32" s="26" t="e">
        <f>'Evolutitve SCI'!#REF!/'Evolutitve SCI'!AH39-1</f>
        <v>#REF!</v>
      </c>
      <c r="AK32" s="26" t="e">
        <f>'Evolutitve SCI'!#REF!/'Evolutitve SCI'!AI39-1</f>
        <v>#REF!</v>
      </c>
      <c r="AL32" s="26" t="e">
        <f>'Evolutitve SCI'!#REF!/'Evolutitve SCI'!AJ39-1</f>
        <v>#REF!</v>
      </c>
      <c r="AM32" s="26" t="e">
        <f>'Evolutitve SCI'!#REF!/'Evolutitve SCI'!AK39-1</f>
        <v>#REF!</v>
      </c>
      <c r="AN32" s="26" t="e">
        <f>'Evolutitve SCI'!#REF!/'Evolutitve SCI'!AL39-1</f>
        <v>#REF!</v>
      </c>
      <c r="AO32" s="26" t="e">
        <f>'Evolutitve SCI'!#REF!/'Evolutitve SCI'!AM39-1</f>
        <v>#REF!</v>
      </c>
      <c r="AP32" s="26" t="e">
        <f>'Evolutitve SCI'!#REF!/'Evolutitve SCI'!AN39-1</f>
        <v>#REF!</v>
      </c>
      <c r="AQ32" s="26" t="e">
        <f>'Evolutitve SCI'!#REF!/'Evolutitve SCI'!AO39-1</f>
        <v>#REF!</v>
      </c>
      <c r="AR32" s="26" t="e">
        <f>'Evolutitve SCI'!#REF!/'Evolutitve SCI'!AP39-1</f>
        <v>#REF!</v>
      </c>
      <c r="AS32" s="26" t="e">
        <f>'Evolutitve SCI'!#REF!/'Evolutitve SCI'!AQ39-1</f>
        <v>#REF!</v>
      </c>
      <c r="AT32" s="26" t="e">
        <f>'Evolutitve SCI'!#REF!/'Evolutitve SCI'!AR39-1</f>
        <v>#REF!</v>
      </c>
      <c r="AU32" s="26" t="e">
        <f>'Evolutitve SCI'!#REF!/'Evolutitve SCI'!AS39-1</f>
        <v>#REF!</v>
      </c>
      <c r="AV32" s="26" t="e">
        <f>'Evolutitve SCI'!#REF!/'Evolutitve SCI'!AT39-1</f>
        <v>#REF!</v>
      </c>
      <c r="AW32" s="26" t="e">
        <f>'Evolutitve SCI'!#REF!/'Evolutitve SCI'!AU39-1</f>
        <v>#REF!</v>
      </c>
      <c r="AX32" s="26" t="e">
        <f>'Evolutitve SCI'!#REF!/'Evolutitve SCI'!AV39-1</f>
        <v>#REF!</v>
      </c>
      <c r="AY32" s="26" t="e">
        <f>'Evolutitve SCI'!#REF!/'Evolutitve SCI'!AW39-1</f>
        <v>#REF!</v>
      </c>
      <c r="AZ32" s="26" t="e">
        <f>'Evolutitve SCI'!#REF!/'Evolutitve SCI'!AX39-1</f>
        <v>#REF!</v>
      </c>
      <c r="BA32" s="26" t="e">
        <f>'Evolutitve SCI'!#REF!/'Evolutitve SCI'!AY39-1</f>
        <v>#REF!</v>
      </c>
      <c r="BB32" s="26" t="e">
        <f>'Evolutitve SCI'!#REF!/'Evolutitve SCI'!AZ39-1</f>
        <v>#REF!</v>
      </c>
      <c r="BC32" s="26" t="e">
        <f>'Evolutitve SCI'!#REF!/'Evolutitve SCI'!BA39-1</f>
        <v>#REF!</v>
      </c>
      <c r="BD32" s="26" t="e">
        <f>'Evolutitve SCI'!#REF!/'Evolutitve SCI'!BB39-1</f>
        <v>#REF!</v>
      </c>
      <c r="BE32" s="26" t="e">
        <f>'Evolutitve SCI'!#REF!/'Evolutitve SCI'!BC39-1</f>
        <v>#REF!</v>
      </c>
      <c r="BF32" s="26" t="e">
        <f>'Evolutitve SCI'!#REF!/'Evolutitve SCI'!BD39-1</f>
        <v>#REF!</v>
      </c>
      <c r="BG32" s="26" t="e">
        <f>'Evolutitve SCI'!#REF!/'Evolutitve SCI'!BE39-1</f>
        <v>#REF!</v>
      </c>
      <c r="BH32" s="26" t="e">
        <f>'Evolutitve SCI'!#REF!/'Evolutitve SCI'!BF39-1</f>
        <v>#REF!</v>
      </c>
      <c r="BI32" s="26" t="e">
        <f>'Evolutitve SCI'!#REF!/'Evolutitve SCI'!BG39-1</f>
        <v>#REF!</v>
      </c>
      <c r="BJ32" s="26" t="e">
        <f>'Evolutitve SCI'!#REF!/'Evolutitve SCI'!BH39-1</f>
        <v>#REF!</v>
      </c>
      <c r="BK32" s="26" t="e">
        <f>'Evolutitve SCI'!#REF!/'Evolutitve SCI'!BI39-1</f>
        <v>#REF!</v>
      </c>
      <c r="BL32" s="26" t="e">
        <f>'Evolutitve SCI'!#REF!/'Evolutitve SCI'!BJ39-1</f>
        <v>#REF!</v>
      </c>
      <c r="BM32" s="26" t="e">
        <f>'Evolutitve SCI'!#REF!/'Evolutitve SCI'!BK39-1</f>
        <v>#REF!</v>
      </c>
      <c r="BN32" s="26" t="e">
        <f>'Evolutitve SCI'!#REF!/'Evolutitve SCI'!BL39-1</f>
        <v>#REF!</v>
      </c>
      <c r="BO32" s="26" t="e">
        <f>'Evolutitve SCI'!#REF!/'Evolutitve SCI'!BM39-1</f>
        <v>#REF!</v>
      </c>
      <c r="BP32" s="26" t="e">
        <f>'Evolutitve SCI'!#REF!/'Evolutitve SCI'!BN39-1</f>
        <v>#REF!</v>
      </c>
      <c r="BQ32" s="26" t="e">
        <f>'Evolutitve SCI'!#REF!/'Evolutitve SCI'!BO39-1</f>
        <v>#REF!</v>
      </c>
      <c r="BR32" s="26" t="e">
        <f>'Evolutitve SCI'!#REF!/'Evolutitve SCI'!BP39-1</f>
        <v>#REF!</v>
      </c>
      <c r="BS32" s="26" t="e">
        <f>'Evolutitve SCI'!#REF!/'Evolutitve SCI'!BQ39-1</f>
        <v>#REF!</v>
      </c>
      <c r="BT32" s="26" t="e">
        <f>'Evolutitve SCI'!#REF!/'Evolutitve SCI'!BR39-1</f>
        <v>#REF!</v>
      </c>
      <c r="BU32" s="26" t="e">
        <f>'Evolutitve SCI'!#REF!/'Evolutitve SCI'!BS39-1</f>
        <v>#REF!</v>
      </c>
      <c r="BV32" s="26" t="e">
        <f>'Evolutitve SCI'!#REF!/'Evolutitve SCI'!BT39-1</f>
        <v>#REF!</v>
      </c>
      <c r="BW32" s="26" t="e">
        <f>'Evolutitve SCI'!#REF!/'Evolutitve SCI'!BU39-1</f>
        <v>#REF!</v>
      </c>
      <c r="BX32" s="26" t="e">
        <f>'Evolutitve SCI'!#REF!/'Evolutitve SCI'!BV39-1</f>
        <v>#REF!</v>
      </c>
    </row>
    <row r="33" spans="1:76">
      <c r="A33" s="58" t="s">
        <v>196</v>
      </c>
      <c r="B33" s="54" t="s">
        <v>197</v>
      </c>
      <c r="C33" s="2"/>
      <c r="D33" s="26"/>
      <c r="E33" s="26">
        <f>Financials!D44/('Evolutive SFP'!B29+'Evolutive SFP'!C29)/2</f>
        <v>2.9238559843925052E-2</v>
      </c>
      <c r="F33" s="26">
        <f>Financials!E44/('Evolutive SFP'!C29+'Evolutive SFP'!D29)/2</f>
        <v>2.2599585696027064E-2</v>
      </c>
      <c r="G33" s="26">
        <f>Financials!F44/('Evolutive SFP'!D29+'Evolutive SFP'!E29)/2</f>
        <v>1.1816485800329508E-4</v>
      </c>
      <c r="H33" s="26">
        <f>Financials!G44/('Evolutive SFP'!E29+'Evolutive SFP'!F29)/2</f>
        <v>1.1408133358831488E-4</v>
      </c>
      <c r="I33" s="26">
        <f>Financials!H44/('Evolutive SFP'!F29+'Evolutive SFP'!G29)/2</f>
        <v>0</v>
      </c>
      <c r="J33" s="26">
        <f>Financials!I44/('Evolutive SFP'!G29+'Evolutive SFP'!H29)/2</f>
        <v>1.5360812457707101E-3</v>
      </c>
      <c r="K33" s="26">
        <f>Financials!J44/('Evolutive SFP'!H29+'Evolutive SFP'!I29)/2</f>
        <v>5.2700470262214199E-3</v>
      </c>
      <c r="L33" s="26">
        <f>Financials!K44/('Evolutive SFP'!I29+'Evolutive SFP'!J29)/2</f>
        <v>5.8374241737206038E-3</v>
      </c>
      <c r="M33" s="26">
        <f>Financials!L44/('Evolutive SFP'!J29+'Evolutive SFP'!K29)/2</f>
        <v>6.6698194803082129E-3</v>
      </c>
      <c r="N33" s="26">
        <f>Financials!M44/('Evolutive SFP'!K29+'Evolutive SFP'!L29)/2</f>
        <v>0</v>
      </c>
      <c r="O33" s="26" t="e">
        <f>Financials!N44/('Evolutive SFP'!L29+'Evolutive SFP'!M29)/2</f>
        <v>#DIV/0!</v>
      </c>
      <c r="P33" s="26" t="e">
        <f>Financials!O44/('Evolutive SFP'!M29+'Evolutive SFP'!N29)/2</f>
        <v>#DIV/0!</v>
      </c>
      <c r="Q33" s="26" t="e">
        <f>Financials!P44/('Evolutive SFP'!N29+'Evolutive SFP'!O29)/2</f>
        <v>#DIV/0!</v>
      </c>
      <c r="R33" s="26" t="e">
        <f>Financials!Q44/('Evolutive SFP'!O29+'Evolutive SFP'!P29)/2</f>
        <v>#DIV/0!</v>
      </c>
      <c r="S33" s="26" t="e">
        <f>Financials!R44/('Evolutive SFP'!P29+'Evolutive SFP'!Q29)/2</f>
        <v>#DIV/0!</v>
      </c>
      <c r="T33" s="26">
        <f>Financials!S44/('Evolutive SFP'!Q29+'Evolutive SFP'!R29)/2</f>
        <v>8.2030557489561149E-3</v>
      </c>
      <c r="U33" s="26">
        <f>Financials!T44/('Evolutive SFP'!R29+'Evolutive SFP'!S29)/2</f>
        <v>4.2986564053434646E-4</v>
      </c>
      <c r="V33" s="26">
        <f>Financials!U44/('Evolutive SFP'!S29+'Evolutive SFP'!T29)/2</f>
        <v>2.3850550224356623E-3</v>
      </c>
      <c r="W33" s="26">
        <f>Financials!V44/('Evolutive SFP'!T29+'Evolutive SFP'!U29)/2</f>
        <v>2.4038429837910137E-3</v>
      </c>
      <c r="X33" s="26">
        <f>Financials!W44/('Evolutive SFP'!U29+'Evolutive SFP'!V29)/2</f>
        <v>2.4166489023671103E-3</v>
      </c>
      <c r="Y33" s="26">
        <f>Financials!X44/('Evolutive SFP'!V29+'Evolutive SFP'!W29)/2</f>
        <v>2.6109266190739362E-3</v>
      </c>
      <c r="Z33" s="26">
        <f>Financials!Y44/('Evolutive SFP'!W29+'Evolutive SFP'!X29)/2</f>
        <v>5.5837891486945424E-3</v>
      </c>
      <c r="AA33" s="26">
        <f>Financials!Z44/('Evolutive SFP'!X29+'Evolutive SFP'!Y29)/2</f>
        <v>6.4689160354988104E-3</v>
      </c>
      <c r="AB33" s="26">
        <f>Financials!AA44/('Evolutive SFP'!Y29+'Evolutive SFP'!Z29)/2</f>
        <v>9.3355247626926115E-4</v>
      </c>
      <c r="AC33" s="26">
        <f>Financials!AB44/('Evolutive SFP'!Z29+'Evolutive SFP'!AA29)/2</f>
        <v>3.6532925135169818E-3</v>
      </c>
      <c r="AD33" s="26">
        <f>Financials!AC44/('Evolutive SFP'!AA29+'Evolutive SFP'!AB29)/2</f>
        <v>3.8246688426734638E-3</v>
      </c>
      <c r="AE33" s="26">
        <f>Financials!AD44/('Evolutive SFP'!AB29+'Evolutive SFP'!AC29)/2</f>
        <v>3.8369048467282027E-3</v>
      </c>
      <c r="AF33" s="26">
        <f>Financials!AE44/('Evolutive SFP'!AC29+'Evolutive SFP'!AD29)/2</f>
        <v>3.9678028569463354E-3</v>
      </c>
      <c r="AG33" s="26">
        <f>Financials!AF44/('Evolutive SFP'!AD29+'Evolutive SFP'!AE29)/2</f>
        <v>0</v>
      </c>
      <c r="AH33" s="26">
        <f>Financials!AG44/('Evolutive SFP'!AE29+'Evolutive SFP'!AF29)/2</f>
        <v>5.4631851427230935E-3</v>
      </c>
      <c r="AI33" s="26">
        <f>Financials!AH44/('Evolutive SFP'!AF29+'Evolutive SFP'!AG29)/2</f>
        <v>8.5570163002614874E-5</v>
      </c>
      <c r="AJ33" s="26">
        <f>Financials!AI44/('Evolutive SFP'!AG29+'Evolutive SFP'!AH29)/2</f>
        <v>8.578096339282478E-5</v>
      </c>
      <c r="AK33" s="26">
        <f>Financials!AJ44/('Evolutive SFP'!AH29+'Evolutive SFP'!AI29)/2</f>
        <v>8.6120544895978147E-5</v>
      </c>
      <c r="AL33" s="26">
        <f>Financials!AK44/('Evolutive SFP'!AI29+'Evolutive SFP'!AJ29)/2</f>
        <v>8.6156676028793607E-5</v>
      </c>
      <c r="AM33" s="26">
        <f>Financials!AL44/('Evolutive SFP'!AJ29+'Evolutive SFP'!AK29)/2</f>
        <v>1.4705618023099279E-4</v>
      </c>
      <c r="AN33" s="26">
        <f>Financials!AM44/('Evolutive SFP'!AK29+'Evolutive SFP'!AL29)/2</f>
        <v>1.4717514940898937E-4</v>
      </c>
      <c r="AO33" s="26">
        <f>Financials!AN44/('Evolutive SFP'!AL29+'Evolutive SFP'!AM29)/2</f>
        <v>3.0760155999895483E-4</v>
      </c>
      <c r="AP33" s="26">
        <f>Financials!AO44/('Evolutive SFP'!AM29+'Evolutive SFP'!AN29)/2</f>
        <v>3.0768022939585784E-4</v>
      </c>
      <c r="AQ33" s="26">
        <f>Financials!AP44/('Evolutive SFP'!AN29+'Evolutive SFP'!AO29)/2</f>
        <v>0</v>
      </c>
      <c r="AR33" s="26" t="e">
        <f>Financials!AQ44/('Evolutive SFP'!AO29+'Evolutive SFP'!AP29)/2</f>
        <v>#DIV/0!</v>
      </c>
      <c r="AS33" s="26" t="e">
        <f>Financials!AR44/('Evolutive SFP'!AP29+'Evolutive SFP'!AQ29)/2</f>
        <v>#DIV/0!</v>
      </c>
      <c r="AT33" s="26" t="e">
        <f>Financials!AS44/('Evolutive SFP'!AQ29+'Evolutive SFP'!AR29)/2</f>
        <v>#DIV/0!</v>
      </c>
      <c r="AU33" s="26">
        <f>Financials!AT44/('Evolutive SFP'!AR29+'Evolutive SFP'!AS29)/2</f>
        <v>0</v>
      </c>
      <c r="AV33" s="26">
        <f>Financials!AU44/('Evolutive SFP'!AS29+'Evolutive SFP'!AT29)/2</f>
        <v>0</v>
      </c>
      <c r="AW33" s="26">
        <f>Financials!AV44/('Evolutive SFP'!AT29+'Evolutive SFP'!AU29)/2</f>
        <v>0</v>
      </c>
      <c r="AX33" s="26">
        <f>Financials!AW44/('Evolutive SFP'!AU29+'Evolutive SFP'!AV29)/2</f>
        <v>6.2068351924914793E-4</v>
      </c>
      <c r="AY33" s="26">
        <f>Financials!AX44/('Evolutive SFP'!AV29+'Evolutive SFP'!AW29)/2</f>
        <v>6.2038671373864458E-4</v>
      </c>
      <c r="AZ33" s="26">
        <f>Financials!AY44/('Evolutive SFP'!AW29+'Evolutive SFP'!AX29)/2</f>
        <v>8.1972764534551465E-5</v>
      </c>
      <c r="BA33" s="26">
        <f>Financials!AZ44/('Evolutive SFP'!AX29+'Evolutive SFP'!AY29)/2</f>
        <v>1.640545068999725E-4</v>
      </c>
      <c r="BB33" s="26">
        <f>Financials!BA44/('Evolutive SFP'!AY29+'Evolutive SFP'!AZ29)/2</f>
        <v>0</v>
      </c>
      <c r="BC33" s="26">
        <f>Financials!BB44/('Evolutive SFP'!AZ29+'Evolutive SFP'!BA29)/2</f>
        <v>2.3858191047680219E-4</v>
      </c>
      <c r="BD33" s="26">
        <f>Financials!BC44/('Evolutive SFP'!BA29+'Evolutive SFP'!BB29)/2</f>
        <v>2.4121064726359898E-4</v>
      </c>
      <c r="BE33" s="26">
        <f>Financials!BD44/('Evolutive SFP'!BB29+'Evolutive SFP'!BC29)/2</f>
        <v>3.5546528885789242E-4</v>
      </c>
      <c r="BF33" s="26">
        <f>Financials!BE44/('Evolutive SFP'!BC29+'Evolutive SFP'!BD29)/2</f>
        <v>3.815429413549918E-4</v>
      </c>
      <c r="BG33" s="26">
        <f>Financials!BF44/('Evolutive SFP'!BD29+'Evolutive SFP'!BE29)/2</f>
        <v>4.1813976171792727E-4</v>
      </c>
      <c r="BH33" s="26">
        <f>Financials!BG44/('Evolutive SFP'!BE29+'Evolutive SFP'!BF29)/2</f>
        <v>3.4191271338985347E-4</v>
      </c>
      <c r="BI33" s="26">
        <f>Financials!BH44/('Evolutive SFP'!BF29+'Evolutive SFP'!BG29)/2</f>
        <v>0</v>
      </c>
      <c r="BJ33" s="26">
        <f>Financials!BI44/('Evolutive SFP'!BG29+'Evolutive SFP'!BH29)/2</f>
        <v>0</v>
      </c>
      <c r="BK33" s="26">
        <f>Financials!BJ44/('Evolutive SFP'!BH29+'Evolutive SFP'!BI29)/2</f>
        <v>8.1450284431561272E-5</v>
      </c>
      <c r="BL33" s="26">
        <f>Financials!BK44/('Evolutive SFP'!BI29+'Evolutive SFP'!BJ29)/2</f>
        <v>8.2900069436679926E-5</v>
      </c>
      <c r="BM33" s="26">
        <f>Financials!BL44/('Evolutive SFP'!BJ29+'Evolutive SFP'!BK29)/2</f>
        <v>8.305082515513656E-5</v>
      </c>
      <c r="BN33" s="26">
        <f>Financials!BM44/('Evolutive SFP'!BK29+'Evolutive SFP'!BL29)/2</f>
        <v>1.2887806391396374E-4</v>
      </c>
      <c r="BO33" s="26">
        <f>Financials!BN44/('Evolutive SFP'!BL29+'Evolutive SFP'!BM29)/2</f>
        <v>1.2948113490248293E-4</v>
      </c>
      <c r="BP33" s="26">
        <f>Financials!BO44/('Evolutive SFP'!BM29+'Evolutive SFP'!BN29)/2</f>
        <v>1.2960417707063397E-4</v>
      </c>
      <c r="BQ33" s="26">
        <f>Financials!BP44/('Evolutive SFP'!BN29+'Evolutive SFP'!BO29)/2</f>
        <v>1.2953235174263349E-4</v>
      </c>
      <c r="BR33" s="26">
        <f>Financials!BQ44/('Evolutive SFP'!BO29+'Evolutive SFP'!BP29)/2</f>
        <v>1.2976867608857195E-4</v>
      </c>
      <c r="BS33" s="26">
        <f>Financials!BR44/('Evolutive SFP'!BP29+'Evolutive SFP'!BQ29)/2</f>
        <v>1.2967179294667489E-4</v>
      </c>
      <c r="BT33" s="26">
        <f>Financials!BS44/('Evolutive SFP'!BQ29+'Evolutive SFP'!BR29)/2</f>
        <v>1.3184663047855191E-4</v>
      </c>
      <c r="BU33" s="26">
        <f>Financials!BT44/('Evolutive SFP'!BR29+'Evolutive SFP'!BS29)/2</f>
        <v>6.8879750717389945E-4</v>
      </c>
      <c r="BV33" s="26">
        <f>Financials!BU44/('Evolutive SFP'!BS29+'Evolutive SFP'!BT29)/2</f>
        <v>4.8697559415102954E-4</v>
      </c>
      <c r="BW33" s="26">
        <f>Financials!BV44/('Evolutive SFP'!BT29+'Evolutive SFP'!BU29)/2</f>
        <v>4.8446868739100002E-4</v>
      </c>
      <c r="BX33" s="26">
        <f>Financials!BW44/('Evolutive SFP'!BU29+'Evolutive SFP'!BV29)/2</f>
        <v>4.8511434859486861E-4</v>
      </c>
    </row>
    <row r="34" spans="1:76">
      <c r="A34" s="59"/>
      <c r="B34" s="54" t="s">
        <v>198</v>
      </c>
      <c r="C34" s="2"/>
      <c r="D34" s="26"/>
      <c r="E34" s="26">
        <f>Financials!D45/('Evolutive SFP'!B38+'Evolutive SFP'!C38)/2</f>
        <v>0</v>
      </c>
      <c r="F34" s="26">
        <f>Financials!E45/('Evolutive SFP'!C38+'Evolutive SFP'!D38)/2</f>
        <v>1.4874699381693928E-2</v>
      </c>
      <c r="G34" s="26">
        <f>Financials!F45/('Evolutive SFP'!D38+'Evolutive SFP'!E38)/2</f>
        <v>0</v>
      </c>
      <c r="H34" s="26">
        <f>Financials!G45/('Evolutive SFP'!E38+'Evolutive SFP'!F38)/2</f>
        <v>0</v>
      </c>
      <c r="I34" s="26">
        <f>Financials!H45/('Evolutive SFP'!F38+'Evolutive SFP'!G38)/2</f>
        <v>1.5248710225120234E-3</v>
      </c>
      <c r="J34" s="26">
        <f>Financials!I45/('Evolutive SFP'!G38+'Evolutive SFP'!H38)/2</f>
        <v>0</v>
      </c>
      <c r="K34" s="26">
        <f>Financials!J45/('Evolutive SFP'!H38+'Evolutive SFP'!I38)/2</f>
        <v>0</v>
      </c>
      <c r="L34" s="26">
        <f>Financials!K45/('Evolutive SFP'!I38+'Evolutive SFP'!J38)/2</f>
        <v>0</v>
      </c>
      <c r="M34" s="26">
        <f>Financials!L45/('Evolutive SFP'!J38+'Evolutive SFP'!K38)/2</f>
        <v>0</v>
      </c>
      <c r="N34" s="26">
        <f>Financials!M45/('Evolutive SFP'!K38+'Evolutive SFP'!L38)/2</f>
        <v>0</v>
      </c>
      <c r="O34" s="26" t="e">
        <f>Financials!N45/('Evolutive SFP'!L38+'Evolutive SFP'!M38)/2</f>
        <v>#DIV/0!</v>
      </c>
      <c r="P34" s="26" t="e">
        <f>Financials!O45/('Evolutive SFP'!M38+'Evolutive SFP'!N38)/2</f>
        <v>#DIV/0!</v>
      </c>
      <c r="Q34" s="26" t="e">
        <f>Financials!P45/('Evolutive SFP'!N38+'Evolutive SFP'!O38)/2</f>
        <v>#DIV/0!</v>
      </c>
      <c r="R34" s="26" t="e">
        <f>Financials!Q45/('Evolutive SFP'!O38+'Evolutive SFP'!P38)/2</f>
        <v>#DIV/0!</v>
      </c>
      <c r="S34" s="26" t="e">
        <f>Financials!R45/('Evolutive SFP'!P38+'Evolutive SFP'!Q38)/2</f>
        <v>#DIV/0!</v>
      </c>
      <c r="T34" s="26">
        <f>Financials!S45/('Evolutive SFP'!Q38+'Evolutive SFP'!R38)/2</f>
        <v>5.4445909005686631E-3</v>
      </c>
      <c r="U34" s="26">
        <f>Financials!T45/('Evolutive SFP'!R38+'Evolutive SFP'!S38)/2</f>
        <v>0</v>
      </c>
      <c r="V34" s="26">
        <f>Financials!U45/('Evolutive SFP'!S38+'Evolutive SFP'!T38)/2</f>
        <v>0</v>
      </c>
      <c r="W34" s="26">
        <f>Financials!V45/('Evolutive SFP'!T38+'Evolutive SFP'!U38)/2</f>
        <v>0</v>
      </c>
      <c r="X34" s="26">
        <f>Financials!W45/('Evolutive SFP'!U38+'Evolutive SFP'!V38)/2</f>
        <v>0</v>
      </c>
      <c r="Y34" s="26">
        <f>Financials!X45/('Evolutive SFP'!V38+'Evolutive SFP'!W38)/2</f>
        <v>0</v>
      </c>
      <c r="Z34" s="26">
        <f>Financials!Y45/('Evolutive SFP'!W38+'Evolutive SFP'!X38)/2</f>
        <v>0</v>
      </c>
      <c r="AA34" s="26">
        <f>Financials!Z45/('Evolutive SFP'!X38+'Evolutive SFP'!Y38)/2</f>
        <v>0</v>
      </c>
      <c r="AB34" s="26">
        <f>Financials!AA45/('Evolutive SFP'!Y38+'Evolutive SFP'!Z38)/2</f>
        <v>0</v>
      </c>
      <c r="AC34" s="26">
        <f>Financials!AB45/('Evolutive SFP'!Z38+'Evolutive SFP'!AA38)/2</f>
        <v>0</v>
      </c>
      <c r="AD34" s="26">
        <f>Financials!AC45/('Evolutive SFP'!AA38+'Evolutive SFP'!AB38)/2</f>
        <v>0</v>
      </c>
      <c r="AE34" s="26">
        <f>Financials!AD45/('Evolutive SFP'!AB38+'Evolutive SFP'!AC38)/2</f>
        <v>0</v>
      </c>
      <c r="AF34" s="26">
        <f>Financials!AE45/('Evolutive SFP'!AC38+'Evolutive SFP'!AD38)/2</f>
        <v>0</v>
      </c>
      <c r="AG34" s="26">
        <f>Financials!AF45/('Evolutive SFP'!AD38+'Evolutive SFP'!AE38)/2</f>
        <v>0</v>
      </c>
      <c r="AH34" s="26">
        <f>Financials!AG45/('Evolutive SFP'!AE38+'Evolutive SFP'!AF38)/2</f>
        <v>0</v>
      </c>
      <c r="AI34" s="26">
        <f>Financials!AH45/('Evolutive SFP'!AF38+'Evolutive SFP'!AG38)/2</f>
        <v>0</v>
      </c>
      <c r="AJ34" s="26">
        <f>Financials!AI45/('Evolutive SFP'!AG38+'Evolutive SFP'!AH38)/2</f>
        <v>0</v>
      </c>
      <c r="AK34" s="26">
        <f>Financials!AJ45/('Evolutive SFP'!AH38+'Evolutive SFP'!AI38)/2</f>
        <v>0</v>
      </c>
      <c r="AL34" s="26">
        <f>Financials!AK45/('Evolutive SFP'!AI38+'Evolutive SFP'!AJ38)/2</f>
        <v>0</v>
      </c>
      <c r="AM34" s="26">
        <f>Financials!AL45/('Evolutive SFP'!AJ38+'Evolutive SFP'!AK38)/2</f>
        <v>0</v>
      </c>
      <c r="AN34" s="26">
        <f>Financials!AM45/('Evolutive SFP'!AK38+'Evolutive SFP'!AL38)/2</f>
        <v>0</v>
      </c>
      <c r="AO34" s="26">
        <f>Financials!AN45/('Evolutive SFP'!AL38+'Evolutive SFP'!AM38)/2</f>
        <v>0</v>
      </c>
      <c r="AP34" s="26">
        <f>Financials!AO45/('Evolutive SFP'!AM38+'Evolutive SFP'!AN38)/2</f>
        <v>0</v>
      </c>
      <c r="AQ34" s="26">
        <f>Financials!AP45/('Evolutive SFP'!AN38+'Evolutive SFP'!AO38)/2</f>
        <v>0</v>
      </c>
      <c r="AR34" s="26" t="e">
        <f>Financials!AQ45/('Evolutive SFP'!AO38+'Evolutive SFP'!AP38)/2</f>
        <v>#DIV/0!</v>
      </c>
      <c r="AS34" s="26" t="e">
        <f>Financials!AR45/('Evolutive SFP'!AP38+'Evolutive SFP'!AQ38)/2</f>
        <v>#DIV/0!</v>
      </c>
      <c r="AT34" s="26" t="e">
        <f>Financials!AS45/('Evolutive SFP'!AQ38+'Evolutive SFP'!AR38)/2</f>
        <v>#DIV/0!</v>
      </c>
      <c r="AU34" s="26">
        <f>Financials!AT45/('Evolutive SFP'!AR38+'Evolutive SFP'!AS38)/2</f>
        <v>0</v>
      </c>
      <c r="AV34" s="26">
        <f>Financials!AU45/('Evolutive SFP'!AS38+'Evolutive SFP'!AT38)/2</f>
        <v>0</v>
      </c>
      <c r="AW34" s="26">
        <f>Financials!AV45/('Evolutive SFP'!AT38+'Evolutive SFP'!AU38)/2</f>
        <v>0</v>
      </c>
      <c r="AX34" s="26">
        <f>Financials!AW45/('Evolutive SFP'!AU38+'Evolutive SFP'!AV38)/2</f>
        <v>0</v>
      </c>
      <c r="AY34" s="26">
        <f>Financials!AX45/('Evolutive SFP'!AV38+'Evolutive SFP'!AW38)/2</f>
        <v>0</v>
      </c>
      <c r="AZ34" s="26">
        <f>Financials!AY45/('Evolutive SFP'!AW38+'Evolutive SFP'!AX38)/2</f>
        <v>0</v>
      </c>
      <c r="BA34" s="26">
        <f>Financials!AZ45/('Evolutive SFP'!AX38+'Evolutive SFP'!AY38)/2</f>
        <v>0</v>
      </c>
      <c r="BB34" s="26">
        <f>Financials!BA45/('Evolutive SFP'!AY38+'Evolutive SFP'!AZ38)/2</f>
        <v>0</v>
      </c>
      <c r="BC34" s="26">
        <f>Financials!BB45/('Evolutive SFP'!AZ38+'Evolutive SFP'!BA38)/2</f>
        <v>0</v>
      </c>
      <c r="BD34" s="26">
        <f>Financials!BC45/('Evolutive SFP'!BA38+'Evolutive SFP'!BB38)/2</f>
        <v>0</v>
      </c>
      <c r="BE34" s="26">
        <f>Financials!BD45/('Evolutive SFP'!BB38+'Evolutive SFP'!BC38)/2</f>
        <v>0</v>
      </c>
      <c r="BF34" s="26">
        <f>Financials!BE45/('Evolutive SFP'!BC38+'Evolutive SFP'!BD38)/2</f>
        <v>0</v>
      </c>
      <c r="BG34" s="26">
        <f>Financials!BF45/('Evolutive SFP'!BD38+'Evolutive SFP'!BE38)/2</f>
        <v>0</v>
      </c>
      <c r="BH34" s="26">
        <f>Financials!BG45/('Evolutive SFP'!BE38+'Evolutive SFP'!BF38)/2</f>
        <v>0</v>
      </c>
      <c r="BI34" s="26">
        <f>Financials!BH45/('Evolutive SFP'!BF38+'Evolutive SFP'!BG38)/2</f>
        <v>0</v>
      </c>
      <c r="BJ34" s="26">
        <f>Financials!BI45/('Evolutive SFP'!BG38+'Evolutive SFP'!BH38)/2</f>
        <v>0</v>
      </c>
      <c r="BK34" s="26">
        <f>Financials!BJ45/('Evolutive SFP'!BH38+'Evolutive SFP'!BI38)/2</f>
        <v>0</v>
      </c>
      <c r="BL34" s="26">
        <f>Financials!BK45/('Evolutive SFP'!BI38+'Evolutive SFP'!BJ38)/2</f>
        <v>0</v>
      </c>
      <c r="BM34" s="26">
        <f>Financials!BL45/('Evolutive SFP'!BJ38+'Evolutive SFP'!BK38)/2</f>
        <v>0</v>
      </c>
      <c r="BN34" s="26">
        <f>Financials!BM45/('Evolutive SFP'!BK38+'Evolutive SFP'!BL38)/2</f>
        <v>0</v>
      </c>
      <c r="BO34" s="26">
        <f>Financials!BN45/('Evolutive SFP'!BL38+'Evolutive SFP'!BM38)/2</f>
        <v>0</v>
      </c>
      <c r="BP34" s="26">
        <f>Financials!BO45/('Evolutive SFP'!BM38+'Evolutive SFP'!BN38)/2</f>
        <v>0</v>
      </c>
      <c r="BQ34" s="26">
        <f>Financials!BP45/('Evolutive SFP'!BN38+'Evolutive SFP'!BO38)/2</f>
        <v>0</v>
      </c>
      <c r="BR34" s="26">
        <f>Financials!BQ45/('Evolutive SFP'!BO38+'Evolutive SFP'!BP38)/2</f>
        <v>0</v>
      </c>
      <c r="BS34" s="26">
        <f>Financials!BR45/('Evolutive SFP'!BP38+'Evolutive SFP'!BQ38)/2</f>
        <v>0</v>
      </c>
      <c r="BT34" s="26">
        <f>Financials!BS45/('Evolutive SFP'!BQ38+'Evolutive SFP'!BR38)/2</f>
        <v>0</v>
      </c>
      <c r="BU34" s="26">
        <f>Financials!BT45/('Evolutive SFP'!BR38+'Evolutive SFP'!BS38)/2</f>
        <v>0</v>
      </c>
      <c r="BV34" s="26">
        <f>Financials!BU45/('Evolutive SFP'!BS38+'Evolutive SFP'!BT38)/2</f>
        <v>0</v>
      </c>
      <c r="BW34" s="26">
        <f>Financials!BV45/('Evolutive SFP'!BT38+'Evolutive SFP'!BU38)/2</f>
        <v>0</v>
      </c>
      <c r="BX34" s="26">
        <f>Financials!BW45/('Evolutive SFP'!BU38+'Evolutive SFP'!BV38)/2</f>
        <v>0</v>
      </c>
    </row>
    <row r="35" spans="1:76">
      <c r="A35" s="59"/>
      <c r="B35" s="54" t="s">
        <v>199</v>
      </c>
      <c r="C35" s="2"/>
      <c r="D35" s="26"/>
      <c r="E35" s="26">
        <f>Financials!D46/(Financials!C31+Financials!D31)/2</f>
        <v>1.4680629511586705E-3</v>
      </c>
      <c r="F35" s="26">
        <f>Financials!E46/(Financials!D31+Financials!E31)/2</f>
        <v>2.1977677234442713E-3</v>
      </c>
      <c r="G35" s="26">
        <f>Financials!F46/(Financials!E31+Financials!F31)/2</f>
        <v>9.3296487395961287E-5</v>
      </c>
      <c r="H35" s="26">
        <f>Financials!G46/(Financials!F31+Financials!G31)/2</f>
        <v>8.7324775207326316E-5</v>
      </c>
      <c r="I35" s="26">
        <f>Financials!H46/(Financials!G31+Financials!H31)/2</f>
        <v>2.0030560594946981E-4</v>
      </c>
      <c r="J35" s="26">
        <f>Financials!I46/(Financials!H31+Financials!I31)/2</f>
        <v>3.2653376942300697E-4</v>
      </c>
      <c r="K35" s="26">
        <f>Financials!J46/(Financials!I31+Financials!J31)/2</f>
        <v>3.3204491181256006E-4</v>
      </c>
      <c r="L35" s="26">
        <f>Financials!K46/(Financials!J31+Financials!K31)/2</f>
        <v>3.8092028949486035E-4</v>
      </c>
      <c r="M35" s="26">
        <f>Financials!L46/(Financials!K31+Financials!L31)/2</f>
        <v>3.7972893449716386E-4</v>
      </c>
      <c r="N35" s="26">
        <f>Financials!M46/(Financials!L31+Financials!M31)/2</f>
        <v>0</v>
      </c>
      <c r="O35" s="26" t="e">
        <f>Financials!N46/(Financials!M31+Financials!N31)/2</f>
        <v>#DIV/0!</v>
      </c>
      <c r="P35" s="26" t="e">
        <f>Financials!O46/(Financials!N31+Financials!O31)/2</f>
        <v>#DIV/0!</v>
      </c>
      <c r="Q35" s="26" t="e">
        <f>Financials!P46/(Financials!O31+Financials!P31)/2</f>
        <v>#DIV/0!</v>
      </c>
      <c r="R35" s="26" t="e">
        <f>Financials!Q46/(Financials!P31+Financials!Q31)/2</f>
        <v>#DIV/0!</v>
      </c>
      <c r="S35" s="26" t="e">
        <f>Financials!R46/(Financials!Q31+Financials!R31)/2</f>
        <v>#DIV/0!</v>
      </c>
      <c r="T35" s="26">
        <f>Financials!S46/(Financials!R31+Financials!S31)/2</f>
        <v>2.9082806603285371E-3</v>
      </c>
      <c r="U35" s="26">
        <f>Financials!T46/(Financials!S31+Financials!T31)/2</f>
        <v>0</v>
      </c>
      <c r="V35" s="26">
        <f>Financials!U46/(Financials!T31+Financials!U31)/2</f>
        <v>6.8491550690483888E-5</v>
      </c>
      <c r="W35" s="26">
        <f>Financials!V46/(Financials!U31+Financials!V31)/2</f>
        <v>1.120075608978641E-4</v>
      </c>
      <c r="X35" s="26">
        <f>Financials!W46/(Financials!V31+Financials!W31)/2</f>
        <v>1.1970249837836553E-4</v>
      </c>
      <c r="Y35" s="26">
        <f>Financials!X46/(Financials!W31+Financials!X31)/2</f>
        <v>1.2092750761246606E-4</v>
      </c>
      <c r="Z35" s="26">
        <f>Financials!Y46/(Financials!X31+Financials!Y31)/2</f>
        <v>1.1324929257412798E-4</v>
      </c>
      <c r="AA35" s="26">
        <f>Financials!Z46/(Financials!Y31+Financials!Z31)/2</f>
        <v>1.1233584392535754E-4</v>
      </c>
      <c r="AB35" s="26">
        <f>Financials!AA46/(Financials!Z31+Financials!AA31)/2</f>
        <v>1.1539713663400418E-4</v>
      </c>
      <c r="AC35" s="26">
        <f>Financials!AB46/(Financials!AA31+Financials!AB31)/2</f>
        <v>8.8251765653614666E-5</v>
      </c>
      <c r="AD35" s="26">
        <f>Financials!AC46/(Financials!AB31+Financials!AC31)/2</f>
        <v>1.2795784353154433E-4</v>
      </c>
      <c r="AE35" s="26">
        <f>Financials!AD46/(Financials!AC31+Financials!AD31)/2</f>
        <v>1.3764515770863748E-4</v>
      </c>
      <c r="AF35" s="26">
        <f>Financials!AE46/(Financials!AD31+Financials!AE31)/2</f>
        <v>1.480305554446536E-4</v>
      </c>
      <c r="AG35" s="26">
        <f>Financials!AF46/(Financials!AE31+Financials!AF31)/2</f>
        <v>0</v>
      </c>
      <c r="AH35" s="26">
        <f>Financials!AG46/(Financials!AF31+Financials!AG31)/2</f>
        <v>0</v>
      </c>
      <c r="AI35" s="26">
        <f>Financials!AH46/(Financials!AG31+Financials!AH31)/2</f>
        <v>0</v>
      </c>
      <c r="AJ35" s="26">
        <f>Financials!AI46/(Financials!AH31+Financials!AI31)/2</f>
        <v>0</v>
      </c>
      <c r="AK35" s="26">
        <f>Financials!AJ46/(Financials!AI31+Financials!AJ31)/2</f>
        <v>6.818615794526639E-3</v>
      </c>
      <c r="AL35" s="26">
        <f>Financials!AK46/(Financials!AJ31+Financials!AK31)/2</f>
        <v>0</v>
      </c>
      <c r="AM35" s="26">
        <f>Financials!AL46/(Financials!AK31+Financials!AL31)/2</f>
        <v>0</v>
      </c>
      <c r="AN35" s="26">
        <f>Financials!AM46/(Financials!AL31+Financials!AM31)/2</f>
        <v>0</v>
      </c>
      <c r="AO35" s="26">
        <f>Financials!AN46/(Financials!AM31+Financials!AN31)/2</f>
        <v>0</v>
      </c>
      <c r="AP35" s="26">
        <f>Financials!AO46/(Financials!AN31+Financials!AO31)/2</f>
        <v>0</v>
      </c>
      <c r="AQ35" s="26">
        <f>Financials!AP46/(Financials!AO31+Financials!AP31)/2</f>
        <v>2.1093600663190843E-2</v>
      </c>
      <c r="AR35" s="26" t="e">
        <f>Financials!AQ46/(Financials!AP31+Financials!AQ31)/2</f>
        <v>#DIV/0!</v>
      </c>
      <c r="AS35" s="26" t="e">
        <f>Financials!AR46/(Financials!AQ31+Financials!AR31)/2</f>
        <v>#DIV/0!</v>
      </c>
      <c r="AT35" s="26" t="e">
        <f>Financials!AS46/(Financials!AR31+Financials!AS31)/2</f>
        <v>#DIV/0!</v>
      </c>
      <c r="AU35" s="26">
        <f>Financials!AT46/(Financials!AS31+Financials!AT31)/2</f>
        <v>0</v>
      </c>
      <c r="AV35" s="26">
        <f>Financials!AU46/(Financials!AT31+Financials!AU31)/2</f>
        <v>0</v>
      </c>
      <c r="AW35" s="26">
        <f>Financials!AV46/(Financials!AU31+Financials!AV31)/2</f>
        <v>0</v>
      </c>
      <c r="AX35" s="26">
        <f>Financials!AW46/(Financials!AV31+Financials!AW31)/2</f>
        <v>0</v>
      </c>
      <c r="AY35" s="26">
        <f>Financials!AX46/(Financials!AW31+Financials!AX31)/2</f>
        <v>0</v>
      </c>
      <c r="AZ35" s="26">
        <f>Financials!AY46/(Financials!AX31+Financials!AY31)/2</f>
        <v>0</v>
      </c>
      <c r="BA35" s="26">
        <f>Financials!AZ46/(Financials!AY31+Financials!AZ31)/2</f>
        <v>0</v>
      </c>
      <c r="BB35" s="26">
        <f>Financials!BA46/(Financials!AZ31+Financials!BA31)/2</f>
        <v>0</v>
      </c>
      <c r="BC35" s="26">
        <f>Financials!BB46/(Financials!BA31+Financials!BB31)/2</f>
        <v>2.7123247057393243E-2</v>
      </c>
      <c r="BD35" s="26">
        <f>Financials!BC46/(Financials!BB31+Financials!BC31)/2</f>
        <v>5.7631832598313134E-3</v>
      </c>
      <c r="BE35" s="26">
        <f>Financials!BD46/(Financials!BC31+Financials!BD31)/2</f>
        <v>3.2298482438599674E-3</v>
      </c>
      <c r="BF35" s="26">
        <f>Financials!BE46/(Financials!BD31+Financials!BE31)/2</f>
        <v>3.3273192924663689E-3</v>
      </c>
      <c r="BG35" s="26">
        <f>Financials!BF46/(Financials!BE31+Financials!BF31)/2</f>
        <v>3.6106599476856036E-3</v>
      </c>
      <c r="BH35" s="26">
        <f>Financials!BG46/(Financials!BF31+Financials!BG31)/2</f>
        <v>3.70165223737346E-3</v>
      </c>
      <c r="BI35" s="26">
        <f>Financials!BH46/(Financials!BG31+Financials!BH31)/2</f>
        <v>0</v>
      </c>
      <c r="BJ35" s="26">
        <f>Financials!BI46/(Financials!BH31+Financials!BI31)/2</f>
        <v>0</v>
      </c>
      <c r="BK35" s="26">
        <f>Financials!BJ46/(Financials!BI31+Financials!BJ31)/2</f>
        <v>0</v>
      </c>
      <c r="BL35" s="26">
        <f>Financials!BK46/(Financials!BJ31+Financials!BK31)/2</f>
        <v>0</v>
      </c>
      <c r="BM35" s="26">
        <f>Financials!BL46/(Financials!BK31+Financials!BL31)/2</f>
        <v>0</v>
      </c>
      <c r="BN35" s="26">
        <f>Financials!BM46/(Financials!BL31+Financials!BM31)/2</f>
        <v>0</v>
      </c>
      <c r="BO35" s="26">
        <f>Financials!BN46/(Financials!BM31+Financials!BN31)/2</f>
        <v>0</v>
      </c>
      <c r="BP35" s="26">
        <f>Financials!BO46/(Financials!BN31+Financials!BO31)/2</f>
        <v>0</v>
      </c>
      <c r="BQ35" s="26">
        <f>Financials!BP46/(Financials!BO31+Financials!BP31)/2</f>
        <v>0</v>
      </c>
      <c r="BR35" s="26">
        <f>Financials!BQ46/(Financials!BP31+Financials!BQ31)/2</f>
        <v>0</v>
      </c>
      <c r="BS35" s="26">
        <f>Financials!BR46/(Financials!BQ31+Financials!BR31)/2</f>
        <v>5.4388586825560839E-4</v>
      </c>
      <c r="BT35" s="26">
        <f>Financials!BS46/(Financials!BR31+Financials!BS31)/2</f>
        <v>0</v>
      </c>
      <c r="BU35" s="26">
        <f>Financials!BT46/(Financials!BS31+Financials!BT31)/2</f>
        <v>5.6178376545929442E-4</v>
      </c>
      <c r="BV35" s="26">
        <f>Financials!BU46/(Financials!BT31+Financials!BU31)/2</f>
        <v>0</v>
      </c>
      <c r="BW35" s="26">
        <f>Financials!BV46/(Financials!BU31+Financials!BV31)/2</f>
        <v>0</v>
      </c>
      <c r="BX35" s="26">
        <f>Financials!BW46/(Financials!BV31+Financials!BW31)/2</f>
        <v>0</v>
      </c>
    </row>
    <row r="36" spans="1:76">
      <c r="A36" s="59"/>
      <c r="B36" s="54" t="s">
        <v>200</v>
      </c>
      <c r="C36" s="2"/>
      <c r="D36" s="26"/>
      <c r="E36" s="26">
        <f>Financials!D47/(Financials!C4+Financials!D4)/2</f>
        <v>2.2067769592468613E-2</v>
      </c>
      <c r="F36" s="26">
        <f>Financials!E47/(Financials!D4+Financials!E4)/2</f>
        <v>3.1817991400783542E-2</v>
      </c>
      <c r="G36" s="26">
        <f>Financials!F47/(Financials!E4+Financials!F4)/2</f>
        <v>3.2302014074775667E-3</v>
      </c>
      <c r="H36" s="26">
        <f>Financials!G47/(Financials!F4+Financials!G4)/2</f>
        <v>3.284426763402236E-3</v>
      </c>
      <c r="I36" s="26">
        <f>Financials!H47/(Financials!G4+Financials!H4)/2</f>
        <v>5.9821727007690565E-3</v>
      </c>
      <c r="J36" s="26">
        <f>Financials!I47/(Financials!H4+Financials!I4)/2</f>
        <v>8.8125759799340571E-3</v>
      </c>
      <c r="K36" s="26">
        <f>Financials!J47/(Financials!I4+Financials!J4)/2</f>
        <v>1.1399116381246891E-2</v>
      </c>
      <c r="L36" s="26">
        <f>Financials!K47/(Financials!J4+Financials!K4)/2</f>
        <v>1.3997114585148379E-2</v>
      </c>
      <c r="M36" s="26">
        <f>Financials!L47/(Financials!K4+Financials!L4)/2</f>
        <v>1.4836476055421845E-2</v>
      </c>
      <c r="N36" s="26">
        <f>Financials!M47/(Financials!L4+Financials!M4)/2</f>
        <v>0</v>
      </c>
      <c r="O36" s="26" t="e">
        <f>Financials!N47/(Financials!M4+Financials!N4)/2</f>
        <v>#DIV/0!</v>
      </c>
      <c r="P36" s="26" t="e">
        <f>Financials!O47/(Financials!N4+Financials!O4)/2</f>
        <v>#DIV/0!</v>
      </c>
      <c r="Q36" s="26" t="e">
        <f>Financials!P47/(Financials!O4+Financials!P4)/2</f>
        <v>#DIV/0!</v>
      </c>
      <c r="R36" s="26" t="e">
        <f>Financials!Q47/(Financials!P4+Financials!Q4)/2</f>
        <v>#DIV/0!</v>
      </c>
      <c r="S36" s="26" t="e">
        <f>Financials!R47/(Financials!Q4+Financials!R4)/2</f>
        <v>#DIV/0!</v>
      </c>
      <c r="T36" s="26">
        <f>Financials!S47/(Financials!R4+Financials!S4)/2</f>
        <v>6.3369193377340496E-2</v>
      </c>
      <c r="U36" s="26">
        <f>Financials!T47/(Financials!S4+Financials!T4)/2</f>
        <v>2.7077608259586431E-3</v>
      </c>
      <c r="V36" s="26">
        <f>Financials!U47/(Financials!T4+Financials!U4)/2</f>
        <v>5.2194504436083415E-3</v>
      </c>
      <c r="W36" s="26">
        <f>Financials!V47/(Financials!U4+Financials!V4)/2</f>
        <v>6.0307160617987261E-3</v>
      </c>
      <c r="X36" s="26">
        <f>Financials!W47/(Financials!V4+Financials!W4)/2</f>
        <v>6.4277067223154601E-3</v>
      </c>
      <c r="Y36" s="26">
        <f>Financials!X47/(Financials!W4+Financials!X4)/2</f>
        <v>9.9100622341155402E-3</v>
      </c>
      <c r="Z36" s="26">
        <f>Financials!Y47/(Financials!X4+Financials!Y4)/2</f>
        <v>9.6032494569653435E-3</v>
      </c>
      <c r="AA36" s="26">
        <f>Financials!Z47/(Financials!Y4+Financials!Z4)/2</f>
        <v>1.0487401231560152E-2</v>
      </c>
      <c r="AB36" s="26">
        <f>Financials!AA47/(Financials!Z4+Financials!AA4)/2</f>
        <v>1.4867661866028226E-2</v>
      </c>
      <c r="AC36" s="26">
        <f>Financials!AB47/(Financials!AA4+Financials!AB4)/2</f>
        <v>1.5431201507260675E-2</v>
      </c>
      <c r="AD36" s="26">
        <f>Financials!AC47/(Financials!AB4+Financials!AC4)/2</f>
        <v>1.997134956931056E-2</v>
      </c>
      <c r="AE36" s="26">
        <f>Financials!AD47/(Financials!AC4+Financials!AD4)/2</f>
        <v>2.3416989913572734E-2</v>
      </c>
      <c r="AF36" s="26">
        <f>Financials!AE47/(Financials!AD4+Financials!AE4)/2</f>
        <v>2.895330171232495E-2</v>
      </c>
      <c r="AG36" s="26">
        <f>Financials!AF47/(Financials!AE4+Financials!AF4)/2</f>
        <v>1.9032606283396522E-2</v>
      </c>
      <c r="AH36" s="26">
        <f>Financials!AG47/(Financials!AF4+Financials!AG4)/2</f>
        <v>3.3149267563701283E-2</v>
      </c>
      <c r="AI36" s="26">
        <f>Financials!AH47/(Financials!AG4+Financials!AH4)/2</f>
        <v>1.0952472245167168E-3</v>
      </c>
      <c r="AJ36" s="26">
        <f>Financials!AI47/(Financials!AH4+Financials!AI4)/2</f>
        <v>1.3120379028615395E-3</v>
      </c>
      <c r="AK36" s="26">
        <f>Financials!AJ47/(Financials!AI4+Financials!AJ4)/2</f>
        <v>6.7906070581307057E-3</v>
      </c>
      <c r="AL36" s="26">
        <f>Financials!AK47/(Financials!AJ4+Financials!AK4)/2</f>
        <v>8.2276500325584034E-3</v>
      </c>
      <c r="AM36" s="26">
        <f>Financials!AL47/(Financials!AK4+Financials!AL4)/2</f>
        <v>9.669879466074725E-3</v>
      </c>
      <c r="AN36" s="26">
        <f>Financials!AM47/(Financials!AL4+Financials!AM4)/2</f>
        <v>1.0013625314406549E-2</v>
      </c>
      <c r="AO36" s="26">
        <f>Financials!AN47/(Financials!AM4+Financials!AN4)/2</f>
        <v>1.1093056251191124E-2</v>
      </c>
      <c r="AP36" s="26">
        <f>Financials!AO47/(Financials!AN4+Financials!AO4)/2</f>
        <v>1.0464969314084679E-2</v>
      </c>
      <c r="AQ36" s="26">
        <f>Financials!AP47/(Financials!AO4+Financials!AP4)/2</f>
        <v>2.352227406168516E-2</v>
      </c>
      <c r="AR36" s="26" t="e">
        <f>Financials!AQ47/(Financials!AP4+Financials!AQ4)/2</f>
        <v>#DIV/0!</v>
      </c>
      <c r="AS36" s="26" t="e">
        <f>Financials!AR47/(Financials!AQ4+Financials!AR4)/2</f>
        <v>#DIV/0!</v>
      </c>
      <c r="AT36" s="26" t="e">
        <f>Financials!AS47/(Financials!AR4+Financials!AS4)/2</f>
        <v>#DIV/0!</v>
      </c>
      <c r="AU36" s="26">
        <f>Financials!AT47/(Financials!AS4+Financials!AT4)/2</f>
        <v>0</v>
      </c>
      <c r="AV36" s="26">
        <f>Financials!AU47/(Financials!AT4+Financials!AU4)/2</f>
        <v>1.819843849719543E-3</v>
      </c>
      <c r="AW36" s="26">
        <f>Financials!AV47/(Financials!AU4+Financials!AV4)/2</f>
        <v>3.7663085672757749E-3</v>
      </c>
      <c r="AX36" s="26">
        <f>Financials!AW47/(Financials!AV4+Financials!AW4)/2</f>
        <v>4.9798565015220543E-3</v>
      </c>
      <c r="AY36" s="26">
        <f>Financials!AX47/(Financials!AW4+Financials!AX4)/2</f>
        <v>6.4733404499895111E-3</v>
      </c>
      <c r="AZ36" s="26">
        <f>Financials!AY47/(Financials!AX4+Financials!AY4)/2</f>
        <v>8.7706094514743392E-3</v>
      </c>
      <c r="BA36" s="26">
        <f>Financials!AZ47/(Financials!AY4+Financials!AZ4)/2</f>
        <v>1.8746893706517807E-2</v>
      </c>
      <c r="BB36" s="26">
        <f>Financials!BA47/(Financials!AZ4+Financials!BA4)/2</f>
        <v>0</v>
      </c>
      <c r="BC36" s="26">
        <f>Financials!BB47/(Financials!BA4+Financials!BB4)/2</f>
        <v>1.3702807370527209E-2</v>
      </c>
      <c r="BD36" s="26">
        <f>Financials!BC47/(Financials!BB4+Financials!BC4)/2</f>
        <v>1.5289300467273965E-2</v>
      </c>
      <c r="BE36" s="26">
        <f>Financials!BD47/(Financials!BC4+Financials!BD4)/2</f>
        <v>1.6736369408423341E-2</v>
      </c>
      <c r="BF36" s="26">
        <f>Financials!BE47/(Financials!BD4+Financials!BE4)/2</f>
        <v>1.8526343233874445E-2</v>
      </c>
      <c r="BG36" s="26">
        <f>Financials!BF47/(Financials!BE4+Financials!BF4)/2</f>
        <v>2.1857587785332179E-2</v>
      </c>
      <c r="BH36" s="26">
        <f>Financials!BG47/(Financials!BF4+Financials!BG4)/2</f>
        <v>2.635377973875544E-2</v>
      </c>
      <c r="BI36" s="26">
        <f>Financials!BH47/(Financials!BG4+Financials!BH4)/2</f>
        <v>2.2355774743660038E-3</v>
      </c>
      <c r="BJ36" s="26">
        <f>Financials!BI47/(Financials!BH4+Financials!BI4)/2</f>
        <v>3.8741755330405476E-3</v>
      </c>
      <c r="BK36" s="26">
        <f>Financials!BJ47/(Financials!BI4+Financials!BJ4)/2</f>
        <v>6.1254026693472663E-3</v>
      </c>
      <c r="BL36" s="26">
        <f>Financials!BK47/(Financials!BJ4+Financials!BK4)/2</f>
        <v>9.4333609892798872E-3</v>
      </c>
      <c r="BM36" s="26">
        <f>Financials!BL47/(Financials!BK4+Financials!BL4)/2</f>
        <v>1.0117674341366069E-2</v>
      </c>
      <c r="BN36" s="26">
        <f>Financials!BM47/(Financials!BL4+Financials!BM4)/2</f>
        <v>1.1931050214965896E-2</v>
      </c>
      <c r="BO36" s="26">
        <f>Financials!BN47/(Financials!BM4+Financials!BN4)/2</f>
        <v>1.4160396286329415E-2</v>
      </c>
      <c r="BP36" s="26">
        <f>Financials!BO47/(Financials!BN4+Financials!BO4)/2</f>
        <v>1.8680782779792061E-2</v>
      </c>
      <c r="BQ36" s="26">
        <f>Financials!BP47/(Financials!BO4+Financials!BP4)/2</f>
        <v>1.946082058956276E-2</v>
      </c>
      <c r="BR36" s="26">
        <f>Financials!BQ47/(Financials!BP4+Financials!BQ4)/2</f>
        <v>2.1761792003647334E-2</v>
      </c>
      <c r="BS36" s="26">
        <f>Financials!BR47/(Financials!BQ4+Financials!BR4)/2</f>
        <v>2.2579226068866046E-2</v>
      </c>
      <c r="BT36" s="26">
        <f>Financials!BS47/(Financials!BR4+Financials!BS4)/2</f>
        <v>2.5714710122532434E-2</v>
      </c>
      <c r="BU36" s="26">
        <f>Financials!BT47/(Financials!BS4+Financials!BT4)/2</f>
        <v>2.7010188082328974E-2</v>
      </c>
      <c r="BV36" s="26">
        <f>Financials!BU47/(Financials!BT4+Financials!BU4)/2</f>
        <v>1.9076810913929616E-3</v>
      </c>
      <c r="BW36" s="26">
        <f>Financials!BV47/(Financials!BU4+Financials!BV4)/2</f>
        <v>3.1727560837169545E-3</v>
      </c>
      <c r="BX36" s="26">
        <f>Financials!BW47/(Financials!BV4+Financials!BW4)/2</f>
        <v>7.1498761019255464E-3</v>
      </c>
    </row>
    <row r="37" spans="1:76">
      <c r="A37" s="59"/>
      <c r="B37" s="54" t="s">
        <v>201</v>
      </c>
      <c r="C37" s="2"/>
      <c r="D37" s="26"/>
      <c r="E37" s="26">
        <f>Financials!D47/Financials!D37</f>
        <v>0.48148833918812078</v>
      </c>
      <c r="F37" s="26">
        <f>Financials!E47/Financials!E37</f>
        <v>0.65743147701207361</v>
      </c>
      <c r="G37" s="26">
        <f>Financials!F47/Financials!F37</f>
        <v>0.89548812898304719</v>
      </c>
      <c r="H37" s="26">
        <f>Financials!G47/Financials!G37</f>
        <v>0.89548812898304719</v>
      </c>
      <c r="I37" s="26">
        <f>Financials!H47/Financials!H37</f>
        <v>0.81253604791270628</v>
      </c>
      <c r="J37" s="26">
        <f>Financials!I47/Financials!I37</f>
        <v>0.83907058667490808</v>
      </c>
      <c r="K37" s="26">
        <f>Financials!J47/Financials!J37</f>
        <v>0.78769369949329393</v>
      </c>
      <c r="L37" s="26">
        <f>Financials!K47/Financials!K37</f>
        <v>0.89509742488195587</v>
      </c>
      <c r="M37" s="26">
        <f>Financials!L47/Financials!L37</f>
        <v>0.87853736850895081</v>
      </c>
      <c r="N37" s="26" t="e">
        <f>Financials!M47/Financials!M37</f>
        <v>#DIV/0!</v>
      </c>
      <c r="O37" s="26" t="e">
        <f>Financials!N47/Financials!N37</f>
        <v>#DIV/0!</v>
      </c>
      <c r="P37" s="26" t="e">
        <f>Financials!O47/Financials!O37</f>
        <v>#DIV/0!</v>
      </c>
      <c r="Q37" s="26" t="e">
        <f>Financials!P47/Financials!P37</f>
        <v>#DIV/0!</v>
      </c>
      <c r="R37" s="26" t="e">
        <f>Financials!Q47/Financials!Q37</f>
        <v>#DIV/0!</v>
      </c>
      <c r="S37" s="26" t="e">
        <f>Financials!R47/Financials!R37</f>
        <v>#DIV/0!</v>
      </c>
      <c r="T37" s="26">
        <f>Financials!S47/Financials!S37</f>
        <v>0.94107384350333589</v>
      </c>
      <c r="U37" s="26">
        <f>Financials!T47/Financials!T37</f>
        <v>0.65492503445802552</v>
      </c>
      <c r="V37" s="26">
        <f>Financials!U47/Financials!U37</f>
        <v>0.62905776633879251</v>
      </c>
      <c r="W37" s="26">
        <f>Financials!V47/Financials!V37</f>
        <v>0.64769665588690828</v>
      </c>
      <c r="X37" s="26">
        <f>Financials!W47/Financials!W37</f>
        <v>0.62819646486263236</v>
      </c>
      <c r="Y37" s="26">
        <f>Financials!X47/Financials!X37</f>
        <v>0.83976296358982361</v>
      </c>
      <c r="Z37" s="26">
        <f>Financials!Y47/Financials!Y37</f>
        <v>0.81468756454162095</v>
      </c>
      <c r="AA37" s="26">
        <f>Financials!Z47/Financials!Z37</f>
        <v>0.91520489563123808</v>
      </c>
      <c r="AB37" s="26">
        <f>Financials!AA47/Financials!AA37</f>
        <v>1.1830201836546497</v>
      </c>
      <c r="AC37" s="26">
        <f>Financials!AB47/Financials!AB37</f>
        <v>0.97446053077791772</v>
      </c>
      <c r="AD37" s="26">
        <f>Financials!AC47/Financials!AC37</f>
        <v>1.011685000096912</v>
      </c>
      <c r="AE37" s="26">
        <f>Financials!AD47/Financials!AD37</f>
        <v>0.98102818564672967</v>
      </c>
      <c r="AF37" s="26">
        <f>Financials!AE47/Financials!AE37</f>
        <v>1.0613322266731628</v>
      </c>
      <c r="AG37" s="26" t="e">
        <f>Financials!AF47/Financials!AF37</f>
        <v>#DIV/0!</v>
      </c>
      <c r="AH37" s="26">
        <f>Financials!AG47/Financials!AG37</f>
        <v>1.1675311426483896</v>
      </c>
      <c r="AI37" s="26">
        <f>Financials!AH47/Financials!AH37</f>
        <v>1.9416832653025833</v>
      </c>
      <c r="AJ37" s="26">
        <f>Financials!AI47/Financials!AI37</f>
        <v>1.9132389403722325</v>
      </c>
      <c r="AK37" s="26">
        <f>Financials!AJ47/Financials!AJ37</f>
        <v>2.1882324254744128</v>
      </c>
      <c r="AL37" s="26">
        <f>Financials!AK47/Financials!AK37</f>
        <v>2.3777952383864873</v>
      </c>
      <c r="AM37" s="26">
        <f>Financials!AL47/Financials!AL37</f>
        <v>2.6695488810299759</v>
      </c>
      <c r="AN37" s="26">
        <f>Financials!AM47/Financials!AM37</f>
        <v>2.749551071518022</v>
      </c>
      <c r="AO37" s="26">
        <f>Financials!AN47/Financials!AN37</f>
        <v>2.6015735696053488</v>
      </c>
      <c r="AP37" s="26">
        <f>Financials!AO47/Financials!AO37</f>
        <v>1.5430456552251426</v>
      </c>
      <c r="AQ37" s="26">
        <f>Financials!AP47/Financials!AP37</f>
        <v>1.2201084334351804</v>
      </c>
      <c r="AR37" s="26" t="e">
        <f>Financials!AQ47/Financials!AQ37</f>
        <v>#DIV/0!</v>
      </c>
      <c r="AS37" s="26" t="e">
        <f>Financials!AR47/Financials!AR37</f>
        <v>#DIV/0!</v>
      </c>
      <c r="AT37" s="26" t="e">
        <f>Financials!AS47/Financials!AS37</f>
        <v>#DIV/0!</v>
      </c>
      <c r="AU37" s="26" t="e">
        <f>Financials!AT47/Financials!AT37</f>
        <v>#DIV/0!</v>
      </c>
      <c r="AV37" s="26">
        <f>Financials!AU47/Financials!AU37</f>
        <v>5.695199916982185</v>
      </c>
      <c r="AW37" s="26">
        <f>Financials!AV47/Financials!AV37</f>
        <v>9.7651094429885354</v>
      </c>
      <c r="AX37" s="26">
        <f>Financials!AW47/Financials!AW37</f>
        <v>0.33092080451914696</v>
      </c>
      <c r="AY37" s="26">
        <f>Financials!AX47/Financials!AX37</f>
        <v>0.42167523985564431</v>
      </c>
      <c r="AZ37" s="26">
        <f>Financials!AY47/Financials!AY37</f>
        <v>0.57583797067859388</v>
      </c>
      <c r="BA37" s="26">
        <f>Financials!AZ47/Financials!AZ37</f>
        <v>0.60617604741590658</v>
      </c>
      <c r="BB37" s="26" t="e">
        <f>Financials!BA47/Financials!BA37</f>
        <v>#DIV/0!</v>
      </c>
      <c r="BC37" s="26">
        <f>Financials!BB47/Financials!BB37</f>
        <v>0.78324168729393173</v>
      </c>
      <c r="BD37" s="26">
        <f>Financials!BC47/Financials!BC37</f>
        <v>0.57048359662597703</v>
      </c>
      <c r="BE37" s="26">
        <f>Financials!BD47/Financials!BD37</f>
        <v>0.49488438525033923</v>
      </c>
      <c r="BF37" s="26">
        <f>Financials!BE47/Financials!BE37</f>
        <v>0.53631990121461726</v>
      </c>
      <c r="BG37" s="26">
        <f>Financials!BF47/Financials!BF37</f>
        <v>0.50924637243198645</v>
      </c>
      <c r="BH37" s="26">
        <f>Financials!BG47/Financials!BG37</f>
        <v>0.95718372033498333</v>
      </c>
      <c r="BI37" s="26">
        <f>Financials!BH47/Financials!BH37</f>
        <v>1.9154271987672828</v>
      </c>
      <c r="BJ37" s="26">
        <f>Financials!BI47/Financials!BI37</f>
        <v>1.1776282985634585</v>
      </c>
      <c r="BK37" s="26">
        <f>Financials!BJ47/Financials!BJ37</f>
        <v>1.11342674256267</v>
      </c>
      <c r="BL37" s="26">
        <f>Financials!BK47/Financials!BK37</f>
        <v>1.0211645823834234</v>
      </c>
      <c r="BM37" s="26">
        <f>Financials!BL47/Financials!BL37</f>
        <v>0.91596644773605362</v>
      </c>
      <c r="BN37" s="26">
        <f>Financials!BM47/Financials!BM37</f>
        <v>0.87404878276549147</v>
      </c>
      <c r="BO37" s="26">
        <f>Financials!BN47/Financials!BN37</f>
        <v>0.84203661519017303</v>
      </c>
      <c r="BP37" s="26">
        <f>Financials!BO47/Financials!BO37</f>
        <v>0.9974216070667683</v>
      </c>
      <c r="BQ37" s="26">
        <f>Financials!BP47/Financials!BP37</f>
        <v>0.88510764739956271</v>
      </c>
      <c r="BR37" s="26">
        <f>Financials!BQ47/Financials!BQ37</f>
        <v>0.89318606133100253</v>
      </c>
      <c r="BS37" s="26">
        <f>Financials!BR47/Financials!BR37</f>
        <v>0.87595062359739506</v>
      </c>
      <c r="BT37" s="26">
        <f>Financials!BS47/Financials!BS37</f>
        <v>0.95630865694600387</v>
      </c>
      <c r="BU37" s="26">
        <f>Financials!BT47/Financials!BT37</f>
        <v>0.99960741276778553</v>
      </c>
      <c r="BV37" s="26">
        <f>Financials!BU47/Financials!BU37</f>
        <v>0.63332932268165709</v>
      </c>
      <c r="BW37" s="26">
        <f>Financials!BV47/Financials!BV37</f>
        <v>0.65862094825302853</v>
      </c>
      <c r="BX37" s="26">
        <f>Financials!BW47/Financials!BW37</f>
        <v>0.90467167752117073</v>
      </c>
    </row>
    <row r="38" spans="1:76">
      <c r="A38" s="59"/>
      <c r="B38" s="54" t="s">
        <v>202</v>
      </c>
      <c r="C38" s="2"/>
      <c r="D38" s="26"/>
      <c r="E38" s="26">
        <f>Financials!D38/('Evolutive SFP'!C13+'Evolutive SFP'!B13)/2</f>
        <v>7.8352184403027103E-2</v>
      </c>
      <c r="F38" s="26">
        <f>Financials!E38/('Evolutive SFP'!D13+'Evolutive SFP'!C13)/2</f>
        <v>6.5010123211839688E-2</v>
      </c>
      <c r="G38" s="26">
        <f>Financials!F38/('Evolutive SFP'!E13+'Evolutive SFP'!D13)/2</f>
        <v>4.0017520187709803E-3</v>
      </c>
      <c r="H38" s="26">
        <f>Financials!G38/('Evolutive SFP'!F13+'Evolutive SFP'!E13)/2</f>
        <v>3.7938654637703559E-3</v>
      </c>
      <c r="I38" s="26">
        <f>Financials!H38/('Evolutive SFP'!G13+'Evolutive SFP'!F13)/2</f>
        <v>7.8025411032961785E-3</v>
      </c>
      <c r="J38" s="26">
        <f>Financials!I38/('Evolutive SFP'!H13+'Evolutive SFP'!G13)/2</f>
        <v>1.1939773220231771E-2</v>
      </c>
      <c r="K38" s="26">
        <f>Financials!J38/('Evolutive SFP'!I13+'Evolutive SFP'!H13)/2</f>
        <v>1.5870369955260078E-2</v>
      </c>
      <c r="L38" s="26">
        <f>Financials!K38/('Evolutive SFP'!J13+'Evolutive SFP'!I13)/2</f>
        <v>1.7058214976627968E-2</v>
      </c>
      <c r="M38" s="26">
        <f>Financials!L38/('Evolutive SFP'!K13+'Evolutive SFP'!J13)/2</f>
        <v>1.7347048516462189E-2</v>
      </c>
      <c r="N38" s="26">
        <f>Financials!M38/('Evolutive SFP'!L13+'Evolutive SFP'!K13)/2</f>
        <v>0</v>
      </c>
      <c r="O38" s="26" t="e">
        <f>Financials!N38/('Evolutive SFP'!M13+'Evolutive SFP'!L13)/2</f>
        <v>#DIV/0!</v>
      </c>
      <c r="P38" s="26" t="e">
        <f>Financials!O38/('Evolutive SFP'!N13+'Evolutive SFP'!M13)/2</f>
        <v>#DIV/0!</v>
      </c>
      <c r="Q38" s="26" t="e">
        <f>Financials!P38/('Evolutive SFP'!O13+'Evolutive SFP'!N13)/2</f>
        <v>#DIV/0!</v>
      </c>
      <c r="R38" s="26" t="e">
        <f>Financials!Q38/('Evolutive SFP'!P13+'Evolutive SFP'!O13)/2</f>
        <v>#DIV/0!</v>
      </c>
      <c r="S38" s="26" t="e">
        <f>Financials!R38/('Evolutive SFP'!Q13+'Evolutive SFP'!P13)/2</f>
        <v>#DIV/0!</v>
      </c>
      <c r="T38" s="26">
        <f>Financials!S38/('Evolutive SFP'!R13+'Evolutive SFP'!Q13)/2</f>
        <v>7.3675158721599229E-2</v>
      </c>
      <c r="U38" s="26">
        <f>Financials!T38/('Evolutive SFP'!S13+'Evolutive SFP'!R13)/2</f>
        <v>6.2041236399334523E-3</v>
      </c>
      <c r="V38" s="26">
        <f>Financials!U38/('Evolutive SFP'!T13+'Evolutive SFP'!S13)/2</f>
        <v>1.1552495627593057E-2</v>
      </c>
      <c r="W38" s="26">
        <f>Financials!V38/('Evolutive SFP'!U13+'Evolutive SFP'!T13)/2</f>
        <v>1.2497808094004892E-2</v>
      </c>
      <c r="X38" s="26">
        <f>Financials!W38/('Evolutive SFP'!V13+'Evolutive SFP'!U13)/2</f>
        <v>1.4391158626335759E-2</v>
      </c>
      <c r="Y38" s="26">
        <f>Financials!X38/('Evolutive SFP'!W13+'Evolutive SFP'!V13)/2</f>
        <v>1.6820716624797474E-2</v>
      </c>
      <c r="Z38" s="26">
        <f>Financials!Y38/('Evolutive SFP'!X13+'Evolutive SFP'!W13)/2</f>
        <v>1.5100222219456306E-2</v>
      </c>
      <c r="AA38" s="26">
        <f>Financials!Z38/('Evolutive SFP'!Y13+'Evolutive SFP'!X13)/2</f>
        <v>1.3529286313307602E-2</v>
      </c>
      <c r="AB38" s="26">
        <f>Financials!AA38/('Evolutive SFP'!Z13+'Evolutive SFP'!Y13)/2</f>
        <v>1.5719888995347694E-2</v>
      </c>
      <c r="AC38" s="26">
        <f>Financials!AB38/('Evolutive SFP'!AA13+'Evolutive SFP'!Z13)/2</f>
        <v>1.9388828730892378E-2</v>
      </c>
      <c r="AD38" s="26">
        <f>Financials!AC38/('Evolutive SFP'!AB13+'Evolutive SFP'!AA13)/2</f>
        <v>2.5473206646667221E-2</v>
      </c>
      <c r="AE38" s="26">
        <f>Financials!AD38/('Evolutive SFP'!AC13+'Evolutive SFP'!AB13)/2</f>
        <v>3.2770156716487232E-2</v>
      </c>
      <c r="AF38" s="26">
        <f>Financials!AE38/('Evolutive SFP'!AD13+'Evolutive SFP'!AC13)/2</f>
        <v>4.0732172135009632E-2</v>
      </c>
      <c r="AG38" s="26">
        <f>Financials!AF38/('Evolutive SFP'!AE13+'Evolutive SFP'!AD13)/2</f>
        <v>0</v>
      </c>
      <c r="AH38" s="26">
        <f>Financials!AG38/('Evolutive SFP'!AF13+'Evolutive SFP'!AE13)/2</f>
        <v>3.7903431727877024E-2</v>
      </c>
      <c r="AI38" s="26">
        <f>Financials!AH38/('Evolutive SFP'!AG13+'Evolutive SFP'!AF13)/2</f>
        <v>6.3339127618231364E-4</v>
      </c>
      <c r="AJ38" s="26">
        <f>Financials!AI38/('Evolutive SFP'!AH13+'Evolutive SFP'!AG13)/2</f>
        <v>6.5631036044278023E-4</v>
      </c>
      <c r="AK38" s="26">
        <f>Financials!AJ38/('Evolutive SFP'!AI13+'Evolutive SFP'!AH13)/2</f>
        <v>4.2114259287197274E-3</v>
      </c>
      <c r="AL38" s="26">
        <f>Financials!AK38/('Evolutive SFP'!AJ13+'Evolutive SFP'!AI13)/2</f>
        <v>4.8143848542069349E-3</v>
      </c>
      <c r="AM38" s="26">
        <f>Financials!AL38/('Evolutive SFP'!AK13+'Evolutive SFP'!AJ13)/2</f>
        <v>5.0242746710520668E-3</v>
      </c>
      <c r="AN38" s="26">
        <f>Financials!AM38/('Evolutive SFP'!AL13+'Evolutive SFP'!AK13)/2</f>
        <v>5.1207234956177914E-3</v>
      </c>
      <c r="AO38" s="26">
        <f>Financials!AN38/('Evolutive SFP'!AM13+'Evolutive SFP'!AL13)/2</f>
        <v>6.1183578165639775E-3</v>
      </c>
      <c r="AP38" s="26">
        <f>Financials!AO38/('Evolutive SFP'!AN13+'Evolutive SFP'!AM13)/2</f>
        <v>6.3229268841207787E-3</v>
      </c>
      <c r="AQ38" s="26">
        <f>Financials!AP38/('Evolutive SFP'!AO13+'Evolutive SFP'!AN13)/2</f>
        <v>1.4333895214339367E-2</v>
      </c>
      <c r="AR38" s="26" t="e">
        <f>Financials!AQ38/('Evolutive SFP'!AP13+'Evolutive SFP'!AO13)/2</f>
        <v>#DIV/0!</v>
      </c>
      <c r="AS38" s="26" t="e">
        <f>Financials!AR38/('Evolutive SFP'!AQ13+'Evolutive SFP'!AP13)/2</f>
        <v>#DIV/0!</v>
      </c>
      <c r="AT38" s="26" t="e">
        <f>Financials!AS38/('Evolutive SFP'!AR13+'Evolutive SFP'!AQ13)/2</f>
        <v>#DIV/0!</v>
      </c>
      <c r="AU38" s="26">
        <f>Financials!AT38/('Evolutive SFP'!AS13+'Evolutive SFP'!AR13)/2</f>
        <v>0</v>
      </c>
      <c r="AV38" s="26">
        <f>Financials!AU38/('Evolutive SFP'!AT13+'Evolutive SFP'!AS13)/2</f>
        <v>3.697981947477258E-3</v>
      </c>
      <c r="AW38" s="26">
        <f>Financials!AV38/('Evolutive SFP'!AU13+'Evolutive SFP'!AT13)/2</f>
        <v>5.3046981975985895E-3</v>
      </c>
      <c r="AX38" s="26">
        <f>Financials!AW38/('Evolutive SFP'!AV13+'Evolutive SFP'!AU13)/2</f>
        <v>8.9383750495338719E-3</v>
      </c>
      <c r="AY38" s="26">
        <f>Financials!AX38/('Evolutive SFP'!AW13+'Evolutive SFP'!AV13)/2</f>
        <v>9.7257654858141952E-3</v>
      </c>
      <c r="AZ38" s="26">
        <f>Financials!AY38/('Evolutive SFP'!AX13+'Evolutive SFP'!AW13)/2</f>
        <v>1.0927103079611668E-2</v>
      </c>
      <c r="BA38" s="26">
        <f>Financials!AZ38/('Evolutive SFP'!AY13+'Evolutive SFP'!AX13)/2</f>
        <v>2.7507299454956648E-2</v>
      </c>
      <c r="BB38" s="26">
        <f>Financials!BA38/('Evolutive SFP'!AZ13+'Evolutive SFP'!AY13)/2</f>
        <v>0</v>
      </c>
      <c r="BC38" s="26">
        <f>Financials!BB38/('Evolutive SFP'!BA13+'Evolutive SFP'!AZ13)/2</f>
        <v>2.039574084571651E-2</v>
      </c>
      <c r="BD38" s="26">
        <f>Financials!BC38/('Evolutive SFP'!BB13+'Evolutive SFP'!BA13)/2</f>
        <v>0.1441860731913864</v>
      </c>
      <c r="BE38" s="26">
        <f>Financials!BD38/('Evolutive SFP'!BC13+'Evolutive SFP'!BB13)/2</f>
        <v>0.2326609530904932</v>
      </c>
      <c r="BF38" s="26">
        <f>Financials!BE38/('Evolutive SFP'!BD13+'Evolutive SFP'!BC13)/2</f>
        <v>0.27269367185619364</v>
      </c>
      <c r="BG38" s="26">
        <f>Financials!BF38/('Evolutive SFP'!BE13+'Evolutive SFP'!BD13)/2</f>
        <v>0.81477690143075121</v>
      </c>
      <c r="BH38" s="26">
        <f>Financials!BG38/('Evolutive SFP'!BF13+'Evolutive SFP'!BE13)/2</f>
        <v>0.37870987647254817</v>
      </c>
      <c r="BI38" s="26">
        <f>Financials!BH38/('Evolutive SFP'!BG13+'Evolutive SFP'!BF13)/2</f>
        <v>3.629366727533212E-2</v>
      </c>
      <c r="BJ38" s="26">
        <f>Financials!BI38/('Evolutive SFP'!BH13+'Evolutive SFP'!BG13)/2</f>
        <v>1.8707293919310377</v>
      </c>
      <c r="BK38" s="26">
        <f>Financials!BJ38/('Evolutive SFP'!BI13+'Evolutive SFP'!BH13)/2</f>
        <v>0.31259674409439703</v>
      </c>
      <c r="BL38" s="26">
        <f>Financials!BK38/('Evolutive SFP'!BJ13+'Evolutive SFP'!BI13)/2</f>
        <v>0.36285235369465396</v>
      </c>
      <c r="BM38" s="26">
        <f>Financials!BL38/('Evolutive SFP'!BK13+'Evolutive SFP'!BJ13)/2</f>
        <v>0.17671325746749914</v>
      </c>
      <c r="BN38" s="26">
        <f>Financials!BM38/('Evolutive SFP'!BL13+'Evolutive SFP'!BK13)/2</f>
        <v>0.20691636390198606</v>
      </c>
      <c r="BO38" s="26">
        <f>Financials!BN38/('Evolutive SFP'!BM13+'Evolutive SFP'!BL13)/2</f>
        <v>0.74015141332937484</v>
      </c>
      <c r="BP38" s="26">
        <f>Financials!BO38/('Evolutive SFP'!BN13+'Evolutive SFP'!BM13)/2</f>
        <v>1.7524653004328645</v>
      </c>
      <c r="BQ38" s="26">
        <f>Financials!BP38/('Evolutive SFP'!BO13+'Evolutive SFP'!BN13)/2</f>
        <v>-0.29272562168962413</v>
      </c>
      <c r="BR38" s="26">
        <f>Financials!BQ38/('Evolutive SFP'!BP13+'Evolutive SFP'!BO13)/2</f>
        <v>-0.15344016098615876</v>
      </c>
      <c r="BS38" s="26">
        <f>Financials!BR38/('Evolutive SFP'!BQ13+'Evolutive SFP'!BP13)/2</f>
        <v>-0.34026319391041909</v>
      </c>
      <c r="BT38" s="26">
        <f>Financials!BS38/('Evolutive SFP'!BR13+'Evolutive SFP'!BQ13)/2</f>
        <v>0.22838390950838061</v>
      </c>
      <c r="BU38" s="26">
        <f>Financials!BT38/('Evolutive SFP'!BS13+'Evolutive SFP'!BR13)/2</f>
        <v>0.22623137594659939</v>
      </c>
      <c r="BV38" s="26">
        <f>Financials!BU38/('Evolutive SFP'!BT13+'Evolutive SFP'!BS13)/2</f>
        <v>-0.84991193379631369</v>
      </c>
      <c r="BW38" s="26">
        <f>Financials!BV38/('Evolutive SFP'!BU13+'Evolutive SFP'!BT13)/2</f>
        <v>0.25909631452468773</v>
      </c>
      <c r="BX38" s="26">
        <f>Financials!BW38/('Evolutive SFP'!BV13+'Evolutive SFP'!BU13)/2</f>
        <v>0.10458679306323357</v>
      </c>
    </row>
    <row r="39" spans="1:76">
      <c r="A39" s="59"/>
      <c r="B39" s="54" t="s">
        <v>203</v>
      </c>
      <c r="C39" s="2"/>
      <c r="D39" s="26"/>
      <c r="E39" s="26">
        <f>Financials!D37/('Evolutive SFP'!C14+'Evolutive SFP'!B14)/2</f>
        <v>0.12648693300173655</v>
      </c>
      <c r="F39" s="26">
        <f>Financials!E37/('Evolutive SFP'!D14+'Evolutive SFP'!C14)/2</f>
        <v>0.10025647144502854</v>
      </c>
      <c r="G39" s="26">
        <f>Financials!F37/('Evolutive SFP'!E14+'Evolutive SFP'!D14)/2</f>
        <v>6.5114122344971555E-3</v>
      </c>
      <c r="H39" s="26">
        <f>Financials!G37/('Evolutive SFP'!F14+'Evolutive SFP'!E14)/2</f>
        <v>6.0946304146099377E-3</v>
      </c>
      <c r="I39" s="26">
        <f>Financials!H37/('Evolutive SFP'!G14+'Evolutive SFP'!F14)/2</f>
        <v>1.2018134417673486E-2</v>
      </c>
      <c r="J39" s="26">
        <f>Financials!I37/('Evolutive SFP'!H14+'Evolutive SFP'!G14)/2</f>
        <v>1.7512366227133452E-2</v>
      </c>
      <c r="K39" s="26">
        <f>Financials!J37/('Evolutive SFP'!I14+'Evolutive SFP'!H14)/2</f>
        <v>2.3126391686407188E-2</v>
      </c>
      <c r="L39" s="26">
        <f>Financials!K37/('Evolutive SFP'!J14+'Evolutive SFP'!I14)/2</f>
        <v>2.4488116088711379E-2</v>
      </c>
      <c r="M39" s="26">
        <f>Financials!L37/('Evolutive SFP'!K14+'Evolutive SFP'!J14)/2</f>
        <v>2.5566799410126406E-2</v>
      </c>
      <c r="N39" s="26">
        <f>Financials!M37/('Evolutive SFP'!L14+'Evolutive SFP'!K14)/2</f>
        <v>0</v>
      </c>
      <c r="O39" s="26" t="e">
        <f>Financials!N37/('Evolutive SFP'!M14+'Evolutive SFP'!L14)/2</f>
        <v>#DIV/0!</v>
      </c>
      <c r="P39" s="26" t="e">
        <f>Financials!O37/('Evolutive SFP'!N14+'Evolutive SFP'!M14)/2</f>
        <v>#DIV/0!</v>
      </c>
      <c r="Q39" s="26" t="e">
        <f>Financials!P37/('Evolutive SFP'!O14+'Evolutive SFP'!N14)/2</f>
        <v>#DIV/0!</v>
      </c>
      <c r="R39" s="26" t="e">
        <f>Financials!Q37/('Evolutive SFP'!P14+'Evolutive SFP'!O14)/2</f>
        <v>#DIV/0!</v>
      </c>
      <c r="S39" s="26" t="e">
        <f>Financials!R37/('Evolutive SFP'!Q14+'Evolutive SFP'!P14)/2</f>
        <v>#DIV/0!</v>
      </c>
      <c r="T39" s="26">
        <f>Financials!S37/('Evolutive SFP'!R14+'Evolutive SFP'!Q14)/2</f>
        <v>0.12233776322144922</v>
      </c>
      <c r="U39" s="26">
        <f>Financials!T37/('Evolutive SFP'!S14+'Evolutive SFP'!R14)/2</f>
        <v>7.1982266538852605E-3</v>
      </c>
      <c r="V39" s="26">
        <f>Financials!U37/('Evolutive SFP'!T14+'Evolutive SFP'!S14)/2</f>
        <v>1.3485255376907838E-2</v>
      </c>
      <c r="W39" s="26">
        <f>Financials!V37/('Evolutive SFP'!U14+'Evolutive SFP'!T14)/2</f>
        <v>1.4678503384380927E-2</v>
      </c>
      <c r="X39" s="26">
        <f>Financials!W37/('Evolutive SFP'!V14+'Evolutive SFP'!U14)/2</f>
        <v>1.6623366699530889E-2</v>
      </c>
      <c r="Y39" s="26">
        <f>Financials!X37/('Evolutive SFP'!W14+'Evolutive SFP'!V14)/2</f>
        <v>1.7976656778966812E-2</v>
      </c>
      <c r="Z39" s="26">
        <f>Financials!Y37/('Evolutive SFP'!X14+'Evolutive SFP'!W14)/2</f>
        <v>1.6939087554926402E-2</v>
      </c>
      <c r="AA39" s="26">
        <f>Financials!Z37/('Evolutive SFP'!Y14+'Evolutive SFP'!X14)/2</f>
        <v>1.7013074313649072E-2</v>
      </c>
      <c r="AB39" s="26">
        <f>Financials!AA37/('Evolutive SFP'!Z14+'Evolutive SFP'!Y14)/2</f>
        <v>1.9540822407968471E-2</v>
      </c>
      <c r="AC39" s="26">
        <f>Financials!AB37/('Evolutive SFP'!AA14+'Evolutive SFP'!Z14)/2</f>
        <v>2.6050500847046104E-2</v>
      </c>
      <c r="AD39" s="26">
        <f>Financials!AC37/('Evolutive SFP'!AB14+'Evolutive SFP'!AA14)/2</f>
        <v>3.3047240651659024E-2</v>
      </c>
      <c r="AE39" s="26">
        <f>Financials!AD37/('Evolutive SFP'!AC14+'Evolutive SFP'!AB14)/2</f>
        <v>4.1359561066347854E-2</v>
      </c>
      <c r="AF39" s="26">
        <f>Financials!AE37/('Evolutive SFP'!AD14+'Evolutive SFP'!AC14)/2</f>
        <v>4.9441669850326331E-2</v>
      </c>
      <c r="AG39" s="26">
        <f>Financials!AF37/('Evolutive SFP'!AE14+'Evolutive SFP'!AD14)/2</f>
        <v>0</v>
      </c>
      <c r="AH39" s="26">
        <f>Financials!AG37/('Evolutive SFP'!AF14+'Evolutive SFP'!AE14)/2</f>
        <v>4.5805187781133336E-2</v>
      </c>
      <c r="AI39" s="26">
        <f>Financials!AH37/('Evolutive SFP'!AG14+'Evolutive SFP'!AF14)/2</f>
        <v>9.354818640718972E-4</v>
      </c>
      <c r="AJ39" s="26">
        <f>Financials!AI37/('Evolutive SFP'!AH14+'Evolutive SFP'!AG14)/2</f>
        <v>1.1635576527027503E-3</v>
      </c>
      <c r="AK39" s="26">
        <f>Financials!AJ37/('Evolutive SFP'!AI14+'Evolutive SFP'!AH14)/2</f>
        <v>5.1933570196273727E-3</v>
      </c>
      <c r="AL39" s="26">
        <f>Financials!AK37/('Evolutive SFP'!AJ14+'Evolutive SFP'!AI14)/2</f>
        <v>5.7728945537484488E-3</v>
      </c>
      <c r="AM39" s="26">
        <f>Financials!AL37/('Evolutive SFP'!AK14+'Evolutive SFP'!AJ14)/2</f>
        <v>5.9935111765823156E-3</v>
      </c>
      <c r="AN39" s="26">
        <f>Financials!AM37/('Evolutive SFP'!AL14+'Evolutive SFP'!AK14)/2</f>
        <v>6.1682696432303029E-3</v>
      </c>
      <c r="AO39" s="26">
        <f>Financials!AN37/('Evolutive SFP'!AM14+'Evolutive SFP'!AL14)/2</f>
        <v>7.4929478347911527E-3</v>
      </c>
      <c r="AP39" s="26">
        <f>Financials!AO37/('Evolutive SFP'!AN14+'Evolutive SFP'!AM14)/2</f>
        <v>1.2016712541942795E-2</v>
      </c>
      <c r="AQ39" s="26">
        <f>Financials!AP37/('Evolutive SFP'!AO14+'Evolutive SFP'!AN14)/2</f>
        <v>3.4409387523074306E-2</v>
      </c>
      <c r="AR39" s="26" t="e">
        <f>Financials!AQ37/('Evolutive SFP'!AP14+'Evolutive SFP'!AO14)/2</f>
        <v>#DIV/0!</v>
      </c>
      <c r="AS39" s="26" t="e">
        <f>Financials!AR37/('Evolutive SFP'!AQ14+'Evolutive SFP'!AP14)/2</f>
        <v>#DIV/0!</v>
      </c>
      <c r="AT39" s="26" t="e">
        <f>Financials!AS37/('Evolutive SFP'!AR14+'Evolutive SFP'!AQ14)/2</f>
        <v>#DIV/0!</v>
      </c>
      <c r="AU39" s="26">
        <f>Financials!AT37/('Evolutive SFP'!AS14+'Evolutive SFP'!AR14)/2</f>
        <v>0</v>
      </c>
      <c r="AV39" s="26">
        <f>Financials!AU37/('Evolutive SFP'!AT14+'Evolutive SFP'!AS14)/2</f>
        <v>6.6076890134734556E-4</v>
      </c>
      <c r="AW39" s="26">
        <f>Financials!AV37/('Evolutive SFP'!AU14+'Evolutive SFP'!AT14)/2</f>
        <v>6.5748829299515053E-3</v>
      </c>
      <c r="AX39" s="26">
        <f>Financials!AW37/('Evolutive SFP'!AV14+'Evolutive SFP'!AU14)/2</f>
        <v>0.22756211604288507</v>
      </c>
      <c r="AY39" s="26">
        <f>Financials!AX37/('Evolutive SFP'!AW14+'Evolutive SFP'!AV14)/2</f>
        <v>0.24059792914010722</v>
      </c>
      <c r="AZ39" s="26">
        <f>Financials!AY37/('Evolutive SFP'!AX14+'Evolutive SFP'!AW14)/2</f>
        <v>0.24730645385848921</v>
      </c>
      <c r="BA39" s="26">
        <f>Financials!AZ37/('Evolutive SFP'!AY14+'Evolutive SFP'!AX14)/2</f>
        <v>0.4996956208787916</v>
      </c>
      <c r="BB39" s="26">
        <f>Financials!BA37/('Evolutive SFP'!AZ14+'Evolutive SFP'!AY14)/2</f>
        <v>0</v>
      </c>
      <c r="BC39" s="26">
        <f>Financials!BB37/('Evolutive SFP'!BA14+'Evolutive SFP'!AZ14)/2</f>
        <v>0.24367961633022253</v>
      </c>
      <c r="BD39" s="26">
        <f>Financials!BC37/('Evolutive SFP'!BB14+'Evolutive SFP'!BA14)/2</f>
        <v>8.118891349815098E-2</v>
      </c>
      <c r="BE39" s="26">
        <f>Financials!BD37/('Evolutive SFP'!BC14+'Evolutive SFP'!BB14)/2</f>
        <v>5.8139746635818078E-2</v>
      </c>
      <c r="BF39" s="26">
        <f>Financials!BE37/('Evolutive SFP'!BD14+'Evolutive SFP'!BC14)/2</f>
        <v>6.196576780019819E-2</v>
      </c>
      <c r="BG39" s="26">
        <f>Financials!BF37/('Evolutive SFP'!BE14+'Evolutive SFP'!BD14)/2</f>
        <v>8.1602583517790497E-2</v>
      </c>
      <c r="BH39" s="26">
        <f>Financials!BG37/('Evolutive SFP'!BF14+'Evolutive SFP'!BE14)/2</f>
        <v>5.2311606665843238E-2</v>
      </c>
      <c r="BI39" s="26">
        <f>Financials!BH37/('Evolutive SFP'!BG14+'Evolutive SFP'!BF14)/2</f>
        <v>2.1310853438982376E-3</v>
      </c>
      <c r="BJ39" s="26">
        <f>Financials!BI37/('Evolutive SFP'!BH14+'Evolutive SFP'!BG14)/2</f>
        <v>5.9829807871713478E-3</v>
      </c>
      <c r="BK39" s="26">
        <f>Financials!BJ37/('Evolutive SFP'!BI14+'Evolutive SFP'!BH14)/2</f>
        <v>9.937213280409949E-3</v>
      </c>
      <c r="BL39" s="26">
        <f>Financials!BK37/('Evolutive SFP'!BJ14+'Evolutive SFP'!BI14)/2</f>
        <v>1.6072585038573541E-2</v>
      </c>
      <c r="BM39" s="26">
        <f>Financials!BL37/('Evolutive SFP'!BK14+'Evolutive SFP'!BJ14)/2</f>
        <v>2.0287183855489447E-2</v>
      </c>
      <c r="BN39" s="26">
        <f>Financials!BM37/('Evolutive SFP'!BL14+'Evolutive SFP'!BK14)/2</f>
        <v>2.4604094600671363E-2</v>
      </c>
      <c r="BO39" s="26">
        <f>Financials!BN37/('Evolutive SFP'!BM14+'Evolutive SFP'!BL14)/2</f>
        <v>2.7997509358475666E-2</v>
      </c>
      <c r="BP39" s="26">
        <f>Financials!BO37/('Evolutive SFP'!BN14+'Evolutive SFP'!BM14)/2</f>
        <v>3.1138119527620956E-2</v>
      </c>
      <c r="BQ39" s="26">
        <f>Financials!BP37/('Evolutive SFP'!BO14+'Evolutive SFP'!BN14)/2</f>
        <v>3.4575130745925123E-2</v>
      </c>
      <c r="BR39" s="26">
        <f>Financials!BQ37/('Evolutive SFP'!BP14+'Evolutive SFP'!BO14)/2</f>
        <v>3.8229906209167185E-2</v>
      </c>
      <c r="BS39" s="26">
        <f>Financials!BR37/('Evolutive SFP'!BQ14+'Evolutive SFP'!BP14)/2</f>
        <v>4.4178647364854114E-2</v>
      </c>
      <c r="BT39" s="26">
        <f>Financials!BS37/('Evolutive SFP'!BR14+'Evolutive SFP'!BQ14)/2</f>
        <v>5.1204447337208345E-2</v>
      </c>
      <c r="BU39" s="26">
        <f>Financials!BT37/('Evolutive SFP'!BS14+'Evolutive SFP'!BR14)/2</f>
        <v>5.1185088564976174E-2</v>
      </c>
      <c r="BV39" s="26">
        <f>Financials!BU37/('Evolutive SFP'!BT14+'Evolutive SFP'!BS14)/2</f>
        <v>5.4083579343509793E-3</v>
      </c>
      <c r="BW39" s="26">
        <f>Financials!BV37/('Evolutive SFP'!BU14+'Evolutive SFP'!BT14)/2</f>
        <v>8.73175980583955E-3</v>
      </c>
      <c r="BX39" s="26">
        <f>Financials!BW37/('Evolutive SFP'!BV14+'Evolutive SFP'!BU14)/2</f>
        <v>1.338659990853917E-2</v>
      </c>
    </row>
    <row r="40" spans="1:76">
      <c r="A40" s="6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</row>
    <row r="41" spans="1:76" ht="15" thickBot="1">
      <c r="A41" s="61" t="s">
        <v>204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</row>
  </sheetData>
  <mergeCells count="8">
    <mergeCell ref="A24:A32"/>
    <mergeCell ref="A21:A23"/>
    <mergeCell ref="A16:A20"/>
    <mergeCell ref="A1:B1"/>
    <mergeCell ref="A3:A6"/>
    <mergeCell ref="A7:A8"/>
    <mergeCell ref="A9:A11"/>
    <mergeCell ref="A12:A15"/>
  </mergeCells>
  <pageMargins left="0.7" right="0.7" top="0.75" bottom="0.75" header="0.3" footer="0.3"/>
  <pageSetup scale="8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G42"/>
  <sheetViews>
    <sheetView zoomScale="99" zoomScaleNormal="99" workbookViewId="0">
      <pane xSplit="3" ySplit="2" topLeftCell="BT46" activePane="bottomRight" state="frozen"/>
      <selection pane="bottomRight" activeCell="BT46" sqref="BT46"/>
      <selection pane="bottomLeft" activeCell="A3" sqref="A3"/>
      <selection pane="topRight" activeCell="D1" sqref="D1"/>
    </sheetView>
  </sheetViews>
  <sheetFormatPr defaultRowHeight="14.45"/>
  <cols>
    <col min="1" max="1" width="25.42578125" hidden="1" customWidth="1"/>
    <col min="2" max="2" width="31.42578125" bestFit="1" customWidth="1"/>
    <col min="3" max="3" width="10.7109375" bestFit="1" customWidth="1"/>
    <col min="4" max="4" width="12.5703125" hidden="1" customWidth="1"/>
    <col min="5" max="5" width="12.140625" hidden="1" customWidth="1"/>
    <col min="6" max="7" width="15" hidden="1" customWidth="1"/>
    <col min="8" max="8" width="0" hidden="1" customWidth="1"/>
    <col min="9" max="14" width="7.7109375" hidden="1" customWidth="1"/>
    <col min="15" max="16" width="7.140625" hidden="1" customWidth="1"/>
    <col min="17" max="19" width="7" hidden="1" customWidth="1"/>
    <col min="20" max="31" width="12.140625" hidden="1" customWidth="1"/>
    <col min="32" max="32" width="7.5703125" hidden="1" customWidth="1"/>
    <col min="33" max="43" width="12.140625" hidden="1" customWidth="1"/>
    <col min="44" max="44" width="0" hidden="1" customWidth="1"/>
    <col min="45" max="45" width="7.5703125" hidden="1" customWidth="1"/>
    <col min="46" max="46" width="13" hidden="1" customWidth="1"/>
    <col min="47" max="56" width="0" hidden="1" customWidth="1"/>
    <col min="57" max="57" width="8.140625" hidden="1" customWidth="1"/>
    <col min="58" max="58" width="7.42578125" hidden="1" customWidth="1"/>
    <col min="59" max="59" width="13.140625" bestFit="1" customWidth="1"/>
    <col min="60" max="71" width="0" hidden="1" customWidth="1"/>
    <col min="72" max="72" width="13.140625" bestFit="1" customWidth="1"/>
    <col min="73" max="74" width="0" hidden="1" customWidth="1"/>
    <col min="75" max="75" width="14.7109375" customWidth="1"/>
    <col min="76" max="77" width="0" hidden="1" customWidth="1"/>
    <col min="78" max="78" width="12.85546875" customWidth="1"/>
    <col min="79" max="80" width="0" hidden="1" customWidth="1"/>
    <col min="81" max="81" width="14.140625" customWidth="1"/>
    <col min="82" max="83" width="0" hidden="1" customWidth="1"/>
    <col min="84" max="84" width="7.7109375" bestFit="1" customWidth="1"/>
    <col min="85" max="85" width="12.28515625" bestFit="1" customWidth="1"/>
    <col min="87" max="87" width="9.140625" customWidth="1"/>
  </cols>
  <sheetData>
    <row r="1" spans="1:85" ht="18.600000000000001" thickBot="1">
      <c r="A1" s="327" t="s">
        <v>205</v>
      </c>
      <c r="B1" s="327"/>
    </row>
    <row r="2" spans="1:85" ht="46.9">
      <c r="A2" s="56"/>
      <c r="B2" s="264" t="s">
        <v>206</v>
      </c>
      <c r="C2" s="263" t="s">
        <v>207</v>
      </c>
      <c r="D2" s="265" t="s">
        <v>0</v>
      </c>
      <c r="E2" s="265" t="s">
        <v>96</v>
      </c>
      <c r="F2" s="266" t="s">
        <v>2</v>
      </c>
      <c r="G2" s="265" t="s">
        <v>155</v>
      </c>
      <c r="H2" s="267">
        <v>42736</v>
      </c>
      <c r="I2" s="267">
        <v>42767</v>
      </c>
      <c r="J2" s="267">
        <v>42795</v>
      </c>
      <c r="K2" s="267">
        <v>42826</v>
      </c>
      <c r="L2" s="267">
        <v>42856</v>
      </c>
      <c r="M2" s="267">
        <v>42887</v>
      </c>
      <c r="N2" s="267">
        <v>42917</v>
      </c>
      <c r="O2" s="267">
        <v>42948</v>
      </c>
      <c r="P2" s="267">
        <v>42979</v>
      </c>
      <c r="Q2" s="267">
        <v>43009</v>
      </c>
      <c r="R2" s="267">
        <v>43040</v>
      </c>
      <c r="S2" s="267">
        <v>43070</v>
      </c>
      <c r="T2" s="268" t="s">
        <v>208</v>
      </c>
      <c r="U2" s="265">
        <v>43101</v>
      </c>
      <c r="V2" s="265">
        <v>43132</v>
      </c>
      <c r="W2" s="265">
        <v>43160</v>
      </c>
      <c r="X2" s="265">
        <v>43191</v>
      </c>
      <c r="Y2" s="265">
        <v>43221</v>
      </c>
      <c r="Z2" s="265">
        <v>43252</v>
      </c>
      <c r="AA2" s="265">
        <v>43282</v>
      </c>
      <c r="AB2" s="265">
        <v>43313</v>
      </c>
      <c r="AC2" s="265">
        <v>43344</v>
      </c>
      <c r="AD2" s="265">
        <v>43374</v>
      </c>
      <c r="AE2" s="265">
        <v>43405</v>
      </c>
      <c r="AF2" s="265">
        <v>43435</v>
      </c>
      <c r="AG2" s="265" t="s">
        <v>5</v>
      </c>
      <c r="AH2" s="265">
        <v>43466</v>
      </c>
      <c r="AI2" s="265">
        <v>43497</v>
      </c>
      <c r="AJ2" s="265">
        <v>43525</v>
      </c>
      <c r="AK2" s="265">
        <v>43556</v>
      </c>
      <c r="AL2" s="265">
        <v>43586</v>
      </c>
      <c r="AM2" s="265">
        <v>43617</v>
      </c>
      <c r="AN2" s="265">
        <v>43647</v>
      </c>
      <c r="AO2" s="265">
        <v>43678</v>
      </c>
      <c r="AP2" s="265">
        <v>43709</v>
      </c>
      <c r="AQ2" s="265">
        <v>43739</v>
      </c>
      <c r="AR2" s="265">
        <v>43770</v>
      </c>
      <c r="AS2" s="265">
        <v>43800</v>
      </c>
      <c r="AT2" s="265" t="s">
        <v>6</v>
      </c>
      <c r="AU2" s="265">
        <v>43831</v>
      </c>
      <c r="AV2" s="265">
        <v>43862</v>
      </c>
      <c r="AW2" s="265">
        <v>43891</v>
      </c>
      <c r="AX2" s="265">
        <v>43922</v>
      </c>
      <c r="AY2" s="265">
        <v>43952</v>
      </c>
      <c r="AZ2" s="265">
        <v>43983</v>
      </c>
      <c r="BA2" s="265">
        <v>44013</v>
      </c>
      <c r="BB2" s="265">
        <v>44044</v>
      </c>
      <c r="BC2" s="265">
        <v>44075</v>
      </c>
      <c r="BD2" s="265">
        <v>44105</v>
      </c>
      <c r="BE2" s="265">
        <v>44136</v>
      </c>
      <c r="BF2" s="265">
        <v>44166</v>
      </c>
      <c r="BG2" s="278" t="s">
        <v>7</v>
      </c>
      <c r="BH2" s="278">
        <v>44197</v>
      </c>
      <c r="BI2" s="278">
        <v>44228</v>
      </c>
      <c r="BJ2" s="278">
        <v>44256</v>
      </c>
      <c r="BK2" s="278">
        <v>44287</v>
      </c>
      <c r="BL2" s="278">
        <v>44317</v>
      </c>
      <c r="BM2" s="278">
        <v>44348</v>
      </c>
      <c r="BN2" s="278">
        <v>44378</v>
      </c>
      <c r="BO2" s="278">
        <v>44409</v>
      </c>
      <c r="BP2" s="278">
        <v>44440</v>
      </c>
      <c r="BQ2" s="278">
        <v>44470</v>
      </c>
      <c r="BR2" s="278">
        <v>44501</v>
      </c>
      <c r="BS2" s="278">
        <v>44531</v>
      </c>
      <c r="BT2" s="279" t="s">
        <v>8</v>
      </c>
      <c r="BU2" s="280">
        <v>44562</v>
      </c>
      <c r="BV2" s="280">
        <v>44593</v>
      </c>
      <c r="BW2" s="282" t="s">
        <v>209</v>
      </c>
      <c r="BX2" s="280">
        <v>44652</v>
      </c>
      <c r="BY2" s="280">
        <v>44682</v>
      </c>
      <c r="BZ2" s="282" t="s">
        <v>210</v>
      </c>
      <c r="CA2" s="280">
        <v>44743</v>
      </c>
      <c r="CB2" s="280">
        <v>44774</v>
      </c>
      <c r="CC2" s="281" t="s">
        <v>211</v>
      </c>
      <c r="CD2" s="209">
        <v>44835</v>
      </c>
      <c r="CE2" s="209">
        <v>44866</v>
      </c>
      <c r="CF2" s="284">
        <v>44896</v>
      </c>
      <c r="CG2" s="119" t="s">
        <v>9</v>
      </c>
    </row>
    <row r="3" spans="1:85" ht="15.6">
      <c r="A3" s="328" t="s">
        <v>156</v>
      </c>
      <c r="B3" s="3" t="s">
        <v>104</v>
      </c>
      <c r="C3" s="24" t="s">
        <v>212</v>
      </c>
      <c r="D3" s="269">
        <f>(('Evolutive SFP'!B38+'Evolutive SFP'!B39+'Evolutive SFP'!B40+'Evolutive SFP'!B41+'Evolutive SFP'!B42+'Evolutive SFP'!B43)-'Evolutive SFP'!B12)/1000000</f>
        <v>76.173062000000002</v>
      </c>
      <c r="E3" s="269">
        <f>(('Evolutive SFP'!C38+'Evolutive SFP'!C39+'Evolutive SFP'!C40+'Evolutive SFP'!C41+'Evolutive SFP'!C42+'Evolutive SFP'!C43)-'Evolutive SFP'!C12)/1000000</f>
        <v>63.869078999999999</v>
      </c>
      <c r="F3" s="269">
        <f>(('Evolutive SFP'!D38+'Evolutive SFP'!D39+'Evolutive SFP'!D40+'Evolutive SFP'!D41+'Evolutive SFP'!D42+'Evolutive SFP'!D43)-'Evolutive SFP'!D12)/1000000</f>
        <v>60.755239000000003</v>
      </c>
      <c r="G3" s="269">
        <f>(('Evolutive SFP'!E38+'Evolutive SFP'!E39+'Evolutive SFP'!E40+'Evolutive SFP'!E41+'Evolutive SFP'!E42+'Evolutive SFP'!E43)-'Evolutive SFP'!E12)/1000000</f>
        <v>61.885255000000001</v>
      </c>
      <c r="H3" s="269">
        <f>(('Evolutive SFP'!F38+'Evolutive SFP'!F39+'Evolutive SFP'!F40+'Evolutive SFP'!F41+'Evolutive SFP'!F42+'Evolutive SFP'!F43)-'Evolutive SFP'!F12)/1000000</f>
        <v>75.078486449999986</v>
      </c>
      <c r="I3" s="269">
        <f>(('Evolutive SFP'!G38+'Evolutive SFP'!G39+'Evolutive SFP'!G40+'Evolutive SFP'!G41+'Evolutive SFP'!G42+'Evolutive SFP'!G43)-'Evolutive SFP'!G12)/1000000</f>
        <v>57.062441799999995</v>
      </c>
      <c r="J3" s="269">
        <f>(('Evolutive SFP'!H38+'Evolutive SFP'!H39+'Evolutive SFP'!H40+'Evolutive SFP'!H41+'Evolutive SFP'!H42+'Evolutive SFP'!H43)-'Evolutive SFP'!H12)/1000000</f>
        <v>58.519719389999999</v>
      </c>
      <c r="K3" s="269">
        <f>(('Evolutive SFP'!I38+'Evolutive SFP'!I39+'Evolutive SFP'!I40+'Evolutive SFP'!I41+'Evolutive SFP'!I42+'Evolutive SFP'!I43)-'Evolutive SFP'!I12)/1000000</f>
        <v>56.787294609999996</v>
      </c>
      <c r="L3" s="269">
        <f>(('Evolutive SFP'!J38+'Evolutive SFP'!J39+'Evolutive SFP'!J40+'Evolutive SFP'!J41+'Evolutive SFP'!J42+'Evolutive SFP'!J43)-'Evolutive SFP'!J12)/1000000</f>
        <v>54.539467009999989</v>
      </c>
      <c r="M3" s="269">
        <f>(('Evolutive SFP'!K38+'Evolutive SFP'!K39+'Evolutive SFP'!K40+'Evolutive SFP'!K41+'Evolutive SFP'!K42+'Evolutive SFP'!K43)-'Evolutive SFP'!K12)/1000000</f>
        <v>54.417524710000009</v>
      </c>
      <c r="N3" s="269">
        <f>(('Evolutive SFP'!L38+'Evolutive SFP'!L39+'Evolutive SFP'!L40+'Evolutive SFP'!L41+'Evolutive SFP'!L42+'Evolutive SFP'!L43)-'Evolutive SFP'!L12)/1000000</f>
        <v>0</v>
      </c>
      <c r="O3" s="269">
        <f>(('Evolutive SFP'!M38+'Evolutive SFP'!M39+'Evolutive SFP'!M40+'Evolutive SFP'!M41+'Evolutive SFP'!M42+'Evolutive SFP'!M43)-'Evolutive SFP'!M12)/1000000</f>
        <v>0</v>
      </c>
      <c r="P3" s="269">
        <f>(('Evolutive SFP'!N38+'Evolutive SFP'!N39+'Evolutive SFP'!N40+'Evolutive SFP'!N41+'Evolutive SFP'!N42+'Evolutive SFP'!N43)-'Evolutive SFP'!N12)/1000000</f>
        <v>0</v>
      </c>
      <c r="Q3" s="269">
        <f>(('Evolutive SFP'!O38+'Evolutive SFP'!O39+'Evolutive SFP'!O40+'Evolutive SFP'!O41+'Evolutive SFP'!O42+'Evolutive SFP'!O43)-'Evolutive SFP'!O12)/1000000</f>
        <v>0</v>
      </c>
      <c r="R3" s="269">
        <f>(('Evolutive SFP'!P38+'Evolutive SFP'!P39+'Evolutive SFP'!P40+'Evolutive SFP'!P41+'Evolutive SFP'!P42+'Evolutive SFP'!P43)-'Evolutive SFP'!P12)/1000000</f>
        <v>0</v>
      </c>
      <c r="S3" s="269">
        <f>(('Evolutive SFP'!Q38+'Evolutive SFP'!Q39+'Evolutive SFP'!Q40+'Evolutive SFP'!Q41+'Evolutive SFP'!Q42+'Evolutive SFP'!Q43)-'Evolutive SFP'!Q12)/1000000</f>
        <v>0</v>
      </c>
      <c r="T3" s="269">
        <f>(('Evolutive SFP'!R38+'Evolutive SFP'!R39+'Evolutive SFP'!R40+'Evolutive SFP'!R41+'Evolutive SFP'!R42+'Evolutive SFP'!R43)-'Evolutive SFP'!R12)/1000000</f>
        <v>70.009603999999996</v>
      </c>
      <c r="U3" s="269">
        <f>(('Evolutive SFP'!S38+'Evolutive SFP'!S39+'Evolutive SFP'!S40+'Evolutive SFP'!S41+'Evolutive SFP'!S42+'Evolutive SFP'!S43)-'Evolutive SFP'!S12)/1000000</f>
        <v>52.74965507000001</v>
      </c>
      <c r="V3" s="269">
        <f>(('Evolutive SFP'!T38+'Evolutive SFP'!T39+'Evolutive SFP'!T40+'Evolutive SFP'!T41+'Evolutive SFP'!T42+'Evolutive SFP'!T43)-'Evolutive SFP'!T12)/1000000</f>
        <v>52.651746870000004</v>
      </c>
      <c r="W3" s="269">
        <f>(('Evolutive SFP'!U38+'Evolutive SFP'!U39+'Evolutive SFP'!U40+'Evolutive SFP'!U41+'Evolutive SFP'!U42+'Evolutive SFP'!U43)-'Evolutive SFP'!U12)/1000000</f>
        <v>48.409618069999993</v>
      </c>
      <c r="X3" s="269">
        <f>(('Evolutive SFP'!V38+'Evolutive SFP'!V39+'Evolutive SFP'!V40+'Evolutive SFP'!V41+'Evolutive SFP'!V42+'Evolutive SFP'!V43)-'Evolutive SFP'!V12)/1000000</f>
        <v>43.694849769999998</v>
      </c>
      <c r="Y3" s="269">
        <f>(('Evolutive SFP'!W38+'Evolutive SFP'!W39+'Evolutive SFP'!W40+'Evolutive SFP'!W41+'Evolutive SFP'!W42+'Evolutive SFP'!W43)-'Evolutive SFP'!W12)/1000000</f>
        <v>20.358763469999996</v>
      </c>
      <c r="Z3" s="269">
        <f>(('Evolutive SFP'!X38+'Evolutive SFP'!X39+'Evolutive SFP'!X40+'Evolutive SFP'!X41+'Evolutive SFP'!X42+'Evolutive SFP'!X43)-'Evolutive SFP'!X12)/1000000</f>
        <v>63.407605049999994</v>
      </c>
      <c r="AA3" s="269">
        <f>(('Evolutive SFP'!Y38+'Evolutive SFP'!Y39+'Evolutive SFP'!Y40+'Evolutive SFP'!Y41+'Evolutive SFP'!Y42+'Evolutive SFP'!Y43)-'Evolutive SFP'!Y12)/1000000</f>
        <v>71.734536560000009</v>
      </c>
      <c r="AB3" s="269">
        <f>(('Evolutive SFP'!Z38+'Evolutive SFP'!Z39+'Evolutive SFP'!Z40+'Evolutive SFP'!Z41+'Evolutive SFP'!Z42+'Evolutive SFP'!Z43)-'Evolutive SFP'!Z12)/1000000</f>
        <v>55.716712530000002</v>
      </c>
      <c r="AC3" s="269">
        <f>(('Evolutive SFP'!AA38+'Evolutive SFP'!AA39+'Evolutive SFP'!AA40+'Evolutive SFP'!AA41+'Evolutive SFP'!AA42+'Evolutive SFP'!AA43)-'Evolutive SFP'!AA12)/1000000</f>
        <v>57.351734130000011</v>
      </c>
      <c r="AD3" s="269">
        <f>(('Evolutive SFP'!AB38+'Evolutive SFP'!AB39+'Evolutive SFP'!AB40+'Evolutive SFP'!AB41+'Evolutive SFP'!AB42+'Evolutive SFP'!AB43)-'Evolutive SFP'!AB12)/1000000</f>
        <v>56.225700200000006</v>
      </c>
      <c r="AE3" s="269">
        <f>(('Evolutive SFP'!AC38+'Evolutive SFP'!AC39+'Evolutive SFP'!AC40+'Evolutive SFP'!AC41+'Evolutive SFP'!AC42+'Evolutive SFP'!AC43)-'Evolutive SFP'!AC12)/1000000</f>
        <v>56.864584139999998</v>
      </c>
      <c r="AF3" s="269">
        <f>(('Evolutive SFP'!AD38+'Evolutive SFP'!AD39+'Evolutive SFP'!AD40+'Evolutive SFP'!AD41+'Evolutive SFP'!AD42+'Evolutive SFP'!AD43)-'Evolutive SFP'!AD12)/1000000</f>
        <v>54.521325540000007</v>
      </c>
      <c r="AG3" s="269">
        <f>(('Evolutive SFP'!AE38+'Evolutive SFP'!AE39+'Evolutive SFP'!AE40+'Evolutive SFP'!AE41+'Evolutive SFP'!AE42+'Evolutive SFP'!AE43)-'Evolutive SFP'!AE12)/1000000</f>
        <v>31.2075067</v>
      </c>
      <c r="AH3" s="269">
        <f>(('Evolutive SFP'!AF38+'Evolutive SFP'!AF39+'Evolutive SFP'!AF40+'Evolutive SFP'!AF41+'Evolutive SFP'!AF42+'Evolutive SFP'!AF43)-'Evolutive SFP'!AF12)/1000000</f>
        <v>59.027720130000013</v>
      </c>
      <c r="AI3" s="269">
        <f>(('Evolutive SFP'!AG38+'Evolutive SFP'!AG39+'Evolutive SFP'!AG40+'Evolutive SFP'!AG41+'Evolutive SFP'!AG42+'Evolutive SFP'!AG43)-'Evolutive SFP'!AG12)/1000000</f>
        <v>55.702954909999995</v>
      </c>
      <c r="AJ3" s="269">
        <f>(('Evolutive SFP'!AH38+'Evolutive SFP'!AH39+'Evolutive SFP'!AH40+'Evolutive SFP'!AH41+'Evolutive SFP'!AH42+'Evolutive SFP'!AH43)-'Evolutive SFP'!AH12)/1000000</f>
        <v>40.543807610000002</v>
      </c>
      <c r="AK3" s="269">
        <f>(('Evolutive SFP'!AI38+'Evolutive SFP'!AI39+'Evolutive SFP'!AI40+'Evolutive SFP'!AI41+'Evolutive SFP'!AI42+'Evolutive SFP'!AI43)-'Evolutive SFP'!AI12)/1000000</f>
        <v>55.741934489999991</v>
      </c>
      <c r="AL3" s="269">
        <f>(('Evolutive SFP'!AJ38+'Evolutive SFP'!AJ39+'Evolutive SFP'!AJ40+'Evolutive SFP'!AJ41+'Evolutive SFP'!AJ42+'Evolutive SFP'!AJ43)-'Evolutive SFP'!AJ12)/1000000</f>
        <v>41.990920670000001</v>
      </c>
      <c r="AM3" s="269">
        <f>(('Evolutive SFP'!AK38+'Evolutive SFP'!AK39+'Evolutive SFP'!AK40+'Evolutive SFP'!AK41+'Evolutive SFP'!AK42+'Evolutive SFP'!AK43)-'Evolutive SFP'!AK12)/1000000</f>
        <v>41.60115167</v>
      </c>
      <c r="AN3" s="269">
        <f>(('Evolutive SFP'!AL38+'Evolutive SFP'!AL39+'Evolutive SFP'!AL40+'Evolutive SFP'!AL41+'Evolutive SFP'!AL42+'Evolutive SFP'!AL43)-'Evolutive SFP'!AL12)/1000000</f>
        <v>40.882092799999995</v>
      </c>
      <c r="AO3" s="269">
        <f>(('Evolutive SFP'!AM38+'Evolutive SFP'!AM39+'Evolutive SFP'!AM40+'Evolutive SFP'!AM41+'Evolutive SFP'!AM42+'Evolutive SFP'!AM43)-'Evolutive SFP'!AM12)/1000000</f>
        <v>43.530616150000007</v>
      </c>
      <c r="AP3" s="269">
        <f>(('Evolutive SFP'!AN38+'Evolutive SFP'!AN39+'Evolutive SFP'!AN40+'Evolutive SFP'!AN41+'Evolutive SFP'!AN42+'Evolutive SFP'!AN43)-'Evolutive SFP'!AN12)/1000000</f>
        <v>39.651999719999999</v>
      </c>
      <c r="AQ3" s="269">
        <f>(('Evolutive SFP'!AO38+'Evolutive SFP'!AO39+'Evolutive SFP'!AO40+'Evolutive SFP'!AO41+'Evolutive SFP'!AO42+'Evolutive SFP'!AO43)-'Evolutive SFP'!AO12)/1000000</f>
        <v>0</v>
      </c>
      <c r="AR3" s="269">
        <f>(('Evolutive SFP'!AP38+'Evolutive SFP'!AP39+'Evolutive SFP'!AP40+'Evolutive SFP'!AP41+'Evolutive SFP'!AP42+'Evolutive SFP'!AP43)-'Evolutive SFP'!AP12)/1000000</f>
        <v>0</v>
      </c>
      <c r="AS3" s="269">
        <f>(('Evolutive SFP'!AQ38+'Evolutive SFP'!AQ39+'Evolutive SFP'!AQ40+'Evolutive SFP'!AQ41+'Evolutive SFP'!AQ42+'Evolutive SFP'!AQ43)-'Evolutive SFP'!AQ12)/1000000</f>
        <v>0</v>
      </c>
      <c r="AT3" s="269">
        <f>(('Evolutive SFP'!AR38+'Evolutive SFP'!AR39+'Evolutive SFP'!AR40+'Evolutive SFP'!AR41+'Evolutive SFP'!AR42+'Evolutive SFP'!AR43)-'Evolutive SFP'!AR12)/1000000</f>
        <v>0</v>
      </c>
      <c r="AU3" s="269">
        <f>(('Evolutive SFP'!AS38+'Evolutive SFP'!AS39+'Evolutive SFP'!AS40+'Evolutive SFP'!AS41+'Evolutive SFP'!AS42+'Evolutive SFP'!AS43)-'Evolutive SFP'!AS12)/1000000</f>
        <v>-93.231879429999992</v>
      </c>
      <c r="AV3" s="269">
        <f>(('Evolutive SFP'!AT38+'Evolutive SFP'!AT39+'Evolutive SFP'!AT40+'Evolutive SFP'!AT41+'Evolutive SFP'!AT42+'Evolutive SFP'!AT43)-'Evolutive SFP'!AT12)/1000000</f>
        <v>-91.788268370000011</v>
      </c>
      <c r="AW3" s="269">
        <f>(('Evolutive SFP'!AU38+'Evolutive SFP'!AU39+'Evolutive SFP'!AU40+'Evolutive SFP'!AU41+'Evolutive SFP'!AU42+'Evolutive SFP'!AU43)-'Evolutive SFP'!AU12)/1000000</f>
        <v>-77.673667690000002</v>
      </c>
      <c r="AX3" s="269">
        <f>(('Evolutive SFP'!AV38+'Evolutive SFP'!AV39+'Evolutive SFP'!AV40+'Evolutive SFP'!AV41+'Evolutive SFP'!AV42+'Evolutive SFP'!AV43)-'Evolutive SFP'!AV12)/1000000</f>
        <v>-78.579651979999994</v>
      </c>
      <c r="AY3" s="269">
        <f>(('Evolutive SFP'!AW38+'Evolutive SFP'!AW39+'Evolutive SFP'!AW40+'Evolutive SFP'!AW41+'Evolutive SFP'!AW42+'Evolutive SFP'!AW43)-'Evolutive SFP'!AW12)/1000000</f>
        <v>-79.913598099999987</v>
      </c>
      <c r="AZ3" s="269">
        <f>(('Evolutive SFP'!AX38+'Evolutive SFP'!AX39+'Evolutive SFP'!AX40+'Evolutive SFP'!AX41+'Evolutive SFP'!AX42+'Evolutive SFP'!AX43)-'Evolutive SFP'!AX12)/1000000</f>
        <v>-80.099823629999989</v>
      </c>
      <c r="BA3" s="269">
        <f>(('Evolutive SFP'!AY38+'Evolutive SFP'!AY39+'Evolutive SFP'!AY40+'Evolutive SFP'!AY41+'Evolutive SFP'!AY42+'Evolutive SFP'!AY43)-'Evolutive SFP'!AY12)/1000000</f>
        <v>0</v>
      </c>
      <c r="BB3" s="269">
        <f>(('Evolutive SFP'!AZ38+'Evolutive SFP'!AZ39+'Evolutive SFP'!AZ40+'Evolutive SFP'!AZ41+'Evolutive SFP'!AZ42+'Evolutive SFP'!AZ43)-'Evolutive SFP'!AZ12)/1000000</f>
        <v>-83.647874929999986</v>
      </c>
      <c r="BC3" s="269">
        <f>(('Evolutive SFP'!BA38+'Evolutive SFP'!BA39+'Evolutive SFP'!BA40+'Evolutive SFP'!BA41+'Evolutive SFP'!BA42+'Evolutive SFP'!BA43)-'Evolutive SFP'!BA12)/1000000</f>
        <v>-77.375535189999994</v>
      </c>
      <c r="BD3" s="269">
        <f>(('Evolutive SFP'!BB38+'Evolutive SFP'!BB39+'Evolutive SFP'!BB40+'Evolutive SFP'!BB41+'Evolutive SFP'!BB42+'Evolutive SFP'!BB43)-'Evolutive SFP'!BB12)/1000000</f>
        <v>-72.869963519999999</v>
      </c>
      <c r="BE3" s="269">
        <f>(('Evolutive SFP'!BC38+'Evolutive SFP'!BC39+'Evolutive SFP'!BC40+'Evolutive SFP'!BC41+'Evolutive SFP'!BC42+'Evolutive SFP'!BC43)-'Evolutive SFP'!BC12)/1000000</f>
        <v>-73.573066729999994</v>
      </c>
      <c r="BF3" s="269">
        <f>(('Evolutive SFP'!BD38+'Evolutive SFP'!BD39+'Evolutive SFP'!BD40+'Evolutive SFP'!BD41+'Evolutive SFP'!BD42+'Evolutive SFP'!BD43)-'Evolutive SFP'!BD12)/1000000</f>
        <v>-69.842040299999994</v>
      </c>
      <c r="BG3" s="269">
        <f>(('Evolutive SFP'!BE38+'Evolutive SFP'!BE39+'Evolutive SFP'!BE40+'Evolutive SFP'!BE41+'Evolutive SFP'!BE42+'Evolutive SFP'!BE43)-'Evolutive SFP'!BE12)/1000000</f>
        <v>-72.744786000000005</v>
      </c>
      <c r="BH3" s="269">
        <f>(('Evolutive SFP'!BF38+'Evolutive SFP'!BF39+'Evolutive SFP'!BF40+'Evolutive SFP'!BF41+'Evolutive SFP'!BF42+'Evolutive SFP'!BF43)-'Evolutive SFP'!BF12)/1000000</f>
        <v>-63.606374119999991</v>
      </c>
      <c r="BI3" s="269">
        <f>(('Evolutive SFP'!BG38+'Evolutive SFP'!BG39+'Evolutive SFP'!BG40+'Evolutive SFP'!BG41+'Evolutive SFP'!BG42+'Evolutive SFP'!BG43)-'Evolutive SFP'!BG12)/1000000</f>
        <v>-93.282419860000005</v>
      </c>
      <c r="BJ3" s="269">
        <f>(('Evolutive SFP'!BH38+'Evolutive SFP'!BH39+'Evolutive SFP'!BH40+'Evolutive SFP'!BH41+'Evolutive SFP'!BH42+'Evolutive SFP'!BH43)-'Evolutive SFP'!BH12)/1000000</f>
        <v>-68.354641290000004</v>
      </c>
      <c r="BK3" s="269">
        <f>(('Evolutive SFP'!BI38+'Evolutive SFP'!BI39+'Evolutive SFP'!BI40+'Evolutive SFP'!BI41+'Evolutive SFP'!BI42+'Evolutive SFP'!BI43)-'Evolutive SFP'!BI12)/1000000</f>
        <v>-67.21759831</v>
      </c>
      <c r="BL3" s="269">
        <f>(('Evolutive SFP'!BJ38+'Evolutive SFP'!BJ39+'Evolutive SFP'!BJ40+'Evolutive SFP'!BJ41+'Evolutive SFP'!BJ42+'Evolutive SFP'!BJ43)-'Evolutive SFP'!BJ12)/1000000</f>
        <v>-65.443196639999996</v>
      </c>
      <c r="BM3" s="269">
        <f>(('Evolutive SFP'!BK38+'Evolutive SFP'!BK39+'Evolutive SFP'!BK40+'Evolutive SFP'!BK41+'Evolutive SFP'!BK42+'Evolutive SFP'!BK43)-'Evolutive SFP'!BK12)/1000000</f>
        <v>-51.657022019999978</v>
      </c>
      <c r="BN3" s="269">
        <f>(('Evolutive SFP'!BL38+'Evolutive SFP'!BL39+'Evolutive SFP'!BL40+'Evolutive SFP'!BL41+'Evolutive SFP'!BL42+'Evolutive SFP'!BL43)-'Evolutive SFP'!BL12)/1000000</f>
        <v>-64.257865259999988</v>
      </c>
      <c r="BO3" s="269">
        <f>(('Evolutive SFP'!BM38+'Evolutive SFP'!BM39+'Evolutive SFP'!BM40+'Evolutive SFP'!BM41+'Evolutive SFP'!BM42+'Evolutive SFP'!BM43)-'Evolutive SFP'!BM12)/1000000</f>
        <v>-66.690860020000017</v>
      </c>
      <c r="BP3" s="269">
        <f>(('Evolutive SFP'!BN38+'Evolutive SFP'!BN39+'Evolutive SFP'!BN40+'Evolutive SFP'!BN41+'Evolutive SFP'!BN42+'Evolutive SFP'!BN43)-'Evolutive SFP'!BN12)/1000000</f>
        <v>-65.078795480000011</v>
      </c>
      <c r="BQ3" s="269">
        <f>(('Evolutive SFP'!BO38+'Evolutive SFP'!BO39+'Evolutive SFP'!BO40+'Evolutive SFP'!BO41+'Evolutive SFP'!BO42+'Evolutive SFP'!BO43)-'Evolutive SFP'!BO12)/1000000</f>
        <v>-63.76669119000001</v>
      </c>
      <c r="BR3" s="269">
        <f>(('Evolutive SFP'!BP38+'Evolutive SFP'!BP39+'Evolutive SFP'!BP40+'Evolutive SFP'!BP41+'Evolutive SFP'!BP42+'Evolutive SFP'!BP43)-'Evolutive SFP'!BP12)/1000000</f>
        <v>-62.740948409999994</v>
      </c>
      <c r="BS3" s="269">
        <f>(('Evolutive SFP'!BQ38+'Evolutive SFP'!BQ39+'Evolutive SFP'!BQ40+'Evolutive SFP'!BQ41+'Evolutive SFP'!BQ42+'Evolutive SFP'!BQ43)-'Evolutive SFP'!BQ12)/1000000</f>
        <v>-65.667742990000008</v>
      </c>
      <c r="BT3" s="269">
        <f>(('Evolutive SFP'!BR38+'Evolutive SFP'!BR39+'Evolutive SFP'!BR40+'Evolutive SFP'!BR41+'Evolutive SFP'!BR42+'Evolutive SFP'!BR43)-'Evolutive SFP'!BR12)/1000000</f>
        <v>-40.822386000000002</v>
      </c>
      <c r="BU3" s="269">
        <f>(('Evolutive SFP'!BS38+'Evolutive SFP'!BS39+'Evolutive SFP'!BS40+'Evolutive SFP'!BS41+'Evolutive SFP'!BS42+'Evolutive SFP'!BS43)-'Evolutive SFP'!BS12)/1000000</f>
        <v>-64.641781100000003</v>
      </c>
      <c r="BV3" s="269">
        <f>(('Evolutive SFP'!BT38+'Evolutive SFP'!BT39+'Evolutive SFP'!BT40+'Evolutive SFP'!BT41+'Evolutive SFP'!BT42+'Evolutive SFP'!BT43)-'Evolutive SFP'!BT12)/1000000</f>
        <v>-64.019203910000016</v>
      </c>
      <c r="BW3" s="269">
        <f>(('Evolutive SFP'!BU38+'Evolutive SFP'!BU39+'Evolutive SFP'!BU40+'Evolutive SFP'!BU41+'Evolutive SFP'!BU42+'Evolutive SFP'!BU43)-'Evolutive SFP'!BU12)/1000000</f>
        <v>-65.395648399999999</v>
      </c>
      <c r="BX3" s="269">
        <f>(('Evolutive SFP'!BV38+'Evolutive SFP'!BV39+'Evolutive SFP'!BV40+'Evolutive SFP'!BV41+'Evolutive SFP'!BV42+'Evolutive SFP'!BV43)-'Evolutive SFP'!BV12)/1000000</f>
        <v>-61.659581159999995</v>
      </c>
      <c r="BY3" s="269">
        <f>(('Evolutive SFP'!BW38+'Evolutive SFP'!BW39+'Evolutive SFP'!BW40+'Evolutive SFP'!BW41+'Evolutive SFP'!BW42+'Evolutive SFP'!BW43)-'Evolutive SFP'!BW12)/1000000</f>
        <v>-70.256297010000011</v>
      </c>
      <c r="BZ3" s="269">
        <f>(('Evolutive SFP'!BX38+'Evolutive SFP'!BX39+'Evolutive SFP'!BX40+'Evolutive SFP'!BX41+'Evolutive SFP'!BX42+'Evolutive SFP'!BX43)-'Evolutive SFP'!BX12)/1000000</f>
        <v>-71.430407210000013</v>
      </c>
      <c r="CA3" s="269">
        <f>(('Evolutive SFP'!BY38+'Evolutive SFP'!BY39+'Evolutive SFP'!BY40+'Evolutive SFP'!BY41+'Evolutive SFP'!BY42+'Evolutive SFP'!BY43)-'Evolutive SFP'!BY12)/1000000</f>
        <v>-70.615671810000009</v>
      </c>
      <c r="CB3" s="269">
        <f>(('Evolutive SFP'!BZ38+'Evolutive SFP'!BZ39+'Evolutive SFP'!BZ40+'Evolutive SFP'!BZ41+'Evolutive SFP'!BZ42+'Evolutive SFP'!BZ43)-'Evolutive SFP'!BZ12)/1000000</f>
        <v>-71.411340699999997</v>
      </c>
      <c r="CC3" s="269">
        <f>(('Evolutive SFP'!CA38+'Evolutive SFP'!CA39+'Evolutive SFP'!CA40+'Evolutive SFP'!CA41+'Evolutive SFP'!CA42+'Evolutive SFP'!CA43)-'Evolutive SFP'!CA12)/1000000</f>
        <v>-52.564084860000001</v>
      </c>
      <c r="CD3" s="85">
        <f>(('Evolutive SFP'!CB38+'Evolutive SFP'!CB39+'Evolutive SFP'!CB40+'Evolutive SFP'!CB41+'Evolutive SFP'!CB42+'Evolutive SFP'!CB43)-'Evolutive SFP'!CB12)/1000000</f>
        <v>-68.432313139999991</v>
      </c>
      <c r="CE3" s="85">
        <f>(('Evolutive SFP'!CC38+'Evolutive SFP'!CC39+'Evolutive SFP'!CC40+'Evolutive SFP'!CC41+'Evolutive SFP'!CC42+'Evolutive SFP'!CC43)-'Evolutive SFP'!CC12)/1000000</f>
        <v>-65.870368029999995</v>
      </c>
      <c r="CF3" s="283">
        <f>(('Evolutive SFP'!CD38+'Evolutive SFP'!CD39+'Evolutive SFP'!CD40+'Evolutive SFP'!CD41+'Evolutive SFP'!CD42+'Evolutive SFP'!CD43)-'Evolutive SFP'!CD12)/1000000</f>
        <v>-69.265626039999987</v>
      </c>
      <c r="CG3" s="299">
        <f>(('Evolutive SFP'!CE38+'Evolutive SFP'!CE39+'Evolutive SFP'!CE40+'Evolutive SFP'!CE41+'Evolutive SFP'!CE42+'Evolutive SFP'!CE43)-'Evolutive SFP'!CE12)/1000000</f>
        <v>-15.577310000000001</v>
      </c>
    </row>
    <row r="4" spans="1:85" ht="15.6">
      <c r="A4" s="328"/>
      <c r="B4" s="3" t="s">
        <v>213</v>
      </c>
      <c r="C4" s="24" t="s">
        <v>159</v>
      </c>
      <c r="D4" s="270">
        <f>D3/(('Evolutive SFP'!B26)/1000000)</f>
        <v>0.23738076447264136</v>
      </c>
      <c r="E4" s="270">
        <f>E3/(('Evolutive SFP'!C26)/1000000)</f>
        <v>0.23454913220949639</v>
      </c>
      <c r="F4" s="270">
        <f>F3/(('Evolutive SFP'!D26)/1000000)</f>
        <v>0.21282967771527134</v>
      </c>
      <c r="G4" s="270">
        <f>G3/(('Evolutive SFP'!E26)/1000000)</f>
        <v>0.20547270791324448</v>
      </c>
      <c r="H4" s="270">
        <f>H3/(('Evolutive SFP'!F26)/1000000)</f>
        <v>0.27224183571605581</v>
      </c>
      <c r="I4" s="270">
        <f>I3/(('Evolutive SFP'!G26)/1000000)</f>
        <v>0.18660700655782719</v>
      </c>
      <c r="J4" s="270">
        <f>J3/(('Evolutive SFP'!H26)/1000000)</f>
        <v>0.20447617747976793</v>
      </c>
      <c r="K4" s="270">
        <f>K3/(('Evolutive SFP'!I26)/1000000)</f>
        <v>0.20896511637074908</v>
      </c>
      <c r="L4" s="270">
        <f>L3/(('Evolutive SFP'!J26)/1000000)</f>
        <v>0.20657797471093417</v>
      </c>
      <c r="M4" s="270">
        <f>M3/(('Evolutive SFP'!K26)/1000000)</f>
        <v>0.21292528128318303</v>
      </c>
      <c r="N4" s="270" t="e">
        <f>N3/(('Evolutive SFP'!L26)/1000000)</f>
        <v>#DIV/0!</v>
      </c>
      <c r="O4" s="270" t="e">
        <f>O3/(('Evolutive SFP'!M26)/1000000)</f>
        <v>#DIV/0!</v>
      </c>
      <c r="P4" s="270" t="e">
        <f>P3/(('Evolutive SFP'!N26)/1000000)</f>
        <v>#DIV/0!</v>
      </c>
      <c r="Q4" s="270" t="e">
        <f>Q3/(('Evolutive SFP'!O26)/1000000)</f>
        <v>#DIV/0!</v>
      </c>
      <c r="R4" s="270" t="e">
        <f>R3/(('Evolutive SFP'!P26)/1000000)</f>
        <v>#DIV/0!</v>
      </c>
      <c r="S4" s="270" t="e">
        <f>S3/(('Evolutive SFP'!Q26)/1000000)</f>
        <v>#DIV/0!</v>
      </c>
      <c r="T4" s="270">
        <f>T3/(('Evolutive SFP'!R26)/1000000)</f>
        <v>0.29193234046403438</v>
      </c>
      <c r="U4" s="270">
        <f>U3/(('Evolutive SFP'!S26)/1000000)</f>
        <v>0.20241317555911376</v>
      </c>
      <c r="V4" s="270">
        <f>V3/(('Evolutive SFP'!T26)/1000000)</f>
        <v>0.20755720867258173</v>
      </c>
      <c r="W4" s="270">
        <f>W3/(('Evolutive SFP'!U26)/1000000)</f>
        <v>0.19063107954876507</v>
      </c>
      <c r="X4" s="270">
        <f>X3/(('Evolutive SFP'!V26)/1000000)</f>
        <v>0.1854950419380027</v>
      </c>
      <c r="Y4" s="270">
        <f>Y3/(('Evolutive SFP'!W26)/1000000)</f>
        <v>9.3062832521674341E-2</v>
      </c>
      <c r="Z4" s="270">
        <f>Z3/(('Evolutive SFP'!X26)/1000000)</f>
        <v>0.26543791673091005</v>
      </c>
      <c r="AA4" s="270">
        <f>AA3/(('Evolutive SFP'!Y26)/1000000)</f>
        <v>0.30167585902287869</v>
      </c>
      <c r="AB4" s="270">
        <f>AB3/(('Evolutive SFP'!Z26)/1000000)</f>
        <v>0.22451135350444193</v>
      </c>
      <c r="AC4" s="270">
        <f>AC3/(('Evolutive SFP'!AA26)/1000000)</f>
        <v>0.23670350146870844</v>
      </c>
      <c r="AD4" s="270">
        <f>AD3/(('Evolutive SFP'!AB26)/1000000)</f>
        <v>0.24493014742940178</v>
      </c>
      <c r="AE4" s="270">
        <f>AE3/(('Evolutive SFP'!AC26)/1000000)</f>
        <v>0.25334949162897485</v>
      </c>
      <c r="AF4" s="270">
        <f>AF3/(('Evolutive SFP'!AD26)/1000000)</f>
        <v>0.25111897399269073</v>
      </c>
      <c r="AG4" s="270">
        <f>AG3/(('Evolutive SFP'!AE26)/1000000)</f>
        <v>0.14156846593648392</v>
      </c>
      <c r="AH4" s="270">
        <f>AH3/(('Evolutive SFP'!AF26)/1000000)</f>
        <v>0.28490130572120681</v>
      </c>
      <c r="AI4" s="270">
        <f>AI3/(('Evolutive SFP'!AG26)/1000000)</f>
        <v>0.25074534108469204</v>
      </c>
      <c r="AJ4" s="270">
        <f>AJ3/(('Evolutive SFP'!AH26)/1000000)</f>
        <v>0.19705099983730873</v>
      </c>
      <c r="AK4" s="270">
        <f>AK3/(('Evolutive SFP'!AI26)/1000000)</f>
        <v>0.2788274395130208</v>
      </c>
      <c r="AL4" s="270">
        <f>AL3/(('Evolutive SFP'!AJ26)/1000000)</f>
        <v>0.20884854968041025</v>
      </c>
      <c r="AM4" s="270">
        <f>AM3/(('Evolutive SFP'!AK26)/1000000)</f>
        <v>0.21081703599076035</v>
      </c>
      <c r="AN4" s="270">
        <f>AN3/(('Evolutive SFP'!AL26)/1000000)</f>
        <v>0.1934063527824956</v>
      </c>
      <c r="AO4" s="270">
        <f>AO3/(('Evolutive SFP'!AM26)/1000000)</f>
        <v>0.20202691011153923</v>
      </c>
      <c r="AP4" s="270">
        <f>AP3/(('Evolutive SFP'!AN26)/1000000)</f>
        <v>0.18319606235032154</v>
      </c>
      <c r="AQ4" s="270" t="e">
        <f>AQ3/(('Evolutive SFP'!AO26)/1000000)</f>
        <v>#DIV/0!</v>
      </c>
      <c r="AR4" s="270" t="e">
        <f>AR3/(('Evolutive SFP'!AP26)/1000000)</f>
        <v>#DIV/0!</v>
      </c>
      <c r="AS4" s="270" t="e">
        <f>AS3/(('Evolutive SFP'!AQ26)/1000000)</f>
        <v>#DIV/0!</v>
      </c>
      <c r="AT4" s="270" t="e">
        <f>AT3/(('Evolutive SFP'!AR26)/1000000)</f>
        <v>#DIV/0!</v>
      </c>
      <c r="AU4" s="270">
        <f>AU3/(('Evolutive SFP'!AS26)/1000000)</f>
        <v>-1.0812116019580471</v>
      </c>
      <c r="AV4" s="270">
        <f>AV3/(('Evolutive SFP'!AT26)/1000000)</f>
        <v>-0.50806151240143527</v>
      </c>
      <c r="AW4" s="270">
        <f>AW3/(('Evolutive SFP'!AU26)/1000000)</f>
        <v>-0.40667019835543317</v>
      </c>
      <c r="AX4" s="270">
        <f>AX3/(('Evolutive SFP'!AV26)/1000000)</f>
        <v>-0.41939367394425986</v>
      </c>
      <c r="AY4" s="270">
        <f>AY3/(('Evolutive SFP'!AW26)/1000000)</f>
        <v>-0.4192080166640057</v>
      </c>
      <c r="AZ4" s="270">
        <f>AZ3/(('Evolutive SFP'!AX26)/1000000)</f>
        <v>-0.40120501691278959</v>
      </c>
      <c r="BA4" s="270" t="e">
        <f>BA3/(('Evolutive SFP'!AY26)/1000000)</f>
        <v>#DIV/0!</v>
      </c>
      <c r="BB4" s="270">
        <f>BB3/(('Evolutive SFP'!AZ26)/1000000)</f>
        <v>-0.43588639510832411</v>
      </c>
      <c r="BC4" s="270">
        <f>BC3/(('Evolutive SFP'!BA26)/1000000)</f>
        <v>-0.39846863255694487</v>
      </c>
      <c r="BD4" s="270">
        <f>BD3/(('Evolutive SFP'!BB26)/1000000)</f>
        <v>-0.36251779933498846</v>
      </c>
      <c r="BE4" s="270">
        <f>BE3/(('Evolutive SFP'!BC26)/1000000)</f>
        <v>-0.36940394637557805</v>
      </c>
      <c r="BF4" s="270">
        <f>BF3/(('Evolutive SFP'!BD26)/1000000)</f>
        <v>-0.33876759408380142</v>
      </c>
      <c r="BG4" s="270">
        <f>BG3/(('Evolutive SFP'!BE26)/1000000)</f>
        <v>-0.38344472212576119</v>
      </c>
      <c r="BH4" s="270">
        <f>BH3/(('Evolutive SFP'!BF26)/1000000)</f>
        <v>-0.32421529844983688</v>
      </c>
      <c r="BI4" s="270">
        <f>BI3/(('Evolutive SFP'!BG26)/1000000)</f>
        <v>-0.51133249990662355</v>
      </c>
      <c r="BJ4" s="270">
        <f>BJ3/(('Evolutive SFP'!BH26)/1000000)</f>
        <v>-0.35535405799355768</v>
      </c>
      <c r="BK4" s="270">
        <f>BK3/(('Evolutive SFP'!BI26)/1000000)</f>
        <v>-0.36553902211884282</v>
      </c>
      <c r="BL4" s="270">
        <f>BL3/(('Evolutive SFP'!BJ26)/1000000)</f>
        <v>-0.36152057926694559</v>
      </c>
      <c r="BM4" s="270">
        <f>BM3/(('Evolutive SFP'!BK26)/1000000)</f>
        <v>-0.2619833975924864</v>
      </c>
      <c r="BN4" s="270">
        <f>BN3/(('Evolutive SFP'!BL26)/1000000)</f>
        <v>-0.3557498885149189</v>
      </c>
      <c r="BO4" s="270">
        <f>BO3/(('Evolutive SFP'!BM26)/1000000)</f>
        <v>-0.37297087793097261</v>
      </c>
      <c r="BP4" s="270">
        <f>BP3/(('Evolutive SFP'!BN26)/1000000)</f>
        <v>-0.36430888476842843</v>
      </c>
      <c r="BQ4" s="270">
        <f>BQ3/(('Evolutive SFP'!BO26)/1000000)</f>
        <v>-0.39954963694962314</v>
      </c>
      <c r="BR4" s="270">
        <f>BR3/(('Evolutive SFP'!BP26)/1000000)</f>
        <v>-0.35441875903432457</v>
      </c>
      <c r="BS4" s="270">
        <f>BS3/(('Evolutive SFP'!BQ26)/1000000)</f>
        <v>-0.36492797186903941</v>
      </c>
      <c r="BT4" s="270">
        <f>BT3/(('Evolutive SFP'!BR26)/1000000)</f>
        <v>-0.20081315127856611</v>
      </c>
      <c r="BU4" s="270">
        <f>BU3/(('Evolutive SFP'!BS26)/1000000)</f>
        <v>-0.36175429162856909</v>
      </c>
      <c r="BV4" s="270">
        <f>BV3/(('Evolutive SFP'!BT26)/1000000)</f>
        <v>-0.34325195606694814</v>
      </c>
      <c r="BW4" s="270">
        <f>BW3/(('Evolutive SFP'!BU26)/1000000)</f>
        <v>-0.34156793030797095</v>
      </c>
      <c r="BX4" s="270">
        <f>BX3/(('Evolutive SFP'!BV26)/1000000)</f>
        <v>-0.33323989452370101</v>
      </c>
      <c r="BY4" s="270">
        <f>BY3/(('Evolutive SFP'!BW26)/1000000)</f>
        <v>-0.34882915232573963</v>
      </c>
      <c r="BZ4" s="270">
        <f>BZ3/(('Evolutive SFP'!BX26)/1000000)</f>
        <v>-0.3419892960946177</v>
      </c>
      <c r="CA4" s="270">
        <f>CA3/(('Evolutive SFP'!BY26)/1000000)</f>
        <v>-0.34574100831343402</v>
      </c>
      <c r="CB4" s="270">
        <f>CB3/(('Evolutive SFP'!BZ26)/1000000)</f>
        <v>-0.35100677889741938</v>
      </c>
      <c r="CC4" s="270">
        <f>CC3/(('Evolutive SFP'!CA26)/1000000)</f>
        <v>-0.2718524534343546</v>
      </c>
      <c r="CD4" s="162">
        <f>CD3/(('Evolutive SFP'!CB26)/1000000)</f>
        <v>-0.35907044101053542</v>
      </c>
      <c r="CE4" s="162">
        <f>CE3/(('Evolutive SFP'!CC26)/1000000)</f>
        <v>-0.32573057681373435</v>
      </c>
      <c r="CF4" s="162">
        <f>CF3/(('Evolutive SFP'!CD26)/1000000)</f>
        <v>-0.365074699999965</v>
      </c>
      <c r="CG4" s="300">
        <f>CG3/(('Evolutive SFP'!CE26)/1000000)</f>
        <v>-7.0874522101862E-2</v>
      </c>
    </row>
    <row r="5" spans="1:85" ht="15.6">
      <c r="A5" s="328"/>
      <c r="B5" s="3" t="s">
        <v>214</v>
      </c>
      <c r="C5" s="24" t="s">
        <v>161</v>
      </c>
      <c r="D5" s="270">
        <f>D3/('Evolutive SFP'!B30/1000000)</f>
        <v>0.40774099282048742</v>
      </c>
      <c r="E5" s="270">
        <f>E3/('Evolutive SFP'!C30/1000000)</f>
        <v>0.37355255727784664</v>
      </c>
      <c r="F5" s="270">
        <f>F3/('Evolutive SFP'!D30/1000000)</f>
        <v>0.35684170787299491</v>
      </c>
      <c r="G5" s="270">
        <f>G3/('Evolutive SFP'!E30/1000000)</f>
        <v>0.35452533469651681</v>
      </c>
      <c r="H5" s="270">
        <f>H3/('Evolutive SFP'!F30/1000000)</f>
        <v>0.49943572287878135</v>
      </c>
      <c r="I5" s="270">
        <f>I3/('Evolutive SFP'!G30/1000000)</f>
        <v>0.31673643815276425</v>
      </c>
      <c r="J5" s="270">
        <f>J3/('Evolutive SFP'!H30/1000000)</f>
        <v>0.33000410838475702</v>
      </c>
      <c r="K5" s="270">
        <f>K3/('Evolutive SFP'!I30/1000000)</f>
        <v>0.33425663337825395</v>
      </c>
      <c r="L5" s="270">
        <f>L3/('Evolutive SFP'!J30/1000000)</f>
        <v>0.34160947563423805</v>
      </c>
      <c r="M5" s="270">
        <f>M3/('Evolutive SFP'!K30/1000000)</f>
        <v>0.35837141470190126</v>
      </c>
      <c r="N5" s="270" t="e">
        <f>N3/('Evolutive SFP'!L30/1000000)</f>
        <v>#DIV/0!</v>
      </c>
      <c r="O5" s="270" t="e">
        <f>O3/('Evolutive SFP'!M30/1000000)</f>
        <v>#DIV/0!</v>
      </c>
      <c r="P5" s="270" t="e">
        <f>P3/('Evolutive SFP'!N30/1000000)</f>
        <v>#DIV/0!</v>
      </c>
      <c r="Q5" s="270" t="e">
        <f>Q3/('Evolutive SFP'!O30/1000000)</f>
        <v>#DIV/0!</v>
      </c>
      <c r="R5" s="270" t="e">
        <f>R3/('Evolutive SFP'!P30/1000000)</f>
        <v>#DIV/0!</v>
      </c>
      <c r="S5" s="270" t="e">
        <f>S3/('Evolutive SFP'!Q30/1000000)</f>
        <v>#DIV/0!</v>
      </c>
      <c r="T5" s="270">
        <f>T3/('Evolutive SFP'!R30/1000000)</f>
        <v>0.53872755878454315</v>
      </c>
      <c r="U5" s="270">
        <f>U3/('Evolutive SFP'!S30/1000000)</f>
        <v>0.33344443310935973</v>
      </c>
      <c r="V5" s="270">
        <f>V3/('Evolutive SFP'!T30/1000000)</f>
        <v>0.34784922048170769</v>
      </c>
      <c r="W5" s="270">
        <f>W3/('Evolutive SFP'!U30/1000000)</f>
        <v>0.3198231570748013</v>
      </c>
      <c r="X5" s="270">
        <f>X3/('Evolutive SFP'!V30/1000000)</f>
        <v>0.31220832247144253</v>
      </c>
      <c r="Y5" s="270">
        <f>Y3/('Evolutive SFP'!W30/1000000)</f>
        <v>0.14337685551361831</v>
      </c>
      <c r="Z5" s="270">
        <f>Z3/('Evolutive SFP'!X30/1000000)</f>
        <v>0.49032347606440957</v>
      </c>
      <c r="AA5" s="270">
        <f>AA3/('Evolutive SFP'!Y30/1000000)</f>
        <v>0.60195748389662085</v>
      </c>
      <c r="AB5" s="270">
        <f>AB3/('Evolutive SFP'!Z30/1000000)</f>
        <v>0.41431277280701995</v>
      </c>
      <c r="AC5" s="270">
        <f>AC3/('Evolutive SFP'!AA30/1000000)</f>
        <v>0.46551844191959113</v>
      </c>
      <c r="AD5" s="270">
        <f>AD3/('Evolutive SFP'!AB30/1000000)</f>
        <v>0.48627906679647359</v>
      </c>
      <c r="AE5" s="270">
        <f>AE3/('Evolutive SFP'!AC30/1000000)</f>
        <v>0.44687231290516716</v>
      </c>
      <c r="AF5" s="270">
        <f>AF3/('Evolutive SFP'!AD30/1000000)</f>
        <v>0.46877153871493443</v>
      </c>
      <c r="AG5" s="270">
        <f>AG3/('Evolutive SFP'!AE30/1000000)</f>
        <v>0.24074341813846112</v>
      </c>
      <c r="AH5" s="270">
        <f>AH3/('Evolutive SFP'!AF30/1000000)</f>
        <v>0.51155017410201542</v>
      </c>
      <c r="AI5" s="270">
        <f>AI3/('Evolutive SFP'!AG30/1000000)</f>
        <v>0.46980049435534377</v>
      </c>
      <c r="AJ5" s="270">
        <f>AJ3/('Evolutive SFP'!AH30/1000000)</f>
        <v>0.40741185539350527</v>
      </c>
      <c r="AK5" s="270">
        <f>AK3/('Evolutive SFP'!AI30/1000000)</f>
        <v>0.57054864456433296</v>
      </c>
      <c r="AL5" s="270">
        <f>AL3/('Evolutive SFP'!AJ30/1000000)</f>
        <v>0.42052316635970582</v>
      </c>
      <c r="AM5" s="270">
        <f>AM3/('Evolutive SFP'!AK30/1000000)</f>
        <v>0.40142155069839486</v>
      </c>
      <c r="AN5" s="270">
        <f>AN3/('Evolutive SFP'!AL30/1000000)</f>
        <v>0.38347792683964033</v>
      </c>
      <c r="AO5" s="270">
        <f>AO3/('Evolutive SFP'!AM30/1000000)</f>
        <v>0.39979355381087078</v>
      </c>
      <c r="AP5" s="270">
        <f>AP3/('Evolutive SFP'!AN30/1000000)</f>
        <v>0.36258759386893319</v>
      </c>
      <c r="AQ5" s="270" t="e">
        <f>AQ3/('Evolutive SFP'!AO30/1000000)</f>
        <v>#DIV/0!</v>
      </c>
      <c r="AR5" s="270" t="e">
        <f>AR3/('Evolutive SFP'!AP30/1000000)</f>
        <v>#DIV/0!</v>
      </c>
      <c r="AS5" s="270" t="e">
        <f>AS3/('Evolutive SFP'!AQ30/1000000)</f>
        <v>#DIV/0!</v>
      </c>
      <c r="AT5" s="270" t="e">
        <f>AT3/('Evolutive SFP'!AR30/1000000)</f>
        <v>#DIV/0!</v>
      </c>
      <c r="AU5" s="270">
        <f>AU3/('Evolutive SFP'!AS30/1000000)</f>
        <v>-0.84555131498962499</v>
      </c>
      <c r="AV5" s="270">
        <f>AV3/('Evolutive SFP'!AT30/1000000)</f>
        <v>-0.45296954745234291</v>
      </c>
      <c r="AW5" s="270">
        <f>AW3/('Evolutive SFP'!AU30/1000000)</f>
        <v>-0.39874381969211203</v>
      </c>
      <c r="AX5" s="270">
        <f>AX3/('Evolutive SFP'!AV30/1000000)</f>
        <v>-0.40055816074575651</v>
      </c>
      <c r="AY5" s="270">
        <f>AY3/('Evolutive SFP'!AW30/1000000)</f>
        <v>-0.39786423086705658</v>
      </c>
      <c r="AZ5" s="270">
        <f>AZ3/('Evolutive SFP'!AX30/1000000)</f>
        <v>-0.3880295252815828</v>
      </c>
      <c r="BA5" s="270" t="e">
        <f>BA3/('Evolutive SFP'!AY30/1000000)</f>
        <v>#DIV/0!</v>
      </c>
      <c r="BB5" s="270">
        <f>BB3/('Evolutive SFP'!AZ30/1000000)</f>
        <v>-0.42561925867167216</v>
      </c>
      <c r="BC5" s="270">
        <f>BC3/('Evolutive SFP'!BA30/1000000)</f>
        <v>-0.39846267780659839</v>
      </c>
      <c r="BD5" s="270">
        <f>BD3/('Evolutive SFP'!BB30/1000000)</f>
        <v>-0.37505118488131151</v>
      </c>
      <c r="BE5" s="270">
        <f>BE3/('Evolutive SFP'!BC30/1000000)</f>
        <v>-0.38018119035987646</v>
      </c>
      <c r="BF5" s="270">
        <f>BF3/('Evolutive SFP'!BD30/1000000)</f>
        <v>-0.3580577256734338</v>
      </c>
      <c r="BG5" s="270">
        <f>BG3/('Evolutive SFP'!BE30/1000000)</f>
        <v>-0.3758301967258974</v>
      </c>
      <c r="BH5" s="270">
        <f>BH3/('Evolutive SFP'!BF30/1000000)</f>
        <v>-0.33484904329050336</v>
      </c>
      <c r="BI5" s="270">
        <f>BI3/('Evolutive SFP'!BG30/1000000)</f>
        <v>-0.47764601693909842</v>
      </c>
      <c r="BJ5" s="270">
        <f>BJ3/('Evolutive SFP'!BH30/1000000)</f>
        <v>-0.37175750608254776</v>
      </c>
      <c r="BK5" s="270">
        <f>BK3/('Evolutive SFP'!BI30/1000000)</f>
        <v>-0.36428912250123324</v>
      </c>
      <c r="BL5" s="270">
        <f>BL3/('Evolutive SFP'!BJ30/1000000)</f>
        <v>-0.35709472730617048</v>
      </c>
      <c r="BM5" s="270">
        <f>BM3/('Evolutive SFP'!BK30/1000000)</f>
        <v>-0.27930963470435155</v>
      </c>
      <c r="BN5" s="270">
        <f>BN3/('Evolutive SFP'!BL30/1000000)</f>
        <v>-0.35243856778068117</v>
      </c>
      <c r="BO5" s="270">
        <f>BO3/('Evolutive SFP'!BM30/1000000)</f>
        <v>-0.36586062125361268</v>
      </c>
      <c r="BP5" s="270">
        <f>BP3/('Evolutive SFP'!BN30/1000000)</f>
        <v>-0.36523903717423611</v>
      </c>
      <c r="BQ5" s="270">
        <f>BQ3/('Evolutive SFP'!BO30/1000000)</f>
        <v>-0.35519063200999756</v>
      </c>
      <c r="BR5" s="270">
        <f>BR3/('Evolutive SFP'!BP30/1000000)</f>
        <v>-0.35145644927118813</v>
      </c>
      <c r="BS5" s="270">
        <f>BS3/('Evolutive SFP'!BQ30/1000000)</f>
        <v>-0.36446397510640438</v>
      </c>
      <c r="BT5" s="270">
        <f>BT3/('Evolutive SFP'!BR30/1000000)</f>
        <v>-0.21711776273233363</v>
      </c>
      <c r="BU5" s="270">
        <f>BU3/('Evolutive SFP'!BS30/1000000)</f>
        <v>-0.35941409794487872</v>
      </c>
      <c r="BV5" s="270">
        <f>BV3/('Evolutive SFP'!BT30/1000000)</f>
        <v>-0.34409793933826543</v>
      </c>
      <c r="BW5" s="270">
        <f>BW3/('Evolutive SFP'!BU30/1000000)</f>
        <v>-0.34779546813407836</v>
      </c>
      <c r="BX5" s="270">
        <f>BX3/('Evolutive SFP'!BV30/1000000)</f>
        <v>-0.33162206544113504</v>
      </c>
      <c r="BY5" s="270">
        <f>BY3/('Evolutive SFP'!BW30/1000000)</f>
        <v>-0.37884106739638912</v>
      </c>
      <c r="BZ5" s="270">
        <f>BZ3/('Evolutive SFP'!BX30/1000000)</f>
        <v>-0.3862453855388831</v>
      </c>
      <c r="CA5" s="270">
        <f>CA3/('Evolutive SFP'!BY30/1000000)</f>
        <v>-0.38445634240762738</v>
      </c>
      <c r="CB5" s="270">
        <f>CB3/('Evolutive SFP'!BZ30/1000000)</f>
        <v>-0.38879155922147562</v>
      </c>
      <c r="CC5" s="270">
        <f>CC3/('Evolutive SFP'!CA30/1000000)</f>
        <v>-0.280002556043558</v>
      </c>
      <c r="CD5" s="162">
        <f>CD3/('Evolutive SFP'!CB30/1000000)</f>
        <v>-0.36949982667561215</v>
      </c>
      <c r="CE5" s="162">
        <f>CE3/('Evolutive SFP'!CC30/1000000)</f>
        <v>-0.35592561136760492</v>
      </c>
      <c r="CF5" s="162">
        <f>CF3/('Evolutive SFP'!CD30/1000000)</f>
        <v>-0.3740367378523754</v>
      </c>
      <c r="CG5" s="300">
        <f>CG3/('Evolutive SFP'!CE30/1000000)</f>
        <v>-8.4122546370827556E-2</v>
      </c>
    </row>
    <row r="6" spans="1:85" ht="15.6">
      <c r="A6" s="328"/>
      <c r="B6" s="3" t="s">
        <v>215</v>
      </c>
      <c r="C6" s="24" t="s">
        <v>161</v>
      </c>
      <c r="D6" s="270">
        <f>((D3*1000000)-'Evolutive SFP'!B38)/'Evolutive SFP'!B26</f>
        <v>0.2262102623566547</v>
      </c>
      <c r="E6" s="270">
        <f>((E3*1000000)-'Evolutive SFP'!C38)/'Evolutive SFP'!C26</f>
        <v>0.20039766180925803</v>
      </c>
      <c r="F6" s="270">
        <f>((F3*1000000)-'Evolutive SFP'!D38)/'Evolutive SFP'!D26</f>
        <v>0.17590775353839463</v>
      </c>
      <c r="G6" s="270">
        <f>((G3*1000000)-'Evolutive SFP'!E38)/'Evolutive SFP'!E26</f>
        <v>0.16627990245178148</v>
      </c>
      <c r="H6" s="270">
        <f>((H3*1000000)-'Evolutive SFP'!F38)/'Evolutive SFP'!F26</f>
        <v>0.22943838810393147</v>
      </c>
      <c r="I6" s="270">
        <f>((I3*1000000)-'Evolutive SFP'!G38)/'Evolutive SFP'!G26</f>
        <v>0.14800436835895839</v>
      </c>
      <c r="J6" s="270">
        <f>((J3*1000000)-'Evolutive SFP'!H38)/'Evolutive SFP'!H26</f>
        <v>0.15978876936821951</v>
      </c>
      <c r="K6" s="270">
        <f>((K3*1000000)-'Evolutive SFP'!I38)/'Evolutive SFP'!I26</f>
        <v>0.16188247557645793</v>
      </c>
      <c r="L6" s="270">
        <f>((L3*1000000)-'Evolutive SFP'!J38)/'Evolutive SFP'!J26</f>
        <v>0.15811485968261332</v>
      </c>
      <c r="M6" s="270">
        <f>((M3*1000000)-'Evolutive SFP'!K38)/'Evolutive SFP'!K26</f>
        <v>0.16285935454177461</v>
      </c>
      <c r="N6" s="270" t="e">
        <f>((N3*1000000)-'Evolutive SFP'!L38)/'Evolutive SFP'!L26</f>
        <v>#DIV/0!</v>
      </c>
      <c r="O6" s="270" t="e">
        <f>((O3*1000000)-'Evolutive SFP'!M38)/'Evolutive SFP'!M26</f>
        <v>#DIV/0!</v>
      </c>
      <c r="P6" s="270" t="e">
        <f>((P3*1000000)-'Evolutive SFP'!N38)/'Evolutive SFP'!N26</f>
        <v>#DIV/0!</v>
      </c>
      <c r="Q6" s="270" t="e">
        <f>((Q3*1000000)-'Evolutive SFP'!O38)/'Evolutive SFP'!O26</f>
        <v>#DIV/0!</v>
      </c>
      <c r="R6" s="270" t="e">
        <f>((R3*1000000)-'Evolutive SFP'!P38)/'Evolutive SFP'!P26</f>
        <v>#DIV/0!</v>
      </c>
      <c r="S6" s="270" t="e">
        <f>((S3*1000000)-'Evolutive SFP'!Q38)/'Evolutive SFP'!Q26</f>
        <v>#DIV/0!</v>
      </c>
      <c r="T6" s="270">
        <f>((T3*1000000)-'Evolutive SFP'!R38)/'Evolutive SFP'!R26</f>
        <v>0.23613050273234246</v>
      </c>
      <c r="U6" s="270">
        <f>((U3*1000000)-'Evolutive SFP'!S38)/'Evolutive SFP'!S26</f>
        <v>0.15105826156002128</v>
      </c>
      <c r="V6" s="270">
        <f>((V3*1000000)-'Evolutive SFP'!T38)/'Evolutive SFP'!T26</f>
        <v>0.15479453099304369</v>
      </c>
      <c r="W6" s="270">
        <f>((W3*1000000)-'Evolutive SFP'!U38)/'Evolutive SFP'!U26</f>
        <v>0.13800140887544449</v>
      </c>
      <c r="X6" s="270">
        <f>((X3*1000000)-'Evolutive SFP'!V38)/'Evolutive SFP'!V26</f>
        <v>0.12875748169941101</v>
      </c>
      <c r="Y6" s="270">
        <f>((Y3*1000000)-'Evolutive SFP'!W38)/'Evolutive SFP'!W26</f>
        <v>3.177021454713954E-2</v>
      </c>
      <c r="Z6" s="270">
        <f>((Z3*1000000)-'Evolutive SFP'!X38)/'Evolutive SFP'!X26</f>
        <v>0.20930664113371758</v>
      </c>
      <c r="AA6" s="270">
        <f>((AA3*1000000)-'Evolutive SFP'!Y38)/'Evolutive SFP'!Y26</f>
        <v>0.30167585902287869</v>
      </c>
      <c r="AB6" s="270">
        <f>((AB3*1000000)-'Evolutive SFP'!Z38)/'Evolutive SFP'!Z26</f>
        <v>0.17048120939378816</v>
      </c>
      <c r="AC6" s="270">
        <f>((AC3*1000000)-'Evolutive SFP'!AA38)/'Evolutive SFP'!AA26</f>
        <v>0.18136321158290267</v>
      </c>
      <c r="AD6" s="270">
        <f>((AD3*1000000)-'Evolutive SFP'!AB38)/'Evolutive SFP'!AB26</f>
        <v>0.1865196811910397</v>
      </c>
      <c r="AE6" s="270">
        <f>((AE3*1000000)-'Evolutive SFP'!AC38)/'Evolutive SFP'!AC26</f>
        <v>0.19356545392864813</v>
      </c>
      <c r="AF6" s="270">
        <f>((AF3*1000000)-'Evolutive SFP'!AD38)/'Evolutive SFP'!AD26</f>
        <v>0.18926840114550525</v>
      </c>
      <c r="AG6" s="270">
        <f>((AG3*1000000)-'Evolutive SFP'!AE38)/'Evolutive SFP'!AE26</f>
        <v>8.0651528429239741E-2</v>
      </c>
      <c r="AH6" s="270">
        <f>((AH3*1000000)-'Evolutive SFP'!AF38)/'Evolutive SFP'!AF26</f>
        <v>0.2198932464330563</v>
      </c>
      <c r="AI6" s="270">
        <f>((AI3*1000000)-'Evolutive SFP'!AG38)/'Evolutive SFP'!AG26</f>
        <v>0.19011592169608171</v>
      </c>
      <c r="AJ6" s="270">
        <f>((AJ3*1000000)-'Evolutive SFP'!AH38)/'Evolutive SFP'!AH26</f>
        <v>0.13156566177220683</v>
      </c>
      <c r="AK6" s="270">
        <f>((AK3*1000000)-'Evolutive SFP'!AI38)/'Evolutive SFP'!AI26</f>
        <v>0.21142999381390917</v>
      </c>
      <c r="AL6" s="270">
        <f>((AL3*1000000)-'Evolutive SFP'!AJ38)/'Evolutive SFP'!AJ26</f>
        <v>0.14183447422695578</v>
      </c>
      <c r="AM6" s="270">
        <f>((AM3*1000000)-'Evolutive SFP'!AK38)/'Evolutive SFP'!AK26</f>
        <v>0.14253753903379673</v>
      </c>
      <c r="AN6" s="270">
        <f>((AN3*1000000)-'Evolutive SFP'!AL38)/'Evolutive SFP'!AL26</f>
        <v>0.12966407495682244</v>
      </c>
      <c r="AO6" s="270">
        <f>((AO3*1000000)-'Evolutive SFP'!AM38)/'Evolutive SFP'!AM26</f>
        <v>0.13949461473327318</v>
      </c>
      <c r="AP6" s="270">
        <f>((AP3*1000000)-'Evolutive SFP'!AN38)/'Evolutive SFP'!AN26</f>
        <v>0.12094582615224603</v>
      </c>
      <c r="AQ6" s="270" t="e">
        <f>((AQ3*1000000)-'Evolutive SFP'!AO38)/'Evolutive SFP'!AO26</f>
        <v>#DIV/0!</v>
      </c>
      <c r="AR6" s="270" t="e">
        <f>((AR3*1000000)-'Evolutive SFP'!AP38)/'Evolutive SFP'!AP26</f>
        <v>#DIV/0!</v>
      </c>
      <c r="AS6" s="270" t="e">
        <f>((AS3*1000000)-'Evolutive SFP'!AQ38)/'Evolutive SFP'!AQ26</f>
        <v>#DIV/0!</v>
      </c>
      <c r="AT6" s="270" t="e">
        <f>((AT3*1000000)-'Evolutive SFP'!AR38)/'Evolutive SFP'!AR26</f>
        <v>#DIV/0!</v>
      </c>
      <c r="AU6" s="270">
        <f>((AU3*1000000)-'Evolutive SFP'!AS38)/'Evolutive SFP'!AS26</f>
        <v>-1.2374674288932568</v>
      </c>
      <c r="AV6" s="270">
        <f>((AV3*1000000)-'Evolutive SFP'!AT38)/'Evolutive SFP'!AT26</f>
        <v>-0.58264094645183062</v>
      </c>
      <c r="AW6" s="270">
        <f>((AW3*1000000)-'Evolutive SFP'!AU38)/'Evolutive SFP'!AU26</f>
        <v>-0.47721394119659877</v>
      </c>
      <c r="AX6" s="270">
        <f>((AX3*1000000)-'Evolutive SFP'!AV38)/'Evolutive SFP'!AV26</f>
        <v>-0.49130573526685944</v>
      </c>
      <c r="AY6" s="270">
        <f>((AY3*1000000)-'Evolutive SFP'!AW38)/'Evolutive SFP'!AW26</f>
        <v>-0.48988839369483766</v>
      </c>
      <c r="AZ6" s="270">
        <f>((AZ3*1000000)-'Evolutive SFP'!AX38)/'Evolutive SFP'!AX26</f>
        <v>-0.46869273729621125</v>
      </c>
      <c r="BA6" s="270" t="e">
        <f>((BA3*1000000)-'Evolutive SFP'!AY38)/'Evolutive SFP'!AY26</f>
        <v>#DIV/0!</v>
      </c>
      <c r="BB6" s="270">
        <f>((BB3*1000000)-'Evolutive SFP'!AZ38)/'Evolutive SFP'!AZ26</f>
        <v>-0.50609791351347833</v>
      </c>
      <c r="BC6" s="270">
        <f>((BC3*1000000)-'Evolutive SFP'!BA38)/'Evolutive SFP'!BA26</f>
        <v>-0.4684046010928446</v>
      </c>
      <c r="BD6" s="270">
        <f>((BD3*1000000)-'Evolutive SFP'!BB38)/'Evolutive SFP'!BB26</f>
        <v>-0.43010933730301393</v>
      </c>
      <c r="BE6" s="270">
        <f>((BE3*1000000)-'Evolutive SFP'!BC38)/'Evolutive SFP'!BC26</f>
        <v>-0.43761768320246619</v>
      </c>
      <c r="BF6" s="270">
        <f>((BF3*1000000)-'Evolutive SFP'!BD38)/'Evolutive SFP'!BD26</f>
        <v>-0.40479781208812565</v>
      </c>
      <c r="BG6" s="270">
        <f>((BG3*1000000)-'Evolutive SFP'!BE38)/'Evolutive SFP'!BE26</f>
        <v>-0.45512436939247669</v>
      </c>
      <c r="BH6" s="270">
        <f>((BH3*1000000)-'Evolutive SFP'!BF38)/'Evolutive SFP'!BF26</f>
        <v>-0.39368993888750875</v>
      </c>
      <c r="BI6" s="270">
        <f>((BI3*1000000)-'Evolutive SFP'!BG38)/'Evolutive SFP'!BG26</f>
        <v>-0.5860456481204408</v>
      </c>
      <c r="BJ6" s="270">
        <f>((BJ3*1000000)-'Evolutive SFP'!BH38)/'Evolutive SFP'!BH26</f>
        <v>-0.42633075281580501</v>
      </c>
      <c r="BK6" s="270">
        <f>((BK3*1000000)-'Evolutive SFP'!BI38)/'Evolutive SFP'!BI26</f>
        <v>-0.4400596816884183</v>
      </c>
      <c r="BL6" s="270">
        <f>((BL3*1000000)-'Evolutive SFP'!BJ38)/'Evolutive SFP'!BJ26</f>
        <v>-0.43727115349092593</v>
      </c>
      <c r="BM6" s="270">
        <f>((BM3*1000000)-'Evolutive SFP'!BK38)/'Evolutive SFP'!BK26</f>
        <v>-0.33157490728635686</v>
      </c>
      <c r="BN6" s="270">
        <f>((BN3*1000000)-'Evolutive SFP'!BL38)/'Evolutive SFP'!BL26</f>
        <v>-0.4317178255392371</v>
      </c>
      <c r="BO6" s="270">
        <f>((BO3*1000000)-'Evolutive SFP'!BM38)/'Evolutive SFP'!BM26</f>
        <v>-0.44982752969925216</v>
      </c>
      <c r="BP6" s="270">
        <f>((BP3*1000000)-'Evolutive SFP'!BN38)/'Evolutive SFP'!BN26</f>
        <v>-0.44124018816522398</v>
      </c>
      <c r="BQ6" s="270">
        <f>((BQ3*1000000)-'Evolutive SFP'!BO38)/'Evolutive SFP'!BO26</f>
        <v>-0.48565886416995224</v>
      </c>
      <c r="BR6" s="270">
        <f>((BR3*1000000)-'Evolutive SFP'!BP38)/'Evolutive SFP'!BP26</f>
        <v>-0.43206164218453064</v>
      </c>
      <c r="BS6" s="270">
        <f>((BS3*1000000)-'Evolutive SFP'!BQ38)/'Evolutive SFP'!BQ26</f>
        <v>-0.44132387723375482</v>
      </c>
      <c r="BT6" s="270">
        <f>((BT3*1000000)-'Evolutive SFP'!BR38)/'Evolutive SFP'!BR26</f>
        <v>-0.26770739255325154</v>
      </c>
      <c r="BU6" s="270">
        <f>((BU3*1000000)-'Evolutive SFP'!BS38)/'Evolutive SFP'!BS26</f>
        <v>-0.43874373782135495</v>
      </c>
      <c r="BV6" s="270">
        <f>((BV3*1000000)-'Evolutive SFP'!BT38)/'Evolutive SFP'!BT26</f>
        <v>-0.41704574051913329</v>
      </c>
      <c r="BW6" s="270">
        <f>((BW3*1000000)-'Evolutive SFP'!BU38)/'Evolutive SFP'!BU26</f>
        <v>-0.41347393554672057</v>
      </c>
      <c r="BX6" s="270">
        <f>((BX3*1000000)-'Evolutive SFP'!BV38)/'Evolutive SFP'!BV26</f>
        <v>-0.40764339049314036</v>
      </c>
      <c r="BY6" s="270">
        <f>((BY3*1000000)-'Evolutive SFP'!BW38)/'Evolutive SFP'!BW26</f>
        <v>-0.41718323209640834</v>
      </c>
      <c r="BZ6" s="270">
        <f>((BZ3*1000000)-'Evolutive SFP'!BX38)/'Evolutive SFP'!BX26</f>
        <v>-0.407918329594542</v>
      </c>
      <c r="CA6" s="270">
        <f>((CA3*1000000)-'Evolutive SFP'!BY38)/'Evolutive SFP'!BY26</f>
        <v>-0.41315986005549243</v>
      </c>
      <c r="CB6" s="270">
        <f>((CB3*1000000)-'Evolutive SFP'!BZ38)/'Evolutive SFP'!BZ26</f>
        <v>-0.41872422784522384</v>
      </c>
      <c r="CC6" s="270">
        <f>((CC3*1000000)-'Evolutive SFP'!CA38)/'Evolutive SFP'!CA26</f>
        <v>-0.34310952052579691</v>
      </c>
      <c r="CD6" s="162">
        <f>((CD3*1000000)-'Evolutive SFP'!CB38)/'Evolutive SFP'!CB26</f>
        <v>-0.43144681583859551</v>
      </c>
      <c r="CE6" s="162">
        <f>((CE3*1000000)-'Evolutive SFP'!CC38)/'Evolutive SFP'!CC26</f>
        <v>-0.39398489064233377</v>
      </c>
      <c r="CF6" s="162">
        <f>((CF3*1000000)-'Evolutive SFP'!CD38)/'Evolutive SFP'!CD26</f>
        <v>-0.43777603147603789</v>
      </c>
      <c r="CG6" s="300">
        <f>((CG3*1000000)-'Evolutive SFP'!CE38)/'Evolutive SFP'!CE26</f>
        <v>-0.13377229982965202</v>
      </c>
    </row>
    <row r="7" spans="1:85" ht="15.6">
      <c r="A7" s="328" t="s">
        <v>163</v>
      </c>
      <c r="B7" s="3" t="s">
        <v>216</v>
      </c>
      <c r="C7" s="24"/>
      <c r="D7" s="24"/>
      <c r="E7" s="24"/>
      <c r="F7" s="270" t="e">
        <f>'Evolutive SFP'!D15/('FORM 4'!K15+'FORM 4'!K16+'FORM 4'!K17)</f>
        <v>#DIV/0!</v>
      </c>
      <c r="G7" s="24"/>
      <c r="H7" s="268"/>
      <c r="I7" s="268"/>
      <c r="J7" s="270">
        <f>'Evolutive SFP'!H15/('FORM 4'!D5+'FORM 4'!D6+'FORM 4'!D7)</f>
        <v>0.25563386048658415</v>
      </c>
      <c r="K7" s="268"/>
      <c r="L7" s="268"/>
      <c r="M7" s="270" t="e">
        <f>'Evolutive SFP'!K15/('FORM 4'!D15+'FORM 4'!D16+'FORM 4'!D17)</f>
        <v>#DIV/0!</v>
      </c>
      <c r="N7" s="268"/>
      <c r="O7" s="270" t="e">
        <f>'Evolutive SFP'!M15/('FORM 4'!F15+'FORM 4'!F16+'FORM 4'!F17)</f>
        <v>#DIV/0!</v>
      </c>
      <c r="P7" s="268"/>
      <c r="Q7" s="270" t="e">
        <f>'Evolutive SFP'!O15/('FORM 4'!H15+'FORM 4'!H16+'FORM 4'!H17)</f>
        <v>#DIV/0!</v>
      </c>
      <c r="R7" s="268"/>
      <c r="S7" s="270" t="e">
        <f>'Evolutive SFP'!Q15/('FORM 4'!J15+'FORM 4'!J16+'FORM 4'!J17)</f>
        <v>#DIV/0!</v>
      </c>
      <c r="T7" s="270">
        <v>0.57579736477743726</v>
      </c>
      <c r="U7" s="270">
        <v>1.5757973647774399</v>
      </c>
      <c r="V7" s="270">
        <v>2.5757973647774399</v>
      </c>
      <c r="W7" s="270">
        <v>3.5757973647774399</v>
      </c>
      <c r="X7" s="270">
        <v>4.5757973647774399</v>
      </c>
      <c r="Y7" s="270">
        <v>5.5757973647774399</v>
      </c>
      <c r="Z7" s="270">
        <v>6.5757973647774399</v>
      </c>
      <c r="AA7" s="270">
        <v>7.5757973647774399</v>
      </c>
      <c r="AB7" s="270">
        <v>8.5757973647774399</v>
      </c>
      <c r="AC7" s="270">
        <v>9.5757973647774399</v>
      </c>
      <c r="AD7" s="270">
        <v>10.575797364777401</v>
      </c>
      <c r="AE7" s="270">
        <v>11.575797364777401</v>
      </c>
      <c r="AF7" s="270">
        <v>12.575797364777401</v>
      </c>
      <c r="AG7" s="270">
        <v>13.575797364777401</v>
      </c>
      <c r="AH7" s="270">
        <v>13.575797364777401</v>
      </c>
      <c r="AI7" s="270">
        <v>13.575797364777401</v>
      </c>
      <c r="AJ7" s="270">
        <v>13.575797364777401</v>
      </c>
      <c r="AK7" s="270">
        <v>13.575797364777401</v>
      </c>
      <c r="AL7" s="270">
        <v>13.575797364777401</v>
      </c>
      <c r="AM7" s="270">
        <v>13.575797364777401</v>
      </c>
      <c r="AN7" s="270">
        <v>13.575797364777401</v>
      </c>
      <c r="AO7" s="270">
        <v>13.575797364777401</v>
      </c>
      <c r="AP7" s="270">
        <v>13.575797364777401</v>
      </c>
      <c r="AQ7" s="270">
        <v>13.575797364777401</v>
      </c>
      <c r="AR7" s="270">
        <v>13.575797364777401</v>
      </c>
      <c r="AS7" s="270">
        <v>13.575797364777401</v>
      </c>
      <c r="AT7" s="270">
        <v>13.575797364777401</v>
      </c>
      <c r="AU7" s="270">
        <v>13.575797364777401</v>
      </c>
      <c r="AV7" s="270">
        <v>13.575797364777401</v>
      </c>
      <c r="AW7" s="270">
        <v>13.575797364777401</v>
      </c>
      <c r="AX7" s="270">
        <v>13.575797364777401</v>
      </c>
      <c r="AY7" s="270">
        <v>13.575797364777401</v>
      </c>
      <c r="AZ7" s="270">
        <v>13.575797364777401</v>
      </c>
      <c r="BA7" s="270">
        <v>13.575797364777401</v>
      </c>
      <c r="BB7" s="270">
        <v>13.575797364777401</v>
      </c>
      <c r="BC7" s="270">
        <v>13.575797364777401</v>
      </c>
      <c r="BD7" s="270">
        <v>13.575797364777401</v>
      </c>
      <c r="BE7" s="270">
        <v>13.575797364777401</v>
      </c>
      <c r="BF7" s="270">
        <v>13.575797364777401</v>
      </c>
      <c r="BG7" s="270">
        <v>0.98</v>
      </c>
      <c r="BH7" s="270">
        <v>0.98</v>
      </c>
      <c r="BI7" s="270">
        <v>0.98</v>
      </c>
      <c r="BJ7" s="270">
        <v>0.98</v>
      </c>
      <c r="BK7" s="270">
        <v>0.98</v>
      </c>
      <c r="BL7" s="270">
        <v>0.98</v>
      </c>
      <c r="BM7" s="270">
        <v>0.98</v>
      </c>
      <c r="BN7" s="270">
        <v>0.98</v>
      </c>
      <c r="BO7" s="270">
        <v>0.98</v>
      </c>
      <c r="BP7" s="270">
        <v>0.98</v>
      </c>
      <c r="BQ7" s="270">
        <v>0.98</v>
      </c>
      <c r="BR7" s="270">
        <v>0.98</v>
      </c>
      <c r="BS7" s="270">
        <v>0.98</v>
      </c>
      <c r="BT7" s="270">
        <v>0.8</v>
      </c>
      <c r="BU7" s="270">
        <v>1.8</v>
      </c>
      <c r="BV7" s="270">
        <v>2.8</v>
      </c>
      <c r="BW7" s="270">
        <v>0.8</v>
      </c>
      <c r="BX7" s="270">
        <v>4.8</v>
      </c>
      <c r="BY7" s="270">
        <v>5.8</v>
      </c>
      <c r="BZ7" s="270">
        <v>0.8</v>
      </c>
      <c r="CA7" s="270">
        <v>7.8</v>
      </c>
      <c r="CB7" s="270">
        <v>8.8000000000000007</v>
      </c>
      <c r="CC7" s="270">
        <v>0.84</v>
      </c>
      <c r="CD7" s="26">
        <v>10.8</v>
      </c>
      <c r="CE7" s="26">
        <v>11.8</v>
      </c>
      <c r="CF7" s="26">
        <v>0.78</v>
      </c>
      <c r="CG7" s="301">
        <f>Financials!CF33/Financials!CF31</f>
        <v>0.68500964161817801</v>
      </c>
    </row>
    <row r="8" spans="1:85" ht="15.6" hidden="1">
      <c r="A8" s="328"/>
      <c r="B8" s="3" t="s">
        <v>165</v>
      </c>
      <c r="C8" s="24"/>
      <c r="D8" s="24"/>
      <c r="E8" s="24"/>
      <c r="F8" s="270">
        <f>('FORM 4'!K15+'FORM 4'!K16+'FORM 4'!K17)/'Evolutive SFP'!D14</f>
        <v>0</v>
      </c>
      <c r="G8" s="24"/>
      <c r="H8" s="268"/>
      <c r="I8" s="268"/>
      <c r="J8" s="271">
        <f>('FORM 4'!D5+'FORM 4'!D6+'FORM 4'!D7)/'FORM 4'!D8</f>
        <v>9.3191731363219468E-2</v>
      </c>
      <c r="K8" s="268"/>
      <c r="L8" s="268"/>
      <c r="M8" s="270" t="e">
        <f>('FORM 4'!D15+'FORM 4'!D16+'FORM 4'!D17)/'FORM 4'!D18</f>
        <v>#DIV/0!</v>
      </c>
      <c r="N8" s="268"/>
      <c r="O8" s="270" t="e">
        <f>('FORM 4'!F15+'FORM 4'!F16+'FORM 4'!F17)/'FORM 4'!F18</f>
        <v>#DIV/0!</v>
      </c>
      <c r="P8" s="268"/>
      <c r="Q8" s="270" t="e">
        <f>('FORM 4'!H15+'FORM 4'!H16+'FORM 4'!H17)/'FORM 4'!H18</f>
        <v>#DIV/0!</v>
      </c>
      <c r="R8" s="268"/>
      <c r="S8" s="270" t="e">
        <f>('FORM 4'!J15+'FORM 4'!J16+'FORM 4'!J17)/'FORM 4'!J18</f>
        <v>#DIV/0!</v>
      </c>
      <c r="T8" s="270">
        <v>0.10982052931952131</v>
      </c>
      <c r="U8" s="270">
        <v>1.10982052931952</v>
      </c>
      <c r="V8" s="270">
        <v>2.1098205293195198</v>
      </c>
      <c r="W8" s="270">
        <v>3.1098205293195198</v>
      </c>
      <c r="X8" s="270">
        <v>4.1098205293195198</v>
      </c>
      <c r="Y8" s="270">
        <v>5.1098205293195198</v>
      </c>
      <c r="Z8" s="270">
        <v>6.1098205293195198</v>
      </c>
      <c r="AA8" s="270">
        <v>7.1098205293195198</v>
      </c>
      <c r="AB8" s="270">
        <v>8.1098205293195207</v>
      </c>
      <c r="AC8" s="270">
        <v>9.1098205293195207</v>
      </c>
      <c r="AD8" s="270">
        <v>10.109820529319499</v>
      </c>
      <c r="AE8" s="270">
        <v>11.109820529319499</v>
      </c>
      <c r="AF8" s="270">
        <v>12.109820529319499</v>
      </c>
      <c r="AG8" s="270">
        <v>13.109820529319499</v>
      </c>
      <c r="AH8" s="270">
        <v>13.109820529319499</v>
      </c>
      <c r="AI8" s="270">
        <v>13.109820529319499</v>
      </c>
      <c r="AJ8" s="270">
        <v>13.109820529319499</v>
      </c>
      <c r="AK8" s="270">
        <v>13.109820529319499</v>
      </c>
      <c r="AL8" s="270">
        <v>13.109820529319499</v>
      </c>
      <c r="AM8" s="270">
        <v>13.109820529319499</v>
      </c>
      <c r="AN8" s="270">
        <v>13.109820529319499</v>
      </c>
      <c r="AO8" s="270">
        <v>13.109820529319499</v>
      </c>
      <c r="AP8" s="270">
        <v>13.109820529319499</v>
      </c>
      <c r="AQ8" s="270">
        <v>13.109820529319499</v>
      </c>
      <c r="AR8" s="270">
        <v>13.109820529319499</v>
      </c>
      <c r="AS8" s="270">
        <v>13.109820529319499</v>
      </c>
      <c r="AT8" s="270">
        <v>13.109820529319499</v>
      </c>
      <c r="AU8" s="270">
        <v>13.109820529319499</v>
      </c>
      <c r="AV8" s="270">
        <v>13.109820529319499</v>
      </c>
      <c r="AW8" s="270">
        <v>13.109820529319499</v>
      </c>
      <c r="AX8" s="270">
        <v>13.109820529319499</v>
      </c>
      <c r="AY8" s="270">
        <v>13.109820529319499</v>
      </c>
      <c r="AZ8" s="270">
        <v>13.109820529319499</v>
      </c>
      <c r="BA8" s="270">
        <v>13.109820529319499</v>
      </c>
      <c r="BB8" s="270">
        <v>13.109820529319499</v>
      </c>
      <c r="BC8" s="270">
        <v>13.109820529319499</v>
      </c>
      <c r="BD8" s="270">
        <v>13.109820529319499</v>
      </c>
      <c r="BE8" s="270">
        <v>13.109820529319499</v>
      </c>
      <c r="BF8" s="270">
        <v>13.109820529319499</v>
      </c>
      <c r="BG8" s="270">
        <v>0.98</v>
      </c>
      <c r="BH8" s="270">
        <v>0.98</v>
      </c>
      <c r="BI8" s="270">
        <v>0.98</v>
      </c>
      <c r="BJ8" s="270">
        <v>0.98</v>
      </c>
      <c r="BK8" s="270">
        <v>0.98</v>
      </c>
      <c r="BL8" s="270">
        <v>0.98</v>
      </c>
      <c r="BM8" s="270">
        <v>0.98</v>
      </c>
      <c r="BN8" s="270">
        <v>0.98</v>
      </c>
      <c r="BO8" s="270">
        <v>0.98</v>
      </c>
      <c r="BP8" s="270">
        <v>0.98</v>
      </c>
      <c r="BQ8" s="270">
        <v>0.98</v>
      </c>
      <c r="BR8" s="270">
        <v>0.98</v>
      </c>
      <c r="BS8" s="270">
        <v>0.98</v>
      </c>
      <c r="BT8" s="270">
        <f>(77126273+313476+1962447)/99799936</f>
        <v>0.79561369658593772</v>
      </c>
      <c r="BU8" s="270">
        <f t="shared" ref="BU8:CG8" si="0">(77126273+313476+1962447)/99799936</f>
        <v>0.79561369658593772</v>
      </c>
      <c r="BV8" s="270">
        <f t="shared" si="0"/>
        <v>0.79561369658593772</v>
      </c>
      <c r="BW8" s="270">
        <f t="shared" si="0"/>
        <v>0.79561369658593772</v>
      </c>
      <c r="BX8" s="270">
        <f t="shared" si="0"/>
        <v>0.79561369658593772</v>
      </c>
      <c r="BY8" s="270">
        <f t="shared" si="0"/>
        <v>0.79561369658593772</v>
      </c>
      <c r="BZ8" s="270">
        <f t="shared" si="0"/>
        <v>0.79561369658593772</v>
      </c>
      <c r="CA8" s="270">
        <f t="shared" si="0"/>
        <v>0.79561369658593772</v>
      </c>
      <c r="CB8" s="270">
        <f t="shared" si="0"/>
        <v>0.79561369658593772</v>
      </c>
      <c r="CC8" s="270">
        <v>0.84</v>
      </c>
      <c r="CD8" s="162">
        <f t="shared" si="0"/>
        <v>0.79561369658593772</v>
      </c>
      <c r="CE8" s="162">
        <f t="shared" si="0"/>
        <v>0.79561369658593772</v>
      </c>
      <c r="CF8" s="162">
        <f t="shared" si="0"/>
        <v>0.79561369658593772</v>
      </c>
      <c r="CG8" s="300">
        <f t="shared" si="0"/>
        <v>0.79561369658593772</v>
      </c>
    </row>
    <row r="9" spans="1:85" ht="15.6">
      <c r="A9" s="326" t="s">
        <v>166</v>
      </c>
      <c r="B9" s="3" t="s">
        <v>217</v>
      </c>
      <c r="C9" s="24"/>
      <c r="D9" s="24"/>
      <c r="E9" s="272">
        <f>'Evolutitve SCI'!C33/(('Evolutive SFP'!B26+'Evolutive SFP'!C26)/2)</f>
        <v>3.5026197263721838E-2</v>
      </c>
      <c r="F9" s="272" t="e">
        <f>'Evolutitve SCI'!E33/(('Evolutive SFP'!#REF!+'Evolutive SFP'!D26)/2)</f>
        <v>#REF!</v>
      </c>
      <c r="G9" s="272">
        <f>'Evolutitve SCI'!E33/(('Evolutive SFP'!D26+'Evolutive SFP'!E26)/2)</f>
        <v>3.7046790867377435E-3</v>
      </c>
      <c r="H9" s="272">
        <f>'Evolutitve SCI'!F33/(('Evolutive SFP'!D26+'Evolutive SFP'!F26)/2)</f>
        <v>4.9867178432812589E-4</v>
      </c>
      <c r="I9" s="272">
        <f>'Evolutitve SCI'!G33/(('Evolutive SFP'!F26+'Evolutive SFP'!G26)/2)</f>
        <v>-1.369863519346249E-2</v>
      </c>
      <c r="J9" s="272">
        <f>'Evolutitve SCI'!H33/(('Evolutive SFP'!G26+'Evolutive SFP'!H26)/2)</f>
        <v>-1.0274339269483393E-2</v>
      </c>
      <c r="K9" s="272">
        <f>'Evolutitve SCI'!I33/(('Evolutive SFP'!H26+'Evolutive SFP'!I26)/2)</f>
        <v>-8.9203718637020854E-3</v>
      </c>
      <c r="L9" s="272">
        <f>'Evolutitve SCI'!J33/(('Evolutive SFP'!I26+'Evolutive SFP'!J26)/2)</f>
        <v>-1.7680686102880459E-2</v>
      </c>
      <c r="M9" s="272">
        <f>'Evolutitve SCI'!K33/(('Evolutive SFP'!J26+'Evolutive SFP'!K26)/2)</f>
        <v>-1.870255786581812E-2</v>
      </c>
      <c r="N9" s="272">
        <f>'Evolutitve SCI'!L33/(('Evolutive SFP'!K26+'Evolutive SFP'!L26)/2)</f>
        <v>0</v>
      </c>
      <c r="O9" s="272" t="e">
        <f>'Evolutitve SCI'!M33/(('Evolutive SFP'!L26+'Evolutive SFP'!M26)/2)</f>
        <v>#DIV/0!</v>
      </c>
      <c r="P9" s="272" t="e">
        <f>'Evolutitve SCI'!N33/(('Evolutive SFP'!M26+'Evolutive SFP'!N26)/2)</f>
        <v>#DIV/0!</v>
      </c>
      <c r="Q9" s="272" t="e">
        <f>'Evolutitve SCI'!O33/(('Evolutive SFP'!N26+'Evolutive SFP'!O26)/2)</f>
        <v>#DIV/0!</v>
      </c>
      <c r="R9" s="272" t="e">
        <f>'Evolutitve SCI'!P33/(('Evolutive SFP'!O26+'Evolutive SFP'!P26)/2)</f>
        <v>#DIV/0!</v>
      </c>
      <c r="S9" s="272" t="e">
        <f>'Evolutitve SCI'!Q33/(('Evolutive SFP'!P26+'Evolutive SFP'!Q26)/2)</f>
        <v>#DIV/0!</v>
      </c>
      <c r="T9" s="272">
        <f>'Evolutitve SCI'!R33/(('Evolutive SFP'!Q26+'Evolutive SFP'!R26)/2)</f>
        <v>-4.9802421150995244E-2</v>
      </c>
      <c r="U9" s="272">
        <f>'Evolutitve SCI'!S33/(('Evolutive SFP'!R26+'Evolutive SFP'!S26)/2)</f>
        <v>2.0214068234245429E-3</v>
      </c>
      <c r="V9" s="272">
        <f>'Evolutitve SCI'!T33/(('Evolutive SFP'!S26+'Evolutive SFP'!T26)/2)</f>
        <v>1.5815058739553905E-3</v>
      </c>
      <c r="W9" s="272">
        <f>'Evolutitve SCI'!U33/(('Evolutive SFP'!T26+'Evolutive SFP'!U26)/2)</f>
        <v>-1.5034797406897124E-2</v>
      </c>
      <c r="X9" s="272">
        <f>'Evolutitve SCI'!V33/(('Evolutive SFP'!U26+'Evolutive SFP'!V26)/2)</f>
        <v>-3.4321277863796115E-2</v>
      </c>
      <c r="Y9" s="272">
        <f>'Evolutitve SCI'!W33/(('Evolutive SFP'!V26+'Evolutive SFP'!W26)/2)</f>
        <v>-0.14047502199637485</v>
      </c>
      <c r="Z9" s="272">
        <f>'Evolutitve SCI'!X33/(('Evolutive SFP'!W26+'Evolutive SFP'!X26)/2)</f>
        <v>5.1743658349788859E-4</v>
      </c>
      <c r="AA9" s="272">
        <f>'Evolutitve SCI'!Y33/(('Evolutive SFP'!X26+'Evolutive SFP'!Y26)/2)</f>
        <v>-5.9619768881980627E-3</v>
      </c>
      <c r="AB9" s="272">
        <f>'Evolutitve SCI'!Z33/(('Evolutive SFP'!Y26+'Evolutive SFP'!Z26)/2)</f>
        <v>-1.8902017864246994E-2</v>
      </c>
      <c r="AC9" s="272">
        <f>'Evolutitve SCI'!AA33/(('Evolutive SFP'!Z26+'Evolutive SFP'!AA26)/2)</f>
        <v>-9.486138964680332E-3</v>
      </c>
      <c r="AD9" s="272">
        <f>'Evolutitve SCI'!AB33/(('Evolutive SFP'!AA26+'Evolutive SFP'!AB26)/2)</f>
        <v>-1.4633119821979422E-2</v>
      </c>
      <c r="AE9" s="272">
        <f>'Evolutitve SCI'!AC33/(('Evolutive SFP'!AB26+'Evolutive SFP'!AC26)/2)</f>
        <v>-1.2437839191514612E-2</v>
      </c>
      <c r="AF9" s="272">
        <f>'Evolutitve SCI'!AD33/(('Evolutive SFP'!AC26+'Evolutive SFP'!AD26)/2)</f>
        <v>-2.3447100530443039E-2</v>
      </c>
      <c r="AG9" s="272">
        <f>'Evolutitve SCI'!AE33/(('Evolutive SFP'!AD26+'Evolutive SFP'!AE26)/2)</f>
        <v>3.3990230661924532E-2</v>
      </c>
      <c r="AH9" s="272">
        <f>'Evolutitve SCI'!AF33/(('Evolutive SFP'!AE26+'Evolutive SFP'!AF26)/2)</f>
        <v>-9.8598300021093363E-2</v>
      </c>
      <c r="AI9" s="272">
        <f>'Evolutitve SCI'!AG33/(('Evolutive SFP'!AF26+'Evolutive SFP'!AG26)/2)</f>
        <v>-2.8143455321913173E-3</v>
      </c>
      <c r="AJ9" s="272">
        <f>'Evolutitve SCI'!AH33/(('Evolutive SFP'!AG26+'Evolutive SFP'!AH26)/2)</f>
        <v>-3.3372500895775064E-3</v>
      </c>
      <c r="AK9" s="272">
        <f>'Evolutitve SCI'!AI33/(('Evolutive SFP'!AH26+'Evolutive SFP'!AI26)/2)</f>
        <v>-3.1951952391986498E-2</v>
      </c>
      <c r="AL9" s="272">
        <f>'Evolutitve SCI'!AJ33/(('Evolutive SFP'!AI26+'Evolutive SFP'!AJ26)/2)</f>
        <v>-1.9957850159627748E-2</v>
      </c>
      <c r="AM9" s="272">
        <f>'Evolutitve SCI'!AK33/(('Evolutive SFP'!AJ26+'Evolutive SFP'!AK26)/2)</f>
        <v>-2.5270755747673391E-2</v>
      </c>
      <c r="AN9" s="272">
        <f>'Evolutitve SCI'!AL33/(('Evolutive SFP'!AK26+'Evolutive SFP'!AL26)/2)</f>
        <v>-2.6539966456266693E-2</v>
      </c>
      <c r="AO9" s="272">
        <f>'Evolutitve SCI'!AM33/(('Evolutive SFP'!AL26+'Evolutive SFP'!AM26)/2)</f>
        <v>-2.8781457852005046E-2</v>
      </c>
      <c r="AP9" s="272">
        <f>'Evolutitve SCI'!AN33/(('Evolutive SFP'!AM26+'Evolutive SFP'!AN26)/2)</f>
        <v>-1.6179754162516026E-2</v>
      </c>
      <c r="AQ9" s="272">
        <f>'Evolutitve SCI'!AO33/(('Evolutive SFP'!AN26+'Evolutive SFP'!AO26)/2)</f>
        <v>-6.6520134077417886E-2</v>
      </c>
      <c r="AR9" s="272" t="e">
        <f>'Evolutitve SCI'!AP33/(('Evolutive SFP'!AO26+'Evolutive SFP'!AP26)/2)</f>
        <v>#DIV/0!</v>
      </c>
      <c r="AS9" s="272" t="e">
        <f>'Evolutitve SCI'!AQ33/(('Evolutive SFP'!AP26+'Evolutive SFP'!AQ26)/2)</f>
        <v>#DIV/0!</v>
      </c>
      <c r="AT9" s="272" t="e">
        <f>'Evolutitve SCI'!AR33/(('Evolutive SFP'!AQ26+'Evolutive SFP'!AR26)/2)</f>
        <v>#DIV/0!</v>
      </c>
      <c r="AU9" s="272">
        <f>'Evolutitve SCI'!AS33/(('Evolutive SFP'!AR26+'Evolutive SFP'!AS26)/2)</f>
        <v>0</v>
      </c>
      <c r="AV9" s="272">
        <f>'Evolutitve SCI'!AT33/(('Evolutive SFP'!AS26+'Evolutive SFP'!AT26)/2)</f>
        <v>-0.8362336174497752</v>
      </c>
      <c r="AW9" s="272">
        <f>'Evolutitve SCI'!AU33/(('Evolutive SFP'!AT26+'Evolutive SFP'!AU26)/2)</f>
        <v>-1.3522472832883855E-2</v>
      </c>
      <c r="AX9" s="272">
        <f>'Evolutitve SCI'!AV33/(('Evolutive SFP'!AU26+'Evolutive SFP'!AV26)/2)</f>
        <v>3.761449623735412E-2</v>
      </c>
      <c r="AY9" s="272">
        <f>'Evolutitve SCI'!AW33/(('Evolutive SFP'!AV26+'Evolutive SFP'!AW26)/2)</f>
        <v>3.2857604925325468E-2</v>
      </c>
      <c r="AZ9" s="272">
        <f>'Evolutitve SCI'!AX33/(('Evolutive SFP'!AW26+'Evolutive SFP'!AX26)/2)</f>
        <v>2.4987602300411613E-2</v>
      </c>
      <c r="BA9" s="272">
        <f>'Evolutitve SCI'!AY33/(('Evolutive SFP'!AX26+'Evolutive SFP'!AY26)/2)</f>
        <v>4.6980968300242468E-2</v>
      </c>
      <c r="BB9" s="272">
        <f>'Evolutitve SCI'!AZ33/(('Evolutive SFP'!AY26+'Evolutive SFP'!AZ26)/2)</f>
        <v>0</v>
      </c>
      <c r="BC9" s="272">
        <f>'Evolutitve SCI'!BA33/(('Evolutive SFP'!AZ26+'Evolutive SFP'!BA26)/2)</f>
        <v>5.9146508186750839E-3</v>
      </c>
      <c r="BD9" s="272">
        <f>'Evolutitve SCI'!BB33/(('Evolutive SFP'!BA26+'Evolutive SFP'!BB26)/2)</f>
        <v>3.698239620685672E-2</v>
      </c>
      <c r="BE9" s="272">
        <f>'Evolutitve SCI'!BC33/(('Evolutive SFP'!BB26+'Evolutive SFP'!BC26)/2)</f>
        <v>5.9008102104625405E-2</v>
      </c>
      <c r="BF9" s="272">
        <f>'Evolutitve SCI'!BD33/(('Evolutive SFP'!BC26+'Evolutive SFP'!BD26)/2)</f>
        <v>5.4791918889901162E-2</v>
      </c>
      <c r="BG9" s="272">
        <f>'Evolutitve SCI'!BE33/(('Evolutive SFP'!BD26+'Evolutive SFP'!BE26)/2)</f>
        <v>7.4812196208674728E-2</v>
      </c>
      <c r="BH9" s="272">
        <f>'Evolutitve SCI'!BF33/(('Evolutive SFP'!BE26+'Evolutive SFP'!BF26)/2)</f>
        <v>6.1777957718590258E-2</v>
      </c>
      <c r="BI9" s="272">
        <f>'Evolutitve SCI'!BG33/(('Evolutive SFP'!BF26+'Evolutive SFP'!BG26)/2)</f>
        <v>-4.2753225609004682E-3</v>
      </c>
      <c r="BJ9" s="272">
        <f>'Evolutitve SCI'!BH33/(('Evolutive SFP'!BG26+'Evolutive SFP'!BH26)/2)</f>
        <v>-2.3390556384064124E-3</v>
      </c>
      <c r="BK9" s="272">
        <f>'Evolutitve SCI'!BI33/(('Evolutive SFP'!BH26+'Evolutive SFP'!BI26)/2)</f>
        <v>-2.9165858758489161E-3</v>
      </c>
      <c r="BL9" s="272">
        <f>'Evolutitve SCI'!BJ33/(('Evolutive SFP'!BI26+'Evolutive SFP'!BJ26)/2)</f>
        <v>-1.3515570494959611E-3</v>
      </c>
      <c r="BM9" s="272">
        <f>'Evolutitve SCI'!BK33/(('Evolutive SFP'!BJ26+'Evolutive SFP'!BK26)/2)</f>
        <v>3.0945055610278765E-3</v>
      </c>
      <c r="BN9" s="272">
        <f>'Evolutitve SCI'!BL33/(('Evolutive SFP'!BK26+'Evolutive SFP'!BL26)/2)</f>
        <v>6.0085000319767667E-3</v>
      </c>
      <c r="BO9" s="272">
        <f>'Evolutitve SCI'!BM33/(('Evolutive SFP'!BL26+'Evolutive SFP'!BM26)/2)</f>
        <v>9.687689673061415E-3</v>
      </c>
      <c r="BP9" s="272">
        <f>'Evolutitve SCI'!BN33/(('Evolutive SFP'!BM26+'Evolutive SFP'!BN26)/2)</f>
        <v>-8.995437934136483E-4</v>
      </c>
      <c r="BQ9" s="272">
        <f>'Evolutitve SCI'!BO33/(('Evolutive SFP'!BN26+'Evolutive SFP'!BO26)/2)</f>
        <v>8.8177720587354798E-3</v>
      </c>
      <c r="BR9" s="272">
        <f>'Evolutitve SCI'!BP33/(('Evolutive SFP'!BO26+'Evolutive SFP'!BP26)/2)</f>
        <v>9.1168392807088345E-3</v>
      </c>
      <c r="BS9" s="272">
        <f>'Evolutitve SCI'!BQ33/(('Evolutive SFP'!BP26+'Evolutive SFP'!BQ26)/2)</f>
        <v>1.0240476605291374E-2</v>
      </c>
      <c r="BT9" s="272">
        <f>'Evolutitve SCI'!BR33/(('Evolutive SFP'!BQ26+'Evolutive SFP'!BR26)/2)</f>
        <v>1.3817648104785013E-3</v>
      </c>
      <c r="BU9" s="272">
        <f>'Evolutitve SCI'!BS33/(('Evolutive SFP'!BR26+'Evolutive SFP'!BS26)/2)</f>
        <v>-3.349301534117334E-3</v>
      </c>
      <c r="BV9" s="272">
        <f>'Evolutitve SCI'!BT33/(('Evolutive SFP'!BS26+'Evolutive SFP'!BT26)/2)</f>
        <v>1.620127953441381E-3</v>
      </c>
      <c r="BW9" s="272">
        <f>'Evolutitve SCI'!BU33/(('Evolutive SFP'!BT26+'Evolutive SFP'!BU26)/2)</f>
        <v>2.7542531552446452E-3</v>
      </c>
      <c r="BX9" s="272">
        <f>'Evolutitve SCI'!BV33/(('Evolutive SFP'!BU26+'Evolutive SFP'!BV26)/2)</f>
        <v>-9.0210840047141253E-4</v>
      </c>
      <c r="BY9" s="272">
        <f>'Evolutitve SCI'!BW33/(('Evolutive SFP'!BV26+'Evolutive SFP'!BW26)/2)</f>
        <v>9.7555949406153177E-3</v>
      </c>
      <c r="BZ9" s="272">
        <f>'Evolutitve SCI'!BX33/(('Evolutive SFP'!BW26+'Evolutive SFP'!BX26)/2)</f>
        <v>7.6619833911724328E-3</v>
      </c>
      <c r="CA9" s="272">
        <f>'Evolutitve SCI'!BY33/(('Evolutive SFP'!BX26+'Evolutive SFP'!BY26)/2)</f>
        <v>1.9081701015145976E-3</v>
      </c>
      <c r="CB9" s="272">
        <f>'Evolutitve SCI'!BZ33/(('Evolutive SFP'!BY26+'Evolutive SFP'!BZ26)/2)</f>
        <v>5.9328139091938794E-3</v>
      </c>
      <c r="CC9" s="272">
        <f>'Evolutitve SCI'!CA33/(('Evolutive SFP'!BZ26+'Evolutive SFP'!CA26)/2)</f>
        <v>1.9479340748918496E-3</v>
      </c>
      <c r="CD9" s="6">
        <f>'Evolutitve SCI'!CB33/(('Evolutive SFP'!CA26+'Evolutive SFP'!CB26)/2)</f>
        <v>1.1077419062097176E-2</v>
      </c>
      <c r="CE9" s="6">
        <f>'Evolutitve SCI'!CC33/(('Evolutive SFP'!CB26+'Evolutive SFP'!CC26)/2)</f>
        <v>1.7153727990165797E-2</v>
      </c>
      <c r="CF9" s="6">
        <f>'Evolutitve SCI'!CD33/(('Evolutive SFP'!CC26+'Evolutive SFP'!CD26)/2)</f>
        <v>3.0728049537561822E-2</v>
      </c>
      <c r="CG9" s="302">
        <f>'Evolutitve SCI'!CE33/(('Evolutive SFP'!CD26+'Evolutive SFP'!CE26)/2)</f>
        <v>1.2383973796753461E-2</v>
      </c>
    </row>
    <row r="10" spans="1:85" ht="15.6">
      <c r="A10" s="326"/>
      <c r="B10" s="3" t="s">
        <v>168</v>
      </c>
      <c r="C10" s="24"/>
      <c r="D10" s="270">
        <f>'Evolutitve SCI'!B23/'Evolutitve SCI'!B19</f>
        <v>0.7372487576196437</v>
      </c>
      <c r="E10" s="270">
        <f>'Evolutitve SCI'!C23/'Evolutitve SCI'!C19</f>
        <v>0.67834548094286407</v>
      </c>
      <c r="F10" s="270">
        <f>'Evolutitve SCI'!E23/'Evolutitve SCI'!E19</f>
        <v>0.95420771524010772</v>
      </c>
      <c r="G10" s="270">
        <f>'Evolutitve SCI'!E23/'Evolutitve SCI'!E19</f>
        <v>0.95420771524010772</v>
      </c>
      <c r="H10" s="270">
        <f>'Evolutitve SCI'!F23/'Evolutitve SCI'!F19</f>
        <v>0.96439170654886053</v>
      </c>
      <c r="I10" s="270">
        <f>'Evolutitve SCI'!G23/'Evolutitve SCI'!G19</f>
        <v>1.0005800780483078</v>
      </c>
      <c r="J10" s="270">
        <f>'Evolutitve SCI'!H23/'Evolutitve SCI'!H19</f>
        <v>0.92925388650551988</v>
      </c>
      <c r="K10" s="270">
        <f>'Evolutitve SCI'!I23/'Evolutitve SCI'!I19</f>
        <v>0.99345796911304418</v>
      </c>
      <c r="L10" s="270">
        <f>'Evolutitve SCI'!J23/'Evolutitve SCI'!J19</f>
        <v>1.1523578590921606</v>
      </c>
      <c r="M10" s="270">
        <f>'Evolutitve SCI'!K23/'Evolutitve SCI'!K19</f>
        <v>1.1885086363925572</v>
      </c>
      <c r="N10" s="270" t="e">
        <f>'Evolutitve SCI'!L23/'Evolutitve SCI'!L19</f>
        <v>#DIV/0!</v>
      </c>
      <c r="O10" s="270" t="e">
        <f>'Evolutitve SCI'!M23/'Evolutitve SCI'!M19</f>
        <v>#DIV/0!</v>
      </c>
      <c r="P10" s="270" t="e">
        <f>'Evolutitve SCI'!N23/'Evolutitve SCI'!N19</f>
        <v>#DIV/0!</v>
      </c>
      <c r="Q10" s="270" t="e">
        <f>'Evolutitve SCI'!O23/'Evolutitve SCI'!O19</f>
        <v>#DIV/0!</v>
      </c>
      <c r="R10" s="270" t="e">
        <f>'Evolutitve SCI'!P23/'Evolutitve SCI'!P19</f>
        <v>#DIV/0!</v>
      </c>
      <c r="S10" s="270" t="e">
        <f>'Evolutitve SCI'!Q23/'Evolutitve SCI'!Q19</f>
        <v>#DIV/0!</v>
      </c>
      <c r="T10" s="270">
        <f>'Evolutitve SCI'!R23/'Evolutitve SCI'!R19</f>
        <v>1.0579333319317452</v>
      </c>
      <c r="U10" s="270">
        <f>'Evolutitve SCI'!S23/'Evolutitve SCI'!S19</f>
        <v>0.70212447896005248</v>
      </c>
      <c r="V10" s="270">
        <f>'Evolutitve SCI'!T23/'Evolutitve SCI'!T19</f>
        <v>0.77245233999722274</v>
      </c>
      <c r="W10" s="270">
        <f>'Evolutitve SCI'!U23/'Evolutitve SCI'!U19</f>
        <v>0.781916344878124</v>
      </c>
      <c r="X10" s="270">
        <f>'Evolutitve SCI'!V23/'Evolutitve SCI'!V19</f>
        <v>0.74980294314786777</v>
      </c>
      <c r="Y10" s="270">
        <f>'Evolutitve SCI'!W23/'Evolutitve SCI'!W19</f>
        <v>1.0038996879361999</v>
      </c>
      <c r="Z10" s="270">
        <f>'Evolutitve SCI'!X23/'Evolutitve SCI'!X19</f>
        <v>0.9867086871410069</v>
      </c>
      <c r="AA10" s="270">
        <f>'Evolutitve SCI'!Y23/'Evolutitve SCI'!Y19</f>
        <v>1.1656674033058154</v>
      </c>
      <c r="AB10" s="270">
        <f>'Evolutitve SCI'!Z23/'Evolutitve SCI'!Z19</f>
        <v>1.4659269502243544</v>
      </c>
      <c r="AC10" s="270">
        <f>'Evolutitve SCI'!AA23/'Evolutitve SCI'!AA19</f>
        <v>1.1815922859017942</v>
      </c>
      <c r="AD10" s="270">
        <f>'Evolutitve SCI'!AB23/'Evolutitve SCI'!AB19</f>
        <v>1.2242545420388951</v>
      </c>
      <c r="AE10" s="270">
        <f>'Evolutitve SCI'!AC23/'Evolutitve SCI'!AC19</f>
        <v>1.1531185614480806</v>
      </c>
      <c r="AF10" s="270">
        <f>'Evolutitve SCI'!AD23/'Evolutitve SCI'!AD19</f>
        <v>1.2538496150254659</v>
      </c>
      <c r="AG10" s="270">
        <f>'Evolutitve SCI'!AE23/'Evolutitve SCI'!AE19</f>
        <v>0.69133646711073948</v>
      </c>
      <c r="AH10" s="270">
        <f>'Evolutitve SCI'!AF23/'Evolutitve SCI'!AF19</f>
        <v>1.5685033118217797</v>
      </c>
      <c r="AI10" s="270">
        <f>'Evolutitve SCI'!AG23/'Evolutitve SCI'!AG19</f>
        <v>2.7964174830679891</v>
      </c>
      <c r="AJ10" s="270">
        <f>'Evolutitve SCI'!AH23/'Evolutitve SCI'!AH19</f>
        <v>2.7464270405279922</v>
      </c>
      <c r="AK10" s="270">
        <f>'Evolutitve SCI'!AI23/'Evolutitve SCI'!AI19</f>
        <v>-5.6712164566186125</v>
      </c>
      <c r="AL10" s="270">
        <f>'Evolutitve SCI'!AJ23/'Evolutitve SCI'!AJ19</f>
        <v>2.5408195329114514</v>
      </c>
      <c r="AM10" s="270">
        <f>'Evolutitve SCI'!AK23/'Evolutitve SCI'!AK19</f>
        <v>2.884644945437596</v>
      </c>
      <c r="AN10" s="270">
        <f>'Evolutitve SCI'!AL23/'Evolutitve SCI'!AL19</f>
        <v>2.9638091023005013</v>
      </c>
      <c r="AO10" s="270">
        <f>'Evolutitve SCI'!AM23/'Evolutitve SCI'!AM19</f>
        <v>2.8460578347429779</v>
      </c>
      <c r="AP10" s="270">
        <f>'Evolutitve SCI'!AN23/'Evolutitve SCI'!AN19</f>
        <v>1.6300497121218254</v>
      </c>
      <c r="AQ10" s="270">
        <f>'Evolutitve SCI'!AO23/'Evolutitve SCI'!AO19</f>
        <v>3.4128631926318178</v>
      </c>
      <c r="AR10" s="270" t="e">
        <f>'Evolutitve SCI'!AP23/'Evolutitve SCI'!AP19</f>
        <v>#DIV/0!</v>
      </c>
      <c r="AS10" s="270" t="e">
        <f>'Evolutitve SCI'!AQ23/'Evolutitve SCI'!AQ19</f>
        <v>#DIV/0!</v>
      </c>
      <c r="AT10" s="270" t="e">
        <f>'Evolutitve SCI'!AR23/'Evolutitve SCI'!AR19</f>
        <v>#DIV/0!</v>
      </c>
      <c r="AU10" s="270" t="e">
        <f>'Evolutitve SCI'!AS23/'Evolutitve SCI'!AS19</f>
        <v>#DIV/0!</v>
      </c>
      <c r="AV10" s="270">
        <f>'Evolutitve SCI'!AT23/'Evolutitve SCI'!AT19</f>
        <v>5.695199916982185</v>
      </c>
      <c r="AW10" s="270">
        <f>'Evolutitve SCI'!AU23/'Evolutitve SCI'!AU19</f>
        <v>9.7651094429885354</v>
      </c>
      <c r="AX10" s="270">
        <f>'Evolutitve SCI'!AV23/'Evolutitve SCI'!AV19</f>
        <v>0.34226386688529936</v>
      </c>
      <c r="AY10" s="270">
        <f>'Evolutitve SCI'!AW23/'Evolutitve SCI'!AW19</f>
        <v>0.43584855012295898</v>
      </c>
      <c r="AZ10" s="270">
        <f>'Evolutitve SCI'!AX23/'Evolutitve SCI'!AX19</f>
        <v>0.57826364036028388</v>
      </c>
      <c r="BA10" s="270">
        <f>'Evolutitve SCI'!AY23/'Evolutitve SCI'!AY19</f>
        <v>0.60863397915204875</v>
      </c>
      <c r="BB10" s="270" t="e">
        <f>'Evolutitve SCI'!AZ23/'Evolutitve SCI'!AZ19</f>
        <v>#DIV/0!</v>
      </c>
      <c r="BC10" s="270">
        <f>'Evolutitve SCI'!BA23/'Evolutitve SCI'!BA19</f>
        <v>0.89221751526329085</v>
      </c>
      <c r="BD10" s="270">
        <f>'Evolutitve SCI'!BB23/'Evolutitve SCI'!BB19</f>
        <v>0.61867447636585626</v>
      </c>
      <c r="BE10" s="270">
        <f>'Evolutitve SCI'!BC23/'Evolutitve SCI'!BC19</f>
        <v>0.52841277831288958</v>
      </c>
      <c r="BF10" s="270">
        <f>'Evolutitve SCI'!BD23/'Evolutitve SCI'!BD19</f>
        <v>0.57168165459419384</v>
      </c>
      <c r="BG10" s="270">
        <f>'Evolutitve SCI'!BF23/'Evolutitve SCI'!BF19</f>
        <v>1.0413471731679422</v>
      </c>
      <c r="BH10" s="270">
        <f>'Evolutitve SCI'!BG23/'Evolutitve SCI'!BG19</f>
        <v>1.9160776005123095</v>
      </c>
      <c r="BI10" s="270">
        <f>'Evolutitve SCI'!BH23/'Evolutitve SCI'!BH19</f>
        <v>1.177771582441925</v>
      </c>
      <c r="BJ10" s="270">
        <f>'Evolutitve SCI'!BI23/'Evolutitve SCI'!BI19</f>
        <v>1.1351208026242716</v>
      </c>
      <c r="BK10" s="270">
        <f>'Evolutitve SCI'!BJ23/'Evolutitve SCI'!BJ19</f>
        <v>1.0371491740636671</v>
      </c>
      <c r="BL10" s="270">
        <f>'Evolutitve SCI'!BK23/'Evolutitve SCI'!BK19</f>
        <v>0.92896841164152832</v>
      </c>
      <c r="BM10" s="270">
        <f>'Evolutitve SCI'!BL23/'Evolutitve SCI'!BL19</f>
        <v>0.88817796365622126</v>
      </c>
      <c r="BN10" s="270">
        <f>'Evolutitve SCI'!BM23/'Evolutitve SCI'!BM19</f>
        <v>0.85394549089240057</v>
      </c>
      <c r="BO10" s="270">
        <f>'Evolutitve SCI'!BN23/'Evolutitve SCI'!BN19</f>
        <v>1.0121850458098753</v>
      </c>
      <c r="BP10" s="270">
        <f>'Evolutitve SCI'!BO23/'Evolutitve SCI'!BO19</f>
        <v>0.89824988724107768</v>
      </c>
      <c r="BQ10" s="270">
        <f>'Evolutitve SCI'!BP23/'Evolutitve SCI'!BP19</f>
        <v>0.90519489009320231</v>
      </c>
      <c r="BR10" s="270">
        <f>'Evolutitve SCI'!BQ23/'Evolutitve SCI'!BQ19</f>
        <v>0.89816285472435997</v>
      </c>
      <c r="BS10" s="270">
        <f>'Evolutitve SCI'!BR23/'Evolutitve SCI'!BR19</f>
        <v>0.98674446674121108</v>
      </c>
      <c r="BT10" s="270">
        <f>'Evolutitve SCI'!BS23/'Evolutitve SCI'!BS19</f>
        <v>1.0319921207383913</v>
      </c>
      <c r="BU10" s="270">
        <f>'Evolutitve SCI'!BT23/'Evolutitve SCI'!BT19</f>
        <v>0.82486716925406534</v>
      </c>
      <c r="BV10" s="270">
        <f>'Evolutitve SCI'!BU23/'Evolutitve SCI'!BU19</f>
        <v>0.82167668033107055</v>
      </c>
      <c r="BW10" s="270">
        <f>'Evolutitve SCI'!BV23/'Evolutitve SCI'!BV19</f>
        <v>1.032570152090684</v>
      </c>
      <c r="BX10" s="270">
        <f>'Evolutitve SCI'!BW23/'Evolutitve SCI'!BW19</f>
        <v>0.75684237639292973</v>
      </c>
      <c r="BY10" s="270">
        <f>'Evolutitve SCI'!BX23/'Evolutitve SCI'!BX19</f>
        <v>0.82639371912768023</v>
      </c>
      <c r="BZ10" s="270">
        <f>'Evolutitve SCI'!BY23/'Evolutitve SCI'!BY19</f>
        <v>0.96009249982369138</v>
      </c>
      <c r="CA10" s="270">
        <f>'Evolutitve SCI'!BZ23/'Evolutitve SCI'!BZ19</f>
        <v>0.89869358253733156</v>
      </c>
      <c r="CB10" s="270">
        <f>'Evolutitve SCI'!CA23/'Evolutitve SCI'!CA19</f>
        <v>0.96882922146470307</v>
      </c>
      <c r="CC10" s="270">
        <f>'Evolutitve SCI'!CB23/'Evolutitve SCI'!CB19</f>
        <v>0.85900724139046536</v>
      </c>
      <c r="CD10" s="162">
        <f>'Evolutitve SCI'!CC23/'Evolutitve SCI'!CC19</f>
        <v>0.82039678662793214</v>
      </c>
      <c r="CE10" s="162">
        <f>'Evolutitve SCI'!CD23/'Evolutitve SCI'!CD19</f>
        <v>0.73215305783597728</v>
      </c>
      <c r="CF10" s="162">
        <f>'Evolutitve SCI'!CE23/'Evolutitve SCI'!CE19</f>
        <v>0.89337311521100971</v>
      </c>
      <c r="CG10" s="300">
        <f>'Evolutitve SCI'!CF23/'Evolutitve SCI'!CF19</f>
        <v>0.9817261404964005</v>
      </c>
    </row>
    <row r="11" spans="1:85" ht="18.75" customHeight="1">
      <c r="A11" s="326"/>
      <c r="B11" s="3" t="s">
        <v>169</v>
      </c>
      <c r="C11" s="24"/>
      <c r="D11" s="270">
        <f>('Evolutitve SCI'!B23+'Evolutitve SCI'!B12)/(('Evolutive SFP'!B26+'Evolutive SFP'!C26)/2)</f>
        <v>0.13067107685941132</v>
      </c>
      <c r="E11" s="270">
        <f>('Evolutitve SCI'!C23+'Evolutitve SCI'!C12)/(('Evolutive SFP'!C26+'Evolutive SFP'!D26)/2)</f>
        <v>0.15045910474105767</v>
      </c>
      <c r="F11" s="270">
        <f>('Evolutitve SCI'!E23+'Evolutitve SCI'!E12)/(('Evolutive SFP'!D26+'Evolutive SFP'!F26)/2)</f>
        <v>0.18632182930877123</v>
      </c>
      <c r="G11" s="270">
        <f>('Evolutitve SCI'!E23+'Evolutitve SCI'!E12)/(('Evolutive SFP'!E26+'Evolutive SFP'!F26)/2)</f>
        <v>0.18124507353234415</v>
      </c>
      <c r="H11" s="270">
        <f>('Evolutitve SCI'!F23+'Evolutitve SCI'!F12)/(('Evolutive SFP'!F26+'Evolutive SFP'!G26)/2)</f>
        <v>1.4073598785166471E-2</v>
      </c>
      <c r="I11" s="270">
        <f>('Evolutitve SCI'!G23+'Evolutitve SCI'!G12)/(('Evolutive SFP'!G26+'Evolutive SFP'!H26)/2)</f>
        <v>2.8944918465255126E-2</v>
      </c>
      <c r="J11" s="270">
        <f>('Evolutitve SCI'!H23+'Evolutitve SCI'!H12)/(('Evolutive SFP'!H26+'Evolutive SFP'!I26)/2)</f>
        <v>4.1726397489058521E-2</v>
      </c>
      <c r="K11" s="270">
        <f>('Evolutitve SCI'!I23+'Evolutitve SCI'!I12)/(('Evolutive SFP'!I26+'Evolutive SFP'!J26)/2)</f>
        <v>5.996967381368544E-2</v>
      </c>
      <c r="L11" s="270">
        <f>('Evolutitve SCI'!J23+'Evolutitve SCI'!J12)/(('Evolutive SFP'!J26+'Evolutive SFP'!K26)/2)</f>
        <v>7.2131453814705759E-2</v>
      </c>
      <c r="M11" s="270">
        <f>('Evolutitve SCI'!K23+'Evolutitve SCI'!K12)/(('Evolutive SFP'!K26+'Evolutive SFP'!L26)/2)</f>
        <v>0.15646978620027757</v>
      </c>
      <c r="N11" s="270" t="e">
        <f>('Evolutitve SCI'!L23+'Evolutitve SCI'!L12)/(('Evolutive SFP'!L26+'Evolutive SFP'!M26)/2)</f>
        <v>#DIV/0!</v>
      </c>
      <c r="O11" s="270" t="e">
        <f>('Evolutitve SCI'!M23+'Evolutitve SCI'!M12)/(('Evolutive SFP'!M26+'Evolutive SFP'!N26)/2)</f>
        <v>#DIV/0!</v>
      </c>
      <c r="P11" s="270" t="e">
        <f>('Evolutitve SCI'!N23+'Evolutitve SCI'!N12)/(('Evolutive SFP'!N26+'Evolutive SFP'!O26)/2)</f>
        <v>#DIV/0!</v>
      </c>
      <c r="Q11" s="270" t="e">
        <f>('Evolutitve SCI'!O23+'Evolutitve SCI'!O12)/(('Evolutive SFP'!O26+'Evolutive SFP'!P26)/2)</f>
        <v>#DIV/0!</v>
      </c>
      <c r="R11" s="270" t="e">
        <f>('Evolutitve SCI'!P23+'Evolutitve SCI'!P12)/(('Evolutive SFP'!P26+'Evolutive SFP'!Q26)/2)</f>
        <v>#DIV/0!</v>
      </c>
      <c r="S11" s="270">
        <f>('Evolutitve SCI'!Q23+'Evolutitve SCI'!Q12)/(('Evolutive SFP'!Q26+'Evolutive SFP'!R26)/2)</f>
        <v>0</v>
      </c>
      <c r="T11" s="270">
        <f>('Evolutitve SCI'!R23+'Evolutitve SCI'!R12)/(('Evolutive SFP'!R26+'Evolutive SFP'!S26)/2)</f>
        <v>0.13573129060370256</v>
      </c>
      <c r="U11" s="270">
        <f>('Evolutitve SCI'!S23+'Evolutitve SCI'!S12)/(('Evolutive SFP'!S26+'Evolutive SFP'!T26)/2)</f>
        <v>1.1620940388113007E-2</v>
      </c>
      <c r="V11" s="270">
        <f>('Evolutitve SCI'!T23+'Evolutitve SCI'!T12)/(('Evolutive SFP'!T26+'Evolutive SFP'!U26)/2)</f>
        <v>2.7393605143377988E-2</v>
      </c>
      <c r="W11" s="270">
        <f>('Evolutitve SCI'!U23+'Evolutitve SCI'!U12)/(('Evolutive SFP'!U26+'Evolutive SFP'!V26)/2)</f>
        <v>3.164531693631515E-2</v>
      </c>
      <c r="X11" s="270">
        <f>('Evolutitve SCI'!V23+'Evolutitve SCI'!V12)/(('Evolutive SFP'!V26+'Evolutive SFP'!W26)/2)</f>
        <v>3.4853638325548615E-2</v>
      </c>
      <c r="Y11" s="270">
        <f>('Evolutitve SCI'!W23+'Evolutitve SCI'!W12)/(('Evolutive SFP'!W26+'Evolutive SFP'!X26)/2)</f>
        <v>4.7014392342716149E-2</v>
      </c>
      <c r="Z11" s="270">
        <f>('Evolutitve SCI'!X23+'Evolutitve SCI'!X12)/(('Evolutive SFP'!X26+'Evolutive SFP'!Y26)/2)</f>
        <v>4.477207898999068E-2</v>
      </c>
      <c r="AA11" s="270">
        <f>('Evolutitve SCI'!Y23+'Evolutitve SCI'!Y12)/(('Evolutive SFP'!Y26+'Evolutive SFP'!Z26)/2)</f>
        <v>5.0808095407176262E-2</v>
      </c>
      <c r="AB11" s="270">
        <f>('Evolutitve SCI'!Z23+'Evolutitve SCI'!Z12)/(('Evolutive SFP'!Z26+'Evolutive SFP'!AA26)/2)</f>
        <v>6.8536596391845894E-2</v>
      </c>
      <c r="AC11" s="270">
        <f>('Evolutitve SCI'!AA23+'Evolutitve SCI'!AA12)/(('Evolutive SFP'!AA26+'Evolutive SFP'!AB26)/2)</f>
        <v>7.5701176306820855E-2</v>
      </c>
      <c r="AD11" s="270">
        <f>('Evolutitve SCI'!AB23+'Evolutitve SCI'!AB12)/(('Evolutive SFP'!AB26+'Evolutive SFP'!AC26)/2)</f>
        <v>9.727412409930955E-2</v>
      </c>
      <c r="AE11" s="270">
        <f>('Evolutitve SCI'!AC23+'Evolutitve SCI'!AC12)/(('Evolutive SFP'!AC26+'Evolutive SFP'!AD26)/2)</f>
        <v>0.11095863746250668</v>
      </c>
      <c r="AF11" s="270">
        <f>('Evolutitve SCI'!AD23+'Evolutitve SCI'!AD12)/(('Evolutive SFP'!AD26+'Evolutive SFP'!AE26)/2)</f>
        <v>0.13378264210424501</v>
      </c>
      <c r="AG11" s="270">
        <f>('Evolutitve SCI'!AE23+'Evolutitve SCI'!AE12)/(('Evolutive SFP'!AE26+'Evolutive SFP'!AF26)/2)</f>
        <v>7.7897720597169956E-2</v>
      </c>
      <c r="AH11" s="270">
        <f>('Evolutitve SCI'!AF23+'Evolutitve SCI'!AF12)/(('Evolutive SFP'!AF26+'Evolutive SFP'!AG26)/2)</f>
        <v>0.16098706380680325</v>
      </c>
      <c r="AI11" s="270">
        <f>('Evolutitve SCI'!AG23+'Evolutitve SCI'!AG12)/(('Evolutive SFP'!AG26+'Evolutive SFP'!AH26)/2)</f>
        <v>5.0876187329682394E-3</v>
      </c>
      <c r="AJ11" s="270">
        <f>('Evolutitve SCI'!AH23+'Evolutitve SCI'!AH12)/(('Evolutive SFP'!AH26+'Evolutive SFP'!AI26)/2)</f>
        <v>6.4135737389270026E-3</v>
      </c>
      <c r="AK11" s="270">
        <f>('Evolutitve SCI'!AI23+'Evolutitve SCI'!AI12)/(('Evolutive SFP'!AI26+'Evolutive SFP'!AJ26)/2)</f>
        <v>4.4884226626522833E-2</v>
      </c>
      <c r="AL11" s="270">
        <f>('Evolutitve SCI'!AJ23+'Evolutitve SCI'!AJ12)/(('Evolutive SFP'!AJ26+'Evolutive SFP'!AK26)/2)</f>
        <v>3.4017753250407637E-2</v>
      </c>
      <c r="AM11" s="270">
        <f>('Evolutitve SCI'!AK23+'Evolutitve SCI'!AK12)/(('Evolutive SFP'!AK26+'Evolutive SFP'!AL26)/2)</f>
        <v>3.8755968072411905E-2</v>
      </c>
      <c r="AN11" s="270">
        <f>('Evolutitve SCI'!AL23+'Evolutitve SCI'!AL12)/(('Evolutive SFP'!AL26+'Evolutive SFP'!AM26)/2)</f>
        <v>3.9360991055966313E-2</v>
      </c>
      <c r="AO11" s="270">
        <f>('Evolutitve SCI'!AM23+'Evolutitve SCI'!AM12)/(('Evolutive SFP'!AM26+'Evolutive SFP'!AN26)/2)</f>
        <v>4.529969591662384E-2</v>
      </c>
      <c r="AP11" s="270">
        <f>('Evolutitve SCI'!AN23+'Evolutitve SCI'!AN12)/(('Evolutive SFP'!AN26+'Evolutive SFP'!AO26)/2)</f>
        <v>8.6420337894233187E-2</v>
      </c>
      <c r="AQ11" s="270" t="e">
        <f>('Evolutitve SCI'!AO23+'Evolutitve SCI'!AO12)/(('Evolutive SFP'!AO26+'Evolutive SFP'!AP26)/2)</f>
        <v>#DIV/0!</v>
      </c>
      <c r="AR11" s="270" t="e">
        <f>('Evolutitve SCI'!AP23+'Evolutitve SCI'!AP12)/(('Evolutive SFP'!AP26+'Evolutive SFP'!AQ26)/2)</f>
        <v>#DIV/0!</v>
      </c>
      <c r="AS11" s="270" t="e">
        <f>('Evolutitve SCI'!AQ23+'Evolutitve SCI'!AQ12)/(('Evolutive SFP'!AQ26+'Evolutive SFP'!AR26)/2)</f>
        <v>#DIV/0!</v>
      </c>
      <c r="AT11" s="270">
        <f>('Evolutitve SCI'!AR23+'Evolutitve SCI'!AR12)/(('Evolutive SFP'!AR26+'Evolutive SFP'!AS26)/2)</f>
        <v>0</v>
      </c>
      <c r="AU11" s="270">
        <f>('Evolutitve SCI'!AS23+'Evolutitve SCI'!AS12)/(('Evolutive SFP'!AS26+'Evolutive SFP'!AT26)/2)</f>
        <v>0</v>
      </c>
      <c r="AV11" s="270">
        <f>('Evolutitve SCI'!AT23+'Evolutitve SCI'!AT12)/(('Evolutive SFP'!AT26+'Evolutive SFP'!AU26)/2)</f>
        <v>5.2273522461518326E-3</v>
      </c>
      <c r="AW11" s="270">
        <f>('Evolutitve SCI'!AU23+'Evolutitve SCI'!AU12)/(('Evolutive SFP'!AU26+'Evolutive SFP'!AV26)/2)</f>
        <v>1.4798413972729555E-2</v>
      </c>
      <c r="AX11" s="270">
        <f>('Evolutitve SCI'!AV23+'Evolutitve SCI'!AV12)/(('Evolutive SFP'!AV26+'Evolutive SFP'!AW26)/2)</f>
        <v>2.1935736013106683E-2</v>
      </c>
      <c r="AY11" s="270">
        <f>('Evolutitve SCI'!AW23+'Evolutitve SCI'!AW12)/(('Evolutive SFP'!AW26+'Evolutive SFP'!AX26)/2)</f>
        <v>2.7012426200294589E-2</v>
      </c>
      <c r="AZ11" s="270">
        <f>('Evolutitve SCI'!AX23+'Evolutitve SCI'!AX12)/(('Evolutive SFP'!AX26+'Evolutive SFP'!AY26)/2)</f>
        <v>6.9079768957713464E-2</v>
      </c>
      <c r="BA11" s="270">
        <f>('Evolutitve SCI'!AY23+'Evolutitve SCI'!AY12)/(('Evolutive SFP'!AY26+'Evolutive SFP'!AZ26)/2)</f>
        <v>7.8533808207939107E-2</v>
      </c>
      <c r="BB11" s="270">
        <f>('Evolutitve SCI'!AZ23+'Evolutitve SCI'!AZ12)/(('Evolutive SFP'!AZ26+'Evolutive SFP'!BA26)/2)</f>
        <v>0</v>
      </c>
      <c r="BC11" s="270">
        <f>('Evolutitve SCI'!BA23+'Evolutitve SCI'!BA12)/(('Evolutive SFP'!BA26+'Evolutive SFP'!BB26)/2)</f>
        <v>6.1898422143073069E-2</v>
      </c>
      <c r="BD11" s="270">
        <f>('Evolutitve SCI'!BB23+'Evolutitve SCI'!BB12)/(('Evolutive SFP'!BB26+'Evolutive SFP'!BC26)/2)</f>
        <v>6.8641792119095504E-2</v>
      </c>
      <c r="BE11" s="270">
        <f>('Evolutitve SCI'!BC23+'Evolutitve SCI'!BC12)/(('Evolutive SFP'!BC26+'Evolutive SFP'!BD26)/2)</f>
        <v>7.4568379717646058E-2</v>
      </c>
      <c r="BF11" s="270">
        <f>('Evolutitve SCI'!BD23+'Evolutitve SCI'!BD12)/(('Evolutive SFP'!BD26+'Evolutive SFP'!BE26)/2)</f>
        <v>8.4625839618745258E-2</v>
      </c>
      <c r="BG11" s="270">
        <f>('Evolutitve SCI'!BE23+'Evolutitve SCI'!BE12)/(('Evolutive SFP'!BE26+'Evolutive SFP'!BG26)/2)</f>
        <v>0.10243385990695718</v>
      </c>
      <c r="BH11" s="270">
        <f>('Evolutitve SCI'!BF23+'Evolutitve SCI'!BF12)/(('Evolutive SFP'!BF26+'Evolutive SFP'!BH26)/2)</f>
        <v>0.11353856492734017</v>
      </c>
      <c r="BI11" s="270">
        <f>('Evolutitve SCI'!BG23+'Evolutitve SCI'!BG12)/(('Evolutive SFP'!BG26+'Evolutive SFP'!BI26)/2)</f>
        <v>9.2441929238679926E-3</v>
      </c>
      <c r="BJ11" s="270">
        <f>('Evolutitve SCI'!BH23+'Evolutitve SCI'!BH12)/(('Evolutive SFP'!BH26+'Evolutive SFP'!BJ26)/2)</f>
        <v>1.5556747201419476E-2</v>
      </c>
      <c r="BK11" s="270">
        <f>('Evolutitve SCI'!BI23+'Evolutitve SCI'!BI12)/(('Evolutive SFP'!BI26+'Evolutive SFP'!BK26)/2)</f>
        <v>2.4606920911015073E-2</v>
      </c>
      <c r="BL11" s="270">
        <f>('Evolutitve SCI'!BJ23+'Evolutitve SCI'!BJ12)/(('Evolutive SFP'!BJ26+'Evolutive SFP'!BL26)/2)</f>
        <v>3.864818432223846E-2</v>
      </c>
      <c r="BM11" s="270">
        <f>('Evolutitve SCI'!BK23+'Evolutitve SCI'!BK12)/(('Evolutive SFP'!BK26+'Evolutive SFP'!BM26)/2)</f>
        <v>4.1330855713883556E-2</v>
      </c>
      <c r="BN11" s="270">
        <f>('Evolutitve SCI'!BL23+'Evolutitve SCI'!BL12)/(('Evolutive SFP'!BL26+'Evolutive SFP'!BN26)/2)</f>
        <v>5.1100517982522208E-2</v>
      </c>
      <c r="BO11" s="270">
        <f>('Evolutitve SCI'!BM23+'Evolutitve SCI'!BM12)/(('Evolutive SFP'!BM26+'Evolutive SFP'!BO26)/2)</f>
        <v>6.1157939286538662E-2</v>
      </c>
      <c r="BP11" s="270">
        <f>('Evolutitve SCI'!BN23+'Evolutitve SCI'!BN12)/(('Evolutive SFP'!BN26+'Evolutive SFP'!BP26)/2)</f>
        <v>7.6196328357746743E-2</v>
      </c>
      <c r="BQ11" s="270">
        <f>('Evolutitve SCI'!BO23+'Evolutitve SCI'!BO12)/(('Evolutive SFP'!BO26+'Evolutive SFP'!BQ26)/2)</f>
        <v>7.8824556398649451E-2</v>
      </c>
      <c r="BR11" s="270">
        <f>('Evolutitve SCI'!BP23+'Evolutitve SCI'!BP12)/(('Evolutive SFP'!BP26+'Evolutive SFP'!BR26)/2)</f>
        <v>7.8191821227691596E-2</v>
      </c>
      <c r="BS11" s="270">
        <f>('Evolutitve SCI'!BQ23+'Evolutitve SCI'!BQ12)/(('Evolutive SFP'!BQ26+'Evolutive SFP'!BS26)/2)</f>
        <v>9.2435725542191746E-2</v>
      </c>
      <c r="BT11" s="270">
        <f>('Evolutitve SCI'!BR23+'Evolutitve SCI'!BR12)/(('Evolutive SFP'!BR26+'Evolutive SFP'!BT26)/2)</f>
        <v>0.10438933864170279</v>
      </c>
      <c r="BU11" s="270">
        <f>('Evolutitve SCI'!BS23+'Evolutitve SCI'!BS12)/(('Evolutive SFP'!BS26+'Evolutive SFP'!BU26)/2)</f>
        <v>0.11499335580036575</v>
      </c>
      <c r="BV11" s="270">
        <f>('Evolutitve SCI'!BT23+'Evolutitve SCI'!BT12)/(('Evolutive SFP'!BT26+'Evolutive SFP'!BV26)/2)</f>
        <v>1.0250483003198819E-2</v>
      </c>
      <c r="BW11" s="270">
        <f>('Evolutitve SCI'!BU23+'Evolutitve SCI'!BU12)/(('Evolutive SFP'!BU26+'Evolutive SFP'!BW26)/2)</f>
        <v>1.588855959816015E-2</v>
      </c>
      <c r="BX11" s="270">
        <f>('Evolutitve SCI'!BV23+'Evolutitve SCI'!BV12)/(('Evolutive SFP'!BV26+'Evolutive SFP'!BX26)/2)</f>
        <v>3.1078077542547582E-2</v>
      </c>
      <c r="BY11" s="270">
        <f>('Evolutitve SCI'!BW23+'Evolutitve SCI'!BW12)/(('Evolutive SFP'!BW26+'Evolutive SFP'!BY26)/2)</f>
        <v>3.1555793575091098E-2</v>
      </c>
      <c r="BZ11" s="270">
        <f>('Evolutitve SCI'!BX23+'Evolutitve SCI'!BX12)/(('Evolutive SFP'!BX26+'Evolutive SFP'!BZ26)/2)</f>
        <v>4.3374921525931108E-2</v>
      </c>
      <c r="CA11" s="270">
        <f>('Evolutitve SCI'!BY23+'Evolutitve SCI'!BY12)/(('Evolutive SFP'!BY26+'Evolutive SFP'!CA26)/2)</f>
        <v>5.5567591176611947E-2</v>
      </c>
      <c r="CB11" s="270">
        <f>('Evolutitve SCI'!BZ23+'Evolutitve SCI'!BZ12)/(('Evolutive SFP'!BZ26+'Evolutive SFP'!CB26)/2)</f>
        <v>6.2808452203828247E-2</v>
      </c>
      <c r="CC11" s="270">
        <f>('Evolutitve SCI'!CA23+'Evolutitve SCI'!CA12)/(('Evolutive SFP'!CA26+'Evolutive SFP'!CC26)/2)</f>
        <v>6.8836286691428841E-2</v>
      </c>
      <c r="CD11" s="26">
        <f>('Evolutitve SCI'!CB23+'Evolutitve SCI'!CB12)/(('Evolutive SFP'!CB26+'Evolutive SFP'!CD26)/2)</f>
        <v>7.6875621631332922E-2</v>
      </c>
      <c r="CE11" s="26">
        <f>('Evolutitve SCI'!CC23+'Evolutitve SCI'!CC12)/(('Evolutive SFP'!CC26+'Evolutive SFP'!CE26)/2)</f>
        <v>8.1126172944836761E-2</v>
      </c>
      <c r="CF11" s="26">
        <f>('Evolutitve SCI'!CD23+'Evolutitve SCI'!CD12)/(('Evolutive SFP'!CD26+'Evolutive SFP'!CF26)/2)</f>
        <v>0.16685767691407594</v>
      </c>
      <c r="CG11" s="301">
        <f>('Evolutitve SCI'!CE23+'Evolutitve SCI'!CE12)/(('Evolutive SFP'!CE26+'Evolutive SFP'!CG26)/2)</f>
        <v>0.10547308925838485</v>
      </c>
    </row>
    <row r="12" spans="1:85" ht="15.6">
      <c r="A12" s="326" t="s">
        <v>170</v>
      </c>
      <c r="B12" s="3" t="s">
        <v>218</v>
      </c>
      <c r="C12" s="24" t="s">
        <v>172</v>
      </c>
      <c r="D12" s="270">
        <f>('Evolutive SFP'!B4)/('Evolutive SFP'!B27+'Evolutive SFP'!B28+'Evolutive SFP'!B31+'Evolutive SFP'!B32+'Evolutive SFP'!B33+'Evolutive SFP'!B34+'Evolutive SFP'!B35)</f>
        <v>1.4016204152823217</v>
      </c>
      <c r="E12" s="270">
        <f>('Evolutive SFP'!C4)/('Evolutive SFP'!C27+'Evolutive SFP'!C28+'Evolutive SFP'!C31+'Evolutive SFP'!C32+'Evolutive SFP'!C33+'Evolutive SFP'!C34+'Evolutive SFP'!C35)</f>
        <v>1.5761989194348978</v>
      </c>
      <c r="F12" s="270">
        <f>('Evolutive SFP'!D4)/('Evolutive SFP'!D27+'Evolutive SFP'!D28+'Evolutive SFP'!D31+'Evolutive SFP'!D32+'Evolutive SFP'!D33+'Evolutive SFP'!D34+'Evolutive SFP'!D35)</f>
        <v>1.6067325560730625</v>
      </c>
      <c r="G12" s="270">
        <f>('Evolutive SFP'!E4)/('Evolutive SFP'!E27+'Evolutive SFP'!E28+'Evolutive SFP'!E31+'Evolutive SFP'!E32+'Evolutive SFP'!E33+'Evolutive SFP'!E34+'Evolutive SFP'!E35)</f>
        <v>1.3355391706909945</v>
      </c>
      <c r="H12" s="270">
        <f>('Evolutive SFP'!F4)/('Evolutive SFP'!F27+'Evolutive SFP'!F28+'Evolutive SFP'!F31+'Evolutive SFP'!F32+'Evolutive SFP'!F33+'Evolutive SFP'!F34+'Evolutive SFP'!F35)</f>
        <v>-10.585835966447545</v>
      </c>
      <c r="I12" s="270">
        <f>('Evolutive SFP'!G4)/('Evolutive SFP'!G27+'Evolutive SFP'!G28+'Evolutive SFP'!G31+'Evolutive SFP'!G32+'Evolutive SFP'!G33+'Evolutive SFP'!G34+'Evolutive SFP'!G35)</f>
        <v>1.2029153126085204</v>
      </c>
      <c r="J12" s="270">
        <f>('Evolutive SFP'!H4)/('Evolutive SFP'!H27+'Evolutive SFP'!H28+'Evolutive SFP'!H31+'Evolutive SFP'!H32+'Evolutive SFP'!H33+'Evolutive SFP'!H34+'Evolutive SFP'!H35)</f>
        <v>1.185967605105714</v>
      </c>
      <c r="K12" s="270">
        <f>('Evolutive SFP'!I4)/('Evolutive SFP'!I27+'Evolutive SFP'!I28+'Evolutive SFP'!I31+'Evolutive SFP'!I32+'Evolutive SFP'!I33+'Evolutive SFP'!I34+'Evolutive SFP'!I35)</f>
        <v>0.62620751496066329</v>
      </c>
      <c r="L12" s="270">
        <f>('Evolutive SFP'!J4)/('Evolutive SFP'!J27+'Evolutive SFP'!J28+'Evolutive SFP'!J31+'Evolutive SFP'!J32+'Evolutive SFP'!J33+'Evolutive SFP'!J34+'Evolutive SFP'!J35)</f>
        <v>2.1159150489188097</v>
      </c>
      <c r="M12" s="270">
        <f>('Evolutive SFP'!K4)/('Evolutive SFP'!K27+'Evolutive SFP'!K28+'Evolutive SFP'!K31+'Evolutive SFP'!K32+'Evolutive SFP'!K33+'Evolutive SFP'!K34+'Evolutive SFP'!K35)</f>
        <v>-1.8736403485520576</v>
      </c>
      <c r="N12" s="270" t="e">
        <f>('Evolutive SFP'!L4)/('Evolutive SFP'!L27+'Evolutive SFP'!L28+'Evolutive SFP'!L31+'Evolutive SFP'!L32+'Evolutive SFP'!L33+'Evolutive SFP'!L34+'Evolutive SFP'!L35)</f>
        <v>#DIV/0!</v>
      </c>
      <c r="O12" s="270" t="e">
        <f>('Evolutive SFP'!M4)/('Evolutive SFP'!M27+'Evolutive SFP'!M28+'Evolutive SFP'!M31+'Evolutive SFP'!M32+'Evolutive SFP'!M33+'Evolutive SFP'!M34+'Evolutive SFP'!M35)</f>
        <v>#DIV/0!</v>
      </c>
      <c r="P12" s="270" t="e">
        <f>('Evolutive SFP'!N4)/('Evolutive SFP'!N27+'Evolutive SFP'!N28+'Evolutive SFP'!N31+'Evolutive SFP'!N32+'Evolutive SFP'!N33+'Evolutive SFP'!N34+'Evolutive SFP'!N35)</f>
        <v>#DIV/0!</v>
      </c>
      <c r="Q12" s="270" t="e">
        <f>('Evolutive SFP'!O4)/('Evolutive SFP'!O27+'Evolutive SFP'!O28+'Evolutive SFP'!O31+'Evolutive SFP'!O32+'Evolutive SFP'!O33+'Evolutive SFP'!O34+'Evolutive SFP'!O35)</f>
        <v>#DIV/0!</v>
      </c>
      <c r="R12" s="270" t="e">
        <f>('Evolutive SFP'!P4)/('Evolutive SFP'!P27+'Evolutive SFP'!P28+'Evolutive SFP'!P31+'Evolutive SFP'!P32+'Evolutive SFP'!P33+'Evolutive SFP'!P34+'Evolutive SFP'!P35)</f>
        <v>#DIV/0!</v>
      </c>
      <c r="S12" s="270" t="e">
        <f>('Evolutive SFP'!Q4)/('Evolutive SFP'!Q27+'Evolutive SFP'!Q28+'Evolutive SFP'!Q31+'Evolutive SFP'!Q32+'Evolutive SFP'!Q33+'Evolutive SFP'!Q34+'Evolutive SFP'!Q35)</f>
        <v>#DIV/0!</v>
      </c>
      <c r="T12" s="270">
        <f>('Evolutive SFP'!R4)/('Evolutive SFP'!R27+'Evolutive SFP'!R28+'Evolutive SFP'!R31+'Evolutive SFP'!R32+'Evolutive SFP'!R33+'Evolutive SFP'!R34+'Evolutive SFP'!R35)</f>
        <v>-1.4856676247642189</v>
      </c>
      <c r="U12" s="270">
        <f>('Evolutive SFP'!S4)/('Evolutive SFP'!S27+'Evolutive SFP'!S28+'Evolutive SFP'!S31+'Evolutive SFP'!S32+'Evolutive SFP'!S33+'Evolutive SFP'!S34+'Evolutive SFP'!S35)</f>
        <v>-7.8584546305736991</v>
      </c>
      <c r="V12" s="270">
        <f>('Evolutive SFP'!T4)/('Evolutive SFP'!T27+'Evolutive SFP'!T28+'Evolutive SFP'!T31+'Evolutive SFP'!T32+'Evolutive SFP'!T33+'Evolutive SFP'!T34+'Evolutive SFP'!T35)</f>
        <v>-1.59017901717682</v>
      </c>
      <c r="W12" s="270">
        <f>('Evolutive SFP'!U4)/('Evolutive SFP'!U27+'Evolutive SFP'!U28+'Evolutive SFP'!U31+'Evolutive SFP'!U32+'Evolutive SFP'!U33+'Evolutive SFP'!U34+'Evolutive SFP'!U35)</f>
        <v>-3.2463256830500207</v>
      </c>
      <c r="X12" s="270">
        <f>('Evolutive SFP'!V4)/('Evolutive SFP'!V27+'Evolutive SFP'!V28+'Evolutive SFP'!V31+'Evolutive SFP'!V32+'Evolutive SFP'!V33+'Evolutive SFP'!V34+'Evolutive SFP'!V35)</f>
        <v>-0.19852091403885844</v>
      </c>
      <c r="Y12" s="270">
        <f>('Evolutive SFP'!W4)/('Evolutive SFP'!W27+'Evolutive SFP'!W28+'Evolutive SFP'!W31+'Evolutive SFP'!W32+'Evolutive SFP'!W33+'Evolutive SFP'!W34+'Evolutive SFP'!W35)</f>
        <v>-0.20907891170750242</v>
      </c>
      <c r="Z12" s="270">
        <f>('Evolutive SFP'!X4)/('Evolutive SFP'!X27+'Evolutive SFP'!X28+'Evolutive SFP'!X31+'Evolutive SFP'!X32+'Evolutive SFP'!X33+'Evolutive SFP'!X34+'Evolutive SFP'!X35)</f>
        <v>7.752083691289411E-3</v>
      </c>
      <c r="AA12" s="270">
        <f>('Evolutive SFP'!Y4)/('Evolutive SFP'!Y27+'Evolutive SFP'!Y28+'Evolutive SFP'!Y31+'Evolutive SFP'!Y32+'Evolutive SFP'!Y33+'Evolutive SFP'!Y34+'Evolutive SFP'!Y35)</f>
        <v>2.9821218969329037E-2</v>
      </c>
      <c r="AB12" s="270">
        <f>('Evolutive SFP'!Z4)/('Evolutive SFP'!Z27+'Evolutive SFP'!Z28+'Evolutive SFP'!Z31+'Evolutive SFP'!Z32+'Evolutive SFP'!Z33+'Evolutive SFP'!Z34+'Evolutive SFP'!Z35)</f>
        <v>-1.2784434860977241</v>
      </c>
      <c r="AC12" s="270">
        <f>('Evolutive SFP'!AA4)/('Evolutive SFP'!AA27+'Evolutive SFP'!AA28+'Evolutive SFP'!AA31+'Evolutive SFP'!AA32+'Evolutive SFP'!AA33+'Evolutive SFP'!AA34+'Evolutive SFP'!AA35)</f>
        <v>-1.3122485440909402</v>
      </c>
      <c r="AD12" s="270">
        <f>('Evolutive SFP'!AB4)/('Evolutive SFP'!AB27+'Evolutive SFP'!AB28+'Evolutive SFP'!AB31+'Evolutive SFP'!AB32+'Evolutive SFP'!AB33+'Evolutive SFP'!AB34+'Evolutive SFP'!AB35)</f>
        <v>-0.74998529505440426</v>
      </c>
      <c r="AE12" s="270">
        <f>('Evolutive SFP'!AC4)/('Evolutive SFP'!AC27+'Evolutive SFP'!AC28+'Evolutive SFP'!AC31+'Evolutive SFP'!AC32+'Evolutive SFP'!AC33+'Evolutive SFP'!AC34+'Evolutive SFP'!AC35)</f>
        <v>-1.1659881500686486</v>
      </c>
      <c r="AF12" s="270">
        <f>('Evolutive SFP'!AD4)/('Evolutive SFP'!AD27+'Evolutive SFP'!AD28+'Evolutive SFP'!AD31+'Evolutive SFP'!AD32+'Evolutive SFP'!AD33+'Evolutive SFP'!AD34+'Evolutive SFP'!AD35)</f>
        <v>0.10362973181032578</v>
      </c>
      <c r="AG12" s="270">
        <f>('Evolutive SFP'!AE4)/('Evolutive SFP'!AE27+'Evolutive SFP'!AE28+'Evolutive SFP'!AE31+'Evolutive SFP'!AE32+'Evolutive SFP'!AE33+'Evolutive SFP'!AE34+'Evolutive SFP'!AE35)</f>
        <v>-2.9141746534874553</v>
      </c>
      <c r="AH12" s="270">
        <f>('Evolutive SFP'!AF4)/('Evolutive SFP'!AF27+'Evolutive SFP'!AF28+'Evolutive SFP'!AF31+'Evolutive SFP'!AF32+'Evolutive SFP'!AF33+'Evolutive SFP'!AF34+'Evolutive SFP'!AF35)</f>
        <v>6.5316199719540599E-2</v>
      </c>
      <c r="AI12" s="270">
        <f>('Evolutive SFP'!AG4)/('Evolutive SFP'!AG27+'Evolutive SFP'!AG28+'Evolutive SFP'!AG31+'Evolutive SFP'!AG32+'Evolutive SFP'!AG33+'Evolutive SFP'!AG34+'Evolutive SFP'!AG35)</f>
        <v>-0.3175972360905352</v>
      </c>
      <c r="AJ12" s="270">
        <f>('Evolutive SFP'!AH4)/('Evolutive SFP'!AH27+'Evolutive SFP'!AH28+'Evolutive SFP'!AH31+'Evolutive SFP'!AH32+'Evolutive SFP'!AH33+'Evolutive SFP'!AH34+'Evolutive SFP'!AH35)</f>
        <v>-0.18470383412727581</v>
      </c>
      <c r="AK12" s="270">
        <f>('Evolutive SFP'!AI4)/('Evolutive SFP'!AI27+'Evolutive SFP'!AI28+'Evolutive SFP'!AI31+'Evolutive SFP'!AI32+'Evolutive SFP'!AI33+'Evolutive SFP'!AI34+'Evolutive SFP'!AI35)</f>
        <v>0.3130468337812089</v>
      </c>
      <c r="AL12" s="270">
        <f>('Evolutive SFP'!AJ4)/('Evolutive SFP'!AJ27+'Evolutive SFP'!AJ28+'Evolutive SFP'!AJ31+'Evolutive SFP'!AJ32+'Evolutive SFP'!AJ33+'Evolutive SFP'!AJ34+'Evolutive SFP'!AJ35)</f>
        <v>0.17639901407480785</v>
      </c>
      <c r="AM12" s="270">
        <f>('Evolutive SFP'!AK4)/('Evolutive SFP'!AK27+'Evolutive SFP'!AK28+'Evolutive SFP'!AK31+'Evolutive SFP'!AK32+'Evolutive SFP'!AK33+'Evolutive SFP'!AK34+'Evolutive SFP'!AK35)</f>
        <v>0.21952259770324148</v>
      </c>
      <c r="AN12" s="270">
        <f>('Evolutive SFP'!AL4)/('Evolutive SFP'!AL27+'Evolutive SFP'!AL28+'Evolutive SFP'!AL31+'Evolutive SFP'!AL32+'Evolutive SFP'!AL33+'Evolutive SFP'!AL34+'Evolutive SFP'!AL35)</f>
        <v>-0.37039418277462233</v>
      </c>
      <c r="AO12" s="270">
        <f>('Evolutive SFP'!AM4)/('Evolutive SFP'!AM27+'Evolutive SFP'!AM28+'Evolutive SFP'!AM31+'Evolutive SFP'!AM32+'Evolutive SFP'!AM33+'Evolutive SFP'!AM34+'Evolutive SFP'!AM35)</f>
        <v>-0.34003928019443619</v>
      </c>
      <c r="AP12" s="270">
        <f>('Evolutive SFP'!AN4)/('Evolutive SFP'!AN27+'Evolutive SFP'!AN28+'Evolutive SFP'!AN31+'Evolutive SFP'!AN32+'Evolutive SFP'!AN33+'Evolutive SFP'!AN34+'Evolutive SFP'!AN35)</f>
        <v>-0.37353815642218219</v>
      </c>
      <c r="AQ12" s="270" t="e">
        <f>('Evolutive SFP'!AO4)/('Evolutive SFP'!AO27+'Evolutive SFP'!AO28+'Evolutive SFP'!AO31+'Evolutive SFP'!AO32+'Evolutive SFP'!AO33+'Evolutive SFP'!AO34+'Evolutive SFP'!AO35)</f>
        <v>#DIV/0!</v>
      </c>
      <c r="AR12" s="270" t="e">
        <f>('Evolutive SFP'!AP4)/('Evolutive SFP'!AP27+'Evolutive SFP'!AP28+'Evolutive SFP'!AP31+'Evolutive SFP'!AP32+'Evolutive SFP'!AP33+'Evolutive SFP'!AP34+'Evolutive SFP'!AP35)</f>
        <v>#DIV/0!</v>
      </c>
      <c r="AS12" s="270" t="e">
        <f>('Evolutive SFP'!AQ4)/('Evolutive SFP'!AQ27+'Evolutive SFP'!AQ28+'Evolutive SFP'!AQ31+'Evolutive SFP'!AQ32+'Evolutive SFP'!AQ33+'Evolutive SFP'!AQ34+'Evolutive SFP'!AQ35)</f>
        <v>#DIV/0!</v>
      </c>
      <c r="AT12" s="270" t="e">
        <f>('Evolutive SFP'!AR4)/('Evolutive SFP'!AR27+'Evolutive SFP'!AR28+'Evolutive SFP'!AR31+'Evolutive SFP'!AR32+'Evolutive SFP'!AR33+'Evolutive SFP'!AR34+'Evolutive SFP'!AR35)</f>
        <v>#DIV/0!</v>
      </c>
      <c r="AU12" s="270">
        <f>('Evolutive SFP'!AS4)/('Evolutive SFP'!AS27+'Evolutive SFP'!AS28+'Evolutive SFP'!AS31+'Evolutive SFP'!AS32+'Evolutive SFP'!AS33+'Evolutive SFP'!AS34+'Evolutive SFP'!AS35)</f>
        <v>-0.21966534993234041</v>
      </c>
      <c r="AV12" s="270">
        <f>('Evolutive SFP'!AT4)/('Evolutive SFP'!AT27+'Evolutive SFP'!AT28+'Evolutive SFP'!AT31+'Evolutive SFP'!AT32+'Evolutive SFP'!AT33+'Evolutive SFP'!AT34+'Evolutive SFP'!AT35)</f>
        <v>8.3455716092591767E-2</v>
      </c>
      <c r="AW12" s="270">
        <f>('Evolutive SFP'!AU4)/('Evolutive SFP'!AU27+'Evolutive SFP'!AU28+'Evolutive SFP'!AU31+'Evolutive SFP'!AU32+'Evolutive SFP'!AU33+'Evolutive SFP'!AU34+'Evolutive SFP'!AU35)</f>
        <v>0.37766387576888988</v>
      </c>
      <c r="AX12" s="270">
        <f>('Evolutive SFP'!AV4)/('Evolutive SFP'!AV27+'Evolutive SFP'!AV28+'Evolutive SFP'!AV31+'Evolutive SFP'!AV32+'Evolutive SFP'!AV33+'Evolutive SFP'!AV34+'Evolutive SFP'!AV35)</f>
        <v>0.32900441139680786</v>
      </c>
      <c r="AY12" s="270">
        <f>('Evolutive SFP'!AW4)/('Evolutive SFP'!AW27+'Evolutive SFP'!AW28+'Evolutive SFP'!AW31+'Evolutive SFP'!AW32+'Evolutive SFP'!AW33+'Evolutive SFP'!AW34+'Evolutive SFP'!AW35)</f>
        <v>0.31688253778900577</v>
      </c>
      <c r="AZ12" s="270">
        <f>('Evolutive SFP'!AX4)/('Evolutive SFP'!AX27+'Evolutive SFP'!AX28+'Evolutive SFP'!AX31+'Evolutive SFP'!AX32+'Evolutive SFP'!AX33+'Evolutive SFP'!AX34+'Evolutive SFP'!AX35)</f>
        <v>0.31354329488646004</v>
      </c>
      <c r="BA12" s="270" t="e">
        <f>('Evolutive SFP'!AY4)/('Evolutive SFP'!AY27+'Evolutive SFP'!AY28+'Evolutive SFP'!AY31+'Evolutive SFP'!AY32+'Evolutive SFP'!AY33+'Evolutive SFP'!AY34+'Evolutive SFP'!AY35)</f>
        <v>#DIV/0!</v>
      </c>
      <c r="BB12" s="270">
        <f>('Evolutive SFP'!AZ4)/('Evolutive SFP'!AZ27+'Evolutive SFP'!AZ28+'Evolutive SFP'!AZ31+'Evolutive SFP'!AZ32+'Evolutive SFP'!AZ33+'Evolutive SFP'!AZ34+'Evolutive SFP'!AZ35)</f>
        <v>0.27445100143748424</v>
      </c>
      <c r="BC12" s="270">
        <f>('Evolutive SFP'!BA4)/('Evolutive SFP'!BA27+'Evolutive SFP'!BA28+'Evolutive SFP'!BA31+'Evolutive SFP'!BA32+'Evolutive SFP'!BA33+'Evolutive SFP'!BA34+'Evolutive SFP'!BA35)</f>
        <v>0.32367805899342333</v>
      </c>
      <c r="BD12" s="270">
        <f>('Evolutive SFP'!BB4)/('Evolutive SFP'!BB27+'Evolutive SFP'!BB28+'Evolutive SFP'!BB31+'Evolutive SFP'!BB32+'Evolutive SFP'!BB33+'Evolutive SFP'!BB34+'Evolutive SFP'!BB35)</f>
        <v>0.38818741423619058</v>
      </c>
      <c r="BE12" s="270">
        <f>('Evolutive SFP'!BC4)/('Evolutive SFP'!BC27+'Evolutive SFP'!BC28+'Evolutive SFP'!BC31+'Evolutive SFP'!BC32+'Evolutive SFP'!BC33+'Evolutive SFP'!BC34+'Evolutive SFP'!BC35)</f>
        <v>0.37402937524490437</v>
      </c>
      <c r="BF12" s="270">
        <f>('Evolutive SFP'!BD4)/('Evolutive SFP'!BD27+'Evolutive SFP'!BD28+'Evolutive SFP'!BD31+'Evolutive SFP'!BD32+'Evolutive SFP'!BD33+'Evolutive SFP'!BD34+'Evolutive SFP'!BD35)</f>
        <v>0.49478271219962661</v>
      </c>
      <c r="BG12" s="270">
        <f>('Evolutive SFP'!BE4)/('Evolutive SFP'!BE27+'Evolutive SFP'!BE28+'Evolutive SFP'!BE31+'Evolutive SFP'!BE32+'Evolutive SFP'!BE33+'Evolutive SFP'!BE34+'Evolutive SFP'!BE35)</f>
        <v>0.6035069419967185</v>
      </c>
      <c r="BH12" s="270">
        <f>('Evolutive SFP'!BF4)/('Evolutive SFP'!BF27+'Evolutive SFP'!BF28+'Evolutive SFP'!BF31+'Evolutive SFP'!BF32+'Evolutive SFP'!BF33+'Evolutive SFP'!BF34+'Evolutive SFP'!BF35)</f>
        <v>0.41678702759606651</v>
      </c>
      <c r="BI12" s="270">
        <f>('Evolutive SFP'!BG4)/('Evolutive SFP'!BG27+'Evolutive SFP'!BG28+'Evolutive SFP'!BG31+'Evolutive SFP'!BG32+'Evolutive SFP'!BG33+'Evolutive SFP'!BG34+'Evolutive SFP'!BG35)</f>
        <v>0.50261239154623594</v>
      </c>
      <c r="BJ12" s="270">
        <f>('Evolutive SFP'!BH4)/('Evolutive SFP'!BH27+'Evolutive SFP'!BH28+'Evolutive SFP'!BH31+'Evolutive SFP'!BH32+'Evolutive SFP'!BH33+'Evolutive SFP'!BH34+'Evolutive SFP'!BH35)</f>
        <v>0.4513361175020833</v>
      </c>
      <c r="BK12" s="270">
        <f>('Evolutive SFP'!BI4)/('Evolutive SFP'!BI27+'Evolutive SFP'!BI28+'Evolutive SFP'!BI31+'Evolutive SFP'!BI32+'Evolutive SFP'!BI33+'Evolutive SFP'!BI34+'Evolutive SFP'!BI35)</f>
        <v>0.34917772009689141</v>
      </c>
      <c r="BL12" s="270">
        <f>('Evolutive SFP'!BJ4)/('Evolutive SFP'!BJ27+'Evolutive SFP'!BJ28+'Evolutive SFP'!BJ31+'Evolutive SFP'!BJ32+'Evolutive SFP'!BJ33+'Evolutive SFP'!BJ34+'Evolutive SFP'!BJ35)</f>
        <v>0.57585128382540629</v>
      </c>
      <c r="BM12" s="270">
        <f>('Evolutive SFP'!BK4)/('Evolutive SFP'!BK27+'Evolutive SFP'!BK28+'Evolutive SFP'!BK31+'Evolutive SFP'!BK32+'Evolutive SFP'!BK33+'Evolutive SFP'!BK34+'Evolutive SFP'!BK35)</f>
        <v>0.46491554475810437</v>
      </c>
      <c r="BN12" s="270">
        <f>('Evolutive SFP'!BL4)/('Evolutive SFP'!BL27+'Evolutive SFP'!BL28+'Evolutive SFP'!BL31+'Evolutive SFP'!BL32+'Evolutive SFP'!BL33+'Evolutive SFP'!BL34+'Evolutive SFP'!BL35)</f>
        <v>0.27207509993199214</v>
      </c>
      <c r="BO12" s="270">
        <f>('Evolutive SFP'!BM4)/('Evolutive SFP'!BM27+'Evolutive SFP'!BM28+'Evolutive SFP'!BM31+'Evolutive SFP'!BM32+'Evolutive SFP'!BM33+'Evolutive SFP'!BM34+'Evolutive SFP'!BM35)</f>
        <v>0.26978260919605862</v>
      </c>
      <c r="BP12" s="270">
        <f>('Evolutive SFP'!BN4)/('Evolutive SFP'!BN27+'Evolutive SFP'!BN28+'Evolutive SFP'!BN31+'Evolutive SFP'!BN32+'Evolutive SFP'!BN33+'Evolutive SFP'!BN34+'Evolutive SFP'!BN35)</f>
        <v>0.29166542406003609</v>
      </c>
      <c r="BQ12" s="270">
        <f>('Evolutive SFP'!BO4)/('Evolutive SFP'!BO27+'Evolutive SFP'!BO28+'Evolutive SFP'!BO31+'Evolutive SFP'!BO32+'Evolutive SFP'!BO33+'Evolutive SFP'!BO34+'Evolutive SFP'!BO35)</f>
        <v>0.63641466913660971</v>
      </c>
      <c r="BR12" s="270">
        <f>('Evolutive SFP'!BP4)/('Evolutive SFP'!BP27+'Evolutive SFP'!BP28+'Evolutive SFP'!BP31+'Evolutive SFP'!BP32+'Evolutive SFP'!BP33+'Evolutive SFP'!BP34+'Evolutive SFP'!BP35)</f>
        <v>0.80041890530850368</v>
      </c>
      <c r="BS12" s="270">
        <f>('Evolutive SFP'!BQ4)/('Evolutive SFP'!BQ27+'Evolutive SFP'!BQ28+'Evolutive SFP'!BQ31+'Evolutive SFP'!BQ32+'Evolutive SFP'!BQ33+'Evolutive SFP'!BQ34+'Evolutive SFP'!BQ35)</f>
        <v>0.46679254824002642</v>
      </c>
      <c r="BT12" s="270">
        <f>('Evolutive SFP'!BR4)/('Evolutive SFP'!BR27+'Evolutive SFP'!BR28+'Evolutive SFP'!BR31+'Evolutive SFP'!BR32+'Evolutive SFP'!BR33+'Evolutive SFP'!BR34+'Evolutive SFP'!BR35)</f>
        <v>0.49262977651808182</v>
      </c>
      <c r="BU12" s="270">
        <f>('Evolutive SFP'!BS4)/('Evolutive SFP'!BS27+'Evolutive SFP'!BS28+'Evolutive SFP'!BS31+'Evolutive SFP'!BS32+'Evolutive SFP'!BS33+'Evolutive SFP'!BS34+'Evolutive SFP'!BS35)</f>
        <v>0.45738284589202904</v>
      </c>
      <c r="BV12" s="270">
        <f>('Evolutive SFP'!BT4)/('Evolutive SFP'!BT27+'Evolutive SFP'!BT28+'Evolutive SFP'!BT31+'Evolutive SFP'!BT32+'Evolutive SFP'!BT33+'Evolutive SFP'!BT34+'Evolutive SFP'!BT35)</f>
        <v>0.501377363561475</v>
      </c>
      <c r="BW12" s="270">
        <f>('Evolutive SFP'!BU4)/('Evolutive SFP'!BU27+'Evolutive SFP'!BU28+'Evolutive SFP'!BU31+'Evolutive SFP'!BU32+'Evolutive SFP'!BU33+'Evolutive SFP'!BU34+'Evolutive SFP'!BU35)</f>
        <v>0.45152824981772532</v>
      </c>
      <c r="BX12" s="270">
        <f>('Evolutive SFP'!BV4)/('Evolutive SFP'!BV27+'Evolutive SFP'!BV28+'Evolutive SFP'!BV31+'Evolutive SFP'!BV32+'Evolutive SFP'!BV33+'Evolutive SFP'!BV34+'Evolutive SFP'!BV35)</f>
        <v>0.15616048311687658</v>
      </c>
      <c r="BY12" s="270">
        <f>('Evolutive SFP'!BW4)/('Evolutive SFP'!BW27+'Evolutive SFP'!BW28+'Evolutive SFP'!BW31+'Evolutive SFP'!BW32+'Evolutive SFP'!BW33+'Evolutive SFP'!BW34+'Evolutive SFP'!BW35)</f>
        <v>0.23625162963240698</v>
      </c>
      <c r="BZ12" s="270">
        <f>('Evolutive SFP'!BX4)/('Evolutive SFP'!BX27+'Evolutive SFP'!BX28+'Evolutive SFP'!BX31+'Evolutive SFP'!BX32+'Evolutive SFP'!BX33+'Evolutive SFP'!BX34+'Evolutive SFP'!BX35)</f>
        <v>0.12992978689824275</v>
      </c>
      <c r="CA12" s="270">
        <f>('Evolutive SFP'!BY4)/('Evolutive SFP'!BY27+'Evolutive SFP'!BY28+'Evolutive SFP'!BY31+'Evolutive SFP'!BY32+'Evolutive SFP'!BY33+'Evolutive SFP'!BY34+'Evolutive SFP'!BY35)</f>
        <v>0.27286860793526119</v>
      </c>
      <c r="CB12" s="270">
        <f>('Evolutive SFP'!BZ4)/('Evolutive SFP'!BZ27+'Evolutive SFP'!BZ28+'Evolutive SFP'!BZ31+'Evolutive SFP'!BZ32+'Evolutive SFP'!BZ33+'Evolutive SFP'!BZ34+'Evolutive SFP'!BZ35)</f>
        <v>0.13045122145762919</v>
      </c>
      <c r="CC12" s="270">
        <f>('Evolutive SFP'!CA4)/('Evolutive SFP'!CA27+'Evolutive SFP'!CA28+'Evolutive SFP'!CA31+'Evolutive SFP'!CA32+'Evolutive SFP'!CA33+'Evolutive SFP'!CA34+'Evolutive SFP'!CA35)</f>
        <v>0.27717355662556664</v>
      </c>
      <c r="CD12" s="26">
        <f>('Evolutive SFP'!CB4)/('Evolutive SFP'!CB27+'Evolutive SFP'!CB28+'Evolutive SFP'!CB31+'Evolutive SFP'!CB32+'Evolutive SFP'!CB33+'Evolutive SFP'!CB34+'Evolutive SFP'!CB35)</f>
        <v>0.30430747400147173</v>
      </c>
      <c r="CE12" s="26">
        <f>('Evolutive SFP'!CC4)/('Evolutive SFP'!CC27+'Evolutive SFP'!CC28+'Evolutive SFP'!CC31+'Evolutive SFP'!CC32+'Evolutive SFP'!CC33+'Evolutive SFP'!CC34+'Evolutive SFP'!CC35)</f>
        <v>0.37506132720667146</v>
      </c>
      <c r="CF12" s="26">
        <f>('Evolutive SFP'!CD4)/('Evolutive SFP'!CD27+'Evolutive SFP'!CD28+'Evolutive SFP'!CD31+'Evolutive SFP'!CD32+'Evolutive SFP'!CD33+'Evolutive SFP'!CD34+'Evolutive SFP'!CD35)</f>
        <v>0.28818753274712428</v>
      </c>
      <c r="CG12" s="301">
        <f>('Evolutive SFP'!CE4)/('Evolutive SFP'!CE27+'Evolutive SFP'!CE28+'Evolutive SFP'!CE31+'Evolutive SFP'!CE32+'Evolutive SFP'!CE33+'Evolutive SFP'!CE34+'Evolutive SFP'!CE35)</f>
        <v>0.29237241211884329</v>
      </c>
    </row>
    <row r="13" spans="1:85" ht="15.6" hidden="1">
      <c r="A13" s="326"/>
      <c r="B13" s="3" t="s">
        <v>173</v>
      </c>
      <c r="C13" s="273"/>
      <c r="D13" s="270">
        <f>('Evolutive SFP'!B4+'Evolutive SFP'!B8)/('Evolutive SFP'!B30+'Evolutive SFP'!B31+'Evolutive SFP'!B32+'Evolutive SFP'!B33+'Evolutive SFP'!B34+'Evolutive SFP'!B35)</f>
        <v>0.68792925948930073</v>
      </c>
      <c r="E13" s="270">
        <f>('Evolutive SFP'!C4+'Evolutive SFP'!C8)/('Evolutive SFP'!C30+'Evolutive SFP'!C31+'Evolutive SFP'!C32+'Evolutive SFP'!C33+'Evolutive SFP'!C34+'Evolutive SFP'!C35)</f>
        <v>0.59901309464356456</v>
      </c>
      <c r="F13" s="270">
        <f>('Evolutive SFP'!D4+'Evolutive SFP'!D8)/('Evolutive SFP'!D30+'Evolutive SFP'!D31+'Evolutive SFP'!D32+'Evolutive SFP'!D33+'Evolutive SFP'!D34+'Evolutive SFP'!D35)</f>
        <v>0.4872660625023425</v>
      </c>
      <c r="G13" s="270">
        <f>('Evolutive SFP'!E4+'Evolutive SFP'!E8)/('Evolutive SFP'!E30+'Evolutive SFP'!E31+'Evolutive SFP'!E32+'Evolutive SFP'!E33+'Evolutive SFP'!E34+'Evolutive SFP'!E35)</f>
        <v>0.38049167996596339</v>
      </c>
      <c r="H13" s="270">
        <f>('Evolutive SFP'!F4+'Evolutive SFP'!F8)/('Evolutive SFP'!F30+'Evolutive SFP'!F31+'Evolutive SFP'!F32+'Evolutive SFP'!F33+'Evolutive SFP'!F34+'Evolutive SFP'!F35)</f>
        <v>0.33668535749465223</v>
      </c>
      <c r="I13" s="270">
        <f>('Evolutive SFP'!G4+'Evolutive SFP'!G8)/('Evolutive SFP'!G30+'Evolutive SFP'!G31+'Evolutive SFP'!G32+'Evolutive SFP'!G33+'Evolutive SFP'!G34+'Evolutive SFP'!G35)</f>
        <v>0.35873511932960556</v>
      </c>
      <c r="J13" s="270">
        <f>'Evolutive SFP'!H4/('Evolutive SFP'!H30+'Evolutive SFP'!H35)</f>
        <v>0.16262592618132909</v>
      </c>
      <c r="K13" s="270">
        <f>'Evolutive SFP'!I4/('Evolutive SFP'!I30+'Evolutive SFP'!I35)</f>
        <v>0.12831957363887239</v>
      </c>
      <c r="L13" s="270">
        <f>('Evolutive SFP'!J4+'Evolutive SFP'!J8)/('Evolutive SFP'!J30+'Evolutive SFP'!J31+'Evolutive SFP'!J32+'Evolutive SFP'!J33+'Evolutive SFP'!J34+'Evolutive SFP'!J35)</f>
        <v>0.23683994993595414</v>
      </c>
      <c r="M13" s="270">
        <f>'Evolutive SFP'!K4/('Evolutive SFP'!K30+'Evolutive SFP'!K35)</f>
        <v>2.9880435621965025E-2</v>
      </c>
      <c r="N13" s="270" t="e">
        <f>('Evolutive SFP'!L4+'Evolutive SFP'!L8)/('Evolutive SFP'!L30+'Evolutive SFP'!L31+'Evolutive SFP'!L32+'Evolutive SFP'!L33+'Evolutive SFP'!L34+'Evolutive SFP'!L35)</f>
        <v>#DIV/0!</v>
      </c>
      <c r="O13" s="270" t="e">
        <f>'Evolutive SFP'!M4/('Evolutive SFP'!M30+'Evolutive SFP'!M35)</f>
        <v>#DIV/0!</v>
      </c>
      <c r="P13" s="270" t="e">
        <f>('Evolutive SFP'!N4+'Evolutive SFP'!N8)/('Evolutive SFP'!N30+'Evolutive SFP'!N31+'Evolutive SFP'!N32+'Evolutive SFP'!N33+'Evolutive SFP'!N34+'Evolutive SFP'!N35)</f>
        <v>#DIV/0!</v>
      </c>
      <c r="Q13" s="270" t="e">
        <f>'Evolutive SFP'!O4/('Evolutive SFP'!O30+'Evolutive SFP'!O35)</f>
        <v>#DIV/0!</v>
      </c>
      <c r="R13" s="270" t="e">
        <f>('Evolutive SFP'!P4+'Evolutive SFP'!P8)/('Evolutive SFP'!P30+'Evolutive SFP'!P31+'Evolutive SFP'!P32+'Evolutive SFP'!P33+'Evolutive SFP'!P34+'Evolutive SFP'!P35)</f>
        <v>#DIV/0!</v>
      </c>
      <c r="S13" s="270" t="e">
        <f>'Evolutive SFP'!Q4/('Evolutive SFP'!Q30+'Evolutive SFP'!Q35)</f>
        <v>#DIV/0!</v>
      </c>
      <c r="T13" s="270">
        <f>('Evolutive SFP'!R4+'Evolutive SFP'!R8)/('Evolutive SFP'!R30+'Evolutive SFP'!R31+'Evolutive SFP'!R32+'Evolutive SFP'!R33+'Evolutive SFP'!R34+'Evolutive SFP'!R35)</f>
        <v>0.36640080595364932</v>
      </c>
      <c r="U13" s="270">
        <f>('Evolutive SFP'!S4+'Evolutive SFP'!S8)/('Evolutive SFP'!S30+'Evolutive SFP'!S31+'Evolutive SFP'!S32+'Evolutive SFP'!S33+'Evolutive SFP'!S34+'Evolutive SFP'!S35)</f>
        <v>0.29147268324776543</v>
      </c>
      <c r="V13" s="270">
        <f>('Evolutive SFP'!T4+'Evolutive SFP'!T8)/('Evolutive SFP'!T30+'Evolutive SFP'!T31+'Evolutive SFP'!T32+'Evolutive SFP'!T33+'Evolutive SFP'!T34+'Evolutive SFP'!T35)</f>
        <v>0.26578221755067055</v>
      </c>
      <c r="W13" s="270">
        <f>('Evolutive SFP'!U4+'Evolutive SFP'!U8)/('Evolutive SFP'!U30+'Evolutive SFP'!U31+'Evolutive SFP'!U32+'Evolutive SFP'!U33+'Evolutive SFP'!U34+'Evolutive SFP'!U35)</f>
        <v>0.25813880879883866</v>
      </c>
      <c r="X13" s="270">
        <f>('Evolutive SFP'!V4+'Evolutive SFP'!V8)/('Evolutive SFP'!V30+'Evolutive SFP'!V31+'Evolutive SFP'!V32+'Evolutive SFP'!V33+'Evolutive SFP'!V34+'Evolutive SFP'!V35)</f>
        <v>0.20328932545351794</v>
      </c>
      <c r="Y13" s="270">
        <f>('Evolutive SFP'!W4+'Evolutive SFP'!W8)/('Evolutive SFP'!W30+'Evolutive SFP'!W31+'Evolutive SFP'!W32+'Evolutive SFP'!W33+'Evolutive SFP'!W34+'Evolutive SFP'!W35)</f>
        <v>0.18967519597897162</v>
      </c>
      <c r="Z13" s="270">
        <f>('Evolutive SFP'!X4+'Evolutive SFP'!X8)/('Evolutive SFP'!X30+'Evolutive SFP'!X31+'Evolutive SFP'!X32+'Evolutive SFP'!X33+'Evolutive SFP'!X34+'Evolutive SFP'!X35)</f>
        <v>0.14874780777673097</v>
      </c>
      <c r="AA13" s="270">
        <f>('Evolutive SFP'!Y4+'Evolutive SFP'!Y8)/('Evolutive SFP'!Y30+'Evolutive SFP'!Y31+'Evolutive SFP'!Y32+'Evolutive SFP'!Y33+'Evolutive SFP'!Y34+'Evolutive SFP'!Y35)</f>
        <v>0.14292652685972307</v>
      </c>
      <c r="AB13" s="270">
        <f>('Evolutive SFP'!Z4+'Evolutive SFP'!Z8)/('Evolutive SFP'!Z30+'Evolutive SFP'!Z31+'Evolutive SFP'!Z32+'Evolutive SFP'!Z33+'Evolutive SFP'!Z34+'Evolutive SFP'!Z35)</f>
        <v>0.26926278936119086</v>
      </c>
      <c r="AC13" s="270">
        <f>('Evolutive SFP'!AA4+'Evolutive SFP'!AA8)/('Evolutive SFP'!AA30+'Evolutive SFP'!AA31+'Evolutive SFP'!AA32+'Evolutive SFP'!AA33+'Evolutive SFP'!AA34+'Evolutive SFP'!AA35)</f>
        <v>0.29123942997857566</v>
      </c>
      <c r="AD13" s="270">
        <f>('Evolutive SFP'!AB4+'Evolutive SFP'!AB8)/('Evolutive SFP'!AB30+'Evolutive SFP'!AB31+'Evolutive SFP'!AB32+'Evolutive SFP'!AB33+'Evolutive SFP'!AB34+'Evolutive SFP'!AB35)</f>
        <v>0.29529037638849753</v>
      </c>
      <c r="AE13" s="270">
        <f>('Evolutive SFP'!AC4+'Evolutive SFP'!AC8)/('Evolutive SFP'!AC30+'Evolutive SFP'!AC31+'Evolutive SFP'!AC32+'Evolutive SFP'!AC33+'Evolutive SFP'!AC34+'Evolutive SFP'!AC35)</f>
        <v>0.41855021905965062</v>
      </c>
      <c r="AF13" s="270">
        <f>('Evolutive SFP'!AD4+'Evolutive SFP'!AD8)/('Evolutive SFP'!AD30+'Evolutive SFP'!AD31+'Evolutive SFP'!AD32+'Evolutive SFP'!AD33+'Evolutive SFP'!AD34+'Evolutive SFP'!AD35)</f>
        <v>0.12470406940418408</v>
      </c>
      <c r="AG13" s="270">
        <f>('Evolutive SFP'!AE4+'Evolutive SFP'!AE8)/('Evolutive SFP'!AE30+'Evolutive SFP'!AE31+'Evolutive SFP'!AE32+'Evolutive SFP'!AE33+'Evolutive SFP'!AE34+'Evolutive SFP'!AE35)</f>
        <v>0.33853082421715253</v>
      </c>
      <c r="AH13" s="270">
        <f>('Evolutive SFP'!AF4+'Evolutive SFP'!AF8)/('Evolutive SFP'!AF30+'Evolutive SFP'!AF31+'Evolutive SFP'!AF32+'Evolutive SFP'!AF33+'Evolutive SFP'!AF34+'Evolutive SFP'!AF35)</f>
        <v>0.21968302212678775</v>
      </c>
      <c r="AI13" s="270">
        <f>('Evolutive SFP'!AG4+'Evolutive SFP'!AG8)/('Evolutive SFP'!AG30+'Evolutive SFP'!AG31+'Evolutive SFP'!AG32+'Evolutive SFP'!AG33+'Evolutive SFP'!AG34+'Evolutive SFP'!AG35)</f>
        <v>0.2854500929013456</v>
      </c>
      <c r="AJ13" s="270">
        <f>('Evolutive SFP'!AH4+'Evolutive SFP'!AH8)/('Evolutive SFP'!AH30+'Evolutive SFP'!AH31+'Evolutive SFP'!AH32+'Evolutive SFP'!AH33+'Evolutive SFP'!AH34+'Evolutive SFP'!AH35)</f>
        <v>0.24963219851539842</v>
      </c>
      <c r="AK13" s="270">
        <f>('Evolutive SFP'!AI4+'Evolutive SFP'!AI8)/('Evolutive SFP'!AI30+'Evolutive SFP'!AI31+'Evolutive SFP'!AI32+'Evolutive SFP'!AI33+'Evolutive SFP'!AI34+'Evolutive SFP'!AI35)</f>
        <v>2.9964312529043368E-2</v>
      </c>
      <c r="AL13" s="270">
        <f>('Evolutive SFP'!AJ4+'Evolutive SFP'!AJ8)/('Evolutive SFP'!AJ30+'Evolutive SFP'!AJ31+'Evolutive SFP'!AJ32+'Evolutive SFP'!AJ33+'Evolutive SFP'!AJ34+'Evolutive SFP'!AJ35)</f>
        <v>9.7447997865571637E-2</v>
      </c>
      <c r="AM13" s="270">
        <f>('Evolutive SFP'!AK4+'Evolutive SFP'!AK8)/('Evolutive SFP'!AK30+'Evolutive SFP'!AK31+'Evolutive SFP'!AK32+'Evolutive SFP'!AK33+'Evolutive SFP'!AK34+'Evolutive SFP'!AK35)</f>
        <v>7.3293065595652226E-2</v>
      </c>
      <c r="AN13" s="270">
        <f>('Evolutive SFP'!AL4+'Evolutive SFP'!AL8)/('Evolutive SFP'!AL30+'Evolutive SFP'!AL31+'Evolutive SFP'!AL32+'Evolutive SFP'!AL33+'Evolutive SFP'!AL34+'Evolutive SFP'!AL35)</f>
        <v>0.27424388834410035</v>
      </c>
      <c r="AO13" s="270">
        <f>('Evolutive SFP'!AM4+'Evolutive SFP'!AM8)/('Evolutive SFP'!AM30+'Evolutive SFP'!AM31+'Evolutive SFP'!AM32+'Evolutive SFP'!AM33+'Evolutive SFP'!AM34+'Evolutive SFP'!AM35)</f>
        <v>0.25672374767854139</v>
      </c>
      <c r="AP13" s="270">
        <f>('Evolutive SFP'!AN4+'Evolutive SFP'!AN8)/('Evolutive SFP'!AN30+'Evolutive SFP'!AN31+'Evolutive SFP'!AN32+'Evolutive SFP'!AN33+'Evolutive SFP'!AN34+'Evolutive SFP'!AN35)</f>
        <v>0.27088238499089684</v>
      </c>
      <c r="AQ13" s="270" t="e">
        <f>('Evolutive SFP'!AO4+'Evolutive SFP'!AO8)/('Evolutive SFP'!AO30+'Evolutive SFP'!AO31+'Evolutive SFP'!AO32+'Evolutive SFP'!AO33+'Evolutive SFP'!AO34+'Evolutive SFP'!AO35)</f>
        <v>#DIV/0!</v>
      </c>
      <c r="AR13" s="270" t="e">
        <f>('Evolutive SFP'!AP4+'Evolutive SFP'!AP8)/('Evolutive SFP'!AP30+'Evolutive SFP'!AP31+'Evolutive SFP'!AP32+'Evolutive SFP'!AP33+'Evolutive SFP'!AP34+'Evolutive SFP'!AP35)</f>
        <v>#DIV/0!</v>
      </c>
      <c r="AS13" s="270" t="e">
        <f>('Evolutive SFP'!AQ4+'Evolutive SFP'!AQ8)/('Evolutive SFP'!AQ30+'Evolutive SFP'!AQ31+'Evolutive SFP'!AQ32+'Evolutive SFP'!AQ33+'Evolutive SFP'!AQ34+'Evolutive SFP'!AQ35)</f>
        <v>#DIV/0!</v>
      </c>
      <c r="AT13" s="270" t="e">
        <f>('Evolutive SFP'!AR4+'Evolutive SFP'!AR8)/('Evolutive SFP'!AR30+'Evolutive SFP'!AR31+'Evolutive SFP'!AR32+'Evolutive SFP'!AR33+'Evolutive SFP'!AR34+'Evolutive SFP'!AR35)</f>
        <v>#DIV/0!</v>
      </c>
      <c r="AU13" s="270">
        <f>('Evolutive SFP'!AS4+'Evolutive SFP'!AS8)/('Evolutive SFP'!AS30+'Evolutive SFP'!AS31+'Evolutive SFP'!AS32+'Evolutive SFP'!AS33+'Evolutive SFP'!AS34+'Evolutive SFP'!AS35)</f>
        <v>0.21717747422460656</v>
      </c>
      <c r="AV13" s="270">
        <f>('Evolutive SFP'!AT4+'Evolutive SFP'!AT8)/('Evolutive SFP'!AT30+'Evolutive SFP'!AT31+'Evolutive SFP'!AT32+'Evolutive SFP'!AT33+'Evolutive SFP'!AT34+'Evolutive SFP'!AT35)</f>
        <v>0.1110693628650455</v>
      </c>
      <c r="AW13" s="270">
        <f>('Evolutive SFP'!AU4+'Evolutive SFP'!AU8)/('Evolutive SFP'!AU30+'Evolutive SFP'!AU31+'Evolutive SFP'!AU32+'Evolutive SFP'!AU33+'Evolutive SFP'!AU34+'Evolutive SFP'!AU35)</f>
        <v>0.17957895079509736</v>
      </c>
      <c r="AX13" s="270">
        <f>('Evolutive SFP'!AV4+'Evolutive SFP'!AV8)/('Evolutive SFP'!AV30+'Evolutive SFP'!AV31+'Evolutive SFP'!AV32+'Evolutive SFP'!AV33+'Evolutive SFP'!AV34+'Evolutive SFP'!AV35)</f>
        <v>0.16294644463618024</v>
      </c>
      <c r="AY13" s="270">
        <f>('Evolutive SFP'!AW4+'Evolutive SFP'!AW8)/('Evolutive SFP'!AW30+'Evolutive SFP'!AW31+'Evolutive SFP'!AW32+'Evolutive SFP'!AW33+'Evolutive SFP'!AW34+'Evolutive SFP'!AW35)</f>
        <v>0.16237204933396968</v>
      </c>
      <c r="AZ13" s="270">
        <f>('Evolutive SFP'!AX4+'Evolutive SFP'!AX8)/('Evolutive SFP'!AX30+'Evolutive SFP'!AX31+'Evolutive SFP'!AX32+'Evolutive SFP'!AX33+'Evolutive SFP'!AX34+'Evolutive SFP'!AX35)</f>
        <v>0.1677489657300687</v>
      </c>
      <c r="BA13" s="270" t="e">
        <f>('Evolutive SFP'!AY4+'Evolutive SFP'!AY8)/('Evolutive SFP'!AY30+'Evolutive SFP'!AY31+'Evolutive SFP'!AY32+'Evolutive SFP'!AY33+'Evolutive SFP'!AY34+'Evolutive SFP'!AY35)</f>
        <v>#DIV/0!</v>
      </c>
      <c r="BB13" s="270">
        <f>('Evolutive SFP'!AZ4+'Evolutive SFP'!AZ8)/('Evolutive SFP'!AZ30+'Evolutive SFP'!AZ31+'Evolutive SFP'!AZ32+'Evolutive SFP'!AZ33+'Evolutive SFP'!AZ34+'Evolutive SFP'!AZ35)</f>
        <v>0.1485659203545304</v>
      </c>
      <c r="BC13" s="270">
        <f>('Evolutive SFP'!BA4+'Evolutive SFP'!BA8)/('Evolutive SFP'!BA30+'Evolutive SFP'!BA31+'Evolutive SFP'!BA32+'Evolutive SFP'!BA33+'Evolutive SFP'!BA34+'Evolutive SFP'!BA35)</f>
        <v>0.16434075004132007</v>
      </c>
      <c r="BD13" s="270">
        <f>('Evolutive SFP'!BB4+'Evolutive SFP'!BB8)/('Evolutive SFP'!BB30+'Evolutive SFP'!BB31+'Evolutive SFP'!BB32+'Evolutive SFP'!BB33+'Evolutive SFP'!BB34+'Evolutive SFP'!BB35)</f>
        <v>0.18806196584104701</v>
      </c>
      <c r="BE13" s="270">
        <f>('Evolutive SFP'!BC4+'Evolutive SFP'!BC8)/('Evolutive SFP'!BC30+'Evolutive SFP'!BC31+'Evolutive SFP'!BC32+'Evolutive SFP'!BC33+'Evolutive SFP'!BC34+'Evolutive SFP'!BC35)</f>
        <v>0.1853755584008924</v>
      </c>
      <c r="BF13" s="270">
        <f>('Evolutive SFP'!BD4+'Evolutive SFP'!BD8)/('Evolutive SFP'!BD30+'Evolutive SFP'!BD31+'Evolutive SFP'!BD32+'Evolutive SFP'!BD33+'Evolutive SFP'!BD34+'Evolutive SFP'!BD35)</f>
        <v>0.2275414411477171</v>
      </c>
      <c r="BG13" s="270">
        <f>('Evolutive SFP'!BE4+'Evolutive SFP'!BE8)/('Evolutive SFP'!BE30+'Evolutive SFP'!BE31+'Evolutive SFP'!BE32+'Evolutive SFP'!BE33+'Evolutive SFP'!BE34+'Evolutive SFP'!BE35)</f>
        <v>0.24222938151789872</v>
      </c>
      <c r="BH13" s="270">
        <f>('Evolutive SFP'!BF4+'Evolutive SFP'!BF8)/('Evolutive SFP'!BF30+'Evolutive SFP'!BF31+'Evolutive SFP'!BF32+'Evolutive SFP'!BF33+'Evolutive SFP'!BF34+'Evolutive SFP'!BF35)</f>
        <v>0.20287865646740086</v>
      </c>
      <c r="BI13" s="270">
        <f>('Evolutive SFP'!BG4+'Evolutive SFP'!BG8)/('Evolutive SFP'!BG30+'Evolutive SFP'!BG31+'Evolutive SFP'!BG32+'Evolutive SFP'!BG33+'Evolutive SFP'!BG34+'Evolutive SFP'!BG35)</f>
        <v>0.22486654524961119</v>
      </c>
      <c r="BJ13" s="270">
        <f>('Evolutive SFP'!BH4+'Evolutive SFP'!BH8)/('Evolutive SFP'!BH30+'Evolutive SFP'!BH31+'Evolutive SFP'!BH32+'Evolutive SFP'!BH33+'Evolutive SFP'!BH34+'Evolutive SFP'!BH35)</f>
        <v>0.21230061321439939</v>
      </c>
      <c r="BK13" s="270">
        <f>('Evolutive SFP'!BI4+'Evolutive SFP'!BI8)/('Evolutive SFP'!BI30+'Evolutive SFP'!BI31+'Evolutive SFP'!BI32+'Evolutive SFP'!BI33+'Evolutive SFP'!BI34+'Evolutive SFP'!BI35)</f>
        <v>0.1889896528406429</v>
      </c>
      <c r="BL13" s="270">
        <f>('Evolutive SFP'!BJ4+'Evolutive SFP'!BJ8)/('Evolutive SFP'!BJ30+'Evolutive SFP'!BJ31+'Evolutive SFP'!BJ32+'Evolutive SFP'!BJ33+'Evolutive SFP'!BJ34+'Evolutive SFP'!BJ35)</f>
        <v>0.23501019556368741</v>
      </c>
      <c r="BM13" s="270">
        <f>('Evolutive SFP'!BK4+'Evolutive SFP'!BK8)/('Evolutive SFP'!BK30+'Evolutive SFP'!BK31+'Evolutive SFP'!BK32+'Evolutive SFP'!BK33+'Evolutive SFP'!BK34+'Evolutive SFP'!BK35)</f>
        <v>0.21339239782742414</v>
      </c>
      <c r="BN13" s="270">
        <f>('Evolutive SFP'!BL4+'Evolutive SFP'!BL8)/('Evolutive SFP'!BL30+'Evolutive SFP'!BL31+'Evolutive SFP'!BL32+'Evolutive SFP'!BL33+'Evolutive SFP'!BL34+'Evolutive SFP'!BL35)</f>
        <v>0.17125330614470344</v>
      </c>
      <c r="BO13" s="270">
        <f>('Evolutive SFP'!BM4+'Evolutive SFP'!BM8)/('Evolutive SFP'!BM30+'Evolutive SFP'!BM31+'Evolutive SFP'!BM32+'Evolutive SFP'!BM33+'Evolutive SFP'!BM34+'Evolutive SFP'!BM35)</f>
        <v>0.17163609828862347</v>
      </c>
      <c r="BP13" s="270">
        <f>('Evolutive SFP'!BN4+'Evolutive SFP'!BN8)/('Evolutive SFP'!BN30+'Evolutive SFP'!BN31+'Evolutive SFP'!BN32+'Evolutive SFP'!BN33+'Evolutive SFP'!BN34+'Evolutive SFP'!BN35)</f>
        <v>0.1751756533542663</v>
      </c>
      <c r="BQ13" s="270">
        <f>('Evolutive SFP'!BO4+'Evolutive SFP'!BO8)/('Evolutive SFP'!BO30+'Evolutive SFP'!BO31+'Evolutive SFP'!BO32+'Evolutive SFP'!BO33+'Evolutive SFP'!BO34+'Evolutive SFP'!BO35)</f>
        <v>0.19982647004386803</v>
      </c>
      <c r="BR13" s="270">
        <f>('Evolutive SFP'!BP4+'Evolutive SFP'!BP8)/('Evolutive SFP'!BP30+'Evolutive SFP'!BP31+'Evolutive SFP'!BP32+'Evolutive SFP'!BP33+'Evolutive SFP'!BP34+'Evolutive SFP'!BP35)</f>
        <v>0.27096705892145456</v>
      </c>
      <c r="BS13" s="270">
        <f>('Evolutive SFP'!BQ4+'Evolutive SFP'!BQ8)/('Evolutive SFP'!BQ30+'Evolutive SFP'!BQ31+'Evolutive SFP'!BQ32+'Evolutive SFP'!BQ33+'Evolutive SFP'!BQ34+'Evolutive SFP'!BQ35)</f>
        <v>0.21261861364783402</v>
      </c>
      <c r="BT13" s="270">
        <f>('Evolutive SFP'!BR4+'Evolutive SFP'!BR8)/('Evolutive SFP'!BR30+'Evolutive SFP'!BR31+'Evolutive SFP'!BR32+'Evolutive SFP'!BR33+'Evolutive SFP'!BR34+'Evolutive SFP'!BR35)</f>
        <v>0.20382434511824984</v>
      </c>
      <c r="BU13" s="270">
        <f>('Evolutive SFP'!BS4+'Evolutive SFP'!BS8)/('Evolutive SFP'!BS30+'Evolutive SFP'!BS31+'Evolutive SFP'!BS32+'Evolutive SFP'!BS33+'Evolutive SFP'!BS34+'Evolutive SFP'!BS35)</f>
        <v>0.20684638045939727</v>
      </c>
      <c r="BV13" s="270">
        <f>('Evolutive SFP'!BT4+'Evolutive SFP'!BT8)/('Evolutive SFP'!BT30+'Evolutive SFP'!BT31+'Evolutive SFP'!BT32+'Evolutive SFP'!BT33+'Evolutive SFP'!BT34+'Evolutive SFP'!BT35)</f>
        <v>0.22184832167228524</v>
      </c>
      <c r="BW13" s="270">
        <f>('Evolutive SFP'!BU4+'Evolutive SFP'!BU8)/('Evolutive SFP'!BU30+'Evolutive SFP'!BU31+'Evolutive SFP'!BU32+'Evolutive SFP'!BU33+'Evolutive SFP'!BU34+'Evolutive SFP'!BU35)</f>
        <v>0.21810737854455772</v>
      </c>
      <c r="BX13" s="270">
        <f>('Evolutive SFP'!BV4+'Evolutive SFP'!BV8)/('Evolutive SFP'!BV30+'Evolutive SFP'!BV31+'Evolutive SFP'!BV32+'Evolutive SFP'!BV33+'Evolutive SFP'!BV34+'Evolutive SFP'!BV35)</f>
        <v>0.14604440460934762</v>
      </c>
      <c r="BY13" s="270">
        <f>('Evolutive SFP'!BW4+'Evolutive SFP'!BW8)/('Evolutive SFP'!BW30+'Evolutive SFP'!BW31+'Evolutive SFP'!BW32+'Evolutive SFP'!BW33+'Evolutive SFP'!BW34+'Evolutive SFP'!BW35)</f>
        <v>0.1526972544579655</v>
      </c>
      <c r="BZ13" s="270">
        <f>('Evolutive SFP'!BX4+'Evolutive SFP'!BX8)/('Evolutive SFP'!BX30+'Evolutive SFP'!BX31+'Evolutive SFP'!BX32+'Evolutive SFP'!BX33+'Evolutive SFP'!BX34+'Evolutive SFP'!BX35)</f>
        <v>0.11249321714381129</v>
      </c>
      <c r="CA13" s="270">
        <f>('Evolutive SFP'!BY4+'Evolutive SFP'!BY8)/('Evolutive SFP'!BY30+'Evolutive SFP'!BY31+'Evolutive SFP'!BY32+'Evolutive SFP'!BY33+'Evolutive SFP'!BY34+'Evolutive SFP'!BY35)</f>
        <v>0.16838876353286772</v>
      </c>
      <c r="CB13" s="270">
        <f>('Evolutive SFP'!BZ4+'Evolutive SFP'!BZ8)/('Evolutive SFP'!BZ30+'Evolutive SFP'!BZ31+'Evolutive SFP'!BZ32+'Evolutive SFP'!BZ33+'Evolutive SFP'!BZ34+'Evolutive SFP'!BZ35)</f>
        <v>0.11250928248509907</v>
      </c>
      <c r="CC13" s="270">
        <f>('Evolutive SFP'!CA4+'Evolutive SFP'!CA8)/('Evolutive SFP'!CA30+'Evolutive SFP'!CA31+'Evolutive SFP'!CA32+'Evolutive SFP'!CA33+'Evolutive SFP'!CA34+'Evolutive SFP'!CA35)</f>
        <v>0.15454392027859454</v>
      </c>
      <c r="CD13" s="26">
        <f>('Evolutive SFP'!CB4+'Evolutive SFP'!CB8)/('Evolutive SFP'!CB30+'Evolutive SFP'!CB31+'Evolutive SFP'!CB32+'Evolutive SFP'!CB33+'Evolutive SFP'!CB34+'Evolutive SFP'!CB35)</f>
        <v>0.17103368916899014</v>
      </c>
      <c r="CE13" s="26">
        <f>('Evolutive SFP'!CC4+'Evolutive SFP'!CC8)/('Evolutive SFP'!CC30+'Evolutive SFP'!CC31+'Evolutive SFP'!CC32+'Evolutive SFP'!CC33+'Evolutive SFP'!CC34+'Evolutive SFP'!CC35)</f>
        <v>0.20216187408851941</v>
      </c>
      <c r="CF13" s="26">
        <f>('Evolutive SFP'!CD4+'Evolutive SFP'!CD8)/('Evolutive SFP'!CD30+'Evolutive SFP'!CD31+'Evolutive SFP'!CD32+'Evolutive SFP'!CD33+'Evolutive SFP'!CD34+'Evolutive SFP'!CD35)</f>
        <v>0.16353535501285918</v>
      </c>
      <c r="CG13" s="301">
        <f>('Evolutive SFP'!CE4+'Evolutive SFP'!CE8)/('Evolutive SFP'!CE30+'Evolutive SFP'!CE31+'Evolutive SFP'!CE32+'Evolutive SFP'!CE33+'Evolutive SFP'!CE34+'Evolutive SFP'!CE35)</f>
        <v>0.1592935493419336</v>
      </c>
    </row>
    <row r="14" spans="1:85" ht="15.6">
      <c r="A14" s="326"/>
      <c r="B14" s="3" t="s">
        <v>219</v>
      </c>
      <c r="C14" s="24" t="s">
        <v>175</v>
      </c>
      <c r="D14" s="270">
        <f>'Evolutive SFP'!B36/'Evolutive SFP'!B26</f>
        <v>1.7798120421926928E-2</v>
      </c>
      <c r="E14" s="270">
        <f>'Evolutive SFP'!C36/'Evolutive SFP'!C26</f>
        <v>1.1556424787596394E-2</v>
      </c>
      <c r="F14" s="270">
        <f>'Evolutive SFP'!D36/'Evolutive SFP'!D26</f>
        <v>6.4789660036132526E-2</v>
      </c>
      <c r="G14" s="270">
        <f>'Evolutive SFP'!E36/'Evolutive SFP'!E26</f>
        <v>9.6654786950017099E-2</v>
      </c>
      <c r="H14" s="270">
        <f>'Evolutive SFP'!F36/'Evolutive SFP'!F26</f>
        <v>0.10338849472754358</v>
      </c>
      <c r="I14" s="270">
        <f>'Evolutive SFP'!G36/'Evolutive SFP'!G26</f>
        <v>9.1601863015159019E-2</v>
      </c>
      <c r="J14" s="270">
        <f>'Evolutive SFP'!H36/'Evolutive SFP'!H26</f>
        <v>8.7222463941415126E-2</v>
      </c>
      <c r="K14" s="270">
        <f>'Evolutive SFP'!I36/'Evolutive SFP'!I26</f>
        <v>9.1856624498659514E-2</v>
      </c>
      <c r="L14" s="270">
        <f>'Evolutive SFP'!J36/'Evolutive SFP'!J26</f>
        <v>8.8455462420559683E-2</v>
      </c>
      <c r="M14" s="270">
        <f>'Evolutive SFP'!K36/'Evolutive SFP'!K26</f>
        <v>9.1377648362775968E-2</v>
      </c>
      <c r="N14" s="270" t="e">
        <f>'Evolutive SFP'!L36/'Evolutive SFP'!L26</f>
        <v>#DIV/0!</v>
      </c>
      <c r="O14" s="270" t="e">
        <f>'Evolutive SFP'!M36/'Evolutive SFP'!M26</f>
        <v>#DIV/0!</v>
      </c>
      <c r="P14" s="270" t="e">
        <f>'Evolutive SFP'!N36/'Evolutive SFP'!N26</f>
        <v>#DIV/0!</v>
      </c>
      <c r="Q14" s="270" t="e">
        <f>'Evolutive SFP'!O36/'Evolutive SFP'!O26</f>
        <v>#DIV/0!</v>
      </c>
      <c r="R14" s="270" t="e">
        <f>'Evolutive SFP'!P36/'Evolutive SFP'!P26</f>
        <v>#DIV/0!</v>
      </c>
      <c r="S14" s="270" t="e">
        <f>'Evolutive SFP'!Q36/'Evolutive SFP'!Q26</f>
        <v>#DIV/0!</v>
      </c>
      <c r="T14" s="270">
        <f>'Evolutive SFP'!R36/'Evolutive SFP'!R26</f>
        <v>0.12148329135084014</v>
      </c>
      <c r="U14" s="270">
        <f>'Evolutive SFP'!S36/'Evolutive SFP'!S26</f>
        <v>0.11510338723971923</v>
      </c>
      <c r="V14" s="270">
        <f>'Evolutive SFP'!T36/'Evolutive SFP'!T26</f>
        <v>0.11824804974348146</v>
      </c>
      <c r="W14" s="270">
        <f>'Evolutive SFP'!U36/'Evolutive SFP'!U26</f>
        <v>0.11812205692030124</v>
      </c>
      <c r="X14" s="270">
        <f>'Evolutive SFP'!V36/'Evolutive SFP'!V26</f>
        <v>0.12061137161712959</v>
      </c>
      <c r="Y14" s="270">
        <f>'Evolutive SFP'!W36/'Evolutive SFP'!W26</f>
        <v>0.12987066702344016</v>
      </c>
      <c r="Z14" s="270">
        <f>'Evolutive SFP'!X36/'Evolutive SFP'!X26</f>
        <v>0.11893448823471375</v>
      </c>
      <c r="AA14" s="270">
        <f>'Evolutive SFP'!Y36/'Evolutive SFP'!Y26</f>
        <v>0.11948089278032827</v>
      </c>
      <c r="AB14" s="270">
        <f>'Evolutive SFP'!Z36/'Evolutive SFP'!Z26</f>
        <v>0.11448247827401686</v>
      </c>
      <c r="AC14" s="270">
        <f>'Evolutive SFP'!AA36/'Evolutive SFP'!AA26</f>
        <v>0.11805342788631536</v>
      </c>
      <c r="AD14" s="270">
        <f>'Evolutive SFP'!AB36/'Evolutive SFP'!AB26</f>
        <v>0.12376378116655674</v>
      </c>
      <c r="AE14" s="270">
        <f>'Evolutive SFP'!AC36/'Evolutive SFP'!AC26</f>
        <v>0.10934035611943557</v>
      </c>
      <c r="AF14" s="270">
        <f>'Evolutive SFP'!AD36/'Evolutive SFP'!AD26</f>
        <v>0.10493850372023583</v>
      </c>
      <c r="AG14" s="270">
        <f>'Evolutive SFP'!AE36/'Evolutive SFP'!AE26</f>
        <v>0.10616566167624022</v>
      </c>
      <c r="AH14" s="270">
        <f>'Evolutive SFP'!AF36/'Evolutive SFP'!AF26</f>
        <v>0.11285561593160266</v>
      </c>
      <c r="AI14" s="270">
        <f>'Evolutive SFP'!AG36/'Evolutive SFP'!AG26</f>
        <v>0.10347015730754996</v>
      </c>
      <c r="AJ14" s="270">
        <f>'Evolutive SFP'!AH36/'Evolutive SFP'!AH26</f>
        <v>0.12679908739758872</v>
      </c>
      <c r="AK14" s="270">
        <f>'Evolutive SFP'!AI36/'Evolutive SFP'!AI26</f>
        <v>0.11396597733560374</v>
      </c>
      <c r="AL14" s="270">
        <f>'Evolutive SFP'!AJ36/'Evolutive SFP'!AJ26</f>
        <v>0.11331771590262944</v>
      </c>
      <c r="AM14" s="270">
        <f>'Evolutive SFP'!AK36/'Evolutive SFP'!AK26</f>
        <v>0.11545748539823826</v>
      </c>
      <c r="AN14" s="270">
        <f>'Evolutive SFP'!AL36/'Evolutive SFP'!AL26</f>
        <v>0.10778525676524521</v>
      </c>
      <c r="AO14" s="270">
        <f>'Evolutive SFP'!AM36/'Evolutive SFP'!AM26</f>
        <v>0.10573923216079205</v>
      </c>
      <c r="AP14" s="270">
        <f>'Evolutive SFP'!AN36/'Evolutive SFP'!AN26</f>
        <v>0.12889886370439124</v>
      </c>
      <c r="AQ14" s="270" t="e">
        <f>'Evolutive SFP'!AO36/'Evolutive SFP'!AO26</f>
        <v>#DIV/0!</v>
      </c>
      <c r="AR14" s="270" t="e">
        <f>'Evolutive SFP'!AP36/'Evolutive SFP'!AP26</f>
        <v>#DIV/0!</v>
      </c>
      <c r="AS14" s="270" t="e">
        <f>'Evolutive SFP'!AQ36/'Evolutive SFP'!AQ26</f>
        <v>#DIV/0!</v>
      </c>
      <c r="AT14" s="270" t="e">
        <f>'Evolutive SFP'!AR36/'Evolutive SFP'!AR26</f>
        <v>#DIV/0!</v>
      </c>
      <c r="AU14" s="270">
        <f>'Evolutive SFP'!AS36/'Evolutive SFP'!AS26</f>
        <v>0.23402305946125007</v>
      </c>
      <c r="AV14" s="270">
        <f>'Evolutive SFP'!AT36/'Evolutive SFP'!AT26</f>
        <v>0.11169700146029719</v>
      </c>
      <c r="AW14" s="270">
        <f>'Evolutive SFP'!AU36/'Evolutive SFP'!AU26</f>
        <v>0.12555669640418224</v>
      </c>
      <c r="AX14" s="270">
        <f>'Evolutive SFP'!AV36/'Evolutive SFP'!AV26</f>
        <v>0.12799208672001028</v>
      </c>
      <c r="AY14" s="270">
        <f>'Evolutive SFP'!AW36/'Evolutive SFP'!AW26</f>
        <v>0.12579988363496167</v>
      </c>
      <c r="AZ14" s="270">
        <f>'Evolutive SFP'!AX36/'Evolutive SFP'!AX26</f>
        <v>0.12011746004466449</v>
      </c>
      <c r="BA14" s="270" t="e">
        <f>'Evolutive SFP'!AY36/'Evolutive SFP'!AY26</f>
        <v>#DIV/0!</v>
      </c>
      <c r="BB14" s="270">
        <f>'Evolutive SFP'!AZ36/'Evolutive SFP'!AZ26</f>
        <v>0.13227981155120128</v>
      </c>
      <c r="BC14" s="270">
        <f>'Evolutive SFP'!BA36/'Evolutive SFP'!BA26</f>
        <v>0.12918216325543946</v>
      </c>
      <c r="BD14" s="270">
        <f>'Evolutive SFP'!BB36/'Evolutive SFP'!BB26</f>
        <v>0.12527711505390218</v>
      </c>
      <c r="BE14" s="270">
        <f>'Evolutive SFP'!BC36/'Evolutive SFP'!BC26</f>
        <v>0.1256837029315318</v>
      </c>
      <c r="BF14" s="270">
        <f>'Evolutive SFP'!BD36/'Evolutive SFP'!BD26</f>
        <v>0.12141748635795382</v>
      </c>
      <c r="BG14" s="270">
        <f>'Evolutive SFP'!BE36/'Evolutive SFP'!BE26</f>
        <v>0.1319462919634557</v>
      </c>
      <c r="BH14" s="270">
        <f>'Evolutive SFP'!BF36/'Evolutive SFP'!BF26</f>
        <v>0.12759367905893526</v>
      </c>
      <c r="BI14" s="270">
        <f>'Evolutive SFP'!BG36/'Evolutive SFP'!BG26</f>
        <v>0.14464694373445802</v>
      </c>
      <c r="BJ14" s="270">
        <f>'Evolutive SFP'!BH36/'Evolutive SFP'!BH26</f>
        <v>0.1392552919262082</v>
      </c>
      <c r="BK14" s="270">
        <f>'Evolutive SFP'!BI36/'Evolutive SFP'!BI26</f>
        <v>0.14241386526072686</v>
      </c>
      <c r="BL14" s="270">
        <f>'Evolutive SFP'!BJ36/'Evolutive SFP'!BJ26</f>
        <v>0.14356234980876356</v>
      </c>
      <c r="BM14" s="270">
        <f>'Evolutive SFP'!BK36/'Evolutive SFP'!BK26</f>
        <v>0.13274470997086418</v>
      </c>
      <c r="BN14" s="270">
        <f>'Evolutive SFP'!BL36/'Evolutive SFP'!BL26</f>
        <v>0.14402377681161863</v>
      </c>
      <c r="BO14" s="270">
        <f>'Evolutive SFP'!BM36/'Evolutive SFP'!BM26</f>
        <v>0.14436853769564351</v>
      </c>
      <c r="BP14" s="270">
        <f>'Evolutive SFP'!BN36/'Evolutive SFP'!BN26</f>
        <v>0.14450877164959036</v>
      </c>
      <c r="BQ14" s="270">
        <f>'Evolutive SFP'!BO36/'Evolutive SFP'!BO26</f>
        <v>0.16174870441391132</v>
      </c>
      <c r="BR14" s="270">
        <f>'Evolutive SFP'!BP36/'Evolutive SFP'!BP26</f>
        <v>0.14582419039211389</v>
      </c>
      <c r="BS14" s="270">
        <f>'Evolutive SFP'!BQ36/'Evolutive SFP'!BQ26</f>
        <v>0.14345609882300422</v>
      </c>
      <c r="BT14" s="270">
        <f>'Evolutive SFP'!BR36/'Evolutive SFP'!BR26</f>
        <v>0.11834890018994525</v>
      </c>
      <c r="BU14" s="270">
        <f>'Evolutive SFP'!BS36/'Evolutive SFP'!BS26</f>
        <v>0.14446556168535321</v>
      </c>
      <c r="BV14" s="270">
        <f>'Evolutive SFP'!BT36/'Evolutive SFP'!BT26</f>
        <v>0.13840975635337383</v>
      </c>
      <c r="BW14" s="270">
        <f>'Evolutive SFP'!BU36/'Evolutive SFP'!BU26</f>
        <v>0.13483175600165931</v>
      </c>
      <c r="BX14" s="270">
        <f>'Evolutive SFP'!BV36/'Evolutive SFP'!BV26</f>
        <v>0.1395148288507026</v>
      </c>
      <c r="BY14" s="270">
        <f>'Evolutive SFP'!BW36/'Evolutive SFP'!BW26</f>
        <v>0.12817150076347386</v>
      </c>
      <c r="BZ14" s="270">
        <f>'Evolutive SFP'!BX36/'Evolutive SFP'!BX26</f>
        <v>0.12705550460455314</v>
      </c>
      <c r="CA14" s="270">
        <f>'Evolutive SFP'!BY36/'Evolutive SFP'!BY26</f>
        <v>0.13022225005480084</v>
      </c>
      <c r="CB14" s="270">
        <f>'Evolutive SFP'!BZ36/'Evolutive SFP'!BZ26</f>
        <v>0.13073254423499872</v>
      </c>
      <c r="CC14" s="270">
        <f>'Evolutive SFP'!CA36/'Evolutive SFP'!CA26</f>
        <v>0.13755600209359625</v>
      </c>
      <c r="CD14" s="162">
        <f>'Evolutive SFP'!CB36/'Evolutive SFP'!CB26</f>
        <v>0.139557708842621</v>
      </c>
      <c r="CE14" s="162">
        <f>'Evolutive SFP'!CC36/'Evolutive SFP'!CC26</f>
        <v>0.13152364444865666</v>
      </c>
      <c r="CF14" s="162">
        <f>'Evolutive SFP'!CD36/'Evolutive SFP'!CD26</f>
        <v>0.14018429735824606</v>
      </c>
      <c r="CG14" s="300">
        <f>'Evolutive SFP'!CE36/'Evolutive SFP'!CE26</f>
        <v>0.12101329249163922</v>
      </c>
    </row>
    <row r="15" spans="1:85" ht="15.6" hidden="1">
      <c r="A15" s="326"/>
      <c r="B15" s="3" t="s">
        <v>176</v>
      </c>
      <c r="C15" s="24"/>
      <c r="D15" s="270">
        <f>'Evolutive SFP'!B4/'Evolutive SFP'!B26</f>
        <v>0.40027697609805168</v>
      </c>
      <c r="E15" s="270">
        <f>'Evolutive SFP'!C4/'Evolutive SFP'!C26</f>
        <v>0.32230740534802577</v>
      </c>
      <c r="F15" s="270">
        <f>'Evolutive SFP'!D4/'Evolutive SFP'!D26</f>
        <v>0.2354750797044971</v>
      </c>
      <c r="G15" s="270">
        <f>'Evolutive SFP'!E4/'Evolutive SFP'!E26</f>
        <v>0.1669552951167757</v>
      </c>
      <c r="H15" s="270">
        <f>'Evolutive SFP'!F4/'Evolutive SFP'!F26</f>
        <v>0.11583364574306024</v>
      </c>
      <c r="I15" s="270">
        <f>'Evolutive SFP'!G4/'Evolutive SFP'!G26</f>
        <v>0.17247916936072888</v>
      </c>
      <c r="J15" s="270">
        <f>'Evolutive SFP'!H4/'Evolutive SFP'!H26</f>
        <v>0.10468319645792876</v>
      </c>
      <c r="K15" s="270">
        <f>'Evolutive SFP'!I4/'Evolutive SFP'!I26</f>
        <v>8.0988944637047047E-2</v>
      </c>
      <c r="L15" s="270">
        <f>'Evolutive SFP'!J4/'Evolutive SFP'!J26</f>
        <v>4.7431088461611606E-2</v>
      </c>
      <c r="M15" s="270">
        <f>'Evolutive SFP'!K4/'Evolutive SFP'!K26</f>
        <v>1.8626308171978453E-2</v>
      </c>
      <c r="N15" s="270" t="e">
        <f>'Evolutive SFP'!L4/'Evolutive SFP'!L26</f>
        <v>#DIV/0!</v>
      </c>
      <c r="O15" s="270" t="e">
        <f>'Evolutive SFP'!M4/'Evolutive SFP'!M26</f>
        <v>#DIV/0!</v>
      </c>
      <c r="P15" s="270" t="e">
        <f>'Evolutive SFP'!N4/'Evolutive SFP'!N26</f>
        <v>#DIV/0!</v>
      </c>
      <c r="Q15" s="270" t="e">
        <f>'Evolutive SFP'!O4/'Evolutive SFP'!O26</f>
        <v>#DIV/0!</v>
      </c>
      <c r="R15" s="270" t="e">
        <f>'Evolutive SFP'!P4/'Evolutive SFP'!P26</f>
        <v>#DIV/0!</v>
      </c>
      <c r="S15" s="270" t="e">
        <f>'Evolutive SFP'!Q4/'Evolutive SFP'!Q26</f>
        <v>#DIV/0!</v>
      </c>
      <c r="T15" s="270">
        <f>'Evolutive SFP'!R4/'Evolutive SFP'!R26</f>
        <v>0.13598454632799259</v>
      </c>
      <c r="U15" s="270">
        <f>'Evolutive SFP'!S4/'Evolutive SFP'!S26</f>
        <v>7.6641500715269859E-2</v>
      </c>
      <c r="V15" s="270">
        <f>'Evolutive SFP'!T4/'Evolutive SFP'!T26</f>
        <v>5.5449968414570144E-2</v>
      </c>
      <c r="W15" s="270">
        <f>'Evolutive SFP'!U4/'Evolutive SFP'!U26</f>
        <v>5.5390886695413151E-2</v>
      </c>
      <c r="X15" s="270">
        <f>'Evolutive SFP'!V4/'Evolutive SFP'!V26</f>
        <v>1.274566231460194E-2</v>
      </c>
      <c r="Y15" s="270">
        <f>'Evolutive SFP'!W4/'Evolutive SFP'!W26</f>
        <v>1.012617351177084E-2</v>
      </c>
      <c r="Z15" s="270">
        <f>'Evolutive SFP'!X4/'Evolutive SFP'!X26</f>
        <v>4.285367554976857E-3</v>
      </c>
      <c r="AA15" s="270">
        <f>'Evolutive SFP'!Y4/'Evolutive SFP'!Y26</f>
        <v>-4.6912251615384608E-3</v>
      </c>
      <c r="AB15" s="270">
        <f>'Evolutive SFP'!Z4/'Evolutive SFP'!Z26</f>
        <v>8.2757753559886002E-2</v>
      </c>
      <c r="AC15" s="270">
        <f>'Evolutive SFP'!AA4/'Evolutive SFP'!AA26</f>
        <v>8.8695736669689856E-2</v>
      </c>
      <c r="AD15" s="270">
        <f>'Evolutive SFP'!AB4/'Evolutive SFP'!AB26</f>
        <v>8.1360767636907194E-2</v>
      </c>
      <c r="AE15" s="270">
        <f>'Evolutive SFP'!AC4/'Evolutive SFP'!AC26</f>
        <v>0.14907329959225391</v>
      </c>
      <c r="AF15" s="270">
        <f>'Evolutive SFP'!AD4/'Evolutive SFP'!AD26</f>
        <v>-1.6148438409343178E-2</v>
      </c>
      <c r="AG15" s="270">
        <f>'Evolutive SFP'!AE4/'Evolutive SFP'!AE26</f>
        <v>0.14161018365830666</v>
      </c>
      <c r="AH15" s="270">
        <f>'Evolutive SFP'!AF4/'Evolutive SFP'!AF26</f>
        <v>-1.4902366544384666E-2</v>
      </c>
      <c r="AI15" s="270">
        <f>'Evolutive SFP'!AG4/'Evolutive SFP'!AG26</f>
        <v>4.1140149795731933E-2</v>
      </c>
      <c r="AJ15" s="270">
        <f>'Evolutive SFP'!AH4/'Evolutive SFP'!AH26</f>
        <v>4.0276777784948085E-2</v>
      </c>
      <c r="AK15" s="270">
        <f>'Evolutive SFP'!AI4/'Evolutive SFP'!AI26</f>
        <v>-7.7729986156695061E-2</v>
      </c>
      <c r="AL15" s="270">
        <f>'Evolutive SFP'!AJ4/'Evolutive SFP'!AJ26</f>
        <v>-4.1738902620408962E-2</v>
      </c>
      <c r="AM15" s="270">
        <f>'Evolutive SFP'!AK4/'Evolutive SFP'!AK26</f>
        <v>-5.6612560411420605E-2</v>
      </c>
      <c r="AN15" s="270">
        <f>'Evolutive SFP'!AL4/'Evolutive SFP'!AL26</f>
        <v>6.2903866406484807E-2</v>
      </c>
      <c r="AO15" s="270">
        <f>'Evolutive SFP'!AM4/'Evolutive SFP'!AM26</f>
        <v>5.3964692783536765E-2</v>
      </c>
      <c r="AP15" s="270">
        <f>'Evolutive SFP'!AN4/'Evolutive SFP'!AN26</f>
        <v>6.0081221508688554E-2</v>
      </c>
      <c r="AQ15" s="270" t="e">
        <f>'Evolutive SFP'!AO4/'Evolutive SFP'!AO26</f>
        <v>#DIV/0!</v>
      </c>
      <c r="AR15" s="270" t="e">
        <f>'Evolutive SFP'!AP4/'Evolutive SFP'!AP26</f>
        <v>#DIV/0!</v>
      </c>
      <c r="AS15" s="270" t="e">
        <f>'Evolutive SFP'!AQ4/'Evolutive SFP'!AQ26</f>
        <v>#DIV/0!</v>
      </c>
      <c r="AT15" s="270" t="e">
        <f>'Evolutive SFP'!AR4/'Evolutive SFP'!AR26</f>
        <v>#DIV/0!</v>
      </c>
      <c r="AU15" s="270">
        <f>'Evolutive SFP'!AS4/'Evolutive SFP'!AS26</f>
        <v>8.3132337330289921E-2</v>
      </c>
      <c r="AV15" s="270">
        <f>'Evolutive SFP'!AT4/'Evolutive SFP'!AT26</f>
        <v>3.170063996006614E-2</v>
      </c>
      <c r="AW15" s="270">
        <f>'Evolutive SFP'!AU4/'Evolutive SFP'!AU26</f>
        <v>0.12974572469889287</v>
      </c>
      <c r="AX15" s="270">
        <f>'Evolutive SFP'!AV4/'Evolutive SFP'!AV26</f>
        <v>0.11056727809922576</v>
      </c>
      <c r="AY15" s="270">
        <f>'Evolutive SFP'!AW4/'Evolutive SFP'!AW26</f>
        <v>0.11194314275852588</v>
      </c>
      <c r="AZ15" s="270">
        <f>'Evolutive SFP'!AX4/'Evolutive SFP'!AX26</f>
        <v>0.12053294226340004</v>
      </c>
      <c r="BA15" s="270" t="e">
        <f>'Evolutive SFP'!AY4/'Evolutive SFP'!AY26</f>
        <v>#DIV/0!</v>
      </c>
      <c r="BB15" s="270">
        <f>'Evolutive SFP'!AZ4/'Evolutive SFP'!AZ26</f>
        <v>9.8196172012836716E-2</v>
      </c>
      <c r="BC15" s="270">
        <f>'Evolutive SFP'!BA4/'Evolutive SFP'!BA26</f>
        <v>0.11204537527054846</v>
      </c>
      <c r="BD15" s="270">
        <f>'Evolutive SFP'!BB4/'Evolutive SFP'!BB26</f>
        <v>0.13621841151896338</v>
      </c>
      <c r="BE15" s="270">
        <f>'Evolutive SFP'!BC4/'Evolutive SFP'!BC26</f>
        <v>0.13356740331015041</v>
      </c>
      <c r="BF15" s="270">
        <f>'Evolutive SFP'!BD4/'Evolutive SFP'!BD26</f>
        <v>0.17777446191141244</v>
      </c>
      <c r="BG15" s="270">
        <f>'Evolutive SFP'!BE4/'Evolutive SFP'!BE26</f>
        <v>0.19322999982921651</v>
      </c>
      <c r="BH15" s="270">
        <f>'Evolutive SFP'!BF4/'Evolutive SFP'!BF26</f>
        <v>0.10470669270142099</v>
      </c>
      <c r="BI15" s="270">
        <f>'Evolutive SFP'!BG4/'Evolutive SFP'!BG26</f>
        <v>0.14045842611850459</v>
      </c>
      <c r="BJ15" s="270">
        <f>'Evolutive SFP'!BH4/'Evolutive SFP'!BH26</f>
        <v>0.11626492157071941</v>
      </c>
      <c r="BK15" s="270">
        <f>'Evolutive SFP'!BI4/'Evolutive SFP'!BI26</f>
        <v>8.5562071101063883E-2</v>
      </c>
      <c r="BL15" s="270">
        <f>'Evolutive SFP'!BJ4/'Evolutive SFP'!BJ26</f>
        <v>0.1326084633512648</v>
      </c>
      <c r="BM15" s="270">
        <f>'Evolutive SFP'!BK4/'Evolutive SFP'!BK26</f>
        <v>0.10218171838306403</v>
      </c>
      <c r="BN15" s="270">
        <f>'Evolutive SFP'!BL4/'Evolutive SFP'!BL26</f>
        <v>6.1267647097267335E-2</v>
      </c>
      <c r="BO15" s="270">
        <f>'Evolutive SFP'!BM4/'Evolutive SFP'!BM26</f>
        <v>6.3093945251461003E-2</v>
      </c>
      <c r="BP15" s="270">
        <f>'Evolutive SFP'!BN4/'Evolutive SFP'!BN26</f>
        <v>6.531029062112241E-2</v>
      </c>
      <c r="BQ15" s="270">
        <f>'Evolutive SFP'!BO4/'Evolutive SFP'!BO26</f>
        <v>7.7792422181844095E-2</v>
      </c>
      <c r="BR15" s="270">
        <f>'Evolutive SFP'!BP4/'Evolutive SFP'!BP26</f>
        <v>0.16556576545309185</v>
      </c>
      <c r="BS15" s="270">
        <f>'Evolutive SFP'!BQ4/'Evolutive SFP'!BQ26</f>
        <v>0.10772662203606703</v>
      </c>
      <c r="BT15" s="270">
        <f>'Evolutive SFP'!BR4/'Evolutive SFP'!BR26</f>
        <v>0.13590910683162075</v>
      </c>
      <c r="BU15" s="270">
        <f>'Evolutive SFP'!BS4/'Evolutive SFP'!BS26</f>
        <v>9.9469824535815432E-2</v>
      </c>
      <c r="BV15" s="270">
        <f>'Evolutive SFP'!BT4/'Evolutive SFP'!BT26</f>
        <v>0.11954131492352096</v>
      </c>
      <c r="BW15" s="270">
        <f>'Evolutive SFP'!BU4/'Evolutive SFP'!BU26</f>
        <v>0.11970730997416931</v>
      </c>
      <c r="BX15" s="270">
        <f>'Evolutive SFP'!BV4/'Evolutive SFP'!BV26</f>
        <v>3.464601499834212E-2</v>
      </c>
      <c r="BY15" s="270">
        <f>'Evolutive SFP'!BW4/'Evolutive SFP'!BW26</f>
        <v>0.10422269663553213</v>
      </c>
      <c r="BZ15" s="270">
        <f>'Evolutive SFP'!BX4/'Evolutive SFP'!BX26</f>
        <v>6.0202234525194319E-2</v>
      </c>
      <c r="CA15" s="270">
        <f>'Evolutive SFP'!BY4/'Evolutive SFP'!BY26</f>
        <v>0.12255021652824559</v>
      </c>
      <c r="CB15" s="270">
        <f>'Evolutive SFP'!BZ4/'Evolutive SFP'!BZ26</f>
        <v>5.8784183738274674E-2</v>
      </c>
      <c r="CC15" s="270">
        <f>'Evolutive SFP'!CA4/'Evolutive SFP'!CA26</f>
        <v>8.9571836197243473E-2</v>
      </c>
      <c r="CD15" s="26">
        <f>'Evolutive SFP'!CB4/'Evolutive SFP'!CB26</f>
        <v>0.12036127662819006</v>
      </c>
      <c r="CE15" s="26">
        <f>'Evolutive SFP'!CC4/'Evolutive SFP'!CC26</f>
        <v>0.15548064638866996</v>
      </c>
      <c r="CF15" s="26">
        <f>'Evolutive SFP'!CD4/'Evolutive SFP'!CD26</f>
        <v>0.11226772784043995</v>
      </c>
      <c r="CG15" s="301">
        <f>'Evolutive SFP'!CE4/'Evolutive SFP'!CE26</f>
        <v>8.5984749582347073E-2</v>
      </c>
    </row>
    <row r="16" spans="1:85" ht="15.6">
      <c r="A16" s="326" t="s">
        <v>177</v>
      </c>
      <c r="B16" s="3" t="s">
        <v>220</v>
      </c>
      <c r="C16" s="24" t="s">
        <v>179</v>
      </c>
      <c r="D16" s="270">
        <f>('Evolutive SFP'!B7+'Evolutive SFP'!B20)/'Evolutive SFP'!B26</f>
        <v>0.21010948485075326</v>
      </c>
      <c r="E16" s="270">
        <f>('Evolutive SFP'!C7+'Evolutive SFP'!C20)/'Evolutive SFP'!C26</f>
        <v>0.18943961952299085</v>
      </c>
      <c r="F16" s="270">
        <f>('Evolutive SFP'!D7+'Evolutive SFP'!D20)/'Evolutive SFP'!D26</f>
        <v>0.14400130712043818</v>
      </c>
      <c r="G16" s="270">
        <f>('Evolutive SFP'!E7+'Evolutive SFP'!E20)/'Evolutive SFP'!E26</f>
        <v>0.21489473407775936</v>
      </c>
      <c r="H16" s="270">
        <f>('Evolutive SFP'!F7+'Evolutive SFP'!F20)/'Evolutive SFP'!F26</f>
        <v>0.1910607535542122</v>
      </c>
      <c r="I16" s="270">
        <f>('Evolutive SFP'!G7+'Evolutive SFP'!G20)/'Evolutive SFP'!G26</f>
        <v>0.19797678421801165</v>
      </c>
      <c r="J16" s="270">
        <f>('Evolutive SFP'!H7+'Evolutive SFP'!H20)/'Evolutive SFP'!H26</f>
        <v>0.19421061707284032</v>
      </c>
      <c r="K16" s="270">
        <f>('Evolutive SFP'!I7+'Evolutive SFP'!I20)/'Evolutive SFP'!I26</f>
        <v>0.20847393086028379</v>
      </c>
      <c r="L16" s="270">
        <f>('Evolutive SFP'!J7+'Evolutive SFP'!J20)/'Evolutive SFP'!J26</f>
        <v>0.2180066889672401</v>
      </c>
      <c r="M16" s="270">
        <f>('Evolutive SFP'!K7+'Evolutive SFP'!K20)/'Evolutive SFP'!K26</f>
        <v>0.22074878264464298</v>
      </c>
      <c r="N16" s="270" t="e">
        <f>('Evolutive SFP'!L7+'Evolutive SFP'!L20)/'Evolutive SFP'!L26</f>
        <v>#DIV/0!</v>
      </c>
      <c r="O16" s="270" t="e">
        <f>('Evolutive SFP'!M7+'Evolutive SFP'!M20)/'Evolutive SFP'!M26</f>
        <v>#DIV/0!</v>
      </c>
      <c r="P16" s="270" t="e">
        <f>('Evolutive SFP'!N7+'Evolutive SFP'!N20)/'Evolutive SFP'!N26</f>
        <v>#DIV/0!</v>
      </c>
      <c r="Q16" s="270" t="e">
        <f>('Evolutive SFP'!O7+'Evolutive SFP'!O20)/'Evolutive SFP'!O26</f>
        <v>#DIV/0!</v>
      </c>
      <c r="R16" s="270" t="e">
        <f>('Evolutive SFP'!P7+'Evolutive SFP'!P20)/'Evolutive SFP'!P26</f>
        <v>#DIV/0!</v>
      </c>
      <c r="S16" s="270" t="e">
        <f>('Evolutive SFP'!Q7+'Evolutive SFP'!Q20)/'Evolutive SFP'!Q26</f>
        <v>#DIV/0!</v>
      </c>
      <c r="T16" s="270">
        <f>('Evolutive SFP'!R7+'Evolutive SFP'!R20)/'Evolutive SFP'!R26</f>
        <v>0.27076248080550686</v>
      </c>
      <c r="U16" s="270">
        <f>('Evolutive SFP'!S7+'Evolutive SFP'!S20)/'Evolutive SFP'!S26</f>
        <v>0.26059743043252154</v>
      </c>
      <c r="V16" s="270">
        <f>('Evolutive SFP'!T7+'Evolutive SFP'!T20)/'Evolutive SFP'!T26</f>
        <v>0.24412200086701463</v>
      </c>
      <c r="W16" s="270">
        <f>('Evolutive SFP'!U7+'Evolutive SFP'!U20)/'Evolutive SFP'!U26</f>
        <v>0.26147105176863522</v>
      </c>
      <c r="X16" s="270">
        <f>('Evolutive SFP'!V7+'Evolutive SFP'!V20)/'Evolutive SFP'!V26</f>
        <v>0.35922164761301634</v>
      </c>
      <c r="Y16" s="270">
        <f>('Evolutive SFP'!W7+'Evolutive SFP'!W20)/'Evolutive SFP'!W26</f>
        <v>0.33023664649813478</v>
      </c>
      <c r="Z16" s="270">
        <f>('Evolutive SFP'!X7+'Evolutive SFP'!X20)/'Evolutive SFP'!X26</f>
        <v>0.27751736225270518</v>
      </c>
      <c r="AA16" s="270">
        <f>('Evolutive SFP'!Y7+'Evolutive SFP'!Y20)/'Evolutive SFP'!Y26</f>
        <v>9.6742599171118507E-2</v>
      </c>
      <c r="AB16" s="270">
        <f>('Evolutive SFP'!Z7+'Evolutive SFP'!Z20)/'Evolutive SFP'!Z26</f>
        <v>9.2695428114535947E-2</v>
      </c>
      <c r="AC16" s="270">
        <f>('Evolutive SFP'!AA7+'Evolutive SFP'!AA20)/'Evolutive SFP'!AA26</f>
        <v>9.4943146041614718E-2</v>
      </c>
      <c r="AD16" s="270">
        <f>('Evolutive SFP'!AB7+'Evolutive SFP'!AB20)/'Evolutive SFP'!AB26</f>
        <v>0.1009178613585827</v>
      </c>
      <c r="AE16" s="270">
        <f>('Evolutive SFP'!AC7+'Evolutive SFP'!AC20)/'Evolutive SFP'!AC26</f>
        <v>0.10343236440640947</v>
      </c>
      <c r="AF16" s="270">
        <f>('Evolutive SFP'!AD7+'Evolutive SFP'!AD20)/'Evolutive SFP'!AD26</f>
        <v>0.10405101630854133</v>
      </c>
      <c r="AG16" s="270">
        <f>('Evolutive SFP'!AE7+'Evolutive SFP'!AE20)/'Evolutive SFP'!AE26</f>
        <v>0.24183209859429822</v>
      </c>
      <c r="AH16" s="270">
        <f>('Evolutive SFP'!AF7+'Evolutive SFP'!AF20)/'Evolutive SFP'!AF26</f>
        <v>0.10897127402112715</v>
      </c>
      <c r="AI16" s="270">
        <f>('Evolutive SFP'!AG7+'Evolutive SFP'!AG20)/'Evolutive SFP'!AG26</f>
        <v>0.10169224675440802</v>
      </c>
      <c r="AJ16" s="270">
        <f>('Evolutive SFP'!AH7+'Evolutive SFP'!AH20)/'Evolutive SFP'!AH26</f>
        <v>0.11030976398918096</v>
      </c>
      <c r="AK16" s="270">
        <f>('Evolutive SFP'!AI7+'Evolutive SFP'!AI20)/'Evolutive SFP'!AI26</f>
        <v>0.1134123108860523</v>
      </c>
      <c r="AL16" s="270">
        <f>('Evolutive SFP'!AJ7+'Evolutive SFP'!AJ20)/'Evolutive SFP'!AJ26</f>
        <v>0.11277963296859382</v>
      </c>
      <c r="AM16" s="270">
        <f>('Evolutive SFP'!AK7+'Evolutive SFP'!AK20)/'Evolutive SFP'!AK26</f>
        <v>0.11491937197284113</v>
      </c>
      <c r="AN16" s="270">
        <f>('Evolutive SFP'!AL7+'Evolutive SFP'!AL20)/'Evolutive SFP'!AL26</f>
        <v>0.10728290134389511</v>
      </c>
      <c r="AO16" s="270">
        <f>('Evolutive SFP'!AM7+'Evolutive SFP'!AM20)/'Evolutive SFP'!AM26</f>
        <v>0.10530210502316782</v>
      </c>
      <c r="AP16" s="270">
        <f>('Evolutive SFP'!AN7+'Evolutive SFP'!AN20)/'Evolutive SFP'!AN26</f>
        <v>0.10482712764970822</v>
      </c>
      <c r="AQ16" s="270" t="e">
        <f>('Evolutive SFP'!AO7+'Evolutive SFP'!AO20)/'Evolutive SFP'!AO26</f>
        <v>#DIV/0!</v>
      </c>
      <c r="AR16" s="270" t="e">
        <f>('Evolutive SFP'!AP7+'Evolutive SFP'!AP20)/'Evolutive SFP'!AP26</f>
        <v>#DIV/0!</v>
      </c>
      <c r="AS16" s="270" t="e">
        <f>('Evolutive SFP'!AQ7+'Evolutive SFP'!AQ20)/'Evolutive SFP'!AQ26</f>
        <v>#DIV/0!</v>
      </c>
      <c r="AT16" s="270" t="e">
        <f>('Evolutive SFP'!AR7+'Evolutive SFP'!AR20)/'Evolutive SFP'!AR26</f>
        <v>#DIV/0!</v>
      </c>
      <c r="AU16" s="270">
        <f>('Evolutive SFP'!AS7+'Evolutive SFP'!AS20)/'Evolutive SFP'!AS26</f>
        <v>0.1936021345749778</v>
      </c>
      <c r="AV16" s="270">
        <f>('Evolutive SFP'!AT7+'Evolutive SFP'!AT20)/'Evolutive SFP'!AT26</f>
        <v>9.2404474833039318E-2</v>
      </c>
      <c r="AW16" s="270">
        <f>('Evolutive SFP'!AU7+'Evolutive SFP'!AU20)/'Evolutive SFP'!AU26</f>
        <v>8.7473595367337523E-2</v>
      </c>
      <c r="AX16" s="270">
        <f>('Evolutive SFP'!AV7+'Evolutive SFP'!AV20)/'Evolutive SFP'!AV26</f>
        <v>8.92434171120325E-2</v>
      </c>
      <c r="AY16" s="270">
        <f>('Evolutive SFP'!AW7+'Evolutive SFP'!AW20)/'Evolutive SFP'!AW26</f>
        <v>8.7781771016127205E-2</v>
      </c>
      <c r="AZ16" s="270">
        <f>('Evolutive SFP'!AX7+'Evolutive SFP'!AX20)/'Evolutive SFP'!AX26</f>
        <v>8.6058372802823621E-2</v>
      </c>
      <c r="BA16" s="270" t="e">
        <f>('Evolutive SFP'!AY7+'Evolutive SFP'!AY20)/'Evolutive SFP'!AY26</f>
        <v>#DIV/0!</v>
      </c>
      <c r="BB16" s="270">
        <f>('Evolutive SFP'!AZ7+'Evolutive SFP'!AZ20)/'Evolutive SFP'!AZ26</f>
        <v>9.1613071474849969E-2</v>
      </c>
      <c r="BC16" s="270">
        <f>('Evolutive SFP'!BA7+'Evolutive SFP'!BA20)/'Evolutive SFP'!BA26</f>
        <v>9.1505617221662242E-2</v>
      </c>
      <c r="BD16" s="270">
        <f>('Evolutive SFP'!BB7+'Evolutive SFP'!BB20)/'Evolutive SFP'!BB26</f>
        <v>8.8453449757613462E-2</v>
      </c>
      <c r="BE16" s="270">
        <f>('Evolutive SFP'!BC7+'Evolutive SFP'!BC20)/'Evolutive SFP'!BC26</f>
        <v>8.9774378994852411E-2</v>
      </c>
      <c r="BF16" s="270">
        <f>('Evolutive SFP'!BD7+'Evolutive SFP'!BD20)/'Evolutive SFP'!BD26</f>
        <v>8.6727071073322184E-2</v>
      </c>
      <c r="BG16" s="270">
        <f>('Evolutive SFP'!BE7+'Evolutive SFP'!BE20)/'Evolutive SFP'!BE26</f>
        <v>0.72813355564706173</v>
      </c>
      <c r="BH16" s="270">
        <f>('Evolutive SFP'!BF7+'Evolutive SFP'!BF20)/'Evolutive SFP'!BF26</f>
        <v>0.66326538310286287</v>
      </c>
      <c r="BI16" s="270">
        <f>('Evolutive SFP'!BG7+'Evolutive SFP'!BG20)/'Evolutive SFP'!BG26</f>
        <v>0.66513321774016632</v>
      </c>
      <c r="BJ16" s="270">
        <f>('Evolutive SFP'!BH7+'Evolutive SFP'!BH20)/'Evolutive SFP'!BH26</f>
        <v>0.68882218690098085</v>
      </c>
      <c r="BK16" s="270">
        <f>('Evolutive SFP'!BI7+'Evolutive SFP'!BI20)/'Evolutive SFP'!BI26</f>
        <v>0.69985343829307489</v>
      </c>
      <c r="BL16" s="270">
        <f>('Evolutive SFP'!BJ7+'Evolutive SFP'!BJ20)/'Evolutive SFP'!BJ26</f>
        <v>0.65233243361124982</v>
      </c>
      <c r="BM16" s="270">
        <f>('Evolutive SFP'!BK7+'Evolutive SFP'!BK20)/'Evolutive SFP'!BK26</f>
        <v>0.66637273623230175</v>
      </c>
      <c r="BN16" s="270">
        <f>('Evolutive SFP'!BL7+'Evolutive SFP'!BL20)/'Evolutive SFP'!BL26</f>
        <v>0.7288128333620516</v>
      </c>
      <c r="BO16" s="270">
        <f>('Evolutive SFP'!BM7+'Evolutive SFP'!BM20)/'Evolutive SFP'!BM26</f>
        <v>0.739456696583634</v>
      </c>
      <c r="BP16" s="270">
        <f>('Evolutive SFP'!BN7+'Evolutive SFP'!BN20)/'Evolutive SFP'!BN26</f>
        <v>0.74901929768157405</v>
      </c>
      <c r="BQ16" s="270">
        <f>('Evolutive SFP'!BO7+'Evolutive SFP'!BO20)/'Evolutive SFP'!BO26</f>
        <v>0.82847803650090424</v>
      </c>
      <c r="BR16" s="270">
        <f>('Evolutive SFP'!BP7+'Evolutive SFP'!BP20)/'Evolutive SFP'!BP26</f>
        <v>0.74736842829752337</v>
      </c>
      <c r="BS16" s="270">
        <f>('Evolutive SFP'!BQ7+'Evolutive SFP'!BQ20)/'Evolutive SFP'!BQ26</f>
        <v>0.71843050031040734</v>
      </c>
      <c r="BT16" s="270">
        <f>('Evolutive SFP'!BR7+'Evolutive SFP'!BR20)/'Evolutive SFP'!BR26</f>
        <v>0.65156690700411812</v>
      </c>
      <c r="BU16" s="270">
        <f>('Evolutive SFP'!BS7+'Evolutive SFP'!BS20)/'Evolutive SFP'!BS26</f>
        <v>0.72303862007413622</v>
      </c>
      <c r="BV16" s="270">
        <f>('Evolutive SFP'!BT7+'Evolutive SFP'!BT20)/'Evolutive SFP'!BT26</f>
        <v>0.7628514029011888</v>
      </c>
      <c r="BW16" s="270">
        <f>('Evolutive SFP'!BU7+'Evolutive SFP'!BU20)/'Evolutive SFP'!BU26</f>
        <v>0.73738833278087423</v>
      </c>
      <c r="BX16" s="270">
        <f>('Evolutive SFP'!BV7+'Evolutive SFP'!BV20)/'Evolutive SFP'!BV26</f>
        <v>0.77248418078775993</v>
      </c>
      <c r="BY16" s="270">
        <f>('Evolutive SFP'!BW7+'Evolutive SFP'!BW20)/'Evolutive SFP'!BW26</f>
        <v>0.64029135042920926</v>
      </c>
      <c r="BZ16" s="270">
        <f>('Evolutive SFP'!BX7+'Evolutive SFP'!BX20)/'Evolutive SFP'!BX26</f>
        <v>0.71435003847991063</v>
      </c>
      <c r="CA16" s="270">
        <f>('Evolutive SFP'!BY7+'Evolutive SFP'!BY20)/'Evolutive SFP'!BY26</f>
        <v>0.66118947217685031</v>
      </c>
      <c r="CB16" s="270">
        <f>('Evolutive SFP'!BZ7+'Evolutive SFP'!BZ20)/'Evolutive SFP'!BZ26</f>
        <v>0.71190540825608817</v>
      </c>
      <c r="CC16" s="270">
        <f>('Evolutive SFP'!CA7+'Evolutive SFP'!CA20)/'Evolutive SFP'!CA26</f>
        <v>0.6619434453731059</v>
      </c>
      <c r="CD16" s="162">
        <f>('Evolutive SFP'!CB7+'Evolutive SFP'!CB20)/'Evolutive SFP'!CB26</f>
        <v>0.64031925432067704</v>
      </c>
      <c r="CE16" s="162">
        <f>('Evolutive SFP'!CC7+'Evolutive SFP'!CC20)/'Evolutive SFP'!CC26</f>
        <v>0.60345732698917542</v>
      </c>
      <c r="CF16" s="162">
        <f>('Evolutive SFP'!CD7+'Evolutive SFP'!CD20)/'Evolutive SFP'!CD26</f>
        <v>0.58528202358810411</v>
      </c>
      <c r="CG16" s="300">
        <f>('Evolutive SFP'!CE7+'Evolutive SFP'!CE20)/'Evolutive SFP'!CE26</f>
        <v>0.65076935499430744</v>
      </c>
    </row>
    <row r="17" spans="1:85" ht="15.6">
      <c r="A17" s="326"/>
      <c r="B17" s="3" t="s">
        <v>221</v>
      </c>
      <c r="C17" s="24" t="s">
        <v>181</v>
      </c>
      <c r="D17" s="270">
        <f>'Evolutive SFP'!B20/'Evolutive SFP'!B26</f>
        <v>4.6772227709100979E-2</v>
      </c>
      <c r="E17" s="270">
        <f>'Evolutive SFP'!C20/'Evolutive SFP'!C26</f>
        <v>3.8030294012476568E-2</v>
      </c>
      <c r="F17" s="270">
        <f>'Evolutive SFP'!D20/'Evolutive SFP'!D26</f>
        <v>8.2131323882509072E-2</v>
      </c>
      <c r="G17" s="270">
        <f>'Evolutive SFP'!E20/'Evolutive SFP'!E26</f>
        <v>0.1332734352228733</v>
      </c>
      <c r="H17" s="270">
        <f>'Evolutive SFP'!F20/'Evolutive SFP'!F26</f>
        <v>7.7534180913331655E-2</v>
      </c>
      <c r="I17" s="270">
        <f>'Evolutive SFP'!G20/'Evolutive SFP'!G26</f>
        <v>0.12273508860220815</v>
      </c>
      <c r="J17" s="270">
        <f>'Evolutive SFP'!H20/'Evolutive SFP'!H26</f>
        <v>0.10478797604646338</v>
      </c>
      <c r="K17" s="270">
        <f>'Evolutive SFP'!I20/'Evolutive SFP'!I26</f>
        <v>0.1128520828662425</v>
      </c>
      <c r="L17" s="270">
        <f>'Evolutive SFP'!J20/'Evolutive SFP'!J26</f>
        <v>0.11313218124216129</v>
      </c>
      <c r="M17" s="270">
        <f>'Evolutive SFP'!K20/'Evolutive SFP'!K26</f>
        <v>0.11699758181805948</v>
      </c>
      <c r="N17" s="270" t="e">
        <f>'Evolutive SFP'!L20/'Evolutive SFP'!L26</f>
        <v>#DIV/0!</v>
      </c>
      <c r="O17" s="270" t="e">
        <f>'Evolutive SFP'!M20/'Evolutive SFP'!M26</f>
        <v>#DIV/0!</v>
      </c>
      <c r="P17" s="270" t="e">
        <f>'Evolutive SFP'!N20/'Evolutive SFP'!N26</f>
        <v>#DIV/0!</v>
      </c>
      <c r="Q17" s="270" t="e">
        <f>'Evolutive SFP'!O20/'Evolutive SFP'!O26</f>
        <v>#DIV/0!</v>
      </c>
      <c r="R17" s="270" t="e">
        <f>'Evolutive SFP'!P20/'Evolutive SFP'!P26</f>
        <v>#DIV/0!</v>
      </c>
      <c r="S17" s="270" t="e">
        <f>'Evolutive SFP'!Q20/'Evolutive SFP'!Q26</f>
        <v>#DIV/0!</v>
      </c>
      <c r="T17" s="270">
        <f>'Evolutive SFP'!R20/'Evolutive SFP'!R26</f>
        <v>0.17851997525750793</v>
      </c>
      <c r="U17" s="270">
        <f>'Evolutive SFP'!S20/'Evolutive SFP'!S26</f>
        <v>0.16271431810587356</v>
      </c>
      <c r="V17" s="270">
        <f>'Evolutive SFP'!T20/'Evolutive SFP'!T26</f>
        <v>0.16710546899320641</v>
      </c>
      <c r="W17" s="270">
        <f>'Evolutive SFP'!U20/'Evolutive SFP'!U26</f>
        <v>0.16692741878558792</v>
      </c>
      <c r="X17" s="270">
        <f>'Evolutive SFP'!V20/'Evolutive SFP'!V26</f>
        <v>0.21430087125344596</v>
      </c>
      <c r="Y17" s="270">
        <f>'Evolutive SFP'!W20/'Evolutive SFP'!W26</f>
        <v>0.23031960123624642</v>
      </c>
      <c r="Z17" s="270">
        <f>'Evolutive SFP'!X20/'Evolutive SFP'!X26</f>
        <v>9.6300180348228986E-2</v>
      </c>
      <c r="AA17" s="270">
        <f>'Evolutive SFP'!Y20/'Evolutive SFP'!Y26</f>
        <v>9.6742599171118507E-2</v>
      </c>
      <c r="AB17" s="270">
        <f>'Evolutive SFP'!Z20/'Evolutive SFP'!Z26</f>
        <v>9.2695428114535947E-2</v>
      </c>
      <c r="AC17" s="270">
        <f>'Evolutive SFP'!AA20/'Evolutive SFP'!AA26</f>
        <v>9.4943146041614718E-2</v>
      </c>
      <c r="AD17" s="270">
        <f>'Evolutive SFP'!AB20/'Evolutive SFP'!AB26</f>
        <v>0.1009178613585827</v>
      </c>
      <c r="AE17" s="270">
        <f>'Evolutive SFP'!AC20/'Evolutive SFP'!AC26</f>
        <v>0.10343236440640947</v>
      </c>
      <c r="AF17" s="270">
        <f>'Evolutive SFP'!AD20/'Evolutive SFP'!AD26</f>
        <v>0.10405101630854133</v>
      </c>
      <c r="AG17" s="270">
        <f>'Evolutive SFP'!AE20/'Evolutive SFP'!AE26</f>
        <v>0.12117926020963125</v>
      </c>
      <c r="AH17" s="270">
        <f>'Evolutive SFP'!AF20/'Evolutive SFP'!AF26</f>
        <v>0.10897127402112715</v>
      </c>
      <c r="AI17" s="270">
        <f>'Evolutive SFP'!AG20/'Evolutive SFP'!AG26</f>
        <v>0.10169224675440802</v>
      </c>
      <c r="AJ17" s="270">
        <f>'Evolutive SFP'!AH20/'Evolutive SFP'!AH26</f>
        <v>0.11030976398918096</v>
      </c>
      <c r="AK17" s="270">
        <f>'Evolutive SFP'!AI20/'Evolutive SFP'!AI26</f>
        <v>0.1134123108860523</v>
      </c>
      <c r="AL17" s="270">
        <f>'Evolutive SFP'!AJ20/'Evolutive SFP'!AJ26</f>
        <v>0.11277963296859382</v>
      </c>
      <c r="AM17" s="270">
        <f>'Evolutive SFP'!AK20/'Evolutive SFP'!AK26</f>
        <v>0.11491937197284113</v>
      </c>
      <c r="AN17" s="270">
        <f>'Evolutive SFP'!AL20/'Evolutive SFP'!AL26</f>
        <v>0.10728290134389511</v>
      </c>
      <c r="AO17" s="270">
        <f>'Evolutive SFP'!AM20/'Evolutive SFP'!AM26</f>
        <v>0.10530210502316782</v>
      </c>
      <c r="AP17" s="270">
        <f>'Evolutive SFP'!AN20/'Evolutive SFP'!AN26</f>
        <v>0.10482712764970822</v>
      </c>
      <c r="AQ17" s="270" t="e">
        <f>'Evolutive SFP'!AO20/'Evolutive SFP'!AO26</f>
        <v>#DIV/0!</v>
      </c>
      <c r="AR17" s="270" t="e">
        <f>'Evolutive SFP'!AP20/'Evolutive SFP'!AP26</f>
        <v>#DIV/0!</v>
      </c>
      <c r="AS17" s="270" t="e">
        <f>'Evolutive SFP'!AQ20/'Evolutive SFP'!AQ26</f>
        <v>#DIV/0!</v>
      </c>
      <c r="AT17" s="270" t="e">
        <f>'Evolutive SFP'!AR20/'Evolutive SFP'!AR26</f>
        <v>#DIV/0!</v>
      </c>
      <c r="AU17" s="270">
        <f>'Evolutive SFP'!AS20/'Evolutive SFP'!AS26</f>
        <v>0.1936021345749778</v>
      </c>
      <c r="AV17" s="270">
        <f>'Evolutive SFP'!AT20/'Evolutive SFP'!AT26</f>
        <v>9.2404474833039318E-2</v>
      </c>
      <c r="AW17" s="270">
        <f>'Evolutive SFP'!AU20/'Evolutive SFP'!AU26</f>
        <v>8.7473595367337523E-2</v>
      </c>
      <c r="AX17" s="270">
        <f>'Evolutive SFP'!AV20/'Evolutive SFP'!AV26</f>
        <v>8.92434171120325E-2</v>
      </c>
      <c r="AY17" s="270">
        <f>'Evolutive SFP'!AW20/'Evolutive SFP'!AW26</f>
        <v>8.7781771016127205E-2</v>
      </c>
      <c r="AZ17" s="270">
        <f>'Evolutive SFP'!AX20/'Evolutive SFP'!AX26</f>
        <v>8.6058372802823621E-2</v>
      </c>
      <c r="BA17" s="270" t="e">
        <f>'Evolutive SFP'!AY20/'Evolutive SFP'!AY26</f>
        <v>#DIV/0!</v>
      </c>
      <c r="BB17" s="270">
        <f>'Evolutive SFP'!AZ20/'Evolutive SFP'!AZ26</f>
        <v>9.1613071474849969E-2</v>
      </c>
      <c r="BC17" s="270">
        <f>'Evolutive SFP'!BA20/'Evolutive SFP'!BA26</f>
        <v>9.1505617221662242E-2</v>
      </c>
      <c r="BD17" s="270">
        <f>'Evolutive SFP'!BB20/'Evolutive SFP'!BB26</f>
        <v>8.8453449757613462E-2</v>
      </c>
      <c r="BE17" s="270">
        <f>'Evolutive SFP'!BC20/'Evolutive SFP'!BC26</f>
        <v>8.9774378994852411E-2</v>
      </c>
      <c r="BF17" s="270">
        <f>'Evolutive SFP'!BD20/'Evolutive SFP'!BD26</f>
        <v>8.6727071073322184E-2</v>
      </c>
      <c r="BG17" s="270">
        <f>'Evolutive SFP'!BE20/'Evolutive SFP'!BE26</f>
        <v>0.69321337479366296</v>
      </c>
      <c r="BH17" s="270">
        <f>'Evolutive SFP'!BF20/'Evolutive SFP'!BF26</f>
        <v>0.66326538310286287</v>
      </c>
      <c r="BI17" s="270">
        <f>'Evolutive SFP'!BG20/'Evolutive SFP'!BG26</f>
        <v>0.66513321774016632</v>
      </c>
      <c r="BJ17" s="270">
        <f>'Evolutive SFP'!BH20/'Evolutive SFP'!BH26</f>
        <v>0.68882218690098085</v>
      </c>
      <c r="BK17" s="270">
        <f>'Evolutive SFP'!BI20/'Evolutive SFP'!BI26</f>
        <v>0.69985343829307489</v>
      </c>
      <c r="BL17" s="270">
        <f>'Evolutive SFP'!BJ20/'Evolutive SFP'!BJ26</f>
        <v>0.65233243361124982</v>
      </c>
      <c r="BM17" s="270">
        <f>'Evolutive SFP'!BK20/'Evolutive SFP'!BK26</f>
        <v>0.66637273623230175</v>
      </c>
      <c r="BN17" s="270">
        <f>'Evolutive SFP'!BL20/'Evolutive SFP'!BL26</f>
        <v>0.7288128333620516</v>
      </c>
      <c r="BO17" s="270">
        <f>'Evolutive SFP'!BM20/'Evolutive SFP'!BM26</f>
        <v>0.739456696583634</v>
      </c>
      <c r="BP17" s="270">
        <f>'Evolutive SFP'!BN20/'Evolutive SFP'!BN26</f>
        <v>0.74901929768157405</v>
      </c>
      <c r="BQ17" s="270">
        <f>'Evolutive SFP'!BO20/'Evolutive SFP'!BO26</f>
        <v>0.82847803650090424</v>
      </c>
      <c r="BR17" s="270">
        <f>'Evolutive SFP'!BP20/'Evolutive SFP'!BP26</f>
        <v>0.74736842829752337</v>
      </c>
      <c r="BS17" s="270">
        <f>'Evolutive SFP'!BQ20/'Evolutive SFP'!BQ26</f>
        <v>0.71843050031040734</v>
      </c>
      <c r="BT17" s="270">
        <f>'Evolutive SFP'!BR20/'Evolutive SFP'!BR26</f>
        <v>7.743926702938525E-2</v>
      </c>
      <c r="BU17" s="270">
        <f>'Evolutive SFP'!BS20/'Evolutive SFP'!BS26</f>
        <v>0.72303862007413622</v>
      </c>
      <c r="BV17" s="270">
        <f>'Evolutive SFP'!BT20/'Evolutive SFP'!BT26</f>
        <v>0.71203227597551144</v>
      </c>
      <c r="BW17" s="270">
        <f>'Evolutive SFP'!BU20/'Evolutive SFP'!BU26</f>
        <v>0.68748052750434419</v>
      </c>
      <c r="BX17" s="270">
        <f>'Evolutive SFP'!BV20/'Evolutive SFP'!BV26</f>
        <v>0.72222418867162297</v>
      </c>
      <c r="BY17" s="270">
        <f>'Evolutive SFP'!BW20/'Evolutive SFP'!BW26</f>
        <v>0.64029135042920926</v>
      </c>
      <c r="BZ17" s="270">
        <f>'Evolutive SFP'!BX20/'Evolutive SFP'!BX26</f>
        <v>0.71435003847991063</v>
      </c>
      <c r="CA17" s="270">
        <f>'Evolutive SFP'!BY20/'Evolutive SFP'!BY26</f>
        <v>0.66118947217685031</v>
      </c>
      <c r="CB17" s="270">
        <f>'Evolutive SFP'!BZ20/'Evolutive SFP'!BZ26</f>
        <v>0.71190540825608817</v>
      </c>
      <c r="CC17" s="270">
        <f>'Evolutive SFP'!CA20/'Evolutive SFP'!CA26</f>
        <v>0.6619434453731059</v>
      </c>
      <c r="CD17" s="182">
        <f>'Evolutive SFP'!CB20/'Evolutive SFP'!CB26</f>
        <v>0.64031925432067704</v>
      </c>
      <c r="CE17" s="182">
        <f>'Evolutive SFP'!CC20/'Evolutive SFP'!CC26</f>
        <v>0.60345732698917542</v>
      </c>
      <c r="CF17" s="182">
        <f>'Evolutive SFP'!CD20/'Evolutive SFP'!CD26</f>
        <v>0.58528202358810411</v>
      </c>
      <c r="CG17" s="182">
        <f>'Evolutive SFP'!CE20/'Evolutive SFP'!CE26</f>
        <v>0.60492732330256538</v>
      </c>
    </row>
    <row r="18" spans="1:85" ht="15.6" hidden="1">
      <c r="A18" s="326"/>
      <c r="B18" s="3" t="s">
        <v>182</v>
      </c>
      <c r="C18" s="24" t="s">
        <v>183</v>
      </c>
      <c r="D18" s="270">
        <f>'Evolutive SFP'!B12/'Evolutive SFP'!B30</f>
        <v>9.681607766930464E-2</v>
      </c>
      <c r="E18" s="270">
        <f>'Evolutive SFP'!C12/'Evolutive SFP'!C30</f>
        <v>0.10695510790949669</v>
      </c>
      <c r="F18" s="270">
        <f>'Evolutive SFP'!D12/'Evolutive SFP'!D30</f>
        <v>0.10858162666012382</v>
      </c>
      <c r="G18" s="270">
        <f>'Evolutive SFP'!E12/'Evolutive SFP'!E30</f>
        <v>0.10590697384064091</v>
      </c>
      <c r="H18" s="270">
        <f>'Evolutive SFP'!F12/'Evolutive SFP'!F30</f>
        <v>0.12297832165820534</v>
      </c>
      <c r="I18" s="270">
        <f>'Evolutive SFP'!G12/'Evolutive SFP'!G30</f>
        <v>0.10261530599746169</v>
      </c>
      <c r="J18" s="270">
        <f>'Evolutive SFP'!H12/'Evolutive SFP'!H30</f>
        <v>0.10425132408284261</v>
      </c>
      <c r="K18" s="270">
        <f>'Evolutive SFP'!I12/'Evolutive SFP'!I30</f>
        <v>0.10881614181737082</v>
      </c>
      <c r="L18" s="270">
        <f>'Evolutive SFP'!J12/'Evolutive SFP'!J30</f>
        <v>0.11579331495293625</v>
      </c>
      <c r="M18" s="270">
        <f>'Evolutive SFP'!K12/'Evolutive SFP'!K30</f>
        <v>0.12174721793580109</v>
      </c>
      <c r="N18" s="270" t="e">
        <f>'Evolutive SFP'!L12/'Evolutive SFP'!L30</f>
        <v>#DIV/0!</v>
      </c>
      <c r="O18" s="270" t="e">
        <f>'Evolutive SFP'!M12/'Evolutive SFP'!M30</f>
        <v>#DIV/0!</v>
      </c>
      <c r="P18" s="270" t="e">
        <f>'Evolutive SFP'!N12/'Evolutive SFP'!N30</f>
        <v>#DIV/0!</v>
      </c>
      <c r="Q18" s="270" t="e">
        <f>'Evolutive SFP'!O12/'Evolutive SFP'!O30</f>
        <v>#DIV/0!</v>
      </c>
      <c r="R18" s="270" t="e">
        <f>'Evolutive SFP'!P12/'Evolutive SFP'!P30</f>
        <v>#DIV/0!</v>
      </c>
      <c r="S18" s="270" t="e">
        <f>'Evolutive SFP'!Q12/'Evolutive SFP'!Q30</f>
        <v>#DIV/0!</v>
      </c>
      <c r="T18" s="270">
        <f>'Evolutive SFP'!R12/'Evolutive SFP'!R30</f>
        <v>6.5559844213359973E-3</v>
      </c>
      <c r="U18" s="270">
        <f>'Evolutive SFP'!S12/'Evolutive SFP'!S30</f>
        <v>0.11769494316277977</v>
      </c>
      <c r="V18" s="270">
        <f>'Evolutive SFP'!T12/'Evolutive SFP'!T30</f>
        <v>0.12300767395286941</v>
      </c>
      <c r="W18" s="270">
        <f>'Evolutive SFP'!U12/'Evolutive SFP'!U30</f>
        <v>0.12300767395286941</v>
      </c>
      <c r="X18" s="270">
        <f>'Evolutive SFP'!V12/'Evolutive SFP'!V30</f>
        <v>0.13303569466194029</v>
      </c>
      <c r="Y18" s="270">
        <f>'Evolutive SFP'!W12/'Evolutive SFP'!W30</f>
        <v>0.13112382546900322</v>
      </c>
      <c r="Z18" s="270">
        <f>'Evolutive SFP'!X12/'Evolutive SFP'!X30</f>
        <v>0.11605294654627972</v>
      </c>
      <c r="AA18" s="270">
        <f>'Evolutive SFP'!Y12/'Evolutive SFP'!Y30</f>
        <v>0.12593671348944627</v>
      </c>
      <c r="AB18" s="270">
        <f>'Evolutive SFP'!Z12/'Evolutive SFP'!Z30</f>
        <v>0.13845122256304337</v>
      </c>
      <c r="AC18" s="270">
        <f>'Evolutive SFP'!AA12/'Evolutive SFP'!AA30</f>
        <v>0.1511277765674926</v>
      </c>
      <c r="AD18" s="270">
        <f>'Evolutive SFP'!AB12/'Evolutive SFP'!AB30</f>
        <v>0.1610292085579644</v>
      </c>
      <c r="AE18" s="270">
        <f>'Evolutive SFP'!AC12/'Evolutive SFP'!AC30</f>
        <v>0.14631725222346401</v>
      </c>
      <c r="AF18" s="270">
        <f>'Evolutive SFP'!AD12/'Evolutive SFP'!AD30</f>
        <v>0.16008431655046548</v>
      </c>
      <c r="AG18" s="270">
        <f>'Evolutive SFP'!AE12/'Evolutive SFP'!AE30</f>
        <v>0.14363137116528971</v>
      </c>
      <c r="AH18" s="270">
        <f>'Evolutive SFP'!AF12/'Evolutive SFP'!AF30</f>
        <v>0.16157514664433756</v>
      </c>
      <c r="AI18" s="270">
        <f>'Evolutive SFP'!AG12/'Evolutive SFP'!AG30</f>
        <v>0.15703237234046721</v>
      </c>
      <c r="AJ18" s="270">
        <f>'Evolutive SFP'!AH12/'Evolutive SFP'!AH30</f>
        <v>0.18709538993824479</v>
      </c>
      <c r="AK18" s="270">
        <f>'Evolutive SFP'!AI12/'Evolutive SFP'!AI30</f>
        <v>0.19057441610145887</v>
      </c>
      <c r="AL18" s="270">
        <f>'Evolutive SFP'!AJ12/'Evolutive SFP'!AJ30</f>
        <v>0.18646120451262249</v>
      </c>
      <c r="AM18" s="270">
        <f>'Evolutive SFP'!AK12/'Evolutive SFP'!AK30</f>
        <v>0.17965912784693244</v>
      </c>
      <c r="AN18" s="270">
        <f>'Evolutive SFP'!AL12/'Evolutive SFP'!AL30</f>
        <v>0.1746470311970961</v>
      </c>
      <c r="AO18" s="270">
        <f>'Evolutive SFP'!AM12/'Evolutive SFP'!AM30</f>
        <v>0.17099953499295062</v>
      </c>
      <c r="AP18" s="270">
        <f>'Evolutive SFP'!AN12/'Evolutive SFP'!AN30</f>
        <v>0.1718446412728678</v>
      </c>
      <c r="AQ18" s="270" t="e">
        <f>'Evolutive SFP'!AO12/'Evolutive SFP'!AO30</f>
        <v>#DIV/0!</v>
      </c>
      <c r="AR18" s="270" t="e">
        <f>'Evolutive SFP'!AP12/'Evolutive SFP'!AP30</f>
        <v>#DIV/0!</v>
      </c>
      <c r="AS18" s="270" t="e">
        <f>'Evolutive SFP'!AQ12/'Evolutive SFP'!AQ30</f>
        <v>#DIV/0!</v>
      </c>
      <c r="AT18" s="270" t="e">
        <f>'Evolutive SFP'!AR12/'Evolutive SFP'!AR30</f>
        <v>#DIV/0!</v>
      </c>
      <c r="AU18" s="270">
        <f>'Evolutive SFP'!AS12/'Evolutive SFP'!AS30</f>
        <v>0.1704369202703066</v>
      </c>
      <c r="AV18" s="270">
        <f>'Evolutive SFP'!AT12/'Evolutive SFP'!AT30</f>
        <v>9.2740616179344884E-2</v>
      </c>
      <c r="AW18" s="270">
        <f>'Evolutive SFP'!AU12/'Evolutive SFP'!AU30</f>
        <v>7.3445796905600338E-2</v>
      </c>
      <c r="AX18" s="270">
        <f>'Evolutive SFP'!AV12/'Evolutive SFP'!AV30</f>
        <v>7.2929339194376802E-2</v>
      </c>
      <c r="AY18" s="270">
        <f>'Evolutive SFP'!AW12/'Evolutive SFP'!AW30</f>
        <v>7.1229682203292358E-2</v>
      </c>
      <c r="AZ18" s="270">
        <f>'Evolutive SFP'!AX12/'Evolutive SFP'!AX30</f>
        <v>6.9307463977876335E-2</v>
      </c>
      <c r="BA18" s="270" t="e">
        <f>'Evolutive SFP'!AY12/'Evolutive SFP'!AY30</f>
        <v>#DIV/0!</v>
      </c>
      <c r="BB18" s="270">
        <f>'Evolutive SFP'!AZ12/'Evolutive SFP'!AZ30</f>
        <v>7.2796944991859236E-2</v>
      </c>
      <c r="BC18" s="270">
        <f>'Evolutive SFP'!BA12/'Evolutive SFP'!BA30</f>
        <v>7.3676804013325714E-2</v>
      </c>
      <c r="BD18" s="270">
        <f>'Evolutive SFP'!BB12/'Evolutive SFP'!BB30</f>
        <v>7.3635761943529124E-2</v>
      </c>
      <c r="BE18" s="270">
        <f>'Evolutive SFP'!BC12/'Evolutive SFP'!BC30</f>
        <v>7.3929635063383736E-2</v>
      </c>
      <c r="BF18" s="270">
        <f>'Evolutive SFP'!BD12/'Evolutive SFP'!BD30</f>
        <v>7.334709640808304E-2</v>
      </c>
      <c r="BG18" s="270">
        <f>'Evolutive SFP'!BE12/'Evolutive SFP'!BE30</f>
        <v>7.3915681744885567E-2</v>
      </c>
      <c r="BH18" s="270">
        <f>'Evolutive SFP'!BF12/'Evolutive SFP'!BF30</f>
        <v>0.11854106486436546</v>
      </c>
      <c r="BI18" s="270">
        <f>'Evolutive SFP'!BG12/'Evolutive SFP'!BG30</f>
        <v>0.11529932318792882</v>
      </c>
      <c r="BJ18" s="270">
        <f>'Evolutive SFP'!BH12/'Evolutive SFP'!BH30</f>
        <v>0.1224650427954234</v>
      </c>
      <c r="BK18" s="270">
        <f>'Evolutive SFP'!BI12/'Evolutive SFP'!BI30</f>
        <v>0.12203477751130273</v>
      </c>
      <c r="BL18" s="270">
        <f>'Evolutive SFP'!BJ12/'Evolutive SFP'!BJ30</f>
        <v>0.12286815418487933</v>
      </c>
      <c r="BM18" s="270">
        <f>'Evolutive SFP'!BK12/'Evolutive SFP'!BK30</f>
        <v>0.12194574532331832</v>
      </c>
      <c r="BN18" s="270">
        <f>'Evolutive SFP'!BL12/'Evolutive SFP'!BL30</f>
        <v>0.12369929818165411</v>
      </c>
      <c r="BO18" s="270">
        <f>'Evolutive SFP'!BM12/'Evolutive SFP'!BM30</f>
        <v>0.12372556651167999</v>
      </c>
      <c r="BP18" s="270">
        <f>'Evolutive SFP'!BN12/'Evolutive SFP'!BN30</f>
        <v>0.12657495585164241</v>
      </c>
      <c r="BQ18" s="270">
        <f>'Evolutive SFP'!BO12/'Evolutive SFP'!BO30</f>
        <v>0.12562547650916978</v>
      </c>
      <c r="BR18" s="270">
        <f>'Evolutive SFP'!BP12/'Evolutive SFP'!BP30</f>
        <v>0.12633699398197279</v>
      </c>
      <c r="BS18" s="270">
        <f>'Evolutive SFP'!BQ12/'Evolutive SFP'!BQ30</f>
        <v>0.12517356441640393</v>
      </c>
      <c r="BT18" s="270">
        <f>'Evolutive SFP'!BR12/'Evolutive SFP'!BR30</f>
        <v>7.609283351207094E-2</v>
      </c>
      <c r="BU18" s="270">
        <f>'Evolutive SFP'!BS12/'Evolutive SFP'!BS30</f>
        <v>0.12539837120050543</v>
      </c>
      <c r="BV18" s="270">
        <f>'Evolutive SFP'!BT12/'Evolutive SFP'!BT30</f>
        <v>0.12122212810973401</v>
      </c>
      <c r="BW18" s="270">
        <f>'Evolutive SFP'!BU12/'Evolutive SFP'!BU30</f>
        <v>0.11994583442251214</v>
      </c>
      <c r="BX18" s="270">
        <f>'Evolutive SFP'!BV12/'Evolutive SFP'!BV30</f>
        <v>0.12129780753286658</v>
      </c>
      <c r="BY18" s="270">
        <f>'Evolutive SFP'!BW12/'Evolutive SFP'!BW30</f>
        <v>7.7416533437068794E-2</v>
      </c>
      <c r="BZ18" s="270">
        <f>'Evolutive SFP'!BX12/'Evolutive SFP'!BX30</f>
        <v>7.7632237364612E-2</v>
      </c>
      <c r="CA18" s="270">
        <f>'Evolutive SFP'!BY12/'Evolutive SFP'!BY30</f>
        <v>7.8164194985076457E-2</v>
      </c>
      <c r="CB18" s="270">
        <f>'Evolutive SFP'!BZ12/'Evolutive SFP'!BZ30</f>
        <v>7.81648620367969E-2</v>
      </c>
      <c r="CC18" s="270">
        <f>'Evolutive SFP'!CA12/'Evolutive SFP'!CA30</f>
        <v>7.6477699015862266E-2</v>
      </c>
      <c r="CD18" s="26">
        <f>'Evolutive SFP'!CB12/'Evolutive SFP'!CB30</f>
        <v>7.7520210534007664E-2</v>
      </c>
      <c r="CE18" s="26">
        <f>'Evolutive SFP'!CC12/'Evolutive SFP'!CC30</f>
        <v>7.81170019934391E-2</v>
      </c>
      <c r="CF18" s="26">
        <f>'Evolutive SFP'!CD12/'Evolutive SFP'!CD30</f>
        <v>7.7527971613061353E-2</v>
      </c>
      <c r="CG18" s="26">
        <f>'Evolutive SFP'!CE12/'Evolutive SFP'!CE30</f>
        <v>0</v>
      </c>
    </row>
    <row r="19" spans="1:85" ht="15.6" hidden="1">
      <c r="A19" s="326"/>
      <c r="B19" s="274" t="s">
        <v>184</v>
      </c>
      <c r="C19" s="275" t="s">
        <v>181</v>
      </c>
      <c r="D19" s="270">
        <f>'Evolutive SFP'!B12/('CAELS (2)'!D3*1000000)</f>
        <v>0.2374450432358883</v>
      </c>
      <c r="E19" s="270">
        <f>'Evolutive SFP'!C12/('CAELS (2)'!E3*1000000)</f>
        <v>0.28631876780311799</v>
      </c>
      <c r="F19" s="270">
        <f>'Evolutive SFP'!D12/('CAELS (2)'!F3*1000000)</f>
        <v>0.3042851333364025</v>
      </c>
      <c r="G19" s="270">
        <f>'Evolutive SFP'!E12/('CAELS (2)'!G3*1000000)</f>
        <v>0.29872892985574673</v>
      </c>
      <c r="H19" s="270">
        <f>'Evolutive SFP'!F12/('CAELS (2)'!H3*1000000)</f>
        <v>0.24623453234252038</v>
      </c>
      <c r="I19" s="270">
        <f>'Evolutive SFP'!G12/('CAELS (2)'!I3*1000000)</f>
        <v>0.32397695256006381</v>
      </c>
      <c r="J19" s="270">
        <f>'Evolutive SFP'!H12/('CAELS (2)'!J3*1000000)</f>
        <v>0.31590917032249288</v>
      </c>
      <c r="K19" s="270">
        <f>'Evolutive SFP'!I12/('CAELS (2)'!K3*1000000)</f>
        <v>0.32554669362157873</v>
      </c>
      <c r="L19" s="270">
        <f>'Evolutive SFP'!J12/('CAELS (2)'!L3*1000000)</f>
        <v>0.33896400191462017</v>
      </c>
      <c r="M19" s="270">
        <f>'Evolutive SFP'!K12/('CAELS (2)'!M3*1000000)</f>
        <v>0.33972357431764555</v>
      </c>
      <c r="N19" s="270" t="e">
        <f>'Evolutive SFP'!L12/('CAELS (2)'!N3*1000000)</f>
        <v>#DIV/0!</v>
      </c>
      <c r="O19" s="270" t="e">
        <f>'Evolutive SFP'!M12/('CAELS (2)'!O3*1000000)</f>
        <v>#DIV/0!</v>
      </c>
      <c r="P19" s="270" t="e">
        <f>'Evolutive SFP'!N12/('CAELS (2)'!P3*1000000)</f>
        <v>#DIV/0!</v>
      </c>
      <c r="Q19" s="270" t="e">
        <f>'Evolutive SFP'!O12/('CAELS (2)'!Q3*1000000)</f>
        <v>#DIV/0!</v>
      </c>
      <c r="R19" s="270" t="e">
        <f>'Evolutive SFP'!P12/('CAELS (2)'!R3*1000000)</f>
        <v>#DIV/0!</v>
      </c>
      <c r="S19" s="270" t="e">
        <f>'Evolutive SFP'!Q12/('CAELS (2)'!S3*1000000)</f>
        <v>#DIV/0!</v>
      </c>
      <c r="T19" s="270">
        <f>'Evolutive SFP'!R12/('CAELS (2)'!T3*1000000)</f>
        <v>1.2169387502891746E-2</v>
      </c>
      <c r="U19" s="270">
        <f>'Evolutive SFP'!S12/('CAELS (2)'!U3*1000000)</f>
        <v>0.3529671857624907</v>
      </c>
      <c r="V19" s="270">
        <f>'Evolutive SFP'!T12/('CAELS (2)'!V3*1000000)</f>
        <v>0.35362354350694308</v>
      </c>
      <c r="W19" s="270">
        <f>'Evolutive SFP'!U12/('CAELS (2)'!W3*1000000)</f>
        <v>0.3846115305656243</v>
      </c>
      <c r="X19" s="270">
        <f>'Evolutive SFP'!V12/('CAELS (2)'!X3*1000000)</f>
        <v>0.42611194220842386</v>
      </c>
      <c r="Y19" s="270">
        <f>'Evolutive SFP'!W12/('CAELS (2)'!Y3*1000000)</f>
        <v>0.91453969330879037</v>
      </c>
      <c r="Z19" s="270">
        <f>'Evolutive SFP'!X12/('CAELS (2)'!Z3*1000000)</f>
        <v>0.2366864982231339</v>
      </c>
      <c r="AA19" s="270">
        <f>'Evolutive SFP'!Y12/('CAELS (2)'!AA3*1000000)</f>
        <v>0.20921197403216346</v>
      </c>
      <c r="AB19" s="270">
        <f>'Evolutive SFP'!Z12/('CAELS (2)'!AB3*1000000)</f>
        <v>0.33417078026588298</v>
      </c>
      <c r="AC19" s="270">
        <f>'Evolutive SFP'!AA12/('CAELS (2)'!AC3*1000000)</f>
        <v>0.32464401613029303</v>
      </c>
      <c r="AD19" s="270">
        <f>'Evolutive SFP'!AB12/('CAELS (2)'!AD3*1000000)</f>
        <v>0.33114567241974513</v>
      </c>
      <c r="AE19" s="270">
        <f>'Evolutive SFP'!AC12/('CAELS (2)'!AE3*1000000)</f>
        <v>0.32742519059245162</v>
      </c>
      <c r="AF19" s="270">
        <f>'Evolutive SFP'!AD12/('CAELS (2)'!AF3*1000000)</f>
        <v>0.34149751708329429</v>
      </c>
      <c r="AG19" s="270">
        <f>'Evolutive SFP'!AE12/('CAELS (2)'!AG3*1000000)</f>
        <v>0.59661598342298849</v>
      </c>
      <c r="AH19" s="270">
        <f>'Evolutive SFP'!AF12/('CAELS (2)'!AH3*1000000)</f>
        <v>0.31585395690260409</v>
      </c>
      <c r="AI19" s="270">
        <f>'Evolutive SFP'!AG12/('CAELS (2)'!AI3*1000000)</f>
        <v>0.33425331439028327</v>
      </c>
      <c r="AJ19" s="270">
        <f>'Evolutive SFP'!AH12/('CAELS (2)'!AJ3*1000000)</f>
        <v>0.45922912517490611</v>
      </c>
      <c r="AK19" s="270">
        <f>'Evolutive SFP'!AI12/('CAELS (2)'!AK3*1000000)</f>
        <v>0.33401957557357825</v>
      </c>
      <c r="AL19" s="270">
        <f>'Evolutive SFP'!AJ12/('CAELS (2)'!AL3*1000000)</f>
        <v>0.44340293098889083</v>
      </c>
      <c r="AM19" s="270">
        <f>'Evolutive SFP'!AK12/('CAELS (2)'!AM3*1000000)</f>
        <v>0.44755725629169824</v>
      </c>
      <c r="AN19" s="270">
        <f>'Evolutive SFP'!AL12/('CAELS (2)'!AN3*1000000)</f>
        <v>0.45542916286320845</v>
      </c>
      <c r="AO19" s="270">
        <f>'Evolutive SFP'!AM12/('CAELS (2)'!AO3*1000000)</f>
        <v>0.42771959018089845</v>
      </c>
      <c r="AP19" s="270">
        <f>'Evolutive SFP'!AN12/('CAELS (2)'!AP3*1000000)</f>
        <v>0.47393966086712164</v>
      </c>
      <c r="AQ19" s="270" t="e">
        <f>'Evolutive SFP'!AO12/('CAELS (2)'!AQ3*1000000)</f>
        <v>#DIV/0!</v>
      </c>
      <c r="AR19" s="270" t="e">
        <f>'Evolutive SFP'!AP12/('CAELS (2)'!AR3*1000000)</f>
        <v>#DIV/0!</v>
      </c>
      <c r="AS19" s="270" t="e">
        <f>'Evolutive SFP'!AQ12/('CAELS (2)'!AS3*1000000)</f>
        <v>#DIV/0!</v>
      </c>
      <c r="AT19" s="270" t="e">
        <f>'Evolutive SFP'!AR12/('CAELS (2)'!AT3*1000000)</f>
        <v>#DIV/0!</v>
      </c>
      <c r="AU19" s="270">
        <f>'Evolutive SFP'!AS12/('CAELS (2)'!AU3*1000000)</f>
        <v>-0.20156898493191733</v>
      </c>
      <c r="AV19" s="270">
        <f>'Evolutive SFP'!AT12/('CAELS (2)'!AV3*1000000)</f>
        <v>-0.20473918545065586</v>
      </c>
      <c r="AW19" s="270">
        <f>'Evolutive SFP'!AU12/('CAELS (2)'!AW3*1000000)</f>
        <v>-0.18419294112774245</v>
      </c>
      <c r="AX19" s="270">
        <f>'Evolutive SFP'!AV12/('CAELS (2)'!AX3*1000000)</f>
        <v>-0.18206928816179269</v>
      </c>
      <c r="AY19" s="270">
        <f>'Evolutive SFP'!AW12/('CAELS (2)'!AY3*1000000)</f>
        <v>-0.17903012303484309</v>
      </c>
      <c r="AZ19" s="270">
        <f>'Evolutive SFP'!AX12/('CAELS (2)'!AZ3*1000000)</f>
        <v>-0.17861389266082708</v>
      </c>
      <c r="BA19" s="270" t="e">
        <f>'Evolutive SFP'!AY12/('CAELS (2)'!BA3*1000000)</f>
        <v>#DIV/0!</v>
      </c>
      <c r="BB19" s="270">
        <f>'Evolutive SFP'!AZ12/('CAELS (2)'!BB3*1000000)</f>
        <v>-0.17103771389258415</v>
      </c>
      <c r="BC19" s="270">
        <f>'Evolutive SFP'!BA12/('CAELS (2)'!BC3*1000000)</f>
        <v>-0.18490264739195017</v>
      </c>
      <c r="BD19" s="270">
        <f>'Evolutive SFP'!BB12/('CAELS (2)'!BD3*1000000)</f>
        <v>-0.19633523346108575</v>
      </c>
      <c r="BE19" s="270">
        <f>'Evolutive SFP'!BC12/('CAELS (2)'!BE3*1000000)</f>
        <v>-0.19445894993753515</v>
      </c>
      <c r="BF19" s="270">
        <f>'Evolutive SFP'!BD12/('CAELS (2)'!BF3*1000000)</f>
        <v>-0.20484712701040611</v>
      </c>
      <c r="BG19" s="270">
        <f>'Evolutive SFP'!BE12/('CAELS (2)'!BG3*1000000)</f>
        <v>-0.19667307839767376</v>
      </c>
      <c r="BH19" s="270">
        <f>'Evolutive SFP'!BF12/('CAELS (2)'!BH3*1000000)</f>
        <v>-0.35401344946213081</v>
      </c>
      <c r="BI19" s="270">
        <f>'Evolutive SFP'!BG12/('CAELS (2)'!BI3*1000000)</f>
        <v>-0.24139073518670187</v>
      </c>
      <c r="BJ19" s="270">
        <f>'Evolutive SFP'!BH12/('CAELS (2)'!BJ3*1000000)</f>
        <v>-0.32942184298016669</v>
      </c>
      <c r="BK19" s="270">
        <f>'Evolutive SFP'!BI12/('CAELS (2)'!BK3*1000000)</f>
        <v>-0.33499429429405925</v>
      </c>
      <c r="BL19" s="270">
        <f>'Evolutive SFP'!BJ12/('CAELS (2)'!BL3*1000000)</f>
        <v>-0.34407720078020937</v>
      </c>
      <c r="BM19" s="270">
        <f>'Evolutive SFP'!BK12/('CAELS (2)'!BM3*1000000)</f>
        <v>-0.43659698832944854</v>
      </c>
      <c r="BN19" s="270">
        <f>'Evolutive SFP'!BL12/('CAELS (2)'!BN3*1000000)</f>
        <v>-0.35098116236424753</v>
      </c>
      <c r="BO19" s="270">
        <f>'Evolutive SFP'!BM12/('CAELS (2)'!BO3*1000000)</f>
        <v>-0.33817677914539501</v>
      </c>
      <c r="BP19" s="270">
        <f>'Evolutive SFP'!BN12/('CAELS (2)'!BP3*1000000)</f>
        <v>-0.34655374417510648</v>
      </c>
      <c r="BQ19" s="270">
        <f>'Evolutive SFP'!BO12/('CAELS (2)'!BQ3*1000000)</f>
        <v>-0.35368465603460447</v>
      </c>
      <c r="BR19" s="270">
        <f>'Evolutive SFP'!BP12/('CAELS (2)'!BR3*1000000)</f>
        <v>-0.35946699582254527</v>
      </c>
      <c r="BS19" s="270">
        <f>'Evolutive SFP'!BQ12/('CAELS (2)'!BS3*1000000)</f>
        <v>-0.34344564337218736</v>
      </c>
      <c r="BT19" s="270">
        <f>'Evolutive SFP'!BR12/('CAELS (2)'!BT3*1000000)</f>
        <v>-0.35046802506840241</v>
      </c>
      <c r="BU19" s="270">
        <f>'Evolutive SFP'!BS12/('CAELS (2)'!BU3*1000000)</f>
        <v>-0.34889664016389543</v>
      </c>
      <c r="BV19" s="270">
        <f>'Evolutive SFP'!BT12/('CAELS (2)'!BV3*1000000)</f>
        <v>-0.35228960784495317</v>
      </c>
      <c r="BW19" s="270">
        <f>'Evolutive SFP'!BU12/('CAELS (2)'!BW3*1000000)</f>
        <v>-0.34487463297328508</v>
      </c>
      <c r="BX19" s="270">
        <f>'Evolutive SFP'!BV12/('CAELS (2)'!BX3*1000000)</f>
        <v>-0.3657712202338288</v>
      </c>
      <c r="BY19" s="270">
        <f>'Evolutive SFP'!BW12/('CAELS (2)'!BY3*1000000)</f>
        <v>-0.20435095373666634</v>
      </c>
      <c r="BZ19" s="270">
        <f>'Evolutive SFP'!BX12/('CAELS (2)'!BZ3*1000000)</f>
        <v>-0.20099201251634582</v>
      </c>
      <c r="CA19" s="270">
        <f>'Evolutive SFP'!BY12/('CAELS (2)'!CA3*1000000)</f>
        <v>-0.20331097803089782</v>
      </c>
      <c r="CB19" s="270">
        <f>'Evolutive SFP'!BZ12/('CAELS (2)'!CB3*1000000)</f>
        <v>-0.20104567648874852</v>
      </c>
      <c r="CC19" s="270">
        <f>'Evolutive SFP'!CA12/('CAELS (2)'!CC3*1000000)</f>
        <v>-0.2731321459935715</v>
      </c>
      <c r="CD19" s="26">
        <f>'Evolutive SFP'!CB12/('CAELS (2)'!CD3*1000000)</f>
        <v>-0.20979769119638447</v>
      </c>
      <c r="CE19" s="26">
        <f>'Evolutive SFP'!CC12/('CAELS (2)'!CE3*1000000)</f>
        <v>-0.21947564181538703</v>
      </c>
      <c r="CF19" s="26">
        <f>'Evolutive SFP'!CD12/('CAELS (2)'!CF3*1000000)</f>
        <v>-0.20727368134533361</v>
      </c>
      <c r="CG19" s="26">
        <f>'Evolutive SFP'!CE12/('CAELS (2)'!CG3*1000000)</f>
        <v>0</v>
      </c>
    </row>
    <row r="20" spans="1:85" ht="15.6">
      <c r="A20" s="326"/>
      <c r="B20" s="274" t="s">
        <v>222</v>
      </c>
      <c r="C20" s="275"/>
      <c r="D20" s="270"/>
      <c r="E20" s="270"/>
      <c r="F20" s="270"/>
      <c r="G20" s="270"/>
      <c r="H20" s="270"/>
      <c r="I20" s="270"/>
      <c r="J20" s="270"/>
      <c r="K20" s="270"/>
      <c r="L20" s="270"/>
      <c r="M20" s="270"/>
      <c r="N20" s="270"/>
      <c r="O20" s="270"/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  <c r="AA20" s="270"/>
      <c r="AB20" s="270"/>
      <c r="AC20" s="270"/>
      <c r="AD20" s="270"/>
      <c r="AE20" s="270"/>
      <c r="AF20" s="270"/>
      <c r="AG20" s="270"/>
      <c r="AH20" s="270"/>
      <c r="AI20" s="270"/>
      <c r="AJ20" s="270"/>
      <c r="AK20" s="270"/>
      <c r="AL20" s="270"/>
      <c r="AM20" s="270"/>
      <c r="AN20" s="270"/>
      <c r="AO20" s="270"/>
      <c r="AP20" s="270"/>
      <c r="AQ20" s="270"/>
      <c r="AR20" s="270"/>
      <c r="AS20" s="270"/>
      <c r="AT20" s="270"/>
      <c r="AU20" s="270"/>
      <c r="AV20" s="270"/>
      <c r="AW20" s="270"/>
      <c r="AX20" s="270"/>
      <c r="AY20" s="270"/>
      <c r="AZ20" s="270"/>
      <c r="BA20" s="270"/>
      <c r="BB20" s="270"/>
      <c r="BC20" s="270"/>
      <c r="BD20" s="270"/>
      <c r="BE20" s="270"/>
      <c r="BF20" s="270"/>
      <c r="BG20" s="276">
        <f>Financials!BF31/Financials!BF5</f>
        <v>0.50975336347833267</v>
      </c>
      <c r="BH20" s="276">
        <f>Financials!BG31/Financials!BG5</f>
        <v>0.54981248226420898</v>
      </c>
      <c r="BI20" s="276">
        <f>Financials!BH31/Financials!BH5</f>
        <v>0.52698766012328091</v>
      </c>
      <c r="BJ20" s="276">
        <f>Financials!BI31/Financials!BI5</f>
        <v>0.56106326944100871</v>
      </c>
      <c r="BK20" s="276">
        <f>Financials!BJ31/Financials!BJ5</f>
        <v>0.5697668550858066</v>
      </c>
      <c r="BL20" s="276">
        <f>Financials!BK31/Financials!BK5</f>
        <v>0.570768023211354</v>
      </c>
      <c r="BM20" s="276">
        <f>Financials!BL31/Financials!BL5</f>
        <v>0.54782810390800574</v>
      </c>
      <c r="BN20" s="276">
        <f>Financials!BM31/Financials!BM5</f>
        <v>0.59392509048143283</v>
      </c>
      <c r="BO20" s="276">
        <f>Financials!BN31/Financials!BN5</f>
        <v>0.59034328764545707</v>
      </c>
      <c r="BP20" s="276">
        <f>Financials!BO31/Financials!BO5</f>
        <v>0.60268586992324058</v>
      </c>
      <c r="BQ20" s="276">
        <f>Financials!BP31/Financials!BP5</f>
        <v>0.59991136931753675</v>
      </c>
      <c r="BR20" s="276">
        <f>Financials!BQ31/Financials!BQ5</f>
        <v>0.59843371557140279</v>
      </c>
      <c r="BS20" s="276">
        <f>Financials!BR31/Financials!BR5</f>
        <v>0.56306631032160404</v>
      </c>
      <c r="BT20" s="276">
        <f>Financials!BS31/Financials!BS5</f>
        <v>0.53079550090849859</v>
      </c>
      <c r="BU20" s="276">
        <f>Financials!BT31/Financials!BT5</f>
        <v>0.56627374924828555</v>
      </c>
      <c r="BV20" s="276">
        <f>Financials!BU31/Financials!BU5</f>
        <v>0.54581277390392802</v>
      </c>
      <c r="BW20" s="276">
        <f>Financials!BV31/Financials!BV5</f>
        <v>0.56892012185284913</v>
      </c>
      <c r="BX20" s="276">
        <f>Financials!BW31/Financials!BW5</f>
        <v>0.6201162351969175</v>
      </c>
      <c r="BY20" s="276">
        <f>Financials!BX31/Financials!BX5</f>
        <v>0.61806934221718757</v>
      </c>
      <c r="BZ20" s="276">
        <f>Financials!BY31/Financials!BY5</f>
        <v>0.61771777768702196</v>
      </c>
      <c r="CA20" s="276">
        <f>Financials!BZ31/Financials!BZ5</f>
        <v>0.59929920922559066</v>
      </c>
      <c r="CB20" s="276">
        <f>Financials!CA31/Financials!CA5</f>
        <v>0.61282055101824984</v>
      </c>
      <c r="CC20" s="276">
        <f>Financials!CB31/Financials!CB5</f>
        <v>0.60030112625025656</v>
      </c>
      <c r="CD20" s="26"/>
      <c r="CE20" s="26"/>
      <c r="CF20" s="26"/>
      <c r="CG20" s="26"/>
    </row>
    <row r="21" spans="1:85" ht="15.6">
      <c r="A21" s="326"/>
      <c r="B21" s="277" t="s">
        <v>223</v>
      </c>
      <c r="C21" s="275"/>
      <c r="D21" s="270">
        <f>'Evolutive SFP'!B14/'Evolutive SFP'!B26</f>
        <v>0.32114171114011442</v>
      </c>
      <c r="E21" s="270">
        <f>'Evolutive SFP'!C14/'Evolutive SFP'!C26</f>
        <v>0.41090826441836853</v>
      </c>
      <c r="F21" s="270">
        <f>'Evolutive SFP'!D14/'Evolutive SFP'!D26</f>
        <v>0.55125321506679936</v>
      </c>
      <c r="G21" s="270">
        <f>'Evolutive SFP'!E14/'Evolutive SFP'!E26</f>
        <v>0.55656567959591507</v>
      </c>
      <c r="H21" s="270">
        <f>'Evolutive SFP'!F14/'Evolutive SFP'!F26</f>
        <v>0.65120209214778579</v>
      </c>
      <c r="I21" s="270">
        <f>'Evolutive SFP'!G14/'Evolutive SFP'!G26</f>
        <v>0.57779245016412573</v>
      </c>
      <c r="J21" s="270">
        <f>'Evolutive SFP'!H14/'Evolutive SFP'!H26</f>
        <v>0.62318041935546098</v>
      </c>
      <c r="K21" s="270">
        <f>'Evolutive SFP'!I14/'Evolutive SFP'!I26</f>
        <v>0.62847113364339502</v>
      </c>
      <c r="L21" s="270">
        <f>'Evolutive SFP'!J14/'Evolutive SFP'!J26</f>
        <v>0.6489778674199671</v>
      </c>
      <c r="M21" s="270">
        <f>'Evolutive SFP'!K14/'Evolutive SFP'!K26</f>
        <v>0.67246874273990254</v>
      </c>
      <c r="N21" s="270" t="e">
        <f>'Evolutive SFP'!L14/'Evolutive SFP'!L26</f>
        <v>#DIV/0!</v>
      </c>
      <c r="O21" s="270" t="e">
        <f>'Evolutive SFP'!M14/'Evolutive SFP'!M26</f>
        <v>#DIV/0!</v>
      </c>
      <c r="P21" s="270" t="e">
        <f>'Evolutive SFP'!N14/'Evolutive SFP'!N26</f>
        <v>#DIV/0!</v>
      </c>
      <c r="Q21" s="270" t="e">
        <f>'Evolutive SFP'!O14/'Evolutive SFP'!O26</f>
        <v>#DIV/0!</v>
      </c>
      <c r="R21" s="270" t="e">
        <f>'Evolutive SFP'!P14/'Evolutive SFP'!P26</f>
        <v>#DIV/0!</v>
      </c>
      <c r="S21" s="270" t="e">
        <f>'Evolutive SFP'!Q14/'Evolutive SFP'!Q26</f>
        <v>#DIV/0!</v>
      </c>
      <c r="T21" s="270">
        <f>'Evolutive SFP'!R14/'Evolutive SFP'!R26</f>
        <v>0.55041966368225059</v>
      </c>
      <c r="U21" s="270">
        <f>'Evolutive SFP'!S14/'Evolutive SFP'!S26</f>
        <v>0.59641339210256705</v>
      </c>
      <c r="V21" s="270">
        <f>'Evolutive SFP'!T14/'Evolutive SFP'!T26</f>
        <v>0.63466858788217118</v>
      </c>
      <c r="W21" s="270">
        <f>'Evolutive SFP'!U14/'Evolutive SFP'!U26</f>
        <v>0.63399235104490792</v>
      </c>
      <c r="X21" s="270">
        <f>'Evolutive SFP'!V14/'Evolutive SFP'!V26</f>
        <v>0.59560409578841866</v>
      </c>
      <c r="Y21" s="270">
        <f>'Evolutive SFP'!W14/'Evolutive SFP'!W26</f>
        <v>0.72199554525228715</v>
      </c>
      <c r="Z21" s="270">
        <f>'Evolutive SFP'!X14/'Evolutive SFP'!X26</f>
        <v>0.67197205706091834</v>
      </c>
      <c r="AA21" s="270">
        <f>'Evolutive SFP'!Y14/'Evolutive SFP'!Y26</f>
        <v>0.67512558464135686</v>
      </c>
      <c r="AB21" s="270">
        <f>'Evolutive SFP'!Z14/'Evolutive SFP'!Z26</f>
        <v>0.61249878360412935</v>
      </c>
      <c r="AC21" s="270">
        <f>'Evolutive SFP'!AA14/'Evolutive SFP'!AA26</f>
        <v>0.60315362954235574</v>
      </c>
      <c r="AD21" s="270">
        <f>'Evolutive SFP'!AB14/'Evolutive SFP'!AB26</f>
        <v>0.59121883048825119</v>
      </c>
      <c r="AE21" s="270">
        <f>'Evolutive SFP'!AC14/'Evolutive SFP'!AC26</f>
        <v>0.56272063876941381</v>
      </c>
      <c r="AF21" s="270">
        <f>'Evolutive SFP'!AD14/'Evolutive SFP'!AD26</f>
        <v>0.54043772123717626</v>
      </c>
      <c r="AG21" s="270">
        <f>'Evolutive SFP'!AE14/'Evolutive SFP'!AE26</f>
        <v>0.61897919327229156</v>
      </c>
      <c r="AH21" s="270">
        <f>'Evolutive SFP'!AF14/'Evolutive SFP'!AF26</f>
        <v>0.62078885837920916</v>
      </c>
      <c r="AI21" s="270">
        <f>'Evolutive SFP'!AG14/'Evolutive SFP'!AG26</f>
        <v>0.58635857210658637</v>
      </c>
      <c r="AJ21" s="270">
        <f>'Evolutive SFP'!AH14/'Evolutive SFP'!AH26</f>
        <v>0.59262490344472207</v>
      </c>
      <c r="AK21" s="270">
        <f>'Evolutive SFP'!AI14/'Evolutive SFP'!AI26</f>
        <v>0.60259858244131215</v>
      </c>
      <c r="AL21" s="270">
        <f>'Evolutive SFP'!AJ14/'Evolutive SFP'!AJ26</f>
        <v>0.59619482301699744</v>
      </c>
      <c r="AM21" s="270">
        <f>'Evolutive SFP'!AK14/'Evolutive SFP'!AK26</f>
        <v>0.61269664096251786</v>
      </c>
      <c r="AN21" s="270">
        <f>'Evolutive SFP'!AL14/'Evolutive SFP'!AL26</f>
        <v>0.5696371560762703</v>
      </c>
      <c r="AO21" s="270">
        <f>'Evolutive SFP'!AM14/'Evolutive SFP'!AM26</f>
        <v>0.56850505194254441</v>
      </c>
      <c r="AP21" s="270">
        <f>'Evolutive SFP'!AN14/'Evolutive SFP'!AN26</f>
        <v>0.56027847040414136</v>
      </c>
      <c r="AQ21" s="270" t="e">
        <f>'Evolutive SFP'!AO14/'Evolutive SFP'!AO26</f>
        <v>#DIV/0!</v>
      </c>
      <c r="AR21" s="270" t="e">
        <f>'Evolutive SFP'!AP14/'Evolutive SFP'!AP26</f>
        <v>#DIV/0!</v>
      </c>
      <c r="AS21" s="270" t="e">
        <f>'Evolutive SFP'!AQ14/'Evolutive SFP'!AQ26</f>
        <v>#DIV/0!</v>
      </c>
      <c r="AT21" s="270" t="e">
        <f>'Evolutive SFP'!AR14/'Evolutive SFP'!AR26</f>
        <v>#DIV/0!</v>
      </c>
      <c r="AU21" s="270">
        <f>'Evolutive SFP'!AS14/'Evolutive SFP'!AS26</f>
        <v>1.3898637423304427</v>
      </c>
      <c r="AV21" s="270">
        <f>'Evolutive SFP'!AT14/'Evolutive SFP'!AT26</f>
        <v>5.1031194261510635E-2</v>
      </c>
      <c r="AW21" s="270">
        <f>'Evolutive SFP'!AU14/'Evolutive SFP'!AU26</f>
        <v>6.5878277485938469E-2</v>
      </c>
      <c r="AX21" s="270">
        <f>'Evolutive SFP'!AV14/'Evolutive SFP'!AV26</f>
        <v>6.6384843398048288E-2</v>
      </c>
      <c r="AY21" s="270">
        <f>'Evolutive SFP'!AW14/'Evolutive SFP'!AW26</f>
        <v>6.1270435593286127E-2</v>
      </c>
      <c r="AZ21" s="270">
        <f>'Evolutive SFP'!AX14/'Evolutive SFP'!AX26</f>
        <v>6.1890644027016085E-2</v>
      </c>
      <c r="BA21" s="270" t="e">
        <f>'Evolutive SFP'!AY14/'Evolutive SFP'!AY26</f>
        <v>#DIV/0!</v>
      </c>
      <c r="BB21" s="270">
        <f>'Evolutive SFP'!AZ14/'Evolutive SFP'!AZ26</f>
        <v>7.1090291454111512E-2</v>
      </c>
      <c r="BC21" s="270">
        <f>'Evolutive SFP'!BA14/'Evolutive SFP'!BA26</f>
        <v>7.2491553728601832E-2</v>
      </c>
      <c r="BD21" s="270">
        <f>'Evolutive SFP'!BB14/'Evolutive SFP'!BB26</f>
        <v>0.57896060089946133</v>
      </c>
      <c r="BE21" s="270">
        <f>'Evolutive SFP'!BC14/'Evolutive SFP'!BC26</f>
        <v>0.58442520738930681</v>
      </c>
      <c r="BF21" s="270">
        <f>'Evolutive SFP'!BD14/'Evolutive SFP'!BD26</f>
        <v>0.53141072615949358</v>
      </c>
      <c r="BG21" s="276">
        <f>'Evolutive SFP'!BE14/'Evolutive SFP'!BE26</f>
        <v>0.52008124550507318</v>
      </c>
      <c r="BH21" s="276">
        <f>'Evolutive SFP'!BF14/'Evolutive SFP'!BF26</f>
        <v>0.53235217958823944</v>
      </c>
      <c r="BI21" s="276">
        <f>'Evolutive SFP'!BG14/'Evolutive SFP'!BG26</f>
        <v>0.56415401388165909</v>
      </c>
      <c r="BJ21" s="276">
        <f>'Evolutive SFP'!BH14/'Evolutive SFP'!BH26</f>
        <v>0.5363068837209285</v>
      </c>
      <c r="BK21" s="276">
        <f>'Evolutive SFP'!BI14/'Evolutive SFP'!BI26</f>
        <v>0.57172176213713077</v>
      </c>
      <c r="BL21" s="276">
        <f>'Evolutive SFP'!BJ14/'Evolutive SFP'!BJ26</f>
        <v>0.57784215391536697</v>
      </c>
      <c r="BM21" s="276">
        <f>'Evolutive SFP'!BK14/'Evolutive SFP'!BK26</f>
        <v>0.51384503119767599</v>
      </c>
      <c r="BN21" s="276">
        <f>'Evolutive SFP'!BL14/'Evolutive SFP'!BL26</f>
        <v>0.5995052869936347</v>
      </c>
      <c r="BO21" s="276">
        <f>'Evolutive SFP'!BM14/'Evolutive SFP'!BM26</f>
        <v>0.6018162149272539</v>
      </c>
      <c r="BP21" s="276">
        <f>'Evolutive SFP'!BN14/'Evolutive SFP'!BN26</f>
        <v>0.60115101287128747</v>
      </c>
      <c r="BQ21" s="276">
        <f>'Evolutive SFP'!BO14/'Evolutive SFP'!BO26</f>
        <v>0.6748330282709325</v>
      </c>
      <c r="BR21" s="276">
        <f>'Evolutive SFP'!BP14/'Evolutive SFP'!BP26</f>
        <v>0.60347771474086831</v>
      </c>
      <c r="BS21" s="276">
        <f>'Evolutive SFP'!BQ14/'Evolutive SFP'!BQ26</f>
        <v>0.56378314645077643</v>
      </c>
      <c r="BT21" s="276">
        <f>'Evolutive SFP'!BR14/'Evolutive SFP'!BR26</f>
        <v>0.49093503857317933</v>
      </c>
      <c r="BU21" s="276">
        <f>'Evolutive SFP'!BS14/'Evolutive SFP'!BS26</f>
        <v>0.56996083403101372</v>
      </c>
      <c r="BV21" s="276">
        <f>'Evolutive SFP'!BT14/'Evolutive SFP'!BT26</f>
        <v>0.54447086387423715</v>
      </c>
      <c r="BW21" s="276">
        <f>'Evolutive SFP'!BU14/'Evolutive SFP'!BU26</f>
        <v>0.55873318181628029</v>
      </c>
      <c r="BX21" s="276">
        <f>'Evolutive SFP'!BV14/'Evolutive SFP'!BV26</f>
        <v>0.62314149251367168</v>
      </c>
      <c r="BY21" s="276">
        <f>'Evolutive SFP'!BW14/'Evolutive SFP'!BW26</f>
        <v>0.56910568383168891</v>
      </c>
      <c r="BZ21" s="276">
        <f>'Evolutive SFP'!BX14/'Evolutive SFP'!BX26</f>
        <v>0.54693952571518689</v>
      </c>
      <c r="CA21" s="276">
        <f>'Evolutive SFP'!BY14/'Evolutive SFP'!BY26</f>
        <v>0.5389488740945495</v>
      </c>
      <c r="CB21" s="276">
        <f>'Evolutive SFP'!BZ14/'Evolutive SFP'!BZ26</f>
        <v>0.55326347126924935</v>
      </c>
      <c r="CC21" s="276">
        <f>'Evolutive SFP'!CA14/'Evolutive SFP'!CA26</f>
        <v>0.58282801513123206</v>
      </c>
      <c r="CD21" s="26">
        <f>'Evolutive SFP'!CB14/'Evolutive SFP'!CB26</f>
        <v>0.55751507969068459</v>
      </c>
      <c r="CE21" s="26">
        <f>'Evolutive SFP'!CC14/'Evolutive SFP'!CC26</f>
        <v>0.52850289225135716</v>
      </c>
      <c r="CF21" s="26">
        <f>'Evolutive SFP'!CD14/'Evolutive SFP'!CD26</f>
        <v>0.58733258007350764</v>
      </c>
      <c r="CG21" s="26">
        <f>'Evolutive SFP'!CE14/'Evolutive SFP'!CE26</f>
        <v>0.50701148098455118</v>
      </c>
    </row>
    <row r="22" spans="1:85" hidden="1">
      <c r="A22" s="325" t="s">
        <v>186</v>
      </c>
      <c r="B22" s="54" t="s">
        <v>187</v>
      </c>
      <c r="C22" s="2"/>
      <c r="D22" s="26">
        <f>'Evolutive SFP'!B30/'Evolutive SFP'!B26</f>
        <v>0.58218518287944365</v>
      </c>
      <c r="E22" s="26">
        <f>'Evolutive SFP'!C30/'Evolutive SFP'!C26</f>
        <v>0.62788790396377847</v>
      </c>
      <c r="F22" s="26">
        <f>'Evolutive SFP'!D30/'Evolutive SFP'!D26</f>
        <v>0.59642601472757362</v>
      </c>
      <c r="G22" s="26">
        <f>'Evolutive SFP'!E30/'Evolutive SFP'!E26</f>
        <v>0.57957129661589524</v>
      </c>
      <c r="H22" s="26">
        <f>'Evolutive SFP'!F30/'Evolutive SFP'!F26</f>
        <v>0.54509884504623618</v>
      </c>
      <c r="I22" s="26">
        <f>'Evolutive SFP'!G30/'Evolutive SFP'!G26</f>
        <v>0.58915547464679552</v>
      </c>
      <c r="J22" s="26">
        <f>'Evolutive SFP'!H30/'Evolutive SFP'!H26</f>
        <v>0.61961706622562984</v>
      </c>
      <c r="K22" s="26">
        <f>'Evolutive SFP'!I30/'Evolutive SFP'!I26</f>
        <v>0.6251637080730077</v>
      </c>
      <c r="L22" s="26">
        <f>'Evolutive SFP'!J30/'Evolutive SFP'!J26</f>
        <v>0.60471968562171163</v>
      </c>
      <c r="M22" s="26">
        <f>'Evolutive SFP'!K30/'Evolutive SFP'!K26</f>
        <v>0.59414694517501487</v>
      </c>
      <c r="N22" s="26" t="e">
        <f>'Evolutive SFP'!L30/'Evolutive SFP'!L26</f>
        <v>#DIV/0!</v>
      </c>
      <c r="O22" s="26" t="e">
        <f>'Evolutive SFP'!M30/'Evolutive SFP'!M26</f>
        <v>#DIV/0!</v>
      </c>
      <c r="P22" s="26" t="e">
        <f>'Evolutive SFP'!N30/'Evolutive SFP'!N26</f>
        <v>#DIV/0!</v>
      </c>
      <c r="Q22" s="26" t="e">
        <f>'Evolutive SFP'!O30/'Evolutive SFP'!O26</f>
        <v>#DIV/0!</v>
      </c>
      <c r="R22" s="26" t="e">
        <f>'Evolutive SFP'!P30/'Evolutive SFP'!P26</f>
        <v>#DIV/0!</v>
      </c>
      <c r="S22" s="26" t="e">
        <f>'Evolutive SFP'!Q30/'Evolutive SFP'!Q26</f>
        <v>#DIV/0!</v>
      </c>
      <c r="T22" s="26">
        <f>'Evolutive SFP'!R30/'Evolutive SFP'!R26</f>
        <v>0.54189234559056376</v>
      </c>
      <c r="U22" s="26">
        <f>'Evolutive SFP'!S30/'Evolutive SFP'!S26</f>
        <v>0.60703720158593366</v>
      </c>
      <c r="V22" s="26">
        <f>'Evolutive SFP'!T30/'Evolutive SFP'!T26</f>
        <v>0.59668728992737963</v>
      </c>
      <c r="W22" s="26">
        <f>'Evolutive SFP'!U30/'Evolutive SFP'!U26</f>
        <v>0.59605152201089562</v>
      </c>
      <c r="X22" s="26">
        <f>'Evolutive SFP'!V30/'Evolutive SFP'!V26</f>
        <v>0.59413868429138295</v>
      </c>
      <c r="Y22" s="26">
        <f>'Evolutive SFP'!W30/'Evolutive SFP'!W26</f>
        <v>0.64907848751666197</v>
      </c>
      <c r="Z22" s="26">
        <f>'Evolutive SFP'!X30/'Evolutive SFP'!X26</f>
        <v>0.54135265735479843</v>
      </c>
      <c r="AA22" s="26">
        <f>'Evolutive SFP'!Y30/'Evolutive SFP'!Y26</f>
        <v>0.50115808357436753</v>
      </c>
      <c r="AB22" s="26">
        <f>'Evolutive SFP'!Z30/'Evolutive SFP'!Z26</f>
        <v>0.54188856400286656</v>
      </c>
      <c r="AC22" s="26">
        <f>'Evolutive SFP'!AA30/'Evolutive SFP'!AA26</f>
        <v>0.50847287701997035</v>
      </c>
      <c r="AD22" s="26">
        <f>'Evolutive SFP'!AB30/'Evolutive SFP'!AB26</f>
        <v>0.50368227660499809</v>
      </c>
      <c r="AE22" s="26">
        <f>'Evolutive SFP'!AC30/'Evolutive SFP'!AC26</f>
        <v>0.56693933437478217</v>
      </c>
      <c r="AF22" s="26">
        <f>'Evolutive SFP'!AD30/'Evolutive SFP'!AD26</f>
        <v>0.53569586302337169</v>
      </c>
      <c r="AG22" s="26">
        <f>'Evolutive SFP'!AE30/'Evolutive SFP'!AE26</f>
        <v>0.58804708777152226</v>
      </c>
      <c r="AH22" s="26">
        <f>'Evolutive SFP'!AF30/'Evolutive SFP'!AF26</f>
        <v>0.55693716891276179</v>
      </c>
      <c r="AI22" s="26">
        <f>'Evolutive SFP'!AG30/'Evolutive SFP'!AG26</f>
        <v>0.53372728231962097</v>
      </c>
      <c r="AJ22" s="26">
        <f>'Evolutive SFP'!AH30/'Evolutive SFP'!AH26</f>
        <v>0.48366535541039629</v>
      </c>
      <c r="AK22" s="26">
        <f>'Evolutive SFP'!AI30/'Evolutive SFP'!AI26</f>
        <v>0.48870055545558522</v>
      </c>
      <c r="AL22" s="26">
        <f>'Evolutive SFP'!AJ30/'Evolutive SFP'!AJ26</f>
        <v>0.49663982008012852</v>
      </c>
      <c r="AM22" s="26">
        <f>'Evolutive SFP'!AK30/'Evolutive SFP'!AK26</f>
        <v>0.52517617856834042</v>
      </c>
      <c r="AN22" s="26">
        <f>'Evolutive SFP'!AL30/'Evolutive SFP'!AL26</f>
        <v>0.5043480712864411</v>
      </c>
      <c r="AO22" s="26">
        <f>'Evolutive SFP'!AM30/'Evolutive SFP'!AM26</f>
        <v>0.50532808292129572</v>
      </c>
      <c r="AP22" s="26">
        <f>'Evolutive SFP'!AN30/'Evolutive SFP'!AN26</f>
        <v>0.50524636101185139</v>
      </c>
      <c r="AQ22" s="26" t="e">
        <f>'Evolutive SFP'!AO30/'Evolutive SFP'!AO26</f>
        <v>#DIV/0!</v>
      </c>
      <c r="AR22" s="26" t="e">
        <f>'Evolutive SFP'!AP30/'Evolutive SFP'!AP26</f>
        <v>#DIV/0!</v>
      </c>
      <c r="AS22" s="26" t="e">
        <f>'Evolutive SFP'!AQ30/'Evolutive SFP'!AQ26</f>
        <v>#DIV/0!</v>
      </c>
      <c r="AT22" s="26" t="e">
        <f>'Evolutive SFP'!AR30/'Evolutive SFP'!AR26</f>
        <v>#DIV/0!</v>
      </c>
      <c r="AU22" s="26">
        <f>'Evolutive SFP'!AS30/'Evolutive SFP'!AS26</f>
        <v>1.2787060735294506</v>
      </c>
      <c r="AV22" s="26">
        <f>'Evolutive SFP'!AT30/'Evolutive SFP'!AT26</f>
        <v>1.1216239927362635</v>
      </c>
      <c r="AW22" s="26">
        <f>'Evolutive SFP'!AU30/'Evolutive SFP'!AU26</f>
        <v>1.0198783737123285</v>
      </c>
      <c r="AX22" s="26">
        <f>'Evolutive SFP'!AV30/'Evolutive SFP'!AV26</f>
        <v>1.0470231667816616</v>
      </c>
      <c r="AY22" s="26">
        <f>'Evolutive SFP'!AW30/'Evolutive SFP'!AW26</f>
        <v>1.0536459026498437</v>
      </c>
      <c r="AZ22" s="26">
        <f>'Evolutive SFP'!AX30/'Evolutive SFP'!AX26</f>
        <v>1.0339548688251123</v>
      </c>
      <c r="BA22" s="26" t="e">
        <f>'Evolutive SFP'!AY30/'Evolutive SFP'!AY26</f>
        <v>#DIV/0!</v>
      </c>
      <c r="BB22" s="26">
        <f>'Evolutive SFP'!AZ30/'Evolutive SFP'!AZ26</f>
        <v>1.0241228192274356</v>
      </c>
      <c r="BC22" s="26">
        <f>'Evolutive SFP'!BA30/'Evolutive SFP'!BA26</f>
        <v>1.0000149443114201</v>
      </c>
      <c r="BD22" s="26">
        <f>'Evolutive SFP'!BB30/'Evolutive SFP'!BB26</f>
        <v>0.96658219983949833</v>
      </c>
      <c r="BE22" s="26">
        <f>'Evolutive SFP'!BC30/'Evolutive SFP'!BC26</f>
        <v>0.97165234825506019</v>
      </c>
      <c r="BF22" s="26">
        <f>'Evolutive SFP'!BD30/'Evolutive SFP'!BD26</f>
        <v>0.94612563783297354</v>
      </c>
      <c r="BG22" s="26">
        <f>'Evolutive SFP'!BE30/'Evolutive SFP'!BE26</f>
        <v>1.0202605470933386</v>
      </c>
      <c r="BH22" s="26">
        <f>'Evolutive SFP'!BF30/'Evolutive SFP'!BF26</f>
        <v>0.9682431679177862</v>
      </c>
      <c r="BI22" s="26">
        <f>'Evolutive SFP'!BG30/'Evolutive SFP'!BG26</f>
        <v>1.0705260418236049</v>
      </c>
      <c r="BJ22" s="26">
        <f>'Evolutive SFP'!BH30/'Evolutive SFP'!BH26</f>
        <v>0.95587594649575758</v>
      </c>
      <c r="BK22" s="26">
        <f>'Evolutive SFP'!BI30/'Evolutive SFP'!BI26</f>
        <v>1.0034310648888654</v>
      </c>
      <c r="BL22" s="26">
        <f>'Evolutive SFP'!BJ30/'Evolutive SFP'!BJ26</f>
        <v>1.0123940557570328</v>
      </c>
      <c r="BM22" s="26">
        <f>'Evolutive SFP'!BK30/'Evolutive SFP'!BK26</f>
        <v>0.9379676353441766</v>
      </c>
      <c r="BN22" s="26">
        <f>'Evolutive SFP'!BL30/'Evolutive SFP'!BL26</f>
        <v>1.0093954550862276</v>
      </c>
      <c r="BO22" s="26">
        <f>'Evolutive SFP'!BM30/'Evolutive SFP'!BM26</f>
        <v>1.0194343317217271</v>
      </c>
      <c r="BP22" s="26">
        <f>'Evolutive SFP'!BN30/'Evolutive SFP'!BN26</f>
        <v>0.9974533050656248</v>
      </c>
      <c r="BQ22" s="26">
        <f>'Evolutive SFP'!BO30/'Evolutive SFP'!BO26</f>
        <v>1.1248878797523494</v>
      </c>
      <c r="BR22" s="26">
        <f>'Evolutive SFP'!BP30/'Evolutive SFP'!BP26</f>
        <v>1.0084286681017787</v>
      </c>
      <c r="BS22" s="26">
        <f>'Evolutive SFP'!BQ30/'Evolutive SFP'!BQ26</f>
        <v>1.0012730936233123</v>
      </c>
      <c r="BT22" s="26">
        <f>'Evolutive SFP'!BR30/'Evolutive SFP'!BR26</f>
        <v>0.92490429503058169</v>
      </c>
      <c r="BU22" s="26">
        <f>'Evolutive SFP'!BS30/'Evolutive SFP'!BS26</f>
        <v>1.0065111349195024</v>
      </c>
      <c r="BV22" s="26">
        <f>'Evolutive SFP'!BT30/'Evolutive SFP'!BT26</f>
        <v>0.99754144627269747</v>
      </c>
      <c r="BW22" s="26">
        <f>'Evolutive SFP'!BU30/'Evolutive SFP'!BU26</f>
        <v>0.98209425252284577</v>
      </c>
      <c r="BX22" s="26">
        <f>'Evolutive SFP'!BV30/'Evolutive SFP'!BV26</f>
        <v>1.00487853267669</v>
      </c>
      <c r="BY22" s="26">
        <f>'Evolutive SFP'!BW30/'Evolutive SFP'!BW26</f>
        <v>0.92077966816821522</v>
      </c>
      <c r="BZ22" s="26">
        <f>'Evolutive SFP'!BX30/'Evolutive SFP'!BX26</f>
        <v>0.88541975878230894</v>
      </c>
      <c r="CA22" s="26">
        <f>'Evolutive SFP'!BY30/'Evolutive SFP'!BY26</f>
        <v>0.89929849029998665</v>
      </c>
      <c r="CB22" s="26">
        <f>'Evolutive SFP'!BZ30/'Evolutive SFP'!BZ26</f>
        <v>0.90281481316179479</v>
      </c>
      <c r="CC22" s="26">
        <f>'Evolutive SFP'!CA30/'Evolutive SFP'!CA26</f>
        <v>0.9708927563934967</v>
      </c>
      <c r="CD22" s="26">
        <f>'Evolutive SFP'!CB30/'Evolutive SFP'!CB26</f>
        <v>0.97177431513592349</v>
      </c>
      <c r="CE22" s="26">
        <f>'Evolutive SFP'!CC30/'Evolutive SFP'!CC26</f>
        <v>0.91516476030525185</v>
      </c>
      <c r="CF22" s="26">
        <f>'Evolutive SFP'!CD30/'Evolutive SFP'!CD26</f>
        <v>0.97603968555637566</v>
      </c>
    </row>
    <row r="23" spans="1:85" hidden="1">
      <c r="A23" s="325"/>
      <c r="B23" s="54" t="s">
        <v>188</v>
      </c>
      <c r="C23" s="2"/>
      <c r="D23" s="26">
        <f>'Evolutive SFP'!B29/'Evolutive SFP'!B26</f>
        <v>0.40153418035126409</v>
      </c>
      <c r="E23" s="26">
        <f>'Evolutive SFP'!C29/'Evolutive SFP'!C26</f>
        <v>0.47815647907877318</v>
      </c>
      <c r="F23" s="26">
        <f>'Evolutive SFP'!D29/'Evolutive SFP'!D26</f>
        <v>0.51106451269003739</v>
      </c>
      <c r="G23" s="26">
        <f>'Evolutive SFP'!E29/'Evolutive SFP'!E26</f>
        <v>0.51998148857402637</v>
      </c>
      <c r="H23" s="26">
        <f>'Evolutive SFP'!F29/'Evolutive SFP'!F26</f>
        <v>0.56827665252153792</v>
      </c>
      <c r="I23" s="26">
        <f>'Evolutive SFP'!G29/'Evolutive SFP'!G26</f>
        <v>0.51795046169541636</v>
      </c>
      <c r="J23" s="26">
        <f>'Evolutive SFP'!H29/'Evolutive SFP'!H26</f>
        <v>0.55543728370861689</v>
      </c>
      <c r="K23" s="26">
        <f>'Evolutive SFP'!I29/'Evolutive SFP'!I26</f>
        <v>0.50181791836072753</v>
      </c>
      <c r="L23" s="26">
        <f>'Evolutive SFP'!J29/'Evolutive SFP'!J26</f>
        <v>0.61252771767035519</v>
      </c>
      <c r="M23" s="26">
        <f>'Evolutive SFP'!K29/'Evolutive SFP'!K26</f>
        <v>0.63330257262362877</v>
      </c>
      <c r="N23" s="26" t="e">
        <f>'Evolutive SFP'!L29/'Evolutive SFP'!L26</f>
        <v>#DIV/0!</v>
      </c>
      <c r="O23" s="26" t="e">
        <f>'Evolutive SFP'!M29/'Evolutive SFP'!M26</f>
        <v>#DIV/0!</v>
      </c>
      <c r="P23" s="26" t="e">
        <f>'Evolutive SFP'!N29/'Evolutive SFP'!N26</f>
        <v>#DIV/0!</v>
      </c>
      <c r="Q23" s="26" t="e">
        <f>'Evolutive SFP'!O29/'Evolutive SFP'!O26</f>
        <v>#DIV/0!</v>
      </c>
      <c r="R23" s="26" t="e">
        <f>'Evolutive SFP'!P29/'Evolutive SFP'!P26</f>
        <v>#DIV/0!</v>
      </c>
      <c r="S23" s="26" t="e">
        <f>'Evolutive SFP'!Q29/'Evolutive SFP'!Q26</f>
        <v>#DIV/0!</v>
      </c>
      <c r="T23" s="26">
        <f>'Evolutive SFP'!R29/'Evolutive SFP'!R26</f>
        <v>0.67456266759772632</v>
      </c>
      <c r="U23" s="26">
        <f>'Evolutive SFP'!S29/'Evolutive SFP'!S26</f>
        <v>0.62079097283133533</v>
      </c>
      <c r="V23" s="26">
        <f>'Evolutive SFP'!T29/'Evolutive SFP'!T26</f>
        <v>0.63566789392093426</v>
      </c>
      <c r="W23" s="26">
        <f>'Evolutive SFP'!U29/'Evolutive SFP'!U26</f>
        <v>0.63499059232709099</v>
      </c>
      <c r="X23" s="26">
        <f>'Evolutive SFP'!V29/'Evolutive SFP'!V26</f>
        <v>0.67905505510415021</v>
      </c>
      <c r="Y23" s="26">
        <f>'Evolutive SFP'!W29/'Evolutive SFP'!W26</f>
        <v>0.74038915062018185</v>
      </c>
      <c r="Z23" s="26">
        <f>'Evolutive SFP'!X29/'Evolutive SFP'!X26</f>
        <v>0</v>
      </c>
      <c r="AA23" s="26">
        <f>'Evolutive SFP'!Y29/'Evolutive SFP'!Y26</f>
        <v>0.67304069622826068</v>
      </c>
      <c r="AB23" s="26">
        <f>'Evolutive SFP'!Z29/'Evolutive SFP'!Z26</f>
        <v>0.65071424631172647</v>
      </c>
      <c r="AC23" s="26">
        <f>'Evolutive SFP'!AA29/'Evolutive SFP'!AA26</f>
        <v>0.63598934881143443</v>
      </c>
      <c r="AD23" s="26">
        <f>'Evolutive SFP'!AB29/'Evolutive SFP'!AB26</f>
        <v>0.65868166353864288</v>
      </c>
      <c r="AE23" s="26">
        <f>'Evolutive SFP'!AC29/'Evolutive SFP'!AC26</f>
        <v>0.6822086171859697</v>
      </c>
      <c r="AF23" s="26">
        <f>'Evolutive SFP'!AD29/'Evolutive SFP'!AD26</f>
        <v>0.71401425318144296</v>
      </c>
      <c r="AG23" s="26">
        <f>'Evolutive SFP'!AE29/'Evolutive SFP'!AE26</f>
        <v>0.71639744758055612</v>
      </c>
      <c r="AH23" s="26">
        <f>'Evolutive SFP'!AF29/'Evolutive SFP'!AF26</f>
        <v>0.74041315477869785</v>
      </c>
      <c r="AI23" s="26">
        <f>'Evolutive SFP'!AG29/'Evolutive SFP'!AG26</f>
        <v>0.69150764425083489</v>
      </c>
      <c r="AJ23" s="26">
        <f>'Evolutive SFP'!AH29/'Evolutive SFP'!AH26</f>
        <v>0.74190543277987575</v>
      </c>
      <c r="AK23" s="26">
        <f>'Evolutive SFP'!AI29/'Evolutive SFP'!AI26</f>
        <v>0.76237422104282049</v>
      </c>
      <c r="AL23" s="26">
        <f>'Evolutive SFP'!AJ29/'Evolutive SFP'!AJ26</f>
        <v>0.75858872557361678</v>
      </c>
      <c r="AM23" s="26">
        <f>'Evolutive SFP'!AK29/'Evolutive SFP'!AK26</f>
        <v>0.77281037688860776</v>
      </c>
      <c r="AN23" s="26">
        <f>'Evolutive SFP'!AL29/'Evolutive SFP'!AL26</f>
        <v>0.72038603653104472</v>
      </c>
      <c r="AO23" s="26">
        <f>'Evolutive SFP'!AM29/'Evolutive SFP'!AM26</f>
        <v>0.70549751211542444</v>
      </c>
      <c r="AP23" s="26">
        <f>'Evolutive SFP'!AN29/'Evolutive SFP'!AN26</f>
        <v>0.70316421251620409</v>
      </c>
      <c r="AQ23" s="26" t="e">
        <f>'Evolutive SFP'!AO29/'Evolutive SFP'!AO26</f>
        <v>#DIV/0!</v>
      </c>
      <c r="AR23" s="26" t="e">
        <f>'Evolutive SFP'!AP29/'Evolutive SFP'!AP26</f>
        <v>#DIV/0!</v>
      </c>
      <c r="AS23" s="26" t="e">
        <f>'Evolutive SFP'!AQ29/'Evolutive SFP'!AQ26</f>
        <v>#DIV/0!</v>
      </c>
      <c r="AT23" s="26" t="e">
        <f>'Evolutive SFP'!AR29/'Evolutive SFP'!AR26</f>
        <v>#DIV/0!</v>
      </c>
      <c r="AU23" s="26">
        <f>'Evolutive SFP'!AS29/'Evolutive SFP'!AS26</f>
        <v>1.7647404029040974</v>
      </c>
      <c r="AV23" s="26">
        <f>'Evolutive SFP'!AT29/'Evolutive SFP'!AT26</f>
        <v>0.84209595368239354</v>
      </c>
      <c r="AW23" s="26">
        <f>'Evolutive SFP'!AU29/'Evolutive SFP'!AU26</f>
        <v>0.79607040908240845</v>
      </c>
      <c r="AX23" s="26">
        <f>'Evolutive SFP'!AV29/'Evolutive SFP'!AV26</f>
        <v>0.81109585300982845</v>
      </c>
      <c r="AY23" s="26">
        <f>'Evolutive SFP'!AW29/'Evolutive SFP'!AW26</f>
        <v>0.7983752875663872</v>
      </c>
      <c r="AZ23" s="26">
        <f>'Evolutive SFP'!AX29/'Evolutive SFP'!AX26</f>
        <v>0.76130030185154163</v>
      </c>
      <c r="BA23" s="26" t="e">
        <f>'Evolutive SFP'!AY29/'Evolutive SFP'!AY26</f>
        <v>#DIV/0!</v>
      </c>
      <c r="BB23" s="26">
        <f>'Evolutive SFP'!AZ29/'Evolutive SFP'!AZ26</f>
        <v>0.8049867367134842</v>
      </c>
      <c r="BC23" s="26">
        <f>'Evolutive SFP'!BA29/'Evolutive SFP'!BA26</f>
        <v>0.78394792234873811</v>
      </c>
      <c r="BD23" s="26">
        <f>'Evolutive SFP'!BB29/'Evolutive SFP'!BB26</f>
        <v>0.75188416478112352</v>
      </c>
      <c r="BE23" s="26">
        <f>'Evolutive SFP'!BC29/'Evolutive SFP'!BC26</f>
        <v>0.75092394082681879</v>
      </c>
      <c r="BF23" s="26">
        <f>'Evolutive SFP'!BD29/'Evolutive SFP'!BD26</f>
        <v>0.72696575251598317</v>
      </c>
      <c r="BG23" s="26">
        <f>'Evolutive SFP'!BE29/'Evolutive SFP'!BE26</f>
        <v>0.78886628643091372</v>
      </c>
      <c r="BH23" s="26">
        <f>'Evolutive SFP'!BF29/'Evolutive SFP'!BF26</f>
        <v>0.83062155071817678</v>
      </c>
      <c r="BI23" s="26">
        <f>'Evolutive SFP'!BG29/'Evolutive SFP'!BG26</f>
        <v>0.8940808858646796</v>
      </c>
      <c r="BJ23" s="26">
        <f>'Evolutive SFP'!BH29/'Evolutive SFP'!BH26</f>
        <v>0.84143574808616062</v>
      </c>
      <c r="BK23" s="26">
        <f>'Evolutive SFP'!BI29/'Evolutive SFP'!BI26</f>
        <v>0.85563292829201087</v>
      </c>
      <c r="BL23" s="26">
        <f>'Evolutive SFP'!BJ29/'Evolutive SFP'!BJ26</f>
        <v>0.86328476298772527</v>
      </c>
      <c r="BM23" s="26">
        <f>'Evolutive SFP'!BK29/'Evolutive SFP'!BK26</f>
        <v>0.79507197593979073</v>
      </c>
      <c r="BN23" s="26">
        <f>'Evolutive SFP'!BL29/'Evolutive SFP'!BL26</f>
        <v>0.86167807436427879</v>
      </c>
      <c r="BO23" s="26">
        <f>'Evolutive SFP'!BM29/'Evolutive SFP'!BM26</f>
        <v>0.8686026709576351</v>
      </c>
      <c r="BP23" s="26">
        <f>'Evolutive SFP'!BN29/'Evolutive SFP'!BN26</f>
        <v>0.86962555466143232</v>
      </c>
      <c r="BQ23" s="26">
        <f>'Evolutive SFP'!BO29/'Evolutive SFP'!BO26</f>
        <v>0.97425092435720728</v>
      </c>
      <c r="BR23" s="26">
        <f>'Evolutive SFP'!BP29/'Evolutive SFP'!BP26</f>
        <v>0.87434382787741616</v>
      </c>
      <c r="BS23" s="26">
        <f>'Evolutive SFP'!BQ29/'Evolutive SFP'!BQ26</f>
        <v>0.865358441629141</v>
      </c>
      <c r="BT23" s="26">
        <f>'Evolutive SFP'!BR29/'Evolutive SFP'!BR26</f>
        <v>0.73620077260729877</v>
      </c>
      <c r="BU23" s="26">
        <f>'Evolutive SFP'!BS29/'Evolutive SFP'!BS26</f>
        <v>0.87359780144228072</v>
      </c>
      <c r="BV23" s="26">
        <f>'Evolutive SFP'!BT29/'Evolutive SFP'!BT26</f>
        <v>0.84549227097720436</v>
      </c>
      <c r="BW23" s="26">
        <f>'Evolutive SFP'!BU29/'Evolutive SFP'!BU26</f>
        <v>0.82382217350159348</v>
      </c>
      <c r="BX23" s="26">
        <f>'Evolutive SFP'!BV29/'Evolutive SFP'!BV26</f>
        <v>0.84997390053470434</v>
      </c>
      <c r="BY23" s="26">
        <f>'Evolutive SFP'!BW29/'Evolutive SFP'!BW26</f>
        <v>0.70822285314385014</v>
      </c>
      <c r="BZ23" s="26">
        <f>'Evolutive SFP'!BX29/'Evolutive SFP'!BX26</f>
        <v>0.68285231022280801</v>
      </c>
      <c r="CA23" s="26">
        <f>'Evolutive SFP'!BY29/'Evolutive SFP'!BY26</f>
        <v>0.69610776781607941</v>
      </c>
      <c r="CB23" s="26">
        <f>'Evolutive SFP'!BZ29/'Evolutive SFP'!BZ26</f>
        <v>0.69908388976727021</v>
      </c>
      <c r="CC23" s="26">
        <f>'Evolutive SFP'!CA29/'Evolutive SFP'!CA26</f>
        <v>0.73688325727166026</v>
      </c>
      <c r="CD23" s="26">
        <f>'Evolutive SFP'!CB29/'Evolutive SFP'!CB26</f>
        <v>0.74865537572582297</v>
      </c>
      <c r="CE23" s="26">
        <f>'Evolutive SFP'!CC29/'Evolutive SFP'!CC26</f>
        <v>0.70816974265854804</v>
      </c>
      <c r="CF23" s="26">
        <f>'Evolutive SFP'!CD29/'Evolutive SFP'!CD26</f>
        <v>0.75965519339393262</v>
      </c>
    </row>
    <row r="24" spans="1:85" hidden="1">
      <c r="A24" s="325"/>
      <c r="B24" s="54" t="s">
        <v>189</v>
      </c>
      <c r="C24" s="2"/>
      <c r="D24" s="26">
        <f>('Evolutive SFP'!B27+'Evolutive SFP'!B28)/'Evolutive SFP'!B26</f>
        <v>0.18065100252817959</v>
      </c>
      <c r="E24" s="26">
        <f>('Evolutive SFP'!C27+'Evolutive SFP'!C28)/'Evolutive SFP'!C26</f>
        <v>0.14973142488500527</v>
      </c>
      <c r="F24" s="26">
        <f>('Evolutive SFP'!D27+'Evolutive SFP'!D28)/'Evolutive SFP'!D26</f>
        <v>8.5361502037536202E-2</v>
      </c>
      <c r="G24" s="26">
        <f>('Evolutive SFP'!E27+'Evolutive SFP'!E28)/'Evolutive SFP'!E26</f>
        <v>5.9589808041868836E-2</v>
      </c>
      <c r="H24" s="26">
        <f>('Evolutive SFP'!F27+'Evolutive SFP'!F28)/'Evolutive SFP'!F26</f>
        <v>-2.3177807475301692E-2</v>
      </c>
      <c r="I24" s="26">
        <f>('Evolutive SFP'!G27+'Evolutive SFP'!G28)/'Evolutive SFP'!G26</f>
        <v>7.1205012951379099E-2</v>
      </c>
      <c r="J24" s="26">
        <f>('Evolutive SFP'!H27+'Evolutive SFP'!H28)/'Evolutive SFP'!H26</f>
        <v>6.4179782517012993E-2</v>
      </c>
      <c r="K24" s="26">
        <f>('Evolutive SFP'!I27+'Evolutive SFP'!I28)/'Evolutive SFP'!I26</f>
        <v>0.12334578971228005</v>
      </c>
      <c r="L24" s="26">
        <f>('Evolutive SFP'!J27+'Evolutive SFP'!J28)/'Evolutive SFP'!J26</f>
        <v>-7.8080320486435349E-3</v>
      </c>
      <c r="M24" s="26">
        <f>('Evolutive SFP'!K27+'Evolutive SFP'!K28)/'Evolutive SFP'!K26</f>
        <v>-3.9155627448613825E-2</v>
      </c>
      <c r="N24" s="26" t="e">
        <f>('Evolutive SFP'!L27+'Evolutive SFP'!L28)/'Evolutive SFP'!L26</f>
        <v>#DIV/0!</v>
      </c>
      <c r="O24" s="26" t="e">
        <f>('Evolutive SFP'!M27+'Evolutive SFP'!M28)/'Evolutive SFP'!M26</f>
        <v>#DIV/0!</v>
      </c>
      <c r="P24" s="26" t="e">
        <f>('Evolutive SFP'!N27+'Evolutive SFP'!N28)/'Evolutive SFP'!N26</f>
        <v>#DIV/0!</v>
      </c>
      <c r="Q24" s="26" t="e">
        <f>('Evolutive SFP'!O27+'Evolutive SFP'!O28)/'Evolutive SFP'!O26</f>
        <v>#DIV/0!</v>
      </c>
      <c r="R24" s="26" t="e">
        <f>('Evolutive SFP'!P27+'Evolutive SFP'!P28)/'Evolutive SFP'!P26</f>
        <v>#DIV/0!</v>
      </c>
      <c r="S24" s="26" t="e">
        <f>('Evolutive SFP'!Q27+'Evolutive SFP'!Q28)/'Evolutive SFP'!Q26</f>
        <v>#DIV/0!</v>
      </c>
      <c r="T24" s="26">
        <f>('Evolutive SFP'!R27+'Evolutive SFP'!R28)/'Evolutive SFP'!R26</f>
        <v>-0.13267032200716261</v>
      </c>
      <c r="U24" s="26">
        <f>('Evolutive SFP'!S27+'Evolutive SFP'!S28)/'Evolutive SFP'!S26</f>
        <v>-1.3753771245401706E-2</v>
      </c>
      <c r="V24" s="26">
        <f>('Evolutive SFP'!T27+'Evolutive SFP'!T28)/'Evolutive SFP'!T26</f>
        <v>-3.8980603993554748E-2</v>
      </c>
      <c r="W24" s="26">
        <f>('Evolutive SFP'!U27+'Evolutive SFP'!U28)/'Evolutive SFP'!U26</f>
        <v>-3.8939070316195395E-2</v>
      </c>
      <c r="X24" s="26">
        <f>('Evolutive SFP'!V27+'Evolutive SFP'!V28)/'Evolutive SFP'!V26</f>
        <v>-8.4916370812767331E-2</v>
      </c>
      <c r="Y24" s="26">
        <f>('Evolutive SFP'!W27+'Evolutive SFP'!W28)/'Evolutive SFP'!W26</f>
        <v>-9.1310663103519915E-2</v>
      </c>
      <c r="Z24" s="26">
        <f>('Evolutive SFP'!X27+'Evolutive SFP'!X28)/'Evolutive SFP'!X26</f>
        <v>0.54135265735479843</v>
      </c>
      <c r="AA24" s="26">
        <f>('Evolutive SFP'!Y27+'Evolutive SFP'!Y28)/'Evolutive SFP'!Y26</f>
        <v>-0.1718826126538931</v>
      </c>
      <c r="AB24" s="26">
        <f>('Evolutive SFP'!Z27+'Evolutive SFP'!Z28)/'Evolutive SFP'!Z26</f>
        <v>-0.1088256823088599</v>
      </c>
      <c r="AC24" s="26">
        <f>('Evolutive SFP'!AA27+'Evolutive SFP'!AA28)/'Evolutive SFP'!AA26</f>
        <v>-0.12751647179146408</v>
      </c>
      <c r="AD24" s="26">
        <f>('Evolutive SFP'!AB27+'Evolutive SFP'!AB28)/'Evolutive SFP'!AB26</f>
        <v>-0.15499938693364473</v>
      </c>
      <c r="AE24" s="26">
        <f>('Evolutive SFP'!AC27+'Evolutive SFP'!AC28)/'Evolutive SFP'!AC26</f>
        <v>-0.11526928281118753</v>
      </c>
      <c r="AF24" s="26">
        <f>('Evolutive SFP'!AD27+'Evolutive SFP'!AD28)/'Evolutive SFP'!AD26</f>
        <v>-0.1783183901580713</v>
      </c>
      <c r="AG24" s="26">
        <f>('Evolutive SFP'!AE27+'Evolutive SFP'!AE28)/'Evolutive SFP'!AE26</f>
        <v>-0.12835035980903384</v>
      </c>
      <c r="AH24" s="26">
        <f>('Evolutive SFP'!AF27+'Evolutive SFP'!AF28)/'Evolutive SFP'!AF26</f>
        <v>-0.18347598586593597</v>
      </c>
      <c r="AI24" s="26">
        <f>('Evolutive SFP'!AG27+'Evolutive SFP'!AG28)/'Evolutive SFP'!AG26</f>
        <v>-0.15778036193121397</v>
      </c>
      <c r="AJ24" s="26">
        <f>('Evolutive SFP'!AH27+'Evolutive SFP'!AH28)/'Evolutive SFP'!AH26</f>
        <v>-0.25824007736947946</v>
      </c>
      <c r="AK24" s="26">
        <f>('Evolutive SFP'!AI27+'Evolutive SFP'!AI28)/'Evolutive SFP'!AI26</f>
        <v>-0.27367366558723516</v>
      </c>
      <c r="AL24" s="26">
        <f>('Evolutive SFP'!AJ27+'Evolutive SFP'!AJ28)/'Evolutive SFP'!AJ26</f>
        <v>-0.2619489054934882</v>
      </c>
      <c r="AM24" s="26">
        <f>('Evolutive SFP'!AK27+'Evolutive SFP'!AK28)/'Evolutive SFP'!AK26</f>
        <v>-0.24763419832026728</v>
      </c>
      <c r="AN24" s="26">
        <f>('Evolutive SFP'!AL27+'Evolutive SFP'!AL28)/'Evolutive SFP'!AL26</f>
        <v>-0.21603796524460367</v>
      </c>
      <c r="AO24" s="26">
        <f>('Evolutive SFP'!AM27+'Evolutive SFP'!AM28)/'Evolutive SFP'!AM26</f>
        <v>-0.20016942919412872</v>
      </c>
      <c r="AP24" s="26">
        <f>('Evolutive SFP'!AN27+'Evolutive SFP'!AN28)/'Evolutive SFP'!AN26</f>
        <v>-0.19791785150435265</v>
      </c>
      <c r="AQ24" s="26" t="e">
        <f>('Evolutive SFP'!AO27+'Evolutive SFP'!AO28)/'Evolutive SFP'!AO26</f>
        <v>#DIV/0!</v>
      </c>
      <c r="AR24" s="26" t="e">
        <f>('Evolutive SFP'!AP27+'Evolutive SFP'!AP28)/'Evolutive SFP'!AP26</f>
        <v>#DIV/0!</v>
      </c>
      <c r="AS24" s="26" t="e">
        <f>('Evolutive SFP'!AQ27+'Evolutive SFP'!AQ28)/'Evolutive SFP'!AQ26</f>
        <v>#DIV/0!</v>
      </c>
      <c r="AT24" s="26" t="e">
        <f>('Evolutive SFP'!AR27+'Evolutive SFP'!AR28)/'Evolutive SFP'!AR26</f>
        <v>#DIV/0!</v>
      </c>
      <c r="AU24" s="26">
        <f>('Evolutive SFP'!AS27+'Evolutive SFP'!AS28)/'Evolutive SFP'!AS26</f>
        <v>-0.48603432937464691</v>
      </c>
      <c r="AV24" s="26">
        <f>('Evolutive SFP'!AT27+'Evolutive SFP'!AT28)/'Evolutive SFP'!AT26</f>
        <v>0.27952803905386997</v>
      </c>
      <c r="AW24" s="26">
        <f>('Evolutive SFP'!AU27+'Evolutive SFP'!AU28)/'Evolutive SFP'!AU26</f>
        <v>0.22380796462992006</v>
      </c>
      <c r="AX24" s="26">
        <f>('Evolutive SFP'!AV27+'Evolutive SFP'!AV28)/'Evolutive SFP'!AV26</f>
        <v>0.23592731377183337</v>
      </c>
      <c r="AY24" s="26">
        <f>('Evolutive SFP'!AW27+'Evolutive SFP'!AW28)/'Evolutive SFP'!AW26</f>
        <v>0.2552706150834565</v>
      </c>
      <c r="AZ24" s="26">
        <f>('Evolutive SFP'!AX27+'Evolutive SFP'!AX28)/'Evolutive SFP'!AX26</f>
        <v>0.27265456697357071</v>
      </c>
      <c r="BA24" s="26" t="e">
        <f>('Evolutive SFP'!AY27+'Evolutive SFP'!AY28)/'Evolutive SFP'!AY26</f>
        <v>#DIV/0!</v>
      </c>
      <c r="BB24" s="26">
        <f>('Evolutive SFP'!AZ27+'Evolutive SFP'!AZ28)/'Evolutive SFP'!AZ26</f>
        <v>0.2191360825139515</v>
      </c>
      <c r="BC24" s="26">
        <f>('Evolutive SFP'!BA27+'Evolutive SFP'!BA28)/'Evolutive SFP'!BA26</f>
        <v>0.21606702196268221</v>
      </c>
      <c r="BD24" s="26">
        <f>('Evolutive SFP'!BB27+'Evolutive SFP'!BB28)/'Evolutive SFP'!BB26</f>
        <v>0.21469803505837484</v>
      </c>
      <c r="BE24" s="26">
        <f>('Evolutive SFP'!BC27+'Evolutive SFP'!BC28)/'Evolutive SFP'!BC26</f>
        <v>0.22072840742824132</v>
      </c>
      <c r="BF24" s="26">
        <f>('Evolutive SFP'!BD27+'Evolutive SFP'!BD28)/'Evolutive SFP'!BD26</f>
        <v>0.21915988531699038</v>
      </c>
      <c r="BG24" s="26">
        <f>('Evolutive SFP'!BE27+'Evolutive SFP'!BE28)/'Evolutive SFP'!BE26</f>
        <v>0.23139426066242491</v>
      </c>
      <c r="BH24" s="26">
        <f>('Evolutive SFP'!BF27+'Evolutive SFP'!BF28)/'Evolutive SFP'!BF26</f>
        <v>0.13762161719960941</v>
      </c>
      <c r="BI24" s="26">
        <f>('Evolutive SFP'!BG27+'Evolutive SFP'!BG28)/'Evolutive SFP'!BG26</f>
        <v>0.17644515595892515</v>
      </c>
      <c r="BJ24" s="26">
        <f>('Evolutive SFP'!BH27+'Evolutive SFP'!BH28)/'Evolutive SFP'!BH26</f>
        <v>0.11444019840959697</v>
      </c>
      <c r="BK24" s="26">
        <f>('Evolutive SFP'!BI27+'Evolutive SFP'!BI28)/'Evolutive SFP'!BI26</f>
        <v>0.14779813659685459</v>
      </c>
      <c r="BL24" s="26">
        <f>('Evolutive SFP'!BJ27+'Evolutive SFP'!BJ28)/'Evolutive SFP'!BJ26</f>
        <v>0.14910929276930751</v>
      </c>
      <c r="BM24" s="26">
        <f>('Evolutive SFP'!BK27+'Evolutive SFP'!BK28)/'Evolutive SFP'!BK26</f>
        <v>0.14289565940438587</v>
      </c>
      <c r="BN24" s="26">
        <f>('Evolutive SFP'!BL27+'Evolutive SFP'!BL28)/'Evolutive SFP'!BL26</f>
        <v>0.14771738072194868</v>
      </c>
      <c r="BO24" s="26">
        <f>('Evolutive SFP'!BM27+'Evolutive SFP'!BM28)/'Evolutive SFP'!BM26</f>
        <v>0.15083166076409218</v>
      </c>
      <c r="BP24" s="26">
        <f>('Evolutive SFP'!BN27+'Evolutive SFP'!BN28)/'Evolutive SFP'!BN26</f>
        <v>0.12782775040419236</v>
      </c>
      <c r="BQ24" s="26">
        <f>('Evolutive SFP'!BO27+'Evolutive SFP'!BO28)/'Evolutive SFP'!BO26</f>
        <v>0.15063695539514196</v>
      </c>
      <c r="BR24" s="26">
        <f>('Evolutive SFP'!BP27+'Evolutive SFP'!BP28)/'Evolutive SFP'!BP26</f>
        <v>0.13408484022436257</v>
      </c>
      <c r="BS24" s="26">
        <f>('Evolutive SFP'!BQ27+'Evolutive SFP'!BQ28)/'Evolutive SFP'!BQ26</f>
        <v>0.13591465199417133</v>
      </c>
      <c r="BT24" s="26">
        <f>('Evolutive SFP'!BR27+'Evolutive SFP'!BR28)/'Evolutive SFP'!BR26</f>
        <v>0.18870352242328287</v>
      </c>
      <c r="BU24" s="26">
        <f>('Evolutive SFP'!BS27+'Evolutive SFP'!BS28)/'Evolutive SFP'!BS26</f>
        <v>0.13291333347722181</v>
      </c>
      <c r="BV24" s="26">
        <f>('Evolutive SFP'!BT27+'Evolutive SFP'!BT28)/'Evolutive SFP'!BT26</f>
        <v>0.15204917529549308</v>
      </c>
      <c r="BW24" s="26">
        <f>('Evolutive SFP'!BU27+'Evolutive SFP'!BU28)/'Evolutive SFP'!BU26</f>
        <v>0.15827207902125234</v>
      </c>
      <c r="BX24" s="26">
        <f>('Evolutive SFP'!BV27+'Evolutive SFP'!BV28)/'Evolutive SFP'!BV26</f>
        <v>0.15490463214198569</v>
      </c>
      <c r="BY24" s="26">
        <f>('Evolutive SFP'!BW27+'Evolutive SFP'!BW28)/'Evolutive SFP'!BW26</f>
        <v>0.21255681502436508</v>
      </c>
      <c r="BZ24" s="26">
        <f>('Evolutive SFP'!BX27+'Evolutive SFP'!BX28)/'Evolutive SFP'!BX26</f>
        <v>0.20256744855950096</v>
      </c>
      <c r="CA24" s="26">
        <f>('Evolutive SFP'!BY27+'Evolutive SFP'!BY28)/'Evolutive SFP'!BY26</f>
        <v>0.20319072248390724</v>
      </c>
      <c r="CB24" s="26">
        <f>('Evolutive SFP'!BZ27+'Evolutive SFP'!BZ28)/'Evolutive SFP'!BZ26</f>
        <v>0.20373092339452473</v>
      </c>
      <c r="CC24" s="26">
        <f>('Evolutive SFP'!CA27+'Evolutive SFP'!CA28)/'Evolutive SFP'!CA26</f>
        <v>0.23400949912183644</v>
      </c>
      <c r="CD24" s="26">
        <f>('Evolutive SFP'!CB27+'Evolutive SFP'!CB28)/'Evolutive SFP'!CB26</f>
        <v>0.22311893941010036</v>
      </c>
      <c r="CE24" s="26">
        <f>('Evolutive SFP'!CC27+'Evolutive SFP'!CC28)/'Evolutive SFP'!CC26</f>
        <v>0.2069950176467038</v>
      </c>
      <c r="CF24" s="26">
        <f>('Evolutive SFP'!CD27+'Evolutive SFP'!CD28)/'Evolutive SFP'!CD26</f>
        <v>0.21638449216244302</v>
      </c>
    </row>
    <row r="25" spans="1:85" hidden="1">
      <c r="A25" s="324" t="s">
        <v>190</v>
      </c>
      <c r="B25" s="54" t="s">
        <v>33</v>
      </c>
      <c r="C25" s="2"/>
      <c r="D25" s="2"/>
      <c r="E25" s="26">
        <f>(Financials!D4-Financials!C4)/Financials!C4</f>
        <v>-0.15140409129199356</v>
      </c>
      <c r="F25" s="26" t="e">
        <f>(Financials!E4-Financials!#REF!)/Financials!#REF!</f>
        <v>#REF!</v>
      </c>
      <c r="G25" s="26" t="e">
        <f>(Financials!#REF!-Financials!#REF!)/Financials!#REF!</f>
        <v>#REF!</v>
      </c>
      <c r="H25" s="26">
        <f>(Financials!G4-Financials!E4)/Financials!E4</f>
        <v>-3.3928882925049461E-2</v>
      </c>
      <c r="I25" s="26">
        <f>(Financials!H4-Financials!G4)/Financials!G4</f>
        <v>0.10882181423783921</v>
      </c>
      <c r="J25" s="26">
        <f>(Financials!I4-Financials!H4)/Financials!H4</f>
        <v>-6.4083483540108663E-2</v>
      </c>
      <c r="K25" s="26">
        <f>(Financials!J4-Financials!I4)/Financials!I4</f>
        <v>-5.0449933061844754E-2</v>
      </c>
      <c r="L25" s="26">
        <f>(Financials!K4-Financials!J4)/Financials!J4</f>
        <v>-2.8485049572710378E-2</v>
      </c>
      <c r="M25" s="26">
        <f>(Financials!L4-Financials!K4)/Financials!K4</f>
        <v>-3.1979221900328827E-2</v>
      </c>
      <c r="N25" s="26">
        <f>(Financials!M4-Financials!L4)/Financials!L4</f>
        <v>-1</v>
      </c>
      <c r="O25" s="26" t="e">
        <f>(Financials!N4-Financials!M4)/Financials!M4</f>
        <v>#DIV/0!</v>
      </c>
      <c r="P25" s="26" t="e">
        <f>(Financials!O4-Financials!N4)/Financials!N4</f>
        <v>#DIV/0!</v>
      </c>
      <c r="Q25" s="26" t="e">
        <f>(Financials!P4-Financials!O4)/Financials!O4</f>
        <v>#DIV/0!</v>
      </c>
      <c r="R25" s="26" t="e">
        <f>(Financials!Q4-Financials!P4)/Financials!P4</f>
        <v>#DIV/0!</v>
      </c>
      <c r="S25" s="26" t="e">
        <f>(Financials!R4-Financials!Q4)/Financials!Q4</f>
        <v>#DIV/0!</v>
      </c>
      <c r="T25" s="26" t="e">
        <f>(Financials!S4-Financials!R4)/Financials!R4</f>
        <v>#DIV/0!</v>
      </c>
      <c r="U25" s="26">
        <f>(Financials!T4-Financials!S4)/Financials!S4</f>
        <v>8.668940733635927E-2</v>
      </c>
      <c r="V25" s="26">
        <f>(Financials!U4-Financials!T4)/Financials!T4</f>
        <v>-2.6593779014402522E-2</v>
      </c>
      <c r="W25" s="26">
        <f>(Financials!V4-Financials!U4)/Financials!U4</f>
        <v>1.066632485626543E-3</v>
      </c>
      <c r="X25" s="26">
        <f>(Financials!W4-Financials!V4)/Financials!V4</f>
        <v>-7.2401589846244174E-2</v>
      </c>
      <c r="Y25" s="26">
        <f>(Financials!X4-Financials!W4)/Financials!W4</f>
        <v>-7.1296279741439844E-2</v>
      </c>
      <c r="Z25" s="26">
        <f>(Financials!Y4-Financials!X4)/Financials!X4</f>
        <v>9.1951275335001637E-2</v>
      </c>
      <c r="AA25" s="26">
        <f>(Financials!Z4-Financials!Y4)/Financials!Y4</f>
        <v>-4.5731541914329106E-3</v>
      </c>
      <c r="AB25" s="26">
        <f>(Financials!AA4-Financials!Z4)/Financials!Z4</f>
        <v>4.3660956520766063E-2</v>
      </c>
      <c r="AC25" s="26">
        <f>(Financials!AB4-Financials!AA4)/Financials!AA4</f>
        <v>-2.3674356926128907E-2</v>
      </c>
      <c r="AD25" s="26">
        <f>(Financials!AC4-Financials!AB4)/Financials!AB4</f>
        <v>-5.2562092896630087E-2</v>
      </c>
      <c r="AE25" s="26">
        <f>(Financials!AD4-Financials!AC4)/Financials!AC4</f>
        <v>-2.2246899961836E-2</v>
      </c>
      <c r="AF25" s="26">
        <f>(Financials!AE4-Financials!AD4)/Financials!AD4</f>
        <v>-3.2691403311853724E-2</v>
      </c>
      <c r="AG25" s="26">
        <f>(Financials!AF4-Financials!AE4)/Financials!AE4</f>
        <v>1.5326376815895206E-2</v>
      </c>
      <c r="AH25" s="26">
        <f>(Financials!AG4-Financials!AF4)/Financials!AF4</f>
        <v>-6.0127325228778686E-2</v>
      </c>
      <c r="AI25" s="26">
        <f>(Financials!AH4-Financials!AG4)/Financials!AG4</f>
        <v>7.2219723422961873E-2</v>
      </c>
      <c r="AJ25" s="26">
        <f>(Financials!AI4-Financials!AH4)/Financials!AH4</f>
        <v>-7.3809061003343432E-2</v>
      </c>
      <c r="AK25" s="26">
        <f>(Financials!AJ4-Financials!AI4)/Financials!AI4</f>
        <v>-2.837062464571986E-2</v>
      </c>
      <c r="AL25" s="26">
        <f>(Financials!AK4-Financials!AJ4)/Financials!AJ4</f>
        <v>5.7207421435437897E-3</v>
      </c>
      <c r="AM25" s="26">
        <f>(Financials!AL4-Financials!AK4)/Financials!AK4</f>
        <v>-1.8532964651259212E-2</v>
      </c>
      <c r="AN25" s="26">
        <f>(Financials!AM4-Financials!AL4)/Financials!AL4</f>
        <v>7.1180687073957249E-2</v>
      </c>
      <c r="AO25" s="26">
        <f>(Financials!AN4-Financials!AM4)/Financials!AM4</f>
        <v>1.9349720653748261E-2</v>
      </c>
      <c r="AP25" s="26">
        <f>(Financials!AO4-Financials!AN4)/Financials!AN4</f>
        <v>4.5310539753296462E-3</v>
      </c>
      <c r="AQ25" s="26">
        <f>(Financials!AP4-Financials!AO4)/Financials!AO4</f>
        <v>-1</v>
      </c>
      <c r="AR25" s="26" t="e">
        <f>(Financials!AQ4-Financials!AP4)/Financials!AP4</f>
        <v>#DIV/0!</v>
      </c>
      <c r="AS25" s="26" t="e">
        <f>(Financials!AR4-Financials!AQ4)/Financials!AQ4</f>
        <v>#DIV/0!</v>
      </c>
      <c r="AT25" s="26" t="e">
        <f>(Financials!AT4-Financials!AR4)/Financials!AR4</f>
        <v>#DIV/0!</v>
      </c>
      <c r="AU25" s="26">
        <f>(Financials!AU4-Financials!AT4)/Financials!AT4</f>
        <v>1.0951597303570748</v>
      </c>
      <c r="AV25" s="26">
        <f>(Financials!AV4-Financials!AU4)/Financials!AU4</f>
        <v>5.7208351112251601E-2</v>
      </c>
      <c r="AW25" s="26">
        <f>(Financials!AW4-Financials!AV4)/Financials!AV4</f>
        <v>-1.9027663180111815E-2</v>
      </c>
      <c r="AX25" s="26">
        <f>(Financials!AX4-Financials!AW4)/Financials!AW4</f>
        <v>1.7426113774554719E-2</v>
      </c>
      <c r="AY25" s="26">
        <f>(Financials!AY4-Financials!AX4)/Financials!AX4</f>
        <v>4.7307223140323873E-2</v>
      </c>
      <c r="AZ25" s="26">
        <f>(Financials!AZ4-Financials!AY4)/Financials!AY4</f>
        <v>-1</v>
      </c>
      <c r="BA25" s="26" t="e">
        <f>(Financials!BA4-Financials!AZ4)/Financials!AZ4</f>
        <v>#DIV/0!</v>
      </c>
      <c r="BB25" s="26">
        <f>(Financials!BB4-Financials!BA4)/Financials!BA4</f>
        <v>1.1877474977560872E-2</v>
      </c>
      <c r="BC25" s="26">
        <f>(Financials!BC4-Financials!BB4)/Financials!BB4</f>
        <v>3.5165264581753147E-2</v>
      </c>
      <c r="BD25" s="26">
        <f>(Financials!BD4-Financials!BC4)/Financials!BC4</f>
        <v>-9.172364531256208E-3</v>
      </c>
      <c r="BE25" s="26">
        <f>(Financials!BE4-Financials!BD4)/Financials!BD4</f>
        <v>3.5136755845864218E-2</v>
      </c>
      <c r="BF25" s="26">
        <f>(Financials!BF4-Financials!BE4)/Financials!BE4</f>
        <v>-7.9796145475678273E-2</v>
      </c>
      <c r="BG25" s="26">
        <f>(Financials!BG4-Financials!BF4)/Financials!BF4</f>
        <v>3.4113075437601115E-2</v>
      </c>
      <c r="BH25" s="26">
        <f>(Financials!BH4-Financials!BG4)/Financials!BG4</f>
        <v>-7.0114938285744374E-2</v>
      </c>
      <c r="BI25" s="26">
        <f>(Financials!BI4-Financials!BH4)/Financials!BH4</f>
        <v>5.4411958149635023E-2</v>
      </c>
      <c r="BJ25" s="26">
        <f>(Financials!BJ4-Financials!BI4)/Financials!BI4</f>
        <v>-4.4033846646274709E-2</v>
      </c>
      <c r="BK25" s="26">
        <f>(Financials!BK4-Financials!BJ4)/Financials!BJ4</f>
        <v>-1.5575904681683662E-2</v>
      </c>
      <c r="BL25" s="26">
        <f>(Financials!BL4-Financials!BK4)/Financials!BK4</f>
        <v>8.9241338692462605E-2</v>
      </c>
      <c r="BM25" s="26">
        <f>(Financials!BM4-Financials!BL4)/Financials!BL4</f>
        <v>-8.3935770539703219E-2</v>
      </c>
      <c r="BN25" s="26">
        <f>(Financials!BN4-Financials!BM4)/Financials!BM4</f>
        <v>-1.0057717628357244E-2</v>
      </c>
      <c r="BO25" s="26">
        <f>(Financials!BO4-Financials!BN4)/Financials!BN4</f>
        <v>-9.7041828219875223E-4</v>
      </c>
      <c r="BP25" s="26">
        <f>(Financials!BP4-Financials!BO4)/Financials!BO4</f>
        <v>-0.10658467297644837</v>
      </c>
      <c r="BQ25" s="26">
        <f>(Financials!BQ4-Financials!BP4)/Financials!BP4</f>
        <v>0.10920351403273479</v>
      </c>
      <c r="BR25" s="26">
        <f>(Financials!BR4-Financials!BQ4)/Financials!BQ4</f>
        <v>1.6507430416265619E-2</v>
      </c>
      <c r="BS25" s="26">
        <f>(Financials!BS4-Financials!BR4)/Financials!BR4</f>
        <v>0.12969523571673203</v>
      </c>
      <c r="BT25" s="26">
        <f>(Financials!BT4-Financials!BS4)/Financials!BS4</f>
        <v>-0.12099086451457816</v>
      </c>
    </row>
    <row r="26" spans="1:85" hidden="1">
      <c r="A26" s="324"/>
      <c r="B26" s="54" t="s">
        <v>99</v>
      </c>
      <c r="C26" s="2"/>
      <c r="D26" s="26">
        <f>Financials!D5/Financials!C5-1</f>
        <v>-8.47875863215799E-2</v>
      </c>
      <c r="E26" s="26" t="e">
        <f>Financials!#REF!/Financials!D5-1</f>
        <v>#REF!</v>
      </c>
      <c r="F26" s="26">
        <f>Financials!G5/Financials!E5-1</f>
        <v>-0.11706693345591723</v>
      </c>
      <c r="G26" s="26" t="e">
        <f>Financials!#REF!/Financials!#REF!-1</f>
        <v>#REF!</v>
      </c>
      <c r="H26" s="26">
        <f>Financials!H5/Financials!G5-1</f>
        <v>0.19844033463436106</v>
      </c>
      <c r="I26" s="26">
        <f>Financials!I5/Financials!H5-1</f>
        <v>-1.5693019726837121E-2</v>
      </c>
      <c r="J26" s="26">
        <f>Financials!J5/Financials!I5-1</f>
        <v>-4.1949821582439983E-2</v>
      </c>
      <c r="K26" s="26">
        <f>Financials!K5/Financials!J5-1</f>
        <v>-6.025540540402774E-2</v>
      </c>
      <c r="L26" s="26">
        <f>Financials!L5/Financials!K5-1</f>
        <v>-4.8903811387332241E-2</v>
      </c>
      <c r="M26" s="26">
        <f>Financials!M5/Financials!L5-1</f>
        <v>-1</v>
      </c>
      <c r="N26" s="26" t="e">
        <f>Financials!N5/Financials!M5-1</f>
        <v>#DIV/0!</v>
      </c>
      <c r="O26" s="26" t="e">
        <f>Financials!O5/Financials!N5-1</f>
        <v>#DIV/0!</v>
      </c>
      <c r="P26" s="26" t="e">
        <f>Financials!P5/Financials!O5-1</f>
        <v>#DIV/0!</v>
      </c>
      <c r="Q26" s="26" t="e">
        <f>Financials!Q5/Financials!P5-1</f>
        <v>#DIV/0!</v>
      </c>
      <c r="R26" s="26" t="e">
        <f>Financials!R5/Financials!Q5-1</f>
        <v>#DIV/0!</v>
      </c>
      <c r="S26" s="26" t="e">
        <f>Financials!S5/Financials!R5-1</f>
        <v>#DIV/0!</v>
      </c>
      <c r="T26" s="26">
        <f>Financials!T5/Financials!S5-1</f>
        <v>0.21732831657481766</v>
      </c>
      <c r="U26" s="26">
        <f>Financials!U5/Financials!T5-1</f>
        <v>-4.3190238619789101E-2</v>
      </c>
      <c r="V26" s="26">
        <f>Financials!V5/Financials!U5-1</f>
        <v>0</v>
      </c>
      <c r="W26" s="26">
        <f>Financials!W5/Financials!V5-1</f>
        <v>-7.5378421817943519E-2</v>
      </c>
      <c r="X26" s="26">
        <f>Financials!X5/Financials!W5-1</f>
        <v>1.4580639224783809E-2</v>
      </c>
      <c r="Y26" s="26">
        <f>Financials!Y5/Financials!X5-1</f>
        <v>-8.927697347327368E-2</v>
      </c>
      <c r="Z26" s="26">
        <f>Financials!Z5/Financials!Y5-1</f>
        <v>-7.8482014253888122E-2</v>
      </c>
      <c r="AA26" s="26">
        <f>Financials!AA5/Financials!Z5-1</f>
        <v>0.12848212085353627</v>
      </c>
      <c r="AB26" s="26">
        <f>Financials!AB5/Financials!AA5-1</f>
        <v>-8.3879709556819781E-2</v>
      </c>
      <c r="AC26" s="26">
        <f>Financials!AC5/Financials!AB5-1</f>
        <v>-6.1488422374675333E-2</v>
      </c>
      <c r="AD26" s="26">
        <f>Financials!AD5/Financials!AC5-1</f>
        <v>0.10054833665158958</v>
      </c>
      <c r="AE26" s="26">
        <f>Financials!AE5/Financials!AD5-1</f>
        <v>-8.5998832513124346E-2</v>
      </c>
      <c r="AF26" s="26">
        <f>Financials!AF5/Financials!AE5-1</f>
        <v>0.11454980379071844</v>
      </c>
      <c r="AG26" s="26">
        <f>Financials!AG5/Financials!AF5-1</f>
        <v>-0.10985015059044323</v>
      </c>
      <c r="AH26" s="26">
        <f>Financials!AH5/Financials!AG5-1</f>
        <v>2.7535871145409896E-2</v>
      </c>
      <c r="AI26" s="26">
        <f>Financials!AI5/Financials!AH5-1</f>
        <v>-0.1606828346101985</v>
      </c>
      <c r="AJ26" s="26">
        <f>Financials!AJ5/Financials!AI5-1</f>
        <v>-1.8255473291661106E-2</v>
      </c>
      <c r="AK26" s="26">
        <f>Financials!AK5/Financials!AJ5-1</f>
        <v>2.2059342583287567E-2</v>
      </c>
      <c r="AL26" s="26">
        <f>Financials!AL5/Financials!AK5-1</f>
        <v>3.7861013504893126E-2</v>
      </c>
      <c r="AM26" s="26">
        <f>Financials!AM5/Financials!AL5-1</f>
        <v>2.8698436013950834E-2</v>
      </c>
      <c r="AN26" s="26">
        <f>Financials!AN5/Financials!AM5-1</f>
        <v>2.1330445163467049E-2</v>
      </c>
      <c r="AO26" s="26">
        <f>Financials!AO5/Financials!AN5-1</f>
        <v>4.3686007125851578E-3</v>
      </c>
      <c r="AP26" s="26">
        <f>Financials!AP5/Financials!AO5-1</f>
        <v>-1</v>
      </c>
      <c r="AQ26" s="26" t="e">
        <f>Financials!AQ5/Financials!AP5-1</f>
        <v>#DIV/0!</v>
      </c>
      <c r="AR26" s="26" t="e">
        <f>Financials!AR5/Financials!AQ5-1</f>
        <v>#DIV/0!</v>
      </c>
      <c r="AS26" s="26" t="e">
        <f>Financials!AT5/Financials!AR5-1</f>
        <v>#DIV/0!</v>
      </c>
      <c r="AT26" s="26">
        <f>Financials!AU5/Financials!AT5-1</f>
        <v>0.83778076199871276</v>
      </c>
      <c r="AU26" s="26">
        <f>Financials!AU5/Financials!AT5-1</f>
        <v>0.83778076199871276</v>
      </c>
      <c r="AV26" s="26">
        <f>Financials!AV5/Financials!AU5-1</f>
        <v>-3.8693946643323041E-2</v>
      </c>
      <c r="AW26" s="26">
        <f>Financials!AW5/Financials!AV5-1</f>
        <v>7.0816178636561311E-3</v>
      </c>
      <c r="AX26" s="26">
        <f>Financials!AX5/Financials!AW5-1</f>
        <v>2.3861639396811407E-2</v>
      </c>
      <c r="AY26" s="26">
        <f>Financials!AY5/Financials!AX5-1</f>
        <v>2.7734649561403923E-2</v>
      </c>
      <c r="AZ26" s="26">
        <f>Financials!AZ5/Financials!AY5-1</f>
        <v>-1</v>
      </c>
      <c r="BA26" s="26" t="e">
        <f>Financials!BA5/Financials!AZ5-1</f>
        <v>#DIV/0!</v>
      </c>
      <c r="BB26" s="26">
        <f>Financials!BB5/Financials!BA5-1</f>
        <v>-1.1942144250819298E-2</v>
      </c>
      <c r="BC26" s="26">
        <f>Financials!BC5/Financials!BB5-1</f>
        <v>5.5736599599609526E-4</v>
      </c>
      <c r="BD26" s="26">
        <f>Financials!BD5/Financials!BC5-1</f>
        <v>-3.9750381508397714E-3</v>
      </c>
      <c r="BE26" s="26">
        <f>Financials!BE5/Financials!BD5-1</f>
        <v>7.9422183539428204E-3</v>
      </c>
      <c r="BF26" s="26">
        <f>Financials!BF5/Financials!BE5-1</f>
        <v>-7.6923713802530269E-3</v>
      </c>
      <c r="BG26" s="26">
        <f>Financials!BG5/Financials!BF5-1</f>
        <v>-1.8610566683702201E-2</v>
      </c>
      <c r="BH26" s="26">
        <f>Financials!BH5/Financials!BG5-1</f>
        <v>2.8115877758908114E-2</v>
      </c>
      <c r="BI26" s="26">
        <f>Financials!BI5/Financials!BH5-1</f>
        <v>-5.8512367643269836E-2</v>
      </c>
      <c r="BJ26" s="26">
        <f>Financials!BJ5/Financials!BI5-1</f>
        <v>3.5257595653896967E-3</v>
      </c>
      <c r="BK26" s="26">
        <f>Financials!BK5/Financials!BJ5-1</f>
        <v>-6.7826905930613579E-3</v>
      </c>
      <c r="BL26" s="26">
        <f>Financials!BL5/Financials!BK5-1</f>
        <v>9.1654696732914598E-3</v>
      </c>
      <c r="BM26" s="26">
        <f>Financials!BM5/Financials!BL5-1</f>
        <v>-1.4175932152506454E-2</v>
      </c>
      <c r="BN26" s="26">
        <f>Financials!BN5/Financials!BM5-1</f>
        <v>-2.1231125277088037E-4</v>
      </c>
      <c r="BO26" s="26">
        <f>Financials!BO5/Financials!BN5-1</f>
        <v>-2.2511478047064659E-2</v>
      </c>
      <c r="BP26" s="26">
        <f>Financials!BP5/Financials!BO5-1</f>
        <v>7.558015848826205E-3</v>
      </c>
      <c r="BQ26" s="26">
        <f>Financials!BQ5/Financials!BP5-1</f>
        <v>-5.6319012379266731E-3</v>
      </c>
      <c r="BR26" s="26">
        <f>Financials!BR5/Financials!BQ5-1</f>
        <v>9.2945309258636311E-3</v>
      </c>
      <c r="BS26" s="26">
        <f>Financials!BS5/Financials!BR5-1</f>
        <v>4.3531462339560401E-2</v>
      </c>
      <c r="BT26" s="26">
        <f>Financials!BT5/Financials!BS5-1</f>
        <v>-4.3433480290207438E-2</v>
      </c>
    </row>
    <row r="27" spans="1:85" hidden="1">
      <c r="A27" s="324"/>
      <c r="B27" s="55" t="s">
        <v>191</v>
      </c>
      <c r="C27" s="2"/>
      <c r="D27" s="26">
        <f>Financials!D6/Financials!C6-1</f>
        <v>1.0528248214162206E-2</v>
      </c>
      <c r="E27" s="26" t="e">
        <f>Financials!#REF!/Financials!D6-1</f>
        <v>#REF!</v>
      </c>
      <c r="F27" s="26">
        <f>Financials!G6/Financials!E6-1</f>
        <v>7.4219881985943426E-2</v>
      </c>
      <c r="G27" s="26" t="e">
        <f>Financials!#REF!/Financials!#REF!-1</f>
        <v>#REF!</v>
      </c>
      <c r="H27" s="26">
        <f>Financials!H6/Financials!G6-1</f>
        <v>1.0625314402954888E-2</v>
      </c>
      <c r="I27" s="26">
        <f>Financials!I6/Financials!H6-1</f>
        <v>3.6537586604363792E-3</v>
      </c>
      <c r="J27" s="26">
        <f>Financials!J6/Financials!I6-1</f>
        <v>-0.14211513712470236</v>
      </c>
      <c r="K27" s="26">
        <f>Financials!K6/Financials!J6-1</f>
        <v>0.1858481203935165</v>
      </c>
      <c r="L27" s="26">
        <f>Financials!L6/Financials!K6-1</f>
        <v>8.5274745652341721E-4</v>
      </c>
      <c r="M27" s="26">
        <f>Financials!M6/Financials!L6-1</f>
        <v>-1</v>
      </c>
      <c r="N27" s="26" t="e">
        <f>Financials!N6/Financials!M6-1</f>
        <v>#DIV/0!</v>
      </c>
      <c r="O27" s="26" t="e">
        <f>Financials!O6/Financials!N6-1</f>
        <v>#DIV/0!</v>
      </c>
      <c r="P27" s="26" t="e">
        <f>Financials!P6/Financials!O6-1</f>
        <v>#DIV/0!</v>
      </c>
      <c r="Q27" s="26" t="e">
        <f>Financials!Q6/Financials!P6-1</f>
        <v>#DIV/0!</v>
      </c>
      <c r="R27" s="26" t="e">
        <f>Financials!R6/Financials!Q6-1</f>
        <v>#DIV/0!</v>
      </c>
      <c r="S27" s="26" t="e">
        <f>Financials!S6/Financials!R6-1</f>
        <v>#DIV/0!</v>
      </c>
      <c r="T27" s="26">
        <f>Financials!T6/Financials!S6-1</f>
        <v>6.5682182319948268E-5</v>
      </c>
      <c r="U27" s="26">
        <f>Financials!U6/Financials!T6-1</f>
        <v>-3.2666235442119218E-3</v>
      </c>
      <c r="V27" s="26">
        <f>Financials!V6/Financials!U6-1</f>
        <v>0</v>
      </c>
      <c r="W27" s="26">
        <f>Financials!W6/Financials!V6-1</f>
        <v>-8.031934436885324E-3</v>
      </c>
      <c r="X27" s="26">
        <f>Financials!X6/Financials!W6-1</f>
        <v>1.2586760751787995E-2</v>
      </c>
      <c r="Y27" s="26">
        <f>Financials!Y6/Financials!X6-1</f>
        <v>-1</v>
      </c>
      <c r="Z27" s="26" t="e">
        <f>Financials!Z6/Financials!Y6-1</f>
        <v>#DIV/0!</v>
      </c>
      <c r="AA27" s="26">
        <f>Financials!AA6/Financials!Z6-1</f>
        <v>9.0401019332444488E-3</v>
      </c>
      <c r="AB27" s="26">
        <f>Financials!AB6/Financials!AA6-1</f>
        <v>-4.5767457088995878E-2</v>
      </c>
      <c r="AC27" s="26">
        <f>Financials!AC6/Financials!AB6-1</f>
        <v>-1.8757188439257333E-2</v>
      </c>
      <c r="AD27" s="26">
        <f>Financials!AD6/Financials!AC6-1</f>
        <v>1.2676725723363536E-2</v>
      </c>
      <c r="AE27" s="26">
        <f>Financials!AE6/Financials!AD6-1</f>
        <v>1.2406040998452328E-2</v>
      </c>
      <c r="AF27" s="26">
        <f>Financials!AF6/Financials!AE6-1</f>
        <v>1.8715272939071825E-2</v>
      </c>
      <c r="AG27" s="26">
        <f>Financials!AG6/Financials!AF6-1</f>
        <v>-2.8620084329093798E-2</v>
      </c>
      <c r="AH27" s="26">
        <f>Financials!AH6/Financials!AG6-1</f>
        <v>1.3978415673956412E-3</v>
      </c>
      <c r="AI27" s="26">
        <f>Financials!AI6/Financials!AH6-1</f>
        <v>-6.3073125134374131E-3</v>
      </c>
      <c r="AJ27" s="26">
        <f>Financials!AJ6/Financials!AI6-1</f>
        <v>-1.5638712840891911E-3</v>
      </c>
      <c r="AK27" s="26">
        <f>Financials!AK6/Financials!AJ6-1</f>
        <v>7.2693305663507068E-4</v>
      </c>
      <c r="AL27" s="26">
        <f>Financials!AL6/Financials!AK6-1</f>
        <v>-1.3289952593964482E-4</v>
      </c>
      <c r="AM27" s="26">
        <f>Financials!AM6/Financials!AL6-1</f>
        <v>-1.4838922368192176E-3</v>
      </c>
      <c r="AN27" s="26">
        <f>Financials!AN6/Financials!AM6-1</f>
        <v>-1.7176132955474266E-3</v>
      </c>
      <c r="AO27" s="26">
        <f>Financials!AO6/Financials!AN6-1</f>
        <v>1.2087574889578789E-3</v>
      </c>
      <c r="AP27" s="26">
        <f>Financials!AP6/Financials!AO6-1</f>
        <v>-1</v>
      </c>
      <c r="AQ27" s="26" t="e">
        <f>Financials!AQ6/Financials!AP6-1</f>
        <v>#DIV/0!</v>
      </c>
      <c r="AR27" s="26" t="e">
        <f>Financials!AR6/Financials!AQ6-1</f>
        <v>#DIV/0!</v>
      </c>
      <c r="AS27" s="26" t="e">
        <f>Financials!AT6/Financials!AR6-1</f>
        <v>#DIV/0!</v>
      </c>
      <c r="AT27" s="26">
        <f>Financials!AU6/Financials!AT6-1</f>
        <v>-2.3508933746141381E-4</v>
      </c>
      <c r="AU27" s="26">
        <f>Financials!AV6/Financials!AU6-1</f>
        <v>-5.743634380498408E-4</v>
      </c>
      <c r="AV27" s="26">
        <f>Financials!AW6/Financials!AV6-1</f>
        <v>-5.1228480016807243E-4</v>
      </c>
      <c r="AW27" s="26">
        <f>Financials!AX6/Financials!AW6-1</f>
        <v>1.4696329022767518E-3</v>
      </c>
      <c r="AX27" s="26">
        <f>Financials!AY6/Financials!AX6-1</f>
        <v>-1.3276744344000724E-3</v>
      </c>
      <c r="AY27" s="26">
        <f>Financials!AZ6/Financials!AY6-1</f>
        <v>-1</v>
      </c>
      <c r="AZ27" s="26" t="e">
        <f>Financials!BA6/Financials!AZ6-1</f>
        <v>#DIV/0!</v>
      </c>
      <c r="BA27" s="26">
        <f>Financials!BB6/Financials!BA6-1</f>
        <v>-1.4568553739429224E-2</v>
      </c>
      <c r="BB27" s="26">
        <f>Financials!BC6/Financials!BB6-1</f>
        <v>-7.1733744269739663E-3</v>
      </c>
      <c r="BC27" s="26">
        <f>Financials!BD6/Financials!BC6-1</f>
        <v>-1.0437740868103451E-2</v>
      </c>
      <c r="BD27" s="26">
        <f>Financials!BE6/Financials!BD6-1</f>
        <v>2.1107728192526487E-3</v>
      </c>
      <c r="BE27" s="26">
        <f>Financials!BF6/Financials!BE6-1</f>
        <v>-1.4415466400470311E-3</v>
      </c>
      <c r="BF27" s="26">
        <f>Financials!BG6/Financials!BF6-1</f>
        <v>8.8849430014458664E-2</v>
      </c>
      <c r="BG27" s="26">
        <f>Financials!BH6/Financials!BG6-1</f>
        <v>9.2811101634748816E-4</v>
      </c>
      <c r="BH27" s="26">
        <f>Financials!BI6/Financials!BH6-1</f>
        <v>-7.6737699871670673E-3</v>
      </c>
      <c r="BI27" s="26">
        <f>Financials!BJ6/Financials!BI6-1</f>
        <v>-2.7904244616974383E-2</v>
      </c>
      <c r="BJ27" s="26">
        <f>Financials!BK6/Financials!BJ6-1</f>
        <v>-6.7723042137932676E-3</v>
      </c>
      <c r="BK27" s="26">
        <f>Financials!BL6/Financials!BK6-1</f>
        <v>3.1745034307211206E-3</v>
      </c>
      <c r="BL27" s="26">
        <f>Financials!BM6/Financials!BL6-1</f>
        <v>-7.1937068309881891E-3</v>
      </c>
      <c r="BM27" s="26">
        <f>Financials!BN6/Financials!BM6-1</f>
        <v>-2.1023672950121197E-3</v>
      </c>
      <c r="BN27" s="26">
        <f>Financials!BO6/Financials!BN6-1</f>
        <v>2.0605873418411136E-4</v>
      </c>
      <c r="BO27" s="26">
        <f>Financials!BP6/Financials!BO6-1</f>
        <v>9.0286390728855359E-4</v>
      </c>
      <c r="BP27" s="26">
        <f>Financials!BQ6/Financials!BP6-1</f>
        <v>-4.5426469630137634E-3</v>
      </c>
      <c r="BQ27" s="26">
        <f>Financials!BR6/Financials!BQ6-1</f>
        <v>6.061068704414696E-3</v>
      </c>
      <c r="BR27" s="26">
        <f>Financials!BS6/Financials!BR6-1</f>
        <v>-3.8915592272144917E-2</v>
      </c>
      <c r="BS27" s="26">
        <f>Financials!BT6/Financials!BS6-1</f>
        <v>4.3058465543549085E-2</v>
      </c>
      <c r="BT27" s="26">
        <f>Financials!BU6/Financials!BT6-1</f>
        <v>1.0172951941331387E-2</v>
      </c>
    </row>
    <row r="28" spans="1:85" hidden="1">
      <c r="A28" s="324"/>
      <c r="B28" s="55" t="s">
        <v>192</v>
      </c>
      <c r="C28" s="2"/>
      <c r="D28" s="26">
        <f>Financials!D7/Financials!C7-1</f>
        <v>-0.29664672332712094</v>
      </c>
      <c r="E28" s="26" t="e">
        <f>Financials!#REF!/Financials!D7-1</f>
        <v>#REF!</v>
      </c>
      <c r="F28" s="26">
        <f>Financials!G7/Financials!E7-1</f>
        <v>-1.2623127501805982</v>
      </c>
      <c r="G28" s="26" t="e">
        <f>Financials!#REF!/Financials!#REF!-1</f>
        <v>#REF!</v>
      </c>
      <c r="H28" s="26">
        <f>Financials!H7/Financials!G7-1</f>
        <v>-4.4064340092439789</v>
      </c>
      <c r="I28" s="26">
        <f>Financials!I7/Financials!H7-1</f>
        <v>-0.15642289790057728</v>
      </c>
      <c r="J28" s="26">
        <f>Financials!J7/Financials!I7-1</f>
        <v>0.82492053236216201</v>
      </c>
      <c r="K28" s="26">
        <f>Financials!K7/Financials!J7-1</f>
        <v>-1.0614988147253914</v>
      </c>
      <c r="L28" s="26">
        <f>Financials!L7/Financials!K7-1</f>
        <v>3.8544192331245419</v>
      </c>
      <c r="M28" s="26">
        <f>Financials!M7/Financials!L7-1</f>
        <v>-1</v>
      </c>
      <c r="N28" s="26" t="e">
        <f>Financials!N7/Financials!M7-1</f>
        <v>#DIV/0!</v>
      </c>
      <c r="O28" s="26" t="e">
        <f>Financials!O7/Financials!N7-1</f>
        <v>#DIV/0!</v>
      </c>
      <c r="P28" s="26" t="e">
        <f>Financials!P7/Financials!O7-1</f>
        <v>#DIV/0!</v>
      </c>
      <c r="Q28" s="26" t="e">
        <f>Financials!Q7/Financials!P7-1</f>
        <v>#DIV/0!</v>
      </c>
      <c r="R28" s="26" t="e">
        <f>Financials!R7/Financials!Q7-1</f>
        <v>#DIV/0!</v>
      </c>
      <c r="S28" s="26" t="e">
        <f>Financials!S7/Financials!R7-1</f>
        <v>#DIV/0!</v>
      </c>
      <c r="T28" s="26">
        <f>Financials!T7/Financials!S7-1</f>
        <v>-0.88734422818014624</v>
      </c>
      <c r="U28" s="26">
        <f>Financials!U7/Financials!T7-1</f>
        <v>1.7588042398035379</v>
      </c>
      <c r="V28" s="26">
        <f>Financials!V7/Financials!U7-1</f>
        <v>0</v>
      </c>
      <c r="W28" s="26">
        <f>Financials!W7/Financials!V7-1</f>
        <v>1.0228600714483096</v>
      </c>
      <c r="X28" s="26">
        <f>Financials!X7/Financials!W7-1</f>
        <v>-1.3639100228118872E-3</v>
      </c>
      <c r="Y28" s="26">
        <f>Financials!Y7/Financials!X7-1</f>
        <v>-7.4738411102588627</v>
      </c>
      <c r="Z28" s="26">
        <f>Financials!Z7/Financials!Y7-1</f>
        <v>-1.3160538045558445</v>
      </c>
      <c r="AA28" s="26">
        <f>Financials!AA7/Financials!Z7-1</f>
        <v>-0.33921695778972527</v>
      </c>
      <c r="AB28" s="26">
        <f>Financials!AB7/Financials!AA7-1</f>
        <v>0.14400937979854489</v>
      </c>
      <c r="AC28" s="26">
        <f>Financials!AC7/Financials!AB7-1</f>
        <v>0.15163392380299556</v>
      </c>
      <c r="AD28" s="26">
        <f>Financials!AD7/Financials!AC7-1</f>
        <v>-0.27286874588695331</v>
      </c>
      <c r="AE28" s="26">
        <f>Financials!AE7/Financials!AD7-1</f>
        <v>0.49639962651656466</v>
      </c>
      <c r="AF28" s="26">
        <f>Financials!AF7/Financials!AE7-1</f>
        <v>-0.26918639366134833</v>
      </c>
      <c r="AG28" s="26">
        <f>Financials!AG7/Financials!AF7-1</f>
        <v>0.34354173878963068</v>
      </c>
      <c r="AH28" s="26">
        <f>Financials!AH7/Financials!AG7-1</f>
        <v>-7.7943550852068166E-2</v>
      </c>
      <c r="AI28" s="26">
        <f>Financials!AI7/Financials!AH7-1</f>
        <v>0.51590233928909579</v>
      </c>
      <c r="AJ28" s="26">
        <f>Financials!AJ7/Financials!AI7-1</f>
        <v>2.9698315823337706E-2</v>
      </c>
      <c r="AK28" s="26">
        <f>Financials!AK7/Financials!AJ7-1</f>
        <v>-3.7366466841785129E-2</v>
      </c>
      <c r="AL28" s="26">
        <f>Financials!AL7/Financials!AK7-1</f>
        <v>-7.2167138784259066E-2</v>
      </c>
      <c r="AM28" s="26">
        <f>Financials!AM7/Financials!AL7-1</f>
        <v>-6.5493790379136274E-2</v>
      </c>
      <c r="AN28" s="26">
        <f>Financials!AN7/Financials!AM7-1</f>
        <v>-5.5524099657978665E-2</v>
      </c>
      <c r="AO28" s="26">
        <f>Financials!AO7/Financials!AN7-1</f>
        <v>-6.7682723949551438E-3</v>
      </c>
      <c r="AP28" s="26">
        <f>Financials!AP7/Financials!AO7-1</f>
        <v>-1</v>
      </c>
      <c r="AQ28" s="26" t="e">
        <f>Financials!AQ7/Financials!AP7-1</f>
        <v>#DIV/0!</v>
      </c>
      <c r="AR28" s="26" t="e">
        <f>Financials!AR7/Financials!AQ7-1</f>
        <v>#DIV/0!</v>
      </c>
      <c r="AS28" s="26" t="e">
        <f>Financials!AT7/Financials!AR7-1</f>
        <v>#DIV/0!</v>
      </c>
      <c r="AT28" s="26">
        <f>Financials!AU7/Financials!AT7-1</f>
        <v>-2.2049681586995691</v>
      </c>
      <c r="AU28" s="26">
        <f>Financials!AV7/Financials!AU7-1</f>
        <v>-0.15353160973383539</v>
      </c>
      <c r="AV28" s="26">
        <f>Financials!AW7/Financials!AV7-1</f>
        <v>3.4092636931358999E-2</v>
      </c>
      <c r="AW28" s="26">
        <f>Financials!AX7/Financials!AW7-1</f>
        <v>0.10084324579890347</v>
      </c>
      <c r="AX28" s="26">
        <f>Financials!AY7/Financials!AX7-1</f>
        <v>0.11862893941106756</v>
      </c>
      <c r="AY28" s="26">
        <f>Financials!AZ7/Financials!AY7-1</f>
        <v>-1</v>
      </c>
      <c r="AZ28" s="26" t="e">
        <f>Financials!BA7/Financials!AZ7-1</f>
        <v>#DIV/0!</v>
      </c>
      <c r="BA28" s="26">
        <f>Financials!BB7/Financials!BA7-1</f>
        <v>-2.2941448010938004E-3</v>
      </c>
      <c r="BB28" s="26">
        <f>Financials!BC7/Financials!BB7-1</f>
        <v>2.8606523325759747E-2</v>
      </c>
      <c r="BC28" s="26">
        <f>Financials!BD7/Financials!BC7-1</f>
        <v>1.8657697325650258E-2</v>
      </c>
      <c r="BD28" s="26">
        <f>Financials!BE7/Financials!BD7-1</f>
        <v>2.778095190277341E-2</v>
      </c>
      <c r="BE28" s="26">
        <f>Financials!BF7/Financials!BE7-1</f>
        <v>-2.8426711081776412E-2</v>
      </c>
      <c r="BF28" s="26">
        <f>Financials!BG7/Financials!BF7-1</f>
        <v>-0.38496178167268413</v>
      </c>
      <c r="BG28" s="26">
        <f>Financials!BH7/Financials!BG7-1</f>
        <v>0.19220888459747187</v>
      </c>
      <c r="BH28" s="26">
        <f>Financials!BI7/Financials!BH7-1</f>
        <v>-0.31612113100919526</v>
      </c>
      <c r="BI28" s="26">
        <f>Financials!BJ7/Financials!BI7-1</f>
        <v>0.23461876227833356</v>
      </c>
      <c r="BJ28" s="26">
        <f>Financials!BK7/Financials!BJ7-1</f>
        <v>-6.8428194168220768E-3</v>
      </c>
      <c r="BK28" s="26">
        <f>Financials!BL7/Financials!BK7-1</f>
        <v>4.3850832179748611E-2</v>
      </c>
      <c r="BL28" s="26">
        <f>Financials!BM7/Financials!BL7-1</f>
        <v>-5.3025059592594403E-2</v>
      </c>
      <c r="BM28" s="26">
        <f>Financials!BN7/Financials!BM7-1</f>
        <v>1.0812930617613903E-2</v>
      </c>
      <c r="BN28" s="26">
        <f>Financials!BO7/Financials!BN7-1</f>
        <v>-0.15333622018547954</v>
      </c>
      <c r="BO28" s="26">
        <f>Financials!BP7/Financials!BO7-1</f>
        <v>5.2833710525575173E-2</v>
      </c>
      <c r="BP28" s="26">
        <f>Financials!BQ7/Financials!BP7-1</f>
        <v>-1.267669965017626E-2</v>
      </c>
      <c r="BQ28" s="26">
        <f>Financials!BR7/Financials!BQ7-1</f>
        <v>3.0379373412665611E-2</v>
      </c>
      <c r="BR28" s="26">
        <f>Financials!BS7/Financials!BR7-1</f>
        <v>0.56846570341577474</v>
      </c>
      <c r="BS28" s="26">
        <f>Financials!BT7/Financials!BS7-1</f>
        <v>-0.38086988067858563</v>
      </c>
      <c r="BT28" s="26">
        <f>Financials!BU7/Financials!BT7-1</f>
        <v>0.19402424386089456</v>
      </c>
    </row>
    <row r="29" spans="1:85" hidden="1">
      <c r="A29" s="324"/>
      <c r="B29" s="54" t="s">
        <v>193</v>
      </c>
      <c r="C29" s="2"/>
      <c r="D29" s="26">
        <f>Financials!D31/Financials!C31-1</f>
        <v>8.579813815465176E-2</v>
      </c>
      <c r="E29" s="26" t="e">
        <f>Financials!#REF!/Financials!D31-1</f>
        <v>#REF!</v>
      </c>
      <c r="F29" s="26">
        <f>Financials!G31/Financials!E31-1</f>
        <v>0.14123149835329807</v>
      </c>
      <c r="G29" s="26" t="e">
        <f>Financials!#REF!/Financials!#REF!-1</f>
        <v>#REF!</v>
      </c>
      <c r="H29" s="26">
        <f>Financials!H31/Financials!G31-1</f>
        <v>-1.6175039102121258E-2</v>
      </c>
      <c r="I29" s="26">
        <f>Financials!I31/Financials!H31-1</f>
        <v>9.436601401598077E-3</v>
      </c>
      <c r="J29" s="26">
        <f>Financials!J31/Financials!I31-1</f>
        <v>-4.2388386276638546E-2</v>
      </c>
      <c r="K29" s="26">
        <f>Financials!K31/Financials!J31-1</f>
        <v>3.2150514850359801E-3</v>
      </c>
      <c r="L29" s="26">
        <f>Financials!L31/Financials!K31-1</f>
        <v>3.0599628654761624E-3</v>
      </c>
      <c r="M29" s="26">
        <f>Financials!M31/Financials!L31-1</f>
        <v>-1</v>
      </c>
      <c r="N29" s="26" t="e">
        <f>Financials!N31/Financials!M31-1</f>
        <v>#DIV/0!</v>
      </c>
      <c r="O29" s="26" t="e">
        <f>Financials!O31/Financials!N31-1</f>
        <v>#DIV/0!</v>
      </c>
      <c r="P29" s="26" t="e">
        <f>Financials!P31/Financials!O31-1</f>
        <v>#DIV/0!</v>
      </c>
      <c r="Q29" s="26" t="e">
        <f>Financials!Q31/Financials!P31-1</f>
        <v>#DIV/0!</v>
      </c>
      <c r="R29" s="26" t="e">
        <f>Financials!R31/Financials!Q31-1</f>
        <v>#DIV/0!</v>
      </c>
      <c r="S29" s="26" t="e">
        <f>Financials!S31/Financials!R31-1</f>
        <v>#DIV/0!</v>
      </c>
      <c r="T29" s="26">
        <f>Financials!T31/Financials!S31-1</f>
        <v>0.177494479858471</v>
      </c>
      <c r="U29" s="26">
        <f>Financials!U31/Financials!T31-1</f>
        <v>3.5842521125693416E-2</v>
      </c>
      <c r="V29" s="26">
        <f>Financials!V31/Financials!U31-1</f>
        <v>0</v>
      </c>
      <c r="W29" s="26">
        <f>Financials!W31/Financials!V31-1</f>
        <v>-0.1285677005032696</v>
      </c>
      <c r="X29" s="26">
        <f>Financials!X31/Financials!W31-1</f>
        <v>0.12578129268624272</v>
      </c>
      <c r="Y29" s="26">
        <f>Financials!Y31/Financials!X31-1</f>
        <v>1.6295390632578011E-2</v>
      </c>
      <c r="Z29" s="26">
        <f>Financials!Z31/Financials!Y31-1</f>
        <v>9.832876620108344E-5</v>
      </c>
      <c r="AA29" s="26">
        <f>Financials!AA31/Financials!Z31-1</f>
        <v>-5.3152360232842089E-2</v>
      </c>
      <c r="AB29" s="26">
        <f>Financials!AB31/Financials!AA31-1</f>
        <v>-3.857057189540225E-2</v>
      </c>
      <c r="AC29" s="26">
        <f>Financials!AC31/Financials!AB31-1</f>
        <v>-7.1309358076978357E-2</v>
      </c>
      <c r="AD29" s="26">
        <f>Financials!AD31/Financials!AC31-1</f>
        <v>-6.937698760732558E-2</v>
      </c>
      <c r="AE29" s="26">
        <f>Financials!AE31/Financials!AD31-1</f>
        <v>-7.099541457997216E-2</v>
      </c>
      <c r="AF29" s="26">
        <f>Financials!AF31/Financials!AE31-1</f>
        <v>0.16288311665383048</v>
      </c>
      <c r="AG29" s="26">
        <f>Financials!AG31/Financials!AF31-1</f>
        <v>-5.7379486847512484E-2</v>
      </c>
      <c r="AH29" s="26">
        <f>Financials!AH31/Financials!AG31-1</f>
        <v>1.2752109714511128E-2</v>
      </c>
      <c r="AI29" s="26">
        <f>Financials!AI31/Financials!AH31-1</f>
        <v>-6.391098910293469E-2</v>
      </c>
      <c r="AJ29" s="26">
        <f>Financials!AJ31/Financials!AI31-1</f>
        <v>-1.2018427096963102E-2</v>
      </c>
      <c r="AK29" s="26">
        <f>Financials!AK31/Financials!AJ31-1</f>
        <v>-4.9669592025803899E-3</v>
      </c>
      <c r="AL29" s="26">
        <f>Financials!AL31/Financials!AK31-1</f>
        <v>8.6326357726023151E-3</v>
      </c>
      <c r="AM29" s="26">
        <f>Financials!AM31/Financials!AL31-1</f>
        <v>-4.1004317078301433E-3</v>
      </c>
      <c r="AN29" s="26">
        <f>Financials!AN31/Financials!AM31-1</f>
        <v>1.7323852045714849E-2</v>
      </c>
      <c r="AO29" s="26">
        <f>Financials!AO31/Financials!AN31-1</f>
        <v>-1.0005064208931103E-2</v>
      </c>
      <c r="AP29" s="26">
        <f>Financials!AP31/Financials!AO31-1</f>
        <v>-1</v>
      </c>
      <c r="AQ29" s="26" t="e">
        <f>Financials!AQ31/Financials!AP31-1</f>
        <v>#DIV/0!</v>
      </c>
      <c r="AR29" s="26" t="e">
        <f>Financials!AR31/Financials!AQ31-1</f>
        <v>#DIV/0!</v>
      </c>
      <c r="AS29" s="26" t="e">
        <f>Financials!AT31/Financials!AR31-1</f>
        <v>#DIV/0!</v>
      </c>
      <c r="AT29" s="26">
        <f>Financials!AU31/Financials!AT31-1</f>
        <v>-0.92307267255603676</v>
      </c>
      <c r="AU29" s="26">
        <f>Financials!AV31/Financials!AU31-1</f>
        <v>0.36479394854285108</v>
      </c>
      <c r="AV29" s="26">
        <f>Financials!AW31/Financials!AV31-1</f>
        <v>-1.1484552377590718E-2</v>
      </c>
      <c r="AW29" s="26">
        <f>Financials!AX31/Financials!AW31-1</f>
        <v>-6.0958225039904224E-2</v>
      </c>
      <c r="AX29" s="26">
        <f>Financials!AY31/Financials!AX31-1</f>
        <v>5.7908564002491669E-2</v>
      </c>
      <c r="AY29" s="26">
        <f>Financials!AZ31/Financials!AY31-1</f>
        <v>-1</v>
      </c>
      <c r="AZ29" s="26" t="e">
        <f>Financials!BA31/Financials!AZ31-1</f>
        <v>#DIV/0!</v>
      </c>
      <c r="BA29" s="26">
        <f>Financials!BB31/Financials!BA31-1</f>
        <v>3.1822613801584909E-2</v>
      </c>
      <c r="BB29" s="26">
        <f>Financials!BC31/Financials!BB31-1</f>
        <v>7.2674445888726709</v>
      </c>
      <c r="BC29" s="26">
        <f>Financials!BD31/Financials!BC31-1</f>
        <v>1.7971075450406993E-4</v>
      </c>
      <c r="BD29" s="26">
        <f>Financials!BE31/Financials!BD31-1</f>
        <v>-5.8762749889391674E-2</v>
      </c>
      <c r="BE29" s="26">
        <f>Financials!BF31/Financials!BE31-1</f>
        <v>-9.9414552208453522E-2</v>
      </c>
      <c r="BF29" s="26" t="e">
        <f>Financials!#REF!/Financials!BF31-1</f>
        <v>#REF!</v>
      </c>
      <c r="BG29" s="26" t="e">
        <f>Financials!#REF!/Financials!#REF!-1</f>
        <v>#REF!</v>
      </c>
      <c r="BH29" s="26" t="e">
        <f>Financials!#REF!/Financials!#REF!-1</f>
        <v>#REF!</v>
      </c>
      <c r="BI29" s="26" t="e">
        <f>Financials!#REF!/Financials!#REF!-1</f>
        <v>#REF!</v>
      </c>
      <c r="BJ29" s="26" t="e">
        <f>Financials!#REF!/Financials!#REF!-1</f>
        <v>#REF!</v>
      </c>
      <c r="BK29" s="26" t="e">
        <f>Financials!#REF!/Financials!#REF!-1</f>
        <v>#REF!</v>
      </c>
      <c r="BL29" s="26" t="e">
        <f>Financials!#REF!/Financials!#REF!-1</f>
        <v>#REF!</v>
      </c>
      <c r="BM29" s="26" t="e">
        <f>Financials!#REF!/Financials!#REF!-1</f>
        <v>#REF!</v>
      </c>
      <c r="BN29" s="26" t="e">
        <f>Financials!#REF!/Financials!#REF!-1</f>
        <v>#REF!</v>
      </c>
      <c r="BO29" s="26" t="e">
        <f>Financials!#REF!/Financials!#REF!-1</f>
        <v>#REF!</v>
      </c>
      <c r="BP29" s="26" t="e">
        <f>Financials!#REF!/Financials!#REF!-1</f>
        <v>#REF!</v>
      </c>
      <c r="BQ29" s="26" t="e">
        <f>Financials!#REF!/Financials!#REF!-1</f>
        <v>#REF!</v>
      </c>
      <c r="BR29" s="26" t="e">
        <f>Financials!#REF!/Financials!#REF!-1</f>
        <v>#REF!</v>
      </c>
      <c r="BS29" s="26" t="e">
        <f>Financials!#REF!/Financials!#REF!-1</f>
        <v>#REF!</v>
      </c>
      <c r="BT29" s="26" t="e">
        <f>Financials!#REF!/Financials!#REF!-1</f>
        <v>#REF!</v>
      </c>
    </row>
    <row r="30" spans="1:85" hidden="1">
      <c r="A30" s="324"/>
      <c r="B30" s="54" t="s">
        <v>194</v>
      </c>
      <c r="C30" s="2"/>
      <c r="D30" s="26">
        <f>Financials!D11/Financials!C11-1</f>
        <v>-0.16152669561845889</v>
      </c>
      <c r="E30" s="26" t="e">
        <f>Financials!#REF!/Financials!D11-1</f>
        <v>#REF!</v>
      </c>
      <c r="F30" s="26">
        <f>Financials!G11/Financials!E11-1</f>
        <v>0.23575328952289998</v>
      </c>
      <c r="G30" s="26" t="e">
        <f>Financials!#REF!/Financials!#REF!-1</f>
        <v>#REF!</v>
      </c>
      <c r="H30" s="26">
        <f>Financials!H11/Financials!G11-1</f>
        <v>-0.23996281094449257</v>
      </c>
      <c r="I30" s="26">
        <f>Financials!I11/Financials!H11-1</f>
        <v>2.5538297066004745E-2</v>
      </c>
      <c r="J30" s="26">
        <f>Financials!J11/Financials!I11-1</f>
        <v>-2.9604119740465507E-2</v>
      </c>
      <c r="K30" s="26">
        <f>Financials!K11/Financials!J11-1</f>
        <v>-3.9583283821451376E-2</v>
      </c>
      <c r="L30" s="26">
        <f>Financials!L11/Financials!K11-1</f>
        <v>-2.2358542663722947E-3</v>
      </c>
      <c r="M30" s="26">
        <f>Financials!M11/Financials!L11-1</f>
        <v>-1</v>
      </c>
      <c r="N30" s="26" t="e">
        <f>Financials!N11/Financials!M11-1</f>
        <v>#DIV/0!</v>
      </c>
      <c r="O30" s="26" t="e">
        <f>Financials!O11/Financials!N11-1</f>
        <v>#DIV/0!</v>
      </c>
      <c r="P30" s="26" t="e">
        <f>Financials!P11/Financials!O11-1</f>
        <v>#DIV/0!</v>
      </c>
      <c r="Q30" s="26" t="e">
        <f>Financials!Q11/Financials!P11-1</f>
        <v>#DIV/0!</v>
      </c>
      <c r="R30" s="26" t="e">
        <f>Financials!R11/Financials!Q11-1</f>
        <v>#DIV/0!</v>
      </c>
      <c r="S30" s="26" t="e">
        <f>Financials!S11/Financials!R11-1</f>
        <v>#DIV/0!</v>
      </c>
      <c r="T30" s="26">
        <f>Financials!T11/Financials!S11-1</f>
        <v>-0.24653687414086778</v>
      </c>
      <c r="U30" s="26">
        <f>Financials!U11/Financials!T11-1</f>
        <v>-1.8560917577579161E-3</v>
      </c>
      <c r="V30" s="26">
        <f>Financials!V11/Financials!U11-1</f>
        <v>-8.0569573702351294E-2</v>
      </c>
      <c r="W30" s="26">
        <f>Financials!W11/Financials!V11-1</f>
        <v>-9.7393214158031038E-2</v>
      </c>
      <c r="X30" s="26">
        <f>Financials!X11/Financials!W11-1</f>
        <v>-0.53406949383819802</v>
      </c>
      <c r="Y30" s="26">
        <f>Financials!Y11/Financials!X11-1</f>
        <v>2.1145116029976654</v>
      </c>
      <c r="Z30" s="26">
        <f>Financials!Z11/Financials!Y11-1</f>
        <v>-8.0142821290803523E-2</v>
      </c>
      <c r="AA30" s="26">
        <f>Financials!AA11/Financials!Z11-1</f>
        <v>-4.4735294949942439E-2</v>
      </c>
      <c r="AB30" s="26">
        <f>Financials!AB11/Financials!AA11-1</f>
        <v>2.9345263310710523E-2</v>
      </c>
      <c r="AC30" s="26">
        <f>Financials!AC11/Financials!AB11-1</f>
        <v>-1.9633825325100163E-2</v>
      </c>
      <c r="AD30" s="26">
        <f>Financials!AD11/Financials!AC11-1</f>
        <v>1.1362845419931267E-2</v>
      </c>
      <c r="AE30" s="26">
        <f>Financials!AE11/Financials!AD11-1</f>
        <v>-4.1207697821739386E-2</v>
      </c>
      <c r="AF30" s="26">
        <f>Financials!AF11/Financials!AE11-1</f>
        <v>-0.42760917144055199</v>
      </c>
      <c r="AG30" s="26">
        <f>Financials!AG11/Financials!AF11-1</f>
        <v>0.89145902290233314</v>
      </c>
      <c r="AH30" s="26">
        <f>Financials!AH11/Financials!AG11-1</f>
        <v>-5.6325489323959976E-2</v>
      </c>
      <c r="AI30" s="26">
        <f>Financials!AI11/Financials!AH11-1</f>
        <v>-4.3815849696724807E-2</v>
      </c>
      <c r="AJ30" s="26">
        <f>Financials!AJ11/Financials!AI11-1</f>
        <v>4.6555494028610145E-2</v>
      </c>
      <c r="AK30" s="26">
        <f>Financials!AK11/Financials!AJ11-1</f>
        <v>-1.8523555550179704E-2</v>
      </c>
      <c r="AL30" s="26">
        <f>Financials!AL11/Financials!AK11-1</f>
        <v>-7.1243521378125951E-3</v>
      </c>
      <c r="AM30" s="26">
        <f>Financials!AM11/Financials!AL11-1</f>
        <v>-1.3237551766848377E-2</v>
      </c>
      <c r="AN30" s="26">
        <f>Financials!AN11/Financials!AM11-1</f>
        <v>4.9412225629445805E-2</v>
      </c>
      <c r="AO30" s="26">
        <f>Financials!AO11/Financials!AN11-1</f>
        <v>-6.8954295095308482E-2</v>
      </c>
      <c r="AP30" s="26">
        <f>Financials!AP11/Financials!AO11-1</f>
        <v>-1</v>
      </c>
      <c r="AQ30" s="26" t="e">
        <f>Financials!AQ11/Financials!AP11-1</f>
        <v>#DIV/0!</v>
      </c>
      <c r="AR30" s="26" t="e">
        <f>Financials!AR11/Financials!AQ11-1</f>
        <v>#DIV/0!</v>
      </c>
      <c r="AS30" s="26" t="e">
        <f>Financials!AT11/Financials!AR11-1</f>
        <v>#DIV/0!</v>
      </c>
      <c r="AT30" s="26">
        <f>Financials!AU11/Financials!AT11-1</f>
        <v>-1.7930071026310834E-2</v>
      </c>
      <c r="AU30" s="26">
        <f>Financials!AV11/Financials!AU11-1</f>
        <v>-0.17850812653514847</v>
      </c>
      <c r="AV30" s="26">
        <f>Financials!AW11/Financials!AV11-1</f>
        <v>1.3947834691582228E-2</v>
      </c>
      <c r="AW30" s="26">
        <f>Financials!AX11/Financials!AW11-1</f>
        <v>2.0253906491909168E-2</v>
      </c>
      <c r="AX30" s="26">
        <f>Financials!AY11/Financials!AX11-1</f>
        <v>2.7714143736721208E-3</v>
      </c>
      <c r="AY30" s="26">
        <f>Financials!AZ11/Financials!AY11-1</f>
        <v>-1</v>
      </c>
      <c r="AZ30" s="26" t="e">
        <f>Financials!BA11/Financials!AZ11-1</f>
        <v>#DIV/0!</v>
      </c>
      <c r="BA30" s="26">
        <f>Financials!BB11/Financials!BA11-1</f>
        <v>-8.8430745871107663E-2</v>
      </c>
      <c r="BB30" s="26">
        <f>Financials!BC11/Financials!BB11-1</f>
        <v>-6.9684140552632834E-2</v>
      </c>
      <c r="BC30" s="26">
        <f>Financials!BD11/Financials!BC11-1</f>
        <v>1.1688874661284876E-2</v>
      </c>
      <c r="BD30" s="26">
        <f>Financials!BE11/Financials!BD11-1</f>
        <v>-6.1310516165383744E-2</v>
      </c>
      <c r="BE30" s="26">
        <f>Financials!BF11/Financials!BE11-1</f>
        <v>5.081520533173034E-2</v>
      </c>
      <c r="BF30" s="26" t="e">
        <f>Financials!#REF!/Financials!BF11-1</f>
        <v>#REF!</v>
      </c>
      <c r="BG30" s="26" t="e">
        <f>Financials!#REF!/Financials!#REF!-1</f>
        <v>#REF!</v>
      </c>
      <c r="BH30" s="26" t="e">
        <f>Financials!#REF!/Financials!#REF!-1</f>
        <v>#REF!</v>
      </c>
      <c r="BI30" s="26" t="e">
        <f>Financials!#REF!/Financials!#REF!-1</f>
        <v>#REF!</v>
      </c>
      <c r="BJ30" s="26" t="e">
        <f>Financials!#REF!/Financials!#REF!-1</f>
        <v>#REF!</v>
      </c>
      <c r="BK30" s="26" t="e">
        <f>Financials!#REF!/Financials!#REF!-1</f>
        <v>#REF!</v>
      </c>
      <c r="BL30" s="26" t="e">
        <f>Financials!#REF!/Financials!#REF!-1</f>
        <v>#REF!</v>
      </c>
      <c r="BM30" s="26" t="e">
        <f>Financials!#REF!/Financials!#REF!-1</f>
        <v>#REF!</v>
      </c>
      <c r="BN30" s="26" t="e">
        <f>Financials!#REF!/Financials!#REF!-1</f>
        <v>#REF!</v>
      </c>
      <c r="BO30" s="26" t="e">
        <f>Financials!#REF!/Financials!#REF!-1</f>
        <v>#REF!</v>
      </c>
      <c r="BP30" s="26" t="e">
        <f>Financials!#REF!/Financials!#REF!-1</f>
        <v>#REF!</v>
      </c>
      <c r="BQ30" s="26" t="e">
        <f>Financials!#REF!/Financials!#REF!-1</f>
        <v>#REF!</v>
      </c>
      <c r="BR30" s="26" t="e">
        <f>Financials!#REF!/Financials!#REF!-1</f>
        <v>#REF!</v>
      </c>
      <c r="BS30" s="26" t="e">
        <f>Financials!#REF!/Financials!#REF!-1</f>
        <v>#REF!</v>
      </c>
      <c r="BT30" s="26" t="e">
        <f>Financials!#REF!/Financials!#REF!-1</f>
        <v>#REF!</v>
      </c>
    </row>
    <row r="31" spans="1:85" hidden="1">
      <c r="A31" s="324"/>
      <c r="B31" s="54" t="s">
        <v>132</v>
      </c>
      <c r="C31" s="2"/>
      <c r="D31" s="26">
        <f>Financials!D37/Financials!C37-1</f>
        <v>0.18215093619884293</v>
      </c>
      <c r="E31" s="26" t="e">
        <f>Financials!#REF!/Financials!D37-1</f>
        <v>#REF!</v>
      </c>
      <c r="F31" s="26">
        <f>Financials!G37/Financials!E37-1</f>
        <v>-0.92160818558448687</v>
      </c>
      <c r="G31" s="26" t="e">
        <f>Financials!#REF!/Financials!#REF!-1</f>
        <v>#REF!</v>
      </c>
      <c r="H31" s="26">
        <f>Financials!H37/Financials!G37-1</f>
        <v>1.0233396466149154</v>
      </c>
      <c r="I31" s="26">
        <f>Financials!I37/Financials!H37-1</f>
        <v>0.45210014544307953</v>
      </c>
      <c r="J31" s="26">
        <f>Financials!J37/Financials!I37-1</f>
        <v>0.29865657372071697</v>
      </c>
      <c r="K31" s="26">
        <f>Financials!K37/Financials!J37-1</f>
        <v>3.7619069828405349E-2</v>
      </c>
      <c r="L31" s="26">
        <f>Financials!L37/Financials!K37-1</f>
        <v>4.7324839196017709E-2</v>
      </c>
      <c r="M31" s="26">
        <f>Financials!M37/Financials!L37-1</f>
        <v>-1</v>
      </c>
      <c r="N31" s="26" t="e">
        <f>Financials!N37/Financials!M37-1</f>
        <v>#DIV/0!</v>
      </c>
      <c r="O31" s="26" t="e">
        <f>Financials!O37/Financials!N37-1</f>
        <v>#DIV/0!</v>
      </c>
      <c r="P31" s="26" t="e">
        <f>Financials!P37/Financials!O37-1</f>
        <v>#DIV/0!</v>
      </c>
      <c r="Q31" s="26" t="e">
        <f>Financials!Q37/Financials!P37-1</f>
        <v>#DIV/0!</v>
      </c>
      <c r="R31" s="26" t="e">
        <f>Financials!R37/Financials!Q37-1</f>
        <v>#DIV/0!</v>
      </c>
      <c r="S31" s="26" t="e">
        <f>Financials!S37/Financials!R37-1</f>
        <v>#DIV/0!</v>
      </c>
      <c r="T31" s="26">
        <f>Financials!T37/Financials!S37-1</f>
        <v>-0.87187849122896866</v>
      </c>
      <c r="U31" s="26">
        <f>Financials!U37/Financials!T37-1</f>
        <v>1.0624320833040288</v>
      </c>
      <c r="V31" s="26">
        <f>Financials!V37/Financials!U37-1</f>
        <v>0.10764897895312764</v>
      </c>
      <c r="W31" s="26">
        <f>Financials!W37/Financials!V37-1</f>
        <v>5.9696092756411412E-2</v>
      </c>
      <c r="X31" s="26">
        <f>Financials!X37/Financials!W37-1</f>
        <v>7.0454111275056297E-2</v>
      </c>
      <c r="Y31" s="26">
        <f>Financials!Y37/Financials!X37-1</f>
        <v>6.1684383769362583E-3</v>
      </c>
      <c r="Z31" s="26">
        <f>Financials!Z37/Financials!Y37-1</f>
        <v>1.2534737602055923E-2</v>
      </c>
      <c r="AA31" s="26">
        <f>Financials!AA37/Financials!Z37-1</f>
        <v>0.11810697912522228</v>
      </c>
      <c r="AB31" s="26">
        <f>Financials!AB37/Financials!AA37-1</f>
        <v>0.27172749977523725</v>
      </c>
      <c r="AC31" s="26">
        <f>Financials!AC37/Financials!AB37-1</f>
        <v>0.19929610470505499</v>
      </c>
      <c r="AD31" s="26">
        <f>Financials!AD37/Financials!AC37-1</f>
        <v>0.16344723734776756</v>
      </c>
      <c r="AE31" s="26">
        <f>Financials!AE37/Financials!AD37-1</f>
        <v>0.11154430564886231</v>
      </c>
      <c r="AF31" s="26">
        <f>Financials!AF37/Financials!AE37-1</f>
        <v>-1</v>
      </c>
      <c r="AG31" s="26" t="e">
        <f>Financials!AG37/Financials!AF37-1</f>
        <v>#DIV/0!</v>
      </c>
      <c r="AH31" s="26">
        <f>Financials!AH37/Financials!AG37-1</f>
        <v>-0.98005381185752727</v>
      </c>
      <c r="AI31" s="26">
        <f>Financials!AI37/Financials!AH37-1</f>
        <v>0.21168775893484915</v>
      </c>
      <c r="AJ31" s="26">
        <f>Financials!AJ37/Financials!AI37-1</f>
        <v>3.2900707457332459</v>
      </c>
      <c r="AK31" s="26">
        <f>Financials!AK37/Financials!AJ37-1</f>
        <v>0.10212798022276481</v>
      </c>
      <c r="AL31" s="26">
        <f>Financials!AL37/Financials!AK37-1</f>
        <v>4.0101251125425286E-2</v>
      </c>
      <c r="AM31" s="26">
        <f>Financials!AM37/Financials!AL37-1</f>
        <v>3.1461961779660319E-2</v>
      </c>
      <c r="AN31" s="26">
        <f>Financials!AN37/Financials!AM37-1</f>
        <v>0.22276174206185906</v>
      </c>
      <c r="AO31" s="26">
        <f>Financials!AO37/Financials!AN37-1</f>
        <v>0.60941682797147045</v>
      </c>
      <c r="AP31" s="26">
        <f>Financials!AP37/Financials!AO37-1</f>
        <v>0.42453220472062969</v>
      </c>
      <c r="AQ31" s="26">
        <f>Financials!AQ37/Financials!AP37-1</f>
        <v>-1</v>
      </c>
      <c r="AR31" s="26" t="e">
        <f>Financials!AR37/Financials!AQ37-1</f>
        <v>#DIV/0!</v>
      </c>
      <c r="AS31" s="26" t="e">
        <f>Financials!AT37/Financials!AR37-1</f>
        <v>#DIV/0!</v>
      </c>
      <c r="AT31" s="26" t="e">
        <f>Financials!AU37/Financials!AT37-1</f>
        <v>#DIV/0!</v>
      </c>
      <c r="AU31" s="26">
        <f>Financials!AV37/Financials!AU37-1</f>
        <v>0.68083847992973978</v>
      </c>
      <c r="AV31" s="26">
        <f>Financials!AW37/Financials!AV37-1</f>
        <v>38.720498569971362</v>
      </c>
      <c r="AW31" s="26">
        <f>Financials!AX37/Financials!AW37-1</f>
        <v>1.9139368856250005E-2</v>
      </c>
      <c r="AX31" s="26">
        <f>Financials!AY37/Financials!AX37-1</f>
        <v>2.4394851343887636E-2</v>
      </c>
      <c r="AY31" s="26">
        <f>Financials!AZ37/Financials!AY37-1</f>
        <v>3.8704831491700453E-2</v>
      </c>
      <c r="AZ31" s="26">
        <f>Financials!BA37/Financials!AZ37-1</f>
        <v>-1</v>
      </c>
      <c r="BA31" s="26" t="e">
        <f>Financials!BB37/Financials!BA37-1</f>
        <v>#DIV/0!</v>
      </c>
      <c r="BB31" s="26">
        <f>Financials!BC37/Financials!BB37-1</f>
        <v>0.56803870155684222</v>
      </c>
      <c r="BC31" s="26">
        <f>Financials!BD37/Financials!BC37-1</f>
        <v>0.27778185799840083</v>
      </c>
      <c r="BD31" s="26">
        <f>Financials!BE37/Financials!BD37-1</f>
        <v>3.4585386089340142E-2</v>
      </c>
      <c r="BE31" s="26">
        <f>Financials!BF37/Financials!BE37-1</f>
        <v>0.21355639461752429</v>
      </c>
      <c r="BF31" s="26" t="e">
        <f>Financials!#REF!/Financials!BF37-1</f>
        <v>#REF!</v>
      </c>
      <c r="BG31" s="26" t="e">
        <f>Financials!#REF!/Financials!#REF!-1</f>
        <v>#REF!</v>
      </c>
      <c r="BH31" s="26" t="e">
        <f>Financials!#REF!/Financials!#REF!-1</f>
        <v>#REF!</v>
      </c>
      <c r="BI31" s="26" t="e">
        <f>Financials!#REF!/Financials!#REF!-1</f>
        <v>#REF!</v>
      </c>
      <c r="BJ31" s="26" t="e">
        <f>Financials!#REF!/Financials!#REF!-1</f>
        <v>#REF!</v>
      </c>
      <c r="BK31" s="26" t="e">
        <f>Financials!#REF!/Financials!#REF!-1</f>
        <v>#REF!</v>
      </c>
      <c r="BL31" s="26" t="e">
        <f>Financials!#REF!/Financials!#REF!-1</f>
        <v>#REF!</v>
      </c>
      <c r="BM31" s="26" t="e">
        <f>Financials!#REF!/Financials!#REF!-1</f>
        <v>#REF!</v>
      </c>
      <c r="BN31" s="26" t="e">
        <f>Financials!#REF!/Financials!#REF!-1</f>
        <v>#REF!</v>
      </c>
      <c r="BO31" s="26" t="e">
        <f>Financials!#REF!/Financials!#REF!-1</f>
        <v>#REF!</v>
      </c>
      <c r="BP31" s="26" t="e">
        <f>Financials!#REF!/Financials!#REF!-1</f>
        <v>#REF!</v>
      </c>
      <c r="BQ31" s="26" t="e">
        <f>Financials!#REF!/Financials!#REF!-1</f>
        <v>#REF!</v>
      </c>
      <c r="BR31" s="26" t="e">
        <f>Financials!#REF!/Financials!#REF!-1</f>
        <v>#REF!</v>
      </c>
      <c r="BS31" s="26" t="e">
        <f>Financials!#REF!/Financials!#REF!-1</f>
        <v>#REF!</v>
      </c>
      <c r="BT31" s="26" t="e">
        <f>Financials!#REF!/Financials!#REF!-1</f>
        <v>#REF!</v>
      </c>
    </row>
    <row r="32" spans="1:85" hidden="1">
      <c r="A32" s="324"/>
      <c r="B32" s="54" t="s">
        <v>98</v>
      </c>
      <c r="C32" s="2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</row>
    <row r="33" spans="1:72" hidden="1">
      <c r="A33" s="324"/>
      <c r="B33" s="54" t="s">
        <v>195</v>
      </c>
      <c r="C33" s="2"/>
      <c r="D33" s="26">
        <f>'Evolutitve SCI'!C39/'Evolutitve SCI'!B39-1</f>
        <v>8.2670218736091039E-2</v>
      </c>
      <c r="E33" s="26" t="e">
        <f>'Evolutitve SCI'!#REF!/'Evolutitve SCI'!C39-1</f>
        <v>#REF!</v>
      </c>
      <c r="F33" s="26" t="e">
        <f>'Evolutitve SCI'!F39/'Evolutitve SCI'!E39-1</f>
        <v>#DIV/0!</v>
      </c>
      <c r="G33" s="26" t="e">
        <f>'Evolutitve SCI'!#REF!/'Evolutitve SCI'!E39-1</f>
        <v>#REF!</v>
      </c>
      <c r="H33" s="26">
        <f>'Evolutitve SCI'!G39/'Evolutitve SCI'!F39-1</f>
        <v>1.0935130177295638</v>
      </c>
      <c r="I33" s="26">
        <f>'Evolutitve SCI'!H39/'Evolutitve SCI'!G39-1</f>
        <v>0.35869957531566765</v>
      </c>
      <c r="J33" s="26">
        <f>'Evolutitve SCI'!I39/'Evolutitve SCI'!H39-1</f>
        <v>0.38008026756407931</v>
      </c>
      <c r="K33" s="26">
        <f>'Evolutitve SCI'!J39/'Evolutitve SCI'!I39-1</f>
        <v>0.16646601918992832</v>
      </c>
      <c r="L33" s="26">
        <f>'Evolutitve SCI'!K39/'Evolutitve SCI'!J39-1</f>
        <v>6.6991116513805737E-2</v>
      </c>
      <c r="M33" s="26">
        <f>'Evolutitve SCI'!L39/'Evolutitve SCI'!K39-1</f>
        <v>-1</v>
      </c>
      <c r="N33" s="26" t="e">
        <f>'Evolutitve SCI'!M39/'Evolutitve SCI'!L39-1</f>
        <v>#DIV/0!</v>
      </c>
      <c r="O33" s="26" t="e">
        <f>'Evolutitve SCI'!N39/'Evolutitve SCI'!M39-1</f>
        <v>#DIV/0!</v>
      </c>
      <c r="P33" s="26" t="e">
        <f>'Evolutitve SCI'!O39/'Evolutitve SCI'!N39-1</f>
        <v>#DIV/0!</v>
      </c>
      <c r="Q33" s="26" t="e">
        <f>'Evolutitve SCI'!P39/'Evolutitve SCI'!O39-1</f>
        <v>#DIV/0!</v>
      </c>
      <c r="R33" s="26" t="e">
        <f>'Evolutitve SCI'!Q39/'Evolutitve SCI'!P39-1</f>
        <v>#DIV/0!</v>
      </c>
      <c r="S33" s="26" t="e">
        <f>'Evolutitve SCI'!R39/'Evolutitve SCI'!Q39-1</f>
        <v>#DIV/0!</v>
      </c>
      <c r="T33" s="26">
        <f>'Evolutitve SCI'!S39/'Evolutitve SCI'!R39-1</f>
        <v>-1</v>
      </c>
      <c r="U33" s="26" t="e">
        <f>'Evolutitve SCI'!T39/'Evolutitve SCI'!S39-1</f>
        <v>#DIV/0!</v>
      </c>
      <c r="V33" s="26" t="e">
        <f>'Evolutitve SCI'!U39/'Evolutitve SCI'!T39-1</f>
        <v>#DIV/0!</v>
      </c>
      <c r="W33" s="26" t="e">
        <f>'Evolutitve SCI'!V39/'Evolutitve SCI'!U39-1</f>
        <v>#DIV/0!</v>
      </c>
      <c r="X33" s="26" t="e">
        <f>'Evolutitve SCI'!W39/'Evolutitve SCI'!V39-1</f>
        <v>#DIV/0!</v>
      </c>
      <c r="Y33" s="26" t="e">
        <f>'Evolutitve SCI'!X39/'Evolutitve SCI'!W39-1</f>
        <v>#DIV/0!</v>
      </c>
      <c r="Z33" s="26" t="e">
        <f>'Evolutitve SCI'!Y39/'Evolutitve SCI'!X39-1</f>
        <v>#DIV/0!</v>
      </c>
      <c r="AA33" s="26" t="e">
        <f>'Evolutitve SCI'!Z39/'Evolutitve SCI'!Y39-1</f>
        <v>#DIV/0!</v>
      </c>
      <c r="AB33" s="26" t="e">
        <f>'Evolutitve SCI'!AA39/'Evolutitve SCI'!Z39-1</f>
        <v>#DIV/0!</v>
      </c>
      <c r="AC33" s="26" t="e">
        <f>'Evolutitve SCI'!AB39/'Evolutitve SCI'!AA39-1</f>
        <v>#DIV/0!</v>
      </c>
      <c r="AD33" s="26" t="e">
        <f>'Evolutitve SCI'!AC39/'Evolutitve SCI'!AB39-1</f>
        <v>#DIV/0!</v>
      </c>
      <c r="AE33" s="26" t="e">
        <f>'Evolutitve SCI'!AD39/'Evolutitve SCI'!AC39-1</f>
        <v>#DIV/0!</v>
      </c>
      <c r="AF33" s="26" t="e">
        <f>'Evolutitve SCI'!AE39/'Evolutitve SCI'!AD39-1</f>
        <v>#DIV/0!</v>
      </c>
      <c r="AG33" s="26" t="e">
        <f>'Evolutitve SCI'!AF39/'Evolutitve SCI'!AE39-1</f>
        <v>#DIV/0!</v>
      </c>
      <c r="AH33" s="26" t="e">
        <f>'Evolutitve SCI'!AG39/'Evolutitve SCI'!AF39-1</f>
        <v>#DIV/0!</v>
      </c>
      <c r="AI33" s="26" t="e">
        <f>'Evolutitve SCI'!AH39/'Evolutitve SCI'!AG39-1</f>
        <v>#DIV/0!</v>
      </c>
      <c r="AJ33" s="26" t="e">
        <f>'Evolutitve SCI'!AI39/'Evolutitve SCI'!AH39-1</f>
        <v>#DIV/0!</v>
      </c>
      <c r="AK33" s="26" t="e">
        <f>'Evolutitve SCI'!AJ39/'Evolutitve SCI'!AI39-1</f>
        <v>#DIV/0!</v>
      </c>
      <c r="AL33" s="26" t="e">
        <f>'Evolutitve SCI'!AK39/'Evolutitve SCI'!AJ39-1</f>
        <v>#DIV/0!</v>
      </c>
      <c r="AM33" s="26" t="e">
        <f>'Evolutitve SCI'!AL39/'Evolutitve SCI'!AK39-1</f>
        <v>#DIV/0!</v>
      </c>
      <c r="AN33" s="26" t="e">
        <f>'Evolutitve SCI'!AM39/'Evolutitve SCI'!AL39-1</f>
        <v>#DIV/0!</v>
      </c>
      <c r="AO33" s="26" t="e">
        <f>'Evolutitve SCI'!AN39/'Evolutitve SCI'!AM39-1</f>
        <v>#DIV/0!</v>
      </c>
      <c r="AP33" s="26" t="e">
        <f>'Evolutitve SCI'!AO39/'Evolutitve SCI'!AN39-1</f>
        <v>#DIV/0!</v>
      </c>
      <c r="AQ33" s="26" t="e">
        <f>'Evolutitve SCI'!AP39/'Evolutitve SCI'!AO39-1</f>
        <v>#DIV/0!</v>
      </c>
      <c r="AR33" s="26" t="e">
        <f>'Evolutitve SCI'!AQ39/'Evolutitve SCI'!AP39-1</f>
        <v>#DIV/0!</v>
      </c>
      <c r="AS33" s="26" t="e">
        <f>'Evolutitve SCI'!AR39/'Evolutitve SCI'!AQ39-1</f>
        <v>#DIV/0!</v>
      </c>
      <c r="AT33" s="26" t="e">
        <f>'Evolutitve SCI'!AS39/'Evolutitve SCI'!AR39-1</f>
        <v>#DIV/0!</v>
      </c>
      <c r="AU33" s="26" t="e">
        <f>'Evolutitve SCI'!AT39/'Evolutitve SCI'!AS39-1</f>
        <v>#DIV/0!</v>
      </c>
      <c r="AV33" s="26" t="e">
        <f>'Evolutitve SCI'!AU39/'Evolutitve SCI'!AT39-1</f>
        <v>#DIV/0!</v>
      </c>
      <c r="AW33" s="26" t="e">
        <f>'Evolutitve SCI'!AV39/'Evolutitve SCI'!AU39-1</f>
        <v>#DIV/0!</v>
      </c>
      <c r="AX33" s="26" t="e">
        <f>'Evolutitve SCI'!AW39/'Evolutitve SCI'!AV39-1</f>
        <v>#DIV/0!</v>
      </c>
      <c r="AY33" s="26" t="e">
        <f>'Evolutitve SCI'!AX39/'Evolutitve SCI'!AW39-1</f>
        <v>#DIV/0!</v>
      </c>
      <c r="AZ33" s="26" t="e">
        <f>'Evolutitve SCI'!AY39/'Evolutitve SCI'!AX39-1</f>
        <v>#DIV/0!</v>
      </c>
      <c r="BA33" s="26" t="e">
        <f>'Evolutitve SCI'!AZ39/'Evolutitve SCI'!AY39-1</f>
        <v>#DIV/0!</v>
      </c>
      <c r="BB33" s="26" t="e">
        <f>'Evolutitve SCI'!BA39/'Evolutitve SCI'!AZ39-1</f>
        <v>#DIV/0!</v>
      </c>
      <c r="BC33" s="26" t="e">
        <f>'Evolutitve SCI'!BB39/'Evolutitve SCI'!BA39-1</f>
        <v>#DIV/0!</v>
      </c>
      <c r="BD33" s="26" t="e">
        <f>'Evolutitve SCI'!BC39/'Evolutitve SCI'!BB39-1</f>
        <v>#DIV/0!</v>
      </c>
      <c r="BE33" s="26" t="e">
        <f>'Evolutitve SCI'!BD39/'Evolutitve SCI'!BC39-1</f>
        <v>#DIV/0!</v>
      </c>
      <c r="BF33" s="26" t="e">
        <f>'Evolutitve SCI'!BE39/'Evolutitve SCI'!BD39-1</f>
        <v>#DIV/0!</v>
      </c>
      <c r="BG33" s="26" t="e">
        <f>'Evolutitve SCI'!BF39/'Evolutitve SCI'!BE39-1</f>
        <v>#DIV/0!</v>
      </c>
      <c r="BH33" s="26" t="e">
        <f>'Evolutitve SCI'!BG39/'Evolutitve SCI'!BF39-1</f>
        <v>#DIV/0!</v>
      </c>
      <c r="BI33" s="26" t="e">
        <f>'Evolutitve SCI'!BH39/'Evolutitve SCI'!BG39-1</f>
        <v>#DIV/0!</v>
      </c>
      <c r="BJ33" s="26" t="e">
        <f>'Evolutitve SCI'!BI39/'Evolutitve SCI'!BH39-1</f>
        <v>#DIV/0!</v>
      </c>
      <c r="BK33" s="26" t="e">
        <f>'Evolutitve SCI'!BJ39/'Evolutitve SCI'!BI39-1</f>
        <v>#DIV/0!</v>
      </c>
      <c r="BL33" s="26" t="e">
        <f>'Evolutitve SCI'!BK39/'Evolutitve SCI'!BJ39-1</f>
        <v>#DIV/0!</v>
      </c>
      <c r="BM33" s="26" t="e">
        <f>'Evolutitve SCI'!BL39/'Evolutitve SCI'!BK39-1</f>
        <v>#DIV/0!</v>
      </c>
      <c r="BN33" s="26" t="e">
        <f>'Evolutitve SCI'!BM39/'Evolutitve SCI'!BL39-1</f>
        <v>#DIV/0!</v>
      </c>
      <c r="BO33" s="26" t="e">
        <f>'Evolutitve SCI'!BN39/'Evolutitve SCI'!BM39-1</f>
        <v>#DIV/0!</v>
      </c>
      <c r="BP33" s="26" t="e">
        <f>'Evolutitve SCI'!BO39/'Evolutitve SCI'!BN39-1</f>
        <v>#DIV/0!</v>
      </c>
      <c r="BQ33" s="26" t="e">
        <f>'Evolutitve SCI'!BP39/'Evolutitve SCI'!BO39-1</f>
        <v>#DIV/0!</v>
      </c>
      <c r="BR33" s="26" t="e">
        <f>'Evolutitve SCI'!BQ39/'Evolutitve SCI'!BP39-1</f>
        <v>#DIV/0!</v>
      </c>
      <c r="BS33" s="26" t="e">
        <f>'Evolutitve SCI'!BR39/'Evolutitve SCI'!BQ39-1</f>
        <v>#DIV/0!</v>
      </c>
      <c r="BT33" s="26" t="e">
        <f>'Evolutitve SCI'!BS39/'Evolutitve SCI'!BR39-1</f>
        <v>#DIV/0!</v>
      </c>
    </row>
    <row r="34" spans="1:72" hidden="1">
      <c r="A34" s="58" t="s">
        <v>196</v>
      </c>
      <c r="B34" s="54" t="s">
        <v>197</v>
      </c>
      <c r="C34" s="2"/>
      <c r="D34" s="26"/>
      <c r="E34" s="26">
        <f>Financials!D44/('Evolutive SFP'!B29+'Evolutive SFP'!C29)/2</f>
        <v>2.9238559843925052E-2</v>
      </c>
      <c r="F34" s="26" t="e">
        <f>Financials!E44/('Evolutive SFP'!#REF!+'Evolutive SFP'!D29)/2</f>
        <v>#REF!</v>
      </c>
      <c r="G34" s="26" t="e">
        <f>Financials!#REF!/('Evolutive SFP'!D29+'Evolutive SFP'!E29)/2</f>
        <v>#REF!</v>
      </c>
      <c r="H34" s="26">
        <f>Financials!G44/('Evolutive SFP'!D29+'Evolutive SFP'!F29)/2</f>
        <v>1.1812266507323263E-4</v>
      </c>
      <c r="I34" s="26">
        <f>Financials!H44/('Evolutive SFP'!F29+'Evolutive SFP'!G29)/2</f>
        <v>0</v>
      </c>
      <c r="J34" s="26">
        <f>Financials!I44/('Evolutive SFP'!G29+'Evolutive SFP'!H29)/2</f>
        <v>1.5360812457707101E-3</v>
      </c>
      <c r="K34" s="26">
        <f>Financials!J44/('Evolutive SFP'!H29+'Evolutive SFP'!I29)/2</f>
        <v>5.2700470262214199E-3</v>
      </c>
      <c r="L34" s="26">
        <f>Financials!K44/('Evolutive SFP'!I29+'Evolutive SFP'!J29)/2</f>
        <v>5.8374241737206038E-3</v>
      </c>
      <c r="M34" s="26">
        <f>Financials!L44/('Evolutive SFP'!J29+'Evolutive SFP'!K29)/2</f>
        <v>6.6698194803082129E-3</v>
      </c>
      <c r="N34" s="26">
        <f>Financials!M44/('Evolutive SFP'!K29+'Evolutive SFP'!L29)/2</f>
        <v>0</v>
      </c>
      <c r="O34" s="26" t="e">
        <f>Financials!N44/('Evolutive SFP'!L29+'Evolutive SFP'!M29)/2</f>
        <v>#DIV/0!</v>
      </c>
      <c r="P34" s="26" t="e">
        <f>Financials!O44/('Evolutive SFP'!M29+'Evolutive SFP'!N29)/2</f>
        <v>#DIV/0!</v>
      </c>
      <c r="Q34" s="26" t="e">
        <f>Financials!P44/('Evolutive SFP'!N29+'Evolutive SFP'!O29)/2</f>
        <v>#DIV/0!</v>
      </c>
      <c r="R34" s="26" t="e">
        <f>Financials!Q44/('Evolutive SFP'!O29+'Evolutive SFP'!P29)/2</f>
        <v>#DIV/0!</v>
      </c>
      <c r="S34" s="26" t="e">
        <f>Financials!R44/('Evolutive SFP'!P29+'Evolutive SFP'!Q29)/2</f>
        <v>#DIV/0!</v>
      </c>
      <c r="T34" s="26">
        <f>Financials!S44/('Evolutive SFP'!Q29+'Evolutive SFP'!R29)/2</f>
        <v>8.2030557489561149E-3</v>
      </c>
      <c r="U34" s="26">
        <f>Financials!T44/('Evolutive SFP'!R29+'Evolutive SFP'!S29)/2</f>
        <v>4.2986564053434646E-4</v>
      </c>
      <c r="V34" s="26">
        <f>Financials!U44/('Evolutive SFP'!S29+'Evolutive SFP'!T29)/2</f>
        <v>2.3850550224356623E-3</v>
      </c>
      <c r="W34" s="26">
        <f>Financials!V44/('Evolutive SFP'!T29+'Evolutive SFP'!U29)/2</f>
        <v>2.4038429837910137E-3</v>
      </c>
      <c r="X34" s="26">
        <f>Financials!W44/('Evolutive SFP'!U29+'Evolutive SFP'!V29)/2</f>
        <v>2.4166489023671103E-3</v>
      </c>
      <c r="Y34" s="26">
        <f>Financials!X44/('Evolutive SFP'!V29+'Evolutive SFP'!W29)/2</f>
        <v>2.6109266190739362E-3</v>
      </c>
      <c r="Z34" s="26">
        <f>Financials!Y44/('Evolutive SFP'!W29+'Evolutive SFP'!X29)/2</f>
        <v>5.5837891486945424E-3</v>
      </c>
      <c r="AA34" s="26">
        <f>Financials!Z44/('Evolutive SFP'!X29+'Evolutive SFP'!Y29)/2</f>
        <v>6.4689160354988104E-3</v>
      </c>
      <c r="AB34" s="26">
        <f>Financials!AA44/('Evolutive SFP'!Y29+'Evolutive SFP'!Z29)/2</f>
        <v>9.3355247626926115E-4</v>
      </c>
      <c r="AC34" s="26">
        <f>Financials!AB44/('Evolutive SFP'!Z29+'Evolutive SFP'!AA29)/2</f>
        <v>3.6532925135169818E-3</v>
      </c>
      <c r="AD34" s="26">
        <f>Financials!AC44/('Evolutive SFP'!AA29+'Evolutive SFP'!AB29)/2</f>
        <v>3.8246688426734638E-3</v>
      </c>
      <c r="AE34" s="26">
        <f>Financials!AD44/('Evolutive SFP'!AB29+'Evolutive SFP'!AC29)/2</f>
        <v>3.8369048467282027E-3</v>
      </c>
      <c r="AF34" s="26">
        <f>Financials!AE44/('Evolutive SFP'!AC29+'Evolutive SFP'!AD29)/2</f>
        <v>3.9678028569463354E-3</v>
      </c>
      <c r="AG34" s="26">
        <f>Financials!AF44/('Evolutive SFP'!AD29+'Evolutive SFP'!AE29)/2</f>
        <v>0</v>
      </c>
      <c r="AH34" s="26">
        <f>Financials!AG44/('Evolutive SFP'!AE29+'Evolutive SFP'!AF29)/2</f>
        <v>5.4631851427230935E-3</v>
      </c>
      <c r="AI34" s="26">
        <f>Financials!AH44/('Evolutive SFP'!AF29+'Evolutive SFP'!AG29)/2</f>
        <v>8.5570163002614874E-5</v>
      </c>
      <c r="AJ34" s="26">
        <f>Financials!AI44/('Evolutive SFP'!AG29+'Evolutive SFP'!AH29)/2</f>
        <v>8.578096339282478E-5</v>
      </c>
      <c r="AK34" s="26">
        <f>Financials!AJ44/('Evolutive SFP'!AH29+'Evolutive SFP'!AI29)/2</f>
        <v>8.6120544895978147E-5</v>
      </c>
      <c r="AL34" s="26">
        <f>Financials!AK44/('Evolutive SFP'!AI29+'Evolutive SFP'!AJ29)/2</f>
        <v>8.6156676028793607E-5</v>
      </c>
      <c r="AM34" s="26">
        <f>Financials!AL44/('Evolutive SFP'!AJ29+'Evolutive SFP'!AK29)/2</f>
        <v>1.4705618023099279E-4</v>
      </c>
      <c r="AN34" s="26">
        <f>Financials!AM44/('Evolutive SFP'!AK29+'Evolutive SFP'!AL29)/2</f>
        <v>1.4717514940898937E-4</v>
      </c>
      <c r="AO34" s="26">
        <f>Financials!AN44/('Evolutive SFP'!AL29+'Evolutive SFP'!AM29)/2</f>
        <v>3.0760155999895483E-4</v>
      </c>
      <c r="AP34" s="26">
        <f>Financials!AO44/('Evolutive SFP'!AM29+'Evolutive SFP'!AN29)/2</f>
        <v>3.0768022939585784E-4</v>
      </c>
      <c r="AQ34" s="26">
        <f>Financials!AP44/('Evolutive SFP'!AN29+'Evolutive SFP'!AO29)/2</f>
        <v>0</v>
      </c>
      <c r="AR34" s="26" t="e">
        <f>Financials!AQ44/('Evolutive SFP'!AO29+'Evolutive SFP'!AP29)/2</f>
        <v>#DIV/0!</v>
      </c>
      <c r="AS34" s="26" t="e">
        <f>Financials!AR44/('Evolutive SFP'!AP29+'Evolutive SFP'!AQ29)/2</f>
        <v>#DIV/0!</v>
      </c>
      <c r="AT34" s="26" t="e">
        <f>Financials!AT44/('Evolutive SFP'!AQ29+'Evolutive SFP'!AR29)/2</f>
        <v>#DIV/0!</v>
      </c>
      <c r="AU34" s="26">
        <f>Financials!AU44/('Evolutive SFP'!AR29+'Evolutive SFP'!AS29)/2</f>
        <v>0</v>
      </c>
      <c r="AV34" s="26">
        <f>Financials!AV44/('Evolutive SFP'!AS29+'Evolutive SFP'!AT29)/2</f>
        <v>0</v>
      </c>
      <c r="AW34" s="26">
        <f>Financials!AW44/('Evolutive SFP'!AT29+'Evolutive SFP'!AU29)/2</f>
        <v>6.2034628138849077E-4</v>
      </c>
      <c r="AX34" s="26">
        <f>Financials!AX44/('Evolutive SFP'!AU29+'Evolutive SFP'!AV29)/2</f>
        <v>6.2068351924914793E-4</v>
      </c>
      <c r="AY34" s="26">
        <f>Financials!AY44/('Evolutive SFP'!AV29+'Evolutive SFP'!AW29)/2</f>
        <v>8.1978498712629048E-5</v>
      </c>
      <c r="AZ34" s="26">
        <f>Financials!AZ44/('Evolutive SFP'!AW29+'Evolutive SFP'!AX29)/2</f>
        <v>8.1972764534551465E-5</v>
      </c>
      <c r="BA34" s="26">
        <f>Financials!BA44/('Evolutive SFP'!AX29+'Evolutive SFP'!AY29)/2</f>
        <v>0</v>
      </c>
      <c r="BB34" s="26">
        <f>Financials!BB44/('Evolutive SFP'!AY29+'Evolutive SFP'!AZ29)/2</f>
        <v>4.7368802756956739E-4</v>
      </c>
      <c r="BC34" s="26">
        <f>Financials!BC44/('Evolutive SFP'!AZ29+'Evolutive SFP'!BA29)/2</f>
        <v>2.3858191047680219E-4</v>
      </c>
      <c r="BD34" s="26">
        <f>Financials!BD44/('Evolutive SFP'!BA29+'Evolutive SFP'!BB29)/2</f>
        <v>3.5233730719595903E-4</v>
      </c>
      <c r="BE34" s="26">
        <f>Financials!BE44/('Evolutive SFP'!BB29+'Evolutive SFP'!BC29)/2</f>
        <v>3.7994183442465065E-4</v>
      </c>
      <c r="BF34" s="26">
        <f>Financials!BF44/('Evolutive SFP'!BC29+'Evolutive SFP'!BD29)/2</f>
        <v>4.1827889376428845E-4</v>
      </c>
      <c r="BG34" s="26" t="e">
        <f>Financials!#REF!/('Evolutive SFP'!BD29+'Evolutive SFP'!BE29)/2</f>
        <v>#REF!</v>
      </c>
      <c r="BH34" s="26" t="e">
        <f>Financials!#REF!/('Evolutive SFP'!BE29+'Evolutive SFP'!BF29)/2</f>
        <v>#REF!</v>
      </c>
      <c r="BI34" s="26" t="e">
        <f>Financials!#REF!/('Evolutive SFP'!BF29+'Evolutive SFP'!BG29)/2</f>
        <v>#REF!</v>
      </c>
      <c r="BJ34" s="26" t="e">
        <f>Financials!#REF!/('Evolutive SFP'!BG29+'Evolutive SFP'!BH29)/2</f>
        <v>#REF!</v>
      </c>
      <c r="BK34" s="26" t="e">
        <f>Financials!#REF!/('Evolutive SFP'!BH29+'Evolutive SFP'!BI29)/2</f>
        <v>#REF!</v>
      </c>
      <c r="BL34" s="26" t="e">
        <f>Financials!#REF!/('Evolutive SFP'!BI29+'Evolutive SFP'!BJ29)/2</f>
        <v>#REF!</v>
      </c>
      <c r="BM34" s="26" t="e">
        <f>Financials!#REF!/('Evolutive SFP'!BJ29+'Evolutive SFP'!BK29)/2</f>
        <v>#REF!</v>
      </c>
      <c r="BN34" s="26" t="e">
        <f>Financials!#REF!/('Evolutive SFP'!BK29+'Evolutive SFP'!BL29)/2</f>
        <v>#REF!</v>
      </c>
      <c r="BO34" s="26" t="e">
        <f>Financials!#REF!/('Evolutive SFP'!BL29+'Evolutive SFP'!BM29)/2</f>
        <v>#REF!</v>
      </c>
      <c r="BP34" s="26" t="e">
        <f>Financials!#REF!/('Evolutive SFP'!BM29+'Evolutive SFP'!BN29)/2</f>
        <v>#REF!</v>
      </c>
      <c r="BQ34" s="26" t="e">
        <f>Financials!#REF!/('Evolutive SFP'!BN29+'Evolutive SFP'!BO29)/2</f>
        <v>#REF!</v>
      </c>
      <c r="BR34" s="26" t="e">
        <f>Financials!#REF!/('Evolutive SFP'!BO29+'Evolutive SFP'!BP29)/2</f>
        <v>#REF!</v>
      </c>
      <c r="BS34" s="26" t="e">
        <f>Financials!#REF!/('Evolutive SFP'!BP29+'Evolutive SFP'!BQ29)/2</f>
        <v>#REF!</v>
      </c>
      <c r="BT34" s="26" t="e">
        <f>Financials!#REF!/('Evolutive SFP'!BQ29+'Evolutive SFP'!BR29)/2</f>
        <v>#REF!</v>
      </c>
    </row>
    <row r="35" spans="1:72" hidden="1">
      <c r="A35" s="59"/>
      <c r="B35" s="54" t="s">
        <v>198</v>
      </c>
      <c r="C35" s="2"/>
      <c r="D35" s="26"/>
      <c r="E35" s="26">
        <f>Financials!D45/('Evolutive SFP'!B38+'Evolutive SFP'!C38)/2</f>
        <v>0</v>
      </c>
      <c r="F35" s="26" t="e">
        <f>Financials!E45/('Evolutive SFP'!#REF!+'Evolutive SFP'!D38)/2</f>
        <v>#REF!</v>
      </c>
      <c r="G35" s="26" t="e">
        <f>Financials!#REF!/('Evolutive SFP'!D38+'Evolutive SFP'!E38)/2</f>
        <v>#REF!</v>
      </c>
      <c r="H35" s="26">
        <f>Financials!G45/('Evolutive SFP'!D38+'Evolutive SFP'!F38)/2</f>
        <v>0</v>
      </c>
      <c r="I35" s="26">
        <f>Financials!H45/('Evolutive SFP'!F38+'Evolutive SFP'!G38)/2</f>
        <v>1.5248710225120234E-3</v>
      </c>
      <c r="J35" s="26">
        <f>Financials!I45/('Evolutive SFP'!G38+'Evolutive SFP'!H38)/2</f>
        <v>0</v>
      </c>
      <c r="K35" s="26">
        <f>Financials!J45/('Evolutive SFP'!H38+'Evolutive SFP'!I38)/2</f>
        <v>0</v>
      </c>
      <c r="L35" s="26">
        <f>Financials!K45/('Evolutive SFP'!I38+'Evolutive SFP'!J38)/2</f>
        <v>0</v>
      </c>
      <c r="M35" s="26">
        <f>Financials!L45/('Evolutive SFP'!J38+'Evolutive SFP'!K38)/2</f>
        <v>0</v>
      </c>
      <c r="N35" s="26">
        <f>Financials!M45/('Evolutive SFP'!K38+'Evolutive SFP'!L38)/2</f>
        <v>0</v>
      </c>
      <c r="O35" s="26" t="e">
        <f>Financials!N45/('Evolutive SFP'!L38+'Evolutive SFP'!M38)/2</f>
        <v>#DIV/0!</v>
      </c>
      <c r="P35" s="26" t="e">
        <f>Financials!O45/('Evolutive SFP'!M38+'Evolutive SFP'!N38)/2</f>
        <v>#DIV/0!</v>
      </c>
      <c r="Q35" s="26" t="e">
        <f>Financials!P45/('Evolutive SFP'!N38+'Evolutive SFP'!O38)/2</f>
        <v>#DIV/0!</v>
      </c>
      <c r="R35" s="26" t="e">
        <f>Financials!Q45/('Evolutive SFP'!O38+'Evolutive SFP'!P38)/2</f>
        <v>#DIV/0!</v>
      </c>
      <c r="S35" s="26" t="e">
        <f>Financials!R45/('Evolutive SFP'!P38+'Evolutive SFP'!Q38)/2</f>
        <v>#DIV/0!</v>
      </c>
      <c r="T35" s="26">
        <f>Financials!S45/('Evolutive SFP'!Q38+'Evolutive SFP'!R38)/2</f>
        <v>5.4445909005686631E-3</v>
      </c>
      <c r="U35" s="26">
        <f>Financials!T45/('Evolutive SFP'!R38+'Evolutive SFP'!S38)/2</f>
        <v>0</v>
      </c>
      <c r="V35" s="26">
        <f>Financials!U45/('Evolutive SFP'!S38+'Evolutive SFP'!T38)/2</f>
        <v>0</v>
      </c>
      <c r="W35" s="26">
        <f>Financials!V45/('Evolutive SFP'!T38+'Evolutive SFP'!U38)/2</f>
        <v>0</v>
      </c>
      <c r="X35" s="26">
        <f>Financials!W45/('Evolutive SFP'!U38+'Evolutive SFP'!V38)/2</f>
        <v>0</v>
      </c>
      <c r="Y35" s="26">
        <f>Financials!X45/('Evolutive SFP'!V38+'Evolutive SFP'!W38)/2</f>
        <v>0</v>
      </c>
      <c r="Z35" s="26">
        <f>Financials!Y45/('Evolutive SFP'!W38+'Evolutive SFP'!X38)/2</f>
        <v>0</v>
      </c>
      <c r="AA35" s="26">
        <f>Financials!Z45/('Evolutive SFP'!X38+'Evolutive SFP'!Y38)/2</f>
        <v>0</v>
      </c>
      <c r="AB35" s="26">
        <f>Financials!AA45/('Evolutive SFP'!Y38+'Evolutive SFP'!Z38)/2</f>
        <v>0</v>
      </c>
      <c r="AC35" s="26">
        <f>Financials!AB45/('Evolutive SFP'!Z38+'Evolutive SFP'!AA38)/2</f>
        <v>0</v>
      </c>
      <c r="AD35" s="26">
        <f>Financials!AC45/('Evolutive SFP'!AA38+'Evolutive SFP'!AB38)/2</f>
        <v>0</v>
      </c>
      <c r="AE35" s="26">
        <f>Financials!AD45/('Evolutive SFP'!AB38+'Evolutive SFP'!AC38)/2</f>
        <v>0</v>
      </c>
      <c r="AF35" s="26">
        <f>Financials!AE45/('Evolutive SFP'!AC38+'Evolutive SFP'!AD38)/2</f>
        <v>0</v>
      </c>
      <c r="AG35" s="26">
        <f>Financials!AF45/('Evolutive SFP'!AD38+'Evolutive SFP'!AE38)/2</f>
        <v>0</v>
      </c>
      <c r="AH35" s="26">
        <f>Financials!AG45/('Evolutive SFP'!AE38+'Evolutive SFP'!AF38)/2</f>
        <v>0</v>
      </c>
      <c r="AI35" s="26">
        <f>Financials!AH45/('Evolutive SFP'!AF38+'Evolutive SFP'!AG38)/2</f>
        <v>0</v>
      </c>
      <c r="AJ35" s="26">
        <f>Financials!AI45/('Evolutive SFP'!AG38+'Evolutive SFP'!AH38)/2</f>
        <v>0</v>
      </c>
      <c r="AK35" s="26">
        <f>Financials!AJ45/('Evolutive SFP'!AH38+'Evolutive SFP'!AI38)/2</f>
        <v>0</v>
      </c>
      <c r="AL35" s="26">
        <f>Financials!AK45/('Evolutive SFP'!AI38+'Evolutive SFP'!AJ38)/2</f>
        <v>0</v>
      </c>
      <c r="AM35" s="26">
        <f>Financials!AL45/('Evolutive SFP'!AJ38+'Evolutive SFP'!AK38)/2</f>
        <v>0</v>
      </c>
      <c r="AN35" s="26">
        <f>Financials!AM45/('Evolutive SFP'!AK38+'Evolutive SFP'!AL38)/2</f>
        <v>0</v>
      </c>
      <c r="AO35" s="26">
        <f>Financials!AN45/('Evolutive SFP'!AL38+'Evolutive SFP'!AM38)/2</f>
        <v>0</v>
      </c>
      <c r="AP35" s="26">
        <f>Financials!AO45/('Evolutive SFP'!AM38+'Evolutive SFP'!AN38)/2</f>
        <v>0</v>
      </c>
      <c r="AQ35" s="26">
        <f>Financials!AP45/('Evolutive SFP'!AN38+'Evolutive SFP'!AO38)/2</f>
        <v>0</v>
      </c>
      <c r="AR35" s="26" t="e">
        <f>Financials!AQ45/('Evolutive SFP'!AO38+'Evolutive SFP'!AP38)/2</f>
        <v>#DIV/0!</v>
      </c>
      <c r="AS35" s="26" t="e">
        <f>Financials!AR45/('Evolutive SFP'!AP38+'Evolutive SFP'!AQ38)/2</f>
        <v>#DIV/0!</v>
      </c>
      <c r="AT35" s="26" t="e">
        <f>Financials!AT45/('Evolutive SFP'!AQ38+'Evolutive SFP'!AR38)/2</f>
        <v>#DIV/0!</v>
      </c>
      <c r="AU35" s="26">
        <f>Financials!AU45/('Evolutive SFP'!AR38+'Evolutive SFP'!AS38)/2</f>
        <v>0</v>
      </c>
      <c r="AV35" s="26">
        <f>Financials!AV45/('Evolutive SFP'!AS38+'Evolutive SFP'!AT38)/2</f>
        <v>0</v>
      </c>
      <c r="AW35" s="26">
        <f>Financials!AW45/('Evolutive SFP'!AT38+'Evolutive SFP'!AU38)/2</f>
        <v>0</v>
      </c>
      <c r="AX35" s="26">
        <f>Financials!AX45/('Evolutive SFP'!AU38+'Evolutive SFP'!AV38)/2</f>
        <v>0</v>
      </c>
      <c r="AY35" s="26">
        <f>Financials!AY45/('Evolutive SFP'!AV38+'Evolutive SFP'!AW38)/2</f>
        <v>0</v>
      </c>
      <c r="AZ35" s="26">
        <f>Financials!AZ45/('Evolutive SFP'!AW38+'Evolutive SFP'!AX38)/2</f>
        <v>0</v>
      </c>
      <c r="BA35" s="26">
        <f>Financials!BA45/('Evolutive SFP'!AX38+'Evolutive SFP'!AY38)/2</f>
        <v>0</v>
      </c>
      <c r="BB35" s="26">
        <f>Financials!BB45/('Evolutive SFP'!AY38+'Evolutive SFP'!AZ38)/2</f>
        <v>0</v>
      </c>
      <c r="BC35" s="26">
        <f>Financials!BC45/('Evolutive SFP'!AZ38+'Evolutive SFP'!BA38)/2</f>
        <v>0</v>
      </c>
      <c r="BD35" s="26">
        <f>Financials!BD45/('Evolutive SFP'!BA38+'Evolutive SFP'!BB38)/2</f>
        <v>0</v>
      </c>
      <c r="BE35" s="26">
        <f>Financials!BE45/('Evolutive SFP'!BB38+'Evolutive SFP'!BC38)/2</f>
        <v>0</v>
      </c>
      <c r="BF35" s="26">
        <f>Financials!BF45/('Evolutive SFP'!BC38+'Evolutive SFP'!BD38)/2</f>
        <v>0</v>
      </c>
      <c r="BG35" s="26" t="e">
        <f>Financials!#REF!/('Evolutive SFP'!BD38+'Evolutive SFP'!BE38)/2</f>
        <v>#REF!</v>
      </c>
      <c r="BH35" s="26" t="e">
        <f>Financials!#REF!/('Evolutive SFP'!BE38+'Evolutive SFP'!BF38)/2</f>
        <v>#REF!</v>
      </c>
      <c r="BI35" s="26" t="e">
        <f>Financials!#REF!/('Evolutive SFP'!BF38+'Evolutive SFP'!BG38)/2</f>
        <v>#REF!</v>
      </c>
      <c r="BJ35" s="26" t="e">
        <f>Financials!#REF!/('Evolutive SFP'!BG38+'Evolutive SFP'!BH38)/2</f>
        <v>#REF!</v>
      </c>
      <c r="BK35" s="26" t="e">
        <f>Financials!#REF!/('Evolutive SFP'!BH38+'Evolutive SFP'!BI38)/2</f>
        <v>#REF!</v>
      </c>
      <c r="BL35" s="26" t="e">
        <f>Financials!#REF!/('Evolutive SFP'!BI38+'Evolutive SFP'!BJ38)/2</f>
        <v>#REF!</v>
      </c>
      <c r="BM35" s="26" t="e">
        <f>Financials!#REF!/('Evolutive SFP'!BJ38+'Evolutive SFP'!BK38)/2</f>
        <v>#REF!</v>
      </c>
      <c r="BN35" s="26" t="e">
        <f>Financials!#REF!/('Evolutive SFP'!BK38+'Evolutive SFP'!BL38)/2</f>
        <v>#REF!</v>
      </c>
      <c r="BO35" s="26" t="e">
        <f>Financials!#REF!/('Evolutive SFP'!BL38+'Evolutive SFP'!BM38)/2</f>
        <v>#REF!</v>
      </c>
      <c r="BP35" s="26" t="e">
        <f>Financials!#REF!/('Evolutive SFP'!BM38+'Evolutive SFP'!BN38)/2</f>
        <v>#REF!</v>
      </c>
      <c r="BQ35" s="26" t="e">
        <f>Financials!#REF!/('Evolutive SFP'!BN38+'Evolutive SFP'!BO38)/2</f>
        <v>#REF!</v>
      </c>
      <c r="BR35" s="26" t="e">
        <f>Financials!#REF!/('Evolutive SFP'!BO38+'Evolutive SFP'!BP38)/2</f>
        <v>#REF!</v>
      </c>
      <c r="BS35" s="26" t="e">
        <f>Financials!#REF!/('Evolutive SFP'!BP38+'Evolutive SFP'!BQ38)/2</f>
        <v>#REF!</v>
      </c>
      <c r="BT35" s="26" t="e">
        <f>Financials!#REF!/('Evolutive SFP'!BQ38+'Evolutive SFP'!BR38)/2</f>
        <v>#REF!</v>
      </c>
    </row>
    <row r="36" spans="1:72" hidden="1">
      <c r="A36" s="59"/>
      <c r="B36" s="54" t="s">
        <v>199</v>
      </c>
      <c r="C36" s="2"/>
      <c r="D36" s="26"/>
      <c r="E36" s="26">
        <f>Financials!D46/(Financials!C31+Financials!D31)/2</f>
        <v>1.4680629511586705E-3</v>
      </c>
      <c r="F36" s="26" t="e">
        <f>Financials!E46/(Financials!#REF!+Financials!E31)/2</f>
        <v>#REF!</v>
      </c>
      <c r="G36" s="26" t="e">
        <f>Financials!#REF!/(Financials!#REF!+Financials!#REF!)/2</f>
        <v>#REF!</v>
      </c>
      <c r="H36" s="26">
        <f>Financials!G46/(Financials!E31+Financials!G31)/2</f>
        <v>8.9985357028023763E-5</v>
      </c>
      <c r="I36" s="26">
        <f>Financials!H46/(Financials!G31+Financials!H31)/2</f>
        <v>2.0030560594946981E-4</v>
      </c>
      <c r="J36" s="26">
        <f>Financials!I46/(Financials!H31+Financials!I31)/2</f>
        <v>3.2653376942300697E-4</v>
      </c>
      <c r="K36" s="26">
        <f>Financials!J46/(Financials!I31+Financials!J31)/2</f>
        <v>3.3204491181256006E-4</v>
      </c>
      <c r="L36" s="26">
        <f>Financials!K46/(Financials!J31+Financials!K31)/2</f>
        <v>3.8092028949486035E-4</v>
      </c>
      <c r="M36" s="26">
        <f>Financials!L46/(Financials!K31+Financials!L31)/2</f>
        <v>3.7972893449716386E-4</v>
      </c>
      <c r="N36" s="26">
        <f>Financials!M46/(Financials!L31+Financials!M31)/2</f>
        <v>0</v>
      </c>
      <c r="O36" s="26" t="e">
        <f>Financials!N46/(Financials!M31+Financials!N31)/2</f>
        <v>#DIV/0!</v>
      </c>
      <c r="P36" s="26" t="e">
        <f>Financials!O46/(Financials!N31+Financials!O31)/2</f>
        <v>#DIV/0!</v>
      </c>
      <c r="Q36" s="26" t="e">
        <f>Financials!P46/(Financials!O31+Financials!P31)/2</f>
        <v>#DIV/0!</v>
      </c>
      <c r="R36" s="26" t="e">
        <f>Financials!Q46/(Financials!P31+Financials!Q31)/2</f>
        <v>#DIV/0!</v>
      </c>
      <c r="S36" s="26" t="e">
        <f>Financials!R46/(Financials!Q31+Financials!R31)/2</f>
        <v>#DIV/0!</v>
      </c>
      <c r="T36" s="26">
        <f>Financials!S46/(Financials!R31+Financials!S31)/2</f>
        <v>2.9082806603285371E-3</v>
      </c>
      <c r="U36" s="26">
        <f>Financials!T46/(Financials!S31+Financials!T31)/2</f>
        <v>0</v>
      </c>
      <c r="V36" s="26">
        <f>Financials!U46/(Financials!T31+Financials!U31)/2</f>
        <v>6.8491550690483888E-5</v>
      </c>
      <c r="W36" s="26">
        <f>Financials!V46/(Financials!U31+Financials!V31)/2</f>
        <v>1.120075608978641E-4</v>
      </c>
      <c r="X36" s="26">
        <f>Financials!W46/(Financials!V31+Financials!W31)/2</f>
        <v>1.1970249837836553E-4</v>
      </c>
      <c r="Y36" s="26">
        <f>Financials!X46/(Financials!W31+Financials!X31)/2</f>
        <v>1.2092750761246606E-4</v>
      </c>
      <c r="Z36" s="26">
        <f>Financials!Y46/(Financials!X31+Financials!Y31)/2</f>
        <v>1.1324929257412798E-4</v>
      </c>
      <c r="AA36" s="26">
        <f>Financials!Z46/(Financials!Y31+Financials!Z31)/2</f>
        <v>1.1233584392535754E-4</v>
      </c>
      <c r="AB36" s="26">
        <f>Financials!AA46/(Financials!Z31+Financials!AA31)/2</f>
        <v>1.1539713663400418E-4</v>
      </c>
      <c r="AC36" s="26">
        <f>Financials!AB46/(Financials!AA31+Financials!AB31)/2</f>
        <v>8.8251765653614666E-5</v>
      </c>
      <c r="AD36" s="26">
        <f>Financials!AC46/(Financials!AB31+Financials!AC31)/2</f>
        <v>1.2795784353154433E-4</v>
      </c>
      <c r="AE36" s="26">
        <f>Financials!AD46/(Financials!AC31+Financials!AD31)/2</f>
        <v>1.3764515770863748E-4</v>
      </c>
      <c r="AF36" s="26">
        <f>Financials!AE46/(Financials!AD31+Financials!AE31)/2</f>
        <v>1.480305554446536E-4</v>
      </c>
      <c r="AG36" s="26">
        <f>Financials!AF46/(Financials!AE31+Financials!AF31)/2</f>
        <v>0</v>
      </c>
      <c r="AH36" s="26">
        <f>Financials!AG46/(Financials!AF31+Financials!AG31)/2</f>
        <v>0</v>
      </c>
      <c r="AI36" s="26">
        <f>Financials!AH46/(Financials!AG31+Financials!AH31)/2</f>
        <v>0</v>
      </c>
      <c r="AJ36" s="26">
        <f>Financials!AI46/(Financials!AH31+Financials!AI31)/2</f>
        <v>0</v>
      </c>
      <c r="AK36" s="26">
        <f>Financials!AJ46/(Financials!AI31+Financials!AJ31)/2</f>
        <v>6.818615794526639E-3</v>
      </c>
      <c r="AL36" s="26">
        <f>Financials!AK46/(Financials!AJ31+Financials!AK31)/2</f>
        <v>0</v>
      </c>
      <c r="AM36" s="26">
        <f>Financials!AL46/(Financials!AK31+Financials!AL31)/2</f>
        <v>0</v>
      </c>
      <c r="AN36" s="26">
        <f>Financials!AM46/(Financials!AL31+Financials!AM31)/2</f>
        <v>0</v>
      </c>
      <c r="AO36" s="26">
        <f>Financials!AN46/(Financials!AM31+Financials!AN31)/2</f>
        <v>0</v>
      </c>
      <c r="AP36" s="26">
        <f>Financials!AO46/(Financials!AN31+Financials!AO31)/2</f>
        <v>0</v>
      </c>
      <c r="AQ36" s="26">
        <f>Financials!AP46/(Financials!AO31+Financials!AP31)/2</f>
        <v>2.1093600663190843E-2</v>
      </c>
      <c r="AR36" s="26" t="e">
        <f>Financials!AQ46/(Financials!AP31+Financials!AQ31)/2</f>
        <v>#DIV/0!</v>
      </c>
      <c r="AS36" s="26" t="e">
        <f>Financials!AR46/(Financials!AQ31+Financials!AR31)/2</f>
        <v>#DIV/0!</v>
      </c>
      <c r="AT36" s="26">
        <f>Financials!AT46/(Financials!AR31+Financials!AT31)/2</f>
        <v>0</v>
      </c>
      <c r="AU36" s="26">
        <f>Financials!AU46/(Financials!AT31+Financials!AU31)/2</f>
        <v>0</v>
      </c>
      <c r="AV36" s="26">
        <f>Financials!AV46/(Financials!AU31+Financials!AV31)/2</f>
        <v>0</v>
      </c>
      <c r="AW36" s="26">
        <f>Financials!AW46/(Financials!AV31+Financials!AW31)/2</f>
        <v>0</v>
      </c>
      <c r="AX36" s="26">
        <f>Financials!AX46/(Financials!AW31+Financials!AX31)/2</f>
        <v>0</v>
      </c>
      <c r="AY36" s="26">
        <f>Financials!AY46/(Financials!AX31+Financials!AY31)/2</f>
        <v>0</v>
      </c>
      <c r="AZ36" s="26">
        <f>Financials!AZ46/(Financials!AY31+Financials!AZ31)/2</f>
        <v>0</v>
      </c>
      <c r="BA36" s="26">
        <f>Financials!BA46/(Financials!AZ31+Financials!BA31)/2</f>
        <v>0</v>
      </c>
      <c r="BB36" s="26">
        <f>Financials!BB46/(Financials!BA31+Financials!BB31)/2</f>
        <v>2.7123247057393243E-2</v>
      </c>
      <c r="BC36" s="26">
        <f>Financials!BC46/(Financials!BB31+Financials!BC31)/2</f>
        <v>5.7631832598313134E-3</v>
      </c>
      <c r="BD36" s="26">
        <f>Financials!BD46/(Financials!BC31+Financials!BD31)/2</f>
        <v>3.2298482438599674E-3</v>
      </c>
      <c r="BE36" s="26">
        <f>Financials!BE46/(Financials!BD31+Financials!BE31)/2</f>
        <v>3.3273192924663689E-3</v>
      </c>
      <c r="BF36" s="26">
        <f>Financials!BF46/(Financials!BE31+Financials!BF31)/2</f>
        <v>3.6106599476856036E-3</v>
      </c>
      <c r="BG36" s="26" t="e">
        <f>Financials!#REF!/(Financials!BF31+Financials!#REF!)/2</f>
        <v>#REF!</v>
      </c>
      <c r="BH36" s="26" t="e">
        <f>Financials!#REF!/(Financials!BG31+Financials!#REF!)/2</f>
        <v>#REF!</v>
      </c>
      <c r="BI36" s="26" t="e">
        <f>Financials!#REF!/(Financials!BH31+Financials!#REF!)/2</f>
        <v>#REF!</v>
      </c>
      <c r="BJ36" s="26" t="e">
        <f>Financials!#REF!/(Financials!BI31+Financials!#REF!)/2</f>
        <v>#REF!</v>
      </c>
      <c r="BK36" s="26" t="e">
        <f>Financials!#REF!/(Financials!BJ31+Financials!#REF!)/2</f>
        <v>#REF!</v>
      </c>
      <c r="BL36" s="26" t="e">
        <f>Financials!#REF!/(Financials!BK31+Financials!#REF!)/2</f>
        <v>#REF!</v>
      </c>
      <c r="BM36" s="26" t="e">
        <f>Financials!#REF!/(Financials!BL31+Financials!#REF!)/2</f>
        <v>#REF!</v>
      </c>
      <c r="BN36" s="26" t="e">
        <f>Financials!#REF!/(Financials!BM31+Financials!#REF!)/2</f>
        <v>#REF!</v>
      </c>
      <c r="BO36" s="26" t="e">
        <f>Financials!#REF!/(Financials!BN31+Financials!#REF!)/2</f>
        <v>#REF!</v>
      </c>
      <c r="BP36" s="26" t="e">
        <f>Financials!#REF!/(Financials!BO31+Financials!#REF!)/2</f>
        <v>#REF!</v>
      </c>
      <c r="BQ36" s="26" t="e">
        <f>Financials!#REF!/(Financials!BP31+Financials!#REF!)/2</f>
        <v>#REF!</v>
      </c>
      <c r="BR36" s="26" t="e">
        <f>Financials!#REF!/(Financials!BQ31+Financials!#REF!)/2</f>
        <v>#REF!</v>
      </c>
      <c r="BS36" s="26" t="e">
        <f>Financials!#REF!/(Financials!BR31+Financials!#REF!)/2</f>
        <v>#REF!</v>
      </c>
      <c r="BT36" s="26" t="e">
        <f>Financials!#REF!/(Financials!BS31+Financials!#REF!)/2</f>
        <v>#REF!</v>
      </c>
    </row>
    <row r="37" spans="1:72" hidden="1">
      <c r="A37" s="59"/>
      <c r="B37" s="54" t="s">
        <v>200</v>
      </c>
      <c r="C37" s="2"/>
      <c r="D37" s="26"/>
      <c r="E37" s="26">
        <f>Financials!D47/(Financials!C4+Financials!D4)/2</f>
        <v>2.2067769592468613E-2</v>
      </c>
      <c r="F37" s="26" t="e">
        <f>Financials!E47/(Financials!#REF!+Financials!E4)/2</f>
        <v>#REF!</v>
      </c>
      <c r="G37" s="26" t="e">
        <f>Financials!#REF!/(Financials!#REF!+Financials!#REF!)/2</f>
        <v>#REF!</v>
      </c>
      <c r="H37" s="26">
        <f>Financials!G47/(Financials!E4+Financials!G4)/2</f>
        <v>3.3764250297185806E-3</v>
      </c>
      <c r="I37" s="26">
        <f>Financials!H47/(Financials!G4+Financials!H4)/2</f>
        <v>5.9821727007690565E-3</v>
      </c>
      <c r="J37" s="26">
        <f>Financials!I47/(Financials!H4+Financials!I4)/2</f>
        <v>8.8125759799340571E-3</v>
      </c>
      <c r="K37" s="26">
        <f>Financials!J47/(Financials!I4+Financials!J4)/2</f>
        <v>1.1399116381246891E-2</v>
      </c>
      <c r="L37" s="26">
        <f>Financials!K47/(Financials!J4+Financials!K4)/2</f>
        <v>1.3997114585148379E-2</v>
      </c>
      <c r="M37" s="26">
        <f>Financials!L47/(Financials!K4+Financials!L4)/2</f>
        <v>1.4836476055421845E-2</v>
      </c>
      <c r="N37" s="26">
        <f>Financials!M47/(Financials!L4+Financials!M4)/2</f>
        <v>0</v>
      </c>
      <c r="O37" s="26" t="e">
        <f>Financials!N47/(Financials!M4+Financials!N4)/2</f>
        <v>#DIV/0!</v>
      </c>
      <c r="P37" s="26" t="e">
        <f>Financials!O47/(Financials!N4+Financials!O4)/2</f>
        <v>#DIV/0!</v>
      </c>
      <c r="Q37" s="26" t="e">
        <f>Financials!P47/(Financials!O4+Financials!P4)/2</f>
        <v>#DIV/0!</v>
      </c>
      <c r="R37" s="26" t="e">
        <f>Financials!Q47/(Financials!P4+Financials!Q4)/2</f>
        <v>#DIV/0!</v>
      </c>
      <c r="S37" s="26" t="e">
        <f>Financials!R47/(Financials!Q4+Financials!R4)/2</f>
        <v>#DIV/0!</v>
      </c>
      <c r="T37" s="26">
        <f>Financials!S47/(Financials!R4+Financials!S4)/2</f>
        <v>6.3369193377340496E-2</v>
      </c>
      <c r="U37" s="26">
        <f>Financials!T47/(Financials!S4+Financials!T4)/2</f>
        <v>2.7077608259586431E-3</v>
      </c>
      <c r="V37" s="26">
        <f>Financials!U47/(Financials!T4+Financials!U4)/2</f>
        <v>5.2194504436083415E-3</v>
      </c>
      <c r="W37" s="26">
        <f>Financials!V47/(Financials!U4+Financials!V4)/2</f>
        <v>6.0307160617987261E-3</v>
      </c>
      <c r="X37" s="26">
        <f>Financials!W47/(Financials!V4+Financials!W4)/2</f>
        <v>6.4277067223154601E-3</v>
      </c>
      <c r="Y37" s="26">
        <f>Financials!X47/(Financials!W4+Financials!X4)/2</f>
        <v>9.9100622341155402E-3</v>
      </c>
      <c r="Z37" s="26">
        <f>Financials!Y47/(Financials!X4+Financials!Y4)/2</f>
        <v>9.6032494569653435E-3</v>
      </c>
      <c r="AA37" s="26">
        <f>Financials!Z47/(Financials!Y4+Financials!Z4)/2</f>
        <v>1.0487401231560152E-2</v>
      </c>
      <c r="AB37" s="26">
        <f>Financials!AA47/(Financials!Z4+Financials!AA4)/2</f>
        <v>1.4867661866028226E-2</v>
      </c>
      <c r="AC37" s="26">
        <f>Financials!AB47/(Financials!AA4+Financials!AB4)/2</f>
        <v>1.5431201507260675E-2</v>
      </c>
      <c r="AD37" s="26">
        <f>Financials!AC47/(Financials!AB4+Financials!AC4)/2</f>
        <v>1.997134956931056E-2</v>
      </c>
      <c r="AE37" s="26">
        <f>Financials!AD47/(Financials!AC4+Financials!AD4)/2</f>
        <v>2.3416989913572734E-2</v>
      </c>
      <c r="AF37" s="26">
        <f>Financials!AE47/(Financials!AD4+Financials!AE4)/2</f>
        <v>2.895330171232495E-2</v>
      </c>
      <c r="AG37" s="26">
        <f>Financials!AF47/(Financials!AE4+Financials!AF4)/2</f>
        <v>1.9032606283396522E-2</v>
      </c>
      <c r="AH37" s="26">
        <f>Financials!AG47/(Financials!AF4+Financials!AG4)/2</f>
        <v>3.3149267563701283E-2</v>
      </c>
      <c r="AI37" s="26">
        <f>Financials!AH47/(Financials!AG4+Financials!AH4)/2</f>
        <v>1.0952472245167168E-3</v>
      </c>
      <c r="AJ37" s="26">
        <f>Financials!AI47/(Financials!AH4+Financials!AI4)/2</f>
        <v>1.3120379028615395E-3</v>
      </c>
      <c r="AK37" s="26">
        <f>Financials!AJ47/(Financials!AI4+Financials!AJ4)/2</f>
        <v>6.7906070581307057E-3</v>
      </c>
      <c r="AL37" s="26">
        <f>Financials!AK47/(Financials!AJ4+Financials!AK4)/2</f>
        <v>8.2276500325584034E-3</v>
      </c>
      <c r="AM37" s="26">
        <f>Financials!AL47/(Financials!AK4+Financials!AL4)/2</f>
        <v>9.669879466074725E-3</v>
      </c>
      <c r="AN37" s="26">
        <f>Financials!AM47/(Financials!AL4+Financials!AM4)/2</f>
        <v>1.0013625314406549E-2</v>
      </c>
      <c r="AO37" s="26">
        <f>Financials!AN47/(Financials!AM4+Financials!AN4)/2</f>
        <v>1.1093056251191124E-2</v>
      </c>
      <c r="AP37" s="26">
        <f>Financials!AO47/(Financials!AN4+Financials!AO4)/2</f>
        <v>1.0464969314084679E-2</v>
      </c>
      <c r="AQ37" s="26">
        <f>Financials!AP47/(Financials!AO4+Financials!AP4)/2</f>
        <v>2.352227406168516E-2</v>
      </c>
      <c r="AR37" s="26" t="e">
        <f>Financials!AQ47/(Financials!AP4+Financials!AQ4)/2</f>
        <v>#DIV/0!</v>
      </c>
      <c r="AS37" s="26" t="e">
        <f>Financials!AR47/(Financials!AQ4+Financials!AR4)/2</f>
        <v>#DIV/0!</v>
      </c>
      <c r="AT37" s="26">
        <f>Financials!AT47/(Financials!AR4+Financials!AT4)/2</f>
        <v>0</v>
      </c>
      <c r="AU37" s="26">
        <f>Financials!AU47/(Financials!AT4+Financials!AU4)/2</f>
        <v>1.819843849719543E-3</v>
      </c>
      <c r="AV37" s="26">
        <f>Financials!AV47/(Financials!AU4+Financials!AV4)/2</f>
        <v>3.7663085672757749E-3</v>
      </c>
      <c r="AW37" s="26">
        <f>Financials!AW47/(Financials!AV4+Financials!AW4)/2</f>
        <v>4.9798565015220543E-3</v>
      </c>
      <c r="AX37" s="26">
        <f>Financials!AX47/(Financials!AW4+Financials!AX4)/2</f>
        <v>6.4733404499895111E-3</v>
      </c>
      <c r="AY37" s="26">
        <f>Financials!AY47/(Financials!AX4+Financials!AY4)/2</f>
        <v>8.7706094514743392E-3</v>
      </c>
      <c r="AZ37" s="26">
        <f>Financials!AZ47/(Financials!AY4+Financials!AZ4)/2</f>
        <v>1.8746893706517807E-2</v>
      </c>
      <c r="BA37" s="26">
        <f>Financials!BA47/(Financials!AZ4+Financials!BA4)/2</f>
        <v>0</v>
      </c>
      <c r="BB37" s="26">
        <f>Financials!BB47/(Financials!BA4+Financials!BB4)/2</f>
        <v>1.3702807370527209E-2</v>
      </c>
      <c r="BC37" s="26">
        <f>Financials!BC47/(Financials!BB4+Financials!BC4)/2</f>
        <v>1.5289300467273965E-2</v>
      </c>
      <c r="BD37" s="26">
        <f>Financials!BD47/(Financials!BC4+Financials!BD4)/2</f>
        <v>1.6736369408423341E-2</v>
      </c>
      <c r="BE37" s="26">
        <f>Financials!BE47/(Financials!BD4+Financials!BE4)/2</f>
        <v>1.8526343233874445E-2</v>
      </c>
      <c r="BF37" s="26">
        <f>Financials!BF47/(Financials!BE4+Financials!BF4)/2</f>
        <v>2.1857587785332179E-2</v>
      </c>
      <c r="BG37" s="26" t="e">
        <f>Financials!#REF!/(Financials!BF4+Financials!#REF!)/2</f>
        <v>#REF!</v>
      </c>
      <c r="BH37" s="26" t="e">
        <f>Financials!#REF!/(Financials!BG4+Financials!#REF!)/2</f>
        <v>#REF!</v>
      </c>
      <c r="BI37" s="26" t="e">
        <f>Financials!#REF!/(Financials!BH4+Financials!#REF!)/2</f>
        <v>#REF!</v>
      </c>
      <c r="BJ37" s="26" t="e">
        <f>Financials!#REF!/(Financials!BI4+Financials!#REF!)/2</f>
        <v>#REF!</v>
      </c>
      <c r="BK37" s="26" t="e">
        <f>Financials!#REF!/(Financials!BJ4+Financials!#REF!)/2</f>
        <v>#REF!</v>
      </c>
      <c r="BL37" s="26" t="e">
        <f>Financials!#REF!/(Financials!BK4+Financials!#REF!)/2</f>
        <v>#REF!</v>
      </c>
      <c r="BM37" s="26" t="e">
        <f>Financials!#REF!/(Financials!BL4+Financials!#REF!)/2</f>
        <v>#REF!</v>
      </c>
      <c r="BN37" s="26" t="e">
        <f>Financials!#REF!/(Financials!BM4+Financials!#REF!)/2</f>
        <v>#REF!</v>
      </c>
      <c r="BO37" s="26" t="e">
        <f>Financials!#REF!/(Financials!BN4+Financials!#REF!)/2</f>
        <v>#REF!</v>
      </c>
      <c r="BP37" s="26" t="e">
        <f>Financials!#REF!/(Financials!BO4+Financials!#REF!)/2</f>
        <v>#REF!</v>
      </c>
      <c r="BQ37" s="26" t="e">
        <f>Financials!#REF!/(Financials!BP4+Financials!#REF!)/2</f>
        <v>#REF!</v>
      </c>
      <c r="BR37" s="26" t="e">
        <f>Financials!#REF!/(Financials!BQ4+Financials!#REF!)/2</f>
        <v>#REF!</v>
      </c>
      <c r="BS37" s="26" t="e">
        <f>Financials!#REF!/(Financials!BR4+Financials!#REF!)/2</f>
        <v>#REF!</v>
      </c>
      <c r="BT37" s="26" t="e">
        <f>Financials!#REF!/(Financials!BS4+Financials!#REF!)/2</f>
        <v>#REF!</v>
      </c>
    </row>
    <row r="38" spans="1:72" hidden="1">
      <c r="A38" s="59"/>
      <c r="B38" s="54" t="s">
        <v>201</v>
      </c>
      <c r="C38" s="2"/>
      <c r="D38" s="26"/>
      <c r="E38" s="26">
        <f>Financials!D47/Financials!D37</f>
        <v>0.48148833918812078</v>
      </c>
      <c r="F38" s="26">
        <f>Financials!E47/Financials!E37</f>
        <v>0.65743147701207361</v>
      </c>
      <c r="G38" s="26" t="e">
        <f>Financials!#REF!/Financials!#REF!</f>
        <v>#REF!</v>
      </c>
      <c r="H38" s="26">
        <f>Financials!G47/Financials!G37</f>
        <v>0.89548812898304719</v>
      </c>
      <c r="I38" s="26">
        <f>Financials!H47/Financials!H37</f>
        <v>0.81253604791270628</v>
      </c>
      <c r="J38" s="26">
        <f>Financials!I47/Financials!I37</f>
        <v>0.83907058667490808</v>
      </c>
      <c r="K38" s="26">
        <f>Financials!J47/Financials!J37</f>
        <v>0.78769369949329393</v>
      </c>
      <c r="L38" s="26">
        <f>Financials!K47/Financials!K37</f>
        <v>0.89509742488195587</v>
      </c>
      <c r="M38" s="26">
        <f>Financials!L47/Financials!L37</f>
        <v>0.87853736850895081</v>
      </c>
      <c r="N38" s="26" t="e">
        <f>Financials!M47/Financials!M37</f>
        <v>#DIV/0!</v>
      </c>
      <c r="O38" s="26" t="e">
        <f>Financials!N47/Financials!N37</f>
        <v>#DIV/0!</v>
      </c>
      <c r="P38" s="26" t="e">
        <f>Financials!O47/Financials!O37</f>
        <v>#DIV/0!</v>
      </c>
      <c r="Q38" s="26" t="e">
        <f>Financials!P47/Financials!P37</f>
        <v>#DIV/0!</v>
      </c>
      <c r="R38" s="26" t="e">
        <f>Financials!Q47/Financials!Q37</f>
        <v>#DIV/0!</v>
      </c>
      <c r="S38" s="26" t="e">
        <f>Financials!R47/Financials!R37</f>
        <v>#DIV/0!</v>
      </c>
      <c r="T38" s="26">
        <f>Financials!S47/Financials!S37</f>
        <v>0.94107384350333589</v>
      </c>
      <c r="U38" s="26">
        <f>Financials!T47/Financials!T37</f>
        <v>0.65492503445802552</v>
      </c>
      <c r="V38" s="26">
        <f>Financials!U47/Financials!U37</f>
        <v>0.62905776633879251</v>
      </c>
      <c r="W38" s="26">
        <f>Financials!V47/Financials!V37</f>
        <v>0.64769665588690828</v>
      </c>
      <c r="X38" s="26">
        <f>Financials!W47/Financials!W37</f>
        <v>0.62819646486263236</v>
      </c>
      <c r="Y38" s="26">
        <f>Financials!X47/Financials!X37</f>
        <v>0.83976296358982361</v>
      </c>
      <c r="Z38" s="26">
        <f>Financials!Y47/Financials!Y37</f>
        <v>0.81468756454162095</v>
      </c>
      <c r="AA38" s="26">
        <f>Financials!Z47/Financials!Z37</f>
        <v>0.91520489563123808</v>
      </c>
      <c r="AB38" s="26">
        <f>Financials!AA47/Financials!AA37</f>
        <v>1.1830201836546497</v>
      </c>
      <c r="AC38" s="26">
        <f>Financials!AB47/Financials!AB37</f>
        <v>0.97446053077791772</v>
      </c>
      <c r="AD38" s="26">
        <f>Financials!AC47/Financials!AC37</f>
        <v>1.011685000096912</v>
      </c>
      <c r="AE38" s="26">
        <f>Financials!AD47/Financials!AD37</f>
        <v>0.98102818564672967</v>
      </c>
      <c r="AF38" s="26">
        <f>Financials!AE47/Financials!AE37</f>
        <v>1.0613322266731628</v>
      </c>
      <c r="AG38" s="26" t="e">
        <f>Financials!AF47/Financials!AF37</f>
        <v>#DIV/0!</v>
      </c>
      <c r="AH38" s="26">
        <f>Financials!AG47/Financials!AG37</f>
        <v>1.1675311426483896</v>
      </c>
      <c r="AI38" s="26">
        <f>Financials!AH47/Financials!AH37</f>
        <v>1.9416832653025833</v>
      </c>
      <c r="AJ38" s="26">
        <f>Financials!AI47/Financials!AI37</f>
        <v>1.9132389403722325</v>
      </c>
      <c r="AK38" s="26">
        <f>Financials!AJ47/Financials!AJ37</f>
        <v>2.1882324254744128</v>
      </c>
      <c r="AL38" s="26">
        <f>Financials!AK47/Financials!AK37</f>
        <v>2.3777952383864873</v>
      </c>
      <c r="AM38" s="26">
        <f>Financials!AL47/Financials!AL37</f>
        <v>2.6695488810299759</v>
      </c>
      <c r="AN38" s="26">
        <f>Financials!AM47/Financials!AM37</f>
        <v>2.749551071518022</v>
      </c>
      <c r="AO38" s="26">
        <f>Financials!AN47/Financials!AN37</f>
        <v>2.6015735696053488</v>
      </c>
      <c r="AP38" s="26">
        <f>Financials!AO47/Financials!AO37</f>
        <v>1.5430456552251426</v>
      </c>
      <c r="AQ38" s="26">
        <f>Financials!AP47/Financials!AP37</f>
        <v>1.2201084334351804</v>
      </c>
      <c r="AR38" s="26" t="e">
        <f>Financials!AQ47/Financials!AQ37</f>
        <v>#DIV/0!</v>
      </c>
      <c r="AS38" s="26" t="e">
        <f>Financials!AR47/Financials!AR37</f>
        <v>#DIV/0!</v>
      </c>
      <c r="AT38" s="26" t="e">
        <f>Financials!AT47/Financials!AT37</f>
        <v>#DIV/0!</v>
      </c>
      <c r="AU38" s="26">
        <f>Financials!AU47/Financials!AU37</f>
        <v>5.695199916982185</v>
      </c>
      <c r="AV38" s="26">
        <f>Financials!AV47/Financials!AV37</f>
        <v>9.7651094429885354</v>
      </c>
      <c r="AW38" s="26">
        <f>Financials!AW47/Financials!AW37</f>
        <v>0.33092080451914696</v>
      </c>
      <c r="AX38" s="26">
        <f>Financials!AX47/Financials!AX37</f>
        <v>0.42167523985564431</v>
      </c>
      <c r="AY38" s="26">
        <f>Financials!AY47/Financials!AY37</f>
        <v>0.57583797067859388</v>
      </c>
      <c r="AZ38" s="26">
        <f>Financials!AZ47/Financials!AZ37</f>
        <v>0.60617604741590658</v>
      </c>
      <c r="BA38" s="26" t="e">
        <f>Financials!BA47/Financials!BA37</f>
        <v>#DIV/0!</v>
      </c>
      <c r="BB38" s="26">
        <f>Financials!BB47/Financials!BB37</f>
        <v>0.78324168729393173</v>
      </c>
      <c r="BC38" s="26">
        <f>Financials!BC47/Financials!BC37</f>
        <v>0.57048359662597703</v>
      </c>
      <c r="BD38" s="26">
        <f>Financials!BD47/Financials!BD37</f>
        <v>0.49488438525033923</v>
      </c>
      <c r="BE38" s="26">
        <f>Financials!BE47/Financials!BE37</f>
        <v>0.53631990121461726</v>
      </c>
      <c r="BF38" s="26">
        <f>Financials!BF47/Financials!BF37</f>
        <v>0.50924637243198645</v>
      </c>
      <c r="BG38" s="26" t="e">
        <f>Financials!#REF!/Financials!#REF!</f>
        <v>#REF!</v>
      </c>
      <c r="BH38" s="26" t="e">
        <f>Financials!#REF!/Financials!#REF!</f>
        <v>#REF!</v>
      </c>
      <c r="BI38" s="26" t="e">
        <f>Financials!#REF!/Financials!#REF!</f>
        <v>#REF!</v>
      </c>
      <c r="BJ38" s="26" t="e">
        <f>Financials!#REF!/Financials!#REF!</f>
        <v>#REF!</v>
      </c>
      <c r="BK38" s="26" t="e">
        <f>Financials!#REF!/Financials!#REF!</f>
        <v>#REF!</v>
      </c>
      <c r="BL38" s="26" t="e">
        <f>Financials!#REF!/Financials!#REF!</f>
        <v>#REF!</v>
      </c>
      <c r="BM38" s="26" t="e">
        <f>Financials!#REF!/Financials!#REF!</f>
        <v>#REF!</v>
      </c>
      <c r="BN38" s="26" t="e">
        <f>Financials!#REF!/Financials!#REF!</f>
        <v>#REF!</v>
      </c>
      <c r="BO38" s="26" t="e">
        <f>Financials!#REF!/Financials!#REF!</f>
        <v>#REF!</v>
      </c>
      <c r="BP38" s="26" t="e">
        <f>Financials!#REF!/Financials!#REF!</f>
        <v>#REF!</v>
      </c>
      <c r="BQ38" s="26" t="e">
        <f>Financials!#REF!/Financials!#REF!</f>
        <v>#REF!</v>
      </c>
      <c r="BR38" s="26" t="e">
        <f>Financials!#REF!/Financials!#REF!</f>
        <v>#REF!</v>
      </c>
      <c r="BS38" s="26" t="e">
        <f>Financials!#REF!/Financials!#REF!</f>
        <v>#REF!</v>
      </c>
      <c r="BT38" s="26" t="e">
        <f>Financials!#REF!/Financials!#REF!</f>
        <v>#REF!</v>
      </c>
    </row>
    <row r="39" spans="1:72" hidden="1">
      <c r="A39" s="59"/>
      <c r="B39" s="54" t="s">
        <v>202</v>
      </c>
      <c r="C39" s="2"/>
      <c r="D39" s="26"/>
      <c r="E39" s="26">
        <f>Financials!D38/('Evolutive SFP'!C13+'Evolutive SFP'!B13)/2</f>
        <v>7.8352184403027103E-2</v>
      </c>
      <c r="F39" s="26" t="e">
        <f>Financials!E38/('Evolutive SFP'!D13+'Evolutive SFP'!#REF!)/2</f>
        <v>#REF!</v>
      </c>
      <c r="G39" s="26" t="e">
        <f>Financials!#REF!/('Evolutive SFP'!E13+'Evolutive SFP'!D13)/2</f>
        <v>#REF!</v>
      </c>
      <c r="H39" s="26">
        <f>Financials!G38/('Evolutive SFP'!F13+'Evolutive SFP'!D13)/2</f>
        <v>3.9064104050922617E-3</v>
      </c>
      <c r="I39" s="26">
        <f>Financials!H38/('Evolutive SFP'!G13+'Evolutive SFP'!F13)/2</f>
        <v>7.8025411032961785E-3</v>
      </c>
      <c r="J39" s="26">
        <f>Financials!I38/('Evolutive SFP'!H13+'Evolutive SFP'!G13)/2</f>
        <v>1.1939773220231771E-2</v>
      </c>
      <c r="K39" s="26">
        <f>Financials!J38/('Evolutive SFP'!I13+'Evolutive SFP'!H13)/2</f>
        <v>1.5870369955260078E-2</v>
      </c>
      <c r="L39" s="26">
        <f>Financials!K38/('Evolutive SFP'!J13+'Evolutive SFP'!I13)/2</f>
        <v>1.7058214976627968E-2</v>
      </c>
      <c r="M39" s="26">
        <f>Financials!L38/('Evolutive SFP'!K13+'Evolutive SFP'!J13)/2</f>
        <v>1.7347048516462189E-2</v>
      </c>
      <c r="N39" s="26">
        <f>Financials!M38/('Evolutive SFP'!L13+'Evolutive SFP'!K13)/2</f>
        <v>0</v>
      </c>
      <c r="O39" s="26" t="e">
        <f>Financials!N38/('Evolutive SFP'!M13+'Evolutive SFP'!L13)/2</f>
        <v>#DIV/0!</v>
      </c>
      <c r="P39" s="26" t="e">
        <f>Financials!O38/('Evolutive SFP'!N13+'Evolutive SFP'!M13)/2</f>
        <v>#DIV/0!</v>
      </c>
      <c r="Q39" s="26" t="e">
        <f>Financials!P38/('Evolutive SFP'!O13+'Evolutive SFP'!N13)/2</f>
        <v>#DIV/0!</v>
      </c>
      <c r="R39" s="26" t="e">
        <f>Financials!Q38/('Evolutive SFP'!P13+'Evolutive SFP'!O13)/2</f>
        <v>#DIV/0!</v>
      </c>
      <c r="S39" s="26" t="e">
        <f>Financials!R38/('Evolutive SFP'!Q13+'Evolutive SFP'!P13)/2</f>
        <v>#DIV/0!</v>
      </c>
      <c r="T39" s="26">
        <f>Financials!S38/('Evolutive SFP'!R13+'Evolutive SFP'!Q13)/2</f>
        <v>7.3675158721599229E-2</v>
      </c>
      <c r="U39" s="26">
        <f>Financials!T38/('Evolutive SFP'!S13+'Evolutive SFP'!R13)/2</f>
        <v>6.2041236399334523E-3</v>
      </c>
      <c r="V39" s="26">
        <f>Financials!U38/('Evolutive SFP'!T13+'Evolutive SFP'!S13)/2</f>
        <v>1.1552495627593057E-2</v>
      </c>
      <c r="W39" s="26">
        <f>Financials!V38/('Evolutive SFP'!U13+'Evolutive SFP'!T13)/2</f>
        <v>1.2497808094004892E-2</v>
      </c>
      <c r="X39" s="26">
        <f>Financials!W38/('Evolutive SFP'!V13+'Evolutive SFP'!U13)/2</f>
        <v>1.4391158626335759E-2</v>
      </c>
      <c r="Y39" s="26">
        <f>Financials!X38/('Evolutive SFP'!W13+'Evolutive SFP'!V13)/2</f>
        <v>1.6820716624797474E-2</v>
      </c>
      <c r="Z39" s="26">
        <f>Financials!Y38/('Evolutive SFP'!X13+'Evolutive SFP'!W13)/2</f>
        <v>1.5100222219456306E-2</v>
      </c>
      <c r="AA39" s="26">
        <f>Financials!Z38/('Evolutive SFP'!Y13+'Evolutive SFP'!X13)/2</f>
        <v>1.3529286313307602E-2</v>
      </c>
      <c r="AB39" s="26">
        <f>Financials!AA38/('Evolutive SFP'!Z13+'Evolutive SFP'!Y13)/2</f>
        <v>1.5719888995347694E-2</v>
      </c>
      <c r="AC39" s="26">
        <f>Financials!AB38/('Evolutive SFP'!AA13+'Evolutive SFP'!Z13)/2</f>
        <v>1.9388828730892378E-2</v>
      </c>
      <c r="AD39" s="26">
        <f>Financials!AC38/('Evolutive SFP'!AB13+'Evolutive SFP'!AA13)/2</f>
        <v>2.5473206646667221E-2</v>
      </c>
      <c r="AE39" s="26">
        <f>Financials!AD38/('Evolutive SFP'!AC13+'Evolutive SFP'!AB13)/2</f>
        <v>3.2770156716487232E-2</v>
      </c>
      <c r="AF39" s="26">
        <f>Financials!AE38/('Evolutive SFP'!AD13+'Evolutive SFP'!AC13)/2</f>
        <v>4.0732172135009632E-2</v>
      </c>
      <c r="AG39" s="26">
        <f>Financials!AF38/('Evolutive SFP'!AE13+'Evolutive SFP'!AD13)/2</f>
        <v>0</v>
      </c>
      <c r="AH39" s="26">
        <f>Financials!AG38/('Evolutive SFP'!AF13+'Evolutive SFP'!AE13)/2</f>
        <v>3.7903431727877024E-2</v>
      </c>
      <c r="AI39" s="26">
        <f>Financials!AH38/('Evolutive SFP'!AG13+'Evolutive SFP'!AF13)/2</f>
        <v>6.3339127618231364E-4</v>
      </c>
      <c r="AJ39" s="26">
        <f>Financials!AI38/('Evolutive SFP'!AH13+'Evolutive SFP'!AG13)/2</f>
        <v>6.5631036044278023E-4</v>
      </c>
      <c r="AK39" s="26">
        <f>Financials!AJ38/('Evolutive SFP'!AI13+'Evolutive SFP'!AH13)/2</f>
        <v>4.2114259287197274E-3</v>
      </c>
      <c r="AL39" s="26">
        <f>Financials!AK38/('Evolutive SFP'!AJ13+'Evolutive SFP'!AI13)/2</f>
        <v>4.8143848542069349E-3</v>
      </c>
      <c r="AM39" s="26">
        <f>Financials!AL38/('Evolutive SFP'!AK13+'Evolutive SFP'!AJ13)/2</f>
        <v>5.0242746710520668E-3</v>
      </c>
      <c r="AN39" s="26">
        <f>Financials!AM38/('Evolutive SFP'!AL13+'Evolutive SFP'!AK13)/2</f>
        <v>5.1207234956177914E-3</v>
      </c>
      <c r="AO39" s="26">
        <f>Financials!AN38/('Evolutive SFP'!AM13+'Evolutive SFP'!AL13)/2</f>
        <v>6.1183578165639775E-3</v>
      </c>
      <c r="AP39" s="26">
        <f>Financials!AO38/('Evolutive SFP'!AN13+'Evolutive SFP'!AM13)/2</f>
        <v>6.3229268841207787E-3</v>
      </c>
      <c r="AQ39" s="26">
        <f>Financials!AP38/('Evolutive SFP'!AO13+'Evolutive SFP'!AN13)/2</f>
        <v>1.4333895214339367E-2</v>
      </c>
      <c r="AR39" s="26" t="e">
        <f>Financials!AQ38/('Evolutive SFP'!AP13+'Evolutive SFP'!AO13)/2</f>
        <v>#DIV/0!</v>
      </c>
      <c r="AS39" s="26" t="e">
        <f>Financials!AR38/('Evolutive SFP'!AQ13+'Evolutive SFP'!AP13)/2</f>
        <v>#DIV/0!</v>
      </c>
      <c r="AT39" s="26" t="e">
        <f>Financials!AT38/('Evolutive SFP'!AR13+'Evolutive SFP'!AQ13)/2</f>
        <v>#DIV/0!</v>
      </c>
      <c r="AU39" s="26">
        <f>Financials!AU38/('Evolutive SFP'!AS13+'Evolutive SFP'!AR13)/2</f>
        <v>7.4630726587186814E-3</v>
      </c>
      <c r="AV39" s="26">
        <f>Financials!AV38/('Evolutive SFP'!AT13+'Evolutive SFP'!AS13)/2</f>
        <v>6.2921353299718484E-3</v>
      </c>
      <c r="AW39" s="26">
        <f>Financials!AW38/('Evolutive SFP'!AU13+'Evolutive SFP'!AT13)/2</f>
        <v>1.0214338008237085E-2</v>
      </c>
      <c r="AX39" s="26">
        <f>Financials!AX38/('Evolutive SFP'!AV13+'Evolutive SFP'!AU13)/2</f>
        <v>9.3748742338536813E-3</v>
      </c>
      <c r="AY39" s="26">
        <f>Financials!AY38/('Evolutive SFP'!AW13+'Evolutive SFP'!AV13)/2</f>
        <v>1.0890024616502188E-2</v>
      </c>
      <c r="AZ39" s="26">
        <f>Financials!AZ38/('Evolutive SFP'!AX13+'Evolutive SFP'!AW13)/2</f>
        <v>1.4140670854837303E-2</v>
      </c>
      <c r="BA39" s="26">
        <f>Financials!BA38/('Evolutive SFP'!AY13+'Evolutive SFP'!AX13)/2</f>
        <v>0</v>
      </c>
      <c r="BB39" s="26">
        <f>Financials!BB38/('Evolutive SFP'!AZ13+'Evolutive SFP'!AY13)/2</f>
        <v>4.1440527474662196E-2</v>
      </c>
      <c r="BC39" s="26">
        <f>Financials!BC38/('Evolutive SFP'!BA13+'Evolutive SFP'!AZ13)/2</f>
        <v>0.15003893779946467</v>
      </c>
      <c r="BD39" s="26">
        <f>Financials!BD38/('Evolutive SFP'!BB13+'Evolutive SFP'!BA13)/2</f>
        <v>0.23840370202591996</v>
      </c>
      <c r="BE39" s="26">
        <f>Financials!BE38/('Evolutive SFP'!BC13+'Evolutive SFP'!BB13)/2</f>
        <v>0.24257497477124271</v>
      </c>
      <c r="BF39" s="26">
        <f>Financials!BF38/('Evolutive SFP'!BD13+'Evolutive SFP'!BC13)/2</f>
        <v>0.37562327740044288</v>
      </c>
      <c r="BG39" s="26" t="e">
        <f>Financials!#REF!/('Evolutive SFP'!BE13+'Evolutive SFP'!BD13)/2</f>
        <v>#REF!</v>
      </c>
      <c r="BH39" s="26" t="e">
        <f>Financials!#REF!/('Evolutive SFP'!BF13+'Evolutive SFP'!BE13)/2</f>
        <v>#REF!</v>
      </c>
      <c r="BI39" s="26" t="e">
        <f>Financials!#REF!/('Evolutive SFP'!BG13+'Evolutive SFP'!BF13)/2</f>
        <v>#REF!</v>
      </c>
      <c r="BJ39" s="26" t="e">
        <f>Financials!#REF!/('Evolutive SFP'!BH13+'Evolutive SFP'!BG13)/2</f>
        <v>#REF!</v>
      </c>
      <c r="BK39" s="26" t="e">
        <f>Financials!#REF!/('Evolutive SFP'!BI13+'Evolutive SFP'!BH13)/2</f>
        <v>#REF!</v>
      </c>
      <c r="BL39" s="26" t="e">
        <f>Financials!#REF!/('Evolutive SFP'!BJ13+'Evolutive SFP'!BI13)/2</f>
        <v>#REF!</v>
      </c>
      <c r="BM39" s="26" t="e">
        <f>Financials!#REF!/('Evolutive SFP'!BK13+'Evolutive SFP'!BJ13)/2</f>
        <v>#REF!</v>
      </c>
      <c r="BN39" s="26" t="e">
        <f>Financials!#REF!/('Evolutive SFP'!BL13+'Evolutive SFP'!BK13)/2</f>
        <v>#REF!</v>
      </c>
      <c r="BO39" s="26" t="e">
        <f>Financials!#REF!/('Evolutive SFP'!BM13+'Evolutive SFP'!BL13)/2</f>
        <v>#REF!</v>
      </c>
      <c r="BP39" s="26" t="e">
        <f>Financials!#REF!/('Evolutive SFP'!BN13+'Evolutive SFP'!BM13)/2</f>
        <v>#REF!</v>
      </c>
      <c r="BQ39" s="26" t="e">
        <f>Financials!#REF!/('Evolutive SFP'!BO13+'Evolutive SFP'!BN13)/2</f>
        <v>#REF!</v>
      </c>
      <c r="BR39" s="26" t="e">
        <f>Financials!#REF!/('Evolutive SFP'!BP13+'Evolutive SFP'!BO13)/2</f>
        <v>#REF!</v>
      </c>
      <c r="BS39" s="26" t="e">
        <f>Financials!#REF!/('Evolutive SFP'!BQ13+'Evolutive SFP'!BP13)/2</f>
        <v>#REF!</v>
      </c>
      <c r="BT39" s="26" t="e">
        <f>Financials!#REF!/('Evolutive SFP'!BR13+'Evolutive SFP'!BQ13)/2</f>
        <v>#REF!</v>
      </c>
    </row>
    <row r="40" spans="1:72" hidden="1">
      <c r="A40" s="59"/>
      <c r="B40" s="54" t="s">
        <v>203</v>
      </c>
      <c r="C40" s="2"/>
      <c r="D40" s="26"/>
      <c r="E40" s="26">
        <f>Financials!D37/('Evolutive SFP'!C14+'Evolutive SFP'!B14)/2</f>
        <v>0.12648693300173655</v>
      </c>
      <c r="F40" s="26" t="e">
        <f>Financials!E37/('Evolutive SFP'!D14+'Evolutive SFP'!#REF!)/2</f>
        <v>#REF!</v>
      </c>
      <c r="G40" s="26" t="e">
        <f>Financials!#REF!/('Evolutive SFP'!E14+'Evolutive SFP'!D14)/2</f>
        <v>#REF!</v>
      </c>
      <c r="H40" s="26">
        <f>Financials!G37/('Evolutive SFP'!F14+'Evolutive SFP'!D14)/2</f>
        <v>6.2803195600613032E-3</v>
      </c>
      <c r="I40" s="26">
        <f>Financials!H37/('Evolutive SFP'!G14+'Evolutive SFP'!F14)/2</f>
        <v>1.2018134417673486E-2</v>
      </c>
      <c r="J40" s="26">
        <f>Financials!I37/('Evolutive SFP'!H14+'Evolutive SFP'!G14)/2</f>
        <v>1.7512366227133452E-2</v>
      </c>
      <c r="K40" s="26">
        <f>Financials!J37/('Evolutive SFP'!I14+'Evolutive SFP'!H14)/2</f>
        <v>2.3126391686407188E-2</v>
      </c>
      <c r="L40" s="26">
        <f>Financials!K37/('Evolutive SFP'!J14+'Evolutive SFP'!I14)/2</f>
        <v>2.4488116088711379E-2</v>
      </c>
      <c r="M40" s="26">
        <f>Financials!L37/('Evolutive SFP'!K14+'Evolutive SFP'!J14)/2</f>
        <v>2.5566799410126406E-2</v>
      </c>
      <c r="N40" s="26">
        <f>Financials!M37/('Evolutive SFP'!L14+'Evolutive SFP'!K14)/2</f>
        <v>0</v>
      </c>
      <c r="O40" s="26" t="e">
        <f>Financials!N37/('Evolutive SFP'!M14+'Evolutive SFP'!L14)/2</f>
        <v>#DIV/0!</v>
      </c>
      <c r="P40" s="26" t="e">
        <f>Financials!O37/('Evolutive SFP'!N14+'Evolutive SFP'!M14)/2</f>
        <v>#DIV/0!</v>
      </c>
      <c r="Q40" s="26" t="e">
        <f>Financials!P37/('Evolutive SFP'!O14+'Evolutive SFP'!N14)/2</f>
        <v>#DIV/0!</v>
      </c>
      <c r="R40" s="26" t="e">
        <f>Financials!Q37/('Evolutive SFP'!P14+'Evolutive SFP'!O14)/2</f>
        <v>#DIV/0!</v>
      </c>
      <c r="S40" s="26" t="e">
        <f>Financials!R37/('Evolutive SFP'!Q14+'Evolutive SFP'!P14)/2</f>
        <v>#DIV/0!</v>
      </c>
      <c r="T40" s="26">
        <f>Financials!S37/('Evolutive SFP'!R14+'Evolutive SFP'!Q14)/2</f>
        <v>0.12233776322144922</v>
      </c>
      <c r="U40" s="26">
        <f>Financials!T37/('Evolutive SFP'!S14+'Evolutive SFP'!R14)/2</f>
        <v>7.1982266538852605E-3</v>
      </c>
      <c r="V40" s="26">
        <f>Financials!U37/('Evolutive SFP'!T14+'Evolutive SFP'!S14)/2</f>
        <v>1.3485255376907838E-2</v>
      </c>
      <c r="W40" s="26">
        <f>Financials!V37/('Evolutive SFP'!U14+'Evolutive SFP'!T14)/2</f>
        <v>1.4678503384380927E-2</v>
      </c>
      <c r="X40" s="26">
        <f>Financials!W37/('Evolutive SFP'!V14+'Evolutive SFP'!U14)/2</f>
        <v>1.6623366699530889E-2</v>
      </c>
      <c r="Y40" s="26">
        <f>Financials!X37/('Evolutive SFP'!W14+'Evolutive SFP'!V14)/2</f>
        <v>1.7976656778966812E-2</v>
      </c>
      <c r="Z40" s="26">
        <f>Financials!Y37/('Evolutive SFP'!X14+'Evolutive SFP'!W14)/2</f>
        <v>1.6939087554926402E-2</v>
      </c>
      <c r="AA40" s="26">
        <f>Financials!Z37/('Evolutive SFP'!Y14+'Evolutive SFP'!X14)/2</f>
        <v>1.7013074313649072E-2</v>
      </c>
      <c r="AB40" s="26">
        <f>Financials!AA37/('Evolutive SFP'!Z14+'Evolutive SFP'!Y14)/2</f>
        <v>1.9540822407968471E-2</v>
      </c>
      <c r="AC40" s="26">
        <f>Financials!AB37/('Evolutive SFP'!AA14+'Evolutive SFP'!Z14)/2</f>
        <v>2.6050500847046104E-2</v>
      </c>
      <c r="AD40" s="26">
        <f>Financials!AC37/('Evolutive SFP'!AB14+'Evolutive SFP'!AA14)/2</f>
        <v>3.3047240651659024E-2</v>
      </c>
      <c r="AE40" s="26">
        <f>Financials!AD37/('Evolutive SFP'!AC14+'Evolutive SFP'!AB14)/2</f>
        <v>4.1359561066347854E-2</v>
      </c>
      <c r="AF40" s="26">
        <f>Financials!AE37/('Evolutive SFP'!AD14+'Evolutive SFP'!AC14)/2</f>
        <v>4.9441669850326331E-2</v>
      </c>
      <c r="AG40" s="26">
        <f>Financials!AF37/('Evolutive SFP'!AE14+'Evolutive SFP'!AD14)/2</f>
        <v>0</v>
      </c>
      <c r="AH40" s="26">
        <f>Financials!AG37/('Evolutive SFP'!AF14+'Evolutive SFP'!AE14)/2</f>
        <v>4.5805187781133336E-2</v>
      </c>
      <c r="AI40" s="26">
        <f>Financials!AH37/('Evolutive SFP'!AG14+'Evolutive SFP'!AF14)/2</f>
        <v>9.354818640718972E-4</v>
      </c>
      <c r="AJ40" s="26">
        <f>Financials!AI37/('Evolutive SFP'!AH14+'Evolutive SFP'!AG14)/2</f>
        <v>1.1635576527027503E-3</v>
      </c>
      <c r="AK40" s="26">
        <f>Financials!AJ37/('Evolutive SFP'!AI14+'Evolutive SFP'!AH14)/2</f>
        <v>5.1933570196273727E-3</v>
      </c>
      <c r="AL40" s="26">
        <f>Financials!AK37/('Evolutive SFP'!AJ14+'Evolutive SFP'!AI14)/2</f>
        <v>5.7728945537484488E-3</v>
      </c>
      <c r="AM40" s="26">
        <f>Financials!AL37/('Evolutive SFP'!AK14+'Evolutive SFP'!AJ14)/2</f>
        <v>5.9935111765823156E-3</v>
      </c>
      <c r="AN40" s="26">
        <f>Financials!AM37/('Evolutive SFP'!AL14+'Evolutive SFP'!AK14)/2</f>
        <v>6.1682696432303029E-3</v>
      </c>
      <c r="AO40" s="26">
        <f>Financials!AN37/('Evolutive SFP'!AM14+'Evolutive SFP'!AL14)/2</f>
        <v>7.4929478347911527E-3</v>
      </c>
      <c r="AP40" s="26">
        <f>Financials!AO37/('Evolutive SFP'!AN14+'Evolutive SFP'!AM14)/2</f>
        <v>1.2016712541942795E-2</v>
      </c>
      <c r="AQ40" s="26">
        <f>Financials!AP37/('Evolutive SFP'!AO14+'Evolutive SFP'!AN14)/2</f>
        <v>3.4409387523074306E-2</v>
      </c>
      <c r="AR40" s="26" t="e">
        <f>Financials!AQ37/('Evolutive SFP'!AP14+'Evolutive SFP'!AO14)/2</f>
        <v>#DIV/0!</v>
      </c>
      <c r="AS40" s="26" t="e">
        <f>Financials!AR37/('Evolutive SFP'!AQ14+'Evolutive SFP'!AP14)/2</f>
        <v>#DIV/0!</v>
      </c>
      <c r="AT40" s="26" t="e">
        <f>Financials!AT37/('Evolutive SFP'!AR14+'Evolutive SFP'!AQ14)/2</f>
        <v>#DIV/0!</v>
      </c>
      <c r="AU40" s="26">
        <f>Financials!AU37/('Evolutive SFP'!AS14+'Evolutive SFP'!AR14)/2</f>
        <v>7.1160008698608061E-4</v>
      </c>
      <c r="AV40" s="26">
        <f>Financials!AV37/('Evolutive SFP'!AT14+'Evolutive SFP'!AS14)/2</f>
        <v>1.1106457957255165E-3</v>
      </c>
      <c r="AW40" s="26">
        <f>Financials!AW37/('Evolutive SFP'!AU14+'Evolutive SFP'!AT14)/2</f>
        <v>0.26115762801686787</v>
      </c>
      <c r="AX40" s="26">
        <f>Financials!AX37/('Evolutive SFP'!AV14+'Evolutive SFP'!AU14)/2</f>
        <v>0.23191751131953861</v>
      </c>
      <c r="AY40" s="26">
        <f>Financials!AY37/('Evolutive SFP'!AW14+'Evolutive SFP'!AV14)/2</f>
        <v>0.24646727985512737</v>
      </c>
      <c r="AZ40" s="26">
        <f>Financials!AZ37/('Evolutive SFP'!AX14+'Evolutive SFP'!AW14)/2</f>
        <v>0.25687840848189203</v>
      </c>
      <c r="BA40" s="26">
        <f>Financials!BA37/('Evolutive SFP'!AY14+'Evolutive SFP'!AX14)/2</f>
        <v>0</v>
      </c>
      <c r="BB40" s="26">
        <f>Financials!BB37/('Evolutive SFP'!AZ14+'Evolutive SFP'!AY14)/2</f>
        <v>0.49511375498224014</v>
      </c>
      <c r="BC40" s="26">
        <f>Financials!BC37/('Evolutive SFP'!BA14+'Evolutive SFP'!AZ14)/2</f>
        <v>0.38209906918631159</v>
      </c>
      <c r="BD40" s="26">
        <f>Financials!BD37/('Evolutive SFP'!BB14+'Evolutive SFP'!BA14)/2</f>
        <v>0.1037417207385388</v>
      </c>
      <c r="BE40" s="26">
        <f>Financials!BE37/('Evolutive SFP'!BC14+'Evolutive SFP'!BB14)/2</f>
        <v>6.0150532220354255E-2</v>
      </c>
      <c r="BF40" s="26">
        <f>Financials!BF37/('Evolutive SFP'!BD14+'Evolutive SFP'!BC14)/2</f>
        <v>7.519895376131519E-2</v>
      </c>
      <c r="BG40" s="26" t="e">
        <f>Financials!#REF!/('Evolutive SFP'!BE14+'Evolutive SFP'!BD14)/2</f>
        <v>#REF!</v>
      </c>
      <c r="BH40" s="26" t="e">
        <f>Financials!#REF!/('Evolutive SFP'!BF14+'Evolutive SFP'!BE14)/2</f>
        <v>#REF!</v>
      </c>
      <c r="BI40" s="26" t="e">
        <f>Financials!#REF!/('Evolutive SFP'!BG14+'Evolutive SFP'!BF14)/2</f>
        <v>#REF!</v>
      </c>
      <c r="BJ40" s="26" t="e">
        <f>Financials!#REF!/('Evolutive SFP'!BH14+'Evolutive SFP'!BG14)/2</f>
        <v>#REF!</v>
      </c>
      <c r="BK40" s="26" t="e">
        <f>Financials!#REF!/('Evolutive SFP'!BI14+'Evolutive SFP'!BH14)/2</f>
        <v>#REF!</v>
      </c>
      <c r="BL40" s="26" t="e">
        <f>Financials!#REF!/('Evolutive SFP'!BJ14+'Evolutive SFP'!BI14)/2</f>
        <v>#REF!</v>
      </c>
      <c r="BM40" s="26" t="e">
        <f>Financials!#REF!/('Evolutive SFP'!BK14+'Evolutive SFP'!BJ14)/2</f>
        <v>#REF!</v>
      </c>
      <c r="BN40" s="26" t="e">
        <f>Financials!#REF!/('Evolutive SFP'!BL14+'Evolutive SFP'!BK14)/2</f>
        <v>#REF!</v>
      </c>
      <c r="BO40" s="26" t="e">
        <f>Financials!#REF!/('Evolutive SFP'!BM14+'Evolutive SFP'!BL14)/2</f>
        <v>#REF!</v>
      </c>
      <c r="BP40" s="26" t="e">
        <f>Financials!#REF!/('Evolutive SFP'!BN14+'Evolutive SFP'!BM14)/2</f>
        <v>#REF!</v>
      </c>
      <c r="BQ40" s="26" t="e">
        <f>Financials!#REF!/('Evolutive SFP'!BO14+'Evolutive SFP'!BN14)/2</f>
        <v>#REF!</v>
      </c>
      <c r="BR40" s="26" t="e">
        <f>Financials!#REF!/('Evolutive SFP'!BP14+'Evolutive SFP'!BO14)/2</f>
        <v>#REF!</v>
      </c>
      <c r="BS40" s="26" t="e">
        <f>Financials!#REF!/('Evolutive SFP'!BQ14+'Evolutive SFP'!BP14)/2</f>
        <v>#REF!</v>
      </c>
      <c r="BT40" s="26" t="e">
        <f>Financials!#REF!/('Evolutive SFP'!BR14+'Evolutive SFP'!BQ14)/2</f>
        <v>#REF!</v>
      </c>
    </row>
    <row r="41" spans="1:72" hidden="1">
      <c r="A41" s="6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</row>
    <row r="42" spans="1:72" ht="14.45" hidden="1" customHeight="1">
      <c r="A42" s="61" t="s">
        <v>204</v>
      </c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2"/>
      <c r="BS42" s="62"/>
      <c r="BT42" s="62"/>
    </row>
  </sheetData>
  <mergeCells count="8">
    <mergeCell ref="A22:A24"/>
    <mergeCell ref="A25:A33"/>
    <mergeCell ref="A1:B1"/>
    <mergeCell ref="A3:A6"/>
    <mergeCell ref="A7:A8"/>
    <mergeCell ref="A9:A11"/>
    <mergeCell ref="A12:A15"/>
    <mergeCell ref="A16:A21"/>
  </mergeCells>
  <pageMargins left="0.7" right="0.7" top="0.75" bottom="0.75" header="0.3" footer="0.3"/>
  <pageSetup scale="9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2"/>
  <sheetViews>
    <sheetView workbookViewId="0">
      <selection activeCell="A11" sqref="A11"/>
    </sheetView>
  </sheetViews>
  <sheetFormatPr defaultRowHeight="14.45"/>
  <cols>
    <col min="1" max="1" width="40.5703125" customWidth="1"/>
    <col min="2" max="2" width="12.85546875" bestFit="1" customWidth="1"/>
    <col min="3" max="3" width="16.28515625" bestFit="1" customWidth="1"/>
    <col min="4" max="4" width="16.7109375" bestFit="1" customWidth="1"/>
    <col min="5" max="5" width="16.28515625" bestFit="1" customWidth="1"/>
    <col min="6" max="10" width="16.28515625" customWidth="1"/>
    <col min="11" max="11" width="9" hidden="1" customWidth="1"/>
    <col min="12" max="12" width="31.85546875" hidden="1" customWidth="1"/>
    <col min="14" max="14" width="14.7109375" bestFit="1" customWidth="1"/>
  </cols>
  <sheetData>
    <row r="1" spans="1:13">
      <c r="A1" s="336" t="s">
        <v>224</v>
      </c>
      <c r="B1" s="337"/>
      <c r="C1" s="337"/>
      <c r="D1" s="337"/>
      <c r="E1" s="337"/>
      <c r="F1" s="338"/>
      <c r="G1" s="338"/>
      <c r="H1" s="338"/>
      <c r="I1" s="338"/>
      <c r="J1" s="338"/>
      <c r="K1" s="338"/>
      <c r="L1" s="339"/>
    </row>
    <row r="2" spans="1:13">
      <c r="A2" s="340" t="s">
        <v>225</v>
      </c>
      <c r="B2" s="341"/>
      <c r="C2" s="341"/>
      <c r="D2" s="341"/>
      <c r="E2" s="341"/>
      <c r="F2" s="342"/>
      <c r="G2" s="342"/>
      <c r="H2" s="342"/>
      <c r="I2" s="342"/>
      <c r="J2" s="342"/>
      <c r="K2" s="342"/>
      <c r="L2" s="343"/>
    </row>
    <row r="3" spans="1:13">
      <c r="A3" s="245"/>
      <c r="B3" s="353" t="s">
        <v>226</v>
      </c>
      <c r="C3" s="253" t="s">
        <v>227</v>
      </c>
      <c r="D3" s="349" t="s">
        <v>228</v>
      </c>
      <c r="E3" s="349"/>
      <c r="F3" s="349"/>
      <c r="G3" s="350"/>
      <c r="H3" s="260"/>
      <c r="I3" s="260"/>
      <c r="J3" s="260"/>
      <c r="K3" s="344" t="s">
        <v>229</v>
      </c>
      <c r="L3" s="351" t="s">
        <v>230</v>
      </c>
    </row>
    <row r="4" spans="1:13" ht="28.9">
      <c r="A4" s="59"/>
      <c r="B4" s="354"/>
      <c r="C4" s="217">
        <v>2021</v>
      </c>
      <c r="D4" s="218" t="s">
        <v>231</v>
      </c>
      <c r="E4" s="219" t="s">
        <v>232</v>
      </c>
      <c r="F4" s="216" t="s">
        <v>233</v>
      </c>
      <c r="G4" s="216" t="s">
        <v>234</v>
      </c>
      <c r="H4" s="216" t="s">
        <v>235</v>
      </c>
      <c r="I4" s="216" t="s">
        <v>236</v>
      </c>
      <c r="J4" s="216" t="s">
        <v>237</v>
      </c>
      <c r="K4" s="345"/>
      <c r="L4" s="352"/>
      <c r="M4" s="262"/>
    </row>
    <row r="5" spans="1:13">
      <c r="A5" s="332" t="s">
        <v>238</v>
      </c>
      <c r="B5" s="333"/>
      <c r="C5" s="333"/>
      <c r="D5" s="333"/>
      <c r="E5" s="333"/>
      <c r="F5" s="334"/>
      <c r="G5" s="334"/>
      <c r="H5" s="334"/>
      <c r="I5" s="334"/>
      <c r="J5" s="334"/>
      <c r="K5" s="334"/>
      <c r="L5" s="335"/>
    </row>
    <row r="6" spans="1:13">
      <c r="A6" s="235" t="s">
        <v>239</v>
      </c>
      <c r="B6" s="236" t="s">
        <v>240</v>
      </c>
      <c r="C6" s="234">
        <v>-40822385</v>
      </c>
      <c r="D6" s="234">
        <v>-65395648.399999999</v>
      </c>
      <c r="E6" s="234">
        <v>-71627479.109999999</v>
      </c>
      <c r="F6" s="234">
        <f>F33</f>
        <v>-70615671.810000002</v>
      </c>
      <c r="G6" s="234">
        <f>G33</f>
        <v>-71411340.700000003</v>
      </c>
      <c r="H6" s="234"/>
      <c r="I6" s="234"/>
      <c r="J6" s="234"/>
      <c r="K6" s="234">
        <v>0</v>
      </c>
      <c r="L6" s="234">
        <v>119136226064.46001</v>
      </c>
    </row>
    <row r="7" spans="1:13">
      <c r="A7" s="235" t="s">
        <v>241</v>
      </c>
      <c r="B7" s="237" t="s">
        <v>242</v>
      </c>
      <c r="C7" s="250">
        <v>-0.20081314734721262</v>
      </c>
      <c r="D7" s="250">
        <v>-0.34156793030797089</v>
      </c>
      <c r="E7" s="250">
        <v>-0.34293282257015478</v>
      </c>
      <c r="F7" s="250">
        <f>F6/F29</f>
        <v>-0.34574100831343402</v>
      </c>
      <c r="G7" s="250">
        <f>G6/G29</f>
        <v>-0.35100677889741944</v>
      </c>
      <c r="H7" s="250"/>
      <c r="I7" s="250"/>
      <c r="J7" s="250"/>
      <c r="K7" s="250" t="e">
        <v>#DIV/0!</v>
      </c>
      <c r="L7" s="250">
        <v>0.17007847929136097</v>
      </c>
    </row>
    <row r="8" spans="1:13">
      <c r="A8" s="235" t="s">
        <v>243</v>
      </c>
      <c r="B8" s="237" t="s">
        <v>244</v>
      </c>
      <c r="C8" s="252">
        <v>-0.26770738895096363</v>
      </c>
      <c r="D8" s="252">
        <v>-0.41347393554672057</v>
      </c>
      <c r="E8" s="252">
        <v>-0.40886185607007913</v>
      </c>
      <c r="F8" s="252">
        <f>F34/F29</f>
        <v>-0.41315986005549243</v>
      </c>
      <c r="G8" s="252">
        <f>G34/G29</f>
        <v>-0.41872422784522384</v>
      </c>
      <c r="H8" s="252"/>
      <c r="I8" s="252"/>
      <c r="J8" s="252"/>
      <c r="K8" s="250" t="e">
        <v>#DIV/0!</v>
      </c>
      <c r="L8" s="250">
        <v>0.10096958043551579</v>
      </c>
    </row>
    <row r="9" spans="1:13">
      <c r="A9" s="332" t="s">
        <v>245</v>
      </c>
      <c r="B9" s="333"/>
      <c r="C9" s="333"/>
      <c r="D9" s="333"/>
      <c r="E9" s="333"/>
      <c r="F9" s="334"/>
      <c r="G9" s="334"/>
      <c r="H9" s="334"/>
      <c r="I9" s="334"/>
      <c r="J9" s="334"/>
      <c r="K9" s="334"/>
      <c r="L9" s="335"/>
    </row>
    <row r="10" spans="1:13">
      <c r="A10" s="235" t="s">
        <v>246</v>
      </c>
      <c r="B10" s="236" t="s">
        <v>247</v>
      </c>
      <c r="C10" s="252">
        <v>0.79561369658593772</v>
      </c>
      <c r="D10" s="252">
        <v>0.76243011168748187</v>
      </c>
      <c r="E10" s="252">
        <v>0.93029506439898013</v>
      </c>
      <c r="F10" s="252">
        <f>F35/F32</f>
        <v>0.9654568522491932</v>
      </c>
      <c r="G10" s="252">
        <f>G35/G32</f>
        <v>0.94416296959595636</v>
      </c>
      <c r="H10" s="252"/>
      <c r="I10" s="252"/>
      <c r="J10" s="252"/>
      <c r="K10" s="252" t="e">
        <v>#DIV/0!</v>
      </c>
      <c r="L10" s="252">
        <v>0.10428851884587204</v>
      </c>
    </row>
    <row r="11" spans="1:13">
      <c r="A11" s="235" t="s">
        <v>131</v>
      </c>
      <c r="B11" s="236" t="s">
        <v>248</v>
      </c>
      <c r="C11" s="250">
        <v>0.65156690529010886</v>
      </c>
      <c r="D11" s="250">
        <v>0.73738833278087446</v>
      </c>
      <c r="E11" s="250">
        <v>0.71435003847991074</v>
      </c>
      <c r="F11" s="250">
        <f>F36/F29</f>
        <v>0.66118947217685031</v>
      </c>
      <c r="G11" s="250">
        <f>G36/G29</f>
        <v>0.71190540825608817</v>
      </c>
      <c r="H11" s="250"/>
      <c r="I11" s="250"/>
      <c r="J11" s="250"/>
      <c r="K11" s="250" t="e">
        <v>#DIV/0!</v>
      </c>
      <c r="L11" s="250">
        <v>0.10159659857306144</v>
      </c>
    </row>
    <row r="12" spans="1:13">
      <c r="A12" s="235" t="s">
        <v>249</v>
      </c>
      <c r="B12" s="236" t="s">
        <v>247</v>
      </c>
      <c r="C12" s="238">
        <v>7.609283351207094E-2</v>
      </c>
      <c r="D12" s="238">
        <v>0.11994583442251214</v>
      </c>
      <c r="E12" s="238">
        <v>7.7632237364612E-2</v>
      </c>
      <c r="F12" s="238">
        <f>F37/F31</f>
        <v>0.11883919648718994</v>
      </c>
      <c r="G12" s="238">
        <f>G37/G31</f>
        <v>0.13189621493436829</v>
      </c>
      <c r="H12" s="238"/>
      <c r="I12" s="238"/>
      <c r="J12" s="238"/>
      <c r="K12" s="238" t="e">
        <v>#DIV/0!</v>
      </c>
      <c r="L12" s="238">
        <v>2.8383024112680233E-2</v>
      </c>
    </row>
    <row r="13" spans="1:13">
      <c r="A13" s="239" t="s">
        <v>250</v>
      </c>
      <c r="B13" s="236" t="s">
        <v>251</v>
      </c>
      <c r="C13" s="251">
        <v>-0.35046803365359469</v>
      </c>
      <c r="D13" s="251">
        <v>-0.34487463297328508</v>
      </c>
      <c r="E13" s="251">
        <v>-0.20043901416594195</v>
      </c>
      <c r="F13" s="251">
        <f>F39/F33</f>
        <v>-0.20331097803089782</v>
      </c>
      <c r="G13" s="251">
        <f>G39/G33</f>
        <v>-0.20104567648874852</v>
      </c>
      <c r="H13" s="251"/>
      <c r="I13" s="251"/>
      <c r="J13" s="251"/>
      <c r="K13" s="251" t="e">
        <v>#DIV/0!</v>
      </c>
      <c r="L13" s="251">
        <v>0.11815537483958662</v>
      </c>
    </row>
    <row r="14" spans="1:13">
      <c r="A14" s="332" t="s">
        <v>252</v>
      </c>
      <c r="B14" s="333"/>
      <c r="C14" s="333"/>
      <c r="D14" s="333"/>
      <c r="E14" s="333"/>
      <c r="F14" s="334"/>
      <c r="G14" s="334"/>
      <c r="H14" s="334"/>
      <c r="I14" s="334"/>
      <c r="J14" s="334"/>
      <c r="K14" s="334"/>
      <c r="L14" s="335"/>
    </row>
    <row r="15" spans="1:13">
      <c r="A15" s="235" t="s">
        <v>253</v>
      </c>
      <c r="B15" s="236"/>
      <c r="C15" s="252">
        <v>0.12955271835044063</v>
      </c>
      <c r="D15" s="252">
        <v>5.5607037264861603E-2</v>
      </c>
      <c r="E15" s="252">
        <v>7.3041417043159904E-2</v>
      </c>
      <c r="F15" s="252">
        <f>F48/F32</f>
        <v>8.8073787412792412E-2</v>
      </c>
      <c r="G15" s="252">
        <f>G48/G32</f>
        <v>9.1500708956905707E-2</v>
      </c>
      <c r="H15" s="252"/>
      <c r="I15" s="252"/>
      <c r="J15" s="252"/>
      <c r="K15" s="252" t="e">
        <v>#DIV/0!</v>
      </c>
      <c r="L15" s="252">
        <v>7.9053240778951261E-2</v>
      </c>
    </row>
    <row r="16" spans="1:13">
      <c r="A16" s="235" t="s">
        <v>254</v>
      </c>
      <c r="B16" s="236"/>
      <c r="C16" s="252">
        <v>1.0309881833374623</v>
      </c>
      <c r="D16" s="252">
        <v>1.0285358762979342</v>
      </c>
      <c r="E16" s="252">
        <v>0.96554979344715186</v>
      </c>
      <c r="F16" s="252">
        <f>F49/F44</f>
        <v>0.91096741015862603</v>
      </c>
      <c r="G16" s="252">
        <f>G49/G44</f>
        <v>0.97239789305756696</v>
      </c>
      <c r="H16" s="252"/>
      <c r="I16" s="252"/>
      <c r="J16" s="252"/>
      <c r="K16" s="252" t="e">
        <v>#DIV/0!</v>
      </c>
      <c r="L16" s="252">
        <v>0.71009039544350172</v>
      </c>
    </row>
    <row r="17" spans="1:14">
      <c r="A17" s="235" t="s">
        <v>255</v>
      </c>
      <c r="B17" s="236"/>
      <c r="C17" s="251">
        <v>-3.2553493097824855E-3</v>
      </c>
      <c r="D17" s="251">
        <v>-8.848899108281497E-4</v>
      </c>
      <c r="E17" s="251">
        <v>1.9413842563360587E-3</v>
      </c>
      <c r="F17" s="251">
        <f>F50/F30</f>
        <v>6.0419929298392815E-3</v>
      </c>
      <c r="G17" s="251">
        <f>G50/G30</f>
        <v>1.8710307602902863E-3</v>
      </c>
      <c r="H17" s="251"/>
      <c r="I17" s="251"/>
      <c r="J17" s="251"/>
      <c r="K17" s="251" t="e">
        <v>#DIV/0!</v>
      </c>
      <c r="L17" s="251">
        <v>1.8440749319186361E-2</v>
      </c>
    </row>
    <row r="18" spans="1:14">
      <c r="A18" s="239" t="s">
        <v>256</v>
      </c>
      <c r="B18" s="240"/>
      <c r="C18" s="251">
        <v>0.99960741276778553</v>
      </c>
      <c r="D18" s="251">
        <v>0.90467167752117073</v>
      </c>
      <c r="E18" s="251">
        <v>0.82880122239282439</v>
      </c>
      <c r="F18" s="251">
        <f>F47/F45</f>
        <v>0.89869358253733156</v>
      </c>
      <c r="G18" s="251">
        <f>G47/G45</f>
        <v>0.96882922146470307</v>
      </c>
      <c r="H18" s="251"/>
      <c r="I18" s="251"/>
      <c r="J18" s="251"/>
      <c r="K18" s="251" t="e">
        <v>#DIV/0!</v>
      </c>
      <c r="L18" s="251">
        <v>0.35649441938662896</v>
      </c>
    </row>
    <row r="19" spans="1:14">
      <c r="A19" s="332" t="s">
        <v>257</v>
      </c>
      <c r="B19" s="333"/>
      <c r="C19" s="333"/>
      <c r="D19" s="333"/>
      <c r="E19" s="333"/>
      <c r="F19" s="334"/>
      <c r="G19" s="334"/>
      <c r="H19" s="334"/>
      <c r="I19" s="334"/>
      <c r="J19" s="334"/>
      <c r="K19" s="334"/>
      <c r="L19" s="335"/>
    </row>
    <row r="20" spans="1:14">
      <c r="A20" s="235" t="s">
        <v>258</v>
      </c>
      <c r="B20" s="241" t="s">
        <v>259</v>
      </c>
      <c r="C20" s="250">
        <v>0.49262977651808182</v>
      </c>
      <c r="D20" s="250">
        <v>0.45152824981772527</v>
      </c>
      <c r="E20" s="250">
        <v>0.12992978689824275</v>
      </c>
      <c r="F20" s="250">
        <f>F40/F41</f>
        <v>0.27286860793526119</v>
      </c>
      <c r="G20" s="250">
        <f>G40/G41</f>
        <v>0.13045122145762919</v>
      </c>
      <c r="H20" s="250"/>
      <c r="I20" s="250"/>
      <c r="J20" s="250"/>
      <c r="K20" s="250" t="e">
        <v>#DIV/0!</v>
      </c>
      <c r="L20" s="250">
        <v>0.68306351256933595</v>
      </c>
    </row>
    <row r="21" spans="1:14">
      <c r="A21" s="235" t="s">
        <v>260</v>
      </c>
      <c r="B21" s="236" t="s">
        <v>261</v>
      </c>
      <c r="C21" s="250">
        <v>0.1183489007721262</v>
      </c>
      <c r="D21" s="250">
        <v>0.13483175600165931</v>
      </c>
      <c r="E21" s="250">
        <v>0.12705550460455317</v>
      </c>
      <c r="F21" s="250">
        <f>F42/F29</f>
        <v>0.13022225005480084</v>
      </c>
      <c r="G21" s="250">
        <f>G42/G29</f>
        <v>0.13073254423499872</v>
      </c>
      <c r="H21" s="250"/>
      <c r="I21" s="250"/>
      <c r="J21" s="250"/>
      <c r="K21" s="250" t="e">
        <v>#DIV/0!</v>
      </c>
      <c r="L21" s="250">
        <v>3.4164731307765796E-2</v>
      </c>
    </row>
    <row r="22" spans="1:14">
      <c r="A22" s="235" t="s">
        <v>262</v>
      </c>
      <c r="B22" s="236"/>
      <c r="C22" s="250">
        <v>0.13590910750018373</v>
      </c>
      <c r="D22" s="250">
        <v>0.1197073099741693</v>
      </c>
      <c r="E22" s="250">
        <v>6.0202234525194333E-2</v>
      </c>
      <c r="F22" s="250">
        <f>F40/F29</f>
        <v>0.12255021652824559</v>
      </c>
      <c r="G22" s="250">
        <f>G40/G29</f>
        <v>5.8784183738274674E-2</v>
      </c>
      <c r="H22" s="250"/>
      <c r="I22" s="250"/>
      <c r="J22" s="250"/>
      <c r="K22" s="250" t="e">
        <v>#DIV/0!</v>
      </c>
      <c r="L22" s="250">
        <v>0.12737783826824758</v>
      </c>
    </row>
    <row r="23" spans="1:14">
      <c r="A23" s="332" t="s">
        <v>263</v>
      </c>
      <c r="B23" s="333"/>
      <c r="C23" s="333"/>
      <c r="D23" s="333"/>
      <c r="E23" s="333"/>
      <c r="F23" s="334"/>
      <c r="G23" s="334"/>
      <c r="H23" s="334"/>
      <c r="I23" s="334"/>
      <c r="J23" s="334"/>
      <c r="K23" s="334"/>
      <c r="L23" s="335"/>
    </row>
    <row r="24" spans="1:14">
      <c r="A24" s="242" t="s">
        <v>264</v>
      </c>
      <c r="B24" s="240" t="s">
        <v>265</v>
      </c>
      <c r="C24" s="251">
        <v>0.49093504098818302</v>
      </c>
      <c r="D24" s="251">
        <v>0.55873318181628029</v>
      </c>
      <c r="E24" s="251">
        <v>0.546939525715187</v>
      </c>
      <c r="F24" s="251">
        <f>F32/F29</f>
        <v>0.5389488740945495</v>
      </c>
      <c r="G24" s="251">
        <f>G32/G29</f>
        <v>0.55326347126924935</v>
      </c>
      <c r="H24" s="251"/>
      <c r="I24" s="251"/>
      <c r="J24" s="251"/>
      <c r="K24" s="251" t="e">
        <v>#DIV/0!</v>
      </c>
      <c r="L24" s="251">
        <v>0.76493348088663293</v>
      </c>
    </row>
    <row r="25" spans="1:14">
      <c r="A25" s="242" t="s">
        <v>266</v>
      </c>
      <c r="B25" s="243" t="s">
        <v>267</v>
      </c>
      <c r="C25" s="251">
        <v>0.53079550090849859</v>
      </c>
      <c r="D25" s="251">
        <v>0.56892012185284913</v>
      </c>
      <c r="E25" s="251">
        <v>0.61771777768702196</v>
      </c>
      <c r="F25" s="251">
        <f>F32/F31</f>
        <v>0.59929920922559066</v>
      </c>
      <c r="G25" s="251">
        <f>G32/G31</f>
        <v>0.61282055101824984</v>
      </c>
      <c r="H25" s="251"/>
      <c r="I25" s="251"/>
      <c r="J25" s="251"/>
      <c r="K25" s="251" t="e">
        <v>#DIV/0!</v>
      </c>
      <c r="L25" s="251">
        <v>1.0803873488954567</v>
      </c>
    </row>
    <row r="26" spans="1:14">
      <c r="A26" s="242" t="s">
        <v>268</v>
      </c>
      <c r="B26" s="243"/>
      <c r="C26" s="251">
        <v>7.609283351207094E-2</v>
      </c>
      <c r="D26" s="251">
        <v>0.11994583442251214</v>
      </c>
      <c r="E26" s="251">
        <v>7.7632237364612E-2</v>
      </c>
      <c r="F26" s="251">
        <f>F39/F29</f>
        <v>7.029294254559304E-2</v>
      </c>
      <c r="G26" s="251">
        <f>G39/G29</f>
        <v>7.0568395315568258E-2</v>
      </c>
      <c r="H26" s="251"/>
      <c r="I26" s="251"/>
      <c r="J26" s="251"/>
      <c r="K26" s="251" t="e">
        <v>#DIV/0!</v>
      </c>
      <c r="L26" s="251">
        <v>7.0833833939680693E-2</v>
      </c>
    </row>
    <row r="27" spans="1:14">
      <c r="A27" s="242" t="s">
        <v>269</v>
      </c>
      <c r="B27" s="244"/>
      <c r="C27" s="251">
        <v>0</v>
      </c>
      <c r="D27" s="251">
        <v>0</v>
      </c>
      <c r="E27" s="251">
        <v>0</v>
      </c>
      <c r="F27" s="251">
        <f>F46/F44</f>
        <v>0</v>
      </c>
      <c r="G27" s="251">
        <f>G46/G44</f>
        <v>0</v>
      </c>
      <c r="H27" s="251"/>
      <c r="I27" s="251"/>
      <c r="J27" s="251"/>
      <c r="K27" s="251" t="e">
        <v>#DIV/0!</v>
      </c>
      <c r="L27" s="251">
        <v>0.29279965058536422</v>
      </c>
    </row>
    <row r="28" spans="1:14">
      <c r="A28" s="332" t="s">
        <v>270</v>
      </c>
      <c r="B28" s="333"/>
      <c r="C28" s="333">
        <v>2015</v>
      </c>
      <c r="D28" s="333">
        <v>2016</v>
      </c>
      <c r="E28" s="333">
        <v>2017</v>
      </c>
      <c r="F28" s="334"/>
      <c r="G28" s="334"/>
      <c r="H28" s="334"/>
      <c r="I28" s="334"/>
      <c r="J28" s="334"/>
      <c r="K28" s="334"/>
      <c r="L28" s="335" t="s">
        <v>271</v>
      </c>
    </row>
    <row r="29" spans="1:14">
      <c r="A29" s="258" t="s">
        <v>33</v>
      </c>
      <c r="B29" s="246"/>
      <c r="C29" s="254">
        <v>203285420</v>
      </c>
      <c r="D29" s="254">
        <v>191457225.91999999</v>
      </c>
      <c r="E29" s="254">
        <v>208867376.91999999</v>
      </c>
      <c r="F29" s="254">
        <f>'Evolutive SFP'!BY26</f>
        <v>204244420.28000003</v>
      </c>
      <c r="G29" s="254">
        <f>'Evolutive SFP'!BZ26</f>
        <v>203447183.91000003</v>
      </c>
      <c r="H29" s="254"/>
      <c r="I29" s="254"/>
      <c r="J29" s="254"/>
      <c r="K29" s="254"/>
      <c r="L29" s="255">
        <v>700477959121.26001</v>
      </c>
    </row>
    <row r="30" spans="1:14">
      <c r="A30" s="258" t="s">
        <v>272</v>
      </c>
      <c r="B30" s="246"/>
      <c r="C30" s="254">
        <v>196499650</v>
      </c>
      <c r="D30" s="254">
        <v>191906832.61500001</v>
      </c>
      <c r="E30" s="254">
        <v>203022038.89500001</v>
      </c>
      <c r="F30" s="254">
        <f>(D29+E29)/2</f>
        <v>200162301.41999999</v>
      </c>
      <c r="G30" s="254">
        <f>(E29+F29)/2</f>
        <v>206555898.60000002</v>
      </c>
      <c r="H30" s="254"/>
      <c r="I30" s="254"/>
      <c r="J30" s="254"/>
      <c r="K30" s="254"/>
      <c r="L30" s="255">
        <v>673370596040.28503</v>
      </c>
      <c r="N30" s="215"/>
    </row>
    <row r="31" spans="1:14">
      <c r="A31" s="258" t="s">
        <v>99</v>
      </c>
      <c r="B31" s="246"/>
      <c r="C31" s="255">
        <v>188019559</v>
      </c>
      <c r="D31" s="255">
        <v>188029041.18000001</v>
      </c>
      <c r="E31" s="255">
        <v>184935302.49000001</v>
      </c>
      <c r="F31" s="255">
        <f>'Evolutive SFP'!BY30</f>
        <v>183676698.81</v>
      </c>
      <c r="G31" s="255">
        <f>'Evolutive SFP'!BZ30</f>
        <v>183675131.32999998</v>
      </c>
      <c r="H31" s="255"/>
      <c r="I31" s="255"/>
      <c r="J31" s="255"/>
      <c r="K31" s="255"/>
      <c r="L31" s="255">
        <v>495950868087.07001</v>
      </c>
    </row>
    <row r="32" spans="1:14">
      <c r="A32" s="258" t="s">
        <v>273</v>
      </c>
      <c r="B32" s="246"/>
      <c r="C32" s="256">
        <v>99799936</v>
      </c>
      <c r="D32" s="256">
        <v>106973505.02</v>
      </c>
      <c r="E32" s="256">
        <v>114237824.06999999</v>
      </c>
      <c r="F32" s="256">
        <f>'Evolutive SFP'!BY14</f>
        <v>110077300.34999999</v>
      </c>
      <c r="G32" s="256">
        <f>'Evolutive SFP'!BZ14</f>
        <v>112559895.19</v>
      </c>
      <c r="H32" s="256"/>
      <c r="I32" s="256"/>
      <c r="J32" s="256"/>
      <c r="K32" s="256"/>
      <c r="L32" s="255">
        <v>535819043554.98999</v>
      </c>
    </row>
    <row r="33" spans="1:12">
      <c r="A33" s="258" t="s">
        <v>104</v>
      </c>
      <c r="B33" s="246"/>
      <c r="C33" s="254">
        <v>-40822385</v>
      </c>
      <c r="D33" s="254">
        <v>-65395648.399999999</v>
      </c>
      <c r="E33" s="254">
        <v>-71627479.109999999</v>
      </c>
      <c r="F33" s="254">
        <f>Financials!BZ11</f>
        <v>-70615671.810000002</v>
      </c>
      <c r="G33" s="254">
        <f>Financials!CA11</f>
        <v>-71411340.700000003</v>
      </c>
      <c r="H33" s="254"/>
      <c r="I33" s="254"/>
      <c r="J33" s="254"/>
      <c r="K33" s="254"/>
      <c r="L33" s="255">
        <v>119136226064.46001</v>
      </c>
    </row>
    <row r="34" spans="1:12">
      <c r="A34" s="258" t="s">
        <v>215</v>
      </c>
      <c r="B34" s="246"/>
      <c r="C34" s="254">
        <v>-54421009</v>
      </c>
      <c r="D34" s="254">
        <v>-79162572.689999998</v>
      </c>
      <c r="E34" s="254">
        <v>-85397903.400000006</v>
      </c>
      <c r="F34" s="254">
        <f>Financials!BZ12</f>
        <v>-84385596.099999994</v>
      </c>
      <c r="G34" s="254">
        <f>Financials!CA12</f>
        <v>-85188264.99000001</v>
      </c>
      <c r="H34" s="254"/>
      <c r="I34" s="254"/>
      <c r="J34" s="254"/>
      <c r="K34" s="254"/>
      <c r="L34" s="255">
        <v>70726965636.800003</v>
      </c>
    </row>
    <row r="35" spans="1:12">
      <c r="A35" s="258" t="s">
        <v>274</v>
      </c>
      <c r="B35" s="246"/>
      <c r="C35" s="255">
        <v>79402196</v>
      </c>
      <c r="D35" s="255">
        <v>81559821.379999995</v>
      </c>
      <c r="E35" s="255">
        <v>106274883.90000001</v>
      </c>
      <c r="F35" s="255">
        <v>106274883.90000001</v>
      </c>
      <c r="G35" s="255">
        <v>106274884.90000001</v>
      </c>
      <c r="H35" s="255"/>
      <c r="I35" s="255"/>
      <c r="J35" s="255"/>
      <c r="K35" s="255"/>
      <c r="L35" s="255">
        <v>55879774421.761703</v>
      </c>
    </row>
    <row r="36" spans="1:12">
      <c r="A36" s="258" t="s">
        <v>131</v>
      </c>
      <c r="B36" s="246"/>
      <c r="C36" s="256">
        <v>132454052</v>
      </c>
      <c r="D36" s="256">
        <v>141178324.62</v>
      </c>
      <c r="E36" s="256">
        <v>149204418.74000001</v>
      </c>
      <c r="F36" s="256">
        <f>Financials!BZ34</f>
        <v>135044260.44</v>
      </c>
      <c r="G36" s="256">
        <f>Financials!CA34</f>
        <v>144835150.52000001</v>
      </c>
      <c r="H36" s="256"/>
      <c r="I36" s="256"/>
      <c r="J36" s="256"/>
      <c r="K36" s="256"/>
      <c r="L36" s="255">
        <v>71166178022.119995</v>
      </c>
    </row>
    <row r="37" spans="1:12">
      <c r="A37" s="258" t="s">
        <v>29</v>
      </c>
      <c r="B37" s="246"/>
      <c r="C37" s="254">
        <v>15742273</v>
      </c>
      <c r="D37" s="254">
        <v>19275668.539999999</v>
      </c>
      <c r="E37" s="254">
        <v>20681341.699999999</v>
      </c>
      <c r="F37" s="254">
        <f>'Evolutive SFP'!BY22+'Evolutive SFP'!BY21+'Evolutive SFP'!BY23+'Evolutive SFP'!BY24</f>
        <v>21827991.299999997</v>
      </c>
      <c r="G37" s="254">
        <f>'Evolutive SFP'!BZ22+'Evolutive SFP'!BZ21+'Evolutive SFP'!BZ23+'Evolutive SFP'!BZ24</f>
        <v>24226054.600000001</v>
      </c>
      <c r="H37" s="254"/>
      <c r="I37" s="254"/>
      <c r="J37" s="254"/>
      <c r="K37" s="254"/>
      <c r="L37" s="255">
        <v>20023338898.029999</v>
      </c>
    </row>
    <row r="38" spans="1:12">
      <c r="A38" s="258" t="s">
        <v>275</v>
      </c>
      <c r="B38" s="246"/>
      <c r="C38" s="254">
        <v>14306941</v>
      </c>
      <c r="D38" s="254">
        <v>22553300.239999998</v>
      </c>
      <c r="E38" s="254">
        <v>14356941.300000001</v>
      </c>
      <c r="F38" s="254">
        <f>Financials!BZ25</f>
        <v>14356941.300000001</v>
      </c>
      <c r="G38" s="254">
        <f>Financials!CA25</f>
        <v>14356941.300000001</v>
      </c>
      <c r="H38" s="254"/>
      <c r="I38" s="254"/>
      <c r="J38" s="254"/>
      <c r="K38" s="254"/>
      <c r="L38" s="255">
        <v>14076585447.620001</v>
      </c>
    </row>
    <row r="39" spans="1:12">
      <c r="A39" s="258" t="s">
        <v>276</v>
      </c>
      <c r="B39" s="246"/>
      <c r="C39" s="254">
        <v>14306941</v>
      </c>
      <c r="D39" s="254">
        <v>22553300.239999998</v>
      </c>
      <c r="E39" s="254">
        <v>14356941.300000001</v>
      </c>
      <c r="F39" s="254">
        <f>Financials!BZ26</f>
        <v>14356941.300000001</v>
      </c>
      <c r="G39" s="254">
        <f>Financials!CA26</f>
        <v>14356941.300000001</v>
      </c>
      <c r="H39" s="254"/>
      <c r="I39" s="254"/>
      <c r="J39" s="254"/>
      <c r="K39" s="254"/>
      <c r="L39" s="255">
        <v>35130101432.32</v>
      </c>
    </row>
    <row r="40" spans="1:12">
      <c r="A40" s="258" t="s">
        <v>277</v>
      </c>
      <c r="B40" s="246"/>
      <c r="C40" s="254">
        <v>27628340</v>
      </c>
      <c r="D40" s="254">
        <v>22918829.489999998</v>
      </c>
      <c r="E40" s="254">
        <v>12574282.810000001</v>
      </c>
      <c r="F40" s="254">
        <f>'Evolutive SFP'!BY4</f>
        <v>25030197.93</v>
      </c>
      <c r="G40" s="254">
        <f>'Evolutive SFP'!BZ4</f>
        <v>11959476.640000001</v>
      </c>
      <c r="H40" s="254"/>
      <c r="I40" s="254"/>
      <c r="J40" s="254"/>
      <c r="K40" s="254"/>
      <c r="L40" s="255">
        <v>89225368187.419998</v>
      </c>
    </row>
    <row r="41" spans="1:12">
      <c r="A41" s="258" t="s">
        <v>278</v>
      </c>
      <c r="B41" s="246"/>
      <c r="C41" s="254">
        <v>56083374</v>
      </c>
      <c r="D41" s="254">
        <v>50758351.219999999</v>
      </c>
      <c r="E41" s="254">
        <v>96777522</v>
      </c>
      <c r="F41" s="254">
        <f>'Evolutive SFP'!BY27+'Evolutive SFP'!BY28+'Evolutive SFP'!BY33+'Evolutive SFP'!BY34+'Evolutive SFP'!BY35</f>
        <v>91729855.329999998</v>
      </c>
      <c r="G41" s="254">
        <f>'Evolutive SFP'!BZ27+'Evolutive SFP'!BZ28+'Evolutive SFP'!BZ33+'Evolutive SFP'!BZ34+'Evolutive SFP'!BZ35</f>
        <v>91677766.649999991</v>
      </c>
      <c r="H41" s="254"/>
      <c r="I41" s="254"/>
      <c r="J41" s="254"/>
      <c r="K41" s="254"/>
      <c r="L41" s="255">
        <v>130625288198.75</v>
      </c>
    </row>
    <row r="42" spans="1:12">
      <c r="A42" s="258" t="s">
        <v>102</v>
      </c>
      <c r="B42" s="246"/>
      <c r="C42" s="254">
        <v>24058606</v>
      </c>
      <c r="D42" s="254">
        <v>25814513.969999999</v>
      </c>
      <c r="E42" s="254">
        <v>26537749.969999999</v>
      </c>
      <c r="F42" s="254">
        <f>'Evolutive SFP'!BY36</f>
        <v>26597167.969999999</v>
      </c>
      <c r="G42" s="254">
        <f>'Evolutive SFP'!BZ36</f>
        <v>26597167.969999999</v>
      </c>
      <c r="H42" s="254"/>
      <c r="I42" s="254"/>
      <c r="J42" s="254"/>
      <c r="K42" s="254"/>
      <c r="L42" s="255">
        <v>23931641260.389999</v>
      </c>
    </row>
    <row r="43" spans="1:12">
      <c r="A43" s="258" t="s">
        <v>279</v>
      </c>
      <c r="B43" s="246"/>
      <c r="C43" s="254">
        <v>99233283.5</v>
      </c>
      <c r="D43" s="254">
        <v>105067793.77500001</v>
      </c>
      <c r="E43" s="254">
        <v>107778046.04000001</v>
      </c>
      <c r="F43" s="254">
        <f>('Evolutive SFP'!BX14+'Evolutive SFP'!BY14)/2</f>
        <v>112157562.20999999</v>
      </c>
      <c r="G43" s="254">
        <f>('Evolutive SFP'!BY14+'Evolutive SFP'!BZ14)/2</f>
        <v>111318597.77</v>
      </c>
      <c r="H43" s="254"/>
      <c r="I43" s="254"/>
      <c r="J43" s="254"/>
      <c r="K43" s="254"/>
      <c r="L43" s="255">
        <v>513140567255.315</v>
      </c>
    </row>
    <row r="44" spans="1:12">
      <c r="A44" s="258" t="s">
        <v>280</v>
      </c>
      <c r="B44" s="246"/>
      <c r="C44" s="254">
        <v>20642546</v>
      </c>
      <c r="D44" s="254">
        <v>5950979.6799999997</v>
      </c>
      <c r="E44" s="254">
        <v>11440970.300000001</v>
      </c>
      <c r="F44" s="254">
        <f>'Evolutitve SCI'!BZ3</f>
        <v>13583556.449999999</v>
      </c>
      <c r="G44" s="254">
        <f>'Evolutitve SCI'!CA3</f>
        <v>14001555.780000001</v>
      </c>
      <c r="H44" s="254"/>
      <c r="I44" s="254"/>
      <c r="J44" s="254"/>
      <c r="K44" s="254"/>
      <c r="L44" s="255">
        <v>50245553364.760002</v>
      </c>
    </row>
    <row r="45" spans="1:12">
      <c r="A45" s="258" t="s">
        <v>281</v>
      </c>
      <c r="B45" s="246"/>
      <c r="C45" s="254">
        <v>19994767</v>
      </c>
      <c r="D45" s="254">
        <v>5213866.3499999996</v>
      </c>
      <c r="E45" s="254">
        <v>9876433.9600000009</v>
      </c>
      <c r="F45" s="254">
        <f>'Evolutitve SCI'!BZ19</f>
        <v>11937834.149999999</v>
      </c>
      <c r="G45" s="254">
        <f>'Evolutitve SCI'!CA19</f>
        <v>12398549.48</v>
      </c>
      <c r="H45" s="254"/>
      <c r="I45" s="254"/>
      <c r="J45" s="254"/>
      <c r="K45" s="254"/>
      <c r="L45" s="255">
        <v>32645893884.849998</v>
      </c>
    </row>
    <row r="46" spans="1:12">
      <c r="A46" s="258" t="s">
        <v>282</v>
      </c>
      <c r="B46" s="246"/>
      <c r="C46" s="254">
        <v>0</v>
      </c>
      <c r="D46" s="254">
        <v>0</v>
      </c>
      <c r="E46" s="254">
        <v>0</v>
      </c>
      <c r="F46" s="254">
        <f>'Evolutitve SCI'!BZ13</f>
        <v>0</v>
      </c>
      <c r="G46" s="254">
        <f>'Evolutitve SCI'!CA13</f>
        <v>0</v>
      </c>
      <c r="H46" s="254"/>
      <c r="I46" s="254"/>
      <c r="J46" s="254"/>
      <c r="K46" s="254"/>
      <c r="L46" s="255">
        <v>14711880468.67</v>
      </c>
    </row>
    <row r="47" spans="1:12">
      <c r="A47" s="258" t="s">
        <v>283</v>
      </c>
      <c r="B47" s="246"/>
      <c r="C47" s="254">
        <v>20634442</v>
      </c>
      <c r="D47" s="254">
        <v>5383682.7699999996</v>
      </c>
      <c r="E47" s="254">
        <v>9482290.1699999999</v>
      </c>
      <c r="F47" s="254">
        <f>'Evolutitve SCI'!BZ23</f>
        <v>10728454.939999999</v>
      </c>
      <c r="G47" s="254">
        <f>'Evolutitve SCI'!CA23</f>
        <v>12012077.039999999</v>
      </c>
      <c r="H47" s="254"/>
      <c r="I47" s="254"/>
      <c r="J47" s="254"/>
      <c r="K47" s="254"/>
      <c r="L47" s="255">
        <v>17912259373.529999</v>
      </c>
    </row>
    <row r="48" spans="1:12">
      <c r="A48" s="258" t="s">
        <v>284</v>
      </c>
      <c r="B48" s="246"/>
      <c r="C48" s="254">
        <v>12929353</v>
      </c>
      <c r="D48" s="254">
        <v>5948479.6799999997</v>
      </c>
      <c r="E48" s="254">
        <v>8344092.5499999998</v>
      </c>
      <c r="F48" s="254">
        <f>'Evolutitve SCI'!BZ4</f>
        <v>9694924.75</v>
      </c>
      <c r="G48" s="254">
        <f>'Evolutitve SCI'!CA4</f>
        <v>10299310.210000001</v>
      </c>
      <c r="H48" s="254"/>
      <c r="I48" s="254"/>
      <c r="J48" s="254"/>
      <c r="K48" s="254"/>
      <c r="L48" s="255">
        <v>42358231864.099998</v>
      </c>
    </row>
    <row r="49" spans="1:12">
      <c r="A49" s="258" t="s">
        <v>93</v>
      </c>
      <c r="B49" s="246"/>
      <c r="C49" s="254">
        <v>21282221</v>
      </c>
      <c r="D49" s="254">
        <v>6120796.0999999996</v>
      </c>
      <c r="E49" s="254">
        <v>11046826.51</v>
      </c>
      <c r="F49" s="254">
        <f>'Evolutitve SCI'!BZ23+'Evolutitve SCI'!BZ12</f>
        <v>12374177.24</v>
      </c>
      <c r="G49" s="254">
        <f>'Evolutitve SCI'!CA23+'Evolutitve SCI'!CA12</f>
        <v>13615083.34</v>
      </c>
      <c r="H49" s="254"/>
      <c r="I49" s="254"/>
      <c r="J49" s="254"/>
      <c r="K49" s="254"/>
      <c r="L49" s="255">
        <v>35678884858.059998</v>
      </c>
    </row>
    <row r="50" spans="1:12">
      <c r="A50" s="258" t="s">
        <v>285</v>
      </c>
      <c r="B50" s="246"/>
      <c r="C50" s="254">
        <v>-639675</v>
      </c>
      <c r="D50" s="254">
        <v>-169816.42</v>
      </c>
      <c r="E50" s="254">
        <v>394143.79</v>
      </c>
      <c r="F50" s="254">
        <f>'Evolutitve SCI'!BZ37</f>
        <v>1209379.209999999</v>
      </c>
      <c r="G50" s="254">
        <f>'Evolutitve SCI'!CA37</f>
        <v>386472.44000000134</v>
      </c>
      <c r="H50" s="254"/>
      <c r="I50" s="254"/>
      <c r="J50" s="254"/>
      <c r="K50" s="254"/>
      <c r="L50" s="255">
        <v>12417458360.49</v>
      </c>
    </row>
    <row r="51" spans="1:12">
      <c r="A51" s="346" t="s">
        <v>286</v>
      </c>
      <c r="B51" s="347"/>
      <c r="C51" s="347"/>
      <c r="D51" s="347"/>
      <c r="E51" s="347"/>
      <c r="F51" s="347"/>
      <c r="G51" s="347"/>
      <c r="H51" s="347"/>
      <c r="I51" s="347"/>
      <c r="J51" s="347"/>
      <c r="K51" s="347"/>
      <c r="L51" s="348"/>
    </row>
    <row r="52" spans="1:12">
      <c r="A52" s="222">
        <v>1</v>
      </c>
      <c r="B52" s="220"/>
      <c r="C52" s="223"/>
      <c r="D52" s="223"/>
      <c r="E52" s="223"/>
      <c r="F52" s="224"/>
      <c r="G52" s="224"/>
      <c r="H52" s="224"/>
      <c r="I52" s="224"/>
      <c r="J52" s="224"/>
      <c r="K52" s="224"/>
      <c r="L52" s="225"/>
    </row>
    <row r="53" spans="1:12">
      <c r="A53" s="222">
        <v>2</v>
      </c>
      <c r="B53" s="220"/>
      <c r="C53" s="223"/>
      <c r="D53" s="223"/>
      <c r="E53" s="223"/>
      <c r="F53" s="224"/>
      <c r="G53" s="224"/>
      <c r="H53" s="224"/>
      <c r="I53" s="224"/>
      <c r="J53" s="224"/>
      <c r="K53" s="224"/>
      <c r="L53" s="225"/>
    </row>
    <row r="54" spans="1:12">
      <c r="A54" s="222">
        <v>3</v>
      </c>
      <c r="B54" s="220"/>
      <c r="C54" s="223"/>
      <c r="D54" s="223"/>
      <c r="E54" s="223"/>
      <c r="F54" s="224"/>
      <c r="G54" s="224"/>
      <c r="H54" s="224"/>
      <c r="I54" s="224"/>
      <c r="J54" s="224"/>
      <c r="K54" s="224"/>
      <c r="L54" s="225"/>
    </row>
    <row r="55" spans="1:12">
      <c r="A55" s="221">
        <v>4</v>
      </c>
      <c r="B55" s="223"/>
      <c r="C55" s="223"/>
      <c r="D55" s="223"/>
      <c r="E55" s="224"/>
      <c r="F55" s="224"/>
      <c r="G55" s="224"/>
      <c r="H55" s="224"/>
      <c r="I55" s="224"/>
      <c r="J55" s="224"/>
      <c r="K55" s="224"/>
      <c r="L55" s="257"/>
    </row>
    <row r="56" spans="1:12">
      <c r="A56" s="247" t="s">
        <v>287</v>
      </c>
      <c r="B56" s="220"/>
      <c r="C56" s="329"/>
      <c r="D56" s="330"/>
      <c r="E56" s="330"/>
      <c r="F56" s="330"/>
      <c r="G56" s="330"/>
      <c r="H56" s="330"/>
      <c r="I56" s="330"/>
      <c r="J56" s="330"/>
      <c r="K56" s="330"/>
      <c r="L56" s="331"/>
    </row>
    <row r="57" spans="1:12">
      <c r="A57" s="247"/>
      <c r="B57" s="220"/>
      <c r="C57" s="226"/>
      <c r="D57" s="226"/>
      <c r="E57" s="227"/>
      <c r="F57" s="227"/>
      <c r="G57" s="227"/>
      <c r="H57" s="227"/>
      <c r="I57" s="227"/>
      <c r="J57" s="227"/>
      <c r="K57" s="227"/>
      <c r="L57" s="228"/>
    </row>
    <row r="58" spans="1:12">
      <c r="A58" s="248" t="s">
        <v>288</v>
      </c>
      <c r="B58" s="229"/>
      <c r="C58" s="329"/>
      <c r="D58" s="330"/>
      <c r="E58" s="330"/>
      <c r="F58" s="330"/>
      <c r="G58" s="330"/>
      <c r="H58" s="330"/>
      <c r="I58" s="330"/>
      <c r="J58" s="330"/>
      <c r="K58" s="330"/>
      <c r="L58" s="331"/>
    </row>
    <row r="59" spans="1:12">
      <c r="A59" s="59"/>
      <c r="B59" s="220"/>
      <c r="C59" s="223"/>
      <c r="D59" s="223"/>
      <c r="E59" s="223"/>
      <c r="F59" s="224"/>
      <c r="G59" s="224"/>
      <c r="H59" s="224"/>
      <c r="I59" s="224"/>
      <c r="J59" s="224"/>
      <c r="K59" s="224"/>
      <c r="L59" s="225"/>
    </row>
    <row r="60" spans="1:12">
      <c r="A60" s="247" t="s">
        <v>289</v>
      </c>
      <c r="B60" s="220"/>
      <c r="C60" s="329"/>
      <c r="D60" s="330"/>
      <c r="E60" s="330"/>
      <c r="F60" s="330"/>
      <c r="G60" s="330"/>
      <c r="H60" s="330"/>
      <c r="I60" s="330"/>
      <c r="J60" s="330"/>
      <c r="K60" s="330"/>
      <c r="L60" s="331"/>
    </row>
    <row r="61" spans="1:12" ht="15" thickBot="1">
      <c r="A61" s="249"/>
      <c r="B61" s="230"/>
      <c r="C61" s="231"/>
      <c r="D61" s="231"/>
      <c r="E61" s="231"/>
      <c r="F61" s="232"/>
      <c r="G61" s="232"/>
      <c r="H61" s="232"/>
      <c r="I61" s="232"/>
      <c r="J61" s="232"/>
      <c r="K61" s="232"/>
      <c r="L61" s="233"/>
    </row>
    <row r="62" spans="1:12">
      <c r="A62" s="259" t="s">
        <v>290</v>
      </c>
    </row>
  </sheetData>
  <mergeCells count="16">
    <mergeCell ref="A1:L1"/>
    <mergeCell ref="A2:L2"/>
    <mergeCell ref="K3:K4"/>
    <mergeCell ref="A23:L23"/>
    <mergeCell ref="A51:L51"/>
    <mergeCell ref="A14:L14"/>
    <mergeCell ref="D3:G3"/>
    <mergeCell ref="L3:L4"/>
    <mergeCell ref="B3:B4"/>
    <mergeCell ref="C56:L56"/>
    <mergeCell ref="C58:L58"/>
    <mergeCell ref="C60:L60"/>
    <mergeCell ref="A9:L9"/>
    <mergeCell ref="A5:L5"/>
    <mergeCell ref="A28:L28"/>
    <mergeCell ref="A19:L19"/>
  </mergeCells>
  <phoneticPr fontId="57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Props1.xml><?xml version="1.0" encoding="utf-8"?>
<ds:datastoreItem xmlns:ds="http://schemas.openxmlformats.org/officeDocument/2006/customXml" ds:itemID="{F40FAB28-FA0F-4F70-B9DD-32A344F234F5}"/>
</file>

<file path=customXml/itemProps2.xml><?xml version="1.0" encoding="utf-8"?>
<ds:datastoreItem xmlns:ds="http://schemas.openxmlformats.org/officeDocument/2006/customXml" ds:itemID="{6B0EBC03-0114-4A6B-B027-06A0582A4E1A}"/>
</file>

<file path=customXml/itemProps3.xml><?xml version="1.0" encoding="utf-8"?>
<ds:datastoreItem xmlns:ds="http://schemas.openxmlformats.org/officeDocument/2006/customXml" ds:itemID="{4D11C8F8-3AAD-425D-8373-BD9852AE0E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</dc:creator>
  <cp:keywords/>
  <dc:description/>
  <cp:lastModifiedBy>Levy Ntabo</cp:lastModifiedBy>
  <cp:revision/>
  <dcterms:created xsi:type="dcterms:W3CDTF">2012-11-01T05:11:14Z</dcterms:created>
  <dcterms:modified xsi:type="dcterms:W3CDTF">2023-09-07T06:28:13Z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0x010100F4FB27488935CD4FBFBB981DE553EA38</vt:lpwstr>
  </property>
  <property fmtid="{D5CDD505-2E9C-101B-9397-08002B2CF9AE}" pid="3" name="MSIP_Label_6294dde6-398b-42fd-9ab1-a1959fc6b9e2_Enabled">
    <vt:lpwstr>true</vt:lpwstr>
  </property>
  <property fmtid="{D5CDD505-2E9C-101B-9397-08002B2CF9AE}" pid="4" name="MSIP_Label_6294dde6-398b-42fd-9ab1-a1959fc6b9e2_SetDate">
    <vt:lpwstr>2022-03-30T10:14:54Z</vt:lpwstr>
  </property>
  <property fmtid="{D5CDD505-2E9C-101B-9397-08002B2CF9AE}" pid="5" name="MSIP_Label_6294dde6-398b-42fd-9ab1-a1959fc6b9e2_Method">
    <vt:lpwstr>Privileged</vt:lpwstr>
  </property>
  <property fmtid="{D5CDD505-2E9C-101B-9397-08002B2CF9AE}" pid="6" name="MSIP_Label_6294dde6-398b-42fd-9ab1-a1959fc6b9e2_Name">
    <vt:lpwstr>Public</vt:lpwstr>
  </property>
  <property fmtid="{D5CDD505-2E9C-101B-9397-08002B2CF9AE}" pid="7" name="MSIP_Label_6294dde6-398b-42fd-9ab1-a1959fc6b9e2_SiteId">
    <vt:lpwstr>d6c8161d-ccd5-4325-b291-dd442c369fe4</vt:lpwstr>
  </property>
  <property fmtid="{D5CDD505-2E9C-101B-9397-08002B2CF9AE}" pid="8" name="MSIP_Label_6294dde6-398b-42fd-9ab1-a1959fc6b9e2_ActionId">
    <vt:lpwstr>ddb8d67c-d3b9-4124-adec-83404d506537</vt:lpwstr>
  </property>
  <property fmtid="{D5CDD505-2E9C-101B-9397-08002B2CF9AE}" pid="9" name="MSIP_Label_6294dde6-398b-42fd-9ab1-a1959fc6b9e2_ContentBits">
    <vt:lpwstr>0</vt:lpwstr>
  </property>
  <property fmtid="{D5CDD505-2E9C-101B-9397-08002B2CF9AE}" pid="10" name="MediaServiceImageTags">
    <vt:lpwstr/>
  </property>
</Properties>
</file>
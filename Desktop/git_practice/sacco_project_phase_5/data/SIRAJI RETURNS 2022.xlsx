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lala\Desktop\WORK 2023\"/>
    </mc:Choice>
  </mc:AlternateContent>
  <xr:revisionPtr revIDLastSave="307" documentId="13_ncr:1_{E86082DF-2F3D-45FC-8D63-0805BCD2361B}" xr6:coauthVersionLast="47" xr6:coauthVersionMax="47" xr10:uidLastSave="{A74773DF-495B-4437-9741-8B6AC62D8068}"/>
  <bookViews>
    <workbookView xWindow="-108" yWindow="-108" windowWidth="23256" windowHeight="12576" firstSheet="2" activeTab="3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5" i="5" l="1"/>
  <c r="AK56" i="5"/>
  <c r="AK57" i="5"/>
  <c r="AK58" i="5"/>
  <c r="AK52" i="5"/>
  <c r="AK53" i="5"/>
  <c r="AK47" i="5"/>
  <c r="AK48" i="5"/>
  <c r="AK40" i="5"/>
  <c r="AK41" i="5"/>
  <c r="AK42" i="5"/>
  <c r="AK43" i="5"/>
  <c r="AK44" i="5"/>
  <c r="AK30" i="5"/>
  <c r="AK31" i="5"/>
  <c r="AK32" i="5"/>
  <c r="AK33" i="5"/>
  <c r="AK34" i="5"/>
  <c r="AK35" i="5"/>
  <c r="AK36" i="5"/>
  <c r="AK24" i="5"/>
  <c r="AK25" i="5"/>
  <c r="AK26" i="5"/>
  <c r="AK27" i="5"/>
  <c r="AK19" i="5"/>
  <c r="AK20" i="5"/>
  <c r="AK21" i="5"/>
  <c r="AK14" i="5"/>
  <c r="AK15" i="5"/>
  <c r="AK6" i="5"/>
  <c r="AK7" i="5"/>
  <c r="AK8" i="5"/>
  <c r="AK9" i="5"/>
  <c r="AK10" i="5"/>
  <c r="CA4" i="9"/>
  <c r="CA5" i="9"/>
  <c r="CA6" i="9"/>
  <c r="CA7" i="9"/>
  <c r="CA11" i="9"/>
  <c r="CA12" i="9"/>
  <c r="CA13" i="9"/>
  <c r="CA15" i="9"/>
  <c r="CA16" i="9"/>
  <c r="CA17" i="9"/>
  <c r="CA18" i="9"/>
  <c r="CA20" i="9"/>
  <c r="CA21" i="9"/>
  <c r="CA22" i="9"/>
  <c r="CA23" i="9"/>
  <c r="AI48" i="6"/>
  <c r="AJ48" i="6"/>
  <c r="AI49" i="6"/>
  <c r="AJ49" i="6"/>
  <c r="AI50" i="6"/>
  <c r="AJ50" i="6"/>
  <c r="AI51" i="6"/>
  <c r="AJ51" i="6"/>
  <c r="AI52" i="6"/>
  <c r="AJ52" i="6"/>
  <c r="AI53" i="6"/>
  <c r="AJ53" i="6"/>
  <c r="AI42" i="6"/>
  <c r="AI43" i="6"/>
  <c r="AI44" i="6"/>
  <c r="AI38" i="6"/>
  <c r="AI39" i="6"/>
  <c r="AI32" i="6"/>
  <c r="AI33" i="6"/>
  <c r="AI34" i="6"/>
  <c r="AI35" i="6"/>
  <c r="AI36" i="6"/>
  <c r="AI27" i="6"/>
  <c r="AI28" i="6"/>
  <c r="AI29" i="6"/>
  <c r="AI23" i="6"/>
  <c r="AI18" i="6"/>
  <c r="AI19" i="6"/>
  <c r="AI20" i="6"/>
  <c r="AI21" i="6"/>
  <c r="AI5" i="6"/>
  <c r="AI6" i="6"/>
  <c r="AI7" i="6"/>
  <c r="AI8" i="6"/>
  <c r="AI9" i="6"/>
  <c r="AI10" i="6"/>
  <c r="AG37" i="7"/>
  <c r="AH37" i="7"/>
  <c r="AI37" i="7"/>
  <c r="AG35" i="7"/>
  <c r="AH35" i="7"/>
  <c r="AG33" i="7"/>
  <c r="AH33" i="7"/>
  <c r="AG29" i="7"/>
  <c r="AH29" i="7"/>
  <c r="AG30" i="7"/>
  <c r="AH30" i="7"/>
  <c r="AG23" i="7"/>
  <c r="AH23" i="7"/>
  <c r="AG19" i="7"/>
  <c r="AH19" i="7"/>
  <c r="AG20" i="7"/>
  <c r="AH20" i="7"/>
  <c r="AG12" i="7"/>
  <c r="AH12" i="7"/>
  <c r="AG7" i="7"/>
  <c r="AH7" i="7"/>
  <c r="AG4" i="7"/>
  <c r="AG3" i="7" s="1"/>
  <c r="AH4" i="7"/>
  <c r="AH3" i="7" s="1"/>
  <c r="AH55" i="4"/>
  <c r="AH56" i="4"/>
  <c r="AH57" i="4"/>
  <c r="AH49" i="4"/>
  <c r="AH45" i="4"/>
  <c r="AH40" i="4"/>
  <c r="AH32" i="4"/>
  <c r="AH33" i="4"/>
  <c r="AH27" i="4"/>
  <c r="AH21" i="4"/>
  <c r="AH17" i="4"/>
  <c r="AH14" i="4"/>
  <c r="AH8" i="4"/>
  <c r="AH4" i="4"/>
  <c r="BS23" i="9"/>
  <c r="BT23" i="9"/>
  <c r="BU23" i="9"/>
  <c r="BV23" i="9"/>
  <c r="BW23" i="9"/>
  <c r="BX23" i="9"/>
  <c r="BY23" i="9"/>
  <c r="BZ23" i="9"/>
  <c r="BS22" i="9"/>
  <c r="BT22" i="9"/>
  <c r="BU22" i="9"/>
  <c r="BV22" i="9"/>
  <c r="BW22" i="9"/>
  <c r="BX22" i="9"/>
  <c r="BY22" i="9"/>
  <c r="BZ22" i="9"/>
  <c r="BS21" i="9"/>
  <c r="BT21" i="9"/>
  <c r="BU21" i="9"/>
  <c r="BV21" i="9"/>
  <c r="BW21" i="9"/>
  <c r="BX21" i="9"/>
  <c r="BY21" i="9"/>
  <c r="BZ21" i="9"/>
  <c r="BS20" i="9"/>
  <c r="BT20" i="9"/>
  <c r="BU20" i="9"/>
  <c r="BV20" i="9"/>
  <c r="BW20" i="9"/>
  <c r="BX20" i="9"/>
  <c r="BY20" i="9"/>
  <c r="BZ20" i="9"/>
  <c r="BS18" i="9"/>
  <c r="BT18" i="9"/>
  <c r="BU18" i="9"/>
  <c r="BV18" i="9"/>
  <c r="BW18" i="9"/>
  <c r="BX18" i="9"/>
  <c r="BY18" i="9"/>
  <c r="BZ18" i="9"/>
  <c r="BS17" i="9"/>
  <c r="BT17" i="9"/>
  <c r="BU17" i="9"/>
  <c r="BV17" i="9"/>
  <c r="BW17" i="9"/>
  <c r="BX17" i="9"/>
  <c r="BY17" i="9"/>
  <c r="BZ17" i="9"/>
  <c r="BS16" i="9"/>
  <c r="BT16" i="9"/>
  <c r="BU16" i="9"/>
  <c r="BV16" i="9"/>
  <c r="BW16" i="9"/>
  <c r="BX16" i="9"/>
  <c r="BY16" i="9"/>
  <c r="BZ16" i="9"/>
  <c r="BS15" i="9"/>
  <c r="BT15" i="9"/>
  <c r="BU15" i="9"/>
  <c r="BV15" i="9"/>
  <c r="BW15" i="9"/>
  <c r="BX15" i="9"/>
  <c r="BY15" i="9"/>
  <c r="BZ15" i="9"/>
  <c r="BS13" i="9"/>
  <c r="BT13" i="9"/>
  <c r="BU13" i="9"/>
  <c r="BV13" i="9"/>
  <c r="BW13" i="9"/>
  <c r="BX13" i="9"/>
  <c r="BY13" i="9"/>
  <c r="BS12" i="9"/>
  <c r="BT12" i="9"/>
  <c r="BU12" i="9"/>
  <c r="BV12" i="9"/>
  <c r="BW12" i="9"/>
  <c r="BX12" i="9"/>
  <c r="BY12" i="9"/>
  <c r="BS11" i="9"/>
  <c r="BT11" i="9"/>
  <c r="BU11" i="9"/>
  <c r="BV11" i="9"/>
  <c r="BW11" i="9"/>
  <c r="BX11" i="9"/>
  <c r="BY11" i="9"/>
  <c r="BS7" i="9"/>
  <c r="BT7" i="9"/>
  <c r="BU7" i="9"/>
  <c r="BV7" i="9"/>
  <c r="BW7" i="9"/>
  <c r="BX7" i="9"/>
  <c r="BY7" i="9"/>
  <c r="BZ7" i="9"/>
  <c r="BS6" i="9"/>
  <c r="BT6" i="9"/>
  <c r="BU6" i="9"/>
  <c r="BV6" i="9"/>
  <c r="BW6" i="9"/>
  <c r="BX6" i="9"/>
  <c r="BY6" i="9"/>
  <c r="BZ6" i="9"/>
  <c r="BS5" i="9"/>
  <c r="BT5" i="9"/>
  <c r="BU5" i="9"/>
  <c r="BV5" i="9"/>
  <c r="BW5" i="9"/>
  <c r="BX5" i="9"/>
  <c r="BY5" i="9"/>
  <c r="BZ5" i="9"/>
  <c r="BT4" i="9"/>
  <c r="BU4" i="9"/>
  <c r="BV4" i="9"/>
  <c r="BW4" i="9"/>
  <c r="BX4" i="9"/>
  <c r="BY4" i="9"/>
  <c r="BZ4" i="9"/>
  <c r="AF58" i="5"/>
  <c r="AG58" i="5"/>
  <c r="AH58" i="5"/>
  <c r="AI58" i="5"/>
  <c r="AJ58" i="5"/>
  <c r="AF57" i="5"/>
  <c r="AG57" i="5"/>
  <c r="AH57" i="5"/>
  <c r="AI57" i="5"/>
  <c r="AJ57" i="5"/>
  <c r="BZ13" i="9" s="1"/>
  <c r="AF56" i="5"/>
  <c r="AG56" i="5"/>
  <c r="AH56" i="5"/>
  <c r="AI56" i="5"/>
  <c r="AF55" i="5"/>
  <c r="AG55" i="5"/>
  <c r="AH55" i="5"/>
  <c r="AI55" i="5"/>
  <c r="AF53" i="5"/>
  <c r="AG53" i="5"/>
  <c r="AH53" i="5"/>
  <c r="AI53" i="5"/>
  <c r="AJ53" i="5"/>
  <c r="AF52" i="5"/>
  <c r="AG52" i="5"/>
  <c r="AH52" i="5"/>
  <c r="AI52" i="5"/>
  <c r="AJ52" i="5"/>
  <c r="AF48" i="5"/>
  <c r="AG48" i="5"/>
  <c r="AH48" i="5"/>
  <c r="AI48" i="5"/>
  <c r="AJ48" i="5"/>
  <c r="AB47" i="5"/>
  <c r="AC47" i="5"/>
  <c r="AD47" i="5"/>
  <c r="AE47" i="5"/>
  <c r="AF47" i="5"/>
  <c r="AG47" i="5"/>
  <c r="AH47" i="5"/>
  <c r="AI47" i="5"/>
  <c r="AJ47" i="5"/>
  <c r="AF44" i="5"/>
  <c r="AG44" i="5"/>
  <c r="AH44" i="5"/>
  <c r="AI44" i="5"/>
  <c r="AJ44" i="5"/>
  <c r="AE44" i="5"/>
  <c r="AB43" i="5"/>
  <c r="AC43" i="5"/>
  <c r="AD43" i="5"/>
  <c r="AE43" i="5"/>
  <c r="AF43" i="5"/>
  <c r="AG43" i="5"/>
  <c r="AH43" i="5"/>
  <c r="AI43" i="5"/>
  <c r="AJ43" i="5"/>
  <c r="AB42" i="5"/>
  <c r="AC42" i="5"/>
  <c r="AD42" i="5"/>
  <c r="AE42" i="5"/>
  <c r="AF42" i="5"/>
  <c r="AG42" i="5"/>
  <c r="AH42" i="5"/>
  <c r="AI42" i="5"/>
  <c r="AJ42" i="5"/>
  <c r="AB41" i="5"/>
  <c r="AC41" i="5"/>
  <c r="AD41" i="5"/>
  <c r="AE41" i="5"/>
  <c r="AF41" i="5"/>
  <c r="AG41" i="5"/>
  <c r="AH41" i="5"/>
  <c r="AI41" i="5"/>
  <c r="AJ41" i="5"/>
  <c r="AB40" i="5"/>
  <c r="AC40" i="5"/>
  <c r="AD40" i="5"/>
  <c r="AE40" i="5"/>
  <c r="AF40" i="5"/>
  <c r="AG40" i="5"/>
  <c r="AH40" i="5"/>
  <c r="AI40" i="5"/>
  <c r="AJ40" i="5"/>
  <c r="AB36" i="5"/>
  <c r="AC36" i="5"/>
  <c r="AD36" i="5"/>
  <c r="AE36" i="5"/>
  <c r="AF36" i="5"/>
  <c r="AG36" i="5"/>
  <c r="AH36" i="5"/>
  <c r="AI36" i="5"/>
  <c r="AJ36" i="5"/>
  <c r="AB35" i="5"/>
  <c r="AC35" i="5"/>
  <c r="AD35" i="5"/>
  <c r="AE35" i="5"/>
  <c r="AF35" i="5"/>
  <c r="AG35" i="5"/>
  <c r="AH35" i="5"/>
  <c r="AI35" i="5"/>
  <c r="AJ35" i="5"/>
  <c r="AB34" i="5"/>
  <c r="AC34" i="5"/>
  <c r="AD34" i="5"/>
  <c r="AE34" i="5"/>
  <c r="AF34" i="5"/>
  <c r="AG34" i="5"/>
  <c r="AH34" i="5"/>
  <c r="AI34" i="5"/>
  <c r="AJ34" i="5"/>
  <c r="AB33" i="5"/>
  <c r="AC33" i="5"/>
  <c r="AD33" i="5"/>
  <c r="AE33" i="5"/>
  <c r="AF33" i="5"/>
  <c r="AG33" i="5"/>
  <c r="AH33" i="5"/>
  <c r="AI33" i="5"/>
  <c r="AJ33" i="5"/>
  <c r="AB32" i="5"/>
  <c r="AC32" i="5"/>
  <c r="AD32" i="5"/>
  <c r="AE32" i="5"/>
  <c r="AF32" i="5"/>
  <c r="AG32" i="5"/>
  <c r="AH32" i="5"/>
  <c r="AI32" i="5"/>
  <c r="AJ32" i="5"/>
  <c r="AB31" i="5"/>
  <c r="AC31" i="5"/>
  <c r="AD31" i="5"/>
  <c r="AE31" i="5"/>
  <c r="AF31" i="5"/>
  <c r="AG31" i="5"/>
  <c r="AH31" i="5"/>
  <c r="AI31" i="5"/>
  <c r="AJ31" i="5"/>
  <c r="AF30" i="5"/>
  <c r="AG30" i="5"/>
  <c r="AH30" i="5"/>
  <c r="AI30" i="5"/>
  <c r="AJ30" i="5"/>
  <c r="AB30" i="5"/>
  <c r="AC30" i="5"/>
  <c r="AD30" i="5"/>
  <c r="AE30" i="5"/>
  <c r="AB27" i="5"/>
  <c r="AC27" i="5"/>
  <c r="AD27" i="5"/>
  <c r="AE27" i="5"/>
  <c r="AF27" i="5"/>
  <c r="AG27" i="5"/>
  <c r="AH27" i="5"/>
  <c r="AI27" i="5"/>
  <c r="AJ27" i="5"/>
  <c r="AB26" i="5"/>
  <c r="AC26" i="5"/>
  <c r="AD26" i="5"/>
  <c r="AE26" i="5"/>
  <c r="AF26" i="5"/>
  <c r="AG26" i="5"/>
  <c r="AH26" i="5"/>
  <c r="AI26" i="5"/>
  <c r="AJ26" i="5"/>
  <c r="AB25" i="5"/>
  <c r="AC25" i="5"/>
  <c r="AD25" i="5"/>
  <c r="AE25" i="5"/>
  <c r="AF25" i="5"/>
  <c r="AG25" i="5"/>
  <c r="AH25" i="5"/>
  <c r="AI25" i="5"/>
  <c r="AJ25" i="5"/>
  <c r="AB24" i="5"/>
  <c r="AC24" i="5"/>
  <c r="AD24" i="5"/>
  <c r="AE24" i="5"/>
  <c r="AF24" i="5"/>
  <c r="AG24" i="5"/>
  <c r="AH24" i="5"/>
  <c r="AI24" i="5"/>
  <c r="AJ24" i="5"/>
  <c r="AB21" i="5"/>
  <c r="AC21" i="5"/>
  <c r="AD21" i="5"/>
  <c r="AE21" i="5"/>
  <c r="AF21" i="5"/>
  <c r="AG21" i="5"/>
  <c r="AH21" i="5"/>
  <c r="AI21" i="5"/>
  <c r="AJ21" i="5"/>
  <c r="AB20" i="5"/>
  <c r="AC20" i="5"/>
  <c r="AD20" i="5"/>
  <c r="AE20" i="5"/>
  <c r="AF20" i="5"/>
  <c r="AG20" i="5"/>
  <c r="AH20" i="5"/>
  <c r="AI20" i="5"/>
  <c r="AJ20" i="5"/>
  <c r="AB19" i="5"/>
  <c r="AC19" i="5"/>
  <c r="AD19" i="5"/>
  <c r="AE19" i="5"/>
  <c r="AF19" i="5"/>
  <c r="AG19" i="5"/>
  <c r="AH19" i="5"/>
  <c r="AI19" i="5"/>
  <c r="AJ19" i="5"/>
  <c r="AB15" i="5"/>
  <c r="AC15" i="5"/>
  <c r="AD15" i="5"/>
  <c r="AE15" i="5"/>
  <c r="AF15" i="5"/>
  <c r="AG15" i="5"/>
  <c r="AH15" i="5"/>
  <c r="AI15" i="5"/>
  <c r="AJ15" i="5"/>
  <c r="AB14" i="5"/>
  <c r="AC14" i="5"/>
  <c r="AD14" i="5"/>
  <c r="AE14" i="5"/>
  <c r="AF14" i="5"/>
  <c r="AG14" i="5"/>
  <c r="AH14" i="5"/>
  <c r="AI14" i="5"/>
  <c r="AJ14" i="5"/>
  <c r="AB10" i="5"/>
  <c r="AC10" i="5"/>
  <c r="AD10" i="5"/>
  <c r="AE10" i="5"/>
  <c r="AF10" i="5"/>
  <c r="AG10" i="5"/>
  <c r="AH10" i="5"/>
  <c r="AI10" i="5"/>
  <c r="AJ10" i="5"/>
  <c r="AB9" i="5"/>
  <c r="AC9" i="5"/>
  <c r="AD9" i="5"/>
  <c r="AE9" i="5"/>
  <c r="AF9" i="5"/>
  <c r="AG9" i="5"/>
  <c r="AH9" i="5"/>
  <c r="AI9" i="5"/>
  <c r="AJ9" i="5"/>
  <c r="AB8" i="5"/>
  <c r="AC8" i="5"/>
  <c r="AD8" i="5"/>
  <c r="AE8" i="5"/>
  <c r="AF8" i="5"/>
  <c r="AG8" i="5"/>
  <c r="AH8" i="5"/>
  <c r="AI8" i="5"/>
  <c r="AJ8" i="5"/>
  <c r="AB7" i="5"/>
  <c r="AC7" i="5"/>
  <c r="AD7" i="5"/>
  <c r="AE7" i="5"/>
  <c r="AF7" i="5"/>
  <c r="AG7" i="5"/>
  <c r="AH7" i="5"/>
  <c r="AI7" i="5"/>
  <c r="AJ7" i="5"/>
  <c r="AE6" i="5"/>
  <c r="AF6" i="5"/>
  <c r="AG6" i="5"/>
  <c r="AH6" i="5"/>
  <c r="AI6" i="5"/>
  <c r="AJ6" i="5"/>
  <c r="AC53" i="6"/>
  <c r="AD53" i="6"/>
  <c r="AE53" i="6"/>
  <c r="AF53" i="6"/>
  <c r="AG53" i="6"/>
  <c r="AH53" i="6"/>
  <c r="AC52" i="6"/>
  <c r="AD52" i="6"/>
  <c r="AE52" i="6"/>
  <c r="AF52" i="6"/>
  <c r="AG52" i="6"/>
  <c r="AH52" i="6"/>
  <c r="AC51" i="6"/>
  <c r="AD51" i="6"/>
  <c r="AE51" i="6"/>
  <c r="AF51" i="6"/>
  <c r="AG51" i="6"/>
  <c r="AH51" i="6"/>
  <c r="AC50" i="6"/>
  <c r="AD50" i="6"/>
  <c r="AE50" i="6"/>
  <c r="AF50" i="6"/>
  <c r="AG50" i="6"/>
  <c r="AH50" i="6"/>
  <c r="AC49" i="6"/>
  <c r="AD49" i="6"/>
  <c r="AE49" i="6"/>
  <c r="AF49" i="6"/>
  <c r="AG49" i="6"/>
  <c r="AH49" i="6"/>
  <c r="AC48" i="6"/>
  <c r="AD48" i="6"/>
  <c r="AE48" i="6"/>
  <c r="AF48" i="6"/>
  <c r="AG48" i="6"/>
  <c r="AH48" i="6"/>
  <c r="AC47" i="6"/>
  <c r="AD47" i="6"/>
  <c r="AE47" i="6"/>
  <c r="AF47" i="6"/>
  <c r="AG47" i="6"/>
  <c r="AH47" i="6"/>
  <c r="AC44" i="6"/>
  <c r="AD44" i="6"/>
  <c r="AE44" i="6"/>
  <c r="AF44" i="6"/>
  <c r="AG44" i="6"/>
  <c r="AH44" i="6"/>
  <c r="AC43" i="6"/>
  <c r="AD43" i="6"/>
  <c r="AE43" i="6"/>
  <c r="AF43" i="6"/>
  <c r="AG43" i="6"/>
  <c r="AH43" i="6"/>
  <c r="AD42" i="6"/>
  <c r="AE42" i="6"/>
  <c r="AF42" i="6"/>
  <c r="AG42" i="6"/>
  <c r="AH42" i="6"/>
  <c r="AC41" i="6"/>
  <c r="AD41" i="6"/>
  <c r="AE41" i="6"/>
  <c r="AF41" i="6"/>
  <c r="AG41" i="6"/>
  <c r="AH41" i="6"/>
  <c r="AC39" i="6"/>
  <c r="AD39" i="6"/>
  <c r="AE39" i="6"/>
  <c r="AF39" i="6"/>
  <c r="AG39" i="6"/>
  <c r="AH39" i="6"/>
  <c r="AC38" i="6"/>
  <c r="AD38" i="6"/>
  <c r="AE38" i="6"/>
  <c r="AF38" i="6"/>
  <c r="AG38" i="6"/>
  <c r="AH38" i="6"/>
  <c r="AC36" i="6"/>
  <c r="AD36" i="6"/>
  <c r="AE36" i="6"/>
  <c r="AF36" i="6"/>
  <c r="AG36" i="6"/>
  <c r="AH36" i="6"/>
  <c r="AC35" i="6"/>
  <c r="AD35" i="6"/>
  <c r="AE35" i="6"/>
  <c r="AF35" i="6"/>
  <c r="AG35" i="6"/>
  <c r="AH35" i="6"/>
  <c r="AD34" i="6"/>
  <c r="AE34" i="6"/>
  <c r="AF34" i="6"/>
  <c r="AG34" i="6"/>
  <c r="AH34" i="6"/>
  <c r="AC33" i="6"/>
  <c r="AD33" i="6"/>
  <c r="AE33" i="6"/>
  <c r="AF33" i="6"/>
  <c r="AG33" i="6"/>
  <c r="AH33" i="6"/>
  <c r="AC32" i="6"/>
  <c r="AD32" i="6"/>
  <c r="AE32" i="6"/>
  <c r="AF32" i="6"/>
  <c r="AG32" i="6"/>
  <c r="AH32" i="6"/>
  <c r="AC31" i="6"/>
  <c r="AD31" i="6"/>
  <c r="AE31" i="6"/>
  <c r="AF31" i="6"/>
  <c r="AG31" i="6"/>
  <c r="AH31" i="6"/>
  <c r="AC29" i="6"/>
  <c r="AD29" i="6"/>
  <c r="AE29" i="6"/>
  <c r="AF29" i="6"/>
  <c r="AG29" i="6"/>
  <c r="AH29" i="6"/>
  <c r="AC28" i="6"/>
  <c r="AD28" i="6"/>
  <c r="AE28" i="6"/>
  <c r="AF28" i="6"/>
  <c r="AG28" i="6"/>
  <c r="AH28" i="6"/>
  <c r="AC27" i="6"/>
  <c r="AD27" i="6"/>
  <c r="AE27" i="6"/>
  <c r="AF27" i="6"/>
  <c r="AG27" i="6"/>
  <c r="AH27" i="6"/>
  <c r="AC26" i="6"/>
  <c r="AD26" i="6"/>
  <c r="AE26" i="6"/>
  <c r="AF26" i="6"/>
  <c r="AG26" i="6"/>
  <c r="AH26" i="6"/>
  <c r="AH23" i="6"/>
  <c r="AC23" i="6"/>
  <c r="AD23" i="6"/>
  <c r="AE23" i="6"/>
  <c r="AF23" i="6"/>
  <c r="AG23" i="6"/>
  <c r="AC21" i="6"/>
  <c r="AD21" i="6"/>
  <c r="AE21" i="6"/>
  <c r="AF21" i="6"/>
  <c r="AG21" i="6"/>
  <c r="AH21" i="6"/>
  <c r="AC20" i="6"/>
  <c r="AD20" i="6"/>
  <c r="AE20" i="6"/>
  <c r="AF20" i="6"/>
  <c r="AG20" i="6"/>
  <c r="AH20" i="6"/>
  <c r="AC19" i="6"/>
  <c r="AD19" i="6"/>
  <c r="AE19" i="6"/>
  <c r="AF19" i="6"/>
  <c r="AG19" i="6"/>
  <c r="AH19" i="6"/>
  <c r="AC18" i="6"/>
  <c r="AD18" i="6"/>
  <c r="AE18" i="6"/>
  <c r="AF18" i="6"/>
  <c r="AG18" i="6"/>
  <c r="AH18" i="6"/>
  <c r="AC17" i="6"/>
  <c r="AD17" i="6"/>
  <c r="AE17" i="6"/>
  <c r="AF17" i="6"/>
  <c r="AG17" i="6"/>
  <c r="AH17" i="6"/>
  <c r="AC14" i="6"/>
  <c r="AC15" i="6" s="1"/>
  <c r="AD14" i="6"/>
  <c r="AD15" i="6" s="1"/>
  <c r="AE14" i="6"/>
  <c r="AE15" i="6" s="1"/>
  <c r="AF14" i="6"/>
  <c r="AF15" i="6" s="1"/>
  <c r="AG14" i="6"/>
  <c r="AG15" i="6" s="1"/>
  <c r="AH14" i="6"/>
  <c r="AH15" i="6" s="1"/>
  <c r="AC10" i="6"/>
  <c r="AD10" i="6"/>
  <c r="AE10" i="6"/>
  <c r="AF10" i="6"/>
  <c r="AG10" i="6"/>
  <c r="AH10" i="6"/>
  <c r="AC9" i="6"/>
  <c r="AD9" i="6"/>
  <c r="AE9" i="6"/>
  <c r="AF9" i="6"/>
  <c r="AG9" i="6"/>
  <c r="AH9" i="6"/>
  <c r="AC8" i="6"/>
  <c r="AD8" i="6"/>
  <c r="AE8" i="6"/>
  <c r="AF8" i="6"/>
  <c r="AG8" i="6"/>
  <c r="AH8" i="6"/>
  <c r="AC7" i="6"/>
  <c r="AD7" i="6"/>
  <c r="AE7" i="6"/>
  <c r="AF7" i="6"/>
  <c r="AG7" i="6"/>
  <c r="AH7" i="6"/>
  <c r="AC6" i="6"/>
  <c r="AD6" i="6"/>
  <c r="AE6" i="6"/>
  <c r="AF6" i="6"/>
  <c r="AG6" i="6"/>
  <c r="AH6" i="6"/>
  <c r="AC5" i="6"/>
  <c r="AD5" i="6"/>
  <c r="AE5" i="6"/>
  <c r="AF5" i="6"/>
  <c r="AG5" i="6"/>
  <c r="AH5" i="6"/>
  <c r="AG57" i="4"/>
  <c r="AG56" i="4"/>
  <c r="AG55" i="4"/>
  <c r="AG49" i="4"/>
  <c r="AG45" i="4"/>
  <c r="AG40" i="4"/>
  <c r="AG33" i="4"/>
  <c r="AG32" i="4"/>
  <c r="AG27" i="4"/>
  <c r="AG21" i="4"/>
  <c r="AG17" i="4"/>
  <c r="AG14" i="4"/>
  <c r="AG8" i="4"/>
  <c r="AG4" i="4"/>
  <c r="AB37" i="7"/>
  <c r="AC37" i="7"/>
  <c r="AD37" i="7"/>
  <c r="AE37" i="7"/>
  <c r="AF37" i="7"/>
  <c r="AB35" i="7"/>
  <c r="AC35" i="7"/>
  <c r="AD35" i="7"/>
  <c r="AE35" i="7"/>
  <c r="AF35" i="7"/>
  <c r="AB33" i="7"/>
  <c r="AC33" i="7"/>
  <c r="AD33" i="7"/>
  <c r="AE33" i="7"/>
  <c r="AF33" i="7"/>
  <c r="AB30" i="7"/>
  <c r="AC30" i="7"/>
  <c r="AD30" i="7"/>
  <c r="AE30" i="7"/>
  <c r="AF30" i="7"/>
  <c r="AB29" i="7"/>
  <c r="AC29" i="7"/>
  <c r="AD29" i="7"/>
  <c r="AE29" i="7"/>
  <c r="AF29" i="7"/>
  <c r="AB23" i="7"/>
  <c r="AC23" i="7"/>
  <c r="AD23" i="7"/>
  <c r="AE23" i="7"/>
  <c r="AF23" i="7"/>
  <c r="AB20" i="7"/>
  <c r="AC20" i="7"/>
  <c r="AD20" i="7"/>
  <c r="AE20" i="7"/>
  <c r="AF20" i="7"/>
  <c r="AB19" i="7"/>
  <c r="AC19" i="7"/>
  <c r="AD19" i="7"/>
  <c r="AE19" i="7"/>
  <c r="AF19" i="7"/>
  <c r="AB12" i="7"/>
  <c r="AC12" i="7"/>
  <c r="AD12" i="7"/>
  <c r="AE12" i="7"/>
  <c r="AF12" i="7"/>
  <c r="AB7" i="7"/>
  <c r="AC7" i="7"/>
  <c r="AD7" i="7"/>
  <c r="AE7" i="7"/>
  <c r="AF7" i="7"/>
  <c r="AB4" i="7"/>
  <c r="AC4" i="7"/>
  <c r="AD4" i="7"/>
  <c r="AE4" i="7"/>
  <c r="AF4" i="7"/>
  <c r="AB3" i="7"/>
  <c r="AC3" i="7"/>
  <c r="AD3" i="7"/>
  <c r="AE3" i="7"/>
  <c r="AF3" i="7"/>
  <c r="AC57" i="4"/>
  <c r="AD57" i="4"/>
  <c r="AE57" i="4"/>
  <c r="AF57" i="4"/>
  <c r="AC56" i="4"/>
  <c r="AD56" i="4"/>
  <c r="AE56" i="4"/>
  <c r="AF56" i="4"/>
  <c r="AC55" i="4"/>
  <c r="AD55" i="4"/>
  <c r="AE55" i="4"/>
  <c r="AF55" i="4"/>
  <c r="AB49" i="4"/>
  <c r="AC49" i="4"/>
  <c r="AD49" i="4"/>
  <c r="AE49" i="4"/>
  <c r="AF49" i="4"/>
  <c r="AB45" i="4"/>
  <c r="AC45" i="4"/>
  <c r="AD45" i="4"/>
  <c r="AE45" i="4"/>
  <c r="AF45" i="4"/>
  <c r="AB40" i="4"/>
  <c r="AC40" i="4"/>
  <c r="AD40" i="4"/>
  <c r="AE40" i="4"/>
  <c r="AF40" i="4"/>
  <c r="AB33" i="4"/>
  <c r="AC33" i="4"/>
  <c r="AD33" i="4"/>
  <c r="AE33" i="4"/>
  <c r="AF33" i="4"/>
  <c r="AB32" i="4"/>
  <c r="AC32" i="4"/>
  <c r="AD32" i="4"/>
  <c r="AE32" i="4"/>
  <c r="AF32" i="4"/>
  <c r="AB27" i="4"/>
  <c r="AC27" i="4"/>
  <c r="AD27" i="4"/>
  <c r="AE27" i="4"/>
  <c r="AF27" i="4"/>
  <c r="AB21" i="4"/>
  <c r="AC21" i="4"/>
  <c r="AD21" i="4"/>
  <c r="AE21" i="4"/>
  <c r="AF21" i="4"/>
  <c r="AB17" i="4"/>
  <c r="AC17" i="4"/>
  <c r="AD17" i="4"/>
  <c r="AE17" i="4"/>
  <c r="AF17" i="4"/>
  <c r="AB14" i="4"/>
  <c r="AC14" i="4"/>
  <c r="AD14" i="4"/>
  <c r="AE14" i="4"/>
  <c r="AF14" i="4"/>
  <c r="AB8" i="4"/>
  <c r="AC8" i="4"/>
  <c r="AD8" i="4"/>
  <c r="AE8" i="4"/>
  <c r="AF8" i="4"/>
  <c r="AB4" i="4"/>
  <c r="AC4" i="4"/>
  <c r="AD4" i="4"/>
  <c r="AE4" i="4"/>
  <c r="AF4" i="4"/>
  <c r="AB6" i="4"/>
  <c r="AB7" i="4"/>
  <c r="Q7" i="6"/>
  <c r="R7" i="6"/>
  <c r="S7" i="6"/>
  <c r="U33" i="5" s="1"/>
  <c r="T7" i="6"/>
  <c r="V33" i="5" s="1"/>
  <c r="U7" i="6"/>
  <c r="W33" i="5" s="1"/>
  <c r="V7" i="6"/>
  <c r="W7" i="6"/>
  <c r="Y33" i="5" s="1"/>
  <c r="X7" i="6"/>
  <c r="Y7" i="6"/>
  <c r="Z7" i="6"/>
  <c r="AA7" i="6"/>
  <c r="AB7" i="6"/>
  <c r="Q8" i="6"/>
  <c r="R8" i="6"/>
  <c r="S8" i="6"/>
  <c r="U32" i="5" s="1"/>
  <c r="T8" i="6"/>
  <c r="U8" i="6"/>
  <c r="V8" i="6"/>
  <c r="X32" i="5" s="1"/>
  <c r="W8" i="6"/>
  <c r="Y32" i="5" s="1"/>
  <c r="X8" i="6"/>
  <c r="Z32" i="5" s="1"/>
  <c r="Y8" i="6"/>
  <c r="Z8" i="6"/>
  <c r="AA8" i="6"/>
  <c r="AB8" i="6"/>
  <c r="Q9" i="6"/>
  <c r="R9" i="6"/>
  <c r="S9" i="6"/>
  <c r="T9" i="6"/>
  <c r="U9" i="6"/>
  <c r="V9" i="6"/>
  <c r="W9" i="6"/>
  <c r="X9" i="6"/>
  <c r="Y9" i="6"/>
  <c r="Z9" i="6"/>
  <c r="AA9" i="6"/>
  <c r="AB9" i="6"/>
  <c r="Q10" i="6"/>
  <c r="R10" i="6"/>
  <c r="S10" i="6"/>
  <c r="T10" i="6"/>
  <c r="U10" i="6"/>
  <c r="V10" i="6"/>
  <c r="W10" i="6"/>
  <c r="X10" i="6"/>
  <c r="Y10" i="6"/>
  <c r="Z10" i="6"/>
  <c r="AA10" i="6"/>
  <c r="AB10" i="6"/>
  <c r="Q18" i="6"/>
  <c r="R18" i="6"/>
  <c r="S18" i="6"/>
  <c r="T18" i="6"/>
  <c r="U18" i="6"/>
  <c r="V18" i="6"/>
  <c r="W18" i="6"/>
  <c r="X18" i="6"/>
  <c r="Y18" i="6"/>
  <c r="Z18" i="6"/>
  <c r="AA18" i="6"/>
  <c r="AB18" i="6"/>
  <c r="U19" i="6"/>
  <c r="U17" i="6" s="1"/>
  <c r="U14" i="6" s="1"/>
  <c r="Q20" i="6"/>
  <c r="R20" i="6"/>
  <c r="S20" i="6"/>
  <c r="T20" i="6"/>
  <c r="U20" i="6"/>
  <c r="V20" i="6"/>
  <c r="W20" i="6"/>
  <c r="X20" i="6"/>
  <c r="Y20" i="6"/>
  <c r="Z20" i="6"/>
  <c r="AA20" i="6"/>
  <c r="AB20" i="6"/>
  <c r="Q21" i="6"/>
  <c r="R21" i="6"/>
  <c r="S21" i="6"/>
  <c r="T21" i="6"/>
  <c r="U21" i="6"/>
  <c r="V21" i="6"/>
  <c r="W21" i="6"/>
  <c r="X21" i="6"/>
  <c r="Y21" i="6"/>
  <c r="Z21" i="6"/>
  <c r="AA21" i="6"/>
  <c r="AB21" i="6"/>
  <c r="Q23" i="6"/>
  <c r="R23" i="6"/>
  <c r="S23" i="6"/>
  <c r="T23" i="6"/>
  <c r="U23" i="6"/>
  <c r="V23" i="6"/>
  <c r="W23" i="6"/>
  <c r="X23" i="6"/>
  <c r="Y23" i="6"/>
  <c r="Z23" i="6"/>
  <c r="AA23" i="6"/>
  <c r="AB23" i="6"/>
  <c r="Q27" i="6"/>
  <c r="R27" i="6"/>
  <c r="R26" i="6" s="1"/>
  <c r="S27" i="6"/>
  <c r="T27" i="6"/>
  <c r="U27" i="6"/>
  <c r="V27" i="6"/>
  <c r="W27" i="6"/>
  <c r="X27" i="6"/>
  <c r="Y27" i="6"/>
  <c r="Z27" i="6"/>
  <c r="Z26" i="6" s="1"/>
  <c r="AA27" i="6"/>
  <c r="AB27" i="6"/>
  <c r="Q28" i="6"/>
  <c r="R28" i="6"/>
  <c r="S28" i="6"/>
  <c r="S26" i="6" s="1"/>
  <c r="T28" i="6"/>
  <c r="U28" i="6"/>
  <c r="V28" i="6"/>
  <c r="W28" i="6"/>
  <c r="X28" i="6"/>
  <c r="Y28" i="6"/>
  <c r="Z28" i="6"/>
  <c r="AA28" i="6"/>
  <c r="AB28" i="6"/>
  <c r="Q29" i="6"/>
  <c r="R29" i="6"/>
  <c r="S29" i="6"/>
  <c r="T29" i="6"/>
  <c r="U29" i="6"/>
  <c r="V29" i="6"/>
  <c r="W29" i="6"/>
  <c r="X29" i="6"/>
  <c r="Y29" i="6"/>
  <c r="Z29" i="6"/>
  <c r="AA29" i="6"/>
  <c r="AB29" i="6"/>
  <c r="R31" i="6"/>
  <c r="Q32" i="6"/>
  <c r="R32" i="6"/>
  <c r="S32" i="6"/>
  <c r="T32" i="6"/>
  <c r="U32" i="6"/>
  <c r="V32" i="6"/>
  <c r="W32" i="6"/>
  <c r="X32" i="6"/>
  <c r="Y32" i="6"/>
  <c r="Z32" i="6"/>
  <c r="Z31" i="6" s="1"/>
  <c r="AA32" i="6"/>
  <c r="AB32" i="6"/>
  <c r="Q33" i="6"/>
  <c r="R33" i="6"/>
  <c r="S33" i="6"/>
  <c r="T33" i="6"/>
  <c r="U33" i="6"/>
  <c r="V33" i="6"/>
  <c r="W33" i="6"/>
  <c r="W31" i="6" s="1"/>
  <c r="X33" i="6"/>
  <c r="Y33" i="6"/>
  <c r="Z33" i="6"/>
  <c r="AA33" i="6"/>
  <c r="AB33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Q35" i="6"/>
  <c r="R35" i="6"/>
  <c r="S35" i="6"/>
  <c r="T35" i="6"/>
  <c r="U35" i="6"/>
  <c r="V35" i="6"/>
  <c r="W35" i="6"/>
  <c r="X35" i="6"/>
  <c r="Y35" i="6"/>
  <c r="Z35" i="6"/>
  <c r="AA35" i="6"/>
  <c r="AB35" i="6"/>
  <c r="X36" i="6"/>
  <c r="Q39" i="6"/>
  <c r="R39" i="6"/>
  <c r="S39" i="6"/>
  <c r="T39" i="6"/>
  <c r="U39" i="6"/>
  <c r="V39" i="6"/>
  <c r="W39" i="6"/>
  <c r="X39" i="6"/>
  <c r="Y39" i="6"/>
  <c r="Z39" i="6"/>
  <c r="AA39" i="6"/>
  <c r="AB39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Q43" i="6"/>
  <c r="R43" i="6"/>
  <c r="S43" i="6"/>
  <c r="T43" i="6"/>
  <c r="U43" i="6"/>
  <c r="V43" i="6"/>
  <c r="W43" i="6"/>
  <c r="X43" i="6"/>
  <c r="Y43" i="6"/>
  <c r="Z43" i="6"/>
  <c r="AA43" i="6"/>
  <c r="AB43" i="6"/>
  <c r="Q44" i="6"/>
  <c r="R44" i="6"/>
  <c r="S44" i="6"/>
  <c r="T44" i="6"/>
  <c r="U44" i="6"/>
  <c r="V44" i="6"/>
  <c r="W44" i="6"/>
  <c r="X44" i="6"/>
  <c r="Y44" i="6"/>
  <c r="Z44" i="6"/>
  <c r="AA44" i="6"/>
  <c r="AB44" i="6"/>
  <c r="Q48" i="6"/>
  <c r="R48" i="6"/>
  <c r="S48" i="6"/>
  <c r="T48" i="6"/>
  <c r="U48" i="6"/>
  <c r="V48" i="6"/>
  <c r="W48" i="6"/>
  <c r="X48" i="6"/>
  <c r="Y48" i="6"/>
  <c r="Z48" i="6"/>
  <c r="AA48" i="6"/>
  <c r="AB48" i="6"/>
  <c r="Q49" i="6"/>
  <c r="R49" i="6"/>
  <c r="S49" i="6"/>
  <c r="T49" i="6"/>
  <c r="U49" i="6"/>
  <c r="W41" i="5" s="1"/>
  <c r="V49" i="6"/>
  <c r="W49" i="6"/>
  <c r="X49" i="6"/>
  <c r="Y49" i="6"/>
  <c r="Z49" i="6"/>
  <c r="AA49" i="6"/>
  <c r="AB49" i="6"/>
  <c r="Q50" i="6"/>
  <c r="R50" i="6"/>
  <c r="S50" i="6"/>
  <c r="T50" i="6"/>
  <c r="U50" i="6"/>
  <c r="V50" i="6"/>
  <c r="W50" i="6"/>
  <c r="X50" i="6"/>
  <c r="Y50" i="6"/>
  <c r="Z50" i="6"/>
  <c r="AA50" i="6"/>
  <c r="AB50" i="6"/>
  <c r="Q51" i="6"/>
  <c r="R51" i="6"/>
  <c r="S51" i="6"/>
  <c r="T51" i="6"/>
  <c r="U51" i="6"/>
  <c r="V51" i="6"/>
  <c r="W51" i="6"/>
  <c r="X51" i="6"/>
  <c r="Y51" i="6"/>
  <c r="Z51" i="6"/>
  <c r="AA51" i="6"/>
  <c r="AB51" i="6"/>
  <c r="Q52" i="6"/>
  <c r="R52" i="6"/>
  <c r="S52" i="6"/>
  <c r="T52" i="6"/>
  <c r="U52" i="6"/>
  <c r="V52" i="6"/>
  <c r="W52" i="6"/>
  <c r="X52" i="6"/>
  <c r="Y52" i="6"/>
  <c r="Z52" i="6"/>
  <c r="AA52" i="6"/>
  <c r="AB52" i="6"/>
  <c r="Q53" i="6"/>
  <c r="R53" i="6"/>
  <c r="S53" i="6"/>
  <c r="T53" i="6"/>
  <c r="U53" i="6"/>
  <c r="V53" i="6"/>
  <c r="W53" i="6"/>
  <c r="X53" i="6"/>
  <c r="Y53" i="6"/>
  <c r="Z53" i="6"/>
  <c r="AA53" i="6"/>
  <c r="AB53" i="6"/>
  <c r="AB46" i="4"/>
  <c r="AB47" i="4" s="1"/>
  <c r="AB51" i="4"/>
  <c r="AB42" i="4"/>
  <c r="AB39" i="4"/>
  <c r="AB38" i="4"/>
  <c r="AB35" i="4"/>
  <c r="AB34" i="4"/>
  <c r="AB31" i="4"/>
  <c r="AB29" i="4"/>
  <c r="AB12" i="4"/>
  <c r="AB23" i="4"/>
  <c r="X49" i="4"/>
  <c r="Y49" i="4"/>
  <c r="Z49" i="4"/>
  <c r="AA49" i="4"/>
  <c r="X45" i="4"/>
  <c r="Y19" i="6" s="1"/>
  <c r="Y45" i="4"/>
  <c r="Z19" i="6" s="1"/>
  <c r="Z45" i="4"/>
  <c r="AA19" i="6" s="1"/>
  <c r="AA45" i="4"/>
  <c r="AB19" i="6" s="1"/>
  <c r="Z32" i="4"/>
  <c r="AA32" i="4"/>
  <c r="AA40" i="4" s="1"/>
  <c r="AA33" i="4"/>
  <c r="Z17" i="4"/>
  <c r="AA38" i="6" s="1"/>
  <c r="AA17" i="4"/>
  <c r="AB38" i="6" s="1"/>
  <c r="Z14" i="4"/>
  <c r="AC52" i="5" s="1"/>
  <c r="AA14" i="4"/>
  <c r="AA8" i="4"/>
  <c r="AA4" i="4"/>
  <c r="AD48" i="5" s="1"/>
  <c r="AB15" i="4"/>
  <c r="X30" i="7"/>
  <c r="Y30" i="7"/>
  <c r="Z30" i="7"/>
  <c r="AA30" i="7"/>
  <c r="X23" i="7"/>
  <c r="Y23" i="7"/>
  <c r="Z23" i="7"/>
  <c r="AA23" i="7"/>
  <c r="X20" i="7"/>
  <c r="Y20" i="7"/>
  <c r="Z20" i="7"/>
  <c r="AA20" i="7"/>
  <c r="X12" i="7"/>
  <c r="Y12" i="7"/>
  <c r="Z12" i="7"/>
  <c r="AA12" i="7"/>
  <c r="X7" i="7"/>
  <c r="Y7" i="7"/>
  <c r="Y3" i="7" s="1"/>
  <c r="Y19" i="7" s="1"/>
  <c r="Y29" i="7" s="1"/>
  <c r="Y33" i="7" s="1"/>
  <c r="Y35" i="7" s="1"/>
  <c r="Y37" i="7" s="1"/>
  <c r="Z7" i="7"/>
  <c r="AA7" i="7"/>
  <c r="X4" i="7"/>
  <c r="Y4" i="7"/>
  <c r="Z4" i="7"/>
  <c r="Z3" i="7" s="1"/>
  <c r="Z19" i="7" s="1"/>
  <c r="AA4" i="7"/>
  <c r="AA3" i="7" s="1"/>
  <c r="AA19" i="7" s="1"/>
  <c r="AA29" i="7" s="1"/>
  <c r="AA33" i="7" s="1"/>
  <c r="AA35" i="7" s="1"/>
  <c r="AA37" i="7" s="1"/>
  <c r="AB21" i="7"/>
  <c r="AB27" i="7"/>
  <c r="AB24" i="7"/>
  <c r="AB26" i="7"/>
  <c r="AB28" i="7"/>
  <c r="AB25" i="7"/>
  <c r="AB11" i="7"/>
  <c r="AB13" i="7"/>
  <c r="AB10" i="7"/>
  <c r="AB5" i="7"/>
  <c r="P30" i="7"/>
  <c r="Q30" i="7"/>
  <c r="R30" i="7"/>
  <c r="S30" i="7"/>
  <c r="T30" i="7"/>
  <c r="U30" i="7"/>
  <c r="V30" i="7"/>
  <c r="W30" i="7"/>
  <c r="P23" i="7"/>
  <c r="Q23" i="7"/>
  <c r="R23" i="7"/>
  <c r="S23" i="7"/>
  <c r="T23" i="7"/>
  <c r="U23" i="7"/>
  <c r="V23" i="7"/>
  <c r="W23" i="7"/>
  <c r="P20" i="7"/>
  <c r="Q20" i="7"/>
  <c r="R20" i="7"/>
  <c r="S20" i="7"/>
  <c r="T20" i="7"/>
  <c r="U20" i="7"/>
  <c r="V20" i="7"/>
  <c r="W20" i="7"/>
  <c r="P12" i="7"/>
  <c r="Q12" i="7"/>
  <c r="R12" i="7"/>
  <c r="S12" i="7"/>
  <c r="T12" i="7"/>
  <c r="U12" i="7"/>
  <c r="V12" i="7"/>
  <c r="W12" i="7"/>
  <c r="P7" i="7"/>
  <c r="Q7" i="7"/>
  <c r="R7" i="7"/>
  <c r="S7" i="7"/>
  <c r="T7" i="7"/>
  <c r="U7" i="7"/>
  <c r="V7" i="7"/>
  <c r="W7" i="7"/>
  <c r="P4" i="7"/>
  <c r="P3" i="7" s="1"/>
  <c r="P19" i="7" s="1"/>
  <c r="P29" i="7" s="1"/>
  <c r="P33" i="7" s="1"/>
  <c r="P35" i="7" s="1"/>
  <c r="P37" i="7" s="1"/>
  <c r="Q4" i="7"/>
  <c r="Q3" i="7" s="1"/>
  <c r="Q19" i="7" s="1"/>
  <c r="Q29" i="7" s="1"/>
  <c r="Q33" i="7" s="1"/>
  <c r="Q35" i="7" s="1"/>
  <c r="Q37" i="7" s="1"/>
  <c r="R4" i="7"/>
  <c r="S4" i="7"/>
  <c r="T4" i="7"/>
  <c r="U4" i="7"/>
  <c r="U3" i="7" s="1"/>
  <c r="U19" i="7" s="1"/>
  <c r="U29" i="7" s="1"/>
  <c r="U33" i="7" s="1"/>
  <c r="U35" i="7" s="1"/>
  <c r="U37" i="7" s="1"/>
  <c r="V4" i="7"/>
  <c r="W4" i="7"/>
  <c r="W3" i="7" s="1"/>
  <c r="W19" i="7" s="1"/>
  <c r="W29" i="7" s="1"/>
  <c r="W33" i="7" s="1"/>
  <c r="W35" i="7" s="1"/>
  <c r="W37" i="7" s="1"/>
  <c r="R3" i="7"/>
  <c r="R19" i="7" s="1"/>
  <c r="R29" i="7" s="1"/>
  <c r="R33" i="7" s="1"/>
  <c r="R35" i="7" s="1"/>
  <c r="R37" i="7" s="1"/>
  <c r="S3" i="7"/>
  <c r="S19" i="7" s="1"/>
  <c r="S29" i="7" s="1"/>
  <c r="S33" i="7" s="1"/>
  <c r="S35" i="7" s="1"/>
  <c r="S37" i="7" s="1"/>
  <c r="T3" i="7"/>
  <c r="T19" i="7" s="1"/>
  <c r="V3" i="7"/>
  <c r="V19" i="7" s="1"/>
  <c r="V29" i="7" s="1"/>
  <c r="V33" i="7" s="1"/>
  <c r="V35" i="7" s="1"/>
  <c r="V37" i="7" s="1"/>
  <c r="P8" i="4"/>
  <c r="W49" i="4"/>
  <c r="P49" i="4"/>
  <c r="Q49" i="4"/>
  <c r="R49" i="4"/>
  <c r="S49" i="4"/>
  <c r="T49" i="4"/>
  <c r="U49" i="4"/>
  <c r="V49" i="4"/>
  <c r="O33" i="4"/>
  <c r="N33" i="4"/>
  <c r="N40" i="4" s="1"/>
  <c r="Q47" i="5" s="1"/>
  <c r="BG15" i="9" s="1"/>
  <c r="H55" i="4"/>
  <c r="C49" i="4"/>
  <c r="D49" i="4"/>
  <c r="E49" i="4"/>
  <c r="F49" i="4"/>
  <c r="G49" i="4"/>
  <c r="G55" i="4" s="1"/>
  <c r="H49" i="4"/>
  <c r="I49" i="4"/>
  <c r="I55" i="4" s="1"/>
  <c r="P45" i="4"/>
  <c r="Q45" i="4"/>
  <c r="R19" i="6" s="1"/>
  <c r="R45" i="4"/>
  <c r="S19" i="6" s="1"/>
  <c r="S45" i="4"/>
  <c r="T19" i="6" s="1"/>
  <c r="T45" i="4"/>
  <c r="T55" i="4" s="1"/>
  <c r="U45" i="4"/>
  <c r="V19" i="6" s="1"/>
  <c r="V45" i="4"/>
  <c r="W19" i="6" s="1"/>
  <c r="W45" i="4"/>
  <c r="X19" i="6" s="1"/>
  <c r="P33" i="4"/>
  <c r="Q33" i="4"/>
  <c r="R33" i="4"/>
  <c r="S33" i="4"/>
  <c r="T33" i="4"/>
  <c r="U33" i="4"/>
  <c r="V33" i="4"/>
  <c r="W33" i="4"/>
  <c r="X33" i="4"/>
  <c r="Y33" i="4"/>
  <c r="Z33" i="4"/>
  <c r="P32" i="4"/>
  <c r="Q6" i="6" s="1"/>
  <c r="Q32" i="4"/>
  <c r="R6" i="6" s="1"/>
  <c r="R32" i="4"/>
  <c r="R40" i="4" s="1"/>
  <c r="S32" i="4"/>
  <c r="T32" i="4"/>
  <c r="U6" i="6" s="1"/>
  <c r="U32" i="4"/>
  <c r="V32" i="4"/>
  <c r="W6" i="6" s="1"/>
  <c r="W32" i="4"/>
  <c r="X6" i="6" s="1"/>
  <c r="Z31" i="5" s="1"/>
  <c r="X32" i="4"/>
  <c r="Y6" i="6" s="1"/>
  <c r="Y32" i="4"/>
  <c r="Z6" i="6" s="1"/>
  <c r="P21" i="4"/>
  <c r="Q21" i="4"/>
  <c r="R21" i="4"/>
  <c r="S21" i="4"/>
  <c r="T21" i="4"/>
  <c r="U21" i="4"/>
  <c r="V21" i="4"/>
  <c r="W21" i="4"/>
  <c r="X21" i="4"/>
  <c r="Y21" i="4"/>
  <c r="Z21" i="4"/>
  <c r="AA21" i="4"/>
  <c r="P17" i="4"/>
  <c r="Q38" i="6" s="1"/>
  <c r="Q17" i="4"/>
  <c r="R38" i="6" s="1"/>
  <c r="R17" i="4"/>
  <c r="S38" i="6" s="1"/>
  <c r="S17" i="4"/>
  <c r="T38" i="6" s="1"/>
  <c r="T17" i="4"/>
  <c r="U38" i="6" s="1"/>
  <c r="U17" i="4"/>
  <c r="V38" i="6" s="1"/>
  <c r="V17" i="4"/>
  <c r="W38" i="6" s="1"/>
  <c r="W17" i="4"/>
  <c r="X38" i="6" s="1"/>
  <c r="X17" i="4"/>
  <c r="Y38" i="6" s="1"/>
  <c r="Y17" i="4"/>
  <c r="Z38" i="6" s="1"/>
  <c r="P14" i="4"/>
  <c r="S52" i="5" s="1"/>
  <c r="Q14" i="4"/>
  <c r="T52" i="5" s="1"/>
  <c r="R14" i="4"/>
  <c r="U52" i="5" s="1"/>
  <c r="S14" i="4"/>
  <c r="V52" i="5" s="1"/>
  <c r="T14" i="4"/>
  <c r="W52" i="5" s="1"/>
  <c r="U14" i="4"/>
  <c r="X52" i="5" s="1"/>
  <c r="V14" i="4"/>
  <c r="Y52" i="5" s="1"/>
  <c r="W14" i="4"/>
  <c r="Z52" i="5" s="1"/>
  <c r="X14" i="4"/>
  <c r="AA52" i="5" s="1"/>
  <c r="Y14" i="4"/>
  <c r="AB52" i="5" s="1"/>
  <c r="Q8" i="4"/>
  <c r="Q27" i="4" s="1"/>
  <c r="R8" i="4"/>
  <c r="S8" i="4"/>
  <c r="T8" i="4"/>
  <c r="U8" i="4"/>
  <c r="V8" i="4"/>
  <c r="W8" i="4"/>
  <c r="W27" i="4" s="1"/>
  <c r="X8" i="4"/>
  <c r="Y8" i="4"/>
  <c r="Z8" i="4"/>
  <c r="O8" i="4"/>
  <c r="P4" i="4"/>
  <c r="Q4" i="4"/>
  <c r="R4" i="4"/>
  <c r="S4" i="4"/>
  <c r="V47" i="5" s="1"/>
  <c r="BL15" i="9" s="1"/>
  <c r="T4" i="4"/>
  <c r="W48" i="5" s="1"/>
  <c r="BM16" i="9" s="1"/>
  <c r="U4" i="4"/>
  <c r="V4" i="4"/>
  <c r="Y47" i="5" s="1"/>
  <c r="BO15" i="9" s="1"/>
  <c r="W4" i="4"/>
  <c r="X4" i="4"/>
  <c r="AA47" i="5" s="1"/>
  <c r="BQ15" i="9" s="1"/>
  <c r="Y4" i="4"/>
  <c r="Z4" i="4"/>
  <c r="Z27" i="4" s="1"/>
  <c r="C45" i="4"/>
  <c r="C55" i="4" s="1"/>
  <c r="D45" i="4"/>
  <c r="D55" i="4" s="1"/>
  <c r="E45" i="4"/>
  <c r="E55" i="4" s="1"/>
  <c r="F45" i="4"/>
  <c r="F55" i="4" s="1"/>
  <c r="G45" i="4"/>
  <c r="H45" i="4"/>
  <c r="I45" i="4"/>
  <c r="J45" i="4"/>
  <c r="J55" i="4" s="1"/>
  <c r="K45" i="4"/>
  <c r="K55" i="4" s="1"/>
  <c r="L45" i="4"/>
  <c r="L55" i="4" s="1"/>
  <c r="M45" i="4"/>
  <c r="M55" i="4" s="1"/>
  <c r="N45" i="4"/>
  <c r="N55" i="4" s="1"/>
  <c r="O47" i="4"/>
  <c r="O45" i="4" s="1"/>
  <c r="O6" i="4"/>
  <c r="O5" i="4"/>
  <c r="H57" i="4"/>
  <c r="I57" i="4"/>
  <c r="J57" i="4"/>
  <c r="K57" i="4"/>
  <c r="L57" i="4"/>
  <c r="M57" i="4"/>
  <c r="N57" i="4"/>
  <c r="C57" i="4"/>
  <c r="D57" i="4"/>
  <c r="E57" i="4"/>
  <c r="F57" i="4"/>
  <c r="G57" i="4"/>
  <c r="C33" i="4"/>
  <c r="C40" i="4" s="1"/>
  <c r="D10" i="6" s="1"/>
  <c r="D33" i="4"/>
  <c r="D40" i="4" s="1"/>
  <c r="G48" i="5" s="1"/>
  <c r="AW16" i="9" s="1"/>
  <c r="E33" i="4"/>
  <c r="E40" i="4" s="1"/>
  <c r="H47" i="5" s="1"/>
  <c r="AX15" i="9" s="1"/>
  <c r="F33" i="4"/>
  <c r="F40" i="4" s="1"/>
  <c r="G33" i="4"/>
  <c r="G40" i="4" s="1"/>
  <c r="H33" i="4"/>
  <c r="H40" i="4" s="1"/>
  <c r="K47" i="5" s="1"/>
  <c r="BA15" i="9" s="1"/>
  <c r="I33" i="4"/>
  <c r="I40" i="4" s="1"/>
  <c r="J10" i="6" s="1"/>
  <c r="J33" i="4"/>
  <c r="J40" i="4" s="1"/>
  <c r="K10" i="6" s="1"/>
  <c r="K33" i="4"/>
  <c r="K40" i="4" s="1"/>
  <c r="L33" i="4"/>
  <c r="L40" i="4" s="1"/>
  <c r="M33" i="4"/>
  <c r="M40" i="4" s="1"/>
  <c r="N10" i="6" s="1"/>
  <c r="D5" i="6"/>
  <c r="G30" i="5" s="1"/>
  <c r="E5" i="6"/>
  <c r="F5" i="6"/>
  <c r="H26" i="5" s="1"/>
  <c r="G5" i="6"/>
  <c r="H5" i="6"/>
  <c r="I5" i="6"/>
  <c r="J5" i="6"/>
  <c r="K5" i="6"/>
  <c r="L5" i="6"/>
  <c r="M5" i="6"/>
  <c r="N5" i="6"/>
  <c r="P24" i="5" s="1"/>
  <c r="O5" i="6"/>
  <c r="D6" i="6"/>
  <c r="E6" i="6"/>
  <c r="G24" i="5" s="1"/>
  <c r="F6" i="6"/>
  <c r="G6" i="6"/>
  <c r="H6" i="6"/>
  <c r="I6" i="6"/>
  <c r="J6" i="6"/>
  <c r="M31" i="5" s="1"/>
  <c r="K6" i="6"/>
  <c r="L6" i="6"/>
  <c r="M6" i="6"/>
  <c r="N6" i="6"/>
  <c r="O6" i="6"/>
  <c r="D7" i="6"/>
  <c r="G33" i="5" s="1"/>
  <c r="E7" i="6"/>
  <c r="F7" i="6"/>
  <c r="H25" i="5" s="1"/>
  <c r="G7" i="6"/>
  <c r="H7" i="6"/>
  <c r="I7" i="6"/>
  <c r="J7" i="6"/>
  <c r="K7" i="6"/>
  <c r="L7" i="6"/>
  <c r="N25" i="5" s="1"/>
  <c r="M7" i="6"/>
  <c r="N7" i="6"/>
  <c r="P25" i="5" s="1"/>
  <c r="O7" i="6"/>
  <c r="D8" i="6"/>
  <c r="E8" i="6"/>
  <c r="F8" i="6"/>
  <c r="G8" i="6"/>
  <c r="H8" i="6"/>
  <c r="K32" i="5" s="1"/>
  <c r="I8" i="6"/>
  <c r="J8" i="6"/>
  <c r="L32" i="5" s="1"/>
  <c r="K8" i="6"/>
  <c r="L8" i="6"/>
  <c r="M8" i="6"/>
  <c r="N8" i="6"/>
  <c r="O8" i="6"/>
  <c r="D9" i="6"/>
  <c r="E9" i="6"/>
  <c r="F9" i="6"/>
  <c r="H27" i="5" s="1"/>
  <c r="AX17" i="9" s="1"/>
  <c r="G9" i="6"/>
  <c r="H9" i="6"/>
  <c r="J27" i="5" s="1"/>
  <c r="AZ17" i="9" s="1"/>
  <c r="I9" i="6"/>
  <c r="J9" i="6"/>
  <c r="K9" i="6"/>
  <c r="L9" i="6"/>
  <c r="N27" i="5" s="1"/>
  <c r="BD17" i="9" s="1"/>
  <c r="M9" i="6"/>
  <c r="N9" i="6"/>
  <c r="P27" i="5" s="1"/>
  <c r="BF17" i="9" s="1"/>
  <c r="O9" i="6"/>
  <c r="E10" i="6"/>
  <c r="G10" i="6"/>
  <c r="H10" i="6"/>
  <c r="L10" i="6"/>
  <c r="M10" i="6"/>
  <c r="D18" i="6"/>
  <c r="E18" i="6"/>
  <c r="F18" i="6"/>
  <c r="G18" i="6"/>
  <c r="H18" i="6"/>
  <c r="I18" i="6"/>
  <c r="J18" i="6"/>
  <c r="K18" i="6"/>
  <c r="L18" i="6"/>
  <c r="M18" i="6"/>
  <c r="N18" i="6"/>
  <c r="O18" i="6"/>
  <c r="D19" i="6"/>
  <c r="E19" i="6"/>
  <c r="F19" i="6"/>
  <c r="G19" i="6"/>
  <c r="H19" i="6"/>
  <c r="I19" i="6"/>
  <c r="J19" i="6"/>
  <c r="K19" i="6"/>
  <c r="L19" i="6"/>
  <c r="M19" i="6"/>
  <c r="N19" i="6"/>
  <c r="O19" i="6"/>
  <c r="D20" i="6"/>
  <c r="E20" i="6"/>
  <c r="F20" i="6"/>
  <c r="G20" i="6"/>
  <c r="H20" i="6"/>
  <c r="I20" i="6"/>
  <c r="J20" i="6"/>
  <c r="K20" i="6"/>
  <c r="L20" i="6"/>
  <c r="M20" i="6"/>
  <c r="N20" i="6"/>
  <c r="O20" i="6"/>
  <c r="D21" i="6"/>
  <c r="E21" i="6"/>
  <c r="F21" i="6"/>
  <c r="G21" i="6"/>
  <c r="H21" i="6"/>
  <c r="I21" i="6"/>
  <c r="J21" i="6"/>
  <c r="K21" i="6"/>
  <c r="L21" i="6"/>
  <c r="M21" i="6"/>
  <c r="N21" i="6"/>
  <c r="O21" i="6"/>
  <c r="D23" i="6"/>
  <c r="E23" i="6"/>
  <c r="F23" i="6"/>
  <c r="G23" i="6"/>
  <c r="H23" i="6"/>
  <c r="I23" i="6"/>
  <c r="J23" i="6"/>
  <c r="K23" i="6"/>
  <c r="L23" i="6"/>
  <c r="M23" i="6"/>
  <c r="N23" i="6"/>
  <c r="O23" i="6"/>
  <c r="D27" i="6"/>
  <c r="E27" i="6"/>
  <c r="F27" i="6"/>
  <c r="G27" i="6"/>
  <c r="H27" i="6"/>
  <c r="I27" i="6"/>
  <c r="J27" i="6"/>
  <c r="K27" i="6"/>
  <c r="L27" i="6"/>
  <c r="M27" i="6"/>
  <c r="N27" i="6"/>
  <c r="O27" i="6"/>
  <c r="D28" i="6"/>
  <c r="E28" i="6"/>
  <c r="F28" i="6"/>
  <c r="G28" i="6"/>
  <c r="H28" i="6"/>
  <c r="I28" i="6"/>
  <c r="J28" i="6"/>
  <c r="K28" i="6"/>
  <c r="L28" i="6"/>
  <c r="M28" i="6"/>
  <c r="N28" i="6"/>
  <c r="O28" i="6"/>
  <c r="D29" i="6"/>
  <c r="E29" i="6"/>
  <c r="F29" i="6"/>
  <c r="H58" i="5" s="1"/>
  <c r="AX18" i="9" s="1"/>
  <c r="G29" i="6"/>
  <c r="H29" i="6"/>
  <c r="I29" i="6"/>
  <c r="J29" i="6"/>
  <c r="K29" i="6"/>
  <c r="L29" i="6"/>
  <c r="M29" i="6"/>
  <c r="N29" i="6"/>
  <c r="O29" i="6"/>
  <c r="D32" i="6"/>
  <c r="E32" i="6"/>
  <c r="G53" i="5" s="1"/>
  <c r="F32" i="6"/>
  <c r="G32" i="6"/>
  <c r="H32" i="6"/>
  <c r="I32" i="6"/>
  <c r="K53" i="5" s="1"/>
  <c r="J32" i="6"/>
  <c r="L53" i="5" s="1"/>
  <c r="K32" i="6"/>
  <c r="L32" i="6"/>
  <c r="M32" i="6"/>
  <c r="O53" i="5" s="1"/>
  <c r="N32" i="6"/>
  <c r="O32" i="6"/>
  <c r="D33" i="6"/>
  <c r="E33" i="6"/>
  <c r="F33" i="6"/>
  <c r="G33" i="6"/>
  <c r="H33" i="6"/>
  <c r="I33" i="6"/>
  <c r="J33" i="6"/>
  <c r="K33" i="6"/>
  <c r="L33" i="6"/>
  <c r="M33" i="6"/>
  <c r="N33" i="6"/>
  <c r="O33" i="6"/>
  <c r="D34" i="6"/>
  <c r="E34" i="6"/>
  <c r="F34" i="6"/>
  <c r="G34" i="6"/>
  <c r="H34" i="6"/>
  <c r="I34" i="6"/>
  <c r="J34" i="6"/>
  <c r="K34" i="6"/>
  <c r="L34" i="6"/>
  <c r="M34" i="6"/>
  <c r="N34" i="6"/>
  <c r="O34" i="6"/>
  <c r="D35" i="6"/>
  <c r="E35" i="6"/>
  <c r="F35" i="6"/>
  <c r="G35" i="6"/>
  <c r="H35" i="6"/>
  <c r="I35" i="6"/>
  <c r="J35" i="6"/>
  <c r="K35" i="6"/>
  <c r="L35" i="6"/>
  <c r="M35" i="6"/>
  <c r="N35" i="6"/>
  <c r="O35" i="6"/>
  <c r="D36" i="6"/>
  <c r="E36" i="6"/>
  <c r="G58" i="5" s="1"/>
  <c r="AW18" i="9" s="1"/>
  <c r="F36" i="6"/>
  <c r="G36" i="6"/>
  <c r="H36" i="6"/>
  <c r="I36" i="6"/>
  <c r="J36" i="6"/>
  <c r="L58" i="5" s="1"/>
  <c r="BB18" i="9" s="1"/>
  <c r="K36" i="6"/>
  <c r="L36" i="6"/>
  <c r="M36" i="6"/>
  <c r="O58" i="5" s="1"/>
  <c r="BE18" i="9" s="1"/>
  <c r="N36" i="6"/>
  <c r="O36" i="6"/>
  <c r="D38" i="6"/>
  <c r="E38" i="6"/>
  <c r="G14" i="5" s="1"/>
  <c r="AW20" i="9" s="1"/>
  <c r="F38" i="6"/>
  <c r="H14" i="5" s="1"/>
  <c r="AX20" i="9" s="1"/>
  <c r="G38" i="6"/>
  <c r="H38" i="6"/>
  <c r="I38" i="6"/>
  <c r="K14" i="5" s="1"/>
  <c r="BA20" i="9" s="1"/>
  <c r="J38" i="6"/>
  <c r="K38" i="6"/>
  <c r="L38" i="6"/>
  <c r="M38" i="6"/>
  <c r="O14" i="5" s="1"/>
  <c r="BE20" i="9" s="1"/>
  <c r="N38" i="6"/>
  <c r="O38" i="6"/>
  <c r="D39" i="6"/>
  <c r="E39" i="6"/>
  <c r="G15" i="5" s="1"/>
  <c r="AW21" i="9" s="1"/>
  <c r="F39" i="6"/>
  <c r="G39" i="6"/>
  <c r="H39" i="6"/>
  <c r="I39" i="6"/>
  <c r="K15" i="5" s="1"/>
  <c r="BA21" i="9" s="1"/>
  <c r="J39" i="6"/>
  <c r="L15" i="5" s="1"/>
  <c r="BB21" i="9" s="1"/>
  <c r="K39" i="6"/>
  <c r="L39" i="6"/>
  <c r="M39" i="6"/>
  <c r="O15" i="5" s="1"/>
  <c r="BE21" i="9" s="1"/>
  <c r="N39" i="6"/>
  <c r="O39" i="6"/>
  <c r="D42" i="6"/>
  <c r="E42" i="6"/>
  <c r="F42" i="6"/>
  <c r="G42" i="6"/>
  <c r="H42" i="6"/>
  <c r="I42" i="6"/>
  <c r="J42" i="6"/>
  <c r="K42" i="6"/>
  <c r="L42" i="6"/>
  <c r="M42" i="6"/>
  <c r="N42" i="6"/>
  <c r="O42" i="6"/>
  <c r="D43" i="6"/>
  <c r="E43" i="6"/>
  <c r="F43" i="6"/>
  <c r="G43" i="6"/>
  <c r="H43" i="6"/>
  <c r="I43" i="6"/>
  <c r="J43" i="6"/>
  <c r="K43" i="6"/>
  <c r="L43" i="6"/>
  <c r="M43" i="6"/>
  <c r="N43" i="6"/>
  <c r="O43" i="6"/>
  <c r="D44" i="6"/>
  <c r="E44" i="6"/>
  <c r="F44" i="6"/>
  <c r="G44" i="6"/>
  <c r="H44" i="6"/>
  <c r="I44" i="6"/>
  <c r="J44" i="6"/>
  <c r="K44" i="6"/>
  <c r="L44" i="6"/>
  <c r="M44" i="6"/>
  <c r="N44" i="6"/>
  <c r="O44" i="6"/>
  <c r="D48" i="6"/>
  <c r="E48" i="6"/>
  <c r="F48" i="6"/>
  <c r="G48" i="6"/>
  <c r="H48" i="6"/>
  <c r="I48" i="6"/>
  <c r="J48" i="6"/>
  <c r="K48" i="6"/>
  <c r="L48" i="6"/>
  <c r="M48" i="6"/>
  <c r="N48" i="6"/>
  <c r="O48" i="6"/>
  <c r="D49" i="6"/>
  <c r="E49" i="6"/>
  <c r="F49" i="6"/>
  <c r="G49" i="6"/>
  <c r="H49" i="6"/>
  <c r="I49" i="6"/>
  <c r="J49" i="6"/>
  <c r="K49" i="6"/>
  <c r="L49" i="6"/>
  <c r="M49" i="6"/>
  <c r="N49" i="6"/>
  <c r="O49" i="6"/>
  <c r="D50" i="6"/>
  <c r="E50" i="6"/>
  <c r="F50" i="6"/>
  <c r="G50" i="6"/>
  <c r="H50" i="6"/>
  <c r="I50" i="6"/>
  <c r="J50" i="6"/>
  <c r="K50" i="6"/>
  <c r="L50" i="6"/>
  <c r="M50" i="6"/>
  <c r="N50" i="6"/>
  <c r="O50" i="6"/>
  <c r="D51" i="6"/>
  <c r="E51" i="6"/>
  <c r="F51" i="6"/>
  <c r="G51" i="6"/>
  <c r="H51" i="6"/>
  <c r="I51" i="6"/>
  <c r="J51" i="6"/>
  <c r="K51" i="6"/>
  <c r="L51" i="6"/>
  <c r="M51" i="6"/>
  <c r="N51" i="6"/>
  <c r="O51" i="6"/>
  <c r="D52" i="6"/>
  <c r="E52" i="6"/>
  <c r="F52" i="6"/>
  <c r="G52" i="6"/>
  <c r="H52" i="6"/>
  <c r="I52" i="6"/>
  <c r="J52" i="6"/>
  <c r="K52" i="6"/>
  <c r="L52" i="6"/>
  <c r="M52" i="6"/>
  <c r="N52" i="6"/>
  <c r="O52" i="6"/>
  <c r="D53" i="6"/>
  <c r="E53" i="6"/>
  <c r="F53" i="6"/>
  <c r="G53" i="6"/>
  <c r="H53" i="6"/>
  <c r="I53" i="6"/>
  <c r="J53" i="6"/>
  <c r="K53" i="6"/>
  <c r="L53" i="6"/>
  <c r="M53" i="6"/>
  <c r="N53" i="6"/>
  <c r="O53" i="6"/>
  <c r="B47" i="4"/>
  <c r="B45" i="4" s="1"/>
  <c r="B6" i="4"/>
  <c r="B5" i="4"/>
  <c r="O4" i="4"/>
  <c r="P36" i="6" s="1"/>
  <c r="C30" i="7"/>
  <c r="D30" i="7"/>
  <c r="E30" i="7"/>
  <c r="F30" i="7"/>
  <c r="G30" i="7"/>
  <c r="H30" i="7"/>
  <c r="I30" i="7"/>
  <c r="J30" i="7"/>
  <c r="K30" i="7"/>
  <c r="L30" i="7"/>
  <c r="M30" i="7"/>
  <c r="H69" i="20"/>
  <c r="E69" i="20"/>
  <c r="F69" i="20"/>
  <c r="C23" i="7"/>
  <c r="D23" i="7"/>
  <c r="G57" i="5" s="1"/>
  <c r="AW13" i="9" s="1"/>
  <c r="E23" i="7"/>
  <c r="F23" i="7"/>
  <c r="G23" i="7"/>
  <c r="H23" i="7"/>
  <c r="I23" i="7"/>
  <c r="J23" i="7"/>
  <c r="K23" i="7"/>
  <c r="L23" i="7"/>
  <c r="M23" i="7"/>
  <c r="C20" i="7"/>
  <c r="D20" i="7"/>
  <c r="E20" i="7"/>
  <c r="F20" i="7"/>
  <c r="G20" i="7"/>
  <c r="H20" i="7"/>
  <c r="I20" i="7"/>
  <c r="J20" i="7"/>
  <c r="K20" i="7"/>
  <c r="L20" i="7"/>
  <c r="M20" i="7"/>
  <c r="C12" i="7"/>
  <c r="D12" i="7"/>
  <c r="E12" i="7"/>
  <c r="F12" i="7"/>
  <c r="G12" i="7"/>
  <c r="H12" i="7"/>
  <c r="I12" i="7"/>
  <c r="J12" i="7"/>
  <c r="K12" i="7"/>
  <c r="L12" i="7"/>
  <c r="M12" i="7"/>
  <c r="C7" i="7"/>
  <c r="D7" i="7"/>
  <c r="E7" i="7"/>
  <c r="F7" i="7"/>
  <c r="G7" i="7"/>
  <c r="H7" i="7"/>
  <c r="I7" i="7"/>
  <c r="J7" i="7"/>
  <c r="K7" i="7"/>
  <c r="L7" i="7"/>
  <c r="M7" i="7"/>
  <c r="C4" i="7"/>
  <c r="D4" i="7"/>
  <c r="E4" i="7"/>
  <c r="F4" i="7"/>
  <c r="G4" i="7"/>
  <c r="H4" i="7"/>
  <c r="I4" i="7"/>
  <c r="J4" i="7"/>
  <c r="J3" i="7" s="1"/>
  <c r="J19" i="7" s="1"/>
  <c r="K4" i="7"/>
  <c r="L4" i="7"/>
  <c r="M4" i="7"/>
  <c r="F52" i="5"/>
  <c r="I47" i="5"/>
  <c r="AY15" i="9" s="1"/>
  <c r="O47" i="5"/>
  <c r="BE15" i="9" s="1"/>
  <c r="P7" i="6"/>
  <c r="P8" i="6"/>
  <c r="P9" i="6"/>
  <c r="S42" i="5" s="1"/>
  <c r="P10" i="6"/>
  <c r="P18" i="6"/>
  <c r="P20" i="6"/>
  <c r="P21" i="6"/>
  <c r="P23" i="6"/>
  <c r="P27" i="6"/>
  <c r="P28" i="6"/>
  <c r="P29" i="6"/>
  <c r="P32" i="6"/>
  <c r="P33" i="6"/>
  <c r="P34" i="6"/>
  <c r="P35" i="6"/>
  <c r="P39" i="6"/>
  <c r="P42" i="6"/>
  <c r="P43" i="6"/>
  <c r="P44" i="6"/>
  <c r="P48" i="6"/>
  <c r="P49" i="6"/>
  <c r="R41" i="5" s="1"/>
  <c r="P50" i="6"/>
  <c r="P51" i="6"/>
  <c r="P52" i="6"/>
  <c r="P47" i="6" s="1"/>
  <c r="P53" i="6"/>
  <c r="P32" i="5"/>
  <c r="F47" i="5"/>
  <c r="AV15" i="9" s="1"/>
  <c r="G47" i="5"/>
  <c r="AW15" i="9" s="1"/>
  <c r="J47" i="5"/>
  <c r="AZ15" i="9" s="1"/>
  <c r="L47" i="5"/>
  <c r="BB15" i="9" s="1"/>
  <c r="N47" i="5"/>
  <c r="BD15" i="9" s="1"/>
  <c r="P47" i="5"/>
  <c r="BF15" i="9" s="1"/>
  <c r="F48" i="5"/>
  <c r="AV16" i="9" s="1"/>
  <c r="J48" i="5"/>
  <c r="AZ16" i="9" s="1"/>
  <c r="N48" i="5"/>
  <c r="BD16" i="9" s="1"/>
  <c r="O48" i="5"/>
  <c r="BE16" i="9" s="1"/>
  <c r="P48" i="5"/>
  <c r="BF16" i="9" s="1"/>
  <c r="G52" i="5"/>
  <c r="I52" i="5"/>
  <c r="J52" i="5"/>
  <c r="K52" i="5"/>
  <c r="L52" i="5"/>
  <c r="M52" i="5"/>
  <c r="N52" i="5"/>
  <c r="O52" i="5"/>
  <c r="P52" i="5"/>
  <c r="O32" i="4"/>
  <c r="O40" i="4" s="1"/>
  <c r="O23" i="7"/>
  <c r="N23" i="7"/>
  <c r="N30" i="7"/>
  <c r="O30" i="7"/>
  <c r="O4" i="7"/>
  <c r="O7" i="7"/>
  <c r="N20" i="7"/>
  <c r="O20" i="7"/>
  <c r="O12" i="7"/>
  <c r="N12" i="7"/>
  <c r="N7" i="7"/>
  <c r="N4" i="7"/>
  <c r="Q52" i="5"/>
  <c r="O14" i="4"/>
  <c r="R52" i="5" s="1"/>
  <c r="O49" i="4"/>
  <c r="O21" i="4"/>
  <c r="O17" i="4"/>
  <c r="P38" i="6" s="1"/>
  <c r="C10" i="6"/>
  <c r="C8" i="6"/>
  <c r="B8" i="4"/>
  <c r="F39" i="26" s="1"/>
  <c r="F26" i="26" s="1"/>
  <c r="F35" i="26"/>
  <c r="B7" i="7"/>
  <c r="F48" i="26"/>
  <c r="F43" i="26"/>
  <c r="F42" i="26"/>
  <c r="C7" i="6"/>
  <c r="C9" i="6"/>
  <c r="C18" i="6"/>
  <c r="C20" i="6"/>
  <c r="C21" i="6"/>
  <c r="C23" i="6"/>
  <c r="C28" i="6"/>
  <c r="C29" i="6"/>
  <c r="C33" i="6"/>
  <c r="C34" i="6"/>
  <c r="C35" i="6"/>
  <c r="C39" i="6"/>
  <c r="F37" i="26" s="1"/>
  <c r="C42" i="6"/>
  <c r="C43" i="6"/>
  <c r="C44" i="6"/>
  <c r="C49" i="6"/>
  <c r="C50" i="6"/>
  <c r="C51" i="6"/>
  <c r="B20" i="7"/>
  <c r="B30" i="7"/>
  <c r="B17" i="4"/>
  <c r="C38" i="6" s="1"/>
  <c r="F36" i="26" s="1"/>
  <c r="B21" i="4"/>
  <c r="B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F35" i="25"/>
  <c r="F38" i="25"/>
  <c r="F32" i="25"/>
  <c r="F10" i="25" s="1"/>
  <c r="F46" i="25"/>
  <c r="F42" i="25"/>
  <c r="F79" i="20"/>
  <c r="F76" i="20"/>
  <c r="E76" i="20"/>
  <c r="E77" i="20"/>
  <c r="H75" i="20"/>
  <c r="H74" i="20"/>
  <c r="H73" i="20"/>
  <c r="H72" i="20"/>
  <c r="H71" i="20"/>
  <c r="F77" i="20"/>
  <c r="F37" i="25"/>
  <c r="AE15" i="9"/>
  <c r="AD15" i="9"/>
  <c r="F53" i="20"/>
  <c r="F50" i="20"/>
  <c r="E50" i="20"/>
  <c r="E51" i="20"/>
  <c r="H49" i="20"/>
  <c r="H48" i="20"/>
  <c r="H47" i="20"/>
  <c r="H46" i="20"/>
  <c r="H45" i="20"/>
  <c r="H50" i="20"/>
  <c r="H51" i="20"/>
  <c r="F51" i="20"/>
  <c r="AB15" i="9"/>
  <c r="N26" i="20"/>
  <c r="N23" i="20"/>
  <c r="M23" i="20"/>
  <c r="P22" i="20"/>
  <c r="P21" i="20"/>
  <c r="P20" i="20"/>
  <c r="P19" i="20"/>
  <c r="P18" i="20"/>
  <c r="P23" i="20" s="1"/>
  <c r="N16" i="20"/>
  <c r="N24" i="20"/>
  <c r="N27" i="20"/>
  <c r="M16" i="20"/>
  <c r="M24" i="20"/>
  <c r="P16" i="20"/>
  <c r="AA15" i="9"/>
  <c r="F26" i="20"/>
  <c r="F23" i="20"/>
  <c r="E23" i="20"/>
  <c r="E24" i="20"/>
  <c r="X15" i="9"/>
  <c r="V15" i="9"/>
  <c r="G15" i="9"/>
  <c r="Q9" i="9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F24" i="20"/>
  <c r="F27" i="20"/>
  <c r="H23" i="20"/>
  <c r="H24" i="20"/>
  <c r="N3" i="7"/>
  <c r="N19" i="7"/>
  <c r="Q56" i="5" s="1"/>
  <c r="BG12" i="9" s="1"/>
  <c r="C52" i="6"/>
  <c r="Z15" i="9"/>
  <c r="B32" i="4"/>
  <c r="F31" i="26" s="1"/>
  <c r="B14" i="4"/>
  <c r="E52" i="5" s="1"/>
  <c r="C32" i="6"/>
  <c r="AF15" i="9"/>
  <c r="F36" i="25"/>
  <c r="F15" i="9"/>
  <c r="F32" i="26"/>
  <c r="F54" i="20"/>
  <c r="P24" i="20"/>
  <c r="F80" i="20"/>
  <c r="B12" i="7"/>
  <c r="I41" i="5"/>
  <c r="F47" i="25"/>
  <c r="B23" i="7"/>
  <c r="F47" i="26" s="1"/>
  <c r="V12" i="9"/>
  <c r="AB12" i="9"/>
  <c r="O12" i="9"/>
  <c r="AC12" i="9"/>
  <c r="B4" i="7"/>
  <c r="B3" i="7"/>
  <c r="B19" i="7" s="1"/>
  <c r="J12" i="9"/>
  <c r="R12" i="9"/>
  <c r="O3" i="7"/>
  <c r="L12" i="9"/>
  <c r="K12" i="9"/>
  <c r="H12" i="9"/>
  <c r="N12" i="9"/>
  <c r="G12" i="9"/>
  <c r="U12" i="9"/>
  <c r="P12" i="9"/>
  <c r="F48" i="25"/>
  <c r="I12" i="9"/>
  <c r="AE12" i="9"/>
  <c r="W12" i="9"/>
  <c r="AA12" i="9"/>
  <c r="T12" i="9"/>
  <c r="Z12" i="9"/>
  <c r="S12" i="9"/>
  <c r="E12" i="9"/>
  <c r="F46" i="26"/>
  <c r="C53" i="6"/>
  <c r="C48" i="6"/>
  <c r="Z16" i="9"/>
  <c r="T15" i="9"/>
  <c r="U15" i="9"/>
  <c r="F33" i="25"/>
  <c r="F31" i="25"/>
  <c r="AB13" i="9"/>
  <c r="M13" i="9"/>
  <c r="AD16" i="9"/>
  <c r="X16" i="9"/>
  <c r="F40" i="25"/>
  <c r="AG15" i="9"/>
  <c r="AD22" i="9"/>
  <c r="Y15" i="9"/>
  <c r="Y16" i="9"/>
  <c r="B33" i="4"/>
  <c r="F41" i="26" s="1"/>
  <c r="H16" i="9"/>
  <c r="F39" i="25"/>
  <c r="V22" i="9"/>
  <c r="AC22" i="9"/>
  <c r="AT13" i="9"/>
  <c r="AT6" i="9"/>
  <c r="AT18" i="9"/>
  <c r="J11" i="8"/>
  <c r="AF16" i="9"/>
  <c r="C27" i="6"/>
  <c r="W16" i="9"/>
  <c r="AG16" i="9"/>
  <c r="AN21" i="9"/>
  <c r="W13" i="9"/>
  <c r="V16" i="9"/>
  <c r="W15" i="9"/>
  <c r="Z13" i="9"/>
  <c r="F38" i="26"/>
  <c r="F12" i="26" s="1"/>
  <c r="X23" i="9"/>
  <c r="AB16" i="9"/>
  <c r="AC16" i="9"/>
  <c r="AC15" i="9"/>
  <c r="E15" i="9"/>
  <c r="E16" i="9"/>
  <c r="F8" i="8"/>
  <c r="L15" i="9"/>
  <c r="M16" i="9"/>
  <c r="O16" i="9"/>
  <c r="I16" i="9"/>
  <c r="E22" i="9"/>
  <c r="N16" i="9"/>
  <c r="D16" i="9"/>
  <c r="AF22" i="9"/>
  <c r="N8" i="8"/>
  <c r="AF13" i="9"/>
  <c r="AA22" i="9"/>
  <c r="P16" i="9"/>
  <c r="F16" i="9"/>
  <c r="AB17" i="9"/>
  <c r="G16" i="9"/>
  <c r="J16" i="9"/>
  <c r="K16" i="9"/>
  <c r="Q16" i="9"/>
  <c r="L16" i="9"/>
  <c r="S16" i="9"/>
  <c r="AE16" i="9"/>
  <c r="D15" i="9"/>
  <c r="T16" i="9"/>
  <c r="AA16" i="9"/>
  <c r="AL4" i="9"/>
  <c r="AL7" i="9"/>
  <c r="AS20" i="9"/>
  <c r="AS17" i="9"/>
  <c r="AS21" i="9"/>
  <c r="AT4" i="9"/>
  <c r="AT7" i="9"/>
  <c r="AM21" i="9"/>
  <c r="AP22" i="9"/>
  <c r="AO21" i="9"/>
  <c r="AI18" i="9"/>
  <c r="AJ22" i="9"/>
  <c r="AL22" i="9"/>
  <c r="AL23" i="9"/>
  <c r="AT21" i="9"/>
  <c r="AO18" i="9"/>
  <c r="AI22" i="9"/>
  <c r="AR22" i="9"/>
  <c r="AT22" i="9"/>
  <c r="AM6" i="9"/>
  <c r="AM4" i="9"/>
  <c r="AM7" i="9"/>
  <c r="AM5" i="9"/>
  <c r="AS22" i="9"/>
  <c r="AM18" i="9"/>
  <c r="AA4" i="9"/>
  <c r="AO22" i="9"/>
  <c r="AS18" i="9"/>
  <c r="AM20" i="9"/>
  <c r="AM17" i="9"/>
  <c r="AO20" i="9"/>
  <c r="AN6" i="9"/>
  <c r="AN5" i="9"/>
  <c r="AN7" i="9"/>
  <c r="AN4" i="9"/>
  <c r="AT17" i="9"/>
  <c r="AT20" i="9"/>
  <c r="AI17" i="9"/>
  <c r="AI20" i="9"/>
  <c r="AQ22" i="9"/>
  <c r="AQ23" i="9"/>
  <c r="AN18" i="9"/>
  <c r="AI21" i="9"/>
  <c r="AK22" i="9"/>
  <c r="AK23" i="9"/>
  <c r="AK6" i="9"/>
  <c r="AK4" i="9"/>
  <c r="AK7" i="9"/>
  <c r="G4" i="9"/>
  <c r="AN20" i="9"/>
  <c r="AN17" i="9"/>
  <c r="AO17" i="9"/>
  <c r="X12" i="9"/>
  <c r="Y12" i="9"/>
  <c r="F49" i="25"/>
  <c r="Q12" i="9"/>
  <c r="AF12" i="9"/>
  <c r="F12" i="9"/>
  <c r="D12" i="9"/>
  <c r="C47" i="6"/>
  <c r="M12" i="9"/>
  <c r="M11" i="9"/>
  <c r="AD12" i="9"/>
  <c r="AG12" i="9"/>
  <c r="F44" i="25"/>
  <c r="F27" i="25"/>
  <c r="AI11" i="9"/>
  <c r="G23" i="9"/>
  <c r="AB22" i="9"/>
  <c r="F34" i="25"/>
  <c r="D22" i="9"/>
  <c r="AD4" i="9"/>
  <c r="N11" i="9"/>
  <c r="G22" i="9"/>
  <c r="D7" i="9"/>
  <c r="AH4" i="9"/>
  <c r="N13" i="9"/>
  <c r="AF11" i="9"/>
  <c r="J4" i="9"/>
  <c r="AH16" i="9"/>
  <c r="AB18" i="9"/>
  <c r="AH15" i="9"/>
  <c r="T13" i="9"/>
  <c r="AH7" i="9"/>
  <c r="AB20" i="9"/>
  <c r="X11" i="9"/>
  <c r="AB21" i="9"/>
  <c r="AH23" i="9"/>
  <c r="B12" i="8"/>
  <c r="AC4" i="9"/>
  <c r="AE22" i="9"/>
  <c r="D4" i="9"/>
  <c r="U11" i="9"/>
  <c r="AG22" i="9"/>
  <c r="L13" i="9"/>
  <c r="H15" i="9"/>
  <c r="B8" i="8"/>
  <c r="G3" i="8"/>
  <c r="D23" i="9"/>
  <c r="AE13" i="9"/>
  <c r="D12" i="8"/>
  <c r="B11" i="8"/>
  <c r="H22" i="9"/>
  <c r="L11" i="8"/>
  <c r="R22" i="9"/>
  <c r="J22" i="9"/>
  <c r="AD13" i="9"/>
  <c r="AE11" i="9"/>
  <c r="H8" i="8"/>
  <c r="N15" i="9"/>
  <c r="X20" i="9"/>
  <c r="Y11" i="9"/>
  <c r="X13" i="9"/>
  <c r="Q22" i="9"/>
  <c r="K11" i="8"/>
  <c r="U13" i="9"/>
  <c r="H13" i="9"/>
  <c r="AC13" i="9"/>
  <c r="AD11" i="9"/>
  <c r="AC11" i="9"/>
  <c r="G13" i="9"/>
  <c r="W22" i="9"/>
  <c r="AH13" i="9"/>
  <c r="G8" i="8"/>
  <c r="M15" i="9"/>
  <c r="X4" i="9"/>
  <c r="Y13" i="9"/>
  <c r="Z11" i="9"/>
  <c r="Z18" i="9"/>
  <c r="Z7" i="9"/>
  <c r="Z23" i="9"/>
  <c r="Z4" i="9"/>
  <c r="AF23" i="9"/>
  <c r="AA18" i="9"/>
  <c r="AA13" i="9"/>
  <c r="AB11" i="9"/>
  <c r="AA11" i="9"/>
  <c r="F13" i="9"/>
  <c r="G11" i="9"/>
  <c r="K18" i="9"/>
  <c r="K13" i="9"/>
  <c r="L11" i="9"/>
  <c r="D8" i="8"/>
  <c r="J15" i="9"/>
  <c r="X22" i="9"/>
  <c r="X7" i="9"/>
  <c r="E8" i="8"/>
  <c r="K15" i="9"/>
  <c r="E4" i="9"/>
  <c r="E7" i="9"/>
  <c r="E13" i="9"/>
  <c r="E5" i="9"/>
  <c r="F11" i="9"/>
  <c r="S13" i="9"/>
  <c r="S11" i="9"/>
  <c r="T11" i="9"/>
  <c r="Y23" i="9"/>
  <c r="K8" i="8"/>
  <c r="Q15" i="9"/>
  <c r="AD23" i="9"/>
  <c r="D13" i="9"/>
  <c r="E11" i="9"/>
  <c r="D11" i="9"/>
  <c r="F22" i="9"/>
  <c r="O13" i="9"/>
  <c r="O11" i="9"/>
  <c r="P11" i="9"/>
  <c r="U7" i="9"/>
  <c r="U16" i="9"/>
  <c r="I13" i="9"/>
  <c r="J11" i="9"/>
  <c r="I11" i="9"/>
  <c r="K23" i="9"/>
  <c r="E12" i="8"/>
  <c r="U4" i="9"/>
  <c r="V23" i="9"/>
  <c r="AG13" i="9"/>
  <c r="AG11" i="9"/>
  <c r="V11" i="9"/>
  <c r="W11" i="9"/>
  <c r="V13" i="9"/>
  <c r="U23" i="9"/>
  <c r="E23" i="9"/>
  <c r="J13" i="9"/>
  <c r="K11" i="9"/>
  <c r="G7" i="9"/>
  <c r="J8" i="8"/>
  <c r="P15" i="9"/>
  <c r="E3" i="8"/>
  <c r="K4" i="9"/>
  <c r="Y22" i="9"/>
  <c r="Q13" i="9"/>
  <c r="Q18" i="9"/>
  <c r="P13" i="9"/>
  <c r="P18" i="9"/>
  <c r="Q11" i="9"/>
  <c r="AJ21" i="9"/>
  <c r="AJ17" i="9"/>
  <c r="AD5" i="9"/>
  <c r="AA23" i="9"/>
  <c r="AA7" i="9"/>
  <c r="AD7" i="9"/>
  <c r="AA6" i="9"/>
  <c r="AQ17" i="9"/>
  <c r="AQ20" i="9"/>
  <c r="AQ21" i="9"/>
  <c r="AQ5" i="9"/>
  <c r="AQ18" i="9"/>
  <c r="AP21" i="9"/>
  <c r="AP17" i="9"/>
  <c r="AP18" i="9"/>
  <c r="AP20" i="9"/>
  <c r="AP5" i="9"/>
  <c r="H11" i="9"/>
  <c r="F16" i="25"/>
  <c r="F45" i="25"/>
  <c r="F18" i="25" s="1"/>
  <c r="AH12" i="9"/>
  <c r="AC7" i="9"/>
  <c r="V4" i="9"/>
  <c r="AH20" i="9"/>
  <c r="D3" i="8"/>
  <c r="Z17" i="9"/>
  <c r="AD6" i="9"/>
  <c r="W17" i="9"/>
  <c r="W21" i="9"/>
  <c r="H23" i="9"/>
  <c r="Z5" i="9"/>
  <c r="W18" i="9"/>
  <c r="Z6" i="9"/>
  <c r="W20" i="9"/>
  <c r="U6" i="9"/>
  <c r="X5" i="9"/>
  <c r="H6" i="9"/>
  <c r="U5" i="9"/>
  <c r="M18" i="9"/>
  <c r="Z21" i="9"/>
  <c r="Z20" i="9"/>
  <c r="AC23" i="9"/>
  <c r="X6" i="9"/>
  <c r="Y20" i="9"/>
  <c r="L18" i="9"/>
  <c r="J23" i="9"/>
  <c r="M4" i="9"/>
  <c r="L5" i="9"/>
  <c r="D11" i="8"/>
  <c r="AE6" i="9"/>
  <c r="AE4" i="9"/>
  <c r="AE5" i="9"/>
  <c r="AE7" i="9"/>
  <c r="AE17" i="9"/>
  <c r="AE18" i="9"/>
  <c r="AE20" i="9"/>
  <c r="AE21" i="9"/>
  <c r="AA5" i="9"/>
  <c r="AE23" i="9"/>
  <c r="G12" i="8"/>
  <c r="M23" i="9"/>
  <c r="AF4" i="9"/>
  <c r="AH5" i="9"/>
  <c r="AC21" i="9"/>
  <c r="AC17" i="9"/>
  <c r="AC20" i="9"/>
  <c r="AC6" i="9"/>
  <c r="AC5" i="9"/>
  <c r="AC18" i="9"/>
  <c r="M3" i="8"/>
  <c r="AF6" i="9"/>
  <c r="B6" i="8"/>
  <c r="H7" i="9"/>
  <c r="G6" i="8"/>
  <c r="M7" i="9"/>
  <c r="H18" i="9"/>
  <c r="I22" i="9"/>
  <c r="C11" i="8"/>
  <c r="W4" i="9"/>
  <c r="W5" i="9"/>
  <c r="W6" i="9"/>
  <c r="W23" i="9"/>
  <c r="W7" i="9"/>
  <c r="AF5" i="9"/>
  <c r="G20" i="9"/>
  <c r="G18" i="9"/>
  <c r="G21" i="9"/>
  <c r="G6" i="9"/>
  <c r="G17" i="9"/>
  <c r="G5" i="9"/>
  <c r="AD21" i="9"/>
  <c r="AD18" i="9"/>
  <c r="AD20" i="9"/>
  <c r="AD17" i="9"/>
  <c r="AF7" i="9"/>
  <c r="I11" i="8"/>
  <c r="O22" i="9"/>
  <c r="U18" i="9"/>
  <c r="U20" i="9"/>
  <c r="U17" i="9"/>
  <c r="U21" i="9"/>
  <c r="B3" i="8"/>
  <c r="H4" i="9"/>
  <c r="M5" i="9"/>
  <c r="G4" i="8"/>
  <c r="Y21" i="9"/>
  <c r="Y18" i="9"/>
  <c r="Y17" i="9"/>
  <c r="X18" i="9"/>
  <c r="X21" i="9"/>
  <c r="X17" i="9"/>
  <c r="U22" i="9"/>
  <c r="M11" i="8"/>
  <c r="S22" i="9"/>
  <c r="I18" i="9"/>
  <c r="D18" i="9"/>
  <c r="D20" i="9"/>
  <c r="D17" i="9"/>
  <c r="D21" i="9"/>
  <c r="D5" i="9"/>
  <c r="L22" i="9"/>
  <c r="F11" i="8"/>
  <c r="Q20" i="9"/>
  <c r="O20" i="9"/>
  <c r="O18" i="9"/>
  <c r="F4" i="8"/>
  <c r="AA17" i="9"/>
  <c r="AA20" i="9"/>
  <c r="AA21" i="9"/>
  <c r="V6" i="9"/>
  <c r="Y6" i="9"/>
  <c r="Y5" i="9"/>
  <c r="Y7" i="9"/>
  <c r="Y4" i="9"/>
  <c r="H5" i="8"/>
  <c r="N6" i="9"/>
  <c r="K21" i="9"/>
  <c r="K6" i="9"/>
  <c r="T22" i="9"/>
  <c r="N11" i="8"/>
  <c r="D6" i="8"/>
  <c r="J7" i="9"/>
  <c r="J17" i="9"/>
  <c r="D9" i="8"/>
  <c r="J5" i="9"/>
  <c r="J18" i="9"/>
  <c r="AG21" i="9"/>
  <c r="AG17" i="9"/>
  <c r="AG18" i="9"/>
  <c r="AG20" i="9"/>
  <c r="AG5" i="9"/>
  <c r="AG6" i="9"/>
  <c r="E18" i="9"/>
  <c r="E17" i="9"/>
  <c r="E20" i="9"/>
  <c r="E21" i="9"/>
  <c r="V18" i="9"/>
  <c r="V17" i="9"/>
  <c r="V20" i="9"/>
  <c r="V21" i="9"/>
  <c r="M9" i="8"/>
  <c r="M13" i="8"/>
  <c r="F17" i="9"/>
  <c r="F20" i="9"/>
  <c r="F21" i="9"/>
  <c r="F18" i="9"/>
  <c r="F5" i="9"/>
  <c r="AH17" i="9"/>
  <c r="AH21" i="9"/>
  <c r="AH18" i="9"/>
  <c r="F50" i="25"/>
  <c r="AH11" i="9"/>
  <c r="B5" i="8"/>
  <c r="M17" i="9"/>
  <c r="G13" i="8"/>
  <c r="G10" i="8"/>
  <c r="M21" i="9"/>
  <c r="M20" i="9"/>
  <c r="G9" i="8"/>
  <c r="L17" i="9"/>
  <c r="F13" i="8"/>
  <c r="S4" i="9"/>
  <c r="F9" i="8"/>
  <c r="L20" i="9"/>
  <c r="F10" i="8"/>
  <c r="L21" i="9"/>
  <c r="H21" i="9"/>
  <c r="B10" i="8"/>
  <c r="B9" i="8"/>
  <c r="H20" i="9"/>
  <c r="B4" i="8"/>
  <c r="H5" i="9"/>
  <c r="H17" i="9"/>
  <c r="B13" i="8"/>
  <c r="K5" i="9"/>
  <c r="E4" i="8"/>
  <c r="E5" i="8"/>
  <c r="E10" i="8"/>
  <c r="K9" i="8"/>
  <c r="P20" i="9"/>
  <c r="J9" i="8"/>
  <c r="S17" i="9"/>
  <c r="S21" i="9"/>
  <c r="M10" i="8"/>
  <c r="J21" i="9"/>
  <c r="D10" i="8"/>
  <c r="K4" i="8"/>
  <c r="Q5" i="9"/>
  <c r="P17" i="9"/>
  <c r="J13" i="8"/>
  <c r="D4" i="8"/>
  <c r="O17" i="9"/>
  <c r="I13" i="8"/>
  <c r="Q17" i="9"/>
  <c r="K13" i="8"/>
  <c r="I21" i="9"/>
  <c r="C10" i="8"/>
  <c r="I9" i="8"/>
  <c r="E13" i="8"/>
  <c r="K17" i="9"/>
  <c r="E9" i="8"/>
  <c r="K20" i="9"/>
  <c r="I4" i="8"/>
  <c r="O5" i="9"/>
  <c r="I10" i="8"/>
  <c r="O21" i="9"/>
  <c r="I17" i="9"/>
  <c r="C13" i="8"/>
  <c r="J10" i="8"/>
  <c r="P21" i="9"/>
  <c r="D13" i="8"/>
  <c r="J20" i="9"/>
  <c r="K10" i="8"/>
  <c r="Q21" i="9"/>
  <c r="I20" i="9"/>
  <c r="C9" i="8"/>
  <c r="J4" i="8"/>
  <c r="P5" i="9"/>
  <c r="H76" i="20"/>
  <c r="H77" i="20"/>
  <c r="G3" i="7"/>
  <c r="G19" i="7" s="1"/>
  <c r="G29" i="7" s="1"/>
  <c r="G33" i="7" s="1"/>
  <c r="M3" i="7"/>
  <c r="M19" i="7" s="1"/>
  <c r="I3" i="7"/>
  <c r="I19" i="7" s="1"/>
  <c r="E3" i="7"/>
  <c r="E19" i="7"/>
  <c r="E29" i="7" s="1"/>
  <c r="E33" i="7" s="1"/>
  <c r="S20" i="9"/>
  <c r="AH6" i="9"/>
  <c r="AJ18" i="9"/>
  <c r="AG4" i="9"/>
  <c r="AG23" i="9"/>
  <c r="AT5" i="9"/>
  <c r="O15" i="9"/>
  <c r="I8" i="8"/>
  <c r="S18" i="9"/>
  <c r="AJ20" i="9"/>
  <c r="AT23" i="9"/>
  <c r="C8" i="8"/>
  <c r="I15" i="9"/>
  <c r="E6" i="9"/>
  <c r="F41" i="25"/>
  <c r="D6" i="9"/>
  <c r="H33" i="5"/>
  <c r="N4" i="9"/>
  <c r="H3" i="8"/>
  <c r="F3" i="8"/>
  <c r="L4" i="9"/>
  <c r="P22" i="9"/>
  <c r="V5" i="9"/>
  <c r="V7" i="9"/>
  <c r="AK18" i="9"/>
  <c r="AI4" i="9"/>
  <c r="AI5" i="9"/>
  <c r="AI23" i="9"/>
  <c r="AI7" i="9"/>
  <c r="AI6" i="9"/>
  <c r="N18" i="9"/>
  <c r="AJ6" i="9"/>
  <c r="AJ23" i="9"/>
  <c r="AJ4" i="9"/>
  <c r="AJ7" i="9"/>
  <c r="AJ5" i="9"/>
  <c r="AR17" i="9"/>
  <c r="AR21" i="9"/>
  <c r="AR18" i="9"/>
  <c r="AS6" i="9"/>
  <c r="AS7" i="9"/>
  <c r="AS4" i="9"/>
  <c r="AS5" i="9"/>
  <c r="AS23" i="9"/>
  <c r="AF21" i="9"/>
  <c r="AF20" i="9"/>
  <c r="AF17" i="9"/>
  <c r="AF18" i="9"/>
  <c r="AR23" i="9"/>
  <c r="AR4" i="9"/>
  <c r="AR5" i="9"/>
  <c r="AR6" i="9"/>
  <c r="AR7" i="9"/>
  <c r="AO4" i="9"/>
  <c r="AO6" i="9"/>
  <c r="AO5" i="9"/>
  <c r="AO23" i="9"/>
  <c r="AO7" i="9"/>
  <c r="H11" i="8"/>
  <c r="N22" i="9"/>
  <c r="T18" i="9"/>
  <c r="AK20" i="9"/>
  <c r="AK17" i="9"/>
  <c r="AK21" i="9"/>
  <c r="AK5" i="9"/>
  <c r="M22" i="9"/>
  <c r="G11" i="8"/>
  <c r="AP23" i="9"/>
  <c r="AP4" i="9"/>
  <c r="AP6" i="9"/>
  <c r="AP7" i="9"/>
  <c r="AB23" i="9"/>
  <c r="AB6" i="9"/>
  <c r="AB5" i="9"/>
  <c r="AB7" i="9"/>
  <c r="AB4" i="9"/>
  <c r="F6" i="25"/>
  <c r="F4" i="9"/>
  <c r="F7" i="9"/>
  <c r="F23" i="9"/>
  <c r="F6" i="9"/>
  <c r="AP11" i="9"/>
  <c r="AO13" i="9"/>
  <c r="AJ13" i="9"/>
  <c r="AK11" i="9"/>
  <c r="AT11" i="9"/>
  <c r="AS13" i="9"/>
  <c r="AJ11" i="9"/>
  <c r="AI13" i="9"/>
  <c r="AP13" i="9"/>
  <c r="AQ11" i="9"/>
  <c r="AN11" i="9"/>
  <c r="AM13" i="9"/>
  <c r="Z22" i="9"/>
  <c r="AL13" i="9"/>
  <c r="AM11" i="9"/>
  <c r="AQ6" i="9"/>
  <c r="AQ7" i="9"/>
  <c r="AQ4" i="9"/>
  <c r="AR20" i="9"/>
  <c r="AG7" i="9"/>
  <c r="F29" i="25"/>
  <c r="F11" i="25" s="1"/>
  <c r="AN13" i="9"/>
  <c r="AO11" i="9"/>
  <c r="AL20" i="9"/>
  <c r="AM23" i="9"/>
  <c r="AM22" i="9"/>
  <c r="AR11" i="9"/>
  <c r="AQ13" i="9"/>
  <c r="AL11" i="9"/>
  <c r="AK13" i="9"/>
  <c r="AR13" i="9"/>
  <c r="AS11" i="9"/>
  <c r="AS15" i="9"/>
  <c r="AS16" i="9"/>
  <c r="AL17" i="9"/>
  <c r="AJ15" i="9"/>
  <c r="AJ16" i="9"/>
  <c r="AL15" i="9"/>
  <c r="AL16" i="9"/>
  <c r="AQ15" i="9"/>
  <c r="AQ16" i="9"/>
  <c r="AO15" i="9"/>
  <c r="AO16" i="9"/>
  <c r="AM15" i="9"/>
  <c r="AM16" i="9"/>
  <c r="AI15" i="9"/>
  <c r="AI16" i="9"/>
  <c r="AL18" i="9"/>
  <c r="AT15" i="9"/>
  <c r="AT16" i="9"/>
  <c r="AK15" i="9"/>
  <c r="AK16" i="9"/>
  <c r="AR15" i="9"/>
  <c r="AR16" i="9"/>
  <c r="AP15" i="9"/>
  <c r="AP16" i="9"/>
  <c r="AN15" i="9"/>
  <c r="AN16" i="9"/>
  <c r="I48" i="5"/>
  <c r="AY16" i="9" s="1"/>
  <c r="Q57" i="5"/>
  <c r="BG13" i="9" s="1"/>
  <c r="R16" i="9"/>
  <c r="M8" i="8"/>
  <c r="S15" i="9"/>
  <c r="K7" i="9"/>
  <c r="E6" i="8"/>
  <c r="K22" i="9"/>
  <c r="E11" i="8"/>
  <c r="M6" i="9"/>
  <c r="G5" i="8"/>
  <c r="K57" i="5"/>
  <c r="BA13" i="9" s="1"/>
  <c r="AN22" i="9"/>
  <c r="AN23" i="9"/>
  <c r="F12" i="8"/>
  <c r="L23" i="9"/>
  <c r="T17" i="9"/>
  <c r="N13" i="8"/>
  <c r="N10" i="8"/>
  <c r="T21" i="9"/>
  <c r="H4" i="8"/>
  <c r="N5" i="9"/>
  <c r="O7" i="9"/>
  <c r="I6" i="8"/>
  <c r="L6" i="8"/>
  <c r="R7" i="9"/>
  <c r="I6" i="9"/>
  <c r="C5" i="8"/>
  <c r="T5" i="9"/>
  <c r="N4" i="8"/>
  <c r="J3" i="8"/>
  <c r="P4" i="9"/>
  <c r="M12" i="8"/>
  <c r="S23" i="9"/>
  <c r="N21" i="9"/>
  <c r="H10" i="8"/>
  <c r="H13" i="8"/>
  <c r="N17" i="9"/>
  <c r="Q6" i="9"/>
  <c r="K5" i="8"/>
  <c r="I7" i="9"/>
  <c r="C6" i="8"/>
  <c r="N3" i="8"/>
  <c r="T4" i="9"/>
  <c r="J12" i="8"/>
  <c r="P23" i="9"/>
  <c r="P7" i="9"/>
  <c r="J6" i="8"/>
  <c r="M5" i="8"/>
  <c r="S6" i="9"/>
  <c r="H9" i="8"/>
  <c r="N20" i="9"/>
  <c r="C4" i="8"/>
  <c r="I5" i="9"/>
  <c r="AL21" i="9"/>
  <c r="AL6" i="9"/>
  <c r="AL5" i="9"/>
  <c r="F5" i="8"/>
  <c r="L6" i="9"/>
  <c r="N7" i="9"/>
  <c r="H6" i="8"/>
  <c r="Q23" i="9"/>
  <c r="K12" i="8"/>
  <c r="Q4" i="9"/>
  <c r="K3" i="8"/>
  <c r="I12" i="8"/>
  <c r="O23" i="9"/>
  <c r="L12" i="8"/>
  <c r="R23" i="9"/>
  <c r="C12" i="8"/>
  <c r="I23" i="9"/>
  <c r="N5" i="8"/>
  <c r="T6" i="9"/>
  <c r="N6" i="8"/>
  <c r="T7" i="9"/>
  <c r="M6" i="8"/>
  <c r="S7" i="9"/>
  <c r="F57" i="5"/>
  <c r="AV13" i="9" s="1"/>
  <c r="N57" i="5"/>
  <c r="BD13" i="9" s="1"/>
  <c r="F6" i="8"/>
  <c r="L7" i="9"/>
  <c r="N9" i="8"/>
  <c r="T20" i="9"/>
  <c r="N23" i="9"/>
  <c r="H12" i="8"/>
  <c r="Q7" i="9"/>
  <c r="K6" i="8"/>
  <c r="O4" i="9"/>
  <c r="I3" i="8"/>
  <c r="O6" i="9"/>
  <c r="I5" i="8"/>
  <c r="R4" i="9"/>
  <c r="L3" i="8"/>
  <c r="I4" i="9"/>
  <c r="C3" i="8"/>
  <c r="T23" i="9"/>
  <c r="N12" i="8"/>
  <c r="J5" i="8"/>
  <c r="P6" i="9"/>
  <c r="S5" i="9"/>
  <c r="M4" i="8"/>
  <c r="J6" i="9"/>
  <c r="D5" i="8"/>
  <c r="R15" i="9"/>
  <c r="L8" i="8"/>
  <c r="R18" i="9"/>
  <c r="R13" i="9"/>
  <c r="R11" i="9"/>
  <c r="G25" i="5"/>
  <c r="K24" i="5"/>
  <c r="K27" i="5"/>
  <c r="BA17" i="9" s="1"/>
  <c r="K25" i="5"/>
  <c r="R5" i="9"/>
  <c r="L4" i="8"/>
  <c r="R21" i="9"/>
  <c r="L10" i="8"/>
  <c r="L13" i="8"/>
  <c r="R17" i="9"/>
  <c r="R6" i="9"/>
  <c r="L5" i="8"/>
  <c r="R20" i="9"/>
  <c r="L9" i="8"/>
  <c r="N31" i="5"/>
  <c r="H31" i="5"/>
  <c r="I57" i="5"/>
  <c r="AY13" i="9" s="1"/>
  <c r="H57" i="5"/>
  <c r="AX13" i="9" s="1"/>
  <c r="H52" i="5"/>
  <c r="P57" i="5"/>
  <c r="BF13" i="9" s="1"/>
  <c r="O24" i="5"/>
  <c r="O25" i="5"/>
  <c r="O27" i="5"/>
  <c r="BE17" i="9" s="1"/>
  <c r="H24" i="5"/>
  <c r="M57" i="5"/>
  <c r="BC13" i="9" s="1"/>
  <c r="Q58" i="5"/>
  <c r="BG18" i="9" s="1"/>
  <c r="Q24" i="5"/>
  <c r="Q53" i="5"/>
  <c r="G26" i="5"/>
  <c r="G27" i="5"/>
  <c r="AW17" i="9" s="1"/>
  <c r="I25" i="5"/>
  <c r="P58" i="5"/>
  <c r="BF18" i="9" s="1"/>
  <c r="L57" i="5"/>
  <c r="BB13" i="9" s="1"/>
  <c r="L27" i="5"/>
  <c r="BB17" i="9" s="1"/>
  <c r="L25" i="5"/>
  <c r="AJ47" i="6" l="1"/>
  <c r="AI47" i="6"/>
  <c r="AI41" i="6"/>
  <c r="AI31" i="6"/>
  <c r="AI26" i="6"/>
  <c r="AI17" i="6"/>
  <c r="AI14" i="6" s="1"/>
  <c r="AI15" i="6" s="1"/>
  <c r="AJ56" i="5"/>
  <c r="BZ12" i="9" s="1"/>
  <c r="M29" i="7"/>
  <c r="P56" i="5"/>
  <c r="BF12" i="9" s="1"/>
  <c r="O56" i="5"/>
  <c r="BE12" i="9" s="1"/>
  <c r="L43" i="5"/>
  <c r="X56" i="5"/>
  <c r="BN12" i="9" s="1"/>
  <c r="R47" i="6"/>
  <c r="L3" i="7"/>
  <c r="L19" i="7" s="1"/>
  <c r="L29" i="7" s="1"/>
  <c r="L33" i="7" s="1"/>
  <c r="O55" i="5" s="1"/>
  <c r="BE11" i="9" s="1"/>
  <c r="D3" i="7"/>
  <c r="D19" i="7" s="1"/>
  <c r="G56" i="5" s="1"/>
  <c r="AW12" i="9" s="1"/>
  <c r="V56" i="5"/>
  <c r="BL12" i="9" s="1"/>
  <c r="Q47" i="6"/>
  <c r="K3" i="7"/>
  <c r="K19" i="7" s="1"/>
  <c r="C3" i="7"/>
  <c r="C19" i="7" s="1"/>
  <c r="F3" i="7"/>
  <c r="F19" i="7" s="1"/>
  <c r="J56" i="5"/>
  <c r="AZ12" i="9" s="1"/>
  <c r="M33" i="7"/>
  <c r="M35" i="7" s="1"/>
  <c r="M37" i="7" s="1"/>
  <c r="N56" i="6" s="1"/>
  <c r="U56" i="5"/>
  <c r="BK12" i="9" s="1"/>
  <c r="O57" i="5"/>
  <c r="BE13" i="9" s="1"/>
  <c r="O19" i="7"/>
  <c r="O29" i="7" s="1"/>
  <c r="O33" i="7" s="1"/>
  <c r="O35" i="7" s="1"/>
  <c r="O37" i="7" s="1"/>
  <c r="P56" i="6" s="1"/>
  <c r="F15" i="26"/>
  <c r="Z47" i="6"/>
  <c r="Z29" i="7"/>
  <c r="Z33" i="7" s="1"/>
  <c r="Z35" i="7" s="1"/>
  <c r="Z37" i="7" s="1"/>
  <c r="Y47" i="6"/>
  <c r="X3" i="7"/>
  <c r="X19" i="7" s="1"/>
  <c r="X29" i="7" s="1"/>
  <c r="X33" i="7" s="1"/>
  <c r="X35" i="7" s="1"/>
  <c r="X37" i="7" s="1"/>
  <c r="AD56" i="5"/>
  <c r="T29" i="7"/>
  <c r="T33" i="7" s="1"/>
  <c r="T35" i="7" s="1"/>
  <c r="T37" i="7" s="1"/>
  <c r="W56" i="5"/>
  <c r="BM12" i="9" s="1"/>
  <c r="K29" i="7"/>
  <c r="K33" i="7" s="1"/>
  <c r="N56" i="5"/>
  <c r="BD12" i="9" s="1"/>
  <c r="C29" i="7"/>
  <c r="C33" i="7" s="1"/>
  <c r="C35" i="7" s="1"/>
  <c r="C37" i="7" s="1"/>
  <c r="D56" i="6" s="1"/>
  <c r="F56" i="5"/>
  <c r="AV12" i="9" s="1"/>
  <c r="I56" i="5"/>
  <c r="AY12" i="9" s="1"/>
  <c r="F29" i="7"/>
  <c r="F33" i="7" s="1"/>
  <c r="AC56" i="5"/>
  <c r="J55" i="5"/>
  <c r="AZ11" i="9" s="1"/>
  <c r="G35" i="7"/>
  <c r="G37" i="7" s="1"/>
  <c r="H56" i="6" s="1"/>
  <c r="M56" i="5"/>
  <c r="BC12" i="9" s="1"/>
  <c r="J29" i="7"/>
  <c r="J33" i="7" s="1"/>
  <c r="T56" i="5"/>
  <c r="BJ12" i="9" s="1"/>
  <c r="AB56" i="5"/>
  <c r="BR12" i="9" s="1"/>
  <c r="B29" i="7"/>
  <c r="B33" i="7" s="1"/>
  <c r="B35" i="7" s="1"/>
  <c r="B37" i="7" s="1"/>
  <c r="F45" i="26"/>
  <c r="S56" i="5"/>
  <c r="BI12" i="9" s="1"/>
  <c r="I29" i="7"/>
  <c r="I33" i="7" s="1"/>
  <c r="L56" i="5"/>
  <c r="BB12" i="9" s="1"/>
  <c r="E35" i="7"/>
  <c r="E37" i="7" s="1"/>
  <c r="F56" i="6" s="1"/>
  <c r="H55" i="5"/>
  <c r="AX11" i="9" s="1"/>
  <c r="Z56" i="5"/>
  <c r="BP12" i="9" s="1"/>
  <c r="Y56" i="5"/>
  <c r="BO12" i="9" s="1"/>
  <c r="H56" i="5"/>
  <c r="AX12" i="9" s="1"/>
  <c r="O41" i="5"/>
  <c r="H41" i="5"/>
  <c r="X47" i="6"/>
  <c r="U42" i="5"/>
  <c r="N29" i="7"/>
  <c r="N33" i="7" s="1"/>
  <c r="F49" i="26"/>
  <c r="AA40" i="5"/>
  <c r="W47" i="6"/>
  <c r="T42" i="5"/>
  <c r="J57" i="5"/>
  <c r="AZ13" i="9" s="1"/>
  <c r="F44" i="26"/>
  <c r="F27" i="26" s="1"/>
  <c r="H3" i="7"/>
  <c r="H19" i="7" s="1"/>
  <c r="G42" i="5"/>
  <c r="K40" i="5"/>
  <c r="N43" i="5"/>
  <c r="Z41" i="5"/>
  <c r="M43" i="5"/>
  <c r="E56" i="5"/>
  <c r="AU12" i="9" s="1"/>
  <c r="V47" i="6"/>
  <c r="U47" i="6"/>
  <c r="AB47" i="6"/>
  <c r="T47" i="6"/>
  <c r="X41" i="5"/>
  <c r="L42" i="5"/>
  <c r="AA47" i="6"/>
  <c r="S47" i="6"/>
  <c r="V41" i="5"/>
  <c r="W42" i="5"/>
  <c r="C19" i="6"/>
  <c r="B55" i="4"/>
  <c r="B4" i="4"/>
  <c r="L41" i="5"/>
  <c r="K26" i="5"/>
  <c r="L40" i="5"/>
  <c r="O26" i="5"/>
  <c r="T31" i="5"/>
  <c r="T40" i="5"/>
  <c r="H30" i="5"/>
  <c r="R27" i="4"/>
  <c r="U57" i="5" s="1"/>
  <c r="BK13" i="9" s="1"/>
  <c r="X33" i="5"/>
  <c r="S31" i="5"/>
  <c r="H43" i="5"/>
  <c r="P9" i="5"/>
  <c r="M47" i="5"/>
  <c r="BC15" i="9" s="1"/>
  <c r="M48" i="5"/>
  <c r="BC16" i="9" s="1"/>
  <c r="L48" i="5"/>
  <c r="BB16" i="9" s="1"/>
  <c r="F10" i="6"/>
  <c r="P26" i="5"/>
  <c r="H32" i="5"/>
  <c r="L33" i="5"/>
  <c r="P31" i="5"/>
  <c r="H40" i="5"/>
  <c r="AB48" i="5"/>
  <c r="BR16" i="9" s="1"/>
  <c r="T48" i="5"/>
  <c r="BJ16" i="9" s="1"/>
  <c r="S55" i="4"/>
  <c r="V55" i="4"/>
  <c r="V56" i="4" s="1"/>
  <c r="W55" i="4"/>
  <c r="AA55" i="4"/>
  <c r="AA56" i="4" s="1"/>
  <c r="AA31" i="6"/>
  <c r="S31" i="6"/>
  <c r="V48" i="5"/>
  <c r="BL16" i="9" s="1"/>
  <c r="U40" i="4"/>
  <c r="X40" i="4"/>
  <c r="P40" i="4"/>
  <c r="P56" i="4" s="1"/>
  <c r="U55" i="4"/>
  <c r="K48" i="5"/>
  <c r="BA16" i="9" s="1"/>
  <c r="P6" i="6"/>
  <c r="S40" i="5" s="1"/>
  <c r="H42" i="5"/>
  <c r="K33" i="5"/>
  <c r="O31" i="5"/>
  <c r="G31" i="5"/>
  <c r="W40" i="4"/>
  <c r="W56" i="4" s="1"/>
  <c r="V40" i="4"/>
  <c r="P27" i="4"/>
  <c r="U31" i="6"/>
  <c r="W44" i="5" s="1"/>
  <c r="AA42" i="5"/>
  <c r="S33" i="5"/>
  <c r="K31" i="5"/>
  <c r="F25" i="26"/>
  <c r="H48" i="5"/>
  <c r="AX16" i="9" s="1"/>
  <c r="S40" i="4"/>
  <c r="Q40" i="4"/>
  <c r="P55" i="4"/>
  <c r="AE52" i="5"/>
  <c r="Y41" i="5"/>
  <c r="AA41" i="6"/>
  <c r="Z55" i="4"/>
  <c r="Z40" i="4"/>
  <c r="AA31" i="5"/>
  <c r="Y27" i="4"/>
  <c r="AB55" i="5" s="1"/>
  <c r="BR11" i="9" s="1"/>
  <c r="AA26" i="6"/>
  <c r="AB36" i="6"/>
  <c r="BR15" i="9"/>
  <c r="AB57" i="5"/>
  <c r="BR13" i="9" s="1"/>
  <c r="T55" i="5"/>
  <c r="BJ11" i="9" s="1"/>
  <c r="T57" i="5"/>
  <c r="BJ13" i="9" s="1"/>
  <c r="R5" i="6"/>
  <c r="F40" i="26"/>
  <c r="B27" i="4"/>
  <c r="C36" i="6"/>
  <c r="AC57" i="5"/>
  <c r="AA5" i="6"/>
  <c r="AC53" i="5" s="1"/>
  <c r="U55" i="5"/>
  <c r="BK11" i="9" s="1"/>
  <c r="S5" i="6"/>
  <c r="U15" i="5" s="1"/>
  <c r="BK21" i="9" s="1"/>
  <c r="BR22" i="9"/>
  <c r="T19" i="5"/>
  <c r="BJ22" i="9" s="1"/>
  <c r="O55" i="4"/>
  <c r="P19" i="6"/>
  <c r="Z57" i="5"/>
  <c r="BP13" i="9" s="1"/>
  <c r="X5" i="6"/>
  <c r="Z55" i="5"/>
  <c r="BP11" i="9" s="1"/>
  <c r="O56" i="4"/>
  <c r="O57" i="4" s="1"/>
  <c r="S56" i="4"/>
  <c r="F20" i="25"/>
  <c r="F43" i="25"/>
  <c r="F25" i="25"/>
  <c r="F15" i="25"/>
  <c r="I10" i="6"/>
  <c r="X47" i="5"/>
  <c r="BN15" i="9" s="1"/>
  <c r="V36" i="6"/>
  <c r="X48" i="5"/>
  <c r="BN16" i="9" s="1"/>
  <c r="T27" i="4"/>
  <c r="S55" i="5"/>
  <c r="BI11" i="9" s="1"/>
  <c r="S57" i="5"/>
  <c r="BI13" i="9" s="1"/>
  <c r="U15" i="6"/>
  <c r="W8" i="5"/>
  <c r="BM7" i="9" s="1"/>
  <c r="W6" i="5"/>
  <c r="BM4" i="9" s="1"/>
  <c r="AB6" i="6"/>
  <c r="W47" i="5"/>
  <c r="BM15" i="9" s="1"/>
  <c r="U36" i="6"/>
  <c r="S27" i="4"/>
  <c r="Y55" i="4"/>
  <c r="Y42" i="5"/>
  <c r="AA6" i="6"/>
  <c r="Q5" i="6"/>
  <c r="S53" i="5" s="1"/>
  <c r="B40" i="4"/>
  <c r="B56" i="4" s="1"/>
  <c r="AA27" i="4"/>
  <c r="AD52" i="5"/>
  <c r="AB55" i="4"/>
  <c r="X55" i="4"/>
  <c r="X56" i="4" s="1"/>
  <c r="Y41" i="6"/>
  <c r="Z36" i="6"/>
  <c r="X31" i="6"/>
  <c r="Q19" i="6"/>
  <c r="Q17" i="6" s="1"/>
  <c r="Q14" i="6" s="1"/>
  <c r="T32" i="5"/>
  <c r="V6" i="6"/>
  <c r="Y31" i="5" s="1"/>
  <c r="C6" i="6"/>
  <c r="AA36" i="6"/>
  <c r="AC48" i="5"/>
  <c r="S36" i="6"/>
  <c r="U48" i="5"/>
  <c r="BK16" i="9" s="1"/>
  <c r="U47" i="5"/>
  <c r="BK15" i="9" s="1"/>
  <c r="X41" i="6"/>
  <c r="Z41" i="6"/>
  <c r="Z58" i="5"/>
  <c r="BP18" i="9" s="1"/>
  <c r="U21" i="5"/>
  <c r="U34" i="5"/>
  <c r="T21" i="5"/>
  <c r="X26" i="6"/>
  <c r="AA32" i="5"/>
  <c r="S32" i="5"/>
  <c r="S26" i="5"/>
  <c r="T6" i="6"/>
  <c r="Z42" i="5"/>
  <c r="S14" i="5"/>
  <c r="BI20" i="9" s="1"/>
  <c r="X27" i="4"/>
  <c r="Y40" i="4"/>
  <c r="W41" i="6"/>
  <c r="Y36" i="5" s="1"/>
  <c r="R41" i="6"/>
  <c r="W36" i="6"/>
  <c r="V31" i="6"/>
  <c r="Y34" i="5" s="1"/>
  <c r="V42" i="5"/>
  <c r="S6" i="6"/>
  <c r="N26" i="5"/>
  <c r="F32" i="5"/>
  <c r="K30" i="5"/>
  <c r="AA48" i="5"/>
  <c r="BQ16" i="9" s="1"/>
  <c r="Y36" i="6"/>
  <c r="S48" i="5"/>
  <c r="BI16" i="9" s="1"/>
  <c r="Q36" i="6"/>
  <c r="S58" i="5" s="1"/>
  <c r="BI18" i="9" s="1"/>
  <c r="T40" i="4"/>
  <c r="T56" i="4" s="1"/>
  <c r="R55" i="4"/>
  <c r="R56" i="4" s="1"/>
  <c r="V41" i="6"/>
  <c r="T36" i="6"/>
  <c r="V26" i="6"/>
  <c r="Z17" i="6"/>
  <c r="Z14" i="6" s="1"/>
  <c r="R17" i="6"/>
  <c r="R14" i="6" s="1"/>
  <c r="T20" i="5" s="1"/>
  <c r="BJ23" i="9" s="1"/>
  <c r="T41" i="5"/>
  <c r="W40" i="5"/>
  <c r="S24" i="5"/>
  <c r="K58" i="5"/>
  <c r="BA18" i="9" s="1"/>
  <c r="Z48" i="5"/>
  <c r="BP16" i="9" s="1"/>
  <c r="Z47" i="5"/>
  <c r="BP15" i="9" s="1"/>
  <c r="O27" i="4"/>
  <c r="V27" i="4"/>
  <c r="Z40" i="5"/>
  <c r="Q55" i="4"/>
  <c r="Q56" i="4" s="1"/>
  <c r="U41" i="6"/>
  <c r="R36" i="6"/>
  <c r="AB31" i="6"/>
  <c r="T31" i="6"/>
  <c r="U26" i="6"/>
  <c r="Y17" i="6"/>
  <c r="Y14" i="6" s="1"/>
  <c r="AA41" i="5"/>
  <c r="S41" i="5"/>
  <c r="T33" i="5"/>
  <c r="T47" i="5"/>
  <c r="BJ15" i="9" s="1"/>
  <c r="V32" i="5"/>
  <c r="F24" i="25"/>
  <c r="F21" i="25"/>
  <c r="C41" i="6"/>
  <c r="E36" i="5" s="1"/>
  <c r="P42" i="5"/>
  <c r="L26" i="5"/>
  <c r="P33" i="5"/>
  <c r="L31" i="5"/>
  <c r="P30" i="5"/>
  <c r="U27" i="4"/>
  <c r="Y40" i="5"/>
  <c r="AB41" i="6"/>
  <c r="Z9" i="5"/>
  <c r="S27" i="5"/>
  <c r="BI17" i="9" s="1"/>
  <c r="S25" i="5"/>
  <c r="Y48" i="5"/>
  <c r="BO16" i="9" s="1"/>
  <c r="S47" i="5"/>
  <c r="BI15" i="9" s="1"/>
  <c r="W35" i="5"/>
  <c r="AA33" i="5"/>
  <c r="AB17" i="6"/>
  <c r="AB14" i="6" s="1"/>
  <c r="T17" i="6"/>
  <c r="T14" i="6" s="1"/>
  <c r="AA17" i="6"/>
  <c r="AA14" i="6" s="1"/>
  <c r="S17" i="6"/>
  <c r="S14" i="6" s="1"/>
  <c r="U20" i="5" s="1"/>
  <c r="BK23" i="9" s="1"/>
  <c r="Z33" i="5"/>
  <c r="W32" i="5"/>
  <c r="T41" i="6"/>
  <c r="W26" i="6"/>
  <c r="AB26" i="6"/>
  <c r="T26" i="6"/>
  <c r="X17" i="6"/>
  <c r="X14" i="6" s="1"/>
  <c r="U25" i="5"/>
  <c r="U9" i="5"/>
  <c r="S41" i="6"/>
  <c r="Y31" i="6"/>
  <c r="Q31" i="6"/>
  <c r="T44" i="5" s="1"/>
  <c r="W17" i="6"/>
  <c r="W14" i="6" s="1"/>
  <c r="V44" i="5"/>
  <c r="X42" i="5"/>
  <c r="U41" i="5"/>
  <c r="V17" i="6"/>
  <c r="V14" i="6" s="1"/>
  <c r="AC44" i="5"/>
  <c r="U44" i="5"/>
  <c r="Q41" i="6"/>
  <c r="Y26" i="6"/>
  <c r="Q26" i="6"/>
  <c r="O10" i="6"/>
  <c r="Q48" i="5"/>
  <c r="BG16" i="9" s="1"/>
  <c r="R55" i="5"/>
  <c r="BH11" i="9" s="1"/>
  <c r="P5" i="6"/>
  <c r="R26" i="5" s="1"/>
  <c r="J25" i="5"/>
  <c r="C26" i="6"/>
  <c r="E19" i="5" s="1"/>
  <c r="AU22" i="9" s="1"/>
  <c r="M58" i="5"/>
  <c r="BC18" i="9" s="1"/>
  <c r="G9" i="5"/>
  <c r="F31" i="5"/>
  <c r="K42" i="5"/>
  <c r="O42" i="5"/>
  <c r="G40" i="5"/>
  <c r="P31" i="6"/>
  <c r="J26" i="5"/>
  <c r="O9" i="5"/>
  <c r="K9" i="5"/>
  <c r="G32" i="5"/>
  <c r="P41" i="5"/>
  <c r="F26" i="25"/>
  <c r="J17" i="6"/>
  <c r="F17" i="6"/>
  <c r="I17" i="6"/>
  <c r="I14" i="6" s="1"/>
  <c r="J30" i="5"/>
  <c r="G43" i="5"/>
  <c r="O40" i="5"/>
  <c r="F27" i="5"/>
  <c r="AV17" i="9" s="1"/>
  <c r="J40" i="5"/>
  <c r="F40" i="5"/>
  <c r="F10" i="26"/>
  <c r="O32" i="5"/>
  <c r="P26" i="6"/>
  <c r="R19" i="5" s="1"/>
  <c r="BH22" i="9" s="1"/>
  <c r="P17" i="6"/>
  <c r="P14" i="6" s="1"/>
  <c r="P15" i="6" s="1"/>
  <c r="N15" i="5"/>
  <c r="BD21" i="9" s="1"/>
  <c r="J15" i="5"/>
  <c r="AZ21" i="9" s="1"/>
  <c r="F15" i="5"/>
  <c r="AV21" i="9" s="1"/>
  <c r="N14" i="5"/>
  <c r="BD20" i="9" s="1"/>
  <c r="J14" i="5"/>
  <c r="AZ20" i="9" s="1"/>
  <c r="F14" i="5"/>
  <c r="AV20" i="9" s="1"/>
  <c r="N58" i="5"/>
  <c r="BD18" i="9" s="1"/>
  <c r="F58" i="5"/>
  <c r="AV18" i="9" s="1"/>
  <c r="N53" i="5"/>
  <c r="J53" i="5"/>
  <c r="F53" i="5"/>
  <c r="Q42" i="5"/>
  <c r="M33" i="5"/>
  <c r="M30" i="5"/>
  <c r="K43" i="5"/>
  <c r="J58" i="5"/>
  <c r="AZ18" i="9" s="1"/>
  <c r="O43" i="5"/>
  <c r="O30" i="5"/>
  <c r="N24" i="5"/>
  <c r="F26" i="5"/>
  <c r="F24" i="5"/>
  <c r="F22" i="25"/>
  <c r="F42" i="5"/>
  <c r="O33" i="5"/>
  <c r="K17" i="6"/>
  <c r="K14" i="6" s="1"/>
  <c r="G17" i="6"/>
  <c r="L14" i="5"/>
  <c r="BB20" i="9" s="1"/>
  <c r="H15" i="5"/>
  <c r="AX21" i="9" s="1"/>
  <c r="E17" i="6"/>
  <c r="E14" i="6" s="1"/>
  <c r="J24" i="5"/>
  <c r="F25" i="5"/>
  <c r="C31" i="6"/>
  <c r="E44" i="5" s="1"/>
  <c r="F33" i="5"/>
  <c r="K41" i="5"/>
  <c r="J41" i="5"/>
  <c r="H17" i="6"/>
  <c r="H14" i="6" s="1"/>
  <c r="J9" i="5"/>
  <c r="N42" i="5"/>
  <c r="M42" i="5"/>
  <c r="J42" i="5"/>
  <c r="I42" i="5"/>
  <c r="M32" i="5"/>
  <c r="N32" i="5"/>
  <c r="Q25" i="5"/>
  <c r="Q33" i="5"/>
  <c r="J33" i="5"/>
  <c r="I33" i="5"/>
  <c r="J31" i="5"/>
  <c r="I31" i="5"/>
  <c r="I40" i="5"/>
  <c r="J43" i="5"/>
  <c r="I43" i="5"/>
  <c r="M26" i="5"/>
  <c r="M27" i="5"/>
  <c r="BC17" i="9" s="1"/>
  <c r="I58" i="5"/>
  <c r="AY18" i="9" s="1"/>
  <c r="N30" i="5"/>
  <c r="I30" i="5"/>
  <c r="F13" i="25"/>
  <c r="F12" i="25"/>
  <c r="P41" i="6"/>
  <c r="Q15" i="5"/>
  <c r="BG21" i="9" s="1"/>
  <c r="M15" i="5"/>
  <c r="BC21" i="9" s="1"/>
  <c r="I15" i="5"/>
  <c r="AY21" i="9" s="1"/>
  <c r="Q14" i="5"/>
  <c r="BG20" i="9" s="1"/>
  <c r="M14" i="5"/>
  <c r="BC20" i="9" s="1"/>
  <c r="I14" i="5"/>
  <c r="AY20" i="9" s="1"/>
  <c r="I53" i="5"/>
  <c r="Q9" i="5"/>
  <c r="F20" i="26"/>
  <c r="N41" i="5"/>
  <c r="L17" i="6"/>
  <c r="L14" i="6" s="1"/>
  <c r="N9" i="5"/>
  <c r="F9" i="5"/>
  <c r="F41" i="5"/>
  <c r="D17" i="6"/>
  <c r="D14" i="6" s="1"/>
  <c r="G41" i="5"/>
  <c r="Q32" i="5"/>
  <c r="Q26" i="5"/>
  <c r="I32" i="5"/>
  <c r="J32" i="5"/>
  <c r="I26" i="5"/>
  <c r="N33" i="5"/>
  <c r="M25" i="5"/>
  <c r="R31" i="5"/>
  <c r="Q40" i="5"/>
  <c r="Q31" i="5"/>
  <c r="N40" i="5"/>
  <c r="M40" i="5"/>
  <c r="M24" i="5"/>
  <c r="Q43" i="5"/>
  <c r="Q30" i="5"/>
  <c r="M53" i="5"/>
  <c r="I24" i="5"/>
  <c r="I27" i="5"/>
  <c r="AY17" i="9" s="1"/>
  <c r="Q27" i="5"/>
  <c r="BG17" i="9" s="1"/>
  <c r="R40" i="5"/>
  <c r="C17" i="6"/>
  <c r="C14" i="6" s="1"/>
  <c r="E8" i="5" s="1"/>
  <c r="AU7" i="9" s="1"/>
  <c r="L24" i="5"/>
  <c r="L9" i="5"/>
  <c r="L30" i="5"/>
  <c r="P43" i="5"/>
  <c r="P15" i="5"/>
  <c r="BF21" i="9" s="1"/>
  <c r="P14" i="5"/>
  <c r="BF20" i="9" s="1"/>
  <c r="H53" i="5"/>
  <c r="H9" i="5"/>
  <c r="M41" i="5"/>
  <c r="F30" i="25"/>
  <c r="F17" i="25" s="1"/>
  <c r="F7" i="25"/>
  <c r="P40" i="5"/>
  <c r="Q41" i="5"/>
  <c r="R42" i="5"/>
  <c r="M9" i="5"/>
  <c r="P53" i="5"/>
  <c r="I9" i="5"/>
  <c r="F8" i="25"/>
  <c r="E55" i="5"/>
  <c r="AU11" i="9" s="1"/>
  <c r="E57" i="5"/>
  <c r="AU13" i="9" s="1"/>
  <c r="E47" i="5"/>
  <c r="AU15" i="9" s="1"/>
  <c r="E48" i="5"/>
  <c r="AU16" i="9" s="1"/>
  <c r="E31" i="5"/>
  <c r="E40" i="5"/>
  <c r="E41" i="5"/>
  <c r="E42" i="5"/>
  <c r="E33" i="5"/>
  <c r="E32" i="5"/>
  <c r="O47" i="6"/>
  <c r="N47" i="6"/>
  <c r="M47" i="6"/>
  <c r="L47" i="6"/>
  <c r="K47" i="6"/>
  <c r="J47" i="6"/>
  <c r="I47" i="6"/>
  <c r="H47" i="6"/>
  <c r="G47" i="6"/>
  <c r="F47" i="6"/>
  <c r="E47" i="6"/>
  <c r="D47" i="6"/>
  <c r="O41" i="6"/>
  <c r="N41" i="6"/>
  <c r="P36" i="5" s="1"/>
  <c r="M41" i="6"/>
  <c r="L41" i="6"/>
  <c r="K41" i="6"/>
  <c r="J41" i="6"/>
  <c r="I41" i="6"/>
  <c r="H41" i="6"/>
  <c r="G41" i="6"/>
  <c r="F41" i="6"/>
  <c r="E41" i="6"/>
  <c r="D41" i="6"/>
  <c r="O31" i="6"/>
  <c r="N31" i="6"/>
  <c r="M31" i="6"/>
  <c r="L31" i="6"/>
  <c r="K31" i="6"/>
  <c r="J31" i="6"/>
  <c r="I31" i="6"/>
  <c r="K21" i="5" s="1"/>
  <c r="H31" i="6"/>
  <c r="G31" i="6"/>
  <c r="F31" i="6"/>
  <c r="E31" i="6"/>
  <c r="D31" i="6"/>
  <c r="O26" i="6"/>
  <c r="N26" i="6"/>
  <c r="M26" i="6"/>
  <c r="L26" i="6"/>
  <c r="K26" i="6"/>
  <c r="J26" i="6"/>
  <c r="I26" i="6"/>
  <c r="H26" i="6"/>
  <c r="G26" i="6"/>
  <c r="F26" i="6"/>
  <c r="E26" i="6"/>
  <c r="D26" i="6"/>
  <c r="O17" i="6"/>
  <c r="O14" i="6" s="1"/>
  <c r="N17" i="6"/>
  <c r="N14" i="6" s="1"/>
  <c r="M17" i="6"/>
  <c r="M14" i="6" s="1"/>
  <c r="J14" i="6"/>
  <c r="G14" i="6"/>
  <c r="F14" i="6"/>
  <c r="R6" i="5"/>
  <c r="BH4" i="9" s="1"/>
  <c r="AH22" i="9"/>
  <c r="AJ12" i="9"/>
  <c r="AL12" i="9"/>
  <c r="AK12" i="9"/>
  <c r="AI12" i="9"/>
  <c r="AT12" i="9"/>
  <c r="AS12" i="9"/>
  <c r="AR12" i="9"/>
  <c r="AQ12" i="9"/>
  <c r="AP12" i="9"/>
  <c r="AO12" i="9"/>
  <c r="AN12" i="9"/>
  <c r="AM12" i="9"/>
  <c r="R56" i="5"/>
  <c r="BH12" i="9" s="1"/>
  <c r="R57" i="5"/>
  <c r="BH13" i="9" s="1"/>
  <c r="R32" i="5"/>
  <c r="R25" i="5"/>
  <c r="R33" i="5"/>
  <c r="R47" i="5"/>
  <c r="BH15" i="9" s="1"/>
  <c r="R48" i="5"/>
  <c r="BH16" i="9" s="1"/>
  <c r="AJ55" i="5" l="1"/>
  <c r="BZ11" i="9" s="1"/>
  <c r="AA56" i="5"/>
  <c r="BQ12" i="9" s="1"/>
  <c r="AC55" i="5"/>
  <c r="L35" i="7"/>
  <c r="L37" i="7" s="1"/>
  <c r="M56" i="6" s="1"/>
  <c r="P55" i="5"/>
  <c r="BF11" i="9" s="1"/>
  <c r="D29" i="7"/>
  <c r="D33" i="7" s="1"/>
  <c r="I55" i="5"/>
  <c r="AY11" i="9" s="1"/>
  <c r="F35" i="7"/>
  <c r="F37" i="7" s="1"/>
  <c r="G56" i="6" s="1"/>
  <c r="AE56" i="5"/>
  <c r="G55" i="5"/>
  <c r="AW11" i="9" s="1"/>
  <c r="D35" i="7"/>
  <c r="D37" i="7" s="1"/>
  <c r="E56" i="6" s="1"/>
  <c r="F18" i="26"/>
  <c r="K35" i="7"/>
  <c r="K37" i="7" s="1"/>
  <c r="L56" i="6" s="1"/>
  <c r="N55" i="5"/>
  <c r="BD11" i="9" s="1"/>
  <c r="H29" i="7"/>
  <c r="H33" i="7" s="1"/>
  <c r="K56" i="5"/>
  <c r="BA12" i="9" s="1"/>
  <c r="Q55" i="5"/>
  <c r="BG11" i="9" s="1"/>
  <c r="N35" i="7"/>
  <c r="N37" i="7" s="1"/>
  <c r="O56" i="6" s="1"/>
  <c r="I35" i="7"/>
  <c r="I37" i="7" s="1"/>
  <c r="J56" i="6" s="1"/>
  <c r="L55" i="5"/>
  <c r="BB11" i="9" s="1"/>
  <c r="C56" i="6"/>
  <c r="F50" i="26"/>
  <c r="J35" i="7"/>
  <c r="J37" i="7" s="1"/>
  <c r="K56" i="6" s="1"/>
  <c r="M55" i="5"/>
  <c r="BC11" i="9" s="1"/>
  <c r="F16" i="26"/>
  <c r="AB56" i="4"/>
  <c r="R34" i="5"/>
  <c r="U26" i="5"/>
  <c r="U14" i="5"/>
  <c r="BK20" i="9" s="1"/>
  <c r="R27" i="5"/>
  <c r="BH17" i="9" s="1"/>
  <c r="R53" i="5"/>
  <c r="W34" i="5"/>
  <c r="Z5" i="6"/>
  <c r="BR20" i="9" s="1"/>
  <c r="R43" i="5"/>
  <c r="U53" i="5"/>
  <c r="R24" i="5"/>
  <c r="R21" i="5"/>
  <c r="S36" i="5"/>
  <c r="U58" i="5"/>
  <c r="BK18" i="9" s="1"/>
  <c r="U56" i="4"/>
  <c r="R14" i="5"/>
  <c r="BH20" i="9" s="1"/>
  <c r="V36" i="5"/>
  <c r="Z56" i="4"/>
  <c r="Y56" i="4"/>
  <c r="AC58" i="5"/>
  <c r="AD44" i="5"/>
  <c r="S20" i="5"/>
  <c r="BI23" i="9" s="1"/>
  <c r="S19" i="5"/>
  <c r="BI22" i="9" s="1"/>
  <c r="Y20" i="5"/>
  <c r="BO23" i="9" s="1"/>
  <c r="Y19" i="5"/>
  <c r="BO22" i="9" s="1"/>
  <c r="Y15" i="6"/>
  <c r="AA35" i="5"/>
  <c r="AA6" i="5"/>
  <c r="BQ4" i="9" s="1"/>
  <c r="AA8" i="5"/>
  <c r="BQ7" i="9" s="1"/>
  <c r="Z15" i="6"/>
  <c r="AB6" i="5"/>
  <c r="BR4" i="9" s="1"/>
  <c r="BR7" i="9"/>
  <c r="U24" i="5"/>
  <c r="U40" i="5"/>
  <c r="U31" i="5"/>
  <c r="T36" i="5"/>
  <c r="AB5" i="6"/>
  <c r="AD55" i="5"/>
  <c r="AD57" i="5"/>
  <c r="U5" i="6"/>
  <c r="W57" i="5"/>
  <c r="BM13" i="9" s="1"/>
  <c r="W55" i="5"/>
  <c r="BM11" i="9" s="1"/>
  <c r="Z43" i="5"/>
  <c r="Z26" i="5"/>
  <c r="R9" i="5"/>
  <c r="R10" i="5"/>
  <c r="BH6" i="9" s="1"/>
  <c r="AA20" i="5"/>
  <c r="BQ23" i="9" s="1"/>
  <c r="AA19" i="5"/>
  <c r="BQ22" i="9" s="1"/>
  <c r="W19" i="5"/>
  <c r="BM22" i="9" s="1"/>
  <c r="W20" i="5"/>
  <c r="BM23" i="9" s="1"/>
  <c r="Z24" i="5"/>
  <c r="T34" i="5"/>
  <c r="X19" i="5"/>
  <c r="BN22" i="9" s="1"/>
  <c r="X20" i="5"/>
  <c r="BN23" i="9" s="1"/>
  <c r="Z20" i="5"/>
  <c r="BP23" i="9" s="1"/>
  <c r="Z19" i="5"/>
  <c r="BP22" i="9" s="1"/>
  <c r="Z53" i="5"/>
  <c r="X40" i="5"/>
  <c r="X31" i="5"/>
  <c r="Z34" i="5"/>
  <c r="Z21" i="5"/>
  <c r="S30" i="5"/>
  <c r="S43" i="5"/>
  <c r="X58" i="5"/>
  <c r="BN18" i="9" s="1"/>
  <c r="Z15" i="5"/>
  <c r="BP21" i="9" s="1"/>
  <c r="T30" i="5"/>
  <c r="T43" i="5"/>
  <c r="T27" i="5"/>
  <c r="BJ17" i="9" s="1"/>
  <c r="T53" i="5"/>
  <c r="R58" i="5"/>
  <c r="BH18" i="9" s="1"/>
  <c r="R15" i="5"/>
  <c r="BH21" i="9" s="1"/>
  <c r="V5" i="6"/>
  <c r="X21" i="5" s="1"/>
  <c r="X57" i="5"/>
  <c r="BN13" i="9" s="1"/>
  <c r="X55" i="5"/>
  <c r="BN11" i="9" s="1"/>
  <c r="S9" i="5"/>
  <c r="W36" i="5"/>
  <c r="Y57" i="5"/>
  <c r="BO13" i="9" s="1"/>
  <c r="W5" i="6"/>
  <c r="Y55" i="5"/>
  <c r="BO11" i="9" s="1"/>
  <c r="T9" i="5"/>
  <c r="Z44" i="5"/>
  <c r="Z25" i="5"/>
  <c r="T15" i="5"/>
  <c r="BJ21" i="9" s="1"/>
  <c r="S15" i="6"/>
  <c r="U10" i="5" s="1"/>
  <c r="BK6" i="9" s="1"/>
  <c r="U7" i="5"/>
  <c r="BK5" i="9" s="1"/>
  <c r="U35" i="5"/>
  <c r="U8" i="5"/>
  <c r="BK7" i="9" s="1"/>
  <c r="U6" i="5"/>
  <c r="BK4" i="9" s="1"/>
  <c r="V34" i="5"/>
  <c r="X36" i="5"/>
  <c r="Z14" i="5"/>
  <c r="BP20" i="9" s="1"/>
  <c r="T24" i="5"/>
  <c r="AA55" i="5"/>
  <c r="BQ11" i="9" s="1"/>
  <c r="AA57" i="5"/>
  <c r="BQ13" i="9" s="1"/>
  <c r="Y5" i="6"/>
  <c r="V31" i="5"/>
  <c r="V40" i="5"/>
  <c r="Z36" i="5"/>
  <c r="AA36" i="5"/>
  <c r="S15" i="5"/>
  <c r="BI21" i="9" s="1"/>
  <c r="W31" i="5"/>
  <c r="U30" i="5"/>
  <c r="U27" i="5"/>
  <c r="BK17" i="9" s="1"/>
  <c r="U43" i="5"/>
  <c r="B57" i="4"/>
  <c r="C5" i="6"/>
  <c r="E7" i="5" s="1"/>
  <c r="AU5" i="9" s="1"/>
  <c r="F29" i="26"/>
  <c r="F55" i="5"/>
  <c r="AV11" i="9" s="1"/>
  <c r="BR23" i="9"/>
  <c r="AE57" i="5"/>
  <c r="AE55" i="5"/>
  <c r="AB57" i="4"/>
  <c r="W15" i="6"/>
  <c r="Y10" i="5" s="1"/>
  <c r="BO6" i="9" s="1"/>
  <c r="Y6" i="5"/>
  <c r="BO4" i="9" s="1"/>
  <c r="Y8" i="5"/>
  <c r="BO7" i="9" s="1"/>
  <c r="Y35" i="5"/>
  <c r="V15" i="6"/>
  <c r="X8" i="5"/>
  <c r="BN7" i="9" s="1"/>
  <c r="X35" i="5"/>
  <c r="X6" i="5"/>
  <c r="BN4" i="9" s="1"/>
  <c r="X15" i="6"/>
  <c r="Z10" i="5" s="1"/>
  <c r="BP6" i="9" s="1"/>
  <c r="Z35" i="5"/>
  <c r="Z6" i="5"/>
  <c r="BP4" i="9" s="1"/>
  <c r="Z8" i="5"/>
  <c r="BP7" i="9" s="1"/>
  <c r="Z7" i="5"/>
  <c r="BP5" i="9" s="1"/>
  <c r="Q15" i="6"/>
  <c r="S10" i="5" s="1"/>
  <c r="BI6" i="9" s="1"/>
  <c r="S35" i="5"/>
  <c r="S6" i="5"/>
  <c r="BI4" i="9" s="1"/>
  <c r="S8" i="5"/>
  <c r="BI7" i="9" s="1"/>
  <c r="S7" i="5"/>
  <c r="BI5" i="9" s="1"/>
  <c r="R15" i="6"/>
  <c r="T10" i="5" s="1"/>
  <c r="BJ6" i="9" s="1"/>
  <c r="T7" i="5"/>
  <c r="BJ5" i="9" s="1"/>
  <c r="T35" i="5"/>
  <c r="T6" i="5"/>
  <c r="BJ4" i="9" s="1"/>
  <c r="T8" i="5"/>
  <c r="BJ7" i="9" s="1"/>
  <c r="X34" i="5"/>
  <c r="Y44" i="5"/>
  <c r="U19" i="5"/>
  <c r="BK22" i="9" s="1"/>
  <c r="T25" i="5"/>
  <c r="AA34" i="5"/>
  <c r="AA44" i="5"/>
  <c r="V19" i="5"/>
  <c r="BL22" i="9" s="1"/>
  <c r="V20" i="5"/>
  <c r="BL23" i="9" s="1"/>
  <c r="T15" i="6"/>
  <c r="V6" i="5"/>
  <c r="BL4" i="9" s="1"/>
  <c r="V8" i="5"/>
  <c r="BL7" i="9" s="1"/>
  <c r="V35" i="5"/>
  <c r="AE58" i="5"/>
  <c r="T5" i="6"/>
  <c r="V24" i="5" s="1"/>
  <c r="V55" i="5"/>
  <c r="BL11" i="9" s="1"/>
  <c r="V57" i="5"/>
  <c r="BL13" i="9" s="1"/>
  <c r="Z27" i="5"/>
  <c r="BP17" i="9" s="1"/>
  <c r="X44" i="5"/>
  <c r="T14" i="5"/>
  <c r="BJ20" i="9" s="1"/>
  <c r="R30" i="5"/>
  <c r="S34" i="5"/>
  <c r="S44" i="5"/>
  <c r="S21" i="5"/>
  <c r="AA15" i="6"/>
  <c r="AC6" i="5"/>
  <c r="BS4" i="9" s="1"/>
  <c r="U36" i="5"/>
  <c r="AB15" i="6"/>
  <c r="AD6" i="5"/>
  <c r="T58" i="5"/>
  <c r="BJ18" i="9" s="1"/>
  <c r="T26" i="5"/>
  <c r="AB44" i="5"/>
  <c r="AE48" i="5"/>
  <c r="E34" i="5"/>
  <c r="E6" i="5"/>
  <c r="AU4" i="9" s="1"/>
  <c r="R20" i="5"/>
  <c r="BH23" i="9" s="1"/>
  <c r="R8" i="5"/>
  <c r="BH7" i="9" s="1"/>
  <c r="R7" i="5"/>
  <c r="BH5" i="9" s="1"/>
  <c r="C15" i="6"/>
  <c r="F33" i="26"/>
  <c r="E35" i="5"/>
  <c r="E20" i="5"/>
  <c r="AU23" i="9" s="1"/>
  <c r="D15" i="6"/>
  <c r="F10" i="5" s="1"/>
  <c r="AV6" i="9" s="1"/>
  <c r="F8" i="5"/>
  <c r="AV7" i="9" s="1"/>
  <c r="F6" i="5"/>
  <c r="AV4" i="9" s="1"/>
  <c r="F35" i="5"/>
  <c r="F7" i="5"/>
  <c r="AV5" i="9" s="1"/>
  <c r="E15" i="6"/>
  <c r="G10" i="5" s="1"/>
  <c r="AW6" i="9" s="1"/>
  <c r="G35" i="5"/>
  <c r="G6" i="5"/>
  <c r="AW4" i="9" s="1"/>
  <c r="G8" i="5"/>
  <c r="AW7" i="9" s="1"/>
  <c r="G7" i="5"/>
  <c r="AW5" i="9" s="1"/>
  <c r="F15" i="6"/>
  <c r="H10" i="5" s="1"/>
  <c r="AX6" i="9" s="1"/>
  <c r="H35" i="5"/>
  <c r="H6" i="5"/>
  <c r="AX4" i="9" s="1"/>
  <c r="H8" i="5"/>
  <c r="AX7" i="9" s="1"/>
  <c r="H7" i="5"/>
  <c r="AX5" i="9" s="1"/>
  <c r="G15" i="6"/>
  <c r="I10" i="5" s="1"/>
  <c r="AY6" i="9" s="1"/>
  <c r="I8" i="5"/>
  <c r="AY7" i="9" s="1"/>
  <c r="I6" i="5"/>
  <c r="AY4" i="9" s="1"/>
  <c r="I35" i="5"/>
  <c r="I7" i="5"/>
  <c r="AY5" i="9" s="1"/>
  <c r="H15" i="6"/>
  <c r="J10" i="5" s="1"/>
  <c r="AZ6" i="9" s="1"/>
  <c r="J35" i="5"/>
  <c r="J8" i="5"/>
  <c r="AZ7" i="9" s="1"/>
  <c r="J6" i="5"/>
  <c r="AZ4" i="9" s="1"/>
  <c r="J7" i="5"/>
  <c r="AZ5" i="9" s="1"/>
  <c r="I15" i="6"/>
  <c r="K10" i="5" s="1"/>
  <c r="BA6" i="9" s="1"/>
  <c r="K6" i="5"/>
  <c r="BA4" i="9" s="1"/>
  <c r="K7" i="5"/>
  <c r="BA5" i="9" s="1"/>
  <c r="K8" i="5"/>
  <c r="BA7" i="9" s="1"/>
  <c r="K35" i="5"/>
  <c r="J15" i="6"/>
  <c r="L10" i="5" s="1"/>
  <c r="BB6" i="9" s="1"/>
  <c r="L35" i="5"/>
  <c r="L6" i="5"/>
  <c r="BB4" i="9" s="1"/>
  <c r="L8" i="5"/>
  <c r="BB7" i="9" s="1"/>
  <c r="L7" i="5"/>
  <c r="BB5" i="9" s="1"/>
  <c r="K15" i="6"/>
  <c r="M10" i="5" s="1"/>
  <c r="BC6" i="9" s="1"/>
  <c r="M8" i="5"/>
  <c r="BC7" i="9" s="1"/>
  <c r="M35" i="5"/>
  <c r="M6" i="5"/>
  <c r="BC4" i="9" s="1"/>
  <c r="M7" i="5"/>
  <c r="BC5" i="9" s="1"/>
  <c r="L15" i="6"/>
  <c r="N10" i="5" s="1"/>
  <c r="BD6" i="9" s="1"/>
  <c r="N7" i="5"/>
  <c r="BD5" i="9" s="1"/>
  <c r="N8" i="5"/>
  <c r="BD7" i="9" s="1"/>
  <c r="N35" i="5"/>
  <c r="N6" i="5"/>
  <c r="BD4" i="9" s="1"/>
  <c r="M15" i="6"/>
  <c r="O10" i="5" s="1"/>
  <c r="BE6" i="9" s="1"/>
  <c r="O8" i="5"/>
  <c r="BE7" i="9" s="1"/>
  <c r="O6" i="5"/>
  <c r="BE4" i="9" s="1"/>
  <c r="O7" i="5"/>
  <c r="BE5" i="9" s="1"/>
  <c r="O35" i="5"/>
  <c r="N15" i="6"/>
  <c r="P10" i="5" s="1"/>
  <c r="BF6" i="9" s="1"/>
  <c r="P35" i="5"/>
  <c r="P8" i="5"/>
  <c r="BF7" i="9" s="1"/>
  <c r="P6" i="5"/>
  <c r="BF4" i="9" s="1"/>
  <c r="P7" i="5"/>
  <c r="BF5" i="9" s="1"/>
  <c r="O15" i="6"/>
  <c r="Q10" i="5" s="1"/>
  <c r="BG6" i="9" s="1"/>
  <c r="Q6" i="5"/>
  <c r="BG4" i="9" s="1"/>
  <c r="Q8" i="5"/>
  <c r="BG7" i="9" s="1"/>
  <c r="R35" i="5"/>
  <c r="Q35" i="5"/>
  <c r="Q7" i="5"/>
  <c r="BG5" i="9" s="1"/>
  <c r="F19" i="5"/>
  <c r="AV22" i="9" s="1"/>
  <c r="F20" i="5"/>
  <c r="AV23" i="9" s="1"/>
  <c r="H20" i="5"/>
  <c r="AX23" i="9" s="1"/>
  <c r="H19" i="5"/>
  <c r="AX22" i="9" s="1"/>
  <c r="I19" i="5"/>
  <c r="AY22" i="9" s="1"/>
  <c r="I20" i="5"/>
  <c r="AY23" i="9" s="1"/>
  <c r="K19" i="5"/>
  <c r="BA22" i="9" s="1"/>
  <c r="K20" i="5"/>
  <c r="BA23" i="9" s="1"/>
  <c r="L20" i="5"/>
  <c r="BB23" i="9" s="1"/>
  <c r="L19" i="5"/>
  <c r="BB22" i="9" s="1"/>
  <c r="M19" i="5"/>
  <c r="BC22" i="9" s="1"/>
  <c r="M20" i="5"/>
  <c r="BC23" i="9" s="1"/>
  <c r="N19" i="5"/>
  <c r="BD22" i="9" s="1"/>
  <c r="N20" i="5"/>
  <c r="BD23" i="9" s="1"/>
  <c r="O19" i="5"/>
  <c r="BE22" i="9" s="1"/>
  <c r="O20" i="5"/>
  <c r="BE23" i="9" s="1"/>
  <c r="P19" i="5"/>
  <c r="BF22" i="9" s="1"/>
  <c r="P20" i="5"/>
  <c r="BF23" i="9" s="1"/>
  <c r="Q19" i="5"/>
  <c r="BG22" i="9" s="1"/>
  <c r="Q20" i="5"/>
  <c r="BG23" i="9" s="1"/>
  <c r="F44" i="5"/>
  <c r="F34" i="5"/>
  <c r="F21" i="5"/>
  <c r="G34" i="5"/>
  <c r="G44" i="5"/>
  <c r="G21" i="5"/>
  <c r="H44" i="5"/>
  <c r="H34" i="5"/>
  <c r="H21" i="5"/>
  <c r="I44" i="5"/>
  <c r="I34" i="5"/>
  <c r="I21" i="5"/>
  <c r="L44" i="5"/>
  <c r="L34" i="5"/>
  <c r="L21" i="5"/>
  <c r="M44" i="5"/>
  <c r="M34" i="5"/>
  <c r="M21" i="5"/>
  <c r="N34" i="5"/>
  <c r="N44" i="5"/>
  <c r="N21" i="5"/>
  <c r="O34" i="5"/>
  <c r="O44" i="5"/>
  <c r="O21" i="5"/>
  <c r="P44" i="5"/>
  <c r="P34" i="5"/>
  <c r="P21" i="5"/>
  <c r="Q44" i="5"/>
  <c r="Q34" i="5"/>
  <c r="R44" i="5"/>
  <c r="Q21" i="5"/>
  <c r="J36" i="5"/>
  <c r="K36" i="5"/>
  <c r="L36" i="5"/>
  <c r="M36" i="5"/>
  <c r="N36" i="5"/>
  <c r="O36" i="5"/>
  <c r="Q36" i="5"/>
  <c r="R36" i="5"/>
  <c r="G19" i="5"/>
  <c r="AW22" i="9" s="1"/>
  <c r="G20" i="5"/>
  <c r="AW23" i="9" s="1"/>
  <c r="J19" i="5"/>
  <c r="AZ22" i="9" s="1"/>
  <c r="J20" i="5"/>
  <c r="AZ23" i="9" s="1"/>
  <c r="J34" i="5"/>
  <c r="J44" i="5"/>
  <c r="J21" i="5"/>
  <c r="K34" i="5"/>
  <c r="K44" i="5"/>
  <c r="F36" i="5"/>
  <c r="G36" i="5"/>
  <c r="I36" i="5"/>
  <c r="H36" i="5"/>
  <c r="H35" i="7" l="1"/>
  <c r="H37" i="7" s="1"/>
  <c r="I56" i="6" s="1"/>
  <c r="K55" i="5"/>
  <c r="BA11" i="9" s="1"/>
  <c r="V21" i="5"/>
  <c r="E21" i="5"/>
  <c r="X7" i="5"/>
  <c r="BN5" i="9" s="1"/>
  <c r="AB58" i="5"/>
  <c r="BR18" i="9" s="1"/>
  <c r="BR21" i="9"/>
  <c r="X10" i="5"/>
  <c r="BN6" i="9" s="1"/>
  <c r="V58" i="5"/>
  <c r="BL18" i="9" s="1"/>
  <c r="X24" i="5"/>
  <c r="V7" i="5"/>
  <c r="BL5" i="9" s="1"/>
  <c r="BR17" i="9"/>
  <c r="BR5" i="9"/>
  <c r="AB53" i="5"/>
  <c r="BR6" i="9"/>
  <c r="AA21" i="5"/>
  <c r="AA7" i="5"/>
  <c r="BQ5" i="9" s="1"/>
  <c r="AA58" i="5"/>
  <c r="BQ18" i="9" s="1"/>
  <c r="Y43" i="5"/>
  <c r="Y30" i="5"/>
  <c r="Y9" i="5"/>
  <c r="Y26" i="5"/>
  <c r="Y27" i="5"/>
  <c r="BO17" i="9" s="1"/>
  <c r="Y14" i="5"/>
  <c r="BO20" i="9" s="1"/>
  <c r="Y53" i="5"/>
  <c r="Y25" i="5"/>
  <c r="Y15" i="5"/>
  <c r="BO21" i="9" s="1"/>
  <c r="Y24" i="5"/>
  <c r="Y21" i="5"/>
  <c r="W43" i="5"/>
  <c r="W15" i="5"/>
  <c r="BM21" i="9" s="1"/>
  <c r="W25" i="5"/>
  <c r="W53" i="5"/>
  <c r="W9" i="5"/>
  <c r="W30" i="5"/>
  <c r="W26" i="5"/>
  <c r="W27" i="5"/>
  <c r="BM17" i="9" s="1"/>
  <c r="W24" i="5"/>
  <c r="W21" i="5"/>
  <c r="W14" i="5"/>
  <c r="BM20" i="9" s="1"/>
  <c r="W7" i="5"/>
  <c r="BM5" i="9" s="1"/>
  <c r="Y58" i="5"/>
  <c r="BO18" i="9" s="1"/>
  <c r="W58" i="5"/>
  <c r="BM18" i="9" s="1"/>
  <c r="AA30" i="5"/>
  <c r="AA43" i="5"/>
  <c r="AA26" i="5"/>
  <c r="AA24" i="5"/>
  <c r="AA14" i="5"/>
  <c r="BQ20" i="9" s="1"/>
  <c r="AA9" i="5"/>
  <c r="AA25" i="5"/>
  <c r="AA15" i="5"/>
  <c r="BQ21" i="9" s="1"/>
  <c r="AA53" i="5"/>
  <c r="AA27" i="5"/>
  <c r="BQ17" i="9" s="1"/>
  <c r="AA10" i="5"/>
  <c r="BQ6" i="9" s="1"/>
  <c r="AE53" i="5"/>
  <c r="V30" i="5"/>
  <c r="V25" i="5"/>
  <c r="V43" i="5"/>
  <c r="V14" i="5"/>
  <c r="BL20" i="9" s="1"/>
  <c r="V9" i="5"/>
  <c r="V26" i="5"/>
  <c r="V53" i="5"/>
  <c r="V27" i="5"/>
  <c r="BL17" i="9" s="1"/>
  <c r="V15" i="5"/>
  <c r="BL21" i="9" s="1"/>
  <c r="V10" i="5"/>
  <c r="BL6" i="9" s="1"/>
  <c r="Y7" i="5"/>
  <c r="BO5" i="9" s="1"/>
  <c r="W10" i="5"/>
  <c r="BM6" i="9" s="1"/>
  <c r="Z30" i="5"/>
  <c r="AD53" i="5"/>
  <c r="AD58" i="5"/>
  <c r="F30" i="26"/>
  <c r="F17" i="26" s="1"/>
  <c r="F22" i="26"/>
  <c r="F21" i="26"/>
  <c r="F11" i="26"/>
  <c r="F24" i="26"/>
  <c r="E30" i="5"/>
  <c r="E24" i="5"/>
  <c r="E43" i="5"/>
  <c r="E27" i="5"/>
  <c r="AU17" i="9" s="1"/>
  <c r="E58" i="5"/>
  <c r="AU18" i="9" s="1"/>
  <c r="F43" i="5"/>
  <c r="E14" i="5"/>
  <c r="AU20" i="9" s="1"/>
  <c r="E26" i="5"/>
  <c r="E53" i="5"/>
  <c r="F30" i="5"/>
  <c r="E15" i="5"/>
  <c r="AU21" i="9" s="1"/>
  <c r="E9" i="5"/>
  <c r="E25" i="5"/>
  <c r="X30" i="5"/>
  <c r="X43" i="5"/>
  <c r="X15" i="5"/>
  <c r="BN21" i="9" s="1"/>
  <c r="X27" i="5"/>
  <c r="BN17" i="9" s="1"/>
  <c r="X53" i="5"/>
  <c r="X14" i="5"/>
  <c r="BN20" i="9" s="1"/>
  <c r="X25" i="5"/>
  <c r="X26" i="5"/>
  <c r="X9" i="5"/>
  <c r="F7" i="26"/>
  <c r="F6" i="26"/>
  <c r="H6" i="26" s="1"/>
  <c r="F13" i="26"/>
  <c r="F34" i="26"/>
  <c r="F8" i="26" s="1"/>
  <c r="E10" i="5"/>
  <c r="AU6" i="9" s="1"/>
</calcChain>
</file>

<file path=xl/sharedStrings.xml><?xml version="1.0" encoding="utf-8"?>
<sst xmlns="http://schemas.openxmlformats.org/spreadsheetml/2006/main" count="612" uniqueCount="340">
  <si>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</si>
  <si>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</si>
  <si>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</si>
  <si>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</si>
  <si>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</si>
  <si>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</si>
  <si>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</si>
  <si>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</si>
  <si>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</si>
  <si>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</si>
  <si>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</si>
  <si>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</si>
  <si>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</si>
  <si>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SIRAJI SACCO SOCIETY LTD</t>
  </si>
  <si>
    <t xml:space="preserve"> Sacco Financial Performance </t>
  </si>
  <si>
    <t>FINANCIAL SOUNDNESS INDICATORS</t>
  </si>
  <si>
    <t>Prude.  Std</t>
  </si>
  <si>
    <t>Audited 2020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</si>
  <si>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</si>
  <si>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</si>
  <si>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</si>
  <si>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</si>
  <si>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</si>
  <si>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</si>
  <si>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</si>
  <si>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</si>
  <si>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Share Capital/Total Assets</t>
  </si>
  <si>
    <t>≤2%</t>
  </si>
  <si>
    <t>Institutional Capital/Total Assets</t>
  </si>
  <si>
    <t>≥ 8%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</si>
  <si>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</si>
  <si>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</si>
  <si>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</si>
  <si>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</si>
  <si>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</si>
  <si>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</si>
  <si>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</si>
  <si>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</si>
  <si>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</si>
  <si>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</si>
  <si>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</si>
  <si>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</si>
  <si>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</si>
  <si>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</si>
  <si>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</si>
  <si>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</si>
  <si>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</si>
  <si>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</si>
  <si>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</si>
  <si>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</si>
  <si>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</si>
  <si>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</si>
  <si>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</si>
  <si>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</si>
  <si>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</si>
  <si>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</si>
  <si>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</si>
  <si>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</si>
  <si>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</si>
  <si>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</si>
  <si>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</si>
  <si>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</si>
  <si>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</si>
  <si>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</si>
  <si>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</si>
  <si>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</si>
  <si>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</si>
  <si>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</si>
  <si>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</si>
  <si>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</si>
  <si>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</si>
  <si>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</si>
  <si>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</si>
  <si>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</si>
  <si>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</si>
  <si>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</si>
  <si>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</si>
  <si>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</si>
  <si>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</si>
  <si>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</si>
  <si>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</si>
  <si>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</si>
  <si>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</si>
  <si>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</si>
  <si>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</si>
  <si>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</si>
  <si>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</si>
  <si>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</si>
  <si>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SIRAJI SACCO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</si>
  <si>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</si>
  <si>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</si>
  <si>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</si>
  <si>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</si>
  <si>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</si>
  <si>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</si>
  <si>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</si>
  <si>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</si>
  <si>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</si>
  <si>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</si>
  <si>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</si>
  <si>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</si>
  <si>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</si>
  <si>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</si>
  <si>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</si>
  <si>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</si>
  <si>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</si>
  <si>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</si>
  <si>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</si>
  <si>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</si>
  <si>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</si>
  <si>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</si>
  <si>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</si>
  <si>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</si>
  <si>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</si>
  <si>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SIRAJI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</si>
  <si>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</si>
  <si>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</si>
  <si>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</si>
  <si>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</si>
  <si>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</si>
  <si>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</si>
  <si>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</si>
  <si>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</si>
  <si>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</si>
  <si>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</si>
  <si>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</si>
  <si>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</si>
  <si>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</si>
  <si>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</si>
  <si>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</si>
  <si>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</si>
  <si>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</si>
  <si>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</si>
  <si>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</si>
  <si>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</si>
  <si>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</si>
  <si>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</si>
  <si>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</si>
  <si>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</si>
  <si>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</si>
  <si>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</si>
  <si>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</si>
  <si>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</si>
  <si>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</si>
  <si>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</si>
  <si>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</si>
  <si>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</si>
  <si>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</si>
  <si>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</si>
  <si>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</si>
  <si>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</si>
  <si>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</si>
  <si>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</si>
  <si>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</si>
  <si>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</si>
  <si>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</si>
  <si>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</si>
  <si>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</si>
  <si>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</si>
  <si>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</si>
  <si>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</si>
  <si>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</si>
  <si>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</si>
  <si>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</si>
  <si>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</si>
  <si>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</si>
  <si>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</si>
  <si>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</si>
  <si>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</si>
  <si>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</si>
  <si>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</si>
  <si>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</si>
  <si>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</si>
  <si>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</si>
  <si>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</si>
  <si>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</si>
  <si>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</si>
  <si>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</si>
  <si>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</si>
  <si>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</si>
  <si>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</si>
  <si>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</si>
  <si>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</si>
  <si>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</si>
  <si>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</si>
  <si>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</si>
  <si>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</si>
  <si>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</si>
  <si>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</si>
  <si>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</si>
  <si>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</si>
  <si>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</si>
  <si>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</si>
  <si>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</si>
  <si>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</si>
  <si>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</si>
  <si>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</si>
  <si>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</si>
  <si>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</si>
  <si>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</si>
  <si>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############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</si>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</sst>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_-* #,##0_-;\-* #,##0_-;_-* &quot;-&quot;??_-;_-@_-"/>
    <numFmt numFmtId="175" formatCode="[$-409]mmm\-yy;@"/>
    <numFmt numFmtId="176" formatCode="[$-10409]0.00;\-\ 0.00"/>
  </numFmts>
  <fonts count="6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10"/>
      <color rgb="FF000000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A520"/>
        <bgColor rgb="FF000000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5" fillId="5" borderId="2" applyNumberFormat="0" applyAlignment="0" applyProtection="0"/>
    <xf numFmtId="0" fontId="24" fillId="14" borderId="59" applyNumberFormat="0" applyAlignment="0" applyProtection="0"/>
    <xf numFmtId="43" fontId="2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5" fillId="15" borderId="5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2" fillId="7" borderId="3" applyNumberFormat="0" applyAlignment="0" applyProtection="0"/>
    <xf numFmtId="0" fontId="2" fillId="16" borderId="60" applyNumberFormat="0" applyFont="0" applyAlignment="0" applyProtection="0"/>
    <xf numFmtId="9" fontId="21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8" fillId="0" borderId="61" applyNumberFormat="0" applyFill="0" applyAlignment="0" applyProtection="0"/>
    <xf numFmtId="0" fontId="28" fillId="0" borderId="61" applyNumberFormat="0" applyFill="0" applyAlignment="0" applyProtection="0"/>
  </cellStyleXfs>
  <cellXfs count="420">
    <xf numFmtId="0" fontId="0" fillId="0" borderId="0" xfId="0"/>
    <xf numFmtId="0" fontId="30" fillId="0" borderId="0" xfId="640" applyFont="1"/>
    <xf numFmtId="0" fontId="31" fillId="0" borderId="0" xfId="640" applyFont="1"/>
    <xf numFmtId="0" fontId="30" fillId="0" borderId="0" xfId="640" applyFont="1" applyAlignment="1">
      <alignment horizontal="center"/>
    </xf>
    <xf numFmtId="0" fontId="32" fillId="0" borderId="0" xfId="640" applyFont="1"/>
    <xf numFmtId="0" fontId="32" fillId="0" borderId="5" xfId="640" applyFont="1" applyBorder="1"/>
    <xf numFmtId="0" fontId="32" fillId="0" borderId="6" xfId="640" applyFont="1" applyBorder="1"/>
    <xf numFmtId="0" fontId="32" fillId="8" borderId="6" xfId="640" applyFont="1" applyFill="1" applyBorder="1"/>
    <xf numFmtId="17" fontId="33" fillId="0" borderId="7" xfId="0" applyNumberFormat="1" applyFont="1" applyBorder="1"/>
    <xf numFmtId="172" fontId="32" fillId="0" borderId="8" xfId="640" applyNumberFormat="1" applyFont="1" applyBorder="1"/>
    <xf numFmtId="0" fontId="32" fillId="0" borderId="8" xfId="640" applyFont="1" applyBorder="1"/>
    <xf numFmtId="0" fontId="30" fillId="0" borderId="8" xfId="640" applyFont="1" applyBorder="1"/>
    <xf numFmtId="0" fontId="30" fillId="17" borderId="8" xfId="640" applyFont="1" applyFill="1" applyBorder="1"/>
    <xf numFmtId="172" fontId="30" fillId="0" borderId="8" xfId="640" applyNumberFormat="1" applyFont="1" applyBorder="1"/>
    <xf numFmtId="0" fontId="30" fillId="0" borderId="8" xfId="640" applyFont="1" applyBorder="1" applyAlignment="1">
      <alignment horizontal="right"/>
    </xf>
    <xf numFmtId="0" fontId="34" fillId="0" borderId="8" xfId="640" applyFont="1" applyBorder="1"/>
    <xf numFmtId="173" fontId="35" fillId="0" borderId="7" xfId="680" applyNumberFormat="1" applyFont="1" applyBorder="1" applyAlignment="1">
      <alignment horizontal="right"/>
    </xf>
    <xf numFmtId="0" fontId="36" fillId="17" borderId="8" xfId="640" applyFont="1" applyFill="1" applyBorder="1"/>
    <xf numFmtId="9" fontId="35" fillId="0" borderId="7" xfId="680" applyFont="1" applyBorder="1" applyAlignment="1">
      <alignment horizontal="right"/>
    </xf>
    <xf numFmtId="9" fontId="30" fillId="0" borderId="7" xfId="678" applyFont="1" applyBorder="1" applyAlignment="1">
      <alignment horizontal="right"/>
    </xf>
    <xf numFmtId="166" fontId="35" fillId="0" borderId="7" xfId="56" applyNumberFormat="1" applyFont="1" applyBorder="1" applyAlignment="1">
      <alignment horizontal="right"/>
    </xf>
    <xf numFmtId="0" fontId="31" fillId="17" borderId="8" xfId="640" applyFont="1" applyFill="1" applyBorder="1"/>
    <xf numFmtId="14" fontId="32" fillId="8" borderId="7" xfId="640" applyNumberFormat="1" applyFont="1" applyFill="1" applyBorder="1" applyAlignment="1">
      <alignment horizontal="right"/>
    </xf>
    <xf numFmtId="9" fontId="30" fillId="0" borderId="7" xfId="680" applyFont="1" applyBorder="1" applyAlignment="1">
      <alignment horizontal="right"/>
    </xf>
    <xf numFmtId="0" fontId="30" fillId="0" borderId="7" xfId="640" applyFont="1" applyBorder="1" applyAlignment="1">
      <alignment horizontal="right"/>
    </xf>
    <xf numFmtId="173" fontId="30" fillId="0" borderId="7" xfId="680" applyNumberFormat="1" applyFont="1" applyBorder="1" applyAlignment="1">
      <alignment horizontal="right"/>
    </xf>
    <xf numFmtId="0" fontId="37" fillId="0" borderId="0" xfId="0" applyFont="1"/>
    <xf numFmtId="0" fontId="33" fillId="0" borderId="9" xfId="0" applyFont="1" applyBorder="1"/>
    <xf numFmtId="0" fontId="33" fillId="0" borderId="10" xfId="0" applyFont="1" applyBorder="1"/>
    <xf numFmtId="0" fontId="33" fillId="0" borderId="11" xfId="0" applyFont="1" applyBorder="1"/>
    <xf numFmtId="0" fontId="30" fillId="0" borderId="12" xfId="0" applyFont="1" applyBorder="1"/>
    <xf numFmtId="0" fontId="30" fillId="0" borderId="11" xfId="0" applyFont="1" applyBorder="1"/>
    <xf numFmtId="0" fontId="30" fillId="0" borderId="0" xfId="0" applyFont="1"/>
    <xf numFmtId="172" fontId="30" fillId="0" borderId="13" xfId="0" applyNumberFormat="1" applyFont="1" applyBorder="1"/>
    <xf numFmtId="172" fontId="30" fillId="0" borderId="12" xfId="0" applyNumberFormat="1" applyFont="1" applyBorder="1"/>
    <xf numFmtId="172" fontId="30" fillId="0" borderId="14" xfId="0" applyNumberFormat="1" applyFont="1" applyBorder="1"/>
    <xf numFmtId="172" fontId="30" fillId="0" borderId="11" xfId="0" applyNumberFormat="1" applyFont="1" applyBorder="1"/>
    <xf numFmtId="0" fontId="33" fillId="0" borderId="0" xfId="0" applyFont="1"/>
    <xf numFmtId="172" fontId="30" fillId="0" borderId="9" xfId="0" applyNumberFormat="1" applyFont="1" applyBorder="1"/>
    <xf numFmtId="172" fontId="30" fillId="0" borderId="12" xfId="0" applyNumberFormat="1" applyFont="1" applyBorder="1" applyAlignment="1">
      <alignment horizontal="right"/>
    </xf>
    <xf numFmtId="172" fontId="30" fillId="0" borderId="14" xfId="0" applyNumberFormat="1" applyFont="1" applyBorder="1" applyAlignment="1">
      <alignment horizontal="right"/>
    </xf>
    <xf numFmtId="166" fontId="38" fillId="0" borderId="0" xfId="0" applyNumberFormat="1" applyFont="1"/>
    <xf numFmtId="0" fontId="38" fillId="0" borderId="0" xfId="0" applyFont="1"/>
    <xf numFmtId="0" fontId="30" fillId="0" borderId="14" xfId="0" applyFont="1" applyBorder="1"/>
    <xf numFmtId="0" fontId="34" fillId="0" borderId="0" xfId="0" applyFont="1"/>
    <xf numFmtId="43" fontId="33" fillId="0" borderId="0" xfId="56" applyFont="1" applyBorder="1"/>
    <xf numFmtId="172" fontId="30" fillId="0" borderId="15" xfId="0" applyNumberFormat="1" applyFont="1" applyBorder="1"/>
    <xf numFmtId="172" fontId="30" fillId="0" borderId="16" xfId="0" applyNumberFormat="1" applyFont="1" applyBorder="1"/>
    <xf numFmtId="172" fontId="30" fillId="0" borderId="17" xfId="0" applyNumberFormat="1" applyFont="1" applyBorder="1"/>
    <xf numFmtId="172" fontId="39" fillId="0" borderId="9" xfId="0" applyNumberFormat="1" applyFont="1" applyBorder="1"/>
    <xf numFmtId="0" fontId="39" fillId="0" borderId="10" xfId="0" applyFont="1" applyBorder="1"/>
    <xf numFmtId="0" fontId="30" fillId="0" borderId="18" xfId="0" applyFont="1" applyBorder="1"/>
    <xf numFmtId="0" fontId="30" fillId="0" borderId="19" xfId="0" applyFont="1" applyBorder="1"/>
    <xf numFmtId="0" fontId="30" fillId="0" borderId="20" xfId="0" applyFont="1" applyBorder="1"/>
    <xf numFmtId="43" fontId="37" fillId="0" borderId="0" xfId="53" applyFont="1"/>
    <xf numFmtId="43" fontId="37" fillId="0" borderId="7" xfId="53" applyFont="1" applyBorder="1"/>
    <xf numFmtId="43" fontId="30" fillId="0" borderId="7" xfId="53" applyFont="1" applyBorder="1"/>
    <xf numFmtId="0" fontId="32" fillId="0" borderId="21" xfId="640" applyFont="1" applyBorder="1" applyAlignment="1">
      <alignment horizontal="center"/>
    </xf>
    <xf numFmtId="0" fontId="32" fillId="8" borderId="22" xfId="640" applyFont="1" applyFill="1" applyBorder="1" applyAlignment="1">
      <alignment horizontal="center"/>
    </xf>
    <xf numFmtId="0" fontId="32" fillId="0" borderId="12" xfId="640" applyFont="1" applyBorder="1" applyAlignment="1">
      <alignment horizontal="center"/>
    </xf>
    <xf numFmtId="0" fontId="35" fillId="0" borderId="12" xfId="640" applyFont="1" applyBorder="1" applyAlignment="1">
      <alignment horizontal="center"/>
    </xf>
    <xf numFmtId="173" fontId="35" fillId="0" borderId="23" xfId="680" applyNumberFormat="1" applyFont="1" applyBorder="1"/>
    <xf numFmtId="9" fontId="35" fillId="0" borderId="12" xfId="680" applyFont="1" applyBorder="1" applyAlignment="1">
      <alignment horizontal="center"/>
    </xf>
    <xf numFmtId="0" fontId="32" fillId="0" borderId="23" xfId="640" applyFont="1" applyBorder="1"/>
    <xf numFmtId="173" fontId="35" fillId="0" borderId="12" xfId="680" applyNumberFormat="1" applyFont="1" applyBorder="1" applyAlignment="1">
      <alignment horizontal="center"/>
    </xf>
    <xf numFmtId="14" fontId="32" fillId="8" borderId="23" xfId="640" applyNumberFormat="1" applyFont="1" applyFill="1" applyBorder="1" applyAlignment="1">
      <alignment horizontal="center"/>
    </xf>
    <xf numFmtId="173" fontId="36" fillId="0" borderId="12" xfId="680" applyNumberFormat="1" applyFont="1" applyBorder="1" applyAlignment="1">
      <alignment horizontal="center"/>
    </xf>
    <xf numFmtId="173" fontId="36" fillId="0" borderId="23" xfId="680" applyNumberFormat="1" applyFont="1" applyBorder="1"/>
    <xf numFmtId="0" fontId="30" fillId="0" borderId="12" xfId="640" applyFont="1" applyBorder="1" applyAlignment="1">
      <alignment horizontal="center"/>
    </xf>
    <xf numFmtId="9" fontId="35" fillId="0" borderId="12" xfId="640" applyNumberFormat="1" applyFont="1" applyBorder="1" applyAlignment="1">
      <alignment horizontal="center"/>
    </xf>
    <xf numFmtId="0" fontId="30" fillId="0" borderId="7" xfId="640" applyFont="1" applyBorder="1" applyAlignment="1">
      <alignment horizontal="center"/>
    </xf>
    <xf numFmtId="173" fontId="30" fillId="0" borderId="7" xfId="680" applyNumberFormat="1" applyFont="1" applyBorder="1"/>
    <xf numFmtId="173" fontId="30" fillId="0" borderId="7" xfId="678" applyNumberFormat="1" applyFont="1" applyBorder="1"/>
    <xf numFmtId="0" fontId="31" fillId="0" borderId="7" xfId="640" applyFont="1" applyBorder="1" applyAlignment="1">
      <alignment horizontal="center"/>
    </xf>
    <xf numFmtId="173" fontId="31" fillId="0" borderId="7" xfId="680" applyNumberFormat="1" applyFont="1" applyBorder="1"/>
    <xf numFmtId="43" fontId="37" fillId="0" borderId="24" xfId="53" applyFont="1" applyFill="1" applyBorder="1"/>
    <xf numFmtId="166" fontId="30" fillId="0" borderId="7" xfId="53" applyNumberFormat="1" applyFont="1" applyFill="1" applyBorder="1" applyAlignment="1">
      <alignment horizontal="right"/>
    </xf>
    <xf numFmtId="173" fontId="35" fillId="0" borderId="23" xfId="680" applyNumberFormat="1" applyFont="1" applyFill="1" applyBorder="1"/>
    <xf numFmtId="173" fontId="36" fillId="0" borderId="23" xfId="680" applyNumberFormat="1" applyFont="1" applyFill="1" applyBorder="1"/>
    <xf numFmtId="173" fontId="30" fillId="0" borderId="23" xfId="680" applyNumberFormat="1" applyFont="1" applyFill="1" applyBorder="1"/>
    <xf numFmtId="0" fontId="30" fillId="0" borderId="7" xfId="640" applyFont="1" applyBorder="1"/>
    <xf numFmtId="172" fontId="30" fillId="0" borderId="7" xfId="640" applyNumberFormat="1" applyFont="1" applyBorder="1"/>
    <xf numFmtId="0" fontId="31" fillId="17" borderId="7" xfId="640" applyFont="1" applyFill="1" applyBorder="1"/>
    <xf numFmtId="0" fontId="30" fillId="17" borderId="7" xfId="640" applyFont="1" applyFill="1" applyBorder="1"/>
    <xf numFmtId="9" fontId="35" fillId="0" borderId="7" xfId="640" applyNumberFormat="1" applyFont="1" applyBorder="1" applyAlignment="1">
      <alignment horizontal="center"/>
    </xf>
    <xf numFmtId="172" fontId="31" fillId="0" borderId="7" xfId="640" applyNumberFormat="1" applyFont="1" applyBorder="1"/>
    <xf numFmtId="9" fontId="30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1" fillId="0" borderId="7" xfId="678" applyNumberFormat="1" applyFont="1" applyFill="1" applyBorder="1"/>
    <xf numFmtId="0" fontId="0" fillId="0" borderId="14" xfId="0" applyBorder="1"/>
    <xf numFmtId="173" fontId="21" fillId="0" borderId="24" xfId="678" applyNumberFormat="1" applyFont="1" applyFill="1" applyBorder="1"/>
    <xf numFmtId="173" fontId="21" fillId="0" borderId="7" xfId="678" applyNumberFormat="1" applyFont="1" applyFill="1" applyBorder="1" applyAlignment="1">
      <alignment horizontal="right"/>
    </xf>
    <xf numFmtId="43" fontId="21" fillId="0" borderId="7" xfId="53" applyFont="1" applyFill="1" applyBorder="1" applyAlignment="1">
      <alignment horizontal="right"/>
    </xf>
    <xf numFmtId="173" fontId="2" fillId="0" borderId="7" xfId="680" applyNumberFormat="1" applyFont="1" applyFill="1" applyBorder="1" applyAlignment="1">
      <alignment horizontal="right"/>
    </xf>
    <xf numFmtId="0" fontId="35" fillId="0" borderId="7" xfId="640" applyFont="1" applyBorder="1" applyAlignment="1">
      <alignment horizontal="center"/>
    </xf>
    <xf numFmtId="0" fontId="35" fillId="0" borderId="24" xfId="640" applyFont="1" applyBorder="1" applyAlignment="1">
      <alignment horizontal="center"/>
    </xf>
    <xf numFmtId="0" fontId="27" fillId="0" borderId="16" xfId="0" applyFont="1" applyBorder="1"/>
    <xf numFmtId="0" fontId="27" fillId="0" borderId="25" xfId="0" applyFont="1" applyBorder="1"/>
    <xf numFmtId="0" fontId="27" fillId="0" borderId="26" xfId="0" applyFont="1" applyBorder="1"/>
    <xf numFmtId="0" fontId="27" fillId="0" borderId="0" xfId="0" applyFont="1"/>
    <xf numFmtId="43" fontId="33" fillId="0" borderId="18" xfId="56" applyFont="1" applyBorder="1"/>
    <xf numFmtId="0" fontId="38" fillId="0" borderId="18" xfId="0" applyFont="1" applyBorder="1"/>
    <xf numFmtId="0" fontId="33" fillId="0" borderId="27" xfId="0" applyFont="1" applyBorder="1"/>
    <xf numFmtId="9" fontId="38" fillId="0" borderId="18" xfId="680" applyFont="1" applyBorder="1"/>
    <xf numFmtId="0" fontId="40" fillId="0" borderId="18" xfId="0" applyFont="1" applyBorder="1"/>
    <xf numFmtId="0" fontId="38" fillId="0" borderId="20" xfId="0" applyFont="1" applyBorder="1"/>
    <xf numFmtId="0" fontId="40" fillId="0" borderId="27" xfId="0" applyFont="1" applyBorder="1"/>
    <xf numFmtId="0" fontId="30" fillId="0" borderId="27" xfId="0" applyFont="1" applyBorder="1"/>
    <xf numFmtId="0" fontId="34" fillId="0" borderId="18" xfId="0" applyFont="1" applyBorder="1"/>
    <xf numFmtId="0" fontId="39" fillId="0" borderId="15" xfId="0" applyFont="1" applyBorder="1"/>
    <xf numFmtId="0" fontId="30" fillId="0" borderId="16" xfId="0" applyFont="1" applyBorder="1"/>
    <xf numFmtId="0" fontId="30" fillId="0" borderId="17" xfId="0" applyFont="1" applyBorder="1"/>
    <xf numFmtId="43" fontId="37" fillId="0" borderId="23" xfId="53" applyFont="1" applyBorder="1"/>
    <xf numFmtId="43" fontId="30" fillId="0" borderId="23" xfId="53" applyFont="1" applyBorder="1"/>
    <xf numFmtId="43" fontId="37" fillId="0" borderId="28" xfId="53" applyFont="1" applyBorder="1"/>
    <xf numFmtId="43" fontId="37" fillId="0" borderId="29" xfId="53" applyFont="1" applyBorder="1"/>
    <xf numFmtId="43" fontId="37" fillId="0" borderId="30" xfId="53" applyFont="1" applyBorder="1"/>
    <xf numFmtId="43" fontId="37" fillId="0" borderId="31" xfId="53" applyFont="1" applyBorder="1"/>
    <xf numFmtId="43" fontId="37" fillId="0" borderId="32" xfId="53" applyFont="1" applyBorder="1"/>
    <xf numFmtId="38" fontId="37" fillId="0" borderId="28" xfId="53" applyNumberFormat="1" applyFont="1" applyBorder="1"/>
    <xf numFmtId="9" fontId="41" fillId="0" borderId="30" xfId="678" applyFont="1" applyBorder="1"/>
    <xf numFmtId="38" fontId="33" fillId="0" borderId="28" xfId="53" applyNumberFormat="1" applyFont="1" applyBorder="1"/>
    <xf numFmtId="43" fontId="33" fillId="0" borderId="29" xfId="53" applyFont="1" applyBorder="1"/>
    <xf numFmtId="166" fontId="37" fillId="0" borderId="30" xfId="53" applyNumberFormat="1" applyFont="1" applyBorder="1"/>
    <xf numFmtId="0" fontId="37" fillId="0" borderId="7" xfId="0" applyFont="1" applyBorder="1"/>
    <xf numFmtId="172" fontId="30" fillId="18" borderId="12" xfId="0" applyNumberFormat="1" applyFont="1" applyFill="1" applyBorder="1"/>
    <xf numFmtId="0" fontId="33" fillId="18" borderId="18" xfId="0" applyFont="1" applyFill="1" applyBorder="1"/>
    <xf numFmtId="43" fontId="37" fillId="18" borderId="23" xfId="53" applyFont="1" applyFill="1" applyBorder="1"/>
    <xf numFmtId="0" fontId="37" fillId="18" borderId="0" xfId="0" applyFont="1" applyFill="1"/>
    <xf numFmtId="172" fontId="30" fillId="19" borderId="14" xfId="0" applyNumberFormat="1" applyFont="1" applyFill="1" applyBorder="1"/>
    <xf numFmtId="0" fontId="33" fillId="19" borderId="20" xfId="0" applyFont="1" applyFill="1" applyBorder="1"/>
    <xf numFmtId="43" fontId="37" fillId="19" borderId="30" xfId="53" applyFont="1" applyFill="1" applyBorder="1"/>
    <xf numFmtId="0" fontId="37" fillId="19" borderId="0" xfId="0" applyFont="1" applyFill="1"/>
    <xf numFmtId="173" fontId="32" fillId="0" borderId="12" xfId="680" applyNumberFormat="1" applyFont="1" applyFill="1" applyBorder="1"/>
    <xf numFmtId="0" fontId="44" fillId="0" borderId="7" xfId="0" applyFont="1" applyBorder="1"/>
    <xf numFmtId="0" fontId="45" fillId="0" borderId="0" xfId="0" applyFont="1"/>
    <xf numFmtId="0" fontId="43" fillId="0" borderId="0" xfId="0" applyFont="1"/>
    <xf numFmtId="43" fontId="45" fillId="20" borderId="7" xfId="53" applyFont="1" applyFill="1" applyBorder="1"/>
    <xf numFmtId="0" fontId="45" fillId="20" borderId="0" xfId="0" applyFont="1" applyFill="1"/>
    <xf numFmtId="43" fontId="43" fillId="0" borderId="7" xfId="53" applyFont="1" applyFill="1" applyBorder="1"/>
    <xf numFmtId="43" fontId="43" fillId="0" borderId="0" xfId="56" applyFont="1" applyFill="1" applyBorder="1" applyAlignment="1">
      <alignment horizontal="left" wrapText="1"/>
    </xf>
    <xf numFmtId="0" fontId="43" fillId="0" borderId="7" xfId="0" applyFont="1" applyBorder="1"/>
    <xf numFmtId="0" fontId="0" fillId="0" borderId="18" xfId="0" applyBorder="1"/>
    <xf numFmtId="17" fontId="46" fillId="0" borderId="7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30" fillId="0" borderId="16" xfId="640" applyFont="1" applyBorder="1"/>
    <xf numFmtId="0" fontId="32" fillId="0" borderId="37" xfId="640" applyFont="1" applyBorder="1" applyAlignment="1">
      <alignment horizontal="center"/>
    </xf>
    <xf numFmtId="0" fontId="35" fillId="0" borderId="38" xfId="640" applyFont="1" applyBorder="1" applyAlignment="1">
      <alignment horizontal="center"/>
    </xf>
    <xf numFmtId="173" fontId="35" fillId="0" borderId="39" xfId="680" applyNumberFormat="1" applyFont="1" applyFill="1" applyBorder="1"/>
    <xf numFmtId="43" fontId="43" fillId="17" borderId="7" xfId="56" applyFont="1" applyFill="1" applyBorder="1" applyAlignment="1">
      <alignment horizontal="left"/>
    </xf>
    <xf numFmtId="43" fontId="45" fillId="17" borderId="7" xfId="56" applyFont="1" applyFill="1" applyBorder="1" applyAlignment="1">
      <alignment horizontal="left" wrapText="1"/>
    </xf>
    <xf numFmtId="43" fontId="43" fillId="17" borderId="7" xfId="56" applyFont="1" applyFill="1" applyBorder="1" applyAlignment="1">
      <alignment horizontal="left" wrapText="1"/>
    </xf>
    <xf numFmtId="0" fontId="47" fillId="0" borderId="0" xfId="0" applyFont="1"/>
    <xf numFmtId="0" fontId="44" fillId="0" borderId="0" xfId="0" applyFont="1"/>
    <xf numFmtId="43" fontId="45" fillId="17" borderId="7" xfId="53" applyFont="1" applyFill="1" applyBorder="1" applyAlignment="1">
      <alignment horizontal="left" wrapText="1"/>
    </xf>
    <xf numFmtId="43" fontId="47" fillId="20" borderId="0" xfId="53" applyFont="1" applyFill="1"/>
    <xf numFmtId="0" fontId="47" fillId="20" borderId="0" xfId="0" applyFont="1" applyFill="1"/>
    <xf numFmtId="0" fontId="44" fillId="20" borderId="0" xfId="0" applyFont="1" applyFill="1"/>
    <xf numFmtId="43" fontId="45" fillId="17" borderId="7" xfId="56" applyFont="1" applyFill="1" applyBorder="1" applyAlignment="1">
      <alignment horizontal="left"/>
    </xf>
    <xf numFmtId="0" fontId="45" fillId="0" borderId="0" xfId="0" applyFont="1" applyAlignment="1" applyProtection="1">
      <alignment horizontal="left" vertical="top" wrapText="1" readingOrder="1"/>
      <protection locked="0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75" fontId="27" fillId="0" borderId="7" xfId="0" applyNumberFormat="1" applyFont="1" applyBorder="1"/>
    <xf numFmtId="0" fontId="32" fillId="18" borderId="0" xfId="640" applyFont="1" applyFill="1" applyAlignment="1">
      <alignment horizontal="center" wrapText="1"/>
    </xf>
    <xf numFmtId="0" fontId="32" fillId="18" borderId="0" xfId="640" applyFont="1" applyFill="1" applyAlignment="1">
      <alignment horizontal="center"/>
    </xf>
    <xf numFmtId="17" fontId="27" fillId="18" borderId="0" xfId="0" applyNumberFormat="1" applyFont="1" applyFill="1"/>
    <xf numFmtId="0" fontId="35" fillId="0" borderId="0" xfId="640" applyFont="1" applyAlignment="1">
      <alignment horizontal="center"/>
    </xf>
    <xf numFmtId="43" fontId="21" fillId="0" borderId="0" xfId="53" applyFont="1" applyFill="1" applyBorder="1" applyAlignment="1">
      <alignment horizontal="center"/>
    </xf>
    <xf numFmtId="173" fontId="21" fillId="0" borderId="0" xfId="678" applyNumberFormat="1" applyFont="1" applyFill="1" applyBorder="1" applyAlignment="1">
      <alignment horizontal="center"/>
    </xf>
    <xf numFmtId="0" fontId="21" fillId="0" borderId="0" xfId="678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center"/>
    </xf>
    <xf numFmtId="2" fontId="2" fillId="0" borderId="0" xfId="680" applyNumberFormat="1" applyFont="1" applyFill="1" applyBorder="1" applyAlignment="1">
      <alignment horizontal="center"/>
    </xf>
    <xf numFmtId="9" fontId="35" fillId="0" borderId="0" xfId="640" applyNumberFormat="1" applyFont="1" applyAlignment="1">
      <alignment horizontal="center"/>
    </xf>
    <xf numFmtId="2" fontId="21" fillId="0" borderId="0" xfId="678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7" fillId="0" borderId="0" xfId="0" applyNumberFormat="1" applyFont="1"/>
    <xf numFmtId="17" fontId="33" fillId="18" borderId="40" xfId="0" applyNumberFormat="1" applyFont="1" applyFill="1" applyBorder="1"/>
    <xf numFmtId="17" fontId="33" fillId="18" borderId="41" xfId="0" applyNumberFormat="1" applyFont="1" applyFill="1" applyBorder="1"/>
    <xf numFmtId="17" fontId="33" fillId="18" borderId="42" xfId="0" applyNumberFormat="1" applyFont="1" applyFill="1" applyBorder="1"/>
    <xf numFmtId="0" fontId="27" fillId="0" borderId="43" xfId="0" applyFont="1" applyBorder="1"/>
    <xf numFmtId="0" fontId="27" fillId="0" borderId="44" xfId="0" applyFont="1" applyBorder="1"/>
    <xf numFmtId="0" fontId="32" fillId="18" borderId="45" xfId="640" applyFont="1" applyFill="1" applyBorder="1" applyAlignment="1">
      <alignment horizontal="center" wrapText="1"/>
    </xf>
    <xf numFmtId="0" fontId="32" fillId="18" borderId="42" xfId="640" applyFont="1" applyFill="1" applyBorder="1" applyAlignment="1">
      <alignment horizontal="center"/>
    </xf>
    <xf numFmtId="0" fontId="0" fillId="0" borderId="28" xfId="0" applyBorder="1"/>
    <xf numFmtId="43" fontId="21" fillId="0" borderId="23" xfId="53" applyFont="1" applyFill="1" applyBorder="1" applyAlignment="1">
      <alignment horizontal="right"/>
    </xf>
    <xf numFmtId="173" fontId="21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1" fillId="0" borderId="23" xfId="678" applyNumberFormat="1" applyFont="1" applyFill="1" applyBorder="1"/>
    <xf numFmtId="173" fontId="21" fillId="0" borderId="30" xfId="678" applyNumberFormat="1" applyFont="1" applyFill="1" applyBorder="1"/>
    <xf numFmtId="43" fontId="44" fillId="0" borderId="7" xfId="53" applyFont="1" applyBorder="1"/>
    <xf numFmtId="43" fontId="12" fillId="0" borderId="0" xfId="0" applyNumberFormat="1" applyFont="1"/>
    <xf numFmtId="0" fontId="49" fillId="0" borderId="0" xfId="0" applyFont="1" applyAlignment="1">
      <alignment horizontal="center" wrapText="1"/>
    </xf>
    <xf numFmtId="43" fontId="50" fillId="0" borderId="0" xfId="53" applyFont="1" applyFill="1" applyBorder="1" applyAlignment="1" applyProtection="1"/>
    <xf numFmtId="0" fontId="37" fillId="0" borderId="9" xfId="0" applyFont="1" applyBorder="1"/>
    <xf numFmtId="0" fontId="37" fillId="0" borderId="10" xfId="0" applyFont="1" applyBorder="1"/>
    <xf numFmtId="0" fontId="37" fillId="0" borderId="11" xfId="0" applyFont="1" applyBorder="1"/>
    <xf numFmtId="43" fontId="37" fillId="0" borderId="18" xfId="56" applyFont="1" applyFill="1" applyBorder="1"/>
    <xf numFmtId="17" fontId="37" fillId="0" borderId="7" xfId="0" applyNumberFormat="1" applyFont="1" applyBorder="1"/>
    <xf numFmtId="17" fontId="44" fillId="0" borderId="7" xfId="0" applyNumberFormat="1" applyFont="1" applyBorder="1"/>
    <xf numFmtId="17" fontId="51" fillId="0" borderId="7" xfId="0" applyNumberFormat="1" applyFont="1" applyBorder="1"/>
    <xf numFmtId="43" fontId="37" fillId="0" borderId="33" xfId="53" applyFont="1" applyFill="1" applyBorder="1"/>
    <xf numFmtId="43" fontId="37" fillId="0" borderId="7" xfId="53" applyFont="1" applyFill="1" applyBorder="1"/>
    <xf numFmtId="43" fontId="30" fillId="0" borderId="7" xfId="53" applyFont="1" applyFill="1" applyBorder="1"/>
    <xf numFmtId="0" fontId="37" fillId="0" borderId="18" xfId="0" applyFont="1" applyBorder="1"/>
    <xf numFmtId="43" fontId="37" fillId="0" borderId="23" xfId="53" applyFont="1" applyFill="1" applyBorder="1"/>
    <xf numFmtId="0" fontId="37" fillId="0" borderId="20" xfId="0" applyFont="1" applyBorder="1"/>
    <xf numFmtId="43" fontId="37" fillId="0" borderId="30" xfId="53" applyFont="1" applyFill="1" applyBorder="1"/>
    <xf numFmtId="43" fontId="37" fillId="0" borderId="31" xfId="53" applyFont="1" applyFill="1" applyBorder="1"/>
    <xf numFmtId="43" fontId="37" fillId="0" borderId="29" xfId="53" applyFont="1" applyFill="1" applyBorder="1"/>
    <xf numFmtId="43" fontId="37" fillId="0" borderId="28" xfId="53" applyFont="1" applyFill="1" applyBorder="1"/>
    <xf numFmtId="0" fontId="34" fillId="0" borderId="15" xfId="0" applyFont="1" applyBorder="1"/>
    <xf numFmtId="172" fontId="34" fillId="0" borderId="9" xfId="0" applyNumberFormat="1" applyFont="1" applyBorder="1"/>
    <xf numFmtId="0" fontId="34" fillId="0" borderId="10" xfId="0" applyFont="1" applyBorder="1"/>
    <xf numFmtId="9" fontId="37" fillId="0" borderId="0" xfId="678" applyFont="1" applyFill="1"/>
    <xf numFmtId="43" fontId="37" fillId="0" borderId="0" xfId="53" applyFont="1" applyFill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0" fontId="27" fillId="0" borderId="7" xfId="0" applyFont="1" applyBorder="1" applyAlignment="1" applyProtection="1">
      <alignment horizontal="right"/>
      <protection locked="0"/>
    </xf>
    <xf numFmtId="17" fontId="27" fillId="0" borderId="0" xfId="0" applyNumberFormat="1" applyFont="1" applyProtection="1">
      <protection locked="0"/>
    </xf>
    <xf numFmtId="17" fontId="27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1" fillId="0" borderId="0" xfId="680" applyNumberFormat="1" applyFont="1" applyProtection="1">
      <protection locked="0"/>
    </xf>
    <xf numFmtId="0" fontId="52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29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29" fillId="0" borderId="23" xfId="0" applyFont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166" fontId="52" fillId="0" borderId="7" xfId="56" applyNumberFormat="1" applyFont="1" applyBorder="1" applyAlignment="1" applyProtection="1">
      <alignment horizontal="right"/>
    </xf>
    <xf numFmtId="0" fontId="52" fillId="0" borderId="12" xfId="0" applyFont="1" applyBorder="1"/>
    <xf numFmtId="0" fontId="52" fillId="0" borderId="7" xfId="0" applyFont="1" applyBorder="1" applyAlignment="1">
      <alignment horizontal="center"/>
    </xf>
    <xf numFmtId="9" fontId="52" fillId="0" borderId="7" xfId="0" applyNumberFormat="1" applyFont="1" applyBorder="1" applyAlignment="1">
      <alignment horizontal="center"/>
    </xf>
    <xf numFmtId="173" fontId="21" fillId="17" borderId="7" xfId="678" applyNumberFormat="1" applyFont="1" applyFill="1" applyBorder="1" applyAlignment="1" applyProtection="1">
      <alignment horizontal="right"/>
    </xf>
    <xf numFmtId="0" fontId="52" fillId="17" borderId="12" xfId="0" applyFont="1" applyFill="1" applyBorder="1"/>
    <xf numFmtId="0" fontId="52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2" fillId="17" borderId="12" xfId="0" applyFont="1" applyFill="1" applyBorder="1" applyAlignment="1">
      <alignment horizontal="left"/>
    </xf>
    <xf numFmtId="9" fontId="52" fillId="17" borderId="7" xfId="0" applyNumberFormat="1" applyFont="1" applyFill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43" fontId="53" fillId="0" borderId="7" xfId="53" applyFont="1" applyBorder="1" applyAlignment="1" applyProtection="1">
      <alignment horizontal="center"/>
    </xf>
    <xf numFmtId="0" fontId="27" fillId="17" borderId="12" xfId="0" applyFont="1" applyFill="1" applyBorder="1"/>
    <xf numFmtId="0" fontId="27" fillId="17" borderId="37" xfId="0" applyFont="1" applyFill="1" applyBorder="1"/>
    <xf numFmtId="173" fontId="52" fillId="0" borderId="7" xfId="678" applyNumberFormat="1" applyFont="1" applyBorder="1" applyAlignment="1" applyProtection="1">
      <alignment horizontal="right"/>
    </xf>
    <xf numFmtId="173" fontId="52" fillId="17" borderId="7" xfId="678" applyNumberFormat="1" applyFont="1" applyFill="1" applyBorder="1" applyAlignment="1" applyProtection="1">
      <alignment horizontal="right"/>
    </xf>
    <xf numFmtId="173" fontId="52" fillId="0" borderId="7" xfId="678" applyNumberFormat="1" applyFont="1" applyFill="1" applyBorder="1" applyAlignment="1" applyProtection="1">
      <alignment horizontal="right"/>
    </xf>
    <xf numFmtId="0" fontId="27" fillId="0" borderId="18" xfId="0" applyFont="1" applyBorder="1" applyAlignment="1">
      <alignment horizontal="right"/>
    </xf>
    <xf numFmtId="43" fontId="53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3" fillId="0" borderId="12" xfId="0" applyFont="1" applyBorder="1"/>
    <xf numFmtId="0" fontId="27" fillId="0" borderId="7" xfId="0" applyFont="1" applyBorder="1" applyProtection="1">
      <protection locked="0"/>
    </xf>
    <xf numFmtId="0" fontId="27" fillId="17" borderId="7" xfId="0" applyFont="1" applyFill="1" applyBorder="1"/>
    <xf numFmtId="0" fontId="29" fillId="0" borderId="7" xfId="0" applyFont="1" applyBorder="1" applyProtection="1">
      <protection locked="0"/>
    </xf>
    <xf numFmtId="0" fontId="54" fillId="17" borderId="7" xfId="0" applyFont="1" applyFill="1" applyBorder="1"/>
    <xf numFmtId="0" fontId="0" fillId="17" borderId="7" xfId="0" applyFill="1" applyBorder="1" applyProtection="1">
      <protection locked="0"/>
    </xf>
    <xf numFmtId="0" fontId="13" fillId="0" borderId="34" xfId="477" applyFont="1" applyBorder="1"/>
    <xf numFmtId="0" fontId="13" fillId="22" borderId="34" xfId="477" applyFont="1" applyFill="1" applyBorder="1"/>
    <xf numFmtId="168" fontId="19" fillId="0" borderId="49" xfId="0" applyNumberFormat="1" applyFont="1" applyBorder="1" applyAlignment="1" applyProtection="1">
      <alignment vertical="top" wrapText="1" readingOrder="1"/>
      <protection locked="0"/>
    </xf>
    <xf numFmtId="168" fontId="19" fillId="10" borderId="49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27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29" fillId="0" borderId="30" xfId="0" applyFont="1" applyBorder="1" applyProtection="1">
      <protection locked="0"/>
    </xf>
    <xf numFmtId="0" fontId="54" fillId="17" borderId="50" xfId="0" applyFont="1" applyFill="1" applyBorder="1"/>
    <xf numFmtId="0" fontId="0" fillId="0" borderId="0" xfId="0" applyAlignment="1" applyProtection="1">
      <alignment horizontal="center"/>
      <protection locked="0"/>
    </xf>
    <xf numFmtId="0" fontId="29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44" fillId="0" borderId="0" xfId="53" applyFont="1"/>
    <xf numFmtId="166" fontId="0" fillId="0" borderId="0" xfId="0" applyNumberFormat="1" applyProtection="1">
      <protection locked="0"/>
    </xf>
    <xf numFmtId="168" fontId="20" fillId="0" borderId="51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43" fontId="20" fillId="0" borderId="7" xfId="53" applyFont="1" applyBorder="1" applyAlignment="1" applyProtection="1">
      <alignment vertical="top" wrapText="1" readingOrder="1"/>
      <protection locked="0"/>
    </xf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6" xfId="53" applyFont="1" applyFill="1" applyBorder="1" applyAlignment="1" applyProtection="1"/>
    <xf numFmtId="164" fontId="43" fillId="0" borderId="7" xfId="0" applyNumberFormat="1" applyFont="1" applyBorder="1"/>
    <xf numFmtId="43" fontId="17" fillId="21" borderId="35" xfId="53" applyFont="1" applyFill="1" applyBorder="1" applyAlignment="1" applyProtection="1"/>
    <xf numFmtId="43" fontId="17" fillId="21" borderId="46" xfId="53" applyFont="1" applyFill="1" applyBorder="1" applyAlignment="1" applyProtection="1"/>
    <xf numFmtId="0" fontId="31" fillId="0" borderId="0" xfId="0" applyFont="1" applyAlignment="1" applyProtection="1">
      <alignment horizontal="center" vertical="center" wrapText="1"/>
      <protection locked="0"/>
    </xf>
    <xf numFmtId="17" fontId="33" fillId="0" borderId="7" xfId="0" applyNumberFormat="1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43" fontId="20" fillId="0" borderId="7" xfId="53" applyFont="1" applyBorder="1" applyAlignment="1" applyProtection="1">
      <alignment wrapText="1" readingOrder="1"/>
      <protection locked="0"/>
    </xf>
    <xf numFmtId="17" fontId="47" fillId="0" borderId="7" xfId="0" applyNumberFormat="1" applyFont="1" applyBorder="1" applyAlignment="1">
      <alignment horizontal="center"/>
    </xf>
    <xf numFmtId="0" fontId="47" fillId="0" borderId="7" xfId="0" applyFont="1" applyBorder="1" applyAlignment="1">
      <alignment horizontal="right"/>
    </xf>
    <xf numFmtId="43" fontId="47" fillId="0" borderId="18" xfId="53" applyFont="1" applyBorder="1"/>
    <xf numFmtId="43" fontId="45" fillId="21" borderId="18" xfId="53" applyFont="1" applyFill="1" applyBorder="1" applyAlignment="1" applyProtection="1"/>
    <xf numFmtId="43" fontId="42" fillId="0" borderId="18" xfId="53" applyFont="1" applyBorder="1" applyAlignment="1" applyProtection="1">
      <alignment horizontal="right" vertical="center"/>
      <protection locked="0"/>
    </xf>
    <xf numFmtId="43" fontId="43" fillId="0" borderId="18" xfId="53" applyFont="1" applyFill="1" applyBorder="1" applyAlignment="1" applyProtection="1">
      <protection locked="0"/>
    </xf>
    <xf numFmtId="43" fontId="43" fillId="0" borderId="18" xfId="53" applyFont="1" applyBorder="1" applyAlignment="1" applyProtection="1">
      <alignment horizontal="right" vertical="center"/>
      <protection locked="0"/>
    </xf>
    <xf numFmtId="43" fontId="48" fillId="21" borderId="18" xfId="53" applyFont="1" applyFill="1" applyBorder="1" applyAlignment="1" applyProtection="1">
      <alignment horizontal="right" vertical="center"/>
    </xf>
    <xf numFmtId="3" fontId="0" fillId="0" borderId="0" xfId="0" applyNumberFormat="1"/>
    <xf numFmtId="3" fontId="0" fillId="0" borderId="7" xfId="0" applyNumberFormat="1" applyBorder="1"/>
    <xf numFmtId="43" fontId="45" fillId="21" borderId="7" xfId="53" applyFont="1" applyFill="1" applyBorder="1" applyAlignment="1" applyProtection="1"/>
    <xf numFmtId="43" fontId="43" fillId="0" borderId="7" xfId="53" applyFont="1" applyFill="1" applyBorder="1" applyAlignment="1" applyProtection="1">
      <protection locked="0"/>
    </xf>
    <xf numFmtId="43" fontId="43" fillId="0" borderId="7" xfId="53" applyFont="1" applyBorder="1" applyAlignment="1" applyProtection="1">
      <alignment horizontal="right" vertical="center"/>
      <protection locked="0"/>
    </xf>
    <xf numFmtId="166" fontId="44" fillId="0" borderId="7" xfId="53" applyNumberFormat="1" applyFont="1" applyBorder="1"/>
    <xf numFmtId="3" fontId="44" fillId="0" borderId="7" xfId="0" applyNumberFormat="1" applyFont="1" applyBorder="1"/>
    <xf numFmtId="43" fontId="21" fillId="0" borderId="0" xfId="53" applyFont="1"/>
    <xf numFmtId="166" fontId="21" fillId="0" borderId="7" xfId="53" applyNumberFormat="1" applyFont="1" applyBorder="1"/>
    <xf numFmtId="174" fontId="43" fillId="0" borderId="7" xfId="0" applyNumberFormat="1" applyFont="1" applyBorder="1"/>
    <xf numFmtId="166" fontId="43" fillId="0" borderId="7" xfId="53" applyNumberFormat="1" applyFont="1" applyFill="1" applyBorder="1"/>
    <xf numFmtId="3" fontId="43" fillId="0" borderId="7" xfId="0" applyNumberFormat="1" applyFont="1" applyBorder="1"/>
    <xf numFmtId="168" fontId="20" fillId="0" borderId="52" xfId="0" applyNumberFormat="1" applyFont="1" applyBorder="1" applyAlignment="1" applyProtection="1">
      <alignment vertical="top" wrapText="1" readingOrder="1"/>
      <protection locked="0"/>
    </xf>
    <xf numFmtId="166" fontId="20" fillId="0" borderId="7" xfId="53" applyNumberFormat="1" applyFont="1" applyBorder="1" applyAlignment="1" applyProtection="1">
      <alignment vertical="top" wrapText="1" readingOrder="1"/>
      <protection locked="0"/>
    </xf>
    <xf numFmtId="17" fontId="32" fillId="0" borderId="0" xfId="640" applyNumberFormat="1" applyFont="1"/>
    <xf numFmtId="17" fontId="33" fillId="0" borderId="7" xfId="0" applyNumberFormat="1" applyFont="1" applyBorder="1" applyAlignment="1">
      <alignment horizontal="right"/>
    </xf>
    <xf numFmtId="17" fontId="33" fillId="18" borderId="53" xfId="0" applyNumberFormat="1" applyFont="1" applyFill="1" applyBorder="1"/>
    <xf numFmtId="17" fontId="27" fillId="0" borderId="7" xfId="0" applyNumberFormat="1" applyFont="1" applyBorder="1"/>
    <xf numFmtId="0" fontId="27" fillId="0" borderId="7" xfId="0" applyFont="1" applyBorder="1"/>
    <xf numFmtId="4" fontId="57" fillId="24" borderId="62" xfId="0" applyNumberFormat="1" applyFont="1" applyFill="1" applyBorder="1" applyAlignment="1">
      <alignment wrapText="1" readingOrder="1"/>
    </xf>
    <xf numFmtId="4" fontId="57" fillId="24" borderId="63" xfId="0" applyNumberFormat="1" applyFont="1" applyFill="1" applyBorder="1" applyAlignment="1">
      <alignment wrapText="1" readingOrder="1"/>
    </xf>
    <xf numFmtId="0" fontId="57" fillId="0" borderId="64" xfId="0" applyFont="1" applyBorder="1" applyAlignment="1">
      <alignment wrapText="1" readingOrder="1"/>
    </xf>
    <xf numFmtId="4" fontId="57" fillId="0" borderId="64" xfId="0" applyNumberFormat="1" applyFont="1" applyBorder="1" applyAlignment="1">
      <alignment wrapText="1" readingOrder="1"/>
    </xf>
    <xf numFmtId="0" fontId="57" fillId="0" borderId="65" xfId="0" applyFont="1" applyBorder="1" applyAlignment="1">
      <alignment wrapText="1" readingOrder="1"/>
    </xf>
    <xf numFmtId="4" fontId="57" fillId="0" borderId="65" xfId="0" applyNumberFormat="1" applyFont="1" applyBorder="1" applyAlignment="1">
      <alignment wrapText="1" readingOrder="1"/>
    </xf>
    <xf numFmtId="0" fontId="57" fillId="24" borderId="64" xfId="0" applyFont="1" applyFill="1" applyBorder="1" applyAlignment="1">
      <alignment wrapText="1" readingOrder="1"/>
    </xf>
    <xf numFmtId="4" fontId="57" fillId="24" borderId="64" xfId="0" applyNumberFormat="1" applyFont="1" applyFill="1" applyBorder="1" applyAlignment="1">
      <alignment wrapText="1" readingOrder="1"/>
    </xf>
    <xf numFmtId="0" fontId="57" fillId="24" borderId="65" xfId="0" applyFont="1" applyFill="1" applyBorder="1" applyAlignment="1">
      <alignment wrapText="1" readingOrder="1"/>
    </xf>
    <xf numFmtId="4" fontId="57" fillId="24" borderId="65" xfId="0" applyNumberFormat="1" applyFont="1" applyFill="1" applyBorder="1" applyAlignment="1">
      <alignment wrapText="1" readingOrder="1"/>
    </xf>
    <xf numFmtId="17" fontId="37" fillId="0" borderId="0" xfId="0" applyNumberFormat="1" applyFont="1"/>
    <xf numFmtId="17" fontId="30" fillId="0" borderId="0" xfId="0" applyNumberFormat="1" applyFont="1" applyAlignment="1">
      <alignment horizontal="center" vertical="center"/>
    </xf>
    <xf numFmtId="17" fontId="44" fillId="0" borderId="0" xfId="0" applyNumberFormat="1" applyFont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43" fontId="43" fillId="0" borderId="0" xfId="53" applyFont="1"/>
    <xf numFmtId="43" fontId="45" fillId="20" borderId="0" xfId="53" applyFont="1" applyFill="1"/>
    <xf numFmtId="164" fontId="43" fillId="0" borderId="0" xfId="0" applyNumberFormat="1" applyFont="1"/>
    <xf numFmtId="17" fontId="0" fillId="0" borderId="0" xfId="0" applyNumberFormat="1"/>
    <xf numFmtId="168" fontId="58" fillId="0" borderId="49" xfId="0" applyNumberFormat="1" applyFont="1" applyBorder="1" applyAlignment="1" applyProtection="1">
      <alignment vertical="top" wrapText="1" readingOrder="1"/>
      <protection locked="0"/>
    </xf>
    <xf numFmtId="176" fontId="58" fillId="0" borderId="49" xfId="0" applyNumberFormat="1" applyFont="1" applyBorder="1" applyAlignment="1" applyProtection="1">
      <alignment vertical="top" wrapText="1" readingOrder="1"/>
      <protection locked="0"/>
    </xf>
    <xf numFmtId="168" fontId="59" fillId="0" borderId="49" xfId="0" applyNumberFormat="1" applyFont="1" applyBorder="1" applyAlignment="1" applyProtection="1">
      <alignment vertical="top" wrapText="1" readingOrder="1"/>
      <protection locked="0"/>
    </xf>
    <xf numFmtId="168" fontId="59" fillId="10" borderId="49" xfId="0" applyNumberFormat="1" applyFont="1" applyFill="1" applyBorder="1" applyAlignment="1" applyProtection="1">
      <alignment vertical="top" wrapText="1" readingOrder="1"/>
      <protection locked="0"/>
    </xf>
    <xf numFmtId="0" fontId="60" fillId="0" borderId="62" xfId="0" applyFont="1" applyBorder="1" applyAlignment="1">
      <alignment wrapText="1" readingOrder="1"/>
    </xf>
    <xf numFmtId="4" fontId="60" fillId="0" borderId="62" xfId="0" applyNumberFormat="1" applyFont="1" applyBorder="1" applyAlignment="1">
      <alignment wrapText="1" readingOrder="1"/>
    </xf>
    <xf numFmtId="0" fontId="60" fillId="0" borderId="63" xfId="0" applyFont="1" applyBorder="1" applyAlignment="1">
      <alignment wrapText="1" readingOrder="1"/>
    </xf>
    <xf numFmtId="4" fontId="60" fillId="0" borderId="63" xfId="0" applyNumberFormat="1" applyFont="1" applyBorder="1" applyAlignment="1">
      <alignment wrapText="1" readingOrder="1"/>
    </xf>
    <xf numFmtId="0" fontId="60" fillId="0" borderId="64" xfId="0" applyFont="1" applyBorder="1" applyAlignment="1">
      <alignment wrapText="1" readingOrder="1"/>
    </xf>
    <xf numFmtId="4" fontId="60" fillId="0" borderId="64" xfId="0" applyNumberFormat="1" applyFont="1" applyBorder="1" applyAlignment="1">
      <alignment wrapText="1" readingOrder="1"/>
    </xf>
    <xf numFmtId="0" fontId="60" fillId="0" borderId="65" xfId="0" applyFont="1" applyBorder="1" applyAlignment="1">
      <alignment wrapText="1" readingOrder="1"/>
    </xf>
    <xf numFmtId="4" fontId="60" fillId="0" borderId="65" xfId="0" applyNumberFormat="1" applyFont="1" applyBorder="1" applyAlignment="1">
      <alignment wrapText="1" readingOrder="1"/>
    </xf>
    <xf numFmtId="0" fontId="61" fillId="0" borderId="62" xfId="0" applyFont="1" applyBorder="1" applyAlignment="1">
      <alignment wrapText="1" readingOrder="1"/>
    </xf>
    <xf numFmtId="4" fontId="61" fillId="0" borderId="62" xfId="0" applyNumberFormat="1" applyFont="1" applyBorder="1" applyAlignment="1">
      <alignment wrapText="1" readingOrder="1"/>
    </xf>
    <xf numFmtId="0" fontId="61" fillId="0" borderId="63" xfId="0" applyFont="1" applyBorder="1" applyAlignment="1">
      <alignment wrapText="1" readingOrder="1"/>
    </xf>
    <xf numFmtId="4" fontId="61" fillId="0" borderId="63" xfId="0" applyNumberFormat="1" applyFont="1" applyBorder="1" applyAlignment="1">
      <alignment wrapText="1" readingOrder="1"/>
    </xf>
    <xf numFmtId="0" fontId="61" fillId="0" borderId="64" xfId="0" applyFont="1" applyBorder="1" applyAlignment="1">
      <alignment wrapText="1" readingOrder="1"/>
    </xf>
    <xf numFmtId="4" fontId="61" fillId="0" borderId="64" xfId="0" applyNumberFormat="1" applyFont="1" applyBorder="1" applyAlignment="1">
      <alignment wrapText="1" readingOrder="1"/>
    </xf>
    <xf numFmtId="0" fontId="61" fillId="0" borderId="65" xfId="0" applyFont="1" applyBorder="1" applyAlignment="1">
      <alignment wrapText="1" readingOrder="1"/>
    </xf>
    <xf numFmtId="4" fontId="61" fillId="0" borderId="65" xfId="0" applyNumberFormat="1" applyFont="1" applyBorder="1" applyAlignment="1">
      <alignment wrapText="1" readingOrder="1"/>
    </xf>
    <xf numFmtId="4" fontId="43" fillId="0" borderId="0" xfId="0" applyNumberFormat="1" applyFont="1"/>
    <xf numFmtId="0" fontId="49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55" fillId="23" borderId="43" xfId="0" applyFont="1" applyFill="1" applyBorder="1" applyAlignment="1">
      <alignment horizontal="left"/>
    </xf>
    <xf numFmtId="0" fontId="55" fillId="23" borderId="44" xfId="0" applyFont="1" applyFill="1" applyBorder="1" applyAlignment="1">
      <alignment horizontal="left"/>
    </xf>
    <xf numFmtId="0" fontId="55" fillId="23" borderId="54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6" fillId="18" borderId="12" xfId="0" applyFont="1" applyFill="1" applyBorder="1" applyAlignment="1">
      <alignment horizontal="left"/>
    </xf>
    <xf numFmtId="0" fontId="56" fillId="18" borderId="7" xfId="0" applyFont="1" applyFill="1" applyBorder="1" applyAlignment="1">
      <alignment horizontal="left"/>
    </xf>
    <xf numFmtId="0" fontId="56" fillId="18" borderId="18" xfId="0" applyFont="1" applyFill="1" applyBorder="1" applyAlignment="1">
      <alignment horizontal="left"/>
    </xf>
    <xf numFmtId="0" fontId="56" fillId="18" borderId="23" xfId="0" applyFont="1" applyFill="1" applyBorder="1" applyAlignment="1">
      <alignment horizontal="left"/>
    </xf>
    <xf numFmtId="0" fontId="27" fillId="0" borderId="13" xfId="0" applyFont="1" applyBorder="1" applyAlignment="1" applyProtection="1">
      <alignment horizontal="center"/>
      <protection locked="0"/>
    </xf>
    <xf numFmtId="0" fontId="27" fillId="0" borderId="55" xfId="0" applyFont="1" applyBorder="1" applyAlignment="1" applyProtection="1">
      <alignment horizontal="center"/>
      <protection locked="0"/>
    </xf>
    <xf numFmtId="0" fontId="27" fillId="0" borderId="27" xfId="0" applyFont="1" applyBorder="1" applyAlignment="1" applyProtection="1">
      <alignment horizontal="center"/>
      <protection locked="0"/>
    </xf>
    <xf numFmtId="0" fontId="27" fillId="0" borderId="29" xfId="0" applyFont="1" applyBorder="1" applyAlignment="1" applyProtection="1">
      <alignment horizontal="center"/>
      <protection locked="0"/>
    </xf>
    <xf numFmtId="0" fontId="27" fillId="0" borderId="12" xfId="0" applyFont="1" applyBorder="1" applyAlignment="1" applyProtection="1">
      <alignment horizontal="center"/>
      <protection locked="0"/>
    </xf>
    <xf numFmtId="0" fontId="27" fillId="0" borderId="7" xfId="0" applyFont="1" applyBorder="1" applyAlignment="1" applyProtection="1">
      <alignment horizontal="center"/>
      <protection locked="0"/>
    </xf>
    <xf numFmtId="0" fontId="27" fillId="0" borderId="18" xfId="0" applyFont="1" applyBorder="1" applyAlignment="1" applyProtection="1">
      <alignment horizontal="center"/>
      <protection locked="0"/>
    </xf>
    <xf numFmtId="0" fontId="27" fillId="0" borderId="23" xfId="0" applyFont="1" applyBorder="1" applyAlignment="1" applyProtection="1">
      <alignment horizontal="center"/>
      <protection locked="0"/>
    </xf>
    <xf numFmtId="0" fontId="27" fillId="0" borderId="48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7" fillId="0" borderId="25" xfId="0" applyFont="1" applyBorder="1" applyAlignment="1" applyProtection="1">
      <alignment horizontal="center"/>
      <protection locked="0"/>
    </xf>
    <xf numFmtId="0" fontId="27" fillId="0" borderId="26" xfId="0" applyFont="1" applyBorder="1" applyAlignment="1" applyProtection="1">
      <alignment horizontal="center"/>
      <protection locked="0"/>
    </xf>
    <xf numFmtId="17" fontId="27" fillId="0" borderId="56" xfId="0" applyNumberFormat="1" applyFont="1" applyBorder="1" applyAlignment="1" applyProtection="1">
      <alignment horizontal="center" wrapText="1"/>
      <protection locked="0"/>
    </xf>
    <xf numFmtId="17" fontId="27" fillId="0" borderId="57" xfId="0" applyNumberFormat="1" applyFont="1" applyBorder="1" applyAlignment="1" applyProtection="1">
      <alignment horizontal="center" wrapText="1"/>
      <protection locked="0"/>
    </xf>
    <xf numFmtId="0" fontId="56" fillId="0" borderId="56" xfId="0" applyFont="1" applyBorder="1" applyAlignment="1">
      <alignment horizontal="center" wrapText="1"/>
    </xf>
    <xf numFmtId="0" fontId="56" fillId="0" borderId="57" xfId="0" applyFont="1" applyBorder="1" applyAlignment="1">
      <alignment horizontal="center" wrapText="1"/>
    </xf>
    <xf numFmtId="0" fontId="60" fillId="0" borderId="62" xfId="0" applyFont="1" applyFill="1" applyBorder="1" applyAlignment="1">
      <alignment wrapText="1" readingOrder="1"/>
    </xf>
    <xf numFmtId="4" fontId="60" fillId="0" borderId="62" xfId="0" applyNumberFormat="1" applyFont="1" applyFill="1" applyBorder="1" applyAlignment="1">
      <alignment wrapText="1" readingOrder="1"/>
    </xf>
    <xf numFmtId="0" fontId="60" fillId="0" borderId="64" xfId="0" applyFont="1" applyFill="1" applyBorder="1" applyAlignment="1">
      <alignment wrapText="1" readingOrder="1"/>
    </xf>
    <xf numFmtId="4" fontId="60" fillId="0" borderId="64" xfId="0" applyNumberFormat="1" applyFont="1" applyFill="1" applyBorder="1" applyAlignment="1">
      <alignment wrapText="1" readingOrder="1"/>
    </xf>
    <xf numFmtId="0" fontId="61" fillId="0" borderId="62" xfId="0" applyFont="1" applyFill="1" applyBorder="1" applyAlignment="1">
      <alignment wrapText="1" readingOrder="1"/>
    </xf>
    <xf numFmtId="4" fontId="61" fillId="0" borderId="62" xfId="0" applyNumberFormat="1" applyFont="1" applyFill="1" applyBorder="1" applyAlignment="1">
      <alignment wrapText="1" readingOrder="1"/>
    </xf>
    <xf numFmtId="0" fontId="61" fillId="0" borderId="64" xfId="0" applyFont="1" applyFill="1" applyBorder="1" applyAlignment="1">
      <alignment wrapText="1" readingOrder="1"/>
    </xf>
    <xf numFmtId="4" fontId="61" fillId="0" borderId="64" xfId="0" applyNumberFormat="1" applyFont="1" applyFill="1" applyBorder="1" applyAlignment="1">
      <alignment wrapText="1" readingOrder="1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 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4.4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">
      <c r="B2" s="146" t="s">
        <v>0</v>
      </c>
      <c r="C2" s="176">
        <v>43101</v>
      </c>
      <c r="D2" s="176">
        <v>43133</v>
      </c>
      <c r="E2" s="176">
        <v>43165</v>
      </c>
      <c r="F2" s="176">
        <v>43197</v>
      </c>
      <c r="G2" s="176">
        <v>43229</v>
      </c>
      <c r="H2" s="176">
        <v>43261</v>
      </c>
      <c r="I2" s="176">
        <v>43293</v>
      </c>
      <c r="J2" s="176">
        <v>43325</v>
      </c>
      <c r="K2" s="176">
        <v>43357</v>
      </c>
      <c r="L2" s="176">
        <v>43389</v>
      </c>
      <c r="M2" s="176">
        <v>43421</v>
      </c>
      <c r="N2" s="176">
        <v>43453</v>
      </c>
    </row>
    <row r="3" spans="1:14">
      <c r="A3" s="87" t="s">
        <v>1</v>
      </c>
      <c r="B3" s="145" t="e">
        <f>IF('Prudential Ratios'!#REF!&gt;10,"compliant","not compliant")</f>
        <v>#REF!</v>
      </c>
      <c r="C3" s="145" t="e">
        <f>IF('Prudential Ratios'!#REF!&gt;10,"compliant","not compliant")</f>
        <v>#REF!</v>
      </c>
      <c r="D3" s="145" t="e">
        <f>IF('Prudential Ratios'!#REF!&gt;10,"compliant","not compliant")</f>
        <v>#REF!</v>
      </c>
      <c r="E3" s="88" t="e">
        <f>IF('Prudential Ratios'!#REF!&gt;10,"compliant","not compliant")</f>
        <v>#REF!</v>
      </c>
      <c r="F3" s="145" t="e">
        <f>IF('Prudential Ratios'!#REF!&gt;10,"compliant","not compliant")</f>
        <v>#REF!</v>
      </c>
      <c r="G3" s="88" t="e">
        <f>IF('Prudential Ratios'!#REF!&gt;10,"compliant","not compliant")</f>
        <v>#REF!</v>
      </c>
      <c r="H3" s="88" t="e">
        <f>IF('Prudential Ratios'!#REF!&gt;10,"compliant","not compliant")</f>
        <v>#REF!</v>
      </c>
      <c r="I3" s="145" t="e">
        <f>IF('Prudential Ratios'!#REF!&gt;10,"compliant","not compliant")</f>
        <v>#REF!</v>
      </c>
      <c r="J3" s="145" t="e">
        <f>IF('Prudential Ratios'!#REF!&gt;10,"compliant","not compliant")</f>
        <v>#REF!</v>
      </c>
      <c r="K3" s="145" t="e">
        <f>IF('Prudential Ratios'!#REF!&gt;10,"compliant","not compliant")</f>
        <v>#REF!</v>
      </c>
      <c r="L3" s="88" t="e">
        <f>IF('Prudential Ratios'!#REF!&gt;10,"compliant","not compliant")</f>
        <v>#REF!</v>
      </c>
      <c r="M3" s="145" t="e">
        <f>IF('Prudential Ratios'!#REF!&gt;10,"compliant","not compliant")</f>
        <v>#REF!</v>
      </c>
      <c r="N3" s="88" t="e">
        <f>IF('Prudential Ratios'!#REF!&gt;10,"compliant","not compliant")</f>
        <v>#REF!</v>
      </c>
    </row>
    <row r="4" spans="1:14">
      <c r="A4" s="89" t="s">
        <v>2</v>
      </c>
      <c r="B4" s="88" t="e">
        <f>IF('Prudential Ratios'!#REF!&gt;10%,"compliant","not compliant")</f>
        <v>#REF!</v>
      </c>
      <c r="C4" s="88" t="e">
        <f>IF('Prudential Ratios'!#REF!&gt;10%,"compliant","not compliant")</f>
        <v>#REF!</v>
      </c>
      <c r="D4" s="88" t="e">
        <f>IF('Prudential Ratios'!#REF!&gt;10%,"compliant","not compliant")</f>
        <v>#REF!</v>
      </c>
      <c r="E4" s="88" t="e">
        <f>IF('Prudential Ratios'!#REF!&gt;10%,"compliant","not compliant")</f>
        <v>#REF!</v>
      </c>
      <c r="F4" s="88" t="e">
        <f>IF('Prudential Ratios'!#REF!&gt;10%,"compliant","not compliant")</f>
        <v>#REF!</v>
      </c>
      <c r="G4" s="88" t="e">
        <f>IF('Prudential Ratios'!#REF!&gt;10%,"compliant","not compliant")</f>
        <v>#REF!</v>
      </c>
      <c r="H4" s="88" t="e">
        <f>IF('Prudential Ratios'!#REF!&gt;10%,"compliant","not compliant")</f>
        <v>#REF!</v>
      </c>
      <c r="I4" s="88" t="e">
        <f>IF('Prudential Ratios'!#REF!&gt;10%,"compliant","not compliant")</f>
        <v>#REF!</v>
      </c>
      <c r="J4" s="88" t="e">
        <f>IF('Prudential Ratios'!#REF!&gt;10%,"compliant","not compliant")</f>
        <v>#REF!</v>
      </c>
      <c r="K4" s="88" t="e">
        <f>IF('Prudential Ratios'!#REF!&gt;10%,"compliant","not compliant")</f>
        <v>#REF!</v>
      </c>
      <c r="L4" s="88" t="e">
        <f>IF('Prudential Ratios'!#REF!&gt;10%,"compliant","not compliant")</f>
        <v>#REF!</v>
      </c>
      <c r="M4" s="88" t="e">
        <f>IF('Prudential Ratios'!#REF!&gt;10%,"compliant","not compliant")</f>
        <v>#REF!</v>
      </c>
      <c r="N4" s="88" t="e">
        <f>IF('Prudential Ratios'!#REF!&gt;10%,"compliant","not compliant")</f>
        <v>#REF!</v>
      </c>
    </row>
    <row r="5" spans="1:14">
      <c r="A5" s="89" t="s">
        <v>3</v>
      </c>
      <c r="B5" s="88" t="e">
        <f>IF('Prudential Ratios'!#REF!&gt;8%,"compliant","not compliant")</f>
        <v>#REF!</v>
      </c>
      <c r="C5" s="88" t="e">
        <f>IF('Prudential Ratios'!#REF!&gt;8%,"compliant","not compliant")</f>
        <v>#REF!</v>
      </c>
      <c r="D5" s="88" t="e">
        <f>IF('Prudential Ratios'!#REF!&gt;8%,"compliant","not compliant")</f>
        <v>#REF!</v>
      </c>
      <c r="E5" s="88" t="e">
        <f>IF('Prudential Ratios'!#REF!&gt;8%,"compliant","not compliant")</f>
        <v>#REF!</v>
      </c>
      <c r="F5" s="88" t="e">
        <f>IF('Prudential Ratios'!#REF!&gt;8%,"compliant","not compliant")</f>
        <v>#REF!</v>
      </c>
      <c r="G5" s="88" t="e">
        <f>IF('Prudential Ratios'!#REF!&gt;8%,"compliant","not compliant")</f>
        <v>#REF!</v>
      </c>
      <c r="H5" s="88" t="e">
        <f>IF('Prudential Ratios'!#REF!&gt;8%,"compliant","not compliant")</f>
        <v>#REF!</v>
      </c>
      <c r="I5" s="88" t="e">
        <f>IF('Prudential Ratios'!#REF!&gt;8%,"compliant","not compliant")</f>
        <v>#REF!</v>
      </c>
      <c r="J5" s="88" t="e">
        <f>IF('Prudential Ratios'!#REF!&gt;8%,"compliant","not compliant")</f>
        <v>#REF!</v>
      </c>
      <c r="K5" s="88" t="e">
        <f>IF('Prudential Ratios'!#REF!&gt;8%,"compliant","not compliant")</f>
        <v>#REF!</v>
      </c>
      <c r="L5" s="88" t="e">
        <f>IF('Prudential Ratios'!#REF!&gt;8%,"compliant","not compliant")</f>
        <v>#REF!</v>
      </c>
      <c r="M5" s="88" t="e">
        <f>IF('Prudential Ratios'!#REF!&gt;8%,"compliant","not compliant")</f>
        <v>#REF!</v>
      </c>
      <c r="N5" s="88" t="e">
        <f>IF('Prudential Ratios'!#REF!&gt;8%,"compliant","not compliant")</f>
        <v>#REF!</v>
      </c>
    </row>
    <row r="6" spans="1:14">
      <c r="A6" s="89" t="s">
        <v>4</v>
      </c>
      <c r="B6" s="88" t="e">
        <f>IF('Prudential Ratios'!#REF!&gt;8%,"compliant","not compliant")</f>
        <v>#REF!</v>
      </c>
      <c r="C6" s="88" t="e">
        <f>IF('Prudential Ratios'!#REF!&gt;8%,"compliant","not compliant")</f>
        <v>#REF!</v>
      </c>
      <c r="D6" s="88" t="e">
        <f>IF('Prudential Ratios'!#REF!&gt;8%,"compliant","not compliant")</f>
        <v>#REF!</v>
      </c>
      <c r="E6" s="88" t="e">
        <f>IF('Prudential Ratios'!#REF!&gt;8%,"compliant","not compliant")</f>
        <v>#REF!</v>
      </c>
      <c r="F6" s="88" t="e">
        <f>IF('Prudential Ratios'!#REF!&gt;8%,"compliant","not compliant")</f>
        <v>#REF!</v>
      </c>
      <c r="G6" s="88" t="e">
        <f>IF('Prudential Ratios'!#REF!&gt;8%,"compliant","not compliant")</f>
        <v>#REF!</v>
      </c>
      <c r="H6" s="88" t="e">
        <f>IF('Prudential Ratios'!#REF!&gt;8%,"compliant","not compliant")</f>
        <v>#REF!</v>
      </c>
      <c r="I6" s="88" t="e">
        <f>IF('Prudential Ratios'!#REF!&gt;8%,"compliant","not compliant")</f>
        <v>#REF!</v>
      </c>
      <c r="J6" s="88" t="e">
        <f>IF('Prudential Ratios'!#REF!&gt;8%,"compliant","not compliant")</f>
        <v>#REF!</v>
      </c>
      <c r="K6" s="88" t="e">
        <f>IF('Prudential Ratios'!#REF!&gt;8%,"compliant","not compliant")</f>
        <v>#REF!</v>
      </c>
      <c r="L6" s="88" t="e">
        <f>IF('Prudential Ratios'!#REF!&gt;8%,"compliant","not compliant")</f>
        <v>#REF!</v>
      </c>
      <c r="M6" s="88" t="e">
        <f>IF('Prudential Ratios'!#REF!&gt;8%,"compliant","not compliant")</f>
        <v>#REF!</v>
      </c>
      <c r="N6" s="88" t="e">
        <f>IF('Prudential Ratios'!#REF!&gt;8%,"compliant","not compliant")</f>
        <v>#REF!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e">
        <f>IF('Prudential Ratios'!#REF!&gt;15%,"compliant","not compliant")</f>
        <v>#REF!</v>
      </c>
      <c r="C8" s="88" t="e">
        <f>IF('Prudential Ratios'!#REF!&gt;15%,"compliant","not compliant")</f>
        <v>#REF!</v>
      </c>
      <c r="D8" s="88" t="e">
        <f>IF('Prudential Ratios'!#REF!&gt;15%,"compliant","not compliant")</f>
        <v>#REF!</v>
      </c>
      <c r="E8" s="88" t="e">
        <f>IF('Prudential Ratios'!#REF!&gt;15%,"compliant","not compliant")</f>
        <v>#REF!</v>
      </c>
      <c r="F8" s="88" t="e">
        <f>IF('Prudential Ratios'!#REF!&gt;15%,"compliant","not compliant")</f>
        <v>#REF!</v>
      </c>
      <c r="G8" s="88" t="e">
        <f>IF('Prudential Ratios'!#REF!&gt;15%,"compliant","not compliant")</f>
        <v>#REF!</v>
      </c>
      <c r="H8" s="88" t="e">
        <f>IF('Prudential Ratios'!#REF!&gt;15%,"compliant","not compliant")</f>
        <v>#REF!</v>
      </c>
      <c r="I8" s="88" t="e">
        <f>IF('Prudential Ratios'!#REF!&gt;15%,"compliant","not compliant")</f>
        <v>#REF!</v>
      </c>
      <c r="J8" s="88" t="e">
        <f>IF('Prudential Ratios'!#REF!&gt;15%,"compliant","not compliant")</f>
        <v>#REF!</v>
      </c>
      <c r="K8" s="88" t="e">
        <f>IF('Prudential Ratios'!#REF!&gt;15%,"compliant","not compliant")</f>
        <v>#REF!</v>
      </c>
      <c r="L8" s="88" t="e">
        <f>IF('Prudential Ratios'!#REF!&gt;15%,"compliant","not compliant")</f>
        <v>#REF!</v>
      </c>
      <c r="M8" s="88" t="e">
        <f>IF('Prudential Ratios'!#REF!&gt;15%,"compliant","not compliant")</f>
        <v>#REF!</v>
      </c>
      <c r="N8" s="88" t="e">
        <f>IF('Prudential Ratios'!#REF!&gt;15%,"compliant","not compliant")</f>
        <v>#REF!</v>
      </c>
    </row>
    <row r="9" spans="1:14">
      <c r="A9" s="89" t="s">
        <v>7</v>
      </c>
      <c r="B9" s="88" t="e">
        <f>IF('Prudential Ratios'!#REF!&lt;10%,"compliant","not compliant")</f>
        <v>#REF!</v>
      </c>
      <c r="C9" s="88" t="e">
        <f>IF('Prudential Ratios'!#REF!&lt;10%,"compliant","not compliant")</f>
        <v>#REF!</v>
      </c>
      <c r="D9" s="88" t="e">
        <f>IF('Prudential Ratios'!#REF!&lt;10%,"compliant","not compliant")</f>
        <v>#REF!</v>
      </c>
      <c r="E9" s="88" t="e">
        <f>IF('Prudential Ratios'!#REF!&lt;10%,"compliant","not compliant")</f>
        <v>#REF!</v>
      </c>
      <c r="F9" s="88" t="e">
        <f>IF('Prudential Ratios'!#REF!&lt;10%,"compliant","not compliant")</f>
        <v>#REF!</v>
      </c>
      <c r="G9" s="88" t="e">
        <f>IF('Prudential Ratios'!#REF!&lt;10%,"compliant","not compliant")</f>
        <v>#REF!</v>
      </c>
      <c r="H9" s="88" t="e">
        <f>IF('Prudential Ratios'!#REF!&lt;10%,"compliant","not compliant")</f>
        <v>#REF!</v>
      </c>
      <c r="I9" s="88" t="e">
        <f>IF('Prudential Ratios'!#REF!&lt;10%,"compliant","not compliant")</f>
        <v>#REF!</v>
      </c>
      <c r="J9" s="88" t="e">
        <f>IF('Prudential Ratios'!#REF!&lt;10%,"compliant","not compliant")</f>
        <v>#REF!</v>
      </c>
      <c r="K9" s="88" t="e">
        <f>IF('Prudential Ratios'!#REF!&lt;10%,"compliant","not compliant")</f>
        <v>#REF!</v>
      </c>
      <c r="L9" s="88" t="e">
        <f>IF('Prudential Ratios'!#REF!&lt;10%,"compliant","not compliant")</f>
        <v>#REF!</v>
      </c>
      <c r="M9" s="88" t="e">
        <f>IF('Prudential Ratios'!#REF!&lt;10%,"compliant","not compliant")</f>
        <v>#REF!</v>
      </c>
      <c r="N9" s="88" t="e">
        <f>IF('Prudential Ratios'!#REF!&lt;10%,"compliant","not compliant")</f>
        <v>#REF!</v>
      </c>
    </row>
    <row r="10" spans="1:14">
      <c r="A10" s="89" t="s">
        <v>8</v>
      </c>
      <c r="B10" s="88" t="e">
        <f>IF('Prudential Ratios'!#REF!&lt;5%,"compliant","not compliant")</f>
        <v>#REF!</v>
      </c>
      <c r="C10" s="88" t="e">
        <f>IF('Prudential Ratios'!#REF!&lt;5%,"compliant","not compliant")</f>
        <v>#REF!</v>
      </c>
      <c r="D10" s="88" t="e">
        <f>IF('Prudential Ratios'!#REF!&lt;5%,"compliant","not compliant")</f>
        <v>#REF!</v>
      </c>
      <c r="E10" s="88" t="e">
        <f>IF('Prudential Ratios'!#REF!&lt;5%,"compliant","not compliant")</f>
        <v>#REF!</v>
      </c>
      <c r="F10" s="88" t="e">
        <f>IF('Prudential Ratios'!#REF!&lt;5%,"compliant","not compliant")</f>
        <v>#REF!</v>
      </c>
      <c r="G10" s="88" t="e">
        <f>IF('Prudential Ratios'!#REF!&lt;5%,"compliant","not compliant")</f>
        <v>#REF!</v>
      </c>
      <c r="H10" s="88" t="e">
        <f>IF('Prudential Ratios'!#REF!&lt;5%,"compliant","not compliant")</f>
        <v>#REF!</v>
      </c>
      <c r="I10" s="88" t="e">
        <f>IF('Prudential Ratios'!#REF!&lt;5%,"compliant","not compliant")</f>
        <v>#REF!</v>
      </c>
      <c r="J10" s="88" t="e">
        <f>IF('Prudential Ratios'!#REF!&lt;5%,"compliant","not compliant")</f>
        <v>#REF!</v>
      </c>
      <c r="K10" s="88" t="e">
        <f>IF('Prudential Ratios'!#REF!&lt;5%,"compliant","not compliant")</f>
        <v>#REF!</v>
      </c>
      <c r="L10" s="88" t="e">
        <f>IF('Prudential Ratios'!#REF!&lt;5%,"compliant","not compliant")</f>
        <v>#REF!</v>
      </c>
      <c r="M10" s="88" t="e">
        <f>IF('Prudential Ratios'!#REF!&lt;5%,"compliant","not compliant")</f>
        <v>#REF!</v>
      </c>
      <c r="N10" s="88" t="e">
        <f>IF('Prudential Ratios'!#REF!&lt;5%,"compliant","not compliant")</f>
        <v>#REF!</v>
      </c>
    </row>
    <row r="11" spans="1:14">
      <c r="A11" s="89" t="s">
        <v>9</v>
      </c>
      <c r="B11" s="88" t="e">
        <f>IF('Prudential Ratios'!#REF!&lt;5%,"compliant","not compliant")</f>
        <v>#REF!</v>
      </c>
      <c r="C11" s="88" t="e">
        <f>IF('Prudential Ratios'!#REF!&lt;5%,"compliant","not compliant")</f>
        <v>#REF!</v>
      </c>
      <c r="D11" s="88" t="e">
        <f>IF('Prudential Ratios'!#REF!&lt;5%,"compliant","not compliant")</f>
        <v>#REF!</v>
      </c>
      <c r="E11" s="88" t="e">
        <f>IF('Prudential Ratios'!#REF!&lt;5%,"compliant","not compliant")</f>
        <v>#REF!</v>
      </c>
      <c r="F11" s="88" t="e">
        <f>IF('Prudential Ratios'!#REF!&lt;5%,"compliant","not compliant")</f>
        <v>#REF!</v>
      </c>
      <c r="G11" s="88" t="e">
        <f>IF('Prudential Ratios'!#REF!&lt;5%,"compliant","not compliant")</f>
        <v>#REF!</v>
      </c>
      <c r="H11" s="88" t="e">
        <f>IF('Prudential Ratios'!#REF!&lt;5%,"compliant","not compliant")</f>
        <v>#REF!</v>
      </c>
      <c r="I11" s="88" t="e">
        <f>IF('Prudential Ratios'!#REF!&lt;5%,"compliant","not compliant")</f>
        <v>#REF!</v>
      </c>
      <c r="J11" s="88" t="e">
        <f>IF('Prudential Ratios'!#REF!&lt;5%,"compliant","not compliant")</f>
        <v>#REF!</v>
      </c>
      <c r="K11" s="88" t="e">
        <f>IF('Prudential Ratios'!#REF!&lt;5%,"compliant","not compliant")</f>
        <v>#REF!</v>
      </c>
      <c r="L11" s="88" t="e">
        <f>IF('Prudential Ratios'!#REF!&lt;5%,"compliant","not compliant")</f>
        <v>#REF!</v>
      </c>
      <c r="M11" s="88" t="e">
        <f>IF('Prudential Ratios'!#REF!&lt;5%,"compliant","not compliant")</f>
        <v>#REF!</v>
      </c>
      <c r="N11" s="88" t="e">
        <f>IF('Prudential Ratios'!#REF!&lt;5%,"compliant","not compliant")</f>
        <v>#REF!</v>
      </c>
    </row>
    <row r="12" spans="1:14">
      <c r="A12" s="89" t="s">
        <v>10</v>
      </c>
      <c r="B12" s="88" t="e">
        <f>IF('Prudential Ratios'!#REF!&lt;40%,"compliant","not compliant")</f>
        <v>#REF!</v>
      </c>
      <c r="C12" s="88" t="e">
        <f>IF('Prudential Ratios'!#REF!&lt;40%,"compliant","not compliant")</f>
        <v>#REF!</v>
      </c>
      <c r="D12" s="88" t="e">
        <f>IF('Prudential Ratios'!#REF!&lt;40%,"compliant","not compliant")</f>
        <v>#REF!</v>
      </c>
      <c r="E12" s="88" t="e">
        <f>IF('Prudential Ratios'!#REF!&lt;40%,"compliant","not compliant")</f>
        <v>#REF!</v>
      </c>
      <c r="F12" s="88" t="e">
        <f>IF('Prudential Ratios'!#REF!&lt;40%,"compliant","not compliant")</f>
        <v>#REF!</v>
      </c>
      <c r="G12" s="88" t="e">
        <f>IF('Prudential Ratios'!#REF!&lt;40%,"compliant","not compliant")</f>
        <v>#REF!</v>
      </c>
      <c r="H12" s="88" t="e">
        <f>IF('Prudential Ratios'!#REF!&lt;40%,"compliant","not compliant")</f>
        <v>#REF!</v>
      </c>
      <c r="I12" s="88" t="e">
        <f>IF('Prudential Ratios'!#REF!&lt;40%,"compliant","not compliant")</f>
        <v>#REF!</v>
      </c>
      <c r="J12" s="88" t="e">
        <f>IF('Prudential Ratios'!#REF!&lt;40%,"compliant","not compliant")</f>
        <v>#REF!</v>
      </c>
      <c r="K12" s="88" t="e">
        <f>IF('Prudential Ratios'!#REF!&lt;40%,"compliant","not compliant")</f>
        <v>#REF!</v>
      </c>
      <c r="L12" s="88" t="e">
        <f>IF('Prudential Ratios'!#REF!&lt;40%,"compliant","not compliant")</f>
        <v>#REF!</v>
      </c>
      <c r="M12" s="88" t="e">
        <f>IF('Prudential Ratios'!#REF!&lt;40%,"compliant","not compliant")</f>
        <v>#REF!</v>
      </c>
      <c r="N12" s="88" t="e">
        <f>IF('Prudential Ratios'!#REF!&lt;40%,"compliant","not compliant")</f>
        <v>#REF!</v>
      </c>
    </row>
    <row r="13" spans="1:14">
      <c r="A13" s="89" t="s">
        <v>11</v>
      </c>
      <c r="B13" s="88" t="e">
        <f>IF('Prudential Ratios'!#REF!&lt;25%,"compliant","not compliant")</f>
        <v>#REF!</v>
      </c>
      <c r="C13" s="88" t="e">
        <f>IF('Prudential Ratios'!#REF!&lt;25%,"compliant","not compliant")</f>
        <v>#REF!</v>
      </c>
      <c r="D13" s="88" t="e">
        <f>IF('Prudential Ratios'!#REF!&lt;25%,"compliant","not compliant")</f>
        <v>#REF!</v>
      </c>
      <c r="E13" s="88" t="e">
        <f>IF('Prudential Ratios'!#REF!&lt;25%,"compliant","not compliant")</f>
        <v>#REF!</v>
      </c>
      <c r="F13" s="88" t="e">
        <f>IF('Prudential Ratios'!#REF!&lt;25%,"compliant","not compliant")</f>
        <v>#REF!</v>
      </c>
      <c r="G13" s="88" t="e">
        <f>IF('Prudential Ratios'!#REF!&lt;25%,"compliant","not compliant")</f>
        <v>#REF!</v>
      </c>
      <c r="H13" s="88" t="e">
        <f>IF('Prudential Ratios'!#REF!&lt;25%,"compliant","not compliant")</f>
        <v>#REF!</v>
      </c>
      <c r="I13" s="88" t="e">
        <f>IF('Prudential Ratios'!#REF!&lt;25%,"compliant","not compliant")</f>
        <v>#REF!</v>
      </c>
      <c r="J13" s="88" t="e">
        <f>IF('Prudential Ratios'!#REF!&lt;25%,"compliant","not compliant")</f>
        <v>#REF!</v>
      </c>
      <c r="K13" s="88" t="e">
        <f>IF('Prudential Ratios'!#REF!&lt;25%,"compliant","not compliant")</f>
        <v>#REF!</v>
      </c>
      <c r="L13" s="88" t="e">
        <f>IF('Prudential Ratios'!#REF!&lt;25%,"compliant","not compliant")</f>
        <v>#REF!</v>
      </c>
      <c r="M13" s="88" t="e">
        <f>IF('Prudential Ratios'!#REF!&lt;25%,"compliant","not compliant")</f>
        <v>#REF!</v>
      </c>
      <c r="N13" s="88" t="e">
        <f>IF('Prudential Ratios'!#REF!&lt;25%,"compliant","not compliant")</f>
        <v>#REF!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76"/>
  <sheetViews>
    <sheetView workbookViewId="0">
      <pane xSplit="4" topLeftCell="AE1" activePane="topRight" state="frozen"/>
      <selection pane="topRight" activeCell="AJ55" sqref="AJ55:AK58"/>
    </sheetView>
  </sheetViews>
  <sheetFormatPr defaultColWidth="9.140625" defaultRowHeight="13.1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9.140625" style="1" customWidth="1"/>
    <col min="6" max="8" width="0" style="1" hidden="1" customWidth="1"/>
    <col min="9" max="9" width="10.5703125" style="1" hidden="1" customWidth="1"/>
    <col min="10" max="16" width="0" style="1" hidden="1" customWidth="1"/>
    <col min="17" max="17" width="13.7109375" style="1" hidden="1" customWidth="1"/>
    <col min="18" max="18" width="14" style="1" customWidth="1"/>
    <col min="19" max="20" width="0" style="1" hidden="1" customWidth="1"/>
    <col min="21" max="21" width="9.140625" style="1"/>
    <col min="22" max="23" width="0" style="1" hidden="1" customWidth="1"/>
    <col min="24" max="24" width="9.140625" style="1"/>
    <col min="25" max="26" width="0" style="1" hidden="1" customWidth="1"/>
    <col min="27" max="27" width="9.140625" style="1"/>
    <col min="28" max="29" width="0" style="1" hidden="1" customWidth="1"/>
    <col min="30" max="30" width="9.140625" style="1"/>
    <col min="31" max="31" width="12.7109375" style="1" bestFit="1" customWidth="1"/>
    <col min="32" max="16384" width="9.140625" style="1"/>
  </cols>
  <sheetData>
    <row r="1" spans="2:38">
      <c r="C1" s="2" t="s">
        <v>13</v>
      </c>
    </row>
    <row r="2" spans="2:38">
      <c r="C2" s="4" t="s">
        <v>14</v>
      </c>
    </row>
    <row r="3" spans="2:38" s="4" customFormat="1" ht="15" customHeight="1">
      <c r="B3" s="5"/>
      <c r="C3" s="5"/>
      <c r="D3" s="57"/>
    </row>
    <row r="4" spans="2:38" s="4" customFormat="1">
      <c r="B4" s="6"/>
      <c r="C4" s="7" t="s">
        <v>15</v>
      </c>
      <c r="D4" s="58" t="s">
        <v>16</v>
      </c>
      <c r="E4" s="335" t="s">
        <v>17</v>
      </c>
      <c r="F4" s="335">
        <v>44197</v>
      </c>
      <c r="G4" s="335">
        <v>44228</v>
      </c>
      <c r="H4" s="335">
        <v>44256</v>
      </c>
      <c r="I4" s="335">
        <v>44287</v>
      </c>
      <c r="J4" s="335">
        <v>44317</v>
      </c>
      <c r="K4" s="335">
        <v>44348</v>
      </c>
      <c r="L4" s="335">
        <v>44378</v>
      </c>
      <c r="M4" s="335">
        <v>44409</v>
      </c>
      <c r="N4" s="335">
        <v>44440</v>
      </c>
      <c r="O4" s="335">
        <v>44470</v>
      </c>
      <c r="P4" s="335">
        <v>44501</v>
      </c>
      <c r="Q4" s="335">
        <v>44531</v>
      </c>
      <c r="R4" s="335" t="s">
        <v>18</v>
      </c>
      <c r="S4" s="335">
        <v>44562</v>
      </c>
      <c r="T4" s="335">
        <v>44593</v>
      </c>
      <c r="U4" s="335">
        <v>44621</v>
      </c>
      <c r="V4" s="335">
        <v>44652</v>
      </c>
      <c r="W4" s="335">
        <v>44682</v>
      </c>
      <c r="X4" s="335">
        <v>44713</v>
      </c>
      <c r="Y4" s="335">
        <v>44743</v>
      </c>
      <c r="Z4" s="335">
        <v>44774</v>
      </c>
      <c r="AA4" s="335">
        <v>44805</v>
      </c>
      <c r="AB4" s="335">
        <v>44835</v>
      </c>
      <c r="AC4" s="335">
        <v>44866</v>
      </c>
      <c r="AD4" s="335">
        <v>44896</v>
      </c>
      <c r="AE4" s="335" t="s">
        <v>19</v>
      </c>
      <c r="AF4" s="335">
        <v>44949</v>
      </c>
      <c r="AG4" s="335">
        <v>44980</v>
      </c>
      <c r="AH4" s="335">
        <v>45008</v>
      </c>
      <c r="AI4" s="335">
        <v>45039</v>
      </c>
      <c r="AJ4" s="335">
        <v>45069</v>
      </c>
      <c r="AK4" s="335">
        <v>45100</v>
      </c>
      <c r="AL4" s="335">
        <v>45130</v>
      </c>
    </row>
    <row r="5" spans="2:38" s="4" customFormat="1">
      <c r="B5" s="9">
        <v>1</v>
      </c>
      <c r="C5" s="10" t="s">
        <v>20</v>
      </c>
      <c r="D5" s="157"/>
    </row>
    <row r="6" spans="2:38" s="4" customFormat="1" ht="12.75">
      <c r="B6" s="11">
        <v>1.1000000000000001</v>
      </c>
      <c r="C6" s="156" t="s">
        <v>21</v>
      </c>
      <c r="D6" s="97" t="s">
        <v>22</v>
      </c>
      <c r="E6" s="76">
        <f>Financials!C14/1000000</f>
        <v>82.862279999999998</v>
      </c>
      <c r="F6" s="76" t="e">
        <f>Financials!D14/1000000</f>
        <v>#REF!</v>
      </c>
      <c r="G6" s="76" t="e">
        <f>Financials!E14/1000000</f>
        <v>#REF!</v>
      </c>
      <c r="H6" s="76" t="e">
        <f>Financials!F14/1000000</f>
        <v>#REF!</v>
      </c>
      <c r="I6" s="76" t="e">
        <f>Financials!G14/1000000</f>
        <v>#REF!</v>
      </c>
      <c r="J6" s="76" t="e">
        <f>Financials!H14/1000000</f>
        <v>#REF!</v>
      </c>
      <c r="K6" s="76" t="e">
        <f>Financials!I14/1000000</f>
        <v>#REF!</v>
      </c>
      <c r="L6" s="76" t="e">
        <f>Financials!J14/1000000</f>
        <v>#REF!</v>
      </c>
      <c r="M6" s="76" t="e">
        <f>Financials!K14/1000000</f>
        <v>#REF!</v>
      </c>
      <c r="N6" s="76" t="e">
        <f>Financials!L14/1000000</f>
        <v>#REF!</v>
      </c>
      <c r="O6" s="76" t="e">
        <f>Financials!M14/1000000</f>
        <v>#REF!</v>
      </c>
      <c r="P6" s="76" t="e">
        <f>Financials!N14/1000000</f>
        <v>#REF!</v>
      </c>
      <c r="Q6" s="76" t="e">
        <f>Financials!O14/1000000</f>
        <v>#REF!</v>
      </c>
      <c r="R6" s="76">
        <f>Financials!P14/1000000</f>
        <v>92.801710999999997</v>
      </c>
      <c r="S6" s="76">
        <f>Financials!Q14/1000000</f>
        <v>110.36288603999999</v>
      </c>
      <c r="T6" s="76">
        <f>Financials!R14/1000000</f>
        <v>111.86104742000001</v>
      </c>
      <c r="U6" s="76">
        <f>Financials!S14/1000000</f>
        <v>114.66001906</v>
      </c>
      <c r="V6" s="76">
        <f>Financials!T14/1000000</f>
        <v>93.017859579999993</v>
      </c>
      <c r="W6" s="76">
        <f>Financials!U14/1000000</f>
        <v>97.508023210000005</v>
      </c>
      <c r="X6" s="76">
        <f>Financials!V14/1000000</f>
        <v>99.818672620000001</v>
      </c>
      <c r="Y6" s="76">
        <f>Financials!W14/1000000</f>
        <v>102.05257304999999</v>
      </c>
      <c r="Z6" s="76">
        <f>Financials!X14/1000000</f>
        <v>104.10323982</v>
      </c>
      <c r="AA6" s="76">
        <f>Financials!Y14/1000000</f>
        <v>105.75359255000001</v>
      </c>
      <c r="AB6" s="76">
        <f>Financials!Z14/1000000</f>
        <v>107.92977963</v>
      </c>
      <c r="AC6" s="76">
        <f>Financials!AA14/1000000</f>
        <v>115.73246497</v>
      </c>
      <c r="AD6" s="76">
        <f>Financials!AB14/1000000</f>
        <v>117.8147134</v>
      </c>
      <c r="AE6" s="76">
        <f>Financials!AC14/1000000</f>
        <v>101.869376</v>
      </c>
      <c r="AF6" s="76">
        <f>Financials!AD14/1000000</f>
        <v>93.744100569999986</v>
      </c>
      <c r="AG6" s="76">
        <f>Financials!AE14/1000000</f>
        <v>99.853613480000007</v>
      </c>
      <c r="AH6" s="76">
        <f>Financials!AF14/1000000</f>
        <v>103.25747598999999</v>
      </c>
      <c r="AI6" s="76">
        <f>Financials!AG14/1000000</f>
        <v>106.79004333</v>
      </c>
      <c r="AJ6" s="76">
        <f>Financials!AH14/1000000</f>
        <v>109.04196402000001</v>
      </c>
      <c r="AK6" s="76">
        <f>Financials!AI14/1000000</f>
        <v>110.767059</v>
      </c>
    </row>
    <row r="7" spans="2:38" s="4" customFormat="1" ht="12.75">
      <c r="B7" s="11">
        <v>1.2</v>
      </c>
      <c r="C7" s="11" t="s">
        <v>23</v>
      </c>
      <c r="D7" s="158" t="s">
        <v>24</v>
      </c>
      <c r="E7" s="159">
        <f>Financials!C14/Financials!C5</f>
        <v>0.18351443460993205</v>
      </c>
      <c r="F7" s="159" t="e">
        <f>Financials!D14/Financials!D5</f>
        <v>#REF!</v>
      </c>
      <c r="G7" s="159" t="e">
        <f>Financials!E14/Financials!E5</f>
        <v>#REF!</v>
      </c>
      <c r="H7" s="159" t="e">
        <f>Financials!F14/Financials!F5</f>
        <v>#REF!</v>
      </c>
      <c r="I7" s="159" t="e">
        <f>Financials!G14/Financials!G5</f>
        <v>#REF!</v>
      </c>
      <c r="J7" s="159" t="e">
        <f>Financials!H14/Financials!H5</f>
        <v>#REF!</v>
      </c>
      <c r="K7" s="159" t="e">
        <f>Financials!I14/Financials!I5</f>
        <v>#REF!</v>
      </c>
      <c r="L7" s="159" t="e">
        <f>Financials!J14/Financials!J5</f>
        <v>#REF!</v>
      </c>
      <c r="M7" s="159" t="e">
        <f>Financials!K14/Financials!K5</f>
        <v>#REF!</v>
      </c>
      <c r="N7" s="159" t="e">
        <f>Financials!L14/Financials!L5</f>
        <v>#REF!</v>
      </c>
      <c r="O7" s="159" t="e">
        <f>Financials!M14/Financials!M5</f>
        <v>#REF!</v>
      </c>
      <c r="P7" s="159" t="e">
        <f>Financials!N14/Financials!N5</f>
        <v>#REF!</v>
      </c>
      <c r="Q7" s="159" t="e">
        <f>Financials!O14/Financials!O5</f>
        <v>#REF!</v>
      </c>
      <c r="R7" s="159">
        <f>Financials!P14/Financials!P5</f>
        <v>0.18095879636571005</v>
      </c>
      <c r="S7" s="159">
        <f>Financials!Q14/Financials!Q5</f>
        <v>0.21706259742988152</v>
      </c>
      <c r="T7" s="159">
        <f>Financials!R14/Financials!R5</f>
        <v>0.21780117951071398</v>
      </c>
      <c r="U7" s="159">
        <f>Financials!S14/Financials!S5</f>
        <v>0.22604195533719235</v>
      </c>
      <c r="V7" s="159">
        <f>Financials!T14/Financials!T5</f>
        <v>0.18344459357551629</v>
      </c>
      <c r="W7" s="159">
        <f>Financials!U14/Financials!U5</f>
        <v>0.19094077407716969</v>
      </c>
      <c r="X7" s="159">
        <f>Financials!V14/Financials!V5</f>
        <v>0.18211735564671969</v>
      </c>
      <c r="Y7" s="159">
        <f>Financials!W14/Financials!W5</f>
        <v>0.18531661844038794</v>
      </c>
      <c r="Z7" s="159">
        <f>Financials!X14/Financials!X5</f>
        <v>0.18686189209491746</v>
      </c>
      <c r="AA7" s="159">
        <f>Financials!Y14/Financials!Y5</f>
        <v>0.18951959477076588</v>
      </c>
      <c r="AB7" s="159">
        <f>Financials!Z14/Financials!Z5</f>
        <v>0.19303681764903058</v>
      </c>
      <c r="AC7" s="159">
        <f>Financials!AA14/Financials!AA5</f>
        <v>0.20695076807134505</v>
      </c>
      <c r="AD7" s="159">
        <f>Financials!AB14/Financials!AB5</f>
        <v>0.20947139526797606</v>
      </c>
      <c r="AE7" s="159">
        <f>Financials!AC14/Financials!AC5</f>
        <v>0.17425646217720905</v>
      </c>
      <c r="AF7" s="159">
        <f>Financials!AD14/Financials!AD5</f>
        <v>0.16321589044456272</v>
      </c>
      <c r="AG7" s="159">
        <f>Financials!AE14/Financials!AE5</f>
        <v>0.16173791141556332</v>
      </c>
      <c r="AH7" s="159">
        <f>Financials!AF14/Financials!AF5</f>
        <v>0.17255773977318051</v>
      </c>
      <c r="AI7" s="159">
        <f>Financials!AG14/Financials!AG5</f>
        <v>0.176377402405828</v>
      </c>
      <c r="AJ7" s="159">
        <f>Financials!AH14/Financials!AH5</f>
        <v>0.18129760576392123</v>
      </c>
      <c r="AK7" s="159">
        <f>Financials!AI14/Financials!AI5</f>
        <v>0.1829842690800603</v>
      </c>
    </row>
    <row r="8" spans="2:38" s="4" customFormat="1" ht="12.75">
      <c r="B8" s="11">
        <v>1.3</v>
      </c>
      <c r="C8" s="11" t="s">
        <v>25</v>
      </c>
      <c r="D8" s="60" t="s">
        <v>24</v>
      </c>
      <c r="E8" s="77">
        <f>Financials!C14/Financials!C6</f>
        <v>0.23971315473838883</v>
      </c>
      <c r="F8" s="77" t="e">
        <f>Financials!D14/Financials!D6</f>
        <v>#REF!</v>
      </c>
      <c r="G8" s="77" t="e">
        <f>Financials!E14/Financials!E6</f>
        <v>#REF!</v>
      </c>
      <c r="H8" s="77" t="e">
        <f>Financials!F14/Financials!F6</f>
        <v>#REF!</v>
      </c>
      <c r="I8" s="77" t="e">
        <f>Financials!G14/Financials!G6</f>
        <v>#REF!</v>
      </c>
      <c r="J8" s="77" t="e">
        <f>Financials!H14/Financials!H6</f>
        <v>#REF!</v>
      </c>
      <c r="K8" s="77" t="e">
        <f>Financials!I14/Financials!I6</f>
        <v>#REF!</v>
      </c>
      <c r="L8" s="77" t="e">
        <f>Financials!J14/Financials!J6</f>
        <v>#REF!</v>
      </c>
      <c r="M8" s="77" t="e">
        <f>Financials!K14/Financials!K6</f>
        <v>#REF!</v>
      </c>
      <c r="N8" s="77" t="e">
        <f>Financials!L14/Financials!L6</f>
        <v>#REF!</v>
      </c>
      <c r="O8" s="77" t="e">
        <f>Financials!M14/Financials!M6</f>
        <v>#REF!</v>
      </c>
      <c r="P8" s="77" t="e">
        <f>Financials!N14/Financials!N6</f>
        <v>#REF!</v>
      </c>
      <c r="Q8" s="77" t="e">
        <f>Financials!O14/Financials!O6</f>
        <v>#REF!</v>
      </c>
      <c r="R8" s="77">
        <f>Financials!P14/Financials!P6</f>
        <v>0.23562086815132396</v>
      </c>
      <c r="S8" s="77">
        <f>Financials!Q14/Financials!Q6</f>
        <v>0.27483976773632546</v>
      </c>
      <c r="T8" s="77">
        <f>Financials!R14/Financials!R6</f>
        <v>0.27573738317485541</v>
      </c>
      <c r="U8" s="77">
        <f>Financials!S14/Financials!S6</f>
        <v>0.2764949312661743</v>
      </c>
      <c r="V8" s="77">
        <f>Financials!T14/Financials!T6</f>
        <v>0.22357996495976898</v>
      </c>
      <c r="W8" s="77">
        <f>Financials!U14/Financials!U6</f>
        <v>0.23400446397669025</v>
      </c>
      <c r="X8" s="77">
        <f>Financials!V14/Financials!V6</f>
        <v>0.2363505244440729</v>
      </c>
      <c r="Y8" s="77">
        <f>Financials!W14/Financials!W6</f>
        <v>0.24148648721488961</v>
      </c>
      <c r="Z8" s="77">
        <f>Financials!X14/Financials!X6</f>
        <v>0.24098208139387772</v>
      </c>
      <c r="AA8" s="77">
        <f>Financials!Y14/Financials!Y6</f>
        <v>0.24356565698967639</v>
      </c>
      <c r="AB8" s="77">
        <f>Financials!Z14/Financials!Z6</f>
        <v>0.24741806044084505</v>
      </c>
      <c r="AC8" s="77">
        <f>Financials!AA14/Financials!AA6</f>
        <v>0.26530805630920723</v>
      </c>
      <c r="AD8" s="77">
        <f>Financials!AB14/Financials!AB6</f>
        <v>0.26934664287472054</v>
      </c>
      <c r="AE8" s="77">
        <f>Financials!AC14/Financials!AC6</f>
        <v>0.23044536127035617</v>
      </c>
      <c r="AF8" s="77">
        <f>Financials!AD14/Financials!AD6</f>
        <v>0.20780463597087823</v>
      </c>
      <c r="AG8" s="77">
        <f>Financials!AE14/Financials!AE6</f>
        <v>0.21508267514186782</v>
      </c>
      <c r="AH8" s="77">
        <f>Financials!AF14/Financials!AF6</f>
        <v>0.22130319901875448</v>
      </c>
      <c r="AI8" s="77">
        <f>Financials!AG14/Financials!AG6</f>
        <v>0.22599956576627395</v>
      </c>
      <c r="AJ8" s="77">
        <f>Financials!AH14/Financials!AH6</f>
        <v>0.23149522016215182</v>
      </c>
      <c r="AK8" s="77">
        <f>Financials!AI14/Financials!AI6</f>
        <v>0.23255829036871822</v>
      </c>
    </row>
    <row r="9" spans="2:38" s="4" customFormat="1" ht="12.75">
      <c r="B9" s="11">
        <v>1.4</v>
      </c>
      <c r="C9" s="12" t="s">
        <v>26</v>
      </c>
      <c r="D9" s="60" t="s">
        <v>27</v>
      </c>
      <c r="E9" s="77">
        <f>Financials!C18/Financials!C5</f>
        <v>0.11014337163480861</v>
      </c>
      <c r="F9" s="77">
        <f>Financials!D18/Financials!D5</f>
        <v>0.23514027543182744</v>
      </c>
      <c r="G9" s="77">
        <f>Financials!E18/Financials!E5</f>
        <v>0.21931147286537547</v>
      </c>
      <c r="H9" s="77">
        <f>Financials!F18/Financials!F5</f>
        <v>0.20991769744488178</v>
      </c>
      <c r="I9" s="77">
        <f>Financials!G18/Financials!G5</f>
        <v>0.23720838478906558</v>
      </c>
      <c r="J9" s="77">
        <f>Financials!H18/Financials!H5</f>
        <v>0.22073573524035764</v>
      </c>
      <c r="K9" s="77">
        <f>Financials!I18/Financials!I5</f>
        <v>0.22483873012603658</v>
      </c>
      <c r="L9" s="77">
        <f>Financials!J18/Financials!J5</f>
        <v>0.24465651016261794</v>
      </c>
      <c r="M9" s="77">
        <f>Financials!K18/Financials!K5</f>
        <v>0.23104504792588254</v>
      </c>
      <c r="N9" s="77">
        <f>Financials!L18/Financials!L5</f>
        <v>0.22959562070611711</v>
      </c>
      <c r="O9" s="77">
        <f>Financials!M18/Financials!M5</f>
        <v>0.22222862375459879</v>
      </c>
      <c r="P9" s="77">
        <f>Financials!N18/Financials!N5</f>
        <v>0.23771849723874894</v>
      </c>
      <c r="Q9" s="77">
        <f>Financials!O18/Financials!O5</f>
        <v>0.2342207403992537</v>
      </c>
      <c r="R9" s="77">
        <f>Financials!P18/Financials!P5</f>
        <v>0.10115207419055303</v>
      </c>
      <c r="S9" s="77">
        <f>Financials!Q18/Financials!Q5</f>
        <v>9.8623566482534147E-2</v>
      </c>
      <c r="T9" s="77">
        <f>Financials!R18/Financials!R5</f>
        <v>9.7885132878172326E-2</v>
      </c>
      <c r="U9" s="77">
        <f>Financials!S18/Financials!S5</f>
        <v>9.9143067671346452E-2</v>
      </c>
      <c r="V9" s="77">
        <f>Financials!T18/Financials!T5</f>
        <v>9.9179456261252547E-2</v>
      </c>
      <c r="W9" s="77">
        <f>Financials!U18/Financials!U5</f>
        <v>9.9947381761512924E-2</v>
      </c>
      <c r="X9" s="77">
        <f>Financials!V18/Financials!V5</f>
        <v>9.3601922934486922E-2</v>
      </c>
      <c r="Y9" s="77">
        <f>Financials!W18/Financials!W5</f>
        <v>9.3168481260920685E-2</v>
      </c>
      <c r="Z9" s="77">
        <f>Financials!X18/Financials!X5</f>
        <v>9.2193282960574177E-2</v>
      </c>
      <c r="AA9" s="77">
        <f>Financials!Y18/Financials!Y5</f>
        <v>9.2049365174978429E-2</v>
      </c>
      <c r="AB9" s="77">
        <f>Financials!Z18/Financials!Z5</f>
        <v>9.3498190272911133E-2</v>
      </c>
      <c r="AC9" s="77">
        <f>Financials!AA18/Financials!AA5</f>
        <v>9.3480173184657886E-2</v>
      </c>
      <c r="AD9" s="77">
        <f>Financials!AB18/Financials!AB5</f>
        <v>9.3706781642448556E-2</v>
      </c>
      <c r="AE9" s="77">
        <f>Financials!AC18/Financials!AC5</f>
        <v>9.4686828907730919E-2</v>
      </c>
      <c r="AF9" s="77">
        <f>Financials!AD18/Financials!AD5</f>
        <v>9.1752033868772898E-2</v>
      </c>
      <c r="AG9" s="77">
        <f>Financials!AE18/Financials!AE5</f>
        <v>8.5341938609646131E-2</v>
      </c>
      <c r="AH9" s="77">
        <f>Financials!AF18/Financials!AF5</f>
        <v>8.8697014850539158E-2</v>
      </c>
      <c r="AI9" s="77">
        <f>Financials!AG18/Financials!AG5</f>
        <v>8.8052171531172174E-2</v>
      </c>
      <c r="AJ9" s="77">
        <f>Financials!AH18/Financials!AH5</f>
        <v>8.8845228924716954E-2</v>
      </c>
      <c r="AK9" s="77">
        <f>Financials!AI18/Financials!AI5</f>
        <v>8.9128923459630902E-2</v>
      </c>
    </row>
    <row r="10" spans="2:38" s="4" customFormat="1" ht="12.75">
      <c r="B10" s="11">
        <v>1.5</v>
      </c>
      <c r="C10" s="12" t="s">
        <v>28</v>
      </c>
      <c r="D10" s="60" t="s">
        <v>29</v>
      </c>
      <c r="E10" s="77">
        <f>Financials!C15/Financials!C5</f>
        <v>7.3371062975123427E-2</v>
      </c>
      <c r="F10" s="77" t="e">
        <f>Financials!D15/Financials!D5</f>
        <v>#REF!</v>
      </c>
      <c r="G10" s="77" t="e">
        <f>Financials!E15/Financials!E5</f>
        <v>#REF!</v>
      </c>
      <c r="H10" s="77" t="e">
        <f>Financials!F15/Financials!F5</f>
        <v>#REF!</v>
      </c>
      <c r="I10" s="77" t="e">
        <f>Financials!G15/Financials!G5</f>
        <v>#REF!</v>
      </c>
      <c r="J10" s="77" t="e">
        <f>Financials!H15/Financials!H5</f>
        <v>#REF!</v>
      </c>
      <c r="K10" s="77" t="e">
        <f>Financials!I15/Financials!I5</f>
        <v>#REF!</v>
      </c>
      <c r="L10" s="77" t="e">
        <f>Financials!J15/Financials!J5</f>
        <v>#REF!</v>
      </c>
      <c r="M10" s="77" t="e">
        <f>Financials!K15/Financials!K5</f>
        <v>#REF!</v>
      </c>
      <c r="N10" s="77" t="e">
        <f>Financials!L15/Financials!L5</f>
        <v>#REF!</v>
      </c>
      <c r="O10" s="77" t="e">
        <f>Financials!M15/Financials!M5</f>
        <v>#REF!</v>
      </c>
      <c r="P10" s="77" t="e">
        <f>Financials!N15/Financials!N5</f>
        <v>#REF!</v>
      </c>
      <c r="Q10" s="77" t="e">
        <f>Financials!O15/Financials!O5</f>
        <v>#REF!</v>
      </c>
      <c r="R10" s="77">
        <f>Financials!P15/Financials!P5</f>
        <v>7.9806722175157011E-2</v>
      </c>
      <c r="S10" s="77">
        <f>Financials!Q15/Financials!Q5</f>
        <v>0.11843903094734737</v>
      </c>
      <c r="T10" s="77">
        <f>Financials!R15/Financials!R5</f>
        <v>0.11991604663254164</v>
      </c>
      <c r="U10" s="77">
        <f>Financials!S15/Financials!S5</f>
        <v>0.12689888766584587</v>
      </c>
      <c r="V10" s="77">
        <f>Financials!T15/Financials!T5</f>
        <v>8.4265137314263744E-2</v>
      </c>
      <c r="W10" s="77">
        <f>Financials!U15/Financials!U5</f>
        <v>9.0993392315656785E-2</v>
      </c>
      <c r="X10" s="77">
        <f>Financials!V15/Financials!V5</f>
        <v>8.8515432712232764E-2</v>
      </c>
      <c r="Y10" s="77">
        <f>Financials!W15/Financials!W5</f>
        <v>9.2148137179467252E-2</v>
      </c>
      <c r="Z10" s="77">
        <f>Financials!X15/Financials!X5</f>
        <v>9.4668609134343301E-2</v>
      </c>
      <c r="AA10" s="77">
        <f>Financials!Y15/Financials!Y5</f>
        <v>9.7470229595787439E-2</v>
      </c>
      <c r="AB10" s="77">
        <f>Financials!Z15/Financials!Z5</f>
        <v>9.9538627376119446E-2</v>
      </c>
      <c r="AC10" s="77">
        <f>Financials!AA15/Financials!AA5</f>
        <v>0.11347059488668716</v>
      </c>
      <c r="AD10" s="77">
        <f>Financials!AB15/Financials!AB5</f>
        <v>0.11576461362552749</v>
      </c>
      <c r="AE10" s="77">
        <f>Financials!AC15/Financials!AC5</f>
        <v>7.9569633269478135E-2</v>
      </c>
      <c r="AF10" s="77">
        <f>Financials!AD15/Financials!AD5</f>
        <v>7.1463856575789839E-2</v>
      </c>
      <c r="AG10" s="77">
        <f>Financials!AE15/Financials!AE5</f>
        <v>7.6395972805917201E-2</v>
      </c>
      <c r="AH10" s="77">
        <f>Financials!AF15/Financials!AF5</f>
        <v>8.3860724922641336E-2</v>
      </c>
      <c r="AI10" s="77">
        <f>Financials!AG15/Financials!AG5</f>
        <v>8.8325230874655838E-2</v>
      </c>
      <c r="AJ10" s="77">
        <f>Financials!AH15/Financials!AH5</f>
        <v>9.2452376839204264E-2</v>
      </c>
      <c r="AK10" s="77">
        <f>Financials!AI15/Financials!AI5</f>
        <v>9.3855345620429409E-2</v>
      </c>
    </row>
    <row r="11" spans="2:38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</row>
    <row r="12" spans="2:38" s="4" customFormat="1">
      <c r="B12" s="9">
        <v>2</v>
      </c>
      <c r="C12" s="10" t="s">
        <v>30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38" s="4" customFormat="1">
      <c r="B13" s="13">
        <v>2.1</v>
      </c>
      <c r="C13" s="10" t="s">
        <v>31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</row>
    <row r="14" spans="2:38" s="4" customFormat="1" ht="12.75">
      <c r="B14" s="14" t="s">
        <v>32</v>
      </c>
      <c r="C14" s="12" t="s">
        <v>33</v>
      </c>
      <c r="D14" s="60" t="s">
        <v>34</v>
      </c>
      <c r="E14" s="77">
        <f>Financials!C38/Financials!C5</f>
        <v>0.12852221526612051</v>
      </c>
      <c r="F14" s="77">
        <f>Financials!D38/Financials!D5</f>
        <v>10.384984634690056</v>
      </c>
      <c r="G14" s="77">
        <f>Financials!E38/Financials!E5</f>
        <v>9.6357278496702001</v>
      </c>
      <c r="H14" s="77">
        <f>Financials!F38/Financials!F5</f>
        <v>9.6793190799440172</v>
      </c>
      <c r="I14" s="77">
        <f>Financials!G38/Financials!G5</f>
        <v>9.9006136656337258</v>
      </c>
      <c r="J14" s="77">
        <f>Financials!H38/Financials!H5</f>
        <v>10.881615357197861</v>
      </c>
      <c r="K14" s="77">
        <f>Financials!I38/Financials!I5</f>
        <v>10.188673669718161</v>
      </c>
      <c r="L14" s="77">
        <f>Financials!J38/Financials!J5</f>
        <v>10.851818437364367</v>
      </c>
      <c r="M14" s="77">
        <f>Financials!K38/Financials!K5</f>
        <v>10.416080264337277</v>
      </c>
      <c r="N14" s="77">
        <f>Financials!L38/Financials!L5</f>
        <v>10.648543521840702</v>
      </c>
      <c r="O14" s="77">
        <f>Financials!M38/Financials!M5</f>
        <v>10.362024676969368</v>
      </c>
      <c r="P14" s="77">
        <f>Financials!N38/Financials!N5</f>
        <v>10.891736904836952</v>
      </c>
      <c r="Q14" s="77" t="e">
        <f>Financials!O38/Financials!O5</f>
        <v>#VALUE!</v>
      </c>
      <c r="R14" s="77">
        <f>Financials!P38/Financials!P5</f>
        <v>0.17425823212650127</v>
      </c>
      <c r="S14" s="77">
        <f>Financials!Q38/Financials!Q5</f>
        <v>0.17709866048382103</v>
      </c>
      <c r="T14" s="77">
        <f>Financials!R38/Financials!R5</f>
        <v>0.17511233710336646</v>
      </c>
      <c r="U14" s="77">
        <f>Financials!S38/Financials!S5</f>
        <v>0.17439566049080729</v>
      </c>
      <c r="V14" s="77">
        <f>Financials!T38/Financials!T5</f>
        <v>0.18548120648347916</v>
      </c>
      <c r="W14" s="77">
        <f>Financials!U38/Financials!U5</f>
        <v>0.18704608476841947</v>
      </c>
      <c r="X14" s="77">
        <f>Financials!V38/Financials!V5</f>
        <v>0.20207498168776833</v>
      </c>
      <c r="Y14" s="77">
        <f>Financials!W38/Financials!W5</f>
        <v>0.22652487948935257</v>
      </c>
      <c r="Z14" s="77">
        <f>Financials!X38/Financials!X5</f>
        <v>0.18980997110727219</v>
      </c>
      <c r="AA14" s="77">
        <f>Financials!Y38/Financials!Y5</f>
        <v>0.19391044040068461</v>
      </c>
      <c r="AB14" s="77">
        <f>Financials!Z38/Financials!Z5</f>
        <v>0.17280975749112407</v>
      </c>
      <c r="AC14" s="77">
        <f>Financials!AA38/Financials!AA5</f>
        <v>0.20242397535654233</v>
      </c>
      <c r="AD14" s="77">
        <f>Financials!AB38/Financials!AB5</f>
        <v>0.17853550470552579</v>
      </c>
      <c r="AE14" s="77">
        <f>Financials!AC38/Financials!AC5</f>
        <v>0.22526577215471691</v>
      </c>
      <c r="AF14" s="77">
        <f>Financials!AD38/Financials!AD5</f>
        <v>0.20444772072925024</v>
      </c>
      <c r="AG14" s="77">
        <f>Financials!AE38/Financials!AE5</f>
        <v>0.17032598553837999</v>
      </c>
      <c r="AH14" s="77">
        <f>Financials!AF38/Financials!AF5</f>
        <v>0.1892027577584828</v>
      </c>
      <c r="AI14" s="77">
        <f>Financials!AG38/Financials!AG5</f>
        <v>0.18961511626601729</v>
      </c>
      <c r="AJ14" s="77">
        <f>Financials!AH38/Financials!AH5</f>
        <v>0.18889803996604765</v>
      </c>
      <c r="AK14" s="77">
        <f>Financials!AI38/Financials!AI5</f>
        <v>0.20864098432781442</v>
      </c>
    </row>
    <row r="15" spans="2:38" s="4" customFormat="1" ht="12.75">
      <c r="B15" s="14" t="s">
        <v>35</v>
      </c>
      <c r="C15" s="11" t="s">
        <v>36</v>
      </c>
      <c r="D15" s="60" t="s">
        <v>37</v>
      </c>
      <c r="E15" s="77">
        <f>Financials!C39/Financials!C5</f>
        <v>5.1737545524102896E-2</v>
      </c>
      <c r="F15" s="77">
        <f>Financials!D39/Financials!D5</f>
        <v>0</v>
      </c>
      <c r="G15" s="77">
        <f>Financials!E39/Financials!E5</f>
        <v>0</v>
      </c>
      <c r="H15" s="77">
        <f>Financials!F39/Financials!F5</f>
        <v>0</v>
      </c>
      <c r="I15" s="77">
        <f>Financials!G39/Financials!G5</f>
        <v>0</v>
      </c>
      <c r="J15" s="77">
        <f>Financials!H39/Financials!H5</f>
        <v>0</v>
      </c>
      <c r="K15" s="77">
        <f>Financials!I39/Financials!I5</f>
        <v>0</v>
      </c>
      <c r="L15" s="77">
        <f>Financials!J39/Financials!J5</f>
        <v>0</v>
      </c>
      <c r="M15" s="77">
        <f>Financials!K39/Financials!K5</f>
        <v>0</v>
      </c>
      <c r="N15" s="77">
        <f>Financials!L39/Financials!L5</f>
        <v>0</v>
      </c>
      <c r="O15" s="77">
        <f>Financials!M39/Financials!M5</f>
        <v>0</v>
      </c>
      <c r="P15" s="77">
        <f>Financials!N39/Financials!N5</f>
        <v>0</v>
      </c>
      <c r="Q15" s="77">
        <f>Financials!O39/Financials!O5</f>
        <v>0</v>
      </c>
      <c r="R15" s="77">
        <f>Financials!P39/Financials!P5</f>
        <v>9.2268584568868328E-2</v>
      </c>
      <c r="S15" s="77">
        <f>Financials!Q39/Financials!Q5</f>
        <v>9.2298760041088571E-2</v>
      </c>
      <c r="T15" s="77">
        <f>Financials!R39/Financials!R5</f>
        <v>9.0993535504715353E-2</v>
      </c>
      <c r="U15" s="77">
        <f>Financials!S39/Financials!S5</f>
        <v>9.3945655279666779E-2</v>
      </c>
      <c r="V15" s="77">
        <f>Financials!T39/Financials!T5</f>
        <v>0.10083497963797652</v>
      </c>
      <c r="W15" s="77">
        <f>Financials!U39/Financials!U5</f>
        <v>0.10232330455024001</v>
      </c>
      <c r="X15" s="77">
        <f>Financials!V39/Financials!V5</f>
        <v>0.10435432772271343</v>
      </c>
      <c r="Y15" s="77">
        <f>Financials!W39/Financials!W5</f>
        <v>0.10945802585947753</v>
      </c>
      <c r="Z15" s="77">
        <f>Financials!X39/Financials!X5</f>
        <v>0.11287094289411365</v>
      </c>
      <c r="AA15" s="77">
        <f>Financials!Y39/Financials!Y5</f>
        <v>0.11496387966079527</v>
      </c>
      <c r="AB15" s="77">
        <f>Financials!Z39/Financials!Z5</f>
        <v>0.11491794762931645</v>
      </c>
      <c r="AC15" s="77">
        <f>Financials!AA39/Financials!AA5</f>
        <v>0.11497638783533205</v>
      </c>
      <c r="AD15" s="77">
        <f>Financials!AB39/Financials!AB5</f>
        <v>0.11378487850004526</v>
      </c>
      <c r="AE15" s="77">
        <f>Financials!AC39/Financials!AC5</f>
        <v>0.12257216128830817</v>
      </c>
      <c r="AF15" s="77">
        <f>Financials!AD39/Financials!AD5</f>
        <v>0.11183772436357954</v>
      </c>
      <c r="AG15" s="77">
        <f>Financials!AE39/Financials!AE5</f>
        <v>0.10422978259101549</v>
      </c>
      <c r="AH15" s="77">
        <f>Financials!AF39/Financials!AF5</f>
        <v>0.11007413745399743</v>
      </c>
      <c r="AI15" s="77">
        <f>Financials!AG39/Financials!AG5</f>
        <v>0.10913611168538026</v>
      </c>
      <c r="AJ15" s="77">
        <f>Financials!AH39/Financials!AH5</f>
        <v>0.11003399598615607</v>
      </c>
      <c r="AK15" s="77">
        <f>Financials!AI39/Financials!AI5</f>
        <v>0.10941435508035795</v>
      </c>
    </row>
    <row r="16" spans="2:38" s="4" customFormat="1">
      <c r="B16" s="14" t="s">
        <v>38</v>
      </c>
      <c r="C16" s="11" t="s">
        <v>39</v>
      </c>
      <c r="D16" s="60" t="s">
        <v>40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</row>
    <row r="17" spans="2:37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</row>
    <row r="18" spans="2:37" s="4" customFormat="1">
      <c r="B18" s="14">
        <v>2.2000000000000002</v>
      </c>
      <c r="C18" s="10" t="s">
        <v>41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</row>
    <row r="19" spans="2:37" s="4" customFormat="1" ht="12.75">
      <c r="B19" s="14" t="s">
        <v>42</v>
      </c>
      <c r="C19" s="11" t="s">
        <v>43</v>
      </c>
      <c r="D19" s="60" t="s">
        <v>37</v>
      </c>
      <c r="E19" s="61">
        <f>Financials!C26/Financials!C6</f>
        <v>2.9466028558510984E-4</v>
      </c>
      <c r="F19" s="61">
        <f>Financials!D26/Financials!D6</f>
        <v>321254.65851214575</v>
      </c>
      <c r="G19" s="61">
        <f>Financials!E26/Financials!E6</f>
        <v>322432.63370445347</v>
      </c>
      <c r="H19" s="61">
        <f>Financials!F26/Financials!F6</f>
        <v>-19.581498434365951</v>
      </c>
      <c r="I19" s="61">
        <f>Financials!G26/Financials!G6</f>
        <v>-19.442138463325591</v>
      </c>
      <c r="J19" s="61" t="e">
        <f>Financials!H26/Financials!H6</f>
        <v>#DIV/0!</v>
      </c>
      <c r="K19" s="61">
        <f>Financials!I26/Financials!I6</f>
        <v>-5172.7260967114271</v>
      </c>
      <c r="L19" s="61">
        <f>Financials!J26/Financials!J6</f>
        <v>-5075.8957408769184</v>
      </c>
      <c r="M19" s="61">
        <f>Financials!K26/Financials!K6</f>
        <v>-4981.420716584963</v>
      </c>
      <c r="N19" s="61">
        <f>Financials!L26/Financials!L6</f>
        <v>-4967.786865029233</v>
      </c>
      <c r="O19" s="61">
        <f>Financials!M26/Financials!M6</f>
        <v>-4733.4474662791663</v>
      </c>
      <c r="P19" s="61">
        <f>Financials!N26/Financials!N6</f>
        <v>-4578.5857594469799</v>
      </c>
      <c r="Q19" s="61" t="e">
        <f>Financials!O26/Financials!O6</f>
        <v>#VALUE!</v>
      </c>
      <c r="R19" s="61">
        <f>Financials!P26/Financials!P6</f>
        <v>2.5860944682820831E-4</v>
      </c>
      <c r="S19" s="61">
        <f>Financials!Q26/Financials!Q6</f>
        <v>2.5365483258932699E-4</v>
      </c>
      <c r="T19" s="61">
        <f>Financials!R26/Financials!R6</f>
        <v>2.5107495011383716E-4</v>
      </c>
      <c r="U19" s="61">
        <f>Financials!S26/Financials!S6</f>
        <v>2.4561889968211425E-4</v>
      </c>
      <c r="V19" s="61">
        <f>Financials!T26/Financials!T6</f>
        <v>2.4482353188697432E-4</v>
      </c>
      <c r="W19" s="61">
        <f>Financials!U26/Financials!U6</f>
        <v>2.4443894869530459E-4</v>
      </c>
      <c r="X19" s="61">
        <f>Financials!V26/Financials!V6</f>
        <v>2.4117450558996912E-4</v>
      </c>
      <c r="Y19" s="61">
        <f>Financials!W26/Financials!W6</f>
        <v>2.4102133740134832E-4</v>
      </c>
      <c r="Z19" s="61">
        <f>Financials!X26/Financials!X6</f>
        <v>2.3578008643050137E-4</v>
      </c>
      <c r="AA19" s="61">
        <f>Financials!Y26/Financials!Y6</f>
        <v>2.3458894360124012E-4</v>
      </c>
      <c r="AB19" s="61">
        <f>Financials!Z26/Financials!Z6</f>
        <v>2.3349453738028277E-4</v>
      </c>
      <c r="AC19" s="61">
        <f>Financials!AA26/Financials!AA6</f>
        <v>2.3349729387026823E-4</v>
      </c>
      <c r="AD19" s="61">
        <f>Financials!AB26/Financials!AB6</f>
        <v>2.3286201582906483E-4</v>
      </c>
      <c r="AE19" s="61">
        <f>Financials!AC26/Financials!AC6</f>
        <v>2.3041510254812397E-4</v>
      </c>
      <c r="AF19" s="61">
        <f>Financials!AD26/Financials!AD6</f>
        <v>2.2578646413749226E-4</v>
      </c>
      <c r="AG19" s="61">
        <f>Financials!AE26/Financials!AE6</f>
        <v>2.1939577543318454E-4</v>
      </c>
      <c r="AH19" s="61">
        <f>Financials!AF26/Financials!AF6</f>
        <v>2.1829953156551351E-4</v>
      </c>
      <c r="AI19" s="61">
        <f>Financials!AG26/Financials!AG6</f>
        <v>2.1555765924315221E-4</v>
      </c>
      <c r="AJ19" s="61">
        <f>Financials!AH26/Financials!AH6</f>
        <v>2.1623947584538503E-4</v>
      </c>
      <c r="AK19" s="61">
        <f>Financials!AI26/Financials!AI6</f>
        <v>2.1384929271974409E-4</v>
      </c>
    </row>
    <row r="20" spans="2:37" s="4" customFormat="1" ht="12.75">
      <c r="B20" s="14" t="s">
        <v>44</v>
      </c>
      <c r="C20" s="11" t="s">
        <v>45</v>
      </c>
      <c r="D20" s="60" t="s">
        <v>46</v>
      </c>
      <c r="E20" s="61">
        <f>Financials!C26/Financials!C14</f>
        <v>1.2292203400630539E-3</v>
      </c>
      <c r="F20" s="61" t="e">
        <f>Financials!D26/Financials!D14</f>
        <v>#REF!</v>
      </c>
      <c r="G20" s="61" t="e">
        <f>Financials!E26/Financials!E14</f>
        <v>#REF!</v>
      </c>
      <c r="H20" s="61" t="e">
        <f>Financials!F26/Financials!F14</f>
        <v>#REF!</v>
      </c>
      <c r="I20" s="61" t="e">
        <f>Financials!G26/Financials!G14</f>
        <v>#REF!</v>
      </c>
      <c r="J20" s="61" t="e">
        <f>Financials!H26/Financials!H14</f>
        <v>#REF!</v>
      </c>
      <c r="K20" s="61" t="e">
        <f>Financials!I26/Financials!I14</f>
        <v>#REF!</v>
      </c>
      <c r="L20" s="61" t="e">
        <f>Financials!J26/Financials!J14</f>
        <v>#REF!</v>
      </c>
      <c r="M20" s="61" t="e">
        <f>Financials!K26/Financials!K14</f>
        <v>#REF!</v>
      </c>
      <c r="N20" s="61" t="e">
        <f>Financials!L26/Financials!L14</f>
        <v>#REF!</v>
      </c>
      <c r="O20" s="61" t="e">
        <f>Financials!M26/Financials!M14</f>
        <v>#REF!</v>
      </c>
      <c r="P20" s="61" t="e">
        <f>Financials!N26/Financials!N14</f>
        <v>#REF!</v>
      </c>
      <c r="Q20" s="61" t="e">
        <f>Financials!O26/Financials!O14</f>
        <v>#VALUE!</v>
      </c>
      <c r="R20" s="61">
        <f>Financials!P26/Financials!P14</f>
        <v>1.0975659705239702E-3</v>
      </c>
      <c r="S20" s="61">
        <f>Financials!Q26/Financials!Q14</f>
        <v>9.2291895993987737E-4</v>
      </c>
      <c r="T20" s="61">
        <f>Financials!R26/Financials!R14</f>
        <v>9.1055825373747429E-4</v>
      </c>
      <c r="U20" s="61">
        <f>Financials!S26/Financials!S14</f>
        <v>8.8833056923442652E-4</v>
      </c>
      <c r="V20" s="61">
        <f>Financials!T26/Financials!T14</f>
        <v>1.0950155213193093E-3</v>
      </c>
      <c r="W20" s="61">
        <f>Financials!U26/Financials!U14</f>
        <v>1.0445909643828578E-3</v>
      </c>
      <c r="X20" s="61">
        <f>Financials!V26/Financials!V14</f>
        <v>1.0204102832318347E-3</v>
      </c>
      <c r="Y20" s="61">
        <f>Financials!W26/Financials!W14</f>
        <v>9.9807380603815173E-4</v>
      </c>
      <c r="Z20" s="61">
        <f>Financials!X26/Financials!X14</f>
        <v>9.7841335366809353E-4</v>
      </c>
      <c r="AA20" s="61">
        <f>Financials!Y26/Financials!Y14</f>
        <v>9.6314458491651483E-4</v>
      </c>
      <c r="AB20" s="61">
        <f>Financials!Z26/Financials!Z14</f>
        <v>9.4372471016968766E-4</v>
      </c>
      <c r="AC20" s="61">
        <f>Financials!AA26/Financials!AA14</f>
        <v>8.8009876940237097E-4</v>
      </c>
      <c r="AD20" s="61">
        <f>Financials!AB26/Financials!AB14</f>
        <v>8.6454396959896173E-4</v>
      </c>
      <c r="AE20" s="61">
        <f>Financials!AC26/Financials!AC14</f>
        <v>9.9986869459178784E-4</v>
      </c>
      <c r="AF20" s="61">
        <f>Financials!AD26/Financials!AD14</f>
        <v>1.086532372497859E-3</v>
      </c>
      <c r="AG20" s="61">
        <f>Financials!AE26/Financials!AE14</f>
        <v>1.0200532204115082E-3</v>
      </c>
      <c r="AH20" s="61">
        <f>Financials!AF26/Financials!AF14</f>
        <v>9.8642736541288572E-4</v>
      </c>
      <c r="AI20" s="61">
        <f>Financials!AG26/Financials!AG14</f>
        <v>9.5379678501718616E-4</v>
      </c>
      <c r="AJ20" s="61">
        <f>Financials!AH26/Financials!AH14</f>
        <v>9.3409909584275287E-4</v>
      </c>
      <c r="AK20" s="61">
        <f>Financials!AI26/Financials!AI14</f>
        <v>9.1955136228723017E-4</v>
      </c>
    </row>
    <row r="21" spans="2:37" s="4" customFormat="1" ht="12.75">
      <c r="B21" s="14" t="s">
        <v>47</v>
      </c>
      <c r="C21" s="12" t="s">
        <v>48</v>
      </c>
      <c r="D21" s="64" t="s">
        <v>49</v>
      </c>
      <c r="E21" s="61">
        <f>Financials!C31/Financials!C5</f>
        <v>0.69107084436729838</v>
      </c>
      <c r="F21" s="61">
        <f>Financials!D31/Financials!D5</f>
        <v>0.52803040604629714</v>
      </c>
      <c r="G21" s="61">
        <f>Financials!E31/Financials!E5</f>
        <v>0.50350629686841908</v>
      </c>
      <c r="H21" s="61">
        <f>Financials!F31/Financials!F5</f>
        <v>0.49248807045483145</v>
      </c>
      <c r="I21" s="61">
        <f>Financials!G31/Financials!G5</f>
        <v>0.52312284377441021</v>
      </c>
      <c r="J21" s="61">
        <f>Financials!H31/Financials!H5</f>
        <v>0.49704011281572874</v>
      </c>
      <c r="K21" s="61">
        <f>Financials!I31/Financials!I5</f>
        <v>0.51688270857647245</v>
      </c>
      <c r="L21" s="61">
        <f>Financials!J31/Financials!J5</f>
        <v>0.57427201334478017</v>
      </c>
      <c r="M21" s="61">
        <f>Financials!K31/Financials!K5</f>
        <v>0.55370049009297806</v>
      </c>
      <c r="N21" s="61">
        <f>Financials!L31/Financials!L5</f>
        <v>0.56157768240044781</v>
      </c>
      <c r="O21" s="61">
        <f>Financials!M31/Financials!M5</f>
        <v>0.55463092032540406</v>
      </c>
      <c r="P21" s="61">
        <f>Financials!N31/Financials!N5</f>
        <v>0.60498487752438312</v>
      </c>
      <c r="Q21" s="61">
        <f>Financials!O31/Financials!O5</f>
        <v>0.60760668485805314</v>
      </c>
      <c r="R21" s="61">
        <f>Financials!P31/Financials!P5</f>
        <v>0.65141035213310483</v>
      </c>
      <c r="S21" s="61">
        <f>Financials!Q31/Financials!Q5</f>
        <v>0.65965119136314732</v>
      </c>
      <c r="T21" s="61">
        <f>Financials!R31/Financials!R5</f>
        <v>0.649638248182002</v>
      </c>
      <c r="U21" s="61">
        <f>Financials!S31/Financials!S5</f>
        <v>0.67107629303579253</v>
      </c>
      <c r="V21" s="61">
        <f>Financials!T31/Financials!T5</f>
        <v>0.66968331758098798</v>
      </c>
      <c r="W21" s="61">
        <f>Financials!U31/Financials!U5</f>
        <v>0.67743654524814578</v>
      </c>
      <c r="X21" s="61">
        <f>Financials!V31/Financials!V5</f>
        <v>0.63521377453801753</v>
      </c>
      <c r="Y21" s="61">
        <f>Financials!W31/Financials!W5</f>
        <v>0.6318606134418755</v>
      </c>
      <c r="Z21" s="61">
        <f>Financials!X31/Financials!X5</f>
        <v>0.640915918099069</v>
      </c>
      <c r="AA21" s="61">
        <f>Financials!Y31/Financials!Y5</f>
        <v>0.65637399333524249</v>
      </c>
      <c r="AB21" s="61">
        <f>Financials!Z31/Financials!Z5</f>
        <v>0.66074757291933517</v>
      </c>
      <c r="AC21" s="61">
        <f>Financials!AA31/Financials!AA5</f>
        <v>0.63639475349611796</v>
      </c>
      <c r="AD21" s="61">
        <f>Financials!AB31/Financials!AB5</f>
        <v>0.64425245918867713</v>
      </c>
      <c r="AE21" s="61">
        <f>Financials!AC31/Financials!AC5</f>
        <v>0.59187972091521668</v>
      </c>
      <c r="AF21" s="61">
        <f>Financials!AD31/Financials!AD5</f>
        <v>0.61993519947317877</v>
      </c>
      <c r="AG21" s="61">
        <f>Financials!AE31/Financials!AE5</f>
        <v>0.59102837647827777</v>
      </c>
      <c r="AH21" s="61">
        <f>Financials!AF31/Financials!AF5</f>
        <v>0.60352720318814779</v>
      </c>
      <c r="AI21" s="61">
        <f>Financials!AG31/Financials!AG5</f>
        <v>0.59437284556345615</v>
      </c>
      <c r="AJ21" s="61">
        <f>Financials!AH31/Financials!AH5</f>
        <v>0.61580127336412083</v>
      </c>
      <c r="AK21" s="61">
        <f>Financials!AI31/Financials!AI5</f>
        <v>0.60864165140801307</v>
      </c>
    </row>
    <row r="22" spans="2:37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</row>
    <row r="23" spans="2:37" s="4" customFormat="1">
      <c r="B23" s="9">
        <v>3</v>
      </c>
      <c r="C23" s="10" t="s">
        <v>50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</row>
    <row r="24" spans="2:37" s="4" customFormat="1" ht="12.75">
      <c r="B24" s="11">
        <v>3.1</v>
      </c>
      <c r="C24" s="12" t="s">
        <v>51</v>
      </c>
      <c r="D24" s="64" t="s">
        <v>49</v>
      </c>
      <c r="E24" s="61">
        <f>Financials!C6/Financials!C5</f>
        <v>0.76555846428290797</v>
      </c>
      <c r="F24" s="61">
        <f>Financials!D6/Financials!D5</f>
        <v>2.0320891504626769E-5</v>
      </c>
      <c r="G24" s="61">
        <f>Financials!E6/Financials!E5</f>
        <v>1.8952961748610625E-5</v>
      </c>
      <c r="H24" s="61">
        <f>Financials!F6/Financials!F5</f>
        <v>-0.29816243363307166</v>
      </c>
      <c r="I24" s="61">
        <f>Financials!G6/Financials!G5</f>
        <v>-0.31016953205605735</v>
      </c>
      <c r="J24" s="61">
        <f>Financials!H6/Financials!H5</f>
        <v>0</v>
      </c>
      <c r="K24" s="61">
        <f>Financials!I6/Financials!I5</f>
        <v>-1.1302723250085571E-3</v>
      </c>
      <c r="L24" s="61">
        <f>Financials!J6/Financials!J5</f>
        <v>-1.2856469868140067E-3</v>
      </c>
      <c r="M24" s="61">
        <f>Financials!K6/Financials!K5</f>
        <v>-1.2596909178883664E-3</v>
      </c>
      <c r="N24" s="61">
        <f>Financials!L6/Financials!L5</f>
        <v>-1.2582577180636867E-3</v>
      </c>
      <c r="O24" s="61">
        <f>Financials!M6/Financials!M5</f>
        <v>-1.2865840855166627E-3</v>
      </c>
      <c r="P24" s="61">
        <f>Financials!N6/Financials!N5</f>
        <v>-1.4008348051091869E-3</v>
      </c>
      <c r="Q24" s="61">
        <f>Financials!O6/Financials!O5</f>
        <v>-1.3802231170096588E-3</v>
      </c>
      <c r="R24" s="61">
        <f>Financials!P6/Financials!P5</f>
        <v>0.7680083592998731</v>
      </c>
      <c r="S24" s="61">
        <f>Financials!Q6/Financials!Q5</f>
        <v>0.78977871076548878</v>
      </c>
      <c r="T24" s="61">
        <f>Financials!R6/Financials!R5</f>
        <v>0.78988629326549487</v>
      </c>
      <c r="U24" s="61">
        <f>Financials!S6/Financials!S5</f>
        <v>0.81752657924708128</v>
      </c>
      <c r="V24" s="61">
        <f>Financials!T6/Financials!T5</f>
        <v>0.82048762110024187</v>
      </c>
      <c r="W24" s="61">
        <f>Financials!U6/Financials!U5</f>
        <v>0.81597064787699858</v>
      </c>
      <c r="X24" s="61">
        <f>Financials!V6/Financials!V5</f>
        <v>0.77053924917274186</v>
      </c>
      <c r="Y24" s="61">
        <f>Financials!W6/Financials!W5</f>
        <v>0.7673995368340496</v>
      </c>
      <c r="Z24" s="61">
        <f>Financials!X6/Financials!X5</f>
        <v>0.77541820127902994</v>
      </c>
      <c r="AA24" s="61">
        <f>Financials!Y6/Financials!Y5</f>
        <v>0.77810475053467287</v>
      </c>
      <c r="AB24" s="61">
        <f>Financials!Z6/Financials!Z5</f>
        <v>0.78020503962031329</v>
      </c>
      <c r="AC24" s="61">
        <f>Financials!AA6/Financials!AA5</f>
        <v>0.78003951689333995</v>
      </c>
      <c r="AD24" s="61">
        <f>Financials!AB6/Financials!AB5</f>
        <v>0.77770189757073049</v>
      </c>
      <c r="AE24" s="61">
        <f>Financials!AC6/Financials!AC5</f>
        <v>0.75617257477694733</v>
      </c>
      <c r="AF24" s="61">
        <f>Financials!AD6/Financials!AD5</f>
        <v>0.78542949574732224</v>
      </c>
      <c r="AG24" s="61">
        <f>Financials!AE6/Financials!AE5</f>
        <v>0.75198019230922031</v>
      </c>
      <c r="AH24" s="61">
        <f>Financials!AF6/Financials!AF5</f>
        <v>0.77973450243056353</v>
      </c>
      <c r="AI24" s="61">
        <f>Financials!AG6/Financials!AG5</f>
        <v>0.78043248361032436</v>
      </c>
      <c r="AJ24" s="61">
        <f>Financials!AH6/Financials!AH5</f>
        <v>0.78315917554120795</v>
      </c>
      <c r="AK24" s="61">
        <f>Financials!AI6/Financials!AI5</f>
        <v>0.78683184671654183</v>
      </c>
    </row>
    <row r="25" spans="2:37" s="4" customFormat="1" ht="12.75">
      <c r="B25" s="14" t="s">
        <v>52</v>
      </c>
      <c r="C25" s="15" t="s">
        <v>53</v>
      </c>
      <c r="D25" s="66" t="s">
        <v>49</v>
      </c>
      <c r="E25" s="67">
        <f>Financials!C7/Financials!C5</f>
        <v>0.6107721670079802</v>
      </c>
      <c r="F25" s="67">
        <f>Financials!D7/Financials!D5</f>
        <v>-2.4056007110023251E-4</v>
      </c>
      <c r="G25" s="67">
        <f>Financials!E7/Financials!E5</f>
        <v>-1.9788445901482325E-4</v>
      </c>
      <c r="H25" s="67">
        <f>Financials!F7/Financials!F5</f>
        <v>1.4840195197513843E-2</v>
      </c>
      <c r="I25" s="67">
        <f>Financials!G7/Financials!G5</f>
        <v>1.5450499353188993E-2</v>
      </c>
      <c r="J25" s="67">
        <f>Financials!H7/Financials!H5</f>
        <v>-3.0278266497443915E-3</v>
      </c>
      <c r="K25" s="67">
        <f>Financials!I7/Financials!I5</f>
        <v>-2.9848409887121888E-3</v>
      </c>
      <c r="L25" s="67">
        <f>Financials!J7/Financials!J5</f>
        <v>-3.2456663782483475E-3</v>
      </c>
      <c r="M25" s="67">
        <f>Financials!K7/Financials!K5</f>
        <v>-3.0851077547356352E-3</v>
      </c>
      <c r="N25" s="67">
        <f>Financials!L7/Financials!L5</f>
        <v>-3.0088018831507099E-3</v>
      </c>
      <c r="O25" s="67">
        <f>Financials!M7/Financials!M5</f>
        <v>-2.3982767138453296E-3</v>
      </c>
      <c r="P25" s="67">
        <f>Financials!N7/Financials!N5</f>
        <v>-2.5242362654642183E-3</v>
      </c>
      <c r="Q25" s="67">
        <f>Financials!O7/Financials!O5</f>
        <v>-2.4870950048362667E-3</v>
      </c>
      <c r="R25" s="67">
        <f>Financials!P7/Financials!P5</f>
        <v>0.61551044437768554</v>
      </c>
      <c r="S25" s="67">
        <f>Financials!Q7/Financials!Q5</f>
        <v>0.67569754202835475</v>
      </c>
      <c r="T25" s="67">
        <f>Financials!R7/Financials!R5</f>
        <v>0.67808910314167647</v>
      </c>
      <c r="U25" s="67">
        <f>Financials!S7/Financials!S5</f>
        <v>0.69616997513719669</v>
      </c>
      <c r="V25" s="67">
        <f>Financials!T7/Financials!T5</f>
        <v>0.70840414012701514</v>
      </c>
      <c r="W25" s="67">
        <f>Financials!U7/Financials!U5</f>
        <v>0.71170841695005138</v>
      </c>
      <c r="X25" s="67">
        <f>Financials!V7/Financials!V5</f>
        <v>0.66912736353474667</v>
      </c>
      <c r="Y25" s="67">
        <f>Financials!W7/Financials!W5</f>
        <v>0.67331389997468127</v>
      </c>
      <c r="Z25" s="67">
        <f>Financials!X7/Financials!X5</f>
        <v>0.67216921495050841</v>
      </c>
      <c r="AA25" s="67">
        <f>Financials!Y7/Financials!Y5</f>
        <v>0.68415755507248077</v>
      </c>
      <c r="AB25" s="67">
        <f>Financials!Z7/Financials!Z5</f>
        <v>0.69041399924118751</v>
      </c>
      <c r="AC25" s="67">
        <f>Financials!AA7/Financials!AA5</f>
        <v>0.68663151493303642</v>
      </c>
      <c r="AD25" s="67">
        <f>Financials!AB7/Financials!AB5</f>
        <v>0.68930610886589183</v>
      </c>
      <c r="AE25" s="67">
        <f>Financials!AC7/Financials!AC5</f>
        <v>0.62505868640189044</v>
      </c>
      <c r="AF25" s="67">
        <f>Financials!AD7/Financials!AD5</f>
        <v>0.69370515689234213</v>
      </c>
      <c r="AG25" s="67">
        <f>Financials!AE7/Financials!AE5</f>
        <v>0.65189609445717589</v>
      </c>
      <c r="AH25" s="67">
        <f>Financials!AF7/Financials!AF5</f>
        <v>0.68361409535520601</v>
      </c>
      <c r="AI25" s="67">
        <f>Financials!AG7/Financials!AG5</f>
        <v>0.68330263506728084</v>
      </c>
      <c r="AJ25" s="67">
        <f>Financials!AH7/Financials!AH5</f>
        <v>0.68538563279271691</v>
      </c>
      <c r="AK25" s="67">
        <f>Financials!AI7/Financials!AI5</f>
        <v>0.68639560873612604</v>
      </c>
    </row>
    <row r="26" spans="2:37" s="4" customFormat="1" ht="12.75">
      <c r="B26" s="14" t="s">
        <v>54</v>
      </c>
      <c r="C26" s="15" t="s">
        <v>55</v>
      </c>
      <c r="D26" s="66" t="s">
        <v>49</v>
      </c>
      <c r="E26" s="78">
        <f>Financials!C8/Financials!C5</f>
        <v>0.15478629727492771</v>
      </c>
      <c r="F26" s="78">
        <f>Financials!D8/Financials!D5</f>
        <v>6.1771683289478494</v>
      </c>
      <c r="G26" s="78">
        <f>Financials!E8/Financials!E5</f>
        <v>5.8692921078397653</v>
      </c>
      <c r="H26" s="78">
        <f>Financials!F8/Financials!F5</f>
        <v>5.6961448964191526</v>
      </c>
      <c r="I26" s="78">
        <f>Financials!G8/Financials!G5</f>
        <v>5.9791496370851984</v>
      </c>
      <c r="J26" s="78">
        <f>Financials!H8/Financials!H5</f>
        <v>5.6213565260775082</v>
      </c>
      <c r="K26" s="78">
        <f>Financials!I8/Financials!I5</f>
        <v>5.820196590051034</v>
      </c>
      <c r="L26" s="78">
        <f>Financials!J8/Financials!J5</f>
        <v>6.412814037096628</v>
      </c>
      <c r="M26" s="78">
        <f>Financials!K8/Financials!K5</f>
        <v>6.1172900202024563</v>
      </c>
      <c r="N26" s="78">
        <f>Financials!L8/Financials!L5</f>
        <v>6.1542478654780419</v>
      </c>
      <c r="O26" s="78">
        <f>Financials!M8/Financials!M5</f>
        <v>5.9770487572071387</v>
      </c>
      <c r="P26" s="78">
        <f>Financials!N8/Financials!N5</f>
        <v>6.484062711053336</v>
      </c>
      <c r="Q26" s="78" t="e">
        <f>Financials!O8/Financials!O5</f>
        <v>#VALUE!</v>
      </c>
      <c r="R26" s="78">
        <f>Financials!P8/Financials!P5</f>
        <v>0.15249791492218762</v>
      </c>
      <c r="S26" s="78">
        <f>Financials!Q8/Financials!Q5</f>
        <v>0.10741027886158457</v>
      </c>
      <c r="T26" s="78">
        <f>Financials!R8/Financials!R5</f>
        <v>0.10414183207030857</v>
      </c>
      <c r="U26" s="78">
        <f>Financials!S8/Financials!S5</f>
        <v>0.11451680099089903</v>
      </c>
      <c r="V26" s="78">
        <f>Financials!T8/Financials!T5</f>
        <v>0.10544584196406742</v>
      </c>
      <c r="W26" s="78">
        <f>Financials!U8/Financials!U5</f>
        <v>9.7074250259295725E-2</v>
      </c>
      <c r="X26" s="78">
        <f>Financials!V8/Financials!V5</f>
        <v>9.4735131740727688E-2</v>
      </c>
      <c r="Y26" s="78">
        <f>Financials!W8/Financials!W5</f>
        <v>8.772359118511594E-2</v>
      </c>
      <c r="Z26" s="78">
        <f>Financials!X8/Financials!X5</f>
        <v>9.7137600205024002E-2</v>
      </c>
      <c r="AA26" s="78">
        <f>Financials!Y8/Financials!Y5</f>
        <v>8.783522266961398E-2</v>
      </c>
      <c r="AB26" s="78">
        <f>Financials!Z8/Financials!Z5</f>
        <v>8.2349754890771384E-2</v>
      </c>
      <c r="AC26" s="78">
        <f>Financials!AA8/Financials!AA5</f>
        <v>8.5471071141342364E-2</v>
      </c>
      <c r="AD26" s="78">
        <f>Financials!AB8/Financials!AB5</f>
        <v>8.0388604355912927E-2</v>
      </c>
      <c r="AE26" s="78">
        <f>Financials!AC8/Financials!AC5</f>
        <v>0.13111388837505697</v>
      </c>
      <c r="AF26" s="78">
        <f>Financials!AD8/Financials!AD5</f>
        <v>8.5363225882096841E-2</v>
      </c>
      <c r="AG26" s="78">
        <f>Financials!AE8/Financials!AE5</f>
        <v>9.3218711575814794E-2</v>
      </c>
      <c r="AH26" s="78">
        <f>Financials!AF8/Financials!AF5</f>
        <v>8.9216013120474627E-2</v>
      </c>
      <c r="AI26" s="78">
        <f>Financials!AG8/Financials!AG5</f>
        <v>9.029669062898682E-2</v>
      </c>
      <c r="AJ26" s="78">
        <f>Financials!AH8/Financials!AH5</f>
        <v>9.1310482133256154E-2</v>
      </c>
      <c r="AK26" s="78">
        <f>Financials!AI8/Financials!AI5</f>
        <v>9.0664439644788763E-2</v>
      </c>
    </row>
    <row r="27" spans="2:37" s="4" customFormat="1" ht="12.75">
      <c r="B27" s="11">
        <v>3.2</v>
      </c>
      <c r="C27" s="12" t="s">
        <v>56</v>
      </c>
      <c r="D27" s="60" t="s">
        <v>57</v>
      </c>
      <c r="E27" s="79">
        <f>Financials!C9/Financials!C5</f>
        <v>0</v>
      </c>
      <c r="F27" s="79">
        <f>Financials!D9/Financials!D5</f>
        <v>0</v>
      </c>
      <c r="G27" s="79">
        <f>Financials!E9/Financials!E5</f>
        <v>0</v>
      </c>
      <c r="H27" s="79">
        <f>Financials!F9/Financials!F5</f>
        <v>0</v>
      </c>
      <c r="I27" s="79">
        <f>Financials!G9/Financials!G5</f>
        <v>0</v>
      </c>
      <c r="J27" s="79">
        <f>Financials!H9/Financials!H5</f>
        <v>0</v>
      </c>
      <c r="K27" s="79">
        <f>Financials!I9/Financials!I5</f>
        <v>0</v>
      </c>
      <c r="L27" s="79">
        <f>Financials!J9/Financials!J5</f>
        <v>0</v>
      </c>
      <c r="M27" s="79">
        <f>Financials!K9/Financials!K5</f>
        <v>0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7.3123165409246888E-3</v>
      </c>
      <c r="S27" s="79">
        <f>Financials!Q9/Financials!Q5</f>
        <v>6.1462747242993334E-3</v>
      </c>
      <c r="T27" s="79">
        <f>Financials!R9/Financials!R5</f>
        <v>4.867672539596044E-3</v>
      </c>
      <c r="U27" s="79">
        <f>Financials!S9/Financials!S5</f>
        <v>3.6963945212275949E-3</v>
      </c>
      <c r="V27" s="79">
        <f>Financials!T9/Financials!T5</f>
        <v>2.4651797300515284E-3</v>
      </c>
      <c r="W27" s="79">
        <f>Financials!U9/Financials!U5</f>
        <v>1.1504458923215328E-3</v>
      </c>
      <c r="X27" s="79">
        <f>Financials!V9/Financials!V5</f>
        <v>5.4734455247673786E-2</v>
      </c>
      <c r="Y27" s="79">
        <f>Financials!W9/Financials!W5</f>
        <v>5.4741658658703132E-2</v>
      </c>
      <c r="Z27" s="79">
        <f>Financials!X9/Financials!X5</f>
        <v>4.4812729791244753E-2</v>
      </c>
      <c r="AA27" s="79">
        <f>Financials!Y9/Financials!Y5</f>
        <v>4.0618299355320381E-2</v>
      </c>
      <c r="AB27" s="79">
        <f>Financials!Z9/Financials!Z5</f>
        <v>3.6147289493987982E-2</v>
      </c>
      <c r="AC27" s="79">
        <f>Financials!AA9/Financials!AA5</f>
        <v>3.1695692333060146E-2</v>
      </c>
      <c r="AD27" s="79">
        <f>Financials!AB9/Financials!AB5</f>
        <v>3.1725756354230548E-2</v>
      </c>
      <c r="AE27" s="79">
        <f>Financials!AC9/Financials!AC5</f>
        <v>2.6103328047173784E-2</v>
      </c>
      <c r="AF27" s="79">
        <f>Financials!AD9/Financials!AD5</f>
        <v>2.1261991486476665E-2</v>
      </c>
      <c r="AG27" s="79">
        <f>Financials!AE9/Financials!AE5</f>
        <v>6.4368919901826485E-2</v>
      </c>
      <c r="AH27" s="79">
        <f>Financials!AF9/Financials!AF5</f>
        <v>6.2916923359848276E-2</v>
      </c>
      <c r="AI27" s="79">
        <f>Financials!AG9/Financials!AG5</f>
        <v>6.3504390422044268E-2</v>
      </c>
      <c r="AJ27" s="79">
        <f>Financials!AH9/Financials!AH5</f>
        <v>5.6047746083678934E-2</v>
      </c>
      <c r="AK27" s="79">
        <f>Financials!AI9/Financials!AI5</f>
        <v>5.0922089521153208E-2</v>
      </c>
    </row>
    <row r="28" spans="2:37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</row>
    <row r="29" spans="2:37" s="4" customFormat="1">
      <c r="B29" s="9">
        <v>4</v>
      </c>
      <c r="C29" s="10" t="s">
        <v>58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</row>
    <row r="30" spans="2:37" ht="12.75">
      <c r="B30" s="11">
        <v>4.0999999999999996</v>
      </c>
      <c r="C30" s="12" t="s">
        <v>59</v>
      </c>
      <c r="D30" s="64" t="s">
        <v>49</v>
      </c>
      <c r="E30" s="16" t="e">
        <f>Financials!C5/Financials!B5-1</f>
        <v>#VALUE!</v>
      </c>
      <c r="F30" s="16">
        <f>Financials!D5/Financials!C5-1</f>
        <v>-0.89232186161966098</v>
      </c>
      <c r="G30" s="16">
        <f>Financials!E5/Financials!D5-1</f>
        <v>7.2174986377335992E-2</v>
      </c>
      <c r="H30" s="16">
        <f>Financials!F5/Financials!E5-1</f>
        <v>4.4749802112135972E-2</v>
      </c>
      <c r="I30" s="16">
        <f>Financials!G5/Financials!F5-1</f>
        <v>-3.84916169356051E-2</v>
      </c>
      <c r="J30" s="16">
        <f>Financials!H5/Financials!G5-1</f>
        <v>7.4626111312565691E-2</v>
      </c>
      <c r="K30" s="16">
        <f>Financials!I5/Financials!H5-1</f>
        <v>-1.8248612609486736E-2</v>
      </c>
      <c r="L30" s="16">
        <f>Financials!J5/Financials!I5-1</f>
        <v>-8.1002463508569211E-2</v>
      </c>
      <c r="M30" s="16">
        <f>Financials!K5/Financials!J5-1</f>
        <v>5.8912590245612462E-2</v>
      </c>
      <c r="N30" s="16">
        <f>Financials!L5/Financials!K5-1</f>
        <v>6.3129567337030235E-3</v>
      </c>
      <c r="O30" s="16">
        <f>Financials!M5/Financials!L5-1</f>
        <v>3.3150531317934551E-2</v>
      </c>
      <c r="P30" s="16">
        <f>Financials!N5/Financials!M5-1</f>
        <v>-6.5160572963714913E-2</v>
      </c>
      <c r="Q30" s="16">
        <f>Financials!O5/Financials!N5-1</f>
        <v>1.493359142120787E-2</v>
      </c>
      <c r="R30" s="16">
        <f>Financials!P5/Financials!O5-1</f>
        <v>8.669997607447959</v>
      </c>
      <c r="S30" s="16">
        <f>Financials!Q5/Financials!P5-1</f>
        <v>-8.570656084380901E-3</v>
      </c>
      <c r="T30" s="16">
        <f>Financials!R5/Financials!Q5-1</f>
        <v>1.0137748470548935E-2</v>
      </c>
      <c r="U30" s="16">
        <f>Financials!S5/Financials!R5-1</f>
        <v>-1.2347198403325321E-2</v>
      </c>
      <c r="V30" s="16">
        <f>Financials!T5/Financials!S5-1</f>
        <v>-3.7186574618608415E-4</v>
      </c>
      <c r="W30" s="16">
        <f>Financials!U5/Financials!T5-1</f>
        <v>7.1177452649784367E-3</v>
      </c>
      <c r="X30" s="16">
        <f>Financials!V5/Financials!U5-1</f>
        <v>7.3294197578152698E-2</v>
      </c>
      <c r="Y30" s="16">
        <f>Financials!W5/Financials!V5-1</f>
        <v>4.7294623879985398E-3</v>
      </c>
      <c r="Z30" s="16">
        <f>Financials!X5/Financials!W5-1</f>
        <v>1.1658445006219598E-2</v>
      </c>
      <c r="AA30" s="16">
        <f>Financials!Y5/Financials!X5-1</f>
        <v>1.6073599347956602E-3</v>
      </c>
      <c r="AB30" s="16">
        <f>Financials!Z5/Financials!Y5-1</f>
        <v>1.9824860562032143E-3</v>
      </c>
      <c r="AC30" s="16">
        <f>Financials!AA5/Financials!Z5-1</f>
        <v>2.0039013565220642E-4</v>
      </c>
      <c r="AD30" s="16">
        <f>Financials!AB5/Financials!AA5-1</f>
        <v>5.7421348464063993E-3</v>
      </c>
      <c r="AE30" s="16">
        <f>Financials!AC5/Financials!AB5-1</f>
        <v>3.9393383109463498E-2</v>
      </c>
      <c r="AF30" s="16">
        <f>Financials!AD5/Financials!AC5-1</f>
        <v>-1.751313138337951E-2</v>
      </c>
      <c r="AG30" s="16">
        <f>Financials!AE5/Financials!AD5-1</f>
        <v>7.4905901242883877E-2</v>
      </c>
      <c r="AH30" s="16">
        <f>Financials!AF5/Financials!AE5-1</f>
        <v>-3.0751569583589933E-2</v>
      </c>
      <c r="AI30" s="16">
        <f>Financials!AG5/Financials!AF5-1</f>
        <v>1.1814174253835352E-2</v>
      </c>
      <c r="AJ30" s="16">
        <f>Financials!AH5/Financials!AG5-1</f>
        <v>-6.6237420982320216E-3</v>
      </c>
      <c r="AK30" s="16">
        <f>Financials!AI5/Financials!AH5-1</f>
        <v>6.4571112545770415E-3</v>
      </c>
    </row>
    <row r="31" spans="2:37" ht="12.75">
      <c r="B31" s="11">
        <v>4.2</v>
      </c>
      <c r="C31" s="12" t="s">
        <v>60</v>
      </c>
      <c r="D31" s="64" t="s">
        <v>49</v>
      </c>
      <c r="E31" s="16" t="e">
        <f>Financials!C6/Financials!B6-1</f>
        <v>#VALUE!</v>
      </c>
      <c r="F31" s="16">
        <f>Financials!D6/Financials!C6-1</f>
        <v>-0.99999714180448718</v>
      </c>
      <c r="G31" s="16">
        <f>Financials!E6/Financials!D6-1</f>
        <v>0</v>
      </c>
      <c r="H31" s="16">
        <f>Financials!F6/Financials!E6-1</f>
        <v>-16436.697368421053</v>
      </c>
      <c r="I31" s="16">
        <f>Financials!G6/Financials!F6-1</f>
        <v>2.2863916542870122E-4</v>
      </c>
      <c r="J31" s="16">
        <f>Financials!H6/Financials!G6-1</f>
        <v>-1</v>
      </c>
      <c r="K31" s="16" t="e">
        <f>Financials!I6/Financials!H6-1</f>
        <v>#DIV/0!</v>
      </c>
      <c r="L31" s="16">
        <f>Financials!J6/Financials!I6-1</f>
        <v>4.5328977395565628E-2</v>
      </c>
      <c r="M31" s="16">
        <f>Financials!K6/Financials!J6-1</f>
        <v>3.7534087079082123E-2</v>
      </c>
      <c r="N31" s="16">
        <f>Financials!L6/Financials!K6-1</f>
        <v>5.1680349654479318E-3</v>
      </c>
      <c r="O31" s="16">
        <f>Financials!M6/Financials!L6-1</f>
        <v>5.6409201751035587E-2</v>
      </c>
      <c r="P31" s="16">
        <f>Financials!N6/Financials!M6-1</f>
        <v>1.7854659732458256E-2</v>
      </c>
      <c r="Q31" s="16">
        <f>Financials!O6/Financials!N6-1</f>
        <v>0</v>
      </c>
      <c r="R31" s="16">
        <f>Financials!P6/Financials!O6-1</f>
        <v>-5381.7525068990954</v>
      </c>
      <c r="S31" s="16">
        <f>Financials!Q6/Financials!P6-1</f>
        <v>1.9532899051456276E-2</v>
      </c>
      <c r="T31" s="16">
        <f>Financials!R6/Financials!Q6-1</f>
        <v>1.0275347956138603E-2</v>
      </c>
      <c r="U31" s="16">
        <f>Financials!S6/Financials!R6-1</f>
        <v>2.2213479658056645E-2</v>
      </c>
      <c r="V31" s="16">
        <f>Financials!T6/Financials!S6-1</f>
        <v>3.2487391592206372E-3</v>
      </c>
      <c r="W31" s="16">
        <f>Financials!U6/Financials!T6-1</f>
        <v>1.5733302475831046E-3</v>
      </c>
      <c r="X31" s="16">
        <f>Financials!V6/Financials!U6-1</f>
        <v>1.3535606084689178E-2</v>
      </c>
      <c r="Y31" s="16">
        <f>Financials!W6/Financials!V6-1</f>
        <v>6.3549638497661931E-4</v>
      </c>
      <c r="Z31" s="16">
        <f>Financials!X6/Financials!W6-1</f>
        <v>2.2229404739792846E-2</v>
      </c>
      <c r="AA31" s="16">
        <f>Financials!Y6/Financials!X6-1</f>
        <v>5.0775744626991859E-3</v>
      </c>
      <c r="AB31" s="16">
        <f>Financials!Z6/Financials!Y6-1</f>
        <v>4.6870741955515882E-3</v>
      </c>
      <c r="AC31" s="16">
        <f>Financials!AA6/Financials!Z6-1</f>
        <v>-1.1805233113282299E-5</v>
      </c>
      <c r="AD31" s="16">
        <f>Financials!AB6/Financials!AA6-1</f>
        <v>2.72813081576051E-3</v>
      </c>
      <c r="AE31" s="16">
        <f>Financials!AC6/Financials!AB6-1</f>
        <v>1.061958723139611E-2</v>
      </c>
      <c r="AF31" s="16">
        <f>Financials!AD6/Financials!AC6-1</f>
        <v>2.0500070401975545E-2</v>
      </c>
      <c r="AG31" s="16">
        <f>Financials!AE6/Financials!AD6-1</f>
        <v>2.9128585961555986E-2</v>
      </c>
      <c r="AH31" s="16">
        <f>Financials!AF6/Financials!AE6-1</f>
        <v>5.0217417316904545E-3</v>
      </c>
      <c r="AI31" s="16">
        <f>Financials!AG6/Financials!AF6-1</f>
        <v>1.2719902099458391E-2</v>
      </c>
      <c r="AJ31" s="16">
        <f>Financials!AH6/Financials!AG6-1</f>
        <v>-3.1530625921435407E-3</v>
      </c>
      <c r="AK31" s="16">
        <f>Financials!AI6/Financials!AH6-1</f>
        <v>1.1176951278362823E-2</v>
      </c>
    </row>
    <row r="32" spans="2:37" ht="12.75">
      <c r="B32" s="11" t="s">
        <v>61</v>
      </c>
      <c r="C32" s="17" t="s">
        <v>62</v>
      </c>
      <c r="D32" s="64" t="s">
        <v>49</v>
      </c>
      <c r="E32" s="16" t="e">
        <f>Financials!C8/Financials!B8-1</f>
        <v>#VALUE!</v>
      </c>
      <c r="F32" s="16">
        <f>Financials!D8/Financials!C8-1</f>
        <v>3.2971890783179436</v>
      </c>
      <c r="G32" s="16">
        <f>Financials!E8/Financials!D8-1</f>
        <v>1.8736717320373186E-2</v>
      </c>
      <c r="H32" s="16">
        <f>Financials!F8/Financials!E8-1</f>
        <v>1.3929132166892177E-2</v>
      </c>
      <c r="I32" s="16">
        <f>Financials!G8/Financials!F8-1</f>
        <v>9.2795397932958767E-3</v>
      </c>
      <c r="J32" s="16">
        <f>Financials!H8/Financials!G8-1</f>
        <v>1.0320341617185091E-2</v>
      </c>
      <c r="K32" s="16">
        <f>Financials!I8/Financials!H8-1</f>
        <v>1.6478149119508734E-2</v>
      </c>
      <c r="L32" s="16">
        <f>Financials!J8/Financials!I8-1</f>
        <v>1.2570659922982452E-2</v>
      </c>
      <c r="M32" s="16">
        <f>Financials!K8/Financials!J8-1</f>
        <v>1.0114340304331781E-2</v>
      </c>
      <c r="N32" s="16">
        <f>Financials!L8/Financials!K8-1</f>
        <v>1.2392635550786624E-2</v>
      </c>
      <c r="O32" s="16">
        <f>Financials!M8/Financials!L8-1</f>
        <v>3.40305333836044E-3</v>
      </c>
      <c r="P32" s="16">
        <f>Financials!N8/Financials!M8-1</f>
        <v>1.4138869514725316E-2</v>
      </c>
      <c r="Q32" s="16" t="e">
        <f>Financials!O8/Financials!N8-1</f>
        <v>#VALUE!</v>
      </c>
      <c r="R32" s="16" t="e">
        <f>Financials!P8/Financials!O8-1</f>
        <v>#VALUE!</v>
      </c>
      <c r="S32" s="16">
        <f>Financials!Q8/Financials!P8-1</f>
        <v>-0.3016973225117795</v>
      </c>
      <c r="T32" s="16">
        <f>Financials!R8/Financials!Q8-1</f>
        <v>-2.0600291852295283E-2</v>
      </c>
      <c r="U32" s="16">
        <f>Financials!S8/Financials!R8-1</f>
        <v>8.6046184132730907E-2</v>
      </c>
      <c r="V32" s="16">
        <f>Financials!T8/Financials!S8-1</f>
        <v>-7.9553136698778504E-2</v>
      </c>
      <c r="W32" s="16">
        <f>Financials!U8/Financials!T8-1</f>
        <v>-7.2839685060835047E-2</v>
      </c>
      <c r="X32" s="16">
        <f>Financials!V8/Financials!U8-1</f>
        <v>4.74319083848731E-2</v>
      </c>
      <c r="Y32" s="16">
        <f>Financials!W8/Financials!V8-1</f>
        <v>-6.9632616848155027E-2</v>
      </c>
      <c r="Z32" s="16">
        <f>Financials!X8/Financials!W8-1</f>
        <v>0.12022401554080342</v>
      </c>
      <c r="AA32" s="16">
        <f>Financials!Y8/Financials!X8-1</f>
        <v>-9.4311519929367149E-2</v>
      </c>
      <c r="AB32" s="16">
        <f>Financials!Z8/Financials!Y8-1</f>
        <v>-6.0593123991488085E-2</v>
      </c>
      <c r="AC32" s="16">
        <f>Financials!AA8/Financials!Z8-1</f>
        <v>3.811114938076221E-2</v>
      </c>
      <c r="AD32" s="16">
        <f>Financials!AB8/Financials!AA8-1</f>
        <v>-5.4063492096196097E-2</v>
      </c>
      <c r="AE32" s="16">
        <f>Financials!AC8/Financials!AB8-1</f>
        <v>0.69525157331286747</v>
      </c>
      <c r="AF32" s="16">
        <f>Financials!AD8/Financials!AC8-1</f>
        <v>-0.36034046788387664</v>
      </c>
      <c r="AG32" s="16">
        <f>Financials!AE8/Financials!AD8-1</f>
        <v>0.17382329619898762</v>
      </c>
      <c r="AH32" s="16">
        <f>Financials!AF8/Financials!AE8-1</f>
        <v>-7.2369922054738911E-2</v>
      </c>
      <c r="AI32" s="16">
        <f>Financials!AG8/Financials!AF8-1</f>
        <v>2.4070324048753866E-2</v>
      </c>
      <c r="AJ32" s="16">
        <f>Financials!AH8/Financials!AG8-1</f>
        <v>4.5292293317129584E-3</v>
      </c>
      <c r="AK32" s="16">
        <f>Financials!AI8/Financials!AH8-1</f>
        <v>-6.6380237439378487E-4</v>
      </c>
    </row>
    <row r="33" spans="2:37" ht="12.75">
      <c r="B33" s="11" t="s">
        <v>63</v>
      </c>
      <c r="C33" s="17" t="s">
        <v>64</v>
      </c>
      <c r="D33" s="64" t="s">
        <v>49</v>
      </c>
      <c r="E33" s="16" t="e">
        <f>Financials!C7/Financials!B7-1</f>
        <v>#VALUE!</v>
      </c>
      <c r="F33" s="16">
        <f>Financials!D7/Financials!C7-1</f>
        <v>-1.0000424103487748</v>
      </c>
      <c r="G33" s="16">
        <f>Financials!E7/Financials!D7-1</f>
        <v>-0.11802999484439558</v>
      </c>
      <c r="H33" s="16">
        <f>Financials!F7/Financials!E7-1</f>
        <v>-79.350220492790967</v>
      </c>
      <c r="I33" s="16">
        <f>Financials!G7/Financials!F7-1</f>
        <v>1.0504884134541204E-3</v>
      </c>
      <c r="J33" s="16">
        <f>Financials!H7/Financials!G7-1</f>
        <v>-1.2105939428858516</v>
      </c>
      <c r="K33" s="16">
        <f>Financials!I7/Financials!H7-1</f>
        <v>-3.2186409332369048E-2</v>
      </c>
      <c r="L33" s="16">
        <f>Financials!J7/Financials!I7-1</f>
        <v>-6.9738483114012428E-4</v>
      </c>
      <c r="M33" s="16">
        <f>Financials!K7/Financials!J7-1</f>
        <v>6.5296500119731427E-3</v>
      </c>
      <c r="N33" s="16">
        <f>Financials!L7/Financials!K7-1</f>
        <v>-1.8576801859947145E-2</v>
      </c>
      <c r="O33" s="16">
        <f>Financials!M7/Financials!L7-1</f>
        <v>-0.17648919490767923</v>
      </c>
      <c r="P33" s="16">
        <f>Financials!N7/Financials!M7-1</f>
        <v>-1.6062003818059667E-2</v>
      </c>
      <c r="Q33" s="16">
        <f>Financials!O7/Financials!N7-1</f>
        <v>0</v>
      </c>
      <c r="R33" s="16">
        <f>Financials!P7/Financials!O7-1</f>
        <v>-2394.1472311743419</v>
      </c>
      <c r="S33" s="16">
        <f>Financials!Q7/Financials!P7-1</f>
        <v>8.8375310114972905E-2</v>
      </c>
      <c r="T33" s="16">
        <f>Financials!R7/Financials!Q7-1</f>
        <v>1.3713025881043173E-2</v>
      </c>
      <c r="U33" s="16">
        <f>Financials!S7/Financials!R7-1</f>
        <v>1.3988018899164345E-2</v>
      </c>
      <c r="V33" s="16">
        <f>Financials!T7/Financials!S7-1</f>
        <v>1.7195130762842403E-2</v>
      </c>
      <c r="W33" s="16">
        <f>Financials!U7/Financials!T7-1</f>
        <v>1.1815340373825256E-2</v>
      </c>
      <c r="X33" s="16">
        <f>Financials!V7/Financials!U7-1</f>
        <v>9.0797012072050265E-3</v>
      </c>
      <c r="Y33" s="16">
        <f>Financials!W7/Financials!V7-1</f>
        <v>1.1015764123355254E-2</v>
      </c>
      <c r="Z33" s="16">
        <f>Financials!X7/Financials!W7-1</f>
        <v>9.9385484295706483E-3</v>
      </c>
      <c r="AA33" s="16">
        <f>Financials!Y7/Financials!X7-1</f>
        <v>1.9471328460122006E-2</v>
      </c>
      <c r="AB33" s="16">
        <f>Financials!Z7/Financials!Y7-1</f>
        <v>1.1145357145697199E-2</v>
      </c>
      <c r="AC33" s="16">
        <f>Financials!AA7/Financials!Z7-1</f>
        <v>-5.2792818942496433E-3</v>
      </c>
      <c r="AD33" s="16">
        <f>Financials!AB7/Financials!AA7-1</f>
        <v>9.6597409471685936E-3</v>
      </c>
      <c r="AE33" s="16">
        <f>Financials!AC7/Financials!AB7-1</f>
        <v>-5.7484252141428382E-2</v>
      </c>
      <c r="AF33" s="16">
        <f>Financials!AD7/Financials!AC7-1</f>
        <v>9.0387546266563534E-2</v>
      </c>
      <c r="AG33" s="16">
        <f>Financials!AE7/Financials!AD7-1</f>
        <v>1.0122170733630975E-2</v>
      </c>
      <c r="AH33" s="16">
        <f>Financials!AF7/Financials!AE7-1</f>
        <v>1.6407207478820629E-2</v>
      </c>
      <c r="AI33" s="16">
        <f>Financials!AG7/Financials!AF7-1</f>
        <v>1.1353183270499612E-2</v>
      </c>
      <c r="AJ33" s="16">
        <f>Financials!AH7/Financials!AG7-1</f>
        <v>-3.5955077851771433E-3</v>
      </c>
      <c r="AK33" s="16">
        <f>Financials!AI7/Financials!AH7-1</f>
        <v>7.940214228735254E-3</v>
      </c>
    </row>
    <row r="34" spans="2:37" ht="12.75">
      <c r="B34" s="11">
        <v>4.3</v>
      </c>
      <c r="C34" s="12" t="s">
        <v>65</v>
      </c>
      <c r="D34" s="64" t="s">
        <v>49</v>
      </c>
      <c r="E34" s="16" t="e">
        <f>Financials!C31/Financials!B31-1</f>
        <v>#VALUE!</v>
      </c>
      <c r="F34" s="16">
        <f>Financials!D31/Financials!C31-1</f>
        <v>-0.91772575620183372</v>
      </c>
      <c r="G34" s="16">
        <f>Financials!E31/Financials!D31-1</f>
        <v>2.2378353223975189E-2</v>
      </c>
      <c r="H34" s="16">
        <f>Financials!F31/Financials!E31-1</f>
        <v>2.1887546095046506E-2</v>
      </c>
      <c r="I34" s="16">
        <f>Financials!G31/Financials!F31-1</f>
        <v>2.1318139131885294E-2</v>
      </c>
      <c r="J34" s="16">
        <f>Financials!H31/Financials!G31-1</f>
        <v>2.1045610907909351E-2</v>
      </c>
      <c r="K34" s="16">
        <f>Financials!I31/Financials!H31-1</f>
        <v>2.0944392975479786E-2</v>
      </c>
      <c r="L34" s="16">
        <f>Financials!J31/Financials!I31-1</f>
        <v>2.1033508730242456E-2</v>
      </c>
      <c r="M34" s="16">
        <f>Financials!K31/Financials!J31-1</f>
        <v>2.0980313440081888E-2</v>
      </c>
      <c r="N34" s="16">
        <f>Financials!L31/Financials!K31-1</f>
        <v>2.0629217642843312E-2</v>
      </c>
      <c r="O34" s="16">
        <f>Financials!M31/Financials!L31-1</f>
        <v>2.0370374353553933E-2</v>
      </c>
      <c r="P34" s="16">
        <f>Financials!N31/Financials!M31-1</f>
        <v>1.9711839972234468E-2</v>
      </c>
      <c r="Q34" s="16">
        <f>Financials!O31/Financials!N31-1</f>
        <v>1.9331982905082201E-2</v>
      </c>
      <c r="R34" s="16">
        <f>Financials!P31/Financials!O31-1</f>
        <v>9.3671284460366628</v>
      </c>
      <c r="S34" s="16">
        <f>Financials!Q31/Financials!P31-1</f>
        <v>3.9716834783862787E-3</v>
      </c>
      <c r="T34" s="16">
        <f>Financials!R31/Financials!Q31-1</f>
        <v>-5.1952820962034574E-3</v>
      </c>
      <c r="U34" s="16">
        <f>Financials!S31/Financials!R31-1</f>
        <v>2.0245317692909159E-2</v>
      </c>
      <c r="V34" s="16">
        <f>Financials!T31/Financials!S31-1</f>
        <v>-2.4468272213538089E-3</v>
      </c>
      <c r="W34" s="16">
        <f>Financials!U31/Financials!T31-1</f>
        <v>1.8777604427782979E-2</v>
      </c>
      <c r="X34" s="16">
        <f>Financials!V31/Financials!U31-1</f>
        <v>6.39869994559783E-3</v>
      </c>
      <c r="Y34" s="16">
        <f>Financials!W31/Financials!V31-1</f>
        <v>-5.7429499332939393E-4</v>
      </c>
      <c r="Z34" s="16">
        <f>Financials!X31/Financials!W31-1</f>
        <v>2.6156698629993924E-2</v>
      </c>
      <c r="AA34" s="16">
        <f>Financials!Y31/Financials!X31-1</f>
        <v>2.5764853125008536E-2</v>
      </c>
      <c r="AB34" s="16">
        <f>Financials!Z31/Financials!Y31-1</f>
        <v>8.6589390984181946E-3</v>
      </c>
      <c r="AC34" s="16">
        <f>Financials!AA31/Financials!Z31-1</f>
        <v>-3.6663459973379497E-2</v>
      </c>
      <c r="AD34" s="16">
        <f>Financials!AB31/Financials!AA31-1</f>
        <v>1.8160253718087604E-2</v>
      </c>
      <c r="AE34" s="16">
        <f>Financials!AC31/Financials!AB31-1</f>
        <v>-4.5101253799351704E-2</v>
      </c>
      <c r="AF34" s="16">
        <f>Financials!AD31/Financials!AC31-1</f>
        <v>2.9057376613297325E-2</v>
      </c>
      <c r="AG34" s="16">
        <f>Financials!AE31/Financials!AD31-1</f>
        <v>2.4784348780936716E-2</v>
      </c>
      <c r="AH34" s="16">
        <f>Financials!AF31/Financials!AE31-1</f>
        <v>-1.0254299650843235E-2</v>
      </c>
      <c r="AI34" s="16">
        <f>Financials!AG31/Financials!AF31-1</f>
        <v>-3.53311871311357E-3</v>
      </c>
      <c r="AJ34" s="16">
        <f>Financials!AH31/Financials!AG31-1</f>
        <v>2.9189622493084988E-2</v>
      </c>
      <c r="AK34" s="16">
        <f>Financials!AI31/Financials!AH31-1</f>
        <v>-5.2444761621774916E-3</v>
      </c>
    </row>
    <row r="35" spans="2:37" ht="12.75">
      <c r="B35" s="11">
        <v>4.4000000000000004</v>
      </c>
      <c r="C35" s="12" t="s">
        <v>66</v>
      </c>
      <c r="D35" s="64" t="s">
        <v>49</v>
      </c>
      <c r="E35" s="16" t="e">
        <f>Financials!C14/Financials!B14-1</f>
        <v>#VALUE!</v>
      </c>
      <c r="F35" s="16" t="e">
        <f>Financials!D14/Financials!C14-1</f>
        <v>#REF!</v>
      </c>
      <c r="G35" s="16" t="e">
        <f>Financials!E14/Financials!D14-1</f>
        <v>#REF!</v>
      </c>
      <c r="H35" s="16" t="e">
        <f>Financials!F14/Financials!E14-1</f>
        <v>#REF!</v>
      </c>
      <c r="I35" s="16" t="e">
        <f>Financials!G14/Financials!F14-1</f>
        <v>#REF!</v>
      </c>
      <c r="J35" s="16" t="e">
        <f>Financials!H14/Financials!G14-1</f>
        <v>#REF!</v>
      </c>
      <c r="K35" s="16" t="e">
        <f>Financials!I14/Financials!H14-1</f>
        <v>#REF!</v>
      </c>
      <c r="L35" s="16" t="e">
        <f>Financials!J14/Financials!I14-1</f>
        <v>#REF!</v>
      </c>
      <c r="M35" s="16" t="e">
        <f>Financials!K14/Financials!J14-1</f>
        <v>#REF!</v>
      </c>
      <c r="N35" s="16" t="e">
        <f>Financials!L14/Financials!K14-1</f>
        <v>#REF!</v>
      </c>
      <c r="O35" s="16" t="e">
        <f>Financials!M14/Financials!L14-1</f>
        <v>#REF!</v>
      </c>
      <c r="P35" s="16" t="e">
        <f>Financials!N14/Financials!M14-1</f>
        <v>#REF!</v>
      </c>
      <c r="Q35" s="16" t="e">
        <f>Financials!O14/Financials!N14-1</f>
        <v>#REF!</v>
      </c>
      <c r="R35" s="16" t="e">
        <f>Financials!P14/Financials!O14-1</f>
        <v>#REF!</v>
      </c>
      <c r="S35" s="16">
        <f>Financials!Q14/Financials!P14-1</f>
        <v>0.18923331101082819</v>
      </c>
      <c r="T35" s="16">
        <f>Financials!R14/Financials!Q14-1</f>
        <v>1.3574865915132239E-2</v>
      </c>
      <c r="U35" s="16">
        <f>Financials!S14/Financials!R14-1</f>
        <v>2.502186153765229E-2</v>
      </c>
      <c r="V35" s="16">
        <f>Financials!T14/Financials!S14-1</f>
        <v>-0.18875070541088046</v>
      </c>
      <c r="W35" s="16">
        <f>Financials!U14/Financials!T14-1</f>
        <v>4.8272059261246003E-2</v>
      </c>
      <c r="X35" s="16">
        <f>Financials!V14/Financials!U14-1</f>
        <v>2.3697018295854688E-2</v>
      </c>
      <c r="Y35" s="16">
        <f>Financials!W14/Financials!V14-1</f>
        <v>2.2379584614436121E-2</v>
      </c>
      <c r="Z35" s="16">
        <f>Financials!X14/Financials!W14-1</f>
        <v>2.0094219172654082E-2</v>
      </c>
      <c r="AA35" s="16">
        <f>Financials!Y14/Financials!X14-1</f>
        <v>1.5853039087482479E-2</v>
      </c>
      <c r="AB35" s="16">
        <f>Financials!Z14/Financials!Y14-1</f>
        <v>2.0577902154681693E-2</v>
      </c>
      <c r="AC35" s="16">
        <f>Financials!AA14/Financials!Z14-1</f>
        <v>7.2294091276279948E-2</v>
      </c>
      <c r="AD35" s="16">
        <f>Financials!AB14/Financials!AA14-1</f>
        <v>1.7991912904816942E-2</v>
      </c>
      <c r="AE35" s="16">
        <f>Financials!AC14/Financials!AB14-1</f>
        <v>-0.13534249619453731</v>
      </c>
      <c r="AF35" s="16">
        <f>Financials!AD14/Financials!AC14-1</f>
        <v>-7.9761708072110027E-2</v>
      </c>
      <c r="AG35" s="16">
        <f>Financials!AE14/Financials!AD14-1</f>
        <v>6.5172238816649131E-2</v>
      </c>
      <c r="AH35" s="16">
        <f>Financials!AF14/Financials!AE14-1</f>
        <v>3.4088526107087347E-2</v>
      </c>
      <c r="AI35" s="16">
        <f>Financials!AG14/Financials!AF14-1</f>
        <v>3.4211250140785188E-2</v>
      </c>
      <c r="AJ35" s="16">
        <f>Financials!AH14/Financials!AG14-1</f>
        <v>2.1087365636150102E-2</v>
      </c>
      <c r="AK35" s="16">
        <f>Financials!AI14/Financials!AH14-1</f>
        <v>1.5820468711326363E-2</v>
      </c>
    </row>
    <row r="36" spans="2:37" ht="12.75">
      <c r="B36" s="11">
        <v>4.5</v>
      </c>
      <c r="C36" s="12" t="s">
        <v>67</v>
      </c>
      <c r="D36" s="64" t="s">
        <v>49</v>
      </c>
      <c r="E36" s="18" t="e">
        <f>Financials!C41/Financials!B41-1</f>
        <v>#VALUE!</v>
      </c>
      <c r="F36" s="18" t="e">
        <f>Financials!D41/Financials!C41-1</f>
        <v>#REF!</v>
      </c>
      <c r="G36" s="18" t="e">
        <f>Financials!E41/Financials!D41-1</f>
        <v>#REF!</v>
      </c>
      <c r="H36" s="18" t="e">
        <f>Financials!F41/Financials!E41-1</f>
        <v>#REF!</v>
      </c>
      <c r="I36" s="18" t="e">
        <f>Financials!G41/Financials!F41-1</f>
        <v>#REF!</v>
      </c>
      <c r="J36" s="18" t="e">
        <f>Financials!H41/Financials!G41-1</f>
        <v>#REF!</v>
      </c>
      <c r="K36" s="18" t="e">
        <f>Financials!I41/Financials!H41-1</f>
        <v>#REF!</v>
      </c>
      <c r="L36" s="18" t="e">
        <f>Financials!J41/Financials!I41-1</f>
        <v>#REF!</v>
      </c>
      <c r="M36" s="18" t="e">
        <f>Financials!K41/Financials!J41-1</f>
        <v>#REF!</v>
      </c>
      <c r="N36" s="18" t="e">
        <f>Financials!L41/Financials!K41-1</f>
        <v>#REF!</v>
      </c>
      <c r="O36" s="18" t="e">
        <f>Financials!M41/Financials!L41-1</f>
        <v>#REF!</v>
      </c>
      <c r="P36" s="18" t="e">
        <f>Financials!N41/Financials!M41-1</f>
        <v>#REF!</v>
      </c>
      <c r="Q36" s="18" t="e">
        <f>Financials!O41/Financials!N41-1</f>
        <v>#REF!</v>
      </c>
      <c r="R36" s="18" t="e">
        <f>Financials!P41/Financials!O41-1</f>
        <v>#REF!</v>
      </c>
      <c r="S36" s="18">
        <f>Financials!Q41/Financials!P41-1</f>
        <v>-0.10159390577615846</v>
      </c>
      <c r="T36" s="18">
        <f>Financials!R41/Financials!Q41-1</f>
        <v>0</v>
      </c>
      <c r="U36" s="18">
        <f>Financials!S41/Financials!R41-1</f>
        <v>0</v>
      </c>
      <c r="V36" s="18">
        <f>Financials!T41/Financials!S41-1</f>
        <v>0</v>
      </c>
      <c r="W36" s="18">
        <f>Financials!U41/Financials!T41-1</f>
        <v>0</v>
      </c>
      <c r="X36" s="18">
        <f>Financials!V41/Financials!U41-1</f>
        <v>0</v>
      </c>
      <c r="Y36" s="18">
        <f>Financials!W41/Financials!V41-1</f>
        <v>0</v>
      </c>
      <c r="Z36" s="18">
        <f>Financials!X41/Financials!W41-1</f>
        <v>0</v>
      </c>
      <c r="AA36" s="18">
        <f>Financials!Y41/Financials!X41-1</f>
        <v>0</v>
      </c>
      <c r="AB36" s="18">
        <f>Financials!Z41/Financials!Y41-1</f>
        <v>0</v>
      </c>
      <c r="AC36" s="18">
        <f>Financials!AA41/Financials!Z41-1</f>
        <v>0.11308238716248731</v>
      </c>
      <c r="AD36" s="18">
        <f>Financials!AB41/Financials!AA41-1</f>
        <v>0</v>
      </c>
      <c r="AE36" s="18">
        <f>Financials!AC41/Financials!AB41-1</f>
        <v>0.11303624775719756</v>
      </c>
      <c r="AF36" s="18">
        <f>Financials!AD41/Financials!AC41-1</f>
        <v>-0.10155666357225035</v>
      </c>
      <c r="AG36" s="18">
        <f>Financials!AE41/Financials!AD41-1</f>
        <v>0</v>
      </c>
      <c r="AH36" s="18">
        <f>Financials!AF41/Financials!AE41-1</f>
        <v>0</v>
      </c>
      <c r="AI36" s="18">
        <f>Financials!AG41/Financials!AF41-1</f>
        <v>0</v>
      </c>
      <c r="AJ36" s="18">
        <f>Financials!AH41/Financials!AG41-1</f>
        <v>0</v>
      </c>
      <c r="AK36" s="18">
        <f>Financials!AI41/Financials!AH41-1</f>
        <v>0</v>
      </c>
    </row>
    <row r="37" spans="2:37">
      <c r="B37" s="11">
        <v>4.5999999999999996</v>
      </c>
      <c r="C37" s="12" t="s">
        <v>68</v>
      </c>
      <c r="D37" s="64" t="s">
        <v>49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2:37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2:37">
      <c r="B39" s="13">
        <v>5</v>
      </c>
      <c r="C39" s="21" t="s">
        <v>69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2:37" ht="12.75">
      <c r="B40" s="13">
        <v>5.0999999999999996</v>
      </c>
      <c r="C40" s="12" t="s">
        <v>70</v>
      </c>
      <c r="D40" s="64" t="s">
        <v>49</v>
      </c>
      <c r="E40" s="16" t="e">
        <f>Financials!C48/((Financials!C6+Financials!B6)/2)</f>
        <v>#VALUE!</v>
      </c>
      <c r="F40" s="16">
        <f>Financials!D48/((Financials!D6+Financials!C6)/2)</f>
        <v>0</v>
      </c>
      <c r="G40" s="16">
        <f>Financials!E48/((Financials!E6+Financials!D6)/2)</f>
        <v>0</v>
      </c>
      <c r="H40" s="16">
        <f>Financials!F48/((Financials!F6+Financials!E6)/2)</f>
        <v>0</v>
      </c>
      <c r="I40" s="16">
        <f>Financials!G48/((Financials!G6+Financials!F6)/2)</f>
        <v>0</v>
      </c>
      <c r="J40" s="16">
        <f>Financials!H48/((Financials!H6+Financials!G6)/2)</f>
        <v>0</v>
      </c>
      <c r="K40" s="16">
        <f>Financials!I48/((Financials!I6+Financials!H6)/2)</f>
        <v>0</v>
      </c>
      <c r="L40" s="16">
        <f>Financials!J48/((Financials!J6+Financials!I6)/2)</f>
        <v>0</v>
      </c>
      <c r="M40" s="16">
        <f>Financials!K48/((Financials!K6+Financials!J6)/2)</f>
        <v>0</v>
      </c>
      <c r="N40" s="16">
        <f>Financials!L48/((Financials!L6+Financials!K6)/2)</f>
        <v>0</v>
      </c>
      <c r="O40" s="16">
        <f>Financials!M48/((Financials!M6+Financials!L6)/2)</f>
        <v>0</v>
      </c>
      <c r="P40" s="16">
        <f>Financials!N48/((Financials!N6+Financials!M6)/2)</f>
        <v>0</v>
      </c>
      <c r="Q40" s="16">
        <f>Financials!O48/((Financials!O6+Financials!N6)/2)</f>
        <v>0</v>
      </c>
      <c r="R40" s="16">
        <f>Financials!P48/((Financials!P6+Financials!O6)/2)</f>
        <v>8.0670824574751707E-2</v>
      </c>
      <c r="S40" s="16">
        <f>Financials!Q48/((Financials!Q6+Financials!P6)/2)</f>
        <v>0</v>
      </c>
      <c r="T40" s="16">
        <f>Financials!R48/((Financials!R6+Financials!Q6)/2)</f>
        <v>0</v>
      </c>
      <c r="U40" s="16">
        <f>Financials!S48/((Financials!S6+Financials!R6)/2)</f>
        <v>0</v>
      </c>
      <c r="V40" s="16">
        <f>Financials!T48/((Financials!T6+Financials!S6)/2)</f>
        <v>7.4368357617121338E-6</v>
      </c>
      <c r="W40" s="16">
        <f>Financials!U48/((Financials!U6+Financials!T6)/2)</f>
        <v>7.4189584742813458E-6</v>
      </c>
      <c r="X40" s="16">
        <f>Financials!V48/((Financials!V6+Financials!U6)/2)</f>
        <v>7.363298055316624E-6</v>
      </c>
      <c r="Y40" s="16">
        <f>Financials!W48/((Financials!W6+Financials!V6)/2)</f>
        <v>7.3118069073478999E-6</v>
      </c>
      <c r="Z40" s="16">
        <f>Financials!X48/((Financials!X6+Financials!W6)/2)</f>
        <v>7.2291353812842027E-6</v>
      </c>
      <c r="AA40" s="16">
        <f>Financials!Y48/((Financials!Y6+Financials!X6)/2)</f>
        <v>7.1324252675728932E-6</v>
      </c>
      <c r="AB40" s="16">
        <f>Financials!Z48/((Financials!Z6+Financials!Y6)/2)</f>
        <v>7.0977751367869729E-6</v>
      </c>
      <c r="AC40" s="16">
        <f>Financials!AA48/((Financials!AA6+Financials!Z6)/2)</f>
        <v>7.0812606360091312E-6</v>
      </c>
      <c r="AD40" s="16">
        <f>Financials!AB48/((Financials!AB6+Financials!AA6)/2)</f>
        <v>7.0716562328252261E-6</v>
      </c>
      <c r="AE40" s="16">
        <f>Financials!AC48/((Financials!AC6+Financials!AB6)/2)</f>
        <v>4.0782881362573832E-2</v>
      </c>
      <c r="AF40" s="16">
        <f>Financials!AD48/((Financials!AD6+Financials!AC6)/2)</f>
        <v>0</v>
      </c>
      <c r="AG40" s="16">
        <f>Financials!AE48/((Financials!AE6+Financials!AD6)/2)</f>
        <v>0</v>
      </c>
      <c r="AH40" s="16">
        <f>Financials!AF48/((Financials!AF6+Financials!AE6)/2)</f>
        <v>0</v>
      </c>
      <c r="AI40" s="16">
        <f>Financials!AG48/((Financials!AG6+Financials!AF6)/2)</f>
        <v>5.8652035022763441E-6</v>
      </c>
      <c r="AJ40" s="16">
        <f>Financials!AH48/((Financials!AH6+Financials!AG6)/2)</f>
        <v>5.9647511212988062E-6</v>
      </c>
      <c r="AK40" s="16">
        <f>Financials!AI48/((Financials!AI6+Financials!AH6)/2)</f>
        <v>5.9409834408598227E-6</v>
      </c>
    </row>
    <row r="41" spans="2:37" ht="12.75">
      <c r="B41" s="13">
        <v>5.2</v>
      </c>
      <c r="C41" s="12" t="s">
        <v>71</v>
      </c>
      <c r="D41" s="64" t="s">
        <v>49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</row>
    <row r="42" spans="2:37" ht="12.75">
      <c r="B42" s="13">
        <v>5.3</v>
      </c>
      <c r="C42" s="12" t="s">
        <v>72</v>
      </c>
      <c r="D42" s="64" t="s">
        <v>49</v>
      </c>
      <c r="E42" s="16" t="e">
        <f>Financials!C50/((Financials!C9+Financials!B9)/2)</f>
        <v>#VALUE!</v>
      </c>
      <c r="F42" s="16" t="e">
        <f>Financials!D50/((Financials!D9+Financials!C9)/2)</f>
        <v>#DIV/0!</v>
      </c>
      <c r="G42" s="16" t="e">
        <f>Financials!E50/((Financials!E9+Financials!D9)/2)</f>
        <v>#DIV/0!</v>
      </c>
      <c r="H42" s="16" t="e">
        <f>Financials!F50/((Financials!F9+Financials!E9)/2)</f>
        <v>#DIV/0!</v>
      </c>
      <c r="I42" s="16" t="e">
        <f>Financials!G50/((Financials!G9+Financials!F9)/2)</f>
        <v>#DIV/0!</v>
      </c>
      <c r="J42" s="16" t="e">
        <f>Financials!H50/((Financials!H9+Financials!G9)/2)</f>
        <v>#DIV/0!</v>
      </c>
      <c r="K42" s="16" t="e">
        <f>Financials!I50/((Financials!I9+Financials!H9)/2)</f>
        <v>#DIV/0!</v>
      </c>
      <c r="L42" s="16" t="e">
        <f>Financials!J50/((Financials!J9+Financials!I9)/2)</f>
        <v>#DIV/0!</v>
      </c>
      <c r="M42" s="16" t="e">
        <f>Financials!K50/((Financials!K9+Financials!J9)/2)</f>
        <v>#DIV/0!</v>
      </c>
      <c r="N42" s="16" t="e">
        <f>Financials!L50/((Financials!L9+Financials!K9)/2)</f>
        <v>#DIV/0!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>
        <f>Financials!P50/((Financials!P9+Financials!O9)/2)</f>
        <v>0.14666666666666667</v>
      </c>
      <c r="S42" s="16">
        <f>Financials!Q50/((Financials!Q9+Financials!P9)/2)</f>
        <v>1.090909090909091E-2</v>
      </c>
      <c r="T42" s="16">
        <f>Financials!R50/((Financials!R9+Financials!Q9)/2)</f>
        <v>2.6666666666666668E-2</v>
      </c>
      <c r="U42" s="16">
        <f>Financials!S50/((Financials!S9+Financials!R9)/2)</f>
        <v>5.1428571428571428E-2</v>
      </c>
      <c r="V42" s="16">
        <f>Financials!T50/((Financials!T9+Financials!S9)/2)</f>
        <v>9.6000000000000002E-2</v>
      </c>
      <c r="W42" s="16">
        <f>Financials!U50/((Financials!U9+Financials!T9)/2)</f>
        <v>0.16326530612244897</v>
      </c>
      <c r="X42" s="16">
        <f>Financials!V50/((Financials!V9+Financials!U9)/2)</f>
        <v>5.0824683285655904E-2</v>
      </c>
      <c r="Y42" s="16">
        <f>Financials!W50/((Financials!W9+Financials!V9)/2)</f>
        <v>3.0697071490122217E-2</v>
      </c>
      <c r="Z42" s="16">
        <f>Financials!X50/((Financials!X9+Financials!W9)/2)</f>
        <v>3.3501130508197308E-2</v>
      </c>
      <c r="AA42" s="16">
        <f>Financials!Y50/((Financials!Y9+Financials!X9)/2)</f>
        <v>5.0876107881320437E-2</v>
      </c>
      <c r="AB42" s="16">
        <f>Financials!Z50/((Financials!Z9+Financials!Y9)/2)</f>
        <v>6.2770099885326669E-2</v>
      </c>
      <c r="AC42" s="16">
        <f>Financials!AA50/((Financials!AA9+Financials!Z9)/2)</f>
        <v>7.7201928051619184E-2</v>
      </c>
      <c r="AD42" s="16">
        <f>Financials!AB50/((Financials!AB9+Financials!AA9)/2)</f>
        <v>8.9012620359314773E-2</v>
      </c>
      <c r="AE42" s="16">
        <f>Financials!AC50/((Financials!AC9+Financials!AB9)/2)</f>
        <v>9.269409611600922E-2</v>
      </c>
      <c r="AF42" s="16">
        <f>Financials!AD50/((Financials!AD9+Financials!AC9)/2)</f>
        <v>3.1654373047096894E-3</v>
      </c>
      <c r="AG42" s="16">
        <f>Financials!AE50/((Financials!AE9+Financials!AD9)/2)</f>
        <v>4.4152860418082097E-3</v>
      </c>
      <c r="AH42" s="16">
        <f>Financials!AF50/((Financials!AF9+Financials!AE9)/2)</f>
        <v>1.5945072169762941E-2</v>
      </c>
      <c r="AI42" s="16">
        <f>Financials!AG50/((Financials!AG9+Financials!AF9)/2)</f>
        <v>2.1305600357852023E-2</v>
      </c>
      <c r="AJ42" s="16">
        <f>Financials!AH50/((Financials!AH9+Financials!AG9)/2)</f>
        <v>3.2231536927868225E-2</v>
      </c>
      <c r="AK42" s="16">
        <f>Financials!AI50/((Financials!AI9+Financials!AH9)/2)</f>
        <v>4.189703819141654E-2</v>
      </c>
    </row>
    <row r="43" spans="2:37" ht="12.75">
      <c r="B43" s="13">
        <v>5.4</v>
      </c>
      <c r="C43" s="12" t="s">
        <v>73</v>
      </c>
      <c r="D43" s="64" t="s">
        <v>49</v>
      </c>
      <c r="E43" s="16" t="e">
        <f>(Financials!C52+Financials!C53)/((Financials!C5+Financials!B5)/2)</f>
        <v>#VALUE!</v>
      </c>
      <c r="F43" s="16">
        <f>(Financials!D52+Financials!D53)/((Financials!D5+Financials!C5)/2)</f>
        <v>0</v>
      </c>
      <c r="G43" s="16">
        <f>(Financials!E52+Financials!E53)/((Financials!E5+Financials!D5)/2)</f>
        <v>0</v>
      </c>
      <c r="H43" s="16">
        <f>(Financials!F52+Financials!F53)/((Financials!F5+Financials!E5)/2)</f>
        <v>0</v>
      </c>
      <c r="I43" s="16">
        <f>(Financials!G52+Financials!G53)/((Financials!G5+Financials!F5)/2)</f>
        <v>0</v>
      </c>
      <c r="J43" s="16">
        <f>(Financials!H52+Financials!H53)/((Financials!H5+Financials!G5)/2)</f>
        <v>0</v>
      </c>
      <c r="K43" s="16">
        <f>(Financials!I52+Financials!I53)/((Financials!I5+Financials!H5)/2)</f>
        <v>0</v>
      </c>
      <c r="L43" s="16">
        <f>(Financials!J52+Financials!J53)/((Financials!J5+Financials!I5)/2)</f>
        <v>0</v>
      </c>
      <c r="M43" s="16">
        <f>(Financials!K52+Financials!K53)/((Financials!K5+Financials!J5)/2)</f>
        <v>0</v>
      </c>
      <c r="N43" s="16">
        <f>(Financials!L52+Financials!L53)/((Financials!L5+Financials!K5)/2)</f>
        <v>0</v>
      </c>
      <c r="O43" s="16">
        <f>(Financials!M52+Financials!M53)/((Financials!M5+Financials!L5)/2)</f>
        <v>0</v>
      </c>
      <c r="P43" s="16">
        <f>(Financials!N52+Financials!N53)/((Financials!N5+Financials!M5)/2)</f>
        <v>0</v>
      </c>
      <c r="Q43" s="16">
        <f>(Financials!O52+Financials!O53)/((Financials!O5+Financials!N5)/2)</f>
        <v>0</v>
      </c>
      <c r="R43" s="16">
        <f>(Financials!P52+Financials!P53)/((Financials!P5+Financials!O5)/2)</f>
        <v>7.3634034593711414E-2</v>
      </c>
      <c r="S43" s="16">
        <f>(Financials!Q52+Financials!Q53)/((Financials!Q5+Financials!P5)/2)</f>
        <v>4.8855248733289478E-3</v>
      </c>
      <c r="T43" s="16">
        <f>(Financials!R52+Financials!R53)/((Financials!R5+Financials!Q5)/2)</f>
        <v>8.488337399265182E-3</v>
      </c>
      <c r="U43" s="16">
        <f>(Financials!S52+Financials!S53)/((Financials!S5+Financials!R5)/2)</f>
        <v>1.5139419421316316E-2</v>
      </c>
      <c r="V43" s="16">
        <f>(Financials!T52+Financials!T53)/((Financials!T5+Financials!S5)/2)</f>
        <v>1.965212252229127E-2</v>
      </c>
      <c r="W43" s="16">
        <f>(Financials!U52+Financials!U53)/((Financials!U5+Financials!T5)/2)</f>
        <v>2.2513924442249856E-2</v>
      </c>
      <c r="X43" s="16">
        <f>(Financials!V52+Financials!V53)/((Financials!V5+Financials!U5)/2)</f>
        <v>2.5545375726172624E-2</v>
      </c>
      <c r="Y43" s="16">
        <f>(Financials!W52+Financials!W53)/((Financials!W5+Financials!V5)/2)</f>
        <v>2.8534804527836997E-2</v>
      </c>
      <c r="Z43" s="16">
        <f>(Financials!X52+Financials!X53)/((Financials!X5+Financials!W5)/2)</f>
        <v>3.3312446191485816E-2</v>
      </c>
      <c r="AA43" s="16">
        <f>(Financials!Y52+Financials!Y53)/((Financials!Y5+Financials!X5)/2)</f>
        <v>3.8523544615054063E-2</v>
      </c>
      <c r="AB43" s="16">
        <f>(Financials!Z52+Financials!Z53)/((Financials!Z5+Financials!Y5)/2)</f>
        <v>4.3538581330620933E-2</v>
      </c>
      <c r="AC43" s="16">
        <f>(Financials!AA52+Financials!AA53)/((Financials!AA5+Financials!Z5)/2)</f>
        <v>4.6869531661630076E-2</v>
      </c>
      <c r="AD43" s="16">
        <f>(Financials!AB52+Financials!AB53)/((Financials!AB5+Financials!AA5)/2)</f>
        <v>5.0417757283967635E-2</v>
      </c>
      <c r="AE43" s="16">
        <f>(Financials!AC52+Financials!AC53)/((Financials!AC5+Financials!AB5)/2)</f>
        <v>4.9642572854021523E-2</v>
      </c>
      <c r="AF43" s="16">
        <f>(Financials!AD52+Financials!AD53)/((Financials!AD5+Financials!AC5)/2)</f>
        <v>3.835154393053731E-3</v>
      </c>
      <c r="AG43" s="16">
        <f>(Financials!AE52+Financials!AE53)/((Financials!AE5+Financials!AD5)/2)</f>
        <v>6.1615537764858749E-3</v>
      </c>
      <c r="AH43" s="16">
        <f>(Financials!AF52+Financials!AF53)/((Financials!AF5+Financials!AE5)/2)</f>
        <v>1.1771336351821256E-2</v>
      </c>
      <c r="AI43" s="16">
        <f>(Financials!AG52+Financials!AG53)/((Financials!AG5+Financials!AF5)/2)</f>
        <v>1.528823240422483E-2</v>
      </c>
      <c r="AJ43" s="16">
        <f>(Financials!AH52+Financials!AH53)/((Financials!AH5+Financials!AG5)/2)</f>
        <v>1.9442872294918284E-2</v>
      </c>
      <c r="AK43" s="16">
        <f>(Financials!AI52+Financials!AI53)/((Financials!AI5+Financials!AH5)/2)</f>
        <v>2.3646161492049046E-2</v>
      </c>
    </row>
    <row r="44" spans="2:37" ht="12.75">
      <c r="B44" s="13">
        <v>5.5</v>
      </c>
      <c r="C44" s="12" t="s">
        <v>74</v>
      </c>
      <c r="D44" s="64" t="s">
        <v>49</v>
      </c>
      <c r="E44" s="16" t="e">
        <f>Financials!C42/((Financials!C31+Financials!B31)/2)</f>
        <v>#VALUE!</v>
      </c>
      <c r="F44" s="16" t="e">
        <f>Financials!D42/((Financials!D31+Financials!C31)/2)</f>
        <v>#REF!</v>
      </c>
      <c r="G44" s="16" t="e">
        <f>Financials!E42/((Financials!E31+Financials!D31)/2)</f>
        <v>#REF!</v>
      </c>
      <c r="H44" s="16" t="e">
        <f>Financials!F42/((Financials!F31+Financials!E31)/2)</f>
        <v>#REF!</v>
      </c>
      <c r="I44" s="16" t="e">
        <f>Financials!G42/((Financials!G31+Financials!F31)/2)</f>
        <v>#REF!</v>
      </c>
      <c r="J44" s="16" t="e">
        <f>Financials!H42/((Financials!H31+Financials!G31)/2)</f>
        <v>#REF!</v>
      </c>
      <c r="K44" s="16" t="e">
        <f>Financials!I42/((Financials!I31+Financials!H31)/2)</f>
        <v>#REF!</v>
      </c>
      <c r="L44" s="16" t="e">
        <f>Financials!J42/((Financials!J31+Financials!I31)/2)</f>
        <v>#REF!</v>
      </c>
      <c r="M44" s="16" t="e">
        <f>Financials!K42/((Financials!K31+Financials!J31)/2)</f>
        <v>#REF!</v>
      </c>
      <c r="N44" s="16" t="e">
        <f>Financials!L42/((Financials!L31+Financials!K31)/2)</f>
        <v>#REF!</v>
      </c>
      <c r="O44" s="16" t="e">
        <f>Financials!M42/((Financials!M31+Financials!L31)/2)</f>
        <v>#REF!</v>
      </c>
      <c r="P44" s="16" t="e">
        <f>Financials!N42/((Financials!N31+Financials!M31)/2)</f>
        <v>#REF!</v>
      </c>
      <c r="Q44" s="16" t="e">
        <f>Financials!O42/((Financials!O31+Financials!N31)/2)</f>
        <v>#REF!</v>
      </c>
      <c r="R44" s="16">
        <f>Financials!P42/((Financials!P31+Financials!O31)/2)</f>
        <v>7.7309655074018629E-2</v>
      </c>
      <c r="S44" s="16">
        <f>Financials!Q42/((Financials!Q31+Financials!P31)/2)</f>
        <v>3.7109298263718643E-2</v>
      </c>
      <c r="T44" s="16">
        <f>Financials!R42/((Financials!R31+Financials!Q31)/2)</f>
        <v>3.7132353123180813E-2</v>
      </c>
      <c r="U44" s="16">
        <f>Financials!S42/((Financials!S31+Financials!R31)/2)</f>
        <v>3.6856230337697235E-2</v>
      </c>
      <c r="V44" s="16">
        <f>Financials!T42/((Financials!T31+Financials!S31)/2)</f>
        <v>3.6535248314260395E-2</v>
      </c>
      <c r="W44" s="16">
        <f>Financials!U42/((Financials!U31+Financials!T31)/2)</f>
        <v>3.6239807287285826E-2</v>
      </c>
      <c r="X44" s="16">
        <f>Financials!V42/((Financials!V31+Financials!U31)/2)</f>
        <v>3.5791321231530469E-2</v>
      </c>
      <c r="Y44" s="16">
        <f>Financials!W42/((Financials!W31+Financials!V31)/2)</f>
        <v>3.56877879778211E-2</v>
      </c>
      <c r="Z44" s="16">
        <f>Financials!X42/((Financials!X31+Financials!W31)/2)</f>
        <v>3.5237197152124547E-2</v>
      </c>
      <c r="AA44" s="16">
        <f>Financials!Y42/((Financials!Y31+Financials!X31)/2)</f>
        <v>3.4345644443677908E-2</v>
      </c>
      <c r="AB44" s="16">
        <f>Financials!Z42/((Financials!Z31+Financials!Y31)/2)</f>
        <v>3.3768104678177577E-2</v>
      </c>
      <c r="AC44" s="16">
        <f>Financials!AA42/((Financials!AA31+Financials!Z31)/2)</f>
        <v>3.904141029539844E-2</v>
      </c>
      <c r="AD44" s="16">
        <f>Financials!AB42/((Financials!AB31+Financials!AA31)/2)</f>
        <v>3.9426349208535362E-2</v>
      </c>
      <c r="AE44" s="16">
        <f>Financials!AC42/((Financials!AC31+Financials!AB31)/2)</f>
        <v>4.5433745986434661E-2</v>
      </c>
      <c r="AF44" s="16">
        <f>Financials!AD42/((Financials!AD31+Financials!AC31)/2)</f>
        <v>4.033429056977253E-2</v>
      </c>
      <c r="AG44" s="16">
        <f>Financials!AE42/((Financials!AE31+Financials!AD31)/2)</f>
        <v>3.9278092203770341E-2</v>
      </c>
      <c r="AH44" s="16">
        <f>Financials!AF42/((Financials!AF31+Financials!AE31)/2)</f>
        <v>3.9003097762832672E-2</v>
      </c>
      <c r="AI44" s="16">
        <f>Financials!AG42/((Financials!AG31+Financials!AF31)/2)</f>
        <v>3.9274525114626334E-2</v>
      </c>
      <c r="AJ44" s="16">
        <f>Financials!AH42/((Financials!AH31+Financials!AG31)/2)</f>
        <v>3.8778191508569614E-2</v>
      </c>
      <c r="AK44" s="16">
        <f>Financials!AI42/((Financials!AI31+Financials!AH31)/2)</f>
        <v>3.8328789964676264E-2</v>
      </c>
    </row>
    <row r="45" spans="2:37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spans="2:37">
      <c r="B46" s="13">
        <v>6</v>
      </c>
      <c r="C46" s="21" t="s">
        <v>75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spans="2:37" ht="12.75">
      <c r="B47" s="13">
        <v>6.1</v>
      </c>
      <c r="C47" s="12" t="s">
        <v>76</v>
      </c>
      <c r="D47" s="69">
        <v>0.15</v>
      </c>
      <c r="E47" s="16">
        <f>(SFP!B4+SFP!B11)/(SFP!B31+SFP!B34+SFP!B35+SFP!B36+SFP!B37+SFP!B38)</f>
        <v>0.27500842410293114</v>
      </c>
      <c r="F47" s="16">
        <f>(SFP!C4+SFP!C11)/(SFP!C34+SFP!C37+SFP!C38+SFP!C39+SFP!C40+SFP!C42)</f>
        <v>0.17418078306189005</v>
      </c>
      <c r="G47" s="16">
        <f>(SFP!D4+SFP!D11)/(SFP!D34+SFP!D37+SFP!D38+SFP!D39+SFP!D40+SFP!D42)</f>
        <v>0.22560135372628035</v>
      </c>
      <c r="H47" s="16">
        <f>(SFP!E4+SFP!E11)/(SFP!E34+SFP!E37+SFP!E38+SFP!E39+SFP!E40+SFP!E42)</f>
        <v>0.14290453516785942</v>
      </c>
      <c r="I47" s="16">
        <f>(SFP!F4+SFP!F11)/(SFP!F34+SFP!F37+SFP!F38+SFP!F39+SFP!F40+SFP!F42)</f>
        <v>0.15814051268428755</v>
      </c>
      <c r="J47" s="16">
        <f>(SFP!G4+SFP!G11)/(SFP!G34+SFP!G37+SFP!G38+SFP!G39+SFP!G40+SFP!G42)</f>
        <v>0.15150019428032996</v>
      </c>
      <c r="K47" s="16">
        <f>(SFP!H4+SFP!H11)/(SFP!H34+SFP!H37+SFP!H38+SFP!H39+SFP!H40+SFP!H42)</f>
        <v>0.13049517449196649</v>
      </c>
      <c r="L47" s="16">
        <f>(SFP!I4+SFP!I11)/(SFP!I34+SFP!I37+SFP!I38+SFP!I39+SFP!I40+SFP!I42)</f>
        <v>0.14078518995674599</v>
      </c>
      <c r="M47" s="16">
        <f>(SFP!J4+SFP!J11)/(SFP!J34+SFP!J37+SFP!J38+SFP!J39+SFP!J40+SFP!J42)</f>
        <v>0.14569566442998025</v>
      </c>
      <c r="N47" s="16">
        <f>(SFP!K4+SFP!K11)/(SFP!K34+SFP!K37+SFP!K38+SFP!K39+SFP!K40+SFP!K42)</f>
        <v>0.13512208537019268</v>
      </c>
      <c r="O47" s="16">
        <f>(SFP!L4+SFP!L11)/(SFP!L34+SFP!L37+SFP!L38+SFP!L39+SFP!L40+SFP!L42)</f>
        <v>0.14174788060341789</v>
      </c>
      <c r="P47" s="16">
        <f>(SFP!M4+SFP!M11)/(SFP!M34+SFP!M37+SFP!M38+SFP!M39+SFP!M40+SFP!M42)</f>
        <v>0.14349866601208847</v>
      </c>
      <c r="Q47" s="16" t="e">
        <f>(SFP!N4+SFP!N11)/(SFP!N34+SFP!N37+SFP!N38+SFP!N39+SFP!N40+SFP!N42)</f>
        <v>#VALUE!</v>
      </c>
      <c r="R47" s="16">
        <f>(SFP!O4+SFP!O11)/(SFP!O31+SFP!O34+SFP!O35+SFP!O36+SFP!O37+SFP!O38)</f>
        <v>0.26414535778690573</v>
      </c>
      <c r="S47" s="16">
        <f>(SFP!P4+SFP!P11)/(SFP!P31+SFP!P34+SFP!P35+SFP!P36+SFP!P37+SFP!P38)</f>
        <v>0.24603495801642136</v>
      </c>
      <c r="T47" s="16">
        <f>(SFP!Q4+SFP!Q11)/(SFP!Q31+SFP!Q34+SFP!Q35+SFP!Q36+SFP!Q37+SFP!Q38)</f>
        <v>0.26302353470407619</v>
      </c>
      <c r="U47" s="16">
        <f>(SFP!R4+SFP!R11)/(SFP!R31+SFP!R34+SFP!R35+SFP!R36+SFP!R37+SFP!R38)</f>
        <v>0.23782716293938938</v>
      </c>
      <c r="V47" s="16">
        <f>(SFP!S4+SFP!S11)/(SFP!S31+SFP!S34+SFP!S35+SFP!S36+SFP!S37+SFP!S38)</f>
        <v>0.20603021572061303</v>
      </c>
      <c r="W47" s="16">
        <f>(SFP!T4+SFP!T11)/(SFP!T31+SFP!T34+SFP!T35+SFP!T36+SFP!T37+SFP!T38)</f>
        <v>0.19224946820033142</v>
      </c>
      <c r="X47" s="16">
        <f>(SFP!U4+SFP!U11)/(SFP!U31+SFP!U34+SFP!U35+SFP!U36+SFP!U37+SFP!U38)</f>
        <v>0.24560449305878523</v>
      </c>
      <c r="Y47" s="16">
        <f>(SFP!V4+SFP!V11)/(SFP!V31+SFP!V34+SFP!V35+SFP!V36+SFP!V37+SFP!V38)</f>
        <v>0.21240257522743405</v>
      </c>
      <c r="Z47" s="16">
        <f>(SFP!W4+SFP!W11)/(SFP!W31+SFP!W34+SFP!W35+SFP!W36+SFP!W37+SFP!W38)</f>
        <v>0.25424339927212974</v>
      </c>
      <c r="AA47" s="16">
        <f>(SFP!X4+SFP!X11)/(SFP!X31+SFP!X34+SFP!X35+SFP!X36+SFP!X37+SFP!X38)</f>
        <v>0.2212305560792385</v>
      </c>
      <c r="AB47" s="16">
        <f>(SFP!Y4+SFP!Y11)/(SFP!Y31+SFP!Y34+SFP!Y35+SFP!Y36+SFP!Y37+SFP!Y38)</f>
        <v>0.24413278806173813</v>
      </c>
      <c r="AC47" s="16">
        <f>(SFP!Z4+SFP!Z11)/(SFP!Z31+SFP!Z34+SFP!Z35+SFP!Z36+SFP!Z37+SFP!Z38)</f>
        <v>0.24103631951942356</v>
      </c>
      <c r="AD47" s="16">
        <f>(SFP!AA4+SFP!AA11)/(SFP!AA31+SFP!AA34+SFP!AA35+SFP!AA36+SFP!AA37+SFP!AA38)</f>
        <v>0.26406484884060721</v>
      </c>
      <c r="AE47" s="16">
        <f>(SFP!AB4+SFP!AB11)/(SFP!AB31+SFP!AB34+SFP!AB35+SFP!AB36+SFP!AB37+SFP!AB38)</f>
        <v>0.2732581612732774</v>
      </c>
      <c r="AF47" s="16">
        <f>(SFP!AC4+SFP!AC11)/(SFP!AC31+SFP!AC34+SFP!AC35+SFP!AC36+SFP!AC37+SFP!AC38)</f>
        <v>0.24238778494100718</v>
      </c>
      <c r="AG47" s="16">
        <f>(SFP!AD4+SFP!AD11)/(SFP!AD31+SFP!AD34+SFP!AD35+SFP!AD36+SFP!AD37+SFP!AD38)</f>
        <v>0.35392912774531055</v>
      </c>
      <c r="AH47" s="16">
        <f>(SFP!AE4+SFP!AE11)/(SFP!AE31+SFP!AE34+SFP!AE35+SFP!AE36+SFP!AE37+SFP!AE38)</f>
        <v>0.30984185505829537</v>
      </c>
      <c r="AI47" s="16">
        <f>(SFP!AF4+SFP!AF11)/(SFP!AF31+SFP!AF34+SFP!AF35+SFP!AF36+SFP!AF37+SFP!AF38)</f>
        <v>0.32556199088846793</v>
      </c>
      <c r="AJ47" s="16">
        <f>(SFP!AG4+SFP!AG11)/(SFP!AG31+SFP!AG34+SFP!AG35+SFP!AG36+SFP!AG37+SFP!AG38)</f>
        <v>0.29348305306656075</v>
      </c>
      <c r="AK47" s="16">
        <f>(SFP!AH4+SFP!AH11)/(SFP!AH31+SFP!AH34+SFP!AH35+SFP!AH36+SFP!AH37+SFP!AH38)</f>
        <v>0.27423881998880018</v>
      </c>
    </row>
    <row r="48" spans="2:37">
      <c r="B48" s="13"/>
      <c r="C48" s="12" t="s">
        <v>77</v>
      </c>
      <c r="D48" s="68"/>
      <c r="E48" s="25">
        <f>(SFP!B4+SFP!B11)/(SFP!B32+SFP!B34+SFP!B35+SFP!B36+SFP!B37+SFP!B38)</f>
        <v>0.22245404068091715</v>
      </c>
      <c r="F48" s="25">
        <f>(SFP!C4+SFP!C11)/(SFP!C35+SFP!C37+SFP!C38+SFP!C39+SFP!C40+SFP!C42)</f>
        <v>0.17417498169835904</v>
      </c>
      <c r="G48" s="25">
        <f>(SFP!D4+SFP!D11)/(SFP!D35+SFP!D37+SFP!D38+SFP!D39+SFP!D40+SFP!D42)</f>
        <v>0.22559477925207627</v>
      </c>
      <c r="H48" s="25">
        <f>(SFP!E4+SFP!E11)/(SFP!E35+SFP!E37+SFP!E38+SFP!E39+SFP!E40+SFP!E42)</f>
        <v>0.14954784731687151</v>
      </c>
      <c r="I48" s="25">
        <f>(SFP!F4+SFP!F11)/(SFP!F35+SFP!F37+SFP!F38+SFP!F39+SFP!F40+SFP!F42)</f>
        <v>0.16459832786041029</v>
      </c>
      <c r="J48" s="25">
        <f>(SFP!G4+SFP!G11)/(SFP!G35+SFP!G37+SFP!G38+SFP!G39+SFP!G40+SFP!G42)</f>
        <v>0.15143912979168545</v>
      </c>
      <c r="K48" s="25">
        <f>(SFP!H4+SFP!H11)/(SFP!H35+SFP!H37+SFP!H38+SFP!H39+SFP!H40+SFP!H42)</f>
        <v>0.13046478505771739</v>
      </c>
      <c r="L48" s="25">
        <f>(SFP!I4+SFP!I11)/(SFP!I35+SFP!I37+SFP!I38+SFP!I39+SFP!I40+SFP!I42)</f>
        <v>0.14075302672842521</v>
      </c>
      <c r="M48" s="25">
        <f>(SFP!J4+SFP!J11)/(SFP!J35+SFP!J37+SFP!J38+SFP!J39+SFP!J40+SFP!J42)</f>
        <v>0.14566325091405879</v>
      </c>
      <c r="N48" s="25">
        <f>(SFP!K4+SFP!K11)/(SFP!K35+SFP!K37+SFP!K38+SFP!K39+SFP!K40+SFP!K42)</f>
        <v>0.13509318439710541</v>
      </c>
      <c r="O48" s="25">
        <f>(SFP!L4+SFP!L11)/(SFP!L35+SFP!L37+SFP!L38+SFP!L39+SFP!L40+SFP!L42)</f>
        <v>0.14172849470182503</v>
      </c>
      <c r="P48" s="25">
        <f>(SFP!M4+SFP!M11)/(SFP!M35+SFP!M37+SFP!M38+SFP!M39+SFP!M40+SFP!M42)</f>
        <v>0.14347968087211679</v>
      </c>
      <c r="Q48" s="25" t="e">
        <f>(SFP!N4+SFP!N11)/(SFP!N35+SFP!N37+SFP!N38+SFP!N39+SFP!N40+SFP!N42)</f>
        <v>#VALUE!</v>
      </c>
      <c r="R48" s="25">
        <f>(SFP!O4+SFP!O11)/(SFP!O32+SFP!O34+SFP!O35+SFP!O36+SFP!O37+SFP!O38)</f>
        <v>0.21452088729854688</v>
      </c>
      <c r="S48" s="25">
        <f>(SFP!P4+SFP!P11)/(SFP!P32+SFP!P34+SFP!P35+SFP!P36+SFP!P37+SFP!P38)</f>
        <v>0.20990174980311116</v>
      </c>
      <c r="T48" s="25">
        <f>(SFP!Q4+SFP!Q11)/(SFP!Q32+SFP!Q34+SFP!Q35+SFP!Q36+SFP!Q37+SFP!Q38)</f>
        <v>0.22519500796368949</v>
      </c>
      <c r="U48" s="25">
        <f>(SFP!R4+SFP!R11)/(SFP!R32+SFP!R34+SFP!R35+SFP!R36+SFP!R37+SFP!R38)</f>
        <v>0.20035691267537409</v>
      </c>
      <c r="V48" s="25">
        <f>(SFP!S4+SFP!S11)/(SFP!S32+SFP!S34+SFP!S35+SFP!S36+SFP!S37+SFP!S38)</f>
        <v>0.17766409240109196</v>
      </c>
      <c r="W48" s="25">
        <f>(SFP!T4+SFP!T11)/(SFP!T32+SFP!T34+SFP!T35+SFP!T36+SFP!T37+SFP!T38)</f>
        <v>0.16744603833735913</v>
      </c>
      <c r="X48" s="25">
        <f>(SFP!U4+SFP!U11)/(SFP!U32+SFP!U34+SFP!U35+SFP!U36+SFP!U37+SFP!U38)</f>
        <v>0.21296703795134928</v>
      </c>
      <c r="Y48" s="25">
        <f>(SFP!V4+SFP!V11)/(SFP!V32+SFP!V34+SFP!V35+SFP!V36+SFP!V37+SFP!V38)</f>
        <v>0.18610578040932824</v>
      </c>
      <c r="Z48" s="25">
        <f>(SFP!W4+SFP!W11)/(SFP!W32+SFP!W34+SFP!W35+SFP!W36+SFP!W37+SFP!W38)</f>
        <v>0.22007770072393523</v>
      </c>
      <c r="AA48" s="25">
        <f>(SFP!X4+SFP!X11)/(SFP!X32+SFP!X34+SFP!X35+SFP!X36+SFP!X37+SFP!X38)</f>
        <v>0.19423352617530187</v>
      </c>
      <c r="AB48" s="25">
        <f>(SFP!Y4+SFP!Y11)/(SFP!Y32+SFP!Y34+SFP!Y35+SFP!Y36+SFP!Y37+SFP!Y38)</f>
        <v>0.21569417226014703</v>
      </c>
      <c r="AC48" s="25">
        <f>(SFP!Z4+SFP!Z11)/(SFP!Z32+SFP!Z34+SFP!Z35+SFP!Z36+SFP!Z37+SFP!Z38)</f>
        <v>0.21146435349410803</v>
      </c>
      <c r="AD48" s="25">
        <f>(SFP!AA4+SFP!AA11)/(SFP!AA32+SFP!AA34+SFP!AA35+SFP!AA36+SFP!AA37+SFP!AA38)</f>
        <v>0.23330294456943632</v>
      </c>
      <c r="AE48" s="25">
        <f>(SFP!AB4+SFP!AB11)/(SFP!AB32+SFP!AB34+SFP!AB35+SFP!AB36+SFP!AB37+SFP!AB38)</f>
        <v>0.22845308566957395</v>
      </c>
      <c r="AF48" s="25">
        <f>(SFP!AC4+SFP!AC11)/(SFP!AC32+SFP!AC34+SFP!AC35+SFP!AC36+SFP!AC37+SFP!AC38)</f>
        <v>0.21512566803744457</v>
      </c>
      <c r="AG48" s="25">
        <f>(SFP!AD4+SFP!AD11)/(SFP!AD32+SFP!AD34+SFP!AD35+SFP!AD36+SFP!AD37+SFP!AD38)</f>
        <v>0.30815707691528443</v>
      </c>
      <c r="AH48" s="25">
        <f>(SFP!AE4+SFP!AE11)/(SFP!AE32+SFP!AE34+SFP!AE35+SFP!AE36+SFP!AE37+SFP!AE38)</f>
        <v>0.2708868017709386</v>
      </c>
      <c r="AI48" s="25">
        <f>(SFP!AF4+SFP!AF11)/(SFP!AF32+SFP!AF34+SFP!AF35+SFP!AF36+SFP!AF37+SFP!AF38)</f>
        <v>0.28396084705583785</v>
      </c>
      <c r="AJ48" s="25">
        <f>(SFP!AG4+SFP!AG11)/(SFP!AG32+SFP!AG34+SFP!AG35+SFP!AG36+SFP!AG37+SFP!AG38)</f>
        <v>0.2558580573958768</v>
      </c>
      <c r="AK48" s="25">
        <f>(SFP!AH4+SFP!AH11)/(SFP!AH32+SFP!AH34+SFP!AH35+SFP!AH36+SFP!AH37+SFP!AH38)</f>
        <v>0.2382856232783136</v>
      </c>
    </row>
    <row r="49" spans="2:37">
      <c r="B49" s="81">
        <v>7</v>
      </c>
      <c r="C49" s="82" t="s">
        <v>78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spans="2:37">
      <c r="B50" s="81">
        <v>7.1</v>
      </c>
      <c r="C50" s="83" t="s">
        <v>79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2:37">
      <c r="B51" s="81">
        <v>7.2</v>
      </c>
      <c r="C51" s="71" t="s">
        <v>80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spans="2:37">
      <c r="B52" s="81"/>
      <c r="C52" s="71" t="s">
        <v>81</v>
      </c>
      <c r="D52" s="70"/>
      <c r="E52" s="71">
        <f>SCI!B5/SFP!B14</f>
        <v>0.16502878615467492</v>
      </c>
      <c r="F52" s="71">
        <f>SCI!C5/SFP!C15</f>
        <v>0</v>
      </c>
      <c r="G52" s="71">
        <f>SCI!D5/SFP!D15</f>
        <v>0</v>
      </c>
      <c r="H52" s="71">
        <f>SCI!E5/SFP!E15</f>
        <v>0</v>
      </c>
      <c r="I52" s="71">
        <f>SCI!F5/SFP!F15</f>
        <v>0</v>
      </c>
      <c r="J52" s="71">
        <f>SCI!G5/SFP!G15</f>
        <v>0</v>
      </c>
      <c r="K52" s="71">
        <f>SCI!H5/SFP!H15</f>
        <v>0</v>
      </c>
      <c r="L52" s="71">
        <f>SCI!I5/SFP!I15</f>
        <v>0</v>
      </c>
      <c r="M52" s="71">
        <f>SCI!J5/SFP!J15</f>
        <v>0</v>
      </c>
      <c r="N52" s="71">
        <f>SCI!K5/SFP!K15</f>
        <v>0</v>
      </c>
      <c r="O52" s="71">
        <f>SCI!L5/SFP!L15</f>
        <v>0</v>
      </c>
      <c r="P52" s="71">
        <f>SCI!M5/SFP!M15</f>
        <v>0</v>
      </c>
      <c r="Q52" s="71" t="e">
        <f>SCI!N5/SFP!N15</f>
        <v>#VALUE!</v>
      </c>
      <c r="R52" s="71">
        <f>SCI!O5/SFP!O14</f>
        <v>0.16916869392700051</v>
      </c>
      <c r="S52" s="71">
        <f>SCI!P5/SFP!P14</f>
        <v>1.1461237743834072E-2</v>
      </c>
      <c r="T52" s="71">
        <f>SCI!Q5/SFP!Q14</f>
        <v>2.3167390477058881E-2</v>
      </c>
      <c r="U52" s="71">
        <f>SCI!R5/SFP!R14</f>
        <v>3.644111600356241E-2</v>
      </c>
      <c r="V52" s="71">
        <f>SCI!S5/SFP!S14</f>
        <v>4.8553343470461439E-2</v>
      </c>
      <c r="W52" s="71">
        <f>SCI!T5/SFP!T14</f>
        <v>6.0777929180995956E-2</v>
      </c>
      <c r="X52" s="71">
        <f>SCI!U5/SFP!U14</f>
        <v>7.3149818283920559E-2</v>
      </c>
      <c r="Y52" s="71">
        <f>SCI!V5/SFP!V14</f>
        <v>8.4326658437938989E-2</v>
      </c>
      <c r="Z52" s="71">
        <f>SCI!W5/SFP!W14</f>
        <v>9.3588992510591454E-2</v>
      </c>
      <c r="AA52" s="71">
        <f>SCI!X5/SFP!X14</f>
        <v>0.10200998276097181</v>
      </c>
      <c r="AB52" s="71">
        <f>SCI!Y5/SFP!Y14</f>
        <v>0.11332767167099744</v>
      </c>
      <c r="AC52" s="71">
        <f>SCI!Z5/SFP!Z14</f>
        <v>0.13364543574443247</v>
      </c>
      <c r="AD52" s="71">
        <f>SCI!AA5/SFP!AA14</f>
        <v>0.14370452199299966</v>
      </c>
      <c r="AE52" s="71">
        <f>SCI!AB5/SFP!AB14</f>
        <v>0.18548417256290875</v>
      </c>
      <c r="AF52" s="71">
        <f>SCI!AC5/SFP!AC14</f>
        <v>1.2239859082594338E-2</v>
      </c>
      <c r="AG52" s="71">
        <f>SCI!AD5/SFP!AD14</f>
        <v>2.4004311038565547E-2</v>
      </c>
      <c r="AH52" s="71">
        <f>SCI!AE5/SFP!AE14</f>
        <v>4.1085642404626747E-2</v>
      </c>
      <c r="AI52" s="71">
        <f>SCI!AF5/SFP!AF14</f>
        <v>5.4326499764951616E-2</v>
      </c>
      <c r="AJ52" s="71">
        <f>SCI!AG5/SFP!AG14</f>
        <v>6.5099602490290759E-2</v>
      </c>
      <c r="AK52" s="71">
        <f>SCI!AH5/SFP!AH14</f>
        <v>7.8231641711175318E-2</v>
      </c>
    </row>
    <row r="53" spans="2:37">
      <c r="B53" s="81"/>
      <c r="C53" s="71" t="s">
        <v>82</v>
      </c>
      <c r="D53" s="70"/>
      <c r="E53" s="71">
        <f>Financials!C32/Financials!C5</f>
        <v>0.74666221764558571</v>
      </c>
      <c r="F53" s="71">
        <f>Financials!D32/Financials!D5</f>
        <v>0.52803040604629714</v>
      </c>
      <c r="G53" s="71">
        <f>Financials!E32/Financials!E5</f>
        <v>0.50350629686841908</v>
      </c>
      <c r="H53" s="71">
        <f>Financials!F32/Financials!F5</f>
        <v>0.49248807045483145</v>
      </c>
      <c r="I53" s="71">
        <f>Financials!G32/Financials!G5</f>
        <v>0.52312284377441021</v>
      </c>
      <c r="J53" s="71">
        <f>Financials!H32/Financials!H5</f>
        <v>0.49704011281572874</v>
      </c>
      <c r="K53" s="71">
        <f>Financials!I32/Financials!I5</f>
        <v>0.51688270857647245</v>
      </c>
      <c r="L53" s="71">
        <f>Financials!J32/Financials!J5</f>
        <v>0.57427201334478017</v>
      </c>
      <c r="M53" s="71">
        <f>Financials!K32/Financials!K5</f>
        <v>0.55370049009297806</v>
      </c>
      <c r="N53" s="71">
        <f>Financials!L32/Financials!L5</f>
        <v>0.56157768240044781</v>
      </c>
      <c r="O53" s="71">
        <f>Financials!M32/Financials!M5</f>
        <v>0.55463092032540406</v>
      </c>
      <c r="P53" s="71">
        <f>Financials!N32/Financials!N5</f>
        <v>0.60498487752438312</v>
      </c>
      <c r="Q53" s="71">
        <f>Financials!O32/Financials!O5</f>
        <v>0.60760668485805314</v>
      </c>
      <c r="R53" s="71">
        <f>Financials!P32/Financials!P5</f>
        <v>0.71424456558238192</v>
      </c>
      <c r="S53" s="71">
        <f>Financials!Q32/Financials!Q5</f>
        <v>0.72424003325471886</v>
      </c>
      <c r="T53" s="71">
        <f>Financials!R32/Financials!R5</f>
        <v>0.71477019217592508</v>
      </c>
      <c r="U53" s="71">
        <f>Financials!S32/Financials!S5</f>
        <v>0.73825290928585396</v>
      </c>
      <c r="V53" s="71">
        <f>Financials!T32/Financials!T5</f>
        <v>0.73811511566300625</v>
      </c>
      <c r="W53" s="71">
        <f>Financials!U32/Financials!U5</f>
        <v>0.74662941436236308</v>
      </c>
      <c r="X53" s="71">
        <f>Financials!V32/Financials!V5</f>
        <v>0.70084961384285083</v>
      </c>
      <c r="Y53" s="71">
        <f>Financials!W32/Financials!W5</f>
        <v>0.69835141075252161</v>
      </c>
      <c r="Z53" s="71">
        <f>Financials!X32/Financials!X5</f>
        <v>0.7078201696215094</v>
      </c>
      <c r="AA53" s="71">
        <f>Financials!Y32/Financials!Y5</f>
        <v>0.72437817518133685</v>
      </c>
      <c r="AB53" s="71">
        <f>Financials!Z32/Financials!Z5</f>
        <v>0.72983378196350157</v>
      </c>
      <c r="AC53" s="71">
        <f>Financials!AA32/Financials!AA5</f>
        <v>0.70664486252944592</v>
      </c>
      <c r="AD53" s="71">
        <f>Financials!AB32/Financials!AB5</f>
        <v>0.71529364182011546</v>
      </c>
      <c r="AE53" s="71">
        <f>Financials!AC32/Financials!AC5</f>
        <v>0.6602284180082435</v>
      </c>
      <c r="AF53" s="71">
        <f>Financials!AD32/Financials!AD5</f>
        <v>0.69065332061804841</v>
      </c>
      <c r="AG53" s="71">
        <f>Financials!AE32/Financials!AE5</f>
        <v>0.65791495899040864</v>
      </c>
      <c r="AH53" s="71">
        <f>Financials!AF32/Financials!AF5</f>
        <v>0.67365867627341591</v>
      </c>
      <c r="AI53" s="71">
        <f>Financials!AG32/Financials!AG5</f>
        <v>0.66479343655526457</v>
      </c>
      <c r="AJ53" s="71">
        <f>Financials!AH32/Financials!AH5</f>
        <v>0.68783781879269323</v>
      </c>
      <c r="AK53" s="71">
        <f>Financials!AI32/Financials!AI5</f>
        <v>0.68135161909586939</v>
      </c>
    </row>
    <row r="54" spans="2:37" s="2" customFormat="1">
      <c r="B54" s="85">
        <v>8</v>
      </c>
      <c r="C54" s="74" t="s">
        <v>83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</row>
    <row r="55" spans="2:37">
      <c r="B55" s="80">
        <v>8.1</v>
      </c>
      <c r="C55" s="71" t="s">
        <v>84</v>
      </c>
      <c r="D55" s="70"/>
      <c r="E55" s="72" t="e">
        <f>SCI!B33/(SFP!A27+SFP!B27/2)</f>
        <v>#VALUE!</v>
      </c>
      <c r="F55" s="72">
        <f>SCI!C33/(SFP!B27+SFP!C29/2)</f>
        <v>0</v>
      </c>
      <c r="G55" s="72">
        <f>SCI!D33/(SFP!C29+SFP!D29/2)</f>
        <v>0</v>
      </c>
      <c r="H55" s="72">
        <f>SCI!E33/(SFP!D29+SFP!E29/2)</f>
        <v>0</v>
      </c>
      <c r="I55" s="72">
        <f>SCI!F33/(SFP!E29+SFP!F29/2)</f>
        <v>0</v>
      </c>
      <c r="J55" s="72">
        <f>SCI!G33/(SFP!F29+SFP!G29/2)</f>
        <v>0</v>
      </c>
      <c r="K55" s="72">
        <f>SCI!H33/(SFP!G29+SFP!H29/2)</f>
        <v>0</v>
      </c>
      <c r="L55" s="72">
        <f>SCI!I33/(SFP!H29+SFP!I29/2)</f>
        <v>0</v>
      </c>
      <c r="M55" s="72">
        <f>SCI!J33/(SFP!I29+SFP!J29/2)</f>
        <v>0</v>
      </c>
      <c r="N55" s="72">
        <f>SCI!K33/(SFP!J29+SFP!K29/2)</f>
        <v>0</v>
      </c>
      <c r="O55" s="72">
        <f>SCI!L33/(SFP!K29+SFP!L29/2)</f>
        <v>0</v>
      </c>
      <c r="P55" s="72">
        <f>SCI!M33/(SFP!L29+SFP!M29/2)</f>
        <v>0</v>
      </c>
      <c r="Q55" s="72">
        <f>SCI!N33/(SFP!M29+SFP!N29/2)</f>
        <v>0</v>
      </c>
      <c r="R55" s="72">
        <f>SCI!O33/(SFP!N29+SFP!O27/2)</f>
        <v>3.0572562917432246E-2</v>
      </c>
      <c r="S55" s="72">
        <f>SCI!P33/(SFP!O29+SFP!P27/2)</f>
        <v>2.400882565928489E-3</v>
      </c>
      <c r="T55" s="72">
        <f>SCI!Q33/(SFP!P29+SFP!Q27/2)</f>
        <v>6.959306856321127E-3</v>
      </c>
      <c r="U55" s="72">
        <f>SCI!R33/(SFP!Q29+SFP!R27/2)</f>
        <v>1.6130941517743282E-2</v>
      </c>
      <c r="V55" s="72">
        <f>SCI!S33/(SFP!R29+SFP!S27/2)</f>
        <v>2.1394439638999958E-2</v>
      </c>
      <c r="W55" s="72">
        <f>SCI!T33/(SFP!S29+SFP!T27/2)</f>
        <v>3.3701330651450312E-2</v>
      </c>
      <c r="X55" s="72">
        <f>SCI!U33/(SFP!T29+SFP!U27/2)</f>
        <v>3.8534836492782505E-2</v>
      </c>
      <c r="Y55" s="72">
        <f>SCI!V33/(SFP!U29+SFP!V27/2)</f>
        <v>4.4919156281092144E-2</v>
      </c>
      <c r="Z55" s="72">
        <f>SCI!W33/(SFP!V29+SFP!W27/2)</f>
        <v>5.1080760402825762E-2</v>
      </c>
      <c r="AA55" s="72">
        <f>SCI!X33/(SFP!W29+SFP!X27/2)</f>
        <v>5.5068982659228306E-2</v>
      </c>
      <c r="AB55" s="72">
        <f>SCI!Y33/(SFP!X29+SFP!Y27/2)</f>
        <v>5.9871180103730569E-2</v>
      </c>
      <c r="AC55" s="72">
        <f>SCI!Z33/(SFP!Y29+SFP!Z27/2)</f>
        <v>6.9252415440220788E-2</v>
      </c>
      <c r="AD55" s="72">
        <f>SCI!AA33/(SFP!Z29+SFP!AA27/2)</f>
        <v>7.357409289921478E-2</v>
      </c>
      <c r="AE55" s="72">
        <f>SCI!AB33/(SFP!AA29+SFP!AB27/2)</f>
        <v>3.1365168643902909E-2</v>
      </c>
      <c r="AF55" s="72">
        <f>SCI!AC33/(SFP!AB29+SFP!AC27/2)</f>
        <v>6.8743276902435303E-3</v>
      </c>
      <c r="AG55" s="72">
        <f>SCI!AD33/(SFP!AC29+SFP!AD27/2)</f>
        <v>1.4299970722288002E-2</v>
      </c>
      <c r="AH55" s="72">
        <f>SCI!AE33/(SFP!AD29+SFP!AE27/2)</f>
        <v>2.279428390962801E-2</v>
      </c>
      <c r="AI55" s="72">
        <f>SCI!AF33/(SFP!AE29+SFP!AF27/2)</f>
        <v>3.2089842316683652E-2</v>
      </c>
      <c r="AJ55" s="72">
        <f>SCI!AG33/(SFP!AF29+SFP!AG27/2)</f>
        <v>3.8142700148095524E-2</v>
      </c>
      <c r="AK55" s="72">
        <f>SCI!AH33/(SFP!AG29+SFP!AH27/2)</f>
        <v>4.1423166536038669E-2</v>
      </c>
    </row>
    <row r="56" spans="2:37">
      <c r="B56" s="80">
        <v>8.1999999999999993</v>
      </c>
      <c r="C56" s="71" t="s">
        <v>85</v>
      </c>
      <c r="D56" s="70"/>
      <c r="E56" s="72">
        <f>SCI!B23/SCI!B19</f>
        <v>0.72533781784945561</v>
      </c>
      <c r="F56" s="72" t="e">
        <f>SCI!C23/SCI!C19</f>
        <v>#DIV/0!</v>
      </c>
      <c r="G56" s="72" t="e">
        <f>SCI!D23/SCI!D19</f>
        <v>#DIV/0!</v>
      </c>
      <c r="H56" s="72" t="e">
        <f>SCI!E23/SCI!E19</f>
        <v>#DIV/0!</v>
      </c>
      <c r="I56" s="72" t="e">
        <f>SCI!F23/SCI!F19</f>
        <v>#DIV/0!</v>
      </c>
      <c r="J56" s="72" t="e">
        <f>SCI!G23/SCI!G19</f>
        <v>#DIV/0!</v>
      </c>
      <c r="K56" s="72" t="e">
        <f>SCI!H23/SCI!H19</f>
        <v>#DIV/0!</v>
      </c>
      <c r="L56" s="72" t="e">
        <f>SCI!I23/SCI!I19</f>
        <v>#DIV/0!</v>
      </c>
      <c r="M56" s="72" t="e">
        <f>SCI!J23/SCI!J19</f>
        <v>#DIV/0!</v>
      </c>
      <c r="N56" s="72" t="e">
        <f>SCI!K23/SCI!K19</f>
        <v>#DIV/0!</v>
      </c>
      <c r="O56" s="72" t="e">
        <f>SCI!L23/SCI!L19</f>
        <v>#DIV/0!</v>
      </c>
      <c r="P56" s="72" t="e">
        <f>SCI!M23/SCI!M19</f>
        <v>#DIV/0!</v>
      </c>
      <c r="Q56" s="72" t="e">
        <f>SCI!N23/SCI!N19</f>
        <v>#DIV/0!</v>
      </c>
      <c r="R56" s="72">
        <f>SCI!O23/SCI!O19</f>
        <v>0.68021676337805048</v>
      </c>
      <c r="S56" s="72">
        <f>SCI!P23/SCI!P19</f>
        <v>0.76387316548199846</v>
      </c>
      <c r="T56" s="72">
        <f>SCI!Q23/SCI!Q19</f>
        <v>0.71400910414226237</v>
      </c>
      <c r="U56" s="72">
        <f>SCI!R23/SCI!R19</f>
        <v>0.67637921783266686</v>
      </c>
      <c r="V56" s="72">
        <f>SCI!S23/SCI!S19</f>
        <v>0.67331433751810688</v>
      </c>
      <c r="W56" s="72">
        <f>SCI!T23/SCI!T19</f>
        <v>0.62501158403168988</v>
      </c>
      <c r="X56" s="72">
        <f>SCI!U23/SCI!U19</f>
        <v>0.62496362654737692</v>
      </c>
      <c r="Y56" s="72">
        <f>SCI!V23/SCI!V19</f>
        <v>0.62264434252656886</v>
      </c>
      <c r="Z56" s="72">
        <f>SCI!W23/SCI!W19</f>
        <v>0.62845738911240778</v>
      </c>
      <c r="AA56" s="72">
        <f>SCI!X23/SCI!X19</f>
        <v>0.63846834661789953</v>
      </c>
      <c r="AB56" s="72">
        <f>SCI!Y23/SCI!Y19</f>
        <v>0.6495363023428441</v>
      </c>
      <c r="AC56" s="72">
        <f>SCI!Z23/SCI!Z19</f>
        <v>0.64205236000189869</v>
      </c>
      <c r="AD56" s="72">
        <f>SCI!AA23/SCI!AA19</f>
        <v>0.64607186468815692</v>
      </c>
      <c r="AE56" s="72">
        <f>SCI!AB23/SCI!AB19</f>
        <v>0.75829828465987092</v>
      </c>
      <c r="AF56" s="72">
        <f>SCI!AC23/SCI!AC19</f>
        <v>0.60094168859542629</v>
      </c>
      <c r="AG56" s="72">
        <f>SCI!AD23/SCI!AD19</f>
        <v>0.58573920614398411</v>
      </c>
      <c r="AH56" s="72">
        <f>SCI!AE23/SCI!AE19</f>
        <v>0.61058907920072791</v>
      </c>
      <c r="AI56" s="72">
        <f>SCI!AF23/SCI!AF19</f>
        <v>0.59151344736692046</v>
      </c>
      <c r="AJ56" s="72">
        <f>SCI!AG23/SCI!AG19</f>
        <v>0.60779151812363541</v>
      </c>
      <c r="AK56" s="72">
        <f>SCI!AH23/SCI!AH19</f>
        <v>0.62975188662464199</v>
      </c>
    </row>
    <row r="57" spans="2:37">
      <c r="B57" s="80">
        <v>8.3000000000000007</v>
      </c>
      <c r="C57" s="80" t="s">
        <v>86</v>
      </c>
      <c r="D57" s="70"/>
      <c r="E57" s="72">
        <f>SCI!B23/SFP!B27</f>
        <v>8.712725514342301E-2</v>
      </c>
      <c r="F57" s="72">
        <f>SCI!C23/SFP!C29</f>
        <v>0</v>
      </c>
      <c r="G57" s="72">
        <f>SCI!D23/SFP!D29</f>
        <v>0</v>
      </c>
      <c r="H57" s="72">
        <f>SCI!E23/SFP!E29</f>
        <v>0</v>
      </c>
      <c r="I57" s="72">
        <f>SCI!F23/SFP!F29</f>
        <v>0</v>
      </c>
      <c r="J57" s="72">
        <f>SCI!G23/SFP!G29</f>
        <v>0</v>
      </c>
      <c r="K57" s="72">
        <f>SCI!H23/SFP!H29</f>
        <v>0</v>
      </c>
      <c r="L57" s="72">
        <f>SCI!I23/SFP!I29</f>
        <v>0</v>
      </c>
      <c r="M57" s="72">
        <f>SCI!J23/SFP!J29</f>
        <v>0</v>
      </c>
      <c r="N57" s="72">
        <f>SCI!K23/SFP!K29</f>
        <v>0</v>
      </c>
      <c r="O57" s="72">
        <f>SCI!L23/SFP!L29</f>
        <v>0</v>
      </c>
      <c r="P57" s="72">
        <f>SCI!M23/SFP!M29</f>
        <v>0</v>
      </c>
      <c r="Q57" s="72">
        <f>SCI!N23/SFP!N29</f>
        <v>0</v>
      </c>
      <c r="R57" s="72">
        <f>SCI!O23/SFP!O27</f>
        <v>8.2844320864691609E-2</v>
      </c>
      <c r="S57" s="72">
        <f>SCI!P23/SFP!P27</f>
        <v>8.9971491231033499E-3</v>
      </c>
      <c r="T57" s="72">
        <f>SCI!Q23/SFP!Q27</f>
        <v>1.6503258281318017E-2</v>
      </c>
      <c r="U57" s="72">
        <f>SCI!R23/SFP!R27</f>
        <v>2.8042618928012651E-2</v>
      </c>
      <c r="V57" s="72">
        <f>SCI!S23/SFP!S27</f>
        <v>3.7161932242577411E-2</v>
      </c>
      <c r="W57" s="72">
        <f>SCI!T23/SFP!T27</f>
        <v>4.4121975215388673E-2</v>
      </c>
      <c r="X57" s="72">
        <f>SCI!U23/SFP!U27</f>
        <v>4.9321327767647617E-2</v>
      </c>
      <c r="Y57" s="72">
        <f>SCI!V23/SFP!V27</f>
        <v>5.7208419480019215E-2</v>
      </c>
      <c r="Z57" s="72">
        <f>SCI!W23/SFP!W27</f>
        <v>6.6025096894442525E-2</v>
      </c>
      <c r="AA57" s="72">
        <f>SCI!X23/SFP!X27</f>
        <v>7.6171679585138236E-2</v>
      </c>
      <c r="AB57" s="72">
        <f>SCI!Y23/SFP!Y27</f>
        <v>8.643560466081493E-2</v>
      </c>
      <c r="AC57" s="72">
        <f>SCI!Z23/SFP!Z27</f>
        <v>9.4988551880955563E-2</v>
      </c>
      <c r="AD57" s="72">
        <f>SCI!AA23/SFP!AA27</f>
        <v>0.10366319604063465</v>
      </c>
      <c r="AE57" s="72">
        <f>SCI!AB23/SFP!AB27</f>
        <v>9.8311536054755275E-2</v>
      </c>
      <c r="AF57" s="72">
        <f>SCI!AC23/SFP!AC27</f>
        <v>8.2909376251435688E-3</v>
      </c>
      <c r="AG57" s="72">
        <f>SCI!AD23/SFP!AD27</f>
        <v>1.477991176479084E-2</v>
      </c>
      <c r="AH57" s="72">
        <f>SCI!AE23/SFP!AE27</f>
        <v>2.6574681752046247E-2</v>
      </c>
      <c r="AI57" s="72">
        <f>SCI!AF23/SFP!AF27</f>
        <v>3.3742889384821034E-2</v>
      </c>
      <c r="AJ57" s="72">
        <f>SCI!AG23/SFP!AG27</f>
        <v>4.3610799114665269E-2</v>
      </c>
      <c r="AK57" s="72">
        <f>SCI!AH23/SFP!AH27</f>
        <v>5.3021788212790494E-2</v>
      </c>
    </row>
    <row r="58" spans="2:37">
      <c r="B58" s="80"/>
      <c r="C58" s="80" t="s">
        <v>87</v>
      </c>
      <c r="D58" s="70"/>
      <c r="E58" s="86">
        <f>(Financials!C36+Financials!C29)/Financials!C5</f>
        <v>0.18018136069086343</v>
      </c>
      <c r="F58" s="86">
        <f>(Financials!D36+Financials!D29)/Financials!D5</f>
        <v>1.3642636883859096</v>
      </c>
      <c r="G58" s="86">
        <f>(Financials!E36+Financials!E29)/Financials!E5</f>
        <v>1.6785873787178323</v>
      </c>
      <c r="H58" s="86">
        <f>(Financials!F36+Financials!F29)/Financials!F5</f>
        <v>1.0069073326077767</v>
      </c>
      <c r="I58" s="86">
        <f>(Financials!G36+Financials!G29)/Financials!G5</f>
        <v>1.3124841395089317</v>
      </c>
      <c r="J58" s="86">
        <f>(Financials!H36+Financials!H29)/Financials!H5</f>
        <v>1.1376104627216113</v>
      </c>
      <c r="K58" s="86">
        <f>(Financials!I36+Financials!I29)/Financials!I5</f>
        <v>1.03898208183583</v>
      </c>
      <c r="L58" s="86">
        <f>(Financials!J36+Financials!J29)/Financials!J5</f>
        <v>1.2075787112491432</v>
      </c>
      <c r="M58" s="86">
        <f>(Financials!K36+Financials!K29)/Financials!K5</f>
        <v>1.1951778524617365</v>
      </c>
      <c r="N58" s="86">
        <f>(Financials!L36+Financials!L29)/Financials!L5</f>
        <v>1.1056569107186676</v>
      </c>
      <c r="O58" s="86">
        <f>(Financials!M36+Financials!M29)/Financials!M5</f>
        <v>1.152053030326013</v>
      </c>
      <c r="P58" s="86">
        <f>(Financials!N36+Financials!N29)/Financials!N5</f>
        <v>1.218314593892732</v>
      </c>
      <c r="Q58" s="86">
        <f>(Financials!O36+Financials!O29)/Financials!O5</f>
        <v>1.2892623011002686</v>
      </c>
      <c r="R58" s="86">
        <f>(Financials!P36+Financials!P29)/Financials!P5</f>
        <v>0.17413280152343594</v>
      </c>
      <c r="S58" s="86">
        <f>(Financials!Q36+Financials!Q29)/Financials!Q5</f>
        <v>0.16304981696636969</v>
      </c>
      <c r="T58" s="86">
        <f>(Financials!R36+Financials!R29)/Financials!R5</f>
        <v>0.17505109405295435</v>
      </c>
      <c r="U58" s="86">
        <f>(Financials!S36+Financials!S29)/Financials!S5</f>
        <v>0.15432724649454455</v>
      </c>
      <c r="V58" s="86">
        <f>(Financials!T36+Financials!T29)/Financials!T5</f>
        <v>0.14463460125826549</v>
      </c>
      <c r="W58" s="86">
        <f>(Financials!U36+Financials!U29)/Financials!U5</f>
        <v>0.13531791497610141</v>
      </c>
      <c r="X58" s="86">
        <f>(Financials!V36+Financials!V29)/Financials!V5</f>
        <v>0.16252540935175716</v>
      </c>
      <c r="Y58" s="86">
        <f>(Financials!W36+Financials!W29)/Financials!W5</f>
        <v>0.14142954740608316</v>
      </c>
      <c r="Z58" s="86">
        <f>(Financials!X36+Financials!X29)/Financials!X5</f>
        <v>0.16909128262314158</v>
      </c>
      <c r="AA58" s="86">
        <f>(Financials!Y36+Financials!Y29)/Financials!Y5</f>
        <v>0.14953303149263386</v>
      </c>
      <c r="AB58" s="86">
        <f>(Financials!Z36+Financials!Z29)/Financials!Z5</f>
        <v>0.16626049597475279</v>
      </c>
      <c r="AC58" s="86">
        <f>(Financials!AA36+Financials!AA29)/Financials!AA5</f>
        <v>0.16099913403103325</v>
      </c>
      <c r="AD58" s="86">
        <f>(Financials!AB36+Financials!AB29)/Financials!AB5</f>
        <v>0.17703093887421473</v>
      </c>
      <c r="AE58" s="86">
        <f>(Financials!AC36+Financials!AC29)/Financials!AC5</f>
        <v>0.18268027334870515</v>
      </c>
      <c r="AF58" s="86">
        <f>(Financials!AD36+Financials!AD29)/Financials!AD5</f>
        <v>0.1754397404488969</v>
      </c>
      <c r="AG58" s="86">
        <f>(Financials!AE36+Financials!AE29)/Financials!AE5</f>
        <v>0.23848065670594035</v>
      </c>
      <c r="AH58" s="86">
        <f>(Financials!AF36+Financials!AF29)/Financials!AF5</f>
        <v>0.20709982337674326</v>
      </c>
      <c r="AI58" s="86">
        <f>(Financials!AG36+Financials!AG29)/Financials!AG5</f>
        <v>0.2158438099711622</v>
      </c>
      <c r="AJ58" s="86">
        <f>(Financials!AH36+Financials!AH29)/Financials!AH5</f>
        <v>0.19513133674020897</v>
      </c>
      <c r="AK58" s="86">
        <f>(Financials!AI36+Financials!AI29)/Financials!AI5</f>
        <v>0.18254910083026268</v>
      </c>
    </row>
    <row r="76" spans="2:4">
      <c r="B76" s="1">
        <v>0</v>
      </c>
      <c r="D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A54"/>
  <sheetViews>
    <sheetView workbookViewId="0">
      <pane xSplit="3" topLeftCell="BL1" activePane="topRight" state="frozen"/>
      <selection pane="topRight" activeCell="BZ4" sqref="BZ4:CA23"/>
    </sheetView>
  </sheetViews>
  <sheetFormatPr defaultRowHeight="14.45"/>
  <cols>
    <col min="2" max="2" width="16.5703125" customWidth="1"/>
    <col min="3" max="7" width="14" customWidth="1"/>
    <col min="8" max="8" width="14.140625" bestFit="1" customWidth="1"/>
    <col min="9" max="20" width="0" hidden="1" customWidth="1"/>
    <col min="21" max="21" width="14.140625" bestFit="1" customWidth="1"/>
    <col min="34" max="34" width="14.140625" bestFit="1" customWidth="1"/>
    <col min="45" max="46" width="0" hidden="1" customWidth="1"/>
    <col min="47" max="47" width="12.28515625" hidden="1" customWidth="1"/>
    <col min="60" max="60" width="13.7109375" customWidth="1"/>
    <col min="73" max="73" width="14.85546875" customWidth="1"/>
  </cols>
  <sheetData>
    <row r="1" spans="2:79" ht="15" thickBot="1">
      <c r="B1" s="102" t="s">
        <v>88</v>
      </c>
    </row>
    <row r="2" spans="2:79" ht="40.9" thickBot="1">
      <c r="B2" s="196" t="s">
        <v>15</v>
      </c>
      <c r="C2" s="197" t="s">
        <v>16</v>
      </c>
      <c r="D2" s="191" t="s">
        <v>89</v>
      </c>
      <c r="E2" s="191" t="s">
        <v>90</v>
      </c>
      <c r="F2" s="191" t="s">
        <v>91</v>
      </c>
      <c r="G2" s="191" t="s">
        <v>92</v>
      </c>
      <c r="H2" s="191" t="s">
        <v>93</v>
      </c>
      <c r="I2" s="192">
        <v>43101</v>
      </c>
      <c r="J2" s="192">
        <v>43132</v>
      </c>
      <c r="K2" s="192">
        <v>43160</v>
      </c>
      <c r="L2" s="192">
        <v>43191</v>
      </c>
      <c r="M2" s="192">
        <v>43221</v>
      </c>
      <c r="N2" s="192">
        <v>43252</v>
      </c>
      <c r="O2" s="192">
        <v>43282</v>
      </c>
      <c r="P2" s="192">
        <v>43313</v>
      </c>
      <c r="Q2" s="192">
        <v>43344</v>
      </c>
      <c r="R2" s="192">
        <v>43374</v>
      </c>
      <c r="S2" s="192">
        <v>43405</v>
      </c>
      <c r="T2" s="193">
        <v>43435</v>
      </c>
      <c r="U2" s="193" t="s">
        <v>94</v>
      </c>
      <c r="V2" s="193">
        <v>43466</v>
      </c>
      <c r="W2" s="193">
        <v>43497</v>
      </c>
      <c r="X2" s="193">
        <v>43525</v>
      </c>
      <c r="Y2" s="193">
        <v>43556</v>
      </c>
      <c r="Z2" s="193">
        <v>43586</v>
      </c>
      <c r="AA2" s="193">
        <v>43617</v>
      </c>
      <c r="AB2" s="193">
        <v>43647</v>
      </c>
      <c r="AC2" s="193">
        <v>43678</v>
      </c>
      <c r="AD2" s="193">
        <v>43709</v>
      </c>
      <c r="AE2" s="193">
        <v>43739</v>
      </c>
      <c r="AF2" s="193">
        <v>43770</v>
      </c>
      <c r="AG2" s="193">
        <v>43800</v>
      </c>
      <c r="AH2" s="337" t="s">
        <v>95</v>
      </c>
      <c r="AI2" s="338">
        <v>43831</v>
      </c>
      <c r="AJ2" s="338">
        <v>43862</v>
      </c>
      <c r="AK2" s="338">
        <v>43891</v>
      </c>
      <c r="AL2" s="338">
        <v>43922</v>
      </c>
      <c r="AM2" s="338">
        <v>43952</v>
      </c>
      <c r="AN2" s="338">
        <v>43983</v>
      </c>
      <c r="AO2" s="338">
        <v>44013</v>
      </c>
      <c r="AP2" s="338">
        <v>44044</v>
      </c>
      <c r="AQ2" s="338">
        <v>44075</v>
      </c>
      <c r="AR2" s="338">
        <v>44105</v>
      </c>
      <c r="AS2" s="338">
        <v>44136</v>
      </c>
      <c r="AT2" s="338">
        <v>44166</v>
      </c>
      <c r="AU2" s="339" t="s">
        <v>17</v>
      </c>
      <c r="AV2" s="338">
        <v>44197</v>
      </c>
      <c r="AW2" s="338">
        <v>44228</v>
      </c>
      <c r="AX2" s="338">
        <v>44256</v>
      </c>
      <c r="AY2" s="338">
        <v>44287</v>
      </c>
      <c r="AZ2" s="338">
        <v>44317</v>
      </c>
      <c r="BA2" s="338">
        <v>44348</v>
      </c>
      <c r="BB2" s="338">
        <v>44378</v>
      </c>
      <c r="BC2" s="338">
        <v>44409</v>
      </c>
      <c r="BD2" s="338">
        <v>44440</v>
      </c>
      <c r="BE2" s="338">
        <v>44470</v>
      </c>
      <c r="BF2" s="338">
        <v>44501</v>
      </c>
      <c r="BG2" s="338">
        <v>44531</v>
      </c>
      <c r="BH2" s="339" t="s">
        <v>18</v>
      </c>
      <c r="BI2" s="357">
        <v>44562</v>
      </c>
      <c r="BJ2" s="357">
        <v>44593</v>
      </c>
      <c r="BK2" s="357">
        <v>44621</v>
      </c>
      <c r="BL2" s="357">
        <v>44652</v>
      </c>
      <c r="BM2" s="357">
        <v>44682</v>
      </c>
      <c r="BN2" s="357">
        <v>44713</v>
      </c>
      <c r="BO2" s="357">
        <v>44743</v>
      </c>
      <c r="BP2" s="357">
        <v>44774</v>
      </c>
      <c r="BQ2" s="357">
        <v>44805</v>
      </c>
      <c r="BR2" s="357">
        <v>44835</v>
      </c>
      <c r="BS2" s="357">
        <v>44866</v>
      </c>
      <c r="BT2" s="357">
        <v>44896</v>
      </c>
      <c r="BU2" s="357" t="s">
        <v>19</v>
      </c>
      <c r="BV2" s="357">
        <v>44949</v>
      </c>
      <c r="BW2" s="357">
        <v>44980</v>
      </c>
      <c r="BX2" s="357">
        <v>45008</v>
      </c>
      <c r="BY2" s="357">
        <v>45039</v>
      </c>
      <c r="BZ2" s="357">
        <v>45069</v>
      </c>
      <c r="CA2" s="357">
        <v>45100</v>
      </c>
    </row>
    <row r="3" spans="2:79" ht="15">
      <c r="B3" s="194" t="s">
        <v>96</v>
      </c>
      <c r="C3" s="195"/>
      <c r="D3" s="102"/>
      <c r="E3" s="102"/>
      <c r="F3" s="102"/>
      <c r="G3" s="102"/>
      <c r="T3" s="198"/>
      <c r="U3" s="198"/>
    </row>
    <row r="4" spans="2:79" ht="15">
      <c r="B4" s="90" t="s">
        <v>1</v>
      </c>
      <c r="C4" s="97" t="s">
        <v>22</v>
      </c>
      <c r="D4" s="95" t="e">
        <f>'Prudential Ratios'!#REF!</f>
        <v>#REF!</v>
      </c>
      <c r="E4" s="95" t="e">
        <f>'Prudential Ratios'!#REF!</f>
        <v>#REF!</v>
      </c>
      <c r="F4" s="95" t="e">
        <f>'Prudential Ratios'!#REF!</f>
        <v>#REF!</v>
      </c>
      <c r="G4" s="95" t="e">
        <f>'Prudential Ratios'!#REF!</f>
        <v>#REF!</v>
      </c>
      <c r="H4" s="95" t="e">
        <f>'Prudential Ratios'!#REF!</f>
        <v>#REF!</v>
      </c>
      <c r="I4" s="95" t="e">
        <f>'Prudential Ratios'!#REF!</f>
        <v>#REF!</v>
      </c>
      <c r="J4" s="95" t="e">
        <f>'Prudential Ratios'!#REF!</f>
        <v>#REF!</v>
      </c>
      <c r="K4" s="95" t="e">
        <f>'Prudential Ratios'!#REF!</f>
        <v>#REF!</v>
      </c>
      <c r="L4" s="95" t="e">
        <f>'Prudential Ratios'!#REF!</f>
        <v>#REF!</v>
      </c>
      <c r="M4" s="95" t="e">
        <f>'Prudential Ratios'!#REF!</f>
        <v>#REF!</v>
      </c>
      <c r="N4" s="95" t="e">
        <f>'Prudential Ratios'!#REF!</f>
        <v>#REF!</v>
      </c>
      <c r="O4" s="95" t="e">
        <f>'Prudential Ratios'!#REF!</f>
        <v>#REF!</v>
      </c>
      <c r="P4" s="95" t="e">
        <f>'Prudential Ratios'!#REF!</f>
        <v>#REF!</v>
      </c>
      <c r="Q4" s="95" t="e">
        <f>'Prudential Ratios'!#REF!</f>
        <v>#REF!</v>
      </c>
      <c r="R4" s="95" t="e">
        <f>'Prudential Ratios'!#REF!</f>
        <v>#REF!</v>
      </c>
      <c r="S4" s="95" t="e">
        <f>'Prudential Ratios'!#REF!</f>
        <v>#REF!</v>
      </c>
      <c r="T4" s="199" t="e">
        <f>'Prudential Ratios'!#REF!</f>
        <v>#REF!</v>
      </c>
      <c r="U4" s="199" t="e">
        <f>'Prudential Ratios'!#REF!</f>
        <v>#REF!</v>
      </c>
      <c r="V4" s="199" t="e">
        <f>'Prudential Ratios'!#REF!</f>
        <v>#REF!</v>
      </c>
      <c r="W4" s="199" t="e">
        <f>'Prudential Ratios'!#REF!</f>
        <v>#REF!</v>
      </c>
      <c r="X4" s="199" t="e">
        <f>'Prudential Ratios'!#REF!</f>
        <v>#REF!</v>
      </c>
      <c r="Y4" s="199" t="e">
        <f>'Prudential Ratios'!#REF!</f>
        <v>#REF!</v>
      </c>
      <c r="Z4" s="199" t="e">
        <f>'Prudential Ratios'!#REF!</f>
        <v>#REF!</v>
      </c>
      <c r="AA4" s="199" t="e">
        <f>'Prudential Ratios'!#REF!</f>
        <v>#REF!</v>
      </c>
      <c r="AB4" s="199" t="e">
        <f>'Prudential Ratios'!#REF!</f>
        <v>#REF!</v>
      </c>
      <c r="AC4" s="199" t="e">
        <f>'Prudential Ratios'!#REF!</f>
        <v>#REF!</v>
      </c>
      <c r="AD4" s="199" t="e">
        <f>'Prudential Ratios'!#REF!</f>
        <v>#REF!</v>
      </c>
      <c r="AE4" s="199" t="e">
        <f>'Prudential Ratios'!#REF!</f>
        <v>#REF!</v>
      </c>
      <c r="AF4" s="199" t="e">
        <f>'Prudential Ratios'!#REF!</f>
        <v>#REF!</v>
      </c>
      <c r="AG4" s="199" t="e">
        <f>'Prudential Ratios'!#REF!</f>
        <v>#REF!</v>
      </c>
      <c r="AH4" s="199" t="e">
        <f>'Prudential Ratios'!#REF!</f>
        <v>#REF!</v>
      </c>
      <c r="AI4" s="199" t="e">
        <f>'Prudential Ratios'!#REF!</f>
        <v>#REF!</v>
      </c>
      <c r="AJ4" s="199" t="e">
        <f>'Prudential Ratios'!#REF!</f>
        <v>#REF!</v>
      </c>
      <c r="AK4" s="199" t="e">
        <f>'Prudential Ratios'!#REF!</f>
        <v>#REF!</v>
      </c>
      <c r="AL4" s="199" t="e">
        <f>'Prudential Ratios'!#REF!</f>
        <v>#REF!</v>
      </c>
      <c r="AM4" s="199" t="e">
        <f>'Prudential Ratios'!#REF!</f>
        <v>#REF!</v>
      </c>
      <c r="AN4" s="199" t="e">
        <f>'Prudential Ratios'!#REF!</f>
        <v>#REF!</v>
      </c>
      <c r="AO4" s="199" t="e">
        <f>'Prudential Ratios'!#REF!</f>
        <v>#REF!</v>
      </c>
      <c r="AP4" s="199" t="e">
        <f>'Prudential Ratios'!#REF!</f>
        <v>#REF!</v>
      </c>
      <c r="AQ4" s="199" t="e">
        <f>'Prudential Ratios'!#REF!</f>
        <v>#REF!</v>
      </c>
      <c r="AR4" s="199" t="e">
        <f>'Prudential Ratios'!#REF!</f>
        <v>#REF!</v>
      </c>
      <c r="AS4" s="199" t="e">
        <f>'Prudential Ratios'!#REF!</f>
        <v>#REF!</v>
      </c>
      <c r="AT4" s="199" t="e">
        <f>'Prudential Ratios'!#REF!</f>
        <v>#REF!</v>
      </c>
      <c r="AU4" s="199">
        <f>'Prudential Ratios'!E6</f>
        <v>82.862279999999998</v>
      </c>
      <c r="AV4" s="199" t="e">
        <f>'Prudential Ratios'!F6</f>
        <v>#REF!</v>
      </c>
      <c r="AW4" s="199" t="e">
        <f>'Prudential Ratios'!G6</f>
        <v>#REF!</v>
      </c>
      <c r="AX4" s="199" t="e">
        <f>'Prudential Ratios'!H6</f>
        <v>#REF!</v>
      </c>
      <c r="AY4" s="199" t="e">
        <f>'Prudential Ratios'!I6</f>
        <v>#REF!</v>
      </c>
      <c r="AZ4" s="199" t="e">
        <f>'Prudential Ratios'!J6</f>
        <v>#REF!</v>
      </c>
      <c r="BA4" s="199" t="e">
        <f>'Prudential Ratios'!K6</f>
        <v>#REF!</v>
      </c>
      <c r="BB4" s="199" t="e">
        <f>'Prudential Ratios'!L6</f>
        <v>#REF!</v>
      </c>
      <c r="BC4" s="199" t="e">
        <f>'Prudential Ratios'!M6</f>
        <v>#REF!</v>
      </c>
      <c r="BD4" s="199" t="e">
        <f>'Prudential Ratios'!N6</f>
        <v>#REF!</v>
      </c>
      <c r="BE4" s="199" t="e">
        <f>'Prudential Ratios'!O6</f>
        <v>#REF!</v>
      </c>
      <c r="BF4" s="199" t="e">
        <f>'Prudential Ratios'!P6</f>
        <v>#REF!</v>
      </c>
      <c r="BG4" s="199" t="e">
        <f>'Prudential Ratios'!Q6</f>
        <v>#REF!</v>
      </c>
      <c r="BH4" s="199">
        <f>'Prudential Ratios'!R6</f>
        <v>92.801710999999997</v>
      </c>
      <c r="BI4" s="199">
        <f>'Prudential Ratios'!S6</f>
        <v>110.36288603999999</v>
      </c>
      <c r="BJ4" s="199">
        <f>'Prudential Ratios'!T6</f>
        <v>111.86104742000001</v>
      </c>
      <c r="BK4" s="199">
        <f>'Prudential Ratios'!U6</f>
        <v>114.66001906</v>
      </c>
      <c r="BL4" s="199">
        <f>'Prudential Ratios'!V6</f>
        <v>93.017859579999993</v>
      </c>
      <c r="BM4" s="199">
        <f>'Prudential Ratios'!W6</f>
        <v>97.508023210000005</v>
      </c>
      <c r="BN4" s="199">
        <f>'Prudential Ratios'!X6</f>
        <v>99.818672620000001</v>
      </c>
      <c r="BO4" s="199">
        <f>'Prudential Ratios'!Y6</f>
        <v>102.05257304999999</v>
      </c>
      <c r="BP4" s="199">
        <f>'Prudential Ratios'!Z6</f>
        <v>104.10323982</v>
      </c>
      <c r="BQ4" s="199">
        <f>'Prudential Ratios'!AA6</f>
        <v>105.75359255000001</v>
      </c>
      <c r="BR4" s="199">
        <f>'Prudential Ratios'!AB6</f>
        <v>107.92977963</v>
      </c>
      <c r="BS4" s="199">
        <f>'Prudential Ratios'!AC6</f>
        <v>115.73246497</v>
      </c>
      <c r="BT4" s="199">
        <f>'Prudential Ratios'!AD6</f>
        <v>117.8147134</v>
      </c>
      <c r="BU4" s="199">
        <f>'Prudential Ratios'!AE6</f>
        <v>101.869376</v>
      </c>
      <c r="BV4" s="199">
        <f>'Prudential Ratios'!AF6</f>
        <v>93.744100569999986</v>
      </c>
      <c r="BW4" s="199">
        <f>'Prudential Ratios'!AG6</f>
        <v>99.853613480000007</v>
      </c>
      <c r="BX4" s="199">
        <f>'Prudential Ratios'!AH6</f>
        <v>103.25747598999999</v>
      </c>
      <c r="BY4" s="199">
        <f>'Prudential Ratios'!AI6</f>
        <v>106.79004333</v>
      </c>
      <c r="BZ4" s="199">
        <f>'Prudential Ratios'!AJ6</f>
        <v>109.04196402000001</v>
      </c>
      <c r="CA4" s="199">
        <f>'Prudential Ratios'!AK6</f>
        <v>110.767059</v>
      </c>
    </row>
    <row r="5" spans="2:79" ht="15">
      <c r="B5" s="90" t="s">
        <v>97</v>
      </c>
      <c r="C5" s="97" t="s">
        <v>24</v>
      </c>
      <c r="D5" s="94" t="e">
        <f>'Prudential Ratios'!#REF!</f>
        <v>#REF!</v>
      </c>
      <c r="E5" s="94" t="e">
        <f>'Prudential Ratios'!#REF!</f>
        <v>#REF!</v>
      </c>
      <c r="F5" s="94" t="e">
        <f>'Prudential Ratios'!#REF!</f>
        <v>#REF!</v>
      </c>
      <c r="G5" s="94" t="e">
        <f>'Prudential Ratios'!#REF!</f>
        <v>#REF!</v>
      </c>
      <c r="H5" s="94" t="e">
        <f>'Prudential Ratios'!#REF!</f>
        <v>#REF!</v>
      </c>
      <c r="I5" s="94" t="e">
        <f>'Prudential Ratios'!#REF!</f>
        <v>#REF!</v>
      </c>
      <c r="J5" s="94" t="e">
        <f>'Prudential Ratios'!#REF!</f>
        <v>#REF!</v>
      </c>
      <c r="K5" s="94" t="e">
        <f>'Prudential Ratios'!#REF!</f>
        <v>#REF!</v>
      </c>
      <c r="L5" s="94" t="e">
        <f>'Prudential Ratios'!#REF!</f>
        <v>#REF!</v>
      </c>
      <c r="M5" s="94" t="e">
        <f>'Prudential Ratios'!#REF!</f>
        <v>#REF!</v>
      </c>
      <c r="N5" s="94" t="e">
        <f>'Prudential Ratios'!#REF!</f>
        <v>#REF!</v>
      </c>
      <c r="O5" s="94" t="e">
        <f>'Prudential Ratios'!#REF!</f>
        <v>#REF!</v>
      </c>
      <c r="P5" s="94" t="e">
        <f>'Prudential Ratios'!#REF!</f>
        <v>#REF!</v>
      </c>
      <c r="Q5" s="94" t="e">
        <f>'Prudential Ratios'!#REF!</f>
        <v>#REF!</v>
      </c>
      <c r="R5" s="94" t="e">
        <f>'Prudential Ratios'!#REF!</f>
        <v>#REF!</v>
      </c>
      <c r="S5" s="94" t="e">
        <f>'Prudential Ratios'!#REF!</f>
        <v>#REF!</v>
      </c>
      <c r="T5" s="200" t="e">
        <f>'Prudential Ratios'!#REF!</f>
        <v>#REF!</v>
      </c>
      <c r="U5" s="200" t="e">
        <f>'Prudential Ratios'!#REF!</f>
        <v>#REF!</v>
      </c>
      <c r="V5" s="200" t="e">
        <f>'Prudential Ratios'!#REF!</f>
        <v>#REF!</v>
      </c>
      <c r="W5" s="200" t="e">
        <f>'Prudential Ratios'!#REF!</f>
        <v>#REF!</v>
      </c>
      <c r="X5" s="200" t="e">
        <f>'Prudential Ratios'!#REF!</f>
        <v>#REF!</v>
      </c>
      <c r="Y5" s="200" t="e">
        <f>'Prudential Ratios'!#REF!</f>
        <v>#REF!</v>
      </c>
      <c r="Z5" s="200" t="e">
        <f>'Prudential Ratios'!#REF!</f>
        <v>#REF!</v>
      </c>
      <c r="AA5" s="200" t="e">
        <f>'Prudential Ratios'!#REF!</f>
        <v>#REF!</v>
      </c>
      <c r="AB5" s="200" t="e">
        <f>'Prudential Ratios'!#REF!</f>
        <v>#REF!</v>
      </c>
      <c r="AC5" s="200" t="e">
        <f>'Prudential Ratios'!#REF!</f>
        <v>#REF!</v>
      </c>
      <c r="AD5" s="200" t="e">
        <f>'Prudential Ratios'!#REF!</f>
        <v>#REF!</v>
      </c>
      <c r="AE5" s="200" t="e">
        <f>'Prudential Ratios'!#REF!</f>
        <v>#REF!</v>
      </c>
      <c r="AF5" s="200" t="e">
        <f>'Prudential Ratios'!#REF!</f>
        <v>#REF!</v>
      </c>
      <c r="AG5" s="200" t="e">
        <f>'Prudential Ratios'!#REF!</f>
        <v>#REF!</v>
      </c>
      <c r="AH5" s="200" t="e">
        <f>'Prudential Ratios'!#REF!</f>
        <v>#REF!</v>
      </c>
      <c r="AI5" s="200" t="e">
        <f>'Prudential Ratios'!#REF!</f>
        <v>#REF!</v>
      </c>
      <c r="AJ5" s="200" t="e">
        <f>'Prudential Ratios'!#REF!</f>
        <v>#REF!</v>
      </c>
      <c r="AK5" s="200" t="e">
        <f>'Prudential Ratios'!#REF!</f>
        <v>#REF!</v>
      </c>
      <c r="AL5" s="200" t="e">
        <f>'Prudential Ratios'!#REF!</f>
        <v>#REF!</v>
      </c>
      <c r="AM5" s="200" t="e">
        <f>'Prudential Ratios'!#REF!</f>
        <v>#REF!</v>
      </c>
      <c r="AN5" s="200" t="e">
        <f>'Prudential Ratios'!#REF!</f>
        <v>#REF!</v>
      </c>
      <c r="AO5" s="200" t="e">
        <f>'Prudential Ratios'!#REF!</f>
        <v>#REF!</v>
      </c>
      <c r="AP5" s="200" t="e">
        <f>'Prudential Ratios'!#REF!</f>
        <v>#REF!</v>
      </c>
      <c r="AQ5" s="200" t="e">
        <f>'Prudential Ratios'!#REF!</f>
        <v>#REF!</v>
      </c>
      <c r="AR5" s="200" t="e">
        <f>'Prudential Ratios'!#REF!</f>
        <v>#REF!</v>
      </c>
      <c r="AS5" s="200" t="e">
        <f>'Prudential Ratios'!#REF!</f>
        <v>#REF!</v>
      </c>
      <c r="AT5" s="200" t="e">
        <f>'Prudential Ratios'!#REF!</f>
        <v>#REF!</v>
      </c>
      <c r="AU5" s="200">
        <f>'Prudential Ratios'!E7</f>
        <v>0.18351443460993205</v>
      </c>
      <c r="AV5" s="200" t="e">
        <f>'Prudential Ratios'!F7</f>
        <v>#REF!</v>
      </c>
      <c r="AW5" s="200" t="e">
        <f>'Prudential Ratios'!G7</f>
        <v>#REF!</v>
      </c>
      <c r="AX5" s="200" t="e">
        <f>'Prudential Ratios'!H7</f>
        <v>#REF!</v>
      </c>
      <c r="AY5" s="200" t="e">
        <f>'Prudential Ratios'!I7</f>
        <v>#REF!</v>
      </c>
      <c r="AZ5" s="200" t="e">
        <f>'Prudential Ratios'!J7</f>
        <v>#REF!</v>
      </c>
      <c r="BA5" s="200" t="e">
        <f>'Prudential Ratios'!K7</f>
        <v>#REF!</v>
      </c>
      <c r="BB5" s="200" t="e">
        <f>'Prudential Ratios'!L7</f>
        <v>#REF!</v>
      </c>
      <c r="BC5" s="200" t="e">
        <f>'Prudential Ratios'!M7</f>
        <v>#REF!</v>
      </c>
      <c r="BD5" s="200" t="e">
        <f>'Prudential Ratios'!N7</f>
        <v>#REF!</v>
      </c>
      <c r="BE5" s="200" t="e">
        <f>'Prudential Ratios'!O7</f>
        <v>#REF!</v>
      </c>
      <c r="BF5" s="200" t="e">
        <f>'Prudential Ratios'!P7</f>
        <v>#REF!</v>
      </c>
      <c r="BG5" s="200" t="e">
        <f>'Prudential Ratios'!Q7</f>
        <v>#REF!</v>
      </c>
      <c r="BH5" s="200">
        <f>'Prudential Ratios'!R7</f>
        <v>0.18095879636571005</v>
      </c>
      <c r="BI5" s="200">
        <f>'Prudential Ratios'!S7</f>
        <v>0.21706259742988152</v>
      </c>
      <c r="BJ5" s="200">
        <f>'Prudential Ratios'!T7</f>
        <v>0.21780117951071398</v>
      </c>
      <c r="BK5" s="200">
        <f>'Prudential Ratios'!U7</f>
        <v>0.22604195533719235</v>
      </c>
      <c r="BL5" s="200">
        <f>'Prudential Ratios'!V7</f>
        <v>0.18344459357551629</v>
      </c>
      <c r="BM5" s="200">
        <f>'Prudential Ratios'!W7</f>
        <v>0.19094077407716969</v>
      </c>
      <c r="BN5" s="200">
        <f>'Prudential Ratios'!X7</f>
        <v>0.18211735564671969</v>
      </c>
      <c r="BO5" s="200">
        <f>'Prudential Ratios'!Y7</f>
        <v>0.18531661844038794</v>
      </c>
      <c r="BP5" s="200">
        <f>'Prudential Ratios'!Z7</f>
        <v>0.18686189209491746</v>
      </c>
      <c r="BQ5" s="200">
        <f>'Prudential Ratios'!AA7</f>
        <v>0.18951959477076588</v>
      </c>
      <c r="BR5" s="200">
        <f>'Prudential Ratios'!AB7</f>
        <v>0.19303681764903058</v>
      </c>
      <c r="BS5" s="200">
        <f>'Prudential Ratios'!AC7</f>
        <v>0.20695076807134505</v>
      </c>
      <c r="BT5" s="200">
        <f>'Prudential Ratios'!AD7</f>
        <v>0.20947139526797606</v>
      </c>
      <c r="BU5" s="200">
        <f>'Prudential Ratios'!AE7</f>
        <v>0.17425646217720905</v>
      </c>
      <c r="BV5" s="200">
        <f>'Prudential Ratios'!AF7</f>
        <v>0.16321589044456272</v>
      </c>
      <c r="BW5" s="200">
        <f>'Prudential Ratios'!AG7</f>
        <v>0.16173791141556332</v>
      </c>
      <c r="BX5" s="200">
        <f>'Prudential Ratios'!AH7</f>
        <v>0.17255773977318051</v>
      </c>
      <c r="BY5" s="200">
        <f>'Prudential Ratios'!AI7</f>
        <v>0.176377402405828</v>
      </c>
      <c r="BZ5" s="200">
        <f>'Prudential Ratios'!AJ7</f>
        <v>0.18129760576392123</v>
      </c>
      <c r="CA5" s="200">
        <f>'Prudential Ratios'!AK7</f>
        <v>0.1829842690800603</v>
      </c>
    </row>
    <row r="6" spans="2:79" ht="15">
      <c r="B6" s="90" t="s">
        <v>98</v>
      </c>
      <c r="C6" s="97" t="s">
        <v>29</v>
      </c>
      <c r="D6" s="94" t="e">
        <f>'Prudential Ratios'!#REF!</f>
        <v>#REF!</v>
      </c>
      <c r="E6" s="94" t="e">
        <f>'Prudential Ratios'!#REF!</f>
        <v>#REF!</v>
      </c>
      <c r="F6" s="94" t="e">
        <f>'Prudential Ratios'!#REF!</f>
        <v>#REF!</v>
      </c>
      <c r="G6" s="94" t="e">
        <f>'Prudential Ratios'!#REF!</f>
        <v>#REF!</v>
      </c>
      <c r="H6" s="94" t="e">
        <f>'Prudential Ratios'!#REF!</f>
        <v>#REF!</v>
      </c>
      <c r="I6" s="94" t="e">
        <f>'Prudential Ratios'!#REF!</f>
        <v>#REF!</v>
      </c>
      <c r="J6" s="94" t="e">
        <f>'Prudential Ratios'!#REF!</f>
        <v>#REF!</v>
      </c>
      <c r="K6" s="94" t="e">
        <f>'Prudential Ratios'!#REF!</f>
        <v>#REF!</v>
      </c>
      <c r="L6" s="94" t="e">
        <f>'Prudential Ratios'!#REF!</f>
        <v>#REF!</v>
      </c>
      <c r="M6" s="94" t="e">
        <f>'Prudential Ratios'!#REF!</f>
        <v>#REF!</v>
      </c>
      <c r="N6" s="94" t="e">
        <f>'Prudential Ratios'!#REF!</f>
        <v>#REF!</v>
      </c>
      <c r="O6" s="94" t="e">
        <f>'Prudential Ratios'!#REF!</f>
        <v>#REF!</v>
      </c>
      <c r="P6" s="94" t="e">
        <f>'Prudential Ratios'!#REF!</f>
        <v>#REF!</v>
      </c>
      <c r="Q6" s="94" t="e">
        <f>'Prudential Ratios'!#REF!</f>
        <v>#REF!</v>
      </c>
      <c r="R6" s="94" t="e">
        <f>'Prudential Ratios'!#REF!</f>
        <v>#REF!</v>
      </c>
      <c r="S6" s="94" t="e">
        <f>'Prudential Ratios'!#REF!</f>
        <v>#REF!</v>
      </c>
      <c r="T6" s="200" t="e">
        <f>'Prudential Ratios'!#REF!</f>
        <v>#REF!</v>
      </c>
      <c r="U6" s="200" t="e">
        <f>'Prudential Ratios'!#REF!</f>
        <v>#REF!</v>
      </c>
      <c r="V6" s="200" t="e">
        <f>'Prudential Ratios'!#REF!</f>
        <v>#REF!</v>
      </c>
      <c r="W6" s="200" t="e">
        <f>'Prudential Ratios'!#REF!</f>
        <v>#REF!</v>
      </c>
      <c r="X6" s="200" t="e">
        <f>'Prudential Ratios'!#REF!</f>
        <v>#REF!</v>
      </c>
      <c r="Y6" s="200" t="e">
        <f>'Prudential Ratios'!#REF!</f>
        <v>#REF!</v>
      </c>
      <c r="Z6" s="200" t="e">
        <f>'Prudential Ratios'!#REF!</f>
        <v>#REF!</v>
      </c>
      <c r="AA6" s="200" t="e">
        <f>'Prudential Ratios'!#REF!</f>
        <v>#REF!</v>
      </c>
      <c r="AB6" s="200" t="e">
        <f>'Prudential Ratios'!#REF!</f>
        <v>#REF!</v>
      </c>
      <c r="AC6" s="200" t="e">
        <f>'Prudential Ratios'!#REF!</f>
        <v>#REF!</v>
      </c>
      <c r="AD6" s="200" t="e">
        <f>'Prudential Ratios'!#REF!</f>
        <v>#REF!</v>
      </c>
      <c r="AE6" s="200" t="e">
        <f>'Prudential Ratios'!#REF!</f>
        <v>#REF!</v>
      </c>
      <c r="AF6" s="200" t="e">
        <f>'Prudential Ratios'!#REF!</f>
        <v>#REF!</v>
      </c>
      <c r="AG6" s="200" t="e">
        <f>'Prudential Ratios'!#REF!</f>
        <v>#REF!</v>
      </c>
      <c r="AH6" s="200" t="e">
        <f>'Prudential Ratios'!#REF!</f>
        <v>#REF!</v>
      </c>
      <c r="AI6" s="200" t="e">
        <f>'Prudential Ratios'!#REF!</f>
        <v>#REF!</v>
      </c>
      <c r="AJ6" s="200" t="e">
        <f>'Prudential Ratios'!#REF!</f>
        <v>#REF!</v>
      </c>
      <c r="AK6" s="200" t="e">
        <f>'Prudential Ratios'!#REF!</f>
        <v>#REF!</v>
      </c>
      <c r="AL6" s="200" t="e">
        <f>'Prudential Ratios'!#REF!</f>
        <v>#REF!</v>
      </c>
      <c r="AM6" s="200" t="e">
        <f>'Prudential Ratios'!#REF!</f>
        <v>#REF!</v>
      </c>
      <c r="AN6" s="200" t="e">
        <f>'Prudential Ratios'!#REF!</f>
        <v>#REF!</v>
      </c>
      <c r="AO6" s="200" t="e">
        <f>'Prudential Ratios'!#REF!</f>
        <v>#REF!</v>
      </c>
      <c r="AP6" s="200" t="e">
        <f>'Prudential Ratios'!#REF!</f>
        <v>#REF!</v>
      </c>
      <c r="AQ6" s="200" t="e">
        <f>'Prudential Ratios'!#REF!</f>
        <v>#REF!</v>
      </c>
      <c r="AR6" s="200" t="e">
        <f>'Prudential Ratios'!#REF!</f>
        <v>#REF!</v>
      </c>
      <c r="AS6" s="200" t="e">
        <f>'Prudential Ratios'!#REF!</f>
        <v>#REF!</v>
      </c>
      <c r="AT6" s="200" t="e">
        <f>'Prudential Ratios'!#REF!</f>
        <v>#REF!</v>
      </c>
      <c r="AU6" s="200">
        <f>'Prudential Ratios'!E10</f>
        <v>7.3371062975123427E-2</v>
      </c>
      <c r="AV6" s="200" t="e">
        <f>'Prudential Ratios'!F10</f>
        <v>#REF!</v>
      </c>
      <c r="AW6" s="200" t="e">
        <f>'Prudential Ratios'!G10</f>
        <v>#REF!</v>
      </c>
      <c r="AX6" s="200" t="e">
        <f>'Prudential Ratios'!H10</f>
        <v>#REF!</v>
      </c>
      <c r="AY6" s="200" t="e">
        <f>'Prudential Ratios'!I10</f>
        <v>#REF!</v>
      </c>
      <c r="AZ6" s="200" t="e">
        <f>'Prudential Ratios'!J10</f>
        <v>#REF!</v>
      </c>
      <c r="BA6" s="200" t="e">
        <f>'Prudential Ratios'!K10</f>
        <v>#REF!</v>
      </c>
      <c r="BB6" s="200" t="e">
        <f>'Prudential Ratios'!L10</f>
        <v>#REF!</v>
      </c>
      <c r="BC6" s="200" t="e">
        <f>'Prudential Ratios'!M10</f>
        <v>#REF!</v>
      </c>
      <c r="BD6" s="200" t="e">
        <f>'Prudential Ratios'!N10</f>
        <v>#REF!</v>
      </c>
      <c r="BE6" s="200" t="e">
        <f>'Prudential Ratios'!O10</f>
        <v>#REF!</v>
      </c>
      <c r="BF6" s="200" t="e">
        <f>'Prudential Ratios'!P10</f>
        <v>#REF!</v>
      </c>
      <c r="BG6" s="200" t="e">
        <f>'Prudential Ratios'!Q10</f>
        <v>#REF!</v>
      </c>
      <c r="BH6" s="200">
        <f>'Prudential Ratios'!R10</f>
        <v>7.9806722175157011E-2</v>
      </c>
      <c r="BI6" s="200">
        <f>'Prudential Ratios'!S10</f>
        <v>0.11843903094734737</v>
      </c>
      <c r="BJ6" s="200">
        <f>'Prudential Ratios'!T10</f>
        <v>0.11991604663254164</v>
      </c>
      <c r="BK6" s="200">
        <f>'Prudential Ratios'!U10</f>
        <v>0.12689888766584587</v>
      </c>
      <c r="BL6" s="200">
        <f>'Prudential Ratios'!V10</f>
        <v>8.4265137314263744E-2</v>
      </c>
      <c r="BM6" s="200">
        <f>'Prudential Ratios'!W10</f>
        <v>9.0993392315656785E-2</v>
      </c>
      <c r="BN6" s="200">
        <f>'Prudential Ratios'!X10</f>
        <v>8.8515432712232764E-2</v>
      </c>
      <c r="BO6" s="200">
        <f>'Prudential Ratios'!Y10</f>
        <v>9.2148137179467252E-2</v>
      </c>
      <c r="BP6" s="200">
        <f>'Prudential Ratios'!Z10</f>
        <v>9.4668609134343301E-2</v>
      </c>
      <c r="BQ6" s="200">
        <f>'Prudential Ratios'!AA10</f>
        <v>9.7470229595787439E-2</v>
      </c>
      <c r="BR6" s="200">
        <f>'Prudential Ratios'!AB10</f>
        <v>9.9538627376119446E-2</v>
      </c>
      <c r="BS6" s="200">
        <f>'Prudential Ratios'!AC10</f>
        <v>0.11347059488668716</v>
      </c>
      <c r="BT6" s="200">
        <f>'Prudential Ratios'!AD10</f>
        <v>0.11576461362552749</v>
      </c>
      <c r="BU6" s="200">
        <f>'Prudential Ratios'!AE10</f>
        <v>7.9569633269478135E-2</v>
      </c>
      <c r="BV6" s="200">
        <f>'Prudential Ratios'!AF10</f>
        <v>7.1463856575789839E-2</v>
      </c>
      <c r="BW6" s="200">
        <f>'Prudential Ratios'!AG10</f>
        <v>7.6395972805917201E-2</v>
      </c>
      <c r="BX6" s="200">
        <f>'Prudential Ratios'!AH10</f>
        <v>8.3860724922641336E-2</v>
      </c>
      <c r="BY6" s="200">
        <f>'Prudential Ratios'!AI10</f>
        <v>8.8325230874655838E-2</v>
      </c>
      <c r="BZ6" s="200">
        <f>'Prudential Ratios'!AJ10</f>
        <v>9.2452376839204264E-2</v>
      </c>
      <c r="CA6" s="200">
        <f>'Prudential Ratios'!AK10</f>
        <v>9.3855345620429409E-2</v>
      </c>
    </row>
    <row r="7" spans="2:79" ht="15">
      <c r="B7" s="90" t="s">
        <v>99</v>
      </c>
      <c r="C7" s="97" t="s">
        <v>29</v>
      </c>
      <c r="D7" s="94" t="e">
        <f>'Prudential Ratios'!#REF!</f>
        <v>#REF!</v>
      </c>
      <c r="E7" s="94" t="e">
        <f>'Prudential Ratios'!#REF!</f>
        <v>#REF!</v>
      </c>
      <c r="F7" s="94" t="e">
        <f>'Prudential Ratios'!#REF!</f>
        <v>#REF!</v>
      </c>
      <c r="G7" s="94" t="e">
        <f>'Prudential Ratios'!#REF!</f>
        <v>#REF!</v>
      </c>
      <c r="H7" s="94" t="e">
        <f>'Prudential Ratios'!#REF!</f>
        <v>#REF!</v>
      </c>
      <c r="I7" s="94" t="e">
        <f>'Prudential Ratios'!#REF!</f>
        <v>#REF!</v>
      </c>
      <c r="J7" s="94" t="e">
        <f>'Prudential Ratios'!#REF!</f>
        <v>#REF!</v>
      </c>
      <c r="K7" s="94" t="e">
        <f>'Prudential Ratios'!#REF!</f>
        <v>#REF!</v>
      </c>
      <c r="L7" s="94" t="e">
        <f>'Prudential Ratios'!#REF!</f>
        <v>#REF!</v>
      </c>
      <c r="M7" s="94" t="e">
        <f>'Prudential Ratios'!#REF!</f>
        <v>#REF!</v>
      </c>
      <c r="N7" s="94" t="e">
        <f>'Prudential Ratios'!#REF!</f>
        <v>#REF!</v>
      </c>
      <c r="O7" s="94" t="e">
        <f>'Prudential Ratios'!#REF!</f>
        <v>#REF!</v>
      </c>
      <c r="P7" s="94" t="e">
        <f>'Prudential Ratios'!#REF!</f>
        <v>#REF!</v>
      </c>
      <c r="Q7" s="94" t="e">
        <f>'Prudential Ratios'!#REF!</f>
        <v>#REF!</v>
      </c>
      <c r="R7" s="94" t="e">
        <f>'Prudential Ratios'!#REF!</f>
        <v>#REF!</v>
      </c>
      <c r="S7" s="94" t="e">
        <f>'Prudential Ratios'!#REF!</f>
        <v>#REF!</v>
      </c>
      <c r="T7" s="200" t="e">
        <f>'Prudential Ratios'!#REF!</f>
        <v>#REF!</v>
      </c>
      <c r="U7" s="200" t="e">
        <f>'Prudential Ratios'!#REF!</f>
        <v>#REF!</v>
      </c>
      <c r="V7" s="200" t="e">
        <f>'Prudential Ratios'!#REF!</f>
        <v>#REF!</v>
      </c>
      <c r="W7" s="200" t="e">
        <f>'Prudential Ratios'!#REF!</f>
        <v>#REF!</v>
      </c>
      <c r="X7" s="200" t="e">
        <f>'Prudential Ratios'!#REF!</f>
        <v>#REF!</v>
      </c>
      <c r="Y7" s="200" t="e">
        <f>'Prudential Ratios'!#REF!</f>
        <v>#REF!</v>
      </c>
      <c r="Z7" s="200" t="e">
        <f>'Prudential Ratios'!#REF!</f>
        <v>#REF!</v>
      </c>
      <c r="AA7" s="200" t="e">
        <f>'Prudential Ratios'!#REF!</f>
        <v>#REF!</v>
      </c>
      <c r="AB7" s="200" t="e">
        <f>'Prudential Ratios'!#REF!</f>
        <v>#REF!</v>
      </c>
      <c r="AC7" s="200" t="e">
        <f>'Prudential Ratios'!#REF!</f>
        <v>#REF!</v>
      </c>
      <c r="AD7" s="200" t="e">
        <f>'Prudential Ratios'!#REF!</f>
        <v>#REF!</v>
      </c>
      <c r="AE7" s="200" t="e">
        <f>'Prudential Ratios'!#REF!</f>
        <v>#REF!</v>
      </c>
      <c r="AF7" s="200" t="e">
        <f>'Prudential Ratios'!#REF!</f>
        <v>#REF!</v>
      </c>
      <c r="AG7" s="200" t="e">
        <f>'Prudential Ratios'!#REF!</f>
        <v>#REF!</v>
      </c>
      <c r="AH7" s="200" t="e">
        <f>'Prudential Ratios'!#REF!</f>
        <v>#REF!</v>
      </c>
      <c r="AI7" s="200" t="e">
        <f>'Prudential Ratios'!#REF!</f>
        <v>#REF!</v>
      </c>
      <c r="AJ7" s="200" t="e">
        <f>'Prudential Ratios'!#REF!</f>
        <v>#REF!</v>
      </c>
      <c r="AK7" s="200" t="e">
        <f>'Prudential Ratios'!#REF!</f>
        <v>#REF!</v>
      </c>
      <c r="AL7" s="200" t="e">
        <f>'Prudential Ratios'!#REF!</f>
        <v>#REF!</v>
      </c>
      <c r="AM7" s="200" t="e">
        <f>'Prudential Ratios'!#REF!</f>
        <v>#REF!</v>
      </c>
      <c r="AN7" s="200" t="e">
        <f>'Prudential Ratios'!#REF!</f>
        <v>#REF!</v>
      </c>
      <c r="AO7" s="200" t="e">
        <f>'Prudential Ratios'!#REF!</f>
        <v>#REF!</v>
      </c>
      <c r="AP7" s="200" t="e">
        <f>'Prudential Ratios'!#REF!</f>
        <v>#REF!</v>
      </c>
      <c r="AQ7" s="200" t="e">
        <f>'Prudential Ratios'!#REF!</f>
        <v>#REF!</v>
      </c>
      <c r="AR7" s="200" t="e">
        <f>'Prudential Ratios'!#REF!</f>
        <v>#REF!</v>
      </c>
      <c r="AS7" s="200" t="e">
        <f>'Prudential Ratios'!#REF!</f>
        <v>#REF!</v>
      </c>
      <c r="AT7" s="200" t="e">
        <f>'Prudential Ratios'!#REF!</f>
        <v>#REF!</v>
      </c>
      <c r="AU7" s="200">
        <f>'Prudential Ratios'!E8</f>
        <v>0.23971315473838883</v>
      </c>
      <c r="AV7" s="200" t="e">
        <f>'Prudential Ratios'!F8</f>
        <v>#REF!</v>
      </c>
      <c r="AW7" s="200" t="e">
        <f>'Prudential Ratios'!G8</f>
        <v>#REF!</v>
      </c>
      <c r="AX7" s="200" t="e">
        <f>'Prudential Ratios'!H8</f>
        <v>#REF!</v>
      </c>
      <c r="AY7" s="200" t="e">
        <f>'Prudential Ratios'!I8</f>
        <v>#REF!</v>
      </c>
      <c r="AZ7" s="200" t="e">
        <f>'Prudential Ratios'!J8</f>
        <v>#REF!</v>
      </c>
      <c r="BA7" s="200" t="e">
        <f>'Prudential Ratios'!K8</f>
        <v>#REF!</v>
      </c>
      <c r="BB7" s="200" t="e">
        <f>'Prudential Ratios'!L8</f>
        <v>#REF!</v>
      </c>
      <c r="BC7" s="200" t="e">
        <f>'Prudential Ratios'!M8</f>
        <v>#REF!</v>
      </c>
      <c r="BD7" s="200" t="e">
        <f>'Prudential Ratios'!N8</f>
        <v>#REF!</v>
      </c>
      <c r="BE7" s="200" t="e">
        <f>'Prudential Ratios'!O8</f>
        <v>#REF!</v>
      </c>
      <c r="BF7" s="200" t="e">
        <f>'Prudential Ratios'!P8</f>
        <v>#REF!</v>
      </c>
      <c r="BG7" s="200" t="e">
        <f>'Prudential Ratios'!Q8</f>
        <v>#REF!</v>
      </c>
      <c r="BH7" s="200">
        <f>'Prudential Ratios'!R8</f>
        <v>0.23562086815132396</v>
      </c>
      <c r="BI7" s="200">
        <f>'Prudential Ratios'!S8</f>
        <v>0.27483976773632546</v>
      </c>
      <c r="BJ7" s="200">
        <f>'Prudential Ratios'!T8</f>
        <v>0.27573738317485541</v>
      </c>
      <c r="BK7" s="200">
        <f>'Prudential Ratios'!U8</f>
        <v>0.2764949312661743</v>
      </c>
      <c r="BL7" s="200">
        <f>'Prudential Ratios'!V8</f>
        <v>0.22357996495976898</v>
      </c>
      <c r="BM7" s="200">
        <f>'Prudential Ratios'!W8</f>
        <v>0.23400446397669025</v>
      </c>
      <c r="BN7" s="200">
        <f>'Prudential Ratios'!X8</f>
        <v>0.2363505244440729</v>
      </c>
      <c r="BO7" s="200">
        <f>'Prudential Ratios'!Y8</f>
        <v>0.24148648721488961</v>
      </c>
      <c r="BP7" s="200">
        <f>'Prudential Ratios'!Z8</f>
        <v>0.24098208139387772</v>
      </c>
      <c r="BQ7" s="200">
        <f>'Prudential Ratios'!AA8</f>
        <v>0.24356565698967639</v>
      </c>
      <c r="BR7" s="200">
        <f>'Prudential Ratios'!AB8</f>
        <v>0.24741806044084505</v>
      </c>
      <c r="BS7" s="200">
        <f>'Prudential Ratios'!AC8</f>
        <v>0.26530805630920723</v>
      </c>
      <c r="BT7" s="200">
        <f>'Prudential Ratios'!AD8</f>
        <v>0.26934664287472054</v>
      </c>
      <c r="BU7" s="200">
        <f>'Prudential Ratios'!AE8</f>
        <v>0.23044536127035617</v>
      </c>
      <c r="BV7" s="200">
        <f>'Prudential Ratios'!AF8</f>
        <v>0.20780463597087823</v>
      </c>
      <c r="BW7" s="200">
        <f>'Prudential Ratios'!AG8</f>
        <v>0.21508267514186782</v>
      </c>
      <c r="BX7" s="200">
        <f>'Prudential Ratios'!AH8</f>
        <v>0.22130319901875448</v>
      </c>
      <c r="BY7" s="200">
        <f>'Prudential Ratios'!AI8</f>
        <v>0.22599956576627395</v>
      </c>
      <c r="BZ7" s="200">
        <f>'Prudential Ratios'!AJ8</f>
        <v>0.23149522016215182</v>
      </c>
      <c r="CA7" s="200">
        <f>'Prudential Ratios'!AK8</f>
        <v>0.23255829036871822</v>
      </c>
    </row>
    <row r="8" spans="2:79" ht="15">
      <c r="B8" s="99" t="s">
        <v>100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79" ht="15">
      <c r="B9" s="90" t="s">
        <v>101</v>
      </c>
      <c r="C9" s="97" t="s">
        <v>40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01"/>
      <c r="BT9" s="201"/>
      <c r="BU9" s="201"/>
    </row>
    <row r="10" spans="2:79" ht="15">
      <c r="B10" s="99" t="s">
        <v>83</v>
      </c>
      <c r="C10" s="100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</row>
    <row r="11" spans="2:79" ht="15">
      <c r="B11" s="90" t="s">
        <v>84</v>
      </c>
      <c r="C11" s="88"/>
      <c r="D11" s="96" t="e">
        <f>'Prudential Ratios'!#REF!</f>
        <v>#REF!</v>
      </c>
      <c r="E11" s="96" t="e">
        <f>'Prudential Ratios'!#REF!</f>
        <v>#REF!</v>
      </c>
      <c r="F11" s="96" t="e">
        <f>'Prudential Ratios'!#REF!</f>
        <v>#REF!</v>
      </c>
      <c r="G11" s="96" t="e">
        <f>'Prudential Ratios'!#REF!</f>
        <v>#REF!</v>
      </c>
      <c r="H11" s="96" t="e">
        <f>'Prudential Ratios'!#REF!</f>
        <v>#REF!</v>
      </c>
      <c r="I11" s="96" t="e">
        <f>'Prudential Ratios'!#REF!</f>
        <v>#REF!</v>
      </c>
      <c r="J11" s="96" t="e">
        <f>'Prudential Ratios'!#REF!</f>
        <v>#REF!</v>
      </c>
      <c r="K11" s="96" t="e">
        <f>'Prudential Ratios'!#REF!</f>
        <v>#REF!</v>
      </c>
      <c r="L11" s="96" t="e">
        <f>'Prudential Ratios'!#REF!</f>
        <v>#REF!</v>
      </c>
      <c r="M11" s="96" t="e">
        <f>'Prudential Ratios'!#REF!</f>
        <v>#REF!</v>
      </c>
      <c r="N11" s="96" t="e">
        <f>'Prudential Ratios'!#REF!</f>
        <v>#REF!</v>
      </c>
      <c r="O11" s="96" t="e">
        <f>'Prudential Ratios'!#REF!</f>
        <v>#REF!</v>
      </c>
      <c r="P11" s="96" t="e">
        <f>'Prudential Ratios'!#REF!</f>
        <v>#REF!</v>
      </c>
      <c r="Q11" s="96" t="e">
        <f>'Prudential Ratios'!#REF!</f>
        <v>#REF!</v>
      </c>
      <c r="R11" s="96" t="e">
        <f>'Prudential Ratios'!#REF!</f>
        <v>#REF!</v>
      </c>
      <c r="S11" s="96" t="e">
        <f>'Prudential Ratios'!#REF!</f>
        <v>#REF!</v>
      </c>
      <c r="T11" s="201" t="e">
        <f>'Prudential Ratios'!#REF!</f>
        <v>#REF!</v>
      </c>
      <c r="U11" s="201" t="e">
        <f>'Prudential Ratios'!#REF!</f>
        <v>#REF!</v>
      </c>
      <c r="V11" s="201" t="e">
        <f>'Prudential Ratios'!#REF!</f>
        <v>#REF!</v>
      </c>
      <c r="W11" s="201" t="e">
        <f>'Prudential Ratios'!#REF!</f>
        <v>#REF!</v>
      </c>
      <c r="X11" s="201" t="e">
        <f>'Prudential Ratios'!#REF!</f>
        <v>#REF!</v>
      </c>
      <c r="Y11" s="201" t="e">
        <f>'Prudential Ratios'!#REF!</f>
        <v>#REF!</v>
      </c>
      <c r="Z11" s="201" t="e">
        <f>'Prudential Ratios'!#REF!</f>
        <v>#REF!</v>
      </c>
      <c r="AA11" s="201" t="e">
        <f>'Prudential Ratios'!#REF!</f>
        <v>#REF!</v>
      </c>
      <c r="AB11" s="201" t="e">
        <f>'Prudential Ratios'!#REF!</f>
        <v>#REF!</v>
      </c>
      <c r="AC11" s="201" t="e">
        <f>'Prudential Ratios'!#REF!</f>
        <v>#REF!</v>
      </c>
      <c r="AD11" s="201" t="e">
        <f>'Prudential Ratios'!#REF!</f>
        <v>#REF!</v>
      </c>
      <c r="AE11" s="201" t="e">
        <f>'Prudential Ratios'!#REF!</f>
        <v>#REF!</v>
      </c>
      <c r="AF11" s="201" t="e">
        <f>'Prudential Ratios'!#REF!</f>
        <v>#REF!</v>
      </c>
      <c r="AG11" s="201" t="e">
        <f>'Prudential Ratios'!#REF!</f>
        <v>#REF!</v>
      </c>
      <c r="AH11" s="201" t="e">
        <f>'Prudential Ratios'!#REF!</f>
        <v>#REF!</v>
      </c>
      <c r="AI11" s="201" t="e">
        <f>'Prudential Ratios'!#REF!</f>
        <v>#REF!</v>
      </c>
      <c r="AJ11" s="201" t="e">
        <f>'Prudential Ratios'!#REF!</f>
        <v>#REF!</v>
      </c>
      <c r="AK11" s="201" t="e">
        <f>'Prudential Ratios'!#REF!</f>
        <v>#REF!</v>
      </c>
      <c r="AL11" s="201" t="e">
        <f>'Prudential Ratios'!#REF!</f>
        <v>#REF!</v>
      </c>
      <c r="AM11" s="201" t="e">
        <f>'Prudential Ratios'!#REF!</f>
        <v>#REF!</v>
      </c>
      <c r="AN11" s="201" t="e">
        <f>'Prudential Ratios'!#REF!</f>
        <v>#REF!</v>
      </c>
      <c r="AO11" s="201" t="e">
        <f>'Prudential Ratios'!#REF!</f>
        <v>#REF!</v>
      </c>
      <c r="AP11" s="201" t="e">
        <f>'Prudential Ratios'!#REF!</f>
        <v>#REF!</v>
      </c>
      <c r="AQ11" s="201" t="e">
        <f>'Prudential Ratios'!#REF!</f>
        <v>#REF!</v>
      </c>
      <c r="AR11" s="201" t="e">
        <f>'Prudential Ratios'!#REF!</f>
        <v>#REF!</v>
      </c>
      <c r="AS11" s="201" t="e">
        <f>'Prudential Ratios'!#REF!</f>
        <v>#REF!</v>
      </c>
      <c r="AT11" s="201" t="e">
        <f>'Prudential Ratios'!#REF!</f>
        <v>#REF!</v>
      </c>
      <c r="AU11" s="201" t="e">
        <f>'Prudential Ratios'!E55</f>
        <v>#VALUE!</v>
      </c>
      <c r="AV11" s="201">
        <f>'Prudential Ratios'!F55</f>
        <v>0</v>
      </c>
      <c r="AW11" s="201">
        <f>'Prudential Ratios'!G55</f>
        <v>0</v>
      </c>
      <c r="AX11" s="201">
        <f>'Prudential Ratios'!H55</f>
        <v>0</v>
      </c>
      <c r="AY11" s="201">
        <f>'Prudential Ratios'!I55</f>
        <v>0</v>
      </c>
      <c r="AZ11" s="201">
        <f>'Prudential Ratios'!J55</f>
        <v>0</v>
      </c>
      <c r="BA11" s="201">
        <f>'Prudential Ratios'!K55</f>
        <v>0</v>
      </c>
      <c r="BB11" s="201">
        <f>'Prudential Ratios'!L55</f>
        <v>0</v>
      </c>
      <c r="BC11" s="201">
        <f>'Prudential Ratios'!M55</f>
        <v>0</v>
      </c>
      <c r="BD11" s="201">
        <f>'Prudential Ratios'!N55</f>
        <v>0</v>
      </c>
      <c r="BE11" s="201">
        <f>'Prudential Ratios'!O55</f>
        <v>0</v>
      </c>
      <c r="BF11" s="201">
        <f>'Prudential Ratios'!P55</f>
        <v>0</v>
      </c>
      <c r="BG11" s="201">
        <f>'Prudential Ratios'!Q55</f>
        <v>0</v>
      </c>
      <c r="BH11" s="201">
        <f>'Prudential Ratios'!R55</f>
        <v>3.0572562917432246E-2</v>
      </c>
      <c r="BI11" s="201">
        <f>'Prudential Ratios'!S55</f>
        <v>2.400882565928489E-3</v>
      </c>
      <c r="BJ11" s="201">
        <f>'Prudential Ratios'!T55</f>
        <v>6.959306856321127E-3</v>
      </c>
      <c r="BK11" s="201">
        <f>'Prudential Ratios'!U55</f>
        <v>1.6130941517743282E-2</v>
      </c>
      <c r="BL11" s="201">
        <f>'Prudential Ratios'!V55</f>
        <v>2.1394439638999958E-2</v>
      </c>
      <c r="BM11" s="201">
        <f>'Prudential Ratios'!W55</f>
        <v>3.3701330651450312E-2</v>
      </c>
      <c r="BN11" s="201">
        <f>'Prudential Ratios'!X55</f>
        <v>3.8534836492782505E-2</v>
      </c>
      <c r="BO11" s="201">
        <f>'Prudential Ratios'!Y55</f>
        <v>4.4919156281092144E-2</v>
      </c>
      <c r="BP11" s="201">
        <f>'Prudential Ratios'!Z55</f>
        <v>5.1080760402825762E-2</v>
      </c>
      <c r="BQ11" s="201">
        <f>'Prudential Ratios'!AA55</f>
        <v>5.5068982659228306E-2</v>
      </c>
      <c r="BR11" s="201">
        <f>'Prudential Ratios'!AB55</f>
        <v>5.9871180103730569E-2</v>
      </c>
      <c r="BS11" s="201">
        <f>'Prudential Ratios'!AC55</f>
        <v>6.9252415440220788E-2</v>
      </c>
      <c r="BT11" s="201">
        <f>'Prudential Ratios'!AD55</f>
        <v>7.357409289921478E-2</v>
      </c>
      <c r="BU11" s="201">
        <f>'Prudential Ratios'!AE55</f>
        <v>3.1365168643902909E-2</v>
      </c>
      <c r="BV11" s="201">
        <f>'Prudential Ratios'!AF55</f>
        <v>6.8743276902435303E-3</v>
      </c>
      <c r="BW11" s="201">
        <f>'Prudential Ratios'!AG55</f>
        <v>1.4299970722288002E-2</v>
      </c>
      <c r="BX11" s="201">
        <f>'Prudential Ratios'!AH55</f>
        <v>2.279428390962801E-2</v>
      </c>
      <c r="BY11" s="201">
        <f>'Prudential Ratios'!AI55</f>
        <v>3.2089842316683652E-2</v>
      </c>
      <c r="BZ11" s="201">
        <f>'Prudential Ratios'!AJ55</f>
        <v>3.8142700148095524E-2</v>
      </c>
      <c r="CA11" s="201">
        <f>'Prudential Ratios'!AK55</f>
        <v>4.1423166536038669E-2</v>
      </c>
    </row>
    <row r="12" spans="2:79" ht="15">
      <c r="B12" s="90" t="s">
        <v>102</v>
      </c>
      <c r="C12" s="88"/>
      <c r="D12" s="96" t="e">
        <f>'Prudential Ratios'!#REF!</f>
        <v>#REF!</v>
      </c>
      <c r="E12" s="96" t="e">
        <f>'Prudential Ratios'!#REF!</f>
        <v>#REF!</v>
      </c>
      <c r="F12" s="96" t="e">
        <f>'Prudential Ratios'!#REF!</f>
        <v>#REF!</v>
      </c>
      <c r="G12" s="96" t="e">
        <f>'Prudential Ratios'!#REF!</f>
        <v>#REF!</v>
      </c>
      <c r="H12" s="96" t="e">
        <f>'Prudential Ratios'!#REF!</f>
        <v>#REF!</v>
      </c>
      <c r="I12" s="96" t="e">
        <f>'Prudential Ratios'!#REF!</f>
        <v>#REF!</v>
      </c>
      <c r="J12" s="96" t="e">
        <f>'Prudential Ratios'!#REF!</f>
        <v>#REF!</v>
      </c>
      <c r="K12" s="96" t="e">
        <f>'Prudential Ratios'!#REF!</f>
        <v>#REF!</v>
      </c>
      <c r="L12" s="96" t="e">
        <f>'Prudential Ratios'!#REF!</f>
        <v>#REF!</v>
      </c>
      <c r="M12" s="96" t="e">
        <f>'Prudential Ratios'!#REF!</f>
        <v>#REF!</v>
      </c>
      <c r="N12" s="96" t="e">
        <f>'Prudential Ratios'!#REF!</f>
        <v>#REF!</v>
      </c>
      <c r="O12" s="96" t="e">
        <f>'Prudential Ratios'!#REF!</f>
        <v>#REF!</v>
      </c>
      <c r="P12" s="96" t="e">
        <f>'Prudential Ratios'!#REF!</f>
        <v>#REF!</v>
      </c>
      <c r="Q12" s="96" t="e">
        <f>'Prudential Ratios'!#REF!</f>
        <v>#REF!</v>
      </c>
      <c r="R12" s="96" t="e">
        <f>'Prudential Ratios'!#REF!</f>
        <v>#REF!</v>
      </c>
      <c r="S12" s="96" t="e">
        <f>'Prudential Ratios'!#REF!</f>
        <v>#REF!</v>
      </c>
      <c r="T12" s="201" t="e">
        <f>'Prudential Ratios'!#REF!</f>
        <v>#REF!</v>
      </c>
      <c r="U12" s="201" t="e">
        <f>'Prudential Ratios'!#REF!</f>
        <v>#REF!</v>
      </c>
      <c r="V12" s="201" t="e">
        <f>'Prudential Ratios'!#REF!</f>
        <v>#REF!</v>
      </c>
      <c r="W12" s="201" t="e">
        <f>'Prudential Ratios'!#REF!</f>
        <v>#REF!</v>
      </c>
      <c r="X12" s="201" t="e">
        <f>'Prudential Ratios'!#REF!</f>
        <v>#REF!</v>
      </c>
      <c r="Y12" s="201" t="e">
        <f>'Prudential Ratios'!#REF!</f>
        <v>#REF!</v>
      </c>
      <c r="Z12" s="201" t="e">
        <f>'Prudential Ratios'!#REF!</f>
        <v>#REF!</v>
      </c>
      <c r="AA12" s="201" t="e">
        <f>'Prudential Ratios'!#REF!</f>
        <v>#REF!</v>
      </c>
      <c r="AB12" s="201" t="e">
        <f>'Prudential Ratios'!#REF!</f>
        <v>#REF!</v>
      </c>
      <c r="AC12" s="201" t="e">
        <f>'Prudential Ratios'!#REF!</f>
        <v>#REF!</v>
      </c>
      <c r="AD12" s="201" t="e">
        <f>'Prudential Ratios'!#REF!</f>
        <v>#REF!</v>
      </c>
      <c r="AE12" s="201" t="e">
        <f>'Prudential Ratios'!#REF!</f>
        <v>#REF!</v>
      </c>
      <c r="AF12" s="201" t="e">
        <f>'Prudential Ratios'!#REF!</f>
        <v>#REF!</v>
      </c>
      <c r="AG12" s="201" t="e">
        <f>'Prudential Ratios'!#REF!</f>
        <v>#REF!</v>
      </c>
      <c r="AH12" s="201" t="e">
        <f>'Prudential Ratios'!#REF!</f>
        <v>#REF!</v>
      </c>
      <c r="AI12" s="201" t="e">
        <f>'Prudential Ratios'!#REF!</f>
        <v>#REF!</v>
      </c>
      <c r="AJ12" s="201" t="e">
        <f>'Prudential Ratios'!#REF!</f>
        <v>#REF!</v>
      </c>
      <c r="AK12" s="201" t="e">
        <f>'Prudential Ratios'!#REF!</f>
        <v>#REF!</v>
      </c>
      <c r="AL12" s="201" t="e">
        <f>'Prudential Ratios'!#REF!</f>
        <v>#REF!</v>
      </c>
      <c r="AM12" s="201" t="e">
        <f>'Prudential Ratios'!#REF!</f>
        <v>#REF!</v>
      </c>
      <c r="AN12" s="201" t="e">
        <f>'Prudential Ratios'!#REF!</f>
        <v>#REF!</v>
      </c>
      <c r="AO12" s="201" t="e">
        <f>'Prudential Ratios'!#REF!</f>
        <v>#REF!</v>
      </c>
      <c r="AP12" s="201" t="e">
        <f>'Prudential Ratios'!#REF!</f>
        <v>#REF!</v>
      </c>
      <c r="AQ12" s="201" t="e">
        <f>'Prudential Ratios'!#REF!</f>
        <v>#REF!</v>
      </c>
      <c r="AR12" s="201" t="e">
        <f>'Prudential Ratios'!#REF!</f>
        <v>#REF!</v>
      </c>
      <c r="AS12" s="201" t="e">
        <f>'Prudential Ratios'!#REF!</f>
        <v>#REF!</v>
      </c>
      <c r="AT12" s="201" t="e">
        <f>'Prudential Ratios'!#REF!</f>
        <v>#REF!</v>
      </c>
      <c r="AU12" s="201">
        <f>'Prudential Ratios'!E56</f>
        <v>0.72533781784945561</v>
      </c>
      <c r="AV12" s="201" t="e">
        <f>'Prudential Ratios'!F56</f>
        <v>#DIV/0!</v>
      </c>
      <c r="AW12" s="201" t="e">
        <f>'Prudential Ratios'!G56</f>
        <v>#DIV/0!</v>
      </c>
      <c r="AX12" s="201" t="e">
        <f>'Prudential Ratios'!H56</f>
        <v>#DIV/0!</v>
      </c>
      <c r="AY12" s="201" t="e">
        <f>'Prudential Ratios'!I56</f>
        <v>#DIV/0!</v>
      </c>
      <c r="AZ12" s="201" t="e">
        <f>'Prudential Ratios'!J56</f>
        <v>#DIV/0!</v>
      </c>
      <c r="BA12" s="201" t="e">
        <f>'Prudential Ratios'!K56</f>
        <v>#DIV/0!</v>
      </c>
      <c r="BB12" s="201" t="e">
        <f>'Prudential Ratios'!L56</f>
        <v>#DIV/0!</v>
      </c>
      <c r="BC12" s="201" t="e">
        <f>'Prudential Ratios'!M56</f>
        <v>#DIV/0!</v>
      </c>
      <c r="BD12" s="201" t="e">
        <f>'Prudential Ratios'!N56</f>
        <v>#DIV/0!</v>
      </c>
      <c r="BE12" s="201" t="e">
        <f>'Prudential Ratios'!O56</f>
        <v>#DIV/0!</v>
      </c>
      <c r="BF12" s="201" t="e">
        <f>'Prudential Ratios'!P56</f>
        <v>#DIV/0!</v>
      </c>
      <c r="BG12" s="201" t="e">
        <f>'Prudential Ratios'!Q56</f>
        <v>#DIV/0!</v>
      </c>
      <c r="BH12" s="201">
        <f>'Prudential Ratios'!R56</f>
        <v>0.68021676337805048</v>
      </c>
      <c r="BI12" s="201">
        <f>'Prudential Ratios'!S56</f>
        <v>0.76387316548199846</v>
      </c>
      <c r="BJ12" s="201">
        <f>'Prudential Ratios'!T56</f>
        <v>0.71400910414226237</v>
      </c>
      <c r="BK12" s="201">
        <f>'Prudential Ratios'!U56</f>
        <v>0.67637921783266686</v>
      </c>
      <c r="BL12" s="201">
        <f>'Prudential Ratios'!V56</f>
        <v>0.67331433751810688</v>
      </c>
      <c r="BM12" s="201">
        <f>'Prudential Ratios'!W56</f>
        <v>0.62501158403168988</v>
      </c>
      <c r="BN12" s="201">
        <f>'Prudential Ratios'!X56</f>
        <v>0.62496362654737692</v>
      </c>
      <c r="BO12" s="201">
        <f>'Prudential Ratios'!Y56</f>
        <v>0.62264434252656886</v>
      </c>
      <c r="BP12" s="201">
        <f>'Prudential Ratios'!Z56</f>
        <v>0.62845738911240778</v>
      </c>
      <c r="BQ12" s="201">
        <f>'Prudential Ratios'!AA56</f>
        <v>0.63846834661789953</v>
      </c>
      <c r="BR12" s="201">
        <f>'Prudential Ratios'!AB56</f>
        <v>0.6495363023428441</v>
      </c>
      <c r="BS12" s="201">
        <f>'Prudential Ratios'!AC56</f>
        <v>0.64205236000189869</v>
      </c>
      <c r="BT12" s="201">
        <f>'Prudential Ratios'!AD56</f>
        <v>0.64607186468815692</v>
      </c>
      <c r="BU12" s="201">
        <f>'Prudential Ratios'!AE56</f>
        <v>0.75829828465987092</v>
      </c>
      <c r="BV12" s="201">
        <f>'Prudential Ratios'!AF56</f>
        <v>0.60094168859542629</v>
      </c>
      <c r="BW12" s="201">
        <f>'Prudential Ratios'!AG56</f>
        <v>0.58573920614398411</v>
      </c>
      <c r="BX12" s="201">
        <f>'Prudential Ratios'!AH56</f>
        <v>0.61058907920072791</v>
      </c>
      <c r="BY12" s="201">
        <f>'Prudential Ratios'!AI56</f>
        <v>0.59151344736692046</v>
      </c>
      <c r="BZ12" s="201">
        <f>'Prudential Ratios'!AJ56</f>
        <v>0.60779151812363541</v>
      </c>
      <c r="CA12" s="201">
        <f>'Prudential Ratios'!AK56</f>
        <v>0.62975188662464199</v>
      </c>
    </row>
    <row r="13" spans="2:79" ht="15">
      <c r="B13" s="90" t="s">
        <v>103</v>
      </c>
      <c r="C13" s="88"/>
      <c r="D13" s="96" t="e">
        <f>'Prudential Ratios'!#REF!</f>
        <v>#REF!</v>
      </c>
      <c r="E13" s="96" t="e">
        <f>'Prudential Ratios'!#REF!</f>
        <v>#REF!</v>
      </c>
      <c r="F13" s="96" t="e">
        <f>'Prudential Ratios'!#REF!</f>
        <v>#REF!</v>
      </c>
      <c r="G13" s="96" t="e">
        <f>'Prudential Ratios'!#REF!</f>
        <v>#REF!</v>
      </c>
      <c r="H13" s="96" t="e">
        <f>'Prudential Ratios'!#REF!</f>
        <v>#REF!</v>
      </c>
      <c r="I13" s="96" t="e">
        <f>'Prudential Ratios'!#REF!</f>
        <v>#REF!</v>
      </c>
      <c r="J13" s="96" t="e">
        <f>'Prudential Ratios'!#REF!</f>
        <v>#REF!</v>
      </c>
      <c r="K13" s="96" t="e">
        <f>'Prudential Ratios'!#REF!</f>
        <v>#REF!</v>
      </c>
      <c r="L13" s="96" t="e">
        <f>'Prudential Ratios'!#REF!</f>
        <v>#REF!</v>
      </c>
      <c r="M13" s="96" t="e">
        <f>'Prudential Ratios'!#REF!</f>
        <v>#REF!</v>
      </c>
      <c r="N13" s="96" t="e">
        <f>'Prudential Ratios'!#REF!</f>
        <v>#REF!</v>
      </c>
      <c r="O13" s="96" t="e">
        <f>'Prudential Ratios'!#REF!</f>
        <v>#REF!</v>
      </c>
      <c r="P13" s="96" t="e">
        <f>'Prudential Ratios'!#REF!</f>
        <v>#REF!</v>
      </c>
      <c r="Q13" s="96" t="e">
        <f>'Prudential Ratios'!#REF!</f>
        <v>#REF!</v>
      </c>
      <c r="R13" s="96" t="e">
        <f>'Prudential Ratios'!#REF!</f>
        <v>#REF!</v>
      </c>
      <c r="S13" s="96" t="e">
        <f>'Prudential Ratios'!#REF!</f>
        <v>#REF!</v>
      </c>
      <c r="T13" s="201" t="e">
        <f>'Prudential Ratios'!#REF!</f>
        <v>#REF!</v>
      </c>
      <c r="U13" s="201" t="e">
        <f>'Prudential Ratios'!#REF!</f>
        <v>#REF!</v>
      </c>
      <c r="V13" s="201" t="e">
        <f>'Prudential Ratios'!#REF!</f>
        <v>#REF!</v>
      </c>
      <c r="W13" s="201" t="e">
        <f>'Prudential Ratios'!#REF!</f>
        <v>#REF!</v>
      </c>
      <c r="X13" s="201" t="e">
        <f>'Prudential Ratios'!#REF!</f>
        <v>#REF!</v>
      </c>
      <c r="Y13" s="201" t="e">
        <f>'Prudential Ratios'!#REF!</f>
        <v>#REF!</v>
      </c>
      <c r="Z13" s="201" t="e">
        <f>'Prudential Ratios'!#REF!</f>
        <v>#REF!</v>
      </c>
      <c r="AA13" s="201" t="e">
        <f>'Prudential Ratios'!#REF!</f>
        <v>#REF!</v>
      </c>
      <c r="AB13" s="201" t="e">
        <f>'Prudential Ratios'!#REF!</f>
        <v>#REF!</v>
      </c>
      <c r="AC13" s="201" t="e">
        <f>'Prudential Ratios'!#REF!</f>
        <v>#REF!</v>
      </c>
      <c r="AD13" s="201" t="e">
        <f>'Prudential Ratios'!#REF!</f>
        <v>#REF!</v>
      </c>
      <c r="AE13" s="201" t="e">
        <f>'Prudential Ratios'!#REF!</f>
        <v>#REF!</v>
      </c>
      <c r="AF13" s="201" t="e">
        <f>'Prudential Ratios'!#REF!</f>
        <v>#REF!</v>
      </c>
      <c r="AG13" s="201" t="e">
        <f>'Prudential Ratios'!#REF!</f>
        <v>#REF!</v>
      </c>
      <c r="AH13" s="201" t="e">
        <f>'Prudential Ratios'!#REF!</f>
        <v>#REF!</v>
      </c>
      <c r="AI13" s="201" t="e">
        <f>'Prudential Ratios'!#REF!</f>
        <v>#REF!</v>
      </c>
      <c r="AJ13" s="201" t="e">
        <f>'Prudential Ratios'!#REF!</f>
        <v>#REF!</v>
      </c>
      <c r="AK13" s="201" t="e">
        <f>'Prudential Ratios'!#REF!</f>
        <v>#REF!</v>
      </c>
      <c r="AL13" s="201" t="e">
        <f>'Prudential Ratios'!#REF!</f>
        <v>#REF!</v>
      </c>
      <c r="AM13" s="201" t="e">
        <f>'Prudential Ratios'!#REF!</f>
        <v>#REF!</v>
      </c>
      <c r="AN13" s="201" t="e">
        <f>'Prudential Ratios'!#REF!</f>
        <v>#REF!</v>
      </c>
      <c r="AO13" s="201" t="e">
        <f>'Prudential Ratios'!#REF!</f>
        <v>#REF!</v>
      </c>
      <c r="AP13" s="201" t="e">
        <f>'Prudential Ratios'!#REF!</f>
        <v>#REF!</v>
      </c>
      <c r="AQ13" s="201" t="e">
        <f>'Prudential Ratios'!#REF!</f>
        <v>#REF!</v>
      </c>
      <c r="AR13" s="201" t="e">
        <f>'Prudential Ratios'!#REF!</f>
        <v>#REF!</v>
      </c>
      <c r="AS13" s="201" t="e">
        <f>'Prudential Ratios'!#REF!</f>
        <v>#REF!</v>
      </c>
      <c r="AT13" s="201" t="e">
        <f>'Prudential Ratios'!#REF!</f>
        <v>#REF!</v>
      </c>
      <c r="AU13" s="201">
        <f>'Prudential Ratios'!E57</f>
        <v>8.712725514342301E-2</v>
      </c>
      <c r="AV13" s="201">
        <f>'Prudential Ratios'!F57</f>
        <v>0</v>
      </c>
      <c r="AW13" s="201">
        <f>'Prudential Ratios'!G57</f>
        <v>0</v>
      </c>
      <c r="AX13" s="201">
        <f>'Prudential Ratios'!H57</f>
        <v>0</v>
      </c>
      <c r="AY13" s="201">
        <f>'Prudential Ratios'!I57</f>
        <v>0</v>
      </c>
      <c r="AZ13" s="201">
        <f>'Prudential Ratios'!J57</f>
        <v>0</v>
      </c>
      <c r="BA13" s="201">
        <f>'Prudential Ratios'!K57</f>
        <v>0</v>
      </c>
      <c r="BB13" s="201">
        <f>'Prudential Ratios'!L57</f>
        <v>0</v>
      </c>
      <c r="BC13" s="201">
        <f>'Prudential Ratios'!M57</f>
        <v>0</v>
      </c>
      <c r="BD13" s="201">
        <f>'Prudential Ratios'!N57</f>
        <v>0</v>
      </c>
      <c r="BE13" s="201">
        <f>'Prudential Ratios'!O57</f>
        <v>0</v>
      </c>
      <c r="BF13" s="201">
        <f>'Prudential Ratios'!P57</f>
        <v>0</v>
      </c>
      <c r="BG13" s="201">
        <f>'Prudential Ratios'!Q57</f>
        <v>0</v>
      </c>
      <c r="BH13" s="201">
        <f>'Prudential Ratios'!R57</f>
        <v>8.2844320864691609E-2</v>
      </c>
      <c r="BI13" s="201">
        <f>'Prudential Ratios'!S57</f>
        <v>8.9971491231033499E-3</v>
      </c>
      <c r="BJ13" s="201">
        <f>'Prudential Ratios'!T57</f>
        <v>1.6503258281318017E-2</v>
      </c>
      <c r="BK13" s="201">
        <f>'Prudential Ratios'!U57</f>
        <v>2.8042618928012651E-2</v>
      </c>
      <c r="BL13" s="201">
        <f>'Prudential Ratios'!V57</f>
        <v>3.7161932242577411E-2</v>
      </c>
      <c r="BM13" s="201">
        <f>'Prudential Ratios'!W57</f>
        <v>4.4121975215388673E-2</v>
      </c>
      <c r="BN13" s="201">
        <f>'Prudential Ratios'!X57</f>
        <v>4.9321327767647617E-2</v>
      </c>
      <c r="BO13" s="201">
        <f>'Prudential Ratios'!Y57</f>
        <v>5.7208419480019215E-2</v>
      </c>
      <c r="BP13" s="201">
        <f>'Prudential Ratios'!Z57</f>
        <v>6.6025096894442525E-2</v>
      </c>
      <c r="BQ13" s="201">
        <f>'Prudential Ratios'!AA57</f>
        <v>7.6171679585138236E-2</v>
      </c>
      <c r="BR13" s="201">
        <f>'Prudential Ratios'!AB57</f>
        <v>8.643560466081493E-2</v>
      </c>
      <c r="BS13" s="201">
        <f>'Prudential Ratios'!AC57</f>
        <v>9.4988551880955563E-2</v>
      </c>
      <c r="BT13" s="201">
        <f>'Prudential Ratios'!AD57</f>
        <v>0.10366319604063465</v>
      </c>
      <c r="BU13" s="201">
        <f>'Prudential Ratios'!AE57</f>
        <v>9.8311536054755275E-2</v>
      </c>
      <c r="BV13" s="201">
        <f>'Prudential Ratios'!AF57</f>
        <v>8.2909376251435688E-3</v>
      </c>
      <c r="BW13" s="201">
        <f>'Prudential Ratios'!AG57</f>
        <v>1.477991176479084E-2</v>
      </c>
      <c r="BX13" s="201">
        <f>'Prudential Ratios'!AH57</f>
        <v>2.6574681752046247E-2</v>
      </c>
      <c r="BY13" s="201">
        <f>'Prudential Ratios'!AI57</f>
        <v>3.3742889384821034E-2</v>
      </c>
      <c r="BZ13" s="201">
        <f>'Prudential Ratios'!AJ57</f>
        <v>4.3610799114665269E-2</v>
      </c>
      <c r="CA13" s="201">
        <f>'Prudential Ratios'!AK57</f>
        <v>5.3021788212790494E-2</v>
      </c>
    </row>
    <row r="14" spans="2:79" ht="15">
      <c r="B14" s="99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79" ht="15">
      <c r="B15" s="90" t="s">
        <v>105</v>
      </c>
      <c r="C15" s="84">
        <v>0.15</v>
      </c>
      <c r="D15" s="91" t="e">
        <f>'Prudential Ratios'!#REF!</f>
        <v>#REF!</v>
      </c>
      <c r="E15" s="91" t="e">
        <f>'Prudential Ratios'!#REF!</f>
        <v>#REF!</v>
      </c>
      <c r="F15" s="91" t="e">
        <f>'Prudential Ratios'!#REF!</f>
        <v>#REF!</v>
      </c>
      <c r="G15" s="91" t="e">
        <f>'Prudential Ratios'!#REF!</f>
        <v>#REF!</v>
      </c>
      <c r="H15" s="91" t="e">
        <f>'Prudential Ratios'!#REF!</f>
        <v>#REF!</v>
      </c>
      <c r="I15" s="91" t="e">
        <f>'Prudential Ratios'!#REF!</f>
        <v>#REF!</v>
      </c>
      <c r="J15" s="91" t="e">
        <f>'Prudential Ratios'!#REF!</f>
        <v>#REF!</v>
      </c>
      <c r="K15" s="91" t="e">
        <f>'Prudential Ratios'!#REF!</f>
        <v>#REF!</v>
      </c>
      <c r="L15" s="91" t="e">
        <f>'Prudential Ratios'!#REF!</f>
        <v>#REF!</v>
      </c>
      <c r="M15" s="91" t="e">
        <f>'Prudential Ratios'!#REF!</f>
        <v>#REF!</v>
      </c>
      <c r="N15" s="91" t="e">
        <f>'Prudential Ratios'!#REF!</f>
        <v>#REF!</v>
      </c>
      <c r="O15" s="91" t="e">
        <f>'Prudential Ratios'!#REF!</f>
        <v>#REF!</v>
      </c>
      <c r="P15" s="91" t="e">
        <f>'Prudential Ratios'!#REF!</f>
        <v>#REF!</v>
      </c>
      <c r="Q15" s="91" t="e">
        <f>'Prudential Ratios'!#REF!</f>
        <v>#REF!</v>
      </c>
      <c r="R15" s="91" t="e">
        <f>'Prudential Ratios'!#REF!</f>
        <v>#REF!</v>
      </c>
      <c r="S15" s="91" t="e">
        <f>'Prudential Ratios'!#REF!</f>
        <v>#REF!</v>
      </c>
      <c r="T15" s="202" t="e">
        <f>'Prudential Ratios'!#REF!</f>
        <v>#REF!</v>
      </c>
      <c r="U15" s="202" t="e">
        <f>'Prudential Ratios'!#REF!</f>
        <v>#REF!</v>
      </c>
      <c r="V15" s="202" t="e">
        <f>'Prudential Ratios'!#REF!</f>
        <v>#REF!</v>
      </c>
      <c r="W15" s="202" t="e">
        <f>'Prudential Ratios'!#REF!</f>
        <v>#REF!</v>
      </c>
      <c r="X15" s="202" t="e">
        <f>'Prudential Ratios'!#REF!</f>
        <v>#REF!</v>
      </c>
      <c r="Y15" s="202" t="e">
        <f>'Prudential Ratios'!#REF!</f>
        <v>#REF!</v>
      </c>
      <c r="Z15" s="202" t="e">
        <f>'Prudential Ratios'!#REF!</f>
        <v>#REF!</v>
      </c>
      <c r="AA15" s="202" t="e">
        <f>'Prudential Ratios'!#REF!</f>
        <v>#REF!</v>
      </c>
      <c r="AB15" s="202" t="e">
        <f>'Prudential Ratios'!#REF!</f>
        <v>#REF!</v>
      </c>
      <c r="AC15" s="202" t="e">
        <f>'Prudential Ratios'!#REF!</f>
        <v>#REF!</v>
      </c>
      <c r="AD15" s="202" t="e">
        <f>'Prudential Ratios'!#REF!</f>
        <v>#REF!</v>
      </c>
      <c r="AE15" s="202" t="e">
        <f>'Prudential Ratios'!#REF!</f>
        <v>#REF!</v>
      </c>
      <c r="AF15" s="202" t="e">
        <f>'Prudential Ratios'!#REF!</f>
        <v>#REF!</v>
      </c>
      <c r="AG15" s="202" t="e">
        <f>'Prudential Ratios'!#REF!</f>
        <v>#REF!</v>
      </c>
      <c r="AH15" s="202" t="e">
        <f>'Prudential Ratios'!#REF!</f>
        <v>#REF!</v>
      </c>
      <c r="AI15" s="202" t="e">
        <f>'Prudential Ratios'!#REF!</f>
        <v>#REF!</v>
      </c>
      <c r="AJ15" s="202" t="e">
        <f>'Prudential Ratios'!#REF!</f>
        <v>#REF!</v>
      </c>
      <c r="AK15" s="202" t="e">
        <f>'Prudential Ratios'!#REF!</f>
        <v>#REF!</v>
      </c>
      <c r="AL15" s="202" t="e">
        <f>'Prudential Ratios'!#REF!</f>
        <v>#REF!</v>
      </c>
      <c r="AM15" s="202" t="e">
        <f>'Prudential Ratios'!#REF!</f>
        <v>#REF!</v>
      </c>
      <c r="AN15" s="202" t="e">
        <f>'Prudential Ratios'!#REF!</f>
        <v>#REF!</v>
      </c>
      <c r="AO15" s="202" t="e">
        <f>'Prudential Ratios'!#REF!</f>
        <v>#REF!</v>
      </c>
      <c r="AP15" s="202" t="e">
        <f>'Prudential Ratios'!#REF!</f>
        <v>#REF!</v>
      </c>
      <c r="AQ15" s="202" t="e">
        <f>'Prudential Ratios'!#REF!</f>
        <v>#REF!</v>
      </c>
      <c r="AR15" s="202" t="e">
        <f>'Prudential Ratios'!#REF!</f>
        <v>#REF!</v>
      </c>
      <c r="AS15" s="202" t="e">
        <f>'Prudential Ratios'!#REF!</f>
        <v>#REF!</v>
      </c>
      <c r="AT15" s="202" t="e">
        <f>'Prudential Ratios'!#REF!</f>
        <v>#REF!</v>
      </c>
      <c r="AU15" s="202">
        <f>'Prudential Ratios'!E47</f>
        <v>0.27500842410293114</v>
      </c>
      <c r="AV15" s="202">
        <f>'Prudential Ratios'!F47</f>
        <v>0.17418078306189005</v>
      </c>
      <c r="AW15" s="202">
        <f>'Prudential Ratios'!G47</f>
        <v>0.22560135372628035</v>
      </c>
      <c r="AX15" s="202">
        <f>'Prudential Ratios'!H47</f>
        <v>0.14290453516785942</v>
      </c>
      <c r="AY15" s="202">
        <f>'Prudential Ratios'!I47</f>
        <v>0.15814051268428755</v>
      </c>
      <c r="AZ15" s="202">
        <f>'Prudential Ratios'!J47</f>
        <v>0.15150019428032996</v>
      </c>
      <c r="BA15" s="202">
        <f>'Prudential Ratios'!K47</f>
        <v>0.13049517449196649</v>
      </c>
      <c r="BB15" s="202">
        <f>'Prudential Ratios'!L47</f>
        <v>0.14078518995674599</v>
      </c>
      <c r="BC15" s="202">
        <f>'Prudential Ratios'!M47</f>
        <v>0.14569566442998025</v>
      </c>
      <c r="BD15" s="202">
        <f>'Prudential Ratios'!N47</f>
        <v>0.13512208537019268</v>
      </c>
      <c r="BE15" s="202">
        <f>'Prudential Ratios'!O47</f>
        <v>0.14174788060341789</v>
      </c>
      <c r="BF15" s="202">
        <f>'Prudential Ratios'!P47</f>
        <v>0.14349866601208847</v>
      </c>
      <c r="BG15" s="202" t="e">
        <f>'Prudential Ratios'!Q47</f>
        <v>#VALUE!</v>
      </c>
      <c r="BH15" s="202">
        <f>'Prudential Ratios'!R47</f>
        <v>0.26414535778690573</v>
      </c>
      <c r="BI15" s="202">
        <f>'Prudential Ratios'!S47</f>
        <v>0.24603495801642136</v>
      </c>
      <c r="BJ15" s="202">
        <f>'Prudential Ratios'!T47</f>
        <v>0.26302353470407619</v>
      </c>
      <c r="BK15" s="202">
        <f>'Prudential Ratios'!U47</f>
        <v>0.23782716293938938</v>
      </c>
      <c r="BL15" s="202">
        <f>'Prudential Ratios'!V47</f>
        <v>0.20603021572061303</v>
      </c>
      <c r="BM15" s="202">
        <f>'Prudential Ratios'!W47</f>
        <v>0.19224946820033142</v>
      </c>
      <c r="BN15" s="202">
        <f>'Prudential Ratios'!X47</f>
        <v>0.24560449305878523</v>
      </c>
      <c r="BO15" s="202">
        <f>'Prudential Ratios'!Y47</f>
        <v>0.21240257522743405</v>
      </c>
      <c r="BP15" s="202">
        <f>'Prudential Ratios'!Z47</f>
        <v>0.25424339927212974</v>
      </c>
      <c r="BQ15" s="202">
        <f>'Prudential Ratios'!AA47</f>
        <v>0.2212305560792385</v>
      </c>
      <c r="BR15" s="202">
        <f>'Prudential Ratios'!AB47</f>
        <v>0.24413278806173813</v>
      </c>
      <c r="BS15" s="202">
        <f>'Prudential Ratios'!AC47</f>
        <v>0.24103631951942356</v>
      </c>
      <c r="BT15" s="202">
        <f>'Prudential Ratios'!AD47</f>
        <v>0.26406484884060721</v>
      </c>
      <c r="BU15" s="202">
        <f>'Prudential Ratios'!AE47</f>
        <v>0.2732581612732774</v>
      </c>
      <c r="BV15" s="202">
        <f>'Prudential Ratios'!AF47</f>
        <v>0.24238778494100718</v>
      </c>
      <c r="BW15" s="202">
        <f>'Prudential Ratios'!AG47</f>
        <v>0.35392912774531055</v>
      </c>
      <c r="BX15" s="202">
        <f>'Prudential Ratios'!AH47</f>
        <v>0.30984185505829537</v>
      </c>
      <c r="BY15" s="202">
        <f>'Prudential Ratios'!AI47</f>
        <v>0.32556199088846793</v>
      </c>
      <c r="BZ15" s="202">
        <f>'Prudential Ratios'!AJ47</f>
        <v>0.29348305306656075</v>
      </c>
      <c r="CA15" s="202">
        <f>'Prudential Ratios'!AK47</f>
        <v>0.27423881998880018</v>
      </c>
    </row>
    <row r="16" spans="2:79" ht="15">
      <c r="B16" s="90" t="s">
        <v>106</v>
      </c>
      <c r="C16" s="84"/>
      <c r="D16" s="91" t="e">
        <f>'Prudential Ratios'!#REF!</f>
        <v>#REF!</v>
      </c>
      <c r="E16" s="91" t="e">
        <f>'Prudential Ratios'!#REF!</f>
        <v>#REF!</v>
      </c>
      <c r="F16" s="91" t="e">
        <f>'Prudential Ratios'!#REF!</f>
        <v>#REF!</v>
      </c>
      <c r="G16" s="91" t="e">
        <f>'Prudential Ratios'!#REF!</f>
        <v>#REF!</v>
      </c>
      <c r="H16" s="91" t="e">
        <f>'Prudential Ratios'!#REF!</f>
        <v>#REF!</v>
      </c>
      <c r="I16" s="91" t="e">
        <f>'Prudential Ratios'!#REF!</f>
        <v>#REF!</v>
      </c>
      <c r="J16" s="91" t="e">
        <f>'Prudential Ratios'!#REF!</f>
        <v>#REF!</v>
      </c>
      <c r="K16" s="91" t="e">
        <f>'Prudential Ratios'!#REF!</f>
        <v>#REF!</v>
      </c>
      <c r="L16" s="91" t="e">
        <f>'Prudential Ratios'!#REF!</f>
        <v>#REF!</v>
      </c>
      <c r="M16" s="91" t="e">
        <f>'Prudential Ratios'!#REF!</f>
        <v>#REF!</v>
      </c>
      <c r="N16" s="91" t="e">
        <f>'Prudential Ratios'!#REF!</f>
        <v>#REF!</v>
      </c>
      <c r="O16" s="91" t="e">
        <f>'Prudential Ratios'!#REF!</f>
        <v>#REF!</v>
      </c>
      <c r="P16" s="91" t="e">
        <f>'Prudential Ratios'!#REF!</f>
        <v>#REF!</v>
      </c>
      <c r="Q16" s="91" t="e">
        <f>'Prudential Ratios'!#REF!</f>
        <v>#REF!</v>
      </c>
      <c r="R16" s="91" t="e">
        <f>'Prudential Ratios'!#REF!</f>
        <v>#REF!</v>
      </c>
      <c r="S16" s="91" t="e">
        <f>'Prudential Ratios'!#REF!</f>
        <v>#REF!</v>
      </c>
      <c r="T16" s="202" t="e">
        <f>'Prudential Ratios'!#REF!</f>
        <v>#REF!</v>
      </c>
      <c r="U16" s="202" t="e">
        <f>'Prudential Ratios'!#REF!</f>
        <v>#REF!</v>
      </c>
      <c r="V16" s="202" t="e">
        <f>'Prudential Ratios'!#REF!</f>
        <v>#REF!</v>
      </c>
      <c r="W16" s="202" t="e">
        <f>'Prudential Ratios'!#REF!</f>
        <v>#REF!</v>
      </c>
      <c r="X16" s="202" t="e">
        <f>'Prudential Ratios'!#REF!</f>
        <v>#REF!</v>
      </c>
      <c r="Y16" s="202" t="e">
        <f>'Prudential Ratios'!#REF!</f>
        <v>#REF!</v>
      </c>
      <c r="Z16" s="202" t="e">
        <f>'Prudential Ratios'!#REF!</f>
        <v>#REF!</v>
      </c>
      <c r="AA16" s="202" t="e">
        <f>'Prudential Ratios'!#REF!</f>
        <v>#REF!</v>
      </c>
      <c r="AB16" s="202" t="e">
        <f>'Prudential Ratios'!#REF!</f>
        <v>#REF!</v>
      </c>
      <c r="AC16" s="202" t="e">
        <f>'Prudential Ratios'!#REF!</f>
        <v>#REF!</v>
      </c>
      <c r="AD16" s="202" t="e">
        <f>'Prudential Ratios'!#REF!</f>
        <v>#REF!</v>
      </c>
      <c r="AE16" s="202" t="e">
        <f>'Prudential Ratios'!#REF!</f>
        <v>#REF!</v>
      </c>
      <c r="AF16" s="202" t="e">
        <f>'Prudential Ratios'!#REF!</f>
        <v>#REF!</v>
      </c>
      <c r="AG16" s="202" t="e">
        <f>'Prudential Ratios'!#REF!</f>
        <v>#REF!</v>
      </c>
      <c r="AH16" s="202" t="e">
        <f>'Prudential Ratios'!#REF!</f>
        <v>#REF!</v>
      </c>
      <c r="AI16" s="202" t="e">
        <f>'Prudential Ratios'!#REF!</f>
        <v>#REF!</v>
      </c>
      <c r="AJ16" s="202" t="e">
        <f>'Prudential Ratios'!#REF!</f>
        <v>#REF!</v>
      </c>
      <c r="AK16" s="202" t="e">
        <f>'Prudential Ratios'!#REF!</f>
        <v>#REF!</v>
      </c>
      <c r="AL16" s="202" t="e">
        <f>'Prudential Ratios'!#REF!</f>
        <v>#REF!</v>
      </c>
      <c r="AM16" s="202" t="e">
        <f>'Prudential Ratios'!#REF!</f>
        <v>#REF!</v>
      </c>
      <c r="AN16" s="202" t="e">
        <f>'Prudential Ratios'!#REF!</f>
        <v>#REF!</v>
      </c>
      <c r="AO16" s="202" t="e">
        <f>'Prudential Ratios'!#REF!</f>
        <v>#REF!</v>
      </c>
      <c r="AP16" s="202" t="e">
        <f>'Prudential Ratios'!#REF!</f>
        <v>#REF!</v>
      </c>
      <c r="AQ16" s="202" t="e">
        <f>'Prudential Ratios'!#REF!</f>
        <v>#REF!</v>
      </c>
      <c r="AR16" s="202" t="e">
        <f>'Prudential Ratios'!#REF!</f>
        <v>#REF!</v>
      </c>
      <c r="AS16" s="202" t="e">
        <f>'Prudential Ratios'!#REF!</f>
        <v>#REF!</v>
      </c>
      <c r="AT16" s="202" t="e">
        <f>'Prudential Ratios'!#REF!</f>
        <v>#REF!</v>
      </c>
      <c r="AU16" s="202">
        <f>'Prudential Ratios'!E48</f>
        <v>0.22245404068091715</v>
      </c>
      <c r="AV16" s="202">
        <f>'Prudential Ratios'!F48</f>
        <v>0.17417498169835904</v>
      </c>
      <c r="AW16" s="202">
        <f>'Prudential Ratios'!G48</f>
        <v>0.22559477925207627</v>
      </c>
      <c r="AX16" s="202">
        <f>'Prudential Ratios'!H48</f>
        <v>0.14954784731687151</v>
      </c>
      <c r="AY16" s="202">
        <f>'Prudential Ratios'!I48</f>
        <v>0.16459832786041029</v>
      </c>
      <c r="AZ16" s="202">
        <f>'Prudential Ratios'!J48</f>
        <v>0.15143912979168545</v>
      </c>
      <c r="BA16" s="202">
        <f>'Prudential Ratios'!K48</f>
        <v>0.13046478505771739</v>
      </c>
      <c r="BB16" s="202">
        <f>'Prudential Ratios'!L48</f>
        <v>0.14075302672842521</v>
      </c>
      <c r="BC16" s="202">
        <f>'Prudential Ratios'!M48</f>
        <v>0.14566325091405879</v>
      </c>
      <c r="BD16" s="202">
        <f>'Prudential Ratios'!N48</f>
        <v>0.13509318439710541</v>
      </c>
      <c r="BE16" s="202">
        <f>'Prudential Ratios'!O48</f>
        <v>0.14172849470182503</v>
      </c>
      <c r="BF16" s="202">
        <f>'Prudential Ratios'!P48</f>
        <v>0.14347968087211679</v>
      </c>
      <c r="BG16" s="202" t="e">
        <f>'Prudential Ratios'!Q48</f>
        <v>#VALUE!</v>
      </c>
      <c r="BH16" s="202">
        <f>'Prudential Ratios'!R48</f>
        <v>0.21452088729854688</v>
      </c>
      <c r="BI16" s="202">
        <f>'Prudential Ratios'!S48</f>
        <v>0.20990174980311116</v>
      </c>
      <c r="BJ16" s="202">
        <f>'Prudential Ratios'!T48</f>
        <v>0.22519500796368949</v>
      </c>
      <c r="BK16" s="202">
        <f>'Prudential Ratios'!U48</f>
        <v>0.20035691267537409</v>
      </c>
      <c r="BL16" s="202">
        <f>'Prudential Ratios'!V48</f>
        <v>0.17766409240109196</v>
      </c>
      <c r="BM16" s="202">
        <f>'Prudential Ratios'!W48</f>
        <v>0.16744603833735913</v>
      </c>
      <c r="BN16" s="202">
        <f>'Prudential Ratios'!X48</f>
        <v>0.21296703795134928</v>
      </c>
      <c r="BO16" s="202">
        <f>'Prudential Ratios'!Y48</f>
        <v>0.18610578040932824</v>
      </c>
      <c r="BP16" s="202">
        <f>'Prudential Ratios'!Z48</f>
        <v>0.22007770072393523</v>
      </c>
      <c r="BQ16" s="202">
        <f>'Prudential Ratios'!AA48</f>
        <v>0.19423352617530187</v>
      </c>
      <c r="BR16" s="202">
        <f>'Prudential Ratios'!AB48</f>
        <v>0.21569417226014703</v>
      </c>
      <c r="BS16" s="202">
        <f>'Prudential Ratios'!AC48</f>
        <v>0.21146435349410803</v>
      </c>
      <c r="BT16" s="202">
        <f>'Prudential Ratios'!AD48</f>
        <v>0.23330294456943632</v>
      </c>
      <c r="BU16" s="202">
        <f>'Prudential Ratios'!AE48</f>
        <v>0.22845308566957395</v>
      </c>
      <c r="BV16" s="202">
        <f>'Prudential Ratios'!AF48</f>
        <v>0.21512566803744457</v>
      </c>
      <c r="BW16" s="202">
        <f>'Prudential Ratios'!AG48</f>
        <v>0.30815707691528443</v>
      </c>
      <c r="BX16" s="202">
        <f>'Prudential Ratios'!AH48</f>
        <v>0.2708868017709386</v>
      </c>
      <c r="BY16" s="202">
        <f>'Prudential Ratios'!AI48</f>
        <v>0.28396084705583785</v>
      </c>
      <c r="BZ16" s="202">
        <f>'Prudential Ratios'!AJ48</f>
        <v>0.2558580573958768</v>
      </c>
      <c r="CA16" s="202">
        <f>'Prudential Ratios'!AK48</f>
        <v>0.2382856232783136</v>
      </c>
    </row>
    <row r="17" spans="2:79" ht="15">
      <c r="B17" s="90" t="s">
        <v>107</v>
      </c>
      <c r="C17" s="97" t="s">
        <v>57</v>
      </c>
      <c r="D17" s="91" t="e">
        <f>'Prudential Ratios'!#REF!</f>
        <v>#REF!</v>
      </c>
      <c r="E17" s="91" t="e">
        <f>'Prudential Ratios'!#REF!</f>
        <v>#REF!</v>
      </c>
      <c r="F17" s="91" t="e">
        <f>'Prudential Ratios'!#REF!</f>
        <v>#REF!</v>
      </c>
      <c r="G17" s="91" t="e">
        <f>'Prudential Ratios'!#REF!</f>
        <v>#REF!</v>
      </c>
      <c r="H17" s="91" t="e">
        <f>'Prudential Ratios'!#REF!</f>
        <v>#REF!</v>
      </c>
      <c r="I17" s="91" t="e">
        <f>'Prudential Ratios'!#REF!</f>
        <v>#REF!</v>
      </c>
      <c r="J17" s="91" t="e">
        <f>'Prudential Ratios'!#REF!</f>
        <v>#REF!</v>
      </c>
      <c r="K17" s="91" t="e">
        <f>'Prudential Ratios'!#REF!</f>
        <v>#REF!</v>
      </c>
      <c r="L17" s="91" t="e">
        <f>'Prudential Ratios'!#REF!</f>
        <v>#REF!</v>
      </c>
      <c r="M17" s="91" t="e">
        <f>'Prudential Ratios'!#REF!</f>
        <v>#REF!</v>
      </c>
      <c r="N17" s="91" t="e">
        <f>'Prudential Ratios'!#REF!</f>
        <v>#REF!</v>
      </c>
      <c r="O17" s="91" t="e">
        <f>'Prudential Ratios'!#REF!</f>
        <v>#REF!</v>
      </c>
      <c r="P17" s="91" t="e">
        <f>'Prudential Ratios'!#REF!</f>
        <v>#REF!</v>
      </c>
      <c r="Q17" s="91" t="e">
        <f>'Prudential Ratios'!#REF!</f>
        <v>#REF!</v>
      </c>
      <c r="R17" s="91" t="e">
        <f>'Prudential Ratios'!#REF!</f>
        <v>#REF!</v>
      </c>
      <c r="S17" s="91" t="e">
        <f>'Prudential Ratios'!#REF!</f>
        <v>#REF!</v>
      </c>
      <c r="T17" s="202" t="e">
        <f>'Prudential Ratios'!#REF!</f>
        <v>#REF!</v>
      </c>
      <c r="U17" s="202" t="e">
        <f>'Prudential Ratios'!#REF!</f>
        <v>#REF!</v>
      </c>
      <c r="V17" s="202" t="e">
        <f>'Prudential Ratios'!#REF!</f>
        <v>#REF!</v>
      </c>
      <c r="W17" s="202" t="e">
        <f>'Prudential Ratios'!#REF!</f>
        <v>#REF!</v>
      </c>
      <c r="X17" s="202" t="e">
        <f>'Prudential Ratios'!#REF!</f>
        <v>#REF!</v>
      </c>
      <c r="Y17" s="202" t="e">
        <f>'Prudential Ratios'!#REF!</f>
        <v>#REF!</v>
      </c>
      <c r="Z17" s="202" t="e">
        <f>'Prudential Ratios'!#REF!</f>
        <v>#REF!</v>
      </c>
      <c r="AA17" s="202" t="e">
        <f>'Prudential Ratios'!#REF!</f>
        <v>#REF!</v>
      </c>
      <c r="AB17" s="202" t="e">
        <f>'Prudential Ratios'!#REF!</f>
        <v>#REF!</v>
      </c>
      <c r="AC17" s="202" t="e">
        <f>'Prudential Ratios'!#REF!</f>
        <v>#REF!</v>
      </c>
      <c r="AD17" s="202" t="e">
        <f>'Prudential Ratios'!#REF!</f>
        <v>#REF!</v>
      </c>
      <c r="AE17" s="202" t="e">
        <f>'Prudential Ratios'!#REF!</f>
        <v>#REF!</v>
      </c>
      <c r="AF17" s="202" t="e">
        <f>'Prudential Ratios'!#REF!</f>
        <v>#REF!</v>
      </c>
      <c r="AG17" s="202" t="e">
        <f>'Prudential Ratios'!#REF!</f>
        <v>#REF!</v>
      </c>
      <c r="AH17" s="202" t="e">
        <f>'Prudential Ratios'!#REF!</f>
        <v>#REF!</v>
      </c>
      <c r="AI17" s="202" t="e">
        <f>'Prudential Ratios'!#REF!</f>
        <v>#REF!</v>
      </c>
      <c r="AJ17" s="202" t="e">
        <f>'Prudential Ratios'!#REF!</f>
        <v>#REF!</v>
      </c>
      <c r="AK17" s="202" t="e">
        <f>'Prudential Ratios'!#REF!</f>
        <v>#REF!</v>
      </c>
      <c r="AL17" s="202" t="e">
        <f>'Prudential Ratios'!#REF!</f>
        <v>#REF!</v>
      </c>
      <c r="AM17" s="202" t="e">
        <f>'Prudential Ratios'!#REF!</f>
        <v>#REF!</v>
      </c>
      <c r="AN17" s="202" t="e">
        <f>'Prudential Ratios'!#REF!</f>
        <v>#REF!</v>
      </c>
      <c r="AO17" s="202" t="e">
        <f>'Prudential Ratios'!#REF!</f>
        <v>#REF!</v>
      </c>
      <c r="AP17" s="202" t="e">
        <f>'Prudential Ratios'!#REF!</f>
        <v>#REF!</v>
      </c>
      <c r="AQ17" s="202" t="e">
        <f>'Prudential Ratios'!#REF!</f>
        <v>#REF!</v>
      </c>
      <c r="AR17" s="202" t="e">
        <f>'Prudential Ratios'!#REF!</f>
        <v>#REF!</v>
      </c>
      <c r="AS17" s="202" t="e">
        <f>'Prudential Ratios'!#REF!</f>
        <v>#REF!</v>
      </c>
      <c r="AT17" s="202" t="e">
        <f>'Prudential Ratios'!#REF!</f>
        <v>#REF!</v>
      </c>
      <c r="AU17" s="202">
        <f>'Prudential Ratios'!E27</f>
        <v>0</v>
      </c>
      <c r="AV17" s="202">
        <f>'Prudential Ratios'!F27</f>
        <v>0</v>
      </c>
      <c r="AW17" s="202">
        <f>'Prudential Ratios'!G27</f>
        <v>0</v>
      </c>
      <c r="AX17" s="202">
        <f>'Prudential Ratios'!H27</f>
        <v>0</v>
      </c>
      <c r="AY17" s="202">
        <f>'Prudential Ratios'!I27</f>
        <v>0</v>
      </c>
      <c r="AZ17" s="202">
        <f>'Prudential Ratios'!J27</f>
        <v>0</v>
      </c>
      <c r="BA17" s="202">
        <f>'Prudential Ratios'!K27</f>
        <v>0</v>
      </c>
      <c r="BB17" s="202">
        <f>'Prudential Ratios'!L27</f>
        <v>0</v>
      </c>
      <c r="BC17" s="202">
        <f>'Prudential Ratios'!M27</f>
        <v>0</v>
      </c>
      <c r="BD17" s="202">
        <f>'Prudential Ratios'!N27</f>
        <v>0</v>
      </c>
      <c r="BE17" s="202">
        <f>'Prudential Ratios'!O27</f>
        <v>0</v>
      </c>
      <c r="BF17" s="202">
        <f>'Prudential Ratios'!P27</f>
        <v>0</v>
      </c>
      <c r="BG17" s="202">
        <f>'Prudential Ratios'!Q27</f>
        <v>0</v>
      </c>
      <c r="BH17" s="202">
        <f>'Prudential Ratios'!R27</f>
        <v>7.3123165409246888E-3</v>
      </c>
      <c r="BI17" s="202">
        <f>'Prudential Ratios'!S27</f>
        <v>6.1462747242993334E-3</v>
      </c>
      <c r="BJ17" s="202">
        <f>'Prudential Ratios'!T27</f>
        <v>4.867672539596044E-3</v>
      </c>
      <c r="BK17" s="202">
        <f>'Prudential Ratios'!U27</f>
        <v>3.6963945212275949E-3</v>
      </c>
      <c r="BL17" s="202">
        <f>'Prudential Ratios'!V27</f>
        <v>2.4651797300515284E-3</v>
      </c>
      <c r="BM17" s="202">
        <f>'Prudential Ratios'!W27</f>
        <v>1.1504458923215328E-3</v>
      </c>
      <c r="BN17" s="202">
        <f>'Prudential Ratios'!X27</f>
        <v>5.4734455247673786E-2</v>
      </c>
      <c r="BO17" s="202">
        <f>'Prudential Ratios'!Y27</f>
        <v>5.4741658658703132E-2</v>
      </c>
      <c r="BP17" s="202">
        <f>'Prudential Ratios'!Z27</f>
        <v>4.4812729791244753E-2</v>
      </c>
      <c r="BQ17" s="202">
        <f>'Prudential Ratios'!AA27</f>
        <v>4.0618299355320381E-2</v>
      </c>
      <c r="BR17" s="202">
        <f>'Prudential Ratios'!AB27</f>
        <v>3.6147289493987982E-2</v>
      </c>
      <c r="BS17" s="202">
        <f>'Prudential Ratios'!AC27</f>
        <v>3.1695692333060146E-2</v>
      </c>
      <c r="BT17" s="202">
        <f>'Prudential Ratios'!AD27</f>
        <v>3.1725756354230548E-2</v>
      </c>
      <c r="BU17" s="202">
        <f>'Prudential Ratios'!AE27</f>
        <v>2.6103328047173784E-2</v>
      </c>
      <c r="BV17" s="202">
        <f>'Prudential Ratios'!AF27</f>
        <v>2.1261991486476665E-2</v>
      </c>
      <c r="BW17" s="202">
        <f>'Prudential Ratios'!AG27</f>
        <v>6.4368919901826485E-2</v>
      </c>
      <c r="BX17" s="202">
        <f>'Prudential Ratios'!AH27</f>
        <v>6.2916923359848276E-2</v>
      </c>
      <c r="BY17" s="202">
        <f>'Prudential Ratios'!AI27</f>
        <v>6.3504390422044268E-2</v>
      </c>
      <c r="BZ17" s="202">
        <f>'Prudential Ratios'!AJ27</f>
        <v>5.6047746083678934E-2</v>
      </c>
      <c r="CA17" s="202">
        <f>'Prudential Ratios'!AK27</f>
        <v>5.0922089521153208E-2</v>
      </c>
    </row>
    <row r="18" spans="2:79" ht="15">
      <c r="B18" s="90" t="s">
        <v>108</v>
      </c>
      <c r="C18" s="88"/>
      <c r="D18" s="91" t="e">
        <f>'Prudential Ratios'!#REF!</f>
        <v>#REF!</v>
      </c>
      <c r="E18" s="91" t="e">
        <f>'Prudential Ratios'!#REF!</f>
        <v>#REF!</v>
      </c>
      <c r="F18" s="91" t="e">
        <f>'Prudential Ratios'!#REF!</f>
        <v>#REF!</v>
      </c>
      <c r="G18" s="91" t="e">
        <f>'Prudential Ratios'!#REF!</f>
        <v>#REF!</v>
      </c>
      <c r="H18" s="91" t="e">
        <f>'Prudential Ratios'!#REF!</f>
        <v>#REF!</v>
      </c>
      <c r="I18" s="91" t="e">
        <f>'Prudential Ratios'!#REF!</f>
        <v>#REF!</v>
      </c>
      <c r="J18" s="91" t="e">
        <f>'Prudential Ratios'!#REF!</f>
        <v>#REF!</v>
      </c>
      <c r="K18" s="91" t="e">
        <f>'Prudential Ratios'!#REF!</f>
        <v>#REF!</v>
      </c>
      <c r="L18" s="91" t="e">
        <f>'Prudential Ratios'!#REF!</f>
        <v>#REF!</v>
      </c>
      <c r="M18" s="91" t="e">
        <f>'Prudential Ratios'!#REF!</f>
        <v>#REF!</v>
      </c>
      <c r="N18" s="91" t="e">
        <f>'Prudential Ratios'!#REF!</f>
        <v>#REF!</v>
      </c>
      <c r="O18" s="91" t="e">
        <f>'Prudential Ratios'!#REF!</f>
        <v>#REF!</v>
      </c>
      <c r="P18" s="91" t="e">
        <f>'Prudential Ratios'!#REF!</f>
        <v>#REF!</v>
      </c>
      <c r="Q18" s="91" t="e">
        <f>'Prudential Ratios'!#REF!</f>
        <v>#REF!</v>
      </c>
      <c r="R18" s="91" t="e">
        <f>'Prudential Ratios'!#REF!</f>
        <v>#REF!</v>
      </c>
      <c r="S18" s="91" t="e">
        <f>'Prudential Ratios'!#REF!</f>
        <v>#REF!</v>
      </c>
      <c r="T18" s="202" t="e">
        <f>'Prudential Ratios'!#REF!</f>
        <v>#REF!</v>
      </c>
      <c r="U18" s="202" t="e">
        <f>'Prudential Ratios'!#REF!</f>
        <v>#REF!</v>
      </c>
      <c r="V18" s="202" t="e">
        <f>'Prudential Ratios'!#REF!</f>
        <v>#REF!</v>
      </c>
      <c r="W18" s="202" t="e">
        <f>'Prudential Ratios'!#REF!</f>
        <v>#REF!</v>
      </c>
      <c r="X18" s="202" t="e">
        <f>'Prudential Ratios'!#REF!</f>
        <v>#REF!</v>
      </c>
      <c r="Y18" s="202" t="e">
        <f>'Prudential Ratios'!#REF!</f>
        <v>#REF!</v>
      </c>
      <c r="Z18" s="202" t="e">
        <f>'Prudential Ratios'!#REF!</f>
        <v>#REF!</v>
      </c>
      <c r="AA18" s="202" t="e">
        <f>'Prudential Ratios'!#REF!</f>
        <v>#REF!</v>
      </c>
      <c r="AB18" s="202" t="e">
        <f>'Prudential Ratios'!#REF!</f>
        <v>#REF!</v>
      </c>
      <c r="AC18" s="202" t="e">
        <f>'Prudential Ratios'!#REF!</f>
        <v>#REF!</v>
      </c>
      <c r="AD18" s="202" t="e">
        <f>'Prudential Ratios'!#REF!</f>
        <v>#REF!</v>
      </c>
      <c r="AE18" s="202" t="e">
        <f>'Prudential Ratios'!#REF!</f>
        <v>#REF!</v>
      </c>
      <c r="AF18" s="202" t="e">
        <f>'Prudential Ratios'!#REF!</f>
        <v>#REF!</v>
      </c>
      <c r="AG18" s="202" t="e">
        <f>'Prudential Ratios'!#REF!</f>
        <v>#REF!</v>
      </c>
      <c r="AH18" s="202" t="e">
        <f>'Prudential Ratios'!#REF!</f>
        <v>#REF!</v>
      </c>
      <c r="AI18" s="202" t="e">
        <f>'Prudential Ratios'!#REF!</f>
        <v>#REF!</v>
      </c>
      <c r="AJ18" s="202" t="e">
        <f>'Prudential Ratios'!#REF!</f>
        <v>#REF!</v>
      </c>
      <c r="AK18" s="202" t="e">
        <f>'Prudential Ratios'!#REF!</f>
        <v>#REF!</v>
      </c>
      <c r="AL18" s="202" t="e">
        <f>'Prudential Ratios'!#REF!</f>
        <v>#REF!</v>
      </c>
      <c r="AM18" s="202" t="e">
        <f>'Prudential Ratios'!#REF!</f>
        <v>#REF!</v>
      </c>
      <c r="AN18" s="202" t="e">
        <f>'Prudential Ratios'!#REF!</f>
        <v>#REF!</v>
      </c>
      <c r="AO18" s="202" t="e">
        <f>'Prudential Ratios'!#REF!</f>
        <v>#REF!</v>
      </c>
      <c r="AP18" s="202" t="e">
        <f>'Prudential Ratios'!#REF!</f>
        <v>#REF!</v>
      </c>
      <c r="AQ18" s="202" t="e">
        <f>'Prudential Ratios'!#REF!</f>
        <v>#REF!</v>
      </c>
      <c r="AR18" s="202" t="e">
        <f>'Prudential Ratios'!#REF!</f>
        <v>#REF!</v>
      </c>
      <c r="AS18" s="202" t="e">
        <f>'Prudential Ratios'!#REF!</f>
        <v>#REF!</v>
      </c>
      <c r="AT18" s="202" t="e">
        <f>'Prudential Ratios'!#REF!</f>
        <v>#REF!</v>
      </c>
      <c r="AU18" s="202">
        <f>'Prudential Ratios'!E58</f>
        <v>0.18018136069086343</v>
      </c>
      <c r="AV18" s="202">
        <f>'Prudential Ratios'!F58</f>
        <v>1.3642636883859096</v>
      </c>
      <c r="AW18" s="202">
        <f>'Prudential Ratios'!G58</f>
        <v>1.6785873787178323</v>
      </c>
      <c r="AX18" s="202">
        <f>'Prudential Ratios'!H58</f>
        <v>1.0069073326077767</v>
      </c>
      <c r="AY18" s="202">
        <f>'Prudential Ratios'!I58</f>
        <v>1.3124841395089317</v>
      </c>
      <c r="AZ18" s="202">
        <f>'Prudential Ratios'!J58</f>
        <v>1.1376104627216113</v>
      </c>
      <c r="BA18" s="202">
        <f>'Prudential Ratios'!K58</f>
        <v>1.03898208183583</v>
      </c>
      <c r="BB18" s="202">
        <f>'Prudential Ratios'!L58</f>
        <v>1.2075787112491432</v>
      </c>
      <c r="BC18" s="202">
        <f>'Prudential Ratios'!M58</f>
        <v>1.1951778524617365</v>
      </c>
      <c r="BD18" s="202">
        <f>'Prudential Ratios'!N58</f>
        <v>1.1056569107186676</v>
      </c>
      <c r="BE18" s="202">
        <f>'Prudential Ratios'!O58</f>
        <v>1.152053030326013</v>
      </c>
      <c r="BF18" s="202">
        <f>'Prudential Ratios'!P58</f>
        <v>1.218314593892732</v>
      </c>
      <c r="BG18" s="202">
        <f>'Prudential Ratios'!Q58</f>
        <v>1.2892623011002686</v>
      </c>
      <c r="BH18" s="202">
        <f>'Prudential Ratios'!R58</f>
        <v>0.17413280152343594</v>
      </c>
      <c r="BI18" s="202">
        <f>'Prudential Ratios'!S58</f>
        <v>0.16304981696636969</v>
      </c>
      <c r="BJ18" s="202">
        <f>'Prudential Ratios'!T58</f>
        <v>0.17505109405295435</v>
      </c>
      <c r="BK18" s="202">
        <f>'Prudential Ratios'!U58</f>
        <v>0.15432724649454455</v>
      </c>
      <c r="BL18" s="202">
        <f>'Prudential Ratios'!V58</f>
        <v>0.14463460125826549</v>
      </c>
      <c r="BM18" s="202">
        <f>'Prudential Ratios'!W58</f>
        <v>0.13531791497610141</v>
      </c>
      <c r="BN18" s="202">
        <f>'Prudential Ratios'!X58</f>
        <v>0.16252540935175716</v>
      </c>
      <c r="BO18" s="202">
        <f>'Prudential Ratios'!Y58</f>
        <v>0.14142954740608316</v>
      </c>
      <c r="BP18" s="202">
        <f>'Prudential Ratios'!Z58</f>
        <v>0.16909128262314158</v>
      </c>
      <c r="BQ18" s="202">
        <f>'Prudential Ratios'!AA58</f>
        <v>0.14953303149263386</v>
      </c>
      <c r="BR18" s="202">
        <f>'Prudential Ratios'!AB58</f>
        <v>0.16626049597475279</v>
      </c>
      <c r="BS18" s="202">
        <f>'Prudential Ratios'!AC58</f>
        <v>0.16099913403103325</v>
      </c>
      <c r="BT18" s="202">
        <f>'Prudential Ratios'!AD58</f>
        <v>0.17703093887421473</v>
      </c>
      <c r="BU18" s="202">
        <f>'Prudential Ratios'!AE58</f>
        <v>0.18268027334870515</v>
      </c>
      <c r="BV18" s="202">
        <f>'Prudential Ratios'!AF58</f>
        <v>0.1754397404488969</v>
      </c>
      <c r="BW18" s="202">
        <f>'Prudential Ratios'!AG58</f>
        <v>0.23848065670594035</v>
      </c>
      <c r="BX18" s="202">
        <f>'Prudential Ratios'!AH58</f>
        <v>0.20709982337674326</v>
      </c>
      <c r="BY18" s="202">
        <f>'Prudential Ratios'!AI58</f>
        <v>0.2158438099711622</v>
      </c>
      <c r="BZ18" s="202">
        <f>'Prudential Ratios'!AJ58</f>
        <v>0.19513133674020897</v>
      </c>
      <c r="CA18" s="202">
        <f>'Prudential Ratios'!AK58</f>
        <v>0.18254910083026268</v>
      </c>
    </row>
    <row r="19" spans="2:79" ht="15">
      <c r="B19" s="99" t="s">
        <v>109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79" ht="15">
      <c r="B20" s="90" t="s">
        <v>110</v>
      </c>
      <c r="C20" s="97" t="s">
        <v>34</v>
      </c>
      <c r="D20" s="91" t="e">
        <f>'Prudential Ratios'!#REF!</f>
        <v>#REF!</v>
      </c>
      <c r="E20" s="91" t="e">
        <f>'Prudential Ratios'!#REF!</f>
        <v>#REF!</v>
      </c>
      <c r="F20" s="91" t="e">
        <f>'Prudential Ratios'!#REF!</f>
        <v>#REF!</v>
      </c>
      <c r="G20" s="91" t="e">
        <f>'Prudential Ratios'!#REF!</f>
        <v>#REF!</v>
      </c>
      <c r="H20" s="91" t="e">
        <f>'Prudential Ratios'!#REF!</f>
        <v>#REF!</v>
      </c>
      <c r="I20" s="91" t="e">
        <f>'Prudential Ratios'!#REF!</f>
        <v>#REF!</v>
      </c>
      <c r="J20" s="91" t="e">
        <f>'Prudential Ratios'!#REF!</f>
        <v>#REF!</v>
      </c>
      <c r="K20" s="91" t="e">
        <f>'Prudential Ratios'!#REF!</f>
        <v>#REF!</v>
      </c>
      <c r="L20" s="91" t="e">
        <f>'Prudential Ratios'!#REF!</f>
        <v>#REF!</v>
      </c>
      <c r="M20" s="91" t="e">
        <f>'Prudential Ratios'!#REF!</f>
        <v>#REF!</v>
      </c>
      <c r="N20" s="91" t="e">
        <f>'Prudential Ratios'!#REF!</f>
        <v>#REF!</v>
      </c>
      <c r="O20" s="91" t="e">
        <f>'Prudential Ratios'!#REF!</f>
        <v>#REF!</v>
      </c>
      <c r="P20" s="91" t="e">
        <f>'Prudential Ratios'!#REF!</f>
        <v>#REF!</v>
      </c>
      <c r="Q20" s="91" t="e">
        <f>'Prudential Ratios'!#REF!</f>
        <v>#REF!</v>
      </c>
      <c r="R20" s="91" t="e">
        <f>'Prudential Ratios'!#REF!</f>
        <v>#REF!</v>
      </c>
      <c r="S20" s="91" t="e">
        <f>'Prudential Ratios'!#REF!</f>
        <v>#REF!</v>
      </c>
      <c r="T20" s="202" t="e">
        <f>'Prudential Ratios'!#REF!</f>
        <v>#REF!</v>
      </c>
      <c r="U20" s="202" t="e">
        <f>'Prudential Ratios'!#REF!</f>
        <v>#REF!</v>
      </c>
      <c r="V20" s="202" t="e">
        <f>'Prudential Ratios'!#REF!</f>
        <v>#REF!</v>
      </c>
      <c r="W20" s="202" t="e">
        <f>'Prudential Ratios'!#REF!</f>
        <v>#REF!</v>
      </c>
      <c r="X20" s="202" t="e">
        <f>'Prudential Ratios'!#REF!</f>
        <v>#REF!</v>
      </c>
      <c r="Y20" s="202" t="e">
        <f>'Prudential Ratios'!#REF!</f>
        <v>#REF!</v>
      </c>
      <c r="Z20" s="202" t="e">
        <f>'Prudential Ratios'!#REF!</f>
        <v>#REF!</v>
      </c>
      <c r="AA20" s="202" t="e">
        <f>'Prudential Ratios'!#REF!</f>
        <v>#REF!</v>
      </c>
      <c r="AB20" s="202" t="e">
        <f>'Prudential Ratios'!#REF!</f>
        <v>#REF!</v>
      </c>
      <c r="AC20" s="202" t="e">
        <f>'Prudential Ratios'!#REF!</f>
        <v>#REF!</v>
      </c>
      <c r="AD20" s="202" t="e">
        <f>'Prudential Ratios'!#REF!</f>
        <v>#REF!</v>
      </c>
      <c r="AE20" s="202" t="e">
        <f>'Prudential Ratios'!#REF!</f>
        <v>#REF!</v>
      </c>
      <c r="AF20" s="202" t="e">
        <f>'Prudential Ratios'!#REF!</f>
        <v>#REF!</v>
      </c>
      <c r="AG20" s="202" t="e">
        <f>'Prudential Ratios'!#REF!</f>
        <v>#REF!</v>
      </c>
      <c r="AH20" s="202" t="e">
        <f>'Prudential Ratios'!#REF!</f>
        <v>#REF!</v>
      </c>
      <c r="AI20" s="202" t="e">
        <f>'Prudential Ratios'!#REF!</f>
        <v>#REF!</v>
      </c>
      <c r="AJ20" s="202" t="e">
        <f>'Prudential Ratios'!#REF!</f>
        <v>#REF!</v>
      </c>
      <c r="AK20" s="202" t="e">
        <f>'Prudential Ratios'!#REF!</f>
        <v>#REF!</v>
      </c>
      <c r="AL20" s="202" t="e">
        <f>'Prudential Ratios'!#REF!</f>
        <v>#REF!</v>
      </c>
      <c r="AM20" s="202" t="e">
        <f>'Prudential Ratios'!#REF!</f>
        <v>#REF!</v>
      </c>
      <c r="AN20" s="202" t="e">
        <f>'Prudential Ratios'!#REF!</f>
        <v>#REF!</v>
      </c>
      <c r="AO20" s="202" t="e">
        <f>'Prudential Ratios'!#REF!</f>
        <v>#REF!</v>
      </c>
      <c r="AP20" s="202" t="e">
        <f>'Prudential Ratios'!#REF!</f>
        <v>#REF!</v>
      </c>
      <c r="AQ20" s="202" t="e">
        <f>'Prudential Ratios'!#REF!</f>
        <v>#REF!</v>
      </c>
      <c r="AR20" s="202" t="e">
        <f>'Prudential Ratios'!#REF!</f>
        <v>#REF!</v>
      </c>
      <c r="AS20" s="202" t="e">
        <f>'Prudential Ratios'!#REF!</f>
        <v>#REF!</v>
      </c>
      <c r="AT20" s="202" t="e">
        <f>'Prudential Ratios'!#REF!</f>
        <v>#REF!</v>
      </c>
      <c r="AU20" s="202">
        <f>'Prudential Ratios'!E14</f>
        <v>0.12852221526612051</v>
      </c>
      <c r="AV20" s="202">
        <f>'Prudential Ratios'!F14</f>
        <v>10.384984634690056</v>
      </c>
      <c r="AW20" s="202">
        <f>'Prudential Ratios'!G14</f>
        <v>9.6357278496702001</v>
      </c>
      <c r="AX20" s="202">
        <f>'Prudential Ratios'!H14</f>
        <v>9.6793190799440172</v>
      </c>
      <c r="AY20" s="202">
        <f>'Prudential Ratios'!I14</f>
        <v>9.9006136656337258</v>
      </c>
      <c r="AZ20" s="202">
        <f>'Prudential Ratios'!J14</f>
        <v>10.881615357197861</v>
      </c>
      <c r="BA20" s="202">
        <f>'Prudential Ratios'!K14</f>
        <v>10.188673669718161</v>
      </c>
      <c r="BB20" s="202">
        <f>'Prudential Ratios'!L14</f>
        <v>10.851818437364367</v>
      </c>
      <c r="BC20" s="202">
        <f>'Prudential Ratios'!M14</f>
        <v>10.416080264337277</v>
      </c>
      <c r="BD20" s="202">
        <f>'Prudential Ratios'!N14</f>
        <v>10.648543521840702</v>
      </c>
      <c r="BE20" s="202">
        <f>'Prudential Ratios'!O14</f>
        <v>10.362024676969368</v>
      </c>
      <c r="BF20" s="202">
        <f>'Prudential Ratios'!P14</f>
        <v>10.891736904836952</v>
      </c>
      <c r="BG20" s="202" t="e">
        <f>'Prudential Ratios'!Q14</f>
        <v>#VALUE!</v>
      </c>
      <c r="BH20" s="202">
        <f>'Prudential Ratios'!R14</f>
        <v>0.17425823212650127</v>
      </c>
      <c r="BI20" s="202">
        <f>'Prudential Ratios'!S14</f>
        <v>0.17709866048382103</v>
      </c>
      <c r="BJ20" s="202">
        <f>'Prudential Ratios'!T14</f>
        <v>0.17511233710336646</v>
      </c>
      <c r="BK20" s="202">
        <f>'Prudential Ratios'!U14</f>
        <v>0.17439566049080729</v>
      </c>
      <c r="BL20" s="202">
        <f>'Prudential Ratios'!V14</f>
        <v>0.18548120648347916</v>
      </c>
      <c r="BM20" s="202">
        <f>'Prudential Ratios'!W14</f>
        <v>0.18704608476841947</v>
      </c>
      <c r="BN20" s="202">
        <f>'Prudential Ratios'!X14</f>
        <v>0.20207498168776833</v>
      </c>
      <c r="BO20" s="202">
        <f>'Prudential Ratios'!Y14</f>
        <v>0.22652487948935257</v>
      </c>
      <c r="BP20" s="202">
        <f>'Prudential Ratios'!Z14</f>
        <v>0.18980997110727219</v>
      </c>
      <c r="BQ20" s="202">
        <f>'Prudential Ratios'!AA14</f>
        <v>0.19391044040068461</v>
      </c>
      <c r="BR20" s="202">
        <f>'Prudential Ratios'!AB14</f>
        <v>0.17280975749112407</v>
      </c>
      <c r="BS20" s="202">
        <f>'Prudential Ratios'!AC14</f>
        <v>0.20242397535654233</v>
      </c>
      <c r="BT20" s="202">
        <f>'Prudential Ratios'!AD14</f>
        <v>0.17853550470552579</v>
      </c>
      <c r="BU20" s="202">
        <f>'Prudential Ratios'!AE14</f>
        <v>0.22526577215471691</v>
      </c>
      <c r="BV20" s="202">
        <f>'Prudential Ratios'!AF14</f>
        <v>0.20444772072925024</v>
      </c>
      <c r="BW20" s="202">
        <f>'Prudential Ratios'!AG14</f>
        <v>0.17032598553837999</v>
      </c>
      <c r="BX20" s="202">
        <f>'Prudential Ratios'!AH14</f>
        <v>0.1892027577584828</v>
      </c>
      <c r="BY20" s="202">
        <f>'Prudential Ratios'!AI14</f>
        <v>0.18961511626601729</v>
      </c>
      <c r="BZ20" s="202">
        <f>'Prudential Ratios'!AJ14</f>
        <v>0.18889803996604765</v>
      </c>
      <c r="CA20" s="202">
        <f>'Prudential Ratios'!AK14</f>
        <v>0.20864098432781442</v>
      </c>
    </row>
    <row r="21" spans="2:79" ht="15">
      <c r="B21" s="90" t="s">
        <v>111</v>
      </c>
      <c r="C21" s="97" t="s">
        <v>37</v>
      </c>
      <c r="D21" s="91" t="e">
        <f>'Prudential Ratios'!#REF!</f>
        <v>#REF!</v>
      </c>
      <c r="E21" s="91" t="e">
        <f>'Prudential Ratios'!#REF!</f>
        <v>#REF!</v>
      </c>
      <c r="F21" s="91" t="e">
        <f>'Prudential Ratios'!#REF!</f>
        <v>#REF!</v>
      </c>
      <c r="G21" s="91" t="e">
        <f>'Prudential Ratios'!#REF!</f>
        <v>#REF!</v>
      </c>
      <c r="H21" s="91" t="e">
        <f>'Prudential Ratios'!#REF!</f>
        <v>#REF!</v>
      </c>
      <c r="I21" s="91" t="e">
        <f>'Prudential Ratios'!#REF!</f>
        <v>#REF!</v>
      </c>
      <c r="J21" s="91" t="e">
        <f>'Prudential Ratios'!#REF!</f>
        <v>#REF!</v>
      </c>
      <c r="K21" s="91" t="e">
        <f>'Prudential Ratios'!#REF!</f>
        <v>#REF!</v>
      </c>
      <c r="L21" s="91" t="e">
        <f>'Prudential Ratios'!#REF!</f>
        <v>#REF!</v>
      </c>
      <c r="M21" s="91" t="e">
        <f>'Prudential Ratios'!#REF!</f>
        <v>#REF!</v>
      </c>
      <c r="N21" s="91" t="e">
        <f>'Prudential Ratios'!#REF!</f>
        <v>#REF!</v>
      </c>
      <c r="O21" s="91" t="e">
        <f>'Prudential Ratios'!#REF!</f>
        <v>#REF!</v>
      </c>
      <c r="P21" s="91" t="e">
        <f>'Prudential Ratios'!#REF!</f>
        <v>#REF!</v>
      </c>
      <c r="Q21" s="91" t="e">
        <f>'Prudential Ratios'!#REF!</f>
        <v>#REF!</v>
      </c>
      <c r="R21" s="91" t="e">
        <f>'Prudential Ratios'!#REF!</f>
        <v>#REF!</v>
      </c>
      <c r="S21" s="91" t="e">
        <f>'Prudential Ratios'!#REF!</f>
        <v>#REF!</v>
      </c>
      <c r="T21" s="202" t="e">
        <f>'Prudential Ratios'!#REF!</f>
        <v>#REF!</v>
      </c>
      <c r="U21" s="202" t="e">
        <f>'Prudential Ratios'!#REF!</f>
        <v>#REF!</v>
      </c>
      <c r="V21" s="202" t="e">
        <f>'Prudential Ratios'!#REF!</f>
        <v>#REF!</v>
      </c>
      <c r="W21" s="202" t="e">
        <f>'Prudential Ratios'!#REF!</f>
        <v>#REF!</v>
      </c>
      <c r="X21" s="202" t="e">
        <f>'Prudential Ratios'!#REF!</f>
        <v>#REF!</v>
      </c>
      <c r="Y21" s="202" t="e">
        <f>'Prudential Ratios'!#REF!</f>
        <v>#REF!</v>
      </c>
      <c r="Z21" s="202" t="e">
        <f>'Prudential Ratios'!#REF!</f>
        <v>#REF!</v>
      </c>
      <c r="AA21" s="202" t="e">
        <f>'Prudential Ratios'!#REF!</f>
        <v>#REF!</v>
      </c>
      <c r="AB21" s="202" t="e">
        <f>'Prudential Ratios'!#REF!</f>
        <v>#REF!</v>
      </c>
      <c r="AC21" s="202" t="e">
        <f>'Prudential Ratios'!#REF!</f>
        <v>#REF!</v>
      </c>
      <c r="AD21" s="202" t="e">
        <f>'Prudential Ratios'!#REF!</f>
        <v>#REF!</v>
      </c>
      <c r="AE21" s="202" t="e">
        <f>'Prudential Ratios'!#REF!</f>
        <v>#REF!</v>
      </c>
      <c r="AF21" s="202" t="e">
        <f>'Prudential Ratios'!#REF!</f>
        <v>#REF!</v>
      </c>
      <c r="AG21" s="202" t="e">
        <f>'Prudential Ratios'!#REF!</f>
        <v>#REF!</v>
      </c>
      <c r="AH21" s="202" t="e">
        <f>'Prudential Ratios'!#REF!</f>
        <v>#REF!</v>
      </c>
      <c r="AI21" s="202" t="e">
        <f>'Prudential Ratios'!#REF!</f>
        <v>#REF!</v>
      </c>
      <c r="AJ21" s="202" t="e">
        <f>'Prudential Ratios'!#REF!</f>
        <v>#REF!</v>
      </c>
      <c r="AK21" s="202" t="e">
        <f>'Prudential Ratios'!#REF!</f>
        <v>#REF!</v>
      </c>
      <c r="AL21" s="202" t="e">
        <f>'Prudential Ratios'!#REF!</f>
        <v>#REF!</v>
      </c>
      <c r="AM21" s="202" t="e">
        <f>'Prudential Ratios'!#REF!</f>
        <v>#REF!</v>
      </c>
      <c r="AN21" s="202" t="e">
        <f>'Prudential Ratios'!#REF!</f>
        <v>#REF!</v>
      </c>
      <c r="AO21" s="202" t="e">
        <f>'Prudential Ratios'!#REF!</f>
        <v>#REF!</v>
      </c>
      <c r="AP21" s="202" t="e">
        <f>'Prudential Ratios'!#REF!</f>
        <v>#REF!</v>
      </c>
      <c r="AQ21" s="202" t="e">
        <f>'Prudential Ratios'!#REF!</f>
        <v>#REF!</v>
      </c>
      <c r="AR21" s="202" t="e">
        <f>'Prudential Ratios'!#REF!</f>
        <v>#REF!</v>
      </c>
      <c r="AS21" s="202" t="e">
        <f>'Prudential Ratios'!#REF!</f>
        <v>#REF!</v>
      </c>
      <c r="AT21" s="202" t="e">
        <f>'Prudential Ratios'!#REF!</f>
        <v>#REF!</v>
      </c>
      <c r="AU21" s="202">
        <f>'Prudential Ratios'!E15</f>
        <v>5.1737545524102896E-2</v>
      </c>
      <c r="AV21" s="202">
        <f>'Prudential Ratios'!F15</f>
        <v>0</v>
      </c>
      <c r="AW21" s="202">
        <f>'Prudential Ratios'!G15</f>
        <v>0</v>
      </c>
      <c r="AX21" s="202">
        <f>'Prudential Ratios'!H15</f>
        <v>0</v>
      </c>
      <c r="AY21" s="202">
        <f>'Prudential Ratios'!I15</f>
        <v>0</v>
      </c>
      <c r="AZ21" s="202">
        <f>'Prudential Ratios'!J15</f>
        <v>0</v>
      </c>
      <c r="BA21" s="202">
        <f>'Prudential Ratios'!K15</f>
        <v>0</v>
      </c>
      <c r="BB21" s="202">
        <f>'Prudential Ratios'!L15</f>
        <v>0</v>
      </c>
      <c r="BC21" s="202">
        <f>'Prudential Ratios'!M15</f>
        <v>0</v>
      </c>
      <c r="BD21" s="202">
        <f>'Prudential Ratios'!N15</f>
        <v>0</v>
      </c>
      <c r="BE21" s="202">
        <f>'Prudential Ratios'!O15</f>
        <v>0</v>
      </c>
      <c r="BF21" s="202">
        <f>'Prudential Ratios'!P15</f>
        <v>0</v>
      </c>
      <c r="BG21" s="202">
        <f>'Prudential Ratios'!Q15</f>
        <v>0</v>
      </c>
      <c r="BH21" s="202">
        <f>'Prudential Ratios'!R15</f>
        <v>9.2268584568868328E-2</v>
      </c>
      <c r="BI21" s="202">
        <f>'Prudential Ratios'!S15</f>
        <v>9.2298760041088571E-2</v>
      </c>
      <c r="BJ21" s="202">
        <f>'Prudential Ratios'!T15</f>
        <v>9.0993535504715353E-2</v>
      </c>
      <c r="BK21" s="202">
        <f>'Prudential Ratios'!U15</f>
        <v>9.3945655279666779E-2</v>
      </c>
      <c r="BL21" s="202">
        <f>'Prudential Ratios'!V15</f>
        <v>0.10083497963797652</v>
      </c>
      <c r="BM21" s="202">
        <f>'Prudential Ratios'!W15</f>
        <v>0.10232330455024001</v>
      </c>
      <c r="BN21" s="202">
        <f>'Prudential Ratios'!X15</f>
        <v>0.10435432772271343</v>
      </c>
      <c r="BO21" s="202">
        <f>'Prudential Ratios'!Y15</f>
        <v>0.10945802585947753</v>
      </c>
      <c r="BP21" s="202">
        <f>'Prudential Ratios'!Z15</f>
        <v>0.11287094289411365</v>
      </c>
      <c r="BQ21" s="202">
        <f>'Prudential Ratios'!AA15</f>
        <v>0.11496387966079527</v>
      </c>
      <c r="BR21" s="202">
        <f>'Prudential Ratios'!AB15</f>
        <v>0.11491794762931645</v>
      </c>
      <c r="BS21" s="202">
        <f>'Prudential Ratios'!AC15</f>
        <v>0.11497638783533205</v>
      </c>
      <c r="BT21" s="202">
        <f>'Prudential Ratios'!AD15</f>
        <v>0.11378487850004526</v>
      </c>
      <c r="BU21" s="202">
        <f>'Prudential Ratios'!AE15</f>
        <v>0.12257216128830817</v>
      </c>
      <c r="BV21" s="202">
        <f>'Prudential Ratios'!AF15</f>
        <v>0.11183772436357954</v>
      </c>
      <c r="BW21" s="202">
        <f>'Prudential Ratios'!AG15</f>
        <v>0.10422978259101549</v>
      </c>
      <c r="BX21" s="202">
        <f>'Prudential Ratios'!AH15</f>
        <v>0.11007413745399743</v>
      </c>
      <c r="BY21" s="202">
        <f>'Prudential Ratios'!AI15</f>
        <v>0.10913611168538026</v>
      </c>
      <c r="BZ21" s="202">
        <f>'Prudential Ratios'!AJ15</f>
        <v>0.11003399598615607</v>
      </c>
      <c r="CA21" s="202">
        <f>'Prudential Ratios'!AK15</f>
        <v>0.10941435508035795</v>
      </c>
    </row>
    <row r="22" spans="2:79" ht="15">
      <c r="B22" s="90" t="s">
        <v>112</v>
      </c>
      <c r="C22" s="97" t="s">
        <v>37</v>
      </c>
      <c r="D22" s="91" t="e">
        <f>'Prudential Ratios'!#REF!</f>
        <v>#REF!</v>
      </c>
      <c r="E22" s="91" t="e">
        <f>'Prudential Ratios'!#REF!</f>
        <v>#REF!</v>
      </c>
      <c r="F22" s="91" t="e">
        <f>'Prudential Ratios'!#REF!</f>
        <v>#REF!</v>
      </c>
      <c r="G22" s="91" t="e">
        <f>'Prudential Ratios'!#REF!</f>
        <v>#REF!</v>
      </c>
      <c r="H22" s="91" t="e">
        <f>'Prudential Ratios'!#REF!</f>
        <v>#REF!</v>
      </c>
      <c r="I22" s="91" t="e">
        <f>'Prudential Ratios'!#REF!</f>
        <v>#REF!</v>
      </c>
      <c r="J22" s="91" t="e">
        <f>'Prudential Ratios'!#REF!</f>
        <v>#REF!</v>
      </c>
      <c r="K22" s="91" t="e">
        <f>'Prudential Ratios'!#REF!</f>
        <v>#REF!</v>
      </c>
      <c r="L22" s="91" t="e">
        <f>'Prudential Ratios'!#REF!</f>
        <v>#REF!</v>
      </c>
      <c r="M22" s="91" t="e">
        <f>'Prudential Ratios'!#REF!</f>
        <v>#REF!</v>
      </c>
      <c r="N22" s="91" t="e">
        <f>'Prudential Ratios'!#REF!</f>
        <v>#REF!</v>
      </c>
      <c r="O22" s="91" t="e">
        <f>'Prudential Ratios'!#REF!</f>
        <v>#REF!</v>
      </c>
      <c r="P22" s="91" t="e">
        <f>'Prudential Ratios'!#REF!</f>
        <v>#REF!</v>
      </c>
      <c r="Q22" s="91" t="e">
        <f>'Prudential Ratios'!#REF!</f>
        <v>#REF!</v>
      </c>
      <c r="R22" s="91" t="e">
        <f>'Prudential Ratios'!#REF!</f>
        <v>#REF!</v>
      </c>
      <c r="S22" s="91" t="e">
        <f>'Prudential Ratios'!#REF!</f>
        <v>#REF!</v>
      </c>
      <c r="T22" s="202" t="e">
        <f>'Prudential Ratios'!#REF!</f>
        <v>#REF!</v>
      </c>
      <c r="U22" s="202" t="e">
        <f>'Prudential Ratios'!#REF!</f>
        <v>#REF!</v>
      </c>
      <c r="V22" s="202" t="e">
        <f>'Prudential Ratios'!#REF!</f>
        <v>#REF!</v>
      </c>
      <c r="W22" s="202" t="e">
        <f>'Prudential Ratios'!#REF!</f>
        <v>#REF!</v>
      </c>
      <c r="X22" s="202" t="e">
        <f>'Prudential Ratios'!#REF!</f>
        <v>#REF!</v>
      </c>
      <c r="Y22" s="202" t="e">
        <f>'Prudential Ratios'!#REF!</f>
        <v>#REF!</v>
      </c>
      <c r="Z22" s="202" t="e">
        <f>'Prudential Ratios'!#REF!</f>
        <v>#REF!</v>
      </c>
      <c r="AA22" s="202" t="e">
        <f>'Prudential Ratios'!#REF!</f>
        <v>#REF!</v>
      </c>
      <c r="AB22" s="202" t="e">
        <f>'Prudential Ratios'!#REF!</f>
        <v>#REF!</v>
      </c>
      <c r="AC22" s="202" t="e">
        <f>'Prudential Ratios'!#REF!</f>
        <v>#REF!</v>
      </c>
      <c r="AD22" s="202" t="e">
        <f>'Prudential Ratios'!#REF!</f>
        <v>#REF!</v>
      </c>
      <c r="AE22" s="202" t="e">
        <f>'Prudential Ratios'!#REF!</f>
        <v>#REF!</v>
      </c>
      <c r="AF22" s="202" t="e">
        <f>'Prudential Ratios'!#REF!</f>
        <v>#REF!</v>
      </c>
      <c r="AG22" s="202" t="e">
        <f>'Prudential Ratios'!#REF!</f>
        <v>#REF!</v>
      </c>
      <c r="AH22" s="202" t="e">
        <f>'Prudential Ratios'!#REF!</f>
        <v>#REF!</v>
      </c>
      <c r="AI22" s="202" t="e">
        <f>'Prudential Ratios'!#REF!</f>
        <v>#REF!</v>
      </c>
      <c r="AJ22" s="202" t="e">
        <f>'Prudential Ratios'!#REF!</f>
        <v>#REF!</v>
      </c>
      <c r="AK22" s="202" t="e">
        <f>'Prudential Ratios'!#REF!</f>
        <v>#REF!</v>
      </c>
      <c r="AL22" s="202" t="e">
        <f>'Prudential Ratios'!#REF!</f>
        <v>#REF!</v>
      </c>
      <c r="AM22" s="202" t="e">
        <f>'Prudential Ratios'!#REF!</f>
        <v>#REF!</v>
      </c>
      <c r="AN22" s="202" t="e">
        <f>'Prudential Ratios'!#REF!</f>
        <v>#REF!</v>
      </c>
      <c r="AO22" s="202" t="e">
        <f>'Prudential Ratios'!#REF!</f>
        <v>#REF!</v>
      </c>
      <c r="AP22" s="202" t="e">
        <f>'Prudential Ratios'!#REF!</f>
        <v>#REF!</v>
      </c>
      <c r="AQ22" s="202" t="e">
        <f>'Prudential Ratios'!#REF!</f>
        <v>#REF!</v>
      </c>
      <c r="AR22" s="202" t="e">
        <f>'Prudential Ratios'!#REF!</f>
        <v>#REF!</v>
      </c>
      <c r="AS22" s="202" t="e">
        <f>'Prudential Ratios'!#REF!</f>
        <v>#REF!</v>
      </c>
      <c r="AT22" s="202" t="e">
        <f>'Prudential Ratios'!#REF!</f>
        <v>#REF!</v>
      </c>
      <c r="AU22" s="202">
        <f>'Prudential Ratios'!E19</f>
        <v>2.9466028558510984E-4</v>
      </c>
      <c r="AV22" s="202">
        <f>'Prudential Ratios'!F19</f>
        <v>321254.65851214575</v>
      </c>
      <c r="AW22" s="202">
        <f>'Prudential Ratios'!G19</f>
        <v>322432.63370445347</v>
      </c>
      <c r="AX22" s="202">
        <f>'Prudential Ratios'!H19</f>
        <v>-19.581498434365951</v>
      </c>
      <c r="AY22" s="202">
        <f>'Prudential Ratios'!I19</f>
        <v>-19.442138463325591</v>
      </c>
      <c r="AZ22" s="202" t="e">
        <f>'Prudential Ratios'!J19</f>
        <v>#DIV/0!</v>
      </c>
      <c r="BA22" s="202">
        <f>'Prudential Ratios'!K19</f>
        <v>-5172.7260967114271</v>
      </c>
      <c r="BB22" s="202">
        <f>'Prudential Ratios'!L19</f>
        <v>-5075.8957408769184</v>
      </c>
      <c r="BC22" s="202">
        <f>'Prudential Ratios'!M19</f>
        <v>-4981.420716584963</v>
      </c>
      <c r="BD22" s="202">
        <f>'Prudential Ratios'!N19</f>
        <v>-4967.786865029233</v>
      </c>
      <c r="BE22" s="202">
        <f>'Prudential Ratios'!O19</f>
        <v>-4733.4474662791663</v>
      </c>
      <c r="BF22" s="202">
        <f>'Prudential Ratios'!P19</f>
        <v>-4578.5857594469799</v>
      </c>
      <c r="BG22" s="202" t="e">
        <f>'Prudential Ratios'!Q19</f>
        <v>#VALUE!</v>
      </c>
      <c r="BH22" s="202">
        <f>'Prudential Ratios'!R19</f>
        <v>2.5860944682820831E-4</v>
      </c>
      <c r="BI22" s="202">
        <f>'Prudential Ratios'!S19</f>
        <v>2.5365483258932699E-4</v>
      </c>
      <c r="BJ22" s="202">
        <f>'Prudential Ratios'!T19</f>
        <v>2.5107495011383716E-4</v>
      </c>
      <c r="BK22" s="202">
        <f>'Prudential Ratios'!U19</f>
        <v>2.4561889968211425E-4</v>
      </c>
      <c r="BL22" s="202">
        <f>'Prudential Ratios'!V19</f>
        <v>2.4482353188697432E-4</v>
      </c>
      <c r="BM22" s="202">
        <f>'Prudential Ratios'!W19</f>
        <v>2.4443894869530459E-4</v>
      </c>
      <c r="BN22" s="202">
        <f>'Prudential Ratios'!X19</f>
        <v>2.4117450558996912E-4</v>
      </c>
      <c r="BO22" s="202">
        <f>'Prudential Ratios'!Y19</f>
        <v>2.4102133740134832E-4</v>
      </c>
      <c r="BP22" s="202">
        <f>'Prudential Ratios'!Z19</f>
        <v>2.3578008643050137E-4</v>
      </c>
      <c r="BQ22" s="202">
        <f>'Prudential Ratios'!AA19</f>
        <v>2.3458894360124012E-4</v>
      </c>
      <c r="BR22" s="202">
        <f>'Prudential Ratios'!AB19</f>
        <v>2.3349453738028277E-4</v>
      </c>
      <c r="BS22" s="202">
        <f>'Prudential Ratios'!AC19</f>
        <v>2.3349729387026823E-4</v>
      </c>
      <c r="BT22" s="202">
        <f>'Prudential Ratios'!AD19</f>
        <v>2.3286201582906483E-4</v>
      </c>
      <c r="BU22" s="202">
        <f>'Prudential Ratios'!AE19</f>
        <v>2.3041510254812397E-4</v>
      </c>
      <c r="BV22" s="202">
        <f>'Prudential Ratios'!AF19</f>
        <v>2.2578646413749226E-4</v>
      </c>
      <c r="BW22" s="202">
        <f>'Prudential Ratios'!AG19</f>
        <v>2.1939577543318454E-4</v>
      </c>
      <c r="BX22" s="202">
        <f>'Prudential Ratios'!AH19</f>
        <v>2.1829953156551351E-4</v>
      </c>
      <c r="BY22" s="202">
        <f>'Prudential Ratios'!AI19</f>
        <v>2.1555765924315221E-4</v>
      </c>
      <c r="BZ22" s="202">
        <f>'Prudential Ratios'!AJ19</f>
        <v>2.1623947584538503E-4</v>
      </c>
      <c r="CA22" s="202">
        <f>'Prudential Ratios'!AK19</f>
        <v>2.1384929271974409E-4</v>
      </c>
    </row>
    <row r="23" spans="2:79" ht="15">
      <c r="B23" s="92" t="s">
        <v>113</v>
      </c>
      <c r="C23" s="98" t="s">
        <v>46</v>
      </c>
      <c r="D23" s="93" t="e">
        <f>'Prudential Ratios'!#REF!</f>
        <v>#REF!</v>
      </c>
      <c r="E23" s="93" t="e">
        <f>'Prudential Ratios'!#REF!</f>
        <v>#REF!</v>
      </c>
      <c r="F23" s="93" t="e">
        <f>'Prudential Ratios'!#REF!</f>
        <v>#REF!</v>
      </c>
      <c r="G23" s="93" t="e">
        <f>'Prudential Ratios'!#REF!</f>
        <v>#REF!</v>
      </c>
      <c r="H23" s="93" t="e">
        <f>'Prudential Ratios'!#REF!</f>
        <v>#REF!</v>
      </c>
      <c r="I23" s="93" t="e">
        <f>'Prudential Ratios'!#REF!</f>
        <v>#REF!</v>
      </c>
      <c r="J23" s="93" t="e">
        <f>'Prudential Ratios'!#REF!</f>
        <v>#REF!</v>
      </c>
      <c r="K23" s="93" t="e">
        <f>'Prudential Ratios'!#REF!</f>
        <v>#REF!</v>
      </c>
      <c r="L23" s="93" t="e">
        <f>'Prudential Ratios'!#REF!</f>
        <v>#REF!</v>
      </c>
      <c r="M23" s="93" t="e">
        <f>'Prudential Ratios'!#REF!</f>
        <v>#REF!</v>
      </c>
      <c r="N23" s="93" t="e">
        <f>'Prudential Ratios'!#REF!</f>
        <v>#REF!</v>
      </c>
      <c r="O23" s="93" t="e">
        <f>'Prudential Ratios'!#REF!</f>
        <v>#REF!</v>
      </c>
      <c r="P23" s="93" t="e">
        <f>'Prudential Ratios'!#REF!</f>
        <v>#REF!</v>
      </c>
      <c r="Q23" s="93" t="e">
        <f>'Prudential Ratios'!#REF!</f>
        <v>#REF!</v>
      </c>
      <c r="R23" s="93" t="e">
        <f>'Prudential Ratios'!#REF!</f>
        <v>#REF!</v>
      </c>
      <c r="S23" s="93" t="e">
        <f>'Prudential Ratios'!#REF!</f>
        <v>#REF!</v>
      </c>
      <c r="T23" s="203" t="e">
        <f>'Prudential Ratios'!#REF!</f>
        <v>#REF!</v>
      </c>
      <c r="U23" s="203" t="e">
        <f>'Prudential Ratios'!#REF!</f>
        <v>#REF!</v>
      </c>
      <c r="V23" s="203" t="e">
        <f>'Prudential Ratios'!#REF!</f>
        <v>#REF!</v>
      </c>
      <c r="W23" s="203" t="e">
        <f>'Prudential Ratios'!#REF!</f>
        <v>#REF!</v>
      </c>
      <c r="X23" s="203" t="e">
        <f>'Prudential Ratios'!#REF!</f>
        <v>#REF!</v>
      </c>
      <c r="Y23" s="203" t="e">
        <f>'Prudential Ratios'!#REF!</f>
        <v>#REF!</v>
      </c>
      <c r="Z23" s="203" t="e">
        <f>'Prudential Ratios'!#REF!</f>
        <v>#REF!</v>
      </c>
      <c r="AA23" s="203" t="e">
        <f>'Prudential Ratios'!#REF!</f>
        <v>#REF!</v>
      </c>
      <c r="AB23" s="203" t="e">
        <f>'Prudential Ratios'!#REF!</f>
        <v>#REF!</v>
      </c>
      <c r="AC23" s="203" t="e">
        <f>'Prudential Ratios'!#REF!</f>
        <v>#REF!</v>
      </c>
      <c r="AD23" s="203" t="e">
        <f>'Prudential Ratios'!#REF!</f>
        <v>#REF!</v>
      </c>
      <c r="AE23" s="203" t="e">
        <f>'Prudential Ratios'!#REF!</f>
        <v>#REF!</v>
      </c>
      <c r="AF23" s="203" t="e">
        <f>'Prudential Ratios'!#REF!</f>
        <v>#REF!</v>
      </c>
      <c r="AG23" s="203" t="e">
        <f>'Prudential Ratios'!#REF!</f>
        <v>#REF!</v>
      </c>
      <c r="AH23" s="203" t="e">
        <f>'Prudential Ratios'!#REF!</f>
        <v>#REF!</v>
      </c>
      <c r="AI23" s="203" t="e">
        <f>'Prudential Ratios'!#REF!</f>
        <v>#REF!</v>
      </c>
      <c r="AJ23" s="203" t="e">
        <f>'Prudential Ratios'!#REF!</f>
        <v>#REF!</v>
      </c>
      <c r="AK23" s="203" t="e">
        <f>'Prudential Ratios'!#REF!</f>
        <v>#REF!</v>
      </c>
      <c r="AL23" s="203" t="e">
        <f>'Prudential Ratios'!#REF!</f>
        <v>#REF!</v>
      </c>
      <c r="AM23" s="203" t="e">
        <f>'Prudential Ratios'!#REF!</f>
        <v>#REF!</v>
      </c>
      <c r="AN23" s="203" t="e">
        <f>'Prudential Ratios'!#REF!</f>
        <v>#REF!</v>
      </c>
      <c r="AO23" s="203" t="e">
        <f>'Prudential Ratios'!#REF!</f>
        <v>#REF!</v>
      </c>
      <c r="AP23" s="203" t="e">
        <f>'Prudential Ratios'!#REF!</f>
        <v>#REF!</v>
      </c>
      <c r="AQ23" s="203" t="e">
        <f>'Prudential Ratios'!#REF!</f>
        <v>#REF!</v>
      </c>
      <c r="AR23" s="203" t="e">
        <f>'Prudential Ratios'!#REF!</f>
        <v>#REF!</v>
      </c>
      <c r="AS23" s="203" t="e">
        <f>'Prudential Ratios'!#REF!</f>
        <v>#REF!</v>
      </c>
      <c r="AT23" s="203" t="e">
        <f>'Prudential Ratios'!#REF!</f>
        <v>#REF!</v>
      </c>
      <c r="AU23" s="203">
        <f>'Prudential Ratios'!E20</f>
        <v>1.2292203400630539E-3</v>
      </c>
      <c r="AV23" s="203" t="e">
        <f>'Prudential Ratios'!F20</f>
        <v>#REF!</v>
      </c>
      <c r="AW23" s="203" t="e">
        <f>'Prudential Ratios'!G20</f>
        <v>#REF!</v>
      </c>
      <c r="AX23" s="203" t="e">
        <f>'Prudential Ratios'!H20</f>
        <v>#REF!</v>
      </c>
      <c r="AY23" s="203" t="e">
        <f>'Prudential Ratios'!I20</f>
        <v>#REF!</v>
      </c>
      <c r="AZ23" s="203" t="e">
        <f>'Prudential Ratios'!J20</f>
        <v>#REF!</v>
      </c>
      <c r="BA23" s="203" t="e">
        <f>'Prudential Ratios'!K20</f>
        <v>#REF!</v>
      </c>
      <c r="BB23" s="203" t="e">
        <f>'Prudential Ratios'!L20</f>
        <v>#REF!</v>
      </c>
      <c r="BC23" s="203" t="e">
        <f>'Prudential Ratios'!M20</f>
        <v>#REF!</v>
      </c>
      <c r="BD23" s="203" t="e">
        <f>'Prudential Ratios'!N20</f>
        <v>#REF!</v>
      </c>
      <c r="BE23" s="203" t="e">
        <f>'Prudential Ratios'!O20</f>
        <v>#REF!</v>
      </c>
      <c r="BF23" s="203" t="e">
        <f>'Prudential Ratios'!P20</f>
        <v>#REF!</v>
      </c>
      <c r="BG23" s="203" t="e">
        <f>'Prudential Ratios'!Q20</f>
        <v>#VALUE!</v>
      </c>
      <c r="BH23" s="203">
        <f>'Prudential Ratios'!R20</f>
        <v>1.0975659705239702E-3</v>
      </c>
      <c r="BI23" s="203">
        <f>'Prudential Ratios'!S20</f>
        <v>9.2291895993987737E-4</v>
      </c>
      <c r="BJ23" s="203">
        <f>'Prudential Ratios'!T20</f>
        <v>9.1055825373747429E-4</v>
      </c>
      <c r="BK23" s="203">
        <f>'Prudential Ratios'!U20</f>
        <v>8.8833056923442652E-4</v>
      </c>
      <c r="BL23" s="203">
        <f>'Prudential Ratios'!V20</f>
        <v>1.0950155213193093E-3</v>
      </c>
      <c r="BM23" s="203">
        <f>'Prudential Ratios'!W20</f>
        <v>1.0445909643828578E-3</v>
      </c>
      <c r="BN23" s="203">
        <f>'Prudential Ratios'!X20</f>
        <v>1.0204102832318347E-3</v>
      </c>
      <c r="BO23" s="203">
        <f>'Prudential Ratios'!Y20</f>
        <v>9.9807380603815173E-4</v>
      </c>
      <c r="BP23" s="203">
        <f>'Prudential Ratios'!Z20</f>
        <v>9.7841335366809353E-4</v>
      </c>
      <c r="BQ23" s="203">
        <f>'Prudential Ratios'!AA20</f>
        <v>9.6314458491651483E-4</v>
      </c>
      <c r="BR23" s="203">
        <f>'Prudential Ratios'!AB20</f>
        <v>9.4372471016968766E-4</v>
      </c>
      <c r="BS23" s="203">
        <f>'Prudential Ratios'!AC20</f>
        <v>8.8009876940237097E-4</v>
      </c>
      <c r="BT23" s="203">
        <f>'Prudential Ratios'!AD20</f>
        <v>8.6454396959896173E-4</v>
      </c>
      <c r="BU23" s="203">
        <f>'Prudential Ratios'!AE20</f>
        <v>9.9986869459178784E-4</v>
      </c>
      <c r="BV23" s="203">
        <f>'Prudential Ratios'!AF20</f>
        <v>1.086532372497859E-3</v>
      </c>
      <c r="BW23" s="203">
        <f>'Prudential Ratios'!AG20</f>
        <v>1.0200532204115082E-3</v>
      </c>
      <c r="BX23" s="203">
        <f>'Prudential Ratios'!AH20</f>
        <v>9.8642736541288572E-4</v>
      </c>
      <c r="BY23" s="203">
        <f>'Prudential Ratios'!AI20</f>
        <v>9.5379678501718616E-4</v>
      </c>
      <c r="BZ23" s="203">
        <f>'Prudential Ratios'!AJ20</f>
        <v>9.3409909584275287E-4</v>
      </c>
      <c r="CA23" s="203">
        <f>'Prudential Ratios'!AK20</f>
        <v>9.1955136228723017E-4</v>
      </c>
    </row>
    <row r="24" spans="2:79" ht="15"/>
    <row r="26" spans="2:79" ht="25.9">
      <c r="B26" s="379"/>
      <c r="C26" s="379"/>
      <c r="D26" s="206"/>
      <c r="E26" s="206"/>
      <c r="F26" s="206"/>
      <c r="G26" s="206"/>
    </row>
    <row r="27" spans="2:79">
      <c r="B27" s="177"/>
      <c r="C27" s="178"/>
      <c r="D27" s="178"/>
      <c r="E27" s="178"/>
      <c r="F27" s="178"/>
      <c r="G27" s="178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</row>
    <row r="28" spans="2:79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>
      <c r="C29" s="180"/>
      <c r="D29" s="180"/>
      <c r="E29" s="180"/>
      <c r="F29" s="180"/>
      <c r="G29" s="180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</row>
    <row r="30" spans="2:79">
      <c r="C30" s="180"/>
      <c r="D30" s="180"/>
      <c r="E30" s="180"/>
      <c r="F30" s="180"/>
      <c r="G30" s="180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</row>
    <row r="31" spans="2:79">
      <c r="C31" s="180"/>
      <c r="D31" s="180"/>
      <c r="E31" s="180"/>
      <c r="F31" s="180"/>
      <c r="G31" s="180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</row>
    <row r="32" spans="2:79">
      <c r="C32" s="180"/>
      <c r="D32" s="180"/>
      <c r="E32" s="180"/>
      <c r="F32" s="180"/>
      <c r="G32" s="180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</row>
    <row r="33" spans="2:37">
      <c r="C33" s="180"/>
      <c r="D33" s="180"/>
      <c r="E33" s="180"/>
      <c r="F33" s="180"/>
      <c r="G33" s="180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80"/>
      <c r="D35" s="180"/>
      <c r="E35" s="180"/>
      <c r="F35" s="180"/>
      <c r="G35" s="180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</row>
    <row r="36" spans="2:37">
      <c r="C36" s="180"/>
      <c r="D36" s="180"/>
      <c r="E36" s="180"/>
      <c r="F36" s="180"/>
      <c r="G36" s="180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</row>
    <row r="39" spans="2:37"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</row>
    <row r="40" spans="2:37"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</row>
    <row r="41" spans="2:37"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187"/>
      <c r="D43" s="187"/>
      <c r="E43" s="187"/>
      <c r="F43" s="187"/>
      <c r="G43" s="187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</row>
    <row r="44" spans="2:37">
      <c r="C44" s="187"/>
      <c r="D44" s="187"/>
      <c r="E44" s="187"/>
      <c r="F44" s="187"/>
      <c r="G44" s="187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</row>
    <row r="45" spans="2:37">
      <c r="C45" s="180"/>
      <c r="D45" s="180"/>
      <c r="E45" s="180"/>
      <c r="F45" s="180"/>
      <c r="G45" s="180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</row>
    <row r="46" spans="2:37"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</row>
    <row r="47" spans="2:37"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80"/>
      <c r="D49" s="180"/>
      <c r="E49" s="180"/>
      <c r="F49" s="180"/>
      <c r="G49" s="180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</row>
    <row r="50" spans="3:37">
      <c r="C50" s="180"/>
      <c r="D50" s="180"/>
      <c r="E50" s="180"/>
      <c r="F50" s="180"/>
      <c r="G50" s="180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</row>
    <row r="51" spans="3:37">
      <c r="C51" s="180"/>
      <c r="D51" s="180"/>
      <c r="E51" s="180"/>
      <c r="F51" s="180"/>
      <c r="G51" s="180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</row>
    <row r="52" spans="3:37">
      <c r="C52" s="180"/>
      <c r="D52" s="180"/>
      <c r="E52" s="180"/>
      <c r="F52" s="180"/>
      <c r="G52" s="180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</row>
    <row r="53" spans="3:37"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</row>
    <row r="54" spans="3:37" s="102" customFormat="1">
      <c r="H54" s="190"/>
      <c r="I54" s="190"/>
      <c r="J54" s="190"/>
      <c r="K54" s="190"/>
      <c r="L54" s="190"/>
      <c r="M54" s="190"/>
      <c r="N54" s="190"/>
      <c r="O54" s="190"/>
      <c r="Q54" s="190"/>
      <c r="R54" s="190"/>
      <c r="S54" s="190"/>
      <c r="T54" s="190"/>
      <c r="U54" s="190"/>
      <c r="V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</row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56"/>
  <sheetViews>
    <sheetView tabSelected="1" workbookViewId="0">
      <pane xSplit="2" ySplit="11" topLeftCell="AB12" activePane="bottomRight" state="frozen"/>
      <selection pane="bottomRight" activeCell="AH47" sqref="AH47:AJ53"/>
      <selection pane="bottomLeft" activeCell="A12" sqref="A12"/>
      <selection pane="topRight" activeCell="D1" sqref="D1"/>
    </sheetView>
  </sheetViews>
  <sheetFormatPr defaultColWidth="9.140625" defaultRowHeight="13.15"/>
  <cols>
    <col min="1" max="1" width="5" style="26" bestFit="1" customWidth="1"/>
    <col min="2" max="2" width="40.85546875" style="26" customWidth="1"/>
    <col min="3" max="3" width="15.28515625" style="26" customWidth="1"/>
    <col min="4" max="4" width="16.28515625" style="26" hidden="1" customWidth="1"/>
    <col min="5" max="5" width="14.5703125" style="26" hidden="1" customWidth="1"/>
    <col min="6" max="6" width="15" style="26" hidden="1" customWidth="1"/>
    <col min="7" max="8" width="14.5703125" style="26" hidden="1" customWidth="1"/>
    <col min="9" max="10" width="14.42578125" style="26" hidden="1" customWidth="1"/>
    <col min="11" max="11" width="15.28515625" style="26" hidden="1" customWidth="1"/>
    <col min="12" max="12" width="16" style="26" hidden="1" customWidth="1"/>
    <col min="13" max="13" width="14.7109375" style="26" hidden="1" customWidth="1"/>
    <col min="14" max="14" width="14.5703125" style="26" hidden="1" customWidth="1"/>
    <col min="15" max="15" width="15.85546875" style="26" hidden="1" customWidth="1"/>
    <col min="16" max="16" width="16.28515625" style="26" customWidth="1"/>
    <col min="17" max="18" width="14.5703125" style="26" hidden="1" customWidth="1"/>
    <col min="19" max="19" width="14.5703125" style="26" bestFit="1" customWidth="1"/>
    <col min="20" max="20" width="15.140625" style="26" hidden="1" customWidth="1"/>
    <col min="21" max="21" width="14.5703125" style="26" hidden="1" customWidth="1"/>
    <col min="22" max="22" width="14.5703125" style="26" bestFit="1" customWidth="1"/>
    <col min="23" max="24" width="14.5703125" style="26" hidden="1" customWidth="1"/>
    <col min="25" max="25" width="14.5703125" style="26" bestFit="1" customWidth="1"/>
    <col min="26" max="26" width="14.5703125" style="26" hidden="1" customWidth="1"/>
    <col min="27" max="27" width="15.140625" style="26" hidden="1" customWidth="1"/>
    <col min="28" max="29" width="15.140625" style="26" bestFit="1" customWidth="1"/>
    <col min="30" max="35" width="14.5703125" style="26" bestFit="1" customWidth="1"/>
    <col min="36" max="16384" width="9.140625" style="26"/>
  </cols>
  <sheetData>
    <row r="1" spans="1:35">
      <c r="B1" s="37" t="s">
        <v>114</v>
      </c>
    </row>
    <row r="2" spans="1:35">
      <c r="A2" s="27"/>
      <c r="B2" s="28"/>
    </row>
    <row r="3" spans="1:35">
      <c r="A3" s="29"/>
      <c r="B3" s="103" t="s">
        <v>115</v>
      </c>
      <c r="C3" s="336" t="s">
        <v>116</v>
      </c>
      <c r="D3" s="8">
        <v>44197</v>
      </c>
      <c r="E3" s="8">
        <v>44228</v>
      </c>
      <c r="F3" s="8">
        <v>44256</v>
      </c>
      <c r="G3" s="8">
        <v>44287</v>
      </c>
      <c r="H3" s="8">
        <v>44317</v>
      </c>
      <c r="I3" s="8">
        <v>44348</v>
      </c>
      <c r="J3" s="8">
        <v>44378</v>
      </c>
      <c r="K3" s="8">
        <v>44409</v>
      </c>
      <c r="L3" s="8">
        <v>44440</v>
      </c>
      <c r="M3" s="8">
        <v>44470</v>
      </c>
      <c r="N3" s="8">
        <v>44501</v>
      </c>
      <c r="O3" s="8">
        <v>44531</v>
      </c>
      <c r="P3" s="8" t="s">
        <v>18</v>
      </c>
      <c r="Q3" s="350">
        <v>44562</v>
      </c>
      <c r="R3" s="350">
        <v>44593</v>
      </c>
      <c r="S3" s="350">
        <v>44621</v>
      </c>
      <c r="T3" s="350">
        <v>44652</v>
      </c>
      <c r="U3" s="350">
        <v>44682</v>
      </c>
      <c r="V3" s="350">
        <v>44713</v>
      </c>
      <c r="W3" s="350">
        <v>44743</v>
      </c>
      <c r="X3" s="350">
        <v>44774</v>
      </c>
      <c r="Y3" s="350">
        <v>44805</v>
      </c>
      <c r="Z3" s="350">
        <v>44835</v>
      </c>
      <c r="AA3" s="350">
        <v>44866</v>
      </c>
      <c r="AB3" s="350">
        <v>44896</v>
      </c>
      <c r="AC3" s="350" t="s">
        <v>19</v>
      </c>
      <c r="AD3" s="350">
        <v>44949</v>
      </c>
      <c r="AE3" s="350">
        <v>44980</v>
      </c>
      <c r="AF3" s="350">
        <v>45008</v>
      </c>
      <c r="AG3" s="350">
        <v>45039</v>
      </c>
      <c r="AH3" s="350">
        <v>45069</v>
      </c>
      <c r="AI3" s="350">
        <v>45100</v>
      </c>
    </row>
    <row r="4" spans="1:35" ht="12.75">
      <c r="A4" s="30">
        <v>1</v>
      </c>
      <c r="B4" s="51" t="s">
        <v>68</v>
      </c>
    </row>
    <row r="5" spans="1:35" ht="12.75">
      <c r="A5" s="30">
        <v>2</v>
      </c>
      <c r="B5" s="51" t="s">
        <v>59</v>
      </c>
      <c r="C5" s="55">
        <f>SFP!B27</f>
        <v>451530040</v>
      </c>
      <c r="D5" s="55">
        <f>SFP!C29</f>
        <v>48619914.130000003</v>
      </c>
      <c r="E5" s="55">
        <f>SFP!D29</f>
        <v>52129055.770000003</v>
      </c>
      <c r="F5" s="55">
        <f>SFP!E29</f>
        <v>54461820.700000003</v>
      </c>
      <c r="G5" s="55">
        <f>SFP!F29</f>
        <v>52365497.159999996</v>
      </c>
      <c r="H5" s="55">
        <f>SFP!G29</f>
        <v>56273330.579999998</v>
      </c>
      <c r="I5" s="55">
        <f>SFP!H29</f>
        <v>55246420.369999997</v>
      </c>
      <c r="J5" s="55">
        <f>SFP!I29</f>
        <v>50771324.219999999</v>
      </c>
      <c r="K5" s="55">
        <f>SFP!J29</f>
        <v>53762394.439999998</v>
      </c>
      <c r="L5" s="55">
        <f>SFP!K29</f>
        <v>54101794.109999999</v>
      </c>
      <c r="M5" s="55">
        <f>SFP!L29</f>
        <v>55895297.329999998</v>
      </c>
      <c r="N5" s="55">
        <f>SFP!M29</f>
        <v>52253127.729999997</v>
      </c>
      <c r="O5" s="55">
        <f>SFP!N29</f>
        <v>53033454.590000004</v>
      </c>
      <c r="P5" s="55">
        <f>SFP!O27</f>
        <v>512833379</v>
      </c>
      <c r="Q5" s="55">
        <f>SFP!P27</f>
        <v>508438060.48000002</v>
      </c>
      <c r="R5" s="55">
        <f>SFP!Q27</f>
        <v>513592477.64999998</v>
      </c>
      <c r="S5" s="55">
        <f>SFP!R27</f>
        <v>507251049.43000001</v>
      </c>
      <c r="T5" s="55">
        <f>SFP!S27</f>
        <v>507062420.14000005</v>
      </c>
      <c r="U5" s="55">
        <f>SFP!T27</f>
        <v>510671561.28000003</v>
      </c>
      <c r="V5" s="55">
        <f>SFP!U27</f>
        <v>548100823.59000003</v>
      </c>
      <c r="W5" s="55">
        <f>SFP!V27</f>
        <v>550693045.81999993</v>
      </c>
      <c r="X5" s="55">
        <f>SFP!W27</f>
        <v>557113270.40999997</v>
      </c>
      <c r="Y5" s="55">
        <f>SFP!X27</f>
        <v>558008751.96000004</v>
      </c>
      <c r="Z5" s="55">
        <f>SFP!Y27</f>
        <v>559114996.53000009</v>
      </c>
      <c r="AA5" s="55">
        <f>SFP!Z27</f>
        <v>559227037.65999997</v>
      </c>
      <c r="AB5" s="55">
        <f>SFP!AA27</f>
        <v>562438194.72000003</v>
      </c>
      <c r="AC5" s="55">
        <f>SFP!AB27</f>
        <v>584594538</v>
      </c>
      <c r="AD5" s="55">
        <f>SFP!AC27</f>
        <v>574356457.04999995</v>
      </c>
      <c r="AE5" s="55">
        <f>SFP!AD27</f>
        <v>617379145.0999999</v>
      </c>
      <c r="AF5" s="55">
        <f>SFP!AE27</f>
        <v>598393767.36000001</v>
      </c>
      <c r="AG5" s="55">
        <f>SFP!AF27</f>
        <v>605463295.60000002</v>
      </c>
      <c r="AH5" s="55">
        <f>SFP!AG27</f>
        <v>601452862.88</v>
      </c>
      <c r="AI5" s="55">
        <f>SFP!AH27</f>
        <v>605336510.93000007</v>
      </c>
    </row>
    <row r="6" spans="1:35" ht="12.75">
      <c r="A6" s="30">
        <v>3</v>
      </c>
      <c r="B6" s="51" t="s">
        <v>60</v>
      </c>
      <c r="C6" s="55">
        <f>SFP!B32</f>
        <v>345672644</v>
      </c>
      <c r="D6" s="55">
        <f>SFP!C35</f>
        <v>988</v>
      </c>
      <c r="E6" s="55">
        <f>SFP!D35</f>
        <v>988</v>
      </c>
      <c r="F6" s="55">
        <f>SFP!E35</f>
        <v>-16238469</v>
      </c>
      <c r="G6" s="55">
        <f>SFP!F35</f>
        <v>-16242181.75</v>
      </c>
      <c r="H6" s="55">
        <f>SFP!G35</f>
        <v>0</v>
      </c>
      <c r="I6" s="55">
        <f>SFP!H35</f>
        <v>-62443.5</v>
      </c>
      <c r="J6" s="55">
        <f>SFP!I35</f>
        <v>-65274</v>
      </c>
      <c r="K6" s="55">
        <f>SFP!J35</f>
        <v>-67724</v>
      </c>
      <c r="L6" s="55">
        <f>SFP!K35</f>
        <v>-68074</v>
      </c>
      <c r="M6" s="55">
        <f>SFP!L35</f>
        <v>-71914</v>
      </c>
      <c r="N6" s="55">
        <f>SFP!M35</f>
        <v>-73198</v>
      </c>
      <c r="O6" s="55">
        <f>SFP!N35</f>
        <v>-73198</v>
      </c>
      <c r="P6" s="55">
        <f>SFP!O32</f>
        <v>393860322</v>
      </c>
      <c r="Q6" s="55">
        <f>SFP!P32</f>
        <v>401553555.91000003</v>
      </c>
      <c r="R6" s="55">
        <f>SFP!Q32</f>
        <v>405679658.42000002</v>
      </c>
      <c r="S6" s="55">
        <f>SFP!R32</f>
        <v>414691215.26000005</v>
      </c>
      <c r="T6" s="55">
        <f>SFP!S32</f>
        <v>416038438.85000002</v>
      </c>
      <c r="U6" s="55">
        <f>SFP!T32</f>
        <v>416693004.70999998</v>
      </c>
      <c r="V6" s="55">
        <f>SFP!U32</f>
        <v>422333197.08000004</v>
      </c>
      <c r="W6" s="55">
        <f>SFP!V32</f>
        <v>422601588.30000001</v>
      </c>
      <c r="X6" s="55">
        <f>SFP!W32</f>
        <v>431995770.05000001</v>
      </c>
      <c r="Y6" s="55">
        <f>SFP!X32</f>
        <v>434189260.74000001</v>
      </c>
      <c r="Z6" s="55">
        <f>SFP!Y32</f>
        <v>436224338.02000004</v>
      </c>
      <c r="AA6" s="55">
        <f>SFP!Z32</f>
        <v>436219188.29000002</v>
      </c>
      <c r="AB6" s="55">
        <f>SFP!AA32</f>
        <v>437409251.30000001</v>
      </c>
      <c r="AC6" s="55">
        <f>SFP!AB32</f>
        <v>442054357</v>
      </c>
      <c r="AD6" s="55">
        <f>SFP!AC32</f>
        <v>451116502.44</v>
      </c>
      <c r="AE6" s="55">
        <f>SFP!AD32</f>
        <v>464256888.25999999</v>
      </c>
      <c r="AF6" s="55">
        <f>SFP!AE32</f>
        <v>466588266.44999999</v>
      </c>
      <c r="AG6" s="55">
        <f>SFP!AF32</f>
        <v>472523223.51999998</v>
      </c>
      <c r="AH6" s="55">
        <f>SFP!AG32</f>
        <v>471033328.21999997</v>
      </c>
      <c r="AI6" s="55">
        <f>SFP!AH32</f>
        <v>476298044.78000003</v>
      </c>
    </row>
    <row r="7" spans="1:35" ht="12.75">
      <c r="A7" s="30">
        <v>3.1</v>
      </c>
      <c r="B7" s="104" t="s">
        <v>117</v>
      </c>
      <c r="C7" s="55">
        <f>SFP!B31</f>
        <v>275781981</v>
      </c>
      <c r="D7" s="55">
        <f>SFP!C34</f>
        <v>-11696.01</v>
      </c>
      <c r="E7" s="55">
        <f>SFP!D34</f>
        <v>-10315.530000000001</v>
      </c>
      <c r="F7" s="55">
        <f>SFP!E34</f>
        <v>808224.05</v>
      </c>
      <c r="G7" s="55">
        <f>SFP!F34</f>
        <v>809073.08</v>
      </c>
      <c r="H7" s="55">
        <f>SFP!G34</f>
        <v>-170385.89</v>
      </c>
      <c r="I7" s="55">
        <f>SFP!H34</f>
        <v>-164901.78</v>
      </c>
      <c r="J7" s="55">
        <f>SFP!I34</f>
        <v>-164786.78</v>
      </c>
      <c r="K7" s="55">
        <f>SFP!J34</f>
        <v>-165862.78</v>
      </c>
      <c r="L7" s="55">
        <f>SFP!K34</f>
        <v>-162781.57999999999</v>
      </c>
      <c r="M7" s="55">
        <f>SFP!L34</f>
        <v>-134052.39000000001</v>
      </c>
      <c r="N7" s="55">
        <f>SFP!M34</f>
        <v>-131899.24</v>
      </c>
      <c r="O7" s="55">
        <f>SFP!N34</f>
        <v>-131899.24</v>
      </c>
      <c r="P7" s="55">
        <f>SFP!O31</f>
        <v>315654301</v>
      </c>
      <c r="Q7" s="55">
        <f>SFP!P31</f>
        <v>343550347.74000001</v>
      </c>
      <c r="R7" s="55">
        <f>SFP!Q31</f>
        <v>348261462.55000001</v>
      </c>
      <c r="S7" s="55">
        <f>SFP!R31</f>
        <v>353132950.47000003</v>
      </c>
      <c r="T7" s="55">
        <f>SFP!S31</f>
        <v>359205117.73000002</v>
      </c>
      <c r="U7" s="55">
        <f>SFP!T31</f>
        <v>363449248.45999998</v>
      </c>
      <c r="V7" s="55">
        <f>SFP!U31</f>
        <v>366749259.04000002</v>
      </c>
      <c r="W7" s="55">
        <f>SFP!V31</f>
        <v>370789282.37</v>
      </c>
      <c r="X7" s="55">
        <f>SFP!W31</f>
        <v>374474389.61000001</v>
      </c>
      <c r="Y7" s="55">
        <f>SFP!X31</f>
        <v>381765903.44999999</v>
      </c>
      <c r="Z7" s="55">
        <f>SFP!Y31</f>
        <v>386020820.79000002</v>
      </c>
      <c r="AA7" s="55">
        <f>SFP!Z31</f>
        <v>383982908.06</v>
      </c>
      <c r="AB7" s="55">
        <f>SFP!AA31</f>
        <v>387692083.48000002</v>
      </c>
      <c r="AC7" s="55">
        <f>SFP!AB31</f>
        <v>365405894</v>
      </c>
      <c r="AD7" s="55">
        <f>SFP!AC31</f>
        <v>398434036.14999998</v>
      </c>
      <c r="AE7" s="55">
        <f>SFP!AD31</f>
        <v>402467053.49000001</v>
      </c>
      <c r="AF7" s="55">
        <f>SFP!AE31</f>
        <v>409070413.94</v>
      </c>
      <c r="AG7" s="55">
        <f>SFP!AF31</f>
        <v>413714665.31999999</v>
      </c>
      <c r="AH7" s="55">
        <f>SFP!AG31</f>
        <v>412227151.01999998</v>
      </c>
      <c r="AI7" s="55">
        <f>SFP!AH31</f>
        <v>415500322.91000003</v>
      </c>
    </row>
    <row r="8" spans="1:35" ht="12.75">
      <c r="A8" s="30">
        <v>3.2</v>
      </c>
      <c r="B8" s="104" t="s">
        <v>118</v>
      </c>
      <c r="C8" s="55">
        <f>SFP!B29</f>
        <v>69890663</v>
      </c>
      <c r="D8" s="55">
        <f>SFP!C31</f>
        <v>300333393.72000003</v>
      </c>
      <c r="E8" s="55">
        <f>SFP!D31</f>
        <v>305960655.62</v>
      </c>
      <c r="F8" s="55">
        <f>SFP!E31</f>
        <v>310222422.02999997</v>
      </c>
      <c r="G8" s="55">
        <f>SFP!F31</f>
        <v>313101143.33999997</v>
      </c>
      <c r="H8" s="55">
        <f>SFP!G31</f>
        <v>316332454.10000002</v>
      </c>
      <c r="I8" s="55">
        <f>SFP!H31</f>
        <v>321545027.44999999</v>
      </c>
      <c r="J8" s="55">
        <f>SFP!I31</f>
        <v>325587060.63999999</v>
      </c>
      <c r="K8" s="55">
        <f>SFP!J31</f>
        <v>328880158.97000003</v>
      </c>
      <c r="L8" s="55">
        <f>SFP!K31</f>
        <v>332955850.92000002</v>
      </c>
      <c r="M8" s="55">
        <f>SFP!L31</f>
        <v>334088917.44</v>
      </c>
      <c r="N8" s="55">
        <f>SFP!M31</f>
        <v>338812557.05000001</v>
      </c>
      <c r="O8" s="55" t="str">
        <f>SFP!N31</f>
        <v>############</v>
      </c>
      <c r="P8" s="55">
        <f>SFP!O29</f>
        <v>78206021</v>
      </c>
      <c r="Q8" s="55">
        <f>SFP!P29</f>
        <v>54611473.859999999</v>
      </c>
      <c r="R8" s="55">
        <f>SFP!Q29</f>
        <v>53486461.560000002</v>
      </c>
      <c r="S8" s="55">
        <f>SFP!R29</f>
        <v>58088767.479999997</v>
      </c>
      <c r="T8" s="55">
        <f>SFP!S29</f>
        <v>53467623.82</v>
      </c>
      <c r="U8" s="55">
        <f>SFP!T29</f>
        <v>49573058.939999998</v>
      </c>
      <c r="V8" s="55">
        <f>SFP!U29</f>
        <v>51924403.729999997</v>
      </c>
      <c r="W8" s="55">
        <f>SFP!V29</f>
        <v>48308771.619999997</v>
      </c>
      <c r="X8" s="55">
        <f>SFP!W29</f>
        <v>54116646.130000003</v>
      </c>
      <c r="Y8" s="55">
        <f>SFP!X29</f>
        <v>49012822.979999997</v>
      </c>
      <c r="Z8" s="55">
        <f>SFP!Y29</f>
        <v>46042982.920000002</v>
      </c>
      <c r="AA8" s="55">
        <f>SFP!Z29</f>
        <v>47797733.920000002</v>
      </c>
      <c r="AB8" s="55">
        <f>SFP!AA29</f>
        <v>45213621.509999998</v>
      </c>
      <c r="AC8" s="55">
        <f>SFP!AB29</f>
        <v>76648463</v>
      </c>
      <c r="AD8" s="55">
        <f>SFP!AC29</f>
        <v>49028919.979999997</v>
      </c>
      <c r="AE8" s="55">
        <f>SFP!AD29</f>
        <v>57551288.460000001</v>
      </c>
      <c r="AF8" s="55">
        <f>SFP!AE29</f>
        <v>53386306.200000003</v>
      </c>
      <c r="AG8" s="55">
        <f>SFP!AF29</f>
        <v>54671331.890000001</v>
      </c>
      <c r="AH8" s="55">
        <f>SFP!AG29</f>
        <v>54918950.890000001</v>
      </c>
      <c r="AI8" s="55">
        <f>SFP!AH29</f>
        <v>54882495.560000002</v>
      </c>
    </row>
    <row r="9" spans="1:35" ht="12.75">
      <c r="A9" s="30">
        <v>4</v>
      </c>
      <c r="B9" s="51" t="s">
        <v>119</v>
      </c>
      <c r="C9" s="56">
        <f>SFP!B39</f>
        <v>0</v>
      </c>
      <c r="D9" s="56">
        <f>SFP!C43</f>
        <v>0</v>
      </c>
      <c r="E9" s="56">
        <f>SFP!D43</f>
        <v>0</v>
      </c>
      <c r="F9" s="56">
        <f>SFP!E43</f>
        <v>0</v>
      </c>
      <c r="G9" s="56">
        <f>SFP!F43</f>
        <v>0</v>
      </c>
      <c r="H9" s="56">
        <f>SFP!G43</f>
        <v>0</v>
      </c>
      <c r="I9" s="56">
        <f>SFP!H43</f>
        <v>0</v>
      </c>
      <c r="J9" s="56">
        <f>SFP!I43</f>
        <v>0</v>
      </c>
      <c r="K9" s="56">
        <f>SFP!J43</f>
        <v>0</v>
      </c>
      <c r="L9" s="56">
        <f>SFP!K43</f>
        <v>0</v>
      </c>
      <c r="M9" s="56">
        <f>SFP!L43</f>
        <v>0</v>
      </c>
      <c r="N9" s="56">
        <f>SFP!M43</f>
        <v>0</v>
      </c>
      <c r="O9" s="56">
        <f>SFP!N43</f>
        <v>0</v>
      </c>
      <c r="P9" s="56">
        <f>SFP!O39</f>
        <v>3750000</v>
      </c>
      <c r="Q9" s="56">
        <f>SFP!P39</f>
        <v>3125000</v>
      </c>
      <c r="R9" s="56">
        <f>SFP!Q39</f>
        <v>2500000</v>
      </c>
      <c r="S9" s="56">
        <f>SFP!R39</f>
        <v>1875000</v>
      </c>
      <c r="T9" s="56">
        <f>SFP!S39</f>
        <v>1250000</v>
      </c>
      <c r="U9" s="56">
        <f>SFP!T39</f>
        <v>587500</v>
      </c>
      <c r="V9" s="56">
        <f>SFP!U39</f>
        <v>30000000</v>
      </c>
      <c r="W9" s="56">
        <f>SFP!V39</f>
        <v>30145850.739999998</v>
      </c>
      <c r="X9" s="56">
        <f>SFP!W39</f>
        <v>24965766.449999999</v>
      </c>
      <c r="Y9" s="56">
        <f>SFP!X39</f>
        <v>22665366.530000001</v>
      </c>
      <c r="Z9" s="56">
        <f>SFP!Y39</f>
        <v>20210491.640000001</v>
      </c>
      <c r="AA9" s="56">
        <f>SFP!Z39</f>
        <v>17725088.129999999</v>
      </c>
      <c r="AB9" s="56">
        <f>SFP!AA39</f>
        <v>17843777.129999999</v>
      </c>
      <c r="AC9" s="56">
        <f>SFP!AB39</f>
        <v>15259863</v>
      </c>
      <c r="AD9" s="56">
        <f>SFP!AC39</f>
        <v>12211962.1</v>
      </c>
      <c r="AE9" s="56">
        <f>SFP!AD39</f>
        <v>39740028.740000002</v>
      </c>
      <c r="AF9" s="56">
        <f>SFP!AE39</f>
        <v>37649094.799999997</v>
      </c>
      <c r="AG9" s="56">
        <f>SFP!AF39</f>
        <v>38449577.509999998</v>
      </c>
      <c r="AH9" s="56">
        <f>SFP!AG39</f>
        <v>33710077.340000004</v>
      </c>
      <c r="AI9" s="56">
        <f>SFP!AH39</f>
        <v>30825000</v>
      </c>
    </row>
    <row r="10" spans="1:35" ht="12.75">
      <c r="A10" s="43">
        <v>4.0999999999999996</v>
      </c>
      <c r="B10" s="53" t="s">
        <v>120</v>
      </c>
      <c r="C10" s="75">
        <f>SFP!B34+SFP!B35+SFP!B36+SFP!B37+SFP!B38</f>
        <v>20053673</v>
      </c>
      <c r="D10" s="75">
        <f>SFP!C37+SFP!C38+SFP!C39+SFP!C40+SFP!C42</f>
        <v>380825137.16000009</v>
      </c>
      <c r="E10" s="75">
        <f>SFP!D37+SFP!D38+SFP!D39+SFP!D40+SFP!D42</f>
        <v>387876671.98000002</v>
      </c>
      <c r="F10" s="75">
        <f>SFP!E37+SFP!E38+SFP!E39+SFP!E40+SFP!E42</f>
        <v>382930518.36000007</v>
      </c>
      <c r="G10" s="75">
        <f>SFP!F37+SFP!F38+SFP!F39+SFP!F40+SFP!F42</f>
        <v>433797362.13000005</v>
      </c>
      <c r="H10" s="75">
        <f>SFP!G37+SFP!G38+SFP!G39+SFP!G40+SFP!G42</f>
        <v>422725155.17000002</v>
      </c>
      <c r="I10" s="75">
        <f>SFP!H37+SFP!H38+SFP!H39+SFP!H40+SFP!H42</f>
        <v>440028222.96000004</v>
      </c>
      <c r="J10" s="75">
        <f>SFP!I37+SFP!I38+SFP!I39+SFP!I40+SFP!I42</f>
        <v>435653564.31999999</v>
      </c>
      <c r="K10" s="75">
        <f>SFP!J37+SFP!J38+SFP!J39+SFP!J40+SFP!J42</f>
        <v>441192185.57000005</v>
      </c>
      <c r="L10" s="75">
        <f>SFP!K37+SFP!K38+SFP!K39+SFP!K40+SFP!K42</f>
        <v>442858898.76999998</v>
      </c>
      <c r="M10" s="75">
        <f>SFP!L37+SFP!L38+SFP!L39+SFP!L40+SFP!L42</f>
        <v>454421949.99999994</v>
      </c>
      <c r="N10" s="75">
        <f>SFP!M37+SFP!M38+SFP!M39+SFP!M40+SFP!M42</f>
        <v>443764929.83999991</v>
      </c>
      <c r="O10" s="75" t="e">
        <f>SFP!N37+SFP!N38+SFP!N39+SFP!N40+SFP!N42</f>
        <v>#VALUE!</v>
      </c>
      <c r="P10" s="75">
        <f>SFP!O34+SFP!O35+SFP!O36+SFP!O37+SFP!O38</f>
        <v>22421347</v>
      </c>
      <c r="Q10" s="75">
        <f>SFP!P34+SFP!P35+SFP!P36+SFP!P37+SFP!P38</f>
        <v>-6603381.4699999997</v>
      </c>
      <c r="R10" s="75">
        <f>SFP!Q34+SFP!Q35+SFP!Q36+SFP!Q37+SFP!Q38</f>
        <v>-6448228.1899999995</v>
      </c>
      <c r="S10" s="75">
        <f>SFP!R34+SFP!R35+SFP!R36+SFP!R37+SFP!R38</f>
        <v>-23975184.080000002</v>
      </c>
      <c r="T10" s="75">
        <f>SFP!S34+SFP!S35+SFP!S36+SFP!S37+SFP!S38</f>
        <v>-3243878.290000001</v>
      </c>
      <c r="U10" s="75">
        <f>SFP!T34+SFP!T35+SFP!T36+SFP!T37+SFP!T38</f>
        <v>-4004764.3900000025</v>
      </c>
      <c r="V10" s="75">
        <f>SFP!U34+SFP!U35+SFP!U36+SFP!U37+SFP!U38</f>
        <v>-4051046.1100000013</v>
      </c>
      <c r="W10" s="75">
        <f>SFP!V34+SFP!V35+SFP!V36+SFP!V37+SFP!V38</f>
        <v>-4106966.2700000014</v>
      </c>
      <c r="X10" s="75">
        <f>SFP!W34+SFP!W35+SFP!W36+SFP!W37+SFP!W38</f>
        <v>-3951505.9099999997</v>
      </c>
      <c r="Y10" s="75">
        <f>SFP!X34+SFP!X35+SFP!X36+SFP!X37+SFP!X38</f>
        <v>-4599467.8599999994</v>
      </c>
      <c r="Z10" s="75">
        <f>SFP!Y34+SFP!Y35+SFP!Y36+SFP!Y37+SFP!Y38</f>
        <v>-5249612.76</v>
      </c>
      <c r="AA10" s="75">
        <f>SFP!Z34+SFP!Z35+SFP!Z36+SFP!Z37+SFP!Z38</f>
        <v>-10449703.73</v>
      </c>
      <c r="AB10" s="75">
        <f>SFP!AA34+SFP!AA35+SFP!AA36+SFP!AA37+SFP!AA38</f>
        <v>-10629547.109999999</v>
      </c>
      <c r="AC10" s="75">
        <f>SFP!AB34+SFP!AB35+SFP!AB36+SFP!AB37+SFP!AB38</f>
        <v>25410942</v>
      </c>
      <c r="AD10" s="75">
        <f>SFP!AC34+SFP!AC35+SFP!AC36+SFP!AC37+SFP!AC38</f>
        <v>17283891.940000001</v>
      </c>
      <c r="AE10" s="75">
        <f>SFP!AD34+SFP!AD35+SFP!AD36+SFP!AD37+SFP!AD38</f>
        <v>13528614.620000001</v>
      </c>
      <c r="AF10" s="75">
        <f>SFP!AE34+SFP!AE35+SFP!AE36+SFP!AE37+SFP!AE38</f>
        <v>-9101069.879999999</v>
      </c>
      <c r="AG10" s="75">
        <f>SFP!AF34+SFP!AF35+SFP!AF36+SFP!AF37+SFP!AF38</f>
        <v>-12299548.76</v>
      </c>
      <c r="AH10" s="75">
        <f>SFP!AG34+SFP!AG35+SFP!AG36+SFP!AG37+SFP!AG38</f>
        <v>-12332506.699999999</v>
      </c>
      <c r="AI10" s="75">
        <f>SFP!AH34+SFP!AH35+SFP!AH36+SFP!AH37+SFP!AH38</f>
        <v>-12553592.85</v>
      </c>
    </row>
    <row r="11" spans="1:35" ht="12.75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</row>
    <row r="12" spans="1:35" ht="13.9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</row>
    <row r="13" spans="1:35" ht="12" customHeight="1">
      <c r="A13" s="33">
        <v>5</v>
      </c>
      <c r="B13" s="105" t="s">
        <v>121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</row>
    <row r="14" spans="1:35" s="131" customFormat="1" ht="12.75">
      <c r="A14" s="128">
        <v>5.0999999999999996</v>
      </c>
      <c r="B14" s="129" t="s">
        <v>122</v>
      </c>
      <c r="C14" s="130">
        <f t="shared" ref="C14:O14" si="0">C17</f>
        <v>82862280</v>
      </c>
      <c r="D14" s="130" t="e">
        <f t="shared" si="0"/>
        <v>#REF!</v>
      </c>
      <c r="E14" s="130" t="e">
        <f t="shared" si="0"/>
        <v>#REF!</v>
      </c>
      <c r="F14" s="130" t="e">
        <f t="shared" si="0"/>
        <v>#REF!</v>
      </c>
      <c r="G14" s="130" t="e">
        <f t="shared" si="0"/>
        <v>#REF!</v>
      </c>
      <c r="H14" s="130" t="e">
        <f t="shared" si="0"/>
        <v>#REF!</v>
      </c>
      <c r="I14" s="130" t="e">
        <f t="shared" si="0"/>
        <v>#REF!</v>
      </c>
      <c r="J14" s="130" t="e">
        <f t="shared" si="0"/>
        <v>#REF!</v>
      </c>
      <c r="K14" s="130" t="e">
        <f t="shared" si="0"/>
        <v>#REF!</v>
      </c>
      <c r="L14" s="130" t="e">
        <f t="shared" si="0"/>
        <v>#REF!</v>
      </c>
      <c r="M14" s="130" t="e">
        <f t="shared" si="0"/>
        <v>#REF!</v>
      </c>
      <c r="N14" s="130" t="e">
        <f t="shared" si="0"/>
        <v>#REF!</v>
      </c>
      <c r="O14" s="130" t="e">
        <f t="shared" si="0"/>
        <v>#REF!</v>
      </c>
      <c r="P14" s="130">
        <f t="shared" ref="P14:AH14" si="1">P17</f>
        <v>92801711</v>
      </c>
      <c r="Q14" s="130">
        <f t="shared" si="1"/>
        <v>110362886.03999999</v>
      </c>
      <c r="R14" s="130">
        <f t="shared" si="1"/>
        <v>111861047.42</v>
      </c>
      <c r="S14" s="130">
        <f t="shared" si="1"/>
        <v>114660019.06</v>
      </c>
      <c r="T14" s="130">
        <f t="shared" si="1"/>
        <v>93017859.579999998</v>
      </c>
      <c r="U14" s="130">
        <f t="shared" si="1"/>
        <v>97508023.210000008</v>
      </c>
      <c r="V14" s="130">
        <f t="shared" si="1"/>
        <v>99818672.620000005</v>
      </c>
      <c r="W14" s="130">
        <f t="shared" si="1"/>
        <v>102052573.05</v>
      </c>
      <c r="X14" s="130">
        <f t="shared" si="1"/>
        <v>104103239.81999999</v>
      </c>
      <c r="Y14" s="130">
        <f t="shared" si="1"/>
        <v>105753592.55000001</v>
      </c>
      <c r="Z14" s="130">
        <f t="shared" si="1"/>
        <v>107929779.63</v>
      </c>
      <c r="AA14" s="130">
        <f t="shared" si="1"/>
        <v>115732464.97</v>
      </c>
      <c r="AB14" s="130">
        <f t="shared" si="1"/>
        <v>117814713.40000001</v>
      </c>
      <c r="AC14" s="130">
        <f t="shared" si="1"/>
        <v>101869376</v>
      </c>
      <c r="AD14" s="130">
        <f t="shared" si="1"/>
        <v>93744100.569999993</v>
      </c>
      <c r="AE14" s="130">
        <f t="shared" si="1"/>
        <v>99853613.480000004</v>
      </c>
      <c r="AF14" s="130">
        <f t="shared" si="1"/>
        <v>103257475.98999999</v>
      </c>
      <c r="AG14" s="130">
        <f t="shared" si="1"/>
        <v>106790043.33</v>
      </c>
      <c r="AH14" s="130">
        <f t="shared" si="1"/>
        <v>109041964.02000001</v>
      </c>
      <c r="AI14" s="130">
        <f t="shared" ref="AI14" si="2">AI17</f>
        <v>110767059</v>
      </c>
    </row>
    <row r="15" spans="1:35" s="135" customFormat="1" ht="12.75">
      <c r="A15" s="132">
        <v>5.2</v>
      </c>
      <c r="B15" s="133" t="s">
        <v>123</v>
      </c>
      <c r="C15" s="134">
        <f t="shared" ref="C15:O15" si="3">C14-C18</f>
        <v>33129239</v>
      </c>
      <c r="D15" s="134" t="e">
        <f t="shared" si="3"/>
        <v>#REF!</v>
      </c>
      <c r="E15" s="134" t="e">
        <f t="shared" si="3"/>
        <v>#REF!</v>
      </c>
      <c r="F15" s="134" t="e">
        <f t="shared" si="3"/>
        <v>#REF!</v>
      </c>
      <c r="G15" s="134" t="e">
        <f t="shared" si="3"/>
        <v>#REF!</v>
      </c>
      <c r="H15" s="134" t="e">
        <f t="shared" si="3"/>
        <v>#REF!</v>
      </c>
      <c r="I15" s="134" t="e">
        <f t="shared" si="3"/>
        <v>#REF!</v>
      </c>
      <c r="J15" s="134" t="e">
        <f t="shared" si="3"/>
        <v>#REF!</v>
      </c>
      <c r="K15" s="134" t="e">
        <f t="shared" si="3"/>
        <v>#REF!</v>
      </c>
      <c r="L15" s="134" t="e">
        <f t="shared" si="3"/>
        <v>#REF!</v>
      </c>
      <c r="M15" s="134" t="e">
        <f t="shared" si="3"/>
        <v>#REF!</v>
      </c>
      <c r="N15" s="134" t="e">
        <f t="shared" si="3"/>
        <v>#REF!</v>
      </c>
      <c r="O15" s="134" t="e">
        <f t="shared" si="3"/>
        <v>#REF!</v>
      </c>
      <c r="P15" s="134">
        <f t="shared" ref="P15:AH15" si="4">P14-P18</f>
        <v>40927551</v>
      </c>
      <c r="Q15" s="134">
        <f t="shared" si="4"/>
        <v>60218911.179999992</v>
      </c>
      <c r="R15" s="134">
        <f t="shared" si="4"/>
        <v>61587979.5</v>
      </c>
      <c r="S15" s="134">
        <f t="shared" si="4"/>
        <v>64369593.940000005</v>
      </c>
      <c r="T15" s="134">
        <f t="shared" si="4"/>
        <v>42727684.460000001</v>
      </c>
      <c r="U15" s="134">
        <f t="shared" si="4"/>
        <v>46467737.720000006</v>
      </c>
      <c r="V15" s="134">
        <f t="shared" si="4"/>
        <v>48515381.570000008</v>
      </c>
      <c r="W15" s="134">
        <f t="shared" si="4"/>
        <v>50745338.329999998</v>
      </c>
      <c r="X15" s="134">
        <f t="shared" si="4"/>
        <v>52741138.43999999</v>
      </c>
      <c r="Y15" s="134">
        <f t="shared" si="4"/>
        <v>54389241.170000009</v>
      </c>
      <c r="Z15" s="134">
        <f t="shared" si="4"/>
        <v>55653539.299999997</v>
      </c>
      <c r="AA15" s="134">
        <f t="shared" si="4"/>
        <v>63455824.640000001</v>
      </c>
      <c r="AB15" s="134">
        <f t="shared" si="4"/>
        <v>65110440.300000004</v>
      </c>
      <c r="AC15" s="134">
        <f t="shared" si="4"/>
        <v>46515973</v>
      </c>
      <c r="AD15" s="134">
        <f t="shared" si="4"/>
        <v>41045727.469999991</v>
      </c>
      <c r="AE15" s="134">
        <f t="shared" si="4"/>
        <v>47165280.380000003</v>
      </c>
      <c r="AF15" s="134">
        <f t="shared" si="4"/>
        <v>50181735.119999997</v>
      </c>
      <c r="AG15" s="134">
        <f t="shared" si="4"/>
        <v>53477685.369999997</v>
      </c>
      <c r="AH15" s="134">
        <f t="shared" si="4"/>
        <v>55605746.730000012</v>
      </c>
      <c r="AI15" s="134">
        <f t="shared" ref="AI15" si="5">AI14-AI18</f>
        <v>56814067.450000003</v>
      </c>
    </row>
    <row r="16" spans="1:35" ht="12.75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</row>
    <row r="17" spans="1:35" ht="12.75">
      <c r="A17" s="38">
        <v>5.3</v>
      </c>
      <c r="B17" s="28" t="s">
        <v>124</v>
      </c>
      <c r="C17" s="120">
        <f t="shared" ref="C17:O17" si="6">SUM(C18:C21)</f>
        <v>82862280</v>
      </c>
      <c r="D17" s="120" t="e">
        <f t="shared" si="6"/>
        <v>#REF!</v>
      </c>
      <c r="E17" s="120" t="e">
        <f t="shared" si="6"/>
        <v>#REF!</v>
      </c>
      <c r="F17" s="120" t="e">
        <f t="shared" si="6"/>
        <v>#REF!</v>
      </c>
      <c r="G17" s="120" t="e">
        <f t="shared" si="6"/>
        <v>#REF!</v>
      </c>
      <c r="H17" s="120" t="e">
        <f t="shared" si="6"/>
        <v>#REF!</v>
      </c>
      <c r="I17" s="120" t="e">
        <f t="shared" si="6"/>
        <v>#REF!</v>
      </c>
      <c r="J17" s="120" t="e">
        <f t="shared" si="6"/>
        <v>#REF!</v>
      </c>
      <c r="K17" s="120" t="e">
        <f t="shared" si="6"/>
        <v>#REF!</v>
      </c>
      <c r="L17" s="120" t="e">
        <f t="shared" si="6"/>
        <v>#REF!</v>
      </c>
      <c r="M17" s="120" t="e">
        <f t="shared" si="6"/>
        <v>#REF!</v>
      </c>
      <c r="N17" s="120" t="e">
        <f t="shared" si="6"/>
        <v>#REF!</v>
      </c>
      <c r="O17" s="120" t="e">
        <f t="shared" si="6"/>
        <v>#REF!</v>
      </c>
      <c r="P17" s="120">
        <f t="shared" ref="P17:AH17" si="7">SUM(P18:P21)</f>
        <v>92801711</v>
      </c>
      <c r="Q17" s="120">
        <f t="shared" si="7"/>
        <v>110362886.03999999</v>
      </c>
      <c r="R17" s="120">
        <f t="shared" si="7"/>
        <v>111861047.42</v>
      </c>
      <c r="S17" s="120">
        <f t="shared" si="7"/>
        <v>114660019.06</v>
      </c>
      <c r="T17" s="120">
        <f t="shared" si="7"/>
        <v>93017859.579999998</v>
      </c>
      <c r="U17" s="120">
        <f t="shared" si="7"/>
        <v>97508023.210000008</v>
      </c>
      <c r="V17" s="120">
        <f t="shared" si="7"/>
        <v>99818672.620000005</v>
      </c>
      <c r="W17" s="120">
        <f t="shared" si="7"/>
        <v>102052573.05</v>
      </c>
      <c r="X17" s="120">
        <f t="shared" si="7"/>
        <v>104103239.81999999</v>
      </c>
      <c r="Y17" s="120">
        <f t="shared" si="7"/>
        <v>105753592.55000001</v>
      </c>
      <c r="Z17" s="120">
        <f t="shared" si="7"/>
        <v>107929779.63</v>
      </c>
      <c r="AA17" s="120">
        <f t="shared" si="7"/>
        <v>115732464.97</v>
      </c>
      <c r="AB17" s="120">
        <f t="shared" si="7"/>
        <v>117814713.40000001</v>
      </c>
      <c r="AC17" s="120">
        <f t="shared" si="7"/>
        <v>101869376</v>
      </c>
      <c r="AD17" s="120">
        <f t="shared" si="7"/>
        <v>93744100.569999993</v>
      </c>
      <c r="AE17" s="120">
        <f t="shared" si="7"/>
        <v>99853613.480000004</v>
      </c>
      <c r="AF17" s="120">
        <f t="shared" si="7"/>
        <v>103257475.98999999</v>
      </c>
      <c r="AG17" s="120">
        <f t="shared" si="7"/>
        <v>106790043.33</v>
      </c>
      <c r="AH17" s="120">
        <f t="shared" si="7"/>
        <v>109041964.02000001</v>
      </c>
      <c r="AI17" s="120">
        <f t="shared" ref="AI17" si="8">SUM(AI18:AI21)</f>
        <v>110767059</v>
      </c>
    </row>
    <row r="18" spans="1:35" ht="12.75">
      <c r="A18" s="34" t="s">
        <v>125</v>
      </c>
      <c r="B18" s="106" t="s">
        <v>126</v>
      </c>
      <c r="C18" s="115">
        <f>SFP!B42</f>
        <v>49733041</v>
      </c>
      <c r="D18" s="115">
        <f>SFP!C50</f>
        <v>11432500</v>
      </c>
      <c r="E18" s="115">
        <f>SFP!D50</f>
        <v>11432500</v>
      </c>
      <c r="F18" s="115">
        <f>SFP!E50</f>
        <v>11432500</v>
      </c>
      <c r="G18" s="115">
        <f>SFP!F50</f>
        <v>12421535</v>
      </c>
      <c r="H18" s="115">
        <f>SFP!G50</f>
        <v>12421535</v>
      </c>
      <c r="I18" s="115">
        <f>SFP!H50</f>
        <v>12421535</v>
      </c>
      <c r="J18" s="115">
        <f>SFP!I50</f>
        <v>12421535</v>
      </c>
      <c r="K18" s="115">
        <f>SFP!J50</f>
        <v>12421535</v>
      </c>
      <c r="L18" s="115">
        <f>SFP!K50</f>
        <v>12421535</v>
      </c>
      <c r="M18" s="115">
        <f>SFP!L50</f>
        <v>12421535</v>
      </c>
      <c r="N18" s="115">
        <f>SFP!M50</f>
        <v>12421535</v>
      </c>
      <c r="O18" s="115">
        <f>SFP!N50</f>
        <v>12421535</v>
      </c>
      <c r="P18" s="115">
        <f>SFP!O42</f>
        <v>51874160</v>
      </c>
      <c r="Q18" s="115">
        <f>SFP!P42</f>
        <v>50143974.859999999</v>
      </c>
      <c r="R18" s="115">
        <f>SFP!Q42</f>
        <v>50273067.920000002</v>
      </c>
      <c r="S18" s="115">
        <f>SFP!R42</f>
        <v>50290425.119999997</v>
      </c>
      <c r="T18" s="115">
        <f>SFP!S42</f>
        <v>50290175.119999997</v>
      </c>
      <c r="U18" s="115">
        <f>SFP!T42</f>
        <v>51040285.490000002</v>
      </c>
      <c r="V18" s="115">
        <f>SFP!U42</f>
        <v>51303291.049999997</v>
      </c>
      <c r="W18" s="115">
        <f>SFP!V42</f>
        <v>51307234.719999999</v>
      </c>
      <c r="X18" s="115">
        <f>SFP!W42</f>
        <v>51362101.380000003</v>
      </c>
      <c r="Y18" s="115">
        <f>SFP!X42</f>
        <v>51364351.380000003</v>
      </c>
      <c r="Z18" s="115">
        <f>SFP!Y42</f>
        <v>52276240.329999998</v>
      </c>
      <c r="AA18" s="115">
        <f>SFP!Z42</f>
        <v>52276640.329999998</v>
      </c>
      <c r="AB18" s="115">
        <f>SFP!AA42</f>
        <v>52704273.100000001</v>
      </c>
      <c r="AC18" s="115">
        <f>SFP!AB42</f>
        <v>55353403</v>
      </c>
      <c r="AD18" s="115">
        <f>SFP!AC42</f>
        <v>52698373.100000001</v>
      </c>
      <c r="AE18" s="115">
        <f>SFP!AD42</f>
        <v>52688333.100000001</v>
      </c>
      <c r="AF18" s="115">
        <f>SFP!AE42</f>
        <v>53075740.869999997</v>
      </c>
      <c r="AG18" s="115">
        <f>SFP!AF42</f>
        <v>53312357.960000001</v>
      </c>
      <c r="AH18" s="115">
        <f>SFP!AG42</f>
        <v>53436217.289999999</v>
      </c>
      <c r="AI18" s="115">
        <f>SFP!AH42</f>
        <v>53952991.549999997</v>
      </c>
    </row>
    <row r="19" spans="1:35" ht="12.75">
      <c r="A19" s="34" t="s">
        <v>127</v>
      </c>
      <c r="B19" s="104" t="s">
        <v>128</v>
      </c>
      <c r="C19" s="115">
        <f>SFP!B45</f>
        <v>20707704</v>
      </c>
      <c r="D19" s="115">
        <f>SFP!C53</f>
        <v>0</v>
      </c>
      <c r="E19" s="115">
        <f>SFP!D53</f>
        <v>0</v>
      </c>
      <c r="F19" s="115">
        <f>SFP!E53</f>
        <v>0</v>
      </c>
      <c r="G19" s="115">
        <f>SFP!F53</f>
        <v>0</v>
      </c>
      <c r="H19" s="115">
        <f>SFP!G53</f>
        <v>0</v>
      </c>
      <c r="I19" s="115">
        <f>SFP!H53</f>
        <v>0</v>
      </c>
      <c r="J19" s="115">
        <f>SFP!I53</f>
        <v>0</v>
      </c>
      <c r="K19" s="115">
        <f>SFP!J53</f>
        <v>0</v>
      </c>
      <c r="L19" s="115">
        <f>SFP!K53</f>
        <v>0</v>
      </c>
      <c r="M19" s="115">
        <f>SFP!L53</f>
        <v>0</v>
      </c>
      <c r="N19" s="115">
        <f>SFP!M53</f>
        <v>0</v>
      </c>
      <c r="O19" s="115">
        <f>SFP!N53</f>
        <v>0</v>
      </c>
      <c r="P19" s="115">
        <f>SFP!O45</f>
        <v>23827293</v>
      </c>
      <c r="Q19" s="115">
        <f>SFP!P45</f>
        <v>44855935.18</v>
      </c>
      <c r="R19" s="115">
        <f>SFP!Q45</f>
        <v>46225003.5</v>
      </c>
      <c r="S19" s="115">
        <f>SFP!R45</f>
        <v>49006617.939999998</v>
      </c>
      <c r="T19" s="115">
        <f>SFP!S45</f>
        <v>27364708.460000001</v>
      </c>
      <c r="U19" s="115">
        <f>SFP!T45</f>
        <v>31104761.719999999</v>
      </c>
      <c r="V19" s="115">
        <f>SFP!U45</f>
        <v>33152405.57</v>
      </c>
      <c r="W19" s="115">
        <f>SFP!V45</f>
        <v>35382362.329999998</v>
      </c>
      <c r="X19" s="115">
        <f>SFP!W45</f>
        <v>37378162.439999998</v>
      </c>
      <c r="Y19" s="115">
        <f>SFP!X45</f>
        <v>39026265.170000002</v>
      </c>
      <c r="Z19" s="115">
        <f>SFP!Y45</f>
        <v>40290563.299999997</v>
      </c>
      <c r="AA19" s="115">
        <f>SFP!Z45</f>
        <v>46355566.640000001</v>
      </c>
      <c r="AB19" s="115">
        <f>SFP!AA45</f>
        <v>48010182.299999997</v>
      </c>
      <c r="AC19" s="115">
        <f>SFP!AB45</f>
        <v>27482766</v>
      </c>
      <c r="AD19" s="115">
        <f>SFP!AC45</f>
        <v>23945469.469999999</v>
      </c>
      <c r="AE19" s="115">
        <f>SFP!AD45</f>
        <v>30065022.379999999</v>
      </c>
      <c r="AF19" s="115">
        <f>SFP!AE45</f>
        <v>33081477.119999997</v>
      </c>
      <c r="AG19" s="115">
        <f>SFP!AF45</f>
        <v>36377427.369999997</v>
      </c>
      <c r="AH19" s="115">
        <f>SFP!AG45</f>
        <v>38505488.730000004</v>
      </c>
      <c r="AI19" s="115">
        <f>SFP!AH45</f>
        <v>39713809.450000003</v>
      </c>
    </row>
    <row r="20" spans="1:35" ht="12.75">
      <c r="A20" s="34" t="s">
        <v>129</v>
      </c>
      <c r="B20" s="104" t="s">
        <v>130</v>
      </c>
      <c r="C20" s="115">
        <f>SFP!B50</f>
        <v>12421535</v>
      </c>
      <c r="D20" s="115" t="e">
        <f>SFP!#REF!</f>
        <v>#REF!</v>
      </c>
      <c r="E20" s="115" t="e">
        <f>SFP!#REF!</f>
        <v>#REF!</v>
      </c>
      <c r="F20" s="115" t="e">
        <f>SFP!#REF!</f>
        <v>#REF!</v>
      </c>
      <c r="G20" s="115" t="e">
        <f>SFP!#REF!</f>
        <v>#REF!</v>
      </c>
      <c r="H20" s="115" t="e">
        <f>SFP!#REF!</f>
        <v>#REF!</v>
      </c>
      <c r="I20" s="115" t="e">
        <f>SFP!#REF!</f>
        <v>#REF!</v>
      </c>
      <c r="J20" s="115" t="e">
        <f>SFP!#REF!</f>
        <v>#REF!</v>
      </c>
      <c r="K20" s="115" t="e">
        <f>SFP!#REF!</f>
        <v>#REF!</v>
      </c>
      <c r="L20" s="115" t="e">
        <f>SFP!#REF!</f>
        <v>#REF!</v>
      </c>
      <c r="M20" s="115" t="e">
        <f>SFP!#REF!</f>
        <v>#REF!</v>
      </c>
      <c r="N20" s="115" t="e">
        <f>SFP!#REF!</f>
        <v>#REF!</v>
      </c>
      <c r="O20" s="115" t="e">
        <f>SFP!#REF!</f>
        <v>#REF!</v>
      </c>
      <c r="P20" s="115">
        <f>SFP!O50</f>
        <v>14158817</v>
      </c>
      <c r="Q20" s="115">
        <f>SFP!P50</f>
        <v>12421535</v>
      </c>
      <c r="R20" s="115">
        <f>SFP!Q50</f>
        <v>12421535</v>
      </c>
      <c r="S20" s="115">
        <f>SFP!R50</f>
        <v>12421535</v>
      </c>
      <c r="T20" s="115">
        <f>SFP!S50</f>
        <v>12421535</v>
      </c>
      <c r="U20" s="115">
        <f>SFP!T50</f>
        <v>12421535</v>
      </c>
      <c r="V20" s="115">
        <f>SFP!U50</f>
        <v>12421535</v>
      </c>
      <c r="W20" s="115">
        <f>SFP!V50</f>
        <v>12421535</v>
      </c>
      <c r="X20" s="115">
        <f>SFP!W50</f>
        <v>12421535</v>
      </c>
      <c r="Y20" s="115">
        <f>SFP!X50</f>
        <v>12421535</v>
      </c>
      <c r="Z20" s="115">
        <f>SFP!Y50</f>
        <v>12421535</v>
      </c>
      <c r="AA20" s="115">
        <f>SFP!Z50</f>
        <v>14158817</v>
      </c>
      <c r="AB20" s="115">
        <f>SFP!AA50</f>
        <v>14158817</v>
      </c>
      <c r="AC20" s="115">
        <f>SFP!AB50</f>
        <v>16091766</v>
      </c>
      <c r="AD20" s="115">
        <f>SFP!AC50</f>
        <v>14158817</v>
      </c>
      <c r="AE20" s="115">
        <f>SFP!AD50</f>
        <v>14158817</v>
      </c>
      <c r="AF20" s="115">
        <f>SFP!AE50</f>
        <v>14158817</v>
      </c>
      <c r="AG20" s="115">
        <f>SFP!AF50</f>
        <v>14158817</v>
      </c>
      <c r="AH20" s="115">
        <f>SFP!AG50</f>
        <v>14158817</v>
      </c>
      <c r="AI20" s="115">
        <f>SFP!AH50</f>
        <v>14158817</v>
      </c>
    </row>
    <row r="21" spans="1:35" ht="12.75">
      <c r="A21" s="34" t="s">
        <v>131</v>
      </c>
      <c r="B21" s="104" t="s">
        <v>132</v>
      </c>
      <c r="C21" s="115">
        <f>SFP!B51</f>
        <v>0</v>
      </c>
      <c r="D21" s="115" t="e">
        <f>SFP!#REF!</f>
        <v>#REF!</v>
      </c>
      <c r="E21" s="115" t="e">
        <f>SFP!#REF!</f>
        <v>#REF!</v>
      </c>
      <c r="F21" s="115" t="e">
        <f>SFP!#REF!</f>
        <v>#REF!</v>
      </c>
      <c r="G21" s="115" t="e">
        <f>SFP!#REF!</f>
        <v>#REF!</v>
      </c>
      <c r="H21" s="115" t="e">
        <f>SFP!#REF!</f>
        <v>#REF!</v>
      </c>
      <c r="I21" s="115" t="e">
        <f>SFP!#REF!</f>
        <v>#REF!</v>
      </c>
      <c r="J21" s="115" t="e">
        <f>SFP!#REF!</f>
        <v>#REF!</v>
      </c>
      <c r="K21" s="115" t="e">
        <f>SFP!#REF!</f>
        <v>#REF!</v>
      </c>
      <c r="L21" s="115" t="e">
        <f>SFP!#REF!</f>
        <v>#REF!</v>
      </c>
      <c r="M21" s="115" t="e">
        <f>SFP!#REF!</f>
        <v>#REF!</v>
      </c>
      <c r="N21" s="115" t="e">
        <f>SFP!#REF!</f>
        <v>#REF!</v>
      </c>
      <c r="O21" s="115" t="e">
        <f>SFP!#REF!</f>
        <v>#REF!</v>
      </c>
      <c r="P21" s="115">
        <f>SFP!O51</f>
        <v>2941441</v>
      </c>
      <c r="Q21" s="115">
        <f>SFP!P51</f>
        <v>2941441</v>
      </c>
      <c r="R21" s="115">
        <f>SFP!Q51</f>
        <v>2941441</v>
      </c>
      <c r="S21" s="115">
        <f>SFP!R51</f>
        <v>2941441</v>
      </c>
      <c r="T21" s="115">
        <f>SFP!S51</f>
        <v>2941441</v>
      </c>
      <c r="U21" s="115">
        <f>SFP!T51</f>
        <v>2941441</v>
      </c>
      <c r="V21" s="115">
        <f>SFP!U51</f>
        <v>2941441</v>
      </c>
      <c r="W21" s="115">
        <f>SFP!V51</f>
        <v>2941441</v>
      </c>
      <c r="X21" s="115">
        <f>SFP!W51</f>
        <v>2941441</v>
      </c>
      <c r="Y21" s="115">
        <f>SFP!X51</f>
        <v>2941441</v>
      </c>
      <c r="Z21" s="115">
        <f>SFP!Y51</f>
        <v>2941441</v>
      </c>
      <c r="AA21" s="115">
        <f>SFP!Z51</f>
        <v>2941441</v>
      </c>
      <c r="AB21" s="115">
        <f>SFP!AA51</f>
        <v>2941441</v>
      </c>
      <c r="AC21" s="115">
        <f>SFP!AB51</f>
        <v>2941441</v>
      </c>
      <c r="AD21" s="115">
        <f>SFP!AC51</f>
        <v>2941441</v>
      </c>
      <c r="AE21" s="115">
        <f>SFP!AD51</f>
        <v>2941441</v>
      </c>
      <c r="AF21" s="115">
        <f>SFP!AE51</f>
        <v>2941441</v>
      </c>
      <c r="AG21" s="115">
        <f>SFP!AF51</f>
        <v>2941441</v>
      </c>
      <c r="AH21" s="115">
        <f>SFP!AG51</f>
        <v>2941441</v>
      </c>
      <c r="AI21" s="115">
        <f>SFP!AH51</f>
        <v>2941441</v>
      </c>
    </row>
    <row r="22" spans="1:35" ht="12.75">
      <c r="A22" s="34" t="s">
        <v>133</v>
      </c>
      <c r="B22" s="107" t="s">
        <v>134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</row>
    <row r="23" spans="1:35">
      <c r="A23" s="39" t="s">
        <v>135</v>
      </c>
      <c r="B23" s="104" t="s">
        <v>136</v>
      </c>
      <c r="C23" s="115">
        <f>SFP!B53</f>
        <v>0</v>
      </c>
      <c r="D23" s="115" t="e">
        <f>SFP!#REF!</f>
        <v>#REF!</v>
      </c>
      <c r="E23" s="115" t="e">
        <f>SFP!#REF!</f>
        <v>#REF!</v>
      </c>
      <c r="F23" s="115" t="e">
        <f>SFP!#REF!</f>
        <v>#REF!</v>
      </c>
      <c r="G23" s="115" t="e">
        <f>SFP!#REF!</f>
        <v>#REF!</v>
      </c>
      <c r="H23" s="115" t="e">
        <f>SFP!#REF!</f>
        <v>#REF!</v>
      </c>
      <c r="I23" s="115" t="e">
        <f>SFP!#REF!</f>
        <v>#REF!</v>
      </c>
      <c r="J23" s="115" t="e">
        <f>SFP!#REF!</f>
        <v>#REF!</v>
      </c>
      <c r="K23" s="115" t="e">
        <f>SFP!#REF!</f>
        <v>#REF!</v>
      </c>
      <c r="L23" s="115" t="e">
        <f>SFP!#REF!</f>
        <v>#REF!</v>
      </c>
      <c r="M23" s="115" t="e">
        <f>SFP!#REF!</f>
        <v>#REF!</v>
      </c>
      <c r="N23" s="115" t="e">
        <f>SFP!#REF!</f>
        <v>#REF!</v>
      </c>
      <c r="O23" s="115" t="e">
        <f>SFP!#REF!</f>
        <v>#REF!</v>
      </c>
      <c r="P23" s="115">
        <f>SFP!O53</f>
        <v>0</v>
      </c>
      <c r="Q23" s="115">
        <f>SFP!P53</f>
        <v>0</v>
      </c>
      <c r="R23" s="115">
        <f>SFP!Q53</f>
        <v>0</v>
      </c>
      <c r="S23" s="115">
        <f>SFP!R53</f>
        <v>0</v>
      </c>
      <c r="T23" s="115">
        <f>SFP!S53</f>
        <v>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</row>
    <row r="24" spans="1:35" ht="13.9" thickBot="1">
      <c r="A24" s="40" t="s">
        <v>137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</row>
    <row r="25" spans="1:35" ht="12.75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</row>
    <row r="26" spans="1:35" ht="12.75">
      <c r="A26" s="33">
        <v>6</v>
      </c>
      <c r="B26" s="109" t="s">
        <v>138</v>
      </c>
      <c r="C26" s="118">
        <f t="shared" ref="C26:O26" si="9">C27+C28+C29</f>
        <v>101856</v>
      </c>
      <c r="D26" s="118">
        <f t="shared" si="9"/>
        <v>317399602.61000001</v>
      </c>
      <c r="E26" s="118">
        <f t="shared" si="9"/>
        <v>318563442.10000002</v>
      </c>
      <c r="F26" s="118">
        <f t="shared" si="9"/>
        <v>317973555.30000001</v>
      </c>
      <c r="G26" s="118">
        <f t="shared" si="9"/>
        <v>315782746.52999997</v>
      </c>
      <c r="H26" s="118">
        <f t="shared" si="9"/>
        <v>318040627.74000001</v>
      </c>
      <c r="I26" s="118">
        <f t="shared" si="9"/>
        <v>323003122.01999998</v>
      </c>
      <c r="J26" s="118">
        <f t="shared" si="9"/>
        <v>331324018.58999997</v>
      </c>
      <c r="K26" s="118">
        <f t="shared" si="9"/>
        <v>337361736.61000001</v>
      </c>
      <c r="L26" s="118">
        <f t="shared" si="9"/>
        <v>338177123.05000001</v>
      </c>
      <c r="M26" s="118">
        <f t="shared" si="9"/>
        <v>340401141.08999997</v>
      </c>
      <c r="N26" s="118">
        <f t="shared" si="9"/>
        <v>335143320.42000002</v>
      </c>
      <c r="O26" s="118" t="e">
        <f t="shared" si="9"/>
        <v>#VALUE!</v>
      </c>
      <c r="P26" s="118">
        <f t="shared" ref="P26:AH26" si="10">P27+P28+P29</f>
        <v>101856</v>
      </c>
      <c r="Q26" s="118">
        <f t="shared" si="10"/>
        <v>101856</v>
      </c>
      <c r="R26" s="118">
        <f t="shared" si="10"/>
        <v>101856</v>
      </c>
      <c r="S26" s="118">
        <f t="shared" si="10"/>
        <v>101856</v>
      </c>
      <c r="T26" s="118">
        <f t="shared" si="10"/>
        <v>101856</v>
      </c>
      <c r="U26" s="118">
        <f t="shared" si="10"/>
        <v>101856</v>
      </c>
      <c r="V26" s="118">
        <f t="shared" si="10"/>
        <v>101856</v>
      </c>
      <c r="W26" s="118">
        <f t="shared" si="10"/>
        <v>101856</v>
      </c>
      <c r="X26" s="118">
        <f t="shared" si="10"/>
        <v>101856</v>
      </c>
      <c r="Y26" s="118">
        <f t="shared" si="10"/>
        <v>101856</v>
      </c>
      <c r="Z26" s="118">
        <f t="shared" si="10"/>
        <v>101856</v>
      </c>
      <c r="AA26" s="118">
        <f t="shared" si="10"/>
        <v>101856</v>
      </c>
      <c r="AB26" s="118">
        <f t="shared" si="10"/>
        <v>101856</v>
      </c>
      <c r="AC26" s="118">
        <f t="shared" si="10"/>
        <v>101856</v>
      </c>
      <c r="AD26" s="118">
        <f t="shared" si="10"/>
        <v>101856</v>
      </c>
      <c r="AE26" s="118">
        <f t="shared" si="10"/>
        <v>101856</v>
      </c>
      <c r="AF26" s="118">
        <f t="shared" si="10"/>
        <v>101856</v>
      </c>
      <c r="AG26" s="118">
        <f t="shared" si="10"/>
        <v>101856</v>
      </c>
      <c r="AH26" s="118">
        <f t="shared" si="10"/>
        <v>101856</v>
      </c>
      <c r="AI26" s="118">
        <f t="shared" ref="AI26" si="11">AI27+AI28+AI29</f>
        <v>101856</v>
      </c>
    </row>
    <row r="27" spans="1:35" ht="12.75">
      <c r="A27" s="34">
        <v>6.1</v>
      </c>
      <c r="B27" s="104" t="s">
        <v>139</v>
      </c>
      <c r="C27" s="115">
        <f>SFP!B12</f>
        <v>101856</v>
      </c>
      <c r="D27" s="115">
        <f>SFP!C12</f>
        <v>101856</v>
      </c>
      <c r="E27" s="115">
        <f>SFP!D12</f>
        <v>101856</v>
      </c>
      <c r="F27" s="115">
        <f>SFP!E12</f>
        <v>101856</v>
      </c>
      <c r="G27" s="115">
        <f>SFP!F12</f>
        <v>101856</v>
      </c>
      <c r="H27" s="115">
        <f>SFP!G12</f>
        <v>101856</v>
      </c>
      <c r="I27" s="115">
        <f>SFP!H12</f>
        <v>101856</v>
      </c>
      <c r="J27" s="115">
        <f>SFP!I12</f>
        <v>101856</v>
      </c>
      <c r="K27" s="115">
        <f>SFP!J12</f>
        <v>101856</v>
      </c>
      <c r="L27" s="115">
        <f>SFP!K12</f>
        <v>101856</v>
      </c>
      <c r="M27" s="115">
        <f>SFP!L12</f>
        <v>101856</v>
      </c>
      <c r="N27" s="115">
        <f>SFP!M12</f>
        <v>101856</v>
      </c>
      <c r="O27" s="115">
        <f>SFP!N12</f>
        <v>101856</v>
      </c>
      <c r="P27" s="115">
        <f>SFP!O12</f>
        <v>101856</v>
      </c>
      <c r="Q27" s="115">
        <f>SFP!P12</f>
        <v>101856</v>
      </c>
      <c r="R27" s="115">
        <f>SFP!Q12</f>
        <v>101856</v>
      </c>
      <c r="S27" s="115">
        <f>SFP!R12</f>
        <v>101856</v>
      </c>
      <c r="T27" s="115">
        <f>SFP!S12</f>
        <v>101856</v>
      </c>
      <c r="U27" s="115">
        <f>SFP!T12</f>
        <v>101856</v>
      </c>
      <c r="V27" s="115">
        <f>SFP!U12</f>
        <v>101856</v>
      </c>
      <c r="W27" s="115">
        <f>SFP!V12</f>
        <v>101856</v>
      </c>
      <c r="X27" s="115">
        <f>SFP!W12</f>
        <v>101856</v>
      </c>
      <c r="Y27" s="115">
        <f>SFP!X12</f>
        <v>101856</v>
      </c>
      <c r="Z27" s="115">
        <f>SFP!Y12</f>
        <v>101856</v>
      </c>
      <c r="AA27" s="115">
        <f>SFP!Z12</f>
        <v>101856</v>
      </c>
      <c r="AB27" s="115">
        <f>SFP!AA12</f>
        <v>101856</v>
      </c>
      <c r="AC27" s="115">
        <f>SFP!AB12</f>
        <v>101856</v>
      </c>
      <c r="AD27" s="115">
        <f>SFP!AC12</f>
        <v>101856</v>
      </c>
      <c r="AE27" s="115">
        <f>SFP!AD12</f>
        <v>101856</v>
      </c>
      <c r="AF27" s="115">
        <f>SFP!AE12</f>
        <v>101856</v>
      </c>
      <c r="AG27" s="115">
        <f>SFP!AF12</f>
        <v>101856</v>
      </c>
      <c r="AH27" s="115">
        <f>SFP!AG12</f>
        <v>101856</v>
      </c>
      <c r="AI27" s="115">
        <f>SFP!AH12</f>
        <v>101856</v>
      </c>
    </row>
    <row r="28" spans="1:35" ht="12.75">
      <c r="A28" s="34">
        <v>6.2</v>
      </c>
      <c r="B28" s="104" t="s">
        <v>140</v>
      </c>
      <c r="C28" s="115">
        <f>SFP!B13</f>
        <v>0</v>
      </c>
      <c r="D28" s="115">
        <f>SFP!C14</f>
        <v>317297746.61000001</v>
      </c>
      <c r="E28" s="115">
        <f>SFP!D14</f>
        <v>318461586.10000002</v>
      </c>
      <c r="F28" s="115">
        <f>SFP!E14</f>
        <v>317871699.30000001</v>
      </c>
      <c r="G28" s="115">
        <f>SFP!F14</f>
        <v>315680890.52999997</v>
      </c>
      <c r="H28" s="115">
        <f>SFP!G14</f>
        <v>317938771.74000001</v>
      </c>
      <c r="I28" s="115">
        <f>SFP!H14</f>
        <v>322901266.01999998</v>
      </c>
      <c r="J28" s="115">
        <f>SFP!I14</f>
        <v>331222162.58999997</v>
      </c>
      <c r="K28" s="115">
        <f>SFP!J14</f>
        <v>337259880.61000001</v>
      </c>
      <c r="L28" s="115">
        <f>SFP!K14</f>
        <v>338075267.05000001</v>
      </c>
      <c r="M28" s="115">
        <f>SFP!L14</f>
        <v>340299285.08999997</v>
      </c>
      <c r="N28" s="115">
        <f>SFP!M14</f>
        <v>335041464.42000002</v>
      </c>
      <c r="O28" s="115" t="str">
        <f>SFP!N14</f>
        <v>############</v>
      </c>
      <c r="P28" s="115">
        <f>SFP!O13</f>
        <v>0</v>
      </c>
      <c r="Q28" s="115">
        <f>SFP!P13</f>
        <v>0</v>
      </c>
      <c r="R28" s="115">
        <f>SFP!Q13</f>
        <v>0</v>
      </c>
      <c r="S28" s="115">
        <f>SFP!R13</f>
        <v>0</v>
      </c>
      <c r="T28" s="115">
        <f>SFP!S13</f>
        <v>0</v>
      </c>
      <c r="U28" s="115">
        <f>SFP!T13</f>
        <v>0</v>
      </c>
      <c r="V28" s="115">
        <f>SFP!U13</f>
        <v>0</v>
      </c>
      <c r="W28" s="115">
        <f>SFP!V13</f>
        <v>0</v>
      </c>
      <c r="X28" s="115">
        <f>SFP!W13</f>
        <v>0</v>
      </c>
      <c r="Y28" s="115">
        <f>SFP!X13</f>
        <v>0</v>
      </c>
      <c r="Z28" s="115">
        <f>SFP!Y13</f>
        <v>0</v>
      </c>
      <c r="AA28" s="115">
        <f>SFP!Z13</f>
        <v>0</v>
      </c>
      <c r="AB28" s="115">
        <f>SFP!AA13</f>
        <v>0</v>
      </c>
      <c r="AC28" s="115">
        <f>SFP!AB13</f>
        <v>0</v>
      </c>
      <c r="AD28" s="115">
        <f>SFP!AC13</f>
        <v>0</v>
      </c>
      <c r="AE28" s="115">
        <f>SFP!AD13</f>
        <v>0</v>
      </c>
      <c r="AF28" s="115">
        <f>SFP!AE13</f>
        <v>0</v>
      </c>
      <c r="AG28" s="115">
        <f>SFP!AF13</f>
        <v>0</v>
      </c>
      <c r="AH28" s="115">
        <f>SFP!AG13</f>
        <v>0</v>
      </c>
      <c r="AI28" s="115">
        <f>SFP!AH13</f>
        <v>0</v>
      </c>
    </row>
    <row r="29" spans="1:35" ht="12.75">
      <c r="A29" s="35">
        <v>6.3</v>
      </c>
      <c r="B29" s="108" t="s">
        <v>141</v>
      </c>
      <c r="C29" s="119">
        <f>SFP!B11</f>
        <v>0</v>
      </c>
      <c r="D29" s="119">
        <f>SFP!C11</f>
        <v>0</v>
      </c>
      <c r="E29" s="119">
        <f>SFP!D11</f>
        <v>0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0</v>
      </c>
      <c r="S29" s="119">
        <f>SFP!R11</f>
        <v>0</v>
      </c>
      <c r="T29" s="119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0</v>
      </c>
      <c r="AH29" s="119">
        <f>SFP!AG11</f>
        <v>0</v>
      </c>
      <c r="AI29" s="119">
        <f>SFP!AH11</f>
        <v>0</v>
      </c>
    </row>
    <row r="30" spans="1:35" ht="12.75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</row>
    <row r="31" spans="1:35" ht="12.75">
      <c r="A31" s="33">
        <v>7</v>
      </c>
      <c r="B31" s="110" t="s">
        <v>65</v>
      </c>
      <c r="C31" s="118">
        <f t="shared" ref="C31:O31" si="12">C32-C33</f>
        <v>312039246</v>
      </c>
      <c r="D31" s="118">
        <f t="shared" si="12"/>
        <v>25672793</v>
      </c>
      <c r="E31" s="118">
        <f t="shared" si="12"/>
        <v>26247307.829999998</v>
      </c>
      <c r="F31" s="118">
        <f t="shared" si="12"/>
        <v>26821796.989999998</v>
      </c>
      <c r="G31" s="118">
        <f t="shared" si="12"/>
        <v>27393587.789999999</v>
      </c>
      <c r="H31" s="118">
        <f t="shared" si="12"/>
        <v>27970102.579999998</v>
      </c>
      <c r="I31" s="118">
        <f t="shared" si="12"/>
        <v>28555919.399999999</v>
      </c>
      <c r="J31" s="118">
        <f t="shared" si="12"/>
        <v>29156550.579999998</v>
      </c>
      <c r="K31" s="118">
        <f t="shared" si="12"/>
        <v>29768264.149999999</v>
      </c>
      <c r="L31" s="118">
        <f t="shared" si="12"/>
        <v>30382360.149999999</v>
      </c>
      <c r="M31" s="118">
        <f t="shared" si="12"/>
        <v>31001260.199999999</v>
      </c>
      <c r="N31" s="118">
        <f t="shared" si="12"/>
        <v>31612352.079999998</v>
      </c>
      <c r="O31" s="118">
        <f t="shared" si="12"/>
        <v>32223481.530000001</v>
      </c>
      <c r="P31" s="118">
        <f t="shared" ref="P31:AH31" si="13">P32-P33</f>
        <v>334064972</v>
      </c>
      <c r="Q31" s="118">
        <f t="shared" si="13"/>
        <v>335391772.32999998</v>
      </c>
      <c r="R31" s="118">
        <f t="shared" si="13"/>
        <v>333649317.45999998</v>
      </c>
      <c r="S31" s="118">
        <f t="shared" si="13"/>
        <v>340404153.88999999</v>
      </c>
      <c r="T31" s="118">
        <f t="shared" si="13"/>
        <v>339571243.74000001</v>
      </c>
      <c r="U31" s="118">
        <f t="shared" si="13"/>
        <v>345947578.23000002</v>
      </c>
      <c r="V31" s="118">
        <f t="shared" si="13"/>
        <v>348161192.98000002</v>
      </c>
      <c r="W31" s="118">
        <f t="shared" si="13"/>
        <v>347961245.75</v>
      </c>
      <c r="X31" s="118">
        <f t="shared" si="13"/>
        <v>357062763.19</v>
      </c>
      <c r="Y31" s="118">
        <f t="shared" si="13"/>
        <v>366262432.84000003</v>
      </c>
      <c r="Z31" s="118">
        <f t="shared" si="13"/>
        <v>369433876.94000006</v>
      </c>
      <c r="AA31" s="118">
        <f t="shared" si="13"/>
        <v>355889152.77999997</v>
      </c>
      <c r="AB31" s="118">
        <f t="shared" si="13"/>
        <v>362352190.09000003</v>
      </c>
      <c r="AC31" s="118">
        <f t="shared" si="13"/>
        <v>346009652</v>
      </c>
      <c r="AD31" s="118">
        <f t="shared" si="13"/>
        <v>356063784.76999998</v>
      </c>
      <c r="AE31" s="118">
        <f t="shared" si="13"/>
        <v>364888593.80000001</v>
      </c>
      <c r="AF31" s="118">
        <f t="shared" si="13"/>
        <v>361146916.81999999</v>
      </c>
      <c r="AG31" s="118">
        <f t="shared" si="13"/>
        <v>359870941.88999999</v>
      </c>
      <c r="AH31" s="118">
        <f t="shared" si="13"/>
        <v>370375438.82999998</v>
      </c>
      <c r="AI31" s="118">
        <f t="shared" ref="AI31" si="14">AI32-AI33</f>
        <v>368433013.67000002</v>
      </c>
    </row>
    <row r="32" spans="1:35" ht="12.75">
      <c r="A32" s="34">
        <v>7.1</v>
      </c>
      <c r="B32" s="51" t="s">
        <v>142</v>
      </c>
      <c r="C32" s="115">
        <f>SFP!B15</f>
        <v>337140421</v>
      </c>
      <c r="D32" s="115">
        <f>SFP!C16</f>
        <v>25672793</v>
      </c>
      <c r="E32" s="115">
        <f>SFP!D16</f>
        <v>26247307.829999998</v>
      </c>
      <c r="F32" s="115">
        <f>SFP!E16</f>
        <v>26821796.989999998</v>
      </c>
      <c r="G32" s="115">
        <f>SFP!F16</f>
        <v>27393587.789999999</v>
      </c>
      <c r="H32" s="115">
        <f>SFP!G16</f>
        <v>27970102.579999998</v>
      </c>
      <c r="I32" s="115">
        <f>SFP!H16</f>
        <v>28555919.399999999</v>
      </c>
      <c r="J32" s="115">
        <f>SFP!I16</f>
        <v>29156550.579999998</v>
      </c>
      <c r="K32" s="115">
        <f>SFP!J16</f>
        <v>29768264.149999999</v>
      </c>
      <c r="L32" s="115">
        <f>SFP!K16</f>
        <v>30382360.149999999</v>
      </c>
      <c r="M32" s="115">
        <f>SFP!L16</f>
        <v>31001260.199999999</v>
      </c>
      <c r="N32" s="115">
        <f>SFP!M16</f>
        <v>31612352.079999998</v>
      </c>
      <c r="O32" s="115">
        <f>SFP!N16</f>
        <v>32223481.530000001</v>
      </c>
      <c r="P32" s="115">
        <f>SFP!O15</f>
        <v>366288454</v>
      </c>
      <c r="Q32" s="115">
        <f>SFP!P15</f>
        <v>368231197.82999998</v>
      </c>
      <c r="R32" s="115">
        <f>SFP!Q15</f>
        <v>367100593.94999999</v>
      </c>
      <c r="S32" s="115">
        <f>SFP!R15</f>
        <v>374479562.98000002</v>
      </c>
      <c r="T32" s="115">
        <f>SFP!S15</f>
        <v>374270436.88999999</v>
      </c>
      <c r="U32" s="115">
        <f>SFP!T15</f>
        <v>381282408.73000002</v>
      </c>
      <c r="V32" s="115">
        <f>SFP!U15</f>
        <v>384136250.56</v>
      </c>
      <c r="W32" s="115">
        <f>SFP!V15</f>
        <v>384577265.44</v>
      </c>
      <c r="X32" s="115">
        <f>SFP!W15</f>
        <v>394336009.56</v>
      </c>
      <c r="Y32" s="115">
        <f>SFP!X15</f>
        <v>404209361.48000002</v>
      </c>
      <c r="Z32" s="115">
        <f>SFP!Y15</f>
        <v>408061012.47000003</v>
      </c>
      <c r="AA32" s="115">
        <f>SFP!Z15</f>
        <v>395174913.14999998</v>
      </c>
      <c r="AB32" s="115">
        <f>SFP!AA15</f>
        <v>402308464.60000002</v>
      </c>
      <c r="AC32" s="115">
        <f>SFP!AB15</f>
        <v>385965927</v>
      </c>
      <c r="AD32" s="115">
        <f>SFP!AC15</f>
        <v>396681194.27999997</v>
      </c>
      <c r="AE32" s="115">
        <f>SFP!AD15</f>
        <v>406182974.93000001</v>
      </c>
      <c r="AF32" s="115">
        <f>SFP!AE15</f>
        <v>403113153.20999998</v>
      </c>
      <c r="AG32" s="115">
        <f>SFP!AF15</f>
        <v>402508024.99000001</v>
      </c>
      <c r="AH32" s="115">
        <f>SFP!AG15</f>
        <v>413702025.31</v>
      </c>
      <c r="AI32" s="115">
        <f>SFP!AH15</f>
        <v>412447011.81999999</v>
      </c>
    </row>
    <row r="33" spans="1:36" ht="12.75">
      <c r="A33" s="34">
        <v>7.3</v>
      </c>
      <c r="B33" s="51" t="s">
        <v>143</v>
      </c>
      <c r="C33" s="115">
        <f>SFP!B16</f>
        <v>25101175</v>
      </c>
      <c r="D33" s="115">
        <f>SFP!C17</f>
        <v>0</v>
      </c>
      <c r="E33" s="115">
        <f>SFP!D17</f>
        <v>0</v>
      </c>
      <c r="F33" s="115">
        <f>SFP!E17</f>
        <v>0</v>
      </c>
      <c r="G33" s="115">
        <f>SFP!F17</f>
        <v>0</v>
      </c>
      <c r="H33" s="115">
        <f>SFP!G17</f>
        <v>0</v>
      </c>
      <c r="I33" s="115">
        <f>SFP!H17</f>
        <v>0</v>
      </c>
      <c r="J33" s="115">
        <f>SFP!I17</f>
        <v>0</v>
      </c>
      <c r="K33" s="115">
        <f>SFP!J17</f>
        <v>0</v>
      </c>
      <c r="L33" s="115">
        <f>SFP!K17</f>
        <v>0</v>
      </c>
      <c r="M33" s="115">
        <f>SFP!L17</f>
        <v>0</v>
      </c>
      <c r="N33" s="115">
        <f>SFP!M17</f>
        <v>0</v>
      </c>
      <c r="O33" s="115">
        <f>SFP!N17</f>
        <v>0</v>
      </c>
      <c r="P33" s="115">
        <f>SFP!O16</f>
        <v>32223482</v>
      </c>
      <c r="Q33" s="115">
        <f>SFP!P16</f>
        <v>32839425.5</v>
      </c>
      <c r="R33" s="115">
        <f>SFP!Q16</f>
        <v>33451276.489999998</v>
      </c>
      <c r="S33" s="115">
        <f>SFP!R16</f>
        <v>34075409.090000004</v>
      </c>
      <c r="T33" s="115">
        <f>SFP!S16</f>
        <v>34699193.149999999</v>
      </c>
      <c r="U33" s="115">
        <f>SFP!T16</f>
        <v>35334830.5</v>
      </c>
      <c r="V33" s="115">
        <f>SFP!U16</f>
        <v>35975057.579999998</v>
      </c>
      <c r="W33" s="115">
        <f>SFP!V16</f>
        <v>36616019.689999998</v>
      </c>
      <c r="X33" s="115">
        <f>SFP!W16</f>
        <v>37273246.369999997</v>
      </c>
      <c r="Y33" s="115">
        <f>SFP!X16</f>
        <v>37946928.640000001</v>
      </c>
      <c r="Z33" s="115">
        <f>SFP!Y16</f>
        <v>38627135.530000001</v>
      </c>
      <c r="AA33" s="115">
        <f>SFP!Z16</f>
        <v>39285760.369999997</v>
      </c>
      <c r="AB33" s="115">
        <f>SFP!AA16</f>
        <v>39956274.509999998</v>
      </c>
      <c r="AC33" s="115">
        <f>SFP!AB16</f>
        <v>39956275</v>
      </c>
      <c r="AD33" s="115">
        <f>SFP!AC16</f>
        <v>40617409.509999998</v>
      </c>
      <c r="AE33" s="115">
        <f>SFP!AD16</f>
        <v>41294381.130000003</v>
      </c>
      <c r="AF33" s="115">
        <f>SFP!AE16</f>
        <v>41966236.390000001</v>
      </c>
      <c r="AG33" s="115">
        <f>SFP!AF16</f>
        <v>42637083.100000001</v>
      </c>
      <c r="AH33" s="115">
        <f>SFP!AG16</f>
        <v>43326586.479999997</v>
      </c>
      <c r="AI33" s="115">
        <f>SFP!AH16</f>
        <v>44013998.149999999</v>
      </c>
    </row>
    <row r="34" spans="1:36" ht="12.75">
      <c r="A34" s="43">
        <v>7.4</v>
      </c>
      <c r="B34" s="51" t="s">
        <v>144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121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</row>
    <row r="35" spans="1:36" ht="12.75">
      <c r="A35" s="43">
        <v>7.5</v>
      </c>
      <c r="B35" s="111" t="s">
        <v>145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121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</row>
    <row r="36" spans="1:36" ht="12.75">
      <c r="A36" s="43">
        <v>7.6</v>
      </c>
      <c r="B36" s="44" t="s">
        <v>146</v>
      </c>
      <c r="C36" s="117">
        <f>SFP!B4</f>
        <v>81357297</v>
      </c>
      <c r="D36" s="117">
        <f>SFP!C4</f>
        <v>66330383.380000003</v>
      </c>
      <c r="E36" s="117">
        <f>SFP!D4</f>
        <v>87503175.079999998</v>
      </c>
      <c r="F36" s="117">
        <f>SFP!E4</f>
        <v>54838006.609999999</v>
      </c>
      <c r="G36" s="117">
        <f>SFP!F4</f>
        <v>68728884.480000004</v>
      </c>
      <c r="H36" s="117">
        <f>SFP!G4</f>
        <v>64017129.640000001</v>
      </c>
      <c r="I36" s="117">
        <f>SFP!H4</f>
        <v>57400040.850000001</v>
      </c>
      <c r="J36" s="117">
        <f>SFP!I4</f>
        <v>61310370.270000003</v>
      </c>
      <c r="K36" s="117">
        <f>SFP!J4</f>
        <v>64255623.130000003</v>
      </c>
      <c r="L36" s="117">
        <f>SFP!K4</f>
        <v>59818022.539999999</v>
      </c>
      <c r="M36" s="117">
        <f>SFP!L4</f>
        <v>64394346.670000002</v>
      </c>
      <c r="N36" s="117">
        <f>SFP!M4</f>
        <v>63660748.090000004</v>
      </c>
      <c r="O36" s="117">
        <f>SFP!N4</f>
        <v>68374033.700000003</v>
      </c>
      <c r="P36" s="117">
        <f>SFP!O4</f>
        <v>89301113</v>
      </c>
      <c r="Q36" s="117">
        <f>SFP!P4</f>
        <v>82900732.700000003</v>
      </c>
      <c r="R36" s="117">
        <f>SFP!Q4</f>
        <v>89904925.109999999</v>
      </c>
      <c r="S36" s="117">
        <f>SFP!R4</f>
        <v>78282657.74000001</v>
      </c>
      <c r="T36" s="117">
        <f>SFP!S4</f>
        <v>73338770.950000003</v>
      </c>
      <c r="U36" s="117">
        <f>SFP!T4</f>
        <v>69103010.909999996</v>
      </c>
      <c r="V36" s="117">
        <f>SFP!U4</f>
        <v>89080310.719999999</v>
      </c>
      <c r="W36" s="117">
        <f>SFP!V4</f>
        <v>77884268.230000004</v>
      </c>
      <c r="X36" s="117">
        <f>SFP!W4</f>
        <v>94202997.460000008</v>
      </c>
      <c r="Y36" s="117">
        <f>SFP!X4</f>
        <v>83440740.280000001</v>
      </c>
      <c r="Z36" s="117">
        <f>SFP!Y4</f>
        <v>92958736.629999995</v>
      </c>
      <c r="AA36" s="117">
        <f>SFP!Z4</f>
        <v>90035068.790000007</v>
      </c>
      <c r="AB36" s="117">
        <f>SFP!AA4</f>
        <v>99568961.670000002</v>
      </c>
      <c r="AC36" s="117">
        <f>SFP!AB4</f>
        <v>106793890</v>
      </c>
      <c r="AD36" s="117">
        <f>SFP!AC4</f>
        <v>100764947.75</v>
      </c>
      <c r="AE36" s="117">
        <f>SFP!AD4</f>
        <v>147232983.96000001</v>
      </c>
      <c r="AF36" s="117">
        <f>SFP!AE4</f>
        <v>123927243.53</v>
      </c>
      <c r="AG36" s="117">
        <f>SFP!AF4</f>
        <v>130685504.52000001</v>
      </c>
      <c r="AH36" s="117">
        <f>SFP!AG4</f>
        <v>117362301.12</v>
      </c>
      <c r="AI36" s="117">
        <f>SFP!AH4</f>
        <v>110503635.77</v>
      </c>
    </row>
    <row r="37" spans="1:36" ht="12.75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</row>
    <row r="38" spans="1:36" ht="12.75">
      <c r="A38" s="33">
        <v>8</v>
      </c>
      <c r="B38" s="110" t="s">
        <v>147</v>
      </c>
      <c r="C38" s="118">
        <f>SFP!B7+SFP!B17+SFP!B23+SFP!B24+SFP!B25+SFP!B26</f>
        <v>58031641</v>
      </c>
      <c r="D38" s="118">
        <f>SFP!C7+SFP!C18+SFP!C24+SFP!C25+SFP!C26+SFP!C27</f>
        <v>504917061.18000001</v>
      </c>
      <c r="E38" s="118">
        <f>SFP!D7+SFP!D18+SFP!D24+SFP!D25+SFP!D26+SFP!D27</f>
        <v>502301394.46000004</v>
      </c>
      <c r="F38" s="118">
        <f>SFP!E7+SFP!E18+SFP!E24+SFP!E25+SFP!E26+SFP!E27</f>
        <v>527153340.23000002</v>
      </c>
      <c r="G38" s="118">
        <f>SFP!F7+SFP!F18+SFP!F24+SFP!F25+SFP!F26+SFP!F27</f>
        <v>518450556.79000002</v>
      </c>
      <c r="H38" s="118">
        <f>SFP!G7+SFP!G18+SFP!G24+SFP!G25+SFP!G26+SFP!G27</f>
        <v>612344738.24000001</v>
      </c>
      <c r="I38" s="118">
        <f>SFP!H7+SFP!H18+SFP!H24+SFP!H25+SFP!H26+SFP!H27</f>
        <v>562887748.57000005</v>
      </c>
      <c r="J38" s="118">
        <f>SFP!I7+SFP!I18+SFP!I24+SFP!I25+SFP!I26+SFP!I27</f>
        <v>550961192.25999999</v>
      </c>
      <c r="K38" s="118">
        <f>SFP!J7+SFP!J18+SFP!J24+SFP!J25+SFP!J26+SFP!J27</f>
        <v>559993415.69000006</v>
      </c>
      <c r="L38" s="118">
        <f>SFP!K7+SFP!K18+SFP!K24+SFP!K25+SFP!K26+SFP!K27</f>
        <v>576105309.18999994</v>
      </c>
      <c r="M38" s="118">
        <f>SFP!L7+SFP!L18+SFP!L24+SFP!L25+SFP!L26+SFP!L27</f>
        <v>579188450.25999999</v>
      </c>
      <c r="N38" s="118">
        <f>SFP!M7+SFP!M18+SFP!M24+SFP!M25+SFP!M26+SFP!M27</f>
        <v>569127319.69000006</v>
      </c>
      <c r="O38" s="118" t="e">
        <f>SFP!N7+SFP!N18+SFP!N24+SFP!N25+SFP!N26+SFP!N27</f>
        <v>#VALUE!</v>
      </c>
      <c r="P38" s="118">
        <f>SFP!O7+SFP!O17+SFP!O23+SFP!O24+SFP!O25+SFP!O26</f>
        <v>89365438</v>
      </c>
      <c r="Q38" s="118">
        <f>SFP!P7+SFP!P17+SFP!P23+SFP!P24+SFP!P25+SFP!P26</f>
        <v>90043699.449999988</v>
      </c>
      <c r="R38" s="118">
        <f>SFP!Q7+SFP!Q17+SFP!Q23+SFP!Q24+SFP!Q25+SFP!Q26</f>
        <v>89936379.079999998</v>
      </c>
      <c r="S38" s="118">
        <f>SFP!R7+SFP!R17+SFP!R23+SFP!R24+SFP!R25+SFP!R26</f>
        <v>88462381.799999982</v>
      </c>
      <c r="T38" s="118">
        <f>SFP!S7+SFP!S17+SFP!S23+SFP!S24+SFP!S25+SFP!S26</f>
        <v>94050549.450000003</v>
      </c>
      <c r="U38" s="118">
        <f>SFP!T7+SFP!T17+SFP!T23+SFP!T24+SFP!T25+SFP!T26</f>
        <v>95519116.140000001</v>
      </c>
      <c r="V38" s="118">
        <f>SFP!U7+SFP!U17+SFP!U23+SFP!U24+SFP!U25+SFP!U26</f>
        <v>110757463.89</v>
      </c>
      <c r="W38" s="118">
        <f>SFP!V7+SFP!V17+SFP!V23+SFP!V24+SFP!V25+SFP!V26</f>
        <v>124745675.84</v>
      </c>
      <c r="X38" s="118">
        <f>SFP!W7+SFP!W17+SFP!W23+SFP!W24+SFP!W25+SFP!W26</f>
        <v>105745653.76000001</v>
      </c>
      <c r="Y38" s="118">
        <f>SFP!X7+SFP!X17+SFP!X23+SFP!X24+SFP!X25+SFP!X26</f>
        <v>108203722.83999999</v>
      </c>
      <c r="Z38" s="118">
        <f>SFP!Y7+SFP!Y17+SFP!Y23+SFP!Y24+SFP!Y25+SFP!Y26</f>
        <v>96620526.959999993</v>
      </c>
      <c r="AA38" s="118">
        <f>SFP!Z7+SFP!Z17+SFP!Z23+SFP!Z24+SFP!Z25+SFP!Z26</f>
        <v>113200960.09</v>
      </c>
      <c r="AB38" s="118">
        <f>SFP!AA7+SFP!AA17+SFP!AA23+SFP!AA24+SFP!AA25+SFP!AA26</f>
        <v>100415186.95999999</v>
      </c>
      <c r="AC38" s="118">
        <f>SFP!AB7+SFP!AB17+SFP!AB23+SFP!AB24+SFP!AB25+SFP!AB26</f>
        <v>131689140</v>
      </c>
      <c r="AD38" s="118">
        <f>SFP!AC7+SFP!AC17+SFP!AC23+SFP!AC24+SFP!AC25+SFP!AC26</f>
        <v>117425868.53</v>
      </c>
      <c r="AE38" s="118">
        <f>SFP!AD7+SFP!AD17+SFP!AD23+SFP!AD24+SFP!AD25+SFP!AD26</f>
        <v>105155711.33999999</v>
      </c>
      <c r="AF38" s="118">
        <f>SFP!AE7+SFP!AE17+SFP!AE23+SFP!AE24+SFP!AE25+SFP!AE26</f>
        <v>113217751.00999999</v>
      </c>
      <c r="AG38" s="118">
        <f>SFP!AF7+SFP!AF17+SFP!AF23+SFP!AF24+SFP!AF25+SFP!AF26</f>
        <v>114804993.19</v>
      </c>
      <c r="AH38" s="118">
        <f>SFP!AG7+SFP!AG17+SFP!AG23+SFP!AG24+SFP!AG25+SFP!AG26</f>
        <v>113613266.93000001</v>
      </c>
      <c r="AI38" s="118">
        <f>SFP!AH7+SFP!AH17+SFP!AH23+SFP!AH24+SFP!AH25+SFP!AH26</f>
        <v>126298005.49000001</v>
      </c>
    </row>
    <row r="39" spans="1:36" ht="12.75">
      <c r="A39" s="35">
        <v>8.1</v>
      </c>
      <c r="B39" s="53" t="s">
        <v>148</v>
      </c>
      <c r="C39" s="119">
        <f>SFP!B23</f>
        <v>23361056</v>
      </c>
      <c r="D39" s="119">
        <f>SFP!C24</f>
        <v>0</v>
      </c>
      <c r="E39" s="119">
        <f>SFP!D24</f>
        <v>0</v>
      </c>
      <c r="F39" s="119">
        <f>SFP!E24</f>
        <v>0</v>
      </c>
      <c r="G39" s="119">
        <f>SFP!F24</f>
        <v>0</v>
      </c>
      <c r="H39" s="119">
        <f>SFP!G24</f>
        <v>0</v>
      </c>
      <c r="I39" s="119">
        <f>SFP!H24</f>
        <v>0</v>
      </c>
      <c r="J39" s="119">
        <f>SFP!I24</f>
        <v>0</v>
      </c>
      <c r="K39" s="119">
        <f>SFP!J24</f>
        <v>0</v>
      </c>
      <c r="L39" s="119">
        <f>SFP!K24</f>
        <v>0</v>
      </c>
      <c r="M39" s="119">
        <f>SFP!L24</f>
        <v>0</v>
      </c>
      <c r="N39" s="119">
        <f>SFP!M24</f>
        <v>0</v>
      </c>
      <c r="O39" s="119">
        <f>SFP!N24</f>
        <v>0</v>
      </c>
      <c r="P39" s="119">
        <f>SFP!O23</f>
        <v>47318410</v>
      </c>
      <c r="Q39" s="119">
        <f>SFP!P23</f>
        <v>46928202.539999999</v>
      </c>
      <c r="R39" s="119">
        <f>SFP!Q23</f>
        <v>46733595.350000001</v>
      </c>
      <c r="S39" s="119">
        <f>SFP!R23</f>
        <v>47654032.229999997</v>
      </c>
      <c r="T39" s="119">
        <f>SFP!S23</f>
        <v>51129628.810000002</v>
      </c>
      <c r="U39" s="119">
        <f>SFP!T23</f>
        <v>52253601.689999998</v>
      </c>
      <c r="V39" s="119">
        <f>SFP!U23</f>
        <v>57196692.969999999</v>
      </c>
      <c r="W39" s="119">
        <f>SFP!V23</f>
        <v>60277773.649999999</v>
      </c>
      <c r="X39" s="119">
        <f>SFP!W23</f>
        <v>62881900.130000003</v>
      </c>
      <c r="Y39" s="119">
        <f>SFP!X23</f>
        <v>64150851.009999998</v>
      </c>
      <c r="Z39" s="119">
        <f>SFP!Y23</f>
        <v>64252347.890000001</v>
      </c>
      <c r="AA39" s="119">
        <f>SFP!Z23</f>
        <v>64297904.770000003</v>
      </c>
      <c r="AB39" s="119">
        <f>SFP!AA23</f>
        <v>63996961.649999999</v>
      </c>
      <c r="AC39" s="119">
        <f>SFP!AB23</f>
        <v>71655016</v>
      </c>
      <c r="AD39" s="119">
        <f>SFP!AC23</f>
        <v>64234719.130000003</v>
      </c>
      <c r="AE39" s="119">
        <f>SFP!AD23</f>
        <v>64349294.07</v>
      </c>
      <c r="AF39" s="119">
        <f>SFP!AE23</f>
        <v>65867677.799999997</v>
      </c>
      <c r="AG39" s="119">
        <f>SFP!AF23</f>
        <v>66077909.850000001</v>
      </c>
      <c r="AH39" s="119">
        <f>SFP!AG23</f>
        <v>66180261.899999999</v>
      </c>
      <c r="AI39" s="119">
        <f>SFP!AH23</f>
        <v>66232503.950000003</v>
      </c>
    </row>
    <row r="40" spans="1:36" ht="12.75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</row>
    <row r="41" spans="1:36" ht="12.75">
      <c r="A41" s="46">
        <v>9</v>
      </c>
      <c r="B41" s="112" t="s">
        <v>149</v>
      </c>
      <c r="C41" s="118">
        <f t="shared" ref="C41:O41" si="15">C42+C43+C44</f>
        <v>12421535</v>
      </c>
      <c r="D41" s="118" t="e">
        <f t="shared" si="15"/>
        <v>#REF!</v>
      </c>
      <c r="E41" s="118" t="e">
        <f t="shared" si="15"/>
        <v>#REF!</v>
      </c>
      <c r="F41" s="118" t="e">
        <f t="shared" si="15"/>
        <v>#REF!</v>
      </c>
      <c r="G41" s="118" t="e">
        <f t="shared" si="15"/>
        <v>#REF!</v>
      </c>
      <c r="H41" s="118" t="e">
        <f t="shared" si="15"/>
        <v>#REF!</v>
      </c>
      <c r="I41" s="118" t="e">
        <f t="shared" si="15"/>
        <v>#REF!</v>
      </c>
      <c r="J41" s="118" t="e">
        <f t="shared" si="15"/>
        <v>#REF!</v>
      </c>
      <c r="K41" s="118" t="e">
        <f t="shared" si="15"/>
        <v>#REF!</v>
      </c>
      <c r="L41" s="118" t="e">
        <f t="shared" si="15"/>
        <v>#REF!</v>
      </c>
      <c r="M41" s="118" t="e">
        <f t="shared" si="15"/>
        <v>#REF!</v>
      </c>
      <c r="N41" s="118" t="e">
        <f t="shared" si="15"/>
        <v>#REF!</v>
      </c>
      <c r="O41" s="118" t="e">
        <f t="shared" si="15"/>
        <v>#REF!</v>
      </c>
      <c r="P41" s="118">
        <f t="shared" ref="P41:AH41" si="16">P42+P43+P44</f>
        <v>17100258</v>
      </c>
      <c r="Q41" s="118">
        <f t="shared" si="16"/>
        <v>15362976</v>
      </c>
      <c r="R41" s="118">
        <f t="shared" si="16"/>
        <v>15362976</v>
      </c>
      <c r="S41" s="118">
        <f t="shared" si="16"/>
        <v>15362976</v>
      </c>
      <c r="T41" s="118">
        <f t="shared" si="16"/>
        <v>15362976</v>
      </c>
      <c r="U41" s="118">
        <f t="shared" si="16"/>
        <v>15362976</v>
      </c>
      <c r="V41" s="118">
        <f t="shared" si="16"/>
        <v>15362976</v>
      </c>
      <c r="W41" s="118">
        <f t="shared" si="16"/>
        <v>15362976</v>
      </c>
      <c r="X41" s="118">
        <f t="shared" si="16"/>
        <v>15362976</v>
      </c>
      <c r="Y41" s="118">
        <f t="shared" si="16"/>
        <v>15362976</v>
      </c>
      <c r="Z41" s="118">
        <f t="shared" si="16"/>
        <v>15362976</v>
      </c>
      <c r="AA41" s="118">
        <f t="shared" si="16"/>
        <v>17100258</v>
      </c>
      <c r="AB41" s="118">
        <f t="shared" si="16"/>
        <v>17100258</v>
      </c>
      <c r="AC41" s="118">
        <f t="shared" si="16"/>
        <v>19033207</v>
      </c>
      <c r="AD41" s="118">
        <f t="shared" si="16"/>
        <v>17100258</v>
      </c>
      <c r="AE41" s="118">
        <f t="shared" si="16"/>
        <v>17100258</v>
      </c>
      <c r="AF41" s="118">
        <f t="shared" si="16"/>
        <v>17100258</v>
      </c>
      <c r="AG41" s="118">
        <f t="shared" si="16"/>
        <v>17100258</v>
      </c>
      <c r="AH41" s="118">
        <f t="shared" si="16"/>
        <v>17100258</v>
      </c>
      <c r="AI41" s="118">
        <f t="shared" ref="AI41" si="17">AI42+AI43+AI44</f>
        <v>17100258</v>
      </c>
    </row>
    <row r="42" spans="1:36" ht="12.75">
      <c r="A42" s="47">
        <v>9.1</v>
      </c>
      <c r="B42" s="113" t="s">
        <v>150</v>
      </c>
      <c r="C42" s="115">
        <f>SFP!B50</f>
        <v>12421535</v>
      </c>
      <c r="D42" s="115" t="e">
        <f>SFP!#REF!</f>
        <v>#REF!</v>
      </c>
      <c r="E42" s="115" t="e">
        <f>SFP!#REF!</f>
        <v>#REF!</v>
      </c>
      <c r="F42" s="115" t="e">
        <f>SFP!#REF!</f>
        <v>#REF!</v>
      </c>
      <c r="G42" s="115" t="e">
        <f>SFP!#REF!</f>
        <v>#REF!</v>
      </c>
      <c r="H42" s="115" t="e">
        <f>SFP!#REF!</f>
        <v>#REF!</v>
      </c>
      <c r="I42" s="115" t="e">
        <f>SFP!#REF!</f>
        <v>#REF!</v>
      </c>
      <c r="J42" s="115" t="e">
        <f>SFP!#REF!</f>
        <v>#REF!</v>
      </c>
      <c r="K42" s="115" t="e">
        <f>SFP!#REF!</f>
        <v>#REF!</v>
      </c>
      <c r="L42" s="115" t="e">
        <f>SFP!#REF!</f>
        <v>#REF!</v>
      </c>
      <c r="M42" s="115" t="e">
        <f>SFP!#REF!</f>
        <v>#REF!</v>
      </c>
      <c r="N42" s="115" t="e">
        <f>SFP!#REF!</f>
        <v>#REF!</v>
      </c>
      <c r="O42" s="115" t="e">
        <f>SFP!#REF!</f>
        <v>#REF!</v>
      </c>
      <c r="P42" s="115">
        <f>SFP!O50</f>
        <v>14158817</v>
      </c>
      <c r="Q42" s="115">
        <f>SFP!P50</f>
        <v>12421535</v>
      </c>
      <c r="R42" s="115">
        <f>SFP!Q50</f>
        <v>12421535</v>
      </c>
      <c r="S42" s="115">
        <f>SFP!R50</f>
        <v>12421535</v>
      </c>
      <c r="T42" s="115">
        <f>SFP!S50</f>
        <v>12421535</v>
      </c>
      <c r="U42" s="115">
        <f>SFP!T50</f>
        <v>12421535</v>
      </c>
      <c r="V42" s="115">
        <f>SFP!U50</f>
        <v>12421535</v>
      </c>
      <c r="W42" s="115">
        <f>SFP!V50</f>
        <v>12421535</v>
      </c>
      <c r="X42" s="115">
        <f>SFP!W50</f>
        <v>12421535</v>
      </c>
      <c r="Y42" s="115">
        <f>SFP!X50</f>
        <v>12421535</v>
      </c>
      <c r="Z42" s="115">
        <f>SFP!Y50</f>
        <v>12421535</v>
      </c>
      <c r="AA42" s="115">
        <f>SFP!Z50</f>
        <v>14158817</v>
      </c>
      <c r="AB42" s="115">
        <f>SFP!AA50</f>
        <v>14158817</v>
      </c>
      <c r="AC42" s="115">
        <f>SFP!AB50</f>
        <v>16091766</v>
      </c>
      <c r="AD42" s="115">
        <f>SFP!AC50</f>
        <v>14158817</v>
      </c>
      <c r="AE42" s="115">
        <f>SFP!AD50</f>
        <v>14158817</v>
      </c>
      <c r="AF42" s="115">
        <f>SFP!AE50</f>
        <v>14158817</v>
      </c>
      <c r="AG42" s="115">
        <f>SFP!AF50</f>
        <v>14158817</v>
      </c>
      <c r="AH42" s="115">
        <f>SFP!AG50</f>
        <v>14158817</v>
      </c>
      <c r="AI42" s="115">
        <f>SFP!AH50</f>
        <v>14158817</v>
      </c>
    </row>
    <row r="43" spans="1:36" ht="12.75">
      <c r="A43" s="47"/>
      <c r="B43" s="113" t="s">
        <v>151</v>
      </c>
      <c r="C43" s="115">
        <f>SFP!B51</f>
        <v>0</v>
      </c>
      <c r="D43" s="115" t="e">
        <f>SFP!#REF!</f>
        <v>#REF!</v>
      </c>
      <c r="E43" s="115" t="e">
        <f>SFP!#REF!</f>
        <v>#REF!</v>
      </c>
      <c r="F43" s="115" t="e">
        <f>SFP!#REF!</f>
        <v>#REF!</v>
      </c>
      <c r="G43" s="115" t="e">
        <f>SFP!#REF!</f>
        <v>#REF!</v>
      </c>
      <c r="H43" s="115" t="e">
        <f>SFP!#REF!</f>
        <v>#REF!</v>
      </c>
      <c r="I43" s="115" t="e">
        <f>SFP!#REF!</f>
        <v>#REF!</v>
      </c>
      <c r="J43" s="115" t="e">
        <f>SFP!#REF!</f>
        <v>#REF!</v>
      </c>
      <c r="K43" s="115" t="e">
        <f>SFP!#REF!</f>
        <v>#REF!</v>
      </c>
      <c r="L43" s="115" t="e">
        <f>SFP!#REF!</f>
        <v>#REF!</v>
      </c>
      <c r="M43" s="115" t="e">
        <f>SFP!#REF!</f>
        <v>#REF!</v>
      </c>
      <c r="N43" s="115" t="e">
        <f>SFP!#REF!</f>
        <v>#REF!</v>
      </c>
      <c r="O43" s="115" t="e">
        <f>SFP!#REF!</f>
        <v>#REF!</v>
      </c>
      <c r="P43" s="115">
        <f>SFP!O51</f>
        <v>2941441</v>
      </c>
      <c r="Q43" s="115">
        <f>SFP!P51</f>
        <v>2941441</v>
      </c>
      <c r="R43" s="115">
        <f>SFP!Q51</f>
        <v>2941441</v>
      </c>
      <c r="S43" s="115">
        <f>SFP!R51</f>
        <v>2941441</v>
      </c>
      <c r="T43" s="115">
        <f>SFP!S51</f>
        <v>2941441</v>
      </c>
      <c r="U43" s="115">
        <f>SFP!T51</f>
        <v>2941441</v>
      </c>
      <c r="V43" s="115">
        <f>SFP!U51</f>
        <v>2941441</v>
      </c>
      <c r="W43" s="115">
        <f>SFP!V51</f>
        <v>2941441</v>
      </c>
      <c r="X43" s="115">
        <f>SFP!W51</f>
        <v>2941441</v>
      </c>
      <c r="Y43" s="115">
        <f>SFP!X51</f>
        <v>2941441</v>
      </c>
      <c r="Z43" s="115">
        <f>SFP!Y51</f>
        <v>2941441</v>
      </c>
      <c r="AA43" s="115">
        <f>SFP!Z51</f>
        <v>2941441</v>
      </c>
      <c r="AB43" s="115">
        <f>SFP!AA51</f>
        <v>2941441</v>
      </c>
      <c r="AC43" s="115">
        <f>SFP!AB51</f>
        <v>2941441</v>
      </c>
      <c r="AD43" s="115">
        <f>SFP!AC51</f>
        <v>2941441</v>
      </c>
      <c r="AE43" s="115">
        <f>SFP!AD51</f>
        <v>2941441</v>
      </c>
      <c r="AF43" s="115">
        <f>SFP!AE51</f>
        <v>2941441</v>
      </c>
      <c r="AG43" s="115">
        <f>SFP!AF51</f>
        <v>2941441</v>
      </c>
      <c r="AH43" s="115">
        <f>SFP!AG51</f>
        <v>2941441</v>
      </c>
      <c r="AI43" s="115">
        <f>SFP!AH51</f>
        <v>2941441</v>
      </c>
    </row>
    <row r="44" spans="1:36" ht="12.75">
      <c r="A44" s="47">
        <v>9.1999999999999993</v>
      </c>
      <c r="B44" s="113" t="s">
        <v>152</v>
      </c>
      <c r="C44" s="115">
        <f>SFP!B52</f>
        <v>0</v>
      </c>
      <c r="D44" s="115" t="e">
        <f>SFP!#REF!</f>
        <v>#REF!</v>
      </c>
      <c r="E44" s="115" t="e">
        <f>SFP!#REF!</f>
        <v>#REF!</v>
      </c>
      <c r="F44" s="115" t="e">
        <f>SFP!#REF!</f>
        <v>#REF!</v>
      </c>
      <c r="G44" s="115" t="e">
        <f>SFP!#REF!</f>
        <v>#REF!</v>
      </c>
      <c r="H44" s="115" t="e">
        <f>SFP!#REF!</f>
        <v>#REF!</v>
      </c>
      <c r="I44" s="115" t="e">
        <f>SFP!#REF!</f>
        <v>#REF!</v>
      </c>
      <c r="J44" s="115" t="e">
        <f>SFP!#REF!</f>
        <v>#REF!</v>
      </c>
      <c r="K44" s="115" t="e">
        <f>SFP!#REF!</f>
        <v>#REF!</v>
      </c>
      <c r="L44" s="115" t="e">
        <f>SFP!#REF!</f>
        <v>#REF!</v>
      </c>
      <c r="M44" s="115" t="e">
        <f>SFP!#REF!</f>
        <v>#REF!</v>
      </c>
      <c r="N44" s="115" t="e">
        <f>SFP!#REF!</f>
        <v>#REF!</v>
      </c>
      <c r="O44" s="115" t="e">
        <f>SFP!#REF!</f>
        <v>#REF!</v>
      </c>
      <c r="P44" s="115">
        <f>SFP!O52</f>
        <v>0</v>
      </c>
      <c r="Q44" s="115">
        <f>SFP!P52</f>
        <v>0</v>
      </c>
      <c r="R44" s="115">
        <f>SFP!Q52</f>
        <v>0</v>
      </c>
      <c r="S44" s="115">
        <f>SFP!R52</f>
        <v>0</v>
      </c>
      <c r="T44" s="115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0</v>
      </c>
      <c r="AH44" s="115">
        <f>SFP!AG52</f>
        <v>0</v>
      </c>
      <c r="AI44" s="115">
        <f>SFP!AH52</f>
        <v>0</v>
      </c>
    </row>
    <row r="45" spans="1:36" ht="12.75">
      <c r="A45" s="48"/>
      <c r="B45" s="114" t="s">
        <v>153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</row>
    <row r="46" spans="1:36" ht="12.75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</row>
    <row r="47" spans="1:36" ht="12.75">
      <c r="A47" s="49">
        <v>10</v>
      </c>
      <c r="B47" s="50" t="s">
        <v>154</v>
      </c>
      <c r="C47" s="125">
        <f t="shared" ref="C47:O47" si="18">SUM(C48:C53)</f>
        <v>36889168</v>
      </c>
      <c r="D47" s="125">
        <f t="shared" si="18"/>
        <v>0</v>
      </c>
      <c r="E47" s="125">
        <f t="shared" si="18"/>
        <v>0</v>
      </c>
      <c r="F47" s="125">
        <f t="shared" si="18"/>
        <v>0</v>
      </c>
      <c r="G47" s="125">
        <f t="shared" si="18"/>
        <v>0</v>
      </c>
      <c r="H47" s="125">
        <f t="shared" si="18"/>
        <v>0</v>
      </c>
      <c r="I47" s="125">
        <f t="shared" si="18"/>
        <v>0</v>
      </c>
      <c r="J47" s="125">
        <f t="shared" si="18"/>
        <v>0</v>
      </c>
      <c r="K47" s="125">
        <f t="shared" si="18"/>
        <v>0</v>
      </c>
      <c r="L47" s="125">
        <f t="shared" si="18"/>
        <v>0</v>
      </c>
      <c r="M47" s="125">
        <f t="shared" si="18"/>
        <v>0</v>
      </c>
      <c r="N47" s="125">
        <f t="shared" si="18"/>
        <v>0</v>
      </c>
      <c r="O47" s="125">
        <f t="shared" si="18"/>
        <v>0</v>
      </c>
      <c r="P47" s="125">
        <f t="shared" ref="P47:AH47" si="19">SUM(P48:P53)</f>
        <v>36992095</v>
      </c>
      <c r="Q47" s="125">
        <f t="shared" si="19"/>
        <v>2537957.1100000003</v>
      </c>
      <c r="R47" s="125">
        <f t="shared" si="19"/>
        <v>4436448.0199999996</v>
      </c>
      <c r="S47" s="125">
        <f t="shared" si="19"/>
        <v>8069225.1299999999</v>
      </c>
      <c r="T47" s="125">
        <f t="shared" si="19"/>
        <v>10515521.460000001</v>
      </c>
      <c r="U47" s="125">
        <f t="shared" si="19"/>
        <v>12286481.710000001</v>
      </c>
      <c r="V47" s="125">
        <f t="shared" si="19"/>
        <v>15121910.27</v>
      </c>
      <c r="W47" s="125">
        <f t="shared" si="19"/>
        <v>17456517.859999999</v>
      </c>
      <c r="X47" s="125">
        <f t="shared" si="19"/>
        <v>20305312.079999998</v>
      </c>
      <c r="Y47" s="125">
        <f t="shared" si="19"/>
        <v>23685322.420000002</v>
      </c>
      <c r="Z47" s="125">
        <f t="shared" si="19"/>
        <v>26832929.399999999</v>
      </c>
      <c r="AA47" s="125">
        <f t="shared" si="19"/>
        <v>29027194</v>
      </c>
      <c r="AB47" s="125">
        <f t="shared" si="19"/>
        <v>31253505.829999998</v>
      </c>
      <c r="AC47" s="125">
        <f t="shared" si="19"/>
        <v>47938614</v>
      </c>
      <c r="AD47" s="125">
        <f t="shared" si="19"/>
        <v>2275261.5700000003</v>
      </c>
      <c r="AE47" s="125">
        <f t="shared" si="19"/>
        <v>3872586.21</v>
      </c>
      <c r="AF47" s="125">
        <f t="shared" si="19"/>
        <v>7863020.7800000003</v>
      </c>
      <c r="AG47" s="125">
        <f t="shared" si="19"/>
        <v>10344525.07</v>
      </c>
      <c r="AH47" s="125">
        <f t="shared" si="19"/>
        <v>13317076.17</v>
      </c>
      <c r="AI47" s="125">
        <f t="shared" ref="AI47:AJ47" si="20">SUM(AI48:AI53)</f>
        <v>16069823.020000001</v>
      </c>
      <c r="AJ47" s="125">
        <f t="shared" si="20"/>
        <v>0</v>
      </c>
    </row>
    <row r="48" spans="1:36" ht="12.75">
      <c r="A48" s="34">
        <v>10.1</v>
      </c>
      <c r="B48" s="51" t="s">
        <v>155</v>
      </c>
      <c r="C48" s="115">
        <f>SCI!B13</f>
        <v>13316672</v>
      </c>
      <c r="D48" s="115">
        <f>SCI!C13</f>
        <v>0</v>
      </c>
      <c r="E48" s="115">
        <f>SCI!D13</f>
        <v>0</v>
      </c>
      <c r="F48" s="115">
        <f>SCI!E13</f>
        <v>0</v>
      </c>
      <c r="G48" s="115">
        <f>SCI!F13</f>
        <v>0</v>
      </c>
      <c r="H48" s="115">
        <f>SCI!G13</f>
        <v>0</v>
      </c>
      <c r="I48" s="115">
        <f>SCI!H13</f>
        <v>0</v>
      </c>
      <c r="J48" s="115">
        <f>SCI!I13</f>
        <v>0</v>
      </c>
      <c r="K48" s="115">
        <f>SCI!J13</f>
        <v>0</v>
      </c>
      <c r="L48" s="115">
        <f>SCI!K13</f>
        <v>0</v>
      </c>
      <c r="M48" s="115">
        <f>SCI!L13</f>
        <v>0</v>
      </c>
      <c r="N48" s="115">
        <f>SCI!M13</f>
        <v>0</v>
      </c>
      <c r="O48" s="115">
        <f>SCI!N13</f>
        <v>0</v>
      </c>
      <c r="P48" s="115">
        <f>SCI!O13</f>
        <v>15883566</v>
      </c>
      <c r="Q48" s="115">
        <f>SCI!P13</f>
        <v>0</v>
      </c>
      <c r="R48" s="115">
        <f>SCI!Q13</f>
        <v>0</v>
      </c>
      <c r="S48" s="115">
        <f>SCI!R13</f>
        <v>0</v>
      </c>
      <c r="T48" s="115">
        <f>SCI!S13</f>
        <v>3089</v>
      </c>
      <c r="U48" s="115">
        <f>SCI!T13</f>
        <v>3089</v>
      </c>
      <c r="V48" s="115">
        <f>SCI!U13</f>
        <v>3089</v>
      </c>
      <c r="W48" s="115">
        <f>SCI!V13</f>
        <v>3089</v>
      </c>
      <c r="X48" s="115">
        <f>SCI!W13</f>
        <v>3089</v>
      </c>
      <c r="Y48" s="115">
        <f>SCI!X13</f>
        <v>3089</v>
      </c>
      <c r="Z48" s="115">
        <f>SCI!Y13</f>
        <v>3089</v>
      </c>
      <c r="AA48" s="115">
        <f>SCI!Z13</f>
        <v>3089</v>
      </c>
      <c r="AB48" s="115">
        <f>SCI!AA13</f>
        <v>3089</v>
      </c>
      <c r="AC48" s="115">
        <f>SCI!AB13</f>
        <v>17933530</v>
      </c>
      <c r="AD48" s="115">
        <f>SCI!AC13</f>
        <v>0</v>
      </c>
      <c r="AE48" s="115">
        <f>SCI!AD13</f>
        <v>0</v>
      </c>
      <c r="AF48" s="115">
        <f>SCI!AE13</f>
        <v>0</v>
      </c>
      <c r="AG48" s="115">
        <f>SCI!AF13</f>
        <v>2754.04</v>
      </c>
      <c r="AH48" s="115">
        <f>SCI!AG13</f>
        <v>2814.04</v>
      </c>
      <c r="AI48" s="115">
        <f>SCI!AH13</f>
        <v>2814.04</v>
      </c>
      <c r="AJ48" s="115">
        <f>SCI!AI13</f>
        <v>0</v>
      </c>
    </row>
    <row r="49" spans="1:36" ht="12.75">
      <c r="A49" s="34">
        <v>10.199999999999999</v>
      </c>
      <c r="B49" s="51" t="s">
        <v>156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121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</row>
    <row r="50" spans="1:36" ht="12.75">
      <c r="A50" s="34">
        <v>10.3</v>
      </c>
      <c r="B50" s="51" t="s">
        <v>157</v>
      </c>
      <c r="C50" s="116">
        <f>SCI!B14</f>
        <v>2635950</v>
      </c>
      <c r="D50" s="116">
        <f>SCI!C14</f>
        <v>0</v>
      </c>
      <c r="E50" s="116">
        <f>SCI!D14</f>
        <v>0</v>
      </c>
      <c r="F50" s="116">
        <f>SCI!E14</f>
        <v>0</v>
      </c>
      <c r="G50" s="116">
        <f>SCI!F14</f>
        <v>0</v>
      </c>
      <c r="H50" s="116">
        <f>SCI!G14</f>
        <v>0</v>
      </c>
      <c r="I50" s="116">
        <f>SCI!H14</f>
        <v>0</v>
      </c>
      <c r="J50" s="116">
        <f>SCI!I14</f>
        <v>0</v>
      </c>
      <c r="K50" s="116">
        <f>SCI!J14</f>
        <v>0</v>
      </c>
      <c r="L50" s="116">
        <f>SCI!K14</f>
        <v>0</v>
      </c>
      <c r="M50" s="116">
        <f>SCI!L14</f>
        <v>0</v>
      </c>
      <c r="N50" s="116">
        <f>SCI!M14</f>
        <v>0</v>
      </c>
      <c r="O50" s="116">
        <f>SCI!N14</f>
        <v>0</v>
      </c>
      <c r="P50" s="116">
        <f>SCI!O14</f>
        <v>275000</v>
      </c>
      <c r="Q50" s="116">
        <f>SCI!P14</f>
        <v>37500</v>
      </c>
      <c r="R50" s="116">
        <f>SCI!Q14</f>
        <v>75000</v>
      </c>
      <c r="S50" s="116">
        <f>SCI!R14</f>
        <v>112500</v>
      </c>
      <c r="T50" s="116">
        <f>SCI!S14</f>
        <v>150000</v>
      </c>
      <c r="U50" s="116">
        <f>SCI!T14</f>
        <v>150000</v>
      </c>
      <c r="V50" s="116">
        <f>SCI!U14</f>
        <v>777300</v>
      </c>
      <c r="W50" s="116">
        <f>SCI!V14</f>
        <v>923150.74</v>
      </c>
      <c r="X50" s="116">
        <f>SCI!W14</f>
        <v>923150.74</v>
      </c>
      <c r="Y50" s="116">
        <f>SCI!X14</f>
        <v>1211643.33</v>
      </c>
      <c r="Z50" s="116">
        <f>SCI!Y14</f>
        <v>1345660.95</v>
      </c>
      <c r="AA50" s="116">
        <f>SCI!Z14</f>
        <v>1464349.95</v>
      </c>
      <c r="AB50" s="116">
        <f>SCI!AA14</f>
        <v>1583038.95</v>
      </c>
      <c r="AC50" s="116">
        <f>SCI!AB14</f>
        <v>1534256</v>
      </c>
      <c r="AD50" s="116">
        <f>SCI!AC14</f>
        <v>43480.17</v>
      </c>
      <c r="AE50" s="116">
        <f>SCI!AD14</f>
        <v>114691.45</v>
      </c>
      <c r="AF50" s="116">
        <f>SCI!AE14</f>
        <v>616987.57999999996</v>
      </c>
      <c r="AG50" s="116">
        <f>SCI!AF14</f>
        <v>810663.95</v>
      </c>
      <c r="AH50" s="116">
        <f>SCI!AG14</f>
        <v>1162908.29</v>
      </c>
      <c r="AI50" s="116">
        <f>SCI!AH14</f>
        <v>1351914.3</v>
      </c>
      <c r="AJ50" s="116">
        <f>SCI!AI14</f>
        <v>0</v>
      </c>
    </row>
    <row r="51" spans="1:36" ht="12.75">
      <c r="A51" s="34">
        <v>10.4</v>
      </c>
      <c r="B51" s="51" t="s">
        <v>158</v>
      </c>
      <c r="C51" s="121">
        <f>SCI!B16+SCI!B17+SCI!B18</f>
        <v>0</v>
      </c>
      <c r="D51" s="121">
        <f>SCI!C16+SCI!C17+SCI!C18</f>
        <v>0</v>
      </c>
      <c r="E51" s="121">
        <f>SCI!D16+SCI!D17+SCI!D18</f>
        <v>0</v>
      </c>
      <c r="F51" s="121">
        <f>SCI!E16+SCI!E17+SCI!E18</f>
        <v>0</v>
      </c>
      <c r="G51" s="121">
        <f>SCI!F16+SCI!F17+SCI!F18</f>
        <v>0</v>
      </c>
      <c r="H51" s="121">
        <f>SCI!G16+SCI!G17+SCI!G18</f>
        <v>0</v>
      </c>
      <c r="I51" s="121">
        <f>SCI!H16+SCI!H17+SCI!H18</f>
        <v>0</v>
      </c>
      <c r="J51" s="121">
        <f>SCI!I16+SCI!I17+SCI!I18</f>
        <v>0</v>
      </c>
      <c r="K51" s="121">
        <f>SCI!J16+SCI!J17+SCI!J18</f>
        <v>0</v>
      </c>
      <c r="L51" s="121">
        <f>SCI!K16+SCI!K17+SCI!K18</f>
        <v>0</v>
      </c>
      <c r="M51" s="121">
        <f>SCI!L16+SCI!L17+SCI!L18</f>
        <v>0</v>
      </c>
      <c r="N51" s="121">
        <f>SCI!M16+SCI!M17+SCI!M18</f>
        <v>0</v>
      </c>
      <c r="O51" s="121">
        <f>SCI!N16+SCI!N17+SCI!N18</f>
        <v>0</v>
      </c>
      <c r="P51" s="121">
        <f>SCI!O16+SCI!O17+SCI!O18</f>
        <v>0</v>
      </c>
      <c r="Q51" s="121">
        <f>SCI!P16+SCI!P17+SCI!P18</f>
        <v>5733.6</v>
      </c>
      <c r="R51" s="121">
        <f>SCI!Q16+SCI!Q17+SCI!Q18</f>
        <v>23778</v>
      </c>
      <c r="S51" s="121">
        <f>SCI!R16+SCI!R17+SCI!R18</f>
        <v>229235.97</v>
      </c>
      <c r="T51" s="121">
        <f>SCI!S16+SCI!S17+SCI!S18</f>
        <v>395726.17</v>
      </c>
      <c r="U51" s="121">
        <f>SCI!T16+SCI!T17+SCI!T18</f>
        <v>676799.73</v>
      </c>
      <c r="V51" s="121">
        <f>SCI!U16+SCI!U17+SCI!U18</f>
        <v>818152.08</v>
      </c>
      <c r="W51" s="121">
        <f>SCI!V16+SCI!V17+SCI!V18</f>
        <v>853343.98</v>
      </c>
      <c r="X51" s="121">
        <f>SCI!W16+SCI!W17+SCI!W18</f>
        <v>927203.19</v>
      </c>
      <c r="Y51" s="121">
        <f>SCI!X16+SCI!X17+SCI!X18</f>
        <v>991363.6</v>
      </c>
      <c r="Z51" s="121">
        <f>SCI!Y16+SCI!Y17+SCI!Y18</f>
        <v>1165187.8600000001</v>
      </c>
      <c r="AA51" s="121">
        <f>SCI!Z16+SCI!Z17+SCI!Z18</f>
        <v>1351671.36</v>
      </c>
      <c r="AB51" s="121">
        <f>SCI!AA16+SCI!AA17+SCI!AA18</f>
        <v>1391455.16</v>
      </c>
      <c r="AC51" s="121">
        <f>SCI!AB16+SCI!AB17+SCI!AB18</f>
        <v>0</v>
      </c>
      <c r="AD51" s="121">
        <f>SCI!AC16+SCI!AC17+SCI!AC18</f>
        <v>9403.4</v>
      </c>
      <c r="AE51" s="121">
        <f>SCI!AD16+SCI!AD17+SCI!AD18</f>
        <v>86423.26</v>
      </c>
      <c r="AF51" s="121">
        <f>SCI!AE16+SCI!AE17+SCI!AE18</f>
        <v>90397.26</v>
      </c>
      <c r="AG51" s="121">
        <f>SCI!AF16+SCI!AF17+SCI!AF18</f>
        <v>328683.8</v>
      </c>
      <c r="AH51" s="121">
        <f>SCI!AG16+SCI!AG17+SCI!AG18</f>
        <v>418395.47</v>
      </c>
      <c r="AI51" s="121">
        <f>SCI!AH16+SCI!AH17+SCI!AH18</f>
        <v>447126.47</v>
      </c>
      <c r="AJ51" s="121">
        <f>SCI!AI16+SCI!AI17+SCI!AI18</f>
        <v>0</v>
      </c>
    </row>
    <row r="52" spans="1:36" ht="12.75">
      <c r="A52" s="34">
        <v>10.5</v>
      </c>
      <c r="B52" s="52" t="s">
        <v>159</v>
      </c>
      <c r="C52" s="115">
        <f>SCI!B28</f>
        <v>18314309</v>
      </c>
      <c r="D52" s="115">
        <f>SCI!C28</f>
        <v>0</v>
      </c>
      <c r="E52" s="115">
        <f>SCI!D28</f>
        <v>0</v>
      </c>
      <c r="F52" s="115">
        <f>SCI!E28</f>
        <v>0</v>
      </c>
      <c r="G52" s="115">
        <f>SCI!F28</f>
        <v>0</v>
      </c>
      <c r="H52" s="115">
        <f>SCI!G28</f>
        <v>0</v>
      </c>
      <c r="I52" s="115">
        <f>SCI!H28</f>
        <v>0</v>
      </c>
      <c r="J52" s="115">
        <f>SCI!I28</f>
        <v>0</v>
      </c>
      <c r="K52" s="115">
        <f>SCI!J28</f>
        <v>0</v>
      </c>
      <c r="L52" s="115">
        <f>SCI!K28</f>
        <v>0</v>
      </c>
      <c r="M52" s="115">
        <f>SCI!L28</f>
        <v>0</v>
      </c>
      <c r="N52" s="115">
        <f>SCI!M28</f>
        <v>0</v>
      </c>
      <c r="O52" s="115">
        <f>SCI!N28</f>
        <v>0</v>
      </c>
      <c r="P52" s="115">
        <f>SCI!O28</f>
        <v>17536475</v>
      </c>
      <c r="Q52" s="115">
        <f>SCI!P28</f>
        <v>1491513.51</v>
      </c>
      <c r="R52" s="115">
        <f>SCI!Q28</f>
        <v>2787752.02</v>
      </c>
      <c r="S52" s="115">
        <f>SCI!R28</f>
        <v>4139831.12</v>
      </c>
      <c r="T52" s="115">
        <f>SCI!S28</f>
        <v>7023723.29</v>
      </c>
      <c r="U52" s="115">
        <f>SCI!T28</f>
        <v>8358479.9800000004</v>
      </c>
      <c r="V52" s="115">
        <f>SCI!U28</f>
        <v>10192090.189999999</v>
      </c>
      <c r="W52" s="115">
        <f>SCI!V28</f>
        <v>11563270.609999999</v>
      </c>
      <c r="X52" s="115">
        <f>SCI!W28</f>
        <v>13982490.619999999</v>
      </c>
      <c r="Y52" s="115">
        <f>SCI!X28</f>
        <v>16058573.960000001</v>
      </c>
      <c r="Z52" s="115">
        <f>SCI!Y28</f>
        <v>17351056.66</v>
      </c>
      <c r="AA52" s="115">
        <f>SCI!Z28</f>
        <v>18786661.359999999</v>
      </c>
      <c r="AB52" s="115">
        <f>SCI!AA28</f>
        <v>20712855.390000001</v>
      </c>
      <c r="AC52" s="115">
        <f>SCI!AB28</f>
        <v>20907761</v>
      </c>
      <c r="AD52" s="115">
        <f>SCI!AC28</f>
        <v>2023828</v>
      </c>
      <c r="AE52" s="115">
        <f>SCI!AD28</f>
        <v>3097057.5</v>
      </c>
      <c r="AF52" s="115">
        <f>SCI!AE28</f>
        <v>4366919.99</v>
      </c>
      <c r="AG52" s="115">
        <f>SCI!AF28</f>
        <v>6828524.2800000003</v>
      </c>
      <c r="AH52" s="115">
        <f>SCI!AG28</f>
        <v>9231349.3699999992</v>
      </c>
      <c r="AI52" s="115">
        <f>SCI!AH28</f>
        <v>11093959.210000001</v>
      </c>
      <c r="AJ52" s="115">
        <f>SCI!AI28</f>
        <v>0</v>
      </c>
    </row>
    <row r="53" spans="1:36" ht="12.75">
      <c r="A53" s="34">
        <v>10.6</v>
      </c>
      <c r="B53" s="52" t="s">
        <v>160</v>
      </c>
      <c r="C53" s="115">
        <f>SCI!B25</f>
        <v>2622237</v>
      </c>
      <c r="D53" s="115">
        <f>SCI!C25</f>
        <v>0</v>
      </c>
      <c r="E53" s="115">
        <f>SCI!D25</f>
        <v>0</v>
      </c>
      <c r="F53" s="115">
        <f>SCI!E25</f>
        <v>0</v>
      </c>
      <c r="G53" s="115">
        <f>SCI!F25</f>
        <v>0</v>
      </c>
      <c r="H53" s="115">
        <f>SCI!G25</f>
        <v>0</v>
      </c>
      <c r="I53" s="115">
        <f>SCI!H25</f>
        <v>0</v>
      </c>
      <c r="J53" s="115">
        <f>SCI!I25</f>
        <v>0</v>
      </c>
      <c r="K53" s="115">
        <f>SCI!J25</f>
        <v>0</v>
      </c>
      <c r="L53" s="115">
        <f>SCI!K25</f>
        <v>0</v>
      </c>
      <c r="M53" s="115">
        <f>SCI!L25</f>
        <v>0</v>
      </c>
      <c r="N53" s="115">
        <f>SCI!M25</f>
        <v>0</v>
      </c>
      <c r="O53" s="115">
        <f>SCI!N25</f>
        <v>0</v>
      </c>
      <c r="P53" s="115">
        <f>SCI!O25</f>
        <v>3297054</v>
      </c>
      <c r="Q53" s="115">
        <f>SCI!P25</f>
        <v>1003210</v>
      </c>
      <c r="R53" s="115">
        <f>SCI!Q25</f>
        <v>1549918</v>
      </c>
      <c r="S53" s="115">
        <f>SCI!R25</f>
        <v>3587658.04</v>
      </c>
      <c r="T53" s="115">
        <f>SCI!S25</f>
        <v>2942983</v>
      </c>
      <c r="U53" s="115">
        <f>SCI!T25</f>
        <v>3098113</v>
      </c>
      <c r="V53" s="115">
        <f>SCI!U25</f>
        <v>3331279</v>
      </c>
      <c r="W53" s="115">
        <f>SCI!V25</f>
        <v>4113663.53</v>
      </c>
      <c r="X53" s="115">
        <f>SCI!W25</f>
        <v>4469378.53</v>
      </c>
      <c r="Y53" s="115">
        <f>SCI!X25</f>
        <v>5420652.5300000003</v>
      </c>
      <c r="Z53" s="115">
        <f>SCI!Y25</f>
        <v>6967934.9299999997</v>
      </c>
      <c r="AA53" s="115">
        <f>SCI!Z25</f>
        <v>7421422.3300000001</v>
      </c>
      <c r="AB53" s="115">
        <f>SCI!AA25</f>
        <v>7563067.3300000001</v>
      </c>
      <c r="AC53" s="115">
        <f>SCI!AB25</f>
        <v>7563067</v>
      </c>
      <c r="AD53" s="115">
        <f>SCI!AC25</f>
        <v>198550</v>
      </c>
      <c r="AE53" s="115">
        <f>SCI!AD25</f>
        <v>574414</v>
      </c>
      <c r="AF53" s="115">
        <f>SCI!AE25</f>
        <v>2788715.95</v>
      </c>
      <c r="AG53" s="115">
        <f>SCI!AF25</f>
        <v>2373899</v>
      </c>
      <c r="AH53" s="115">
        <f>SCI!AG25</f>
        <v>2501609</v>
      </c>
      <c r="AI53" s="115">
        <f>SCI!AH25</f>
        <v>3174009</v>
      </c>
      <c r="AJ53" s="115">
        <f>SCI!AI25</f>
        <v>0</v>
      </c>
    </row>
    <row r="54" spans="1:36" ht="12.75">
      <c r="A54" s="34"/>
      <c r="B54" s="53" t="s">
        <v>161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</row>
    <row r="56" spans="1:36">
      <c r="B56" s="26" t="s">
        <v>162</v>
      </c>
      <c r="C56" s="54">
        <f>SCI!B37</f>
        <v>4955443</v>
      </c>
      <c r="D56" s="54">
        <f>SCI!C37</f>
        <v>0</v>
      </c>
      <c r="E56" s="54">
        <f>SCI!D37</f>
        <v>0</v>
      </c>
      <c r="F56" s="54">
        <f>SCI!E37</f>
        <v>0</v>
      </c>
      <c r="G56" s="54">
        <f>SCI!F37</f>
        <v>0</v>
      </c>
      <c r="H56" s="54">
        <f>SCI!G37</f>
        <v>0</v>
      </c>
      <c r="I56" s="54">
        <f>SCI!H37</f>
        <v>0</v>
      </c>
      <c r="J56" s="54">
        <f>SCI!I37</f>
        <v>0</v>
      </c>
      <c r="K56" s="54">
        <f>SCI!J37</f>
        <v>0</v>
      </c>
      <c r="L56" s="54">
        <f>SCI!K37</f>
        <v>0</v>
      </c>
      <c r="M56" s="54">
        <f>SCI!L37</f>
        <v>0</v>
      </c>
      <c r="N56" s="54">
        <f>SCI!M37</f>
        <v>0</v>
      </c>
      <c r="O56" s="54">
        <f>SCI!N37</f>
        <v>0</v>
      </c>
      <c r="P56" s="54">
        <f>SCI!O37</f>
        <v>8679129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43" workbookViewId="0">
      <selection activeCell="P4" sqref="P4:P7"/>
    </sheetView>
  </sheetViews>
  <sheetFormatPr defaultColWidth="9.140625" defaultRowHeight="13.15"/>
  <cols>
    <col min="1" max="2" width="9.140625" style="147"/>
    <col min="3" max="3" width="5.7109375" style="147" bestFit="1" customWidth="1"/>
    <col min="4" max="4" width="18.7109375" style="147" customWidth="1"/>
    <col min="5" max="5" width="12.140625" style="147" bestFit="1" customWidth="1"/>
    <col min="6" max="6" width="21.42578125" style="147" bestFit="1" customWidth="1"/>
    <col min="7" max="7" width="17" style="147" customWidth="1"/>
    <col min="8" max="8" width="22.42578125" style="147" bestFit="1" customWidth="1"/>
    <col min="9" max="10" width="9.140625" style="147"/>
    <col min="11" max="11" width="4.140625" style="171" bestFit="1" customWidth="1"/>
    <col min="12" max="12" width="20.7109375" style="171" customWidth="1"/>
    <col min="13" max="13" width="12" style="171" bestFit="1" customWidth="1"/>
    <col min="14" max="14" width="21.140625" style="147" customWidth="1"/>
    <col min="15" max="15" width="11.28515625" style="147" bestFit="1" customWidth="1"/>
    <col min="16" max="16" width="24.7109375" style="147" customWidth="1"/>
    <col min="17" max="16384" width="9.140625" style="147"/>
  </cols>
  <sheetData>
    <row r="3" spans="3:16" ht="13.9">
      <c r="C3" s="148"/>
      <c r="D3" s="383" t="s">
        <v>163</v>
      </c>
      <c r="E3" s="383"/>
      <c r="F3" s="383"/>
      <c r="G3" s="383"/>
      <c r="H3" s="383"/>
      <c r="K3" s="148"/>
      <c r="L3" s="383" t="s">
        <v>163</v>
      </c>
      <c r="M3" s="383"/>
      <c r="N3" s="383"/>
      <c r="O3" s="383"/>
      <c r="P3" s="383"/>
    </row>
    <row r="4" spans="3:16" ht="27.6">
      <c r="C4" s="148"/>
      <c r="D4" s="149" t="s">
        <v>164</v>
      </c>
      <c r="E4" s="148"/>
      <c r="G4" s="148"/>
      <c r="H4" s="150"/>
      <c r="K4" s="148"/>
      <c r="L4" s="149" t="s">
        <v>164</v>
      </c>
      <c r="M4" s="148"/>
      <c r="O4" s="148"/>
      <c r="P4" s="150"/>
    </row>
    <row r="5" spans="3:16" ht="13.9">
      <c r="C5" s="148"/>
      <c r="D5" s="149" t="s">
        <v>165</v>
      </c>
      <c r="E5" s="148"/>
      <c r="F5" s="148"/>
      <c r="G5" s="148"/>
      <c r="H5" s="151"/>
      <c r="K5" s="148"/>
      <c r="L5" s="149" t="s">
        <v>165</v>
      </c>
      <c r="M5" s="148"/>
      <c r="N5" s="148"/>
      <c r="O5" s="148"/>
      <c r="P5" s="151"/>
    </row>
    <row r="6" spans="3:16" ht="13.9">
      <c r="C6" s="148"/>
      <c r="D6" s="149" t="s">
        <v>166</v>
      </c>
      <c r="E6" s="148"/>
      <c r="F6" s="148"/>
      <c r="G6" s="152"/>
      <c r="H6" s="153"/>
      <c r="K6" s="148"/>
      <c r="L6" s="149" t="s">
        <v>166</v>
      </c>
      <c r="M6" s="148"/>
      <c r="N6" s="148"/>
      <c r="O6" s="152"/>
      <c r="P6" s="153"/>
    </row>
    <row r="7" spans="3:16" ht="13.9">
      <c r="C7" s="148"/>
      <c r="D7" s="149" t="s">
        <v>167</v>
      </c>
      <c r="E7" s="148"/>
      <c r="F7" s="148"/>
      <c r="G7" s="152"/>
      <c r="H7" s="153"/>
      <c r="K7" s="148"/>
      <c r="L7" s="149" t="s">
        <v>167</v>
      </c>
      <c r="M7" s="148"/>
      <c r="N7" s="148"/>
      <c r="O7" s="152"/>
      <c r="P7" s="153"/>
    </row>
    <row r="8" spans="3:16" ht="13.9">
      <c r="C8" s="148"/>
      <c r="D8" s="384" t="s">
        <v>168</v>
      </c>
      <c r="E8" s="384"/>
      <c r="F8" s="384"/>
      <c r="G8" s="384"/>
      <c r="H8" s="385"/>
      <c r="K8" s="148"/>
      <c r="L8" s="384" t="s">
        <v>168</v>
      </c>
      <c r="M8" s="384"/>
      <c r="N8" s="384"/>
      <c r="O8" s="384"/>
      <c r="P8" s="385"/>
    </row>
    <row r="9" spans="3:16" ht="13.9">
      <c r="C9" s="148"/>
      <c r="D9" s="148"/>
      <c r="E9" s="149" t="s">
        <v>169</v>
      </c>
      <c r="F9" s="149" t="s">
        <v>170</v>
      </c>
      <c r="G9" s="149" t="s">
        <v>171</v>
      </c>
      <c r="H9" s="149" t="s">
        <v>172</v>
      </c>
      <c r="K9" s="148"/>
      <c r="L9" s="148"/>
      <c r="M9" s="149" t="s">
        <v>169</v>
      </c>
      <c r="N9" s="149" t="s">
        <v>170</v>
      </c>
      <c r="O9" s="149" t="s">
        <v>171</v>
      </c>
      <c r="P9" s="149" t="s">
        <v>172</v>
      </c>
    </row>
    <row r="10" spans="3:16" ht="27.6">
      <c r="C10" s="148" t="s">
        <v>173</v>
      </c>
      <c r="D10" s="149" t="s">
        <v>174</v>
      </c>
      <c r="E10" s="149" t="s">
        <v>175</v>
      </c>
      <c r="F10" s="149" t="s">
        <v>176</v>
      </c>
      <c r="G10" s="149" t="s">
        <v>177</v>
      </c>
      <c r="H10" s="149" t="s">
        <v>178</v>
      </c>
      <c r="K10" s="148" t="s">
        <v>173</v>
      </c>
      <c r="L10" s="149" t="s">
        <v>174</v>
      </c>
      <c r="M10" s="149" t="s">
        <v>175</v>
      </c>
      <c r="N10" s="149" t="s">
        <v>176</v>
      </c>
      <c r="O10" s="149" t="s">
        <v>177</v>
      </c>
      <c r="P10" s="149" t="s">
        <v>178</v>
      </c>
    </row>
    <row r="11" spans="3:16" ht="13.9">
      <c r="C11" s="148">
        <v>1</v>
      </c>
      <c r="D11" s="148" t="s">
        <v>179</v>
      </c>
      <c r="E11" s="154"/>
      <c r="F11" s="172"/>
      <c r="G11" s="173"/>
      <c r="H11" s="174"/>
      <c r="K11" s="148">
        <v>1</v>
      </c>
      <c r="L11" s="148" t="s">
        <v>179</v>
      </c>
      <c r="M11" s="154"/>
      <c r="N11" s="172"/>
      <c r="O11" s="173"/>
      <c r="P11" s="174"/>
    </row>
    <row r="12" spans="3:16" ht="13.9">
      <c r="C12" s="148">
        <v>2</v>
      </c>
      <c r="D12" s="148" t="s">
        <v>180</v>
      </c>
      <c r="E12" s="154"/>
      <c r="F12" s="172"/>
      <c r="G12" s="173"/>
      <c r="H12" s="174"/>
      <c r="K12" s="148">
        <v>2</v>
      </c>
      <c r="L12" s="148" t="s">
        <v>180</v>
      </c>
      <c r="M12" s="154"/>
      <c r="N12" s="172"/>
      <c r="O12" s="173"/>
      <c r="P12" s="174"/>
    </row>
    <row r="13" spans="3:16" ht="13.9">
      <c r="C13" s="148">
        <v>3</v>
      </c>
      <c r="D13" s="148" t="s">
        <v>181</v>
      </c>
      <c r="E13" s="154"/>
      <c r="F13" s="172"/>
      <c r="G13" s="173"/>
      <c r="H13" s="174"/>
      <c r="K13" s="148">
        <v>3</v>
      </c>
      <c r="L13" s="148" t="s">
        <v>181</v>
      </c>
      <c r="M13" s="154"/>
      <c r="N13" s="172"/>
      <c r="O13" s="173"/>
      <c r="P13" s="174"/>
    </row>
    <row r="14" spans="3:16" ht="13.9">
      <c r="C14" s="148">
        <v>4</v>
      </c>
      <c r="D14" s="148" t="s">
        <v>182</v>
      </c>
      <c r="E14" s="154"/>
      <c r="F14" s="172"/>
      <c r="G14" s="173"/>
      <c r="H14" s="174"/>
      <c r="K14" s="148">
        <v>4</v>
      </c>
      <c r="L14" s="148" t="s">
        <v>182</v>
      </c>
      <c r="M14" s="154"/>
      <c r="N14" s="172"/>
      <c r="O14" s="173"/>
      <c r="P14" s="174"/>
    </row>
    <row r="15" spans="3:16" ht="13.9">
      <c r="C15" s="148">
        <v>5</v>
      </c>
      <c r="D15" s="148" t="s">
        <v>183</v>
      </c>
      <c r="E15" s="154"/>
      <c r="F15" s="172"/>
      <c r="G15" s="173"/>
      <c r="H15" s="174"/>
      <c r="K15" s="148">
        <v>5</v>
      </c>
      <c r="L15" s="148" t="s">
        <v>183</v>
      </c>
      <c r="M15" s="154"/>
      <c r="N15" s="172"/>
      <c r="O15" s="173"/>
      <c r="P15" s="174"/>
    </row>
    <row r="16" spans="3:16" ht="13.9">
      <c r="C16" s="148"/>
      <c r="D16" s="149" t="s">
        <v>184</v>
      </c>
      <c r="E16" s="149"/>
      <c r="F16" s="175"/>
      <c r="G16" s="175"/>
      <c r="H16" s="175"/>
      <c r="K16" s="148"/>
      <c r="L16" s="149" t="s">
        <v>184</v>
      </c>
      <c r="M16" s="149">
        <f>SUM(M11:M15)</f>
        <v>0</v>
      </c>
      <c r="N16" s="175">
        <f>SUM(N11:N15)</f>
        <v>0</v>
      </c>
      <c r="O16" s="175"/>
      <c r="P16" s="175">
        <f>SUM(P11:P15)</f>
        <v>0</v>
      </c>
    </row>
    <row r="17" spans="3:16" ht="27.6">
      <c r="C17" s="148"/>
      <c r="D17" s="148" t="s">
        <v>185</v>
      </c>
      <c r="E17" s="154"/>
      <c r="F17" s="172"/>
      <c r="G17" s="172"/>
      <c r="H17" s="172"/>
      <c r="K17" s="148"/>
      <c r="L17" s="148" t="s">
        <v>185</v>
      </c>
      <c r="M17" s="154"/>
      <c r="N17" s="172"/>
      <c r="O17" s="172"/>
      <c r="P17" s="172"/>
    </row>
    <row r="18" spans="3:16" ht="13.9">
      <c r="C18" s="148">
        <v>1</v>
      </c>
      <c r="D18" s="148" t="s">
        <v>179</v>
      </c>
      <c r="E18" s="154"/>
      <c r="F18" s="172"/>
      <c r="G18" s="173"/>
      <c r="H18" s="174"/>
      <c r="K18" s="148">
        <v>1</v>
      </c>
      <c r="L18" s="148" t="s">
        <v>179</v>
      </c>
      <c r="M18" s="154">
        <v>0</v>
      </c>
      <c r="N18" s="172">
        <v>0</v>
      </c>
      <c r="O18" s="173">
        <v>0.01</v>
      </c>
      <c r="P18" s="174">
        <f>N18*O18</f>
        <v>0</v>
      </c>
    </row>
    <row r="19" spans="3:16" ht="13.9">
      <c r="C19" s="148">
        <v>2</v>
      </c>
      <c r="D19" s="148" t="s">
        <v>180</v>
      </c>
      <c r="E19" s="154"/>
      <c r="F19" s="172"/>
      <c r="G19" s="173"/>
      <c r="H19" s="174"/>
      <c r="K19" s="148">
        <v>2</v>
      </c>
      <c r="L19" s="148" t="s">
        <v>180</v>
      </c>
      <c r="M19" s="154">
        <v>0</v>
      </c>
      <c r="N19" s="172">
        <v>0</v>
      </c>
      <c r="O19" s="173">
        <v>0.05</v>
      </c>
      <c r="P19" s="174">
        <f>N19*O19</f>
        <v>0</v>
      </c>
    </row>
    <row r="20" spans="3:16" ht="13.9">
      <c r="C20" s="148">
        <v>3</v>
      </c>
      <c r="D20" s="148" t="s">
        <v>181</v>
      </c>
      <c r="E20" s="154"/>
      <c r="F20" s="172"/>
      <c r="G20" s="173"/>
      <c r="H20" s="174"/>
      <c r="K20" s="148">
        <v>3</v>
      </c>
      <c r="L20" s="148" t="s">
        <v>181</v>
      </c>
      <c r="M20" s="154">
        <v>0</v>
      </c>
      <c r="N20" s="172">
        <v>0</v>
      </c>
      <c r="O20" s="173">
        <v>0.25</v>
      </c>
      <c r="P20" s="174">
        <f>N20*O20</f>
        <v>0</v>
      </c>
    </row>
    <row r="21" spans="3:16" ht="13.9">
      <c r="C21" s="148">
        <v>4</v>
      </c>
      <c r="D21" s="148" t="s">
        <v>182</v>
      </c>
      <c r="E21" s="154"/>
      <c r="F21" s="172"/>
      <c r="G21" s="173"/>
      <c r="H21" s="174"/>
      <c r="K21" s="148">
        <v>4</v>
      </c>
      <c r="L21" s="148" t="s">
        <v>182</v>
      </c>
      <c r="M21" s="154">
        <v>0</v>
      </c>
      <c r="N21" s="172">
        <v>0</v>
      </c>
      <c r="O21" s="173">
        <v>0.5</v>
      </c>
      <c r="P21" s="174">
        <f>N21*O21</f>
        <v>0</v>
      </c>
    </row>
    <row r="22" spans="3:16" ht="13.9">
      <c r="C22" s="148">
        <v>5</v>
      </c>
      <c r="D22" s="148" t="s">
        <v>183</v>
      </c>
      <c r="E22" s="154"/>
      <c r="F22" s="172"/>
      <c r="G22" s="173"/>
      <c r="H22" s="174"/>
      <c r="K22" s="148">
        <v>5</v>
      </c>
      <c r="L22" s="148" t="s">
        <v>183</v>
      </c>
      <c r="M22" s="154">
        <v>0</v>
      </c>
      <c r="N22" s="172">
        <v>0</v>
      </c>
      <c r="O22" s="173">
        <v>1</v>
      </c>
      <c r="P22" s="174">
        <f>N22*O22</f>
        <v>0</v>
      </c>
    </row>
    <row r="23" spans="3:16" ht="13.9">
      <c r="C23" s="148"/>
      <c r="D23" s="149" t="s">
        <v>184</v>
      </c>
      <c r="E23" s="149">
        <f>SUM(E17:E22)</f>
        <v>0</v>
      </c>
      <c r="F23" s="175">
        <f>SUM(F17:F22)</f>
        <v>0</v>
      </c>
      <c r="G23" s="175"/>
      <c r="H23" s="175">
        <f>SUM(H17:H22)</f>
        <v>0</v>
      </c>
      <c r="K23" s="148"/>
      <c r="L23" s="149" t="s">
        <v>184</v>
      </c>
      <c r="M23" s="149">
        <f>SUM(M17:M22)</f>
        <v>0</v>
      </c>
      <c r="N23" s="175">
        <f>SUM(N17:N22)</f>
        <v>0</v>
      </c>
      <c r="O23" s="175"/>
      <c r="P23" s="175">
        <f>SUM(P17:P22)</f>
        <v>0</v>
      </c>
    </row>
    <row r="24" spans="3:16" ht="13.9">
      <c r="C24" s="148"/>
      <c r="D24" s="149" t="s">
        <v>186</v>
      </c>
      <c r="E24" s="149">
        <f>E16+E23</f>
        <v>0</v>
      </c>
      <c r="F24" s="175">
        <f>F16+F23</f>
        <v>0</v>
      </c>
      <c r="G24" s="175"/>
      <c r="H24" s="175">
        <f>H16+H23</f>
        <v>0</v>
      </c>
      <c r="K24" s="148"/>
      <c r="L24" s="149" t="s">
        <v>186</v>
      </c>
      <c r="M24" s="149">
        <f>M16+M23</f>
        <v>0</v>
      </c>
      <c r="N24" s="175">
        <f>N16+N23</f>
        <v>0</v>
      </c>
      <c r="O24" s="175"/>
      <c r="P24" s="175">
        <f>P16+P23</f>
        <v>0</v>
      </c>
    </row>
    <row r="26" spans="3:16">
      <c r="F26" s="205">
        <f>F13+F14+F15</f>
        <v>0</v>
      </c>
      <c r="N26" s="205">
        <f>N13+N14+N15</f>
        <v>0</v>
      </c>
    </row>
    <row r="27" spans="3:16">
      <c r="F27" s="155" t="e">
        <f>F26/F24</f>
        <v>#DIV/0!</v>
      </c>
      <c r="N27" s="147" t="e">
        <f>N26/N24</f>
        <v>#DIV/0!</v>
      </c>
    </row>
    <row r="30" spans="3:16" ht="13.9">
      <c r="C30" s="148"/>
      <c r="D30" s="383" t="s">
        <v>163</v>
      </c>
      <c r="E30" s="383"/>
      <c r="F30" s="383"/>
      <c r="G30" s="383"/>
      <c r="H30" s="383"/>
    </row>
    <row r="31" spans="3:16" ht="27.6">
      <c r="C31" s="148"/>
      <c r="D31" s="149" t="s">
        <v>164</v>
      </c>
      <c r="E31" s="148"/>
      <c r="G31" s="148"/>
      <c r="H31" s="150"/>
    </row>
    <row r="32" spans="3:16" ht="13.9">
      <c r="C32" s="148"/>
      <c r="D32" s="149" t="s">
        <v>165</v>
      </c>
      <c r="E32" s="148"/>
      <c r="F32" s="148"/>
      <c r="G32" s="148"/>
      <c r="H32" s="151"/>
    </row>
    <row r="33" spans="3:8" ht="13.9">
      <c r="C33" s="148"/>
      <c r="D33" s="149" t="s">
        <v>166</v>
      </c>
      <c r="E33" s="148"/>
      <c r="F33" s="148"/>
      <c r="G33" s="152"/>
      <c r="H33" s="153"/>
    </row>
    <row r="34" spans="3:8" ht="13.9">
      <c r="C34" s="148"/>
      <c r="D34" s="149" t="s">
        <v>167</v>
      </c>
      <c r="E34" s="148"/>
      <c r="F34" s="148"/>
      <c r="G34" s="152"/>
      <c r="H34" s="153"/>
    </row>
    <row r="35" spans="3:8" ht="13.9">
      <c r="C35" s="148"/>
      <c r="D35" s="384" t="s">
        <v>168</v>
      </c>
      <c r="E35" s="384"/>
      <c r="F35" s="384"/>
      <c r="G35" s="384"/>
      <c r="H35" s="385"/>
    </row>
    <row r="36" spans="3:8" ht="13.9">
      <c r="C36" s="148"/>
      <c r="D36" s="148"/>
      <c r="E36" s="149" t="s">
        <v>169</v>
      </c>
      <c r="F36" s="149" t="s">
        <v>170</v>
      </c>
      <c r="G36" s="149" t="s">
        <v>171</v>
      </c>
      <c r="H36" s="149" t="s">
        <v>172</v>
      </c>
    </row>
    <row r="37" spans="3:8" ht="27.6">
      <c r="C37" s="148" t="s">
        <v>173</v>
      </c>
      <c r="D37" s="149" t="s">
        <v>174</v>
      </c>
      <c r="E37" s="149" t="s">
        <v>175</v>
      </c>
      <c r="F37" s="149" t="s">
        <v>176</v>
      </c>
      <c r="G37" s="149" t="s">
        <v>177</v>
      </c>
      <c r="H37" s="149" t="s">
        <v>178</v>
      </c>
    </row>
    <row r="38" spans="3:8" ht="13.9">
      <c r="C38" s="148">
        <v>1</v>
      </c>
      <c r="D38" s="148" t="s">
        <v>179</v>
      </c>
      <c r="E38" s="154"/>
      <c r="F38" s="172"/>
      <c r="G38" s="230"/>
      <c r="H38" s="231"/>
    </row>
    <row r="39" spans="3:8" ht="13.9">
      <c r="C39" s="148">
        <v>2</v>
      </c>
      <c r="D39" s="148" t="s">
        <v>180</v>
      </c>
      <c r="E39" s="154"/>
      <c r="F39" s="172"/>
      <c r="G39" s="230"/>
      <c r="H39" s="231"/>
    </row>
    <row r="40" spans="3:8" ht="13.9">
      <c r="C40" s="148">
        <v>3</v>
      </c>
      <c r="D40" s="148" t="s">
        <v>181</v>
      </c>
      <c r="E40" s="154"/>
      <c r="F40" s="172"/>
      <c r="G40" s="230"/>
      <c r="H40" s="231"/>
    </row>
    <row r="41" spans="3:8" ht="13.9">
      <c r="C41" s="148">
        <v>4</v>
      </c>
      <c r="D41" s="148" t="s">
        <v>182</v>
      </c>
      <c r="E41" s="154"/>
      <c r="F41" s="172"/>
      <c r="G41" s="230"/>
      <c r="H41" s="231"/>
    </row>
    <row r="42" spans="3:8" ht="13.9">
      <c r="C42" s="148">
        <v>5</v>
      </c>
      <c r="D42" s="148" t="s">
        <v>183</v>
      </c>
      <c r="E42" s="154"/>
      <c r="F42" s="172"/>
      <c r="G42" s="230"/>
      <c r="H42" s="231"/>
    </row>
    <row r="43" spans="3:8" ht="13.9">
      <c r="C43" s="148"/>
      <c r="D43" s="149" t="s">
        <v>184</v>
      </c>
      <c r="E43" s="149"/>
      <c r="F43" s="232"/>
      <c r="G43" s="232"/>
      <c r="H43" s="232"/>
    </row>
    <row r="44" spans="3:8" ht="27.6">
      <c r="C44" s="148"/>
      <c r="D44" s="148" t="s">
        <v>185</v>
      </c>
      <c r="E44" s="154"/>
      <c r="F44" s="172"/>
      <c r="G44" s="172"/>
      <c r="H44" s="172"/>
    </row>
    <row r="45" spans="3:8" ht="13.9">
      <c r="C45" s="148">
        <v>1</v>
      </c>
      <c r="D45" s="148" t="s">
        <v>179</v>
      </c>
      <c r="E45" s="154"/>
      <c r="F45" s="172"/>
      <c r="G45" s="230"/>
      <c r="H45" s="231">
        <f>F45*G45</f>
        <v>0</v>
      </c>
    </row>
    <row r="46" spans="3:8" ht="13.9">
      <c r="C46" s="148">
        <v>2</v>
      </c>
      <c r="D46" s="148" t="s">
        <v>180</v>
      </c>
      <c r="E46" s="154"/>
      <c r="F46" s="172"/>
      <c r="G46" s="230"/>
      <c r="H46" s="231">
        <f>F46*G46</f>
        <v>0</v>
      </c>
    </row>
    <row r="47" spans="3:8" ht="13.9">
      <c r="C47" s="148">
        <v>3</v>
      </c>
      <c r="D47" s="148" t="s">
        <v>181</v>
      </c>
      <c r="E47" s="154"/>
      <c r="F47" s="172"/>
      <c r="G47" s="230"/>
      <c r="H47" s="231">
        <f>F47*G47</f>
        <v>0</v>
      </c>
    </row>
    <row r="48" spans="3:8" ht="13.9">
      <c r="C48" s="148">
        <v>4</v>
      </c>
      <c r="D48" s="148" t="s">
        <v>182</v>
      </c>
      <c r="E48" s="154"/>
      <c r="F48" s="172"/>
      <c r="G48" s="230"/>
      <c r="H48" s="231">
        <f>F48*G48</f>
        <v>0</v>
      </c>
    </row>
    <row r="49" spans="3:8" ht="13.9">
      <c r="C49" s="148">
        <v>5</v>
      </c>
      <c r="D49" s="148" t="s">
        <v>183</v>
      </c>
      <c r="E49" s="154"/>
      <c r="F49" s="172"/>
      <c r="G49" s="230"/>
      <c r="H49" s="231">
        <f>F49*G49</f>
        <v>0</v>
      </c>
    </row>
    <row r="50" spans="3:8" ht="13.9">
      <c r="C50" s="148"/>
      <c r="D50" s="149" t="s">
        <v>184</v>
      </c>
      <c r="E50" s="149">
        <f>SUM(E44:E49)</f>
        <v>0</v>
      </c>
      <c r="F50" s="232">
        <f>SUM(F44:F49)</f>
        <v>0</v>
      </c>
      <c r="G50" s="232"/>
      <c r="H50" s="232">
        <f>SUM(H44:H49)</f>
        <v>0</v>
      </c>
    </row>
    <row r="51" spans="3:8" ht="13.9">
      <c r="C51" s="148"/>
      <c r="D51" s="149" t="s">
        <v>186</v>
      </c>
      <c r="E51" s="149">
        <f>E43+E50</f>
        <v>0</v>
      </c>
      <c r="F51" s="232">
        <f>F43+F50</f>
        <v>0</v>
      </c>
      <c r="G51" s="232"/>
      <c r="H51" s="232">
        <f>H43+H50</f>
        <v>0</v>
      </c>
    </row>
    <row r="52" spans="3:8">
      <c r="F52" s="171"/>
      <c r="G52" s="171"/>
      <c r="H52" s="171"/>
    </row>
    <row r="53" spans="3:8">
      <c r="F53" s="205">
        <f>F40+F41+F42</f>
        <v>0</v>
      </c>
    </row>
    <row r="54" spans="3:8">
      <c r="F54" s="155" t="e">
        <f>F53/F51</f>
        <v>#DIV/0!</v>
      </c>
    </row>
    <row r="56" spans="3:8" ht="13.9">
      <c r="C56" s="231"/>
      <c r="D56" s="380" t="s">
        <v>163</v>
      </c>
      <c r="E56" s="380"/>
      <c r="F56" s="380"/>
      <c r="G56" s="380"/>
      <c r="H56" s="380"/>
    </row>
    <row r="57" spans="3:8" ht="27.6">
      <c r="C57" s="231"/>
      <c r="D57" s="232" t="s">
        <v>164</v>
      </c>
      <c r="E57" s="231"/>
      <c r="F57" s="171"/>
      <c r="G57" s="231"/>
      <c r="H57" s="233"/>
    </row>
    <row r="58" spans="3:8" ht="13.9">
      <c r="C58" s="231"/>
      <c r="D58" s="232" t="s">
        <v>165</v>
      </c>
      <c r="E58" s="231"/>
      <c r="F58" s="231"/>
      <c r="G58" s="231"/>
      <c r="H58" s="234"/>
    </row>
    <row r="59" spans="3:8" ht="13.9">
      <c r="C59" s="231"/>
      <c r="D59" s="232" t="s">
        <v>166</v>
      </c>
      <c r="E59" s="231"/>
      <c r="F59" s="231"/>
      <c r="G59" s="235"/>
      <c r="H59" s="236"/>
    </row>
    <row r="60" spans="3:8" ht="13.9">
      <c r="C60" s="231"/>
      <c r="D60" s="232" t="s">
        <v>167</v>
      </c>
      <c r="E60" s="231"/>
      <c r="F60" s="231"/>
      <c r="G60" s="235"/>
      <c r="H60" s="236"/>
    </row>
    <row r="61" spans="3:8" ht="13.9">
      <c r="C61" s="231"/>
      <c r="D61" s="381" t="s">
        <v>168</v>
      </c>
      <c r="E61" s="381"/>
      <c r="F61" s="381"/>
      <c r="G61" s="381"/>
      <c r="H61" s="382"/>
    </row>
    <row r="62" spans="3:8" ht="13.9">
      <c r="C62" s="231"/>
      <c r="D62" s="231"/>
      <c r="E62" s="232" t="s">
        <v>169</v>
      </c>
      <c r="F62" s="232" t="s">
        <v>170</v>
      </c>
      <c r="G62" s="232" t="s">
        <v>171</v>
      </c>
      <c r="H62" s="232" t="s">
        <v>172</v>
      </c>
    </row>
    <row r="63" spans="3:8" ht="27.6">
      <c r="C63" s="231" t="s">
        <v>173</v>
      </c>
      <c r="D63" s="237" t="s">
        <v>174</v>
      </c>
      <c r="E63" s="232" t="s">
        <v>175</v>
      </c>
      <c r="F63" s="232" t="s">
        <v>176</v>
      </c>
      <c r="G63" s="232" t="s">
        <v>177</v>
      </c>
      <c r="H63" s="232" t="s">
        <v>178</v>
      </c>
    </row>
    <row r="64" spans="3:8" ht="13.9">
      <c r="C64" s="231">
        <v>1</v>
      </c>
      <c r="D64" s="231" t="s">
        <v>179</v>
      </c>
      <c r="E64" s="172"/>
      <c r="F64" s="172"/>
      <c r="G64" s="173"/>
      <c r="H64" s="174"/>
    </row>
    <row r="65" spans="3:8" ht="13.9">
      <c r="C65" s="231">
        <v>2</v>
      </c>
      <c r="D65" s="231" t="s">
        <v>180</v>
      </c>
      <c r="E65" s="172"/>
      <c r="F65" s="172"/>
      <c r="G65" s="173"/>
      <c r="H65" s="174"/>
    </row>
    <row r="66" spans="3:8" ht="13.9">
      <c r="C66" s="231">
        <v>3</v>
      </c>
      <c r="D66" s="231" t="s">
        <v>181</v>
      </c>
      <c r="E66" s="172"/>
      <c r="F66" s="172"/>
      <c r="G66" s="173"/>
      <c r="H66" s="174"/>
    </row>
    <row r="67" spans="3:8" ht="13.9">
      <c r="C67" s="231">
        <v>4</v>
      </c>
      <c r="D67" s="231" t="s">
        <v>182</v>
      </c>
      <c r="E67" s="172"/>
      <c r="F67" s="172"/>
      <c r="G67" s="173"/>
      <c r="H67" s="174"/>
    </row>
    <row r="68" spans="3:8" ht="13.9">
      <c r="C68" s="231">
        <v>5</v>
      </c>
      <c r="D68" s="231" t="s">
        <v>183</v>
      </c>
      <c r="E68" s="172"/>
      <c r="F68" s="172"/>
      <c r="G68" s="173"/>
      <c r="H68" s="174"/>
    </row>
    <row r="69" spans="3:8" ht="13.9">
      <c r="C69" s="231"/>
      <c r="D69" s="232" t="s">
        <v>184</v>
      </c>
      <c r="E69" s="175">
        <f>SUM(E64:E68)</f>
        <v>0</v>
      </c>
      <c r="F69" s="175">
        <f>SUM(F64:F68)</f>
        <v>0</v>
      </c>
      <c r="G69" s="175"/>
      <c r="H69" s="175">
        <f>SUM(H64:H68)</f>
        <v>0</v>
      </c>
    </row>
    <row r="70" spans="3:8" ht="41.45">
      <c r="C70" s="231"/>
      <c r="D70" s="231" t="s">
        <v>185</v>
      </c>
      <c r="E70" s="172"/>
      <c r="F70" s="172"/>
      <c r="G70" s="172"/>
      <c r="H70" s="172"/>
    </row>
    <row r="71" spans="3:8" ht="13.9">
      <c r="C71" s="231">
        <v>1</v>
      </c>
      <c r="D71" s="231" t="s">
        <v>179</v>
      </c>
      <c r="E71" s="172">
        <v>0</v>
      </c>
      <c r="F71" s="172">
        <v>0</v>
      </c>
      <c r="G71" s="173">
        <v>0.01</v>
      </c>
      <c r="H71" s="174">
        <f>F71*G71</f>
        <v>0</v>
      </c>
    </row>
    <row r="72" spans="3:8" ht="13.9">
      <c r="C72" s="231">
        <v>2</v>
      </c>
      <c r="D72" s="231" t="s">
        <v>180</v>
      </c>
      <c r="E72" s="172">
        <v>0</v>
      </c>
      <c r="F72" s="172">
        <v>0</v>
      </c>
      <c r="G72" s="173">
        <v>0.05</v>
      </c>
      <c r="H72" s="174">
        <f>F72*G72</f>
        <v>0</v>
      </c>
    </row>
    <row r="73" spans="3:8" ht="13.9">
      <c r="C73" s="231">
        <v>3</v>
      </c>
      <c r="D73" s="231" t="s">
        <v>181</v>
      </c>
      <c r="E73" s="172">
        <v>0</v>
      </c>
      <c r="F73" s="172">
        <v>0</v>
      </c>
      <c r="G73" s="173">
        <v>0.25</v>
      </c>
      <c r="H73" s="174">
        <f>F73*G73</f>
        <v>0</v>
      </c>
    </row>
    <row r="74" spans="3:8" ht="13.9">
      <c r="C74" s="231">
        <v>4</v>
      </c>
      <c r="D74" s="231" t="s">
        <v>182</v>
      </c>
      <c r="E74" s="172">
        <v>0</v>
      </c>
      <c r="F74" s="172">
        <v>0</v>
      </c>
      <c r="G74" s="173">
        <v>0.5</v>
      </c>
      <c r="H74" s="174">
        <f>F74*G74</f>
        <v>0</v>
      </c>
    </row>
    <row r="75" spans="3:8" ht="13.9">
      <c r="C75" s="231">
        <v>5</v>
      </c>
      <c r="D75" s="231" t="s">
        <v>183</v>
      </c>
      <c r="E75" s="172">
        <v>0</v>
      </c>
      <c r="F75" s="172">
        <v>0</v>
      </c>
      <c r="G75" s="173">
        <v>1</v>
      </c>
      <c r="H75" s="174">
        <f>F75*G75</f>
        <v>0</v>
      </c>
    </row>
    <row r="76" spans="3:8" ht="13.9">
      <c r="C76" s="231"/>
      <c r="D76" s="232" t="s">
        <v>184</v>
      </c>
      <c r="E76" s="175">
        <f>SUM(E70:E75)</f>
        <v>0</v>
      </c>
      <c r="F76" s="175">
        <f>SUM(F70:F75)</f>
        <v>0</v>
      </c>
      <c r="G76" s="175"/>
      <c r="H76" s="175">
        <f>SUM(H70:H75)</f>
        <v>0</v>
      </c>
    </row>
    <row r="77" spans="3:8" ht="13.9">
      <c r="C77" s="231"/>
      <c r="D77" s="232" t="s">
        <v>186</v>
      </c>
      <c r="E77" s="175">
        <f>E69+E76</f>
        <v>0</v>
      </c>
      <c r="F77" s="175">
        <f>F69+F76</f>
        <v>0</v>
      </c>
      <c r="G77" s="175"/>
      <c r="H77" s="175">
        <f>H69+H76</f>
        <v>0</v>
      </c>
    </row>
    <row r="79" spans="3:8">
      <c r="F79" s="205">
        <f>F66+F67+F68</f>
        <v>0</v>
      </c>
    </row>
    <row r="80" spans="3:8">
      <c r="F80" s="155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7"/>
  <sheetViews>
    <sheetView zoomScale="90" zoomScaleNormal="90" zoomScaleSheetLayoutView="78" workbookViewId="0">
      <pane xSplit="1" topLeftCell="AG1" activePane="topRight" state="frozen"/>
      <selection pane="topRight" activeCell="AG55" sqref="AG55:AH57"/>
    </sheetView>
  </sheetViews>
  <sheetFormatPr defaultColWidth="17.140625" defaultRowHeight="13.9"/>
  <cols>
    <col min="1" max="1" width="30.5703125" style="138" customWidth="1"/>
    <col min="2" max="2" width="19.28515625" style="139" customWidth="1"/>
    <col min="3" max="3" width="27.42578125" style="139" customWidth="1"/>
    <col min="4" max="13" width="19.28515625" style="139" customWidth="1"/>
    <col min="14" max="14" width="18.140625" style="139" bestFit="1" customWidth="1"/>
    <col min="15" max="15" width="19.28515625" style="139" bestFit="1" customWidth="1"/>
    <col min="16" max="28" width="19.42578125" style="139" bestFit="1" customWidth="1"/>
    <col min="29" max="29" width="20.140625" style="139" customWidth="1"/>
    <col min="30" max="30" width="20" style="139" customWidth="1"/>
    <col min="31" max="31" width="19.5703125" style="139" customWidth="1"/>
    <col min="32" max="32" width="20.7109375" style="139" customWidth="1"/>
    <col min="33" max="33" width="22.42578125" style="139" customWidth="1"/>
    <col min="34" max="34" width="19" style="139" bestFit="1" customWidth="1"/>
    <col min="35" max="16384" width="17.140625" style="139"/>
  </cols>
  <sheetData>
    <row r="1" spans="1:34">
      <c r="A1" s="138" t="s">
        <v>13</v>
      </c>
    </row>
    <row r="2" spans="1:34" ht="14.25" customHeight="1">
      <c r="A2" s="170" t="s">
        <v>187</v>
      </c>
    </row>
    <row r="3" spans="1:34" s="311" customFormat="1" ht="13.15">
      <c r="A3" s="308"/>
      <c r="B3" s="8" t="s">
        <v>116</v>
      </c>
      <c r="C3" s="309">
        <v>44197</v>
      </c>
      <c r="D3" s="309">
        <v>44228</v>
      </c>
      <c r="E3" s="309">
        <v>44256</v>
      </c>
      <c r="F3" s="309">
        <v>44287</v>
      </c>
      <c r="G3" s="309">
        <v>44317</v>
      </c>
      <c r="H3" s="309">
        <v>44348</v>
      </c>
      <c r="I3" s="309">
        <v>44378</v>
      </c>
      <c r="J3" s="309">
        <v>44409</v>
      </c>
      <c r="K3" s="309">
        <v>44440</v>
      </c>
      <c r="L3" s="309">
        <v>44470</v>
      </c>
      <c r="M3" s="309">
        <v>44501</v>
      </c>
      <c r="N3" s="309">
        <v>44531</v>
      </c>
      <c r="O3" s="310" t="s">
        <v>188</v>
      </c>
      <c r="P3" s="351">
        <v>44562</v>
      </c>
      <c r="Q3" s="351">
        <v>44593</v>
      </c>
      <c r="R3" s="351">
        <v>44621</v>
      </c>
      <c r="S3" s="351">
        <v>44652</v>
      </c>
      <c r="T3" s="351">
        <v>44682</v>
      </c>
      <c r="U3" s="351">
        <v>44713</v>
      </c>
      <c r="V3" s="351">
        <v>44743</v>
      </c>
      <c r="W3" s="351">
        <v>44774</v>
      </c>
      <c r="X3" s="351">
        <v>44805</v>
      </c>
      <c r="Y3" s="351">
        <v>44835</v>
      </c>
      <c r="Z3" s="351">
        <v>44866</v>
      </c>
      <c r="AA3" s="351">
        <v>44896</v>
      </c>
      <c r="AB3" s="351" t="s">
        <v>19</v>
      </c>
      <c r="AC3" s="351">
        <v>44949</v>
      </c>
      <c r="AD3" s="351">
        <v>44980</v>
      </c>
      <c r="AE3" s="351">
        <v>45008</v>
      </c>
      <c r="AF3" s="351">
        <v>45039</v>
      </c>
      <c r="AG3" s="351">
        <v>45069</v>
      </c>
      <c r="AH3" s="351">
        <v>45100</v>
      </c>
    </row>
    <row r="4" spans="1:34" s="141" customFormat="1" ht="15">
      <c r="A4" s="161" t="s">
        <v>189</v>
      </c>
      <c r="B4" s="302">
        <f t="shared" ref="B4" si="0">SUM(B5:B6)</f>
        <v>81357297</v>
      </c>
      <c r="C4" s="340">
        <v>66330383.380000003</v>
      </c>
      <c r="D4" s="341">
        <v>87503175.079999998</v>
      </c>
      <c r="E4" s="341">
        <v>54838006.609999999</v>
      </c>
      <c r="F4" s="341">
        <v>68728884.480000004</v>
      </c>
      <c r="G4" s="341">
        <v>64017129.640000001</v>
      </c>
      <c r="H4" s="341">
        <v>57400040.850000001</v>
      </c>
      <c r="I4" s="341">
        <v>61310370.270000003</v>
      </c>
      <c r="J4" s="341">
        <v>64255623.130000003</v>
      </c>
      <c r="K4" s="341">
        <v>59818022.539999999</v>
      </c>
      <c r="L4" s="341">
        <v>64394346.670000002</v>
      </c>
      <c r="M4" s="341">
        <v>63660748.090000004</v>
      </c>
      <c r="N4" s="341">
        <v>68374033.700000003</v>
      </c>
      <c r="O4" s="302">
        <f>SUM(O5:O6)</f>
        <v>89301113</v>
      </c>
      <c r="P4" s="302">
        <f t="shared" ref="P4:AH4" si="1">SUM(P5:P6)</f>
        <v>82900732.700000003</v>
      </c>
      <c r="Q4" s="302">
        <f t="shared" si="1"/>
        <v>89904925.109999999</v>
      </c>
      <c r="R4" s="302">
        <f t="shared" si="1"/>
        <v>78282657.74000001</v>
      </c>
      <c r="S4" s="302">
        <f t="shared" si="1"/>
        <v>73338770.950000003</v>
      </c>
      <c r="T4" s="302">
        <f t="shared" si="1"/>
        <v>69103010.909999996</v>
      </c>
      <c r="U4" s="302">
        <f t="shared" si="1"/>
        <v>89080310.719999999</v>
      </c>
      <c r="V4" s="302">
        <f t="shared" si="1"/>
        <v>77884268.230000004</v>
      </c>
      <c r="W4" s="302">
        <f t="shared" si="1"/>
        <v>94202997.460000008</v>
      </c>
      <c r="X4" s="302">
        <f t="shared" si="1"/>
        <v>83440740.280000001</v>
      </c>
      <c r="Y4" s="302">
        <f t="shared" si="1"/>
        <v>92958736.629999995</v>
      </c>
      <c r="Z4" s="302">
        <f t="shared" si="1"/>
        <v>90035068.790000007</v>
      </c>
      <c r="AA4" s="302">
        <f t="shared" si="1"/>
        <v>99568961.670000002</v>
      </c>
      <c r="AB4" s="302">
        <f t="shared" si="1"/>
        <v>106793890</v>
      </c>
      <c r="AC4" s="302">
        <f t="shared" si="1"/>
        <v>100764947.75</v>
      </c>
      <c r="AD4" s="302">
        <f t="shared" si="1"/>
        <v>147232983.96000001</v>
      </c>
      <c r="AE4" s="302">
        <f t="shared" si="1"/>
        <v>123927243.53</v>
      </c>
      <c r="AF4" s="302">
        <f t="shared" si="1"/>
        <v>130685504.52000001</v>
      </c>
      <c r="AG4" s="302">
        <f t="shared" si="1"/>
        <v>117362301.12</v>
      </c>
      <c r="AH4" s="302">
        <f t="shared" si="1"/>
        <v>110503635.77</v>
      </c>
    </row>
    <row r="5" spans="1:34" ht="14.25">
      <c r="A5" s="160" t="s">
        <v>190</v>
      </c>
      <c r="B5" s="301">
        <f>2741247-37150+10243742</f>
        <v>12947839</v>
      </c>
      <c r="C5" s="343">
        <v>4520760.33</v>
      </c>
      <c r="D5" s="345">
        <v>5379962.3300000001</v>
      </c>
      <c r="E5" s="345">
        <v>10208722.33</v>
      </c>
      <c r="F5" s="345">
        <v>12026078.9</v>
      </c>
      <c r="G5" s="345">
        <v>18646739.899999999</v>
      </c>
      <c r="H5" s="345">
        <v>24335938.899999999</v>
      </c>
      <c r="I5" s="345">
        <v>10051359.9</v>
      </c>
      <c r="J5" s="345">
        <v>13355204.9</v>
      </c>
      <c r="K5" s="345">
        <v>17341170.899999999</v>
      </c>
      <c r="L5" s="345">
        <v>2637150</v>
      </c>
      <c r="M5" s="345">
        <v>974314</v>
      </c>
      <c r="N5" s="345">
        <v>7433428.9000000004</v>
      </c>
      <c r="O5" s="142">
        <f>15672853-160843+4595329</f>
        <v>20107339</v>
      </c>
      <c r="P5" s="139">
        <v>10626960.9</v>
      </c>
      <c r="Q5" s="139">
        <v>11272185.9</v>
      </c>
      <c r="R5" s="139">
        <v>8351822.9000000004</v>
      </c>
      <c r="S5" s="139">
        <v>7939056.9000000004</v>
      </c>
      <c r="T5" s="139">
        <v>7486303.9000000004</v>
      </c>
      <c r="U5" s="139">
        <v>9155617.0999999996</v>
      </c>
      <c r="V5" s="139">
        <v>9790570.9000000004</v>
      </c>
      <c r="W5" s="139">
        <v>11381231.9</v>
      </c>
      <c r="X5" s="358">
        <v>9908890.7100000009</v>
      </c>
      <c r="Y5" s="358">
        <v>8758718.7100000009</v>
      </c>
      <c r="Z5" s="358">
        <v>9475047.9000000004</v>
      </c>
      <c r="AA5" s="358">
        <v>13719503.9</v>
      </c>
      <c r="AB5" s="354">
        <v>4893637</v>
      </c>
      <c r="AC5" s="363">
        <v>12204006.9</v>
      </c>
      <c r="AD5" s="365">
        <v>20202579.899999999</v>
      </c>
      <c r="AE5" s="365">
        <v>26722219.899999999</v>
      </c>
      <c r="AF5" s="365">
        <v>19688426.899999999</v>
      </c>
      <c r="AG5" s="363">
        <v>21173911.969999999</v>
      </c>
      <c r="AH5" s="413">
        <v>17348434.969999999</v>
      </c>
    </row>
    <row r="6" spans="1:34" ht="14.25">
      <c r="A6" s="160" t="s">
        <v>191</v>
      </c>
      <c r="B6" s="301">
        <f>81357297-12947839</f>
        <v>68409458</v>
      </c>
      <c r="C6" s="343">
        <v>61809623.049999997</v>
      </c>
      <c r="D6" s="345">
        <v>82123212.75</v>
      </c>
      <c r="E6" s="345">
        <v>44629284.280000001</v>
      </c>
      <c r="F6" s="345">
        <v>56702805.579999998</v>
      </c>
      <c r="G6" s="345">
        <v>45370389.740000002</v>
      </c>
      <c r="H6" s="345">
        <v>33064101.949999999</v>
      </c>
      <c r="I6" s="345">
        <v>51259010.369999997</v>
      </c>
      <c r="J6" s="345">
        <v>50900418.229999997</v>
      </c>
      <c r="K6" s="345">
        <v>42476851.640000001</v>
      </c>
      <c r="L6" s="345">
        <v>61757196.670000002</v>
      </c>
      <c r="M6" s="345">
        <v>62686434.090000004</v>
      </c>
      <c r="N6" s="345">
        <v>60940604.799999997</v>
      </c>
      <c r="O6" s="142">
        <f>89301113-20107339</f>
        <v>69193774</v>
      </c>
      <c r="P6" s="139">
        <v>72273771.799999997</v>
      </c>
      <c r="Q6" s="139">
        <v>78632739.209999993</v>
      </c>
      <c r="R6" s="139">
        <v>69930834.840000004</v>
      </c>
      <c r="S6" s="139">
        <v>65399714.049999997</v>
      </c>
      <c r="T6" s="139">
        <v>61616707.009999998</v>
      </c>
      <c r="U6" s="139">
        <v>79924693.620000005</v>
      </c>
      <c r="V6" s="139">
        <v>68093697.329999998</v>
      </c>
      <c r="W6" s="139">
        <v>82821765.560000002</v>
      </c>
      <c r="X6" s="358">
        <v>73531849.569999993</v>
      </c>
      <c r="Y6" s="358">
        <v>84200017.920000002</v>
      </c>
      <c r="Z6" s="358">
        <v>80560020.890000001</v>
      </c>
      <c r="AA6" s="358">
        <v>85849457.769999996</v>
      </c>
      <c r="AB6" s="354">
        <f>106793890-AB5</f>
        <v>101900253</v>
      </c>
      <c r="AC6" s="367">
        <v>88560940.849999994</v>
      </c>
      <c r="AD6" s="369">
        <v>127030404.06</v>
      </c>
      <c r="AE6" s="369">
        <v>97205023.629999995</v>
      </c>
      <c r="AF6" s="369">
        <v>110997077.62</v>
      </c>
      <c r="AG6" s="367">
        <v>96188389.150000006</v>
      </c>
      <c r="AH6" s="415">
        <v>93155200.799999997</v>
      </c>
    </row>
    <row r="7" spans="1:34" s="141" customFormat="1" ht="29.25">
      <c r="A7" s="161" t="s">
        <v>192</v>
      </c>
      <c r="B7" s="140">
        <v>34670585</v>
      </c>
      <c r="C7" s="343">
        <v>47462191.399999999</v>
      </c>
      <c r="D7" s="345">
        <v>34273472.280000001</v>
      </c>
      <c r="E7" s="345">
        <v>62669035.68</v>
      </c>
      <c r="F7" s="345">
        <v>52590222.289999999</v>
      </c>
      <c r="G7" s="345">
        <v>101038012.70999999</v>
      </c>
      <c r="H7" s="345">
        <v>77402578.010000005</v>
      </c>
      <c r="I7" s="345">
        <v>65466849.740000002</v>
      </c>
      <c r="J7" s="345">
        <v>65832082.229999997</v>
      </c>
      <c r="K7" s="345">
        <v>76051442.269999996</v>
      </c>
      <c r="L7" s="345">
        <v>71182429.450000003</v>
      </c>
      <c r="M7" s="345">
        <v>64090869.159999996</v>
      </c>
      <c r="N7" s="345">
        <v>55998302.07</v>
      </c>
      <c r="O7" s="140">
        <v>42047028</v>
      </c>
      <c r="P7" s="141">
        <v>41211204.780000001</v>
      </c>
      <c r="Q7" s="141">
        <v>41340630.880000003</v>
      </c>
      <c r="R7" s="141">
        <v>38468537</v>
      </c>
      <c r="S7" s="141">
        <v>40812847.350000001</v>
      </c>
      <c r="T7" s="141">
        <v>41379180.439999998</v>
      </c>
      <c r="U7" s="141">
        <v>51906256.189999998</v>
      </c>
      <c r="V7" s="141">
        <v>62925116.090000004</v>
      </c>
      <c r="W7" s="141">
        <v>41552717.460000001</v>
      </c>
      <c r="X7" s="358">
        <v>42845974.939999998</v>
      </c>
      <c r="Y7" s="358">
        <v>31245021.460000001</v>
      </c>
      <c r="Z7" s="358">
        <v>47579636.990000002</v>
      </c>
      <c r="AA7" s="358">
        <v>35178546.259999998</v>
      </c>
      <c r="AB7" s="355">
        <f>60034124</f>
        <v>60034124</v>
      </c>
      <c r="AC7" s="367">
        <v>45671010.630000003</v>
      </c>
      <c r="AD7" s="369">
        <v>32808761.780000001</v>
      </c>
      <c r="AE7" s="369">
        <v>38811157</v>
      </c>
      <c r="AF7" s="369">
        <v>38268706.409999996</v>
      </c>
      <c r="AG7" s="367">
        <v>34604457.380000003</v>
      </c>
      <c r="AH7" s="415">
        <v>46790963.170000002</v>
      </c>
    </row>
    <row r="8" spans="1:34" s="141" customFormat="1" ht="15">
      <c r="A8" s="161" t="s">
        <v>193</v>
      </c>
      <c r="B8" s="303">
        <f t="shared" ref="B8" si="2">SUM(B9:B13)</f>
        <v>101856</v>
      </c>
      <c r="C8" s="347">
        <v>101856</v>
      </c>
      <c r="D8" s="349">
        <v>101856</v>
      </c>
      <c r="E8" s="349">
        <v>101856</v>
      </c>
      <c r="F8" s="349">
        <v>101856</v>
      </c>
      <c r="G8" s="349">
        <v>101856</v>
      </c>
      <c r="H8" s="349">
        <v>101856</v>
      </c>
      <c r="I8" s="349">
        <v>101856</v>
      </c>
      <c r="J8" s="349">
        <v>101856</v>
      </c>
      <c r="K8" s="349">
        <v>101856</v>
      </c>
      <c r="L8" s="349">
        <v>101856</v>
      </c>
      <c r="M8" s="349">
        <v>101856</v>
      </c>
      <c r="N8" s="349">
        <v>101856</v>
      </c>
      <c r="O8" s="303">
        <f>SUM(O9:O13)</f>
        <v>101856</v>
      </c>
      <c r="P8" s="303">
        <f>SUM(P9:P13)</f>
        <v>101856</v>
      </c>
      <c r="Q8" s="303">
        <f t="shared" ref="Q8:AH8" si="3">SUM(Q9:Q13)</f>
        <v>101856</v>
      </c>
      <c r="R8" s="303">
        <f t="shared" si="3"/>
        <v>101856</v>
      </c>
      <c r="S8" s="303">
        <f t="shared" si="3"/>
        <v>101856</v>
      </c>
      <c r="T8" s="303">
        <f t="shared" si="3"/>
        <v>101856</v>
      </c>
      <c r="U8" s="303">
        <f t="shared" si="3"/>
        <v>101856</v>
      </c>
      <c r="V8" s="303">
        <f t="shared" si="3"/>
        <v>101856</v>
      </c>
      <c r="W8" s="303">
        <f t="shared" si="3"/>
        <v>101856</v>
      </c>
      <c r="X8" s="303">
        <f t="shared" si="3"/>
        <v>101856</v>
      </c>
      <c r="Y8" s="303">
        <f t="shared" si="3"/>
        <v>101856</v>
      </c>
      <c r="Z8" s="303">
        <f t="shared" si="3"/>
        <v>101856</v>
      </c>
      <c r="AA8" s="303">
        <f t="shared" si="3"/>
        <v>101856</v>
      </c>
      <c r="AB8" s="303">
        <f t="shared" si="3"/>
        <v>101856</v>
      </c>
      <c r="AC8" s="303">
        <f t="shared" si="3"/>
        <v>101856</v>
      </c>
      <c r="AD8" s="303">
        <f t="shared" si="3"/>
        <v>101856</v>
      </c>
      <c r="AE8" s="303">
        <f t="shared" si="3"/>
        <v>101856</v>
      </c>
      <c r="AF8" s="303">
        <f t="shared" si="3"/>
        <v>101856</v>
      </c>
      <c r="AG8" s="303">
        <f t="shared" si="3"/>
        <v>101856</v>
      </c>
      <c r="AH8" s="303">
        <f t="shared" si="3"/>
        <v>101856</v>
      </c>
    </row>
    <row r="9" spans="1:34" ht="29.25">
      <c r="A9" s="162" t="s">
        <v>194</v>
      </c>
      <c r="B9" s="142"/>
      <c r="C9" s="342">
        <v>0</v>
      </c>
      <c r="D9" s="344">
        <v>0</v>
      </c>
      <c r="E9" s="344">
        <v>0</v>
      </c>
      <c r="F9" s="344">
        <v>0</v>
      </c>
      <c r="G9" s="344">
        <v>0</v>
      </c>
      <c r="H9" s="344">
        <v>0</v>
      </c>
      <c r="I9" s="344">
        <v>0</v>
      </c>
      <c r="J9" s="344">
        <v>0</v>
      </c>
      <c r="K9" s="344">
        <v>0</v>
      </c>
      <c r="L9" s="344">
        <v>0</v>
      </c>
      <c r="M9" s="344">
        <v>0</v>
      </c>
      <c r="N9" s="344">
        <v>0</v>
      </c>
      <c r="O9" s="144"/>
      <c r="P9" s="139">
        <v>0</v>
      </c>
      <c r="Q9" s="139">
        <v>0</v>
      </c>
      <c r="R9" s="139">
        <v>0</v>
      </c>
      <c r="S9" s="139">
        <v>0</v>
      </c>
      <c r="T9" s="139">
        <v>0</v>
      </c>
      <c r="U9" s="139">
        <v>0</v>
      </c>
      <c r="V9" s="139">
        <v>0</v>
      </c>
      <c r="W9" s="139">
        <v>0</v>
      </c>
      <c r="X9" s="358">
        <v>0</v>
      </c>
      <c r="Y9" s="358">
        <v>0</v>
      </c>
      <c r="Z9" s="358">
        <v>0</v>
      </c>
      <c r="AA9" s="358">
        <v>0</v>
      </c>
      <c r="AB9" s="354"/>
      <c r="AC9" s="362">
        <v>0</v>
      </c>
      <c r="AD9" s="364">
        <v>0</v>
      </c>
      <c r="AE9" s="364">
        <v>0</v>
      </c>
      <c r="AF9" s="364">
        <v>0</v>
      </c>
      <c r="AG9" s="362">
        <v>0</v>
      </c>
      <c r="AH9" s="412">
        <v>0</v>
      </c>
    </row>
    <row r="10" spans="1:34" ht="14.45" customHeight="1">
      <c r="A10" s="160" t="s">
        <v>195</v>
      </c>
      <c r="B10" s="142"/>
      <c r="C10" s="342">
        <v>0</v>
      </c>
      <c r="D10" s="344">
        <v>0</v>
      </c>
      <c r="E10" s="344">
        <v>0</v>
      </c>
      <c r="F10" s="344">
        <v>0</v>
      </c>
      <c r="G10" s="344">
        <v>0</v>
      </c>
      <c r="H10" s="344">
        <v>0</v>
      </c>
      <c r="I10" s="344">
        <v>0</v>
      </c>
      <c r="J10" s="344">
        <v>0</v>
      </c>
      <c r="K10" s="344">
        <v>0</v>
      </c>
      <c r="L10" s="344">
        <v>0</v>
      </c>
      <c r="M10" s="344">
        <v>0</v>
      </c>
      <c r="N10" s="344">
        <v>0</v>
      </c>
      <c r="O10" s="144"/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358">
        <v>0</v>
      </c>
      <c r="Y10" s="358">
        <v>0</v>
      </c>
      <c r="Z10" s="358">
        <v>0</v>
      </c>
      <c r="AA10" s="358">
        <v>0</v>
      </c>
      <c r="AB10" s="354"/>
      <c r="AC10" s="366">
        <v>0</v>
      </c>
      <c r="AD10" s="368">
        <v>0</v>
      </c>
      <c r="AE10" s="368">
        <v>0</v>
      </c>
      <c r="AF10" s="368">
        <v>0</v>
      </c>
      <c r="AG10" s="366">
        <v>0</v>
      </c>
      <c r="AH10" s="414">
        <v>0</v>
      </c>
    </row>
    <row r="11" spans="1:34" ht="14.25">
      <c r="A11" s="282" t="s">
        <v>196</v>
      </c>
      <c r="B11" s="142"/>
      <c r="C11" s="342">
        <v>0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44">
        <v>0</v>
      </c>
      <c r="J11" s="344">
        <v>0</v>
      </c>
      <c r="K11" s="344">
        <v>0</v>
      </c>
      <c r="L11" s="344">
        <v>0</v>
      </c>
      <c r="M11" s="344">
        <v>0</v>
      </c>
      <c r="N11" s="344">
        <v>0</v>
      </c>
      <c r="O11" s="144"/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358">
        <v>0</v>
      </c>
      <c r="Y11" s="358">
        <v>0</v>
      </c>
      <c r="Z11" s="358">
        <v>0</v>
      </c>
      <c r="AA11" s="358">
        <v>0</v>
      </c>
      <c r="AB11" s="354"/>
      <c r="AC11" s="366">
        <v>0</v>
      </c>
      <c r="AD11" s="368">
        <v>0</v>
      </c>
      <c r="AE11" s="368">
        <v>0</v>
      </c>
      <c r="AF11" s="368">
        <v>0</v>
      </c>
      <c r="AG11" s="366">
        <v>0</v>
      </c>
      <c r="AH11" s="414">
        <v>0</v>
      </c>
    </row>
    <row r="12" spans="1:34" ht="14.25">
      <c r="A12" s="283" t="s">
        <v>197</v>
      </c>
      <c r="B12" s="301">
        <v>101856</v>
      </c>
      <c r="C12" s="343">
        <v>101856</v>
      </c>
      <c r="D12" s="345">
        <v>101856</v>
      </c>
      <c r="E12" s="345">
        <v>101856</v>
      </c>
      <c r="F12" s="345">
        <v>101856</v>
      </c>
      <c r="G12" s="345">
        <v>101856</v>
      </c>
      <c r="H12" s="345">
        <v>101856</v>
      </c>
      <c r="I12" s="345">
        <v>101856</v>
      </c>
      <c r="J12" s="345">
        <v>101856</v>
      </c>
      <c r="K12" s="345">
        <v>101856</v>
      </c>
      <c r="L12" s="345">
        <v>101856</v>
      </c>
      <c r="M12" s="345">
        <v>101856</v>
      </c>
      <c r="N12" s="345">
        <v>101856</v>
      </c>
      <c r="O12" s="301">
        <v>101856</v>
      </c>
      <c r="P12" s="139">
        <v>101856</v>
      </c>
      <c r="Q12" s="139">
        <v>101856</v>
      </c>
      <c r="R12" s="139">
        <v>101856</v>
      </c>
      <c r="S12" s="139">
        <v>101856</v>
      </c>
      <c r="T12" s="139">
        <v>101856</v>
      </c>
      <c r="U12" s="139">
        <v>101856</v>
      </c>
      <c r="V12" s="139">
        <v>101856</v>
      </c>
      <c r="W12" s="139">
        <v>101856</v>
      </c>
      <c r="X12" s="358">
        <v>101856</v>
      </c>
      <c r="Y12" s="358">
        <v>101856</v>
      </c>
      <c r="Z12" s="358">
        <v>101856</v>
      </c>
      <c r="AA12" s="358">
        <v>101856</v>
      </c>
      <c r="AB12" s="354">
        <f>101856</f>
        <v>101856</v>
      </c>
      <c r="AC12" s="367">
        <v>101856</v>
      </c>
      <c r="AD12" s="369">
        <v>101856</v>
      </c>
      <c r="AE12" s="369">
        <v>101856</v>
      </c>
      <c r="AF12" s="369">
        <v>101856</v>
      </c>
      <c r="AG12" s="367">
        <v>101856</v>
      </c>
      <c r="AH12" s="415">
        <v>101856</v>
      </c>
    </row>
    <row r="13" spans="1:34" ht="14.25">
      <c r="A13" s="282" t="s">
        <v>198</v>
      </c>
      <c r="B13" s="142"/>
      <c r="O13" s="144"/>
      <c r="AB13" s="354"/>
    </row>
    <row r="14" spans="1:34" s="141" customFormat="1" ht="15">
      <c r="A14" s="161" t="s">
        <v>199</v>
      </c>
      <c r="B14" s="304">
        <f t="shared" ref="B14:AH14" si="4">B15-B16</f>
        <v>312039246</v>
      </c>
      <c r="C14" s="347">
        <v>317297746.61000001</v>
      </c>
      <c r="D14" s="349">
        <v>318461586.10000002</v>
      </c>
      <c r="E14" s="349">
        <v>317871699.30000001</v>
      </c>
      <c r="F14" s="349">
        <v>315680890.52999997</v>
      </c>
      <c r="G14" s="349">
        <v>317938771.74000001</v>
      </c>
      <c r="H14" s="349">
        <v>322901266.01999998</v>
      </c>
      <c r="I14" s="349">
        <v>331222162.58999997</v>
      </c>
      <c r="J14" s="349">
        <v>337259880.61000001</v>
      </c>
      <c r="K14" s="349">
        <v>338075267.05000001</v>
      </c>
      <c r="L14" s="349">
        <v>340299285.08999997</v>
      </c>
      <c r="M14" s="349">
        <v>335041464.42000002</v>
      </c>
      <c r="N14" s="348" t="s">
        <v>200</v>
      </c>
      <c r="O14" s="304">
        <f t="shared" si="4"/>
        <v>334064972</v>
      </c>
      <c r="P14" s="304">
        <f t="shared" si="4"/>
        <v>335391772.32999998</v>
      </c>
      <c r="Q14" s="304">
        <f t="shared" si="4"/>
        <v>333649317.45999998</v>
      </c>
      <c r="R14" s="304">
        <f t="shared" si="4"/>
        <v>340404153.88999999</v>
      </c>
      <c r="S14" s="304">
        <f t="shared" si="4"/>
        <v>339571243.74000001</v>
      </c>
      <c r="T14" s="304">
        <f t="shared" si="4"/>
        <v>345947578.23000002</v>
      </c>
      <c r="U14" s="304">
        <f t="shared" si="4"/>
        <v>348161192.98000002</v>
      </c>
      <c r="V14" s="304">
        <f t="shared" si="4"/>
        <v>347961245.75</v>
      </c>
      <c r="W14" s="304">
        <f t="shared" si="4"/>
        <v>357062763.19</v>
      </c>
      <c r="X14" s="304">
        <f t="shared" si="4"/>
        <v>366262432.84000003</v>
      </c>
      <c r="Y14" s="304">
        <f t="shared" si="4"/>
        <v>369433876.94000006</v>
      </c>
      <c r="Z14" s="304">
        <f t="shared" si="4"/>
        <v>355889152.77999997</v>
      </c>
      <c r="AA14" s="304">
        <f t="shared" si="4"/>
        <v>362352190.09000003</v>
      </c>
      <c r="AB14" s="304">
        <f t="shared" si="4"/>
        <v>346009652</v>
      </c>
      <c r="AC14" s="304">
        <f t="shared" si="4"/>
        <v>356063784.76999998</v>
      </c>
      <c r="AD14" s="304">
        <f t="shared" si="4"/>
        <v>364888593.80000001</v>
      </c>
      <c r="AE14" s="304">
        <f t="shared" si="4"/>
        <v>361146916.81999999</v>
      </c>
      <c r="AF14" s="304">
        <f t="shared" si="4"/>
        <v>359870941.88999999</v>
      </c>
      <c r="AG14" s="304">
        <f t="shared" si="4"/>
        <v>370375438.82999998</v>
      </c>
      <c r="AH14" s="304">
        <f t="shared" si="4"/>
        <v>368433013.67000002</v>
      </c>
    </row>
    <row r="15" spans="1:34" ht="15">
      <c r="A15" s="162" t="s">
        <v>201</v>
      </c>
      <c r="B15" s="301">
        <v>337140421</v>
      </c>
      <c r="C15" s="343">
        <v>342970539.61000001</v>
      </c>
      <c r="D15" s="345">
        <v>344708893.93000001</v>
      </c>
      <c r="E15" s="345">
        <v>344693496.29000002</v>
      </c>
      <c r="F15" s="345">
        <v>343074478.31999999</v>
      </c>
      <c r="G15" s="345">
        <v>345908874.31999999</v>
      </c>
      <c r="H15" s="345">
        <v>351457185.42000002</v>
      </c>
      <c r="I15" s="345">
        <v>360378713.17000002</v>
      </c>
      <c r="J15" s="345">
        <v>367028144.75999999</v>
      </c>
      <c r="K15" s="345">
        <v>368457627.19999999</v>
      </c>
      <c r="L15" s="345">
        <v>371300545.29000002</v>
      </c>
      <c r="M15" s="345">
        <v>366653816.5</v>
      </c>
      <c r="N15" s="344" t="s">
        <v>200</v>
      </c>
      <c r="O15" s="330">
        <v>366288454</v>
      </c>
      <c r="P15" s="139">
        <v>368231197.82999998</v>
      </c>
      <c r="Q15" s="139">
        <v>367100593.94999999</v>
      </c>
      <c r="R15" s="139">
        <v>374479562.98000002</v>
      </c>
      <c r="S15" s="139">
        <v>374270436.88999999</v>
      </c>
      <c r="T15" s="139">
        <v>381282408.73000002</v>
      </c>
      <c r="U15" s="139">
        <v>384136250.56</v>
      </c>
      <c r="V15" s="139">
        <v>384577265.44</v>
      </c>
      <c r="W15" s="139">
        <v>394336009.56</v>
      </c>
      <c r="X15" s="358">
        <v>404209361.48000002</v>
      </c>
      <c r="Y15" s="358">
        <v>408061012.47000003</v>
      </c>
      <c r="Z15" s="358">
        <v>395174913.14999998</v>
      </c>
      <c r="AA15" s="358">
        <v>402308464.60000002</v>
      </c>
      <c r="AB15" s="354">
        <f>385965927</f>
        <v>385965927</v>
      </c>
      <c r="AC15" s="363">
        <v>396681194.27999997</v>
      </c>
      <c r="AD15" s="365">
        <v>406182974.93000001</v>
      </c>
      <c r="AE15" s="365">
        <v>403113153.20999998</v>
      </c>
      <c r="AF15" s="365">
        <v>402508024.99000001</v>
      </c>
      <c r="AG15" s="363">
        <v>413702025.31</v>
      </c>
      <c r="AH15" s="413">
        <v>412447011.81999999</v>
      </c>
    </row>
    <row r="16" spans="1:34" ht="15">
      <c r="A16" s="162" t="s">
        <v>202</v>
      </c>
      <c r="B16" s="301">
        <v>25101175</v>
      </c>
      <c r="C16" s="343">
        <v>25672793</v>
      </c>
      <c r="D16" s="345">
        <v>26247307.829999998</v>
      </c>
      <c r="E16" s="345">
        <v>26821796.989999998</v>
      </c>
      <c r="F16" s="345">
        <v>27393587.789999999</v>
      </c>
      <c r="G16" s="345">
        <v>27970102.579999998</v>
      </c>
      <c r="H16" s="345">
        <v>28555919.399999999</v>
      </c>
      <c r="I16" s="345">
        <v>29156550.579999998</v>
      </c>
      <c r="J16" s="345">
        <v>29768264.149999999</v>
      </c>
      <c r="K16" s="345">
        <v>30382360.149999999</v>
      </c>
      <c r="L16" s="345">
        <v>31001260.199999999</v>
      </c>
      <c r="M16" s="345">
        <v>31612352.079999998</v>
      </c>
      <c r="N16" s="345">
        <v>32223481.530000001</v>
      </c>
      <c r="O16" s="331">
        <v>32223482</v>
      </c>
      <c r="P16" s="139">
        <v>32839425.5</v>
      </c>
      <c r="Q16" s="139">
        <v>33451276.489999998</v>
      </c>
      <c r="R16" s="139">
        <v>34075409.090000004</v>
      </c>
      <c r="S16" s="139">
        <v>34699193.149999999</v>
      </c>
      <c r="T16" s="139">
        <v>35334830.5</v>
      </c>
      <c r="U16" s="139">
        <v>35975057.579999998</v>
      </c>
      <c r="V16" s="139">
        <v>36616019.689999998</v>
      </c>
      <c r="W16" s="139">
        <v>37273246.369999997</v>
      </c>
      <c r="X16" s="358">
        <v>37946928.640000001</v>
      </c>
      <c r="Y16" s="358">
        <v>38627135.530000001</v>
      </c>
      <c r="Z16" s="358">
        <v>39285760.369999997</v>
      </c>
      <c r="AA16" s="358">
        <v>39956274.509999998</v>
      </c>
      <c r="AB16" s="354">
        <v>39956275</v>
      </c>
      <c r="AC16" s="367">
        <v>40617409.509999998</v>
      </c>
      <c r="AD16" s="369">
        <v>41294381.130000003</v>
      </c>
      <c r="AE16" s="369">
        <v>41966236.390000001</v>
      </c>
      <c r="AF16" s="369">
        <v>42637083.100000001</v>
      </c>
      <c r="AG16" s="367">
        <v>43326586.479999997</v>
      </c>
      <c r="AH16" s="415">
        <v>44013998.149999999</v>
      </c>
    </row>
    <row r="17" spans="1:34" s="141" customFormat="1" ht="15">
      <c r="A17" s="161" t="s">
        <v>203</v>
      </c>
      <c r="B17" s="304">
        <f t="shared" ref="B17:AH17" si="5">SUM(B18:B20)</f>
        <v>0</v>
      </c>
      <c r="C17" s="346">
        <v>0</v>
      </c>
      <c r="D17" s="348">
        <v>0</v>
      </c>
      <c r="E17" s="348">
        <v>0</v>
      </c>
      <c r="F17" s="348">
        <v>0</v>
      </c>
      <c r="G17" s="348">
        <v>0</v>
      </c>
      <c r="H17" s="348">
        <v>0</v>
      </c>
      <c r="I17" s="348">
        <v>0</v>
      </c>
      <c r="J17" s="348">
        <v>0</v>
      </c>
      <c r="K17" s="348">
        <v>0</v>
      </c>
      <c r="L17" s="348">
        <v>0</v>
      </c>
      <c r="M17" s="348">
        <v>0</v>
      </c>
      <c r="N17" s="348">
        <v>0</v>
      </c>
      <c r="O17" s="304">
        <f t="shared" si="5"/>
        <v>0</v>
      </c>
      <c r="P17" s="304">
        <f t="shared" si="5"/>
        <v>0</v>
      </c>
      <c r="Q17" s="304">
        <f t="shared" si="5"/>
        <v>0</v>
      </c>
      <c r="R17" s="304">
        <f t="shared" si="5"/>
        <v>0</v>
      </c>
      <c r="S17" s="304">
        <f t="shared" si="5"/>
        <v>0</v>
      </c>
      <c r="T17" s="304">
        <f t="shared" si="5"/>
        <v>0</v>
      </c>
      <c r="U17" s="304">
        <f t="shared" si="5"/>
        <v>0</v>
      </c>
      <c r="V17" s="304">
        <f t="shared" si="5"/>
        <v>0</v>
      </c>
      <c r="W17" s="304">
        <f t="shared" si="5"/>
        <v>0</v>
      </c>
      <c r="X17" s="304">
        <f t="shared" si="5"/>
        <v>0</v>
      </c>
      <c r="Y17" s="304">
        <f t="shared" si="5"/>
        <v>0</v>
      </c>
      <c r="Z17" s="304">
        <f t="shared" si="5"/>
        <v>0</v>
      </c>
      <c r="AA17" s="304">
        <f t="shared" si="5"/>
        <v>0</v>
      </c>
      <c r="AB17" s="304">
        <f t="shared" si="5"/>
        <v>0</v>
      </c>
      <c r="AC17" s="304">
        <f t="shared" si="5"/>
        <v>0</v>
      </c>
      <c r="AD17" s="304">
        <f t="shared" si="5"/>
        <v>0</v>
      </c>
      <c r="AE17" s="304">
        <f t="shared" si="5"/>
        <v>0</v>
      </c>
      <c r="AF17" s="304">
        <f t="shared" si="5"/>
        <v>0</v>
      </c>
      <c r="AG17" s="304">
        <f t="shared" si="5"/>
        <v>0</v>
      </c>
      <c r="AH17" s="304">
        <f t="shared" si="5"/>
        <v>0</v>
      </c>
    </row>
    <row r="18" spans="1:34" ht="15">
      <c r="A18" s="162" t="s">
        <v>204</v>
      </c>
      <c r="B18" s="301"/>
      <c r="C18" s="342">
        <v>0</v>
      </c>
      <c r="D18" s="344">
        <v>0</v>
      </c>
      <c r="E18" s="344">
        <v>0</v>
      </c>
      <c r="F18" s="344">
        <v>0</v>
      </c>
      <c r="G18" s="344">
        <v>0</v>
      </c>
      <c r="H18" s="344">
        <v>0</v>
      </c>
      <c r="I18" s="344">
        <v>0</v>
      </c>
      <c r="J18" s="344">
        <v>0</v>
      </c>
      <c r="K18" s="344">
        <v>0</v>
      </c>
      <c r="L18" s="344">
        <v>0</v>
      </c>
      <c r="M18" s="344">
        <v>0</v>
      </c>
      <c r="N18" s="344">
        <v>0</v>
      </c>
      <c r="O18" s="144"/>
      <c r="P18" s="139">
        <v>0</v>
      </c>
      <c r="Q18" s="139">
        <v>0</v>
      </c>
      <c r="R18" s="139">
        <v>0</v>
      </c>
      <c r="S18" s="139">
        <v>0</v>
      </c>
      <c r="T18" s="139">
        <v>0</v>
      </c>
      <c r="U18" s="139">
        <v>0</v>
      </c>
      <c r="V18" s="139">
        <v>0</v>
      </c>
      <c r="W18" s="139">
        <v>0</v>
      </c>
      <c r="X18" s="358">
        <v>0</v>
      </c>
      <c r="Y18" s="358">
        <v>0</v>
      </c>
      <c r="Z18" s="358">
        <v>0</v>
      </c>
      <c r="AA18" s="358">
        <v>0</v>
      </c>
      <c r="AB18" s="354"/>
      <c r="AC18" s="362">
        <v>0</v>
      </c>
      <c r="AD18" s="364">
        <v>0</v>
      </c>
      <c r="AE18" s="364">
        <v>0</v>
      </c>
      <c r="AF18" s="364">
        <v>0</v>
      </c>
      <c r="AG18" s="362">
        <v>0</v>
      </c>
      <c r="AH18" s="412">
        <v>0</v>
      </c>
    </row>
    <row r="19" spans="1:34" ht="15">
      <c r="A19" s="162" t="s">
        <v>205</v>
      </c>
      <c r="B19" s="353"/>
      <c r="C19" s="342">
        <v>0</v>
      </c>
      <c r="D19" s="344">
        <v>0</v>
      </c>
      <c r="E19" s="344">
        <v>0</v>
      </c>
      <c r="F19" s="344">
        <v>0</v>
      </c>
      <c r="G19" s="344">
        <v>0</v>
      </c>
      <c r="H19" s="344">
        <v>0</v>
      </c>
      <c r="I19" s="344">
        <v>0</v>
      </c>
      <c r="J19" s="344">
        <v>0</v>
      </c>
      <c r="K19" s="344">
        <v>0</v>
      </c>
      <c r="L19" s="344">
        <v>0</v>
      </c>
      <c r="M19" s="344">
        <v>0</v>
      </c>
      <c r="N19" s="344">
        <v>0</v>
      </c>
      <c r="O19" s="353"/>
      <c r="P19" s="139">
        <v>0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0</v>
      </c>
      <c r="W19" s="139">
        <v>0</v>
      </c>
      <c r="X19" s="358">
        <v>0</v>
      </c>
      <c r="Y19" s="358">
        <v>0</v>
      </c>
      <c r="Z19" s="358">
        <v>0</v>
      </c>
      <c r="AA19" s="358">
        <v>0</v>
      </c>
      <c r="AB19" s="354"/>
      <c r="AC19" s="366">
        <v>0</v>
      </c>
      <c r="AD19" s="368">
        <v>0</v>
      </c>
      <c r="AE19" s="368">
        <v>0</v>
      </c>
      <c r="AF19" s="368">
        <v>0</v>
      </c>
      <c r="AG19" s="366">
        <v>0</v>
      </c>
      <c r="AH19" s="414">
        <v>0</v>
      </c>
    </row>
    <row r="20" spans="1:34" ht="15">
      <c r="A20" s="162" t="s">
        <v>206</v>
      </c>
      <c r="B20" s="353"/>
      <c r="C20" s="342">
        <v>0</v>
      </c>
      <c r="D20" s="344">
        <v>0</v>
      </c>
      <c r="E20" s="344">
        <v>0</v>
      </c>
      <c r="F20" s="344">
        <v>0</v>
      </c>
      <c r="G20" s="344">
        <v>0</v>
      </c>
      <c r="H20" s="344">
        <v>0</v>
      </c>
      <c r="I20" s="344">
        <v>0</v>
      </c>
      <c r="J20" s="344">
        <v>0</v>
      </c>
      <c r="K20" s="344">
        <v>0</v>
      </c>
      <c r="L20" s="344">
        <v>0</v>
      </c>
      <c r="M20" s="344">
        <v>0</v>
      </c>
      <c r="N20" s="344">
        <v>0</v>
      </c>
      <c r="O20" s="353"/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39">
        <v>0</v>
      </c>
      <c r="V20" s="139">
        <v>0</v>
      </c>
      <c r="W20" s="139">
        <v>0</v>
      </c>
      <c r="X20" s="358">
        <v>0</v>
      </c>
      <c r="Y20" s="358">
        <v>0</v>
      </c>
      <c r="Z20" s="358">
        <v>0</v>
      </c>
      <c r="AA20" s="358">
        <v>0</v>
      </c>
      <c r="AB20" s="354"/>
      <c r="AC20" s="366">
        <v>0</v>
      </c>
      <c r="AD20" s="368">
        <v>0</v>
      </c>
      <c r="AE20" s="368">
        <v>0</v>
      </c>
      <c r="AF20" s="368">
        <v>0</v>
      </c>
      <c r="AG20" s="366">
        <v>0</v>
      </c>
      <c r="AH20" s="414">
        <v>0</v>
      </c>
    </row>
    <row r="21" spans="1:34" s="141" customFormat="1" ht="29.25">
      <c r="A21" s="161" t="s">
        <v>207</v>
      </c>
      <c r="B21" s="304">
        <f t="shared" ref="B21:AH21" si="6">SUM(B22:B26)</f>
        <v>23361056</v>
      </c>
      <c r="C21" s="347">
        <v>24531739.190000001</v>
      </c>
      <c r="D21" s="349">
        <v>25445059.41</v>
      </c>
      <c r="E21" s="349">
        <v>26427095.539999999</v>
      </c>
      <c r="F21" s="349">
        <v>26336731.670000002</v>
      </c>
      <c r="G21" s="349">
        <v>25995367.800000001</v>
      </c>
      <c r="H21" s="349">
        <v>25670003.93</v>
      </c>
      <c r="I21" s="349">
        <v>25459840.059999999</v>
      </c>
      <c r="J21" s="349">
        <v>24995049.52</v>
      </c>
      <c r="K21" s="349">
        <v>24509058.98</v>
      </c>
      <c r="L21" s="349">
        <v>30529883.52</v>
      </c>
      <c r="M21" s="349">
        <v>40476186.560000002</v>
      </c>
      <c r="N21" s="349">
        <v>47830422.140000001</v>
      </c>
      <c r="O21" s="304">
        <f t="shared" si="6"/>
        <v>47318410</v>
      </c>
      <c r="P21" s="304">
        <f t="shared" si="6"/>
        <v>48832494.670000002</v>
      </c>
      <c r="Q21" s="304">
        <f t="shared" si="6"/>
        <v>48595748.200000003</v>
      </c>
      <c r="R21" s="304">
        <f t="shared" si="6"/>
        <v>49993844.799999997</v>
      </c>
      <c r="S21" s="304">
        <f t="shared" si="6"/>
        <v>53237702.100000001</v>
      </c>
      <c r="T21" s="304">
        <f t="shared" si="6"/>
        <v>54139935.699999996</v>
      </c>
      <c r="U21" s="304">
        <f t="shared" si="6"/>
        <v>58851207.699999996</v>
      </c>
      <c r="V21" s="304">
        <f t="shared" si="6"/>
        <v>61820559.75</v>
      </c>
      <c r="W21" s="304">
        <f t="shared" si="6"/>
        <v>64192936.300000004</v>
      </c>
      <c r="X21" s="304">
        <f t="shared" si="6"/>
        <v>65357747.899999999</v>
      </c>
      <c r="Y21" s="304">
        <f t="shared" si="6"/>
        <v>65375505.5</v>
      </c>
      <c r="Z21" s="304">
        <f t="shared" si="6"/>
        <v>65621323.100000001</v>
      </c>
      <c r="AA21" s="304">
        <f t="shared" si="6"/>
        <v>65236640.699999996</v>
      </c>
      <c r="AB21" s="304">
        <f t="shared" si="6"/>
        <v>71655016</v>
      </c>
      <c r="AC21" s="304">
        <f t="shared" si="6"/>
        <v>71754857.900000006</v>
      </c>
      <c r="AD21" s="304">
        <f t="shared" si="6"/>
        <v>72346949.560000002</v>
      </c>
      <c r="AE21" s="304">
        <f t="shared" si="6"/>
        <v>74406594.00999999</v>
      </c>
      <c r="AF21" s="304">
        <f t="shared" si="6"/>
        <v>76536286.780000001</v>
      </c>
      <c r="AG21" s="304">
        <f t="shared" si="6"/>
        <v>79008809.549999997</v>
      </c>
      <c r="AH21" s="304">
        <f t="shared" si="6"/>
        <v>79507042.320000008</v>
      </c>
    </row>
    <row r="22" spans="1:34" ht="15">
      <c r="A22" s="162" t="s">
        <v>208</v>
      </c>
      <c r="B22" s="301"/>
      <c r="C22" s="342">
        <v>0</v>
      </c>
      <c r="D22" s="344">
        <v>0</v>
      </c>
      <c r="E22" s="344">
        <v>0</v>
      </c>
      <c r="F22" s="344">
        <v>0</v>
      </c>
      <c r="G22" s="344">
        <v>0</v>
      </c>
      <c r="H22" s="344">
        <v>0</v>
      </c>
      <c r="I22" s="344">
        <v>0</v>
      </c>
      <c r="J22" s="344">
        <v>0</v>
      </c>
      <c r="K22" s="344">
        <v>0</v>
      </c>
      <c r="L22" s="344">
        <v>0</v>
      </c>
      <c r="M22" s="344">
        <v>0</v>
      </c>
      <c r="N22" s="344">
        <v>0</v>
      </c>
      <c r="O22" s="144"/>
      <c r="P22" s="139">
        <v>0</v>
      </c>
      <c r="Q22" s="139">
        <v>0</v>
      </c>
      <c r="R22" s="139">
        <v>0</v>
      </c>
      <c r="S22" s="139">
        <v>0</v>
      </c>
      <c r="T22" s="139">
        <v>0</v>
      </c>
      <c r="U22" s="139">
        <v>0</v>
      </c>
      <c r="V22" s="139">
        <v>0</v>
      </c>
      <c r="W22" s="139">
        <v>0</v>
      </c>
      <c r="X22" s="358">
        <v>0</v>
      </c>
      <c r="Y22" s="358">
        <v>0</v>
      </c>
      <c r="Z22" s="358">
        <v>0</v>
      </c>
      <c r="AA22" s="358">
        <v>0</v>
      </c>
      <c r="AB22" s="354"/>
      <c r="AC22" s="362">
        <v>0</v>
      </c>
      <c r="AD22" s="364">
        <v>0</v>
      </c>
      <c r="AE22" s="364">
        <v>0</v>
      </c>
      <c r="AF22" s="364">
        <v>0</v>
      </c>
      <c r="AG22" s="362">
        <v>0</v>
      </c>
      <c r="AH22" s="412">
        <v>0</v>
      </c>
    </row>
    <row r="23" spans="1:34" ht="15">
      <c r="A23" s="162" t="s">
        <v>209</v>
      </c>
      <c r="B23" s="301">
        <v>23361056</v>
      </c>
      <c r="C23" s="343">
        <v>22800785.989999998</v>
      </c>
      <c r="D23" s="345">
        <v>23202286.100000001</v>
      </c>
      <c r="E23" s="345">
        <v>23850484.120000001</v>
      </c>
      <c r="F23" s="345">
        <v>23914982.140000001</v>
      </c>
      <c r="G23" s="345">
        <v>23779780.16</v>
      </c>
      <c r="H23" s="345">
        <v>23660578.18</v>
      </c>
      <c r="I23" s="345">
        <v>23526576.199999999</v>
      </c>
      <c r="J23" s="345">
        <v>23278207.550000001</v>
      </c>
      <c r="K23" s="345">
        <v>23010838.899999999</v>
      </c>
      <c r="L23" s="345">
        <v>29031663.440000001</v>
      </c>
      <c r="M23" s="345">
        <v>38810860.259999998</v>
      </c>
      <c r="N23" s="345">
        <v>46306517.729999997</v>
      </c>
      <c r="O23" s="322">
        <v>47318410</v>
      </c>
      <c r="P23" s="139">
        <v>46928202.539999999</v>
      </c>
      <c r="Q23" s="139">
        <v>46733595.350000001</v>
      </c>
      <c r="R23" s="139">
        <v>47654032.229999997</v>
      </c>
      <c r="S23" s="139">
        <v>51129628.810000002</v>
      </c>
      <c r="T23" s="139">
        <v>52253601.689999998</v>
      </c>
      <c r="U23" s="139">
        <v>57196692.969999999</v>
      </c>
      <c r="V23" s="139">
        <v>60277773.649999999</v>
      </c>
      <c r="W23" s="139">
        <v>62881900.130000003</v>
      </c>
      <c r="X23" s="358">
        <v>64150851.009999998</v>
      </c>
      <c r="Y23" s="358">
        <v>64252347.890000001</v>
      </c>
      <c r="Z23" s="358">
        <v>64297904.770000003</v>
      </c>
      <c r="AA23" s="358">
        <v>63996961.649999999</v>
      </c>
      <c r="AB23" s="354">
        <f>5986000+46948382+8260089+6626709+2451490+576205+806141</f>
        <v>71655016</v>
      </c>
      <c r="AC23" s="367">
        <v>64234719.130000003</v>
      </c>
      <c r="AD23" s="369">
        <v>64349294.07</v>
      </c>
      <c r="AE23" s="369">
        <v>65867677.799999997</v>
      </c>
      <c r="AF23" s="369">
        <v>66077909.850000001</v>
      </c>
      <c r="AG23" s="367">
        <v>66180261.899999999</v>
      </c>
      <c r="AH23" s="415">
        <v>66232503.950000003</v>
      </c>
    </row>
    <row r="24" spans="1:34" ht="15">
      <c r="A24" s="162" t="s">
        <v>210</v>
      </c>
      <c r="B24" s="353"/>
      <c r="C24" s="342">
        <v>0</v>
      </c>
      <c r="D24" s="344">
        <v>0</v>
      </c>
      <c r="E24" s="344">
        <v>0</v>
      </c>
      <c r="F24" s="344">
        <v>0</v>
      </c>
      <c r="G24" s="344">
        <v>0</v>
      </c>
      <c r="H24" s="344">
        <v>0</v>
      </c>
      <c r="I24" s="344">
        <v>0</v>
      </c>
      <c r="J24" s="344">
        <v>0</v>
      </c>
      <c r="K24" s="344">
        <v>0</v>
      </c>
      <c r="L24" s="344">
        <v>0</v>
      </c>
      <c r="M24" s="344">
        <v>0</v>
      </c>
      <c r="N24" s="344">
        <v>0</v>
      </c>
      <c r="O24" s="353"/>
      <c r="P24" s="139">
        <v>0</v>
      </c>
      <c r="Q24" s="139">
        <v>0</v>
      </c>
      <c r="R24" s="139">
        <v>0</v>
      </c>
      <c r="S24" s="139">
        <v>0</v>
      </c>
      <c r="T24" s="139">
        <v>0</v>
      </c>
      <c r="U24" s="139">
        <v>0</v>
      </c>
      <c r="V24" s="139">
        <v>0</v>
      </c>
      <c r="W24" s="139">
        <v>0</v>
      </c>
      <c r="X24" s="358">
        <v>0</v>
      </c>
      <c r="Y24" s="358">
        <v>0</v>
      </c>
      <c r="Z24" s="358">
        <v>0</v>
      </c>
      <c r="AA24" s="358">
        <v>0</v>
      </c>
      <c r="AB24" s="354"/>
      <c r="AC24" s="366">
        <v>0</v>
      </c>
      <c r="AD24" s="368">
        <v>0</v>
      </c>
      <c r="AE24" s="368">
        <v>0</v>
      </c>
      <c r="AF24" s="368">
        <v>0</v>
      </c>
      <c r="AG24" s="366">
        <v>0</v>
      </c>
      <c r="AH24" s="414">
        <v>0</v>
      </c>
    </row>
    <row r="25" spans="1:34" ht="15">
      <c r="A25" s="162" t="s">
        <v>211</v>
      </c>
      <c r="B25" s="301"/>
      <c r="C25" s="342">
        <v>0</v>
      </c>
      <c r="D25" s="344">
        <v>0</v>
      </c>
      <c r="E25" s="344">
        <v>0</v>
      </c>
      <c r="F25" s="344">
        <v>0</v>
      </c>
      <c r="G25" s="344">
        <v>0</v>
      </c>
      <c r="H25" s="344">
        <v>0</v>
      </c>
      <c r="I25" s="344">
        <v>0</v>
      </c>
      <c r="J25" s="344">
        <v>0</v>
      </c>
      <c r="K25" s="344">
        <v>0</v>
      </c>
      <c r="L25" s="344">
        <v>0</v>
      </c>
      <c r="M25" s="344">
        <v>0</v>
      </c>
      <c r="N25" s="344">
        <v>0</v>
      </c>
      <c r="O25" s="322"/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39">
        <v>0</v>
      </c>
      <c r="V25" s="139">
        <v>0</v>
      </c>
      <c r="W25" s="139">
        <v>0</v>
      </c>
      <c r="X25" s="358">
        <v>0</v>
      </c>
      <c r="Y25" s="358">
        <v>0</v>
      </c>
      <c r="Z25" s="358">
        <v>0</v>
      </c>
      <c r="AA25" s="358">
        <v>0</v>
      </c>
      <c r="AB25" s="354"/>
      <c r="AC25" s="366">
        <v>0</v>
      </c>
      <c r="AD25" s="368">
        <v>0</v>
      </c>
      <c r="AE25" s="368">
        <v>0</v>
      </c>
      <c r="AF25" s="368">
        <v>0</v>
      </c>
      <c r="AG25" s="366">
        <v>0</v>
      </c>
      <c r="AH25" s="414">
        <v>0</v>
      </c>
    </row>
    <row r="26" spans="1:34" ht="15">
      <c r="A26" s="162" t="s">
        <v>212</v>
      </c>
      <c r="B26" s="353"/>
      <c r="C26" s="343">
        <v>1730953.2</v>
      </c>
      <c r="D26" s="345">
        <v>2242773.31</v>
      </c>
      <c r="E26" s="345">
        <v>2576611.42</v>
      </c>
      <c r="F26" s="345">
        <v>2421749.5299999998</v>
      </c>
      <c r="G26" s="345">
        <v>2215587.64</v>
      </c>
      <c r="H26" s="345">
        <v>2009425.75</v>
      </c>
      <c r="I26" s="345">
        <v>1933263.86</v>
      </c>
      <c r="J26" s="345">
        <v>1716841.97</v>
      </c>
      <c r="K26" s="345">
        <v>1498220.08</v>
      </c>
      <c r="L26" s="345">
        <v>1498220.08</v>
      </c>
      <c r="M26" s="345">
        <v>1665326.3</v>
      </c>
      <c r="N26" s="345">
        <v>1523904.41</v>
      </c>
      <c r="O26" s="353"/>
      <c r="P26" s="139">
        <v>1904292.13</v>
      </c>
      <c r="Q26" s="139">
        <v>1862152.85</v>
      </c>
      <c r="R26" s="139">
        <v>2339812.5699999998</v>
      </c>
      <c r="S26" s="139">
        <v>2108073.29</v>
      </c>
      <c r="T26" s="139">
        <v>1886334.01</v>
      </c>
      <c r="U26" s="139">
        <v>1654514.73</v>
      </c>
      <c r="V26" s="139">
        <v>1542786.1</v>
      </c>
      <c r="W26" s="139">
        <v>1311036.17</v>
      </c>
      <c r="X26" s="358">
        <v>1206896.8899999999</v>
      </c>
      <c r="Y26" s="358">
        <v>1123157.6100000001</v>
      </c>
      <c r="Z26" s="358">
        <v>1323418.33</v>
      </c>
      <c r="AA26" s="358">
        <v>1239679.05</v>
      </c>
      <c r="AB26" s="354"/>
      <c r="AC26" s="367">
        <v>7520138.7699999996</v>
      </c>
      <c r="AD26" s="369">
        <v>7997655.4900000002</v>
      </c>
      <c r="AE26" s="369">
        <v>8538916.2100000009</v>
      </c>
      <c r="AF26" s="369">
        <v>10458376.93</v>
      </c>
      <c r="AG26" s="367">
        <v>12828547.65</v>
      </c>
      <c r="AH26" s="415">
        <v>13274538.369999999</v>
      </c>
    </row>
    <row r="27" spans="1:34" s="141" customFormat="1" ht="15">
      <c r="A27" s="161" t="s">
        <v>59</v>
      </c>
      <c r="B27" s="304">
        <f t="shared" ref="B27:AH27" si="7">B4+B7+B8+B14+B17+B21</f>
        <v>451530040</v>
      </c>
      <c r="C27" s="347">
        <v>455723916.57999998</v>
      </c>
      <c r="D27" s="349">
        <v>465785148.87</v>
      </c>
      <c r="E27" s="349">
        <v>461907693.13</v>
      </c>
      <c r="F27" s="349">
        <v>463438584.97000003</v>
      </c>
      <c r="G27" s="349">
        <v>509091137.88999999</v>
      </c>
      <c r="H27" s="349">
        <v>483475744.81</v>
      </c>
      <c r="I27" s="349">
        <v>483561078.66000003</v>
      </c>
      <c r="J27" s="349">
        <v>492444491.49000001</v>
      </c>
      <c r="K27" s="349">
        <v>498555646.83999997</v>
      </c>
      <c r="L27" s="349">
        <v>506507800.73000002</v>
      </c>
      <c r="M27" s="349">
        <v>503371124.23000002</v>
      </c>
      <c r="N27" s="348" t="s">
        <v>200</v>
      </c>
      <c r="O27" s="304">
        <f t="shared" si="7"/>
        <v>512833379</v>
      </c>
      <c r="P27" s="304">
        <f t="shared" si="7"/>
        <v>508438060.48000002</v>
      </c>
      <c r="Q27" s="304">
        <f t="shared" si="7"/>
        <v>513592477.64999998</v>
      </c>
      <c r="R27" s="304">
        <f t="shared" si="7"/>
        <v>507251049.43000001</v>
      </c>
      <c r="S27" s="304">
        <f t="shared" si="7"/>
        <v>507062420.14000005</v>
      </c>
      <c r="T27" s="304">
        <f t="shared" si="7"/>
        <v>510671561.28000003</v>
      </c>
      <c r="U27" s="304">
        <f t="shared" si="7"/>
        <v>548100823.59000003</v>
      </c>
      <c r="V27" s="304">
        <f t="shared" si="7"/>
        <v>550693045.81999993</v>
      </c>
      <c r="W27" s="304">
        <f t="shared" si="7"/>
        <v>557113270.40999997</v>
      </c>
      <c r="X27" s="304">
        <f t="shared" si="7"/>
        <v>558008751.96000004</v>
      </c>
      <c r="Y27" s="304">
        <f t="shared" si="7"/>
        <v>559114996.53000009</v>
      </c>
      <c r="Z27" s="304">
        <f t="shared" si="7"/>
        <v>559227037.65999997</v>
      </c>
      <c r="AA27" s="304">
        <f t="shared" si="7"/>
        <v>562438194.72000003</v>
      </c>
      <c r="AB27" s="304">
        <f t="shared" si="7"/>
        <v>584594538</v>
      </c>
      <c r="AC27" s="304">
        <f t="shared" si="7"/>
        <v>574356457.04999995</v>
      </c>
      <c r="AD27" s="304">
        <f t="shared" si="7"/>
        <v>617379145.0999999</v>
      </c>
      <c r="AE27" s="304">
        <f t="shared" si="7"/>
        <v>598393767.36000001</v>
      </c>
      <c r="AF27" s="304">
        <f t="shared" si="7"/>
        <v>605463295.60000002</v>
      </c>
      <c r="AG27" s="304">
        <f t="shared" si="7"/>
        <v>601452862.88</v>
      </c>
      <c r="AH27" s="304">
        <f t="shared" si="7"/>
        <v>605336510.93000007</v>
      </c>
    </row>
    <row r="28" spans="1:34">
      <c r="A28" s="169" t="s">
        <v>213</v>
      </c>
      <c r="B28" s="142"/>
      <c r="O28" s="144"/>
      <c r="AB28" s="354"/>
    </row>
    <row r="29" spans="1:34" ht="29.25">
      <c r="A29" s="162" t="s">
        <v>214</v>
      </c>
      <c r="B29" s="312">
        <v>69890663</v>
      </c>
      <c r="C29" s="343">
        <v>48619914.130000003</v>
      </c>
      <c r="D29" s="345">
        <v>52129055.770000003</v>
      </c>
      <c r="E29" s="345">
        <v>54461820.700000003</v>
      </c>
      <c r="F29" s="345">
        <v>52365497.159999996</v>
      </c>
      <c r="G29" s="345">
        <v>56273330.579999998</v>
      </c>
      <c r="H29" s="345">
        <v>55246420.369999997</v>
      </c>
      <c r="I29" s="345">
        <v>50771324.219999999</v>
      </c>
      <c r="J29" s="345">
        <v>53762394.439999998</v>
      </c>
      <c r="K29" s="345">
        <v>54101794.109999999</v>
      </c>
      <c r="L29" s="345">
        <v>55895297.329999998</v>
      </c>
      <c r="M29" s="345">
        <v>52253127.729999997</v>
      </c>
      <c r="N29" s="345">
        <v>53033454.590000004</v>
      </c>
      <c r="O29" s="322">
        <v>78206021</v>
      </c>
      <c r="P29" s="139">
        <v>54611473.859999999</v>
      </c>
      <c r="Q29" s="139">
        <v>53486461.560000002</v>
      </c>
      <c r="R29" s="139">
        <v>58088767.479999997</v>
      </c>
      <c r="S29" s="139">
        <v>53467623.82</v>
      </c>
      <c r="T29" s="139">
        <v>49573058.939999998</v>
      </c>
      <c r="U29" s="139">
        <v>51924403.729999997</v>
      </c>
      <c r="V29" s="139">
        <v>48308771.619999997</v>
      </c>
      <c r="W29" s="139">
        <v>54116646.130000003</v>
      </c>
      <c r="X29" s="358">
        <v>49012822.979999997</v>
      </c>
      <c r="Y29" s="358">
        <v>46042982.920000002</v>
      </c>
      <c r="Z29" s="358">
        <v>47797733.920000002</v>
      </c>
      <c r="AA29" s="358">
        <v>45213621.509999998</v>
      </c>
      <c r="AB29" s="354">
        <f>76648463</f>
        <v>76648463</v>
      </c>
      <c r="AC29" s="363">
        <v>49028919.979999997</v>
      </c>
      <c r="AD29" s="365">
        <v>57551288.460000001</v>
      </c>
      <c r="AE29" s="365">
        <v>53386306.200000003</v>
      </c>
      <c r="AF29" s="365">
        <v>54671331.890000001</v>
      </c>
      <c r="AG29" s="363">
        <v>54918950.890000001</v>
      </c>
      <c r="AH29" s="413">
        <v>54882495.560000002</v>
      </c>
    </row>
    <row r="30" spans="1:34" ht="29.25">
      <c r="A30" s="162" t="s">
        <v>215</v>
      </c>
      <c r="B30" s="312"/>
      <c r="C30" s="343">
        <v>4717946.3099999996</v>
      </c>
      <c r="D30" s="345">
        <v>4404841.8099999996</v>
      </c>
      <c r="E30" s="345">
        <v>4441706.8099999996</v>
      </c>
      <c r="F30" s="345">
        <v>4510770.8099999996</v>
      </c>
      <c r="G30" s="345">
        <v>4452334.8099999996</v>
      </c>
      <c r="H30" s="345">
        <v>3285734.31</v>
      </c>
      <c r="I30" s="345">
        <v>2981734.31</v>
      </c>
      <c r="J30" s="345">
        <v>3431734.31</v>
      </c>
      <c r="K30" s="345">
        <v>2981734.31</v>
      </c>
      <c r="L30" s="345">
        <v>1488734.31</v>
      </c>
      <c r="M30" s="345">
        <v>2908734.31</v>
      </c>
      <c r="N30" s="345">
        <v>3386734.31</v>
      </c>
      <c r="O30" s="312"/>
      <c r="P30" s="139">
        <v>3391734.31</v>
      </c>
      <c r="Q30" s="139">
        <v>3931734.31</v>
      </c>
      <c r="R30" s="139">
        <v>3469497.31</v>
      </c>
      <c r="S30" s="139">
        <v>3365697.3</v>
      </c>
      <c r="T30" s="139">
        <v>3670697.31</v>
      </c>
      <c r="U30" s="139">
        <v>3659534.31</v>
      </c>
      <c r="V30" s="139">
        <v>3503534.31</v>
      </c>
      <c r="W30" s="139">
        <v>3404734.31</v>
      </c>
      <c r="X30" s="358">
        <v>3410534.31</v>
      </c>
      <c r="Y30" s="358">
        <v>4160534.31</v>
      </c>
      <c r="Z30" s="358">
        <v>4438546.3099999996</v>
      </c>
      <c r="AA30" s="358">
        <v>4503546.3099999996</v>
      </c>
      <c r="AB30" s="354"/>
      <c r="AC30" s="367">
        <v>3653546.31</v>
      </c>
      <c r="AD30" s="369">
        <v>4238546.3099999996</v>
      </c>
      <c r="AE30" s="369">
        <v>4131546.31</v>
      </c>
      <c r="AF30" s="369">
        <v>4137226.31</v>
      </c>
      <c r="AG30" s="367">
        <v>3887226.31</v>
      </c>
      <c r="AH30" s="415">
        <v>5915226.3099999996</v>
      </c>
    </row>
    <row r="31" spans="1:34" ht="29.25">
      <c r="A31" s="162" t="s">
        <v>216</v>
      </c>
      <c r="B31" s="312">
        <v>275781981</v>
      </c>
      <c r="C31" s="343">
        <v>300333393.72000003</v>
      </c>
      <c r="D31" s="345">
        <v>305960655.62</v>
      </c>
      <c r="E31" s="345">
        <v>310222422.02999997</v>
      </c>
      <c r="F31" s="345">
        <v>313101143.33999997</v>
      </c>
      <c r="G31" s="345">
        <v>316332454.10000002</v>
      </c>
      <c r="H31" s="345">
        <v>321545027.44999999</v>
      </c>
      <c r="I31" s="345">
        <v>325587060.63999999</v>
      </c>
      <c r="J31" s="345">
        <v>328880158.97000003</v>
      </c>
      <c r="K31" s="345">
        <v>332955850.92000002</v>
      </c>
      <c r="L31" s="345">
        <v>334088917.44</v>
      </c>
      <c r="M31" s="345">
        <v>338812557.05000001</v>
      </c>
      <c r="N31" s="344" t="s">
        <v>200</v>
      </c>
      <c r="O31" s="322">
        <v>315654301</v>
      </c>
      <c r="P31" s="139">
        <v>343550347.74000001</v>
      </c>
      <c r="Q31" s="139">
        <v>348261462.55000001</v>
      </c>
      <c r="R31" s="139">
        <v>353132950.47000003</v>
      </c>
      <c r="S31" s="139">
        <v>359205117.73000002</v>
      </c>
      <c r="T31" s="139">
        <v>363449248.45999998</v>
      </c>
      <c r="U31" s="139">
        <v>366749259.04000002</v>
      </c>
      <c r="V31" s="139">
        <v>370789282.37</v>
      </c>
      <c r="W31" s="139">
        <v>374474389.61000001</v>
      </c>
      <c r="X31" s="358">
        <v>381765903.44999999</v>
      </c>
      <c r="Y31" s="358">
        <v>386020820.79000002</v>
      </c>
      <c r="Z31" s="358">
        <v>383982908.06</v>
      </c>
      <c r="AA31" s="358">
        <v>387692083.48000002</v>
      </c>
      <c r="AB31" s="354">
        <f>365405894</f>
        <v>365405894</v>
      </c>
      <c r="AC31" s="367">
        <v>398434036.14999998</v>
      </c>
      <c r="AD31" s="369">
        <v>402467053.49000001</v>
      </c>
      <c r="AE31" s="369">
        <v>409070413.94</v>
      </c>
      <c r="AF31" s="369">
        <v>413714665.31999999</v>
      </c>
      <c r="AG31" s="367">
        <v>412227151.01999998</v>
      </c>
      <c r="AH31" s="415">
        <v>415500322.91000003</v>
      </c>
    </row>
    <row r="32" spans="1:34" s="141" customFormat="1" ht="15">
      <c r="A32" s="161" t="s">
        <v>217</v>
      </c>
      <c r="B32" s="300">
        <f t="shared" ref="B32:AG32" si="8">SUM(B29:B31)</f>
        <v>345672644</v>
      </c>
      <c r="C32" s="347">
        <v>353671254.16000003</v>
      </c>
      <c r="D32" s="349">
        <v>362494553.19999999</v>
      </c>
      <c r="E32" s="349">
        <v>369125949.54000002</v>
      </c>
      <c r="F32" s="349">
        <v>369977411.31</v>
      </c>
      <c r="G32" s="349">
        <v>377058119.49000001</v>
      </c>
      <c r="H32" s="349">
        <v>380077182.13</v>
      </c>
      <c r="I32" s="349">
        <v>379340119.17000002</v>
      </c>
      <c r="J32" s="349">
        <v>386074287.72000003</v>
      </c>
      <c r="K32" s="349">
        <v>390039379.33999997</v>
      </c>
      <c r="L32" s="349">
        <v>391472949.07999998</v>
      </c>
      <c r="M32" s="349">
        <v>393974419.08999997</v>
      </c>
      <c r="N32" s="348" t="s">
        <v>200</v>
      </c>
      <c r="O32" s="300">
        <f t="shared" si="8"/>
        <v>393860322</v>
      </c>
      <c r="P32" s="300">
        <f t="shared" si="8"/>
        <v>401553555.91000003</v>
      </c>
      <c r="Q32" s="300">
        <f t="shared" si="8"/>
        <v>405679658.42000002</v>
      </c>
      <c r="R32" s="300">
        <f t="shared" si="8"/>
        <v>414691215.26000005</v>
      </c>
      <c r="S32" s="300">
        <f t="shared" si="8"/>
        <v>416038438.85000002</v>
      </c>
      <c r="T32" s="300">
        <f t="shared" si="8"/>
        <v>416693004.70999998</v>
      </c>
      <c r="U32" s="300">
        <f t="shared" si="8"/>
        <v>422333197.08000004</v>
      </c>
      <c r="V32" s="300">
        <f t="shared" si="8"/>
        <v>422601588.30000001</v>
      </c>
      <c r="W32" s="300">
        <f t="shared" si="8"/>
        <v>431995770.05000001</v>
      </c>
      <c r="X32" s="300">
        <f t="shared" si="8"/>
        <v>434189260.74000001</v>
      </c>
      <c r="Y32" s="300">
        <f t="shared" si="8"/>
        <v>436224338.02000004</v>
      </c>
      <c r="Z32" s="300">
        <f t="shared" si="8"/>
        <v>436219188.29000002</v>
      </c>
      <c r="AA32" s="300">
        <f t="shared" si="8"/>
        <v>437409251.30000001</v>
      </c>
      <c r="AB32" s="300">
        <f t="shared" si="8"/>
        <v>442054357</v>
      </c>
      <c r="AC32" s="300">
        <f t="shared" si="8"/>
        <v>451116502.44</v>
      </c>
      <c r="AD32" s="300">
        <f t="shared" si="8"/>
        <v>464256888.25999999</v>
      </c>
      <c r="AE32" s="300">
        <f t="shared" si="8"/>
        <v>466588266.44999999</v>
      </c>
      <c r="AF32" s="300">
        <f t="shared" si="8"/>
        <v>472523223.51999998</v>
      </c>
      <c r="AG32" s="300">
        <f t="shared" si="8"/>
        <v>471033328.21999997</v>
      </c>
      <c r="AH32" s="300">
        <f t="shared" ref="AH32" si="9">SUM(AH29:AH31)</f>
        <v>476298044.78000003</v>
      </c>
    </row>
    <row r="33" spans="1:34" s="141" customFormat="1" ht="15" customHeight="1">
      <c r="A33" s="161" t="s">
        <v>218</v>
      </c>
      <c r="B33" s="306">
        <f t="shared" ref="B33:AG33" si="10">SUM(B34:B39)</f>
        <v>20053673</v>
      </c>
      <c r="C33" s="306">
        <f t="shared" si="10"/>
        <v>-10848325.34</v>
      </c>
      <c r="D33" s="306">
        <f t="shared" si="10"/>
        <v>-11733167.209999999</v>
      </c>
      <c r="E33" s="306">
        <f t="shared" si="10"/>
        <v>-25229723.399999999</v>
      </c>
      <c r="F33" s="306">
        <f t="shared" si="10"/>
        <v>-223036.25999999978</v>
      </c>
      <c r="G33" s="306">
        <f t="shared" si="10"/>
        <v>-1928534.44</v>
      </c>
      <c r="H33" s="306">
        <f t="shared" si="10"/>
        <v>5188038.4399999995</v>
      </c>
      <c r="I33" s="306">
        <f t="shared" si="10"/>
        <v>3229056.5</v>
      </c>
      <c r="J33" s="306">
        <f t="shared" si="10"/>
        <v>2567143.16</v>
      </c>
      <c r="K33" s="306">
        <f t="shared" si="10"/>
        <v>1418569.0499999998</v>
      </c>
      <c r="L33" s="306">
        <f t="shared" si="10"/>
        <v>6452547.1399999997</v>
      </c>
      <c r="M33" s="306">
        <f t="shared" si="10"/>
        <v>-124325.29000000004</v>
      </c>
      <c r="N33" s="306">
        <f>SUM(N34:N39)</f>
        <v>-864823.5700000003</v>
      </c>
      <c r="O33" s="306">
        <f>SUM(O34:O39)</f>
        <v>26171347</v>
      </c>
      <c r="P33" s="306">
        <f t="shared" si="10"/>
        <v>-3478381.4699999997</v>
      </c>
      <c r="Q33" s="306">
        <f t="shared" si="10"/>
        <v>-3948228.1899999995</v>
      </c>
      <c r="R33" s="306">
        <f t="shared" si="10"/>
        <v>-22100184.080000002</v>
      </c>
      <c r="S33" s="306">
        <f t="shared" si="10"/>
        <v>-1993878.290000001</v>
      </c>
      <c r="T33" s="306">
        <f t="shared" si="10"/>
        <v>-3417264.3900000025</v>
      </c>
      <c r="U33" s="306">
        <f t="shared" si="10"/>
        <v>25948953.890000001</v>
      </c>
      <c r="V33" s="306">
        <f t="shared" si="10"/>
        <v>26038884.469999999</v>
      </c>
      <c r="W33" s="306">
        <f t="shared" si="10"/>
        <v>21014260.539999999</v>
      </c>
      <c r="X33" s="306">
        <f t="shared" si="10"/>
        <v>18065898.670000002</v>
      </c>
      <c r="Y33" s="306">
        <f t="shared" si="10"/>
        <v>14960878.880000001</v>
      </c>
      <c r="Z33" s="306">
        <f t="shared" si="10"/>
        <v>7275384.3999999985</v>
      </c>
      <c r="AA33" s="306">
        <f t="shared" si="10"/>
        <v>7214230.0199999996</v>
      </c>
      <c r="AB33" s="306">
        <f t="shared" si="10"/>
        <v>40670805</v>
      </c>
      <c r="AC33" s="306">
        <f t="shared" si="10"/>
        <v>29495854.039999999</v>
      </c>
      <c r="AD33" s="306">
        <f t="shared" si="10"/>
        <v>53268643.359999999</v>
      </c>
      <c r="AE33" s="306">
        <f t="shared" si="10"/>
        <v>28548024.919999998</v>
      </c>
      <c r="AF33" s="306">
        <f t="shared" si="10"/>
        <v>26150028.75</v>
      </c>
      <c r="AG33" s="306">
        <f t="shared" si="10"/>
        <v>21377570.640000004</v>
      </c>
      <c r="AH33" s="306">
        <f t="shared" ref="AH33" si="11">SUM(AH34:AH39)</f>
        <v>18271407.149999999</v>
      </c>
    </row>
    <row r="34" spans="1:34" ht="15">
      <c r="A34" s="162" t="s">
        <v>219</v>
      </c>
      <c r="B34" s="301">
        <v>820709</v>
      </c>
      <c r="C34" s="343">
        <v>-11696.01</v>
      </c>
      <c r="D34" s="345">
        <v>-10315.530000000001</v>
      </c>
      <c r="E34" s="345">
        <v>808224.05</v>
      </c>
      <c r="F34" s="345">
        <v>809073.08</v>
      </c>
      <c r="G34" s="345">
        <v>-170385.89</v>
      </c>
      <c r="H34" s="345">
        <v>-164901.78</v>
      </c>
      <c r="I34" s="345">
        <v>-164786.78</v>
      </c>
      <c r="J34" s="345">
        <v>-165862.78</v>
      </c>
      <c r="K34" s="345">
        <v>-162781.57999999999</v>
      </c>
      <c r="L34" s="345">
        <v>-134052.39000000001</v>
      </c>
      <c r="M34" s="345">
        <v>-131899.24</v>
      </c>
      <c r="N34" s="345">
        <v>-131899.24</v>
      </c>
      <c r="O34" s="328">
        <v>458403</v>
      </c>
      <c r="P34" s="139">
        <v>-131198.51</v>
      </c>
      <c r="Q34" s="139">
        <v>-130837.51</v>
      </c>
      <c r="R34" s="139">
        <v>803920.86</v>
      </c>
      <c r="S34" s="139">
        <v>-111224</v>
      </c>
      <c r="T34" s="139">
        <v>-109573.67</v>
      </c>
      <c r="U34" s="139">
        <v>-119251.35</v>
      </c>
      <c r="V34" s="139">
        <v>-119251.35</v>
      </c>
      <c r="W34" s="139">
        <v>-135706.09</v>
      </c>
      <c r="X34" s="358">
        <v>-135574.09</v>
      </c>
      <c r="Y34" s="358">
        <v>0</v>
      </c>
      <c r="Z34" s="358">
        <v>1506.26</v>
      </c>
      <c r="AA34" s="358">
        <v>1506.26</v>
      </c>
      <c r="AB34" s="354">
        <f>56988</f>
        <v>56988</v>
      </c>
      <c r="AC34" s="363">
        <v>3006.26</v>
      </c>
      <c r="AD34" s="365">
        <v>4700.8</v>
      </c>
      <c r="AE34" s="365">
        <v>1046422.8</v>
      </c>
      <c r="AF34" s="365">
        <v>-163269.82</v>
      </c>
      <c r="AG34" s="378">
        <v>-160038.44</v>
      </c>
      <c r="AH34" s="378">
        <v>-156776.10999999999</v>
      </c>
    </row>
    <row r="35" spans="1:34" ht="15">
      <c r="A35" s="162" t="s">
        <v>220</v>
      </c>
      <c r="B35" s="301">
        <v>16378056</v>
      </c>
      <c r="C35" s="342">
        <v>988</v>
      </c>
      <c r="D35" s="344">
        <v>988</v>
      </c>
      <c r="E35" s="345">
        <v>-16238469</v>
      </c>
      <c r="F35" s="345">
        <v>-16242181.75</v>
      </c>
      <c r="G35" s="344">
        <v>0</v>
      </c>
      <c r="H35" s="345">
        <v>-62443.5</v>
      </c>
      <c r="I35" s="345">
        <v>-65274</v>
      </c>
      <c r="J35" s="345">
        <v>-67724</v>
      </c>
      <c r="K35" s="345">
        <v>-68074</v>
      </c>
      <c r="L35" s="345">
        <v>-71914</v>
      </c>
      <c r="M35" s="345">
        <v>-73198</v>
      </c>
      <c r="N35" s="345">
        <v>-73198</v>
      </c>
      <c r="O35" s="322">
        <v>18880398</v>
      </c>
      <c r="P35" s="139">
        <v>0</v>
      </c>
      <c r="Q35" s="139">
        <v>-7125</v>
      </c>
      <c r="R35" s="139">
        <v>-18123686.390000001</v>
      </c>
      <c r="S35" s="139">
        <v>-18196477.390000001</v>
      </c>
      <c r="T35" s="139">
        <v>-18197789.390000001</v>
      </c>
      <c r="U35" s="139">
        <v>-18196723.390000001</v>
      </c>
      <c r="V35" s="139">
        <v>-18197798.390000001</v>
      </c>
      <c r="W35" s="139">
        <v>0</v>
      </c>
      <c r="X35" s="358">
        <v>-2638</v>
      </c>
      <c r="Y35" s="358">
        <v>0</v>
      </c>
      <c r="Z35" s="358">
        <v>0</v>
      </c>
      <c r="AA35" s="358">
        <v>0</v>
      </c>
      <c r="AB35" s="354">
        <f>21729256</f>
        <v>21729256</v>
      </c>
      <c r="AC35" s="366">
        <v>0</v>
      </c>
      <c r="AD35" s="368">
        <v>0</v>
      </c>
      <c r="AE35" s="369">
        <v>-24213627</v>
      </c>
      <c r="AF35" s="369">
        <v>-11125.33</v>
      </c>
      <c r="AG35" s="378">
        <v>-75752.820000000007</v>
      </c>
      <c r="AH35" s="378">
        <v>-91453.98</v>
      </c>
    </row>
    <row r="36" spans="1:34" ht="15">
      <c r="A36" s="162" t="s">
        <v>221</v>
      </c>
      <c r="B36" s="299"/>
      <c r="C36" s="342">
        <v>0</v>
      </c>
      <c r="D36" s="344">
        <v>0</v>
      </c>
      <c r="E36" s="344">
        <v>0</v>
      </c>
      <c r="F36" s="344">
        <v>0</v>
      </c>
      <c r="G36" s="344">
        <v>0</v>
      </c>
      <c r="H36" s="344">
        <v>0</v>
      </c>
      <c r="I36" s="344">
        <v>0</v>
      </c>
      <c r="J36" s="344">
        <v>0</v>
      </c>
      <c r="K36" s="344">
        <v>0</v>
      </c>
      <c r="L36" s="344">
        <v>0</v>
      </c>
      <c r="M36" s="344">
        <v>0</v>
      </c>
      <c r="N36" s="344">
        <v>0</v>
      </c>
      <c r="O36" s="333"/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39">
        <v>0</v>
      </c>
      <c r="V36" s="139">
        <v>0</v>
      </c>
      <c r="W36" s="139">
        <v>0</v>
      </c>
      <c r="X36" s="358">
        <v>0</v>
      </c>
      <c r="Y36" s="358">
        <v>0</v>
      </c>
      <c r="Z36" s="358">
        <v>0</v>
      </c>
      <c r="AA36" s="358">
        <v>0</v>
      </c>
      <c r="AB36" s="354"/>
      <c r="AC36" s="366">
        <v>0</v>
      </c>
      <c r="AD36" s="368">
        <v>0</v>
      </c>
      <c r="AE36" s="368">
        <v>0</v>
      </c>
      <c r="AF36" s="368">
        <v>0</v>
      </c>
      <c r="AG36" s="139">
        <v>0</v>
      </c>
      <c r="AH36" s="139">
        <v>0</v>
      </c>
    </row>
    <row r="37" spans="1:34" ht="15">
      <c r="A37" s="162" t="s">
        <v>222</v>
      </c>
      <c r="B37" s="299"/>
      <c r="C37" s="342">
        <v>0</v>
      </c>
      <c r="D37" s="344">
        <v>0</v>
      </c>
      <c r="E37" s="344">
        <v>0</v>
      </c>
      <c r="F37" s="344">
        <v>0</v>
      </c>
      <c r="G37" s="344">
        <v>0</v>
      </c>
      <c r="H37" s="344">
        <v>0</v>
      </c>
      <c r="I37" s="344">
        <v>0</v>
      </c>
      <c r="J37" s="344">
        <v>0</v>
      </c>
      <c r="K37" s="344">
        <v>0</v>
      </c>
      <c r="L37" s="344">
        <v>0</v>
      </c>
      <c r="M37" s="344">
        <v>0</v>
      </c>
      <c r="N37" s="344">
        <v>0</v>
      </c>
      <c r="O37" s="299"/>
      <c r="P37" s="139">
        <v>0</v>
      </c>
      <c r="Q37" s="139">
        <v>0</v>
      </c>
      <c r="R37" s="139">
        <v>0</v>
      </c>
      <c r="S37" s="139">
        <v>0</v>
      </c>
      <c r="T37" s="139">
        <v>0</v>
      </c>
      <c r="U37" s="139">
        <v>0</v>
      </c>
      <c r="V37" s="139">
        <v>0</v>
      </c>
      <c r="W37" s="139">
        <v>0</v>
      </c>
      <c r="X37" s="358">
        <v>0</v>
      </c>
      <c r="Y37" s="358">
        <v>0</v>
      </c>
      <c r="Z37" s="358">
        <v>0</v>
      </c>
      <c r="AA37" s="358">
        <v>0</v>
      </c>
      <c r="AB37" s="354"/>
      <c r="AC37" s="366">
        <v>0</v>
      </c>
      <c r="AD37" s="368">
        <v>0</v>
      </c>
      <c r="AE37" s="368">
        <v>0</v>
      </c>
      <c r="AF37" s="368">
        <v>0</v>
      </c>
      <c r="AG37" s="139">
        <v>0</v>
      </c>
      <c r="AH37" s="139">
        <v>0</v>
      </c>
    </row>
    <row r="38" spans="1:34" ht="15">
      <c r="A38" s="162" t="s">
        <v>223</v>
      </c>
      <c r="B38" s="301">
        <v>2854908</v>
      </c>
      <c r="C38" s="343">
        <v>-10837617.33</v>
      </c>
      <c r="D38" s="345">
        <v>-11723839.68</v>
      </c>
      <c r="E38" s="345">
        <v>-9799478.4499999993</v>
      </c>
      <c r="F38" s="345">
        <v>15210072.41</v>
      </c>
      <c r="G38" s="345">
        <v>-1758148.55</v>
      </c>
      <c r="H38" s="345">
        <v>-2084616.28</v>
      </c>
      <c r="I38" s="345">
        <v>-3415882.72</v>
      </c>
      <c r="J38" s="345">
        <v>-4074270.06</v>
      </c>
      <c r="K38" s="345">
        <v>-4600575.37</v>
      </c>
      <c r="L38" s="345">
        <v>1033513.53</v>
      </c>
      <c r="M38" s="345">
        <v>-4294228.05</v>
      </c>
      <c r="N38" s="345">
        <v>-4409726.33</v>
      </c>
      <c r="O38" s="305">
        <v>3082546</v>
      </c>
      <c r="P38" s="139">
        <v>-6472182.96</v>
      </c>
      <c r="Q38" s="139">
        <v>-6310265.6799999997</v>
      </c>
      <c r="R38" s="139">
        <v>-6655418.5499999998</v>
      </c>
      <c r="S38" s="139">
        <v>15063823.1</v>
      </c>
      <c r="T38" s="139">
        <v>14302598.67</v>
      </c>
      <c r="U38" s="139">
        <v>14264928.630000001</v>
      </c>
      <c r="V38" s="139">
        <v>14210083.470000001</v>
      </c>
      <c r="W38" s="139">
        <v>-3815799.82</v>
      </c>
      <c r="X38" s="358">
        <v>-4461255.7699999996</v>
      </c>
      <c r="Y38" s="358">
        <v>-5249612.76</v>
      </c>
      <c r="Z38" s="358">
        <v>-10451209.99</v>
      </c>
      <c r="AA38" s="358">
        <v>-10631053.369999999</v>
      </c>
      <c r="AB38" s="354">
        <f>3624698</f>
        <v>3624698</v>
      </c>
      <c r="AC38" s="367">
        <v>17280885.68</v>
      </c>
      <c r="AD38" s="369">
        <v>13523913.82</v>
      </c>
      <c r="AE38" s="369">
        <v>14066134.32</v>
      </c>
      <c r="AF38" s="369">
        <v>-12125153.609999999</v>
      </c>
      <c r="AG38" s="378">
        <v>-12096715.439999999</v>
      </c>
      <c r="AH38" s="378">
        <v>-12305362.76</v>
      </c>
    </row>
    <row r="39" spans="1:34" ht="15">
      <c r="A39" s="162" t="s">
        <v>224</v>
      </c>
      <c r="B39" s="301"/>
      <c r="C39" s="342">
        <v>0</v>
      </c>
      <c r="D39" s="344">
        <v>0</v>
      </c>
      <c r="E39" s="344">
        <v>0</v>
      </c>
      <c r="F39" s="344">
        <v>0</v>
      </c>
      <c r="G39" s="344">
        <v>0</v>
      </c>
      <c r="H39" s="345">
        <v>7500000</v>
      </c>
      <c r="I39" s="345">
        <v>6875000</v>
      </c>
      <c r="J39" s="345">
        <v>6875000</v>
      </c>
      <c r="K39" s="345">
        <v>6250000</v>
      </c>
      <c r="L39" s="345">
        <v>5625000</v>
      </c>
      <c r="M39" s="345">
        <v>4375000</v>
      </c>
      <c r="N39" s="345">
        <v>3750000</v>
      </c>
      <c r="O39" s="305">
        <v>3750000</v>
      </c>
      <c r="P39" s="139">
        <v>3125000</v>
      </c>
      <c r="Q39" s="139">
        <v>2500000</v>
      </c>
      <c r="R39" s="139">
        <v>1875000</v>
      </c>
      <c r="S39" s="139">
        <v>1250000</v>
      </c>
      <c r="T39" s="139">
        <v>587500</v>
      </c>
      <c r="U39" s="139">
        <v>30000000</v>
      </c>
      <c r="V39" s="139">
        <v>30145850.739999998</v>
      </c>
      <c r="W39" s="139">
        <v>24965766.449999999</v>
      </c>
      <c r="X39" s="358">
        <v>22665366.530000001</v>
      </c>
      <c r="Y39" s="358">
        <v>20210491.640000001</v>
      </c>
      <c r="Z39" s="358">
        <v>17725088.129999999</v>
      </c>
      <c r="AA39" s="358">
        <v>17843777.129999999</v>
      </c>
      <c r="AB39" s="354">
        <f>15259863</f>
        <v>15259863</v>
      </c>
      <c r="AC39" s="367">
        <v>12211962.1</v>
      </c>
      <c r="AD39" s="369">
        <v>39740028.740000002</v>
      </c>
      <c r="AE39" s="369">
        <v>37649094.799999997</v>
      </c>
      <c r="AF39" s="369">
        <v>38449577.509999998</v>
      </c>
      <c r="AG39" s="378">
        <v>33710077.340000004</v>
      </c>
      <c r="AH39" s="378">
        <v>30825000</v>
      </c>
    </row>
    <row r="40" spans="1:34" s="141" customFormat="1" ht="15.75">
      <c r="A40" s="161" t="s">
        <v>225</v>
      </c>
      <c r="B40" s="304">
        <f t="shared" ref="B40:AH40" si="12">B32+B33</f>
        <v>365726317</v>
      </c>
      <c r="C40" s="304">
        <f t="shared" si="12"/>
        <v>342822928.82000005</v>
      </c>
      <c r="D40" s="304">
        <f t="shared" si="12"/>
        <v>350761385.99000001</v>
      </c>
      <c r="E40" s="304">
        <f t="shared" si="12"/>
        <v>343896226.14000005</v>
      </c>
      <c r="F40" s="304">
        <f t="shared" si="12"/>
        <v>369754375.05000001</v>
      </c>
      <c r="G40" s="304">
        <f t="shared" si="12"/>
        <v>375129585.05000001</v>
      </c>
      <c r="H40" s="304">
        <f t="shared" si="12"/>
        <v>385265220.56999999</v>
      </c>
      <c r="I40" s="304">
        <f t="shared" si="12"/>
        <v>382569175.67000002</v>
      </c>
      <c r="J40" s="304">
        <f t="shared" si="12"/>
        <v>388641430.88000005</v>
      </c>
      <c r="K40" s="304">
        <f t="shared" si="12"/>
        <v>391457948.38999999</v>
      </c>
      <c r="L40" s="304">
        <f t="shared" si="12"/>
        <v>397925496.21999997</v>
      </c>
      <c r="M40" s="304">
        <f t="shared" si="12"/>
        <v>393850093.79999995</v>
      </c>
      <c r="N40" s="304" t="e">
        <f t="shared" si="12"/>
        <v>#VALUE!</v>
      </c>
      <c r="O40" s="304">
        <f t="shared" si="12"/>
        <v>420031669</v>
      </c>
      <c r="P40" s="304">
        <f t="shared" si="12"/>
        <v>398075174.44</v>
      </c>
      <c r="Q40" s="304">
        <f t="shared" si="12"/>
        <v>401731430.23000002</v>
      </c>
      <c r="R40" s="304">
        <f t="shared" si="12"/>
        <v>392591031.18000007</v>
      </c>
      <c r="S40" s="304">
        <f t="shared" si="12"/>
        <v>414044560.56</v>
      </c>
      <c r="T40" s="304">
        <f t="shared" si="12"/>
        <v>413275740.31999999</v>
      </c>
      <c r="U40" s="304">
        <f t="shared" si="12"/>
        <v>448282150.97000003</v>
      </c>
      <c r="V40" s="304">
        <f t="shared" si="12"/>
        <v>448640472.76999998</v>
      </c>
      <c r="W40" s="304">
        <f t="shared" si="12"/>
        <v>453010030.59000003</v>
      </c>
      <c r="X40" s="304">
        <f t="shared" si="12"/>
        <v>452255159.41000003</v>
      </c>
      <c r="Y40" s="304">
        <f t="shared" si="12"/>
        <v>451185216.90000004</v>
      </c>
      <c r="Z40" s="304">
        <f t="shared" si="12"/>
        <v>443494572.69</v>
      </c>
      <c r="AA40" s="304">
        <f t="shared" si="12"/>
        <v>444623481.31999999</v>
      </c>
      <c r="AB40" s="304">
        <f t="shared" si="12"/>
        <v>482725162</v>
      </c>
      <c r="AC40" s="304">
        <f t="shared" si="12"/>
        <v>480612356.48000002</v>
      </c>
      <c r="AD40" s="304">
        <f t="shared" si="12"/>
        <v>517525531.62</v>
      </c>
      <c r="AE40" s="304">
        <f t="shared" si="12"/>
        <v>495136291.37</v>
      </c>
      <c r="AF40" s="304">
        <f t="shared" si="12"/>
        <v>498673252.26999998</v>
      </c>
      <c r="AG40" s="304">
        <f t="shared" si="12"/>
        <v>492410898.85999995</v>
      </c>
      <c r="AH40" s="304">
        <f t="shared" si="12"/>
        <v>494569451.93000001</v>
      </c>
    </row>
    <row r="41" spans="1:34">
      <c r="A41" s="169" t="s">
        <v>226</v>
      </c>
      <c r="B41" s="142"/>
      <c r="O41" s="305"/>
      <c r="AB41" s="354"/>
    </row>
    <row r="42" spans="1:34" ht="29.25">
      <c r="A42" s="162" t="s">
        <v>227</v>
      </c>
      <c r="B42" s="301">
        <v>49733041</v>
      </c>
      <c r="C42" s="343">
        <v>48839825.670000002</v>
      </c>
      <c r="D42" s="345">
        <v>48839125.670000002</v>
      </c>
      <c r="E42" s="345">
        <v>48833770.670000002</v>
      </c>
      <c r="F42" s="345">
        <v>48832914.670000002</v>
      </c>
      <c r="G42" s="345">
        <v>49353718.670000002</v>
      </c>
      <c r="H42" s="345">
        <v>49347618.670000002</v>
      </c>
      <c r="I42" s="345">
        <v>49625271.369999997</v>
      </c>
      <c r="J42" s="345">
        <v>49750024.75</v>
      </c>
      <c r="K42" s="345">
        <v>49751525.75</v>
      </c>
      <c r="L42" s="345">
        <v>49837940.25</v>
      </c>
      <c r="M42" s="345">
        <v>49834064.090000004</v>
      </c>
      <c r="N42" s="345">
        <v>50054269.859999999</v>
      </c>
      <c r="O42" s="305">
        <v>51874160</v>
      </c>
      <c r="P42" s="139">
        <v>50143974.859999999</v>
      </c>
      <c r="Q42" s="139">
        <v>50273067.920000002</v>
      </c>
      <c r="R42" s="139">
        <v>50290425.119999997</v>
      </c>
      <c r="S42" s="139">
        <v>50290175.119999997</v>
      </c>
      <c r="T42" s="139">
        <v>51040285.490000002</v>
      </c>
      <c r="U42" s="139">
        <v>51303291.049999997</v>
      </c>
      <c r="V42" s="139">
        <v>51307234.719999999</v>
      </c>
      <c r="W42" s="139">
        <v>51362101.380000003</v>
      </c>
      <c r="X42" s="358">
        <v>51364351.380000003</v>
      </c>
      <c r="Y42" s="358">
        <v>52276240.329999998</v>
      </c>
      <c r="Z42" s="358">
        <v>52276640.329999998</v>
      </c>
      <c r="AA42" s="358">
        <v>52704273.100000001</v>
      </c>
      <c r="AB42" s="354">
        <f>55353403</f>
        <v>55353403</v>
      </c>
      <c r="AC42" s="363">
        <v>52698373.100000001</v>
      </c>
      <c r="AD42" s="365">
        <v>52688333.100000001</v>
      </c>
      <c r="AE42" s="365">
        <v>53075740.869999997</v>
      </c>
      <c r="AF42" s="365">
        <v>53312357.960000001</v>
      </c>
      <c r="AG42" s="363">
        <v>53436217.289999999</v>
      </c>
      <c r="AH42" s="413">
        <v>53952991.549999997</v>
      </c>
    </row>
    <row r="43" spans="1:34" ht="14.25">
      <c r="A43" s="160" t="s">
        <v>228</v>
      </c>
      <c r="B43" s="299"/>
      <c r="C43" s="342">
        <v>0</v>
      </c>
      <c r="D43" s="344">
        <v>0</v>
      </c>
      <c r="E43" s="344">
        <v>0</v>
      </c>
      <c r="F43" s="344">
        <v>0</v>
      </c>
      <c r="G43" s="344">
        <v>0</v>
      </c>
      <c r="H43" s="344">
        <v>0</v>
      </c>
      <c r="I43" s="344">
        <v>0</v>
      </c>
      <c r="J43" s="344">
        <v>0</v>
      </c>
      <c r="K43" s="344">
        <v>0</v>
      </c>
      <c r="L43" s="344">
        <v>0</v>
      </c>
      <c r="M43" s="344">
        <v>0</v>
      </c>
      <c r="N43" s="344">
        <v>0</v>
      </c>
      <c r="O43" s="299"/>
      <c r="P43" s="139">
        <v>0</v>
      </c>
      <c r="Q43" s="139">
        <v>0</v>
      </c>
      <c r="R43" s="139">
        <v>0</v>
      </c>
      <c r="S43" s="139">
        <v>0</v>
      </c>
      <c r="T43" s="139">
        <v>0</v>
      </c>
      <c r="U43" s="139">
        <v>0</v>
      </c>
      <c r="V43" s="139">
        <v>0</v>
      </c>
      <c r="W43" s="139">
        <v>0</v>
      </c>
      <c r="X43" s="358">
        <v>0</v>
      </c>
      <c r="Y43" s="358">
        <v>0</v>
      </c>
      <c r="Z43" s="358">
        <v>0</v>
      </c>
      <c r="AA43" s="358">
        <v>0</v>
      </c>
      <c r="AB43" s="354"/>
      <c r="AC43" s="366">
        <v>0</v>
      </c>
      <c r="AD43" s="368">
        <v>0</v>
      </c>
      <c r="AE43" s="368">
        <v>0</v>
      </c>
      <c r="AF43" s="368">
        <v>0</v>
      </c>
      <c r="AG43" s="366">
        <v>0</v>
      </c>
      <c r="AH43" s="414">
        <v>0</v>
      </c>
    </row>
    <row r="44" spans="1:34">
      <c r="A44" s="160"/>
      <c r="B44" s="142"/>
      <c r="O44" s="144"/>
      <c r="AB44" s="354"/>
    </row>
    <row r="45" spans="1:34" s="141" customFormat="1" ht="15.75">
      <c r="A45" s="161" t="s">
        <v>128</v>
      </c>
      <c r="B45" s="307">
        <f t="shared" ref="B45:AH45" si="13">B47+B46</f>
        <v>20707704</v>
      </c>
      <c r="C45" s="307">
        <f t="shared" si="13"/>
        <v>49687221.090000004</v>
      </c>
      <c r="D45" s="307">
        <f t="shared" si="13"/>
        <v>51810696.210000001</v>
      </c>
      <c r="E45" s="307">
        <f t="shared" si="13"/>
        <v>54803755.32</v>
      </c>
      <c r="F45" s="307">
        <f t="shared" si="13"/>
        <v>29488319.25</v>
      </c>
      <c r="G45" s="307">
        <f t="shared" si="13"/>
        <v>30786331.82</v>
      </c>
      <c r="H45" s="307">
        <f t="shared" si="13"/>
        <v>33499929.57</v>
      </c>
      <c r="I45" s="307">
        <f t="shared" si="13"/>
        <v>36003655.619999997</v>
      </c>
      <c r="J45" s="307">
        <f t="shared" si="13"/>
        <v>38690059.859999999</v>
      </c>
      <c r="K45" s="307">
        <f t="shared" si="13"/>
        <v>41983196.700000003</v>
      </c>
      <c r="L45" s="307">
        <f t="shared" si="13"/>
        <v>43381388.260000005</v>
      </c>
      <c r="M45" s="307">
        <f t="shared" si="13"/>
        <v>44323990.340000004</v>
      </c>
      <c r="N45" s="307">
        <f t="shared" si="13"/>
        <v>46284373.859999999</v>
      </c>
      <c r="O45" s="307">
        <f t="shared" si="13"/>
        <v>23827293</v>
      </c>
      <c r="P45" s="307">
        <f t="shared" si="13"/>
        <v>44855935.18</v>
      </c>
      <c r="Q45" s="307">
        <f t="shared" si="13"/>
        <v>46225003.5</v>
      </c>
      <c r="R45" s="307">
        <f t="shared" si="13"/>
        <v>49006617.939999998</v>
      </c>
      <c r="S45" s="307">
        <f t="shared" si="13"/>
        <v>27364708.460000001</v>
      </c>
      <c r="T45" s="307">
        <f t="shared" si="13"/>
        <v>31104761.719999999</v>
      </c>
      <c r="U45" s="307">
        <f t="shared" si="13"/>
        <v>33152405.57</v>
      </c>
      <c r="V45" s="307">
        <f t="shared" si="13"/>
        <v>35382362.329999998</v>
      </c>
      <c r="W45" s="307">
        <f t="shared" si="13"/>
        <v>37378162.439999998</v>
      </c>
      <c r="X45" s="307">
        <f t="shared" si="13"/>
        <v>39026265.170000002</v>
      </c>
      <c r="Y45" s="307">
        <f t="shared" si="13"/>
        <v>40290563.299999997</v>
      </c>
      <c r="Z45" s="307">
        <f t="shared" si="13"/>
        <v>46355566.640000001</v>
      </c>
      <c r="AA45" s="307">
        <f t="shared" si="13"/>
        <v>48010182.299999997</v>
      </c>
      <c r="AB45" s="307">
        <f t="shared" si="13"/>
        <v>27482766</v>
      </c>
      <c r="AC45" s="307">
        <f t="shared" si="13"/>
        <v>23945469.469999999</v>
      </c>
      <c r="AD45" s="307">
        <f t="shared" si="13"/>
        <v>30065022.379999999</v>
      </c>
      <c r="AE45" s="307">
        <f t="shared" si="13"/>
        <v>33081477.119999997</v>
      </c>
      <c r="AF45" s="307">
        <f t="shared" si="13"/>
        <v>36377427.369999997</v>
      </c>
      <c r="AG45" s="307">
        <f t="shared" si="13"/>
        <v>38505488.730000004</v>
      </c>
      <c r="AH45" s="307">
        <f t="shared" si="13"/>
        <v>39713809.450000003</v>
      </c>
    </row>
    <row r="46" spans="1:34" ht="15">
      <c r="A46" s="162" t="s">
        <v>229</v>
      </c>
      <c r="B46" s="301">
        <v>20133729</v>
      </c>
      <c r="C46" s="343">
        <v>20141940</v>
      </c>
      <c r="D46" s="345">
        <v>20141940</v>
      </c>
      <c r="E46" s="345">
        <v>20141940</v>
      </c>
      <c r="F46" s="345">
        <v>20707704</v>
      </c>
      <c r="G46" s="345">
        <v>20707704</v>
      </c>
      <c r="H46" s="345">
        <v>20707704</v>
      </c>
      <c r="I46" s="345">
        <v>20707704</v>
      </c>
      <c r="J46" s="345">
        <v>20707704</v>
      </c>
      <c r="K46" s="345">
        <v>20707704</v>
      </c>
      <c r="L46" s="345">
        <v>20707704</v>
      </c>
      <c r="M46" s="345">
        <v>20707704</v>
      </c>
      <c r="N46" s="345">
        <v>20707704</v>
      </c>
      <c r="O46" s="332">
        <v>20707704</v>
      </c>
      <c r="P46" s="139">
        <v>20707704</v>
      </c>
      <c r="Q46" s="139">
        <v>20707704</v>
      </c>
      <c r="R46" s="139">
        <v>20707704</v>
      </c>
      <c r="S46" s="139">
        <v>20707704</v>
      </c>
      <c r="T46" s="139">
        <v>20707704</v>
      </c>
      <c r="U46" s="139">
        <v>20707704</v>
      </c>
      <c r="V46" s="139">
        <v>20707704</v>
      </c>
      <c r="W46" s="139">
        <v>20707704</v>
      </c>
      <c r="X46" s="358">
        <v>20707704</v>
      </c>
      <c r="Y46" s="358">
        <v>20707704</v>
      </c>
      <c r="Z46" s="358">
        <v>23827293</v>
      </c>
      <c r="AA46" s="358">
        <v>23827293</v>
      </c>
      <c r="AB46" s="354">
        <f>23827293</f>
        <v>23827293</v>
      </c>
      <c r="AC46" s="363">
        <v>23827293</v>
      </c>
      <c r="AD46" s="365">
        <v>23957293</v>
      </c>
      <c r="AE46" s="365">
        <v>23957293</v>
      </c>
      <c r="AF46" s="365">
        <v>23957293</v>
      </c>
      <c r="AG46" s="363">
        <v>23957293</v>
      </c>
      <c r="AH46" s="413">
        <v>23957293</v>
      </c>
    </row>
    <row r="47" spans="1:34" ht="15">
      <c r="A47" s="162" t="s">
        <v>230</v>
      </c>
      <c r="B47" s="301">
        <f>20707704-20133729</f>
        <v>573975</v>
      </c>
      <c r="C47" s="343">
        <v>29545281.09</v>
      </c>
      <c r="D47" s="345">
        <v>31668756.210000001</v>
      </c>
      <c r="E47" s="345">
        <v>34661815.32</v>
      </c>
      <c r="F47" s="345">
        <v>8780615.25</v>
      </c>
      <c r="G47" s="345">
        <v>10078627.82</v>
      </c>
      <c r="H47" s="345">
        <v>12792225.57</v>
      </c>
      <c r="I47" s="345">
        <v>15295951.619999999</v>
      </c>
      <c r="J47" s="345">
        <v>17982355.859999999</v>
      </c>
      <c r="K47" s="345">
        <v>21275492.699999999</v>
      </c>
      <c r="L47" s="345">
        <v>22673684.260000002</v>
      </c>
      <c r="M47" s="345">
        <v>23616286.34</v>
      </c>
      <c r="N47" s="345">
        <v>25576669.859999999</v>
      </c>
      <c r="O47" s="331">
        <f>23827293-20707704</f>
        <v>3119589</v>
      </c>
      <c r="P47" s="139">
        <v>24148231.18</v>
      </c>
      <c r="Q47" s="139">
        <v>25517299.5</v>
      </c>
      <c r="R47" s="139">
        <v>28298913.940000001</v>
      </c>
      <c r="S47" s="139">
        <v>6657004.46</v>
      </c>
      <c r="T47" s="139">
        <v>10397057.720000001</v>
      </c>
      <c r="U47" s="139">
        <v>12444701.57</v>
      </c>
      <c r="V47" s="139">
        <v>14674658.33</v>
      </c>
      <c r="W47" s="139">
        <v>16670458.439999999</v>
      </c>
      <c r="X47" s="358">
        <v>18318561.170000002</v>
      </c>
      <c r="Y47" s="358">
        <v>19582859.300000001</v>
      </c>
      <c r="Z47" s="358">
        <v>22528273.640000001</v>
      </c>
      <c r="AA47" s="358">
        <v>24182889.300000001</v>
      </c>
      <c r="AB47" s="354">
        <f>27482766-AB46</f>
        <v>3655473</v>
      </c>
      <c r="AC47" s="367">
        <v>118176.47</v>
      </c>
      <c r="AD47" s="369">
        <v>6107729.3799999999</v>
      </c>
      <c r="AE47" s="369">
        <v>9124184.1199999992</v>
      </c>
      <c r="AF47" s="369">
        <v>12420134.369999999</v>
      </c>
      <c r="AG47" s="367">
        <v>14548195.73</v>
      </c>
      <c r="AH47" s="415">
        <v>15756516.449999999</v>
      </c>
    </row>
    <row r="48" spans="1:34">
      <c r="A48" s="160"/>
      <c r="B48" s="142"/>
      <c r="O48" s="144"/>
      <c r="AB48" s="354"/>
    </row>
    <row r="49" spans="1:34" s="141" customFormat="1" ht="15.75">
      <c r="A49" s="161" t="s">
        <v>231</v>
      </c>
      <c r="B49" s="307">
        <f t="shared" ref="B49:AH49" si="14">SUM(B50:B54)</f>
        <v>12421535</v>
      </c>
      <c r="C49" s="307">
        <f t="shared" si="14"/>
        <v>14373941</v>
      </c>
      <c r="D49" s="307">
        <f t="shared" si="14"/>
        <v>14373941</v>
      </c>
      <c r="E49" s="307">
        <f t="shared" si="14"/>
        <v>14373941</v>
      </c>
      <c r="F49" s="307">
        <f t="shared" si="14"/>
        <v>15362976</v>
      </c>
      <c r="G49" s="307">
        <f t="shared" si="14"/>
        <v>15362976</v>
      </c>
      <c r="H49" s="307">
        <f t="shared" si="14"/>
        <v>15362976</v>
      </c>
      <c r="I49" s="307">
        <f t="shared" si="14"/>
        <v>15362976</v>
      </c>
      <c r="O49" s="307">
        <f t="shared" si="14"/>
        <v>17100258</v>
      </c>
      <c r="P49" s="307">
        <f t="shared" si="14"/>
        <v>15362976</v>
      </c>
      <c r="Q49" s="307">
        <f t="shared" si="14"/>
        <v>15362976</v>
      </c>
      <c r="R49" s="307">
        <f t="shared" si="14"/>
        <v>15362976</v>
      </c>
      <c r="S49" s="307">
        <f t="shared" si="14"/>
        <v>15362976</v>
      </c>
      <c r="T49" s="307">
        <f t="shared" si="14"/>
        <v>15362976</v>
      </c>
      <c r="U49" s="307">
        <f t="shared" si="14"/>
        <v>15362976</v>
      </c>
      <c r="V49" s="307">
        <f t="shared" si="14"/>
        <v>15362976</v>
      </c>
      <c r="W49" s="307">
        <f t="shared" si="14"/>
        <v>15362976</v>
      </c>
      <c r="X49" s="307">
        <f t="shared" si="14"/>
        <v>15362976</v>
      </c>
      <c r="Y49" s="307">
        <f t="shared" si="14"/>
        <v>15362976</v>
      </c>
      <c r="Z49" s="307">
        <f t="shared" si="14"/>
        <v>17100258</v>
      </c>
      <c r="AA49" s="307">
        <f t="shared" si="14"/>
        <v>17100258</v>
      </c>
      <c r="AB49" s="307">
        <f t="shared" si="14"/>
        <v>19033207</v>
      </c>
      <c r="AC49" s="307">
        <f t="shared" si="14"/>
        <v>17100258</v>
      </c>
      <c r="AD49" s="307">
        <f t="shared" si="14"/>
        <v>17100258</v>
      </c>
      <c r="AE49" s="307">
        <f t="shared" si="14"/>
        <v>17100258</v>
      </c>
      <c r="AF49" s="307">
        <f t="shared" si="14"/>
        <v>17100258</v>
      </c>
      <c r="AG49" s="307">
        <f t="shared" si="14"/>
        <v>17100258</v>
      </c>
      <c r="AH49" s="307">
        <f t="shared" si="14"/>
        <v>17100258</v>
      </c>
    </row>
    <row r="50" spans="1:34" ht="15">
      <c r="A50" s="162" t="s">
        <v>232</v>
      </c>
      <c r="B50" s="334">
        <v>12421535</v>
      </c>
      <c r="C50" s="343">
        <v>11432500</v>
      </c>
      <c r="D50" s="345">
        <v>11432500</v>
      </c>
      <c r="E50" s="345">
        <v>11432500</v>
      </c>
      <c r="F50" s="345">
        <v>12421535</v>
      </c>
      <c r="G50" s="345">
        <v>12421535</v>
      </c>
      <c r="H50" s="345">
        <v>12421535</v>
      </c>
      <c r="I50" s="345">
        <v>12421535</v>
      </c>
      <c r="J50" s="345">
        <v>12421535</v>
      </c>
      <c r="K50" s="345">
        <v>12421535</v>
      </c>
      <c r="L50" s="345">
        <v>12421535</v>
      </c>
      <c r="M50" s="345">
        <v>12421535</v>
      </c>
      <c r="N50" s="345">
        <v>12421535</v>
      </c>
      <c r="O50" s="331">
        <v>14158817</v>
      </c>
      <c r="P50" s="139">
        <v>12421535</v>
      </c>
      <c r="Q50" s="139">
        <v>12421535</v>
      </c>
      <c r="R50" s="139">
        <v>12421535</v>
      </c>
      <c r="S50" s="139">
        <v>12421535</v>
      </c>
      <c r="T50" s="139">
        <v>12421535</v>
      </c>
      <c r="U50" s="139">
        <v>12421535</v>
      </c>
      <c r="V50" s="139">
        <v>12421535</v>
      </c>
      <c r="W50" s="139">
        <v>12421535</v>
      </c>
      <c r="X50" s="358">
        <v>12421535</v>
      </c>
      <c r="Y50" s="358">
        <v>12421535</v>
      </c>
      <c r="Z50" s="358">
        <v>14158817</v>
      </c>
      <c r="AA50" s="358">
        <v>14158817</v>
      </c>
      <c r="AB50" s="354">
        <v>16091766</v>
      </c>
      <c r="AC50" s="363">
        <v>14158817</v>
      </c>
      <c r="AD50" s="365">
        <v>14158817</v>
      </c>
      <c r="AE50" s="365">
        <v>14158817</v>
      </c>
      <c r="AF50" s="365">
        <v>14158817</v>
      </c>
      <c r="AG50" s="363">
        <v>14158817</v>
      </c>
      <c r="AH50" s="413">
        <v>14158817</v>
      </c>
    </row>
    <row r="51" spans="1:34" ht="29.25">
      <c r="A51" s="162" t="s">
        <v>233</v>
      </c>
      <c r="B51" s="334"/>
      <c r="C51" s="343">
        <v>2941441</v>
      </c>
      <c r="D51" s="345">
        <v>2941441</v>
      </c>
      <c r="E51" s="345">
        <v>2941441</v>
      </c>
      <c r="F51" s="345">
        <v>2941441</v>
      </c>
      <c r="G51" s="345">
        <v>2941441</v>
      </c>
      <c r="H51" s="345">
        <v>2941441</v>
      </c>
      <c r="I51" s="345">
        <v>2941441</v>
      </c>
      <c r="J51" s="345">
        <v>2941441</v>
      </c>
      <c r="K51" s="345">
        <v>2941441</v>
      </c>
      <c r="L51" s="345">
        <v>2941441</v>
      </c>
      <c r="M51" s="345">
        <v>2941441</v>
      </c>
      <c r="N51" s="345">
        <v>2941441</v>
      </c>
      <c r="O51" s="332">
        <v>2941441</v>
      </c>
      <c r="P51" s="139">
        <v>2941441</v>
      </c>
      <c r="Q51" s="139">
        <v>2941441</v>
      </c>
      <c r="R51" s="139">
        <v>2941441</v>
      </c>
      <c r="S51" s="139">
        <v>2941441</v>
      </c>
      <c r="T51" s="139">
        <v>2941441</v>
      </c>
      <c r="U51" s="139">
        <v>2941441</v>
      </c>
      <c r="V51" s="139">
        <v>2941441</v>
      </c>
      <c r="W51" s="139">
        <v>2941441</v>
      </c>
      <c r="X51" s="358">
        <v>2941441</v>
      </c>
      <c r="Y51" s="358">
        <v>2941441</v>
      </c>
      <c r="Z51" s="358">
        <v>2941441</v>
      </c>
      <c r="AA51" s="358">
        <v>2941441</v>
      </c>
      <c r="AB51" s="354">
        <f>2941441</f>
        <v>2941441</v>
      </c>
      <c r="AC51" s="367">
        <v>2941441</v>
      </c>
      <c r="AD51" s="369">
        <v>2941441</v>
      </c>
      <c r="AE51" s="369">
        <v>2941441</v>
      </c>
      <c r="AF51" s="369">
        <v>2941441</v>
      </c>
      <c r="AG51" s="367">
        <v>2941441</v>
      </c>
      <c r="AH51" s="415">
        <v>2941441</v>
      </c>
    </row>
    <row r="52" spans="1:34" ht="29.25">
      <c r="A52" s="162" t="s">
        <v>234</v>
      </c>
      <c r="B52" s="334"/>
      <c r="C52" s="342">
        <v>0</v>
      </c>
      <c r="D52" s="344">
        <v>0</v>
      </c>
      <c r="E52" s="344">
        <v>0</v>
      </c>
      <c r="F52" s="344">
        <v>0</v>
      </c>
      <c r="G52" s="344">
        <v>0</v>
      </c>
      <c r="H52" s="344">
        <v>0</v>
      </c>
      <c r="I52" s="344">
        <v>0</v>
      </c>
      <c r="J52" s="344">
        <v>0</v>
      </c>
      <c r="K52" s="344">
        <v>0</v>
      </c>
      <c r="L52" s="344">
        <v>0</v>
      </c>
      <c r="M52" s="344">
        <v>0</v>
      </c>
      <c r="N52" s="344">
        <v>0</v>
      </c>
      <c r="O52" s="144"/>
      <c r="P52" s="139">
        <v>0</v>
      </c>
      <c r="Q52" s="139">
        <v>0</v>
      </c>
      <c r="R52" s="139">
        <v>0</v>
      </c>
      <c r="S52" s="139">
        <v>0</v>
      </c>
      <c r="T52" s="139">
        <v>0</v>
      </c>
      <c r="U52" s="139">
        <v>0</v>
      </c>
      <c r="V52" s="139">
        <v>0</v>
      </c>
      <c r="W52" s="139">
        <v>0</v>
      </c>
      <c r="X52" s="358">
        <v>0</v>
      </c>
      <c r="Y52" s="358">
        <v>0</v>
      </c>
      <c r="Z52" s="358">
        <v>0</v>
      </c>
      <c r="AA52" s="358">
        <v>0</v>
      </c>
      <c r="AB52" s="354"/>
      <c r="AC52" s="366">
        <v>0</v>
      </c>
      <c r="AD52" s="368">
        <v>0</v>
      </c>
      <c r="AE52" s="368">
        <v>0</v>
      </c>
      <c r="AF52" s="368">
        <v>0</v>
      </c>
      <c r="AG52" s="366">
        <v>0</v>
      </c>
      <c r="AH52" s="414">
        <v>0</v>
      </c>
    </row>
    <row r="53" spans="1:34" ht="15">
      <c r="A53" s="162" t="s">
        <v>136</v>
      </c>
      <c r="B53" s="334"/>
      <c r="C53" s="342">
        <v>0</v>
      </c>
      <c r="D53" s="344">
        <v>0</v>
      </c>
      <c r="E53" s="344">
        <v>0</v>
      </c>
      <c r="F53" s="344">
        <v>0</v>
      </c>
      <c r="G53" s="344">
        <v>0</v>
      </c>
      <c r="H53" s="344">
        <v>0</v>
      </c>
      <c r="I53" s="344">
        <v>0</v>
      </c>
      <c r="J53" s="344">
        <v>0</v>
      </c>
      <c r="K53" s="344">
        <v>0</v>
      </c>
      <c r="L53" s="344">
        <v>0</v>
      </c>
      <c r="M53" s="344">
        <v>0</v>
      </c>
      <c r="N53" s="344">
        <v>0</v>
      </c>
      <c r="O53" s="332"/>
      <c r="P53" s="141">
        <v>0</v>
      </c>
      <c r="Q53" s="141">
        <v>0</v>
      </c>
      <c r="R53" s="141">
        <v>0</v>
      </c>
      <c r="S53" s="141">
        <v>0</v>
      </c>
      <c r="T53" s="141">
        <v>0</v>
      </c>
      <c r="U53" s="141">
        <v>0</v>
      </c>
      <c r="V53" s="141">
        <v>0</v>
      </c>
      <c r="W53" s="141">
        <v>0</v>
      </c>
      <c r="X53" s="359">
        <v>0</v>
      </c>
      <c r="Y53" s="359">
        <v>0</v>
      </c>
      <c r="Z53" s="359">
        <v>0</v>
      </c>
      <c r="AA53" s="359">
        <v>0</v>
      </c>
      <c r="AB53" s="354"/>
      <c r="AC53" s="366">
        <v>0</v>
      </c>
      <c r="AD53" s="368">
        <v>0</v>
      </c>
      <c r="AE53" s="368">
        <v>0</v>
      </c>
      <c r="AF53" s="368">
        <v>0</v>
      </c>
      <c r="AG53" s="366">
        <v>0</v>
      </c>
      <c r="AH53" s="414">
        <v>0</v>
      </c>
    </row>
    <row r="54" spans="1:34" ht="15">
      <c r="A54" s="162" t="s">
        <v>235</v>
      </c>
      <c r="B54" s="301"/>
      <c r="C54" s="342">
        <v>0</v>
      </c>
      <c r="D54" s="344">
        <v>0</v>
      </c>
      <c r="E54" s="344">
        <v>0</v>
      </c>
      <c r="F54" s="344">
        <v>0</v>
      </c>
      <c r="G54" s="344">
        <v>0</v>
      </c>
      <c r="H54" s="344">
        <v>0</v>
      </c>
      <c r="I54" s="344">
        <v>0</v>
      </c>
      <c r="J54" s="344">
        <v>0</v>
      </c>
      <c r="K54" s="344">
        <v>0</v>
      </c>
      <c r="L54" s="344">
        <v>0</v>
      </c>
      <c r="M54" s="344">
        <v>0</v>
      </c>
      <c r="N54" s="344">
        <v>0</v>
      </c>
      <c r="O54" s="305"/>
      <c r="P54" s="141">
        <v>0</v>
      </c>
      <c r="Q54" s="141">
        <v>0</v>
      </c>
      <c r="R54" s="141">
        <v>0</v>
      </c>
      <c r="S54" s="141">
        <v>0</v>
      </c>
      <c r="T54" s="141">
        <v>0</v>
      </c>
      <c r="U54" s="141">
        <v>0</v>
      </c>
      <c r="V54" s="141">
        <v>0</v>
      </c>
      <c r="W54" s="141">
        <v>0</v>
      </c>
      <c r="X54" s="359">
        <v>0</v>
      </c>
      <c r="Y54" s="359">
        <v>0</v>
      </c>
      <c r="Z54" s="359">
        <v>0</v>
      </c>
      <c r="AA54" s="359">
        <v>0</v>
      </c>
      <c r="AB54" s="354"/>
      <c r="AC54" s="366">
        <v>0</v>
      </c>
      <c r="AD54" s="368">
        <v>0</v>
      </c>
      <c r="AE54" s="368">
        <v>0</v>
      </c>
      <c r="AF54" s="368">
        <v>0</v>
      </c>
      <c r="AG54" s="366">
        <v>0</v>
      </c>
      <c r="AH54" s="414">
        <v>0</v>
      </c>
    </row>
    <row r="55" spans="1:34" s="141" customFormat="1" ht="15.75">
      <c r="A55" s="161" t="s">
        <v>236</v>
      </c>
      <c r="B55" s="300">
        <f>B42+B43+B45+B49</f>
        <v>82862280</v>
      </c>
      <c r="C55" s="300">
        <f t="shared" ref="C55:AG55" si="15">C42+C43+C45+C49</f>
        <v>112900987.76000001</v>
      </c>
      <c r="D55" s="300">
        <f t="shared" si="15"/>
        <v>115023762.88</v>
      </c>
      <c r="E55" s="300">
        <f t="shared" si="15"/>
        <v>118011466.99000001</v>
      </c>
      <c r="F55" s="300">
        <f t="shared" si="15"/>
        <v>93684209.920000002</v>
      </c>
      <c r="G55" s="300">
        <f t="shared" si="15"/>
        <v>95503026.49000001</v>
      </c>
      <c r="H55" s="300">
        <f t="shared" si="15"/>
        <v>98210524.24000001</v>
      </c>
      <c r="I55" s="300">
        <f t="shared" si="15"/>
        <v>100991902.98999999</v>
      </c>
      <c r="J55" s="300">
        <f t="shared" si="15"/>
        <v>88440084.609999999</v>
      </c>
      <c r="K55" s="300">
        <f t="shared" si="15"/>
        <v>91734722.450000003</v>
      </c>
      <c r="L55" s="300">
        <f t="shared" si="15"/>
        <v>93219328.510000005</v>
      </c>
      <c r="M55" s="300">
        <f t="shared" si="15"/>
        <v>94158054.430000007</v>
      </c>
      <c r="N55" s="300">
        <f t="shared" si="15"/>
        <v>96338643.719999999</v>
      </c>
      <c r="O55" s="300">
        <f t="shared" si="15"/>
        <v>92801711</v>
      </c>
      <c r="P55" s="300">
        <f t="shared" si="15"/>
        <v>110362886.03999999</v>
      </c>
      <c r="Q55" s="300">
        <f t="shared" si="15"/>
        <v>111861047.42</v>
      </c>
      <c r="R55" s="300">
        <f t="shared" si="15"/>
        <v>114660019.06</v>
      </c>
      <c r="S55" s="300">
        <f t="shared" si="15"/>
        <v>93017859.579999998</v>
      </c>
      <c r="T55" s="300">
        <f t="shared" si="15"/>
        <v>97508023.210000008</v>
      </c>
      <c r="U55" s="300">
        <f t="shared" si="15"/>
        <v>99818672.620000005</v>
      </c>
      <c r="V55" s="300">
        <f t="shared" si="15"/>
        <v>102052573.05</v>
      </c>
      <c r="W55" s="300">
        <f t="shared" si="15"/>
        <v>104103239.81999999</v>
      </c>
      <c r="X55" s="300">
        <f t="shared" si="15"/>
        <v>105753592.55000001</v>
      </c>
      <c r="Y55" s="300">
        <f t="shared" si="15"/>
        <v>107929779.63</v>
      </c>
      <c r="Z55" s="300">
        <f t="shared" si="15"/>
        <v>115732464.97</v>
      </c>
      <c r="AA55" s="300">
        <f t="shared" si="15"/>
        <v>117814713.40000001</v>
      </c>
      <c r="AB55" s="300">
        <f t="shared" si="15"/>
        <v>101869376</v>
      </c>
      <c r="AC55" s="300">
        <f t="shared" si="15"/>
        <v>93744100.569999993</v>
      </c>
      <c r="AD55" s="300">
        <f t="shared" si="15"/>
        <v>99853613.480000004</v>
      </c>
      <c r="AE55" s="300">
        <f t="shared" si="15"/>
        <v>103257475.98999999</v>
      </c>
      <c r="AF55" s="300">
        <f t="shared" si="15"/>
        <v>106790043.33</v>
      </c>
      <c r="AG55" s="300">
        <f t="shared" si="15"/>
        <v>109041964.02000001</v>
      </c>
      <c r="AH55" s="300">
        <f t="shared" ref="AH55" si="16">AH42+AH43+AH45+AH49</f>
        <v>110767059</v>
      </c>
    </row>
    <row r="56" spans="1:34" s="141" customFormat="1" ht="15">
      <c r="A56" s="161" t="s">
        <v>237</v>
      </c>
      <c r="B56" s="296">
        <f t="shared" ref="B56:AG56" si="17">B40+B55</f>
        <v>448588597</v>
      </c>
      <c r="C56" s="347">
        <v>455723916.57999998</v>
      </c>
      <c r="D56" s="349">
        <v>465785148.87</v>
      </c>
      <c r="E56" s="349">
        <v>461907693.13</v>
      </c>
      <c r="F56" s="349">
        <v>463438584.97000003</v>
      </c>
      <c r="G56" s="349">
        <v>470632611.54000002</v>
      </c>
      <c r="H56" s="349">
        <v>483475744.81</v>
      </c>
      <c r="I56" s="349">
        <v>483561078.66000003</v>
      </c>
      <c r="J56" s="349">
        <v>492444491.49000001</v>
      </c>
      <c r="K56" s="349">
        <v>498555646.83999997</v>
      </c>
      <c r="L56" s="349">
        <v>506507800.73000002</v>
      </c>
      <c r="M56" s="349">
        <v>503371124.23000002</v>
      </c>
      <c r="N56" s="348" t="s">
        <v>200</v>
      </c>
      <c r="O56" s="296">
        <f t="shared" si="17"/>
        <v>512833380</v>
      </c>
      <c r="P56" s="296">
        <f t="shared" si="17"/>
        <v>508438060.48000002</v>
      </c>
      <c r="Q56" s="296">
        <f t="shared" si="17"/>
        <v>513592477.65000004</v>
      </c>
      <c r="R56" s="296">
        <f t="shared" si="17"/>
        <v>507251050.24000007</v>
      </c>
      <c r="S56" s="296">
        <f t="shared" si="17"/>
        <v>507062420.13999999</v>
      </c>
      <c r="T56" s="296">
        <f t="shared" si="17"/>
        <v>510783763.52999997</v>
      </c>
      <c r="U56" s="296">
        <f t="shared" si="17"/>
        <v>548100823.59000003</v>
      </c>
      <c r="V56" s="296">
        <f t="shared" si="17"/>
        <v>550693045.81999993</v>
      </c>
      <c r="W56" s="296">
        <f t="shared" si="17"/>
        <v>557113270.41000009</v>
      </c>
      <c r="X56" s="296">
        <f t="shared" si="17"/>
        <v>558008751.96000004</v>
      </c>
      <c r="Y56" s="296">
        <f t="shared" si="17"/>
        <v>559114996.52999997</v>
      </c>
      <c r="Z56" s="296">
        <f t="shared" si="17"/>
        <v>559227037.65999997</v>
      </c>
      <c r="AA56" s="296">
        <f t="shared" si="17"/>
        <v>562438194.72000003</v>
      </c>
      <c r="AB56" s="296">
        <f t="shared" si="17"/>
        <v>584594538</v>
      </c>
      <c r="AC56" s="296">
        <f t="shared" si="17"/>
        <v>574356457.04999995</v>
      </c>
      <c r="AD56" s="296">
        <f t="shared" si="17"/>
        <v>617379145.10000002</v>
      </c>
      <c r="AE56" s="296">
        <f t="shared" si="17"/>
        <v>598393767.36000001</v>
      </c>
      <c r="AF56" s="296">
        <f t="shared" si="17"/>
        <v>605463295.60000002</v>
      </c>
      <c r="AG56" s="296">
        <f t="shared" si="17"/>
        <v>601452862.88</v>
      </c>
      <c r="AH56" s="296">
        <f t="shared" ref="AH56" si="18">AH40+AH55</f>
        <v>605336510.93000007</v>
      </c>
    </row>
    <row r="57" spans="1:34" ht="15">
      <c r="A57" s="143"/>
      <c r="B57" s="207">
        <f t="shared" ref="B57:O57" si="19">B27-B56</f>
        <v>2941443</v>
      </c>
      <c r="C57" s="207">
        <f t="shared" si="19"/>
        <v>0</v>
      </c>
      <c r="D57" s="207">
        <f t="shared" si="19"/>
        <v>0</v>
      </c>
      <c r="E57" s="207">
        <f t="shared" si="19"/>
        <v>0</v>
      </c>
      <c r="F57" s="207">
        <f t="shared" si="19"/>
        <v>0</v>
      </c>
      <c r="G57" s="207">
        <f t="shared" si="19"/>
        <v>38458526.349999964</v>
      </c>
      <c r="H57" s="207">
        <f t="shared" si="19"/>
        <v>0</v>
      </c>
      <c r="I57" s="207">
        <f t="shared" si="19"/>
        <v>0</v>
      </c>
      <c r="J57" s="207">
        <f t="shared" si="19"/>
        <v>0</v>
      </c>
      <c r="K57" s="207">
        <f t="shared" si="19"/>
        <v>0</v>
      </c>
      <c r="L57" s="207">
        <f t="shared" si="19"/>
        <v>0</v>
      </c>
      <c r="M57" s="207">
        <f t="shared" si="19"/>
        <v>0</v>
      </c>
      <c r="N57" s="207" t="e">
        <f t="shared" si="19"/>
        <v>#VALUE!</v>
      </c>
      <c r="O57" s="207">
        <f t="shared" si="19"/>
        <v>-1</v>
      </c>
      <c r="AB57" s="356">
        <f>AB27-AB56</f>
        <v>0</v>
      </c>
      <c r="AC57" s="356">
        <f t="shared" ref="AC57:AG57" si="20">AC27-AC56</f>
        <v>0</v>
      </c>
      <c r="AD57" s="356">
        <f t="shared" si="20"/>
        <v>0</v>
      </c>
      <c r="AE57" s="356">
        <f t="shared" si="20"/>
        <v>0</v>
      </c>
      <c r="AF57" s="356">
        <f t="shared" si="20"/>
        <v>0</v>
      </c>
      <c r="AG57" s="356">
        <f t="shared" si="20"/>
        <v>0</v>
      </c>
      <c r="AH57" s="356">
        <f t="shared" ref="AH57" si="21">AH27-AH56</f>
        <v>0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7"/>
  <sheetViews>
    <sheetView zoomScaleNormal="100" zoomScaleSheetLayoutView="100" workbookViewId="0">
      <pane xSplit="1" topLeftCell="AF1" activePane="topRight" state="frozen"/>
      <selection pane="topRight" activeCell="AF37" sqref="AF37:AI37"/>
    </sheetView>
  </sheetViews>
  <sheetFormatPr defaultColWidth="9.140625" defaultRowHeight="13.9"/>
  <cols>
    <col min="1" max="1" width="44.42578125" style="164" bestFit="1" customWidth="1"/>
    <col min="2" max="2" width="17.5703125" style="297" customWidth="1"/>
    <col min="3" max="13" width="17.5703125" style="297" hidden="1" customWidth="1"/>
    <col min="14" max="14" width="20.7109375" style="164" hidden="1" customWidth="1"/>
    <col min="15" max="15" width="21.42578125" style="164" customWidth="1"/>
    <col min="16" max="16" width="16" style="164" bestFit="1" customWidth="1"/>
    <col min="17" max="23" width="17.28515625" style="164" bestFit="1" customWidth="1"/>
    <col min="24" max="28" width="16.28515625" style="164" bestFit="1" customWidth="1"/>
    <col min="29" max="29" width="17.5703125" style="164" customWidth="1"/>
    <col min="30" max="30" width="17.85546875" style="164" customWidth="1"/>
    <col min="31" max="31" width="17" style="164" customWidth="1"/>
    <col min="32" max="32" width="16" style="164" customWidth="1"/>
    <col min="33" max="33" width="17.85546875" style="164" customWidth="1"/>
    <col min="34" max="34" width="16.5703125" style="164" bestFit="1" customWidth="1"/>
    <col min="35" max="16384" width="9.140625" style="164"/>
  </cols>
  <sheetData>
    <row r="1" spans="1:34">
      <c r="A1" s="163" t="s">
        <v>13</v>
      </c>
    </row>
    <row r="2" spans="1:34">
      <c r="A2" s="163" t="s">
        <v>238</v>
      </c>
      <c r="B2" s="315" t="s">
        <v>116</v>
      </c>
      <c r="C2" s="313">
        <v>44197</v>
      </c>
      <c r="D2" s="313">
        <v>44228</v>
      </c>
      <c r="E2" s="313">
        <v>44256</v>
      </c>
      <c r="F2" s="313">
        <v>44287</v>
      </c>
      <c r="G2" s="313">
        <v>44317</v>
      </c>
      <c r="H2" s="313">
        <v>44348</v>
      </c>
      <c r="I2" s="313">
        <v>44378</v>
      </c>
      <c r="J2" s="313">
        <v>44409</v>
      </c>
      <c r="K2" s="313">
        <v>44440</v>
      </c>
      <c r="L2" s="313">
        <v>44470</v>
      </c>
      <c r="M2" s="313">
        <v>44501</v>
      </c>
      <c r="N2" s="313">
        <v>44531</v>
      </c>
      <c r="O2" s="314" t="s">
        <v>18</v>
      </c>
      <c r="P2" s="352">
        <v>44562</v>
      </c>
      <c r="Q2" s="352">
        <v>44593</v>
      </c>
      <c r="R2" s="352">
        <v>44621</v>
      </c>
      <c r="S2" s="352">
        <v>44652</v>
      </c>
      <c r="T2" s="352">
        <v>44682</v>
      </c>
      <c r="U2" s="352">
        <v>44713</v>
      </c>
      <c r="V2" s="352">
        <v>44743</v>
      </c>
      <c r="W2" s="352">
        <v>44774</v>
      </c>
      <c r="X2" s="352">
        <v>44805</v>
      </c>
      <c r="Y2" s="352">
        <v>44835</v>
      </c>
      <c r="Z2" s="352">
        <v>44866</v>
      </c>
      <c r="AA2" s="352">
        <v>44896</v>
      </c>
      <c r="AB2" s="352" t="s">
        <v>19</v>
      </c>
      <c r="AC2" s="352">
        <v>44949</v>
      </c>
      <c r="AD2" s="352">
        <v>44980</v>
      </c>
      <c r="AE2" s="352">
        <v>45008</v>
      </c>
      <c r="AF2" s="352">
        <v>45039</v>
      </c>
      <c r="AG2" s="352">
        <v>45069</v>
      </c>
      <c r="AH2" s="352">
        <v>45100</v>
      </c>
    </row>
    <row r="3" spans="1:34" s="166" customFormat="1" ht="15">
      <c r="A3" s="165" t="s">
        <v>239</v>
      </c>
      <c r="B3" s="316">
        <f t="shared" ref="B3:AG3" si="0">B4+B7</f>
        <v>70190209</v>
      </c>
      <c r="C3" s="316">
        <f t="shared" si="0"/>
        <v>0</v>
      </c>
      <c r="D3" s="316">
        <f t="shared" si="0"/>
        <v>0</v>
      </c>
      <c r="E3" s="316">
        <f t="shared" si="0"/>
        <v>0</v>
      </c>
      <c r="F3" s="316">
        <f t="shared" si="0"/>
        <v>0</v>
      </c>
      <c r="G3" s="316">
        <f t="shared" si="0"/>
        <v>0</v>
      </c>
      <c r="H3" s="316">
        <f t="shared" si="0"/>
        <v>0</v>
      </c>
      <c r="I3" s="316">
        <f t="shared" si="0"/>
        <v>0</v>
      </c>
      <c r="J3" s="316">
        <f t="shared" si="0"/>
        <v>0</v>
      </c>
      <c r="K3" s="316">
        <f t="shared" si="0"/>
        <v>0</v>
      </c>
      <c r="L3" s="316">
        <f t="shared" si="0"/>
        <v>0</v>
      </c>
      <c r="M3" s="316">
        <f t="shared" si="0"/>
        <v>0</v>
      </c>
      <c r="N3" s="316">
        <f t="shared" si="0"/>
        <v>0</v>
      </c>
      <c r="O3" s="323">
        <f t="shared" si="0"/>
        <v>78617087</v>
      </c>
      <c r="P3" s="323">
        <f t="shared" si="0"/>
        <v>6031784.1299999999</v>
      </c>
      <c r="Q3" s="323">
        <f t="shared" si="0"/>
        <v>11969704.1</v>
      </c>
      <c r="R3" s="323">
        <f t="shared" si="0"/>
        <v>21372316.899999999</v>
      </c>
      <c r="S3" s="323">
        <f t="shared" si="0"/>
        <v>28534880.890000001</v>
      </c>
      <c r="T3" s="323">
        <f t="shared" si="0"/>
        <v>36880161.310000002</v>
      </c>
      <c r="U3" s="323">
        <f t="shared" si="0"/>
        <v>44853955.030000001</v>
      </c>
      <c r="V3" s="323">
        <f t="shared" si="0"/>
        <v>52377134.549999997</v>
      </c>
      <c r="W3" s="323">
        <f t="shared" si="0"/>
        <v>60383198.959999993</v>
      </c>
      <c r="X3" s="323">
        <f t="shared" si="0"/>
        <v>68778642.689999998</v>
      </c>
      <c r="Y3" s="323">
        <f t="shared" si="0"/>
        <v>76916927.49000001</v>
      </c>
      <c r="Z3" s="323">
        <f t="shared" si="0"/>
        <v>85554054.979999989</v>
      </c>
      <c r="AA3" s="323">
        <f t="shared" si="0"/>
        <v>93221631.840000004</v>
      </c>
      <c r="AB3" s="323">
        <f t="shared" si="0"/>
        <v>95259052</v>
      </c>
      <c r="AC3" s="323">
        <f t="shared" si="0"/>
        <v>7977036.0299999993</v>
      </c>
      <c r="AD3" s="323">
        <f t="shared" si="0"/>
        <v>15779394.59</v>
      </c>
      <c r="AE3" s="323">
        <f t="shared" si="0"/>
        <v>26751289.770000003</v>
      </c>
      <c r="AF3" s="323">
        <f t="shared" si="0"/>
        <v>35680760.380000003</v>
      </c>
      <c r="AG3" s="323">
        <f t="shared" ref="AG3:AH3" si="1">AG4+AG7</f>
        <v>44740100.07</v>
      </c>
      <c r="AH3" s="323">
        <f t="shared" si="1"/>
        <v>52767997.129999995</v>
      </c>
    </row>
    <row r="4" spans="1:34" s="167" customFormat="1" ht="15">
      <c r="A4" s="161" t="s">
        <v>240</v>
      </c>
      <c r="B4" s="316">
        <f t="shared" ref="B4:M4" si="2">SUM(B5:B6)</f>
        <v>51495458</v>
      </c>
      <c r="C4" s="316">
        <f t="shared" si="2"/>
        <v>0</v>
      </c>
      <c r="D4" s="316">
        <f t="shared" si="2"/>
        <v>0</v>
      </c>
      <c r="E4" s="316">
        <f t="shared" si="2"/>
        <v>0</v>
      </c>
      <c r="F4" s="316">
        <f t="shared" si="2"/>
        <v>0</v>
      </c>
      <c r="G4" s="316">
        <f t="shared" si="2"/>
        <v>0</v>
      </c>
      <c r="H4" s="316">
        <f t="shared" si="2"/>
        <v>0</v>
      </c>
      <c r="I4" s="316">
        <f t="shared" si="2"/>
        <v>0</v>
      </c>
      <c r="J4" s="316">
        <f t="shared" si="2"/>
        <v>0</v>
      </c>
      <c r="K4" s="316">
        <f t="shared" si="2"/>
        <v>0</v>
      </c>
      <c r="L4" s="316">
        <f t="shared" si="2"/>
        <v>0</v>
      </c>
      <c r="M4" s="316">
        <f t="shared" si="2"/>
        <v>0</v>
      </c>
      <c r="N4" s="316">
        <f>SUM(N5:N6)</f>
        <v>0</v>
      </c>
      <c r="O4" s="323">
        <f>SUM(O5:O6)</f>
        <v>56513335</v>
      </c>
      <c r="P4" s="323">
        <f t="shared" ref="P4:AG4" si="3">SUM(P5:P6)</f>
        <v>4384967.66</v>
      </c>
      <c r="Q4" s="323">
        <f t="shared" si="3"/>
        <v>8800268.3499999996</v>
      </c>
      <c r="R4" s="323">
        <f t="shared" si="3"/>
        <v>14389166.959999999</v>
      </c>
      <c r="S4" s="323">
        <f t="shared" si="3"/>
        <v>19342204.920000002</v>
      </c>
      <c r="T4" s="323">
        <f t="shared" si="3"/>
        <v>24940674.48</v>
      </c>
      <c r="U4" s="323">
        <f t="shared" si="3"/>
        <v>30210830.129999999</v>
      </c>
      <c r="V4" s="323">
        <f t="shared" si="3"/>
        <v>34882263.049999997</v>
      </c>
      <c r="W4" s="323">
        <f t="shared" si="3"/>
        <v>40096699.979999997</v>
      </c>
      <c r="X4" s="323">
        <f t="shared" si="3"/>
        <v>45403660.939999998</v>
      </c>
      <c r="Y4" s="323">
        <f t="shared" si="3"/>
        <v>50768107.060000002</v>
      </c>
      <c r="Z4" s="323">
        <f t="shared" si="3"/>
        <v>57112318.619999997</v>
      </c>
      <c r="AA4" s="323">
        <f t="shared" si="3"/>
        <v>62218173.810000002</v>
      </c>
      <c r="AB4" s="323">
        <f t="shared" si="3"/>
        <v>64179314</v>
      </c>
      <c r="AC4" s="323">
        <f t="shared" si="3"/>
        <v>5394587.5</v>
      </c>
      <c r="AD4" s="323">
        <f t="shared" si="3"/>
        <v>10726366.300000001</v>
      </c>
      <c r="AE4" s="323">
        <f t="shared" si="3"/>
        <v>17604779.440000001</v>
      </c>
      <c r="AF4" s="323">
        <f t="shared" si="3"/>
        <v>23155960.800000001</v>
      </c>
      <c r="AG4" s="323">
        <f t="shared" ref="AG4:AH4" si="4">SUM(AG5:AG6)</f>
        <v>29063561.870000001</v>
      </c>
      <c r="AH4" s="323">
        <f t="shared" si="4"/>
        <v>34764522.68</v>
      </c>
    </row>
    <row r="5" spans="1:34" ht="15">
      <c r="A5" s="162" t="s">
        <v>241</v>
      </c>
      <c r="B5" s="204">
        <v>51495458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322">
        <v>56513335</v>
      </c>
      <c r="P5" s="164">
        <v>3844004.84</v>
      </c>
      <c r="Q5" s="164">
        <v>7729784.0199999996</v>
      </c>
      <c r="R5" s="164">
        <v>12404707.26</v>
      </c>
      <c r="S5" s="164">
        <v>16487319.23</v>
      </c>
      <c r="T5" s="164">
        <v>21025977.41</v>
      </c>
      <c r="U5" s="164">
        <v>25467928</v>
      </c>
      <c r="V5" s="164">
        <v>29342409.120000001</v>
      </c>
      <c r="W5" s="164">
        <v>33417144.27</v>
      </c>
      <c r="X5" s="360">
        <v>37362424.460000001</v>
      </c>
      <c r="Y5" s="360">
        <v>41867081.109999999</v>
      </c>
      <c r="Z5" s="360">
        <v>47562960.899999999</v>
      </c>
      <c r="AA5" s="360">
        <v>52071648.270000003</v>
      </c>
      <c r="AB5" s="297">
        <f>64179314</f>
        <v>64179314</v>
      </c>
      <c r="AC5" s="371">
        <v>4358170.55</v>
      </c>
      <c r="AD5" s="373">
        <v>8758899.3000000007</v>
      </c>
      <c r="AE5" s="373">
        <v>14837953.08</v>
      </c>
      <c r="AF5" s="373">
        <v>19550528.640000001</v>
      </c>
      <c r="AG5" s="371">
        <v>24111293.84</v>
      </c>
      <c r="AH5" s="417">
        <v>28823119.52</v>
      </c>
    </row>
    <row r="6" spans="1:34" ht="15">
      <c r="A6" s="162" t="s">
        <v>242</v>
      </c>
      <c r="B6" s="20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326"/>
      <c r="P6" s="164">
        <v>540962.81999999995</v>
      </c>
      <c r="Q6" s="164">
        <v>1070484.33</v>
      </c>
      <c r="R6" s="164">
        <v>1984459.7</v>
      </c>
      <c r="S6" s="164">
        <v>2854885.69</v>
      </c>
      <c r="T6" s="164">
        <v>3914697.07</v>
      </c>
      <c r="U6" s="164">
        <v>4742902.13</v>
      </c>
      <c r="V6" s="164">
        <v>5539853.9299999997</v>
      </c>
      <c r="W6" s="164">
        <v>6679555.71</v>
      </c>
      <c r="X6" s="360">
        <v>8041236.4800000004</v>
      </c>
      <c r="Y6" s="360">
        <v>8901025.9499999993</v>
      </c>
      <c r="Z6" s="360">
        <v>9549357.7200000007</v>
      </c>
      <c r="AA6" s="360">
        <v>10146525.539999999</v>
      </c>
      <c r="AB6" s="297"/>
      <c r="AC6" s="375">
        <v>1036416.95</v>
      </c>
      <c r="AD6" s="377">
        <v>1967467</v>
      </c>
      <c r="AE6" s="377">
        <v>2766826.36</v>
      </c>
      <c r="AF6" s="377">
        <v>3605432.16</v>
      </c>
      <c r="AG6" s="375">
        <v>4952268.03</v>
      </c>
      <c r="AH6" s="419">
        <v>5941403.1600000001</v>
      </c>
    </row>
    <row r="7" spans="1:34" s="167" customFormat="1" ht="15">
      <c r="A7" s="161" t="s">
        <v>243</v>
      </c>
      <c r="B7" s="316">
        <f t="shared" ref="B7:AH7" si="5">SUM(B8:B11)</f>
        <v>18694751</v>
      </c>
      <c r="C7" s="316">
        <f t="shared" si="5"/>
        <v>0</v>
      </c>
      <c r="D7" s="316">
        <f t="shared" si="5"/>
        <v>0</v>
      </c>
      <c r="E7" s="316">
        <f t="shared" si="5"/>
        <v>0</v>
      </c>
      <c r="F7" s="316">
        <f t="shared" si="5"/>
        <v>0</v>
      </c>
      <c r="G7" s="316">
        <f t="shared" si="5"/>
        <v>0</v>
      </c>
      <c r="H7" s="316">
        <f t="shared" si="5"/>
        <v>0</v>
      </c>
      <c r="I7" s="316">
        <f t="shared" si="5"/>
        <v>0</v>
      </c>
      <c r="J7" s="316">
        <f t="shared" si="5"/>
        <v>0</v>
      </c>
      <c r="K7" s="316">
        <f t="shared" si="5"/>
        <v>0</v>
      </c>
      <c r="L7" s="316">
        <f t="shared" si="5"/>
        <v>0</v>
      </c>
      <c r="M7" s="316">
        <f t="shared" si="5"/>
        <v>0</v>
      </c>
      <c r="N7" s="316">
        <f t="shared" si="5"/>
        <v>0</v>
      </c>
      <c r="O7" s="323">
        <f t="shared" si="5"/>
        <v>22103752</v>
      </c>
      <c r="P7" s="323">
        <f t="shared" si="5"/>
        <v>1646816.47</v>
      </c>
      <c r="Q7" s="323">
        <f t="shared" si="5"/>
        <v>3169435.75</v>
      </c>
      <c r="R7" s="323">
        <f t="shared" si="5"/>
        <v>6983149.9399999995</v>
      </c>
      <c r="S7" s="323">
        <f t="shared" si="5"/>
        <v>9192675.9700000007</v>
      </c>
      <c r="T7" s="323">
        <f t="shared" si="5"/>
        <v>11939486.83</v>
      </c>
      <c r="U7" s="323">
        <f t="shared" si="5"/>
        <v>14643124.9</v>
      </c>
      <c r="V7" s="323">
        <f t="shared" si="5"/>
        <v>17494871.5</v>
      </c>
      <c r="W7" s="323">
        <f t="shared" si="5"/>
        <v>20286498.98</v>
      </c>
      <c r="X7" s="323">
        <f t="shared" si="5"/>
        <v>23374981.75</v>
      </c>
      <c r="Y7" s="323">
        <f t="shared" si="5"/>
        <v>26148820.43</v>
      </c>
      <c r="Z7" s="323">
        <f t="shared" si="5"/>
        <v>28441736.359999999</v>
      </c>
      <c r="AA7" s="323">
        <f t="shared" si="5"/>
        <v>31003458.029999997</v>
      </c>
      <c r="AB7" s="323">
        <f t="shared" si="5"/>
        <v>31079738</v>
      </c>
      <c r="AC7" s="323">
        <f t="shared" si="5"/>
        <v>2582448.5299999998</v>
      </c>
      <c r="AD7" s="323">
        <f t="shared" si="5"/>
        <v>5053028.29</v>
      </c>
      <c r="AE7" s="323">
        <f t="shared" si="5"/>
        <v>9146510.3300000001</v>
      </c>
      <c r="AF7" s="323">
        <f t="shared" si="5"/>
        <v>12524799.58</v>
      </c>
      <c r="AG7" s="323">
        <f t="shared" si="5"/>
        <v>15676538.200000001</v>
      </c>
      <c r="AH7" s="323">
        <f t="shared" si="5"/>
        <v>18003474.449999999</v>
      </c>
    </row>
    <row r="8" spans="1:34" ht="15">
      <c r="A8" s="162" t="s">
        <v>244</v>
      </c>
      <c r="B8" s="317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04"/>
      <c r="P8" s="164">
        <v>0</v>
      </c>
      <c r="Q8" s="164">
        <v>0</v>
      </c>
      <c r="R8" s="164">
        <v>0</v>
      </c>
      <c r="S8" s="164">
        <v>0</v>
      </c>
      <c r="T8" s="164">
        <v>0</v>
      </c>
      <c r="U8" s="164">
        <v>0</v>
      </c>
      <c r="V8" s="164">
        <v>0</v>
      </c>
      <c r="W8" s="164">
        <v>0</v>
      </c>
      <c r="X8" s="360">
        <v>0</v>
      </c>
      <c r="Y8" s="360">
        <v>0</v>
      </c>
      <c r="Z8" s="360">
        <v>0</v>
      </c>
      <c r="AA8" s="360">
        <v>0</v>
      </c>
      <c r="AB8" s="297"/>
      <c r="AC8" s="370">
        <v>0</v>
      </c>
      <c r="AD8" s="372">
        <v>0</v>
      </c>
      <c r="AE8" s="372">
        <v>0</v>
      </c>
      <c r="AF8" s="372">
        <v>0</v>
      </c>
      <c r="AG8" s="370">
        <v>0</v>
      </c>
      <c r="AH8" s="416">
        <v>0</v>
      </c>
    </row>
    <row r="9" spans="1:34" ht="15">
      <c r="A9" s="162" t="s">
        <v>245</v>
      </c>
      <c r="B9" s="317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04"/>
      <c r="P9" s="164">
        <v>7670.96</v>
      </c>
      <c r="Q9" s="164">
        <v>119595.92</v>
      </c>
      <c r="R9" s="164">
        <v>119595.92</v>
      </c>
      <c r="S9" s="164">
        <v>119595.92</v>
      </c>
      <c r="T9" s="164">
        <v>119595.92</v>
      </c>
      <c r="U9" s="164">
        <v>119595.92</v>
      </c>
      <c r="V9" s="164">
        <v>256308.42</v>
      </c>
      <c r="W9" s="164">
        <v>256308.42</v>
      </c>
      <c r="X9" s="360">
        <v>509240.93</v>
      </c>
      <c r="Y9" s="360">
        <v>943568.04</v>
      </c>
      <c r="Z9" s="360">
        <v>948949.95</v>
      </c>
      <c r="AA9" s="360">
        <v>952893.95</v>
      </c>
      <c r="AB9" s="297"/>
      <c r="AC9" s="375">
        <v>14834.59</v>
      </c>
      <c r="AD9" s="377">
        <v>38322.080000000002</v>
      </c>
      <c r="AE9" s="377">
        <v>38322.080000000002</v>
      </c>
      <c r="AF9" s="377">
        <v>113571.56</v>
      </c>
      <c r="AG9" s="375">
        <v>180968.39</v>
      </c>
      <c r="AH9" s="419">
        <v>180968.39</v>
      </c>
    </row>
    <row r="10" spans="1:34" ht="29.25">
      <c r="A10" s="162" t="s">
        <v>246</v>
      </c>
      <c r="B10" s="317">
        <v>1628170</v>
      </c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327">
        <v>1064174</v>
      </c>
      <c r="P10" s="164">
        <v>0</v>
      </c>
      <c r="Q10" s="164">
        <v>0</v>
      </c>
      <c r="R10" s="164">
        <v>0</v>
      </c>
      <c r="S10" s="164">
        <v>0</v>
      </c>
      <c r="T10" s="164">
        <v>0</v>
      </c>
      <c r="U10" s="164">
        <v>0</v>
      </c>
      <c r="V10" s="164">
        <v>0</v>
      </c>
      <c r="W10" s="164">
        <v>0</v>
      </c>
      <c r="X10" s="360">
        <v>0</v>
      </c>
      <c r="Y10" s="360">
        <v>0</v>
      </c>
      <c r="Z10" s="360">
        <v>0</v>
      </c>
      <c r="AA10" s="360">
        <v>0</v>
      </c>
      <c r="AB10" s="297">
        <f>1088762</f>
        <v>1088762</v>
      </c>
      <c r="AC10" s="374">
        <v>0</v>
      </c>
      <c r="AD10" s="376">
        <v>0</v>
      </c>
      <c r="AE10" s="376">
        <v>0</v>
      </c>
      <c r="AF10" s="376">
        <v>0</v>
      </c>
      <c r="AG10" s="374">
        <v>0</v>
      </c>
      <c r="AH10" s="418">
        <v>0</v>
      </c>
    </row>
    <row r="11" spans="1:34" ht="29.25">
      <c r="A11" s="162" t="s">
        <v>247</v>
      </c>
      <c r="B11" s="317">
        <v>17066581</v>
      </c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327">
        <v>21039578</v>
      </c>
      <c r="P11" s="164">
        <v>1639145.51</v>
      </c>
      <c r="Q11" s="164">
        <v>3049839.83</v>
      </c>
      <c r="R11" s="164">
        <v>6863554.0199999996</v>
      </c>
      <c r="S11" s="164">
        <v>9073080.0500000007</v>
      </c>
      <c r="T11" s="164">
        <v>11819890.91</v>
      </c>
      <c r="U11" s="164">
        <v>14523528.98</v>
      </c>
      <c r="V11" s="164">
        <v>17238563.079999998</v>
      </c>
      <c r="W11" s="164">
        <v>20030190.559999999</v>
      </c>
      <c r="X11" s="361">
        <v>22865740.82</v>
      </c>
      <c r="Y11" s="361">
        <v>25205252.390000001</v>
      </c>
      <c r="Z11" s="361">
        <v>27492786.41</v>
      </c>
      <c r="AA11" s="361">
        <v>30050564.079999998</v>
      </c>
      <c r="AB11" s="297">
        <f>29990976</f>
        <v>29990976</v>
      </c>
      <c r="AC11" s="375">
        <v>2567613.94</v>
      </c>
      <c r="AD11" s="377">
        <v>5014706.21</v>
      </c>
      <c r="AE11" s="377">
        <v>9108188.25</v>
      </c>
      <c r="AF11" s="377">
        <v>12411228.02</v>
      </c>
      <c r="AG11" s="417">
        <v>15495569.810000001</v>
      </c>
      <c r="AH11" s="419">
        <v>17822506.059999999</v>
      </c>
    </row>
    <row r="12" spans="1:34" s="167" customFormat="1" ht="15">
      <c r="A12" s="161" t="s">
        <v>248</v>
      </c>
      <c r="B12" s="316">
        <f t="shared" ref="B12:AH12" si="6">B13+B14+B15+B16+B17+B18</f>
        <v>15952622</v>
      </c>
      <c r="C12" s="316">
        <f t="shared" si="6"/>
        <v>0</v>
      </c>
      <c r="D12" s="316">
        <f t="shared" si="6"/>
        <v>0</v>
      </c>
      <c r="E12" s="316">
        <f t="shared" si="6"/>
        <v>0</v>
      </c>
      <c r="F12" s="316">
        <f t="shared" si="6"/>
        <v>0</v>
      </c>
      <c r="G12" s="316">
        <f t="shared" si="6"/>
        <v>0</v>
      </c>
      <c r="H12" s="316">
        <f t="shared" si="6"/>
        <v>0</v>
      </c>
      <c r="I12" s="316">
        <f t="shared" si="6"/>
        <v>0</v>
      </c>
      <c r="J12" s="316">
        <f t="shared" si="6"/>
        <v>0</v>
      </c>
      <c r="K12" s="316">
        <f t="shared" si="6"/>
        <v>0</v>
      </c>
      <c r="L12" s="316">
        <f t="shared" si="6"/>
        <v>0</v>
      </c>
      <c r="M12" s="316">
        <f t="shared" si="6"/>
        <v>0</v>
      </c>
      <c r="N12" s="316">
        <f t="shared" si="6"/>
        <v>0</v>
      </c>
      <c r="O12" s="323">
        <f t="shared" si="6"/>
        <v>16158566</v>
      </c>
      <c r="P12" s="323">
        <f t="shared" si="6"/>
        <v>43233.599999999999</v>
      </c>
      <c r="Q12" s="323">
        <f t="shared" si="6"/>
        <v>98778</v>
      </c>
      <c r="R12" s="323">
        <f t="shared" si="6"/>
        <v>341735.97</v>
      </c>
      <c r="S12" s="323">
        <f t="shared" si="6"/>
        <v>548815.16999999993</v>
      </c>
      <c r="T12" s="323">
        <f t="shared" si="6"/>
        <v>829888.73</v>
      </c>
      <c r="U12" s="323">
        <f t="shared" si="6"/>
        <v>1598541.08</v>
      </c>
      <c r="V12" s="323">
        <f t="shared" si="6"/>
        <v>1779583.72</v>
      </c>
      <c r="W12" s="323">
        <f t="shared" si="6"/>
        <v>1853442.93</v>
      </c>
      <c r="X12" s="323">
        <f t="shared" si="6"/>
        <v>2206095.9300000002</v>
      </c>
      <c r="Y12" s="323">
        <f t="shared" si="6"/>
        <v>2513937.81</v>
      </c>
      <c r="Z12" s="323">
        <f t="shared" si="6"/>
        <v>2819110.31</v>
      </c>
      <c r="AA12" s="323">
        <f t="shared" si="6"/>
        <v>2977583.11</v>
      </c>
      <c r="AB12" s="323">
        <f t="shared" si="6"/>
        <v>19467786</v>
      </c>
      <c r="AC12" s="323">
        <f t="shared" si="6"/>
        <v>52883.57</v>
      </c>
      <c r="AD12" s="323">
        <f t="shared" si="6"/>
        <v>201114.71</v>
      </c>
      <c r="AE12" s="323">
        <f t="shared" si="6"/>
        <v>707384.84</v>
      </c>
      <c r="AF12" s="323">
        <f t="shared" si="6"/>
        <v>1142101.79</v>
      </c>
      <c r="AG12" s="323">
        <f t="shared" si="6"/>
        <v>1584117.8</v>
      </c>
      <c r="AH12" s="323">
        <f t="shared" si="6"/>
        <v>1801854.81</v>
      </c>
    </row>
    <row r="13" spans="1:34" ht="15">
      <c r="A13" s="162" t="s">
        <v>249</v>
      </c>
      <c r="B13" s="317">
        <v>13316672</v>
      </c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327">
        <v>15883566</v>
      </c>
      <c r="P13" s="164">
        <v>0</v>
      </c>
      <c r="Q13" s="164">
        <v>0</v>
      </c>
      <c r="R13" s="164">
        <v>0</v>
      </c>
      <c r="S13" s="164">
        <v>3089</v>
      </c>
      <c r="T13" s="164">
        <v>3089</v>
      </c>
      <c r="U13" s="164">
        <v>3089</v>
      </c>
      <c r="V13" s="164">
        <v>3089</v>
      </c>
      <c r="W13" s="164">
        <v>3089</v>
      </c>
      <c r="X13" s="360">
        <v>3089</v>
      </c>
      <c r="Y13" s="360">
        <v>3089</v>
      </c>
      <c r="Z13" s="360">
        <v>3089</v>
      </c>
      <c r="AA13" s="360">
        <v>3089</v>
      </c>
      <c r="AB13" s="297">
        <f>17933530</f>
        <v>17933530</v>
      </c>
      <c r="AC13" s="370">
        <v>0</v>
      </c>
      <c r="AD13" s="372">
        <v>0</v>
      </c>
      <c r="AE13" s="372">
        <v>0</v>
      </c>
      <c r="AF13" s="373">
        <v>2754.04</v>
      </c>
      <c r="AG13" s="371">
        <v>2814.04</v>
      </c>
      <c r="AH13" s="417">
        <v>2814.04</v>
      </c>
    </row>
    <row r="14" spans="1:34" ht="15">
      <c r="A14" s="162" t="s">
        <v>250</v>
      </c>
      <c r="B14" s="317">
        <v>2635950</v>
      </c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327">
        <v>275000</v>
      </c>
      <c r="P14" s="164">
        <v>37500</v>
      </c>
      <c r="Q14" s="164">
        <v>75000</v>
      </c>
      <c r="R14" s="164">
        <v>112500</v>
      </c>
      <c r="S14" s="164">
        <v>150000</v>
      </c>
      <c r="T14" s="164">
        <v>150000</v>
      </c>
      <c r="U14" s="164">
        <v>777300</v>
      </c>
      <c r="V14" s="164">
        <v>923150.74</v>
      </c>
      <c r="W14" s="164">
        <v>923150.74</v>
      </c>
      <c r="X14" s="360">
        <v>1211643.33</v>
      </c>
      <c r="Y14" s="360">
        <v>1345660.95</v>
      </c>
      <c r="Z14" s="360">
        <v>1464349.95</v>
      </c>
      <c r="AA14" s="360">
        <v>1583038.95</v>
      </c>
      <c r="AB14" s="297">
        <v>1534256</v>
      </c>
      <c r="AC14" s="375">
        <v>43480.17</v>
      </c>
      <c r="AD14" s="377">
        <v>114691.45</v>
      </c>
      <c r="AE14" s="377">
        <v>616987.57999999996</v>
      </c>
      <c r="AF14" s="377">
        <v>810663.95</v>
      </c>
      <c r="AG14" s="375">
        <v>1162908.29</v>
      </c>
      <c r="AH14" s="419">
        <v>1351914.3</v>
      </c>
    </row>
    <row r="15" spans="1:34" ht="15">
      <c r="A15" s="162" t="s">
        <v>251</v>
      </c>
      <c r="B15" s="318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324"/>
      <c r="P15" s="164">
        <v>0</v>
      </c>
      <c r="Q15" s="321">
        <v>0</v>
      </c>
      <c r="R15" s="164">
        <v>0</v>
      </c>
      <c r="S15" s="164">
        <v>0</v>
      </c>
      <c r="T15" s="164">
        <v>0</v>
      </c>
      <c r="U15" s="164">
        <v>0</v>
      </c>
      <c r="V15" s="164">
        <v>0</v>
      </c>
      <c r="W15" s="164">
        <v>0</v>
      </c>
      <c r="X15" s="360">
        <v>0</v>
      </c>
      <c r="Y15" s="360">
        <v>0</v>
      </c>
      <c r="Z15" s="360">
        <v>0</v>
      </c>
      <c r="AA15" s="360">
        <v>0</v>
      </c>
      <c r="AB15" s="297"/>
      <c r="AC15" s="374">
        <v>0</v>
      </c>
      <c r="AD15" s="376">
        <v>0</v>
      </c>
      <c r="AE15" s="376">
        <v>0</v>
      </c>
      <c r="AF15" s="376">
        <v>0</v>
      </c>
      <c r="AG15" s="374">
        <v>0</v>
      </c>
      <c r="AH15" s="418">
        <v>0</v>
      </c>
    </row>
    <row r="16" spans="1:34" ht="15">
      <c r="A16" s="162" t="s">
        <v>252</v>
      </c>
      <c r="B16" s="317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326"/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  <c r="X16" s="360">
        <v>0</v>
      </c>
      <c r="Y16" s="360">
        <v>0</v>
      </c>
      <c r="Z16" s="360">
        <v>0</v>
      </c>
      <c r="AA16" s="360">
        <v>0</v>
      </c>
      <c r="AB16" s="297"/>
      <c r="AC16" s="374">
        <v>0</v>
      </c>
      <c r="AD16" s="376">
        <v>0</v>
      </c>
      <c r="AE16" s="376">
        <v>0</v>
      </c>
      <c r="AF16" s="376">
        <v>0</v>
      </c>
      <c r="AG16" s="374">
        <v>0</v>
      </c>
      <c r="AH16" s="418">
        <v>0</v>
      </c>
    </row>
    <row r="17" spans="1:34" ht="15">
      <c r="A17" s="162" t="s">
        <v>253</v>
      </c>
      <c r="B17" s="319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325"/>
      <c r="P17" s="164">
        <v>5733.6</v>
      </c>
      <c r="Q17" s="164">
        <v>23778</v>
      </c>
      <c r="R17" s="164">
        <v>229235.97</v>
      </c>
      <c r="S17" s="164">
        <v>395726.17</v>
      </c>
      <c r="T17" s="164">
        <v>676799.73</v>
      </c>
      <c r="U17" s="164">
        <v>818152.08</v>
      </c>
      <c r="V17" s="164">
        <v>853343.98</v>
      </c>
      <c r="W17" s="164">
        <v>927203.19</v>
      </c>
      <c r="X17" s="360">
        <v>991363.6</v>
      </c>
      <c r="Y17" s="360">
        <v>1165187.8600000001</v>
      </c>
      <c r="Z17" s="360">
        <v>1351671.36</v>
      </c>
      <c r="AA17" s="360">
        <v>1391455.16</v>
      </c>
      <c r="AB17" s="297"/>
      <c r="AC17" s="375">
        <v>9403.4</v>
      </c>
      <c r="AD17" s="377">
        <v>86423.26</v>
      </c>
      <c r="AE17" s="377">
        <v>90397.26</v>
      </c>
      <c r="AF17" s="377">
        <v>328683.8</v>
      </c>
      <c r="AG17" s="375">
        <v>418395.47</v>
      </c>
      <c r="AH17" s="419">
        <v>447126.47</v>
      </c>
    </row>
    <row r="18" spans="1:34" ht="15">
      <c r="A18" s="162" t="s">
        <v>254</v>
      </c>
      <c r="B18" s="319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325"/>
      <c r="P18" s="164">
        <v>0</v>
      </c>
      <c r="Q18" s="164">
        <v>0</v>
      </c>
      <c r="R18" s="164">
        <v>0</v>
      </c>
      <c r="S18" s="164">
        <v>0</v>
      </c>
      <c r="T18" s="164">
        <v>0</v>
      </c>
      <c r="U18" s="164">
        <v>0</v>
      </c>
      <c r="V18" s="164">
        <v>0</v>
      </c>
      <c r="W18" s="164">
        <v>0</v>
      </c>
      <c r="X18" s="360">
        <v>0</v>
      </c>
      <c r="Y18" s="360">
        <v>0</v>
      </c>
      <c r="Z18" s="360">
        <v>0</v>
      </c>
      <c r="AA18" s="360">
        <v>0</v>
      </c>
      <c r="AB18" s="297"/>
      <c r="AC18" s="374">
        <v>0</v>
      </c>
      <c r="AD18" s="376">
        <v>0</v>
      </c>
      <c r="AE18" s="376">
        <v>0</v>
      </c>
      <c r="AF18" s="376">
        <v>0</v>
      </c>
      <c r="AG18" s="374">
        <v>0</v>
      </c>
      <c r="AH18" s="418">
        <v>0</v>
      </c>
    </row>
    <row r="19" spans="1:34" s="167" customFormat="1" ht="15">
      <c r="A19" s="161" t="s">
        <v>255</v>
      </c>
      <c r="B19" s="316">
        <f t="shared" ref="B19:AG19" si="7">B3-B12</f>
        <v>54237587</v>
      </c>
      <c r="C19" s="316">
        <f t="shared" si="7"/>
        <v>0</v>
      </c>
      <c r="D19" s="316">
        <f t="shared" si="7"/>
        <v>0</v>
      </c>
      <c r="E19" s="316">
        <f t="shared" si="7"/>
        <v>0</v>
      </c>
      <c r="F19" s="316">
        <f t="shared" si="7"/>
        <v>0</v>
      </c>
      <c r="G19" s="316">
        <f t="shared" si="7"/>
        <v>0</v>
      </c>
      <c r="H19" s="316">
        <f t="shared" si="7"/>
        <v>0</v>
      </c>
      <c r="I19" s="316">
        <f t="shared" si="7"/>
        <v>0</v>
      </c>
      <c r="J19" s="316">
        <f t="shared" si="7"/>
        <v>0</v>
      </c>
      <c r="K19" s="316">
        <f t="shared" si="7"/>
        <v>0</v>
      </c>
      <c r="L19" s="316">
        <f t="shared" si="7"/>
        <v>0</v>
      </c>
      <c r="M19" s="316">
        <f t="shared" si="7"/>
        <v>0</v>
      </c>
      <c r="N19" s="316">
        <f t="shared" si="7"/>
        <v>0</v>
      </c>
      <c r="O19" s="323">
        <f t="shared" si="7"/>
        <v>62458521</v>
      </c>
      <c r="P19" s="323">
        <f t="shared" si="7"/>
        <v>5988550.5300000003</v>
      </c>
      <c r="Q19" s="323">
        <f t="shared" si="7"/>
        <v>11870926.1</v>
      </c>
      <c r="R19" s="323">
        <f t="shared" si="7"/>
        <v>21030580.93</v>
      </c>
      <c r="S19" s="323">
        <f t="shared" si="7"/>
        <v>27986065.719999999</v>
      </c>
      <c r="T19" s="323">
        <f t="shared" si="7"/>
        <v>36050272.580000006</v>
      </c>
      <c r="U19" s="323">
        <f t="shared" si="7"/>
        <v>43255413.950000003</v>
      </c>
      <c r="V19" s="323">
        <f t="shared" si="7"/>
        <v>50597550.829999998</v>
      </c>
      <c r="W19" s="323">
        <f t="shared" si="7"/>
        <v>58529756.029999994</v>
      </c>
      <c r="X19" s="323">
        <f t="shared" si="7"/>
        <v>66572546.759999998</v>
      </c>
      <c r="Y19" s="323">
        <f t="shared" si="7"/>
        <v>74402989.680000007</v>
      </c>
      <c r="Z19" s="323">
        <f t="shared" si="7"/>
        <v>82734944.669999987</v>
      </c>
      <c r="AA19" s="323">
        <f t="shared" si="7"/>
        <v>90244048.730000004</v>
      </c>
      <c r="AB19" s="323">
        <f t="shared" si="7"/>
        <v>75791266</v>
      </c>
      <c r="AC19" s="323">
        <f t="shared" si="7"/>
        <v>7924152.459999999</v>
      </c>
      <c r="AD19" s="323">
        <f t="shared" si="7"/>
        <v>15578279.879999999</v>
      </c>
      <c r="AE19" s="323">
        <f t="shared" si="7"/>
        <v>26043904.930000003</v>
      </c>
      <c r="AF19" s="323">
        <f t="shared" si="7"/>
        <v>34538658.590000004</v>
      </c>
      <c r="AG19" s="323">
        <f t="shared" ref="AG19:AH19" si="8">AG3-AG12</f>
        <v>43155982.270000003</v>
      </c>
      <c r="AH19" s="323">
        <f t="shared" si="8"/>
        <v>50966142.319999993</v>
      </c>
    </row>
    <row r="20" spans="1:34" s="167" customFormat="1" ht="15">
      <c r="A20" s="161" t="s">
        <v>202</v>
      </c>
      <c r="B20" s="316">
        <f t="shared" ref="B20:AG20" si="9">B21-B22</f>
        <v>9517102</v>
      </c>
      <c r="C20" s="316">
        <f t="shared" si="9"/>
        <v>0</v>
      </c>
      <c r="D20" s="316">
        <f t="shared" si="9"/>
        <v>0</v>
      </c>
      <c r="E20" s="316">
        <f t="shared" si="9"/>
        <v>0</v>
      </c>
      <c r="F20" s="316">
        <f t="shared" si="9"/>
        <v>0</v>
      </c>
      <c r="G20" s="316">
        <f t="shared" si="9"/>
        <v>0</v>
      </c>
      <c r="H20" s="316">
        <f t="shared" si="9"/>
        <v>0</v>
      </c>
      <c r="I20" s="316">
        <f t="shared" si="9"/>
        <v>0</v>
      </c>
      <c r="J20" s="316">
        <f t="shared" si="9"/>
        <v>0</v>
      </c>
      <c r="K20" s="316">
        <f t="shared" si="9"/>
        <v>0</v>
      </c>
      <c r="L20" s="316">
        <f t="shared" si="9"/>
        <v>0</v>
      </c>
      <c r="M20" s="316">
        <f t="shared" si="9"/>
        <v>0</v>
      </c>
      <c r="N20" s="316">
        <f t="shared" si="9"/>
        <v>0</v>
      </c>
      <c r="O20" s="323">
        <f t="shared" si="9"/>
        <v>10512504</v>
      </c>
      <c r="P20" s="323">
        <f t="shared" si="9"/>
        <v>615943.97</v>
      </c>
      <c r="Q20" s="323">
        <f t="shared" si="9"/>
        <v>1227794.96</v>
      </c>
      <c r="R20" s="323">
        <f t="shared" si="9"/>
        <v>1851927.56</v>
      </c>
      <c r="S20" s="323">
        <f t="shared" si="9"/>
        <v>2475711.62</v>
      </c>
      <c r="T20" s="323">
        <f t="shared" si="9"/>
        <v>3111348.97</v>
      </c>
      <c r="U20" s="323">
        <f t="shared" si="9"/>
        <v>3751576.05</v>
      </c>
      <c r="V20" s="323">
        <f t="shared" si="9"/>
        <v>4392538.16</v>
      </c>
      <c r="W20" s="323">
        <f t="shared" si="9"/>
        <v>5049764.84</v>
      </c>
      <c r="X20" s="323">
        <f t="shared" si="9"/>
        <v>5723447.1100000003</v>
      </c>
      <c r="Y20" s="323">
        <f t="shared" si="9"/>
        <v>6403654</v>
      </c>
      <c r="Z20" s="323">
        <f t="shared" si="9"/>
        <v>7062278.8399999999</v>
      </c>
      <c r="AA20" s="323">
        <f t="shared" si="9"/>
        <v>7732792.9800000004</v>
      </c>
      <c r="AB20" s="323">
        <f t="shared" si="9"/>
        <v>7732793</v>
      </c>
      <c r="AC20" s="323">
        <f t="shared" si="9"/>
        <v>661135</v>
      </c>
      <c r="AD20" s="323">
        <f t="shared" si="9"/>
        <v>1338106.6200000001</v>
      </c>
      <c r="AE20" s="323">
        <f t="shared" si="9"/>
        <v>2009961.88</v>
      </c>
      <c r="AF20" s="323">
        <f t="shared" si="9"/>
        <v>2680808.59</v>
      </c>
      <c r="AG20" s="323">
        <f t="shared" ref="AG20:AH20" si="10">AG21-AG22</f>
        <v>3370311.97</v>
      </c>
      <c r="AH20" s="323">
        <f t="shared" si="10"/>
        <v>4057723.64</v>
      </c>
    </row>
    <row r="21" spans="1:34" ht="15">
      <c r="A21" s="162" t="s">
        <v>256</v>
      </c>
      <c r="B21" s="324">
        <v>9517102</v>
      </c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329">
        <v>10512504</v>
      </c>
      <c r="P21" s="164">
        <v>615943.97</v>
      </c>
      <c r="Q21" s="164">
        <v>1227794.96</v>
      </c>
      <c r="R21" s="164">
        <v>1851927.56</v>
      </c>
      <c r="S21" s="164">
        <v>2475711.62</v>
      </c>
      <c r="T21" s="164">
        <v>3111348.97</v>
      </c>
      <c r="U21" s="164">
        <v>3751576.05</v>
      </c>
      <c r="V21" s="164">
        <v>4392538.16</v>
      </c>
      <c r="W21" s="164">
        <v>5049764.84</v>
      </c>
      <c r="X21" s="360">
        <v>5723447.1100000003</v>
      </c>
      <c r="Y21" s="360">
        <v>6403654</v>
      </c>
      <c r="Z21" s="360">
        <v>7062278.8399999999</v>
      </c>
      <c r="AA21" s="360">
        <v>7732792.9800000004</v>
      </c>
      <c r="AB21" s="297">
        <f>7732793</f>
        <v>7732793</v>
      </c>
      <c r="AC21" s="371">
        <v>661135</v>
      </c>
      <c r="AD21" s="373">
        <v>1338106.6200000001</v>
      </c>
      <c r="AE21" s="373">
        <v>2009961.88</v>
      </c>
      <c r="AF21" s="373">
        <v>2680808.59</v>
      </c>
      <c r="AG21" s="371">
        <v>3370311.97</v>
      </c>
      <c r="AH21" s="417">
        <v>4057723.64</v>
      </c>
    </row>
    <row r="22" spans="1:34" ht="15">
      <c r="A22" s="162" t="s">
        <v>257</v>
      </c>
      <c r="B22" s="32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324"/>
      <c r="P22" s="164">
        <v>0</v>
      </c>
      <c r="Q22" s="321">
        <v>0</v>
      </c>
      <c r="R22" s="164">
        <v>0</v>
      </c>
      <c r="S22" s="164">
        <v>0</v>
      </c>
      <c r="T22" s="164">
        <v>0</v>
      </c>
      <c r="U22" s="164">
        <v>0</v>
      </c>
      <c r="V22" s="164">
        <v>0</v>
      </c>
      <c r="W22" s="164">
        <v>0</v>
      </c>
      <c r="X22" s="360">
        <v>0</v>
      </c>
      <c r="Y22" s="360">
        <v>0</v>
      </c>
      <c r="Z22" s="360">
        <v>0</v>
      </c>
      <c r="AA22" s="360">
        <v>0</v>
      </c>
      <c r="AB22" s="297"/>
      <c r="AC22" s="374">
        <v>0</v>
      </c>
      <c r="AD22" s="376">
        <v>0</v>
      </c>
      <c r="AE22" s="376">
        <v>0</v>
      </c>
      <c r="AF22" s="376">
        <v>0</v>
      </c>
      <c r="AG22" s="374">
        <v>0</v>
      </c>
      <c r="AH22" s="418">
        <v>0</v>
      </c>
    </row>
    <row r="23" spans="1:34" s="167" customFormat="1" ht="15">
      <c r="A23" s="161" t="s">
        <v>258</v>
      </c>
      <c r="B23" s="316">
        <f t="shared" ref="B23:AH23" si="11">SUM(B24:B28)</f>
        <v>39340573</v>
      </c>
      <c r="C23" s="316">
        <f t="shared" si="11"/>
        <v>0</v>
      </c>
      <c r="D23" s="316">
        <f t="shared" si="11"/>
        <v>0</v>
      </c>
      <c r="E23" s="316">
        <f t="shared" si="11"/>
        <v>0</v>
      </c>
      <c r="F23" s="316">
        <f t="shared" si="11"/>
        <v>0</v>
      </c>
      <c r="G23" s="316">
        <f t="shared" si="11"/>
        <v>0</v>
      </c>
      <c r="H23" s="316">
        <f t="shared" si="11"/>
        <v>0</v>
      </c>
      <c r="I23" s="316">
        <f t="shared" si="11"/>
        <v>0</v>
      </c>
      <c r="J23" s="316">
        <f t="shared" si="11"/>
        <v>0</v>
      </c>
      <c r="K23" s="316">
        <f t="shared" si="11"/>
        <v>0</v>
      </c>
      <c r="L23" s="316">
        <f t="shared" si="11"/>
        <v>0</v>
      </c>
      <c r="M23" s="316">
        <f t="shared" si="11"/>
        <v>0</v>
      </c>
      <c r="N23" s="316">
        <f t="shared" si="11"/>
        <v>0</v>
      </c>
      <c r="O23" s="316">
        <f t="shared" si="11"/>
        <v>42485333</v>
      </c>
      <c r="P23" s="316">
        <f t="shared" si="11"/>
        <v>4574493.05</v>
      </c>
      <c r="Q23" s="316">
        <f t="shared" si="11"/>
        <v>8475949.3100000005</v>
      </c>
      <c r="R23" s="316">
        <f t="shared" si="11"/>
        <v>14224647.879999999</v>
      </c>
      <c r="S23" s="316">
        <f t="shared" si="11"/>
        <v>18843419.300000001</v>
      </c>
      <c r="T23" s="316">
        <f t="shared" si="11"/>
        <v>22531837.969999999</v>
      </c>
      <c r="U23" s="316">
        <f t="shared" si="11"/>
        <v>27033060.369999997</v>
      </c>
      <c r="V23" s="316">
        <f t="shared" si="11"/>
        <v>31504278.77</v>
      </c>
      <c r="W23" s="316">
        <f t="shared" si="11"/>
        <v>36783457.660000004</v>
      </c>
      <c r="X23" s="316">
        <f t="shared" si="11"/>
        <v>42504463.859999999</v>
      </c>
      <c r="Y23" s="316">
        <f t="shared" si="11"/>
        <v>48327442.799999997</v>
      </c>
      <c r="Z23" s="316">
        <f t="shared" si="11"/>
        <v>53120166.479999997</v>
      </c>
      <c r="AA23" s="316">
        <f t="shared" si="11"/>
        <v>58304140.840000004</v>
      </c>
      <c r="AB23" s="316">
        <f t="shared" si="11"/>
        <v>57472387</v>
      </c>
      <c r="AC23" s="316">
        <f t="shared" si="11"/>
        <v>4761953.5600000005</v>
      </c>
      <c r="AD23" s="316">
        <f t="shared" si="11"/>
        <v>9124809.2899999991</v>
      </c>
      <c r="AE23" s="316">
        <f t="shared" si="11"/>
        <v>15902123.93</v>
      </c>
      <c r="AF23" s="316">
        <f t="shared" si="11"/>
        <v>20430081.010000002</v>
      </c>
      <c r="AG23" s="316">
        <f t="shared" si="11"/>
        <v>26229839.979999997</v>
      </c>
      <c r="AH23" s="316">
        <f t="shared" si="11"/>
        <v>32096024.280000001</v>
      </c>
    </row>
    <row r="24" spans="1:34" ht="15">
      <c r="A24" s="162" t="s">
        <v>259</v>
      </c>
      <c r="B24" s="318">
        <v>16418976</v>
      </c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327">
        <v>20376651</v>
      </c>
      <c r="P24" s="164">
        <v>1700220.35</v>
      </c>
      <c r="Q24" s="164">
        <v>3342068.91</v>
      </c>
      <c r="R24" s="164">
        <v>5225365.22</v>
      </c>
      <c r="S24" s="164">
        <v>6840226.3899999997</v>
      </c>
      <c r="T24" s="164">
        <v>8522515.25</v>
      </c>
      <c r="U24" s="164">
        <v>10339431.02</v>
      </c>
      <c r="V24" s="164">
        <v>12201731.35</v>
      </c>
      <c r="W24" s="164">
        <v>14200342.109999999</v>
      </c>
      <c r="X24" s="360">
        <v>16236069.810000001</v>
      </c>
      <c r="Y24" s="360">
        <v>18443875.530000001</v>
      </c>
      <c r="Z24" s="360">
        <v>20593638.989999998</v>
      </c>
      <c r="AA24" s="360">
        <v>23191441.199999999</v>
      </c>
      <c r="AB24" s="297">
        <f>23735441</f>
        <v>23735441</v>
      </c>
      <c r="AC24" s="371">
        <v>2090302.04</v>
      </c>
      <c r="AD24" s="373">
        <v>4394560.25</v>
      </c>
      <c r="AE24" s="373">
        <v>7006559.1799999997</v>
      </c>
      <c r="AF24" s="373">
        <v>8861279.9700000007</v>
      </c>
      <c r="AG24" s="371">
        <v>11162969.9</v>
      </c>
      <c r="AH24" s="417">
        <v>13645152.41</v>
      </c>
    </row>
    <row r="25" spans="1:34" ht="15">
      <c r="A25" s="162" t="s">
        <v>160</v>
      </c>
      <c r="B25" s="317">
        <v>2622237</v>
      </c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327">
        <v>3297054</v>
      </c>
      <c r="P25" s="164">
        <v>1003210</v>
      </c>
      <c r="Q25" s="164">
        <v>1549918</v>
      </c>
      <c r="R25" s="164">
        <v>3587658.04</v>
      </c>
      <c r="S25" s="164">
        <v>2942983</v>
      </c>
      <c r="T25" s="164">
        <v>3098113</v>
      </c>
      <c r="U25" s="164">
        <v>3331279</v>
      </c>
      <c r="V25" s="164">
        <v>4113663.53</v>
      </c>
      <c r="W25" s="164">
        <v>4469378.53</v>
      </c>
      <c r="X25" s="360">
        <v>5420652.5300000003</v>
      </c>
      <c r="Y25" s="360">
        <v>6967934.9299999997</v>
      </c>
      <c r="Z25" s="360">
        <v>7421422.3300000001</v>
      </c>
      <c r="AA25" s="360">
        <v>7563067.3300000001</v>
      </c>
      <c r="AB25" s="297">
        <f>7563067</f>
        <v>7563067</v>
      </c>
      <c r="AC25" s="375">
        <v>198550</v>
      </c>
      <c r="AD25" s="377">
        <v>574414</v>
      </c>
      <c r="AE25" s="377">
        <v>2788715.95</v>
      </c>
      <c r="AF25" s="377">
        <v>2373899</v>
      </c>
      <c r="AG25" s="375">
        <v>2501609</v>
      </c>
      <c r="AH25" s="419">
        <v>3174009</v>
      </c>
    </row>
    <row r="26" spans="1:34" ht="15">
      <c r="A26" s="162" t="s">
        <v>260</v>
      </c>
      <c r="B26" s="317">
        <v>1985051</v>
      </c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327">
        <v>1275153</v>
      </c>
      <c r="P26" s="164">
        <v>89342</v>
      </c>
      <c r="Q26" s="164">
        <v>215796</v>
      </c>
      <c r="R26" s="164">
        <v>398821</v>
      </c>
      <c r="S26" s="164">
        <v>870956</v>
      </c>
      <c r="T26" s="164">
        <v>1086256</v>
      </c>
      <c r="U26" s="164">
        <v>1402843.3</v>
      </c>
      <c r="V26" s="164">
        <v>1557253.3</v>
      </c>
      <c r="W26" s="164">
        <v>1761943.3</v>
      </c>
      <c r="X26" s="360">
        <v>2118921.34</v>
      </c>
      <c r="Y26" s="360">
        <v>2593386.34</v>
      </c>
      <c r="Z26" s="360">
        <v>3046311.34</v>
      </c>
      <c r="AA26" s="360">
        <v>3263701.34</v>
      </c>
      <c r="AB26" s="297">
        <f>2800096</f>
        <v>2800096</v>
      </c>
      <c r="AC26" s="375">
        <v>97031</v>
      </c>
      <c r="AD26" s="377">
        <v>324145</v>
      </c>
      <c r="AE26" s="377">
        <v>637980</v>
      </c>
      <c r="AF26" s="377">
        <v>865351</v>
      </c>
      <c r="AG26" s="375">
        <v>1433807</v>
      </c>
      <c r="AH26" s="419">
        <v>1883721</v>
      </c>
    </row>
    <row r="27" spans="1:34" ht="15">
      <c r="A27" s="162" t="s">
        <v>261</v>
      </c>
      <c r="B27" s="317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327"/>
      <c r="P27" s="164">
        <v>290207.19</v>
      </c>
      <c r="Q27" s="164">
        <v>580414.38</v>
      </c>
      <c r="R27" s="164">
        <v>872972.5</v>
      </c>
      <c r="S27" s="164">
        <v>1165530.6200000001</v>
      </c>
      <c r="T27" s="164">
        <v>1466473.74</v>
      </c>
      <c r="U27" s="164">
        <v>1767416.86</v>
      </c>
      <c r="V27" s="164">
        <v>2068359.98</v>
      </c>
      <c r="W27" s="164">
        <v>2369303.1</v>
      </c>
      <c r="X27" s="360">
        <v>2670246.2200000002</v>
      </c>
      <c r="Y27" s="360">
        <v>2971189.34</v>
      </c>
      <c r="Z27" s="360">
        <v>3272132.46</v>
      </c>
      <c r="AA27" s="360">
        <v>3573075.58</v>
      </c>
      <c r="AB27" s="297">
        <f>2466022</f>
        <v>2466022</v>
      </c>
      <c r="AC27" s="375">
        <v>352242.52</v>
      </c>
      <c r="AD27" s="377">
        <v>734632.54</v>
      </c>
      <c r="AE27" s="377">
        <v>1101948.81</v>
      </c>
      <c r="AF27" s="377">
        <v>1501026.76</v>
      </c>
      <c r="AG27" s="375">
        <v>1900104.71</v>
      </c>
      <c r="AH27" s="419">
        <v>2299182.66</v>
      </c>
    </row>
    <row r="28" spans="1:34" ht="15">
      <c r="A28" s="162" t="s">
        <v>159</v>
      </c>
      <c r="B28" s="317">
        <v>18314309</v>
      </c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327">
        <v>17536475</v>
      </c>
      <c r="P28" s="164">
        <v>1491513.51</v>
      </c>
      <c r="Q28" s="321">
        <v>2787752.02</v>
      </c>
      <c r="R28" s="164">
        <v>4139831.12</v>
      </c>
      <c r="S28" s="164">
        <v>7023723.29</v>
      </c>
      <c r="T28" s="164">
        <v>8358479.9800000004</v>
      </c>
      <c r="U28" s="164">
        <v>10192090.189999999</v>
      </c>
      <c r="V28" s="164">
        <v>11563270.609999999</v>
      </c>
      <c r="W28" s="164">
        <v>13982490.619999999</v>
      </c>
      <c r="X28" s="360">
        <v>16058573.960000001</v>
      </c>
      <c r="Y28" s="360">
        <v>17351056.66</v>
      </c>
      <c r="Z28" s="360">
        <v>18786661.359999999</v>
      </c>
      <c r="AA28" s="360">
        <v>20712855.390000001</v>
      </c>
      <c r="AB28" s="297">
        <f>20907761</f>
        <v>20907761</v>
      </c>
      <c r="AC28" s="375">
        <v>2023828</v>
      </c>
      <c r="AD28" s="377">
        <v>3097057.5</v>
      </c>
      <c r="AE28" s="377">
        <v>4366919.99</v>
      </c>
      <c r="AF28" s="377">
        <v>6828524.2800000003</v>
      </c>
      <c r="AG28" s="375">
        <v>9231349.3699999992</v>
      </c>
      <c r="AH28" s="419">
        <v>11093959.210000001</v>
      </c>
    </row>
    <row r="29" spans="1:34" s="167" customFormat="1" ht="15">
      <c r="A29" s="161" t="s">
        <v>262</v>
      </c>
      <c r="B29" s="316">
        <f t="shared" ref="B29:M29" si="12">B19-B20-B23</f>
        <v>5379912</v>
      </c>
      <c r="C29" s="316">
        <f t="shared" si="12"/>
        <v>0</v>
      </c>
      <c r="D29" s="316">
        <f t="shared" si="12"/>
        <v>0</v>
      </c>
      <c r="E29" s="316">
        <f t="shared" si="12"/>
        <v>0</v>
      </c>
      <c r="F29" s="316">
        <f t="shared" si="12"/>
        <v>0</v>
      </c>
      <c r="G29" s="316">
        <f t="shared" si="12"/>
        <v>0</v>
      </c>
      <c r="H29" s="316">
        <f t="shared" si="12"/>
        <v>0</v>
      </c>
      <c r="I29" s="316">
        <f t="shared" si="12"/>
        <v>0</v>
      </c>
      <c r="J29" s="316">
        <f t="shared" si="12"/>
        <v>0</v>
      </c>
      <c r="K29" s="316">
        <f t="shared" si="12"/>
        <v>0</v>
      </c>
      <c r="L29" s="316">
        <f t="shared" si="12"/>
        <v>0</v>
      </c>
      <c r="M29" s="316">
        <f t="shared" si="12"/>
        <v>0</v>
      </c>
      <c r="N29" s="316">
        <f>N19-N20-N23</f>
        <v>0</v>
      </c>
      <c r="O29" s="316">
        <f>O19-O20-O23</f>
        <v>9460684</v>
      </c>
      <c r="P29" s="316">
        <f t="shared" ref="P29:AG29" si="13">P19-P20-P23</f>
        <v>798113.51000000071</v>
      </c>
      <c r="Q29" s="316">
        <f t="shared" si="13"/>
        <v>2167181.83</v>
      </c>
      <c r="R29" s="316">
        <f t="shared" si="13"/>
        <v>4954005.4900000021</v>
      </c>
      <c r="S29" s="316">
        <f t="shared" si="13"/>
        <v>6666934.799999997</v>
      </c>
      <c r="T29" s="316">
        <f t="shared" si="13"/>
        <v>10407085.640000008</v>
      </c>
      <c r="U29" s="316">
        <f t="shared" si="13"/>
        <v>12470777.530000009</v>
      </c>
      <c r="V29" s="316">
        <f t="shared" si="13"/>
        <v>14700733.900000002</v>
      </c>
      <c r="W29" s="316">
        <f t="shared" si="13"/>
        <v>16696533.529999994</v>
      </c>
      <c r="X29" s="316">
        <f t="shared" si="13"/>
        <v>18344635.789999999</v>
      </c>
      <c r="Y29" s="316">
        <f t="shared" si="13"/>
        <v>19671892.88000001</v>
      </c>
      <c r="Z29" s="316">
        <f t="shared" si="13"/>
        <v>22552499.349999987</v>
      </c>
      <c r="AA29" s="316">
        <f t="shared" si="13"/>
        <v>24207114.909999996</v>
      </c>
      <c r="AB29" s="316">
        <f t="shared" si="13"/>
        <v>10586086</v>
      </c>
      <c r="AC29" s="316">
        <f t="shared" si="13"/>
        <v>2501063.8999999985</v>
      </c>
      <c r="AD29" s="316">
        <f t="shared" si="13"/>
        <v>5115363.9699999988</v>
      </c>
      <c r="AE29" s="316">
        <f t="shared" si="13"/>
        <v>8131819.1200000048</v>
      </c>
      <c r="AF29" s="316">
        <f t="shared" si="13"/>
        <v>11427768.990000002</v>
      </c>
      <c r="AG29" s="316">
        <f t="shared" ref="AG29:AH29" si="14">AG19-AG20-AG23</f>
        <v>13555830.320000008</v>
      </c>
      <c r="AH29" s="316">
        <f t="shared" si="14"/>
        <v>14812394.399999991</v>
      </c>
    </row>
    <row r="30" spans="1:34" s="168" customFormat="1" ht="15">
      <c r="A30" s="162" t="s">
        <v>263</v>
      </c>
      <c r="B30" s="316">
        <f t="shared" ref="B30:M30" si="15">B31-B32</f>
        <v>0</v>
      </c>
      <c r="C30" s="316">
        <f t="shared" si="15"/>
        <v>0</v>
      </c>
      <c r="D30" s="316">
        <f t="shared" si="15"/>
        <v>0</v>
      </c>
      <c r="E30" s="316">
        <f t="shared" si="15"/>
        <v>0</v>
      </c>
      <c r="F30" s="316">
        <f t="shared" si="15"/>
        <v>0</v>
      </c>
      <c r="G30" s="316">
        <f t="shared" si="15"/>
        <v>0</v>
      </c>
      <c r="H30" s="316">
        <f t="shared" si="15"/>
        <v>0</v>
      </c>
      <c r="I30" s="316">
        <f t="shared" si="15"/>
        <v>0</v>
      </c>
      <c r="J30" s="316">
        <f t="shared" si="15"/>
        <v>0</v>
      </c>
      <c r="K30" s="316">
        <f t="shared" si="15"/>
        <v>0</v>
      </c>
      <c r="L30" s="316">
        <f t="shared" si="15"/>
        <v>0</v>
      </c>
      <c r="M30" s="316">
        <f t="shared" si="15"/>
        <v>0</v>
      </c>
      <c r="N30" s="316">
        <f>N31-N32</f>
        <v>0</v>
      </c>
      <c r="O30" s="316">
        <f>O31-O32</f>
        <v>0</v>
      </c>
      <c r="P30" s="316">
        <f t="shared" ref="P30:AG30" si="16">P31-P32</f>
        <v>0</v>
      </c>
      <c r="Q30" s="316">
        <f t="shared" si="16"/>
        <v>0</v>
      </c>
      <c r="R30" s="316">
        <f t="shared" si="16"/>
        <v>0</v>
      </c>
      <c r="S30" s="316">
        <f t="shared" si="16"/>
        <v>0</v>
      </c>
      <c r="T30" s="316">
        <f t="shared" si="16"/>
        <v>0</v>
      </c>
      <c r="U30" s="316">
        <f t="shared" si="16"/>
        <v>0</v>
      </c>
      <c r="V30" s="316">
        <f t="shared" si="16"/>
        <v>0</v>
      </c>
      <c r="W30" s="316">
        <f t="shared" si="16"/>
        <v>0</v>
      </c>
      <c r="X30" s="316">
        <f t="shared" si="16"/>
        <v>0</v>
      </c>
      <c r="Y30" s="316">
        <f t="shared" si="16"/>
        <v>0</v>
      </c>
      <c r="Z30" s="316">
        <f t="shared" si="16"/>
        <v>0</v>
      </c>
      <c r="AA30" s="316">
        <f t="shared" si="16"/>
        <v>0</v>
      </c>
      <c r="AB30" s="316">
        <f t="shared" si="16"/>
        <v>0</v>
      </c>
      <c r="AC30" s="316">
        <f t="shared" si="16"/>
        <v>0</v>
      </c>
      <c r="AD30" s="316">
        <f t="shared" si="16"/>
        <v>0</v>
      </c>
      <c r="AE30" s="316">
        <f t="shared" si="16"/>
        <v>0</v>
      </c>
      <c r="AF30" s="316">
        <f t="shared" si="16"/>
        <v>0</v>
      </c>
      <c r="AG30" s="316">
        <f t="shared" ref="AG30:AH30" si="17">AG31-AG32</f>
        <v>0</v>
      </c>
      <c r="AH30" s="316">
        <f t="shared" si="17"/>
        <v>0</v>
      </c>
    </row>
    <row r="31" spans="1:34" ht="15">
      <c r="A31" s="162" t="s">
        <v>264</v>
      </c>
      <c r="B31" s="317"/>
      <c r="C31" s="284">
        <v>0</v>
      </c>
      <c r="D31" s="284">
        <v>0</v>
      </c>
      <c r="E31" s="284">
        <v>0</v>
      </c>
      <c r="F31" s="284">
        <v>0</v>
      </c>
      <c r="G31" s="284">
        <v>0</v>
      </c>
      <c r="H31" s="284">
        <v>0</v>
      </c>
      <c r="I31" s="284">
        <v>0</v>
      </c>
      <c r="J31" s="284">
        <v>0</v>
      </c>
      <c r="K31" s="284">
        <v>0</v>
      </c>
      <c r="L31" s="284">
        <v>0</v>
      </c>
      <c r="M31" s="284">
        <v>0</v>
      </c>
      <c r="N31" s="284">
        <v>0</v>
      </c>
      <c r="O31" s="137"/>
      <c r="P31" s="164">
        <v>0</v>
      </c>
      <c r="Q31" s="164">
        <v>0</v>
      </c>
      <c r="R31" s="164">
        <v>0</v>
      </c>
      <c r="S31" s="164">
        <v>0</v>
      </c>
      <c r="T31" s="164">
        <v>0</v>
      </c>
      <c r="U31" s="164">
        <v>0</v>
      </c>
      <c r="V31" s="164">
        <v>0</v>
      </c>
      <c r="W31" s="164">
        <v>0</v>
      </c>
      <c r="AB31" s="297"/>
      <c r="AC31" s="370">
        <v>0</v>
      </c>
      <c r="AD31" s="372">
        <v>0</v>
      </c>
      <c r="AE31" s="372">
        <v>0</v>
      </c>
      <c r="AF31" s="372">
        <v>0</v>
      </c>
      <c r="AG31" s="370">
        <v>0</v>
      </c>
      <c r="AH31" s="416">
        <v>0</v>
      </c>
    </row>
    <row r="32" spans="1:34" ht="15">
      <c r="A32" s="162" t="s">
        <v>265</v>
      </c>
      <c r="B32" s="317"/>
      <c r="C32" s="284">
        <v>0</v>
      </c>
      <c r="D32" s="284">
        <v>0</v>
      </c>
      <c r="E32" s="284">
        <v>0</v>
      </c>
      <c r="F32" s="284">
        <v>0</v>
      </c>
      <c r="G32" s="284">
        <v>0</v>
      </c>
      <c r="H32" s="284">
        <v>0</v>
      </c>
      <c r="I32" s="284">
        <v>0</v>
      </c>
      <c r="J32" s="284">
        <v>0</v>
      </c>
      <c r="K32" s="284">
        <v>0</v>
      </c>
      <c r="L32" s="284">
        <v>0</v>
      </c>
      <c r="M32" s="284">
        <v>0</v>
      </c>
      <c r="N32" s="284">
        <v>0</v>
      </c>
      <c r="O32" s="137"/>
      <c r="P32" s="164">
        <v>0</v>
      </c>
      <c r="Q32" s="164">
        <v>0</v>
      </c>
      <c r="R32" s="164">
        <v>0</v>
      </c>
      <c r="S32" s="164">
        <v>0</v>
      </c>
      <c r="T32" s="164">
        <v>0</v>
      </c>
      <c r="U32" s="164">
        <v>0</v>
      </c>
      <c r="V32" s="164">
        <v>0</v>
      </c>
      <c r="W32" s="164">
        <v>0</v>
      </c>
      <c r="AB32" s="297"/>
      <c r="AC32" s="374">
        <v>0</v>
      </c>
      <c r="AD32" s="376">
        <v>0</v>
      </c>
      <c r="AE32" s="376">
        <v>0</v>
      </c>
      <c r="AF32" s="376">
        <v>0</v>
      </c>
      <c r="AG32" s="374">
        <v>0</v>
      </c>
      <c r="AH32" s="418">
        <v>0</v>
      </c>
    </row>
    <row r="33" spans="1:35" s="167" customFormat="1" ht="15">
      <c r="A33" s="161" t="s">
        <v>266</v>
      </c>
      <c r="B33" s="320">
        <f t="shared" ref="B33:AH33" si="18">B29+B30</f>
        <v>5379912</v>
      </c>
      <c r="C33" s="320">
        <f t="shared" si="18"/>
        <v>0</v>
      </c>
      <c r="D33" s="320">
        <f t="shared" si="18"/>
        <v>0</v>
      </c>
      <c r="E33" s="320">
        <f t="shared" si="18"/>
        <v>0</v>
      </c>
      <c r="F33" s="320">
        <f t="shared" si="18"/>
        <v>0</v>
      </c>
      <c r="G33" s="320">
        <f t="shared" si="18"/>
        <v>0</v>
      </c>
      <c r="H33" s="320">
        <f t="shared" si="18"/>
        <v>0</v>
      </c>
      <c r="I33" s="320">
        <f t="shared" si="18"/>
        <v>0</v>
      </c>
      <c r="J33" s="320">
        <f t="shared" si="18"/>
        <v>0</v>
      </c>
      <c r="K33" s="320">
        <f t="shared" si="18"/>
        <v>0</v>
      </c>
      <c r="L33" s="320">
        <f t="shared" si="18"/>
        <v>0</v>
      </c>
      <c r="M33" s="320">
        <f t="shared" si="18"/>
        <v>0</v>
      </c>
      <c r="N33" s="320">
        <f t="shared" si="18"/>
        <v>0</v>
      </c>
      <c r="O33" s="320">
        <f t="shared" si="18"/>
        <v>9460684</v>
      </c>
      <c r="P33" s="320">
        <f t="shared" si="18"/>
        <v>798113.51000000071</v>
      </c>
      <c r="Q33" s="320">
        <f t="shared" si="18"/>
        <v>2167181.83</v>
      </c>
      <c r="R33" s="320">
        <f t="shared" si="18"/>
        <v>4954005.4900000021</v>
      </c>
      <c r="S33" s="320">
        <f t="shared" si="18"/>
        <v>6666934.799999997</v>
      </c>
      <c r="T33" s="320">
        <f t="shared" si="18"/>
        <v>10407085.640000008</v>
      </c>
      <c r="U33" s="320">
        <f t="shared" si="18"/>
        <v>12470777.530000009</v>
      </c>
      <c r="V33" s="320">
        <f t="shared" si="18"/>
        <v>14700733.900000002</v>
      </c>
      <c r="W33" s="320">
        <f t="shared" si="18"/>
        <v>16696533.529999994</v>
      </c>
      <c r="X33" s="320">
        <f t="shared" si="18"/>
        <v>18344635.789999999</v>
      </c>
      <c r="Y33" s="320">
        <f t="shared" si="18"/>
        <v>19671892.88000001</v>
      </c>
      <c r="Z33" s="320">
        <f t="shared" si="18"/>
        <v>22552499.349999987</v>
      </c>
      <c r="AA33" s="320">
        <f t="shared" si="18"/>
        <v>24207114.909999996</v>
      </c>
      <c r="AB33" s="320">
        <f t="shared" si="18"/>
        <v>10586086</v>
      </c>
      <c r="AC33" s="320">
        <f t="shared" si="18"/>
        <v>2501063.8999999985</v>
      </c>
      <c r="AD33" s="320">
        <f t="shared" si="18"/>
        <v>5115363.9699999988</v>
      </c>
      <c r="AE33" s="320">
        <f t="shared" si="18"/>
        <v>8131819.1200000048</v>
      </c>
      <c r="AF33" s="320">
        <f t="shared" si="18"/>
        <v>11427768.990000002</v>
      </c>
      <c r="AG33" s="320">
        <f t="shared" si="18"/>
        <v>13555830.320000008</v>
      </c>
      <c r="AH33" s="320">
        <f t="shared" si="18"/>
        <v>14812394.399999991</v>
      </c>
    </row>
    <row r="34" spans="1:35" ht="29.25">
      <c r="A34" s="162" t="s">
        <v>267</v>
      </c>
      <c r="B34" s="318">
        <v>424469</v>
      </c>
      <c r="C34" s="284">
        <v>0</v>
      </c>
      <c r="D34" s="284">
        <v>0</v>
      </c>
      <c r="E34" s="284">
        <v>0</v>
      </c>
      <c r="F34" s="284">
        <v>0</v>
      </c>
      <c r="G34" s="284">
        <v>0</v>
      </c>
      <c r="H34" s="284">
        <v>0</v>
      </c>
      <c r="I34" s="284">
        <v>0</v>
      </c>
      <c r="J34" s="284">
        <v>0</v>
      </c>
      <c r="K34" s="284">
        <v>0</v>
      </c>
      <c r="L34" s="284">
        <v>0</v>
      </c>
      <c r="M34" s="284">
        <v>0</v>
      </c>
      <c r="N34" s="284">
        <v>0</v>
      </c>
      <c r="O34" s="204">
        <v>781555</v>
      </c>
      <c r="P34" s="164">
        <v>0</v>
      </c>
      <c r="Q34" s="164">
        <v>0</v>
      </c>
      <c r="R34" s="164">
        <v>0</v>
      </c>
      <c r="S34" s="164">
        <v>0</v>
      </c>
      <c r="T34" s="164">
        <v>0</v>
      </c>
      <c r="U34" s="164">
        <v>0</v>
      </c>
      <c r="V34" s="164">
        <v>0</v>
      </c>
      <c r="W34" s="164">
        <v>0</v>
      </c>
      <c r="AB34" s="297">
        <v>921342</v>
      </c>
      <c r="AC34" s="370">
        <v>0</v>
      </c>
      <c r="AD34" s="372">
        <v>0</v>
      </c>
      <c r="AE34" s="372">
        <v>0</v>
      </c>
      <c r="AF34" s="372">
        <v>0</v>
      </c>
      <c r="AG34" s="370">
        <v>0</v>
      </c>
      <c r="AH34" s="416">
        <v>0</v>
      </c>
    </row>
    <row r="35" spans="1:35" s="167" customFormat="1" ht="29.25">
      <c r="A35" s="161" t="s">
        <v>268</v>
      </c>
      <c r="B35" s="316">
        <f t="shared" ref="B35:M35" si="19">B33-B34</f>
        <v>4955443</v>
      </c>
      <c r="C35" s="316">
        <f t="shared" si="19"/>
        <v>0</v>
      </c>
      <c r="D35" s="316">
        <f t="shared" si="19"/>
        <v>0</v>
      </c>
      <c r="E35" s="316">
        <f t="shared" si="19"/>
        <v>0</v>
      </c>
      <c r="F35" s="316">
        <f t="shared" si="19"/>
        <v>0</v>
      </c>
      <c r="G35" s="316">
        <f t="shared" si="19"/>
        <v>0</v>
      </c>
      <c r="H35" s="316">
        <f t="shared" si="19"/>
        <v>0</v>
      </c>
      <c r="I35" s="316">
        <f t="shared" si="19"/>
        <v>0</v>
      </c>
      <c r="J35" s="316">
        <f t="shared" si="19"/>
        <v>0</v>
      </c>
      <c r="K35" s="316">
        <f t="shared" si="19"/>
        <v>0</v>
      </c>
      <c r="L35" s="316">
        <f t="shared" si="19"/>
        <v>0</v>
      </c>
      <c r="M35" s="316">
        <f t="shared" si="19"/>
        <v>0</v>
      </c>
      <c r="N35" s="316">
        <f>N33-N34</f>
        <v>0</v>
      </c>
      <c r="O35" s="316">
        <f>O33-O34</f>
        <v>8679129</v>
      </c>
      <c r="P35" s="316">
        <f t="shared" ref="P35:AH35" si="20">P33-P34</f>
        <v>798113.51000000071</v>
      </c>
      <c r="Q35" s="316">
        <f t="shared" si="20"/>
        <v>2167181.83</v>
      </c>
      <c r="R35" s="316">
        <f t="shared" si="20"/>
        <v>4954005.4900000021</v>
      </c>
      <c r="S35" s="316">
        <f t="shared" si="20"/>
        <v>6666934.799999997</v>
      </c>
      <c r="T35" s="316">
        <f t="shared" si="20"/>
        <v>10407085.640000008</v>
      </c>
      <c r="U35" s="316">
        <f t="shared" si="20"/>
        <v>12470777.530000009</v>
      </c>
      <c r="V35" s="316">
        <f t="shared" si="20"/>
        <v>14700733.900000002</v>
      </c>
      <c r="W35" s="316">
        <f t="shared" si="20"/>
        <v>16696533.529999994</v>
      </c>
      <c r="X35" s="316">
        <f t="shared" si="20"/>
        <v>18344635.789999999</v>
      </c>
      <c r="Y35" s="316">
        <f t="shared" si="20"/>
        <v>19671892.88000001</v>
      </c>
      <c r="Z35" s="316">
        <f t="shared" si="20"/>
        <v>22552499.349999987</v>
      </c>
      <c r="AA35" s="316">
        <f t="shared" si="20"/>
        <v>24207114.909999996</v>
      </c>
      <c r="AB35" s="316">
        <f t="shared" si="20"/>
        <v>9664744</v>
      </c>
      <c r="AC35" s="316">
        <f t="shared" si="20"/>
        <v>2501063.8999999985</v>
      </c>
      <c r="AD35" s="316">
        <f t="shared" si="20"/>
        <v>5115363.9699999988</v>
      </c>
      <c r="AE35" s="316">
        <f t="shared" si="20"/>
        <v>8131819.1200000048</v>
      </c>
      <c r="AF35" s="316">
        <f t="shared" si="20"/>
        <v>11427768.990000002</v>
      </c>
      <c r="AG35" s="316">
        <f t="shared" si="20"/>
        <v>13555830.320000008</v>
      </c>
      <c r="AH35" s="316">
        <f t="shared" si="20"/>
        <v>14812394.399999991</v>
      </c>
    </row>
    <row r="36" spans="1:35" ht="14.25">
      <c r="A36" s="160" t="s">
        <v>269</v>
      </c>
      <c r="B36" s="318"/>
      <c r="C36" s="284">
        <v>0</v>
      </c>
      <c r="D36" s="284">
        <v>0</v>
      </c>
      <c r="E36" s="284">
        <v>0</v>
      </c>
      <c r="F36" s="284">
        <v>0</v>
      </c>
      <c r="G36" s="284">
        <v>0</v>
      </c>
      <c r="H36" s="284">
        <v>0</v>
      </c>
      <c r="I36" s="284">
        <v>0</v>
      </c>
      <c r="J36" s="284">
        <v>0</v>
      </c>
      <c r="K36" s="284">
        <v>0</v>
      </c>
      <c r="L36" s="284">
        <v>0</v>
      </c>
      <c r="M36" s="284">
        <v>0</v>
      </c>
      <c r="N36" s="284">
        <v>0</v>
      </c>
      <c r="O36" s="137"/>
      <c r="P36" s="164">
        <v>0</v>
      </c>
      <c r="Q36" s="164">
        <v>0</v>
      </c>
      <c r="R36" s="164">
        <v>0</v>
      </c>
      <c r="S36" s="164">
        <v>0</v>
      </c>
      <c r="T36" s="164">
        <v>0</v>
      </c>
      <c r="U36" s="164">
        <v>0</v>
      </c>
      <c r="V36" s="164">
        <v>0</v>
      </c>
      <c r="W36" s="164">
        <v>0</v>
      </c>
      <c r="AB36" s="297"/>
      <c r="AC36" s="370">
        <v>0</v>
      </c>
      <c r="AD36" s="372">
        <v>0</v>
      </c>
      <c r="AE36" s="372">
        <v>0</v>
      </c>
      <c r="AF36" s="372">
        <v>0</v>
      </c>
      <c r="AG36" s="370">
        <v>0</v>
      </c>
      <c r="AH36" s="416">
        <v>0</v>
      </c>
    </row>
    <row r="37" spans="1:35" s="167" customFormat="1" ht="15">
      <c r="A37" s="161" t="s">
        <v>270</v>
      </c>
      <c r="B37" s="316">
        <f t="shared" ref="B37" si="21">B35+B36</f>
        <v>4955443</v>
      </c>
      <c r="C37" s="316">
        <f>C35-C36</f>
        <v>0</v>
      </c>
      <c r="D37" s="316">
        <f t="shared" ref="D37:AI37" si="22">D35-D36</f>
        <v>0</v>
      </c>
      <c r="E37" s="316">
        <f t="shared" si="22"/>
        <v>0</v>
      </c>
      <c r="F37" s="316">
        <f t="shared" si="22"/>
        <v>0</v>
      </c>
      <c r="G37" s="316">
        <f t="shared" si="22"/>
        <v>0</v>
      </c>
      <c r="H37" s="316">
        <f t="shared" si="22"/>
        <v>0</v>
      </c>
      <c r="I37" s="316">
        <f t="shared" si="22"/>
        <v>0</v>
      </c>
      <c r="J37" s="316">
        <f t="shared" si="22"/>
        <v>0</v>
      </c>
      <c r="K37" s="316">
        <f t="shared" si="22"/>
        <v>0</v>
      </c>
      <c r="L37" s="316">
        <f t="shared" si="22"/>
        <v>0</v>
      </c>
      <c r="M37" s="316">
        <f t="shared" si="22"/>
        <v>0</v>
      </c>
      <c r="N37" s="316">
        <f t="shared" si="22"/>
        <v>0</v>
      </c>
      <c r="O37" s="316">
        <f t="shared" si="22"/>
        <v>8679129</v>
      </c>
      <c r="P37" s="316">
        <f t="shared" si="22"/>
        <v>798113.51000000071</v>
      </c>
      <c r="Q37" s="316">
        <f t="shared" si="22"/>
        <v>2167181.83</v>
      </c>
      <c r="R37" s="316">
        <f t="shared" si="22"/>
        <v>4954005.4900000021</v>
      </c>
      <c r="S37" s="316">
        <f t="shared" si="22"/>
        <v>6666934.799999997</v>
      </c>
      <c r="T37" s="316">
        <f t="shared" si="22"/>
        <v>10407085.640000008</v>
      </c>
      <c r="U37" s="316">
        <f t="shared" si="22"/>
        <v>12470777.530000009</v>
      </c>
      <c r="V37" s="316">
        <f t="shared" si="22"/>
        <v>14700733.900000002</v>
      </c>
      <c r="W37" s="316">
        <f t="shared" si="22"/>
        <v>16696533.529999994</v>
      </c>
      <c r="X37" s="316">
        <f t="shared" si="22"/>
        <v>18344635.789999999</v>
      </c>
      <c r="Y37" s="316">
        <f t="shared" si="22"/>
        <v>19671892.88000001</v>
      </c>
      <c r="Z37" s="316">
        <f t="shared" si="22"/>
        <v>22552499.349999987</v>
      </c>
      <c r="AA37" s="316">
        <f t="shared" si="22"/>
        <v>24207114.909999996</v>
      </c>
      <c r="AB37" s="316">
        <f t="shared" si="22"/>
        <v>9664744</v>
      </c>
      <c r="AC37" s="316">
        <f t="shared" si="22"/>
        <v>2501063.8999999985</v>
      </c>
      <c r="AD37" s="316">
        <f t="shared" si="22"/>
        <v>5115363.9699999988</v>
      </c>
      <c r="AE37" s="316">
        <f t="shared" si="22"/>
        <v>8131819.1200000048</v>
      </c>
      <c r="AF37" s="316">
        <f t="shared" si="22"/>
        <v>11427768.990000002</v>
      </c>
      <c r="AG37" s="316">
        <f t="shared" si="22"/>
        <v>13555830.320000008</v>
      </c>
      <c r="AH37" s="316">
        <f t="shared" si="22"/>
        <v>14812394.399999991</v>
      </c>
      <c r="AI37" s="316">
        <f t="shared" si="22"/>
        <v>0</v>
      </c>
    </row>
  </sheetData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ColWidth="9.140625" defaultRowHeight="13.1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208"/>
      <c r="B1" s="209"/>
      <c r="E1" s="127"/>
    </row>
    <row r="2" spans="1:12" ht="15">
      <c r="A2" s="210"/>
      <c r="B2" s="211" t="s">
        <v>115</v>
      </c>
      <c r="C2" s="211" t="s">
        <v>91</v>
      </c>
      <c r="D2" s="211" t="s">
        <v>92</v>
      </c>
      <c r="E2" s="212" t="s">
        <v>93</v>
      </c>
      <c r="F2" s="212" t="s">
        <v>94</v>
      </c>
      <c r="G2" s="213">
        <v>43466</v>
      </c>
      <c r="H2" s="213">
        <v>43497</v>
      </c>
      <c r="I2" s="214">
        <v>43525</v>
      </c>
      <c r="J2" s="214">
        <v>43556</v>
      </c>
      <c r="K2" s="214">
        <v>43586</v>
      </c>
      <c r="L2" s="214">
        <v>43617</v>
      </c>
    </row>
    <row r="3" spans="1:12">
      <c r="A3" s="30">
        <v>2</v>
      </c>
      <c r="B3" s="51" t="s">
        <v>59</v>
      </c>
      <c r="C3" s="215">
        <v>463518893.97999996</v>
      </c>
      <c r="D3" s="215">
        <v>456370932.63</v>
      </c>
      <c r="E3" s="215">
        <v>436833618.45000005</v>
      </c>
      <c r="F3" s="215">
        <v>590186392</v>
      </c>
      <c r="G3" s="215">
        <v>602313936.84000003</v>
      </c>
      <c r="H3" s="215">
        <v>626251080.43000007</v>
      </c>
      <c r="I3" s="215">
        <v>598286974.44000006</v>
      </c>
      <c r="J3" s="215">
        <v>589072781.48000002</v>
      </c>
      <c r="K3" s="215">
        <v>617101547.82000005</v>
      </c>
      <c r="L3" s="215">
        <v>604177230.95000005</v>
      </c>
    </row>
    <row r="4" spans="1:12">
      <c r="A4" s="30">
        <v>3</v>
      </c>
      <c r="B4" s="51" t="s">
        <v>60</v>
      </c>
      <c r="C4" s="216">
        <v>363910285.35000002</v>
      </c>
      <c r="D4" s="216">
        <v>352811563.69999999</v>
      </c>
      <c r="E4" s="216">
        <v>346819825.96000004</v>
      </c>
      <c r="F4" s="216">
        <v>433315333</v>
      </c>
      <c r="G4" s="216">
        <v>438395348.75</v>
      </c>
      <c r="H4" s="216">
        <v>454200200.84000003</v>
      </c>
      <c r="I4" s="216">
        <v>471183574.06999999</v>
      </c>
      <c r="J4" s="216">
        <v>463060081.56999999</v>
      </c>
      <c r="K4" s="216">
        <v>486178640.04999995</v>
      </c>
      <c r="L4" s="216">
        <v>466221165.13999999</v>
      </c>
    </row>
    <row r="5" spans="1:12">
      <c r="A5" s="30">
        <v>3.1</v>
      </c>
      <c r="B5" s="104" t="s">
        <v>117</v>
      </c>
      <c r="C5" s="216">
        <v>242281651.97</v>
      </c>
      <c r="D5" s="216">
        <v>244644369.28</v>
      </c>
      <c r="E5" s="216">
        <v>243234342.24000001</v>
      </c>
      <c r="F5" s="216">
        <v>365696388</v>
      </c>
      <c r="G5" s="216">
        <v>373130884.45999998</v>
      </c>
      <c r="H5" s="216">
        <v>380563374.49000001</v>
      </c>
      <c r="I5" s="216">
        <v>389962101.52999997</v>
      </c>
      <c r="J5" s="216">
        <v>394639975.25999999</v>
      </c>
      <c r="K5" s="216">
        <v>397105169.01999998</v>
      </c>
      <c r="L5" s="216">
        <v>404014250.98000002</v>
      </c>
    </row>
    <row r="6" spans="1:12">
      <c r="A6" s="30">
        <v>3.2</v>
      </c>
      <c r="B6" s="104" t="s">
        <v>118</v>
      </c>
      <c r="C6" s="216">
        <v>4074376.91</v>
      </c>
      <c r="D6" s="216">
        <v>4984401.29</v>
      </c>
      <c r="E6" s="216">
        <v>5076228.9000000004</v>
      </c>
      <c r="F6" s="216">
        <v>67618945</v>
      </c>
      <c r="G6" s="216">
        <v>14363007.560000001</v>
      </c>
      <c r="H6" s="216">
        <v>15611949.109999999</v>
      </c>
      <c r="I6" s="216">
        <v>13612358.779999999</v>
      </c>
      <c r="J6" s="216">
        <v>14419908.76</v>
      </c>
      <c r="K6" s="216">
        <v>14679037.42</v>
      </c>
      <c r="L6" s="216">
        <v>13096148.84</v>
      </c>
    </row>
    <row r="7" spans="1:12">
      <c r="A7" s="30">
        <v>4</v>
      </c>
      <c r="B7" s="51" t="s">
        <v>119</v>
      </c>
      <c r="C7" s="217">
        <v>782851.88</v>
      </c>
      <c r="D7" s="217">
        <v>782851.88</v>
      </c>
      <c r="E7" s="217">
        <v>782851.88</v>
      </c>
      <c r="F7" s="217">
        <v>0</v>
      </c>
      <c r="G7" s="217">
        <v>0</v>
      </c>
      <c r="H7" s="217">
        <v>0</v>
      </c>
      <c r="I7" s="217">
        <v>0</v>
      </c>
      <c r="J7" s="217">
        <v>0</v>
      </c>
      <c r="K7" s="217">
        <v>0</v>
      </c>
      <c r="L7" s="217">
        <v>0</v>
      </c>
    </row>
    <row r="8" spans="1:12" ht="13.9" thickBot="1">
      <c r="A8" s="43">
        <v>4.0999999999999996</v>
      </c>
      <c r="B8" s="53" t="s">
        <v>120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18" t="s">
        <v>122</v>
      </c>
      <c r="C9" s="219">
        <v>94944699.390000001</v>
      </c>
      <c r="D9" s="219">
        <v>75269883.280000001</v>
      </c>
      <c r="E9" s="219">
        <v>78350880.049999997</v>
      </c>
      <c r="F9" s="219">
        <v>88729697</v>
      </c>
      <c r="G9" s="219">
        <v>155788125.82999998</v>
      </c>
      <c r="H9" s="219">
        <v>163406421.19999999</v>
      </c>
      <c r="I9" s="219">
        <v>167005526.25999999</v>
      </c>
      <c r="J9" s="219">
        <v>111209857.65000001</v>
      </c>
      <c r="K9" s="219">
        <v>113818097.59999999</v>
      </c>
      <c r="L9" s="219">
        <v>123110101.06000002</v>
      </c>
    </row>
    <row r="10" spans="1:12" ht="13.9" thickBot="1">
      <c r="A10" s="35">
        <v>5.2</v>
      </c>
      <c r="B10" s="220" t="s">
        <v>123</v>
      </c>
      <c r="C10" s="221">
        <v>85006163.939999998</v>
      </c>
      <c r="D10" s="221">
        <v>65331347.829999998</v>
      </c>
      <c r="E10" s="221">
        <v>67704198.769999996</v>
      </c>
      <c r="F10" s="221">
        <v>65523502</v>
      </c>
      <c r="G10" s="221">
        <v>131996813.03999999</v>
      </c>
      <c r="H10" s="221">
        <v>139578976.91</v>
      </c>
      <c r="I10" s="221">
        <v>142917002.03</v>
      </c>
      <c r="J10" s="221">
        <v>87051630.75</v>
      </c>
      <c r="K10" s="221">
        <v>89639870.699999988</v>
      </c>
      <c r="L10" s="221">
        <v>98730332.050000012</v>
      </c>
    </row>
    <row r="11" spans="1:12" ht="13.9" thickBot="1">
      <c r="A11" s="38">
        <v>5.3</v>
      </c>
      <c r="B11" s="209" t="s">
        <v>124</v>
      </c>
      <c r="C11" s="222">
        <v>94944699.390000001</v>
      </c>
      <c r="D11" s="222">
        <v>75269883.280000001</v>
      </c>
      <c r="E11" s="222">
        <v>78350880.049999997</v>
      </c>
      <c r="F11" s="222">
        <v>92958252</v>
      </c>
      <c r="G11" s="222">
        <v>160016680.76999998</v>
      </c>
      <c r="H11" s="222">
        <v>167634976.13999999</v>
      </c>
      <c r="I11" s="222">
        <v>171234081.19999999</v>
      </c>
      <c r="J11" s="222">
        <v>115438412.59</v>
      </c>
      <c r="K11" s="222">
        <v>118046652.53999999</v>
      </c>
      <c r="L11" s="222">
        <v>127338656.00000001</v>
      </c>
    </row>
    <row r="12" spans="1:12">
      <c r="A12" s="33">
        <v>7</v>
      </c>
      <c r="B12" s="110" t="s">
        <v>65</v>
      </c>
      <c r="C12" s="223">
        <v>299631067.07999998</v>
      </c>
      <c r="D12" s="223">
        <v>309643144.38</v>
      </c>
      <c r="E12" s="223">
        <v>310639770.16000003</v>
      </c>
      <c r="F12" s="223">
        <v>467465209</v>
      </c>
      <c r="G12" s="223">
        <v>472919770.68000001</v>
      </c>
      <c r="H12" s="223">
        <v>478687357.68000001</v>
      </c>
      <c r="I12" s="223">
        <v>475787713.94</v>
      </c>
      <c r="J12" s="223">
        <v>479582540.77999997</v>
      </c>
      <c r="K12" s="223">
        <v>481266665.38999999</v>
      </c>
      <c r="L12" s="223">
        <v>485276972.57000005</v>
      </c>
    </row>
    <row r="13" spans="1:12">
      <c r="A13" s="34">
        <v>7.1</v>
      </c>
      <c r="B13" s="51" t="s">
        <v>142</v>
      </c>
      <c r="C13" s="219">
        <v>309603490.20999998</v>
      </c>
      <c r="D13" s="219">
        <v>319615567.50999999</v>
      </c>
      <c r="E13" s="219">
        <v>320612193.29000002</v>
      </c>
      <c r="F13" s="219">
        <v>478678153</v>
      </c>
      <c r="G13" s="219">
        <v>484132714.24000001</v>
      </c>
      <c r="H13" s="219">
        <v>489900301.24000001</v>
      </c>
      <c r="I13" s="219">
        <v>487605607.92000002</v>
      </c>
      <c r="J13" s="219">
        <v>491602084.89999998</v>
      </c>
      <c r="K13" s="219">
        <v>493487859.64999998</v>
      </c>
      <c r="L13" s="219">
        <v>497699816.97000003</v>
      </c>
    </row>
    <row r="14" spans="1:12">
      <c r="A14" s="34">
        <v>7.3</v>
      </c>
      <c r="B14" s="51" t="s">
        <v>143</v>
      </c>
      <c r="C14" s="219">
        <v>9972423.1300000008</v>
      </c>
      <c r="D14" s="219">
        <v>9972423.1300000008</v>
      </c>
      <c r="E14" s="219">
        <v>9972423.1300000008</v>
      </c>
      <c r="F14" s="219">
        <v>11212944</v>
      </c>
      <c r="G14" s="219">
        <v>11212943.560000001</v>
      </c>
      <c r="H14" s="219">
        <v>11212943.560000001</v>
      </c>
      <c r="I14" s="219">
        <v>11817893.98</v>
      </c>
      <c r="J14" s="219">
        <v>12019544.119999999</v>
      </c>
      <c r="K14" s="219">
        <v>12221194.26</v>
      </c>
      <c r="L14" s="219">
        <v>12422844.4</v>
      </c>
    </row>
    <row r="15" spans="1:12" ht="13.9" thickBot="1">
      <c r="A15" s="43">
        <v>7.6</v>
      </c>
      <c r="B15" s="44" t="s">
        <v>146</v>
      </c>
      <c r="C15" s="224">
        <v>64879933.079999998</v>
      </c>
      <c r="D15" s="224">
        <v>49119809.189999998</v>
      </c>
      <c r="E15" s="224">
        <v>36488011.020000003</v>
      </c>
      <c r="F15" s="224">
        <v>86995878</v>
      </c>
      <c r="G15" s="224">
        <v>99084093.540000007</v>
      </c>
      <c r="H15" s="224">
        <v>106402453.78</v>
      </c>
      <c r="I15" s="224">
        <v>93263618.600000009</v>
      </c>
      <c r="J15" s="224">
        <v>81785848.030000001</v>
      </c>
      <c r="K15" s="224">
        <v>86648913.530000001</v>
      </c>
      <c r="L15" s="224">
        <v>81659238.829999998</v>
      </c>
    </row>
    <row r="16" spans="1:12">
      <c r="A16" s="33">
        <v>8</v>
      </c>
      <c r="B16" s="110" t="s">
        <v>147</v>
      </c>
      <c r="C16" s="223">
        <v>54697471.630000003</v>
      </c>
      <c r="D16" s="223">
        <v>57847365.859999999</v>
      </c>
      <c r="E16" s="223">
        <v>43977605.75</v>
      </c>
      <c r="F16" s="223">
        <v>31496750</v>
      </c>
      <c r="G16" s="223">
        <v>26081517.679999996</v>
      </c>
      <c r="H16" s="223">
        <v>36932714.030000001</v>
      </c>
      <c r="I16" s="223">
        <v>25007086.960000001</v>
      </c>
      <c r="J16" s="223">
        <v>23475837.73</v>
      </c>
      <c r="K16" s="223">
        <v>44957413.959999993</v>
      </c>
      <c r="L16" s="223">
        <v>33012464.609999996</v>
      </c>
    </row>
    <row r="17" spans="1:12" ht="13.9" thickBot="1">
      <c r="A17" s="35">
        <v>8.1</v>
      </c>
      <c r="B17" s="53" t="s">
        <v>148</v>
      </c>
      <c r="C17" s="221">
        <v>5970994.9500000002</v>
      </c>
      <c r="D17" s="221">
        <v>5779199.6399999997</v>
      </c>
      <c r="E17" s="221">
        <v>5967618.2599999998</v>
      </c>
      <c r="F17" s="221">
        <v>3048281</v>
      </c>
      <c r="G17" s="221">
        <v>7005758.3499999996</v>
      </c>
      <c r="H17" s="221">
        <v>7005758.4100000001</v>
      </c>
      <c r="I17" s="221">
        <v>6855145.9100000001</v>
      </c>
      <c r="J17" s="221">
        <v>6223465.2300000004</v>
      </c>
      <c r="K17" s="221">
        <v>6843368.5800000001</v>
      </c>
      <c r="L17" s="221">
        <v>6621497.3099999996</v>
      </c>
    </row>
    <row r="18" spans="1:12" ht="13.9" thickBot="1">
      <c r="A18" s="46">
        <v>9</v>
      </c>
      <c r="B18" s="225" t="s">
        <v>149</v>
      </c>
      <c r="C18" s="223">
        <v>6545698.6699999999</v>
      </c>
      <c r="D18" s="223">
        <v>43521403.869999997</v>
      </c>
      <c r="E18" s="223">
        <v>43551629.869999997</v>
      </c>
      <c r="F18" s="223">
        <v>18430545</v>
      </c>
      <c r="G18" s="223">
        <v>14759404.379999999</v>
      </c>
      <c r="H18" s="223">
        <v>14858404.379999999</v>
      </c>
      <c r="I18" s="223">
        <v>14602688.379999999</v>
      </c>
      <c r="J18" s="223">
        <v>16880137.379999999</v>
      </c>
      <c r="K18" s="223">
        <v>16989737.379999999</v>
      </c>
      <c r="L18" s="223">
        <v>17093937.34</v>
      </c>
    </row>
    <row r="19" spans="1:12">
      <c r="A19" s="226">
        <v>10</v>
      </c>
      <c r="B19" s="227" t="s">
        <v>154</v>
      </c>
      <c r="C19" s="223">
        <v>22339454.649999999</v>
      </c>
      <c r="D19" s="223">
        <v>4546921.07</v>
      </c>
      <c r="E19" s="223">
        <v>5916993.0600000005</v>
      </c>
      <c r="F19" s="223">
        <v>68345005</v>
      </c>
      <c r="G19" s="223">
        <v>18479434.449999999</v>
      </c>
      <c r="H19" s="223">
        <v>19450021.170000002</v>
      </c>
      <c r="I19" s="223">
        <v>21786997.959999997</v>
      </c>
      <c r="J19" s="223">
        <v>6653981.0599999996</v>
      </c>
      <c r="K19" s="223">
        <v>12263359.280000001</v>
      </c>
      <c r="L19" s="223">
        <v>13807774.51</v>
      </c>
    </row>
    <row r="21" spans="1:12" ht="14.45">
      <c r="B21" s="90" t="s">
        <v>1</v>
      </c>
      <c r="C21" s="229">
        <v>94.944699389999997</v>
      </c>
      <c r="D21" s="229">
        <v>75.269883280000002</v>
      </c>
      <c r="E21" s="229">
        <v>78.350880050000001</v>
      </c>
      <c r="F21" s="229">
        <v>88.729697000000002</v>
      </c>
      <c r="G21" s="229">
        <v>155.78812582999998</v>
      </c>
      <c r="H21" s="229">
        <v>163.40642119999998</v>
      </c>
      <c r="I21" s="229">
        <v>167.00552625999998</v>
      </c>
      <c r="J21" s="229">
        <v>111.20985765</v>
      </c>
      <c r="K21" s="229">
        <v>113.81809759999999</v>
      </c>
      <c r="L21" s="229">
        <v>123.11010106000002</v>
      </c>
    </row>
    <row r="22" spans="1:12" ht="14.45">
      <c r="B22" s="90" t="s">
        <v>97</v>
      </c>
      <c r="C22" s="228">
        <v>0.20483458306253358</v>
      </c>
      <c r="D22" s="228">
        <v>0.16493137029177229</v>
      </c>
      <c r="E22" s="228">
        <v>0.17936092081925703</v>
      </c>
      <c r="F22" s="228">
        <v>0.15034182116486344</v>
      </c>
      <c r="G22" s="228">
        <v>0.25864937917148656</v>
      </c>
      <c r="H22" s="228">
        <v>0.26092796692310843</v>
      </c>
      <c r="I22" s="228">
        <v>0.27913949892744716</v>
      </c>
      <c r="J22" s="228">
        <v>0.18878797518125656</v>
      </c>
      <c r="K22" s="228">
        <v>0.18443981870095577</v>
      </c>
      <c r="L22" s="228">
        <v>0.20376488016012018</v>
      </c>
    </row>
    <row r="23" spans="1:12" ht="14.45">
      <c r="B23" s="90" t="s">
        <v>98</v>
      </c>
      <c r="C23" s="228">
        <v>0.18339309366678777</v>
      </c>
      <c r="D23" s="228">
        <v>0.14315405114323307</v>
      </c>
      <c r="E23" s="228">
        <v>0.15498852631862953</v>
      </c>
      <c r="F23" s="228">
        <v>0.11102170922300764</v>
      </c>
      <c r="G23" s="228">
        <v>0.21914952480182093</v>
      </c>
      <c r="H23" s="228">
        <v>0.22288021733098087</v>
      </c>
      <c r="I23" s="228">
        <v>0.23887700741566556</v>
      </c>
      <c r="J23" s="228">
        <v>0.14777737740876346</v>
      </c>
      <c r="K23" s="228">
        <v>0.14525951363542308</v>
      </c>
      <c r="L23" s="228">
        <v>0.16341286462377569</v>
      </c>
    </row>
    <row r="24" spans="1:12" ht="14.45">
      <c r="B24" s="90" t="s">
        <v>99</v>
      </c>
      <c r="C24" s="228">
        <v>0.26090139029372172</v>
      </c>
      <c r="D24" s="228">
        <v>0.21334301656847876</v>
      </c>
      <c r="E24" s="228">
        <v>0.22591234463924931</v>
      </c>
      <c r="F24" s="228">
        <v>0.20476934519185361</v>
      </c>
      <c r="G24" s="228">
        <v>0.35535989666450579</v>
      </c>
      <c r="H24" s="228">
        <v>0.35976739089457771</v>
      </c>
      <c r="I24" s="228">
        <v>0.35443834516011652</v>
      </c>
      <c r="J24" s="228">
        <v>0.24016291206303994</v>
      </c>
      <c r="K24" s="228">
        <v>0.23410756504706712</v>
      </c>
      <c r="L24" s="228">
        <v>0.26405944273900928</v>
      </c>
    </row>
    <row r="25" spans="1:12" ht="14.45">
      <c r="B25" s="99" t="s">
        <v>100</v>
      </c>
      <c r="C25" s="228"/>
      <c r="D25" s="228"/>
      <c r="E25" s="228"/>
      <c r="F25" s="228"/>
      <c r="G25" s="228"/>
      <c r="H25" s="228"/>
      <c r="I25" s="228"/>
      <c r="J25" s="228"/>
      <c r="K25" s="228"/>
      <c r="L25" s="228"/>
    </row>
    <row r="26" spans="1:12" ht="14.45">
      <c r="B26" s="90" t="s">
        <v>101</v>
      </c>
      <c r="C26" s="228"/>
      <c r="D26" s="228"/>
      <c r="E26" s="228"/>
      <c r="F26" s="228"/>
      <c r="G26" s="228"/>
      <c r="H26" s="228"/>
      <c r="I26" s="228"/>
      <c r="J26" s="228"/>
      <c r="K26" s="228"/>
      <c r="L26" s="228"/>
    </row>
    <row r="27" spans="1:12" ht="14.45">
      <c r="B27" s="99" t="s">
        <v>83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</row>
    <row r="28" spans="1:12" ht="14.45">
      <c r="B28" s="90" t="s">
        <v>84</v>
      </c>
      <c r="C28" s="228">
        <v>0.10366401602677947</v>
      </c>
      <c r="D28" s="228">
        <v>4.9791285087911821E-3</v>
      </c>
      <c r="E28" s="228">
        <v>8.6990957539672831E-3</v>
      </c>
      <c r="F28" s="228">
        <v>2.1403286692598458E-2</v>
      </c>
      <c r="G28" s="228">
        <v>8.6521768483988973E-2</v>
      </c>
      <c r="H28" s="228">
        <v>9.2418745160710331E-2</v>
      </c>
      <c r="I28" s="228">
        <v>9.5308003681039338E-2</v>
      </c>
      <c r="J28" s="228">
        <v>2.5179366139760146E-2</v>
      </c>
      <c r="K28" s="228">
        <v>2.7427623319558749E-2</v>
      </c>
      <c r="L28" s="228">
        <v>3.6644693878419822E-2</v>
      </c>
    </row>
    <row r="29" spans="1:12" ht="14.45">
      <c r="B29" s="90" t="s">
        <v>102</v>
      </c>
      <c r="C29" s="228">
        <v>0.25741416351582458</v>
      </c>
      <c r="D29" s="228">
        <v>0.47475461442470174</v>
      </c>
      <c r="E29" s="228">
        <v>0.47309013231184821</v>
      </c>
      <c r="F29" s="228">
        <v>0.59346690595014484</v>
      </c>
      <c r="G29" s="228">
        <v>0.29062189047777387</v>
      </c>
      <c r="H29" s="228">
        <v>0.28378980928479264</v>
      </c>
      <c r="I29" s="228">
        <v>0.30491294255765539</v>
      </c>
      <c r="J29" s="228">
        <v>0.35188480121631338</v>
      </c>
      <c r="K29" s="228">
        <v>0.42614588607338072</v>
      </c>
      <c r="L29" s="228">
        <v>0.38569896660788255</v>
      </c>
    </row>
    <row r="30" spans="1:12" ht="14.45">
      <c r="B30" s="90" t="s">
        <v>103</v>
      </c>
      <c r="C30" s="228">
        <v>5.0864586829587354E-2</v>
      </c>
      <c r="D30" s="228">
        <v>6.8212320229515053E-3</v>
      </c>
      <c r="E30" s="228">
        <v>1.206515205652208E-2</v>
      </c>
      <c r="F30" s="228">
        <v>5.6671521833393947E-2</v>
      </c>
      <c r="G30" s="228">
        <v>5.4654003762069081E-2</v>
      </c>
      <c r="H30" s="228">
        <v>5.5574311322709478E-2</v>
      </c>
      <c r="I30" s="228">
        <v>6.7479628714612397E-2</v>
      </c>
      <c r="J30" s="228">
        <v>2.1463423141422584E-2</v>
      </c>
      <c r="K30" s="228">
        <v>3.0839953808625337E-2</v>
      </c>
      <c r="L30" s="228">
        <v>3.6261474047195714E-2</v>
      </c>
    </row>
    <row r="31" spans="1:12" ht="14.45">
      <c r="B31" s="90" t="s">
        <v>105</v>
      </c>
      <c r="C31" s="228">
        <v>0.28117847936152124</v>
      </c>
      <c r="D31" s="228">
        <v>0.18048740106872116</v>
      </c>
      <c r="E31" s="228">
        <v>0.14704210574669535</v>
      </c>
      <c r="F31" s="228">
        <v>0.20525015756822076</v>
      </c>
      <c r="G31" s="228">
        <v>0.26279967074539218</v>
      </c>
      <c r="H31" s="228">
        <v>0.27638488587213306</v>
      </c>
      <c r="I31" s="228">
        <v>0.26967942476488815</v>
      </c>
      <c r="J31" s="228">
        <v>0.20183358674780927</v>
      </c>
      <c r="K31" s="228">
        <v>0.21134838898740665</v>
      </c>
      <c r="L31" s="228">
        <v>0.19694405071338303</v>
      </c>
    </row>
    <row r="32" spans="1:12" ht="14.45">
      <c r="B32" s="90" t="s">
        <v>106</v>
      </c>
      <c r="C32" s="228">
        <v>0.18838482630876585</v>
      </c>
      <c r="D32" s="228">
        <v>0.12915454067729354</v>
      </c>
      <c r="E32" s="228">
        <v>0.1037380550284283</v>
      </c>
      <c r="F32" s="228">
        <v>0.17701090281339443</v>
      </c>
      <c r="G32" s="228">
        <v>0.22402149726273343</v>
      </c>
      <c r="H32" s="228">
        <v>0.232007670028609</v>
      </c>
      <c r="I32" s="228">
        <v>0.21838891639960548</v>
      </c>
      <c r="J32" s="228">
        <v>0.17267718179175012</v>
      </c>
      <c r="K32" s="228">
        <v>0.17362601659559862</v>
      </c>
      <c r="L32" s="228">
        <v>0.17125132722024969</v>
      </c>
    </row>
    <row r="33" spans="2:12" ht="14.45">
      <c r="B33" s="90" t="s">
        <v>107</v>
      </c>
      <c r="C33" s="228">
        <v>1.6889319727143176E-3</v>
      </c>
      <c r="D33" s="228">
        <v>1.7153850607630448E-3</v>
      </c>
      <c r="E33" s="228">
        <v>1.7921053850611665E-3</v>
      </c>
      <c r="F33" s="228">
        <v>0</v>
      </c>
      <c r="G33" s="228">
        <v>0</v>
      </c>
      <c r="H33" s="228">
        <v>0</v>
      </c>
      <c r="I33" s="228">
        <v>0</v>
      </c>
      <c r="J33" s="228">
        <v>0</v>
      </c>
      <c r="K33" s="228">
        <v>0</v>
      </c>
      <c r="L33" s="228">
        <v>0</v>
      </c>
    </row>
    <row r="34" spans="2:12" ht="14.45">
      <c r="B34" s="90" t="s">
        <v>108</v>
      </c>
      <c r="C34" s="228">
        <v>0.14978837534289544</v>
      </c>
      <c r="D34" s="228">
        <v>0.10763132723403221</v>
      </c>
      <c r="E34" s="228">
        <v>8.3528394974427586E-2</v>
      </c>
      <c r="F34" s="228">
        <v>0.14740407298309921</v>
      </c>
      <c r="G34" s="228">
        <v>0.16450572945370998</v>
      </c>
      <c r="H34" s="228">
        <v>0.16990382468792126</v>
      </c>
      <c r="I34" s="228">
        <v>0.15588442099595312</v>
      </c>
      <c r="J34" s="228">
        <v>0.13883827364170409</v>
      </c>
      <c r="K34" s="228">
        <v>0.14041273083190237</v>
      </c>
      <c r="L34" s="228">
        <v>0.13515775611338435</v>
      </c>
    </row>
    <row r="35" spans="2:12" ht="14.45">
      <c r="B35" s="90" t="s">
        <v>110</v>
      </c>
      <c r="C35" s="228">
        <v>0.11800483721459713</v>
      </c>
      <c r="D35" s="228">
        <v>0.12675514964687595</v>
      </c>
      <c r="E35" s="228">
        <v>0.10067358347108002</v>
      </c>
      <c r="F35" s="228">
        <v>5.3367462257584548E-2</v>
      </c>
      <c r="G35" s="228">
        <v>4.3302198545886121E-2</v>
      </c>
      <c r="H35" s="228">
        <v>5.8974291916017219E-2</v>
      </c>
      <c r="I35" s="228">
        <v>4.1797812802805499E-2</v>
      </c>
      <c r="J35" s="228">
        <v>3.9852185448152541E-2</v>
      </c>
      <c r="K35" s="228">
        <v>7.2852537996085931E-2</v>
      </c>
      <c r="L35" s="228">
        <v>5.4640365308192176E-2</v>
      </c>
    </row>
    <row r="36" spans="2:12" ht="14.45">
      <c r="B36" s="90" t="s">
        <v>111</v>
      </c>
      <c r="C36" s="228">
        <v>1.2881880388370185E-2</v>
      </c>
      <c r="D36" s="228">
        <v>1.2663382408461696E-2</v>
      </c>
      <c r="E36" s="228">
        <v>1.3661078286910861E-2</v>
      </c>
      <c r="F36" s="228">
        <v>5.1649462632815156E-3</v>
      </c>
      <c r="G36" s="228">
        <v>1.1631406682626745E-2</v>
      </c>
      <c r="H36" s="228">
        <v>1.1186820476524634E-2</v>
      </c>
      <c r="I36" s="228">
        <v>1.1457956136211147E-2</v>
      </c>
      <c r="J36" s="228">
        <v>1.056484941362258E-2</v>
      </c>
      <c r="K36" s="228">
        <v>1.108953397406826E-2</v>
      </c>
      <c r="L36" s="228">
        <v>1.0959528050384235E-2</v>
      </c>
    </row>
    <row r="37" spans="2:12" ht="14.45">
      <c r="B37" s="90" t="s">
        <v>112</v>
      </c>
      <c r="C37" s="228">
        <v>0.12176193961482382</v>
      </c>
      <c r="D37" s="228">
        <v>0.11269645695005888</v>
      </c>
      <c r="E37" s="228">
        <v>0.11464342642449089</v>
      </c>
      <c r="F37" s="228">
        <v>9.7586092112738592E-3</v>
      </c>
      <c r="G37" s="228">
        <v>9.6455287494653201E-3</v>
      </c>
      <c r="H37" s="228">
        <v>9.3098922725698731E-3</v>
      </c>
      <c r="I37" s="228">
        <v>8.9743258736175672E-3</v>
      </c>
      <c r="J37" s="228">
        <v>9.1317630439297047E-3</v>
      </c>
      <c r="K37" s="228">
        <v>8.6975333584485004E-3</v>
      </c>
      <c r="L37" s="228">
        <v>9.0698476520906599E-3</v>
      </c>
    </row>
    <row r="38" spans="2:12" ht="15" thickBot="1">
      <c r="B38" s="92" t="s">
        <v>113</v>
      </c>
      <c r="C38" s="228">
        <v>0.46669716661051408</v>
      </c>
      <c r="D38" s="228">
        <v>0.52824066502259104</v>
      </c>
      <c r="E38" s="228">
        <v>0.50746862287477268</v>
      </c>
      <c r="F38" s="228">
        <v>4.7656592358249573E-2</v>
      </c>
      <c r="G38" s="228">
        <v>2.7142986138842883E-2</v>
      </c>
      <c r="H38" s="228">
        <v>2.5877532283902688E-2</v>
      </c>
      <c r="I38" s="228">
        <v>2.5319850394751844E-2</v>
      </c>
      <c r="J38" s="228">
        <v>3.8023202523180283E-2</v>
      </c>
      <c r="K38" s="228">
        <v>3.7151868017164968E-2</v>
      </c>
      <c r="L38" s="228">
        <v>3.4347749726394386E-2</v>
      </c>
    </row>
    <row r="40" spans="2:12">
      <c r="F40" s="228"/>
      <c r="G40" s="228"/>
      <c r="H40" s="228"/>
      <c r="I40" s="228"/>
      <c r="J40" s="228"/>
      <c r="K40" s="228"/>
      <c r="L40" s="22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14" zoomScaleNormal="100" zoomScaleSheetLayoutView="100" workbookViewId="0">
      <selection activeCell="E38" sqref="A1:H56"/>
    </sheetView>
  </sheetViews>
  <sheetFormatPr defaultColWidth="8.85546875" defaultRowHeight="14.45"/>
  <cols>
    <col min="1" max="1" width="48" style="286" customWidth="1"/>
    <col min="2" max="2" width="20.7109375" style="294" customWidth="1"/>
    <col min="3" max="3" width="26.140625" style="286" customWidth="1"/>
    <col min="4" max="4" width="22.140625" style="286" customWidth="1"/>
    <col min="5" max="5" width="24.42578125" style="286" customWidth="1"/>
    <col min="6" max="6" width="21.42578125" style="286" customWidth="1"/>
    <col min="7" max="7" width="23.140625" style="295" customWidth="1"/>
    <col min="8" max="8" width="13.7109375" style="286" bestFit="1" customWidth="1"/>
    <col min="9" max="16384" width="8.85546875" style="286"/>
  </cols>
  <sheetData>
    <row r="1" spans="1:8">
      <c r="A1" s="396" t="s">
        <v>271</v>
      </c>
      <c r="B1" s="397"/>
      <c r="C1" s="397"/>
      <c r="D1" s="397"/>
      <c r="E1" s="397"/>
      <c r="F1" s="398"/>
      <c r="G1" s="399"/>
    </row>
    <row r="2" spans="1:8">
      <c r="A2" s="400" t="s">
        <v>272</v>
      </c>
      <c r="B2" s="401"/>
      <c r="C2" s="401"/>
      <c r="D2" s="401"/>
      <c r="E2" s="401"/>
      <c r="F2" s="402"/>
      <c r="G2" s="403"/>
    </row>
    <row r="3" spans="1:8">
      <c r="A3" s="264"/>
      <c r="B3" s="404" t="s">
        <v>273</v>
      </c>
      <c r="C3" s="271" t="s">
        <v>274</v>
      </c>
      <c r="D3" s="406" t="s">
        <v>275</v>
      </c>
      <c r="E3" s="407"/>
      <c r="F3" s="408" t="s">
        <v>116</v>
      </c>
      <c r="G3" s="410" t="s">
        <v>276</v>
      </c>
    </row>
    <row r="4" spans="1:8" ht="21.75" customHeight="1">
      <c r="A4" s="90"/>
      <c r="B4" s="405"/>
      <c r="C4" s="238">
        <v>2019</v>
      </c>
      <c r="D4" s="239" t="s">
        <v>277</v>
      </c>
      <c r="E4" s="240" t="s">
        <v>278</v>
      </c>
      <c r="F4" s="409"/>
      <c r="G4" s="411"/>
    </row>
    <row r="5" spans="1:8">
      <c r="A5" s="392" t="s">
        <v>279</v>
      </c>
      <c r="B5" s="393"/>
      <c r="C5" s="393"/>
      <c r="D5" s="393"/>
      <c r="E5" s="393"/>
      <c r="F5" s="394"/>
      <c r="G5" s="395"/>
    </row>
    <row r="6" spans="1:8">
      <c r="A6" s="254" t="s">
        <v>280</v>
      </c>
      <c r="B6" s="255" t="s">
        <v>281</v>
      </c>
      <c r="C6" s="253">
        <f>C33</f>
        <v>98409139</v>
      </c>
      <c r="D6" s="253">
        <f>D33</f>
        <v>153985536.19000003</v>
      </c>
      <c r="E6" s="253">
        <f>E33</f>
        <v>175657416.46000001</v>
      </c>
      <c r="F6" s="253">
        <f>F33</f>
        <v>82862280</v>
      </c>
      <c r="G6" s="253">
        <f>G33</f>
        <v>92813819771.184998</v>
      </c>
      <c r="H6" s="298">
        <f>F6-C6</f>
        <v>-15546859</v>
      </c>
    </row>
    <row r="7" spans="1:8">
      <c r="A7" s="254" t="s">
        <v>282</v>
      </c>
      <c r="B7" s="256" t="s">
        <v>283</v>
      </c>
      <c r="C7" s="268">
        <f>C33/C29</f>
        <v>0.14919599732487918</v>
      </c>
      <c r="D7" s="268">
        <f>D33/D29</f>
        <v>0.21974079100548016</v>
      </c>
      <c r="E7" s="268">
        <f>E33/E29</f>
        <v>0.23992254014155917</v>
      </c>
      <c r="F7" s="268">
        <f>F33/F29</f>
        <v>0.18351443460993205</v>
      </c>
      <c r="G7" s="268">
        <f>G33/G29</f>
        <v>0.15852844215836145</v>
      </c>
    </row>
    <row r="8" spans="1:8">
      <c r="A8" s="254" t="s">
        <v>28</v>
      </c>
      <c r="B8" s="256" t="s">
        <v>284</v>
      </c>
      <c r="C8" s="270">
        <f>C34/C29</f>
        <v>0.11007418893107167</v>
      </c>
      <c r="D8" s="270">
        <f>D34/D29</f>
        <v>0.18075964856116333</v>
      </c>
      <c r="E8" s="270">
        <f>E34/E29</f>
        <v>0.20203819807576381</v>
      </c>
      <c r="F8" s="268">
        <f>F34/F29</f>
        <v>7.3371062975123427E-2</v>
      </c>
      <c r="G8" s="268">
        <f>G34/G29</f>
        <v>9.2879021526115629E-2</v>
      </c>
    </row>
    <row r="9" spans="1:8">
      <c r="A9" s="392" t="s">
        <v>285</v>
      </c>
      <c r="B9" s="393"/>
      <c r="C9" s="393"/>
      <c r="D9" s="393"/>
      <c r="E9" s="393"/>
      <c r="F9" s="394"/>
      <c r="G9" s="395"/>
    </row>
    <row r="10" spans="1:8">
      <c r="A10" s="254" t="s">
        <v>286</v>
      </c>
      <c r="B10" s="255" t="s">
        <v>287</v>
      </c>
      <c r="C10" s="270">
        <f>C35/C32</f>
        <v>0</v>
      </c>
      <c r="D10" s="270">
        <f>D35/D32</f>
        <v>6.680461637070903E-2</v>
      </c>
      <c r="E10" s="270">
        <f>E35/E32</f>
        <v>5.8669004320712224E-2</v>
      </c>
      <c r="F10" s="270">
        <f>F35/F32</f>
        <v>0.10682593292484499</v>
      </c>
      <c r="G10" s="270">
        <f>G35/G32</f>
        <v>8.1923115843372349E-2</v>
      </c>
    </row>
    <row r="11" spans="1:8">
      <c r="A11" s="254" t="s">
        <v>147</v>
      </c>
      <c r="B11" s="255" t="s">
        <v>288</v>
      </c>
      <c r="C11" s="268">
        <f>C36/C29</f>
        <v>4.1460676614543251E-2</v>
      </c>
      <c r="D11" s="268">
        <f>D36/D29</f>
        <v>3.450476512838186E-2</v>
      </c>
      <c r="E11" s="268">
        <f>E36/E29</f>
        <v>3.1473270026014293E-2</v>
      </c>
      <c r="F11" s="268">
        <f>F36/F29</f>
        <v>0.12852221526612051</v>
      </c>
      <c r="G11" s="268">
        <f>G36/G29</f>
        <v>0.10331964188281548</v>
      </c>
    </row>
    <row r="12" spans="1:8">
      <c r="A12" s="254" t="s">
        <v>289</v>
      </c>
      <c r="B12" s="255" t="s">
        <v>287</v>
      </c>
      <c r="C12" s="257">
        <f>C38/C31</f>
        <v>8.6859989292853296E-3</v>
      </c>
      <c r="D12" s="257">
        <f>D38/D31</f>
        <v>7.9726879541608467E-3</v>
      </c>
      <c r="E12" s="257">
        <f>E38/E31</f>
        <v>7.8282924204748777E-3</v>
      </c>
      <c r="F12" s="257">
        <f>F38/F31</f>
        <v>2.9466028558510984E-4</v>
      </c>
      <c r="G12" s="257">
        <f>G38/G31</f>
        <v>3.3894147010812434E-2</v>
      </c>
    </row>
    <row r="13" spans="1:8" s="287" customFormat="1">
      <c r="A13" s="258" t="s">
        <v>290</v>
      </c>
      <c r="B13" s="255" t="s">
        <v>291</v>
      </c>
      <c r="C13" s="269">
        <f>C38/C33</f>
        <v>4.2969139278822469E-2</v>
      </c>
      <c r="D13" s="269">
        <f>D38/D33</f>
        <v>2.7460728095802852E-2</v>
      </c>
      <c r="E13" s="269">
        <f>E38/E33</f>
        <v>2.4072737862240561E-2</v>
      </c>
      <c r="F13" s="269">
        <f>F38/F33</f>
        <v>1.2292203400630539E-3</v>
      </c>
      <c r="G13" s="269">
        <f>G38/G33</f>
        <v>0.14648773764078013</v>
      </c>
    </row>
    <row r="14" spans="1:8">
      <c r="A14" s="392" t="s">
        <v>292</v>
      </c>
      <c r="B14" s="393"/>
      <c r="C14" s="393"/>
      <c r="D14" s="393"/>
      <c r="E14" s="393"/>
      <c r="F14" s="394"/>
      <c r="G14" s="395"/>
    </row>
    <row r="15" spans="1:8">
      <c r="A15" s="254" t="s">
        <v>293</v>
      </c>
      <c r="B15" s="255"/>
      <c r="C15" s="270">
        <f>C48/C32</f>
        <v>0.18432222967654191</v>
      </c>
      <c r="D15" s="270">
        <f>D48/D32</f>
        <v>0.12920339640568926</v>
      </c>
      <c r="E15" s="270">
        <f>E48/E32</f>
        <v>0.17383407041543647</v>
      </c>
      <c r="F15" s="270">
        <f>F48/F32</f>
        <v>3.9498888802775745E-2</v>
      </c>
      <c r="G15" s="270">
        <f>G48/G32</f>
        <v>0.17443870315662696</v>
      </c>
    </row>
    <row r="16" spans="1:8">
      <c r="A16" s="254" t="s">
        <v>294</v>
      </c>
      <c r="B16" s="255"/>
      <c r="C16" s="270">
        <f>C49/C44</f>
        <v>0.81230274644767986</v>
      </c>
      <c r="D16" s="270">
        <f>D49/D44</f>
        <v>0.33068826204585827</v>
      </c>
      <c r="E16" s="270">
        <f>E49/E44</f>
        <v>0.33091343328538642</v>
      </c>
      <c r="F16" s="270">
        <f>F49/F44</f>
        <v>0.92335238665552344</v>
      </c>
      <c r="G16" s="270">
        <f>G49/G44</f>
        <v>0.69938820574704474</v>
      </c>
    </row>
    <row r="17" spans="1:9">
      <c r="A17" s="254" t="s">
        <v>295</v>
      </c>
      <c r="B17" s="255"/>
      <c r="C17" s="269">
        <f>C50/C30</f>
        <v>2.2379769613754919E-2</v>
      </c>
      <c r="D17" s="269">
        <f>D50/D30</f>
        <v>8.1626280696577722E-2</v>
      </c>
      <c r="E17" s="269">
        <f>E50/E30</f>
        <v>0.10964544222755615</v>
      </c>
      <c r="F17" s="269">
        <f>F50/F30</f>
        <v>8.9196745448626557E-3</v>
      </c>
      <c r="G17" s="269">
        <f>G50/G30</f>
        <v>3.841044164466715E-2</v>
      </c>
    </row>
    <row r="18" spans="1:9">
      <c r="A18" s="258" t="s">
        <v>296</v>
      </c>
      <c r="B18" s="259"/>
      <c r="C18" s="269">
        <f>C47/C44</f>
        <v>0.32162796115314152</v>
      </c>
      <c r="D18" s="269">
        <f>D47/D44</f>
        <v>0.28452021663262222</v>
      </c>
      <c r="E18" s="269">
        <f>E47/E44</f>
        <v>0.28396283960033991</v>
      </c>
      <c r="F18" s="269">
        <f>F47/F44</f>
        <v>0.56048519530694085</v>
      </c>
      <c r="G18" s="269">
        <f>G47/G44</f>
        <v>0.30079836895724715</v>
      </c>
    </row>
    <row r="19" spans="1:9">
      <c r="A19" s="392" t="s">
        <v>297</v>
      </c>
      <c r="B19" s="393"/>
      <c r="C19" s="393"/>
      <c r="D19" s="393"/>
      <c r="E19" s="393"/>
      <c r="F19" s="394"/>
      <c r="G19" s="395"/>
    </row>
    <row r="20" spans="1:9">
      <c r="A20" s="254" t="s">
        <v>298</v>
      </c>
      <c r="B20" s="260" t="s">
        <v>299</v>
      </c>
      <c r="C20" s="268">
        <f>C40/C41</f>
        <v>0.59313783443023149</v>
      </c>
      <c r="D20" s="268">
        <f>D40/D41</f>
        <v>1.4178168206476982</v>
      </c>
      <c r="E20" s="268">
        <f>E40/E41</f>
        <v>2.0006731708475938</v>
      </c>
      <c r="F20" s="268">
        <f>F40/F41</f>
        <v>0.90452940805522208</v>
      </c>
      <c r="G20" s="268">
        <f>G40/G41</f>
        <v>0.61510570462426006</v>
      </c>
      <c r="I20" s="242"/>
    </row>
    <row r="21" spans="1:9">
      <c r="A21" s="254" t="s">
        <v>300</v>
      </c>
      <c r="B21" s="255" t="s">
        <v>301</v>
      </c>
      <c r="C21" s="268">
        <f>C42/C29</f>
        <v>1.1611646592205726E-5</v>
      </c>
      <c r="D21" s="268">
        <f>D42/D29</f>
        <v>1.1921445449206786E-2</v>
      </c>
      <c r="E21" s="268">
        <f>E42/E29</f>
        <v>1.0282181516231097E-2</v>
      </c>
      <c r="F21" s="268">
        <f>F42/F29</f>
        <v>0</v>
      </c>
      <c r="G21" s="268">
        <f>G42/G29</f>
        <v>3.6576677282176132E-2</v>
      </c>
      <c r="I21" s="243"/>
    </row>
    <row r="22" spans="1:9">
      <c r="A22" s="254" t="s">
        <v>302</v>
      </c>
      <c r="B22" s="255"/>
      <c r="C22" s="268">
        <f>C40/C29</f>
        <v>6.7680720652838644E-2</v>
      </c>
      <c r="D22" s="268">
        <f>D40/D29</f>
        <v>0.12936886465819566</v>
      </c>
      <c r="E22" s="268">
        <f>E40/E29</f>
        <v>0.15742858586785072</v>
      </c>
      <c r="F22" s="268">
        <f>F40/F29</f>
        <v>0.18018136069086343</v>
      </c>
      <c r="G22" s="268">
        <f>G40/G29</f>
        <v>0.11724056070831325</v>
      </c>
    </row>
    <row r="23" spans="1:9">
      <c r="A23" s="392" t="s">
        <v>303</v>
      </c>
      <c r="B23" s="393"/>
      <c r="C23" s="393"/>
      <c r="D23" s="393"/>
      <c r="E23" s="393"/>
      <c r="F23" s="394"/>
      <c r="G23" s="395"/>
    </row>
    <row r="24" spans="1:9">
      <c r="A24" s="261" t="s">
        <v>304</v>
      </c>
      <c r="B24" s="259" t="s">
        <v>305</v>
      </c>
      <c r="C24" s="269">
        <f>C32/C29</f>
        <v>0.82800207020543437</v>
      </c>
      <c r="D24" s="269">
        <f>D32/D29</f>
        <v>0.86523081232939758</v>
      </c>
      <c r="E24" s="269">
        <f>E32/E29</f>
        <v>0.83846194422529452</v>
      </c>
      <c r="F24" s="269">
        <f>F32/F29</f>
        <v>0.74666221764558571</v>
      </c>
      <c r="G24" s="269">
        <f>G32/G29</f>
        <v>0.75523899350036761</v>
      </c>
    </row>
    <row r="25" spans="1:9">
      <c r="A25" s="261" t="s">
        <v>306</v>
      </c>
      <c r="B25" s="262" t="s">
        <v>307</v>
      </c>
      <c r="C25" s="269">
        <f>C32/C31</f>
        <v>1.1218566531308134</v>
      </c>
      <c r="D25" s="269">
        <f>D32/D31</f>
        <v>1.1431784050820011</v>
      </c>
      <c r="E25" s="269">
        <f>E32/E31</f>
        <v>1.1364592253033425</v>
      </c>
      <c r="F25" s="269">
        <f>F32/F31</f>
        <v>0.97531704302293587</v>
      </c>
      <c r="G25" s="269">
        <f>G32/G31</f>
        <v>1.1023021383861471</v>
      </c>
    </row>
    <row r="26" spans="1:9">
      <c r="A26" s="261" t="s">
        <v>308</v>
      </c>
      <c r="B26" s="262"/>
      <c r="C26" s="269">
        <f>C39/C31</f>
        <v>0.11977916882243211</v>
      </c>
      <c r="D26" s="269">
        <f>D39/D31</f>
        <v>7.9726879541608467E-3</v>
      </c>
      <c r="E26" s="269">
        <f>E39/E31</f>
        <v>7.8282924204748777E-3</v>
      </c>
      <c r="F26" s="269">
        <f>F39/F31</f>
        <v>2.9466028558510984E-4</v>
      </c>
      <c r="G26" s="269">
        <f>G39/G31</f>
        <v>6.7272666508328971E-2</v>
      </c>
    </row>
    <row r="27" spans="1:9">
      <c r="A27" s="261" t="s">
        <v>309</v>
      </c>
      <c r="B27" s="263"/>
      <c r="C27" s="269">
        <f>C46/C44</f>
        <v>0.48412626546975585</v>
      </c>
      <c r="D27" s="269">
        <f>D46/D44</f>
        <v>1.2481243403697214E-2</v>
      </c>
      <c r="E27" s="269">
        <f>E46/E44</f>
        <v>1.1558499799963928E-2</v>
      </c>
      <c r="F27" s="269">
        <f>F46/F44</f>
        <v>0.18972264351000864</v>
      </c>
      <c r="G27" s="269">
        <f>G46/G44</f>
        <v>0.33833568901269484</v>
      </c>
    </row>
    <row r="28" spans="1:9">
      <c r="A28" s="392" t="s">
        <v>310</v>
      </c>
      <c r="B28" s="393"/>
      <c r="C28" s="393">
        <v>2015</v>
      </c>
      <c r="D28" s="393">
        <v>2016</v>
      </c>
      <c r="E28" s="393">
        <v>2017</v>
      </c>
      <c r="F28" s="394"/>
      <c r="G28" s="395" t="s">
        <v>311</v>
      </c>
    </row>
    <row r="29" spans="1:9">
      <c r="A29" s="276" t="s">
        <v>59</v>
      </c>
      <c r="B29" s="265"/>
      <c r="C29" s="272">
        <v>659596375</v>
      </c>
      <c r="D29" s="272">
        <v>700759906.63999999</v>
      </c>
      <c r="E29" s="272">
        <v>732142200.38</v>
      </c>
      <c r="F29" s="272">
        <f>SFP!B27</f>
        <v>451530040</v>
      </c>
      <c r="G29" s="273">
        <v>585471089651.33801</v>
      </c>
    </row>
    <row r="30" spans="1:9">
      <c r="A30" s="276" t="s">
        <v>312</v>
      </c>
      <c r="B30" s="265"/>
      <c r="C30" s="272">
        <v>624882661.5</v>
      </c>
      <c r="D30" s="272">
        <v>669201874.61500001</v>
      </c>
      <c r="E30" s="272">
        <v>695624447.03999996</v>
      </c>
      <c r="F30" s="272">
        <f>(C29+F29)/2</f>
        <v>555563207.5</v>
      </c>
      <c r="G30" s="273">
        <v>569661220979.42395</v>
      </c>
    </row>
    <row r="31" spans="1:9">
      <c r="A31" s="276" t="s">
        <v>60</v>
      </c>
      <c r="B31" s="265"/>
      <c r="C31" s="273">
        <v>486824375</v>
      </c>
      <c r="D31" s="273">
        <v>530380088.16000003</v>
      </c>
      <c r="E31" s="273">
        <v>540163130.46000004</v>
      </c>
      <c r="F31" s="273">
        <f>SFP!B32</f>
        <v>345672644</v>
      </c>
      <c r="G31" s="273">
        <v>401133755504.83002</v>
      </c>
    </row>
    <row r="32" spans="1:9">
      <c r="A32" s="276" t="s">
        <v>313</v>
      </c>
      <c r="B32" s="265"/>
      <c r="C32" s="274">
        <v>546147164</v>
      </c>
      <c r="D32" s="274">
        <v>606319063.26999998</v>
      </c>
      <c r="E32" s="274">
        <v>613873372.77999997</v>
      </c>
      <c r="F32" s="274">
        <f>SFP!B15</f>
        <v>337140421</v>
      </c>
      <c r="G32" s="273">
        <v>442170596471.84003</v>
      </c>
    </row>
    <row r="33" spans="1:7">
      <c r="A33" s="276" t="s">
        <v>122</v>
      </c>
      <c r="B33" s="265"/>
      <c r="C33" s="272">
        <v>98409139</v>
      </c>
      <c r="D33" s="272">
        <v>153985536.19000003</v>
      </c>
      <c r="E33" s="272">
        <v>175657416.46000001</v>
      </c>
      <c r="F33" s="272">
        <f>Financials!C14</f>
        <v>82862280</v>
      </c>
      <c r="G33" s="273">
        <v>92813819771.184998</v>
      </c>
    </row>
    <row r="34" spans="1:7">
      <c r="A34" s="276" t="s">
        <v>314</v>
      </c>
      <c r="B34" s="265"/>
      <c r="C34" s="272">
        <v>72604536</v>
      </c>
      <c r="D34" s="272">
        <v>126669114.45000003</v>
      </c>
      <c r="E34" s="272">
        <v>147920690.90000001</v>
      </c>
      <c r="F34" s="272">
        <f>Financials!C15</f>
        <v>33129239</v>
      </c>
      <c r="G34" s="273">
        <v>54377981938.644997</v>
      </c>
    </row>
    <row r="35" spans="1:7">
      <c r="A35" s="276" t="s">
        <v>315</v>
      </c>
      <c r="B35" s="265"/>
      <c r="C35" s="273">
        <v>0</v>
      </c>
      <c r="D35" s="273">
        <v>40504912.420000002</v>
      </c>
      <c r="E35" s="273">
        <v>36015339.560000002</v>
      </c>
      <c r="F35" s="273">
        <f>16172116+14580201+5263023</f>
        <v>36015340</v>
      </c>
      <c r="G35" s="273">
        <v>36223992997.295601</v>
      </c>
    </row>
    <row r="36" spans="1:7">
      <c r="A36" s="276" t="s">
        <v>147</v>
      </c>
      <c r="B36" s="265"/>
      <c r="C36" s="274">
        <v>27347312</v>
      </c>
      <c r="D36" s="274">
        <v>24179555.989999998</v>
      </c>
      <c r="E36" s="274">
        <v>23042909.170000002</v>
      </c>
      <c r="F36" s="274">
        <f>Financials!C38</f>
        <v>58031641</v>
      </c>
      <c r="G36" s="273">
        <v>60490663315.517998</v>
      </c>
    </row>
    <row r="37" spans="1:7">
      <c r="A37" s="276" t="s">
        <v>148</v>
      </c>
      <c r="B37" s="265"/>
      <c r="C37" s="272">
        <v>5678927</v>
      </c>
      <c r="D37" s="272">
        <v>5703357.4500000002</v>
      </c>
      <c r="E37" s="272">
        <v>5726553.9800000004</v>
      </c>
      <c r="F37" s="274">
        <f>Financials!C39</f>
        <v>23361056</v>
      </c>
      <c r="G37" s="273">
        <v>17300265302.768002</v>
      </c>
    </row>
    <row r="38" spans="1:7">
      <c r="A38" s="276" t="s">
        <v>316</v>
      </c>
      <c r="B38" s="265"/>
      <c r="C38" s="272">
        <v>4228556</v>
      </c>
      <c r="D38" s="272">
        <v>4228554.9400000004</v>
      </c>
      <c r="E38" s="272">
        <v>4228554.9400000004</v>
      </c>
      <c r="F38" s="272">
        <f>SFP!B12+SFP!B13</f>
        <v>101856</v>
      </c>
      <c r="G38" s="273">
        <v>13596086480.08</v>
      </c>
    </row>
    <row r="39" spans="1:7">
      <c r="A39" s="276" t="s">
        <v>193</v>
      </c>
      <c r="B39" s="265"/>
      <c r="C39" s="272">
        <v>58311419</v>
      </c>
      <c r="D39" s="272">
        <v>4228554.9400000004</v>
      </c>
      <c r="E39" s="272">
        <v>4228554.9400000004</v>
      </c>
      <c r="F39" s="272">
        <f>SFP!B8</f>
        <v>101856</v>
      </c>
      <c r="G39" s="273">
        <v>26985337359.310001</v>
      </c>
    </row>
    <row r="40" spans="1:7">
      <c r="A40" s="276" t="s">
        <v>317</v>
      </c>
      <c r="B40" s="265"/>
      <c r="C40" s="272">
        <v>44641958</v>
      </c>
      <c r="D40" s="272">
        <v>90656513.519999996</v>
      </c>
      <c r="E40" s="272">
        <v>115260111.26000001</v>
      </c>
      <c r="F40" s="272">
        <f>SFP!B4+SFP!B11</f>
        <v>81357297</v>
      </c>
      <c r="G40" s="273">
        <v>68640958829.230003</v>
      </c>
    </row>
    <row r="41" spans="1:7">
      <c r="A41" s="276" t="s">
        <v>318</v>
      </c>
      <c r="B41" s="265"/>
      <c r="C41" s="272">
        <v>75264054</v>
      </c>
      <c r="D41" s="272">
        <v>63940921.140000001</v>
      </c>
      <c r="E41" s="272">
        <v>57610664.719999999</v>
      </c>
      <c r="F41" s="272">
        <f>SFP!B29+SFP!B30+SFP!B33-SFP!B39</f>
        <v>89944336</v>
      </c>
      <c r="G41" s="273">
        <v>111592134999.235</v>
      </c>
    </row>
    <row r="42" spans="1:7">
      <c r="A42" s="276" t="s">
        <v>319</v>
      </c>
      <c r="B42" s="265"/>
      <c r="C42" s="272">
        <v>7659</v>
      </c>
      <c r="D42" s="272">
        <v>8354071</v>
      </c>
      <c r="E42" s="272">
        <v>7528019</v>
      </c>
      <c r="F42" s="272">
        <f>SFP!B39</f>
        <v>0</v>
      </c>
      <c r="G42" s="273">
        <v>21414587104.221001</v>
      </c>
    </row>
    <row r="43" spans="1:7">
      <c r="A43" s="276" t="s">
        <v>320</v>
      </c>
      <c r="B43" s="265"/>
      <c r="C43" s="272">
        <v>512412658.5</v>
      </c>
      <c r="D43" s="272">
        <v>576858696.53999996</v>
      </c>
      <c r="E43" s="272">
        <v>579967320.245</v>
      </c>
      <c r="F43" s="272">
        <f>(C32+E32)/2</f>
        <v>580010268.38999999</v>
      </c>
      <c r="G43" s="273">
        <v>431312247219.79498</v>
      </c>
    </row>
    <row r="44" spans="1:7">
      <c r="A44" s="276" t="s">
        <v>321</v>
      </c>
      <c r="B44" s="265"/>
      <c r="C44" s="272">
        <v>119501967</v>
      </c>
      <c r="D44" s="272">
        <v>93225263.090000004</v>
      </c>
      <c r="E44" s="272">
        <v>125316872.87</v>
      </c>
      <c r="F44" s="272">
        <f>SCI!B3</f>
        <v>70190209</v>
      </c>
      <c r="G44" s="273">
        <v>89459919464.139999</v>
      </c>
    </row>
    <row r="45" spans="1:7">
      <c r="A45" s="276" t="s">
        <v>322</v>
      </c>
      <c r="B45" s="265"/>
      <c r="C45" s="272">
        <v>60865365</v>
      </c>
      <c r="D45" s="272">
        <v>88921234.909999996</v>
      </c>
      <c r="E45" s="272">
        <v>119433171.29000001</v>
      </c>
      <c r="F45" s="272">
        <f>SCI!B19</f>
        <v>54237587</v>
      </c>
      <c r="G45" s="273">
        <v>53897611535.760002</v>
      </c>
    </row>
    <row r="46" spans="1:7">
      <c r="A46" s="276" t="s">
        <v>323</v>
      </c>
      <c r="B46" s="265"/>
      <c r="C46" s="272">
        <v>57854041</v>
      </c>
      <c r="D46" s="272">
        <v>1163567.2</v>
      </c>
      <c r="E46" s="272">
        <v>1448475.05</v>
      </c>
      <c r="F46" s="272">
        <f>SCI!B13</f>
        <v>13316672</v>
      </c>
      <c r="G46" s="273">
        <v>30267483490.919998</v>
      </c>
    </row>
    <row r="47" spans="1:7">
      <c r="A47" s="276" t="s">
        <v>258</v>
      </c>
      <c r="B47" s="265"/>
      <c r="C47" s="272">
        <v>38435174</v>
      </c>
      <c r="D47" s="272">
        <v>26524472.050000001</v>
      </c>
      <c r="E47" s="272">
        <v>35585335.07</v>
      </c>
      <c r="F47" s="272">
        <f>SCI!B23</f>
        <v>39340573</v>
      </c>
      <c r="G47" s="273">
        <v>26909397861.860001</v>
      </c>
    </row>
    <row r="48" spans="1:7">
      <c r="A48" s="276" t="s">
        <v>324</v>
      </c>
      <c r="B48" s="265"/>
      <c r="C48" s="272">
        <v>100667063</v>
      </c>
      <c r="D48" s="272">
        <v>78338482.280000001</v>
      </c>
      <c r="E48" s="272">
        <v>106712107.11</v>
      </c>
      <c r="F48" s="272">
        <f>SCI!B13+SCI!B15</f>
        <v>13316672</v>
      </c>
      <c r="G48" s="273">
        <v>77131665422.539993</v>
      </c>
    </row>
    <row r="49" spans="1:7">
      <c r="A49" s="276" t="s">
        <v>325</v>
      </c>
      <c r="B49" s="265"/>
      <c r="C49" s="272">
        <v>97071776</v>
      </c>
      <c r="D49" s="272">
        <v>30828500.23</v>
      </c>
      <c r="E49" s="272">
        <v>41469036.649999999</v>
      </c>
      <c r="F49" s="272">
        <f>SCI!B12+SCI!B20+SCI!B23</f>
        <v>64810297</v>
      </c>
      <c r="G49" s="273">
        <v>62567212560.300003</v>
      </c>
    </row>
    <row r="50" spans="1:7">
      <c r="A50" s="276" t="s">
        <v>326</v>
      </c>
      <c r="B50" s="265"/>
      <c r="C50" s="272">
        <v>13984730</v>
      </c>
      <c r="D50" s="272">
        <v>54624460.060000002</v>
      </c>
      <c r="E50" s="272">
        <v>76272050.120000005</v>
      </c>
      <c r="F50" s="272">
        <f>SCI!B37</f>
        <v>4955443</v>
      </c>
      <c r="G50" s="273">
        <v>21880939085.66</v>
      </c>
    </row>
    <row r="51" spans="1:7">
      <c r="A51" s="386" t="s">
        <v>327</v>
      </c>
      <c r="B51" s="387"/>
      <c r="C51" s="387"/>
      <c r="D51" s="387"/>
      <c r="E51" s="387"/>
      <c r="F51" s="387"/>
      <c r="G51" s="388"/>
    </row>
    <row r="52" spans="1:7">
      <c r="A52" s="245">
        <v>1</v>
      </c>
      <c r="B52" s="241"/>
      <c r="C52" s="246"/>
      <c r="D52" s="246"/>
      <c r="E52" s="246"/>
      <c r="F52" s="247"/>
      <c r="G52" s="248"/>
    </row>
    <row r="53" spans="1:7">
      <c r="A53" s="245">
        <v>2</v>
      </c>
      <c r="B53" s="241"/>
      <c r="C53" s="246"/>
      <c r="D53" s="246"/>
      <c r="E53" s="246"/>
      <c r="F53" s="247"/>
      <c r="G53" s="248"/>
    </row>
    <row r="54" spans="1:7">
      <c r="A54" s="245">
        <v>3</v>
      </c>
      <c r="B54" s="241"/>
      <c r="C54" s="246"/>
      <c r="D54" s="246"/>
      <c r="E54" s="246"/>
      <c r="F54" s="247"/>
      <c r="G54" s="248"/>
    </row>
    <row r="55" spans="1:7">
      <c r="A55" s="244">
        <v>4</v>
      </c>
      <c r="B55" s="246"/>
      <c r="C55" s="246"/>
      <c r="D55" s="246"/>
      <c r="E55" s="247"/>
      <c r="F55" s="247"/>
      <c r="G55" s="275"/>
    </row>
    <row r="56" spans="1:7">
      <c r="A56" s="266" t="s">
        <v>328</v>
      </c>
      <c r="B56" s="241"/>
      <c r="C56" s="389"/>
      <c r="D56" s="390"/>
      <c r="E56" s="390"/>
      <c r="F56" s="390"/>
      <c r="G56" s="391"/>
    </row>
    <row r="57" spans="1:7">
      <c r="A57" s="266"/>
      <c r="B57" s="241"/>
      <c r="C57" s="249"/>
      <c r="D57" s="249"/>
      <c r="E57" s="250"/>
      <c r="F57" s="250"/>
      <c r="G57" s="251"/>
    </row>
    <row r="58" spans="1:7">
      <c r="A58" s="267" t="s">
        <v>329</v>
      </c>
      <c r="B58" s="252"/>
      <c r="C58" s="389"/>
      <c r="D58" s="390"/>
      <c r="E58" s="390"/>
      <c r="F58" s="390"/>
      <c r="G58" s="391"/>
    </row>
    <row r="59" spans="1:7">
      <c r="A59" s="90"/>
      <c r="B59" s="241"/>
      <c r="C59" s="246"/>
      <c r="D59" s="246"/>
      <c r="E59" s="246"/>
      <c r="F59" s="247"/>
      <c r="G59" s="248"/>
    </row>
    <row r="60" spans="1:7">
      <c r="A60" s="266" t="s">
        <v>330</v>
      </c>
      <c r="B60" s="241"/>
      <c r="C60" s="389"/>
      <c r="D60" s="390"/>
      <c r="E60" s="390"/>
      <c r="F60" s="390"/>
      <c r="G60" s="391"/>
    </row>
    <row r="61" spans="1:7" ht="15" thickBot="1">
      <c r="A61" s="288"/>
      <c r="B61" s="289"/>
      <c r="C61" s="290"/>
      <c r="D61" s="290"/>
      <c r="E61" s="290"/>
      <c r="F61" s="291"/>
      <c r="G61" s="292"/>
    </row>
    <row r="62" spans="1:7">
      <c r="A62" s="293" t="s">
        <v>331</v>
      </c>
    </row>
    <row r="63" spans="1:7">
      <c r="A63" s="287"/>
    </row>
    <row r="64" spans="1:7">
      <c r="A64" s="287"/>
    </row>
  </sheetData>
  <mergeCells count="16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28" workbookViewId="0">
      <selection sqref="A1:G1"/>
    </sheetView>
  </sheetViews>
  <sheetFormatPr defaultRowHeight="14.4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396" t="s">
        <v>332</v>
      </c>
      <c r="B1" s="397"/>
      <c r="C1" s="397"/>
      <c r="D1" s="397"/>
      <c r="E1" s="397"/>
      <c r="F1" s="398"/>
      <c r="G1" s="399"/>
    </row>
    <row r="2" spans="1:7">
      <c r="A2" s="400" t="s">
        <v>333</v>
      </c>
      <c r="B2" s="401"/>
      <c r="C2" s="401"/>
      <c r="D2" s="401"/>
      <c r="E2" s="401"/>
      <c r="F2" s="402"/>
      <c r="G2" s="403"/>
    </row>
    <row r="3" spans="1:7">
      <c r="A3" s="264"/>
      <c r="B3" s="404" t="s">
        <v>273</v>
      </c>
      <c r="C3" s="271" t="s">
        <v>274</v>
      </c>
      <c r="D3" s="406" t="s">
        <v>275</v>
      </c>
      <c r="E3" s="407"/>
      <c r="F3" s="408" t="s">
        <v>334</v>
      </c>
      <c r="G3" s="410" t="s">
        <v>276</v>
      </c>
    </row>
    <row r="4" spans="1:7" ht="28.9">
      <c r="A4" s="90"/>
      <c r="B4" s="405"/>
      <c r="C4" s="238">
        <v>2018</v>
      </c>
      <c r="D4" s="239" t="s">
        <v>335</v>
      </c>
      <c r="E4" s="240" t="s">
        <v>336</v>
      </c>
      <c r="F4" s="409"/>
      <c r="G4" s="411"/>
    </row>
    <row r="5" spans="1:7">
      <c r="A5" s="392" t="s">
        <v>279</v>
      </c>
      <c r="B5" s="393"/>
      <c r="C5" s="393"/>
      <c r="D5" s="393"/>
      <c r="E5" s="393"/>
      <c r="F5" s="394"/>
      <c r="G5" s="395"/>
    </row>
    <row r="6" spans="1:7">
      <c r="A6" s="254" t="s">
        <v>280</v>
      </c>
      <c r="B6" s="255" t="s">
        <v>281</v>
      </c>
      <c r="C6" s="253">
        <v>92958252</v>
      </c>
      <c r="D6" s="253">
        <v>114415998.61</v>
      </c>
      <c r="E6" s="253">
        <v>127048808.22</v>
      </c>
      <c r="F6" s="253" t="e">
        <f>F33</f>
        <v>#REF!</v>
      </c>
      <c r="G6" s="253">
        <v>85391581296.029007</v>
      </c>
    </row>
    <row r="7" spans="1:7">
      <c r="A7" s="254" t="s">
        <v>282</v>
      </c>
      <c r="B7" s="256" t="s">
        <v>283</v>
      </c>
      <c r="C7" s="268">
        <v>0.15751125557354806</v>
      </c>
      <c r="D7" s="268">
        <v>0.17943558922369865</v>
      </c>
      <c r="E7" s="268">
        <v>0.19275909262397464</v>
      </c>
      <c r="F7" s="268" t="e">
        <f>F6/F29</f>
        <v>#REF!</v>
      </c>
      <c r="G7" s="268">
        <v>0.15597716421648317</v>
      </c>
    </row>
    <row r="8" spans="1:7">
      <c r="A8" s="254" t="s">
        <v>28</v>
      </c>
      <c r="B8" s="256" t="s">
        <v>284</v>
      </c>
      <c r="C8" s="270">
        <v>0.1181899814220656</v>
      </c>
      <c r="D8" s="270">
        <v>0.13976271198356527</v>
      </c>
      <c r="E8" s="270">
        <v>0.15360973590124533</v>
      </c>
      <c r="F8" s="268" t="e">
        <f>F34/F29</f>
        <v>#REF!</v>
      </c>
      <c r="G8" s="268">
        <v>9.1529476530776754E-2</v>
      </c>
    </row>
    <row r="9" spans="1:7">
      <c r="A9" s="392" t="s">
        <v>285</v>
      </c>
      <c r="B9" s="393"/>
      <c r="C9" s="393"/>
      <c r="D9" s="393"/>
      <c r="E9" s="393"/>
      <c r="F9" s="394"/>
      <c r="G9" s="395"/>
    </row>
    <row r="10" spans="1:7">
      <c r="A10" s="254" t="s">
        <v>286</v>
      </c>
      <c r="B10" s="255" t="s">
        <v>287</v>
      </c>
      <c r="C10" s="270">
        <v>0</v>
      </c>
      <c r="D10" s="270">
        <v>5.7997793674342386E-2</v>
      </c>
      <c r="E10" s="270">
        <v>4.9062416773035251E-2</v>
      </c>
      <c r="F10" s="270" t="e">
        <f>F35/F32</f>
        <v>#REF!</v>
      </c>
      <c r="G10" s="270">
        <v>7.3407956508729152E-2</v>
      </c>
    </row>
    <row r="11" spans="1:7">
      <c r="A11" s="254" t="s">
        <v>147</v>
      </c>
      <c r="B11" s="255" t="s">
        <v>288</v>
      </c>
      <c r="C11" s="268">
        <v>5.3369039673703739E-2</v>
      </c>
      <c r="D11" s="268">
        <v>4.313589934198693E-2</v>
      </c>
      <c r="E11" s="268">
        <v>4.1315651335798287E-2</v>
      </c>
      <c r="F11" s="268" t="e">
        <f>F36/F29</f>
        <v>#REF!</v>
      </c>
      <c r="G11" s="268">
        <v>0.10567686658211675</v>
      </c>
    </row>
    <row r="12" spans="1:7">
      <c r="A12" s="254" t="s">
        <v>289</v>
      </c>
      <c r="B12" s="255" t="s">
        <v>287</v>
      </c>
      <c r="C12" s="257">
        <v>0</v>
      </c>
      <c r="D12" s="257">
        <v>8.629787820115465E-3</v>
      </c>
      <c r="E12" s="257">
        <v>8.6830722287846648E-3</v>
      </c>
      <c r="F12" s="257" t="e">
        <f>F38/F31</f>
        <v>#REF!</v>
      </c>
      <c r="G12" s="257">
        <v>3.4924322826732836E-2</v>
      </c>
    </row>
    <row r="13" spans="1:7">
      <c r="A13" s="258" t="s">
        <v>290</v>
      </c>
      <c r="B13" s="255" t="s">
        <v>291</v>
      </c>
      <c r="C13" s="269">
        <v>0</v>
      </c>
      <c r="D13" s="269">
        <v>3.6957724368717991E-2</v>
      </c>
      <c r="E13" s="269">
        <v>3.3282917008381208E-2</v>
      </c>
      <c r="F13" s="269" t="e">
        <f>F38/F33</f>
        <v>#REF!</v>
      </c>
      <c r="G13" s="269">
        <v>0.15379721295547349</v>
      </c>
    </row>
    <row r="14" spans="1:7">
      <c r="A14" s="392" t="s">
        <v>292</v>
      </c>
      <c r="B14" s="393"/>
      <c r="C14" s="393"/>
      <c r="D14" s="393"/>
      <c r="E14" s="393"/>
      <c r="F14" s="394"/>
      <c r="G14" s="395"/>
    </row>
    <row r="15" spans="1:7">
      <c r="A15" s="254" t="s">
        <v>293</v>
      </c>
      <c r="B15" s="255"/>
      <c r="C15" s="270">
        <v>0.1927037977853984</v>
      </c>
      <c r="D15" s="270">
        <v>0.13877868068462679</v>
      </c>
      <c r="E15" s="270">
        <v>0.1873746590727593</v>
      </c>
      <c r="F15" s="270" t="e">
        <f>F48/F32</f>
        <v>#REF!</v>
      </c>
      <c r="G15" s="270">
        <v>0.16090340655515664</v>
      </c>
    </row>
    <row r="16" spans="1:7">
      <c r="A16" s="254" t="s">
        <v>294</v>
      </c>
      <c r="B16" s="255"/>
      <c r="C16" s="270">
        <v>0.79311986141810542</v>
      </c>
      <c r="D16" s="270">
        <v>0.35836604868678473</v>
      </c>
      <c r="E16" s="270">
        <v>0.33974950555086231</v>
      </c>
      <c r="F16" s="270" t="e">
        <f>F49/F44</f>
        <v>#REF!</v>
      </c>
      <c r="G16" s="270">
        <v>0.70779969699627798</v>
      </c>
    </row>
    <row r="17" spans="1:9">
      <c r="A17" s="254" t="s">
        <v>295</v>
      </c>
      <c r="B17" s="255"/>
      <c r="C17" s="269">
        <v>2.7977037909074701E-2</v>
      </c>
      <c r="D17" s="269">
        <v>8.1818348036064151E-2</v>
      </c>
      <c r="E17" s="269">
        <v>0.11400955414054095</v>
      </c>
      <c r="F17" s="269" t="e">
        <f>F50/F30</f>
        <v>#REF!</v>
      </c>
      <c r="G17" s="269">
        <v>3.697597245768388E-2</v>
      </c>
    </row>
    <row r="18" spans="1:9">
      <c r="A18" s="258" t="s">
        <v>296</v>
      </c>
      <c r="B18" s="259"/>
      <c r="C18" s="269">
        <v>0.30200756782358568</v>
      </c>
      <c r="D18" s="269">
        <v>0.31934512643499757</v>
      </c>
      <c r="E18" s="269">
        <v>0.30463818249029551</v>
      </c>
      <c r="F18" s="269" t="e">
        <f>F47/F45</f>
        <v>#REF!</v>
      </c>
      <c r="G18" s="269">
        <v>0.31992696870403498</v>
      </c>
    </row>
    <row r="19" spans="1:9">
      <c r="A19" s="392" t="s">
        <v>297</v>
      </c>
      <c r="B19" s="393"/>
      <c r="C19" s="393"/>
      <c r="D19" s="393"/>
      <c r="E19" s="393"/>
      <c r="F19" s="394"/>
      <c r="G19" s="395"/>
    </row>
    <row r="20" spans="1:9">
      <c r="A20" s="254" t="s">
        <v>298</v>
      </c>
      <c r="B20" s="260" t="s">
        <v>299</v>
      </c>
      <c r="C20" s="268">
        <v>1.1755674252429795</v>
      </c>
      <c r="D20" s="268">
        <v>1.0116662174612125</v>
      </c>
      <c r="E20" s="268">
        <v>1.4570233995613726</v>
      </c>
      <c r="F20" s="268" t="e">
        <f>F40/F41</f>
        <v>#REF!</v>
      </c>
      <c r="G20" s="268">
        <v>0.54995223824859307</v>
      </c>
      <c r="I20" s="242"/>
    </row>
    <row r="21" spans="1:9">
      <c r="A21" s="254" t="s">
        <v>300</v>
      </c>
      <c r="B21" s="255" t="s">
        <v>301</v>
      </c>
      <c r="C21" s="268">
        <v>0</v>
      </c>
      <c r="D21" s="268">
        <v>0</v>
      </c>
      <c r="E21" s="268">
        <v>0</v>
      </c>
      <c r="F21" s="268" t="e">
        <f>F42/F29</f>
        <v>#REF!</v>
      </c>
      <c r="G21" s="268">
        <v>3.9238044622780577E-2</v>
      </c>
      <c r="I21" s="243"/>
    </row>
    <row r="22" spans="1:9">
      <c r="A22" s="254" t="s">
        <v>302</v>
      </c>
      <c r="B22" s="255"/>
      <c r="C22" s="268">
        <v>0.14737887226150706</v>
      </c>
      <c r="D22" s="268">
        <v>0.12043217751163511</v>
      </c>
      <c r="E22" s="268">
        <v>0.14934900214320188</v>
      </c>
      <c r="F22" s="268" t="e">
        <f>F40/F29</f>
        <v>#REF!</v>
      </c>
      <c r="G22" s="268">
        <v>0.11016896486052413</v>
      </c>
    </row>
    <row r="23" spans="1:9">
      <c r="A23" s="392" t="s">
        <v>303</v>
      </c>
      <c r="B23" s="393"/>
      <c r="C23" s="393"/>
      <c r="D23" s="393"/>
      <c r="E23" s="393"/>
      <c r="F23" s="394"/>
      <c r="G23" s="395"/>
    </row>
    <row r="24" spans="1:9">
      <c r="A24" s="261" t="s">
        <v>304</v>
      </c>
      <c r="B24" s="259" t="s">
        <v>305</v>
      </c>
      <c r="C24" s="269">
        <v>0.8110866466664729</v>
      </c>
      <c r="D24" s="269">
        <v>0.85847034543070588</v>
      </c>
      <c r="E24" s="269">
        <v>0.8284869095238564</v>
      </c>
      <c r="F24" s="269" t="e">
        <f>F32/F29</f>
        <v>#REF!</v>
      </c>
      <c r="G24" s="269">
        <v>0.75892187654689014</v>
      </c>
    </row>
    <row r="25" spans="1:9">
      <c r="A25" s="261" t="s">
        <v>306</v>
      </c>
      <c r="B25" s="262" t="s">
        <v>307</v>
      </c>
      <c r="C25" s="269">
        <v>1.1046877794190588</v>
      </c>
      <c r="D25" s="269">
        <v>1.1171503046253162</v>
      </c>
      <c r="E25" s="269">
        <v>1.1213025480680283</v>
      </c>
      <c r="F25" s="269" t="e">
        <f>F32/F31</f>
        <v>#REF!</v>
      </c>
      <c r="G25" s="269">
        <v>1.1048811904759108</v>
      </c>
    </row>
    <row r="26" spans="1:9">
      <c r="A26" s="261" t="s">
        <v>308</v>
      </c>
      <c r="B26" s="262"/>
      <c r="C26" s="269">
        <v>9.7586092112738592E-3</v>
      </c>
      <c r="D26" s="269">
        <v>8.629787820115465E-3</v>
      </c>
      <c r="E26" s="269">
        <v>8.6830722287846648E-3</v>
      </c>
      <c r="F26" s="269" t="e">
        <f>F39/F29</f>
        <v>#REF!</v>
      </c>
      <c r="G26" s="269">
        <v>5.9782934598017992E-2</v>
      </c>
    </row>
    <row r="27" spans="1:9">
      <c r="A27" s="261" t="s">
        <v>309</v>
      </c>
      <c r="B27" s="263"/>
      <c r="C27" s="269">
        <v>0.48814818827257594</v>
      </c>
      <c r="D27" s="269">
        <v>1.203500084899308E-2</v>
      </c>
      <c r="E27" s="269">
        <v>1.2230217070811957E-2</v>
      </c>
      <c r="F27" s="269" t="e">
        <f>F46/F44</f>
        <v>#REF!</v>
      </c>
      <c r="G27" s="269">
        <v>0.3210852746392126</v>
      </c>
    </row>
    <row r="28" spans="1:9">
      <c r="A28" s="392" t="s">
        <v>310</v>
      </c>
      <c r="B28" s="393"/>
      <c r="C28" s="393">
        <v>2015</v>
      </c>
      <c r="D28" s="393">
        <v>2016</v>
      </c>
      <c r="E28" s="393">
        <v>2017</v>
      </c>
      <c r="F28" s="394"/>
      <c r="G28" s="395" t="s">
        <v>311</v>
      </c>
    </row>
    <row r="29" spans="1:9">
      <c r="A29" s="276" t="s">
        <v>59</v>
      </c>
      <c r="B29" s="265"/>
      <c r="C29" s="272">
        <v>590168948</v>
      </c>
      <c r="D29" s="272">
        <v>637643842.59000003</v>
      </c>
      <c r="E29" s="272">
        <v>659106693.70000005</v>
      </c>
      <c r="F29" s="272" t="e">
        <f>SFP!#REF!</f>
        <v>#REF!</v>
      </c>
      <c r="G29" s="273">
        <v>547462070649.73102</v>
      </c>
    </row>
    <row r="30" spans="1:9">
      <c r="A30" s="276" t="s">
        <v>312</v>
      </c>
      <c r="B30" s="265"/>
      <c r="C30" s="272">
        <v>564133381.5</v>
      </c>
      <c r="D30" s="272">
        <v>614923991.35000002</v>
      </c>
      <c r="E30" s="272">
        <v>641761675.34000003</v>
      </c>
      <c r="F30" s="272" t="e">
        <f>(F29+C29)/2</f>
        <v>#REF!</v>
      </c>
      <c r="G30" s="273">
        <v>520792906241.42297</v>
      </c>
    </row>
    <row r="31" spans="1:9">
      <c r="A31" s="276" t="s">
        <v>60</v>
      </c>
      <c r="B31" s="265"/>
      <c r="C31" s="273">
        <v>433315333</v>
      </c>
      <c r="D31" s="273">
        <v>489995238.37</v>
      </c>
      <c r="E31" s="273">
        <v>486988341.06</v>
      </c>
      <c r="F31" s="273" t="e">
        <f>SFP!#REF!</f>
        <v>#REF!</v>
      </c>
      <c r="G31" s="273">
        <v>376041284417.90002</v>
      </c>
    </row>
    <row r="32" spans="1:9">
      <c r="A32" s="276" t="s">
        <v>313</v>
      </c>
      <c r="B32" s="265"/>
      <c r="C32" s="274">
        <v>478678153</v>
      </c>
      <c r="D32" s="274">
        <v>547398329.80999994</v>
      </c>
      <c r="E32" s="274">
        <v>546061267.71000004</v>
      </c>
      <c r="F32" s="274" t="e">
        <f>SFP!#REF!</f>
        <v>#REF!</v>
      </c>
      <c r="G32" s="273">
        <v>415480941995.73999</v>
      </c>
    </row>
    <row r="33" spans="1:7">
      <c r="A33" s="276" t="s">
        <v>122</v>
      </c>
      <c r="B33" s="265"/>
      <c r="C33" s="272">
        <v>92958252</v>
      </c>
      <c r="D33" s="272">
        <v>114415998.61</v>
      </c>
      <c r="E33" s="272">
        <v>127048808.22</v>
      </c>
      <c r="F33" s="272" t="e">
        <f>Financials!#REF!</f>
        <v>#REF!</v>
      </c>
      <c r="G33" s="273">
        <v>85391581296.029007</v>
      </c>
    </row>
    <row r="34" spans="1:7">
      <c r="A34" s="276" t="s">
        <v>314</v>
      </c>
      <c r="B34" s="265"/>
      <c r="C34" s="272">
        <v>69752057</v>
      </c>
      <c r="D34" s="272">
        <v>89118832.719999999</v>
      </c>
      <c r="E34" s="272">
        <v>101245205.15000001</v>
      </c>
      <c r="F34" s="272" t="e">
        <f>Financials!#REF!</f>
        <v>#REF!</v>
      </c>
      <c r="G34" s="273">
        <v>50108916747.025002</v>
      </c>
    </row>
    <row r="35" spans="1:7">
      <c r="A35" s="276" t="s">
        <v>315</v>
      </c>
      <c r="B35" s="265"/>
      <c r="C35" s="273">
        <v>0</v>
      </c>
      <c r="D35" s="273">
        <v>31747895.390000001</v>
      </c>
      <c r="E35" s="273">
        <v>26791085.5</v>
      </c>
      <c r="F35" s="273">
        <f>22604726+734025+3452334</f>
        <v>26791085</v>
      </c>
      <c r="G35" s="273">
        <v>30499606920.229099</v>
      </c>
    </row>
    <row r="36" spans="1:7">
      <c r="A36" s="276" t="s">
        <v>147</v>
      </c>
      <c r="B36" s="265"/>
      <c r="C36" s="274">
        <v>31496750</v>
      </c>
      <c r="D36" s="274">
        <v>27505340.609999999</v>
      </c>
      <c r="E36" s="274">
        <v>27231422.350000001</v>
      </c>
      <c r="F36" s="274" t="e">
        <f>Financials!#REF!</f>
        <v>#REF!</v>
      </c>
      <c r="G36" s="273">
        <v>57854076198.820999</v>
      </c>
    </row>
    <row r="37" spans="1:7">
      <c r="A37" s="276" t="s">
        <v>148</v>
      </c>
      <c r="B37" s="265"/>
      <c r="C37" s="272">
        <v>7005759</v>
      </c>
      <c r="D37" s="272">
        <v>5982262.1699999999</v>
      </c>
      <c r="E37" s="272">
        <v>5325780.8099999996</v>
      </c>
      <c r="F37" s="274" t="e">
        <f>Financials!#REF!</f>
        <v>#REF!</v>
      </c>
      <c r="G37" s="273">
        <v>17751023583.351002</v>
      </c>
    </row>
    <row r="38" spans="1:7">
      <c r="A38" s="276" t="s">
        <v>316</v>
      </c>
      <c r="B38" s="265"/>
      <c r="C38" s="272">
        <v>0</v>
      </c>
      <c r="D38" s="272">
        <v>4228554.9400000004</v>
      </c>
      <c r="E38" s="272">
        <v>4228554.9400000004</v>
      </c>
      <c r="F38" s="272" t="e">
        <f>SFP!#REF!+SFP!#REF!</f>
        <v>#REF!</v>
      </c>
      <c r="G38" s="273">
        <v>13132987213.190001</v>
      </c>
    </row>
    <row r="39" spans="1:7">
      <c r="A39" s="276" t="s">
        <v>193</v>
      </c>
      <c r="B39" s="265"/>
      <c r="C39" s="272">
        <v>4228555</v>
      </c>
      <c r="D39" s="272">
        <v>4228554.9400000004</v>
      </c>
      <c r="E39" s="272">
        <v>4228554.9400000004</v>
      </c>
      <c r="F39" s="272" t="e">
        <f>SFP!#REF!</f>
        <v>#REF!</v>
      </c>
      <c r="G39" s="273">
        <v>22480851512.509998</v>
      </c>
    </row>
    <row r="40" spans="1:7">
      <c r="A40" s="276" t="s">
        <v>317</v>
      </c>
      <c r="B40" s="265"/>
      <c r="C40" s="272">
        <v>86978434</v>
      </c>
      <c r="D40" s="272">
        <v>76792836.439999998</v>
      </c>
      <c r="E40" s="272">
        <v>98436927.010000005</v>
      </c>
      <c r="F40" s="272" t="e">
        <f>SFP!#REF!</f>
        <v>#REF!</v>
      </c>
      <c r="G40" s="273">
        <v>60313329623.879997</v>
      </c>
    </row>
    <row r="41" spans="1:7">
      <c r="A41" s="276" t="s">
        <v>318</v>
      </c>
      <c r="B41" s="265"/>
      <c r="C41" s="272">
        <v>73988469</v>
      </c>
      <c r="D41" s="272">
        <v>75907285.540000007</v>
      </c>
      <c r="E41" s="272">
        <v>67560292.469999999</v>
      </c>
      <c r="F41" s="272" t="e">
        <f>SFP!#REF!+SFP!#REF!+SFP!#REF!-SFP!#REF!</f>
        <v>#REF!</v>
      </c>
      <c r="G41" s="273">
        <v>109670123020.05901</v>
      </c>
    </row>
    <row r="42" spans="1:7">
      <c r="A42" s="276" t="s">
        <v>319</v>
      </c>
      <c r="B42" s="265"/>
      <c r="C42" s="272">
        <v>0</v>
      </c>
      <c r="D42" s="272">
        <v>0</v>
      </c>
      <c r="E42" s="272">
        <v>0</v>
      </c>
      <c r="F42" s="272" t="e">
        <f>SFP!#REF!</f>
        <v>#REF!</v>
      </c>
      <c r="G42" s="273">
        <v>21481341157.433998</v>
      </c>
    </row>
    <row r="43" spans="1:7">
      <c r="A43" s="276" t="s">
        <v>320</v>
      </c>
      <c r="B43" s="265"/>
      <c r="C43" s="272">
        <v>445483841</v>
      </c>
      <c r="D43" s="272">
        <v>504627081.32499999</v>
      </c>
      <c r="E43" s="272">
        <v>512088379.35500002</v>
      </c>
      <c r="F43" s="272" t="e">
        <f>(C32+F32)/2</f>
        <v>#REF!</v>
      </c>
      <c r="G43" s="273">
        <v>393392009454.375</v>
      </c>
    </row>
    <row r="44" spans="1:7">
      <c r="A44" s="276" t="s">
        <v>321</v>
      </c>
      <c r="B44" s="265"/>
      <c r="C44" s="272">
        <v>110748089</v>
      </c>
      <c r="D44" s="272">
        <v>89428467.310000002</v>
      </c>
      <c r="E44" s="272">
        <v>119356968.2</v>
      </c>
      <c r="F44" s="272" t="e">
        <f>SCI!#REF!</f>
        <v>#REF!</v>
      </c>
      <c r="G44" s="273">
        <v>79322865013.129898</v>
      </c>
    </row>
    <row r="45" spans="1:7">
      <c r="A45" s="276" t="s">
        <v>322</v>
      </c>
      <c r="B45" s="265"/>
      <c r="C45" s="272">
        <v>56358341</v>
      </c>
      <c r="D45" s="272">
        <v>85938886.040000007</v>
      </c>
      <c r="E45" s="272">
        <v>115166187.13</v>
      </c>
      <c r="F45" s="272" t="e">
        <f>SCI!#REF!</f>
        <v>#REF!</v>
      </c>
      <c r="G45" s="273">
        <v>46800235781.199997</v>
      </c>
    </row>
    <row r="46" spans="1:7">
      <c r="A46" s="276" t="s">
        <v>323</v>
      </c>
      <c r="B46" s="265"/>
      <c r="C46" s="272">
        <v>54061479</v>
      </c>
      <c r="D46" s="272">
        <v>1076271.68</v>
      </c>
      <c r="E46" s="272">
        <v>1459761.63</v>
      </c>
      <c r="F46" s="272" t="e">
        <f>SCI!#REF!</f>
        <v>#REF!</v>
      </c>
      <c r="G46" s="273">
        <v>25469403897.91</v>
      </c>
    </row>
    <row r="47" spans="1:7">
      <c r="A47" s="276" t="s">
        <v>258</v>
      </c>
      <c r="B47" s="265"/>
      <c r="C47" s="272">
        <v>33446761</v>
      </c>
      <c r="D47" s="272">
        <v>28558545.199999999</v>
      </c>
      <c r="E47" s="272">
        <v>36360689.859999999</v>
      </c>
      <c r="F47" s="272" t="e">
        <f>SCI!#REF!</f>
        <v>#REF!</v>
      </c>
      <c r="G47" s="273">
        <v>25377523752.57</v>
      </c>
    </row>
    <row r="48" spans="1:7">
      <c r="A48" s="276" t="s">
        <v>324</v>
      </c>
      <c r="B48" s="265"/>
      <c r="C48" s="272">
        <v>92243098</v>
      </c>
      <c r="D48" s="272">
        <v>75967218.019999996</v>
      </c>
      <c r="E48" s="272">
        <v>102318043.87</v>
      </c>
      <c r="F48" s="272" t="e">
        <f>SCI!#REF!</f>
        <v>#REF!</v>
      </c>
      <c r="G48" s="273">
        <v>66852298925.860001</v>
      </c>
    </row>
    <row r="49" spans="1:7">
      <c r="A49" s="276" t="s">
        <v>325</v>
      </c>
      <c r="B49" s="265"/>
      <c r="C49" s="272">
        <v>87836509</v>
      </c>
      <c r="D49" s="272">
        <v>32048126.469999999</v>
      </c>
      <c r="E49" s="272">
        <v>40551470.93</v>
      </c>
      <c r="F49" s="272" t="e">
        <f>SCI!#REF!+SCI!#REF!</f>
        <v>#REF!</v>
      </c>
      <c r="G49" s="273">
        <v>56144699821.169998</v>
      </c>
    </row>
    <row r="50" spans="1:7">
      <c r="A50" s="276" t="s">
        <v>326</v>
      </c>
      <c r="B50" s="265"/>
      <c r="C50" s="272">
        <v>15782781</v>
      </c>
      <c r="D50" s="272">
        <v>50312065.140000001</v>
      </c>
      <c r="E50" s="272">
        <v>73166962.469999999</v>
      </c>
      <c r="F50" s="272" t="e">
        <f>SCI!#REF!</f>
        <v>#REF!</v>
      </c>
      <c r="G50" s="273">
        <v>19256824157.34</v>
      </c>
    </row>
    <row r="51" spans="1:7">
      <c r="A51" s="386" t="s">
        <v>327</v>
      </c>
      <c r="B51" s="387"/>
      <c r="C51" s="387"/>
      <c r="D51" s="387"/>
      <c r="E51" s="387"/>
      <c r="F51" s="387"/>
      <c r="G51" s="388"/>
    </row>
    <row r="52" spans="1:7">
      <c r="A52" s="245">
        <v>1</v>
      </c>
      <c r="B52" s="241"/>
      <c r="C52" s="246"/>
      <c r="D52" s="246"/>
      <c r="E52" s="246"/>
      <c r="F52" s="247"/>
      <c r="G52" s="248"/>
    </row>
    <row r="53" spans="1:7">
      <c r="A53" s="245">
        <v>2</v>
      </c>
      <c r="B53" s="241"/>
      <c r="C53" s="246"/>
      <c r="D53" s="246"/>
      <c r="E53" s="246"/>
      <c r="F53" s="247"/>
      <c r="G53" s="248"/>
    </row>
    <row r="54" spans="1:7">
      <c r="A54" s="245">
        <v>3</v>
      </c>
      <c r="B54" s="241"/>
      <c r="C54" s="246"/>
      <c r="D54" s="246"/>
      <c r="E54" s="246"/>
      <c r="F54" s="247"/>
      <c r="G54" s="248"/>
    </row>
    <row r="55" spans="1:7">
      <c r="A55" s="244">
        <v>4</v>
      </c>
      <c r="B55" s="246"/>
      <c r="C55" s="246"/>
      <c r="D55" s="246"/>
      <c r="E55" s="247"/>
      <c r="F55" s="247"/>
      <c r="G55" s="275"/>
    </row>
    <row r="56" spans="1:7">
      <c r="A56" s="266" t="s">
        <v>328</v>
      </c>
      <c r="B56" s="241"/>
      <c r="C56" s="389"/>
      <c r="D56" s="390"/>
      <c r="E56" s="390"/>
      <c r="F56" s="390"/>
      <c r="G56" s="391"/>
    </row>
    <row r="57" spans="1:7">
      <c r="A57" s="266"/>
      <c r="B57" s="241"/>
      <c r="C57" s="249"/>
      <c r="D57" s="249"/>
      <c r="E57" s="250"/>
      <c r="F57" s="250"/>
      <c r="G57" s="251"/>
    </row>
    <row r="58" spans="1:7">
      <c r="A58" s="267" t="s">
        <v>337</v>
      </c>
      <c r="B58" s="252"/>
      <c r="C58" s="389"/>
      <c r="D58" s="390"/>
      <c r="E58" s="390"/>
      <c r="F58" s="390"/>
      <c r="G58" s="391"/>
    </row>
    <row r="59" spans="1:7">
      <c r="A59" s="90"/>
      <c r="B59" s="241"/>
      <c r="C59" s="246"/>
      <c r="D59" s="246"/>
      <c r="E59" s="246"/>
      <c r="F59" s="247"/>
      <c r="G59" s="248"/>
    </row>
    <row r="60" spans="1:7">
      <c r="A60" s="266" t="s">
        <v>338</v>
      </c>
      <c r="B60" s="241"/>
      <c r="C60" s="389"/>
      <c r="D60" s="390"/>
      <c r="E60" s="390"/>
      <c r="F60" s="390"/>
      <c r="G60" s="391"/>
    </row>
    <row r="61" spans="1:7">
      <c r="A61" s="278"/>
      <c r="B61" s="241"/>
      <c r="C61" s="246"/>
      <c r="D61" s="246"/>
      <c r="E61" s="246"/>
      <c r="F61" s="246"/>
      <c r="G61" s="279"/>
    </row>
    <row r="62" spans="1:7">
      <c r="A62" s="280" t="s">
        <v>331</v>
      </c>
      <c r="B62" s="241"/>
      <c r="C62" s="246"/>
      <c r="D62" s="246"/>
      <c r="E62" s="246"/>
      <c r="F62" s="246"/>
      <c r="G62" s="279"/>
    </row>
    <row r="63" spans="1:7">
      <c r="A63" s="281"/>
      <c r="B63" s="241"/>
      <c r="C63" s="277" t="s">
        <v>339</v>
      </c>
      <c r="D63" s="246"/>
      <c r="E63" s="246"/>
      <c r="F63" s="246"/>
      <c r="G63" s="279"/>
    </row>
    <row r="64" spans="1:7">
      <c r="A64" s="281"/>
      <c r="B64" s="241"/>
      <c r="C64" s="246"/>
      <c r="D64" s="246"/>
      <c r="E64" s="246"/>
      <c r="F64" s="246"/>
      <c r="G64" s="279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239F2971-A71A-4FCB-8305-42044E25D224}"/>
</file>

<file path=customXml/itemProps2.xml><?xml version="1.0" encoding="utf-8"?>
<ds:datastoreItem xmlns:ds="http://schemas.openxmlformats.org/officeDocument/2006/customXml" ds:itemID="{8376215D-0CCB-45D6-BB70-DCA56FCB40E6}"/>
</file>

<file path=customXml/itemProps3.xml><?xml version="1.0" encoding="utf-8"?>
<ds:datastoreItem xmlns:ds="http://schemas.openxmlformats.org/officeDocument/2006/customXml" ds:itemID="{1D15CD0F-0430-4A12-AAAE-CC173AF48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2023-07-25T07:11:20Z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2022-02-17T11:57:29Z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5a39a74d-62c8-4a80-b737-c02fc367c2f4</vt:lpwstr>
  </property>
  <property fmtid="{D5CDD505-2E9C-101B-9397-08002B2CF9AE}" pid="9" name="MSIP_Label_7a02b3b2-3762-4506-88a3-8b8c11cc60e6_ContentBits">
    <vt:lpwstr>0</vt:lpwstr>
  </property>
  <property fmtid="{D5CDD505-2E9C-101B-9397-08002B2CF9AE}" pid="10" name="ContentTypeId">
    <vt:lpwstr>0x010100F4FB27488935CD4FBFBB981DE553EA38</vt:lpwstr>
  </property>
  <property fmtid="{D5CDD505-2E9C-101B-9397-08002B2CF9AE}" pid="11" name="MediaServiceImageTags">
    <vt:lpwstr/>
  </property>
</Properties>
</file>
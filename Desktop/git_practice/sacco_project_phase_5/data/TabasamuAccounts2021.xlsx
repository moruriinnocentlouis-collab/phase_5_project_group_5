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NJUGUNA\OneDrive - Sacco Societies Regulatory Authority\Desktop\"/>
    </mc:Choice>
  </mc:AlternateContent>
  <xr:revisionPtr revIDLastSave="0" documentId="13_ncr:1_{15646F77-930D-4589-9481-8929029541D5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sofp" sheetId="1" r:id="rId1"/>
    <sheet name="soci" sheetId="2" r:id="rId2"/>
    <sheet name="financials" sheetId="3" r:id="rId3"/>
    <sheet name="caels" sheetId="4" r:id="rId4"/>
    <sheet name="FORM 4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" i="4" l="1"/>
  <c r="AV3" i="4"/>
  <c r="AW3" i="4"/>
  <c r="AX3" i="4"/>
  <c r="AO4" i="4"/>
  <c r="AV4" i="4"/>
  <c r="AW4" i="4"/>
  <c r="AX4" i="4"/>
  <c r="AO5" i="4"/>
  <c r="AV5" i="4"/>
  <c r="AW5" i="4"/>
  <c r="AX5" i="4"/>
  <c r="AO6" i="4"/>
  <c r="AV6" i="4"/>
  <c r="AW6" i="4"/>
  <c r="AX6" i="4"/>
  <c r="AO11" i="4"/>
  <c r="AP11" i="4"/>
  <c r="AQ11" i="4"/>
  <c r="AR11" i="4"/>
  <c r="AS11" i="4"/>
  <c r="AT11" i="4"/>
  <c r="AU11" i="4"/>
  <c r="AV11" i="4"/>
  <c r="AW11" i="4"/>
  <c r="AX11" i="4"/>
  <c r="AO12" i="4"/>
  <c r="AP12" i="4"/>
  <c r="AQ12" i="4"/>
  <c r="AR12" i="4"/>
  <c r="AS12" i="4"/>
  <c r="AT12" i="4"/>
  <c r="AU12" i="4"/>
  <c r="AV12" i="4"/>
  <c r="AW12" i="4"/>
  <c r="AX12" i="4"/>
  <c r="AO13" i="4"/>
  <c r="AP13" i="4"/>
  <c r="AQ13" i="4"/>
  <c r="AR13" i="4"/>
  <c r="AS13" i="4"/>
  <c r="AT13" i="4"/>
  <c r="AU13" i="4"/>
  <c r="AV13" i="4"/>
  <c r="AW13" i="4"/>
  <c r="AX13" i="4"/>
  <c r="AO15" i="4"/>
  <c r="AV15" i="4"/>
  <c r="AW15" i="4"/>
  <c r="AX15" i="4"/>
  <c r="AO16" i="4"/>
  <c r="AV16" i="4"/>
  <c r="AW16" i="4"/>
  <c r="AX16" i="4"/>
  <c r="AO17" i="4"/>
  <c r="AP17" i="4"/>
  <c r="AQ17" i="4"/>
  <c r="AR17" i="4"/>
  <c r="AS17" i="4"/>
  <c r="AT17" i="4"/>
  <c r="AU17" i="4"/>
  <c r="AV17" i="4"/>
  <c r="AW17" i="4"/>
  <c r="AX17" i="4"/>
  <c r="AO18" i="4"/>
  <c r="AV18" i="4"/>
  <c r="AW18" i="4"/>
  <c r="AX18" i="4"/>
  <c r="AO20" i="4"/>
  <c r="AV20" i="4"/>
  <c r="AW20" i="4"/>
  <c r="AX20" i="4"/>
  <c r="AO21" i="4"/>
  <c r="AV21" i="4"/>
  <c r="AW21" i="4"/>
  <c r="AX21" i="4"/>
  <c r="AO22" i="4"/>
  <c r="AV22" i="4"/>
  <c r="AW22" i="4"/>
  <c r="AX22" i="4"/>
  <c r="AO23" i="4"/>
  <c r="AV23" i="4"/>
  <c r="AW23" i="4"/>
  <c r="AX23" i="4"/>
  <c r="AO24" i="4"/>
  <c r="AV24" i="4"/>
  <c r="AW24" i="4"/>
  <c r="AX24" i="4"/>
  <c r="AO26" i="4"/>
  <c r="AV26" i="4"/>
  <c r="AW26" i="4"/>
  <c r="AX26" i="4"/>
  <c r="AO27" i="4"/>
  <c r="AV27" i="4"/>
  <c r="AW27" i="4"/>
  <c r="AX27" i="4"/>
  <c r="AO28" i="4"/>
  <c r="AV28" i="4"/>
  <c r="AW28" i="4"/>
  <c r="AX28" i="4"/>
  <c r="AV30" i="4"/>
  <c r="AW30" i="4"/>
  <c r="AX30" i="4"/>
  <c r="AV31" i="4"/>
  <c r="AW31" i="4"/>
  <c r="AX31" i="4"/>
  <c r="AV32" i="4"/>
  <c r="AW32" i="4"/>
  <c r="AX32" i="4"/>
  <c r="AV33" i="4"/>
  <c r="AW33" i="4"/>
  <c r="AX33" i="4"/>
  <c r="AV34" i="4"/>
  <c r="AW34" i="4"/>
  <c r="AX34" i="4"/>
  <c r="AV35" i="4"/>
  <c r="AW35" i="4"/>
  <c r="AX35" i="4"/>
  <c r="AV36" i="4"/>
  <c r="AW36" i="4"/>
  <c r="AX36" i="4"/>
  <c r="AO38" i="4"/>
  <c r="AP38" i="4"/>
  <c r="AQ38" i="4"/>
  <c r="AR38" i="4"/>
  <c r="AS38" i="4"/>
  <c r="AT38" i="4"/>
  <c r="AU38" i="4"/>
  <c r="AV38" i="4"/>
  <c r="AW38" i="4"/>
  <c r="AX38" i="4"/>
  <c r="AV40" i="4"/>
  <c r="AW40" i="4"/>
  <c r="AX40" i="4"/>
  <c r="AV41" i="4"/>
  <c r="AW41" i="4"/>
  <c r="AX41" i="4"/>
  <c r="AV42" i="4"/>
  <c r="AW42" i="4"/>
  <c r="AX42" i="4"/>
  <c r="AV43" i="4"/>
  <c r="AW43" i="4"/>
  <c r="AX43" i="4"/>
  <c r="AV44" i="4"/>
  <c r="AW44" i="4"/>
  <c r="AX44" i="4"/>
  <c r="AV45" i="4"/>
  <c r="AW45" i="4"/>
  <c r="AX45" i="4"/>
  <c r="AV46" i="4"/>
  <c r="AW46" i="4"/>
  <c r="AX46" i="4"/>
  <c r="AM5" i="3"/>
  <c r="AM6" i="3"/>
  <c r="AM7" i="3"/>
  <c r="AM8" i="3"/>
  <c r="AM15" i="3"/>
  <c r="AM16" i="3"/>
  <c r="AM17" i="3"/>
  <c r="AM20" i="3"/>
  <c r="AM23" i="3"/>
  <c r="AM27" i="3"/>
  <c r="AM28" i="3"/>
  <c r="AM36" i="3"/>
  <c r="AM42" i="3"/>
  <c r="AM47" i="3"/>
  <c r="AM48" i="3"/>
  <c r="AM18" i="2"/>
  <c r="AM13" i="2"/>
  <c r="AM46" i="3" s="1"/>
  <c r="AN40" i="4" s="1"/>
  <c r="AM5" i="2"/>
  <c r="AN28" i="3"/>
  <c r="AM42" i="1"/>
  <c r="AM19" i="3" s="1"/>
  <c r="AM43" i="1"/>
  <c r="AM9" i="1"/>
  <c r="AM24" i="3" s="1"/>
  <c r="AM5" i="1"/>
  <c r="AM3" i="1" s="1"/>
  <c r="AM33" i="3" s="1"/>
  <c r="AM7" i="2"/>
  <c r="AM41" i="3" s="1"/>
  <c r="AM23" i="2"/>
  <c r="AA46" i="1"/>
  <c r="AB46" i="1"/>
  <c r="AC46" i="1"/>
  <c r="AD46" i="1"/>
  <c r="AE46" i="1"/>
  <c r="AF46" i="1"/>
  <c r="AG46" i="1"/>
  <c r="AH46" i="1"/>
  <c r="AI46" i="1"/>
  <c r="AJ46" i="1"/>
  <c r="AK46" i="1"/>
  <c r="AL46" i="1"/>
  <c r="AA29" i="1"/>
  <c r="AB29" i="1"/>
  <c r="AB36" i="1" s="1"/>
  <c r="AC29" i="1"/>
  <c r="AC36" i="1" s="1"/>
  <c r="AC47" i="1" s="1"/>
  <c r="AD29" i="1"/>
  <c r="AD36" i="1" s="1"/>
  <c r="AD47" i="1" s="1"/>
  <c r="AE29" i="1"/>
  <c r="AE36" i="1" s="1"/>
  <c r="AE47" i="1" s="1"/>
  <c r="AF29" i="1"/>
  <c r="AF36" i="1" s="1"/>
  <c r="AG29" i="1"/>
  <c r="AG36" i="1" s="1"/>
  <c r="AH29" i="1"/>
  <c r="AI29" i="1"/>
  <c r="AJ29" i="1"/>
  <c r="AJ36" i="1" s="1"/>
  <c r="AK29" i="1"/>
  <c r="AK36" i="1" s="1"/>
  <c r="AK47" i="1" s="1"/>
  <c r="AL29" i="1"/>
  <c r="AL36" i="1" s="1"/>
  <c r="AL47" i="1" s="1"/>
  <c r="AM2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M35" i="3" s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A7" i="1"/>
  <c r="AB7" i="1"/>
  <c r="AC7" i="1"/>
  <c r="AD7" i="1"/>
  <c r="AE7" i="1"/>
  <c r="AF7" i="1"/>
  <c r="AG7" i="1"/>
  <c r="AH7" i="1"/>
  <c r="AI7" i="1"/>
  <c r="AJ7" i="1"/>
  <c r="AK7" i="1"/>
  <c r="AL7" i="1"/>
  <c r="AN7" i="1"/>
  <c r="AA3" i="1"/>
  <c r="AB3" i="1"/>
  <c r="AC3" i="1"/>
  <c r="AD3" i="1"/>
  <c r="AE3" i="1"/>
  <c r="AF3" i="1"/>
  <c r="AG3" i="1"/>
  <c r="AH3" i="1"/>
  <c r="AH33" i="3" s="1"/>
  <c r="AI3" i="1"/>
  <c r="AJ3" i="1"/>
  <c r="AK3" i="1"/>
  <c r="AL3" i="1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A23" i="2"/>
  <c r="AB12" i="4" s="1"/>
  <c r="AB23" i="2"/>
  <c r="AC23" i="2"/>
  <c r="AD23" i="2"/>
  <c r="AE23" i="2"/>
  <c r="AF23" i="2"/>
  <c r="AG23" i="2"/>
  <c r="AH23" i="2"/>
  <c r="AI23" i="2"/>
  <c r="AJ23" i="2"/>
  <c r="AK23" i="2"/>
  <c r="AL23" i="2"/>
  <c r="AK12" i="2"/>
  <c r="AL12" i="2"/>
  <c r="AK7" i="2"/>
  <c r="AL7" i="2"/>
  <c r="AL41" i="3" s="1"/>
  <c r="AA12" i="2"/>
  <c r="AB12" i="2"/>
  <c r="AC12" i="2"/>
  <c r="AD12" i="2"/>
  <c r="AE12" i="2"/>
  <c r="AF12" i="2"/>
  <c r="AG12" i="2"/>
  <c r="AH12" i="2"/>
  <c r="AI12" i="2"/>
  <c r="AJ12" i="2"/>
  <c r="AA7" i="2"/>
  <c r="AB7" i="2"/>
  <c r="AC7" i="2"/>
  <c r="AD7" i="2"/>
  <c r="AE7" i="2"/>
  <c r="AF7" i="2"/>
  <c r="AG7" i="2"/>
  <c r="AH7" i="2"/>
  <c r="AH41" i="3" s="1"/>
  <c r="AI7" i="2"/>
  <c r="AJ7" i="2"/>
  <c r="AA4" i="2"/>
  <c r="AA3" i="2" s="1"/>
  <c r="AA19" i="2" s="1"/>
  <c r="AA29" i="2" s="1"/>
  <c r="AA33" i="2" s="1"/>
  <c r="AB4" i="2"/>
  <c r="AC4" i="2"/>
  <c r="AC3" i="2" s="1"/>
  <c r="AC19" i="2" s="1"/>
  <c r="AC29" i="2" s="1"/>
  <c r="AC33" i="2" s="1"/>
  <c r="AD4" i="2"/>
  <c r="AE4" i="2"/>
  <c r="AE3" i="2" s="1"/>
  <c r="AE19" i="2" s="1"/>
  <c r="AE29" i="2" s="1"/>
  <c r="AE33" i="2" s="1"/>
  <c r="AF4" i="2"/>
  <c r="AF3" i="2" s="1"/>
  <c r="AF19" i="2" s="1"/>
  <c r="AF29" i="2" s="1"/>
  <c r="AF33" i="2" s="1"/>
  <c r="AG4" i="2"/>
  <c r="AG3" i="2" s="1"/>
  <c r="AG19" i="2" s="1"/>
  <c r="AG29" i="2" s="1"/>
  <c r="AG33" i="2" s="1"/>
  <c r="AH4" i="2"/>
  <c r="AI4" i="2"/>
  <c r="AI3" i="2" s="1"/>
  <c r="AI19" i="2" s="1"/>
  <c r="AI29" i="2" s="1"/>
  <c r="AI33" i="2" s="1"/>
  <c r="AJ4" i="2"/>
  <c r="AK4" i="2"/>
  <c r="AL4" i="2"/>
  <c r="AL3" i="2" s="1"/>
  <c r="AN3" i="3"/>
  <c r="AO3" i="3"/>
  <c r="AP30" i="4" s="1"/>
  <c r="AP3" i="3"/>
  <c r="AQ30" i="4" s="1"/>
  <c r="AQ3" i="3"/>
  <c r="AR30" i="4" s="1"/>
  <c r="AR3" i="3"/>
  <c r="AS30" i="4" s="1"/>
  <c r="AS3" i="3"/>
  <c r="AG4" i="3"/>
  <c r="AJ4" i="3"/>
  <c r="AK4" i="3"/>
  <c r="AL4" i="3"/>
  <c r="AL31" i="4" s="1"/>
  <c r="AN4" i="3"/>
  <c r="AO4" i="3"/>
  <c r="AP4" i="3"/>
  <c r="AQ4" i="3"/>
  <c r="AR4" i="3"/>
  <c r="AT26" i="4" s="1"/>
  <c r="AS4" i="3"/>
  <c r="AU26" i="4" s="1"/>
  <c r="AG5" i="3"/>
  <c r="AH5" i="3"/>
  <c r="AI5" i="3"/>
  <c r="AJ5" i="3"/>
  <c r="AJ32" i="4" s="1"/>
  <c r="AK5" i="3"/>
  <c r="AL5" i="3"/>
  <c r="AN5" i="3"/>
  <c r="AO5" i="3"/>
  <c r="AP5" i="3"/>
  <c r="AR27" i="4" s="1"/>
  <c r="AQ5" i="3"/>
  <c r="AR5" i="3"/>
  <c r="AS5" i="3"/>
  <c r="AG6" i="3"/>
  <c r="AH6" i="3"/>
  <c r="AI6" i="3"/>
  <c r="AJ6" i="3"/>
  <c r="AJ33" i="4" s="1"/>
  <c r="AK6" i="3"/>
  <c r="AL6" i="3"/>
  <c r="AN6" i="3"/>
  <c r="AO6" i="3"/>
  <c r="AP6" i="3"/>
  <c r="AQ6" i="3"/>
  <c r="AR33" i="4" s="1"/>
  <c r="AR6" i="3"/>
  <c r="AT28" i="4" s="1"/>
  <c r="AS6" i="3"/>
  <c r="AG7" i="3"/>
  <c r="AH7" i="3"/>
  <c r="AI7" i="3"/>
  <c r="AJ7" i="3"/>
  <c r="AK7" i="3"/>
  <c r="AL7" i="3"/>
  <c r="AN7" i="3"/>
  <c r="AO7" i="3"/>
  <c r="AP7" i="3"/>
  <c r="AQ7" i="3"/>
  <c r="AR7" i="3"/>
  <c r="AS7" i="3"/>
  <c r="AG8" i="3"/>
  <c r="AH8" i="3"/>
  <c r="AI15" i="4" s="1"/>
  <c r="AI8" i="3"/>
  <c r="AJ8" i="3"/>
  <c r="AK8" i="3"/>
  <c r="AL8" i="3"/>
  <c r="AN8" i="3"/>
  <c r="AO8" i="3"/>
  <c r="AP8" i="3"/>
  <c r="AQ8" i="3"/>
  <c r="AR8" i="3"/>
  <c r="AS8" i="3"/>
  <c r="AG15" i="3"/>
  <c r="AH15" i="3"/>
  <c r="AI15" i="3"/>
  <c r="AJ15" i="3"/>
  <c r="AK15" i="3"/>
  <c r="AL15" i="3"/>
  <c r="AN15" i="3"/>
  <c r="AO41" i="4" s="1"/>
  <c r="AO15" i="3"/>
  <c r="AP15" i="3"/>
  <c r="AQ15" i="3"/>
  <c r="AR15" i="3"/>
  <c r="AS15" i="3"/>
  <c r="AG16" i="3"/>
  <c r="AH16" i="3"/>
  <c r="AI16" i="3"/>
  <c r="AJ16" i="3"/>
  <c r="AK16" i="3"/>
  <c r="AL16" i="3"/>
  <c r="AN16" i="3"/>
  <c r="AO16" i="3"/>
  <c r="AP16" i="3"/>
  <c r="AQ16" i="3"/>
  <c r="AR16" i="3"/>
  <c r="AS16" i="3"/>
  <c r="AG17" i="3"/>
  <c r="AH17" i="3"/>
  <c r="AI17" i="3"/>
  <c r="AJ17" i="3"/>
  <c r="AK17" i="3"/>
  <c r="AL17" i="3"/>
  <c r="AN17" i="3"/>
  <c r="AO17" i="3"/>
  <c r="AP17" i="3"/>
  <c r="AQ17" i="3"/>
  <c r="AR17" i="3"/>
  <c r="AS17" i="3"/>
  <c r="AG19" i="3"/>
  <c r="AG14" i="3" s="1"/>
  <c r="AG11" i="3" s="1"/>
  <c r="AG12" i="3" s="1"/>
  <c r="AH6" i="4" s="1"/>
  <c r="AH19" i="3"/>
  <c r="AI19" i="3"/>
  <c r="AJ19" i="3"/>
  <c r="AJ14" i="3" s="1"/>
  <c r="AJ11" i="3" s="1"/>
  <c r="AK19" i="3"/>
  <c r="AL19" i="3"/>
  <c r="AN19" i="3"/>
  <c r="AO19" i="3"/>
  <c r="AP19" i="3"/>
  <c r="AQ19" i="3"/>
  <c r="AQ14" i="3" s="1"/>
  <c r="AQ11" i="3" s="1"/>
  <c r="AR19" i="3"/>
  <c r="AR14" i="3" s="1"/>
  <c r="AR11" i="3" s="1"/>
  <c r="AS19" i="3"/>
  <c r="AG20" i="3"/>
  <c r="AH20" i="3"/>
  <c r="AI20" i="3"/>
  <c r="AJ20" i="3"/>
  <c r="AK20" i="3"/>
  <c r="AL20" i="3"/>
  <c r="AN20" i="3"/>
  <c r="AO20" i="3"/>
  <c r="AP20" i="3"/>
  <c r="AQ20" i="3"/>
  <c r="AR20" i="3"/>
  <c r="AS20" i="3"/>
  <c r="AG23" i="3"/>
  <c r="AH23" i="3"/>
  <c r="AI23" i="3"/>
  <c r="AJ23" i="3"/>
  <c r="AK23" i="3"/>
  <c r="AL23" i="3"/>
  <c r="AN23" i="3"/>
  <c r="AO23" i="3"/>
  <c r="AP23" i="3"/>
  <c r="AQ23" i="3"/>
  <c r="AR23" i="3"/>
  <c r="AS23" i="3"/>
  <c r="AG24" i="3"/>
  <c r="AH24" i="3"/>
  <c r="AI24" i="3"/>
  <c r="AJ24" i="3"/>
  <c r="AK24" i="3"/>
  <c r="AL24" i="3"/>
  <c r="AN24" i="3"/>
  <c r="AO24" i="3"/>
  <c r="AP24" i="3"/>
  <c r="AQ24" i="3"/>
  <c r="AR24" i="3"/>
  <c r="AS24" i="3"/>
  <c r="AG27" i="3"/>
  <c r="AH27" i="3"/>
  <c r="AI27" i="3"/>
  <c r="AJ27" i="3"/>
  <c r="AJ34" i="4" s="1"/>
  <c r="AK27" i="3"/>
  <c r="AL27" i="3"/>
  <c r="AL34" i="4" s="1"/>
  <c r="AN27" i="3"/>
  <c r="AO46" i="4" s="1"/>
  <c r="AO27" i="3"/>
  <c r="AP27" i="3"/>
  <c r="AQ27" i="3"/>
  <c r="AR27" i="3"/>
  <c r="AS27" i="3"/>
  <c r="AG28" i="3"/>
  <c r="AH28" i="3"/>
  <c r="AI28" i="3"/>
  <c r="AJ28" i="3"/>
  <c r="AK28" i="3"/>
  <c r="AL28" i="3"/>
  <c r="AO28" i="3"/>
  <c r="AP28" i="3"/>
  <c r="AQ28" i="3"/>
  <c r="AR28" i="3"/>
  <c r="AR26" i="3" s="1"/>
  <c r="AS28" i="3"/>
  <c r="AG33" i="3"/>
  <c r="AI33" i="3"/>
  <c r="AJ33" i="3"/>
  <c r="AK33" i="3"/>
  <c r="AL33" i="3"/>
  <c r="AM15" i="4" s="1"/>
  <c r="AN33" i="3"/>
  <c r="AO33" i="3"/>
  <c r="AP33" i="3"/>
  <c r="AR16" i="4" s="1"/>
  <c r="AQ33" i="3"/>
  <c r="AR33" i="3"/>
  <c r="AT18" i="4" s="1"/>
  <c r="AS33" i="3"/>
  <c r="AI35" i="3"/>
  <c r="AJ35" i="3"/>
  <c r="AK35" i="3"/>
  <c r="AL35" i="3"/>
  <c r="AN35" i="3"/>
  <c r="AP20" i="4" s="1"/>
  <c r="AO35" i="3"/>
  <c r="AQ20" i="4" s="1"/>
  <c r="AP35" i="3"/>
  <c r="AR20" i="4" s="1"/>
  <c r="AQ35" i="3"/>
  <c r="AS20" i="4" s="1"/>
  <c r="AR35" i="3"/>
  <c r="AT20" i="4" s="1"/>
  <c r="AS35" i="3"/>
  <c r="AG36" i="3"/>
  <c r="AH36" i="3"/>
  <c r="AI36" i="3"/>
  <c r="AJ36" i="3"/>
  <c r="AK36" i="3"/>
  <c r="AL36" i="3"/>
  <c r="AN36" i="3"/>
  <c r="AP21" i="4" s="1"/>
  <c r="AO36" i="3"/>
  <c r="AQ21" i="4" s="1"/>
  <c r="AP36" i="3"/>
  <c r="AR21" i="4" s="1"/>
  <c r="AQ36" i="3"/>
  <c r="AS21" i="4" s="1"/>
  <c r="AR36" i="3"/>
  <c r="AT21" i="4" s="1"/>
  <c r="AS36" i="3"/>
  <c r="AU21" i="4" s="1"/>
  <c r="AG40" i="3"/>
  <c r="AH40" i="3"/>
  <c r="AI46" i="4" s="1"/>
  <c r="AI40" i="3"/>
  <c r="AJ40" i="3"/>
  <c r="AK46" i="4" s="1"/>
  <c r="AK40" i="3"/>
  <c r="AL46" i="4" s="1"/>
  <c r="AL40" i="3"/>
  <c r="AL43" i="3" s="1"/>
  <c r="AN40" i="3"/>
  <c r="AP46" i="4" s="1"/>
  <c r="AO40" i="3"/>
  <c r="AP40" i="3"/>
  <c r="AQ40" i="3"/>
  <c r="AR40" i="3"/>
  <c r="AT46" i="4" s="1"/>
  <c r="AS40" i="3"/>
  <c r="AG41" i="3"/>
  <c r="AI41" i="3"/>
  <c r="AJ41" i="3"/>
  <c r="AK41" i="3"/>
  <c r="AN41" i="3"/>
  <c r="AO41" i="3"/>
  <c r="AP41" i="3"/>
  <c r="AQ41" i="3"/>
  <c r="AR41" i="3"/>
  <c r="AS41" i="3"/>
  <c r="AG42" i="3"/>
  <c r="AH42" i="3"/>
  <c r="AI42" i="3"/>
  <c r="AJ42" i="3"/>
  <c r="AK42" i="3"/>
  <c r="AL42" i="3"/>
  <c r="AN42" i="3"/>
  <c r="AN39" i="3" s="1"/>
  <c r="AO36" i="4" s="1"/>
  <c r="AO42" i="3"/>
  <c r="AP42" i="3"/>
  <c r="AP39" i="3" s="1"/>
  <c r="AQ42" i="3"/>
  <c r="AR42" i="3"/>
  <c r="AS42" i="3"/>
  <c r="AS43" i="3"/>
  <c r="AG46" i="3"/>
  <c r="AH40" i="4" s="1"/>
  <c r="AH46" i="3"/>
  <c r="AI40" i="4" s="1"/>
  <c r="AI46" i="3"/>
  <c r="AJ40" i="4" s="1"/>
  <c r="AJ46" i="3"/>
  <c r="AK40" i="4" s="1"/>
  <c r="AK46" i="3"/>
  <c r="AL46" i="3"/>
  <c r="AN46" i="3"/>
  <c r="AO46" i="3"/>
  <c r="AP46" i="3"/>
  <c r="AR40" i="4" s="1"/>
  <c r="AQ46" i="3"/>
  <c r="AS40" i="4" s="1"/>
  <c r="AR46" i="3"/>
  <c r="AT40" i="4" s="1"/>
  <c r="AS46" i="3"/>
  <c r="AU40" i="4" s="1"/>
  <c r="AG47" i="3"/>
  <c r="AH41" i="4" s="1"/>
  <c r="AH47" i="3"/>
  <c r="AI41" i="4" s="1"/>
  <c r="AI47" i="3"/>
  <c r="AJ41" i="4" s="1"/>
  <c r="AJ47" i="3"/>
  <c r="AK47" i="3"/>
  <c r="AL41" i="4" s="1"/>
  <c r="AL47" i="3"/>
  <c r="AN47" i="3"/>
  <c r="AP41" i="4" s="1"/>
  <c r="AO47" i="3"/>
  <c r="AQ41" i="4" s="1"/>
  <c r="AP47" i="3"/>
  <c r="AR41" i="4" s="1"/>
  <c r="AQ47" i="3"/>
  <c r="AS41" i="4" s="1"/>
  <c r="AR47" i="3"/>
  <c r="AT41" i="4" s="1"/>
  <c r="AS47" i="3"/>
  <c r="AU41" i="4" s="1"/>
  <c r="AG48" i="3"/>
  <c r="AH42" i="4" s="1"/>
  <c r="AH48" i="3"/>
  <c r="AI42" i="4" s="1"/>
  <c r="AI48" i="3"/>
  <c r="AJ42" i="4" s="1"/>
  <c r="AJ48" i="3"/>
  <c r="AK42" i="4" s="1"/>
  <c r="AK48" i="3"/>
  <c r="AL42" i="4" s="1"/>
  <c r="AL48" i="3"/>
  <c r="AN48" i="3"/>
  <c r="AP42" i="4" s="1"/>
  <c r="AO48" i="3"/>
  <c r="AP48" i="3"/>
  <c r="AR42" i="4" s="1"/>
  <c r="AQ48" i="3"/>
  <c r="AS42" i="4" s="1"/>
  <c r="AR48" i="3"/>
  <c r="AT42" i="4" s="1"/>
  <c r="AS48" i="3"/>
  <c r="AU42" i="4" s="1"/>
  <c r="AG49" i="3"/>
  <c r="AI49" i="3"/>
  <c r="AJ49" i="3"/>
  <c r="AK49" i="3"/>
  <c r="AL49" i="3"/>
  <c r="AN49" i="3"/>
  <c r="AP43" i="4" s="1"/>
  <c r="AO49" i="3"/>
  <c r="AP49" i="3"/>
  <c r="AR43" i="4" s="1"/>
  <c r="AQ49" i="3"/>
  <c r="AS43" i="4" s="1"/>
  <c r="AR49" i="3"/>
  <c r="AS49" i="3"/>
  <c r="AA33" i="3"/>
  <c r="AB33" i="3"/>
  <c r="AD33" i="3"/>
  <c r="AF33" i="3"/>
  <c r="AB4" i="3"/>
  <c r="AC4" i="3"/>
  <c r="AD4" i="3"/>
  <c r="AE4" i="3"/>
  <c r="AF4" i="3"/>
  <c r="AF31" i="4" s="1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C33" i="4" s="1"/>
  <c r="AD6" i="3"/>
  <c r="AE6" i="3"/>
  <c r="AF6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N16" i="3"/>
  <c r="O16" i="3"/>
  <c r="P16" i="3"/>
  <c r="Q16" i="3"/>
  <c r="R16" i="3"/>
  <c r="S16" i="3"/>
  <c r="T16" i="3"/>
  <c r="U16" i="3"/>
  <c r="V16" i="3"/>
  <c r="W16" i="3"/>
  <c r="X16" i="3"/>
  <c r="Y16" i="3"/>
  <c r="AA16" i="3"/>
  <c r="AB16" i="3"/>
  <c r="AC16" i="3"/>
  <c r="AD16" i="3"/>
  <c r="AE16" i="3"/>
  <c r="AF16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N19" i="3"/>
  <c r="O19" i="3"/>
  <c r="P19" i="3"/>
  <c r="Q19" i="3"/>
  <c r="R19" i="3"/>
  <c r="R14" i="3" s="1"/>
  <c r="R11" i="3" s="1"/>
  <c r="S19" i="3"/>
  <c r="T19" i="3"/>
  <c r="U19" i="3"/>
  <c r="V19" i="3"/>
  <c r="W19" i="3"/>
  <c r="X19" i="3"/>
  <c r="Y19" i="3"/>
  <c r="AA19" i="3"/>
  <c r="AB19" i="3"/>
  <c r="AC19" i="3"/>
  <c r="AD19" i="3"/>
  <c r="AE19" i="3"/>
  <c r="AF19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N24" i="3"/>
  <c r="O24" i="3"/>
  <c r="P24" i="3"/>
  <c r="Q24" i="3"/>
  <c r="R24" i="3"/>
  <c r="S24" i="3"/>
  <c r="T24" i="3"/>
  <c r="U24" i="3"/>
  <c r="V24" i="3"/>
  <c r="W24" i="3"/>
  <c r="X24" i="3"/>
  <c r="Y24" i="3"/>
  <c r="AA24" i="3"/>
  <c r="AB24" i="3"/>
  <c r="AC24" i="3"/>
  <c r="AD24" i="3"/>
  <c r="AE24" i="3"/>
  <c r="AF24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F34" i="4" s="1"/>
  <c r="N28" i="3"/>
  <c r="O28" i="3"/>
  <c r="P28" i="3"/>
  <c r="Q28" i="3"/>
  <c r="R28" i="3"/>
  <c r="S28" i="3"/>
  <c r="S26" i="3" s="1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C33" i="3"/>
  <c r="AE33" i="3"/>
  <c r="AA35" i="3"/>
  <c r="AB35" i="3"/>
  <c r="AC35" i="3"/>
  <c r="AD35" i="3"/>
  <c r="AE35" i="3"/>
  <c r="AF35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N40" i="3"/>
  <c r="O40" i="3"/>
  <c r="P40" i="3"/>
  <c r="Q40" i="3"/>
  <c r="Q43" i="3" s="1"/>
  <c r="R40" i="3"/>
  <c r="S40" i="3"/>
  <c r="T40" i="3"/>
  <c r="U40" i="3"/>
  <c r="V40" i="3"/>
  <c r="W40" i="3"/>
  <c r="X40" i="3"/>
  <c r="Y40" i="3"/>
  <c r="Y43" i="3" s="1"/>
  <c r="Z40" i="3"/>
  <c r="AA40" i="3"/>
  <c r="AB46" i="4" s="1"/>
  <c r="AB40" i="3"/>
  <c r="AC40" i="3"/>
  <c r="AD40" i="3"/>
  <c r="AE46" i="4" s="1"/>
  <c r="AE40" i="3"/>
  <c r="AF46" i="4" s="1"/>
  <c r="AF40" i="3"/>
  <c r="AA41" i="3"/>
  <c r="AB41" i="3"/>
  <c r="AC41" i="3"/>
  <c r="AD41" i="3"/>
  <c r="AE41" i="3"/>
  <c r="AF41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R43" i="3"/>
  <c r="N46" i="3"/>
  <c r="O40" i="4" s="1"/>
  <c r="O46" i="3"/>
  <c r="P40" i="4" s="1"/>
  <c r="P46" i="3"/>
  <c r="Q40" i="4" s="1"/>
  <c r="Q46" i="3"/>
  <c r="R46" i="3"/>
  <c r="S40" i="4" s="1"/>
  <c r="S46" i="3"/>
  <c r="T46" i="3"/>
  <c r="U46" i="3"/>
  <c r="V40" i="4" s="1"/>
  <c r="V46" i="3"/>
  <c r="W40" i="4" s="1"/>
  <c r="W46" i="3"/>
  <c r="X40" i="4" s="1"/>
  <c r="X46" i="3"/>
  <c r="Y40" i="4" s="1"/>
  <c r="Y46" i="3"/>
  <c r="Z46" i="3"/>
  <c r="AA40" i="4" s="1"/>
  <c r="AA46" i="3"/>
  <c r="AB40" i="4" s="1"/>
  <c r="AB46" i="3"/>
  <c r="AC40" i="4" s="1"/>
  <c r="AC46" i="3"/>
  <c r="AD40" i="4" s="1"/>
  <c r="AD46" i="3"/>
  <c r="AE40" i="4" s="1"/>
  <c r="AE46" i="3"/>
  <c r="AF40" i="4" s="1"/>
  <c r="AF46" i="3"/>
  <c r="AG40" i="4" s="1"/>
  <c r="N47" i="3"/>
  <c r="O47" i="3"/>
  <c r="P47" i="3"/>
  <c r="Q47" i="3"/>
  <c r="R47" i="3"/>
  <c r="S41" i="4" s="1"/>
  <c r="S47" i="3"/>
  <c r="T47" i="3"/>
  <c r="U41" i="4" s="1"/>
  <c r="U47" i="3"/>
  <c r="V41" i="4" s="1"/>
  <c r="V47" i="3"/>
  <c r="W47" i="3"/>
  <c r="X47" i="3"/>
  <c r="Y47" i="3"/>
  <c r="Z47" i="3"/>
  <c r="AA41" i="4" s="1"/>
  <c r="AA47" i="3"/>
  <c r="AB47" i="3"/>
  <c r="AC47" i="3"/>
  <c r="AD41" i="4" s="1"/>
  <c r="AD47" i="3"/>
  <c r="AE47" i="3"/>
  <c r="AF41" i="4" s="1"/>
  <c r="AF47" i="3"/>
  <c r="AG41" i="4" s="1"/>
  <c r="N48" i="3"/>
  <c r="O48" i="3"/>
  <c r="P42" i="4" s="1"/>
  <c r="P48" i="3"/>
  <c r="Q42" i="4" s="1"/>
  <c r="Q48" i="3"/>
  <c r="R42" i="4" s="1"/>
  <c r="R48" i="3"/>
  <c r="S42" i="4" s="1"/>
  <c r="S48" i="3"/>
  <c r="T48" i="3"/>
  <c r="U42" i="4" s="1"/>
  <c r="U48" i="3"/>
  <c r="V48" i="3"/>
  <c r="W48" i="3"/>
  <c r="X42" i="4" s="1"/>
  <c r="X48" i="3"/>
  <c r="Y42" i="4" s="1"/>
  <c r="Y48" i="3"/>
  <c r="Z42" i="4" s="1"/>
  <c r="Z48" i="3"/>
  <c r="AA42" i="4" s="1"/>
  <c r="AA48" i="3"/>
  <c r="AB48" i="3"/>
  <c r="AC42" i="4" s="1"/>
  <c r="AC48" i="3"/>
  <c r="AD42" i="4" s="1"/>
  <c r="AD48" i="3"/>
  <c r="AE42" i="4" s="1"/>
  <c r="AE48" i="3"/>
  <c r="AF42" i="4" s="1"/>
  <c r="AF48" i="3"/>
  <c r="AA49" i="3"/>
  <c r="AB49" i="3"/>
  <c r="AC49" i="3"/>
  <c r="AD49" i="3"/>
  <c r="AE49" i="3"/>
  <c r="AF49" i="3"/>
  <c r="Z18" i="2"/>
  <c r="Z39" i="1"/>
  <c r="Z16" i="3" s="1"/>
  <c r="Z42" i="1"/>
  <c r="Z11" i="1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B12" i="2"/>
  <c r="C12" i="2"/>
  <c r="D12" i="2"/>
  <c r="E12" i="2"/>
  <c r="F12" i="2"/>
  <c r="G12" i="2"/>
  <c r="H12" i="2"/>
  <c r="I12" i="2"/>
  <c r="J12" i="2"/>
  <c r="K12" i="2"/>
  <c r="L12" i="2"/>
  <c r="N7" i="2"/>
  <c r="O7" i="2"/>
  <c r="O41" i="3" s="1"/>
  <c r="P7" i="2"/>
  <c r="P41" i="3" s="1"/>
  <c r="Q7" i="2"/>
  <c r="Q41" i="3" s="1"/>
  <c r="R7" i="2"/>
  <c r="R41" i="3" s="1"/>
  <c r="R39" i="3" s="1"/>
  <c r="S7" i="2"/>
  <c r="S41" i="3" s="1"/>
  <c r="T7" i="2"/>
  <c r="T41" i="3" s="1"/>
  <c r="U7" i="2"/>
  <c r="U41" i="3" s="1"/>
  <c r="V7" i="2"/>
  <c r="W7" i="2"/>
  <c r="W41" i="3" s="1"/>
  <c r="X7" i="2"/>
  <c r="X41" i="3" s="1"/>
  <c r="Y7" i="2"/>
  <c r="Y41" i="3" s="1"/>
  <c r="Z7" i="2"/>
  <c r="Z41" i="3" s="1"/>
  <c r="Z39" i="3" s="1"/>
  <c r="N4" i="2"/>
  <c r="O4" i="2"/>
  <c r="P4" i="2"/>
  <c r="P3" i="2" s="1"/>
  <c r="P19" i="2" s="1"/>
  <c r="P29" i="2" s="1"/>
  <c r="P33" i="2" s="1"/>
  <c r="Q4" i="2"/>
  <c r="Q3" i="2" s="1"/>
  <c r="Q19" i="2" s="1"/>
  <c r="Q29" i="2" s="1"/>
  <c r="Q33" i="2" s="1"/>
  <c r="R4" i="2"/>
  <c r="R3" i="2" s="1"/>
  <c r="R19" i="2" s="1"/>
  <c r="R29" i="2" s="1"/>
  <c r="R33" i="2" s="1"/>
  <c r="S4" i="2"/>
  <c r="S3" i="2" s="1"/>
  <c r="S19" i="2" s="1"/>
  <c r="S29" i="2" s="1"/>
  <c r="S33" i="2" s="1"/>
  <c r="T4" i="2"/>
  <c r="T3" i="2" s="1"/>
  <c r="T19" i="2" s="1"/>
  <c r="T29" i="2" s="1"/>
  <c r="T33" i="2" s="1"/>
  <c r="U4" i="2"/>
  <c r="U3" i="2" s="1"/>
  <c r="U19" i="2" s="1"/>
  <c r="U29" i="2" s="1"/>
  <c r="U33" i="2" s="1"/>
  <c r="V4" i="2"/>
  <c r="W4" i="2"/>
  <c r="X4" i="2"/>
  <c r="X3" i="2" s="1"/>
  <c r="X19" i="2" s="1"/>
  <c r="X29" i="2" s="1"/>
  <c r="X33" i="2" s="1"/>
  <c r="Y4" i="2"/>
  <c r="Y3" i="2" s="1"/>
  <c r="Y19" i="2" s="1"/>
  <c r="Y29" i="2" s="1"/>
  <c r="Y33" i="2" s="1"/>
  <c r="Z4" i="2"/>
  <c r="N46" i="1"/>
  <c r="O46" i="1"/>
  <c r="P46" i="1"/>
  <c r="Q46" i="1"/>
  <c r="R46" i="1"/>
  <c r="S46" i="1"/>
  <c r="T46" i="1"/>
  <c r="U46" i="1"/>
  <c r="V46" i="1"/>
  <c r="W46" i="1"/>
  <c r="X46" i="1"/>
  <c r="Y46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Z35" i="3" s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N7" i="1"/>
  <c r="O7" i="1"/>
  <c r="P7" i="1"/>
  <c r="Q7" i="1"/>
  <c r="R7" i="1"/>
  <c r="S7" i="1"/>
  <c r="T7" i="1"/>
  <c r="U7" i="1"/>
  <c r="V7" i="1"/>
  <c r="W7" i="1"/>
  <c r="X7" i="1"/>
  <c r="Y7" i="1"/>
  <c r="N3" i="1"/>
  <c r="N33" i="3" s="1"/>
  <c r="O3" i="1"/>
  <c r="O33" i="3" s="1"/>
  <c r="P3" i="1"/>
  <c r="P33" i="3" s="1"/>
  <c r="Q3" i="1"/>
  <c r="Q33" i="3" s="1"/>
  <c r="R3" i="1"/>
  <c r="R33" i="3" s="1"/>
  <c r="S3" i="1"/>
  <c r="S33" i="3" s="1"/>
  <c r="T3" i="1"/>
  <c r="T33" i="3" s="1"/>
  <c r="U3" i="1"/>
  <c r="U33" i="3" s="1"/>
  <c r="V3" i="1"/>
  <c r="V33" i="3" s="1"/>
  <c r="W3" i="1"/>
  <c r="W33" i="3" s="1"/>
  <c r="X3" i="1"/>
  <c r="X33" i="3" s="1"/>
  <c r="Y3" i="1"/>
  <c r="Y33" i="3" s="1"/>
  <c r="I17" i="4"/>
  <c r="M28" i="2"/>
  <c r="M13" i="2"/>
  <c r="M12" i="2" s="1"/>
  <c r="M5" i="2"/>
  <c r="M44" i="1"/>
  <c r="M42" i="1"/>
  <c r="M40" i="1"/>
  <c r="M5" i="1"/>
  <c r="AC43" i="3" l="1"/>
  <c r="AD46" i="4"/>
  <c r="AE34" i="4"/>
  <c r="AD34" i="4"/>
  <c r="AB34" i="4"/>
  <c r="Z43" i="3"/>
  <c r="T43" i="3"/>
  <c r="AE41" i="4"/>
  <c r="AB41" i="4"/>
  <c r="AF15" i="4"/>
  <c r="AB33" i="4"/>
  <c r="AE32" i="4"/>
  <c r="AD32" i="4"/>
  <c r="AC32" i="4"/>
  <c r="AB32" i="4"/>
  <c r="AE31" i="4"/>
  <c r="AE15" i="4"/>
  <c r="AB15" i="4"/>
  <c r="AQ43" i="4"/>
  <c r="AU46" i="4"/>
  <c r="AS39" i="3"/>
  <c r="AU36" i="4" s="1"/>
  <c r="AQ39" i="3"/>
  <c r="AS46" i="4"/>
  <c r="AO39" i="3"/>
  <c r="AI43" i="3"/>
  <c r="AJ46" i="4"/>
  <c r="AS16" i="4"/>
  <c r="AS18" i="4"/>
  <c r="AQ15" i="4"/>
  <c r="AQ16" i="4"/>
  <c r="AQ18" i="4"/>
  <c r="AP15" i="4"/>
  <c r="AP16" i="4"/>
  <c r="AP18" i="4"/>
  <c r="AL15" i="4"/>
  <c r="AH15" i="4"/>
  <c r="AT34" i="4"/>
  <c r="AU34" i="4"/>
  <c r="AT24" i="4"/>
  <c r="AS34" i="4"/>
  <c r="AS24" i="4"/>
  <c r="AR34" i="4"/>
  <c r="AP26" i="3"/>
  <c r="AR24" i="4"/>
  <c r="AO26" i="3"/>
  <c r="AQ24" i="4"/>
  <c r="AK34" i="4"/>
  <c r="AI34" i="4"/>
  <c r="AH26" i="3"/>
  <c r="AG46" i="4"/>
  <c r="AQ22" i="3"/>
  <c r="AP22" i="3"/>
  <c r="AJ22" i="3"/>
  <c r="AR12" i="3"/>
  <c r="AT6" i="4" s="1"/>
  <c r="AS35" i="4"/>
  <c r="AQ12" i="3"/>
  <c r="AS6" i="4" s="1"/>
  <c r="AS5" i="4"/>
  <c r="AJ12" i="3"/>
  <c r="AK6" i="4" s="1"/>
  <c r="AK5" i="4"/>
  <c r="AK41" i="4"/>
  <c r="AU15" i="4"/>
  <c r="AS15" i="4"/>
  <c r="AK15" i="4"/>
  <c r="AT33" i="4"/>
  <c r="AU28" i="4"/>
  <c r="AR28" i="4"/>
  <c r="AQ33" i="4"/>
  <c r="AQ28" i="4"/>
  <c r="AP33" i="4"/>
  <c r="AP28" i="4"/>
  <c r="AO33" i="4"/>
  <c r="AL33" i="4"/>
  <c r="AI33" i="4"/>
  <c r="AG33" i="4"/>
  <c r="AT32" i="4"/>
  <c r="AU32" i="4"/>
  <c r="AT27" i="4"/>
  <c r="AS32" i="4"/>
  <c r="AS27" i="4"/>
  <c r="AR32" i="4"/>
  <c r="AQ32" i="4"/>
  <c r="AP32" i="4"/>
  <c r="AP27" i="4"/>
  <c r="AO32" i="4"/>
  <c r="AO40" i="4"/>
  <c r="AK32" i="4"/>
  <c r="AI32" i="4"/>
  <c r="AH32" i="4"/>
  <c r="AR31" i="4"/>
  <c r="AS26" i="4"/>
  <c r="AR26" i="4"/>
  <c r="AQ31" i="4"/>
  <c r="AQ26" i="4"/>
  <c r="AP31" i="4"/>
  <c r="AP26" i="4"/>
  <c r="AO31" i="4"/>
  <c r="AG31" i="4"/>
  <c r="AU20" i="4"/>
  <c r="AO30" i="4"/>
  <c r="AO43" i="4"/>
  <c r="AI35" i="2"/>
  <c r="AI37" i="2" s="1"/>
  <c r="AG35" i="2"/>
  <c r="AG37" i="2" s="1"/>
  <c r="AF35" i="2"/>
  <c r="AF37" i="2" s="1"/>
  <c r="AE35" i="2"/>
  <c r="AE37" i="2" s="1"/>
  <c r="AC35" i="2"/>
  <c r="AC37" i="2" s="1"/>
  <c r="AA35" i="2"/>
  <c r="AA37" i="2" s="1"/>
  <c r="AJ3" i="2"/>
  <c r="AJ19" i="2" s="1"/>
  <c r="AJ29" i="2" s="1"/>
  <c r="AJ33" i="2" s="1"/>
  <c r="AB3" i="2"/>
  <c r="AB19" i="2" s="1"/>
  <c r="AB29" i="2" s="1"/>
  <c r="AB33" i="2" s="1"/>
  <c r="AK3" i="2"/>
  <c r="AM12" i="4"/>
  <c r="AL38" i="4"/>
  <c r="AL12" i="4"/>
  <c r="AK38" i="4"/>
  <c r="AK12" i="4"/>
  <c r="AJ38" i="4"/>
  <c r="AJ12" i="4"/>
  <c r="AI38" i="4"/>
  <c r="AH49" i="3"/>
  <c r="AI12" i="4"/>
  <c r="AH38" i="4"/>
  <c r="AH12" i="4"/>
  <c r="AG38" i="4"/>
  <c r="AG12" i="4"/>
  <c r="AF38" i="4"/>
  <c r="AF12" i="4"/>
  <c r="AE38" i="4"/>
  <c r="AE12" i="4"/>
  <c r="AD38" i="4"/>
  <c r="AD12" i="4"/>
  <c r="AC38" i="4"/>
  <c r="AC12" i="4"/>
  <c r="AB38" i="4"/>
  <c r="AL25" i="1"/>
  <c r="AK25" i="1"/>
  <c r="AJ25" i="1"/>
  <c r="AI25" i="1"/>
  <c r="AH35" i="3"/>
  <c r="AH25" i="1"/>
  <c r="AG35" i="3"/>
  <c r="AG25" i="1"/>
  <c r="AF25" i="1"/>
  <c r="AE25" i="1"/>
  <c r="AD25" i="1"/>
  <c r="AC25" i="1"/>
  <c r="AB25" i="1"/>
  <c r="AA25" i="1"/>
  <c r="AM36" i="1"/>
  <c r="AM4" i="3"/>
  <c r="AI4" i="3"/>
  <c r="AI36" i="1"/>
  <c r="AI47" i="1" s="1"/>
  <c r="AH4" i="3"/>
  <c r="AH36" i="1"/>
  <c r="AA4" i="3"/>
  <c r="AB31" i="4" s="1"/>
  <c r="AA36" i="1"/>
  <c r="AA47" i="1" s="1"/>
  <c r="AJ47" i="1"/>
  <c r="AH47" i="1"/>
  <c r="AG47" i="1"/>
  <c r="AF47" i="1"/>
  <c r="AB47" i="1"/>
  <c r="AN12" i="4"/>
  <c r="AM38" i="4"/>
  <c r="AN38" i="4"/>
  <c r="AM49" i="3"/>
  <c r="AM4" i="2"/>
  <c r="AM40" i="3"/>
  <c r="AM46" i="4"/>
  <c r="AM26" i="3"/>
  <c r="AM22" i="3"/>
  <c r="AM41" i="4"/>
  <c r="AM14" i="3"/>
  <c r="AM11" i="3" s="1"/>
  <c r="AM12" i="3" s="1"/>
  <c r="AN6" i="4" s="1"/>
  <c r="AN15" i="4"/>
  <c r="AM33" i="4"/>
  <c r="AN33" i="4"/>
  <c r="AN32" i="4"/>
  <c r="AQ36" i="4"/>
  <c r="AR44" i="4"/>
  <c r="AN22" i="4"/>
  <c r="Y39" i="3"/>
  <c r="Z36" i="4" s="1"/>
  <c r="Q39" i="3"/>
  <c r="R36" i="4" s="1"/>
  <c r="T41" i="4"/>
  <c r="AP43" i="3"/>
  <c r="AR39" i="3"/>
  <c r="AN14" i="3"/>
  <c r="AN11" i="3" s="1"/>
  <c r="AC46" i="4"/>
  <c r="AO42" i="4"/>
  <c r="AG42" i="4"/>
  <c r="AN41" i="4"/>
  <c r="AM40" i="4"/>
  <c r="AQ34" i="4"/>
  <c r="AH33" i="4"/>
  <c r="AG32" i="4"/>
  <c r="AU30" i="4"/>
  <c r="AR18" i="4"/>
  <c r="AG15" i="4"/>
  <c r="AH3" i="4"/>
  <c r="AB26" i="3"/>
  <c r="T26" i="3"/>
  <c r="T45" i="4" s="1"/>
  <c r="Y14" i="3"/>
  <c r="Y11" i="3" s="1"/>
  <c r="Q14" i="3"/>
  <c r="Q11" i="3" s="1"/>
  <c r="R3" i="4" s="1"/>
  <c r="AR46" i="4"/>
  <c r="AP44" i="4"/>
  <c r="AN42" i="4"/>
  <c r="AL40" i="4"/>
  <c r="AR36" i="4"/>
  <c r="AP34" i="4"/>
  <c r="AH34" i="4"/>
  <c r="AF32" i="4"/>
  <c r="AU31" i="4"/>
  <c r="AT30" i="4"/>
  <c r="AS28" i="4"/>
  <c r="AP24" i="4"/>
  <c r="AQ46" i="4"/>
  <c r="AO44" i="4"/>
  <c r="AM42" i="4"/>
  <c r="AO34" i="4"/>
  <c r="AG34" i="4"/>
  <c r="AF33" i="4"/>
  <c r="AM32" i="4"/>
  <c r="AT31" i="4"/>
  <c r="AD31" i="4"/>
  <c r="AQ27" i="4"/>
  <c r="AS22" i="4"/>
  <c r="AK22" i="4"/>
  <c r="AH5" i="4"/>
  <c r="AN3" i="4"/>
  <c r="AN23" i="4" s="1"/>
  <c r="AK14" i="3"/>
  <c r="AK11" i="3" s="1"/>
  <c r="AH46" i="4"/>
  <c r="AU43" i="4"/>
  <c r="AC41" i="4"/>
  <c r="AN34" i="4"/>
  <c r="AU33" i="4"/>
  <c r="AE33" i="4"/>
  <c r="AL32" i="4"/>
  <c r="AS31" i="4"/>
  <c r="AK31" i="4"/>
  <c r="AC31" i="4"/>
  <c r="AR22" i="4"/>
  <c r="AU16" i="4"/>
  <c r="AT15" i="4"/>
  <c r="AD15" i="4"/>
  <c r="AN45" i="4"/>
  <c r="AU44" i="4"/>
  <c r="AT43" i="4"/>
  <c r="AQ40" i="4"/>
  <c r="AN35" i="4"/>
  <c r="AM34" i="4"/>
  <c r="AD33" i="4"/>
  <c r="AU24" i="4"/>
  <c r="AT16" i="4"/>
  <c r="AC15" i="4"/>
  <c r="AN5" i="4"/>
  <c r="AT3" i="4"/>
  <c r="T42" i="4"/>
  <c r="W41" i="4"/>
  <c r="O41" i="4"/>
  <c r="Z40" i="4"/>
  <c r="R40" i="4"/>
  <c r="AN46" i="4"/>
  <c r="AB42" i="4"/>
  <c r="AP40" i="4"/>
  <c r="AS33" i="4"/>
  <c r="AK33" i="4"/>
  <c r="AU18" i="4"/>
  <c r="AR15" i="4"/>
  <c r="AJ15" i="4"/>
  <c r="AT4" i="4"/>
  <c r="AS3" i="4"/>
  <c r="AS23" i="4" s="1"/>
  <c r="AK3" i="4"/>
  <c r="AK23" i="4" s="1"/>
  <c r="AN43" i="3"/>
  <c r="AQ42" i="4"/>
  <c r="AC34" i="4"/>
  <c r="AU27" i="4"/>
  <c r="AT5" i="4"/>
  <c r="AS4" i="4"/>
  <c r="AM12" i="2"/>
  <c r="AM3" i="2"/>
  <c r="AM46" i="1"/>
  <c r="AM47" i="1"/>
  <c r="AM7" i="1"/>
  <c r="AM25" i="1"/>
  <c r="W42" i="4"/>
  <c r="O42" i="4"/>
  <c r="Z41" i="4"/>
  <c r="R41" i="4"/>
  <c r="U40" i="4"/>
  <c r="X14" i="3"/>
  <c r="X11" i="3" s="1"/>
  <c r="P14" i="3"/>
  <c r="P11" i="3" s="1"/>
  <c r="AO43" i="3"/>
  <c r="W14" i="3"/>
  <c r="W11" i="3" s="1"/>
  <c r="X3" i="4" s="1"/>
  <c r="O14" i="3"/>
  <c r="O11" i="3" s="1"/>
  <c r="AA32" i="4"/>
  <c r="AI22" i="3"/>
  <c r="AA34" i="4"/>
  <c r="U22" i="3"/>
  <c r="T22" i="3"/>
  <c r="T14" i="3"/>
  <c r="T11" i="3" s="1"/>
  <c r="T12" i="3" s="1"/>
  <c r="AK26" i="3"/>
  <c r="AN22" i="3"/>
  <c r="AG22" i="3"/>
  <c r="AA33" i="4"/>
  <c r="V42" i="4"/>
  <c r="Y41" i="4"/>
  <c r="Q41" i="4"/>
  <c r="T40" i="4"/>
  <c r="AF14" i="3"/>
  <c r="AF11" i="3" s="1"/>
  <c r="AH43" i="3"/>
  <c r="AO22" i="3"/>
  <c r="AQ22" i="4" s="1"/>
  <c r="AH22" i="3"/>
  <c r="AI22" i="4" s="1"/>
  <c r="AP14" i="3"/>
  <c r="AP11" i="3" s="1"/>
  <c r="AR35" i="4" s="1"/>
  <c r="AI14" i="3"/>
  <c r="AI11" i="3" s="1"/>
  <c r="AJ35" i="4" s="1"/>
  <c r="X41" i="4"/>
  <c r="P41" i="4"/>
  <c r="AO14" i="3"/>
  <c r="AO11" i="3" s="1"/>
  <c r="AH14" i="3"/>
  <c r="AH11" i="3" s="1"/>
  <c r="AS26" i="3"/>
  <c r="AL26" i="3"/>
  <c r="AM45" i="4" s="1"/>
  <c r="AS22" i="3"/>
  <c r="AL22" i="3"/>
  <c r="AQ26" i="3"/>
  <c r="AS45" i="4" s="1"/>
  <c r="AJ26" i="3"/>
  <c r="AK45" i="4" s="1"/>
  <c r="AR22" i="3"/>
  <c r="AK22" i="3"/>
  <c r="AS14" i="3"/>
  <c r="AS11" i="3" s="1"/>
  <c r="AL14" i="3"/>
  <c r="AL11" i="3" s="1"/>
  <c r="AM35" i="4" s="1"/>
  <c r="AI26" i="3"/>
  <c r="AI45" i="4" s="1"/>
  <c r="AL19" i="2"/>
  <c r="AL29" i="2" s="1"/>
  <c r="AL33" i="2" s="1"/>
  <c r="AK19" i="2"/>
  <c r="AK29" i="2" s="1"/>
  <c r="AK33" i="2" s="1"/>
  <c r="AH3" i="2"/>
  <c r="AH19" i="2" s="1"/>
  <c r="AH29" i="2" s="1"/>
  <c r="AH33" i="2" s="1"/>
  <c r="AD3" i="2"/>
  <c r="AD19" i="2" s="1"/>
  <c r="AD29" i="2" s="1"/>
  <c r="AD33" i="2" s="1"/>
  <c r="AG43" i="3"/>
  <c r="AL39" i="3"/>
  <c r="AB43" i="3"/>
  <c r="AG39" i="3"/>
  <c r="AK39" i="3"/>
  <c r="AI39" i="3"/>
  <c r="AJ39" i="3"/>
  <c r="AH39" i="3"/>
  <c r="AE39" i="3"/>
  <c r="AR43" i="3"/>
  <c r="AK43" i="3"/>
  <c r="AN26" i="3"/>
  <c r="AO45" i="4" s="1"/>
  <c r="AG26" i="3"/>
  <c r="AH45" i="4" s="1"/>
  <c r="AQ43" i="3"/>
  <c r="AJ43" i="3"/>
  <c r="AA26" i="3"/>
  <c r="AB45" i="4" s="1"/>
  <c r="AE14" i="3"/>
  <c r="AE11" i="3" s="1"/>
  <c r="AC22" i="3"/>
  <c r="AB14" i="3"/>
  <c r="AB11" i="3" s="1"/>
  <c r="AB22" i="3"/>
  <c r="AE43" i="3"/>
  <c r="Z15" i="4"/>
  <c r="Y15" i="4"/>
  <c r="X15" i="4"/>
  <c r="W15" i="4"/>
  <c r="V15" i="4"/>
  <c r="U15" i="4"/>
  <c r="T15" i="4"/>
  <c r="S15" i="4"/>
  <c r="R15" i="4"/>
  <c r="Q15" i="4"/>
  <c r="P15" i="4"/>
  <c r="O15" i="4"/>
  <c r="Y35" i="3"/>
  <c r="Y25" i="1"/>
  <c r="Z11" i="4" s="1"/>
  <c r="X35" i="3"/>
  <c r="X25" i="1"/>
  <c r="W35" i="3"/>
  <c r="W25" i="1"/>
  <c r="V35" i="3"/>
  <c r="V25" i="1"/>
  <c r="U35" i="3"/>
  <c r="U25" i="1"/>
  <c r="T35" i="3"/>
  <c r="T25" i="1"/>
  <c r="U11" i="4" s="1"/>
  <c r="S35" i="3"/>
  <c r="S25" i="1"/>
  <c r="R35" i="3"/>
  <c r="R25" i="1"/>
  <c r="S11" i="4" s="1"/>
  <c r="Q35" i="3"/>
  <c r="Q25" i="1"/>
  <c r="R11" i="4" s="1"/>
  <c r="P35" i="3"/>
  <c r="P25" i="1"/>
  <c r="O35" i="3"/>
  <c r="O25" i="1"/>
  <c r="N35" i="3"/>
  <c r="N25" i="1"/>
  <c r="O13" i="4" s="1"/>
  <c r="Z36" i="1"/>
  <c r="Z4" i="3"/>
  <c r="Y4" i="3"/>
  <c r="Z5" i="4" s="1"/>
  <c r="Y36" i="1"/>
  <c r="Y47" i="1" s="1"/>
  <c r="X4" i="3"/>
  <c r="X36" i="1"/>
  <c r="X47" i="1" s="1"/>
  <c r="W4" i="3"/>
  <c r="X5" i="4" s="1"/>
  <c r="W36" i="1"/>
  <c r="W47" i="1" s="1"/>
  <c r="V4" i="3"/>
  <c r="V36" i="1"/>
  <c r="V47" i="1" s="1"/>
  <c r="U4" i="3"/>
  <c r="U36" i="1"/>
  <c r="U47" i="1" s="1"/>
  <c r="T4" i="3"/>
  <c r="T36" i="1"/>
  <c r="T47" i="1" s="1"/>
  <c r="S4" i="3"/>
  <c r="S36" i="1"/>
  <c r="S47" i="1" s="1"/>
  <c r="R4" i="3"/>
  <c r="S5" i="4" s="1"/>
  <c r="R36" i="1"/>
  <c r="R47" i="1" s="1"/>
  <c r="Q4" i="3"/>
  <c r="Q36" i="1"/>
  <c r="Q47" i="1" s="1"/>
  <c r="P4" i="3"/>
  <c r="P36" i="1"/>
  <c r="P47" i="1" s="1"/>
  <c r="O4" i="3"/>
  <c r="P5" i="4" s="1"/>
  <c r="O36" i="1"/>
  <c r="O47" i="1" s="1"/>
  <c r="N4" i="3"/>
  <c r="N36" i="1"/>
  <c r="N47" i="1" s="1"/>
  <c r="Y35" i="2"/>
  <c r="Y37" i="2" s="1"/>
  <c r="X35" i="2"/>
  <c r="X37" i="2" s="1"/>
  <c r="V11" i="4"/>
  <c r="U35" i="2"/>
  <c r="U37" i="2" s="1"/>
  <c r="T35" i="2"/>
  <c r="T37" i="2" s="1"/>
  <c r="T11" i="4"/>
  <c r="S35" i="2"/>
  <c r="S37" i="2" s="1"/>
  <c r="R35" i="2"/>
  <c r="R37" i="2" s="1"/>
  <c r="Q35" i="2"/>
  <c r="Q37" i="2" s="1"/>
  <c r="P35" i="2"/>
  <c r="P37" i="2" s="1"/>
  <c r="V3" i="2"/>
  <c r="V19" i="2" s="1"/>
  <c r="V29" i="2" s="1"/>
  <c r="V33" i="2" s="1"/>
  <c r="V41" i="3"/>
  <c r="N3" i="2"/>
  <c r="N19" i="2" s="1"/>
  <c r="N29" i="2" s="1"/>
  <c r="N33" i="2" s="1"/>
  <c r="N41" i="3"/>
  <c r="W13" i="4"/>
  <c r="AA12" i="4"/>
  <c r="Z38" i="4"/>
  <c r="AA38" i="4"/>
  <c r="Z49" i="3"/>
  <c r="Z12" i="4"/>
  <c r="Y38" i="4"/>
  <c r="Y49" i="3"/>
  <c r="Y12" i="4"/>
  <c r="X38" i="4"/>
  <c r="X49" i="3"/>
  <c r="X12" i="4"/>
  <c r="W38" i="4"/>
  <c r="W49" i="3"/>
  <c r="W12" i="4"/>
  <c r="V38" i="4"/>
  <c r="V49" i="3"/>
  <c r="V12" i="4"/>
  <c r="U38" i="4"/>
  <c r="U49" i="3"/>
  <c r="U12" i="4"/>
  <c r="T38" i="4"/>
  <c r="T49" i="3"/>
  <c r="T12" i="4"/>
  <c r="S38" i="4"/>
  <c r="S49" i="3"/>
  <c r="S12" i="4"/>
  <c r="R38" i="4"/>
  <c r="R49" i="3"/>
  <c r="R12" i="4"/>
  <c r="Q38" i="4"/>
  <c r="Q49" i="3"/>
  <c r="Q12" i="4"/>
  <c r="P38" i="4"/>
  <c r="P49" i="3"/>
  <c r="P12" i="4"/>
  <c r="O38" i="4"/>
  <c r="O49" i="3"/>
  <c r="O12" i="4"/>
  <c r="N49" i="3"/>
  <c r="Z7" i="1"/>
  <c r="Z24" i="3"/>
  <c r="Z22" i="3" s="1"/>
  <c r="Z46" i="1"/>
  <c r="Z47" i="1" s="1"/>
  <c r="Z19" i="3"/>
  <c r="Z14" i="3" s="1"/>
  <c r="Z11" i="3" s="1"/>
  <c r="W39" i="3"/>
  <c r="O39" i="3"/>
  <c r="AF43" i="3"/>
  <c r="AF39" i="3"/>
  <c r="AD43" i="3"/>
  <c r="AD39" i="3"/>
  <c r="AB39" i="3"/>
  <c r="AA39" i="3"/>
  <c r="AA46" i="4"/>
  <c r="Z46" i="4"/>
  <c r="X43" i="3"/>
  <c r="Y46" i="4"/>
  <c r="X39" i="3"/>
  <c r="W43" i="3"/>
  <c r="X46" i="4"/>
  <c r="V43" i="3"/>
  <c r="W46" i="4"/>
  <c r="V39" i="3"/>
  <c r="U43" i="3"/>
  <c r="V46" i="4"/>
  <c r="T39" i="3"/>
  <c r="U46" i="4"/>
  <c r="S39" i="3"/>
  <c r="S36" i="4" s="1"/>
  <c r="T46" i="4"/>
  <c r="S46" i="4"/>
  <c r="R46" i="4"/>
  <c r="P43" i="3"/>
  <c r="Q46" i="4"/>
  <c r="P39" i="3"/>
  <c r="O43" i="3"/>
  <c r="P46" i="4"/>
  <c r="N43" i="3"/>
  <c r="O46" i="4"/>
  <c r="N39" i="3"/>
  <c r="AF26" i="3"/>
  <c r="AG45" i="4" s="1"/>
  <c r="AE26" i="3"/>
  <c r="AF45" i="4" s="1"/>
  <c r="AD26" i="3"/>
  <c r="AC26" i="3"/>
  <c r="AD45" i="4" s="1"/>
  <c r="Z34" i="4"/>
  <c r="Z26" i="3"/>
  <c r="Y34" i="4"/>
  <c r="Y26" i="3"/>
  <c r="X34" i="4"/>
  <c r="X26" i="3"/>
  <c r="W26" i="3"/>
  <c r="W34" i="4"/>
  <c r="V26" i="3"/>
  <c r="V34" i="4"/>
  <c r="U26" i="3"/>
  <c r="U34" i="4"/>
  <c r="T34" i="4"/>
  <c r="S34" i="4"/>
  <c r="R34" i="4"/>
  <c r="R26" i="3"/>
  <c r="S45" i="4" s="1"/>
  <c r="Q34" i="4"/>
  <c r="Q26" i="3"/>
  <c r="P34" i="4"/>
  <c r="P26" i="3"/>
  <c r="O26" i="3"/>
  <c r="O34" i="4"/>
  <c r="N26" i="3"/>
  <c r="V22" i="4"/>
  <c r="U22" i="4"/>
  <c r="AF22" i="3"/>
  <c r="AE22" i="3"/>
  <c r="AD22" i="3"/>
  <c r="AA22" i="3"/>
  <c r="Y22" i="3"/>
  <c r="X22" i="3"/>
  <c r="W22" i="3"/>
  <c r="V22" i="3"/>
  <c r="S22" i="3"/>
  <c r="R22" i="3"/>
  <c r="Q22" i="3"/>
  <c r="P22" i="3"/>
  <c r="O22" i="3"/>
  <c r="N22" i="3"/>
  <c r="Y12" i="3"/>
  <c r="Z6" i="4" s="1"/>
  <c r="Z3" i="4"/>
  <c r="Y35" i="4"/>
  <c r="X12" i="3"/>
  <c r="Y6" i="4" s="1"/>
  <c r="Y3" i="4"/>
  <c r="Y5" i="4"/>
  <c r="X35" i="4"/>
  <c r="W12" i="3"/>
  <c r="R12" i="3"/>
  <c r="S3" i="4"/>
  <c r="Q12" i="3"/>
  <c r="R6" i="4" s="1"/>
  <c r="R5" i="4"/>
  <c r="P12" i="3"/>
  <c r="Q6" i="4" s="1"/>
  <c r="Q3" i="4"/>
  <c r="Q5" i="4"/>
  <c r="P35" i="4"/>
  <c r="O12" i="3"/>
  <c r="P3" i="4"/>
  <c r="AD14" i="3"/>
  <c r="AD11" i="3" s="1"/>
  <c r="V14" i="3"/>
  <c r="V11" i="3" s="1"/>
  <c r="N14" i="3"/>
  <c r="N11" i="3" s="1"/>
  <c r="AC14" i="3"/>
  <c r="AC11" i="3" s="1"/>
  <c r="AA14" i="3"/>
  <c r="AA11" i="3" s="1"/>
  <c r="U14" i="3"/>
  <c r="U11" i="3" s="1"/>
  <c r="S14" i="3"/>
  <c r="S11" i="3" s="1"/>
  <c r="Z33" i="4"/>
  <c r="Y33" i="4"/>
  <c r="X33" i="4"/>
  <c r="W33" i="4"/>
  <c r="V33" i="4"/>
  <c r="U33" i="4"/>
  <c r="T33" i="4"/>
  <c r="S33" i="4"/>
  <c r="R33" i="4"/>
  <c r="Q33" i="4"/>
  <c r="P33" i="4"/>
  <c r="O33" i="4"/>
  <c r="Z32" i="4"/>
  <c r="Y32" i="4"/>
  <c r="X32" i="4"/>
  <c r="W32" i="4"/>
  <c r="V32" i="4"/>
  <c r="U32" i="4"/>
  <c r="T32" i="4"/>
  <c r="S32" i="4"/>
  <c r="R32" i="4"/>
  <c r="Q32" i="4"/>
  <c r="P32" i="4"/>
  <c r="O32" i="4"/>
  <c r="AA31" i="4"/>
  <c r="AA43" i="3"/>
  <c r="S43" i="3"/>
  <c r="AC39" i="3"/>
  <c r="U39" i="3"/>
  <c r="Z3" i="2"/>
  <c r="Z19" i="2" s="1"/>
  <c r="O3" i="2"/>
  <c r="O19" i="2" s="1"/>
  <c r="O29" i="2" s="1"/>
  <c r="O33" i="2" s="1"/>
  <c r="W3" i="2"/>
  <c r="W19" i="2" s="1"/>
  <c r="W29" i="2" s="1"/>
  <c r="W33" i="2" s="1"/>
  <c r="H3" i="3"/>
  <c r="H4" i="3"/>
  <c r="H5" i="3"/>
  <c r="I5" i="3"/>
  <c r="J5" i="3"/>
  <c r="K5" i="3"/>
  <c r="L5" i="3"/>
  <c r="M5" i="3"/>
  <c r="H6" i="3"/>
  <c r="I6" i="3"/>
  <c r="J6" i="3"/>
  <c r="K6" i="3"/>
  <c r="L6" i="3"/>
  <c r="M6" i="3"/>
  <c r="H7" i="3"/>
  <c r="I7" i="3"/>
  <c r="J7" i="3"/>
  <c r="K7" i="3"/>
  <c r="L7" i="3"/>
  <c r="M7" i="3"/>
  <c r="H8" i="3"/>
  <c r="I8" i="3"/>
  <c r="J8" i="3"/>
  <c r="K8" i="3"/>
  <c r="L8" i="3"/>
  <c r="M8" i="3"/>
  <c r="H15" i="3"/>
  <c r="I15" i="3"/>
  <c r="J15" i="3"/>
  <c r="K15" i="3"/>
  <c r="L15" i="3"/>
  <c r="M15" i="3"/>
  <c r="H16" i="3"/>
  <c r="I16" i="3"/>
  <c r="J16" i="3"/>
  <c r="K16" i="3"/>
  <c r="L16" i="3"/>
  <c r="M16" i="3"/>
  <c r="H17" i="3"/>
  <c r="I17" i="3"/>
  <c r="J17" i="3"/>
  <c r="K17" i="3"/>
  <c r="L17" i="3"/>
  <c r="M17" i="3"/>
  <c r="H19" i="3"/>
  <c r="I19" i="3"/>
  <c r="J19" i="3"/>
  <c r="K19" i="3"/>
  <c r="L19" i="3"/>
  <c r="M19" i="3"/>
  <c r="H20" i="3"/>
  <c r="I20" i="3"/>
  <c r="J20" i="3"/>
  <c r="K20" i="3"/>
  <c r="L20" i="3"/>
  <c r="M20" i="3"/>
  <c r="H23" i="3"/>
  <c r="I23" i="3"/>
  <c r="J23" i="3"/>
  <c r="K23" i="3"/>
  <c r="L23" i="3"/>
  <c r="M23" i="3"/>
  <c r="H24" i="3"/>
  <c r="I24" i="3"/>
  <c r="J24" i="3"/>
  <c r="K24" i="3"/>
  <c r="L24" i="3"/>
  <c r="M24" i="3"/>
  <c r="H27" i="3"/>
  <c r="I27" i="3"/>
  <c r="J27" i="3"/>
  <c r="K27" i="3"/>
  <c r="L27" i="3"/>
  <c r="M27" i="3"/>
  <c r="H28" i="3"/>
  <c r="I28" i="3"/>
  <c r="J28" i="3"/>
  <c r="K28" i="3"/>
  <c r="L28" i="3"/>
  <c r="M28" i="3"/>
  <c r="H33" i="3"/>
  <c r="H35" i="3"/>
  <c r="H36" i="3"/>
  <c r="I36" i="3"/>
  <c r="J36" i="3"/>
  <c r="K36" i="3"/>
  <c r="L36" i="3"/>
  <c r="M36" i="3"/>
  <c r="H40" i="3"/>
  <c r="I40" i="3"/>
  <c r="J40" i="3"/>
  <c r="K40" i="3"/>
  <c r="L40" i="3"/>
  <c r="M40" i="3"/>
  <c r="H42" i="3"/>
  <c r="I42" i="3"/>
  <c r="J42" i="3"/>
  <c r="K42" i="3"/>
  <c r="L42" i="3"/>
  <c r="M42" i="3"/>
  <c r="H46" i="3"/>
  <c r="I40" i="4" s="1"/>
  <c r="I46" i="3"/>
  <c r="J46" i="3"/>
  <c r="K46" i="3"/>
  <c r="L46" i="3"/>
  <c r="M46" i="3"/>
  <c r="H47" i="3"/>
  <c r="I47" i="3"/>
  <c r="J47" i="3"/>
  <c r="K47" i="3"/>
  <c r="L41" i="4" s="1"/>
  <c r="L47" i="3"/>
  <c r="M47" i="3"/>
  <c r="N41" i="4" s="1"/>
  <c r="H48" i="3"/>
  <c r="I48" i="3"/>
  <c r="J48" i="3"/>
  <c r="K48" i="3"/>
  <c r="L48" i="3"/>
  <c r="M48" i="3"/>
  <c r="M7" i="1"/>
  <c r="L7" i="1"/>
  <c r="M3" i="1"/>
  <c r="M33" i="3" s="1"/>
  <c r="H30" i="2"/>
  <c r="H23" i="2"/>
  <c r="H7" i="2"/>
  <c r="H41" i="3" s="1"/>
  <c r="H4" i="2"/>
  <c r="H3" i="2" s="1"/>
  <c r="H19" i="2" s="1"/>
  <c r="M46" i="1"/>
  <c r="M29" i="1"/>
  <c r="M36" i="1" s="1"/>
  <c r="M19" i="1"/>
  <c r="M35" i="3" s="1"/>
  <c r="M15" i="1"/>
  <c r="M12" i="1"/>
  <c r="M30" i="2"/>
  <c r="M23" i="2"/>
  <c r="M7" i="2"/>
  <c r="M41" i="3" s="1"/>
  <c r="M4" i="2"/>
  <c r="M3" i="2" s="1"/>
  <c r="J30" i="2"/>
  <c r="K30" i="2"/>
  <c r="L30" i="2"/>
  <c r="J23" i="2"/>
  <c r="K23" i="2"/>
  <c r="L23" i="2"/>
  <c r="J7" i="2"/>
  <c r="J41" i="3" s="1"/>
  <c r="K7" i="2"/>
  <c r="K41" i="3" s="1"/>
  <c r="L7" i="2"/>
  <c r="L41" i="3" s="1"/>
  <c r="J4" i="2"/>
  <c r="K4" i="2"/>
  <c r="L4" i="2"/>
  <c r="J46" i="1"/>
  <c r="K46" i="1"/>
  <c r="L46" i="1"/>
  <c r="J29" i="1"/>
  <c r="J4" i="3" s="1"/>
  <c r="K29" i="1"/>
  <c r="K4" i="3" s="1"/>
  <c r="L29" i="1"/>
  <c r="L36" i="1" s="1"/>
  <c r="J19" i="1"/>
  <c r="K19" i="1"/>
  <c r="L19" i="1"/>
  <c r="J15" i="1"/>
  <c r="K15" i="1"/>
  <c r="L15" i="1"/>
  <c r="J12" i="1"/>
  <c r="K12" i="1"/>
  <c r="L12" i="1"/>
  <c r="J7" i="1"/>
  <c r="K7" i="1"/>
  <c r="J3" i="1"/>
  <c r="J33" i="3" s="1"/>
  <c r="K3" i="1"/>
  <c r="K33" i="3" s="1"/>
  <c r="L3" i="1"/>
  <c r="L33" i="3" s="1"/>
  <c r="K43" i="3" l="1"/>
  <c r="AB36" i="4"/>
  <c r="AC44" i="4"/>
  <c r="AD36" i="4"/>
  <c r="P13" i="4"/>
  <c r="X13" i="4"/>
  <c r="AL36" i="4"/>
  <c r="AE11" i="4"/>
  <c r="AD35" i="2"/>
  <c r="AD37" i="2" s="1"/>
  <c r="AI11" i="4"/>
  <c r="AH35" i="2"/>
  <c r="AH37" i="2" s="1"/>
  <c r="AL11" i="4"/>
  <c r="AK35" i="2"/>
  <c r="AK37" i="2" s="1"/>
  <c r="AM11" i="4"/>
  <c r="AL35" i="2"/>
  <c r="AL37" i="2" s="1"/>
  <c r="AL45" i="4"/>
  <c r="U6" i="4"/>
  <c r="AN17" i="4"/>
  <c r="AM3" i="3"/>
  <c r="AM48" i="1"/>
  <c r="AN13" i="4"/>
  <c r="AM43" i="3"/>
  <c r="AM39" i="3"/>
  <c r="AN43" i="4"/>
  <c r="AH31" i="4"/>
  <c r="AI31" i="4"/>
  <c r="AJ31" i="4"/>
  <c r="AN26" i="4"/>
  <c r="AM31" i="4"/>
  <c r="AN31" i="4"/>
  <c r="AB17" i="4"/>
  <c r="AA3" i="3"/>
  <c r="AB11" i="4"/>
  <c r="AB13" i="4"/>
  <c r="AC17" i="4"/>
  <c r="AB3" i="3"/>
  <c r="AC13" i="4"/>
  <c r="AD17" i="4"/>
  <c r="AC3" i="3"/>
  <c r="AD11" i="4"/>
  <c r="AD13" i="4"/>
  <c r="AE17" i="4"/>
  <c r="AD3" i="3"/>
  <c r="AE13" i="4"/>
  <c r="AF17" i="4"/>
  <c r="AE3" i="3"/>
  <c r="AF11" i="4"/>
  <c r="AF13" i="4"/>
  <c r="AG17" i="4"/>
  <c r="AF3" i="3"/>
  <c r="AG11" i="4"/>
  <c r="AG13" i="4"/>
  <c r="AH17" i="4"/>
  <c r="AG3" i="3"/>
  <c r="AH11" i="4"/>
  <c r="AH13" i="4"/>
  <c r="AH20" i="4"/>
  <c r="AH3" i="3"/>
  <c r="AI17" i="4"/>
  <c r="AI13" i="4"/>
  <c r="AI20" i="4"/>
  <c r="AI3" i="3"/>
  <c r="AJ17" i="4"/>
  <c r="AJ11" i="4"/>
  <c r="AJ13" i="4"/>
  <c r="AK17" i="4"/>
  <c r="AJ3" i="3"/>
  <c r="AK13" i="4"/>
  <c r="AL17" i="4"/>
  <c r="AK3" i="3"/>
  <c r="AL13" i="4"/>
  <c r="AM17" i="4"/>
  <c r="AL3" i="3"/>
  <c r="AM13" i="4"/>
  <c r="AI43" i="4"/>
  <c r="AC11" i="4"/>
  <c r="AB35" i="2"/>
  <c r="AB37" i="2" s="1"/>
  <c r="AK11" i="4"/>
  <c r="AJ35" i="2"/>
  <c r="AJ37" i="2" s="1"/>
  <c r="AQ45" i="4"/>
  <c r="AP36" i="4"/>
  <c r="AQ44" i="4"/>
  <c r="AT45" i="4"/>
  <c r="AU45" i="4"/>
  <c r="AH23" i="4"/>
  <c r="AH22" i="4"/>
  <c r="R35" i="4"/>
  <c r="AB22" i="4"/>
  <c r="AF36" i="4"/>
  <c r="AG44" i="4"/>
  <c r="AE12" i="3"/>
  <c r="AF6" i="4" s="1"/>
  <c r="AE35" i="4"/>
  <c r="AF5" i="4"/>
  <c r="AF4" i="4"/>
  <c r="AF3" i="4"/>
  <c r="AF23" i="4" s="1"/>
  <c r="AE36" i="4"/>
  <c r="AF44" i="4"/>
  <c r="AL22" i="4"/>
  <c r="AH12" i="3"/>
  <c r="AI6" i="4" s="1"/>
  <c r="AH35" i="4"/>
  <c r="AI5" i="4"/>
  <c r="AI4" i="4"/>
  <c r="AI3" i="4"/>
  <c r="AI23" i="4" s="1"/>
  <c r="AP22" i="4"/>
  <c r="AK12" i="3"/>
  <c r="AL6" i="4" s="1"/>
  <c r="AL5" i="4"/>
  <c r="AL4" i="4"/>
  <c r="AL3" i="4"/>
  <c r="AL23" i="4" s="1"/>
  <c r="AK35" i="4"/>
  <c r="AR45" i="4"/>
  <c r="K39" i="3"/>
  <c r="AB3" i="4"/>
  <c r="AB23" i="4" s="1"/>
  <c r="AB4" i="4"/>
  <c r="AB5" i="4"/>
  <c r="AE22" i="4"/>
  <c r="AH36" i="4"/>
  <c r="AI44" i="4"/>
  <c r="AT23" i="4"/>
  <c r="AT22" i="4"/>
  <c r="AO12" i="3"/>
  <c r="AQ6" i="4" s="1"/>
  <c r="AP35" i="4"/>
  <c r="AQ5" i="4"/>
  <c r="AQ3" i="4"/>
  <c r="AQ23" i="4" s="1"/>
  <c r="AQ4" i="4"/>
  <c r="AF12" i="3"/>
  <c r="AG6" i="4" s="1"/>
  <c r="AF35" i="4"/>
  <c r="AG5" i="4"/>
  <c r="AG4" i="4"/>
  <c r="AG3" i="4"/>
  <c r="AG35" i="4"/>
  <c r="AM36" i="4"/>
  <c r="AS12" i="3"/>
  <c r="AU6" i="4" s="1"/>
  <c r="AT35" i="4"/>
  <c r="AU5" i="4"/>
  <c r="AU35" i="4"/>
  <c r="AU4" i="4"/>
  <c r="AU3" i="4"/>
  <c r="J39" i="3"/>
  <c r="AC12" i="3"/>
  <c r="AD6" i="4" s="1"/>
  <c r="AD5" i="4"/>
  <c r="AD4" i="4"/>
  <c r="AD3" i="4"/>
  <c r="AD23" i="4" s="1"/>
  <c r="AC35" i="4"/>
  <c r="AK44" i="4"/>
  <c r="AJ36" i="4"/>
  <c r="AP45" i="4"/>
  <c r="AC45" i="4"/>
  <c r="AN12" i="3"/>
  <c r="AP6" i="4" s="1"/>
  <c r="AO35" i="4"/>
  <c r="AP5" i="4"/>
  <c r="AP4" i="4"/>
  <c r="AP3" i="4"/>
  <c r="AP23" i="4" s="1"/>
  <c r="AD22" i="4"/>
  <c r="J41" i="4"/>
  <c r="AD44" i="4"/>
  <c r="AC36" i="4"/>
  <c r="S6" i="4"/>
  <c r="AG22" i="4"/>
  <c r="AG23" i="4"/>
  <c r="AI36" i="4"/>
  <c r="AJ44" i="4"/>
  <c r="AT44" i="4"/>
  <c r="AT36" i="4"/>
  <c r="AS36" i="4"/>
  <c r="AS44" i="4"/>
  <c r="K41" i="4"/>
  <c r="U36" i="4"/>
  <c r="AF22" i="4"/>
  <c r="Q35" i="4"/>
  <c r="AA36" i="4"/>
  <c r="AB44" i="4"/>
  <c r="AL44" i="4"/>
  <c r="AK36" i="4"/>
  <c r="AM22" i="4"/>
  <c r="AI12" i="3"/>
  <c r="AJ6" i="4" s="1"/>
  <c r="AJ3" i="4"/>
  <c r="AJ4" i="4"/>
  <c r="AI35" i="4"/>
  <c r="AJ5" i="4"/>
  <c r="AE44" i="4"/>
  <c r="N40" i="4"/>
  <c r="AD12" i="3"/>
  <c r="AE6" i="4" s="1"/>
  <c r="AD35" i="4"/>
  <c r="AE5" i="4"/>
  <c r="AE4" i="4"/>
  <c r="AE3" i="4"/>
  <c r="AE23" i="4" s="1"/>
  <c r="AC22" i="4"/>
  <c r="AG36" i="4"/>
  <c r="AH44" i="4"/>
  <c r="AJ45" i="4"/>
  <c r="AU23" i="4"/>
  <c r="AU22" i="4"/>
  <c r="AP12" i="3"/>
  <c r="AR6" i="4" s="1"/>
  <c r="AR3" i="4"/>
  <c r="AR23" i="4" s="1"/>
  <c r="AR4" i="4"/>
  <c r="AQ35" i="4"/>
  <c r="AR5" i="4"/>
  <c r="AM44" i="4"/>
  <c r="AE45" i="4"/>
  <c r="AB12" i="3"/>
  <c r="AC6" i="4" s="1"/>
  <c r="AC4" i="4"/>
  <c r="AC3" i="4"/>
  <c r="AC23" i="4" s="1"/>
  <c r="AB35" i="4"/>
  <c r="AC5" i="4"/>
  <c r="AL12" i="3"/>
  <c r="AM6" i="4" s="1"/>
  <c r="AL35" i="4"/>
  <c r="AM5" i="4"/>
  <c r="AM4" i="4"/>
  <c r="AM3" i="4"/>
  <c r="AM23" i="4" s="1"/>
  <c r="AJ23" i="4"/>
  <c r="AJ22" i="4"/>
  <c r="AM19" i="2"/>
  <c r="AM29" i="2" s="1"/>
  <c r="AM39" i="2" s="1"/>
  <c r="I42" i="4"/>
  <c r="L34" i="4"/>
  <c r="U5" i="4"/>
  <c r="U3" i="4"/>
  <c r="U23" i="4" s="1"/>
  <c r="K14" i="3"/>
  <c r="K11" i="3" s="1"/>
  <c r="K40" i="4"/>
  <c r="Q45" i="4"/>
  <c r="Z45" i="4"/>
  <c r="Y13" i="4"/>
  <c r="N42" i="4"/>
  <c r="J40" i="4"/>
  <c r="P6" i="4"/>
  <c r="AA45" i="4"/>
  <c r="X6" i="4"/>
  <c r="W45" i="4"/>
  <c r="I41" i="4"/>
  <c r="V13" i="4"/>
  <c r="M42" i="4"/>
  <c r="R13" i="4"/>
  <c r="L42" i="4"/>
  <c r="J26" i="3"/>
  <c r="R45" i="4"/>
  <c r="S13" i="4"/>
  <c r="Y11" i="4"/>
  <c r="K42" i="4"/>
  <c r="T13" i="4"/>
  <c r="J42" i="4"/>
  <c r="U13" i="4"/>
  <c r="Q13" i="4"/>
  <c r="M40" i="4"/>
  <c r="O45" i="4"/>
  <c r="X45" i="4"/>
  <c r="L40" i="4"/>
  <c r="L14" i="3"/>
  <c r="L11" i="3" s="1"/>
  <c r="L12" i="3" s="1"/>
  <c r="Y45" i="4"/>
  <c r="Q11" i="4"/>
  <c r="M41" i="4"/>
  <c r="K34" i="4"/>
  <c r="P45" i="4"/>
  <c r="X11" i="4"/>
  <c r="W35" i="2"/>
  <c r="W37" i="2" s="1"/>
  <c r="P11" i="4"/>
  <c r="O35" i="2"/>
  <c r="O37" i="2" s="1"/>
  <c r="Z29" i="2"/>
  <c r="Z33" i="2" s="1"/>
  <c r="S12" i="3"/>
  <c r="T6" i="4" s="1"/>
  <c r="T3" i="4"/>
  <c r="T23" i="4" s="1"/>
  <c r="T5" i="4"/>
  <c r="S35" i="4"/>
  <c r="T35" i="4"/>
  <c r="U12" i="3"/>
  <c r="V6" i="4" s="1"/>
  <c r="V3" i="4"/>
  <c r="V23" i="4" s="1"/>
  <c r="V5" i="4"/>
  <c r="U35" i="4"/>
  <c r="AA12" i="3"/>
  <c r="AB6" i="4" s="1"/>
  <c r="AA35" i="4"/>
  <c r="N12" i="3"/>
  <c r="O6" i="4" s="1"/>
  <c r="O3" i="4"/>
  <c r="O23" i="4" s="1"/>
  <c r="O5" i="4"/>
  <c r="O35" i="4"/>
  <c r="V12" i="3"/>
  <c r="W6" i="4" s="1"/>
  <c r="W3" i="4"/>
  <c r="W23" i="4" s="1"/>
  <c r="W5" i="4"/>
  <c r="V35" i="4"/>
  <c r="W35" i="4"/>
  <c r="O22" i="4"/>
  <c r="P22" i="4"/>
  <c r="P23" i="4"/>
  <c r="Q22" i="4"/>
  <c r="Q23" i="4"/>
  <c r="R22" i="4"/>
  <c r="R23" i="4"/>
  <c r="S22" i="4"/>
  <c r="S23" i="4"/>
  <c r="T22" i="4"/>
  <c r="W22" i="4"/>
  <c r="X22" i="4"/>
  <c r="X23" i="4"/>
  <c r="Y22" i="4"/>
  <c r="Y23" i="4"/>
  <c r="Z22" i="4"/>
  <c r="Z23" i="4"/>
  <c r="AA22" i="4"/>
  <c r="V45" i="4"/>
  <c r="U45" i="4"/>
  <c r="P36" i="4"/>
  <c r="Q36" i="4"/>
  <c r="T36" i="4"/>
  <c r="V36" i="4"/>
  <c r="X36" i="4"/>
  <c r="Y36" i="4"/>
  <c r="O36" i="4"/>
  <c r="W36" i="4"/>
  <c r="Z12" i="3"/>
  <c r="AA6" i="4" s="1"/>
  <c r="AA3" i="4"/>
  <c r="AA23" i="4" s="1"/>
  <c r="AA5" i="4"/>
  <c r="Z35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O11" i="4"/>
  <c r="N35" i="2"/>
  <c r="N37" i="2" s="1"/>
  <c r="W11" i="4"/>
  <c r="V35" i="2"/>
  <c r="V37" i="2" s="1"/>
  <c r="O31" i="4"/>
  <c r="P31" i="4"/>
  <c r="Q31" i="4"/>
  <c r="R31" i="4"/>
  <c r="S31" i="4"/>
  <c r="T31" i="4"/>
  <c r="U31" i="4"/>
  <c r="V31" i="4"/>
  <c r="W31" i="4"/>
  <c r="X31" i="4"/>
  <c r="Y31" i="4"/>
  <c r="Z31" i="4"/>
  <c r="O17" i="4"/>
  <c r="N3" i="3"/>
  <c r="O20" i="4" s="1"/>
  <c r="P17" i="4"/>
  <c r="O3" i="3"/>
  <c r="P20" i="4" s="1"/>
  <c r="Q17" i="4"/>
  <c r="P3" i="3"/>
  <c r="Q20" i="4"/>
  <c r="R17" i="4"/>
  <c r="Q3" i="3"/>
  <c r="R20" i="4" s="1"/>
  <c r="S17" i="4"/>
  <c r="R3" i="3"/>
  <c r="S20" i="4" s="1"/>
  <c r="T17" i="4"/>
  <c r="S3" i="3"/>
  <c r="T20" i="4" s="1"/>
  <c r="U17" i="4"/>
  <c r="T3" i="3"/>
  <c r="U20" i="4" s="1"/>
  <c r="V17" i="4"/>
  <c r="U3" i="3"/>
  <c r="V20" i="4"/>
  <c r="W17" i="4"/>
  <c r="V3" i="3"/>
  <c r="W20" i="4" s="1"/>
  <c r="X17" i="4"/>
  <c r="W3" i="3"/>
  <c r="X20" i="4" s="1"/>
  <c r="Y17" i="4"/>
  <c r="X3" i="3"/>
  <c r="Y20" i="4"/>
  <c r="Z17" i="4"/>
  <c r="Y3" i="3"/>
  <c r="Z20" i="4" s="1"/>
  <c r="K31" i="4"/>
  <c r="L49" i="3"/>
  <c r="L38" i="4"/>
  <c r="M12" i="4"/>
  <c r="K49" i="3"/>
  <c r="K38" i="4"/>
  <c r="L12" i="4"/>
  <c r="J49" i="3"/>
  <c r="K12" i="4"/>
  <c r="M49" i="3"/>
  <c r="M38" i="4"/>
  <c r="N38" i="4"/>
  <c r="N12" i="4"/>
  <c r="H49" i="3"/>
  <c r="I12" i="4"/>
  <c r="N46" i="4"/>
  <c r="M46" i="4"/>
  <c r="L46" i="4"/>
  <c r="K46" i="4"/>
  <c r="J46" i="4"/>
  <c r="I46" i="4"/>
  <c r="M34" i="4"/>
  <c r="N34" i="4"/>
  <c r="J43" i="3"/>
  <c r="J34" i="4"/>
  <c r="I43" i="3"/>
  <c r="I34" i="4"/>
  <c r="J22" i="3"/>
  <c r="K22" i="4" s="1"/>
  <c r="L35" i="4"/>
  <c r="K12" i="3"/>
  <c r="M33" i="4"/>
  <c r="N33" i="4"/>
  <c r="L33" i="4"/>
  <c r="K33" i="4"/>
  <c r="J33" i="4"/>
  <c r="I33" i="4"/>
  <c r="I28" i="4"/>
  <c r="M32" i="4"/>
  <c r="N32" i="4"/>
  <c r="L32" i="4"/>
  <c r="K32" i="4"/>
  <c r="J32" i="4"/>
  <c r="I32" i="4"/>
  <c r="I27" i="4"/>
  <c r="I26" i="4"/>
  <c r="M22" i="3"/>
  <c r="K3" i="2"/>
  <c r="K19" i="2" s="1"/>
  <c r="K29" i="2" s="1"/>
  <c r="K33" i="2" s="1"/>
  <c r="H39" i="3"/>
  <c r="H43" i="3"/>
  <c r="J14" i="3"/>
  <c r="J11" i="3" s="1"/>
  <c r="I14" i="3"/>
  <c r="I11" i="3" s="1"/>
  <c r="K26" i="3"/>
  <c r="I22" i="3"/>
  <c r="L22" i="3"/>
  <c r="H22" i="3"/>
  <c r="H29" i="2"/>
  <c r="H33" i="2" s="1"/>
  <c r="M19" i="2"/>
  <c r="M29" i="2" s="1"/>
  <c r="M33" i="2" s="1"/>
  <c r="L39" i="3"/>
  <c r="L36" i="4" s="1"/>
  <c r="H14" i="3"/>
  <c r="H11" i="3" s="1"/>
  <c r="M14" i="3"/>
  <c r="M11" i="3" s="1"/>
  <c r="K36" i="1"/>
  <c r="K47" i="1" s="1"/>
  <c r="M4" i="3"/>
  <c r="L4" i="3"/>
  <c r="L35" i="3"/>
  <c r="K35" i="3"/>
  <c r="J35" i="3"/>
  <c r="H26" i="3"/>
  <c r="M26" i="3"/>
  <c r="N45" i="4" s="1"/>
  <c r="L26" i="3"/>
  <c r="I26" i="3"/>
  <c r="J45" i="4" s="1"/>
  <c r="K22" i="3"/>
  <c r="M39" i="3"/>
  <c r="M43" i="3"/>
  <c r="L43" i="3"/>
  <c r="J36" i="1"/>
  <c r="J47" i="1" s="1"/>
  <c r="M15" i="4"/>
  <c r="L3" i="4"/>
  <c r="M47" i="1"/>
  <c r="N15" i="4"/>
  <c r="M25" i="1"/>
  <c r="L3" i="2"/>
  <c r="L19" i="2" s="1"/>
  <c r="L29" i="2" s="1"/>
  <c r="L33" i="2" s="1"/>
  <c r="L47" i="1"/>
  <c r="K25" i="1"/>
  <c r="J25" i="1"/>
  <c r="L25" i="1"/>
  <c r="L15" i="4"/>
  <c r="J3" i="2"/>
  <c r="J19" i="2" s="1"/>
  <c r="J29" i="2" s="1"/>
  <c r="J33" i="2" s="1"/>
  <c r="C7" i="1"/>
  <c r="D7" i="1"/>
  <c r="E7" i="1"/>
  <c r="F7" i="1"/>
  <c r="G7" i="1"/>
  <c r="I7" i="1"/>
  <c r="B7" i="1"/>
  <c r="M22" i="4" l="1"/>
  <c r="K36" i="4"/>
  <c r="AM20" i="4"/>
  <c r="AM21" i="4"/>
  <c r="AM28" i="4"/>
  <c r="AM27" i="4"/>
  <c r="AL30" i="4"/>
  <c r="AM43" i="4"/>
  <c r="AM16" i="4"/>
  <c r="AM24" i="4"/>
  <c r="AM26" i="4"/>
  <c r="AM18" i="4"/>
  <c r="AL21" i="4"/>
  <c r="AL20" i="4"/>
  <c r="AL16" i="4"/>
  <c r="AL18" i="4"/>
  <c r="AL24" i="4"/>
  <c r="AL28" i="4"/>
  <c r="AL27" i="4"/>
  <c r="AL26" i="4"/>
  <c r="AK30" i="4"/>
  <c r="AL43" i="4"/>
  <c r="AK24" i="4"/>
  <c r="AK18" i="4"/>
  <c r="AK26" i="4"/>
  <c r="AK27" i="4"/>
  <c r="AK20" i="4"/>
  <c r="AK28" i="4"/>
  <c r="AK21" i="4"/>
  <c r="AJ30" i="4"/>
  <c r="AK43" i="4"/>
  <c r="AK16" i="4"/>
  <c r="AK4" i="4"/>
  <c r="AI30" i="4"/>
  <c r="AJ21" i="4"/>
  <c r="AJ20" i="4"/>
  <c r="AJ16" i="4"/>
  <c r="AJ24" i="4"/>
  <c r="AJ28" i="4"/>
  <c r="AJ27" i="4"/>
  <c r="AJ26" i="4"/>
  <c r="AJ18" i="4"/>
  <c r="AJ43" i="4"/>
  <c r="AH30" i="4"/>
  <c r="AI21" i="4"/>
  <c r="AI24" i="4"/>
  <c r="AI28" i="4"/>
  <c r="AI27" i="4"/>
  <c r="AI16" i="4"/>
  <c r="AI18" i="4"/>
  <c r="AI26" i="4"/>
  <c r="AH43" i="4"/>
  <c r="AH21" i="4"/>
  <c r="AH16" i="4"/>
  <c r="AH18" i="4"/>
  <c r="AH28" i="4"/>
  <c r="AH27" i="4"/>
  <c r="AH26" i="4"/>
  <c r="AH24" i="4"/>
  <c r="AH4" i="4"/>
  <c r="AG30" i="4"/>
  <c r="AF30" i="4"/>
  <c r="AG27" i="4"/>
  <c r="AG18" i="4"/>
  <c r="AG43" i="4"/>
  <c r="AG16" i="4"/>
  <c r="AG24" i="4"/>
  <c r="AG26" i="4"/>
  <c r="AG20" i="4"/>
  <c r="AG28" i="4"/>
  <c r="AG21" i="4"/>
  <c r="AE30" i="4"/>
  <c r="AF21" i="4"/>
  <c r="AF20" i="4"/>
  <c r="AF16" i="4"/>
  <c r="AF18" i="4"/>
  <c r="AF24" i="4"/>
  <c r="AF28" i="4"/>
  <c r="AF27" i="4"/>
  <c r="AF26" i="4"/>
  <c r="AF43" i="4"/>
  <c r="AD30" i="4"/>
  <c r="AE21" i="4"/>
  <c r="AE20" i="4"/>
  <c r="AE24" i="4"/>
  <c r="AE28" i="4"/>
  <c r="AE27" i="4"/>
  <c r="AE26" i="4"/>
  <c r="AE16" i="4"/>
  <c r="AE18" i="4"/>
  <c r="AE43" i="4"/>
  <c r="AC30" i="4"/>
  <c r="AD43" i="4"/>
  <c r="AD21" i="4"/>
  <c r="AD20" i="4"/>
  <c r="AD18" i="4"/>
  <c r="AD24" i="4"/>
  <c r="AD27" i="4"/>
  <c r="AD26" i="4"/>
  <c r="AD28" i="4"/>
  <c r="AD16" i="4"/>
  <c r="AB30" i="4"/>
  <c r="AC21" i="4"/>
  <c r="AC20" i="4"/>
  <c r="AC24" i="4"/>
  <c r="AC28" i="4"/>
  <c r="AC27" i="4"/>
  <c r="AC26" i="4"/>
  <c r="AC16" i="4"/>
  <c r="AC18" i="4"/>
  <c r="AC43" i="4"/>
  <c r="AB43" i="4"/>
  <c r="AB21" i="4"/>
  <c r="AB20" i="4"/>
  <c r="AB24" i="4"/>
  <c r="AB28" i="4"/>
  <c r="AB27" i="4"/>
  <c r="AB16" i="4"/>
  <c r="AB18" i="4"/>
  <c r="AB26" i="4"/>
  <c r="AN44" i="4"/>
  <c r="AN36" i="4"/>
  <c r="AN30" i="4"/>
  <c r="AN20" i="4"/>
  <c r="AN16" i="4"/>
  <c r="AN18" i="4"/>
  <c r="AN21" i="4"/>
  <c r="AN28" i="4"/>
  <c r="AN27" i="4"/>
  <c r="AM30" i="4"/>
  <c r="AN24" i="4"/>
  <c r="AN4" i="4"/>
  <c r="AM33" i="2"/>
  <c r="M45" i="4"/>
  <c r="Y30" i="4"/>
  <c r="Z16" i="4"/>
  <c r="Z18" i="4"/>
  <c r="Z21" i="4"/>
  <c r="Z24" i="4"/>
  <c r="Z4" i="4"/>
  <c r="Z28" i="4"/>
  <c r="Z27" i="4"/>
  <c r="Z26" i="4"/>
  <c r="X30" i="4"/>
  <c r="Y16" i="4"/>
  <c r="Y18" i="4"/>
  <c r="Y21" i="4"/>
  <c r="Y24" i="4"/>
  <c r="Y4" i="4"/>
  <c r="Y28" i="4"/>
  <c r="Y27" i="4"/>
  <c r="Y43" i="4"/>
  <c r="Y26" i="4"/>
  <c r="W30" i="4"/>
  <c r="X16" i="4"/>
  <c r="X18" i="4"/>
  <c r="X21" i="4"/>
  <c r="X24" i="4"/>
  <c r="X4" i="4"/>
  <c r="X28" i="4"/>
  <c r="X27" i="4"/>
  <c r="X43" i="4"/>
  <c r="X26" i="4"/>
  <c r="V30" i="4"/>
  <c r="W16" i="4"/>
  <c r="W18" i="4"/>
  <c r="W21" i="4"/>
  <c r="W24" i="4"/>
  <c r="W28" i="4"/>
  <c r="W27" i="4"/>
  <c r="W4" i="4"/>
  <c r="W43" i="4"/>
  <c r="W26" i="4"/>
  <c r="U30" i="4"/>
  <c r="V16" i="4"/>
  <c r="V18" i="4"/>
  <c r="V21" i="4"/>
  <c r="V24" i="4"/>
  <c r="V28" i="4"/>
  <c r="V27" i="4"/>
  <c r="V4" i="4"/>
  <c r="V43" i="4"/>
  <c r="V26" i="4"/>
  <c r="T30" i="4"/>
  <c r="U16" i="4"/>
  <c r="U18" i="4"/>
  <c r="U21" i="4"/>
  <c r="U24" i="4"/>
  <c r="U4" i="4"/>
  <c r="U28" i="4"/>
  <c r="U27" i="4"/>
  <c r="U43" i="4"/>
  <c r="U26" i="4"/>
  <c r="S30" i="4"/>
  <c r="T16" i="4"/>
  <c r="T18" i="4"/>
  <c r="T21" i="4"/>
  <c r="T24" i="4"/>
  <c r="T28" i="4"/>
  <c r="T27" i="4"/>
  <c r="T4" i="4"/>
  <c r="T43" i="4"/>
  <c r="T26" i="4"/>
  <c r="R30" i="4"/>
  <c r="S16" i="4"/>
  <c r="S18" i="4"/>
  <c r="S21" i="4"/>
  <c r="S24" i="4"/>
  <c r="S4" i="4"/>
  <c r="S28" i="4"/>
  <c r="S27" i="4"/>
  <c r="S43" i="4"/>
  <c r="S26" i="4"/>
  <c r="Q30" i="4"/>
  <c r="R16" i="4"/>
  <c r="R18" i="4"/>
  <c r="R21" i="4"/>
  <c r="R24" i="4"/>
  <c r="R4" i="4"/>
  <c r="R28" i="4"/>
  <c r="R27" i="4"/>
  <c r="R43" i="4"/>
  <c r="R26" i="4"/>
  <c r="P30" i="4"/>
  <c r="Q16" i="4"/>
  <c r="Q18" i="4"/>
  <c r="Q21" i="4"/>
  <c r="Q24" i="4"/>
  <c r="Q4" i="4"/>
  <c r="Q28" i="4"/>
  <c r="Q27" i="4"/>
  <c r="Q43" i="4"/>
  <c r="Q26" i="4"/>
  <c r="O30" i="4"/>
  <c r="P16" i="4"/>
  <c r="P18" i="4"/>
  <c r="P21" i="4"/>
  <c r="P24" i="4"/>
  <c r="P4" i="4"/>
  <c r="P28" i="4"/>
  <c r="P27" i="4"/>
  <c r="P43" i="4"/>
  <c r="P26" i="4"/>
  <c r="O16" i="4"/>
  <c r="O18" i="4"/>
  <c r="O21" i="4"/>
  <c r="O24" i="4"/>
  <c r="O28" i="4"/>
  <c r="O27" i="4"/>
  <c r="O4" i="4"/>
  <c r="O43" i="4"/>
  <c r="O26" i="4"/>
  <c r="J35" i="2"/>
  <c r="J37" i="2" s="1"/>
  <c r="K11" i="4"/>
  <c r="L3" i="3"/>
  <c r="M26" i="4" s="1"/>
  <c r="M17" i="4"/>
  <c r="M13" i="4"/>
  <c r="K17" i="4"/>
  <c r="K13" i="4"/>
  <c r="L17" i="4"/>
  <c r="L13" i="4"/>
  <c r="L35" i="2"/>
  <c r="L37" i="2" s="1"/>
  <c r="M11" i="4"/>
  <c r="M3" i="3"/>
  <c r="N17" i="4"/>
  <c r="N13" i="4"/>
  <c r="M36" i="4"/>
  <c r="N36" i="4"/>
  <c r="I45" i="4"/>
  <c r="L31" i="4"/>
  <c r="N26" i="4"/>
  <c r="M31" i="4"/>
  <c r="N31" i="4"/>
  <c r="M12" i="3"/>
  <c r="N6" i="4" s="1"/>
  <c r="M35" i="4"/>
  <c r="N35" i="4"/>
  <c r="H12" i="3"/>
  <c r="M35" i="2"/>
  <c r="M37" i="2" s="1"/>
  <c r="N11" i="4"/>
  <c r="H35" i="2"/>
  <c r="H37" i="2" s="1"/>
  <c r="I11" i="4"/>
  <c r="L45" i="4"/>
  <c r="K45" i="4"/>
  <c r="I12" i="3"/>
  <c r="I35" i="4"/>
  <c r="J12" i="3"/>
  <c r="K6" i="4" s="1"/>
  <c r="J35" i="4"/>
  <c r="K35" i="4"/>
  <c r="K35" i="2"/>
  <c r="K37" i="2" s="1"/>
  <c r="L11" i="4"/>
  <c r="N22" i="4"/>
  <c r="N43" i="4"/>
  <c r="N44" i="4"/>
  <c r="K44" i="4"/>
  <c r="L44" i="4"/>
  <c r="M44" i="4"/>
  <c r="K5" i="4"/>
  <c r="N3" i="4"/>
  <c r="N23" i="4" s="1"/>
  <c r="M16" i="4"/>
  <c r="J3" i="3"/>
  <c r="M24" i="4"/>
  <c r="K3" i="3"/>
  <c r="L22" i="4"/>
  <c r="K3" i="4"/>
  <c r="K23" i="4" s="1"/>
  <c r="N5" i="4"/>
  <c r="L23" i="4"/>
  <c r="L5" i="4"/>
  <c r="M48" i="1"/>
  <c r="L6" i="4"/>
  <c r="M6" i="4"/>
  <c r="M3" i="4"/>
  <c r="M23" i="4" s="1"/>
  <c r="M5" i="4"/>
  <c r="M21" i="4"/>
  <c r="J3" i="4"/>
  <c r="J23" i="4" s="1"/>
  <c r="K15" i="4"/>
  <c r="B5" i="3"/>
  <c r="C5" i="3"/>
  <c r="D5" i="3"/>
  <c r="E5" i="3"/>
  <c r="F5" i="3"/>
  <c r="G5" i="3"/>
  <c r="B6" i="3"/>
  <c r="C6" i="3"/>
  <c r="D6" i="3"/>
  <c r="E6" i="3"/>
  <c r="F6" i="3"/>
  <c r="G6" i="3"/>
  <c r="B7" i="3"/>
  <c r="C7" i="3"/>
  <c r="D7" i="3"/>
  <c r="E7" i="3"/>
  <c r="F7" i="3"/>
  <c r="G7" i="3"/>
  <c r="B8" i="3"/>
  <c r="C8" i="3"/>
  <c r="D8" i="3"/>
  <c r="E8" i="3"/>
  <c r="F8" i="3"/>
  <c r="G8" i="3"/>
  <c r="B15" i="3"/>
  <c r="C15" i="3"/>
  <c r="D15" i="3"/>
  <c r="E15" i="3"/>
  <c r="F15" i="3"/>
  <c r="G15" i="3"/>
  <c r="B16" i="3"/>
  <c r="C16" i="3"/>
  <c r="D16" i="3"/>
  <c r="E16" i="3"/>
  <c r="F16" i="3"/>
  <c r="G16" i="3"/>
  <c r="B17" i="3"/>
  <c r="C17" i="3"/>
  <c r="D17" i="3"/>
  <c r="E17" i="3"/>
  <c r="F17" i="3"/>
  <c r="G17" i="3"/>
  <c r="B19" i="3"/>
  <c r="C19" i="3"/>
  <c r="D19" i="3"/>
  <c r="E19" i="3"/>
  <c r="F19" i="3"/>
  <c r="G19" i="3"/>
  <c r="B20" i="3"/>
  <c r="C20" i="3"/>
  <c r="D20" i="3"/>
  <c r="E20" i="3"/>
  <c r="F20" i="3"/>
  <c r="G20" i="3"/>
  <c r="B23" i="3"/>
  <c r="C23" i="3"/>
  <c r="D23" i="3"/>
  <c r="E23" i="3"/>
  <c r="F23" i="3"/>
  <c r="G23" i="3"/>
  <c r="B24" i="3"/>
  <c r="C24" i="3"/>
  <c r="D24" i="3"/>
  <c r="E24" i="3"/>
  <c r="F24" i="3"/>
  <c r="G24" i="3"/>
  <c r="B27" i="3"/>
  <c r="C27" i="3"/>
  <c r="D27" i="3"/>
  <c r="E27" i="3"/>
  <c r="E34" i="4" s="1"/>
  <c r="F27" i="3"/>
  <c r="G27" i="3"/>
  <c r="B28" i="3"/>
  <c r="C28" i="3"/>
  <c r="D28" i="3"/>
  <c r="E28" i="3"/>
  <c r="F28" i="3"/>
  <c r="G28" i="3"/>
  <c r="B36" i="3"/>
  <c r="C36" i="3"/>
  <c r="D36" i="3"/>
  <c r="E36" i="3"/>
  <c r="F36" i="3"/>
  <c r="G36" i="3"/>
  <c r="B40" i="3"/>
  <c r="C40" i="3"/>
  <c r="D40" i="3"/>
  <c r="E40" i="3"/>
  <c r="F40" i="3"/>
  <c r="G40" i="3"/>
  <c r="B42" i="3"/>
  <c r="C42" i="3"/>
  <c r="D42" i="3"/>
  <c r="E42" i="3"/>
  <c r="F42" i="3"/>
  <c r="G42" i="3"/>
  <c r="B46" i="3"/>
  <c r="C46" i="3"/>
  <c r="D46" i="3"/>
  <c r="E46" i="3"/>
  <c r="F46" i="3"/>
  <c r="G46" i="3"/>
  <c r="H40" i="4" s="1"/>
  <c r="B47" i="3"/>
  <c r="C47" i="3"/>
  <c r="D47" i="3"/>
  <c r="E47" i="3"/>
  <c r="F47" i="3"/>
  <c r="G47" i="3"/>
  <c r="B48" i="3"/>
  <c r="C48" i="3"/>
  <c r="D48" i="3"/>
  <c r="E48" i="3"/>
  <c r="F48" i="3"/>
  <c r="G48" i="3"/>
  <c r="B30" i="2"/>
  <c r="C30" i="2"/>
  <c r="D30" i="2"/>
  <c r="E30" i="2"/>
  <c r="F30" i="2"/>
  <c r="G30" i="2"/>
  <c r="I30" i="2"/>
  <c r="B23" i="2"/>
  <c r="B49" i="3" s="1"/>
  <c r="C23" i="2"/>
  <c r="D23" i="2"/>
  <c r="E23" i="2"/>
  <c r="F23" i="2"/>
  <c r="G23" i="2"/>
  <c r="I23" i="2"/>
  <c r="B7" i="2"/>
  <c r="B41" i="3" s="1"/>
  <c r="C7" i="2"/>
  <c r="C41" i="3" s="1"/>
  <c r="D7" i="2"/>
  <c r="D41" i="3" s="1"/>
  <c r="E7" i="2"/>
  <c r="E41" i="3" s="1"/>
  <c r="F7" i="2"/>
  <c r="F41" i="3" s="1"/>
  <c r="G7" i="2"/>
  <c r="G41" i="3" s="1"/>
  <c r="I7" i="2"/>
  <c r="I41" i="3" s="1"/>
  <c r="I39" i="3" s="1"/>
  <c r="B4" i="2"/>
  <c r="C4" i="2"/>
  <c r="D4" i="2"/>
  <c r="E4" i="2"/>
  <c r="F4" i="2"/>
  <c r="G4" i="2"/>
  <c r="I4" i="2"/>
  <c r="B46" i="1"/>
  <c r="C46" i="1"/>
  <c r="D46" i="1"/>
  <c r="E46" i="1"/>
  <c r="F46" i="1"/>
  <c r="G46" i="1"/>
  <c r="I46" i="1"/>
  <c r="B29" i="1"/>
  <c r="B36" i="1" s="1"/>
  <c r="C29" i="1"/>
  <c r="C36" i="1" s="1"/>
  <c r="D29" i="1"/>
  <c r="D36" i="1" s="1"/>
  <c r="E29" i="1"/>
  <c r="E36" i="1" s="1"/>
  <c r="F29" i="1"/>
  <c r="F36" i="1" s="1"/>
  <c r="G29" i="1"/>
  <c r="G36" i="1" s="1"/>
  <c r="I29" i="1"/>
  <c r="B19" i="1"/>
  <c r="B35" i="3" s="1"/>
  <c r="C19" i="1"/>
  <c r="D19" i="1"/>
  <c r="E19" i="1"/>
  <c r="F19" i="1"/>
  <c r="G19" i="1"/>
  <c r="I19" i="1"/>
  <c r="I35" i="3" s="1"/>
  <c r="B15" i="1"/>
  <c r="C15" i="1"/>
  <c r="D15" i="1"/>
  <c r="E15" i="1"/>
  <c r="F15" i="1"/>
  <c r="G15" i="1"/>
  <c r="I15" i="1"/>
  <c r="B12" i="1"/>
  <c r="C12" i="1"/>
  <c r="D12" i="1"/>
  <c r="E12" i="1"/>
  <c r="F12" i="1"/>
  <c r="G12" i="1"/>
  <c r="I12" i="1"/>
  <c r="B3" i="1"/>
  <c r="B33" i="3" s="1"/>
  <c r="C3" i="1"/>
  <c r="C33" i="3" s="1"/>
  <c r="D3" i="1"/>
  <c r="D33" i="3" s="1"/>
  <c r="E3" i="1"/>
  <c r="E33" i="3" s="1"/>
  <c r="F3" i="1"/>
  <c r="F33" i="3" s="1"/>
  <c r="G3" i="1"/>
  <c r="G33" i="3" s="1"/>
  <c r="I3" i="1"/>
  <c r="I33" i="3" s="1"/>
  <c r="J15" i="4" s="1"/>
  <c r="AM35" i="2" l="1"/>
  <c r="AM37" i="2" s="1"/>
  <c r="AN11" i="4"/>
  <c r="H41" i="4"/>
  <c r="F40" i="4"/>
  <c r="M4" i="4"/>
  <c r="H42" i="4"/>
  <c r="G42" i="4"/>
  <c r="G41" i="4"/>
  <c r="E40" i="4"/>
  <c r="F41" i="4"/>
  <c r="E41" i="4"/>
  <c r="F42" i="4"/>
  <c r="M43" i="4"/>
  <c r="E42" i="4"/>
  <c r="F34" i="4"/>
  <c r="M18" i="4"/>
  <c r="G40" i="4"/>
  <c r="M20" i="4"/>
  <c r="Z35" i="2"/>
  <c r="Z37" i="2" s="1"/>
  <c r="I36" i="4"/>
  <c r="J36" i="4"/>
  <c r="I44" i="4"/>
  <c r="I49" i="3"/>
  <c r="I38" i="4"/>
  <c r="J12" i="4"/>
  <c r="J38" i="4"/>
  <c r="G38" i="4"/>
  <c r="H12" i="4"/>
  <c r="H38" i="4"/>
  <c r="F49" i="3"/>
  <c r="F38" i="4"/>
  <c r="G12" i="4"/>
  <c r="E38" i="4"/>
  <c r="F12" i="4"/>
  <c r="E12" i="4"/>
  <c r="D12" i="4"/>
  <c r="H46" i="4"/>
  <c r="G46" i="4"/>
  <c r="F46" i="4"/>
  <c r="E46" i="4"/>
  <c r="G34" i="4"/>
  <c r="H34" i="4"/>
  <c r="G33" i="4"/>
  <c r="H33" i="4"/>
  <c r="F33" i="4"/>
  <c r="E33" i="4"/>
  <c r="G32" i="4"/>
  <c r="H32" i="4"/>
  <c r="F32" i="4"/>
  <c r="E32" i="4"/>
  <c r="L18" i="4"/>
  <c r="K30" i="4"/>
  <c r="L26" i="4"/>
  <c r="L28" i="4"/>
  <c r="L27" i="4"/>
  <c r="L43" i="4"/>
  <c r="K24" i="4"/>
  <c r="K26" i="4"/>
  <c r="K28" i="4"/>
  <c r="K27" i="4"/>
  <c r="K43" i="4"/>
  <c r="M30" i="4"/>
  <c r="N30" i="4"/>
  <c r="N28" i="4"/>
  <c r="N27" i="4"/>
  <c r="L30" i="4"/>
  <c r="M28" i="4"/>
  <c r="M27" i="4"/>
  <c r="I36" i="1"/>
  <c r="I47" i="1" s="1"/>
  <c r="I4" i="3"/>
  <c r="N20" i="4"/>
  <c r="N21" i="4"/>
  <c r="N4" i="4"/>
  <c r="N24" i="4"/>
  <c r="N16" i="4"/>
  <c r="N18" i="4"/>
  <c r="K20" i="4"/>
  <c r="K18" i="4"/>
  <c r="L21" i="4"/>
  <c r="K16" i="4"/>
  <c r="L24" i="4"/>
  <c r="L20" i="4"/>
  <c r="K21" i="4"/>
  <c r="K4" i="4"/>
  <c r="C32" i="4"/>
  <c r="L16" i="4"/>
  <c r="L4" i="4"/>
  <c r="I25" i="1"/>
  <c r="G35" i="3"/>
  <c r="G25" i="1"/>
  <c r="F35" i="3"/>
  <c r="F25" i="1"/>
  <c r="E35" i="3"/>
  <c r="E25" i="1"/>
  <c r="D35" i="3"/>
  <c r="D25" i="1"/>
  <c r="C35" i="3"/>
  <c r="C25" i="1"/>
  <c r="G26" i="3"/>
  <c r="H45" i="4" s="1"/>
  <c r="F26" i="3"/>
  <c r="B43" i="3"/>
  <c r="C43" i="3"/>
  <c r="D22" i="3"/>
  <c r="D42" i="4"/>
  <c r="C38" i="4"/>
  <c r="D4" i="3"/>
  <c r="E26" i="3"/>
  <c r="C40" i="4"/>
  <c r="D32" i="4"/>
  <c r="B4" i="3"/>
  <c r="C14" i="3"/>
  <c r="C11" i="3" s="1"/>
  <c r="C12" i="3" s="1"/>
  <c r="B14" i="3"/>
  <c r="B11" i="3" s="1"/>
  <c r="B12" i="3" s="1"/>
  <c r="C26" i="3"/>
  <c r="G22" i="3"/>
  <c r="B26" i="3"/>
  <c r="F22" i="3"/>
  <c r="E22" i="3"/>
  <c r="C41" i="4"/>
  <c r="C33" i="4"/>
  <c r="C4" i="3"/>
  <c r="D26" i="3"/>
  <c r="C42" i="4"/>
  <c r="G49" i="3"/>
  <c r="C3" i="2"/>
  <c r="C19" i="2" s="1"/>
  <c r="C29" i="2" s="1"/>
  <c r="C33" i="2" s="1"/>
  <c r="E49" i="3"/>
  <c r="D40" i="4"/>
  <c r="B3" i="2"/>
  <c r="B19" i="2" s="1"/>
  <c r="B29" i="2" s="1"/>
  <c r="B33" i="2" s="1"/>
  <c r="D49" i="3"/>
  <c r="C39" i="3"/>
  <c r="F4" i="3"/>
  <c r="B39" i="3"/>
  <c r="E4" i="3"/>
  <c r="D41" i="4"/>
  <c r="I15" i="4"/>
  <c r="D15" i="4"/>
  <c r="H15" i="4"/>
  <c r="G15" i="4"/>
  <c r="F15" i="4"/>
  <c r="E15" i="4"/>
  <c r="G4" i="3"/>
  <c r="D33" i="4"/>
  <c r="C15" i="4"/>
  <c r="G47" i="1"/>
  <c r="C49" i="3"/>
  <c r="D38" i="4"/>
  <c r="D34" i="4"/>
  <c r="C12" i="4"/>
  <c r="D47" i="1"/>
  <c r="I3" i="2"/>
  <c r="I19" i="2" s="1"/>
  <c r="I29" i="2" s="1"/>
  <c r="I33" i="2" s="1"/>
  <c r="C34" i="4"/>
  <c r="C47" i="1"/>
  <c r="G3" i="2"/>
  <c r="G19" i="2" s="1"/>
  <c r="G29" i="2" s="1"/>
  <c r="G33" i="2" s="1"/>
  <c r="G43" i="3"/>
  <c r="G39" i="3"/>
  <c r="C22" i="3"/>
  <c r="G14" i="3"/>
  <c r="G11" i="3" s="1"/>
  <c r="D46" i="4"/>
  <c r="E47" i="1"/>
  <c r="B47" i="1"/>
  <c r="F43" i="3"/>
  <c r="F39" i="3"/>
  <c r="B22" i="3"/>
  <c r="F14" i="3"/>
  <c r="F11" i="3" s="1"/>
  <c r="C46" i="4"/>
  <c r="F47" i="1"/>
  <c r="B25" i="1"/>
  <c r="E3" i="2"/>
  <c r="E19" i="2" s="1"/>
  <c r="E29" i="2" s="1"/>
  <c r="E43" i="3"/>
  <c r="E39" i="3"/>
  <c r="E14" i="3"/>
  <c r="E11" i="3" s="1"/>
  <c r="F3" i="2"/>
  <c r="F19" i="2" s="1"/>
  <c r="F29" i="2" s="1"/>
  <c r="F33" i="2" s="1"/>
  <c r="D3" i="2"/>
  <c r="D19" i="2" s="1"/>
  <c r="D29" i="2" s="1"/>
  <c r="D33" i="2" s="1"/>
  <c r="D43" i="3"/>
  <c r="D39" i="3"/>
  <c r="D14" i="3"/>
  <c r="D11" i="3" s="1"/>
  <c r="E33" i="2" l="1"/>
  <c r="F11" i="4" s="1"/>
  <c r="E45" i="4"/>
  <c r="H11" i="4"/>
  <c r="D11" i="4"/>
  <c r="G45" i="4"/>
  <c r="G11" i="4"/>
  <c r="F45" i="4"/>
  <c r="J11" i="4"/>
  <c r="E11" i="4"/>
  <c r="D13" i="4"/>
  <c r="E35" i="4"/>
  <c r="E36" i="4"/>
  <c r="F35" i="4"/>
  <c r="F36" i="4"/>
  <c r="G35" i="4"/>
  <c r="H35" i="4"/>
  <c r="G36" i="4"/>
  <c r="H36" i="4"/>
  <c r="G31" i="4"/>
  <c r="H31" i="4"/>
  <c r="E31" i="4"/>
  <c r="F31" i="4"/>
  <c r="E44" i="4"/>
  <c r="F44" i="4"/>
  <c r="H44" i="4"/>
  <c r="E17" i="4"/>
  <c r="E13" i="4"/>
  <c r="F17" i="4"/>
  <c r="F13" i="4"/>
  <c r="G17" i="4"/>
  <c r="G13" i="4"/>
  <c r="H17" i="4"/>
  <c r="H13" i="4"/>
  <c r="J17" i="4"/>
  <c r="I13" i="4"/>
  <c r="J13" i="4"/>
  <c r="I31" i="4"/>
  <c r="J31" i="4"/>
  <c r="G44" i="4"/>
  <c r="J44" i="4"/>
  <c r="J22" i="4"/>
  <c r="J5" i="4"/>
  <c r="J6" i="4"/>
  <c r="I3" i="3"/>
  <c r="D48" i="1"/>
  <c r="B48" i="1"/>
  <c r="E48" i="1"/>
  <c r="D36" i="4"/>
  <c r="G22" i="4"/>
  <c r="G48" i="1"/>
  <c r="I48" i="1"/>
  <c r="F48" i="1"/>
  <c r="C48" i="1"/>
  <c r="D6" i="4"/>
  <c r="C5" i="4"/>
  <c r="C44" i="4"/>
  <c r="C35" i="4"/>
  <c r="E22" i="4"/>
  <c r="D5" i="4"/>
  <c r="C45" i="4"/>
  <c r="D31" i="4"/>
  <c r="C6" i="4"/>
  <c r="D45" i="4"/>
  <c r="D3" i="4"/>
  <c r="D23" i="4" s="1"/>
  <c r="F22" i="4"/>
  <c r="C3" i="4"/>
  <c r="C23" i="4" s="1"/>
  <c r="C31" i="4"/>
  <c r="C36" i="4"/>
  <c r="E35" i="2"/>
  <c r="E37" i="2" s="1"/>
  <c r="G35" i="2"/>
  <c r="G37" i="2" s="1"/>
  <c r="B3" i="3"/>
  <c r="C17" i="4"/>
  <c r="D17" i="4"/>
  <c r="C3" i="3"/>
  <c r="D3" i="3"/>
  <c r="H22" i="4"/>
  <c r="G3" i="3"/>
  <c r="E12" i="3"/>
  <c r="F6" i="4" s="1"/>
  <c r="F5" i="4"/>
  <c r="F3" i="4"/>
  <c r="F23" i="4" s="1"/>
  <c r="C13" i="4"/>
  <c r="I35" i="2"/>
  <c r="I37" i="2" s="1"/>
  <c r="E3" i="3"/>
  <c r="D44" i="4"/>
  <c r="C35" i="2"/>
  <c r="C37" i="2" s="1"/>
  <c r="G12" i="3"/>
  <c r="H6" i="4" s="1"/>
  <c r="H5" i="4"/>
  <c r="H3" i="4"/>
  <c r="H23" i="4" s="1"/>
  <c r="I22" i="4"/>
  <c r="B35" i="2"/>
  <c r="B37" i="2" s="1"/>
  <c r="C11" i="4"/>
  <c r="D12" i="3"/>
  <c r="E6" i="4" s="1"/>
  <c r="D35" i="4"/>
  <c r="E3" i="4"/>
  <c r="E23" i="4" s="1"/>
  <c r="E5" i="4"/>
  <c r="D22" i="4"/>
  <c r="D35" i="2"/>
  <c r="D37" i="2" s="1"/>
  <c r="F12" i="3"/>
  <c r="G6" i="4" s="1"/>
  <c r="G3" i="4"/>
  <c r="G23" i="4" s="1"/>
  <c r="G5" i="4"/>
  <c r="F3" i="3"/>
  <c r="C22" i="4"/>
  <c r="F35" i="2"/>
  <c r="F37" i="2" s="1"/>
  <c r="I6" i="4"/>
  <c r="I5" i="4"/>
  <c r="I3" i="4"/>
  <c r="I23" i="4" s="1"/>
  <c r="F30" i="4" l="1"/>
  <c r="G28" i="4"/>
  <c r="G27" i="4"/>
  <c r="G26" i="4"/>
  <c r="G43" i="4"/>
  <c r="F4" i="4"/>
  <c r="E30" i="4"/>
  <c r="F28" i="4"/>
  <c r="F27" i="4"/>
  <c r="F26" i="4"/>
  <c r="F43" i="4"/>
  <c r="G30" i="4"/>
  <c r="H30" i="4"/>
  <c r="H28" i="4"/>
  <c r="H27" i="4"/>
  <c r="H26" i="4"/>
  <c r="H43" i="4"/>
  <c r="E4" i="4"/>
  <c r="E28" i="4"/>
  <c r="E27" i="4"/>
  <c r="E43" i="4"/>
  <c r="E26" i="4"/>
  <c r="I30" i="4"/>
  <c r="J28" i="4"/>
  <c r="J27" i="4"/>
  <c r="I43" i="4"/>
  <c r="J30" i="4"/>
  <c r="J26" i="4"/>
  <c r="J43" i="4"/>
  <c r="J18" i="4"/>
  <c r="J21" i="4"/>
  <c r="J20" i="4"/>
  <c r="J16" i="4"/>
  <c r="J24" i="4"/>
  <c r="J4" i="4"/>
  <c r="I21" i="4"/>
  <c r="I16" i="4"/>
  <c r="I18" i="4"/>
  <c r="I20" i="4"/>
  <c r="H4" i="4"/>
  <c r="I4" i="4"/>
  <c r="G4" i="4"/>
  <c r="I24" i="4"/>
  <c r="D43" i="4"/>
  <c r="F18" i="4"/>
  <c r="F16" i="4"/>
  <c r="F20" i="4"/>
  <c r="F21" i="4"/>
  <c r="F24" i="4"/>
  <c r="D30" i="4"/>
  <c r="E18" i="4"/>
  <c r="E24" i="4"/>
  <c r="E16" i="4"/>
  <c r="E20" i="4"/>
  <c r="E21" i="4"/>
  <c r="C27" i="4"/>
  <c r="C26" i="4"/>
  <c r="C21" i="4"/>
  <c r="C4" i="4"/>
  <c r="C16" i="4"/>
  <c r="C28" i="4"/>
  <c r="C20" i="4"/>
  <c r="C18" i="4"/>
  <c r="C24" i="4"/>
  <c r="C43" i="4"/>
  <c r="G24" i="4"/>
  <c r="G21" i="4"/>
  <c r="G18" i="4"/>
  <c r="G16" i="4"/>
  <c r="G20" i="4"/>
  <c r="D27" i="4"/>
  <c r="C30" i="4"/>
  <c r="D28" i="4"/>
  <c r="D21" i="4"/>
  <c r="D4" i="4"/>
  <c r="D24" i="4"/>
  <c r="D26" i="4"/>
  <c r="D20" i="4"/>
  <c r="D16" i="4"/>
  <c r="D18" i="4"/>
  <c r="H21" i="4"/>
  <c r="H24" i="4"/>
  <c r="H18" i="4"/>
  <c r="H16" i="4"/>
  <c r="H20" i="4"/>
  <c r="Z3" i="1" l="1"/>
  <c r="Z33" i="3" s="1"/>
  <c r="Z25" i="1" l="1"/>
  <c r="Z3" i="3" s="1"/>
  <c r="AA15" i="4"/>
  <c r="AA16" i="4" l="1"/>
  <c r="AA18" i="4"/>
  <c r="AA17" i="4"/>
  <c r="AA11" i="4"/>
  <c r="AA13" i="4"/>
  <c r="Z13" i="4"/>
  <c r="Z30" i="4"/>
  <c r="AA20" i="4"/>
  <c r="AA21" i="4"/>
  <c r="AA24" i="4"/>
  <c r="AA28" i="4"/>
  <c r="AA27" i="4"/>
  <c r="AA30" i="4"/>
  <c r="AA4" i="4"/>
  <c r="AA43" i="4"/>
  <c r="AA26" i="4"/>
  <c r="Z43" i="4"/>
</calcChain>
</file>

<file path=xl/sharedStrings.xml><?xml version="1.0" encoding="utf-8"?>
<sst xmlns="http://schemas.openxmlformats.org/spreadsheetml/2006/main" count="235" uniqueCount="182">
  <si>
    <t>FUNDILIMA SACCO</t>
  </si>
  <si>
    <t>AUDITED 2020</t>
  </si>
  <si>
    <t>Aud-21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</si>
  <si>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</si>
  <si>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</si>
  <si>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</si>
  <si>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</si>
  <si>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</si>
  <si>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</si>
  <si>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</si>
  <si>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</si>
  <si>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</si>
  <si>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</si>
  <si>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</si>
  <si>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</si>
  <si>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Aud-22</t>
  </si>
  <si>
    <t>Cash &amp; cash Equivalent</t>
  </si>
  <si>
    <t>Cash In Hand</t>
  </si>
  <si>
    <t>Cash at Bank</t>
  </si>
  <si>
    <t>Prepayment and Sundry</t>
  </si>
  <si>
    <t>Financial Investment</t>
  </si>
  <si>
    <t>Government Security</t>
  </si>
  <si>
    <t>Other Securities</t>
  </si>
  <si>
    <t>Balances with Other Saccos</t>
  </si>
  <si>
    <t>Investment In Companies</t>
  </si>
  <si>
    <t>Net Loan Portfolio</t>
  </si>
  <si>
    <t>Gross Loan Portfolio</t>
  </si>
  <si>
    <t>Allowance For Loan Loss</t>
  </si>
  <si>
    <t>Accounts Recievables</t>
  </si>
  <si>
    <t>Tax Recoverable</t>
  </si>
  <si>
    <t>Deffered Tax Assets</t>
  </si>
  <si>
    <t>Retirement Benefit Assets</t>
  </si>
  <si>
    <t>Property&amp;Equipments&amp;Other Assets</t>
  </si>
  <si>
    <t>Investment Properties</t>
  </si>
  <si>
    <t>Property and Equipment</t>
  </si>
  <si>
    <t>Prepaid Lease Rentals</t>
  </si>
  <si>
    <t>Intangible Assets</t>
  </si>
  <si>
    <t>Other Assets</t>
  </si>
  <si>
    <t>Total Assets</t>
  </si>
  <si>
    <t>Savings and Deposits</t>
  </si>
  <si>
    <t>Short Terrm Deposits</t>
  </si>
  <si>
    <t>Non Withdrawable Deposits</t>
  </si>
  <si>
    <t>Total Deposit Liabilities</t>
  </si>
  <si>
    <t>Tax Payable</t>
  </si>
  <si>
    <t>Dividends Payable</t>
  </si>
  <si>
    <t>Deferred Tax Liability</t>
  </si>
  <si>
    <t>Retirement Benefits Liabilty</t>
  </si>
  <si>
    <t>Other Liabilities</t>
  </si>
  <si>
    <t>External Borrowings</t>
  </si>
  <si>
    <t>Total Liabilities</t>
  </si>
  <si>
    <t>Share Capital</t>
  </si>
  <si>
    <t>Capital Grants</t>
  </si>
  <si>
    <t>Prior Year Retained Earnigs</t>
  </si>
  <si>
    <t>Current Year Surplus</t>
  </si>
  <si>
    <t>Statutory Reserves</t>
  </si>
  <si>
    <t>Other Reserves</t>
  </si>
  <si>
    <t>Revaluation Reserves</t>
  </si>
  <si>
    <t>Proposed Dividends</t>
  </si>
  <si>
    <t>Adjustment To Equity</t>
  </si>
  <si>
    <t>Total Equity</t>
  </si>
  <si>
    <t>Total Liabilities and Equity</t>
  </si>
  <si>
    <t>Audi-22</t>
  </si>
  <si>
    <t>Financial Income</t>
  </si>
  <si>
    <t>Financial Income From Loans Portfolio</t>
  </si>
  <si>
    <t>Interest from Loans Portfolio</t>
  </si>
  <si>
    <t>Fees&amp;Commision on Loan Portfolio</t>
  </si>
  <si>
    <t>Financial Income from Investments</t>
  </si>
  <si>
    <t>Government Securities</t>
  </si>
  <si>
    <t>Deposits with Banks &amp; other Financial Institutions</t>
  </si>
  <si>
    <t>Other Investments</t>
  </si>
  <si>
    <t>Other Operating Income</t>
  </si>
  <si>
    <t>Financial Expenses</t>
  </si>
  <si>
    <t>Interest Expense on Deposits</t>
  </si>
  <si>
    <t>Cost of External Borrowings</t>
  </si>
  <si>
    <t>Dividend Expenses</t>
  </si>
  <si>
    <t>Other Financial Expense</t>
  </si>
  <si>
    <t>Fees &amp; Commision Expense</t>
  </si>
  <si>
    <t>Other Expenses</t>
  </si>
  <si>
    <t>Net Financial Income</t>
  </si>
  <si>
    <t>Allowance for Loan Loss</t>
  </si>
  <si>
    <t>Provision for Loan Losses</t>
  </si>
  <si>
    <t>Value of Loans Recovered</t>
  </si>
  <si>
    <t>Operating Expeses</t>
  </si>
  <si>
    <t>Personel Expenses</t>
  </si>
  <si>
    <t>Governance Expenses</t>
  </si>
  <si>
    <t>Marketing Expenses</t>
  </si>
  <si>
    <t>Depreciation and Amortization</t>
  </si>
  <si>
    <t>Administrative Expenses</t>
  </si>
  <si>
    <t>Net Operating Income</t>
  </si>
  <si>
    <t>Net Non operating Income/Expense</t>
  </si>
  <si>
    <t>Non Operating Income</t>
  </si>
  <si>
    <t>Non Operating Expense</t>
  </si>
  <si>
    <t>Net Income(Before Tax &amp; Donations)</t>
  </si>
  <si>
    <t>Taxes</t>
  </si>
  <si>
    <t>Net Income(After Tax Before Donations)</t>
  </si>
  <si>
    <t>Donations</t>
  </si>
  <si>
    <t>Net Income/(After Tax &amp; Donations)</t>
  </si>
  <si>
    <t>Membership</t>
  </si>
  <si>
    <t>Total Deposits</t>
  </si>
  <si>
    <t>Deposits-Members(BOSA)</t>
  </si>
  <si>
    <t>Deposits-Customers(FOSA)</t>
  </si>
  <si>
    <t>External Borrowing</t>
  </si>
  <si>
    <t>Short term liabilities</t>
  </si>
  <si>
    <t>Share Capital and Reserves</t>
  </si>
  <si>
    <t>Core Capital</t>
  </si>
  <si>
    <t>Institutional Capital</t>
  </si>
  <si>
    <t>Total Capital</t>
  </si>
  <si>
    <t>Members Share Capital</t>
  </si>
  <si>
    <t>Retained Earnings</t>
  </si>
  <si>
    <t>Supplementary Capital &amp; Reserves</t>
  </si>
  <si>
    <t>Capital Reserves</t>
  </si>
  <si>
    <t>Investments</t>
  </si>
  <si>
    <t>Investment in Coop Bank, Kuscco</t>
  </si>
  <si>
    <t>Equity investments (at Cost)</t>
  </si>
  <si>
    <t>Net Loans &amp; Advances</t>
  </si>
  <si>
    <t>Gross Loans &amp; Advances</t>
  </si>
  <si>
    <t>Allowance for loan loss</t>
  </si>
  <si>
    <t>Non-Performing loans</t>
  </si>
  <si>
    <t>Renegotiated loans</t>
  </si>
  <si>
    <t>Required Loan loss provision</t>
  </si>
  <si>
    <t>Cash and cash equivalents</t>
  </si>
  <si>
    <t>Non-Earning Assets</t>
  </si>
  <si>
    <t>Land and Building</t>
  </si>
  <si>
    <t>Turnover</t>
  </si>
  <si>
    <t>Loan Interest</t>
  </si>
  <si>
    <t>Income from Investments</t>
  </si>
  <si>
    <t>Fees &amp; Commissions</t>
  </si>
  <si>
    <t>Average yield on loans</t>
  </si>
  <si>
    <t>Financial and operating Costs</t>
  </si>
  <si>
    <t>Interest expense on deposits</t>
  </si>
  <si>
    <t>Dividend expense on share capital</t>
  </si>
  <si>
    <t>Interest expense on borrowed funds</t>
  </si>
  <si>
    <t>Operating expense</t>
  </si>
  <si>
    <t>TABASAMU SACCO SOCIETY</t>
  </si>
  <si>
    <t>CAPITAL ADEQUACY</t>
  </si>
  <si>
    <t>&gt; Kshs. 10 Million</t>
  </si>
  <si>
    <t>Core Capital to Total Assets</t>
  </si>
  <si>
    <t>Min. 10%</t>
  </si>
  <si>
    <t>Core Capital to Total Deposits</t>
  </si>
  <si>
    <t>Min. 8%</t>
  </si>
  <si>
    <t>Institutional Capital to Total Assets</t>
  </si>
  <si>
    <t>Min 8%</t>
  </si>
  <si>
    <t>ASSET QUALITY</t>
  </si>
  <si>
    <t>A/LNPL30</t>
  </si>
  <si>
    <t>NPL30</t>
  </si>
  <si>
    <t>EARNINGS</t>
  </si>
  <si>
    <t>ROA</t>
  </si>
  <si>
    <t>Cost Income Ratio</t>
  </si>
  <si>
    <t>Operating Expense Ratio</t>
  </si>
  <si>
    <t>LIQUIDITY</t>
  </si>
  <si>
    <t>Min Liquidity Ratio</t>
  </si>
  <si>
    <t>Min 15%</t>
  </si>
  <si>
    <t>T/LIQ Ratio</t>
  </si>
  <si>
    <t>External Borrowing to TA Ratio</t>
  </si>
  <si>
    <t>Max 25%</t>
  </si>
  <si>
    <t>Liquid Assets to TA Ratio</t>
  </si>
  <si>
    <t>STRUCTURE</t>
  </si>
  <si>
    <t>Non-Earning to TA Ratio</t>
  </si>
  <si>
    <t>Max 10%</t>
  </si>
  <si>
    <t>LB Ratio</t>
  </si>
  <si>
    <t>Max 5%</t>
  </si>
  <si>
    <t>Investments to Deposit Ratio</t>
  </si>
  <si>
    <t>Investments to Core Capital Ratio</t>
  </si>
  <si>
    <t>Max 40%</t>
  </si>
  <si>
    <t>Gross loans/TA</t>
  </si>
  <si>
    <t>FUNDING MIX</t>
  </si>
  <si>
    <t>Total Deposits/Total Assets</t>
  </si>
  <si>
    <t>BOSA Deposits/Total Assets</t>
  </si>
  <si>
    <t>FOSA Deposits/Total Assets</t>
  </si>
  <si>
    <t>GROWTH RATIOS</t>
  </si>
  <si>
    <t>BOSA Deposits</t>
  </si>
  <si>
    <t>FOSA Deposits</t>
  </si>
  <si>
    <t>Total Loans &amp; Advances</t>
  </si>
  <si>
    <t>Expenses</t>
  </si>
  <si>
    <t>EFFICIENCY RATIOS</t>
  </si>
  <si>
    <t>Financial Cost: Interest on Deposits/Avg Deposits</t>
  </si>
  <si>
    <t>Financial Cost: Share Capital/Avg Deposits</t>
  </si>
  <si>
    <t>Financial Cost: External Loans/Avg Deposits</t>
  </si>
  <si>
    <t>OpEx/Average Total Assets</t>
  </si>
  <si>
    <t>OpEx/Turnover</t>
  </si>
  <si>
    <t>Average yield on Net loans</t>
  </si>
  <si>
    <t>Average yield on Gross loans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</si>
</sst>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#,##0.00%"/>
    <numFmt numFmtId="165" formatCode="#,##0%"/>
    <numFmt numFmtId="166" formatCode="_(* #,##0_);_(* \(#,##0\);_(* &quot;-&quot;??_);_(@_)"/>
    <numFmt numFmtId="167" formatCode="#,##0.00_);\-#,##0.00"/>
    <numFmt numFmtId="168" formatCode="_(* #,##0.0_);_(* \(#,##0.0\);_(* \-??_);_(@_)"/>
    <numFmt numFmtId="169" formatCode="[$-10409]#,##0.00;\-\ #,##0.00"/>
    <numFmt numFmtId="170" formatCode="[$-10409]0.00;\-\ 0.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mbria"/>
      <family val="1"/>
    </font>
    <font>
      <sz val="11"/>
      <color indexed="8"/>
      <name val="Cambria"/>
      <family val="1"/>
    </font>
    <font>
      <sz val="10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9E8F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 style="thin">
        <color indexed="12"/>
      </right>
      <top/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/>
    <xf numFmtId="0" fontId="6" fillId="0" borderId="0"/>
  </cellStyleXfs>
  <cellXfs count="47">
    <xf numFmtId="0" fontId="0" fillId="0" borderId="0" xfId="0"/>
    <xf numFmtId="4" fontId="0" fillId="0" borderId="0" xfId="0" applyNumberFormat="1"/>
    <xf numFmtId="0" fontId="1" fillId="0" borderId="1" xfId="0" applyFont="1" applyBorder="1" applyAlignment="1">
      <alignment horizontal="center" vertical="top"/>
    </xf>
    <xf numFmtId="9" fontId="0" fillId="0" borderId="0" xfId="2" applyFont="1"/>
    <xf numFmtId="17" fontId="0" fillId="0" borderId="0" xfId="0" applyNumberFormat="1"/>
    <xf numFmtId="17" fontId="1" fillId="0" borderId="0" xfId="0" applyNumberFormat="1" applyFont="1"/>
    <xf numFmtId="0" fontId="1" fillId="0" borderId="0" xfId="0" applyFont="1"/>
    <xf numFmtId="166" fontId="0" fillId="0" borderId="0" xfId="0" applyNumberFormat="1"/>
    <xf numFmtId="166" fontId="0" fillId="0" borderId="1" xfId="1" applyNumberFormat="1" applyFont="1" applyBorder="1"/>
    <xf numFmtId="167" fontId="4" fillId="0" borderId="1" xfId="0" applyNumberFormat="1" applyFont="1" applyBorder="1" applyAlignment="1" applyProtection="1">
      <alignment horizontal="right" vertical="center"/>
      <protection locked="0"/>
    </xf>
    <xf numFmtId="168" fontId="3" fillId="0" borderId="1" xfId="1" applyNumberFormat="1" applyFont="1" applyBorder="1" applyAlignment="1" applyProtection="1">
      <alignment horizontal="right" vertical="center"/>
      <protection locked="0"/>
    </xf>
    <xf numFmtId="168" fontId="3" fillId="0" borderId="1" xfId="1" applyNumberFormat="1" applyFont="1" applyFill="1" applyBorder="1" applyAlignment="1" applyProtection="1">
      <protection locked="0"/>
    </xf>
    <xf numFmtId="43" fontId="3" fillId="0" borderId="2" xfId="1" applyFont="1" applyFill="1" applyBorder="1" applyAlignment="1" applyProtection="1">
      <protection locked="0"/>
    </xf>
    <xf numFmtId="0" fontId="7" fillId="0" borderId="0" xfId="0" applyFont="1"/>
    <xf numFmtId="4" fontId="7" fillId="0" borderId="0" xfId="0" applyNumberFormat="1" applyFont="1"/>
    <xf numFmtId="17" fontId="7" fillId="0" borderId="0" xfId="0" applyNumberFormat="1" applyFont="1"/>
    <xf numFmtId="166" fontId="0" fillId="0" borderId="0" xfId="1" applyNumberFormat="1" applyFont="1"/>
    <xf numFmtId="0" fontId="1" fillId="2" borderId="0" xfId="0" applyFont="1" applyFill="1" applyAlignment="1">
      <alignment horizontal="left"/>
    </xf>
    <xf numFmtId="3" fontId="0" fillId="0" borderId="1" xfId="0" applyNumberFormat="1" applyBorder="1"/>
    <xf numFmtId="0" fontId="7" fillId="0" borderId="1" xfId="0" applyFont="1" applyBorder="1"/>
    <xf numFmtId="4" fontId="7" fillId="0" borderId="1" xfId="0" applyNumberFormat="1" applyFont="1" applyBorder="1"/>
    <xf numFmtId="3" fontId="7" fillId="0" borderId="1" xfId="0" applyNumberFormat="1" applyFont="1" applyBorder="1"/>
    <xf numFmtId="165" fontId="7" fillId="0" borderId="1" xfId="0" applyNumberFormat="1" applyFont="1" applyBorder="1"/>
    <xf numFmtId="165" fontId="9" fillId="3" borderId="1" xfId="0" applyNumberFormat="1" applyFont="1" applyFill="1" applyBorder="1"/>
    <xf numFmtId="164" fontId="9" fillId="3" borderId="1" xfId="0" applyNumberFormat="1" applyFont="1" applyFill="1" applyBorder="1"/>
    <xf numFmtId="169" fontId="10" fillId="4" borderId="3" xfId="0" applyNumberFormat="1" applyFont="1" applyFill="1" applyBorder="1" applyAlignment="1" applyProtection="1">
      <alignment vertical="top" wrapText="1" readingOrder="1"/>
      <protection locked="0"/>
    </xf>
    <xf numFmtId="169" fontId="10" fillId="0" borderId="3" xfId="0" applyNumberFormat="1" applyFont="1" applyBorder="1" applyAlignment="1" applyProtection="1">
      <alignment vertical="top" wrapText="1" readingOrder="1"/>
      <protection locked="0"/>
    </xf>
    <xf numFmtId="170" fontId="10" fillId="0" borderId="3" xfId="0" applyNumberFormat="1" applyFont="1" applyBorder="1" applyAlignment="1" applyProtection="1">
      <alignment vertical="top" wrapText="1" readingOrder="1"/>
      <protection locked="0"/>
    </xf>
    <xf numFmtId="169" fontId="11" fillId="4" borderId="3" xfId="0" applyNumberFormat="1" applyFont="1" applyFill="1" applyBorder="1" applyAlignment="1" applyProtection="1">
      <alignment vertical="top" wrapText="1" readingOrder="1"/>
      <protection locked="0"/>
    </xf>
    <xf numFmtId="169" fontId="11" fillId="0" borderId="3" xfId="0" applyNumberFormat="1" applyFont="1" applyBorder="1" applyAlignment="1" applyProtection="1">
      <alignment vertical="top" wrapText="1" readingOrder="1"/>
      <protection locked="0"/>
    </xf>
    <xf numFmtId="43" fontId="0" fillId="0" borderId="0" xfId="1" applyFont="1"/>
    <xf numFmtId="43" fontId="0" fillId="0" borderId="1" xfId="1" applyFont="1" applyBorder="1"/>
    <xf numFmtId="43" fontId="0" fillId="0" borderId="4" xfId="1" applyFont="1" applyBorder="1" applyAlignment="1" applyProtection="1">
      <alignment vertical="top" wrapText="1"/>
      <protection locked="0"/>
    </xf>
    <xf numFmtId="43" fontId="1" fillId="0" borderId="0" xfId="1" applyFont="1"/>
    <xf numFmtId="43" fontId="7" fillId="0" borderId="1" xfId="1" applyFont="1" applyBorder="1"/>
    <xf numFmtId="16" fontId="0" fillId="0" borderId="0" xfId="0" applyNumberFormat="1"/>
    <xf numFmtId="169" fontId="11" fillId="4" borderId="3" xfId="3" applyNumberFormat="1" applyFont="1" applyFill="1" applyBorder="1" applyAlignment="1" applyProtection="1">
      <alignment vertical="top" wrapText="1" readingOrder="1"/>
      <protection locked="0"/>
    </xf>
    <xf numFmtId="169" fontId="11" fillId="0" borderId="3" xfId="3" applyNumberFormat="1" applyFont="1" applyBorder="1" applyAlignment="1" applyProtection="1">
      <alignment vertical="top" wrapText="1" readingOrder="1"/>
      <protection locked="0"/>
    </xf>
    <xf numFmtId="169" fontId="10" fillId="4" borderId="5" xfId="0" applyNumberFormat="1" applyFont="1" applyFill="1" applyBorder="1" applyAlignment="1" applyProtection="1">
      <alignment vertical="top" wrapText="1" readingOrder="1"/>
      <protection locked="0"/>
    </xf>
    <xf numFmtId="169" fontId="10" fillId="0" borderId="5" xfId="0" applyNumberFormat="1" applyFont="1" applyBorder="1" applyAlignment="1" applyProtection="1">
      <alignment vertical="top" wrapText="1" readingOrder="1"/>
      <protection locked="0"/>
    </xf>
    <xf numFmtId="170" fontId="10" fillId="0" borderId="5" xfId="0" applyNumberFormat="1" applyFont="1" applyBorder="1" applyAlignment="1" applyProtection="1">
      <alignment vertical="top" wrapText="1" readingOrder="1"/>
      <protection locked="0"/>
    </xf>
    <xf numFmtId="169" fontId="10" fillId="0" borderId="6" xfId="0" applyNumberFormat="1" applyFont="1" applyBorder="1" applyAlignment="1" applyProtection="1">
      <alignment vertical="top" wrapText="1" readingOrder="1"/>
      <protection locked="0"/>
    </xf>
    <xf numFmtId="169" fontId="10" fillId="0" borderId="0" xfId="0" applyNumberFormat="1" applyFont="1" applyAlignment="1" applyProtection="1">
      <alignment vertical="top" wrapText="1" readingOrder="1"/>
      <protection locked="0"/>
    </xf>
    <xf numFmtId="43" fontId="10" fillId="0" borderId="6" xfId="1" applyFont="1" applyFill="1" applyBorder="1" applyAlignment="1" applyProtection="1">
      <alignment vertical="top" wrapText="1" readingOrder="1"/>
      <protection locked="0"/>
    </xf>
    <xf numFmtId="43" fontId="0" fillId="0" borderId="0" xfId="0" applyNumberFormat="1"/>
    <xf numFmtId="43" fontId="11" fillId="0" borderId="7" xfId="1" applyFont="1" applyFill="1" applyBorder="1" applyAlignment="1" applyProtection="1">
      <alignment vertical="top" wrapText="1" readingOrder="1"/>
      <protection locked="0"/>
    </xf>
    <xf numFmtId="0" fontId="8" fillId="2" borderId="1" xfId="0" applyFont="1" applyFill="1" applyBorder="1" applyAlignment="1">
      <alignment horizontal="center"/>
    </xf>
  </cellXfs>
  <cellStyles count="5">
    <cellStyle name="Comma" xfId="1" builtinId="3"/>
    <cellStyle name="Normal" xfId="0" builtinId="0"/>
    <cellStyle name="Normal 2" xfId="3" xr:uid="{00000000-0005-0000-0000-000002000000}"/>
    <cellStyle name="Normal 3" xfId="4" xr:uid="{00000000-0005-0000-0000-000003000000}"/>
    <cellStyle name="Percent" xfId="2" builtinId="5"/>
  </cellStyles>
  <dxfs count="50">
    <dxf>
      <font>
        <color rgb="FFFF0000"/>
      </font>
      <fill>
        <patternFill>
          <bgColor rgb="FFF0BCBC"/>
        </patternFill>
      </fill>
    </dxf>
    <dxf>
      <font>
        <color rgb="FFFF0000"/>
      </font>
      <fill>
        <patternFill>
          <bgColor rgb="FFF0BCBC"/>
        </patternFill>
      </fill>
    </dxf>
    <dxf>
      <font>
        <color rgb="FFFF0000"/>
      </font>
      <fill>
        <patternFill>
          <bgColor rgb="FFF0BCBC"/>
        </patternFill>
      </fill>
    </dxf>
    <dxf>
      <font>
        <color rgb="FFFF0000"/>
      </font>
      <fill>
        <patternFill>
          <bgColor rgb="FFF0BCBC"/>
        </patternFill>
      </fill>
    </dxf>
    <dxf>
      <font>
        <color rgb="FFFF0000"/>
      </font>
      <fill>
        <patternFill>
          <bgColor rgb="FFF0BCBC"/>
        </patternFill>
      </fill>
    </dxf>
    <dxf>
      <font>
        <color rgb="FFFF0000"/>
      </font>
      <fill>
        <patternFill>
          <bgColor rgb="FFF0BCBC"/>
        </patternFill>
      </fill>
    </dxf>
    <dxf>
      <font>
        <color rgb="FFFF0000"/>
      </font>
      <fill>
        <patternFill>
          <bgColor rgb="FFF0BCBC"/>
        </patternFill>
      </fill>
    </dxf>
    <dxf>
      <font>
        <color rgb="FFFF0000"/>
      </font>
      <fill>
        <patternFill>
          <bgColor rgb="FFF0BCBC"/>
        </patternFill>
      </fill>
    </dxf>
    <dxf>
      <font>
        <color rgb="FFFF0000"/>
      </font>
      <fill>
        <patternFill>
          <bgColor rgb="FFF0BCBC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8"/>
  <sheetViews>
    <sheetView zoomScale="90" zoomScaleNormal="90" workbookViewId="0">
      <pane xSplit="1" ySplit="2" topLeftCell="AE3" activePane="bottomRight" state="frozen"/>
      <selection pane="bottomRight" activeCell="AM4" sqref="AM4"/>
      <selection pane="bottomLeft" activeCell="A2" sqref="A2"/>
      <selection pane="topRight" activeCell="B1" sqref="B1"/>
    </sheetView>
  </sheetViews>
  <sheetFormatPr defaultRowHeight="15"/>
  <cols>
    <col min="1" max="1" width="38.7109375" customWidth="1"/>
    <col min="2" max="7" width="18.42578125" bestFit="1" customWidth="1"/>
    <col min="8" max="8" width="18.42578125" customWidth="1"/>
    <col min="9" max="9" width="18.42578125" bestFit="1" customWidth="1"/>
    <col min="10" max="11" width="13.28515625" bestFit="1" customWidth="1"/>
    <col min="12" max="12" width="17.7109375" bestFit="1" customWidth="1"/>
    <col min="13" max="13" width="18.85546875" bestFit="1" customWidth="1"/>
    <col min="14" max="25" width="13.7109375" bestFit="1" customWidth="1"/>
    <col min="26" max="26" width="16.140625" style="30" bestFit="1" customWidth="1"/>
    <col min="27" max="32" width="16.140625" bestFit="1" customWidth="1"/>
    <col min="33" max="38" width="17.7109375" bestFit="1" customWidth="1"/>
    <col min="39" max="39" width="17.5703125" customWidth="1"/>
    <col min="40" max="40" width="13.85546875" bestFit="1" customWidth="1"/>
  </cols>
  <sheetData>
    <row r="1" spans="1:40">
      <c r="A1" t="s">
        <v>0</v>
      </c>
    </row>
    <row r="2" spans="1:40">
      <c r="A2" s="2"/>
      <c r="B2" s="4">
        <v>43831</v>
      </c>
      <c r="C2" s="4">
        <v>43862</v>
      </c>
      <c r="D2" s="4">
        <v>43891</v>
      </c>
      <c r="E2" s="4">
        <v>43922</v>
      </c>
      <c r="F2" s="4">
        <v>43952</v>
      </c>
      <c r="G2" s="4">
        <v>43983</v>
      </c>
      <c r="H2" s="4">
        <v>44044</v>
      </c>
      <c r="I2" s="4">
        <v>44075</v>
      </c>
      <c r="J2" s="4">
        <v>44105</v>
      </c>
      <c r="K2" s="4">
        <v>44136</v>
      </c>
      <c r="L2" s="4">
        <v>44166</v>
      </c>
      <c r="M2" t="s">
        <v>1</v>
      </c>
      <c r="N2" s="4">
        <v>44197</v>
      </c>
      <c r="O2" s="4">
        <v>44228</v>
      </c>
      <c r="P2" s="4">
        <v>44256</v>
      </c>
      <c r="Q2" s="4">
        <v>44287</v>
      </c>
      <c r="R2" s="4">
        <v>44317</v>
      </c>
      <c r="S2" s="4">
        <v>44348</v>
      </c>
      <c r="T2" s="4">
        <v>44378</v>
      </c>
      <c r="U2" s="4">
        <v>44409</v>
      </c>
      <c r="V2" s="4">
        <v>44440</v>
      </c>
      <c r="W2" s="4">
        <v>44470</v>
      </c>
      <c r="X2" s="4">
        <v>44501</v>
      </c>
      <c r="Y2" s="4">
        <v>44531</v>
      </c>
      <c r="Z2" s="30" t="s">
        <v>2</v>
      </c>
      <c r="AA2" t="s">
        <v>3</v>
      </c>
      <c r="AB2" t="s">
        <v>4</v>
      </c>
      <c r="AC2" t="s">
        <v>5</v>
      </c>
      <c r="AD2" t="s">
        <v>6</v>
      </c>
      <c r="AE2" t="s">
        <v>7</v>
      </c>
      <c r="AF2" t="s">
        <v>8</v>
      </c>
      <c r="AG2" t="s">
        <v>9</v>
      </c>
      <c r="AH2" t="s">
        <v>10</v>
      </c>
      <c r="AI2" t="s">
        <v>11</v>
      </c>
      <c r="AJ2" t="s">
        <v>12</v>
      </c>
      <c r="AK2" t="s">
        <v>13</v>
      </c>
      <c r="AL2" t="s">
        <v>14</v>
      </c>
      <c r="AM2" t="s">
        <v>15</v>
      </c>
    </row>
    <row r="3" spans="1:40">
      <c r="A3" t="s">
        <v>16</v>
      </c>
      <c r="B3" s="8">
        <f t="shared" ref="B3:AM3" si="0">SUM(B4:B5)</f>
        <v>106748122.31</v>
      </c>
      <c r="C3" s="8">
        <f t="shared" si="0"/>
        <v>115113445.81999999</v>
      </c>
      <c r="D3" s="8">
        <f t="shared" si="0"/>
        <v>110887626.53</v>
      </c>
      <c r="E3" s="8">
        <f t="shared" si="0"/>
        <v>136941462.28999999</v>
      </c>
      <c r="F3" s="8">
        <f t="shared" si="0"/>
        <v>154645446.65000001</v>
      </c>
      <c r="G3" s="8">
        <f t="shared" si="0"/>
        <v>161305147.93000001</v>
      </c>
      <c r="H3" s="8"/>
      <c r="I3" s="8">
        <f t="shared" si="0"/>
        <v>122683651.08</v>
      </c>
      <c r="J3" s="8">
        <f t="shared" si="0"/>
        <v>112397861.46000001</v>
      </c>
      <c r="K3" s="8">
        <f t="shared" si="0"/>
        <v>119378928.56</v>
      </c>
      <c r="L3" s="8">
        <f t="shared" si="0"/>
        <v>130055916.90000001</v>
      </c>
      <c r="M3" s="8">
        <f t="shared" si="0"/>
        <v>130055917</v>
      </c>
      <c r="N3" s="8">
        <f t="shared" si="0"/>
        <v>122344658.72</v>
      </c>
      <c r="O3" s="8">
        <f t="shared" si="0"/>
        <v>104976617.06</v>
      </c>
      <c r="P3" s="8">
        <f t="shared" si="0"/>
        <v>95234315.120000005</v>
      </c>
      <c r="Q3" s="8">
        <f t="shared" si="0"/>
        <v>98302604.760000005</v>
      </c>
      <c r="R3" s="8">
        <f t="shared" si="0"/>
        <v>101644816.14</v>
      </c>
      <c r="S3" s="8">
        <f t="shared" si="0"/>
        <v>94872848.689999998</v>
      </c>
      <c r="T3" s="8">
        <f t="shared" si="0"/>
        <v>103682782.28</v>
      </c>
      <c r="U3" s="8">
        <f t="shared" si="0"/>
        <v>103947861.87</v>
      </c>
      <c r="V3" s="8">
        <f t="shared" si="0"/>
        <v>94498967.030000001</v>
      </c>
      <c r="W3" s="8">
        <f t="shared" si="0"/>
        <v>99869742.469999999</v>
      </c>
      <c r="X3" s="8">
        <f t="shared" si="0"/>
        <v>124133397.8</v>
      </c>
      <c r="Y3" s="8">
        <f t="shared" si="0"/>
        <v>125946264.71000001</v>
      </c>
      <c r="Z3" s="31">
        <f t="shared" si="0"/>
        <v>125946264.88</v>
      </c>
      <c r="AA3" s="31">
        <f t="shared" si="0"/>
        <v>113361493.56999999</v>
      </c>
      <c r="AB3" s="31">
        <f t="shared" si="0"/>
        <v>112067016.28</v>
      </c>
      <c r="AC3" s="31">
        <f t="shared" si="0"/>
        <v>105161025.41</v>
      </c>
      <c r="AD3" s="31">
        <f t="shared" si="0"/>
        <v>73330900.879999995</v>
      </c>
      <c r="AE3" s="31">
        <f t="shared" si="0"/>
        <v>64140740.899999999</v>
      </c>
      <c r="AF3" s="31">
        <f t="shared" si="0"/>
        <v>105013963.36</v>
      </c>
      <c r="AG3" s="31">
        <f t="shared" si="0"/>
        <v>89913780.140000001</v>
      </c>
      <c r="AH3" s="31">
        <f t="shared" si="0"/>
        <v>115256950.29000001</v>
      </c>
      <c r="AI3" s="31">
        <f t="shared" si="0"/>
        <v>113947767.55</v>
      </c>
      <c r="AJ3" s="31">
        <f t="shared" si="0"/>
        <v>105454741.55000001</v>
      </c>
      <c r="AK3" s="31">
        <f t="shared" si="0"/>
        <v>129152483.89</v>
      </c>
      <c r="AL3" s="31">
        <f t="shared" si="0"/>
        <v>99095631.780000001</v>
      </c>
      <c r="AM3" s="31">
        <f t="shared" si="0"/>
        <v>99095632</v>
      </c>
    </row>
    <row r="4" spans="1:40">
      <c r="A4" s="1" t="s">
        <v>17</v>
      </c>
      <c r="B4" s="12">
        <v>28479625.280000001</v>
      </c>
      <c r="C4" s="12">
        <v>28293090.109999999</v>
      </c>
      <c r="D4" s="12">
        <v>18548813.010000002</v>
      </c>
      <c r="E4" s="12">
        <v>24899294.98</v>
      </c>
      <c r="F4" s="12">
        <v>21775816.68</v>
      </c>
      <c r="G4" s="12">
        <v>23739304.52</v>
      </c>
      <c r="H4" s="12">
        <v>19540552.16</v>
      </c>
      <c r="I4" s="12">
        <v>40614992.689999998</v>
      </c>
      <c r="J4">
        <v>38159405.229999997</v>
      </c>
      <c r="K4">
        <v>30052441.300000001</v>
      </c>
      <c r="L4" s="16">
        <v>36090180.469999999</v>
      </c>
      <c r="M4" s="16">
        <v>14412643</v>
      </c>
      <c r="N4" s="26">
        <v>30223270.510000002</v>
      </c>
      <c r="O4" s="26">
        <v>46584889.890000001</v>
      </c>
      <c r="P4" s="26">
        <v>26543325.329999998</v>
      </c>
      <c r="Q4" s="26">
        <v>33060568.449999999</v>
      </c>
      <c r="R4" s="26">
        <v>33032072.66</v>
      </c>
      <c r="S4" s="26">
        <v>38549730.640000001</v>
      </c>
      <c r="T4" s="26">
        <v>27415969.199999999</v>
      </c>
      <c r="U4" s="26">
        <v>26583806.870000001</v>
      </c>
      <c r="V4" s="26">
        <v>34510860.869999997</v>
      </c>
      <c r="W4" s="26">
        <v>36381768.829999998</v>
      </c>
      <c r="X4" s="26">
        <v>36798501.450000003</v>
      </c>
      <c r="Y4" s="26">
        <v>26862481.289999999</v>
      </c>
      <c r="Z4" s="32">
        <v>12694620.879999999</v>
      </c>
      <c r="AA4" s="26">
        <v>28449394.289999999</v>
      </c>
      <c r="AB4" s="26">
        <v>33590090.049999997</v>
      </c>
      <c r="AC4" s="26">
        <v>30593085.420000002</v>
      </c>
      <c r="AD4" s="26">
        <v>37100433.890000001</v>
      </c>
      <c r="AE4" s="26">
        <v>32627723.77</v>
      </c>
      <c r="AF4" s="26">
        <v>31838149.34</v>
      </c>
      <c r="AG4" s="26">
        <v>37083295.25</v>
      </c>
      <c r="AH4" s="26">
        <v>44756624.109999999</v>
      </c>
      <c r="AI4" s="26">
        <v>48059261.829999998</v>
      </c>
      <c r="AJ4" s="26">
        <v>32695887.760000002</v>
      </c>
      <c r="AK4" s="26">
        <v>37249108.810000002</v>
      </c>
      <c r="AL4" s="39">
        <v>29387234.559999999</v>
      </c>
      <c r="AM4" s="41">
        <v>9790249</v>
      </c>
    </row>
    <row r="5" spans="1:40">
      <c r="A5" t="s">
        <v>18</v>
      </c>
      <c r="B5" s="12">
        <v>78268497.030000001</v>
      </c>
      <c r="C5" s="12">
        <v>86820355.709999993</v>
      </c>
      <c r="D5" s="12">
        <v>92338813.519999996</v>
      </c>
      <c r="E5" s="12">
        <v>112042167.31</v>
      </c>
      <c r="F5" s="12">
        <v>132869629.97</v>
      </c>
      <c r="G5" s="12">
        <v>137565843.41</v>
      </c>
      <c r="H5" s="12">
        <v>113004723.95</v>
      </c>
      <c r="I5" s="12">
        <v>82068658.390000001</v>
      </c>
      <c r="J5">
        <v>74238456.230000004</v>
      </c>
      <c r="K5">
        <v>89326487.260000005</v>
      </c>
      <c r="L5" s="16">
        <v>93965736.430000007</v>
      </c>
      <c r="M5" s="16">
        <f>88668058+8300011+234554+35360+18394291+11000</f>
        <v>115643274</v>
      </c>
      <c r="N5" s="26">
        <v>92121388.209999993</v>
      </c>
      <c r="O5" s="26">
        <v>58391727.170000002</v>
      </c>
      <c r="P5" s="26">
        <v>68690989.790000007</v>
      </c>
      <c r="Q5" s="26">
        <v>65242036.310000002</v>
      </c>
      <c r="R5" s="26">
        <v>68612743.480000004</v>
      </c>
      <c r="S5" s="26">
        <v>56323118.049999997</v>
      </c>
      <c r="T5" s="26">
        <v>76266813.079999998</v>
      </c>
      <c r="U5" s="26">
        <v>77364055</v>
      </c>
      <c r="V5" s="26">
        <v>59988106.159999996</v>
      </c>
      <c r="W5" s="26">
        <v>63487973.640000001</v>
      </c>
      <c r="X5" s="26">
        <v>87334896.349999994</v>
      </c>
      <c r="Y5" s="26">
        <v>99083783.420000002</v>
      </c>
      <c r="Z5" s="32">
        <v>113251644</v>
      </c>
      <c r="AA5" s="26">
        <v>84912099.280000001</v>
      </c>
      <c r="AB5" s="26">
        <v>78476926.230000004</v>
      </c>
      <c r="AC5" s="26">
        <v>74567939.989999995</v>
      </c>
      <c r="AD5" s="26">
        <v>36230466.990000002</v>
      </c>
      <c r="AE5" s="26">
        <v>31513017.129999999</v>
      </c>
      <c r="AF5" s="26">
        <v>73175814.019999996</v>
      </c>
      <c r="AG5" s="26">
        <v>52830484.890000001</v>
      </c>
      <c r="AH5" s="26">
        <v>70500326.180000007</v>
      </c>
      <c r="AI5" s="26">
        <v>65888505.719999999</v>
      </c>
      <c r="AJ5" s="26">
        <v>72758853.790000007</v>
      </c>
      <c r="AK5" s="26">
        <v>91903375.079999998</v>
      </c>
      <c r="AL5" s="39">
        <v>69708397.219999999</v>
      </c>
      <c r="AM5">
        <f>99095632-9790249</f>
        <v>89305383</v>
      </c>
    </row>
    <row r="6" spans="1:40">
      <c r="A6" t="s">
        <v>19</v>
      </c>
      <c r="B6" s="7">
        <v>259686.35</v>
      </c>
      <c r="C6">
        <v>475152.8</v>
      </c>
      <c r="D6">
        <v>475813.1</v>
      </c>
      <c r="E6">
        <v>367269.3</v>
      </c>
      <c r="F6">
        <v>-4513719.5999999996</v>
      </c>
      <c r="G6">
        <v>-18124612.649999999</v>
      </c>
      <c r="H6">
        <v>14324897.17</v>
      </c>
      <c r="I6">
        <v>17653072.940000001</v>
      </c>
      <c r="J6">
        <v>30923105.210000001</v>
      </c>
      <c r="K6">
        <v>30526645.68</v>
      </c>
      <c r="L6" s="16">
        <v>17906521.370000001</v>
      </c>
      <c r="M6" s="16">
        <v>17906521</v>
      </c>
      <c r="N6" s="26">
        <v>30228642.34</v>
      </c>
      <c r="O6" s="26">
        <v>32991100.300000001</v>
      </c>
      <c r="P6" s="26">
        <v>20302604.199999999</v>
      </c>
      <c r="Q6" s="26">
        <v>28811800.059999999</v>
      </c>
      <c r="R6" s="26">
        <v>20620992.289999999</v>
      </c>
      <c r="S6" s="26">
        <v>29715480.600000001</v>
      </c>
      <c r="T6" s="26">
        <v>28407948.260000002</v>
      </c>
      <c r="U6" s="26">
        <v>16257052.27</v>
      </c>
      <c r="V6" s="26">
        <v>29108124.050000001</v>
      </c>
      <c r="W6" s="26">
        <v>34571434.060000002</v>
      </c>
      <c r="X6" s="26">
        <v>21384327.48</v>
      </c>
      <c r="Y6" s="26">
        <v>16993325.850000001</v>
      </c>
      <c r="Z6" s="32">
        <v>16993325.850000001</v>
      </c>
      <c r="AA6" s="26">
        <v>35794132.740000002</v>
      </c>
      <c r="AB6" s="26">
        <v>35926765.189999998</v>
      </c>
      <c r="AC6" s="26">
        <v>16784018.449999999</v>
      </c>
      <c r="AD6" s="26">
        <v>35409504.450000003</v>
      </c>
      <c r="AE6" s="26">
        <v>37706122.420000002</v>
      </c>
      <c r="AF6" s="26">
        <v>9871621.3399999999</v>
      </c>
      <c r="AG6" s="26">
        <v>44794354.130000003</v>
      </c>
      <c r="AH6" s="26">
        <v>28404140.760000002</v>
      </c>
      <c r="AI6" s="26">
        <v>23662511.649999999</v>
      </c>
      <c r="AJ6" s="26">
        <v>37982205.329999998</v>
      </c>
      <c r="AK6" s="26">
        <v>29259632.760000002</v>
      </c>
      <c r="AL6" s="39">
        <v>18046372.34</v>
      </c>
      <c r="AM6" s="41">
        <v>18046372</v>
      </c>
    </row>
    <row r="7" spans="1:40">
      <c r="A7" s="1" t="s">
        <v>20</v>
      </c>
      <c r="B7" s="8">
        <f>B9+B11</f>
        <v>25632908.09</v>
      </c>
      <c r="C7" s="8">
        <f t="shared" ref="C7:L7" si="1">C9+C11</f>
        <v>25982908.09</v>
      </c>
      <c r="D7" s="8">
        <f t="shared" si="1"/>
        <v>13228435</v>
      </c>
      <c r="E7" s="8">
        <f t="shared" si="1"/>
        <v>13228435</v>
      </c>
      <c r="F7" s="8">
        <f t="shared" si="1"/>
        <v>13228435</v>
      </c>
      <c r="G7" s="8">
        <f t="shared" si="1"/>
        <v>13228435</v>
      </c>
      <c r="H7" s="8"/>
      <c r="I7" s="8">
        <f t="shared" si="1"/>
        <v>13228435</v>
      </c>
      <c r="J7" s="8">
        <f t="shared" si="1"/>
        <v>13228435</v>
      </c>
      <c r="K7" s="8">
        <f t="shared" si="1"/>
        <v>13228435</v>
      </c>
      <c r="L7" s="8">
        <f t="shared" si="1"/>
        <v>13228435</v>
      </c>
      <c r="M7" s="8">
        <f>M8+M9+M10+M11</f>
        <v>83556241</v>
      </c>
      <c r="N7" s="8">
        <f t="shared" ref="N7:AN7" si="2">N8+N9+N10+N11</f>
        <v>83906240.920000002</v>
      </c>
      <c r="O7" s="8">
        <f t="shared" si="2"/>
        <v>104577506</v>
      </c>
      <c r="P7" s="8">
        <f t="shared" si="2"/>
        <v>105078696.96000001</v>
      </c>
      <c r="Q7" s="8">
        <f t="shared" si="2"/>
        <v>105577324.49000001</v>
      </c>
      <c r="R7" s="8">
        <f t="shared" si="2"/>
        <v>116150131.33</v>
      </c>
      <c r="S7" s="8">
        <f t="shared" si="2"/>
        <v>116845131.94</v>
      </c>
      <c r="T7" s="8">
        <f t="shared" si="2"/>
        <v>117456281.64</v>
      </c>
      <c r="U7" s="8">
        <f t="shared" si="2"/>
        <v>118043810.31</v>
      </c>
      <c r="V7" s="8">
        <f t="shared" si="2"/>
        <v>118693850.00999999</v>
      </c>
      <c r="W7" s="8">
        <f t="shared" si="2"/>
        <v>119278664.34</v>
      </c>
      <c r="X7" s="8">
        <f t="shared" si="2"/>
        <v>119859168.15000001</v>
      </c>
      <c r="Y7" s="8">
        <f t="shared" si="2"/>
        <v>120690715.40000001</v>
      </c>
      <c r="Z7" s="31">
        <f t="shared" si="2"/>
        <v>120767504.94</v>
      </c>
      <c r="AA7" s="31">
        <f t="shared" si="2"/>
        <v>121362027.94</v>
      </c>
      <c r="AB7" s="31">
        <f t="shared" si="2"/>
        <v>121933248.55</v>
      </c>
      <c r="AC7" s="31">
        <f t="shared" si="2"/>
        <v>122516522.81</v>
      </c>
      <c r="AD7" s="31">
        <f t="shared" si="2"/>
        <v>123103536.13</v>
      </c>
      <c r="AE7" s="31">
        <f t="shared" si="2"/>
        <v>123701167.2</v>
      </c>
      <c r="AF7" s="31">
        <f t="shared" si="2"/>
        <v>124475779.40000001</v>
      </c>
      <c r="AG7" s="31">
        <f t="shared" si="2"/>
        <v>125073672.44</v>
      </c>
      <c r="AH7" s="31">
        <f t="shared" si="2"/>
        <v>125674277.89</v>
      </c>
      <c r="AI7" s="31">
        <f t="shared" si="2"/>
        <v>126537227.72</v>
      </c>
      <c r="AJ7" s="31">
        <f t="shared" si="2"/>
        <v>127207747.91</v>
      </c>
      <c r="AK7" s="31">
        <f t="shared" si="2"/>
        <v>127807846.89</v>
      </c>
      <c r="AL7" s="31">
        <f t="shared" si="2"/>
        <v>148647560.38999999</v>
      </c>
      <c r="AM7" s="31">
        <f t="shared" si="2"/>
        <v>148647561</v>
      </c>
      <c r="AN7" s="31">
        <f t="shared" si="2"/>
        <v>0</v>
      </c>
    </row>
    <row r="8" spans="1:40">
      <c r="A8" t="s">
        <v>21</v>
      </c>
      <c r="B8" s="7"/>
      <c r="L8" s="16"/>
      <c r="M8" s="16"/>
      <c r="N8" s="26">
        <v>0</v>
      </c>
      <c r="O8" s="26">
        <v>0</v>
      </c>
      <c r="P8" s="26">
        <v>0</v>
      </c>
      <c r="Q8" s="26">
        <v>0</v>
      </c>
      <c r="R8" s="26">
        <v>0</v>
      </c>
      <c r="S8" s="26">
        <v>0</v>
      </c>
      <c r="T8" s="26">
        <v>0</v>
      </c>
      <c r="U8" s="26">
        <v>0</v>
      </c>
      <c r="V8" s="26">
        <v>0</v>
      </c>
      <c r="W8" s="26">
        <v>0</v>
      </c>
      <c r="X8" s="26">
        <v>0</v>
      </c>
      <c r="Y8" s="26">
        <v>0</v>
      </c>
      <c r="Z8" s="32"/>
      <c r="AA8" s="26">
        <v>0</v>
      </c>
      <c r="AB8" s="26">
        <v>0</v>
      </c>
      <c r="AC8" s="26">
        <v>0</v>
      </c>
      <c r="AD8" s="26">
        <v>0</v>
      </c>
      <c r="AE8" s="26">
        <v>0</v>
      </c>
      <c r="AF8" s="26">
        <v>0</v>
      </c>
      <c r="AG8" s="26">
        <v>0</v>
      </c>
      <c r="AH8" s="26">
        <v>0</v>
      </c>
      <c r="AI8" s="26">
        <v>0</v>
      </c>
      <c r="AJ8" s="26">
        <v>0</v>
      </c>
      <c r="AK8" s="26">
        <v>0</v>
      </c>
      <c r="AL8" s="39">
        <v>0</v>
      </c>
    </row>
    <row r="9" spans="1:40">
      <c r="A9" t="s">
        <v>22</v>
      </c>
      <c r="B9" s="12"/>
      <c r="C9" s="12"/>
      <c r="D9" s="12"/>
      <c r="E9" s="12"/>
      <c r="F9" s="12"/>
      <c r="G9" s="12"/>
      <c r="H9" s="12"/>
      <c r="I9" s="12"/>
      <c r="L9" s="16"/>
      <c r="M9" s="16"/>
      <c r="N9" s="26">
        <v>0</v>
      </c>
      <c r="O9" s="26">
        <v>0</v>
      </c>
      <c r="P9" s="26">
        <v>0</v>
      </c>
      <c r="Q9" s="26">
        <v>0</v>
      </c>
      <c r="R9" s="26">
        <v>0</v>
      </c>
      <c r="S9" s="26">
        <v>0</v>
      </c>
      <c r="T9" s="26">
        <v>0</v>
      </c>
      <c r="U9" s="26">
        <v>0</v>
      </c>
      <c r="V9" s="26">
        <v>0</v>
      </c>
      <c r="W9" s="26">
        <v>0</v>
      </c>
      <c r="X9" s="26">
        <v>0</v>
      </c>
      <c r="Y9" s="26">
        <v>0</v>
      </c>
      <c r="Z9" s="32"/>
      <c r="AA9" s="26">
        <v>0</v>
      </c>
      <c r="AB9" s="26">
        <v>0</v>
      </c>
      <c r="AC9" s="26">
        <v>0</v>
      </c>
      <c r="AD9" s="26">
        <v>0</v>
      </c>
      <c r="AE9" s="26">
        <v>0</v>
      </c>
      <c r="AF9" s="26">
        <v>0</v>
      </c>
      <c r="AG9" s="26">
        <v>0</v>
      </c>
      <c r="AH9" s="26">
        <v>0</v>
      </c>
      <c r="AI9" s="26">
        <v>0</v>
      </c>
      <c r="AJ9" s="26">
        <v>0</v>
      </c>
      <c r="AK9" s="26">
        <v>0</v>
      </c>
      <c r="AL9" s="39">
        <v>0</v>
      </c>
      <c r="AM9">
        <f>35205607+20086759</f>
        <v>55292366</v>
      </c>
    </row>
    <row r="10" spans="1:40">
      <c r="A10" t="s">
        <v>23</v>
      </c>
      <c r="B10" s="7">
        <v>0</v>
      </c>
      <c r="C10">
        <v>0</v>
      </c>
      <c r="D10">
        <v>13172818.949999999</v>
      </c>
      <c r="E10">
        <v>13522818.949999999</v>
      </c>
      <c r="F10">
        <v>13872818.949999999</v>
      </c>
      <c r="G10">
        <v>14222818.949999999</v>
      </c>
      <c r="H10">
        <v>14922818.949999999</v>
      </c>
      <c r="I10">
        <v>15288361.6</v>
      </c>
      <c r="J10">
        <v>15710955.52</v>
      </c>
      <c r="K10">
        <v>16060955.52</v>
      </c>
      <c r="L10" s="16">
        <v>16469004.460000001</v>
      </c>
      <c r="M10" s="16">
        <v>16474943</v>
      </c>
      <c r="N10" s="26">
        <v>16824942.920000002</v>
      </c>
      <c r="O10" s="26">
        <v>37294601</v>
      </c>
      <c r="P10" s="26">
        <v>37795791.960000001</v>
      </c>
      <c r="Q10" s="26">
        <v>38294419.490000002</v>
      </c>
      <c r="R10" s="26">
        <v>48867226.329999998</v>
      </c>
      <c r="S10" s="26">
        <v>49562226.939999998</v>
      </c>
      <c r="T10" s="26">
        <v>50173376.640000001</v>
      </c>
      <c r="U10" s="26">
        <v>50760905.310000002</v>
      </c>
      <c r="V10" s="26">
        <v>51410945.009999998</v>
      </c>
      <c r="W10" s="26">
        <v>51995759.340000004</v>
      </c>
      <c r="X10" s="26">
        <v>52576263.149999999</v>
      </c>
      <c r="Y10" s="26">
        <v>53247310.399999999</v>
      </c>
      <c r="Z10" s="32">
        <v>21052035.939999998</v>
      </c>
      <c r="AA10" s="26">
        <v>53918622.939999998</v>
      </c>
      <c r="AB10" s="26">
        <v>54489843.549999997</v>
      </c>
      <c r="AC10" s="26">
        <v>55073117.810000002</v>
      </c>
      <c r="AD10" s="26">
        <v>55660131.130000003</v>
      </c>
      <c r="AE10" s="26">
        <v>56257762.200000003</v>
      </c>
      <c r="AF10" s="26">
        <v>57032374.399999999</v>
      </c>
      <c r="AG10" s="26">
        <v>57630267.439999998</v>
      </c>
      <c r="AH10" s="26">
        <v>58230872.890000001</v>
      </c>
      <c r="AI10" s="26">
        <v>58918776.719999999</v>
      </c>
      <c r="AJ10" s="26">
        <v>59589296.909999996</v>
      </c>
      <c r="AK10" s="26">
        <v>60189395.890000001</v>
      </c>
      <c r="AL10" s="39">
        <v>81029109.390000001</v>
      </c>
      <c r="AM10" s="41">
        <v>25736744</v>
      </c>
    </row>
    <row r="11" spans="1:40">
      <c r="A11" t="s">
        <v>24</v>
      </c>
      <c r="B11" s="7">
        <v>25632908.09</v>
      </c>
      <c r="C11" s="3">
        <v>25982908.09</v>
      </c>
      <c r="D11">
        <v>13228435</v>
      </c>
      <c r="E11">
        <v>13228435</v>
      </c>
      <c r="F11">
        <v>13228435</v>
      </c>
      <c r="G11">
        <v>13228435</v>
      </c>
      <c r="H11">
        <v>13228435</v>
      </c>
      <c r="I11">
        <v>13228435</v>
      </c>
      <c r="J11">
        <v>13228435</v>
      </c>
      <c r="K11">
        <v>13228435</v>
      </c>
      <c r="L11" s="16">
        <v>13228435</v>
      </c>
      <c r="M11" s="16">
        <v>67081298</v>
      </c>
      <c r="N11" s="26">
        <v>67081298</v>
      </c>
      <c r="O11" s="26">
        <v>67282905</v>
      </c>
      <c r="P11" s="26">
        <v>67282905</v>
      </c>
      <c r="Q11" s="26">
        <v>67282905</v>
      </c>
      <c r="R11" s="26">
        <v>67282905</v>
      </c>
      <c r="S11" s="26">
        <v>67282905</v>
      </c>
      <c r="T11" s="26">
        <v>67282905</v>
      </c>
      <c r="U11" s="26">
        <v>67282905</v>
      </c>
      <c r="V11" s="26">
        <v>67282905</v>
      </c>
      <c r="W11" s="26">
        <v>67282905</v>
      </c>
      <c r="X11" s="26">
        <v>67282905</v>
      </c>
      <c r="Y11" s="26">
        <v>67443405</v>
      </c>
      <c r="Z11" s="32">
        <f>67443405+32272064</f>
        <v>99715469</v>
      </c>
      <c r="AA11" s="26">
        <v>67443405</v>
      </c>
      <c r="AB11" s="26">
        <v>67443405</v>
      </c>
      <c r="AC11" s="26">
        <v>67443405</v>
      </c>
      <c r="AD11" s="26">
        <v>67443405</v>
      </c>
      <c r="AE11" s="26">
        <v>67443405</v>
      </c>
      <c r="AF11" s="26">
        <v>67443405</v>
      </c>
      <c r="AG11" s="26">
        <v>67443405</v>
      </c>
      <c r="AH11" s="26">
        <v>67443405</v>
      </c>
      <c r="AI11" s="26">
        <v>67618451</v>
      </c>
      <c r="AJ11" s="26">
        <v>67618451</v>
      </c>
      <c r="AK11" s="26">
        <v>67618451</v>
      </c>
      <c r="AL11" s="39">
        <v>67618451</v>
      </c>
      <c r="AM11" s="41">
        <v>67618451</v>
      </c>
    </row>
    <row r="12" spans="1:40">
      <c r="A12" s="1" t="s">
        <v>25</v>
      </c>
      <c r="B12" s="8">
        <f t="shared" ref="B12:AM12" si="3">B13-B14</f>
        <v>306288845.12</v>
      </c>
      <c r="C12" s="8">
        <f t="shared" si="3"/>
        <v>300625309.79999995</v>
      </c>
      <c r="D12" s="8">
        <f t="shared" si="3"/>
        <v>299054638.57000005</v>
      </c>
      <c r="E12" s="8">
        <f t="shared" si="3"/>
        <v>292819979.21000004</v>
      </c>
      <c r="F12" s="8">
        <f t="shared" si="3"/>
        <v>288687004.07000005</v>
      </c>
      <c r="G12" s="8">
        <f t="shared" si="3"/>
        <v>305923528.57000005</v>
      </c>
      <c r="H12" s="8"/>
      <c r="I12" s="8">
        <f t="shared" si="3"/>
        <v>336516296.89999998</v>
      </c>
      <c r="J12" s="8">
        <f t="shared" si="3"/>
        <v>350133281.94000006</v>
      </c>
      <c r="K12" s="8">
        <f t="shared" si="3"/>
        <v>352011703.33000004</v>
      </c>
      <c r="L12" s="8">
        <f t="shared" si="3"/>
        <v>363038849.72000003</v>
      </c>
      <c r="M12" s="8">
        <f t="shared" si="3"/>
        <v>363038850</v>
      </c>
      <c r="N12" s="8">
        <f t="shared" si="3"/>
        <v>370202523.86000001</v>
      </c>
      <c r="O12" s="8">
        <f t="shared" si="3"/>
        <v>376863029.76999998</v>
      </c>
      <c r="P12" s="8">
        <f t="shared" si="3"/>
        <v>377489772.28999996</v>
      </c>
      <c r="Q12" s="8">
        <f t="shared" si="3"/>
        <v>383702082.36000001</v>
      </c>
      <c r="R12" s="8">
        <f t="shared" si="3"/>
        <v>383471977.56999999</v>
      </c>
      <c r="S12" s="8">
        <f t="shared" si="3"/>
        <v>383828586.88999999</v>
      </c>
      <c r="T12" s="8">
        <f t="shared" si="3"/>
        <v>419440104.19999999</v>
      </c>
      <c r="U12" s="8">
        <f t="shared" si="3"/>
        <v>435816891.63999999</v>
      </c>
      <c r="V12" s="8">
        <f t="shared" si="3"/>
        <v>431965346.85000002</v>
      </c>
      <c r="W12" s="8">
        <f t="shared" si="3"/>
        <v>434205131.96999997</v>
      </c>
      <c r="X12" s="8">
        <f t="shared" si="3"/>
        <v>429979724.23000002</v>
      </c>
      <c r="Y12" s="8">
        <f t="shared" si="3"/>
        <v>428311564.88</v>
      </c>
      <c r="Z12" s="31">
        <f t="shared" si="3"/>
        <v>428311564.75999999</v>
      </c>
      <c r="AA12" s="31">
        <f t="shared" si="3"/>
        <v>424000397.10000002</v>
      </c>
      <c r="AB12" s="31">
        <f t="shared" si="3"/>
        <v>426339739.11000001</v>
      </c>
      <c r="AC12" s="31">
        <f t="shared" si="3"/>
        <v>445059896.97000003</v>
      </c>
      <c r="AD12" s="31">
        <f t="shared" si="3"/>
        <v>473926062.75</v>
      </c>
      <c r="AE12" s="31">
        <f t="shared" si="3"/>
        <v>486843693.44999999</v>
      </c>
      <c r="AF12" s="31">
        <f t="shared" si="3"/>
        <v>485077045.73000002</v>
      </c>
      <c r="AG12" s="31">
        <f t="shared" si="3"/>
        <v>484592308.49000001</v>
      </c>
      <c r="AH12" s="31">
        <f t="shared" si="3"/>
        <v>484101699.64999998</v>
      </c>
      <c r="AI12" s="31">
        <f t="shared" si="3"/>
        <v>488564870.40999997</v>
      </c>
      <c r="AJ12" s="31">
        <f t="shared" si="3"/>
        <v>492961926.19</v>
      </c>
      <c r="AK12" s="31">
        <f t="shared" si="3"/>
        <v>506132050.80000001</v>
      </c>
      <c r="AL12" s="31">
        <f t="shared" si="3"/>
        <v>534200521.63</v>
      </c>
      <c r="AM12" s="31">
        <f t="shared" si="3"/>
        <v>534200521</v>
      </c>
    </row>
    <row r="13" spans="1:40">
      <c r="A13" t="s">
        <v>26</v>
      </c>
      <c r="B13" s="12">
        <v>328019759.64999998</v>
      </c>
      <c r="C13" s="12">
        <v>322606224.32999998</v>
      </c>
      <c r="D13" s="12">
        <v>321285553.10000002</v>
      </c>
      <c r="E13" s="12">
        <v>315300893.74000001</v>
      </c>
      <c r="F13" s="12">
        <v>311417918.60000002</v>
      </c>
      <c r="G13" s="12">
        <v>328904443.10000002</v>
      </c>
      <c r="H13" s="12">
        <v>349119756.81</v>
      </c>
      <c r="I13" s="12">
        <v>360247211.43000001</v>
      </c>
      <c r="J13">
        <v>374114196.47000003</v>
      </c>
      <c r="K13">
        <v>376242617.86000001</v>
      </c>
      <c r="L13" s="16">
        <v>387519764.25</v>
      </c>
      <c r="M13" s="16">
        <v>387519764</v>
      </c>
      <c r="N13" s="26">
        <v>395016772.38999999</v>
      </c>
      <c r="O13" s="26">
        <v>402010611.30000001</v>
      </c>
      <c r="P13" s="26">
        <v>402970686.81999999</v>
      </c>
      <c r="Q13" s="26">
        <v>409516330.22000003</v>
      </c>
      <c r="R13" s="26">
        <v>409619558.76999998</v>
      </c>
      <c r="S13" s="26">
        <v>410309501.42000002</v>
      </c>
      <c r="T13" s="26">
        <v>446254352.06</v>
      </c>
      <c r="U13" s="26">
        <v>462964472.83999997</v>
      </c>
      <c r="V13" s="26">
        <v>459446261.38</v>
      </c>
      <c r="W13" s="26">
        <v>462019379.83999997</v>
      </c>
      <c r="X13" s="26">
        <v>458141540.43000001</v>
      </c>
      <c r="Y13" s="26">
        <v>453806714.41000003</v>
      </c>
      <c r="Z13" s="32">
        <v>453806714.29000002</v>
      </c>
      <c r="AA13" s="26">
        <v>449912213.30000001</v>
      </c>
      <c r="AB13" s="26">
        <v>452668221.97000003</v>
      </c>
      <c r="AC13" s="26">
        <v>471805046.5</v>
      </c>
      <c r="AD13" s="26">
        <v>501087878.94</v>
      </c>
      <c r="AE13" s="26">
        <v>514422176.31</v>
      </c>
      <c r="AF13" s="26">
        <v>513072195.25999999</v>
      </c>
      <c r="AG13" s="26">
        <v>513004124.69</v>
      </c>
      <c r="AH13" s="26">
        <v>512930182.51999998</v>
      </c>
      <c r="AI13" s="26">
        <v>517810019.94</v>
      </c>
      <c r="AJ13" s="26">
        <v>522623742.38999999</v>
      </c>
      <c r="AK13" s="26">
        <v>536210533.67000002</v>
      </c>
      <c r="AL13" s="39">
        <v>560695671.15999997</v>
      </c>
      <c r="AM13" s="41">
        <v>560695671</v>
      </c>
    </row>
    <row r="14" spans="1:40">
      <c r="A14" t="s">
        <v>27</v>
      </c>
      <c r="B14" s="12">
        <v>21730914.530000001</v>
      </c>
      <c r="C14" s="12">
        <v>21980914.530000001</v>
      </c>
      <c r="D14" s="12">
        <v>22230914.530000001</v>
      </c>
      <c r="E14" s="12">
        <v>22480914.530000001</v>
      </c>
      <c r="F14" s="12">
        <v>22730914.530000001</v>
      </c>
      <c r="G14" s="12">
        <v>22980914.530000001</v>
      </c>
      <c r="H14" s="12">
        <v>23480914.530000001</v>
      </c>
      <c r="I14" s="12">
        <v>23730914.530000001</v>
      </c>
      <c r="J14">
        <v>23980914.530000001</v>
      </c>
      <c r="K14">
        <v>24230914.530000001</v>
      </c>
      <c r="L14" s="16">
        <v>24480914.530000001</v>
      </c>
      <c r="M14" s="16">
        <v>24480914</v>
      </c>
      <c r="N14" s="26">
        <v>24814248.530000001</v>
      </c>
      <c r="O14" s="26">
        <v>25147581.530000001</v>
      </c>
      <c r="P14" s="26">
        <v>25480914.530000001</v>
      </c>
      <c r="Q14" s="26">
        <v>25814247.859999999</v>
      </c>
      <c r="R14" s="26">
        <v>26147581.199999999</v>
      </c>
      <c r="S14" s="26">
        <v>26480914.530000001</v>
      </c>
      <c r="T14" s="26">
        <v>26814247.859999999</v>
      </c>
      <c r="U14" s="26">
        <v>27147581.199999999</v>
      </c>
      <c r="V14" s="26">
        <v>27480914.530000001</v>
      </c>
      <c r="W14" s="26">
        <v>27814247.870000001</v>
      </c>
      <c r="X14" s="26">
        <v>28161816.199999999</v>
      </c>
      <c r="Y14" s="26">
        <v>25495149.530000001</v>
      </c>
      <c r="Z14" s="32">
        <v>25495149.530000001</v>
      </c>
      <c r="AA14" s="26">
        <v>25911816.199999999</v>
      </c>
      <c r="AB14" s="26">
        <v>26328482.859999999</v>
      </c>
      <c r="AC14" s="26">
        <v>26745149.530000001</v>
      </c>
      <c r="AD14" s="26">
        <v>27161816.190000001</v>
      </c>
      <c r="AE14" s="26">
        <v>27578482.859999999</v>
      </c>
      <c r="AF14" s="26">
        <v>27995149.530000001</v>
      </c>
      <c r="AG14" s="26">
        <v>28411816.199999999</v>
      </c>
      <c r="AH14" s="26">
        <v>28828482.870000001</v>
      </c>
      <c r="AI14" s="26">
        <v>29245149.530000001</v>
      </c>
      <c r="AJ14" s="26">
        <v>29661816.199999999</v>
      </c>
      <c r="AK14" s="26">
        <v>30078482.870000001</v>
      </c>
      <c r="AL14" s="39">
        <v>26495149.530000001</v>
      </c>
      <c r="AM14" s="41">
        <v>26495150</v>
      </c>
      <c r="AN14" s="44"/>
    </row>
    <row r="15" spans="1:40">
      <c r="A15" s="1" t="s">
        <v>28</v>
      </c>
      <c r="B15" s="8">
        <f t="shared" ref="B15:M15" si="4">SUM(B16:B18)</f>
        <v>0</v>
      </c>
      <c r="C15" s="8">
        <f t="shared" si="4"/>
        <v>0</v>
      </c>
      <c r="D15" s="8">
        <f t="shared" si="4"/>
        <v>0</v>
      </c>
      <c r="E15" s="8">
        <f t="shared" si="4"/>
        <v>0</v>
      </c>
      <c r="F15" s="8">
        <f t="shared" si="4"/>
        <v>0</v>
      </c>
      <c r="G15" s="8">
        <f t="shared" si="4"/>
        <v>0</v>
      </c>
      <c r="H15" s="8"/>
      <c r="I15" s="8">
        <f t="shared" si="4"/>
        <v>0</v>
      </c>
      <c r="J15" s="8">
        <f t="shared" si="4"/>
        <v>0</v>
      </c>
      <c r="K15" s="8">
        <f t="shared" si="4"/>
        <v>0</v>
      </c>
      <c r="L15" s="8">
        <f t="shared" si="4"/>
        <v>0</v>
      </c>
      <c r="M15" s="8">
        <f t="shared" si="4"/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32"/>
      <c r="AA15" s="25">
        <v>0</v>
      </c>
      <c r="AB15" s="25">
        <v>0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>
        <v>0</v>
      </c>
      <c r="AJ15" s="25">
        <v>0</v>
      </c>
      <c r="AK15" s="25">
        <v>0</v>
      </c>
      <c r="AL15" s="38">
        <v>0</v>
      </c>
    </row>
    <row r="16" spans="1:40">
      <c r="A16" t="s">
        <v>29</v>
      </c>
      <c r="B16" s="7"/>
      <c r="L16" s="16"/>
      <c r="M16" s="16"/>
      <c r="N16" s="26">
        <v>0</v>
      </c>
      <c r="O16" s="26">
        <v>0</v>
      </c>
      <c r="P16" s="26">
        <v>0</v>
      </c>
      <c r="Q16" s="26">
        <v>0</v>
      </c>
      <c r="R16" s="26">
        <v>0</v>
      </c>
      <c r="S16" s="26">
        <v>0</v>
      </c>
      <c r="T16" s="26">
        <v>0</v>
      </c>
      <c r="U16" s="26">
        <v>0</v>
      </c>
      <c r="V16" s="26">
        <v>0</v>
      </c>
      <c r="W16" s="26">
        <v>0</v>
      </c>
      <c r="X16" s="26">
        <v>0</v>
      </c>
      <c r="Y16" s="26">
        <v>0</v>
      </c>
      <c r="Z16" s="32"/>
      <c r="AA16" s="26">
        <v>0</v>
      </c>
      <c r="AB16" s="26">
        <v>0</v>
      </c>
      <c r="AC16" s="26">
        <v>0</v>
      </c>
      <c r="AD16" s="26">
        <v>0</v>
      </c>
      <c r="AE16" s="26">
        <v>0</v>
      </c>
      <c r="AF16" s="26">
        <v>0</v>
      </c>
      <c r="AG16" s="26">
        <v>0</v>
      </c>
      <c r="AH16" s="26">
        <v>0</v>
      </c>
      <c r="AI16" s="26">
        <v>0</v>
      </c>
      <c r="AJ16" s="26">
        <v>0</v>
      </c>
      <c r="AK16" s="26">
        <v>0</v>
      </c>
      <c r="AL16" s="39">
        <v>0</v>
      </c>
    </row>
    <row r="17" spans="1:39">
      <c r="A17" t="s">
        <v>30</v>
      </c>
      <c r="B17" s="7"/>
      <c r="L17" s="16"/>
      <c r="M17" s="16"/>
      <c r="N17" s="26">
        <v>0</v>
      </c>
      <c r="O17" s="26">
        <v>0</v>
      </c>
      <c r="P17" s="26">
        <v>0</v>
      </c>
      <c r="Q17" s="26">
        <v>0</v>
      </c>
      <c r="R17" s="26">
        <v>0</v>
      </c>
      <c r="S17" s="26">
        <v>0</v>
      </c>
      <c r="T17" s="26">
        <v>0</v>
      </c>
      <c r="U17" s="26">
        <v>0</v>
      </c>
      <c r="V17" s="26">
        <v>0</v>
      </c>
      <c r="W17" s="26">
        <v>0</v>
      </c>
      <c r="X17" s="26">
        <v>0</v>
      </c>
      <c r="Y17" s="26">
        <v>0</v>
      </c>
      <c r="Z17" s="32"/>
      <c r="AA17" s="26">
        <v>0</v>
      </c>
      <c r="AB17" s="26">
        <v>0</v>
      </c>
      <c r="AC17" s="26">
        <v>0</v>
      </c>
      <c r="AD17" s="26">
        <v>0</v>
      </c>
      <c r="AE17" s="26">
        <v>0</v>
      </c>
      <c r="AF17" s="26">
        <v>0</v>
      </c>
      <c r="AG17" s="26">
        <v>0</v>
      </c>
      <c r="AH17" s="26">
        <v>0</v>
      </c>
      <c r="AI17" s="26">
        <v>0</v>
      </c>
      <c r="AJ17" s="26">
        <v>0</v>
      </c>
      <c r="AK17" s="26">
        <v>0</v>
      </c>
      <c r="AL17" s="39">
        <v>0</v>
      </c>
    </row>
    <row r="18" spans="1:39">
      <c r="A18" t="s">
        <v>31</v>
      </c>
      <c r="B18" s="7"/>
      <c r="L18" s="16"/>
      <c r="M18" s="16"/>
      <c r="N18" s="26">
        <v>0</v>
      </c>
      <c r="O18" s="26">
        <v>0</v>
      </c>
      <c r="P18" s="26">
        <v>0</v>
      </c>
      <c r="Q18" s="26">
        <v>0</v>
      </c>
      <c r="R18" s="26">
        <v>0</v>
      </c>
      <c r="S18" s="26">
        <v>0</v>
      </c>
      <c r="T18" s="26">
        <v>0</v>
      </c>
      <c r="U18" s="26">
        <v>0</v>
      </c>
      <c r="V18" s="26">
        <v>0</v>
      </c>
      <c r="W18" s="26">
        <v>0</v>
      </c>
      <c r="X18" s="26">
        <v>0</v>
      </c>
      <c r="Y18" s="26">
        <v>0</v>
      </c>
      <c r="Z18" s="32"/>
      <c r="AA18" s="26">
        <v>0</v>
      </c>
      <c r="AB18" s="26">
        <v>0</v>
      </c>
      <c r="AC18" s="26">
        <v>0</v>
      </c>
      <c r="AD18" s="26">
        <v>0</v>
      </c>
      <c r="AE18" s="26">
        <v>0</v>
      </c>
      <c r="AF18" s="26">
        <v>0</v>
      </c>
      <c r="AG18" s="26">
        <v>0</v>
      </c>
      <c r="AH18" s="26">
        <v>0</v>
      </c>
      <c r="AI18" s="26">
        <v>0</v>
      </c>
      <c r="AJ18" s="26">
        <v>0</v>
      </c>
      <c r="AK18" s="26">
        <v>0</v>
      </c>
      <c r="AL18" s="39">
        <v>0</v>
      </c>
    </row>
    <row r="19" spans="1:39">
      <c r="A19" s="1" t="s">
        <v>32</v>
      </c>
      <c r="B19" s="8">
        <f t="shared" ref="B19:AM19" si="5">SUM(B20:B24)</f>
        <v>287534819.49000001</v>
      </c>
      <c r="C19" s="8">
        <f t="shared" si="5"/>
        <v>286532975.07999998</v>
      </c>
      <c r="D19" s="8">
        <f t="shared" si="5"/>
        <v>285513074.85000002</v>
      </c>
      <c r="E19" s="8">
        <f t="shared" si="5"/>
        <v>284499193.93000001</v>
      </c>
      <c r="F19" s="8">
        <f t="shared" si="5"/>
        <v>286577862.76999998</v>
      </c>
      <c r="G19" s="8">
        <f t="shared" si="5"/>
        <v>287476190.69999999</v>
      </c>
      <c r="H19" s="8"/>
      <c r="I19" s="8">
        <f t="shared" si="5"/>
        <v>286033363.47000003</v>
      </c>
      <c r="J19" s="8">
        <f t="shared" si="5"/>
        <v>284898773.67000002</v>
      </c>
      <c r="K19" s="8">
        <f t="shared" si="5"/>
        <v>283779257.04000002</v>
      </c>
      <c r="L19" s="8">
        <f t="shared" si="5"/>
        <v>283278106.48000002</v>
      </c>
      <c r="M19" s="8">
        <f t="shared" si="5"/>
        <v>283278107</v>
      </c>
      <c r="N19" s="8">
        <f t="shared" si="5"/>
        <v>282159018</v>
      </c>
      <c r="O19" s="8">
        <f t="shared" si="5"/>
        <v>281976407.22000003</v>
      </c>
      <c r="P19" s="8">
        <f t="shared" si="5"/>
        <v>284080316.10000002</v>
      </c>
      <c r="Q19" s="8">
        <f t="shared" si="5"/>
        <v>282744151.18000001</v>
      </c>
      <c r="R19" s="8">
        <f t="shared" si="5"/>
        <v>281132650.63</v>
      </c>
      <c r="S19" s="8">
        <f t="shared" si="5"/>
        <v>279566873.20999998</v>
      </c>
      <c r="T19" s="8">
        <f t="shared" si="5"/>
        <v>277968439</v>
      </c>
      <c r="U19" s="8">
        <f t="shared" si="5"/>
        <v>276376551.50999999</v>
      </c>
      <c r="V19" s="8">
        <f t="shared" si="5"/>
        <v>275157123.06999999</v>
      </c>
      <c r="W19" s="8">
        <f t="shared" si="5"/>
        <v>273788655.77999997</v>
      </c>
      <c r="X19" s="8">
        <f t="shared" si="5"/>
        <v>272213202</v>
      </c>
      <c r="Y19" s="8">
        <f t="shared" si="5"/>
        <v>271179741.97000003</v>
      </c>
      <c r="Z19" s="31">
        <f t="shared" si="5"/>
        <v>271179743.13999999</v>
      </c>
      <c r="AA19" s="31">
        <f t="shared" si="5"/>
        <v>269176801.62</v>
      </c>
      <c r="AB19" s="31">
        <f t="shared" si="5"/>
        <v>267211871.32999998</v>
      </c>
      <c r="AC19" s="31">
        <f t="shared" si="5"/>
        <v>265220886.28999999</v>
      </c>
      <c r="AD19" s="31">
        <f t="shared" si="5"/>
        <v>263356030.52000001</v>
      </c>
      <c r="AE19" s="31">
        <f t="shared" si="5"/>
        <v>261375558.66999999</v>
      </c>
      <c r="AF19" s="31">
        <f t="shared" si="5"/>
        <v>259410695.94999999</v>
      </c>
      <c r="AG19" s="31">
        <f t="shared" si="5"/>
        <v>257441419.67000002</v>
      </c>
      <c r="AH19" s="31">
        <f t="shared" si="5"/>
        <v>255810573.33999997</v>
      </c>
      <c r="AI19" s="31">
        <f t="shared" si="5"/>
        <v>255359924.07999998</v>
      </c>
      <c r="AJ19" s="31">
        <f t="shared" si="5"/>
        <v>253690071.56</v>
      </c>
      <c r="AK19" s="31">
        <f t="shared" si="5"/>
        <v>252713605.44999999</v>
      </c>
      <c r="AL19" s="31">
        <f t="shared" si="5"/>
        <v>252016844.49000001</v>
      </c>
      <c r="AM19" s="31">
        <f t="shared" si="5"/>
        <v>252091666</v>
      </c>
    </row>
    <row r="20" spans="1:39">
      <c r="A20" t="s">
        <v>33</v>
      </c>
      <c r="B20" s="7"/>
      <c r="L20" s="16"/>
      <c r="M20" s="16"/>
      <c r="N20" s="26">
        <v>0</v>
      </c>
      <c r="O20" s="26">
        <v>0</v>
      </c>
      <c r="P20" s="26">
        <v>0</v>
      </c>
      <c r="Q20" s="26">
        <v>0</v>
      </c>
      <c r="R20" s="26">
        <v>0</v>
      </c>
      <c r="S20" s="26">
        <v>0</v>
      </c>
      <c r="T20" s="26">
        <v>0</v>
      </c>
      <c r="U20" s="26">
        <v>0</v>
      </c>
      <c r="V20" s="26">
        <v>0</v>
      </c>
      <c r="W20" s="26">
        <v>0</v>
      </c>
      <c r="X20" s="26">
        <v>0</v>
      </c>
      <c r="Y20" s="26">
        <v>0</v>
      </c>
      <c r="Z20" s="32"/>
      <c r="AA20" s="26">
        <v>0</v>
      </c>
      <c r="AB20" s="26">
        <v>0</v>
      </c>
      <c r="AC20" s="26">
        <v>0</v>
      </c>
      <c r="AD20" s="26">
        <v>0</v>
      </c>
      <c r="AE20" s="26">
        <v>0</v>
      </c>
      <c r="AF20" s="26">
        <v>0</v>
      </c>
      <c r="AG20" s="26">
        <v>0</v>
      </c>
      <c r="AH20" s="26">
        <v>0</v>
      </c>
      <c r="AI20" s="26">
        <v>0</v>
      </c>
      <c r="AJ20" s="26">
        <v>0</v>
      </c>
      <c r="AK20" s="26">
        <v>0</v>
      </c>
      <c r="AL20" s="39">
        <v>0</v>
      </c>
    </row>
    <row r="21" spans="1:39">
      <c r="A21" t="s">
        <v>34</v>
      </c>
      <c r="B21" s="12">
        <v>41840593.850000001</v>
      </c>
      <c r="C21" s="12">
        <v>41696081.780000001</v>
      </c>
      <c r="D21" s="12">
        <v>41536086.25</v>
      </c>
      <c r="E21" s="12">
        <v>41381251.909999996</v>
      </c>
      <c r="F21" s="12">
        <v>42142694.229999997</v>
      </c>
      <c r="G21" s="12">
        <v>44074481.630000003</v>
      </c>
      <c r="H21" s="12">
        <v>44796533.909999996</v>
      </c>
      <c r="I21" s="12">
        <v>44718933.119999997</v>
      </c>
      <c r="J21">
        <v>44527594.149999999</v>
      </c>
      <c r="K21">
        <v>44344598.020000003</v>
      </c>
      <c r="L21" s="16">
        <v>44937061.289999999</v>
      </c>
      <c r="M21" s="16">
        <v>44937061</v>
      </c>
      <c r="N21" s="26">
        <v>44748659.450000003</v>
      </c>
      <c r="O21" s="26">
        <v>46318077.149999999</v>
      </c>
      <c r="P21" s="26">
        <v>49763737.75</v>
      </c>
      <c r="Q21" s="26">
        <v>49763690.350000001</v>
      </c>
      <c r="R21" s="26">
        <v>49488500.960000001</v>
      </c>
      <c r="S21" s="26">
        <v>49253740.200000003</v>
      </c>
      <c r="T21" s="26">
        <v>48986510.530000001</v>
      </c>
      <c r="U21" s="26">
        <v>48723353.609999999</v>
      </c>
      <c r="V21" s="26">
        <v>48827834.159999996</v>
      </c>
      <c r="W21" s="26">
        <v>48783455.25</v>
      </c>
      <c r="X21" s="26">
        <v>48527557.630000003</v>
      </c>
      <c r="Y21" s="26">
        <v>48952366.689999998</v>
      </c>
      <c r="Z21" s="32">
        <v>48952367.049999997</v>
      </c>
      <c r="AA21" s="26">
        <v>48688210</v>
      </c>
      <c r="AB21" s="26">
        <v>48453047.450000003</v>
      </c>
      <c r="AC21" s="26">
        <v>48196408.149999999</v>
      </c>
      <c r="AD21" s="26">
        <v>48061600.07</v>
      </c>
      <c r="AE21" s="26">
        <v>47811174.799999997</v>
      </c>
      <c r="AF21" s="26">
        <v>47572334.75</v>
      </c>
      <c r="AG21" s="26">
        <v>47329081.18</v>
      </c>
      <c r="AH21" s="26">
        <v>47422312.460000001</v>
      </c>
      <c r="AI21" s="26">
        <v>48692097.420000002</v>
      </c>
      <c r="AJ21" s="26">
        <v>48742680.740000002</v>
      </c>
      <c r="AK21" s="26">
        <v>49483239.18</v>
      </c>
      <c r="AL21" s="39">
        <v>50524502.850000001</v>
      </c>
      <c r="AM21" s="41">
        <v>50599324</v>
      </c>
    </row>
    <row r="22" spans="1:39">
      <c r="A22" t="s">
        <v>35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>
        <v>0</v>
      </c>
      <c r="K22">
        <v>0</v>
      </c>
      <c r="L22" s="16">
        <v>0</v>
      </c>
      <c r="M22" s="16"/>
      <c r="N22" s="26">
        <v>0</v>
      </c>
      <c r="O22" s="26">
        <v>0</v>
      </c>
      <c r="P22" s="26">
        <v>0</v>
      </c>
      <c r="Q22" s="26">
        <v>0</v>
      </c>
      <c r="R22" s="26">
        <v>0</v>
      </c>
      <c r="S22" s="26">
        <v>0</v>
      </c>
      <c r="T22" s="26">
        <v>0</v>
      </c>
      <c r="U22" s="26">
        <v>0</v>
      </c>
      <c r="V22" s="26">
        <v>0</v>
      </c>
      <c r="W22" s="26">
        <v>0</v>
      </c>
      <c r="X22" s="26">
        <v>0</v>
      </c>
      <c r="Y22" s="26">
        <v>0</v>
      </c>
      <c r="Z22" s="32"/>
      <c r="AA22" s="26">
        <v>0</v>
      </c>
      <c r="AB22" s="26">
        <v>0</v>
      </c>
      <c r="AC22" s="26">
        <v>0</v>
      </c>
      <c r="AD22" s="26">
        <v>0</v>
      </c>
      <c r="AE22" s="26">
        <v>0</v>
      </c>
      <c r="AF22" s="26">
        <v>0</v>
      </c>
      <c r="AG22" s="26">
        <v>0</v>
      </c>
      <c r="AH22" s="26">
        <v>0</v>
      </c>
      <c r="AI22" s="26">
        <v>0</v>
      </c>
      <c r="AJ22" s="26">
        <v>0</v>
      </c>
      <c r="AK22" s="26">
        <v>0</v>
      </c>
      <c r="AL22" s="39">
        <v>0</v>
      </c>
    </row>
    <row r="23" spans="1:39">
      <c r="A23" t="s">
        <v>36</v>
      </c>
      <c r="B23" s="12">
        <v>1527558.64</v>
      </c>
      <c r="C23" s="12">
        <v>1503559.3</v>
      </c>
      <c r="D23" s="12">
        <v>1476988.6</v>
      </c>
      <c r="E23" s="12">
        <v>1451275.02</v>
      </c>
      <c r="F23" s="12">
        <v>3601834.54</v>
      </c>
      <c r="G23" s="12">
        <v>3401709.07</v>
      </c>
      <c r="H23" s="12">
        <v>3924089.74</v>
      </c>
      <c r="I23" s="12">
        <v>3814430.35</v>
      </c>
      <c r="J23">
        <v>3704512.52</v>
      </c>
      <c r="K23">
        <v>3601326.02</v>
      </c>
      <c r="L23" s="16">
        <v>3341045.19</v>
      </c>
      <c r="M23" s="16">
        <v>3341046</v>
      </c>
      <c r="N23" s="26">
        <v>3243692.55</v>
      </c>
      <c r="O23" s="26">
        <v>3158330.07</v>
      </c>
      <c r="P23" s="26">
        <v>3066578.35</v>
      </c>
      <c r="Q23" s="26">
        <v>2980460.83</v>
      </c>
      <c r="R23" s="26">
        <v>2894149.67</v>
      </c>
      <c r="S23" s="26">
        <v>2813133.01</v>
      </c>
      <c r="T23" s="26">
        <v>2731928.47</v>
      </c>
      <c r="U23" s="26">
        <v>2653197.9</v>
      </c>
      <c r="V23" s="26">
        <v>2579288.91</v>
      </c>
      <c r="W23" s="26">
        <v>2505200.5299999998</v>
      </c>
      <c r="X23" s="26">
        <v>2435644.37</v>
      </c>
      <c r="Y23" s="26">
        <v>2227375.2799999998</v>
      </c>
      <c r="Z23" s="32">
        <v>2227376.09</v>
      </c>
      <c r="AA23" s="26">
        <v>2155258.29</v>
      </c>
      <c r="AB23" s="26">
        <v>2092157.21</v>
      </c>
      <c r="AC23" s="26">
        <v>2024478.14</v>
      </c>
      <c r="AD23" s="26">
        <v>1961097.11</v>
      </c>
      <c r="AE23" s="26">
        <v>1897717.2</v>
      </c>
      <c r="AF23" s="26">
        <v>1838361.2</v>
      </c>
      <c r="AG23" s="26">
        <v>1779005.15</v>
      </c>
      <c r="AH23" s="26">
        <v>1721594.21</v>
      </c>
      <c r="AI23" s="26">
        <v>1667826.66</v>
      </c>
      <c r="AJ23" s="26">
        <v>1614057.48</v>
      </c>
      <c r="AK23" s="26">
        <v>1563699.6</v>
      </c>
      <c r="AL23" s="39">
        <v>1492341.64</v>
      </c>
      <c r="AM23" s="41">
        <v>1492342</v>
      </c>
    </row>
    <row r="24" spans="1:39">
      <c r="A24" t="s">
        <v>37</v>
      </c>
      <c r="B24" s="12">
        <v>244166667</v>
      </c>
      <c r="C24" s="12">
        <v>243333334</v>
      </c>
      <c r="D24" s="12">
        <v>242500000</v>
      </c>
      <c r="E24" s="12">
        <v>241666667</v>
      </c>
      <c r="F24" s="12">
        <v>240833334</v>
      </c>
      <c r="G24" s="12">
        <v>240000000</v>
      </c>
      <c r="H24" s="12">
        <v>238333333</v>
      </c>
      <c r="I24" s="12">
        <v>237500000</v>
      </c>
      <c r="J24">
        <v>236666667</v>
      </c>
      <c r="K24">
        <v>235833333</v>
      </c>
      <c r="L24" s="16">
        <v>235000000</v>
      </c>
      <c r="M24" s="16">
        <v>235000000</v>
      </c>
      <c r="N24" s="26">
        <v>234166666</v>
      </c>
      <c r="O24" s="26">
        <v>232500000</v>
      </c>
      <c r="P24" s="26">
        <v>231250000</v>
      </c>
      <c r="Q24" s="26">
        <v>230000000</v>
      </c>
      <c r="R24" s="26">
        <v>228750000</v>
      </c>
      <c r="S24" s="26">
        <v>227500000</v>
      </c>
      <c r="T24" s="26">
        <v>226250000</v>
      </c>
      <c r="U24" s="26">
        <v>225000000</v>
      </c>
      <c r="V24" s="26">
        <v>223750000</v>
      </c>
      <c r="W24" s="26">
        <v>222500000</v>
      </c>
      <c r="X24" s="26">
        <v>221250000</v>
      </c>
      <c r="Y24" s="26">
        <v>220000000</v>
      </c>
      <c r="Z24" s="32">
        <v>220000000</v>
      </c>
      <c r="AA24" s="26">
        <v>218333333.33000001</v>
      </c>
      <c r="AB24" s="26">
        <v>216666666.66999999</v>
      </c>
      <c r="AC24" s="26">
        <v>215000000</v>
      </c>
      <c r="AD24" s="26">
        <v>213333333.34</v>
      </c>
      <c r="AE24" s="26">
        <v>211666666.66999999</v>
      </c>
      <c r="AF24" s="26">
        <v>210000000</v>
      </c>
      <c r="AG24" s="26">
        <v>208333333.34</v>
      </c>
      <c r="AH24" s="26">
        <v>206666666.66999999</v>
      </c>
      <c r="AI24" s="26">
        <v>205000000</v>
      </c>
      <c r="AJ24" s="26">
        <v>203333333.34</v>
      </c>
      <c r="AK24" s="26">
        <v>201666666.66999999</v>
      </c>
      <c r="AL24" s="39">
        <v>200000000</v>
      </c>
      <c r="AM24" s="41">
        <v>200000000</v>
      </c>
    </row>
    <row r="25" spans="1:39">
      <c r="A25" s="1" t="s">
        <v>38</v>
      </c>
      <c r="B25" s="8">
        <f t="shared" ref="B25:AM25" si="6">B19+B15+B12+B7+B6+B3</f>
        <v>726464381.36000013</v>
      </c>
      <c r="C25" s="8">
        <f t="shared" si="6"/>
        <v>728729791.58999991</v>
      </c>
      <c r="D25" s="8">
        <f t="shared" si="6"/>
        <v>709159588.05000007</v>
      </c>
      <c r="E25" s="8">
        <f t="shared" si="6"/>
        <v>727856339.73000002</v>
      </c>
      <c r="F25" s="8">
        <f t="shared" si="6"/>
        <v>738625028.88999999</v>
      </c>
      <c r="G25" s="8">
        <f t="shared" si="6"/>
        <v>749808689.54999995</v>
      </c>
      <c r="H25" s="8"/>
      <c r="I25" s="8">
        <f t="shared" si="6"/>
        <v>776114819.3900001</v>
      </c>
      <c r="J25" s="8">
        <f t="shared" si="6"/>
        <v>791581457.28000021</v>
      </c>
      <c r="K25" s="8">
        <f t="shared" si="6"/>
        <v>798924969.61000013</v>
      </c>
      <c r="L25" s="8">
        <f t="shared" si="6"/>
        <v>807507829.47000003</v>
      </c>
      <c r="M25" s="8">
        <f t="shared" si="6"/>
        <v>877835636</v>
      </c>
      <c r="N25" s="8">
        <f t="shared" si="6"/>
        <v>888841083.84000003</v>
      </c>
      <c r="O25" s="8">
        <f t="shared" si="6"/>
        <v>901384660.3499999</v>
      </c>
      <c r="P25" s="8">
        <f t="shared" si="6"/>
        <v>882185704.67000008</v>
      </c>
      <c r="Q25" s="8">
        <f t="shared" si="6"/>
        <v>899137962.8499999</v>
      </c>
      <c r="R25" s="8">
        <f t="shared" si="6"/>
        <v>903020567.96000004</v>
      </c>
      <c r="S25" s="8">
        <f t="shared" si="6"/>
        <v>904828921.32999992</v>
      </c>
      <c r="T25" s="8">
        <f t="shared" si="6"/>
        <v>946955555.38</v>
      </c>
      <c r="U25" s="8">
        <f t="shared" si="6"/>
        <v>950442167.60000002</v>
      </c>
      <c r="V25" s="8">
        <f t="shared" si="6"/>
        <v>949423411.00999999</v>
      </c>
      <c r="W25" s="8">
        <f t="shared" si="6"/>
        <v>961713628.62000012</v>
      </c>
      <c r="X25" s="8">
        <f t="shared" si="6"/>
        <v>967569819.65999997</v>
      </c>
      <c r="Y25" s="8">
        <f t="shared" si="6"/>
        <v>963121612.81000006</v>
      </c>
      <c r="Z25" s="31">
        <f t="shared" si="6"/>
        <v>963198403.56999993</v>
      </c>
      <c r="AA25" s="31">
        <f t="shared" si="6"/>
        <v>963694852.97000003</v>
      </c>
      <c r="AB25" s="31">
        <f t="shared" si="6"/>
        <v>963478640.46000004</v>
      </c>
      <c r="AC25" s="31">
        <f t="shared" si="6"/>
        <v>954742349.92999995</v>
      </c>
      <c r="AD25" s="31">
        <f t="shared" si="6"/>
        <v>969126034.73000002</v>
      </c>
      <c r="AE25" s="31">
        <f t="shared" si="6"/>
        <v>973767282.63999999</v>
      </c>
      <c r="AF25" s="31">
        <f t="shared" si="6"/>
        <v>983849105.78000009</v>
      </c>
      <c r="AG25" s="31">
        <f t="shared" si="6"/>
        <v>1001815534.8700001</v>
      </c>
      <c r="AH25" s="31">
        <f t="shared" si="6"/>
        <v>1009247641.9299999</v>
      </c>
      <c r="AI25" s="31">
        <f t="shared" si="6"/>
        <v>1008072301.41</v>
      </c>
      <c r="AJ25" s="31">
        <f t="shared" si="6"/>
        <v>1017296692.54</v>
      </c>
      <c r="AK25" s="31">
        <f t="shared" si="6"/>
        <v>1045065619.79</v>
      </c>
      <c r="AL25" s="31">
        <f t="shared" si="6"/>
        <v>1052006930.63</v>
      </c>
      <c r="AM25" s="31">
        <f t="shared" si="6"/>
        <v>1052081752</v>
      </c>
    </row>
    <row r="26" spans="1:39">
      <c r="A26" t="s">
        <v>39</v>
      </c>
      <c r="B26" s="12">
        <v>81530883.989999995</v>
      </c>
      <c r="C26" s="12">
        <v>93872597.980000004</v>
      </c>
      <c r="D26" s="12">
        <v>83775398.700000003</v>
      </c>
      <c r="E26" s="12">
        <v>87436092.900000006</v>
      </c>
      <c r="F26" s="12">
        <v>88635661.659999996</v>
      </c>
      <c r="G26" s="12">
        <v>89228516.75</v>
      </c>
      <c r="H26" s="12">
        <v>87312371.829999998</v>
      </c>
      <c r="I26" s="12">
        <v>83477171.709999993</v>
      </c>
      <c r="J26">
        <v>88674962.459999993</v>
      </c>
      <c r="K26">
        <v>89688719.879999995</v>
      </c>
      <c r="L26" s="16">
        <v>93160861.170000002</v>
      </c>
      <c r="M26" s="16">
        <v>95029651</v>
      </c>
      <c r="N26" s="26">
        <v>96389834.260000005</v>
      </c>
      <c r="O26" s="26">
        <v>123406476.23</v>
      </c>
      <c r="P26" s="26">
        <v>102161563.87</v>
      </c>
      <c r="Q26" s="26">
        <v>104081672.2</v>
      </c>
      <c r="R26" s="26">
        <v>100474567.73</v>
      </c>
      <c r="S26" s="26">
        <v>92236203.329999998</v>
      </c>
      <c r="T26" s="26">
        <v>117850666.97</v>
      </c>
      <c r="U26" s="26">
        <v>112878638.34</v>
      </c>
      <c r="V26" s="26">
        <v>105744726.95999999</v>
      </c>
      <c r="W26" s="26">
        <v>108771516.94</v>
      </c>
      <c r="X26" s="26">
        <v>105656171.56</v>
      </c>
      <c r="Y26" s="26">
        <v>98874479.689999998</v>
      </c>
      <c r="Z26" s="32">
        <v>100937185.30999999</v>
      </c>
      <c r="AA26" s="26">
        <v>96647756.140000001</v>
      </c>
      <c r="AB26" s="26">
        <v>114717066.56999999</v>
      </c>
      <c r="AC26" s="26">
        <v>99730852.310000002</v>
      </c>
      <c r="AD26" s="26">
        <v>103238545.03</v>
      </c>
      <c r="AE26" s="26">
        <v>97776016.010000005</v>
      </c>
      <c r="AF26" s="26">
        <v>92894531.420000002</v>
      </c>
      <c r="AG26" s="26">
        <v>104251339.12</v>
      </c>
      <c r="AH26" s="26">
        <v>101316168.28</v>
      </c>
      <c r="AI26" s="26">
        <v>97873676.719999999</v>
      </c>
      <c r="AJ26" s="26">
        <v>96254635.409999996</v>
      </c>
      <c r="AK26" s="26">
        <v>112566855.93000001</v>
      </c>
      <c r="AL26" s="39">
        <v>107367535.91</v>
      </c>
      <c r="AM26" s="42">
        <v>17246892</v>
      </c>
    </row>
    <row r="27" spans="1:39">
      <c r="A27" t="s">
        <v>40</v>
      </c>
      <c r="B27" s="12">
        <v>9377402.3399999999</v>
      </c>
      <c r="C27" s="12">
        <v>9629856.7100000009</v>
      </c>
      <c r="D27" s="12">
        <v>10135035.24</v>
      </c>
      <c r="E27" s="12">
        <v>10769136.25</v>
      </c>
      <c r="F27" s="12">
        <v>13449938.58</v>
      </c>
      <c r="G27" s="12">
        <v>13606868.41</v>
      </c>
      <c r="H27" s="12">
        <v>11956237.6</v>
      </c>
      <c r="I27" s="12">
        <v>12344391.369999999</v>
      </c>
      <c r="J27">
        <v>13575690.550000001</v>
      </c>
      <c r="K27">
        <v>11822776.550000001</v>
      </c>
      <c r="L27" s="16">
        <v>10349990.08</v>
      </c>
      <c r="M27" s="16">
        <v>8481200</v>
      </c>
      <c r="N27" s="26">
        <v>12107431.529999999</v>
      </c>
      <c r="O27" s="26">
        <v>13840461.529999999</v>
      </c>
      <c r="P27" s="26">
        <v>14520918.060000001</v>
      </c>
      <c r="Q27" s="26">
        <v>13592882.73</v>
      </c>
      <c r="R27" s="26">
        <v>13520756.73</v>
      </c>
      <c r="S27" s="26">
        <v>17179200.73</v>
      </c>
      <c r="T27" s="26">
        <v>21926408.48</v>
      </c>
      <c r="U27" s="26">
        <v>22224584.379999999</v>
      </c>
      <c r="V27" s="26">
        <v>21422594</v>
      </c>
      <c r="W27" s="26">
        <v>22145564.18</v>
      </c>
      <c r="X27" s="26">
        <v>24208468.18</v>
      </c>
      <c r="Y27" s="26">
        <v>21512928.800000001</v>
      </c>
      <c r="Z27" s="32">
        <v>19450223.18</v>
      </c>
      <c r="AA27" s="26">
        <v>19331073.550000001</v>
      </c>
      <c r="AB27" s="26">
        <v>20621027.550000001</v>
      </c>
      <c r="AC27" s="26">
        <v>20604955.300000001</v>
      </c>
      <c r="AD27" s="26">
        <v>19655601.75</v>
      </c>
      <c r="AE27" s="26">
        <v>19282509.890000001</v>
      </c>
      <c r="AF27" s="26">
        <v>18469531.02</v>
      </c>
      <c r="AG27" s="26">
        <v>18067308.66</v>
      </c>
      <c r="AH27" s="26">
        <v>18868950.449999999</v>
      </c>
      <c r="AI27" s="26">
        <v>20056192.379999999</v>
      </c>
      <c r="AJ27" s="26">
        <v>20140449.940000001</v>
      </c>
      <c r="AK27" s="26">
        <v>19836553.379999999</v>
      </c>
      <c r="AL27" s="39">
        <v>19936566.32</v>
      </c>
      <c r="AM27" s="42">
        <v>110057210</v>
      </c>
    </row>
    <row r="28" spans="1:39">
      <c r="A28" t="s">
        <v>41</v>
      </c>
      <c r="B28" s="12">
        <v>393924349.23000002</v>
      </c>
      <c r="C28" s="12">
        <v>397670283.92000002</v>
      </c>
      <c r="D28" s="12">
        <v>401552847.29000002</v>
      </c>
      <c r="E28" s="12">
        <v>404779275</v>
      </c>
      <c r="F28" s="12">
        <v>408254884.92000002</v>
      </c>
      <c r="G28" s="12">
        <v>412133958.25999999</v>
      </c>
      <c r="H28" s="12">
        <v>422454547.11000001</v>
      </c>
      <c r="I28" s="12">
        <v>425198459.10000002</v>
      </c>
      <c r="J28">
        <v>429137794.75</v>
      </c>
      <c r="K28">
        <v>432528919.45999998</v>
      </c>
      <c r="L28" s="16">
        <v>433128823.86000001</v>
      </c>
      <c r="M28" s="16">
        <v>433128824</v>
      </c>
      <c r="N28" s="26">
        <v>435990729.52999997</v>
      </c>
      <c r="O28" s="26">
        <v>438963498.23000002</v>
      </c>
      <c r="P28" s="26">
        <v>441031502.07999998</v>
      </c>
      <c r="Q28" s="26">
        <v>444004505.52999997</v>
      </c>
      <c r="R28" s="26">
        <v>447014793.97000003</v>
      </c>
      <c r="S28" s="26">
        <v>450173338.38999999</v>
      </c>
      <c r="T28" s="26">
        <v>454696113.63</v>
      </c>
      <c r="U28" s="26">
        <v>459341679</v>
      </c>
      <c r="V28" s="26">
        <v>463157460.38999999</v>
      </c>
      <c r="W28" s="26">
        <v>467194926.56</v>
      </c>
      <c r="X28" s="26">
        <v>470512410.04000002</v>
      </c>
      <c r="Y28" s="26">
        <v>463998127.55000001</v>
      </c>
      <c r="Z28" s="32">
        <v>463998127.55000001</v>
      </c>
      <c r="AA28" s="26">
        <v>468481283.47000003</v>
      </c>
      <c r="AB28" s="26">
        <v>473060483.10000002</v>
      </c>
      <c r="AC28" s="26">
        <v>478137771.54000002</v>
      </c>
      <c r="AD28" s="26">
        <v>483984837.67000002</v>
      </c>
      <c r="AE28" s="26">
        <v>489376142.44</v>
      </c>
      <c r="AF28" s="26">
        <v>494044417.95999998</v>
      </c>
      <c r="AG28" s="26">
        <v>497257054.44</v>
      </c>
      <c r="AH28" s="26">
        <v>500833207.57999998</v>
      </c>
      <c r="AI28" s="26">
        <v>498023349.63</v>
      </c>
      <c r="AJ28" s="26">
        <v>501605820.88999999</v>
      </c>
      <c r="AK28" s="26">
        <v>504566358.26999998</v>
      </c>
      <c r="AL28" s="39">
        <v>493594586.02999997</v>
      </c>
      <c r="AM28" s="41">
        <v>493594586</v>
      </c>
    </row>
    <row r="29" spans="1:39">
      <c r="A29" s="1" t="s">
        <v>42</v>
      </c>
      <c r="B29" s="8">
        <f t="shared" ref="B29:AM29" si="7">SUM(B26:B28)</f>
        <v>484832635.56</v>
      </c>
      <c r="C29" s="8">
        <f t="shared" si="7"/>
        <v>501172738.61000001</v>
      </c>
      <c r="D29" s="8">
        <f t="shared" si="7"/>
        <v>495463281.23000002</v>
      </c>
      <c r="E29" s="8">
        <f t="shared" si="7"/>
        <v>502984504.14999998</v>
      </c>
      <c r="F29" s="8">
        <f t="shared" si="7"/>
        <v>510340485.16000003</v>
      </c>
      <c r="G29" s="8">
        <f t="shared" si="7"/>
        <v>514969343.41999996</v>
      </c>
      <c r="H29" s="8"/>
      <c r="I29" s="8">
        <f t="shared" si="7"/>
        <v>521020022.18000001</v>
      </c>
      <c r="J29" s="8">
        <f t="shared" si="7"/>
        <v>531388447.75999999</v>
      </c>
      <c r="K29" s="8">
        <f t="shared" si="7"/>
        <v>534040415.88999999</v>
      </c>
      <c r="L29" s="8">
        <f t="shared" si="7"/>
        <v>536639675.11000001</v>
      </c>
      <c r="M29" s="8">
        <f t="shared" si="7"/>
        <v>536639675</v>
      </c>
      <c r="N29" s="8">
        <f t="shared" si="7"/>
        <v>544487995.31999993</v>
      </c>
      <c r="O29" s="8">
        <f t="shared" si="7"/>
        <v>576210435.99000001</v>
      </c>
      <c r="P29" s="8">
        <f t="shared" si="7"/>
        <v>557713984.00999999</v>
      </c>
      <c r="Q29" s="8">
        <f t="shared" si="7"/>
        <v>561679060.46000004</v>
      </c>
      <c r="R29" s="8">
        <f t="shared" si="7"/>
        <v>561010118.43000007</v>
      </c>
      <c r="S29" s="8">
        <f t="shared" si="7"/>
        <v>559588742.45000005</v>
      </c>
      <c r="T29" s="8">
        <f t="shared" si="7"/>
        <v>594473189.07999992</v>
      </c>
      <c r="U29" s="8">
        <f t="shared" si="7"/>
        <v>594444901.72000003</v>
      </c>
      <c r="V29" s="8">
        <f t="shared" si="7"/>
        <v>590324781.35000002</v>
      </c>
      <c r="W29" s="8">
        <f t="shared" si="7"/>
        <v>598112007.68000007</v>
      </c>
      <c r="X29" s="8">
        <f t="shared" si="7"/>
        <v>600377049.77999997</v>
      </c>
      <c r="Y29" s="8">
        <f t="shared" si="7"/>
        <v>584385536.03999996</v>
      </c>
      <c r="Z29" s="31">
        <f t="shared" si="7"/>
        <v>584385536.03999996</v>
      </c>
      <c r="AA29" s="31">
        <f t="shared" si="7"/>
        <v>584460113.16000009</v>
      </c>
      <c r="AB29" s="31">
        <f t="shared" si="7"/>
        <v>608398577.22000003</v>
      </c>
      <c r="AC29" s="31">
        <f t="shared" si="7"/>
        <v>598473579.14999998</v>
      </c>
      <c r="AD29" s="31">
        <f t="shared" si="7"/>
        <v>606878984.45000005</v>
      </c>
      <c r="AE29" s="31">
        <f t="shared" si="7"/>
        <v>606434668.34000003</v>
      </c>
      <c r="AF29" s="31">
        <f t="shared" si="7"/>
        <v>605408480.39999998</v>
      </c>
      <c r="AG29" s="31">
        <f t="shared" si="7"/>
        <v>619575702.22000003</v>
      </c>
      <c r="AH29" s="31">
        <f t="shared" si="7"/>
        <v>621018326.30999994</v>
      </c>
      <c r="AI29" s="31">
        <f t="shared" si="7"/>
        <v>615953218.73000002</v>
      </c>
      <c r="AJ29" s="31">
        <f t="shared" si="7"/>
        <v>618000906.24000001</v>
      </c>
      <c r="AK29" s="31">
        <f t="shared" si="7"/>
        <v>636969767.57999992</v>
      </c>
      <c r="AL29" s="31">
        <f t="shared" si="7"/>
        <v>620898688.25999999</v>
      </c>
      <c r="AM29" s="31">
        <f t="shared" si="7"/>
        <v>620898688</v>
      </c>
    </row>
    <row r="30" spans="1:39">
      <c r="A30" t="s">
        <v>43</v>
      </c>
      <c r="B30" s="7"/>
      <c r="L30" s="16"/>
      <c r="M30" s="16">
        <v>156662</v>
      </c>
      <c r="N30" s="26">
        <v>-100000</v>
      </c>
      <c r="O30" s="26">
        <v>156662</v>
      </c>
      <c r="P30" s="26">
        <v>0</v>
      </c>
      <c r="Q30" s="26">
        <v>-50000</v>
      </c>
      <c r="R30" s="26">
        <v>-50000</v>
      </c>
      <c r="S30" s="26">
        <v>-100000</v>
      </c>
      <c r="T30" s="26">
        <v>-100000</v>
      </c>
      <c r="U30" s="26">
        <v>-100000</v>
      </c>
      <c r="V30" s="26">
        <v>-150000</v>
      </c>
      <c r="W30" s="26">
        <v>-150000</v>
      </c>
      <c r="X30" s="26">
        <v>-150000</v>
      </c>
      <c r="Y30" s="26">
        <v>-200000</v>
      </c>
      <c r="Z30" s="32">
        <v>508264</v>
      </c>
      <c r="AA30" s="26">
        <v>-200000</v>
      </c>
      <c r="AB30" s="26">
        <v>508264</v>
      </c>
      <c r="AC30" s="26">
        <v>0</v>
      </c>
      <c r="AD30" s="26">
        <v>-80000</v>
      </c>
      <c r="AE30" s="26">
        <v>-80000</v>
      </c>
      <c r="AF30" s="26">
        <v>-160000</v>
      </c>
      <c r="AG30" s="26">
        <v>-160000</v>
      </c>
      <c r="AH30" s="26">
        <v>-160000</v>
      </c>
      <c r="AI30" s="26">
        <v>-240000</v>
      </c>
      <c r="AJ30" s="26">
        <v>-247469</v>
      </c>
      <c r="AK30" s="26">
        <v>-247469</v>
      </c>
      <c r="AL30" s="39">
        <v>-349550</v>
      </c>
      <c r="AM30" s="42">
        <v>438611</v>
      </c>
    </row>
    <row r="31" spans="1:39">
      <c r="A31" t="s">
        <v>44</v>
      </c>
      <c r="B31" s="12">
        <v>268427</v>
      </c>
      <c r="C31" s="12">
        <v>1244192.8400000001</v>
      </c>
      <c r="D31" s="12">
        <v>574364.99</v>
      </c>
      <c r="E31" s="12">
        <v>574364.99</v>
      </c>
      <c r="F31" s="12">
        <v>574364.99</v>
      </c>
      <c r="G31" s="12">
        <v>574364.99</v>
      </c>
      <c r="H31" s="12">
        <v>566473.99</v>
      </c>
      <c r="I31" s="12">
        <v>566473.99</v>
      </c>
      <c r="J31">
        <v>566473.99</v>
      </c>
      <c r="K31">
        <v>566473.99</v>
      </c>
      <c r="L31" s="16">
        <v>566473.99</v>
      </c>
      <c r="M31" s="16">
        <v>16000000</v>
      </c>
      <c r="N31" s="26">
        <v>566473.99</v>
      </c>
      <c r="O31" s="26">
        <v>566473.99</v>
      </c>
      <c r="P31" s="26">
        <v>565873.99</v>
      </c>
      <c r="Q31" s="26">
        <v>565873.99</v>
      </c>
      <c r="R31" s="26">
        <v>565873.99</v>
      </c>
      <c r="S31" s="26">
        <v>132095.99</v>
      </c>
      <c r="T31" s="26">
        <v>128447.99</v>
      </c>
      <c r="U31" s="26">
        <v>128447.99</v>
      </c>
      <c r="V31" s="26">
        <v>0</v>
      </c>
      <c r="W31" s="26">
        <v>0</v>
      </c>
      <c r="X31" s="26">
        <v>0</v>
      </c>
      <c r="Y31" s="26">
        <v>0</v>
      </c>
      <c r="Z31" s="32">
        <v>18775154.100000001</v>
      </c>
      <c r="AA31" s="26">
        <v>0</v>
      </c>
      <c r="AB31" s="26">
        <v>0</v>
      </c>
      <c r="AC31" s="26">
        <v>0</v>
      </c>
      <c r="AD31" s="26">
        <v>0</v>
      </c>
      <c r="AE31" s="26">
        <v>0</v>
      </c>
      <c r="AF31" s="26">
        <v>0</v>
      </c>
      <c r="AG31" s="26">
        <v>0</v>
      </c>
      <c r="AH31" s="26">
        <v>0</v>
      </c>
      <c r="AI31" s="26">
        <v>0</v>
      </c>
      <c r="AJ31" s="26">
        <v>0</v>
      </c>
      <c r="AK31" s="26">
        <v>0</v>
      </c>
      <c r="AL31" s="39">
        <v>0</v>
      </c>
      <c r="AM31" s="42"/>
    </row>
    <row r="32" spans="1:39">
      <c r="A32" t="s">
        <v>45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>
        <v>0</v>
      </c>
      <c r="K32">
        <v>0</v>
      </c>
      <c r="L32" s="16">
        <v>0</v>
      </c>
      <c r="M32" s="16"/>
      <c r="N32" s="26">
        <v>0</v>
      </c>
      <c r="O32" s="26">
        <v>0</v>
      </c>
      <c r="P32" s="26">
        <v>0</v>
      </c>
      <c r="Q32" s="26">
        <v>0</v>
      </c>
      <c r="R32" s="26">
        <v>0</v>
      </c>
      <c r="S32" s="26">
        <v>0</v>
      </c>
      <c r="T32" s="26">
        <v>0</v>
      </c>
      <c r="U32" s="26">
        <v>0</v>
      </c>
      <c r="V32" s="26">
        <v>0</v>
      </c>
      <c r="W32" s="26">
        <v>0</v>
      </c>
      <c r="X32" s="26">
        <v>0</v>
      </c>
      <c r="Y32" s="26">
        <v>0</v>
      </c>
      <c r="Z32" s="32"/>
      <c r="AA32" s="26">
        <v>0</v>
      </c>
      <c r="AB32" s="26">
        <v>0</v>
      </c>
      <c r="AC32" s="26">
        <v>0</v>
      </c>
      <c r="AD32" s="26">
        <v>0</v>
      </c>
      <c r="AE32" s="26">
        <v>0</v>
      </c>
      <c r="AF32" s="26">
        <v>0</v>
      </c>
      <c r="AG32" s="26">
        <v>0</v>
      </c>
      <c r="AH32" s="26">
        <v>0</v>
      </c>
      <c r="AI32" s="26">
        <v>0</v>
      </c>
      <c r="AJ32" s="26">
        <v>0</v>
      </c>
      <c r="AK32" s="26">
        <v>0</v>
      </c>
      <c r="AL32" s="39">
        <v>0</v>
      </c>
    </row>
    <row r="33" spans="1:39">
      <c r="A33" t="s">
        <v>46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>
        <v>0</v>
      </c>
      <c r="K33">
        <v>0</v>
      </c>
      <c r="L33" s="16">
        <v>0</v>
      </c>
      <c r="M33" s="16"/>
      <c r="N33" s="26">
        <v>0</v>
      </c>
      <c r="O33" s="26">
        <v>0</v>
      </c>
      <c r="P33" s="26">
        <v>0</v>
      </c>
      <c r="Q33" s="26">
        <v>0</v>
      </c>
      <c r="R33" s="26">
        <v>0</v>
      </c>
      <c r="S33" s="26">
        <v>0</v>
      </c>
      <c r="T33" s="26">
        <v>0</v>
      </c>
      <c r="U33" s="26">
        <v>0</v>
      </c>
      <c r="V33" s="26">
        <v>0</v>
      </c>
      <c r="W33" s="26">
        <v>0</v>
      </c>
      <c r="X33" s="26">
        <v>0</v>
      </c>
      <c r="Y33" s="26">
        <v>0</v>
      </c>
      <c r="Z33" s="32"/>
      <c r="AA33" s="26">
        <v>0</v>
      </c>
      <c r="AB33" s="26">
        <v>0</v>
      </c>
      <c r="AC33" s="26">
        <v>0</v>
      </c>
      <c r="AD33" s="26">
        <v>0</v>
      </c>
      <c r="AE33" s="26">
        <v>0</v>
      </c>
      <c r="AF33" s="26">
        <v>0</v>
      </c>
      <c r="AG33" s="26">
        <v>0</v>
      </c>
      <c r="AH33" s="26">
        <v>0</v>
      </c>
      <c r="AI33" s="26">
        <v>0</v>
      </c>
      <c r="AJ33" s="26">
        <v>0</v>
      </c>
      <c r="AK33" s="26">
        <v>0</v>
      </c>
      <c r="AL33" s="39">
        <v>0</v>
      </c>
    </row>
    <row r="34" spans="1:39">
      <c r="A34" t="s">
        <v>47</v>
      </c>
      <c r="B34" s="12">
        <v>11859345.949999999</v>
      </c>
      <c r="C34" s="12">
        <v>14728862.050000001</v>
      </c>
      <c r="D34" s="12">
        <v>15800224.939999999</v>
      </c>
      <c r="E34" s="12">
        <v>17827190.84</v>
      </c>
      <c r="F34" s="12">
        <v>19849600.52</v>
      </c>
      <c r="G34" s="12">
        <v>23566527.120000001</v>
      </c>
      <c r="H34" s="12">
        <v>26273019.59</v>
      </c>
      <c r="I34" s="12">
        <v>26797820</v>
      </c>
      <c r="J34">
        <v>28701815.09</v>
      </c>
      <c r="K34">
        <v>31261141.239999998</v>
      </c>
      <c r="L34" s="16">
        <v>36424268.609999999</v>
      </c>
      <c r="M34" s="16">
        <v>20990742</v>
      </c>
      <c r="N34" s="26">
        <v>39319062.450000003</v>
      </c>
      <c r="O34" s="26">
        <v>24066075.449999999</v>
      </c>
      <c r="P34" s="26">
        <v>22603809.039999999</v>
      </c>
      <c r="Q34" s="26">
        <v>24756951.440000001</v>
      </c>
      <c r="R34" s="26">
        <v>27207148.640000001</v>
      </c>
      <c r="S34" s="26">
        <v>28165059.309999999</v>
      </c>
      <c r="T34" s="26">
        <v>32122134.469999999</v>
      </c>
      <c r="U34" s="26">
        <v>33966450.979999997</v>
      </c>
      <c r="V34" s="26">
        <v>36232697.030000001</v>
      </c>
      <c r="W34" s="26">
        <v>38600527.960000001</v>
      </c>
      <c r="X34" s="26">
        <v>40587413.32</v>
      </c>
      <c r="Y34" s="26">
        <v>40098415.270000003</v>
      </c>
      <c r="Z34" s="32">
        <v>22854591.169999998</v>
      </c>
      <c r="AA34" s="26">
        <v>44515666.969999999</v>
      </c>
      <c r="AB34" s="26">
        <v>26116413.949999999</v>
      </c>
      <c r="AC34" s="26">
        <v>23589375.039999999</v>
      </c>
      <c r="AD34" s="26">
        <v>26786015.18</v>
      </c>
      <c r="AE34" s="26">
        <v>31026421.34</v>
      </c>
      <c r="AF34" s="26">
        <v>34283099.079999998</v>
      </c>
      <c r="AG34" s="26">
        <v>35837224.920000002</v>
      </c>
      <c r="AH34" s="26">
        <v>38480417.619999997</v>
      </c>
      <c r="AI34" s="26">
        <v>40914223.579999998</v>
      </c>
      <c r="AJ34" s="26">
        <v>47061622.490000002</v>
      </c>
      <c r="AK34" s="26">
        <v>51138511.270000003</v>
      </c>
      <c r="AL34" s="39">
        <v>54599603.939999998</v>
      </c>
      <c r="AM34" s="41">
        <v>22329916</v>
      </c>
    </row>
    <row r="35" spans="1:39">
      <c r="A35" t="s">
        <v>48</v>
      </c>
      <c r="B35" s="12">
        <v>41250000</v>
      </c>
      <c r="C35" s="12">
        <v>40000000</v>
      </c>
      <c r="D35" s="12">
        <v>38750000</v>
      </c>
      <c r="E35" s="12">
        <v>37500000</v>
      </c>
      <c r="F35" s="12">
        <v>36250000</v>
      </c>
      <c r="G35" s="12">
        <v>35000000</v>
      </c>
      <c r="H35" s="12">
        <v>32500000</v>
      </c>
      <c r="I35" s="12">
        <v>31250000</v>
      </c>
      <c r="J35">
        <v>30000000</v>
      </c>
      <c r="K35">
        <v>28750000</v>
      </c>
      <c r="L35" s="16">
        <v>27500000</v>
      </c>
      <c r="M35" s="16">
        <v>27500000</v>
      </c>
      <c r="N35" s="26">
        <v>26250000</v>
      </c>
      <c r="O35" s="26">
        <v>25000000</v>
      </c>
      <c r="P35" s="26">
        <v>23750000</v>
      </c>
      <c r="Q35" s="26">
        <v>22500000</v>
      </c>
      <c r="R35" s="26">
        <v>21250000</v>
      </c>
      <c r="S35" s="26">
        <v>20000000</v>
      </c>
      <c r="T35" s="26">
        <v>18750000</v>
      </c>
      <c r="U35" s="26">
        <v>17500000</v>
      </c>
      <c r="V35" s="26">
        <v>16250000</v>
      </c>
      <c r="W35" s="26">
        <v>15000000</v>
      </c>
      <c r="X35" s="26">
        <v>13750000</v>
      </c>
      <c r="Y35" s="26">
        <v>12500000</v>
      </c>
      <c r="Z35" s="32">
        <v>12500000</v>
      </c>
      <c r="AA35" s="26">
        <v>11250000</v>
      </c>
      <c r="AB35" s="26">
        <v>10000000</v>
      </c>
      <c r="AC35" s="26">
        <v>8750000</v>
      </c>
      <c r="AD35" s="26">
        <v>7500000</v>
      </c>
      <c r="AE35" s="26">
        <v>6250000</v>
      </c>
      <c r="AF35" s="26">
        <v>5000000</v>
      </c>
      <c r="AG35" s="26">
        <v>3750000</v>
      </c>
      <c r="AH35" s="26">
        <v>2500000</v>
      </c>
      <c r="AI35" s="26">
        <v>1250000</v>
      </c>
      <c r="AJ35" s="26">
        <v>0</v>
      </c>
      <c r="AK35" s="26">
        <v>0</v>
      </c>
      <c r="AL35" s="39">
        <v>0</v>
      </c>
      <c r="AM35" s="41">
        <v>32269688</v>
      </c>
    </row>
    <row r="36" spans="1:39">
      <c r="A36" s="1" t="s">
        <v>49</v>
      </c>
      <c r="B36" s="8">
        <f t="shared" ref="B36:AM36" si="8">SUM(B29:B35)</f>
        <v>538210408.50999999</v>
      </c>
      <c r="C36" s="8">
        <f t="shared" si="8"/>
        <v>557145793.5</v>
      </c>
      <c r="D36" s="8">
        <f t="shared" si="8"/>
        <v>550587871.16000009</v>
      </c>
      <c r="E36" s="8">
        <f t="shared" si="8"/>
        <v>558886059.98000002</v>
      </c>
      <c r="F36" s="8">
        <f t="shared" si="8"/>
        <v>567014450.67000008</v>
      </c>
      <c r="G36" s="8">
        <f t="shared" si="8"/>
        <v>574110235.52999997</v>
      </c>
      <c r="H36" s="8"/>
      <c r="I36" s="8">
        <f t="shared" si="8"/>
        <v>579634316.17000008</v>
      </c>
      <c r="J36" s="8">
        <f t="shared" si="8"/>
        <v>590656736.84000003</v>
      </c>
      <c r="K36" s="8">
        <f t="shared" si="8"/>
        <v>594618031.12</v>
      </c>
      <c r="L36" s="8">
        <f t="shared" si="8"/>
        <v>601130417.71000004</v>
      </c>
      <c r="M36" s="8">
        <f t="shared" si="8"/>
        <v>601287079</v>
      </c>
      <c r="N36" s="8">
        <f t="shared" si="8"/>
        <v>610523531.75999999</v>
      </c>
      <c r="O36" s="8">
        <f t="shared" si="8"/>
        <v>625999647.43000007</v>
      </c>
      <c r="P36" s="8">
        <f t="shared" si="8"/>
        <v>604633667.03999996</v>
      </c>
      <c r="Q36" s="8">
        <f t="shared" si="8"/>
        <v>609451885.8900001</v>
      </c>
      <c r="R36" s="8">
        <f t="shared" si="8"/>
        <v>609983141.06000006</v>
      </c>
      <c r="S36" s="8">
        <f t="shared" si="8"/>
        <v>607785897.75</v>
      </c>
      <c r="T36" s="8">
        <f t="shared" si="8"/>
        <v>645373771.53999996</v>
      </c>
      <c r="U36" s="8">
        <f t="shared" si="8"/>
        <v>645939800.69000006</v>
      </c>
      <c r="V36" s="8">
        <f t="shared" si="8"/>
        <v>642657478.38</v>
      </c>
      <c r="W36" s="8">
        <f t="shared" si="8"/>
        <v>651562535.6400001</v>
      </c>
      <c r="X36" s="8">
        <f t="shared" si="8"/>
        <v>654564463.10000002</v>
      </c>
      <c r="Y36" s="8">
        <f t="shared" si="8"/>
        <v>636783951.30999994</v>
      </c>
      <c r="Z36" s="31">
        <f t="shared" si="8"/>
        <v>639023545.30999994</v>
      </c>
      <c r="AA36" s="31">
        <f t="shared" si="8"/>
        <v>640025780.13000011</v>
      </c>
      <c r="AB36" s="31">
        <f t="shared" si="8"/>
        <v>645023255.17000008</v>
      </c>
      <c r="AC36" s="31">
        <f t="shared" si="8"/>
        <v>630812954.18999994</v>
      </c>
      <c r="AD36" s="31">
        <f t="shared" si="8"/>
        <v>641084999.63</v>
      </c>
      <c r="AE36" s="31">
        <f t="shared" si="8"/>
        <v>643631089.68000007</v>
      </c>
      <c r="AF36" s="31">
        <f t="shared" si="8"/>
        <v>644531579.48000002</v>
      </c>
      <c r="AG36" s="31">
        <f t="shared" si="8"/>
        <v>659002927.13999999</v>
      </c>
      <c r="AH36" s="31">
        <f t="shared" si="8"/>
        <v>661838743.92999995</v>
      </c>
      <c r="AI36" s="31">
        <f t="shared" si="8"/>
        <v>657877442.31000006</v>
      </c>
      <c r="AJ36" s="31">
        <f t="shared" si="8"/>
        <v>664815059.73000002</v>
      </c>
      <c r="AK36" s="31">
        <f t="shared" si="8"/>
        <v>687860809.8499999</v>
      </c>
      <c r="AL36" s="31">
        <f t="shared" si="8"/>
        <v>675148742.20000005</v>
      </c>
      <c r="AM36" s="31">
        <f t="shared" si="8"/>
        <v>675936903</v>
      </c>
    </row>
    <row r="37" spans="1:39">
      <c r="A37" t="s">
        <v>50</v>
      </c>
      <c r="B37" s="12">
        <v>40255131.280000001</v>
      </c>
      <c r="C37" s="12">
        <v>40259131.280000001</v>
      </c>
      <c r="D37" s="12">
        <v>40269131.280000001</v>
      </c>
      <c r="E37" s="12">
        <v>40278631.280000001</v>
      </c>
      <c r="F37" s="12">
        <v>40278631.280000001</v>
      </c>
      <c r="G37" s="12">
        <v>40348613.119999997</v>
      </c>
      <c r="H37" s="12">
        <v>40405113.119999997</v>
      </c>
      <c r="I37" s="12">
        <v>40415613.119999997</v>
      </c>
      <c r="J37">
        <v>40424113.119999997</v>
      </c>
      <c r="K37">
        <v>40438613.119999997</v>
      </c>
      <c r="L37" s="16">
        <v>43405773.32</v>
      </c>
      <c r="M37" s="16">
        <v>43405773</v>
      </c>
      <c r="N37" s="26">
        <v>43417973.32</v>
      </c>
      <c r="O37" s="26">
        <v>43441473.32</v>
      </c>
      <c r="P37" s="26">
        <v>43823016.539999999</v>
      </c>
      <c r="Q37" s="26">
        <v>43848016.539999999</v>
      </c>
      <c r="R37" s="26">
        <v>43862016.539999999</v>
      </c>
      <c r="S37" s="26">
        <v>43870016.539999999</v>
      </c>
      <c r="T37" s="26">
        <v>43908069.659999996</v>
      </c>
      <c r="U37" s="26">
        <v>44156219.659999996</v>
      </c>
      <c r="V37" s="26">
        <v>44535219.659999996</v>
      </c>
      <c r="W37" s="26">
        <v>44920599.659999996</v>
      </c>
      <c r="X37" s="26">
        <v>45864869.659999996</v>
      </c>
      <c r="Y37" s="26">
        <v>56958594.009999998</v>
      </c>
      <c r="Z37" s="32">
        <v>56958594.009999998</v>
      </c>
      <c r="AA37" s="26">
        <v>57195994.009999998</v>
      </c>
      <c r="AB37" s="26">
        <v>59056295.189999998</v>
      </c>
      <c r="AC37" s="26">
        <v>61768521.18</v>
      </c>
      <c r="AD37" s="26">
        <v>61868359.689999998</v>
      </c>
      <c r="AE37" s="26">
        <v>61948363.75</v>
      </c>
      <c r="AF37" s="26">
        <v>62193867.770000003</v>
      </c>
      <c r="AG37" s="26">
        <v>62430371.770000003</v>
      </c>
      <c r="AH37" s="26">
        <v>62683057.380000003</v>
      </c>
      <c r="AI37" s="26">
        <v>63112257.380000003</v>
      </c>
      <c r="AJ37" s="26">
        <v>63249183.649999999</v>
      </c>
      <c r="AK37" s="26">
        <v>63453083.649999999</v>
      </c>
      <c r="AL37" s="39">
        <v>77650776.489999995</v>
      </c>
      <c r="AM37" s="41">
        <v>77650776</v>
      </c>
    </row>
    <row r="38" spans="1:39">
      <c r="A38" t="s">
        <v>51</v>
      </c>
      <c r="B38" s="7"/>
      <c r="L38" s="16"/>
      <c r="M38" s="16"/>
      <c r="N38" s="26">
        <v>0</v>
      </c>
      <c r="O38" s="26">
        <v>0</v>
      </c>
      <c r="P38" s="26">
        <v>0</v>
      </c>
      <c r="Q38" s="26">
        <v>0</v>
      </c>
      <c r="R38" s="26">
        <v>0</v>
      </c>
      <c r="S38" s="26">
        <v>0</v>
      </c>
      <c r="T38" s="26">
        <v>0</v>
      </c>
      <c r="U38" s="26">
        <v>0</v>
      </c>
      <c r="V38" s="26">
        <v>0</v>
      </c>
      <c r="W38" s="26">
        <v>0</v>
      </c>
      <c r="X38" s="26">
        <v>0</v>
      </c>
      <c r="Y38" s="26">
        <v>0</v>
      </c>
      <c r="Z38" s="32"/>
      <c r="AA38" s="26">
        <v>0</v>
      </c>
      <c r="AB38" s="26">
        <v>0</v>
      </c>
      <c r="AC38" s="26">
        <v>0</v>
      </c>
      <c r="AD38" s="26">
        <v>0</v>
      </c>
      <c r="AE38" s="26">
        <v>0</v>
      </c>
      <c r="AF38" s="26">
        <v>0</v>
      </c>
      <c r="AG38" s="26">
        <v>0</v>
      </c>
      <c r="AH38" s="26">
        <v>0</v>
      </c>
      <c r="AI38" s="26">
        <v>0</v>
      </c>
      <c r="AJ38" s="26">
        <v>0</v>
      </c>
      <c r="AK38" s="26">
        <v>0</v>
      </c>
      <c r="AL38" s="39">
        <v>0</v>
      </c>
    </row>
    <row r="39" spans="1:39">
      <c r="A39" t="s">
        <v>52</v>
      </c>
      <c r="B39" s="12">
        <v>62168209</v>
      </c>
      <c r="C39" s="12">
        <v>79949462</v>
      </c>
      <c r="D39" s="12">
        <v>79429462</v>
      </c>
      <c r="E39" s="12">
        <v>79429462</v>
      </c>
      <c r="F39" s="12">
        <v>79429462</v>
      </c>
      <c r="G39" s="12">
        <v>79429462</v>
      </c>
      <c r="H39" s="12">
        <v>79429462</v>
      </c>
      <c r="I39" s="12">
        <v>79429462</v>
      </c>
      <c r="J39">
        <v>79429462</v>
      </c>
      <c r="K39">
        <v>79429462</v>
      </c>
      <c r="L39" s="16">
        <v>79429462</v>
      </c>
      <c r="M39" s="16">
        <v>79429462</v>
      </c>
      <c r="N39" s="26">
        <v>79429462</v>
      </c>
      <c r="O39" s="26">
        <v>111355845.22</v>
      </c>
      <c r="P39" s="26">
        <v>109782396.22</v>
      </c>
      <c r="Q39" s="26">
        <v>109782396.22</v>
      </c>
      <c r="R39" s="26">
        <v>109782396.22</v>
      </c>
      <c r="S39" s="26">
        <v>109782396.22</v>
      </c>
      <c r="T39" s="26">
        <v>109782396.22</v>
      </c>
      <c r="U39" s="26">
        <v>109782396.22</v>
      </c>
      <c r="V39" s="26">
        <v>109782396.22</v>
      </c>
      <c r="W39" s="26">
        <v>109782396.22</v>
      </c>
      <c r="X39" s="26">
        <v>109782396.22</v>
      </c>
      <c r="Y39" s="26">
        <v>109782396.22</v>
      </c>
      <c r="Z39" s="32">
        <f>109782396-5695860</f>
        <v>104086536</v>
      </c>
      <c r="AA39" s="26">
        <v>109782396.22</v>
      </c>
      <c r="AB39" s="26">
        <v>134941701.61000001</v>
      </c>
      <c r="AC39" s="26">
        <v>134941701.61000001</v>
      </c>
      <c r="AD39" s="26">
        <v>134840971.61000001</v>
      </c>
      <c r="AE39" s="26">
        <v>134840971.61000001</v>
      </c>
      <c r="AF39" s="26">
        <v>134840971.61000001</v>
      </c>
      <c r="AG39" s="26">
        <v>134840971.61000001</v>
      </c>
      <c r="AH39" s="26">
        <v>134840971.61000001</v>
      </c>
      <c r="AI39" s="26">
        <v>134840971.61000001</v>
      </c>
      <c r="AJ39" s="26">
        <v>134840971.61000001</v>
      </c>
      <c r="AK39" s="26">
        <v>134840971.61000001</v>
      </c>
      <c r="AL39" s="39">
        <v>134840971.61000001</v>
      </c>
    </row>
    <row r="40" spans="1:39">
      <c r="A40" t="s">
        <v>53</v>
      </c>
      <c r="B40" s="12">
        <v>30378198.77</v>
      </c>
      <c r="C40" s="12">
        <v>-344696.99</v>
      </c>
      <c r="D40" s="12">
        <v>3060095.76</v>
      </c>
      <c r="E40" s="12">
        <v>13799158.619999999</v>
      </c>
      <c r="F40" s="12">
        <v>16789457.09</v>
      </c>
      <c r="G40" s="12">
        <v>21157351.050000001</v>
      </c>
      <c r="H40" s="12">
        <v>31433261.809999999</v>
      </c>
      <c r="I40" s="12">
        <v>36535170.590000004</v>
      </c>
      <c r="J40">
        <v>41383481.729999997</v>
      </c>
      <c r="K40">
        <v>45097499.780000001</v>
      </c>
      <c r="L40" s="16">
        <v>44673861.789999999</v>
      </c>
      <c r="M40" s="16">
        <f>109782396-M39</f>
        <v>30352934</v>
      </c>
      <c r="N40" s="26">
        <v>46169768.649999999</v>
      </c>
      <c r="O40" s="26">
        <v>2370418.27</v>
      </c>
      <c r="P40" s="26">
        <v>5697480.5099999998</v>
      </c>
      <c r="Q40" s="26">
        <v>17772519.84</v>
      </c>
      <c r="R40" s="26">
        <v>21083869.780000001</v>
      </c>
      <c r="S40" s="26">
        <v>24563817.059999999</v>
      </c>
      <c r="T40" s="26">
        <v>28990666.199999999</v>
      </c>
      <c r="U40" s="26">
        <v>31652194.27</v>
      </c>
      <c r="V40" s="26">
        <v>33518059.989999998</v>
      </c>
      <c r="W40" s="26">
        <v>36494340.340000004</v>
      </c>
      <c r="X40" s="26">
        <v>38389333.920000002</v>
      </c>
      <c r="Y40" s="26">
        <v>40605849.509999998</v>
      </c>
      <c r="Z40" s="32">
        <v>30754436.293199975</v>
      </c>
      <c r="AA40" s="26">
        <v>37686860.850000001</v>
      </c>
      <c r="AB40" s="26">
        <v>-2254042.27</v>
      </c>
      <c r="AC40" s="26">
        <v>483742.19</v>
      </c>
      <c r="AD40" s="26">
        <v>4580273.04</v>
      </c>
      <c r="AE40" s="26">
        <v>6587426.8399999999</v>
      </c>
      <c r="AF40" s="26">
        <v>15497256.16</v>
      </c>
      <c r="AG40" s="26">
        <v>18740833.59</v>
      </c>
      <c r="AH40" s="26">
        <v>23068065.25</v>
      </c>
      <c r="AI40" s="26">
        <v>25415826.350000001</v>
      </c>
      <c r="AJ40" s="26">
        <v>27557673.789999999</v>
      </c>
      <c r="AK40" s="26">
        <v>32059950.920000002</v>
      </c>
      <c r="AL40" s="39">
        <v>36947636.57</v>
      </c>
    </row>
    <row r="41" spans="1:39">
      <c r="A41" t="s">
        <v>54</v>
      </c>
      <c r="B41" s="12">
        <v>31319331.510000002</v>
      </c>
      <c r="C41" s="12">
        <v>38632744.509999998</v>
      </c>
      <c r="D41" s="12">
        <v>38632744.509999998</v>
      </c>
      <c r="E41" s="12">
        <v>38632744.509999998</v>
      </c>
      <c r="F41" s="12">
        <v>38632744.509999998</v>
      </c>
      <c r="G41" s="12">
        <v>38632744.509999998</v>
      </c>
      <c r="H41" s="12">
        <v>38632744.509999998</v>
      </c>
      <c r="I41" s="12">
        <v>38632744.509999998</v>
      </c>
      <c r="J41">
        <v>38632744.509999998</v>
      </c>
      <c r="K41">
        <v>38632744.509999998</v>
      </c>
      <c r="L41" s="16">
        <v>38632744.509999998</v>
      </c>
      <c r="M41" s="16">
        <v>47517372</v>
      </c>
      <c r="N41" s="26">
        <v>38632744.509999998</v>
      </c>
      <c r="O41" s="26">
        <v>47517372.509999998</v>
      </c>
      <c r="P41" s="26">
        <v>47517372.509999998</v>
      </c>
      <c r="Q41" s="26">
        <v>47517372.509999998</v>
      </c>
      <c r="R41" s="26">
        <v>47517372.509999998</v>
      </c>
      <c r="S41" s="26">
        <v>47517372.509999998</v>
      </c>
      <c r="T41" s="26">
        <v>47517372.509999998</v>
      </c>
      <c r="U41" s="26">
        <v>47517372.509999998</v>
      </c>
      <c r="V41" s="26">
        <v>47517372.509999998</v>
      </c>
      <c r="W41" s="26">
        <v>47517372.509999998</v>
      </c>
      <c r="X41" s="26">
        <v>47517372.509999998</v>
      </c>
      <c r="Y41" s="26">
        <v>47517372.509999998</v>
      </c>
      <c r="Z41" s="32">
        <v>55205981.073299997</v>
      </c>
      <c r="AA41" s="26">
        <v>47517372.509999998</v>
      </c>
      <c r="AB41" s="26">
        <v>55205981.509999998</v>
      </c>
      <c r="AC41" s="26">
        <v>55205981.509999998</v>
      </c>
      <c r="AD41" s="26">
        <v>55205981.509999998</v>
      </c>
      <c r="AE41" s="26">
        <v>55205981.509999998</v>
      </c>
      <c r="AF41" s="26">
        <v>55205981.509999998</v>
      </c>
      <c r="AG41" s="26">
        <v>55205981.509999998</v>
      </c>
      <c r="AH41" s="26">
        <v>55205981.509999998</v>
      </c>
      <c r="AI41" s="26">
        <v>55205981.509999998</v>
      </c>
      <c r="AJ41" s="26">
        <v>55205981.509999998</v>
      </c>
      <c r="AK41" s="26">
        <v>55205981.509999998</v>
      </c>
      <c r="AL41" s="39">
        <v>55205981.509999998</v>
      </c>
      <c r="AM41" s="41">
        <v>62452840</v>
      </c>
    </row>
    <row r="42" spans="1:39">
      <c r="A42" t="s">
        <v>55</v>
      </c>
      <c r="B42" s="12">
        <v>10353102.289999999</v>
      </c>
      <c r="C42" s="12">
        <v>10353102.289999999</v>
      </c>
      <c r="D42" s="12">
        <v>10353102.289999999</v>
      </c>
      <c r="E42" s="12">
        <v>10353102.289999999</v>
      </c>
      <c r="F42" s="12">
        <v>10353102.289999999</v>
      </c>
      <c r="G42" s="12">
        <v>10353102.289999999</v>
      </c>
      <c r="H42" s="12">
        <v>16750994.6</v>
      </c>
      <c r="I42" s="12">
        <v>16755874.6</v>
      </c>
      <c r="J42">
        <v>16765874.6</v>
      </c>
      <c r="K42">
        <v>16769574.6</v>
      </c>
      <c r="L42" s="16">
        <v>16804574.600000001</v>
      </c>
      <c r="M42" s="16">
        <f>10353102+6451472</f>
        <v>16804574</v>
      </c>
      <c r="N42" s="26">
        <v>16814740.600000001</v>
      </c>
      <c r="O42" s="26">
        <v>16847040.600000001</v>
      </c>
      <c r="P42" s="26">
        <v>16878908.850000001</v>
      </c>
      <c r="Q42" s="26">
        <v>16912908.850000001</v>
      </c>
      <c r="R42" s="26">
        <v>16938908.850000001</v>
      </c>
      <c r="S42" s="26">
        <v>17456558.25</v>
      </c>
      <c r="T42" s="26">
        <v>17530416.25</v>
      </c>
      <c r="U42" s="26">
        <v>17541321.25</v>
      </c>
      <c r="V42" s="26">
        <v>17560021.25</v>
      </c>
      <c r="W42" s="26">
        <v>17583521.25</v>
      </c>
      <c r="X42" s="26">
        <v>17598521.25</v>
      </c>
      <c r="Y42" s="26">
        <v>17620586.25</v>
      </c>
      <c r="Z42" s="32">
        <f>10353102+7267484</f>
        <v>17620586</v>
      </c>
      <c r="AA42" s="26">
        <v>17633586.25</v>
      </c>
      <c r="AB42" s="26">
        <v>17652586.25</v>
      </c>
      <c r="AC42" s="26">
        <v>17676586.25</v>
      </c>
      <c r="AD42" s="26">
        <v>17692586.25</v>
      </c>
      <c r="AE42" s="26">
        <v>17700586.25</v>
      </c>
      <c r="AF42" s="26">
        <v>17726586.25</v>
      </c>
      <c r="AG42" s="26">
        <v>17741586.25</v>
      </c>
      <c r="AH42" s="26">
        <v>17757959.25</v>
      </c>
      <c r="AI42" s="26">
        <v>17766959.25</v>
      </c>
      <c r="AJ42" s="26">
        <v>17774959.25</v>
      </c>
      <c r="AK42" s="26">
        <v>17791959.25</v>
      </c>
      <c r="AL42" s="39">
        <v>18359959.25</v>
      </c>
      <c r="AM42" s="41">
        <f>10353102+8006857</f>
        <v>18359959</v>
      </c>
    </row>
    <row r="43" spans="1:39">
      <c r="A43" t="s">
        <v>56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>
        <v>0</v>
      </c>
      <c r="K43">
        <v>0</v>
      </c>
      <c r="L43" s="16">
        <v>0</v>
      </c>
      <c r="M43" s="16">
        <v>53852863</v>
      </c>
      <c r="N43" s="26">
        <v>53852863</v>
      </c>
      <c r="O43" s="26">
        <v>53852863</v>
      </c>
      <c r="P43" s="26">
        <v>53852863</v>
      </c>
      <c r="Q43" s="26">
        <v>53852863</v>
      </c>
      <c r="R43" s="26">
        <v>53852863</v>
      </c>
      <c r="S43" s="26">
        <v>53852863</v>
      </c>
      <c r="T43" s="26">
        <v>53852863</v>
      </c>
      <c r="U43" s="26">
        <v>53852863</v>
      </c>
      <c r="V43" s="26">
        <v>53852863</v>
      </c>
      <c r="W43" s="26">
        <v>53852863</v>
      </c>
      <c r="X43" s="26">
        <v>53852863</v>
      </c>
      <c r="Y43" s="26">
        <v>53852863</v>
      </c>
      <c r="Z43" s="32">
        <v>53852863</v>
      </c>
      <c r="AA43" s="26">
        <v>53852863</v>
      </c>
      <c r="AB43" s="26">
        <v>53852863</v>
      </c>
      <c r="AC43" s="26">
        <v>53852863</v>
      </c>
      <c r="AD43" s="26">
        <v>53852863</v>
      </c>
      <c r="AE43" s="26">
        <v>53852863</v>
      </c>
      <c r="AF43" s="26">
        <v>53852863</v>
      </c>
      <c r="AG43" s="26">
        <v>53852863</v>
      </c>
      <c r="AH43" s="26">
        <v>53852863</v>
      </c>
      <c r="AI43" s="26">
        <v>53852863</v>
      </c>
      <c r="AJ43" s="26">
        <v>53852863</v>
      </c>
      <c r="AK43" s="26">
        <v>53852863</v>
      </c>
      <c r="AL43" s="39">
        <v>53852863</v>
      </c>
      <c r="AM43" s="41">
        <f>157545085+53852863</f>
        <v>211397948</v>
      </c>
    </row>
    <row r="44" spans="1:39">
      <c r="A44" t="s">
        <v>57</v>
      </c>
      <c r="B44" s="7">
        <v>13780000</v>
      </c>
      <c r="C44">
        <v>2488354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16">
        <v>0</v>
      </c>
      <c r="M44" s="16">
        <f>4340577+845000</f>
        <v>5185577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  <c r="V44" s="27">
        <v>0</v>
      </c>
      <c r="W44" s="27">
        <v>0</v>
      </c>
      <c r="X44" s="27">
        <v>0</v>
      </c>
      <c r="Y44" s="27">
        <v>0</v>
      </c>
      <c r="Z44" s="32">
        <v>5695860</v>
      </c>
      <c r="AA44" s="27">
        <v>0</v>
      </c>
      <c r="AB44" s="27">
        <v>0</v>
      </c>
      <c r="AC44" s="27">
        <v>0</v>
      </c>
      <c r="AD44" s="27">
        <v>0</v>
      </c>
      <c r="AE44" s="27">
        <v>0</v>
      </c>
      <c r="AF44" s="27">
        <v>0</v>
      </c>
      <c r="AG44" s="27">
        <v>0</v>
      </c>
      <c r="AH44" s="27">
        <v>0</v>
      </c>
      <c r="AI44" s="27">
        <v>0</v>
      </c>
      <c r="AJ44" s="27">
        <v>0</v>
      </c>
      <c r="AK44" s="27">
        <v>0</v>
      </c>
      <c r="AL44" s="40">
        <v>0</v>
      </c>
      <c r="AM44" s="43">
        <v>6283323</v>
      </c>
    </row>
    <row r="45" spans="1:39">
      <c r="A45" t="s">
        <v>58</v>
      </c>
      <c r="B45" s="7"/>
      <c r="L45" s="16"/>
      <c r="M45" s="16"/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  <c r="T45" s="27">
        <v>0</v>
      </c>
      <c r="U45" s="27">
        <v>0</v>
      </c>
      <c r="V45" s="27">
        <v>0</v>
      </c>
      <c r="W45" s="27">
        <v>0</v>
      </c>
      <c r="X45" s="27">
        <v>0</v>
      </c>
      <c r="Y45" s="27">
        <v>0</v>
      </c>
      <c r="Z45" s="32"/>
      <c r="AA45" s="27">
        <v>0</v>
      </c>
      <c r="AB45" s="27">
        <v>0</v>
      </c>
      <c r="AC45" s="27">
        <v>0</v>
      </c>
      <c r="AD45" s="27">
        <v>0</v>
      </c>
      <c r="AE45" s="27">
        <v>0</v>
      </c>
      <c r="AF45" s="27">
        <v>0</v>
      </c>
      <c r="AG45" s="27">
        <v>0</v>
      </c>
      <c r="AH45" s="27">
        <v>0</v>
      </c>
      <c r="AI45" s="27">
        <v>0</v>
      </c>
      <c r="AJ45" s="27">
        <v>0</v>
      </c>
      <c r="AK45" s="27">
        <v>0</v>
      </c>
      <c r="AL45" s="40">
        <v>0</v>
      </c>
    </row>
    <row r="46" spans="1:39">
      <c r="A46" t="s">
        <v>59</v>
      </c>
      <c r="B46" s="8">
        <f t="shared" ref="B46:I46" si="9">SUM(B37:B45)</f>
        <v>188253972.84999999</v>
      </c>
      <c r="C46" s="8">
        <f t="shared" si="9"/>
        <v>171338097.09</v>
      </c>
      <c r="D46" s="8">
        <f t="shared" si="9"/>
        <v>171744535.84</v>
      </c>
      <c r="E46" s="8">
        <f t="shared" si="9"/>
        <v>182493098.69999999</v>
      </c>
      <c r="F46" s="8">
        <f t="shared" si="9"/>
        <v>185483397.16999999</v>
      </c>
      <c r="G46" s="8">
        <f t="shared" si="9"/>
        <v>189921272.97</v>
      </c>
      <c r="H46" s="8"/>
      <c r="I46" s="8">
        <f t="shared" si="9"/>
        <v>211768864.81999999</v>
      </c>
      <c r="J46" s="8">
        <f t="shared" ref="J46:L46" si="10">SUM(J37:J45)</f>
        <v>216635675.95999998</v>
      </c>
      <c r="K46" s="8">
        <f t="shared" si="10"/>
        <v>220367894.00999999</v>
      </c>
      <c r="L46" s="8">
        <f t="shared" si="10"/>
        <v>222946416.21999997</v>
      </c>
      <c r="M46" s="8">
        <f t="shared" ref="M46:Z46" si="11">SUM(M37:M45)</f>
        <v>276548555</v>
      </c>
      <c r="N46" s="8">
        <f t="shared" si="11"/>
        <v>278317552.07999998</v>
      </c>
      <c r="O46" s="8">
        <f t="shared" si="11"/>
        <v>275385012.91999996</v>
      </c>
      <c r="P46" s="8">
        <f t="shared" si="11"/>
        <v>277552037.63</v>
      </c>
      <c r="Q46" s="8">
        <f t="shared" si="11"/>
        <v>289686076.95999998</v>
      </c>
      <c r="R46" s="8">
        <f t="shared" si="11"/>
        <v>293037426.89999998</v>
      </c>
      <c r="S46" s="8">
        <f t="shared" si="11"/>
        <v>297043023.57999998</v>
      </c>
      <c r="T46" s="8">
        <f t="shared" si="11"/>
        <v>301581783.83999997</v>
      </c>
      <c r="U46" s="8">
        <f t="shared" si="11"/>
        <v>304502366.90999997</v>
      </c>
      <c r="V46" s="8">
        <f t="shared" si="11"/>
        <v>306765932.63</v>
      </c>
      <c r="W46" s="8">
        <f t="shared" si="11"/>
        <v>310151092.98000002</v>
      </c>
      <c r="X46" s="8">
        <f t="shared" si="11"/>
        <v>313005356.56</v>
      </c>
      <c r="Y46" s="8">
        <f t="shared" si="11"/>
        <v>326337661.5</v>
      </c>
      <c r="Z46" s="31">
        <f t="shared" si="11"/>
        <v>324174856.37650001</v>
      </c>
      <c r="AA46" s="31">
        <f t="shared" ref="AA46:AM46" si="12">SUM(AA37:AA45)</f>
        <v>323669072.83999997</v>
      </c>
      <c r="AB46" s="31">
        <f t="shared" si="12"/>
        <v>318455385.28999996</v>
      </c>
      <c r="AC46" s="31">
        <f t="shared" si="12"/>
        <v>323929395.74000001</v>
      </c>
      <c r="AD46" s="31">
        <f t="shared" si="12"/>
        <v>328041035.10000002</v>
      </c>
      <c r="AE46" s="31">
        <f t="shared" si="12"/>
        <v>330136192.96000004</v>
      </c>
      <c r="AF46" s="31">
        <f t="shared" si="12"/>
        <v>339317526.30000001</v>
      </c>
      <c r="AG46" s="31">
        <f t="shared" si="12"/>
        <v>342812607.73000002</v>
      </c>
      <c r="AH46" s="31">
        <f t="shared" si="12"/>
        <v>347408898</v>
      </c>
      <c r="AI46" s="31">
        <f t="shared" si="12"/>
        <v>350194859.10000002</v>
      </c>
      <c r="AJ46" s="31">
        <f t="shared" si="12"/>
        <v>352481632.81</v>
      </c>
      <c r="AK46" s="31">
        <f t="shared" si="12"/>
        <v>357204809.94</v>
      </c>
      <c r="AL46" s="31">
        <f t="shared" si="12"/>
        <v>376858188.43000001</v>
      </c>
      <c r="AM46" s="31">
        <f t="shared" si="12"/>
        <v>376144846</v>
      </c>
    </row>
    <row r="47" spans="1:39">
      <c r="A47" t="s">
        <v>60</v>
      </c>
      <c r="B47" s="8">
        <f t="shared" ref="B47:I47" si="13">B46+B36</f>
        <v>726464381.36000001</v>
      </c>
      <c r="C47" s="8">
        <f t="shared" si="13"/>
        <v>728483890.59000003</v>
      </c>
      <c r="D47" s="8">
        <f t="shared" si="13"/>
        <v>722332407.00000012</v>
      </c>
      <c r="E47" s="8">
        <f t="shared" si="13"/>
        <v>741379158.68000007</v>
      </c>
      <c r="F47" s="8">
        <f t="shared" si="13"/>
        <v>752497847.84000003</v>
      </c>
      <c r="G47" s="8">
        <f t="shared" si="13"/>
        <v>764031508.5</v>
      </c>
      <c r="H47" s="8"/>
      <c r="I47" s="8">
        <f t="shared" si="13"/>
        <v>791403180.99000001</v>
      </c>
      <c r="J47" s="8">
        <f t="shared" ref="J47:L47" si="14">J46+J36</f>
        <v>807292412.79999995</v>
      </c>
      <c r="K47" s="8">
        <f t="shared" si="14"/>
        <v>814985925.13</v>
      </c>
      <c r="L47" s="8">
        <f t="shared" si="14"/>
        <v>824076833.93000007</v>
      </c>
      <c r="M47" s="8">
        <f t="shared" ref="M47:Z47" si="15">M46+M36</f>
        <v>877835634</v>
      </c>
      <c r="N47" s="8">
        <f t="shared" si="15"/>
        <v>888841083.83999991</v>
      </c>
      <c r="O47" s="8">
        <f t="shared" si="15"/>
        <v>901384660.35000002</v>
      </c>
      <c r="P47" s="8">
        <f t="shared" si="15"/>
        <v>882185704.66999996</v>
      </c>
      <c r="Q47" s="8">
        <f t="shared" si="15"/>
        <v>899137962.85000014</v>
      </c>
      <c r="R47" s="8">
        <f t="shared" si="15"/>
        <v>903020567.96000004</v>
      </c>
      <c r="S47" s="8">
        <f t="shared" si="15"/>
        <v>904828921.32999992</v>
      </c>
      <c r="T47" s="8">
        <f t="shared" si="15"/>
        <v>946955555.37999988</v>
      </c>
      <c r="U47" s="8">
        <f t="shared" si="15"/>
        <v>950442167.60000002</v>
      </c>
      <c r="V47" s="8">
        <f t="shared" si="15"/>
        <v>949423411.00999999</v>
      </c>
      <c r="W47" s="8">
        <f t="shared" si="15"/>
        <v>961713628.62000012</v>
      </c>
      <c r="X47" s="8">
        <f t="shared" si="15"/>
        <v>967569819.66000009</v>
      </c>
      <c r="Y47" s="8">
        <f t="shared" si="15"/>
        <v>963121612.80999994</v>
      </c>
      <c r="Z47" s="31">
        <f t="shared" si="15"/>
        <v>963198401.68649995</v>
      </c>
      <c r="AA47" s="31">
        <f t="shared" ref="AA47:AM47" si="16">AA46+AA36</f>
        <v>963694852.97000003</v>
      </c>
      <c r="AB47" s="31">
        <f t="shared" si="16"/>
        <v>963478640.46000004</v>
      </c>
      <c r="AC47" s="31">
        <f t="shared" si="16"/>
        <v>954742349.92999995</v>
      </c>
      <c r="AD47" s="31">
        <f t="shared" si="16"/>
        <v>969126034.73000002</v>
      </c>
      <c r="AE47" s="31">
        <f t="shared" si="16"/>
        <v>973767282.6400001</v>
      </c>
      <c r="AF47" s="31">
        <f t="shared" si="16"/>
        <v>983849105.77999997</v>
      </c>
      <c r="AG47" s="31">
        <f t="shared" si="16"/>
        <v>1001815534.87</v>
      </c>
      <c r="AH47" s="31">
        <f t="shared" si="16"/>
        <v>1009247641.9299999</v>
      </c>
      <c r="AI47" s="31">
        <f t="shared" si="16"/>
        <v>1008072301.4100001</v>
      </c>
      <c r="AJ47" s="31">
        <f t="shared" si="16"/>
        <v>1017296692.54</v>
      </c>
      <c r="AK47" s="31">
        <f t="shared" si="16"/>
        <v>1045065619.79</v>
      </c>
      <c r="AL47" s="31">
        <f t="shared" si="16"/>
        <v>1052006930.6300001</v>
      </c>
      <c r="AM47" s="31">
        <f t="shared" si="16"/>
        <v>1052081749</v>
      </c>
    </row>
    <row r="48" spans="1:39">
      <c r="B48" s="7">
        <f>B47-B25</f>
        <v>0</v>
      </c>
      <c r="C48" s="7">
        <f t="shared" ref="C48:I48" si="17">C47-C25</f>
        <v>-245900.99999988079</v>
      </c>
      <c r="D48" s="7">
        <f t="shared" si="17"/>
        <v>13172818.950000048</v>
      </c>
      <c r="E48" s="7">
        <f t="shared" si="17"/>
        <v>13522818.950000048</v>
      </c>
      <c r="F48" s="7">
        <f t="shared" si="17"/>
        <v>13872818.950000048</v>
      </c>
      <c r="G48" s="7">
        <f t="shared" si="17"/>
        <v>14222818.950000048</v>
      </c>
      <c r="H48" s="7"/>
      <c r="I48" s="7">
        <f t="shared" si="17"/>
        <v>15288361.599999905</v>
      </c>
      <c r="M48" s="7">
        <f>M47-M25</f>
        <v>-2</v>
      </c>
      <c r="AM48" s="44">
        <f>AM47-AM25</f>
        <v>-3</v>
      </c>
    </row>
  </sheetData>
  <phoneticPr fontId="12" type="noConversion"/>
  <conditionalFormatting sqref="B15:M15 B7:AN7 B12:AM12 A19:AM19 B25:AM25 B29:AM29 B36:AM36 B46:AM47 B3:AM3">
    <cfRule type="notContainsBlanks" dxfId="49" priority="144">
      <formula>LEN(TRIM(A3))&gt;0</formula>
    </cfRule>
  </conditionalFormatting>
  <conditionalFormatting sqref="B15:M15 B7:AN7 B12:AM12 A19:AM19 B25:AM25 B29:AM29 B36:AM36 B46:AM47 B3:AM3">
    <cfRule type="cellIs" dxfId="48" priority="140" operator="lessThan">
      <formula>0</formula>
    </cfRule>
  </conditionalFormatting>
  <conditionalFormatting sqref="A25">
    <cfRule type="notContainsBlanks" dxfId="47" priority="20">
      <formula>LEN(TRIM(A25))&gt;0</formula>
    </cfRule>
  </conditionalFormatting>
  <conditionalFormatting sqref="A25">
    <cfRule type="cellIs" dxfId="46" priority="19" operator="lessThan">
      <formula>0</formula>
    </cfRule>
  </conditionalFormatting>
  <conditionalFormatting sqref="A4">
    <cfRule type="notContainsBlanks" dxfId="45" priority="18">
      <formula>LEN(TRIM(A4))&gt;0</formula>
    </cfRule>
  </conditionalFormatting>
  <conditionalFormatting sqref="A4">
    <cfRule type="cellIs" dxfId="44" priority="17" operator="lessThan">
      <formula>0</formula>
    </cfRule>
  </conditionalFormatting>
  <conditionalFormatting sqref="A7">
    <cfRule type="notContainsBlanks" dxfId="43" priority="16">
      <formula>LEN(TRIM(A7))&gt;0</formula>
    </cfRule>
  </conditionalFormatting>
  <conditionalFormatting sqref="A7">
    <cfRule type="cellIs" dxfId="42" priority="15" operator="lessThan">
      <formula>0</formula>
    </cfRule>
  </conditionalFormatting>
  <conditionalFormatting sqref="A12">
    <cfRule type="notContainsBlanks" dxfId="41" priority="14">
      <formula>LEN(TRIM(A12))&gt;0</formula>
    </cfRule>
  </conditionalFormatting>
  <conditionalFormatting sqref="A12">
    <cfRule type="cellIs" dxfId="40" priority="13" operator="lessThan">
      <formula>0</formula>
    </cfRule>
  </conditionalFormatting>
  <conditionalFormatting sqref="A15">
    <cfRule type="notContainsBlanks" dxfId="39" priority="12">
      <formula>LEN(TRIM(A15))&gt;0</formula>
    </cfRule>
  </conditionalFormatting>
  <conditionalFormatting sqref="A15">
    <cfRule type="cellIs" dxfId="38" priority="11" operator="lessThan">
      <formula>0</formula>
    </cfRule>
  </conditionalFormatting>
  <conditionalFormatting sqref="A29">
    <cfRule type="notContainsBlanks" dxfId="37" priority="8">
      <formula>LEN(TRIM(A29))&gt;0</formula>
    </cfRule>
  </conditionalFormatting>
  <conditionalFormatting sqref="A29">
    <cfRule type="cellIs" dxfId="36" priority="7" operator="lessThan">
      <formula>0</formula>
    </cfRule>
  </conditionalFormatting>
  <conditionalFormatting sqref="A36">
    <cfRule type="notContainsBlanks" dxfId="35" priority="6">
      <formula>LEN(TRIM(A36))&gt;0</formula>
    </cfRule>
  </conditionalFormatting>
  <conditionalFormatting sqref="A36">
    <cfRule type="cellIs" dxfId="34" priority="5" operator="lessThan">
      <formula>0</formula>
    </cfRule>
  </conditionalFormatting>
  <printOptions horizontalCentered="1" verticalCentered="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M73"/>
  <sheetViews>
    <sheetView zoomScale="90" zoomScaleNormal="90" workbookViewId="0">
      <pane xSplit="1" ySplit="2" topLeftCell="AD9" activePane="bottomRight" state="frozen"/>
      <selection pane="bottomRight" activeCell="AM19" sqref="AM19"/>
      <selection pane="bottomLeft" activeCell="A2" sqref="A2"/>
      <selection pane="topRight" activeCell="B1" sqref="B1"/>
    </sheetView>
  </sheetViews>
  <sheetFormatPr defaultRowHeight="15"/>
  <cols>
    <col min="1" max="1" width="38.7109375" customWidth="1"/>
    <col min="2" max="2" width="14.7109375" bestFit="1" customWidth="1"/>
    <col min="3" max="7" width="15.85546875" bestFit="1" customWidth="1"/>
    <col min="8" max="8" width="15.85546875" customWidth="1"/>
    <col min="9" max="9" width="15.85546875" bestFit="1" customWidth="1"/>
    <col min="10" max="11" width="15" bestFit="1" customWidth="1"/>
    <col min="12" max="12" width="16.140625" bestFit="1" customWidth="1"/>
    <col min="13" max="13" width="16.28515625" bestFit="1" customWidth="1"/>
    <col min="14" max="14" width="13.28515625" bestFit="1" customWidth="1"/>
    <col min="15" max="20" width="12.28515625" bestFit="1" customWidth="1"/>
    <col min="21" max="25" width="13.28515625" bestFit="1" customWidth="1"/>
    <col min="26" max="26" width="16.140625" style="30" bestFit="1" customWidth="1"/>
    <col min="27" max="27" width="16.140625" bestFit="1" customWidth="1"/>
    <col min="28" max="33" width="15" bestFit="1" customWidth="1"/>
    <col min="34" max="38" width="16.140625" bestFit="1" customWidth="1"/>
    <col min="39" max="39" width="25.7109375" style="30" bestFit="1" customWidth="1"/>
  </cols>
  <sheetData>
    <row r="2" spans="1:39" s="6" customFormat="1">
      <c r="A2" s="2"/>
      <c r="B2" s="5">
        <v>43831</v>
      </c>
      <c r="C2" s="5">
        <v>43862</v>
      </c>
      <c r="D2" s="5">
        <v>43891</v>
      </c>
      <c r="E2" s="5">
        <v>43922</v>
      </c>
      <c r="F2" s="5">
        <v>43952</v>
      </c>
      <c r="G2" s="5">
        <v>43983</v>
      </c>
      <c r="H2" s="5">
        <v>44044</v>
      </c>
      <c r="I2" s="5">
        <v>44075</v>
      </c>
      <c r="J2" s="5">
        <v>44105</v>
      </c>
      <c r="K2" s="5">
        <v>44136</v>
      </c>
      <c r="L2" s="5">
        <v>44166</v>
      </c>
      <c r="M2" s="6" t="s">
        <v>1</v>
      </c>
      <c r="N2" s="5">
        <v>44197</v>
      </c>
      <c r="O2" s="5">
        <v>44228</v>
      </c>
      <c r="P2" s="5">
        <v>44256</v>
      </c>
      <c r="Q2" s="5">
        <v>44287</v>
      </c>
      <c r="R2" s="5">
        <v>44317</v>
      </c>
      <c r="S2" s="5">
        <v>44348</v>
      </c>
      <c r="T2" s="5">
        <v>44378</v>
      </c>
      <c r="U2" s="5">
        <v>44409</v>
      </c>
      <c r="V2" s="5">
        <v>44440</v>
      </c>
      <c r="W2" s="5">
        <v>44470</v>
      </c>
      <c r="X2" s="5">
        <v>44501</v>
      </c>
      <c r="Y2" s="5">
        <v>44531</v>
      </c>
      <c r="Z2" s="33" t="s">
        <v>2</v>
      </c>
      <c r="AA2" s="6" t="s">
        <v>3</v>
      </c>
      <c r="AB2" s="6" t="s">
        <v>4</v>
      </c>
      <c r="AC2" s="6" t="s">
        <v>5</v>
      </c>
      <c r="AD2" s="6" t="s">
        <v>6</v>
      </c>
      <c r="AE2" s="6" t="s">
        <v>7</v>
      </c>
      <c r="AF2" s="6" t="s">
        <v>8</v>
      </c>
      <c r="AG2" s="6" t="s">
        <v>9</v>
      </c>
      <c r="AH2" s="6" t="s">
        <v>10</v>
      </c>
      <c r="AI2" s="6" t="s">
        <v>11</v>
      </c>
      <c r="AJ2" s="6" t="s">
        <v>12</v>
      </c>
      <c r="AK2" s="6" t="s">
        <v>13</v>
      </c>
      <c r="AL2" s="6" t="s">
        <v>14</v>
      </c>
      <c r="AM2" s="33" t="s">
        <v>61</v>
      </c>
    </row>
    <row r="3" spans="1:39">
      <c r="A3" s="1" t="s">
        <v>62</v>
      </c>
      <c r="B3" s="8">
        <f t="shared" ref="B3:I3" si="0">B7+B4</f>
        <v>127499389.46000001</v>
      </c>
      <c r="C3" s="8">
        <f t="shared" si="0"/>
        <v>18709458.48</v>
      </c>
      <c r="D3" s="8">
        <f t="shared" si="0"/>
        <v>29770576.350000001</v>
      </c>
      <c r="E3" s="8">
        <f t="shared" si="0"/>
        <v>47209864.259999998</v>
      </c>
      <c r="F3" s="8">
        <f t="shared" si="0"/>
        <v>56502019.830000006</v>
      </c>
      <c r="G3" s="8">
        <f t="shared" si="0"/>
        <v>67232796.86999999</v>
      </c>
      <c r="H3" s="8">
        <f t="shared" ref="H3" si="1">H7+H4</f>
        <v>91477429.899999991</v>
      </c>
      <c r="I3" s="8">
        <f t="shared" si="0"/>
        <v>102674616.7</v>
      </c>
      <c r="J3" s="8">
        <f t="shared" ref="J3:L3" si="2">J7+J4</f>
        <v>114186100.62</v>
      </c>
      <c r="K3" s="8">
        <f t="shared" si="2"/>
        <v>124967704.77000001</v>
      </c>
      <c r="L3" s="8">
        <f t="shared" si="2"/>
        <v>136912939.78</v>
      </c>
      <c r="M3" s="8">
        <f t="shared" ref="M3:AB3" si="3">M7+M4</f>
        <v>142033452</v>
      </c>
      <c r="N3" s="8">
        <f t="shared" si="3"/>
        <v>152833310.69</v>
      </c>
      <c r="O3" s="8">
        <f t="shared" si="3"/>
        <v>22623107.059999999</v>
      </c>
      <c r="P3" s="8">
        <f t="shared" si="3"/>
        <v>34770632.410000004</v>
      </c>
      <c r="Q3" s="8">
        <f t="shared" si="3"/>
        <v>55375563.950000003</v>
      </c>
      <c r="R3" s="8">
        <f t="shared" si="3"/>
        <v>66695239.409999996</v>
      </c>
      <c r="S3" s="8">
        <f t="shared" si="3"/>
        <v>78513642.659999996</v>
      </c>
      <c r="T3" s="8">
        <f t="shared" si="3"/>
        <v>92482826.560000002</v>
      </c>
      <c r="U3" s="8">
        <f t="shared" si="3"/>
        <v>104256149.90000001</v>
      </c>
      <c r="V3" s="8">
        <f t="shared" si="3"/>
        <v>116313167.02</v>
      </c>
      <c r="W3" s="8">
        <f t="shared" si="3"/>
        <v>128686569.94</v>
      </c>
      <c r="X3" s="8">
        <f t="shared" si="3"/>
        <v>140856659.87</v>
      </c>
      <c r="Y3" s="8">
        <f t="shared" si="3"/>
        <v>153056205.31</v>
      </c>
      <c r="Z3" s="31">
        <f t="shared" si="3"/>
        <v>153132994.57999998</v>
      </c>
      <c r="AA3" s="31">
        <f t="shared" ref="AA3:AM3" si="4">AA7+AA4</f>
        <v>164541259.19999999</v>
      </c>
      <c r="AB3" s="31">
        <f t="shared" si="4"/>
        <v>23380866.18</v>
      </c>
      <c r="AC3" s="31">
        <f t="shared" si="4"/>
        <v>37360275.690000005</v>
      </c>
      <c r="AD3" s="31">
        <f t="shared" si="4"/>
        <v>51468425.030000001</v>
      </c>
      <c r="AE3" s="31">
        <f t="shared" si="4"/>
        <v>64562316.18</v>
      </c>
      <c r="AF3" s="31">
        <f t="shared" si="4"/>
        <v>85757614.739999995</v>
      </c>
      <c r="AG3" s="31">
        <f t="shared" si="4"/>
        <v>99024048.709999993</v>
      </c>
      <c r="AH3" s="31">
        <f t="shared" si="4"/>
        <v>113591190.23</v>
      </c>
      <c r="AI3" s="31">
        <f t="shared" si="4"/>
        <v>127822639.74000001</v>
      </c>
      <c r="AJ3" s="31">
        <f t="shared" si="4"/>
        <v>141487796.34</v>
      </c>
      <c r="AK3" s="31">
        <f t="shared" si="4"/>
        <v>156690738.84999999</v>
      </c>
      <c r="AL3" s="31">
        <f t="shared" si="4"/>
        <v>173635523.87</v>
      </c>
      <c r="AM3" s="31">
        <f t="shared" si="4"/>
        <v>173635517</v>
      </c>
    </row>
    <row r="4" spans="1:39">
      <c r="A4" s="1" t="s">
        <v>63</v>
      </c>
      <c r="B4" s="8">
        <f t="shared" ref="B4:I4" si="5">B5+B6</f>
        <v>118975826.59</v>
      </c>
      <c r="C4" s="8">
        <f t="shared" si="5"/>
        <v>18709458.48</v>
      </c>
      <c r="D4" s="8">
        <f t="shared" si="5"/>
        <v>29687266.490000002</v>
      </c>
      <c r="E4" s="8">
        <f t="shared" si="5"/>
        <v>39026777.799999997</v>
      </c>
      <c r="F4" s="8">
        <f t="shared" si="5"/>
        <v>48318933.370000005</v>
      </c>
      <c r="G4" s="8">
        <f t="shared" si="5"/>
        <v>59049710.409999996</v>
      </c>
      <c r="H4" s="8">
        <f t="shared" ref="H4" si="6">H5+H6</f>
        <v>83248919.189999998</v>
      </c>
      <c r="I4" s="8">
        <f t="shared" si="5"/>
        <v>94430563.340000004</v>
      </c>
      <c r="J4" s="8">
        <f t="shared" ref="J4:L4" si="7">J5+J6</f>
        <v>105869453.34</v>
      </c>
      <c r="K4" s="8">
        <f t="shared" si="7"/>
        <v>116651057.49000001</v>
      </c>
      <c r="L4" s="8">
        <f t="shared" si="7"/>
        <v>128538243.56</v>
      </c>
      <c r="M4" s="8">
        <f t="shared" ref="M4:Z4" si="8">M5+M6</f>
        <v>141177912</v>
      </c>
      <c r="N4" s="8">
        <f t="shared" si="8"/>
        <v>139472480.34</v>
      </c>
      <c r="O4" s="8">
        <f t="shared" si="8"/>
        <v>21487879.329999998</v>
      </c>
      <c r="P4" s="8">
        <f t="shared" si="8"/>
        <v>32909174.420000002</v>
      </c>
      <c r="Q4" s="8">
        <f t="shared" si="8"/>
        <v>44584991.010000005</v>
      </c>
      <c r="R4" s="8">
        <f t="shared" si="8"/>
        <v>55093920.960000001</v>
      </c>
      <c r="S4" s="8">
        <f t="shared" si="8"/>
        <v>66018584.57</v>
      </c>
      <c r="T4" s="8">
        <f t="shared" si="8"/>
        <v>79158157.939999998</v>
      </c>
      <c r="U4" s="8">
        <f t="shared" si="8"/>
        <v>90365534.730000004</v>
      </c>
      <c r="V4" s="8">
        <f t="shared" si="8"/>
        <v>101491833.3</v>
      </c>
      <c r="W4" s="8">
        <f t="shared" si="8"/>
        <v>112946880.41</v>
      </c>
      <c r="X4" s="8">
        <f t="shared" si="8"/>
        <v>123927534.13</v>
      </c>
      <c r="Y4" s="8">
        <f t="shared" si="8"/>
        <v>135106358.38</v>
      </c>
      <c r="Z4" s="31">
        <f t="shared" si="8"/>
        <v>141085336.69</v>
      </c>
      <c r="AA4" s="31">
        <f t="shared" ref="AA4:AL4" si="9">AA5+AA6</f>
        <v>145867812.59999999</v>
      </c>
      <c r="AB4" s="31">
        <f t="shared" si="9"/>
        <v>21998524.32</v>
      </c>
      <c r="AC4" s="31">
        <f t="shared" si="9"/>
        <v>35223864.260000005</v>
      </c>
      <c r="AD4" s="31">
        <f t="shared" si="9"/>
        <v>48626856.890000001</v>
      </c>
      <c r="AE4" s="31">
        <f t="shared" si="9"/>
        <v>61171276</v>
      </c>
      <c r="AF4" s="31">
        <f t="shared" si="9"/>
        <v>73804235.409999996</v>
      </c>
      <c r="AG4" s="31">
        <f t="shared" si="9"/>
        <v>86346288.189999998</v>
      </c>
      <c r="AH4" s="31">
        <f t="shared" si="9"/>
        <v>99817020.870000005</v>
      </c>
      <c r="AI4" s="31">
        <f t="shared" si="9"/>
        <v>113139066.08000001</v>
      </c>
      <c r="AJ4" s="31">
        <f t="shared" si="9"/>
        <v>126019774.91</v>
      </c>
      <c r="AK4" s="31">
        <f t="shared" si="9"/>
        <v>140284247.41</v>
      </c>
      <c r="AL4" s="31">
        <f t="shared" si="9"/>
        <v>155682925.59999999</v>
      </c>
      <c r="AM4" s="31">
        <f t="shared" ref="AM4" si="10">AM5+AM6</f>
        <v>161359018</v>
      </c>
    </row>
    <row r="5" spans="1:39">
      <c r="A5" t="s">
        <v>64</v>
      </c>
      <c r="B5" s="9">
        <v>88237052.790000007</v>
      </c>
      <c r="C5" s="9">
        <v>14256551.380000001</v>
      </c>
      <c r="D5" s="9">
        <v>22404470.09</v>
      </c>
      <c r="E5" s="9">
        <v>29546755.699999999</v>
      </c>
      <c r="F5" s="9">
        <v>36573294.57</v>
      </c>
      <c r="G5" s="9">
        <v>43954478.609999999</v>
      </c>
      <c r="H5" s="9">
        <v>62610917.289999999</v>
      </c>
      <c r="I5" s="9">
        <v>70976748.739999995</v>
      </c>
      <c r="J5" s="16">
        <v>79577787.840000004</v>
      </c>
      <c r="K5" s="16">
        <v>87908946.090000004</v>
      </c>
      <c r="L5" s="16">
        <v>96841535.560000002</v>
      </c>
      <c r="M5" s="16">
        <f>87972218+44825041</f>
        <v>132797259</v>
      </c>
      <c r="N5" s="29">
        <v>105109217.44</v>
      </c>
      <c r="O5" s="29">
        <v>16932014.73</v>
      </c>
      <c r="P5" s="29">
        <v>25733637.120000001</v>
      </c>
      <c r="Q5" s="29">
        <v>34755046.310000002</v>
      </c>
      <c r="R5" s="29">
        <v>42943230.859999999</v>
      </c>
      <c r="S5" s="29">
        <v>51226749.07</v>
      </c>
      <c r="T5" s="29">
        <v>59832115.840000004</v>
      </c>
      <c r="U5" s="29">
        <v>67751693.530000001</v>
      </c>
      <c r="V5" s="29">
        <v>76257527.799999997</v>
      </c>
      <c r="W5" s="29">
        <v>84604289.909999996</v>
      </c>
      <c r="X5" s="29">
        <v>92751955.629999995</v>
      </c>
      <c r="Y5" s="29">
        <v>100712289.78</v>
      </c>
      <c r="Z5" s="30">
        <v>141085336.69</v>
      </c>
      <c r="AA5" s="37">
        <v>108603722</v>
      </c>
      <c r="AB5" s="37">
        <v>16141893.720000001</v>
      </c>
      <c r="AC5" s="37">
        <v>25147321.760000002</v>
      </c>
      <c r="AD5" s="37">
        <v>33748990.090000004</v>
      </c>
      <c r="AE5" s="37">
        <v>42293579.899999999</v>
      </c>
      <c r="AF5" s="37">
        <v>51323276.409999996</v>
      </c>
      <c r="AG5" s="37">
        <v>60375855.890000001</v>
      </c>
      <c r="AH5" s="37">
        <v>69738874.969999999</v>
      </c>
      <c r="AI5" s="37">
        <v>79024500.480000004</v>
      </c>
      <c r="AJ5" s="37">
        <v>88113736.010000005</v>
      </c>
      <c r="AK5" s="37">
        <v>117019629.70999999</v>
      </c>
      <c r="AL5" s="37">
        <v>129748922.2</v>
      </c>
      <c r="AM5" s="45">
        <f>91634438+69724580</f>
        <v>161359018</v>
      </c>
    </row>
    <row r="6" spans="1:39">
      <c r="A6" t="s">
        <v>65</v>
      </c>
      <c r="B6" s="10">
        <v>30738773.800000001</v>
      </c>
      <c r="C6" s="10">
        <v>4452907.0999999996</v>
      </c>
      <c r="D6" s="10">
        <v>7282796.4000000004</v>
      </c>
      <c r="E6" s="10">
        <v>9480022.0999999996</v>
      </c>
      <c r="F6" s="10">
        <v>11745638.800000001</v>
      </c>
      <c r="G6" s="10">
        <v>15095231.800000001</v>
      </c>
      <c r="H6" s="10">
        <v>20638001.899999999</v>
      </c>
      <c r="I6" s="10">
        <v>23453814.600000001</v>
      </c>
      <c r="J6" s="16">
        <v>26291665.5</v>
      </c>
      <c r="K6" s="16">
        <v>28742111.399999999</v>
      </c>
      <c r="L6" s="16">
        <v>31696708</v>
      </c>
      <c r="M6" s="16">
        <v>8380653</v>
      </c>
      <c r="N6" s="29">
        <v>34363262.899999999</v>
      </c>
      <c r="O6" s="29">
        <v>4555864.5999999996</v>
      </c>
      <c r="P6" s="29">
        <v>7175537.2999999998</v>
      </c>
      <c r="Q6" s="29">
        <v>9829944.6999999993</v>
      </c>
      <c r="R6" s="29">
        <v>12150690.1</v>
      </c>
      <c r="S6" s="29">
        <v>14791835.5</v>
      </c>
      <c r="T6" s="29">
        <v>19326042.100000001</v>
      </c>
      <c r="U6" s="29">
        <v>22613841.199999999</v>
      </c>
      <c r="V6" s="29">
        <v>25234305.5</v>
      </c>
      <c r="W6" s="29">
        <v>28342590.5</v>
      </c>
      <c r="X6" s="29">
        <v>31175578.5</v>
      </c>
      <c r="Y6" s="29">
        <v>34394068.600000001</v>
      </c>
      <c r="AA6" s="37">
        <v>37264090.600000001</v>
      </c>
      <c r="AB6" s="37">
        <v>5856630.5999999996</v>
      </c>
      <c r="AC6" s="37">
        <v>10076542.5</v>
      </c>
      <c r="AD6" s="37">
        <v>14877866.800000001</v>
      </c>
      <c r="AE6" s="37">
        <v>18877696.100000001</v>
      </c>
      <c r="AF6" s="37">
        <v>22480959</v>
      </c>
      <c r="AG6" s="37">
        <v>25970432.300000001</v>
      </c>
      <c r="AH6" s="37">
        <v>30078145.899999999</v>
      </c>
      <c r="AI6" s="37">
        <v>34114565.600000001</v>
      </c>
      <c r="AJ6" s="37">
        <v>37906038.899999999</v>
      </c>
      <c r="AK6" s="37">
        <v>23264617.699999999</v>
      </c>
      <c r="AL6" s="37">
        <v>25934003.399999999</v>
      </c>
    </row>
    <row r="7" spans="1:39">
      <c r="A7" s="1" t="s">
        <v>66</v>
      </c>
      <c r="B7" s="8">
        <f t="shared" ref="B7:AM7" si="11">SUM(B8:B11)</f>
        <v>8523562.8699999992</v>
      </c>
      <c r="C7" s="8">
        <f t="shared" si="11"/>
        <v>0</v>
      </c>
      <c r="D7" s="8">
        <f t="shared" si="11"/>
        <v>83309.86</v>
      </c>
      <c r="E7" s="8">
        <f t="shared" si="11"/>
        <v>8183086.46</v>
      </c>
      <c r="F7" s="8">
        <f t="shared" si="11"/>
        <v>8183086.46</v>
      </c>
      <c r="G7" s="8">
        <f t="shared" si="11"/>
        <v>8183086.46</v>
      </c>
      <c r="H7" s="8">
        <f t="shared" si="11"/>
        <v>8228510.71</v>
      </c>
      <c r="I7" s="8">
        <f t="shared" si="11"/>
        <v>8244053.3600000003</v>
      </c>
      <c r="J7" s="8">
        <f t="shared" si="11"/>
        <v>8316647.2800000003</v>
      </c>
      <c r="K7" s="8">
        <f t="shared" si="11"/>
        <v>8316647.2800000003</v>
      </c>
      <c r="L7" s="8">
        <f t="shared" si="11"/>
        <v>8374696.2199999997</v>
      </c>
      <c r="M7" s="8">
        <f t="shared" si="11"/>
        <v>855540</v>
      </c>
      <c r="N7" s="8">
        <f t="shared" si="11"/>
        <v>13360830.35</v>
      </c>
      <c r="O7" s="8">
        <f t="shared" si="11"/>
        <v>1135227.73</v>
      </c>
      <c r="P7" s="8">
        <f t="shared" si="11"/>
        <v>1861457.9899999998</v>
      </c>
      <c r="Q7" s="8">
        <f t="shared" si="11"/>
        <v>10790572.940000001</v>
      </c>
      <c r="R7" s="8">
        <f t="shared" si="11"/>
        <v>11601318.449999999</v>
      </c>
      <c r="S7" s="8">
        <f t="shared" si="11"/>
        <v>12495058.09</v>
      </c>
      <c r="T7" s="8">
        <f t="shared" si="11"/>
        <v>13324668.620000001</v>
      </c>
      <c r="U7" s="8">
        <f t="shared" si="11"/>
        <v>13890615.17</v>
      </c>
      <c r="V7" s="8">
        <f t="shared" si="11"/>
        <v>14821333.719999999</v>
      </c>
      <c r="W7" s="8">
        <f t="shared" si="11"/>
        <v>15739689.529999999</v>
      </c>
      <c r="X7" s="8">
        <f t="shared" si="11"/>
        <v>16929125.740000002</v>
      </c>
      <c r="Y7" s="8">
        <f t="shared" si="11"/>
        <v>17949846.93</v>
      </c>
      <c r="Z7" s="31">
        <f t="shared" si="11"/>
        <v>12047657.890000001</v>
      </c>
      <c r="AA7" s="31">
        <f t="shared" si="11"/>
        <v>18673446.600000001</v>
      </c>
      <c r="AB7" s="31">
        <f t="shared" si="11"/>
        <v>1382341.8599999999</v>
      </c>
      <c r="AC7" s="31">
        <f t="shared" si="11"/>
        <v>2136411.4299999997</v>
      </c>
      <c r="AD7" s="31">
        <f t="shared" si="11"/>
        <v>2841568.14</v>
      </c>
      <c r="AE7" s="31">
        <f t="shared" si="11"/>
        <v>3391040.1799999997</v>
      </c>
      <c r="AF7" s="31">
        <f t="shared" si="11"/>
        <v>11953379.330000002</v>
      </c>
      <c r="AG7" s="31">
        <f t="shared" si="11"/>
        <v>12677760.52</v>
      </c>
      <c r="AH7" s="31">
        <f t="shared" si="11"/>
        <v>13774169.360000001</v>
      </c>
      <c r="AI7" s="31">
        <f t="shared" si="11"/>
        <v>14683573.66</v>
      </c>
      <c r="AJ7" s="31">
        <f t="shared" si="11"/>
        <v>15468021.43</v>
      </c>
      <c r="AK7" s="31">
        <f t="shared" si="11"/>
        <v>16406491.440000001</v>
      </c>
      <c r="AL7" s="31">
        <f t="shared" si="11"/>
        <v>17952598.27</v>
      </c>
      <c r="AM7" s="31">
        <f t="shared" si="11"/>
        <v>12276499</v>
      </c>
    </row>
    <row r="8" spans="1:39">
      <c r="A8" t="s">
        <v>67</v>
      </c>
      <c r="J8" s="16"/>
      <c r="K8" s="16"/>
      <c r="L8" s="16"/>
      <c r="M8" s="16"/>
      <c r="N8" s="29">
        <v>0</v>
      </c>
      <c r="O8" s="29">
        <v>0</v>
      </c>
      <c r="P8" s="29">
        <v>0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0</v>
      </c>
      <c r="W8" s="29">
        <v>0</v>
      </c>
      <c r="X8" s="29">
        <v>0</v>
      </c>
      <c r="Y8" s="29">
        <v>0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37">
        <v>0</v>
      </c>
      <c r="AG8" s="37">
        <v>0</v>
      </c>
      <c r="AH8" s="37">
        <v>0</v>
      </c>
      <c r="AI8" s="37">
        <v>0</v>
      </c>
      <c r="AJ8" s="37">
        <v>0</v>
      </c>
      <c r="AK8" s="37">
        <v>0</v>
      </c>
      <c r="AL8" s="37">
        <v>0</v>
      </c>
    </row>
    <row r="9" spans="1:39">
      <c r="A9" t="s">
        <v>68</v>
      </c>
      <c r="J9" s="16"/>
      <c r="K9" s="16"/>
      <c r="L9" s="16"/>
      <c r="M9" s="16"/>
      <c r="N9" s="29">
        <v>0</v>
      </c>
      <c r="O9" s="29">
        <v>0</v>
      </c>
      <c r="P9" s="29">
        <v>0</v>
      </c>
      <c r="Q9" s="29">
        <v>0</v>
      </c>
      <c r="R9" s="29">
        <v>0</v>
      </c>
      <c r="S9" s="29">
        <v>0</v>
      </c>
      <c r="T9" s="29">
        <v>0</v>
      </c>
      <c r="U9" s="29">
        <v>1485962.39</v>
      </c>
      <c r="V9" s="29">
        <v>1786002.09</v>
      </c>
      <c r="W9" s="29">
        <v>2020816.42</v>
      </c>
      <c r="X9" s="29">
        <v>2251320.23</v>
      </c>
      <c r="Y9" s="29">
        <v>2572367.48</v>
      </c>
      <c r="Z9" s="30">
        <v>11011357.890000001</v>
      </c>
      <c r="AA9" s="37">
        <v>2893680.02</v>
      </c>
      <c r="AB9" s="37">
        <v>465743.74</v>
      </c>
      <c r="AC9" s="37">
        <v>699018</v>
      </c>
      <c r="AD9" s="37">
        <v>936031.32</v>
      </c>
      <c r="AE9" s="37">
        <v>1183662.3899999999</v>
      </c>
      <c r="AF9" s="37">
        <v>1608274.59</v>
      </c>
      <c r="AG9" s="37">
        <v>1856167.63</v>
      </c>
      <c r="AH9" s="37">
        <v>2106773.08</v>
      </c>
      <c r="AI9" s="37">
        <v>2444676.91</v>
      </c>
      <c r="AJ9" s="37">
        <v>2765197.1</v>
      </c>
      <c r="AK9" s="37">
        <v>3015296.08</v>
      </c>
      <c r="AL9" s="37">
        <v>3505009.58</v>
      </c>
      <c r="AM9" s="30">
        <v>11401799</v>
      </c>
    </row>
    <row r="10" spans="1:39">
      <c r="A10" t="s">
        <v>69</v>
      </c>
      <c r="B10">
        <v>8523562.8699999992</v>
      </c>
      <c r="C10">
        <v>0</v>
      </c>
      <c r="D10">
        <v>83309.86</v>
      </c>
      <c r="E10">
        <v>8183086.46</v>
      </c>
      <c r="F10">
        <v>8183086.46</v>
      </c>
      <c r="G10">
        <v>8183086.46</v>
      </c>
      <c r="H10">
        <v>8228510.71</v>
      </c>
      <c r="I10">
        <v>8244053.3600000003</v>
      </c>
      <c r="J10" s="16">
        <v>8316647.2800000003</v>
      </c>
      <c r="K10" s="16">
        <v>8316647.2800000003</v>
      </c>
      <c r="L10" s="16">
        <v>8374696.2199999997</v>
      </c>
      <c r="M10" s="16"/>
      <c r="N10" s="29">
        <v>8380634.6799999997</v>
      </c>
      <c r="O10" s="29">
        <v>321265.08</v>
      </c>
      <c r="P10" s="29">
        <v>505122.61</v>
      </c>
      <c r="Q10" s="29">
        <v>8625644.2400000002</v>
      </c>
      <c r="R10" s="29">
        <v>8843984.5099999998</v>
      </c>
      <c r="S10" s="29">
        <v>9188985.1199999992</v>
      </c>
      <c r="T10" s="29">
        <v>9450134.8200000003</v>
      </c>
      <c r="U10" s="29">
        <v>8201701.0999999996</v>
      </c>
      <c r="V10" s="29">
        <v>8201701.0999999996</v>
      </c>
      <c r="W10" s="29">
        <v>8201701.0999999996</v>
      </c>
      <c r="X10" s="29">
        <v>8201701.0999999996</v>
      </c>
      <c r="Y10" s="29">
        <v>8362201.0999999996</v>
      </c>
      <c r="AA10" s="37">
        <v>8362201.0999999996</v>
      </c>
      <c r="AB10" s="37">
        <v>0</v>
      </c>
      <c r="AC10" s="37">
        <v>0</v>
      </c>
      <c r="AD10" s="37">
        <v>0</v>
      </c>
      <c r="AE10" s="37">
        <v>0</v>
      </c>
      <c r="AF10" s="37">
        <v>7685404.2000000002</v>
      </c>
      <c r="AG10" s="37">
        <v>7685404.2000000002</v>
      </c>
      <c r="AH10" s="37">
        <v>7685404.2000000002</v>
      </c>
      <c r="AI10" s="37">
        <v>7860450.2000000002</v>
      </c>
      <c r="AJ10" s="37">
        <v>7860450.2000000002</v>
      </c>
      <c r="AK10" s="37">
        <v>7860450.2000000002</v>
      </c>
      <c r="AL10" s="37">
        <v>7896789.5999999996</v>
      </c>
    </row>
    <row r="11" spans="1:39">
      <c r="A11" t="s">
        <v>70</v>
      </c>
      <c r="J11" s="16"/>
      <c r="K11" s="16"/>
      <c r="L11" s="16"/>
      <c r="M11" s="16">
        <v>855540</v>
      </c>
      <c r="N11" s="28">
        <v>4980195.67</v>
      </c>
      <c r="O11" s="28">
        <v>813962.65</v>
      </c>
      <c r="P11" s="28">
        <v>1356335.38</v>
      </c>
      <c r="Q11" s="28">
        <v>2164928.7000000002</v>
      </c>
      <c r="R11" s="28">
        <v>2757333.94</v>
      </c>
      <c r="S11" s="28">
        <v>3306072.97</v>
      </c>
      <c r="T11" s="28">
        <v>3874533.8</v>
      </c>
      <c r="U11" s="28">
        <v>4202951.68</v>
      </c>
      <c r="V11" s="28">
        <v>4833630.53</v>
      </c>
      <c r="W11" s="28">
        <v>5517172.0099999998</v>
      </c>
      <c r="X11" s="28">
        <v>6476104.4100000001</v>
      </c>
      <c r="Y11" s="28">
        <v>7015278.3499999996</v>
      </c>
      <c r="Z11" s="30">
        <v>1036300</v>
      </c>
      <c r="AA11" s="36">
        <v>7417565.4800000004</v>
      </c>
      <c r="AB11" s="36">
        <v>916598.12</v>
      </c>
      <c r="AC11" s="36">
        <v>1437393.43</v>
      </c>
      <c r="AD11" s="36">
        <v>1905536.82</v>
      </c>
      <c r="AE11" s="36">
        <v>2207377.79</v>
      </c>
      <c r="AF11" s="36">
        <v>2659700.54</v>
      </c>
      <c r="AG11" s="36">
        <v>3136188.69</v>
      </c>
      <c r="AH11" s="36">
        <v>3981992.08</v>
      </c>
      <c r="AI11" s="36">
        <v>4378446.55</v>
      </c>
      <c r="AJ11" s="36">
        <v>4842374.13</v>
      </c>
      <c r="AK11" s="36">
        <v>5530745.1600000001</v>
      </c>
      <c r="AL11" s="36">
        <v>6550799.0899999999</v>
      </c>
      <c r="AM11" s="30">
        <v>874700</v>
      </c>
    </row>
    <row r="12" spans="1:39">
      <c r="A12" s="1" t="s">
        <v>71</v>
      </c>
      <c r="B12" s="8">
        <f t="shared" ref="B12:AM12" si="12">SUM(B13:B18)</f>
        <v>33561450.700000003</v>
      </c>
      <c r="C12" s="8">
        <f t="shared" si="12"/>
        <v>5320578.9800000004</v>
      </c>
      <c r="D12" s="8">
        <f t="shared" si="12"/>
        <v>7886293.2599999998</v>
      </c>
      <c r="E12" s="8">
        <f t="shared" si="12"/>
        <v>10583399.699999999</v>
      </c>
      <c r="F12" s="8">
        <f t="shared" si="12"/>
        <v>13187436.58</v>
      </c>
      <c r="G12" s="8">
        <f t="shared" si="12"/>
        <v>15897676.280000001</v>
      </c>
      <c r="H12" s="8">
        <f t="shared" si="12"/>
        <v>21126564.040000003</v>
      </c>
      <c r="I12" s="8">
        <f t="shared" si="12"/>
        <v>23793606.27</v>
      </c>
      <c r="J12" s="8">
        <f t="shared" si="12"/>
        <v>26355078.66</v>
      </c>
      <c r="K12" s="8">
        <f t="shared" si="12"/>
        <v>29005847.850000001</v>
      </c>
      <c r="L12" s="8">
        <f t="shared" si="12"/>
        <v>32861076.719999999</v>
      </c>
      <c r="M12" s="8">
        <f t="shared" si="12"/>
        <v>35423178</v>
      </c>
      <c r="N12" s="8">
        <f t="shared" si="12"/>
        <v>35658808.780000001</v>
      </c>
      <c r="O12" s="8">
        <f t="shared" si="12"/>
        <v>6663477.4699999997</v>
      </c>
      <c r="P12" s="8">
        <f t="shared" si="12"/>
        <v>9912968.9100000001</v>
      </c>
      <c r="Q12" s="8">
        <f t="shared" si="12"/>
        <v>13254352.74</v>
      </c>
      <c r="R12" s="8">
        <f t="shared" si="12"/>
        <v>16481918.540000001</v>
      </c>
      <c r="S12" s="8">
        <f t="shared" si="12"/>
        <v>19762791.82</v>
      </c>
      <c r="T12" s="8">
        <f t="shared" si="12"/>
        <v>23079012.109999999</v>
      </c>
      <c r="U12" s="8">
        <f t="shared" si="12"/>
        <v>26517104.369999997</v>
      </c>
      <c r="V12" s="8">
        <f t="shared" si="12"/>
        <v>29885502.460000001</v>
      </c>
      <c r="W12" s="8">
        <f t="shared" si="12"/>
        <v>33123322.229999997</v>
      </c>
      <c r="X12" s="8">
        <f t="shared" si="12"/>
        <v>36524746.219999999</v>
      </c>
      <c r="Y12" s="8">
        <f t="shared" si="12"/>
        <v>39392323.810000002</v>
      </c>
      <c r="Z12" s="31">
        <f t="shared" si="12"/>
        <v>39378088.810000002</v>
      </c>
      <c r="AA12" s="31">
        <f t="shared" si="12"/>
        <v>43460602.380000003</v>
      </c>
      <c r="AB12" s="31">
        <f t="shared" si="12"/>
        <v>8000829.71</v>
      </c>
      <c r="AC12" s="31">
        <f t="shared" si="12"/>
        <v>11966269.780000001</v>
      </c>
      <c r="AD12" s="31">
        <f t="shared" si="12"/>
        <v>15778524.27</v>
      </c>
      <c r="AE12" s="31">
        <f t="shared" si="12"/>
        <v>19855800.719999999</v>
      </c>
      <c r="AF12" s="31">
        <f t="shared" si="12"/>
        <v>23770943.109999999</v>
      </c>
      <c r="AG12" s="31">
        <f t="shared" si="12"/>
        <v>27650297.619999997</v>
      </c>
      <c r="AH12" s="31">
        <f t="shared" si="12"/>
        <v>31686167.949999996</v>
      </c>
      <c r="AI12" s="31">
        <f t="shared" si="12"/>
        <v>35700263.149999999</v>
      </c>
      <c r="AJ12" s="31">
        <f t="shared" si="12"/>
        <v>39703005.310000002</v>
      </c>
      <c r="AK12" s="31">
        <f t="shared" si="12"/>
        <v>43637160.549999997</v>
      </c>
      <c r="AL12" s="31">
        <f t="shared" si="12"/>
        <v>46903530.269999996</v>
      </c>
      <c r="AM12" s="31">
        <f t="shared" si="12"/>
        <v>46903530</v>
      </c>
    </row>
    <row r="13" spans="1:39">
      <c r="A13" t="s">
        <v>72</v>
      </c>
      <c r="B13" s="9">
        <v>620032.92000000004</v>
      </c>
      <c r="C13" s="9">
        <v>118114.13</v>
      </c>
      <c r="D13" s="9">
        <v>3850646.13</v>
      </c>
      <c r="E13" s="9">
        <v>5144823.13</v>
      </c>
      <c r="F13" s="9">
        <v>6394001.1299999999</v>
      </c>
      <c r="G13" s="9">
        <v>7708178.1299999999</v>
      </c>
      <c r="H13" s="9">
        <v>10341033.130000001</v>
      </c>
      <c r="I13" s="9">
        <v>11752928.029999999</v>
      </c>
      <c r="J13" s="16">
        <v>13040881.01</v>
      </c>
      <c r="K13" s="16">
        <v>14360059.01</v>
      </c>
      <c r="L13" s="16">
        <v>16919678.699999999</v>
      </c>
      <c r="M13" s="16">
        <f>16000000+919679</f>
        <v>16919679</v>
      </c>
      <c r="N13" s="29">
        <v>18502068.699999999</v>
      </c>
      <c r="O13" s="29">
        <v>3363360</v>
      </c>
      <c r="P13" s="29">
        <v>4993589.41</v>
      </c>
      <c r="Q13" s="29">
        <v>6679018.8200000003</v>
      </c>
      <c r="R13" s="29">
        <v>8289448.2300000004</v>
      </c>
      <c r="S13" s="29">
        <v>9937377.6400000006</v>
      </c>
      <c r="T13" s="29">
        <v>11646232.050000001</v>
      </c>
      <c r="U13" s="29">
        <v>13444416.09</v>
      </c>
      <c r="V13" s="29">
        <v>15230820.5</v>
      </c>
      <c r="W13" s="29">
        <v>16937972.210000001</v>
      </c>
      <c r="X13" s="29">
        <v>18730851.620000001</v>
      </c>
      <c r="Y13" s="29">
        <v>20067225.609999999</v>
      </c>
      <c r="Z13" s="30">
        <v>18775154.100000001</v>
      </c>
      <c r="AA13" s="37">
        <v>22253712.030000001</v>
      </c>
      <c r="AB13" s="37">
        <v>4176915.96</v>
      </c>
      <c r="AC13" s="37">
        <v>6127634.9400000004</v>
      </c>
      <c r="AD13" s="37">
        <v>8087128.9199999999</v>
      </c>
      <c r="AE13" s="37">
        <v>10157073.9</v>
      </c>
      <c r="AF13" s="37">
        <v>12181898.880000001</v>
      </c>
      <c r="AG13" s="37">
        <v>14303014.859999999</v>
      </c>
      <c r="AH13" s="37">
        <v>16420722.84</v>
      </c>
      <c r="AI13" s="37">
        <v>18581607.82</v>
      </c>
      <c r="AJ13" s="37">
        <v>20743550.800000001</v>
      </c>
      <c r="AK13" s="37">
        <v>22861348.780000001</v>
      </c>
      <c r="AL13" s="37">
        <v>24247138.620000001</v>
      </c>
      <c r="AM13" s="30">
        <f>22329916+1917223</f>
        <v>24247139</v>
      </c>
    </row>
    <row r="14" spans="1:39">
      <c r="A14" t="s">
        <v>73</v>
      </c>
      <c r="B14" s="9">
        <v>7044143.9199999999</v>
      </c>
      <c r="C14" s="9">
        <v>901934.95</v>
      </c>
      <c r="D14" s="9">
        <v>1299195.23</v>
      </c>
      <c r="E14" s="9">
        <v>1710582.22</v>
      </c>
      <c r="F14" s="9">
        <v>2095856.2</v>
      </c>
      <c r="G14" s="9">
        <v>2480702.1</v>
      </c>
      <c r="H14" s="9">
        <v>3198595.95</v>
      </c>
      <c r="I14" s="9">
        <v>3543630.2</v>
      </c>
      <c r="J14" s="16">
        <v>3864691.85</v>
      </c>
      <c r="K14" s="16">
        <v>4183009.04</v>
      </c>
      <c r="L14" s="16">
        <v>4478385.76</v>
      </c>
      <c r="M14" s="16">
        <v>4478386</v>
      </c>
      <c r="N14" s="29">
        <v>4770337.82</v>
      </c>
      <c r="O14" s="29">
        <v>570633.56999999995</v>
      </c>
      <c r="P14" s="29">
        <v>810359.6</v>
      </c>
      <c r="Q14" s="29">
        <v>1062500.02</v>
      </c>
      <c r="R14" s="29">
        <v>1293664.4099999999</v>
      </c>
      <c r="S14" s="29">
        <v>1519263.73</v>
      </c>
      <c r="T14" s="29">
        <v>1724743.19</v>
      </c>
      <c r="U14" s="29">
        <v>1923801.41</v>
      </c>
      <c r="V14" s="29">
        <v>2109589.09</v>
      </c>
      <c r="W14" s="29">
        <v>2276541.15</v>
      </c>
      <c r="X14" s="29">
        <v>2435787.73</v>
      </c>
      <c r="Y14" s="29">
        <v>2577054.86</v>
      </c>
      <c r="Z14" s="30">
        <v>3869126.37</v>
      </c>
      <c r="AA14" s="37">
        <v>2709760.34</v>
      </c>
      <c r="AB14" s="37">
        <v>252140.42</v>
      </c>
      <c r="AC14" s="37">
        <v>348030.84</v>
      </c>
      <c r="AD14" s="37">
        <v>440924.68</v>
      </c>
      <c r="AE14" s="37">
        <v>517979.48</v>
      </c>
      <c r="AF14" s="37">
        <v>584332.22</v>
      </c>
      <c r="AG14" s="37">
        <v>635702.09</v>
      </c>
      <c r="AH14" s="37">
        <v>675513.74</v>
      </c>
      <c r="AI14" s="37">
        <v>702054.84</v>
      </c>
      <c r="AJ14" s="37">
        <v>714897.31</v>
      </c>
      <c r="AK14" s="37">
        <v>714897.31</v>
      </c>
      <c r="AL14" s="37">
        <v>714897.31</v>
      </c>
      <c r="AM14" s="30">
        <v>714897</v>
      </c>
    </row>
    <row r="15" spans="1:39">
      <c r="A15" t="s">
        <v>74</v>
      </c>
      <c r="B15" s="11">
        <v>13780000</v>
      </c>
      <c r="C15" s="11">
        <v>2488354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9">
        <v>0</v>
      </c>
      <c r="J15" s="16">
        <v>0</v>
      </c>
      <c r="K15" s="16">
        <v>0</v>
      </c>
      <c r="L15" s="16">
        <v>0</v>
      </c>
      <c r="M15" s="16">
        <v>4025113</v>
      </c>
      <c r="N15" s="29">
        <v>0</v>
      </c>
      <c r="O15" s="29">
        <v>0</v>
      </c>
      <c r="P15" s="29">
        <v>0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7">
        <v>0</v>
      </c>
      <c r="AH15" s="37">
        <v>0</v>
      </c>
      <c r="AI15" s="37">
        <v>0</v>
      </c>
      <c r="AJ15" s="37">
        <v>0</v>
      </c>
      <c r="AK15" s="37">
        <v>0</v>
      </c>
      <c r="AL15" s="37">
        <v>0</v>
      </c>
    </row>
    <row r="16" spans="1:39">
      <c r="A16" t="s">
        <v>75</v>
      </c>
      <c r="B16" s="9">
        <v>12117273.859999999</v>
      </c>
      <c r="C16" s="9">
        <v>1812175.9</v>
      </c>
      <c r="D16" s="9">
        <v>2736451.9</v>
      </c>
      <c r="E16" s="9">
        <v>3727994.35</v>
      </c>
      <c r="F16" s="9">
        <v>4697579.25</v>
      </c>
      <c r="G16" s="9">
        <v>5708796.0499999998</v>
      </c>
      <c r="H16" s="9">
        <v>7586934.96</v>
      </c>
      <c r="I16" s="9">
        <v>8497048.0399999991</v>
      </c>
      <c r="J16" s="16">
        <v>9449505.8000000007</v>
      </c>
      <c r="K16" s="16">
        <v>10462779.800000001</v>
      </c>
      <c r="L16" s="16">
        <v>11463012.26</v>
      </c>
      <c r="M16" s="16"/>
      <c r="N16" s="29">
        <v>12386402.26</v>
      </c>
      <c r="O16" s="29">
        <v>2729483.9</v>
      </c>
      <c r="P16" s="29">
        <v>4109019.9</v>
      </c>
      <c r="Q16" s="29">
        <v>5512833.9000000004</v>
      </c>
      <c r="R16" s="29">
        <v>6898805.9000000004</v>
      </c>
      <c r="S16" s="29">
        <v>8306150.4500000002</v>
      </c>
      <c r="T16" s="29">
        <v>9708036.8699999992</v>
      </c>
      <c r="U16" s="29">
        <v>11148886.869999999</v>
      </c>
      <c r="V16" s="29">
        <v>12545092.869999999</v>
      </c>
      <c r="W16" s="29">
        <v>13908808.869999999</v>
      </c>
      <c r="X16" s="29">
        <v>15358106.869999999</v>
      </c>
      <c r="Y16" s="29">
        <v>16748043.34</v>
      </c>
      <c r="AA16" s="37">
        <v>18497130.010000002</v>
      </c>
      <c r="AB16" s="37">
        <v>3571773.33</v>
      </c>
      <c r="AC16" s="37">
        <v>5490604</v>
      </c>
      <c r="AD16" s="37">
        <v>7250470.6699999999</v>
      </c>
      <c r="AE16" s="37">
        <v>9180747.3399999999</v>
      </c>
      <c r="AF16" s="37">
        <v>11004712.01</v>
      </c>
      <c r="AG16" s="37">
        <v>12711580.67</v>
      </c>
      <c r="AH16" s="37">
        <v>14589931.369999999</v>
      </c>
      <c r="AI16" s="37">
        <v>16416600.49</v>
      </c>
      <c r="AJ16" s="37">
        <v>18244557.199999999</v>
      </c>
      <c r="AK16" s="37">
        <v>20060914.460000001</v>
      </c>
      <c r="AL16" s="37">
        <v>21941494.34</v>
      </c>
      <c r="AM16" s="30">
        <v>1941494</v>
      </c>
    </row>
    <row r="17" spans="1:39">
      <c r="A17" t="s">
        <v>76</v>
      </c>
      <c r="J17" s="16"/>
      <c r="K17" s="16"/>
      <c r="L17" s="16"/>
      <c r="M17" s="16"/>
      <c r="N17" s="29">
        <v>0</v>
      </c>
      <c r="O17" s="29">
        <v>0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  <c r="AG17" s="37">
        <v>0</v>
      </c>
      <c r="AH17" s="37">
        <v>0</v>
      </c>
      <c r="AI17" s="37">
        <v>0</v>
      </c>
      <c r="AJ17" s="37">
        <v>0</v>
      </c>
      <c r="AK17" s="37">
        <v>0</v>
      </c>
      <c r="AL17" s="37">
        <v>0</v>
      </c>
    </row>
    <row r="18" spans="1:39">
      <c r="A18" t="s">
        <v>77</v>
      </c>
      <c r="J18" s="16"/>
      <c r="K18" s="16"/>
      <c r="L18" s="16"/>
      <c r="M18" s="16">
        <v>10000000</v>
      </c>
      <c r="N18" s="29">
        <v>0</v>
      </c>
      <c r="O18" s="29">
        <v>0</v>
      </c>
      <c r="P18" s="29">
        <v>0</v>
      </c>
      <c r="Q18" s="29">
        <v>0</v>
      </c>
      <c r="R18" s="29">
        <v>0</v>
      </c>
      <c r="S18" s="29">
        <v>0</v>
      </c>
      <c r="T18" s="29">
        <v>0</v>
      </c>
      <c r="U18" s="29">
        <v>0</v>
      </c>
      <c r="V18" s="29">
        <v>0</v>
      </c>
      <c r="W18" s="29">
        <v>0</v>
      </c>
      <c r="X18" s="29">
        <v>0</v>
      </c>
      <c r="Y18" s="29">
        <v>0</v>
      </c>
      <c r="Z18" s="30">
        <f>1733808.34+15000000</f>
        <v>16733808.34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7">
        <v>0</v>
      </c>
      <c r="AH18" s="37">
        <v>0</v>
      </c>
      <c r="AI18" s="37">
        <v>0</v>
      </c>
      <c r="AJ18" s="37">
        <v>0</v>
      </c>
      <c r="AK18" s="37">
        <v>0</v>
      </c>
      <c r="AL18" s="37">
        <v>0</v>
      </c>
      <c r="AM18" s="30">
        <f>20000000</f>
        <v>20000000</v>
      </c>
    </row>
    <row r="19" spans="1:39">
      <c r="A19" s="1" t="s">
        <v>78</v>
      </c>
      <c r="B19" s="8">
        <f t="shared" ref="B19:AM19" si="13">B3-B12</f>
        <v>93937938.760000005</v>
      </c>
      <c r="C19" s="8">
        <f t="shared" si="13"/>
        <v>13388879.5</v>
      </c>
      <c r="D19" s="8">
        <f t="shared" si="13"/>
        <v>21884283.090000004</v>
      </c>
      <c r="E19" s="8">
        <f t="shared" si="13"/>
        <v>36626464.560000002</v>
      </c>
      <c r="F19" s="8">
        <f t="shared" si="13"/>
        <v>43314583.250000007</v>
      </c>
      <c r="G19" s="8">
        <f t="shared" si="13"/>
        <v>51335120.589999989</v>
      </c>
      <c r="H19" s="8">
        <f t="shared" si="13"/>
        <v>70350865.859999985</v>
      </c>
      <c r="I19" s="8">
        <f t="shared" si="13"/>
        <v>78881010.430000007</v>
      </c>
      <c r="J19" s="8">
        <f t="shared" si="13"/>
        <v>87831021.960000008</v>
      </c>
      <c r="K19" s="8">
        <f t="shared" si="13"/>
        <v>95961856.920000017</v>
      </c>
      <c r="L19" s="8">
        <f t="shared" si="13"/>
        <v>104051863.06</v>
      </c>
      <c r="M19" s="8">
        <f t="shared" si="13"/>
        <v>106610274</v>
      </c>
      <c r="N19" s="8">
        <f t="shared" si="13"/>
        <v>117174501.91</v>
      </c>
      <c r="O19" s="8">
        <f t="shared" si="13"/>
        <v>15959629.59</v>
      </c>
      <c r="P19" s="8">
        <f t="shared" si="13"/>
        <v>24857663.500000004</v>
      </c>
      <c r="Q19" s="8">
        <f t="shared" si="13"/>
        <v>42121211.210000001</v>
      </c>
      <c r="R19" s="8">
        <f t="shared" si="13"/>
        <v>50213320.869999997</v>
      </c>
      <c r="S19" s="8">
        <f t="shared" si="13"/>
        <v>58750850.839999996</v>
      </c>
      <c r="T19" s="8">
        <f t="shared" si="13"/>
        <v>69403814.450000003</v>
      </c>
      <c r="U19" s="8">
        <f t="shared" si="13"/>
        <v>77739045.530000001</v>
      </c>
      <c r="V19" s="8">
        <f t="shared" si="13"/>
        <v>86427664.560000002</v>
      </c>
      <c r="W19" s="8">
        <f t="shared" si="13"/>
        <v>95563247.710000008</v>
      </c>
      <c r="X19" s="8">
        <f t="shared" si="13"/>
        <v>104331913.65000001</v>
      </c>
      <c r="Y19" s="8">
        <f t="shared" si="13"/>
        <v>113663881.5</v>
      </c>
      <c r="Z19" s="31">
        <f t="shared" si="13"/>
        <v>113754905.76999998</v>
      </c>
      <c r="AA19" s="31">
        <f t="shared" si="13"/>
        <v>121080656.81999999</v>
      </c>
      <c r="AB19" s="31">
        <f t="shared" si="13"/>
        <v>15380036.469999999</v>
      </c>
      <c r="AC19" s="31">
        <f t="shared" si="13"/>
        <v>25394005.910000004</v>
      </c>
      <c r="AD19" s="31">
        <f t="shared" si="13"/>
        <v>35689900.760000005</v>
      </c>
      <c r="AE19" s="31">
        <f t="shared" si="13"/>
        <v>44706515.460000001</v>
      </c>
      <c r="AF19" s="31">
        <f t="shared" si="13"/>
        <v>61986671.629999995</v>
      </c>
      <c r="AG19" s="31">
        <f t="shared" si="13"/>
        <v>71373751.090000004</v>
      </c>
      <c r="AH19" s="31">
        <f t="shared" si="13"/>
        <v>81905022.280000001</v>
      </c>
      <c r="AI19" s="31">
        <f t="shared" si="13"/>
        <v>92122376.590000004</v>
      </c>
      <c r="AJ19" s="31">
        <f t="shared" si="13"/>
        <v>101784791.03</v>
      </c>
      <c r="AK19" s="31">
        <f t="shared" si="13"/>
        <v>113053578.3</v>
      </c>
      <c r="AL19" s="31">
        <f t="shared" si="13"/>
        <v>126731993.60000001</v>
      </c>
      <c r="AM19" s="31">
        <f t="shared" si="13"/>
        <v>126731987</v>
      </c>
    </row>
    <row r="20" spans="1:39">
      <c r="A20" t="s">
        <v>79</v>
      </c>
      <c r="J20" s="16"/>
      <c r="K20" s="16"/>
      <c r="L20" s="16"/>
      <c r="M20" s="16"/>
      <c r="N20" s="28">
        <v>3333334</v>
      </c>
      <c r="O20" s="28">
        <v>666667</v>
      </c>
      <c r="P20" s="28">
        <v>1000000</v>
      </c>
      <c r="Q20" s="28">
        <v>1333333.3</v>
      </c>
      <c r="R20" s="28">
        <v>1666666.7</v>
      </c>
      <c r="S20" s="28">
        <v>2000000</v>
      </c>
      <c r="T20" s="28">
        <v>2333333.2999999998</v>
      </c>
      <c r="U20" s="28">
        <v>2666666.7000000002</v>
      </c>
      <c r="V20" s="28">
        <v>3000000</v>
      </c>
      <c r="W20" s="28">
        <v>3333333.3</v>
      </c>
      <c r="X20" s="28">
        <v>3666666.7</v>
      </c>
      <c r="Y20" s="28">
        <v>1000000</v>
      </c>
      <c r="Z20" s="30">
        <v>1014235</v>
      </c>
      <c r="AA20" s="36">
        <v>1430902.7</v>
      </c>
      <c r="AB20" s="36">
        <v>833333.3</v>
      </c>
      <c r="AC20" s="36">
        <v>1250000</v>
      </c>
      <c r="AD20" s="36">
        <v>1666666.7</v>
      </c>
      <c r="AE20" s="36">
        <v>2083333.3</v>
      </c>
      <c r="AF20" s="36">
        <v>2500000</v>
      </c>
      <c r="AG20" s="36">
        <v>2916666.7</v>
      </c>
      <c r="AH20" s="36">
        <v>3333333.3</v>
      </c>
      <c r="AI20" s="36">
        <v>3750000</v>
      </c>
      <c r="AJ20" s="36">
        <v>4166666.7</v>
      </c>
      <c r="AK20" s="36">
        <v>4583333.3</v>
      </c>
      <c r="AL20" s="36">
        <v>1000000</v>
      </c>
      <c r="AM20" s="30">
        <v>1000000</v>
      </c>
    </row>
    <row r="21" spans="1:39">
      <c r="A21" t="s">
        <v>80</v>
      </c>
      <c r="B21" s="11">
        <v>5730914.5</v>
      </c>
      <c r="C21" s="11">
        <v>500000</v>
      </c>
      <c r="D21" s="11">
        <v>750000</v>
      </c>
      <c r="E21" s="11">
        <v>1000000</v>
      </c>
      <c r="F21" s="11">
        <v>1250000</v>
      </c>
      <c r="G21" s="11">
        <v>1500000</v>
      </c>
      <c r="H21" s="11">
        <v>2000000</v>
      </c>
      <c r="I21" s="11">
        <v>2250000</v>
      </c>
      <c r="J21" s="16">
        <v>2500000</v>
      </c>
      <c r="K21" s="16">
        <v>2750000</v>
      </c>
      <c r="L21" s="16">
        <v>3000000</v>
      </c>
      <c r="M21" s="16">
        <v>3000000</v>
      </c>
      <c r="N21" s="29">
        <v>3333334</v>
      </c>
      <c r="O21" s="29">
        <v>666667</v>
      </c>
      <c r="P21" s="29">
        <v>1000000</v>
      </c>
      <c r="Q21" s="29">
        <v>1333333.3</v>
      </c>
      <c r="R21" s="29">
        <v>1666666.7</v>
      </c>
      <c r="S21" s="29">
        <v>2000000</v>
      </c>
      <c r="T21" s="29">
        <v>2333333.2999999998</v>
      </c>
      <c r="U21" s="29">
        <v>2666666.7000000002</v>
      </c>
      <c r="V21" s="29">
        <v>3000000</v>
      </c>
      <c r="W21" s="29">
        <v>3333333.3</v>
      </c>
      <c r="X21" s="29">
        <v>3666666.7</v>
      </c>
      <c r="Y21" s="29">
        <v>1000000</v>
      </c>
      <c r="AA21" s="37">
        <v>1430902.7</v>
      </c>
      <c r="AB21" s="37">
        <v>833333.3</v>
      </c>
      <c r="AC21" s="37">
        <v>1250000</v>
      </c>
      <c r="AD21" s="37">
        <v>1666666.7</v>
      </c>
      <c r="AE21" s="37">
        <v>2083333.3</v>
      </c>
      <c r="AF21" s="37">
        <v>2500000</v>
      </c>
      <c r="AG21" s="37">
        <v>2916666.7</v>
      </c>
      <c r="AH21" s="37">
        <v>3333333.3</v>
      </c>
      <c r="AI21" s="37">
        <v>3750000</v>
      </c>
      <c r="AJ21" s="37">
        <v>4166666.7</v>
      </c>
      <c r="AK21" s="37">
        <v>4583333.3</v>
      </c>
      <c r="AL21" s="37">
        <v>1000000</v>
      </c>
      <c r="AM21" s="30">
        <v>1000000</v>
      </c>
    </row>
    <row r="22" spans="1:39">
      <c r="A22" t="s">
        <v>81</v>
      </c>
      <c r="J22" s="16"/>
      <c r="K22" s="16"/>
      <c r="L22" s="16"/>
      <c r="M22" s="16"/>
      <c r="N22" s="29">
        <v>0</v>
      </c>
      <c r="O22" s="29">
        <v>0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  <c r="AA22" s="37">
        <v>0</v>
      </c>
      <c r="AB22" s="37">
        <v>0</v>
      </c>
      <c r="AC22" s="37">
        <v>0</v>
      </c>
      <c r="AD22" s="37">
        <v>0</v>
      </c>
      <c r="AE22" s="37">
        <v>0</v>
      </c>
      <c r="AF22" s="37">
        <v>0</v>
      </c>
      <c r="AG22" s="37">
        <v>0</v>
      </c>
      <c r="AH22" s="37">
        <v>0</v>
      </c>
      <c r="AI22" s="37">
        <v>0</v>
      </c>
      <c r="AJ22" s="37">
        <v>0</v>
      </c>
      <c r="AK22" s="37">
        <v>0</v>
      </c>
      <c r="AL22" s="37">
        <v>0</v>
      </c>
    </row>
    <row r="23" spans="1:39">
      <c r="A23" s="1" t="s">
        <v>82</v>
      </c>
      <c r="B23" s="8">
        <f t="shared" ref="B23:AM23" si="14">SUM(B24:B28)</f>
        <v>59562290.600000001</v>
      </c>
      <c r="C23" s="8">
        <f t="shared" si="14"/>
        <v>13406496.470000001</v>
      </c>
      <c r="D23" s="8">
        <f t="shared" si="14"/>
        <v>18216699.990000002</v>
      </c>
      <c r="E23" s="8">
        <f t="shared" si="14"/>
        <v>22074218.640000001</v>
      </c>
      <c r="F23" s="8">
        <f t="shared" si="14"/>
        <v>25567958.719999999</v>
      </c>
      <c r="G23" s="8">
        <f t="shared" si="14"/>
        <v>29021623.109999999</v>
      </c>
      <c r="H23" s="8">
        <f t="shared" si="14"/>
        <v>38762091.509999998</v>
      </c>
      <c r="I23" s="8">
        <f t="shared" si="14"/>
        <v>42971737.890000001</v>
      </c>
      <c r="J23" s="8">
        <f t="shared" si="14"/>
        <v>47824208.489999995</v>
      </c>
      <c r="K23" s="8">
        <f t="shared" si="14"/>
        <v>52739179.359999999</v>
      </c>
      <c r="L23" s="8">
        <f t="shared" si="14"/>
        <v>61356757.210000008</v>
      </c>
      <c r="M23" s="8">
        <f t="shared" si="14"/>
        <v>62955570</v>
      </c>
      <c r="N23" s="8">
        <f t="shared" si="14"/>
        <v>67535599.280000001</v>
      </c>
      <c r="O23" s="8">
        <f t="shared" si="14"/>
        <v>12922544.359999999</v>
      </c>
      <c r="P23" s="8">
        <f t="shared" si="14"/>
        <v>18160182.960000001</v>
      </c>
      <c r="Q23" s="8">
        <f t="shared" si="14"/>
        <v>23073441.039999999</v>
      </c>
      <c r="R23" s="8">
        <f t="shared" si="14"/>
        <v>27462784.390000001</v>
      </c>
      <c r="S23" s="8">
        <f t="shared" si="14"/>
        <v>32185033.760000005</v>
      </c>
      <c r="T23" s="8">
        <f t="shared" si="14"/>
        <v>38077814.950000003</v>
      </c>
      <c r="U23" s="8">
        <f t="shared" si="14"/>
        <v>43418184.619999997</v>
      </c>
      <c r="V23" s="8">
        <f t="shared" si="14"/>
        <v>49907604.590000004</v>
      </c>
      <c r="W23" s="8">
        <f t="shared" si="14"/>
        <v>55733573.969999999</v>
      </c>
      <c r="X23" s="8">
        <f t="shared" si="14"/>
        <v>62273913.130000003</v>
      </c>
      <c r="Y23" s="8">
        <f t="shared" si="14"/>
        <v>72056031.980000004</v>
      </c>
      <c r="Z23" s="31">
        <f t="shared" si="14"/>
        <v>73589361.870000005</v>
      </c>
      <c r="AA23" s="31">
        <f t="shared" si="14"/>
        <v>81960893.310000002</v>
      </c>
      <c r="AB23" s="31">
        <f t="shared" si="14"/>
        <v>16800745.41</v>
      </c>
      <c r="AC23" s="31">
        <f t="shared" si="14"/>
        <v>23660263.68</v>
      </c>
      <c r="AD23" s="31">
        <f t="shared" si="14"/>
        <v>29442960.98</v>
      </c>
      <c r="AE23" s="31">
        <f t="shared" si="14"/>
        <v>36032755.359999999</v>
      </c>
      <c r="AF23" s="31">
        <f t="shared" si="14"/>
        <v>43980415.5</v>
      </c>
      <c r="AG23" s="31">
        <f t="shared" si="14"/>
        <v>49704250.920000002</v>
      </c>
      <c r="AH23" s="31">
        <f t="shared" si="14"/>
        <v>55488623.719999999</v>
      </c>
      <c r="AI23" s="31">
        <f t="shared" si="14"/>
        <v>62939550.120000005</v>
      </c>
      <c r="AJ23" s="31">
        <f t="shared" si="14"/>
        <v>70043450.639999986</v>
      </c>
      <c r="AK23" s="31">
        <f t="shared" si="14"/>
        <v>76026404.040000007</v>
      </c>
      <c r="AL23" s="31">
        <f t="shared" si="14"/>
        <v>88400467.050000012</v>
      </c>
      <c r="AM23" s="31">
        <f t="shared" si="14"/>
        <v>88709537</v>
      </c>
    </row>
    <row r="24" spans="1:39">
      <c r="A24" t="s">
        <v>83</v>
      </c>
      <c r="B24" s="11">
        <v>22551834.300000001</v>
      </c>
      <c r="C24" s="11">
        <v>5681491.2999999998</v>
      </c>
      <c r="D24" s="11">
        <v>7854858.2000000002</v>
      </c>
      <c r="E24" s="11">
        <v>10466624.300000001</v>
      </c>
      <c r="F24" s="11">
        <v>12155739.5</v>
      </c>
      <c r="G24" s="11">
        <v>14002225.6</v>
      </c>
      <c r="H24" s="11">
        <v>17705295</v>
      </c>
      <c r="I24" s="11">
        <v>19480934.399999999</v>
      </c>
      <c r="J24" s="16">
        <v>21499057.199999999</v>
      </c>
      <c r="K24" s="16">
        <v>23598113.399999999</v>
      </c>
      <c r="L24" s="16">
        <v>25685540.199999999</v>
      </c>
      <c r="M24" s="16">
        <v>25685540</v>
      </c>
      <c r="N24" s="29">
        <v>28278998.100000001</v>
      </c>
      <c r="O24" s="29">
        <v>4623062.0999999996</v>
      </c>
      <c r="P24" s="29">
        <v>7080393.2999999998</v>
      </c>
      <c r="Q24" s="29">
        <v>9044738.5</v>
      </c>
      <c r="R24" s="29">
        <v>11263503.1</v>
      </c>
      <c r="S24" s="29">
        <v>13539837.800000001</v>
      </c>
      <c r="T24" s="29">
        <v>16030977.9</v>
      </c>
      <c r="U24" s="29">
        <v>18241065.600000001</v>
      </c>
      <c r="V24" s="29">
        <v>20711659.399999999</v>
      </c>
      <c r="W24" s="29">
        <v>22979553.199999999</v>
      </c>
      <c r="X24" s="29">
        <v>25051707.100000001</v>
      </c>
      <c r="Y24" s="29">
        <v>27457139.699999999</v>
      </c>
      <c r="Z24" s="30">
        <v>27457139.590000004</v>
      </c>
      <c r="AA24" s="37">
        <v>30131587.899999999</v>
      </c>
      <c r="AB24" s="37">
        <v>5332397</v>
      </c>
      <c r="AC24" s="37">
        <v>7921822.2000000002</v>
      </c>
      <c r="AD24" s="37">
        <v>10556414.9</v>
      </c>
      <c r="AE24" s="37">
        <v>13073227.699999999</v>
      </c>
      <c r="AF24" s="37">
        <v>16099020.4</v>
      </c>
      <c r="AG24" s="37">
        <v>18691493.199999999</v>
      </c>
      <c r="AH24" s="37">
        <v>20948305.899999999</v>
      </c>
      <c r="AI24" s="37">
        <v>23556898.600000001</v>
      </c>
      <c r="AJ24" s="37">
        <v>26105086.399999999</v>
      </c>
      <c r="AK24" s="37">
        <v>28510029.100000001</v>
      </c>
      <c r="AL24" s="37">
        <v>31986085.600000001</v>
      </c>
      <c r="AM24" s="30">
        <v>31986086</v>
      </c>
    </row>
    <row r="25" spans="1:39">
      <c r="A25" t="s">
        <v>84</v>
      </c>
      <c r="B25" s="9">
        <v>7708207.5999999996</v>
      </c>
      <c r="C25" s="9">
        <v>2236952.85</v>
      </c>
      <c r="D25" s="9">
        <v>2524491.6</v>
      </c>
      <c r="E25" s="9">
        <v>2606424.9300000002</v>
      </c>
      <c r="F25" s="9">
        <v>2777624.93</v>
      </c>
      <c r="G25" s="9">
        <v>2939339.22</v>
      </c>
      <c r="H25" s="9">
        <v>3597881.22</v>
      </c>
      <c r="I25" s="9">
        <v>4089465.22</v>
      </c>
      <c r="J25" s="16">
        <v>5367042.22</v>
      </c>
      <c r="K25" s="16">
        <v>6180083.2199999997</v>
      </c>
      <c r="L25" s="16">
        <v>7102724.5300000003</v>
      </c>
      <c r="M25" s="16">
        <v>7102725</v>
      </c>
      <c r="N25" s="29">
        <v>7330668.5300000003</v>
      </c>
      <c r="O25" s="29">
        <v>2622301.84</v>
      </c>
      <c r="P25" s="29">
        <v>2978613.84</v>
      </c>
      <c r="Q25" s="29">
        <v>3588307.27</v>
      </c>
      <c r="R25" s="29">
        <v>3937914.27</v>
      </c>
      <c r="S25" s="29">
        <v>4452448.01</v>
      </c>
      <c r="T25" s="29">
        <v>5171231.01</v>
      </c>
      <c r="U25" s="29">
        <v>5958872.0099999998</v>
      </c>
      <c r="V25" s="29">
        <v>6361683.0099999998</v>
      </c>
      <c r="W25" s="29">
        <v>7139187.0099999998</v>
      </c>
      <c r="X25" s="29">
        <v>9512727.0099999998</v>
      </c>
      <c r="Y25" s="29">
        <v>10625484.01</v>
      </c>
      <c r="Z25" s="30">
        <v>12156814.01</v>
      </c>
      <c r="AA25" s="37">
        <v>12384351.01</v>
      </c>
      <c r="AB25" s="37">
        <v>3806569.65</v>
      </c>
      <c r="AC25" s="37">
        <v>4168985.75</v>
      </c>
      <c r="AD25" s="37">
        <v>4961210.24</v>
      </c>
      <c r="AE25" s="37">
        <v>5725299.2400000002</v>
      </c>
      <c r="AF25" s="37">
        <v>6755879.2400000002</v>
      </c>
      <c r="AG25" s="37">
        <v>7419672.2400000002</v>
      </c>
      <c r="AH25" s="37">
        <v>8891151.2400000002</v>
      </c>
      <c r="AI25" s="37">
        <v>11332979.24</v>
      </c>
      <c r="AJ25" s="37">
        <v>12227231.9</v>
      </c>
      <c r="AK25" s="37">
        <v>13640173.9</v>
      </c>
      <c r="AL25" s="37">
        <v>14569509.99</v>
      </c>
      <c r="AM25" s="30">
        <v>14569510</v>
      </c>
    </row>
    <row r="26" spans="1:39">
      <c r="A26" t="s">
        <v>85</v>
      </c>
      <c r="B26" s="9">
        <v>2214232</v>
      </c>
      <c r="C26" s="9">
        <v>520470</v>
      </c>
      <c r="D26" s="9">
        <v>747346</v>
      </c>
      <c r="E26" s="9">
        <v>752546</v>
      </c>
      <c r="F26" s="9">
        <v>770246</v>
      </c>
      <c r="G26" s="9">
        <v>833446</v>
      </c>
      <c r="H26" s="9">
        <v>1066715</v>
      </c>
      <c r="I26" s="9">
        <v>1104025</v>
      </c>
      <c r="J26" s="16">
        <v>1152675</v>
      </c>
      <c r="K26" s="16">
        <v>1187975</v>
      </c>
      <c r="L26" s="16">
        <v>2580891</v>
      </c>
      <c r="M26" s="16">
        <v>2580891</v>
      </c>
      <c r="N26" s="29">
        <v>2662101</v>
      </c>
      <c r="O26" s="29">
        <v>138905</v>
      </c>
      <c r="P26" s="29">
        <v>645765</v>
      </c>
      <c r="Q26" s="29">
        <v>804470</v>
      </c>
      <c r="R26" s="29">
        <v>968410</v>
      </c>
      <c r="S26" s="29">
        <v>1146180</v>
      </c>
      <c r="T26" s="29">
        <v>1333325</v>
      </c>
      <c r="U26" s="29">
        <v>1693100</v>
      </c>
      <c r="V26" s="29">
        <v>2054440</v>
      </c>
      <c r="W26" s="29">
        <v>2323905</v>
      </c>
      <c r="X26" s="29">
        <v>2821237</v>
      </c>
      <c r="Y26" s="29">
        <v>4623127</v>
      </c>
      <c r="Z26" s="30">
        <v>4623127</v>
      </c>
      <c r="AA26" s="37">
        <v>4872901</v>
      </c>
      <c r="AB26" s="37">
        <v>669034</v>
      </c>
      <c r="AC26" s="37">
        <v>893409</v>
      </c>
      <c r="AD26" s="37">
        <v>1623919</v>
      </c>
      <c r="AE26" s="37">
        <v>2230144</v>
      </c>
      <c r="AF26" s="37">
        <v>2479562</v>
      </c>
      <c r="AG26" s="37">
        <v>2644950</v>
      </c>
      <c r="AH26" s="37">
        <v>3105131</v>
      </c>
      <c r="AI26" s="37">
        <v>3313451</v>
      </c>
      <c r="AJ26" s="37">
        <v>4236966</v>
      </c>
      <c r="AK26" s="37">
        <v>4413021</v>
      </c>
      <c r="AL26" s="37">
        <v>5801064</v>
      </c>
      <c r="AM26" s="30">
        <v>5801064</v>
      </c>
    </row>
    <row r="27" spans="1:39">
      <c r="A27" t="s">
        <v>86</v>
      </c>
      <c r="B27" s="9">
        <v>2881793.99</v>
      </c>
      <c r="C27" s="9">
        <v>387364.4</v>
      </c>
      <c r="D27" s="9">
        <v>573830.63</v>
      </c>
      <c r="E27" s="9">
        <v>754378.55</v>
      </c>
      <c r="F27" s="9">
        <v>1335408.43</v>
      </c>
      <c r="G27" s="9">
        <v>1747846.5</v>
      </c>
      <c r="H27" s="9">
        <v>2634462.5499999998</v>
      </c>
      <c r="I27" s="9">
        <v>2941707.73</v>
      </c>
      <c r="J27" s="16">
        <v>3242964.53</v>
      </c>
      <c r="K27" s="16">
        <v>3529147.16</v>
      </c>
      <c r="L27" s="16">
        <v>4068009.71</v>
      </c>
      <c r="M27" s="16">
        <v>4068010</v>
      </c>
      <c r="N27" s="29">
        <v>4353764.2</v>
      </c>
      <c r="O27" s="29">
        <v>545099.26</v>
      </c>
      <c r="P27" s="29">
        <v>1091190.3799999999</v>
      </c>
      <c r="Q27" s="29">
        <v>1467629.31</v>
      </c>
      <c r="R27" s="29">
        <v>1829129.86</v>
      </c>
      <c r="S27" s="29">
        <v>2174297.2799999998</v>
      </c>
      <c r="T27" s="29">
        <v>2522731.4900000002</v>
      </c>
      <c r="U27" s="29">
        <v>2864618.98</v>
      </c>
      <c r="V27" s="29">
        <v>3298047.42</v>
      </c>
      <c r="W27" s="29">
        <v>3664204.71</v>
      </c>
      <c r="X27" s="29">
        <v>3989658.49</v>
      </c>
      <c r="Y27" s="29">
        <v>4556234.5199999996</v>
      </c>
      <c r="Z27" s="30">
        <v>4556234.5200000005</v>
      </c>
      <c r="AA27" s="37">
        <v>4892508.2</v>
      </c>
      <c r="AB27" s="37">
        <v>634537.31000000006</v>
      </c>
      <c r="AC27" s="37">
        <v>958855.68000000005</v>
      </c>
      <c r="AD27" s="37">
        <v>1271884.79</v>
      </c>
      <c r="AE27" s="37">
        <v>1585689.97</v>
      </c>
      <c r="AF27" s="37">
        <v>1883886.02</v>
      </c>
      <c r="AG27" s="37">
        <v>2186495.64</v>
      </c>
      <c r="AH27" s="37">
        <v>2521073.7400000002</v>
      </c>
      <c r="AI27" s="37">
        <v>2894122.23</v>
      </c>
      <c r="AJ27" s="37">
        <v>3228203.19</v>
      </c>
      <c r="AK27" s="37">
        <v>3539792.63</v>
      </c>
      <c r="AL27" s="37">
        <v>4124286.92</v>
      </c>
      <c r="AM27" s="30">
        <v>4049466</v>
      </c>
    </row>
    <row r="28" spans="1:39">
      <c r="A28" t="s">
        <v>87</v>
      </c>
      <c r="B28" s="9">
        <v>24206222.710000001</v>
      </c>
      <c r="C28" s="9">
        <v>4580217.92</v>
      </c>
      <c r="D28" s="9">
        <v>6516173.5599999996</v>
      </c>
      <c r="E28" s="9">
        <v>7494244.8600000003</v>
      </c>
      <c r="F28" s="9">
        <v>8528939.8599999994</v>
      </c>
      <c r="G28" s="9">
        <v>9498765.7899999991</v>
      </c>
      <c r="H28" s="9">
        <v>13757737.74</v>
      </c>
      <c r="I28" s="9">
        <v>15355605.539999999</v>
      </c>
      <c r="J28" s="16">
        <v>16562469.539999999</v>
      </c>
      <c r="K28" s="16">
        <v>18243860.579999998</v>
      </c>
      <c r="L28" s="16">
        <v>21919591.77</v>
      </c>
      <c r="M28" s="16">
        <f>22055392+1463012</f>
        <v>23518404</v>
      </c>
      <c r="N28" s="29">
        <v>24910067.449999999</v>
      </c>
      <c r="O28" s="29">
        <v>4993176.16</v>
      </c>
      <c r="P28" s="29">
        <v>6364220.4400000004</v>
      </c>
      <c r="Q28" s="29">
        <v>8168295.96</v>
      </c>
      <c r="R28" s="29">
        <v>9463827.1600000001</v>
      </c>
      <c r="S28" s="29">
        <v>10872270.67</v>
      </c>
      <c r="T28" s="29">
        <v>13019549.550000001</v>
      </c>
      <c r="U28" s="29">
        <v>14660528.029999999</v>
      </c>
      <c r="V28" s="29">
        <v>17481774.760000002</v>
      </c>
      <c r="W28" s="29">
        <v>19626724.050000001</v>
      </c>
      <c r="X28" s="29">
        <v>20898583.530000001</v>
      </c>
      <c r="Y28" s="29">
        <v>24794046.75</v>
      </c>
      <c r="Z28" s="30">
        <v>24796046.749999996</v>
      </c>
      <c r="AA28" s="37">
        <v>29679545.199999999</v>
      </c>
      <c r="AB28" s="37">
        <v>6358207.4500000002</v>
      </c>
      <c r="AC28" s="37">
        <v>9717191.0500000007</v>
      </c>
      <c r="AD28" s="37">
        <v>11029532.050000001</v>
      </c>
      <c r="AE28" s="37">
        <v>13418394.449999999</v>
      </c>
      <c r="AF28" s="37">
        <v>16762067.84</v>
      </c>
      <c r="AG28" s="37">
        <v>18761639.84</v>
      </c>
      <c r="AH28" s="37">
        <v>20022961.84</v>
      </c>
      <c r="AI28" s="37">
        <v>21842099.050000001</v>
      </c>
      <c r="AJ28" s="37">
        <v>24245963.149999999</v>
      </c>
      <c r="AK28" s="37">
        <v>25923387.41</v>
      </c>
      <c r="AL28" s="37">
        <v>31919520.539999999</v>
      </c>
      <c r="AM28" s="30">
        <v>32303411</v>
      </c>
    </row>
    <row r="29" spans="1:39">
      <c r="A29" s="1" t="s">
        <v>88</v>
      </c>
      <c r="B29" s="8">
        <f t="shared" ref="B29:I29" si="15">B19-B21-B23</f>
        <v>28644733.660000004</v>
      </c>
      <c r="C29" s="8">
        <f t="shared" si="15"/>
        <v>-517616.97000000067</v>
      </c>
      <c r="D29" s="8">
        <f t="shared" si="15"/>
        <v>2917583.1000000015</v>
      </c>
      <c r="E29" s="8">
        <f t="shared" si="15"/>
        <v>13552245.920000002</v>
      </c>
      <c r="F29" s="8">
        <f t="shared" si="15"/>
        <v>16496624.530000009</v>
      </c>
      <c r="G29" s="8">
        <f t="shared" si="15"/>
        <v>20813497.479999989</v>
      </c>
      <c r="H29" s="8">
        <f t="shared" ref="H29" si="16">H19-H21-H23</f>
        <v>29588774.349999987</v>
      </c>
      <c r="I29" s="8">
        <f t="shared" si="15"/>
        <v>33659272.540000007</v>
      </c>
      <c r="J29" s="8">
        <f t="shared" ref="J29:L29" si="17">J19-J21-J23</f>
        <v>37506813.470000014</v>
      </c>
      <c r="K29" s="8">
        <f t="shared" si="17"/>
        <v>40472677.560000017</v>
      </c>
      <c r="L29" s="8">
        <f t="shared" si="17"/>
        <v>39695105.849999994</v>
      </c>
      <c r="M29" s="8">
        <f t="shared" ref="M29:Y29" si="18">M19-M21-M23</f>
        <v>40654704</v>
      </c>
      <c r="N29" s="8">
        <f t="shared" si="18"/>
        <v>46305568.629999995</v>
      </c>
      <c r="O29" s="8">
        <f t="shared" si="18"/>
        <v>2370418.2300000004</v>
      </c>
      <c r="P29" s="8">
        <f t="shared" si="18"/>
        <v>5697480.5400000028</v>
      </c>
      <c r="Q29" s="8">
        <f t="shared" si="18"/>
        <v>17714436.870000005</v>
      </c>
      <c r="R29" s="8">
        <f t="shared" si="18"/>
        <v>21083869.779999994</v>
      </c>
      <c r="S29" s="8">
        <f t="shared" si="18"/>
        <v>24565817.079999991</v>
      </c>
      <c r="T29" s="8">
        <f t="shared" si="18"/>
        <v>28992666.200000003</v>
      </c>
      <c r="U29" s="8">
        <f t="shared" si="18"/>
        <v>31654194.210000001</v>
      </c>
      <c r="V29" s="8">
        <f t="shared" si="18"/>
        <v>33520059.969999999</v>
      </c>
      <c r="W29" s="8">
        <f t="shared" si="18"/>
        <v>36496340.440000013</v>
      </c>
      <c r="X29" s="8">
        <f t="shared" si="18"/>
        <v>38391333.82</v>
      </c>
      <c r="Y29" s="8">
        <f t="shared" si="18"/>
        <v>40607849.519999996</v>
      </c>
      <c r="Z29" s="31">
        <f>Z19-Z20-Z23</f>
        <v>39151308.899999976</v>
      </c>
      <c r="AA29" s="31">
        <f t="shared" ref="AA29:AM29" si="19">AA19-AA20-AA23</f>
        <v>37688860.809999987</v>
      </c>
      <c r="AB29" s="31">
        <f t="shared" si="19"/>
        <v>-2254042.2400000021</v>
      </c>
      <c r="AC29" s="31">
        <f t="shared" si="19"/>
        <v>483742.23000000417</v>
      </c>
      <c r="AD29" s="31">
        <f t="shared" si="19"/>
        <v>4580273.0800000019</v>
      </c>
      <c r="AE29" s="31">
        <f t="shared" si="19"/>
        <v>6590426.8000000045</v>
      </c>
      <c r="AF29" s="31">
        <f t="shared" si="19"/>
        <v>15506256.129999995</v>
      </c>
      <c r="AG29" s="31">
        <f t="shared" si="19"/>
        <v>18752833.469999999</v>
      </c>
      <c r="AH29" s="31">
        <f t="shared" si="19"/>
        <v>23083065.260000005</v>
      </c>
      <c r="AI29" s="31">
        <f t="shared" si="19"/>
        <v>25432826.469999999</v>
      </c>
      <c r="AJ29" s="31">
        <f t="shared" si="19"/>
        <v>27574673.690000013</v>
      </c>
      <c r="AK29" s="31">
        <f t="shared" si="19"/>
        <v>32443840.959999993</v>
      </c>
      <c r="AL29" s="31">
        <f t="shared" si="19"/>
        <v>37331526.549999997</v>
      </c>
      <c r="AM29" s="31">
        <f t="shared" si="19"/>
        <v>37022450</v>
      </c>
    </row>
    <row r="30" spans="1:39">
      <c r="A30" s="1" t="s">
        <v>89</v>
      </c>
      <c r="B30" s="8">
        <f t="shared" ref="B30:I30" si="20">B31-B32</f>
        <v>0</v>
      </c>
      <c r="C30" s="8">
        <f t="shared" si="20"/>
        <v>0</v>
      </c>
      <c r="D30" s="8">
        <f t="shared" si="20"/>
        <v>0</v>
      </c>
      <c r="E30" s="8">
        <f t="shared" si="20"/>
        <v>0</v>
      </c>
      <c r="F30" s="8">
        <f t="shared" si="20"/>
        <v>0</v>
      </c>
      <c r="G30" s="8">
        <f t="shared" si="20"/>
        <v>0</v>
      </c>
      <c r="H30" s="8">
        <f t="shared" ref="H30" si="21">H31-H32</f>
        <v>0</v>
      </c>
      <c r="I30" s="8">
        <f t="shared" si="20"/>
        <v>0</v>
      </c>
      <c r="J30" s="8">
        <f t="shared" ref="J30:L30" si="22">J31-J32</f>
        <v>0</v>
      </c>
      <c r="K30" s="8">
        <f t="shared" si="22"/>
        <v>0</v>
      </c>
      <c r="L30" s="8">
        <f t="shared" si="22"/>
        <v>0</v>
      </c>
      <c r="M30" s="8">
        <f t="shared" ref="M30:Z30" si="23">M31-M32</f>
        <v>0</v>
      </c>
      <c r="N30" s="8">
        <f t="shared" si="23"/>
        <v>0</v>
      </c>
      <c r="O30" s="8">
        <f t="shared" si="23"/>
        <v>0</v>
      </c>
      <c r="P30" s="8">
        <f t="shared" si="23"/>
        <v>0</v>
      </c>
      <c r="Q30" s="8">
        <f t="shared" si="23"/>
        <v>0</v>
      </c>
      <c r="R30" s="8">
        <f t="shared" si="23"/>
        <v>0</v>
      </c>
      <c r="S30" s="8">
        <f t="shared" si="23"/>
        <v>0</v>
      </c>
      <c r="T30" s="8">
        <f t="shared" si="23"/>
        <v>0</v>
      </c>
      <c r="U30" s="8">
        <f t="shared" si="23"/>
        <v>0</v>
      </c>
      <c r="V30" s="8">
        <f t="shared" si="23"/>
        <v>0</v>
      </c>
      <c r="W30" s="8">
        <f t="shared" si="23"/>
        <v>0</v>
      </c>
      <c r="X30" s="8">
        <f t="shared" si="23"/>
        <v>0</v>
      </c>
      <c r="Y30" s="8">
        <f t="shared" si="23"/>
        <v>0</v>
      </c>
      <c r="Z30" s="31">
        <f t="shared" si="23"/>
        <v>0</v>
      </c>
      <c r="AA30" s="31">
        <f t="shared" ref="AA30:AM30" si="24">AA31-AA32</f>
        <v>0</v>
      </c>
      <c r="AB30" s="31">
        <f t="shared" si="24"/>
        <v>0</v>
      </c>
      <c r="AC30" s="31">
        <f t="shared" si="24"/>
        <v>0</v>
      </c>
      <c r="AD30" s="31">
        <f t="shared" si="24"/>
        <v>0</v>
      </c>
      <c r="AE30" s="31">
        <f t="shared" si="24"/>
        <v>0</v>
      </c>
      <c r="AF30" s="31">
        <f t="shared" si="24"/>
        <v>0</v>
      </c>
      <c r="AG30" s="31">
        <f t="shared" si="24"/>
        <v>0</v>
      </c>
      <c r="AH30" s="31">
        <f t="shared" si="24"/>
        <v>0</v>
      </c>
      <c r="AI30" s="31">
        <f t="shared" si="24"/>
        <v>0</v>
      </c>
      <c r="AJ30" s="31">
        <f t="shared" si="24"/>
        <v>0</v>
      </c>
      <c r="AK30" s="31">
        <f t="shared" si="24"/>
        <v>0</v>
      </c>
      <c r="AL30" s="31">
        <f t="shared" si="24"/>
        <v>0</v>
      </c>
      <c r="AM30" s="31">
        <f t="shared" si="24"/>
        <v>0</v>
      </c>
    </row>
    <row r="31" spans="1:39">
      <c r="A31" t="s">
        <v>90</v>
      </c>
      <c r="J31" s="16"/>
      <c r="K31" s="16"/>
      <c r="L31" s="16"/>
      <c r="M31" s="16"/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AA31" s="37">
        <v>0</v>
      </c>
      <c r="AB31" s="37">
        <v>0</v>
      </c>
      <c r="AC31" s="37">
        <v>0</v>
      </c>
      <c r="AD31" s="37">
        <v>0</v>
      </c>
      <c r="AE31" s="37">
        <v>0</v>
      </c>
      <c r="AF31" s="37">
        <v>0</v>
      </c>
      <c r="AG31" s="37">
        <v>0</v>
      </c>
      <c r="AH31" s="37">
        <v>0</v>
      </c>
      <c r="AI31" s="37">
        <v>0</v>
      </c>
      <c r="AJ31" s="37">
        <v>0</v>
      </c>
      <c r="AK31" s="37">
        <v>0</v>
      </c>
      <c r="AL31" s="37">
        <v>0</v>
      </c>
    </row>
    <row r="32" spans="1:39">
      <c r="A32" t="s">
        <v>91</v>
      </c>
      <c r="J32" s="16"/>
      <c r="K32" s="16"/>
      <c r="L32" s="16"/>
      <c r="M32" s="16"/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0</v>
      </c>
      <c r="AA32" s="37">
        <v>0</v>
      </c>
      <c r="AB32" s="37">
        <v>0</v>
      </c>
      <c r="AC32" s="37">
        <v>0</v>
      </c>
      <c r="AD32" s="37">
        <v>0</v>
      </c>
      <c r="AE32" s="37">
        <v>0</v>
      </c>
      <c r="AF32" s="37">
        <v>0</v>
      </c>
      <c r="AG32" s="37">
        <v>0</v>
      </c>
      <c r="AH32" s="37">
        <v>0</v>
      </c>
      <c r="AI32" s="37">
        <v>0</v>
      </c>
      <c r="AJ32" s="37">
        <v>0</v>
      </c>
      <c r="AK32" s="37">
        <v>0</v>
      </c>
      <c r="AL32" s="37">
        <v>0</v>
      </c>
    </row>
    <row r="33" spans="1:39">
      <c r="A33" s="1" t="s">
        <v>92</v>
      </c>
      <c r="B33" s="8">
        <f t="shared" ref="B33:AM33" si="25">B29+B30</f>
        <v>28644733.660000004</v>
      </c>
      <c r="C33" s="8">
        <f t="shared" si="25"/>
        <v>-517616.97000000067</v>
      </c>
      <c r="D33" s="8">
        <f t="shared" si="25"/>
        <v>2917583.1000000015</v>
      </c>
      <c r="E33" s="8">
        <f t="shared" si="25"/>
        <v>13552245.920000002</v>
      </c>
      <c r="F33" s="8">
        <f t="shared" si="25"/>
        <v>16496624.530000009</v>
      </c>
      <c r="G33" s="8">
        <f t="shared" si="25"/>
        <v>20813497.479999989</v>
      </c>
      <c r="H33" s="8">
        <f t="shared" si="25"/>
        <v>29588774.349999987</v>
      </c>
      <c r="I33" s="8">
        <f t="shared" si="25"/>
        <v>33659272.540000007</v>
      </c>
      <c r="J33" s="8">
        <f t="shared" si="25"/>
        <v>37506813.470000014</v>
      </c>
      <c r="K33" s="8">
        <f t="shared" si="25"/>
        <v>40472677.560000017</v>
      </c>
      <c r="L33" s="8">
        <f t="shared" si="25"/>
        <v>39695105.849999994</v>
      </c>
      <c r="M33" s="8">
        <f t="shared" si="25"/>
        <v>40654704</v>
      </c>
      <c r="N33" s="8">
        <f t="shared" si="25"/>
        <v>46305568.629999995</v>
      </c>
      <c r="O33" s="8">
        <f t="shared" si="25"/>
        <v>2370418.2300000004</v>
      </c>
      <c r="P33" s="8">
        <f t="shared" si="25"/>
        <v>5697480.5400000028</v>
      </c>
      <c r="Q33" s="8">
        <f t="shared" si="25"/>
        <v>17714436.870000005</v>
      </c>
      <c r="R33" s="8">
        <f t="shared" si="25"/>
        <v>21083869.779999994</v>
      </c>
      <c r="S33" s="8">
        <f t="shared" si="25"/>
        <v>24565817.079999991</v>
      </c>
      <c r="T33" s="8">
        <f t="shared" si="25"/>
        <v>28992666.200000003</v>
      </c>
      <c r="U33" s="8">
        <f t="shared" si="25"/>
        <v>31654194.210000001</v>
      </c>
      <c r="V33" s="8">
        <f t="shared" si="25"/>
        <v>33520059.969999999</v>
      </c>
      <c r="W33" s="8">
        <f t="shared" si="25"/>
        <v>36496340.440000013</v>
      </c>
      <c r="X33" s="8">
        <f t="shared" si="25"/>
        <v>38391333.82</v>
      </c>
      <c r="Y33" s="8">
        <f t="shared" si="25"/>
        <v>40607849.519999996</v>
      </c>
      <c r="Z33" s="31">
        <f t="shared" si="25"/>
        <v>39151308.899999976</v>
      </c>
      <c r="AA33" s="31">
        <f t="shared" si="25"/>
        <v>37688860.809999987</v>
      </c>
      <c r="AB33" s="31">
        <f t="shared" si="25"/>
        <v>-2254042.2400000021</v>
      </c>
      <c r="AC33" s="31">
        <f t="shared" si="25"/>
        <v>483742.23000000417</v>
      </c>
      <c r="AD33" s="31">
        <f t="shared" si="25"/>
        <v>4580273.0800000019</v>
      </c>
      <c r="AE33" s="31">
        <f t="shared" si="25"/>
        <v>6590426.8000000045</v>
      </c>
      <c r="AF33" s="31">
        <f t="shared" si="25"/>
        <v>15506256.129999995</v>
      </c>
      <c r="AG33" s="31">
        <f t="shared" si="25"/>
        <v>18752833.469999999</v>
      </c>
      <c r="AH33" s="31">
        <f t="shared" si="25"/>
        <v>23083065.260000005</v>
      </c>
      <c r="AI33" s="31">
        <f t="shared" si="25"/>
        <v>25432826.469999999</v>
      </c>
      <c r="AJ33" s="31">
        <f t="shared" si="25"/>
        <v>27574673.690000013</v>
      </c>
      <c r="AK33" s="31">
        <f t="shared" si="25"/>
        <v>32443840.959999993</v>
      </c>
      <c r="AL33" s="31">
        <f t="shared" si="25"/>
        <v>37331526.549999997</v>
      </c>
      <c r="AM33" s="31">
        <f t="shared" si="25"/>
        <v>37022450</v>
      </c>
    </row>
    <row r="34" spans="1:39">
      <c r="A34" t="s">
        <v>93</v>
      </c>
      <c r="J34" s="16"/>
      <c r="K34" s="16"/>
      <c r="L34" s="16"/>
      <c r="M34" s="16">
        <v>256662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9">
        <v>0</v>
      </c>
      <c r="U34" s="29">
        <v>0</v>
      </c>
      <c r="V34" s="29">
        <v>0</v>
      </c>
      <c r="W34" s="29">
        <v>0</v>
      </c>
      <c r="X34" s="29">
        <v>0</v>
      </c>
      <c r="Y34" s="29">
        <v>0</v>
      </c>
      <c r="Z34" s="30">
        <v>708263.53350000002</v>
      </c>
      <c r="AA34" s="37">
        <v>0</v>
      </c>
      <c r="AB34" s="37">
        <v>0</v>
      </c>
      <c r="AC34" s="37">
        <v>0</v>
      </c>
      <c r="AD34" s="37">
        <v>0</v>
      </c>
      <c r="AE34" s="37">
        <v>0</v>
      </c>
      <c r="AF34" s="37">
        <v>0</v>
      </c>
      <c r="AG34" s="37">
        <v>0</v>
      </c>
      <c r="AH34" s="37">
        <v>0</v>
      </c>
      <c r="AI34" s="37">
        <v>0</v>
      </c>
      <c r="AJ34" s="37">
        <v>0</v>
      </c>
      <c r="AK34" s="37">
        <v>0</v>
      </c>
      <c r="AL34" s="37">
        <v>0</v>
      </c>
      <c r="AM34" s="30">
        <v>788161</v>
      </c>
    </row>
    <row r="35" spans="1:39">
      <c r="A35" s="1" t="s">
        <v>94</v>
      </c>
      <c r="B35" s="8">
        <f t="shared" ref="B35:AM35" si="26">B33-B34</f>
        <v>28644733.660000004</v>
      </c>
      <c r="C35" s="8">
        <f t="shared" si="26"/>
        <v>-517616.97000000067</v>
      </c>
      <c r="D35" s="8">
        <f t="shared" si="26"/>
        <v>2917583.1000000015</v>
      </c>
      <c r="E35" s="8">
        <f t="shared" si="26"/>
        <v>13552245.920000002</v>
      </c>
      <c r="F35" s="8">
        <f t="shared" si="26"/>
        <v>16496624.530000009</v>
      </c>
      <c r="G35" s="8">
        <f t="shared" si="26"/>
        <v>20813497.479999989</v>
      </c>
      <c r="H35" s="8">
        <f t="shared" si="26"/>
        <v>29588774.349999987</v>
      </c>
      <c r="I35" s="8">
        <f t="shared" si="26"/>
        <v>33659272.540000007</v>
      </c>
      <c r="J35" s="8">
        <f t="shared" si="26"/>
        <v>37506813.470000014</v>
      </c>
      <c r="K35" s="8">
        <f t="shared" si="26"/>
        <v>40472677.560000017</v>
      </c>
      <c r="L35" s="8">
        <f t="shared" si="26"/>
        <v>39695105.849999994</v>
      </c>
      <c r="M35" s="8">
        <f t="shared" si="26"/>
        <v>40398042</v>
      </c>
      <c r="N35" s="8">
        <f t="shared" si="26"/>
        <v>46305568.629999995</v>
      </c>
      <c r="O35" s="8">
        <f t="shared" si="26"/>
        <v>2370418.2300000004</v>
      </c>
      <c r="P35" s="8">
        <f t="shared" si="26"/>
        <v>5697480.5400000028</v>
      </c>
      <c r="Q35" s="8">
        <f t="shared" si="26"/>
        <v>17714436.870000005</v>
      </c>
      <c r="R35" s="8">
        <f t="shared" si="26"/>
        <v>21083869.779999994</v>
      </c>
      <c r="S35" s="8">
        <f t="shared" si="26"/>
        <v>24565817.079999991</v>
      </c>
      <c r="T35" s="8">
        <f t="shared" si="26"/>
        <v>28992666.200000003</v>
      </c>
      <c r="U35" s="8">
        <f t="shared" si="26"/>
        <v>31654194.210000001</v>
      </c>
      <c r="V35" s="8">
        <f t="shared" si="26"/>
        <v>33520059.969999999</v>
      </c>
      <c r="W35" s="8">
        <f t="shared" si="26"/>
        <v>36496340.440000013</v>
      </c>
      <c r="X35" s="8">
        <f t="shared" si="26"/>
        <v>38391333.82</v>
      </c>
      <c r="Y35" s="8">
        <f t="shared" si="26"/>
        <v>40607849.519999996</v>
      </c>
      <c r="Z35" s="31">
        <f t="shared" si="26"/>
        <v>38443045.366499975</v>
      </c>
      <c r="AA35" s="31">
        <f t="shared" si="26"/>
        <v>37688860.809999987</v>
      </c>
      <c r="AB35" s="31">
        <f t="shared" si="26"/>
        <v>-2254042.2400000021</v>
      </c>
      <c r="AC35" s="31">
        <f t="shared" si="26"/>
        <v>483742.23000000417</v>
      </c>
      <c r="AD35" s="31">
        <f t="shared" si="26"/>
        <v>4580273.0800000019</v>
      </c>
      <c r="AE35" s="31">
        <f t="shared" si="26"/>
        <v>6590426.8000000045</v>
      </c>
      <c r="AF35" s="31">
        <f t="shared" si="26"/>
        <v>15506256.129999995</v>
      </c>
      <c r="AG35" s="31">
        <f t="shared" si="26"/>
        <v>18752833.469999999</v>
      </c>
      <c r="AH35" s="31">
        <f t="shared" si="26"/>
        <v>23083065.260000005</v>
      </c>
      <c r="AI35" s="31">
        <f t="shared" si="26"/>
        <v>25432826.469999999</v>
      </c>
      <c r="AJ35" s="31">
        <f t="shared" si="26"/>
        <v>27574673.690000013</v>
      </c>
      <c r="AK35" s="31">
        <f t="shared" si="26"/>
        <v>32443840.959999993</v>
      </c>
      <c r="AL35" s="31">
        <f t="shared" si="26"/>
        <v>37331526.549999997</v>
      </c>
      <c r="AM35" s="31">
        <f t="shared" si="26"/>
        <v>36234289</v>
      </c>
    </row>
    <row r="36" spans="1:39">
      <c r="A36" t="s">
        <v>95</v>
      </c>
      <c r="B36" s="11">
        <v>0</v>
      </c>
      <c r="C36" s="11">
        <v>0</v>
      </c>
      <c r="D36" s="11">
        <v>135800</v>
      </c>
      <c r="E36" s="11">
        <v>135800</v>
      </c>
      <c r="F36" s="11">
        <v>135800</v>
      </c>
      <c r="G36" s="11">
        <v>135800</v>
      </c>
      <c r="H36" s="11">
        <v>135800</v>
      </c>
      <c r="I36" s="11">
        <v>135800</v>
      </c>
      <c r="J36" s="16">
        <v>135800</v>
      </c>
      <c r="K36" s="16">
        <v>135800</v>
      </c>
      <c r="L36" s="16">
        <v>135800</v>
      </c>
      <c r="M36" s="16"/>
      <c r="N36" s="29">
        <v>-135800</v>
      </c>
      <c r="O36" s="29">
        <v>0</v>
      </c>
      <c r="P36" s="29">
        <v>0</v>
      </c>
      <c r="Q36" s="29">
        <v>0</v>
      </c>
      <c r="R36" s="29">
        <v>0</v>
      </c>
      <c r="S36" s="29">
        <v>-2000</v>
      </c>
      <c r="T36" s="29">
        <v>-2000</v>
      </c>
      <c r="U36" s="29">
        <v>-2000</v>
      </c>
      <c r="V36" s="29">
        <v>-2000</v>
      </c>
      <c r="W36" s="29">
        <v>-2000</v>
      </c>
      <c r="X36" s="29">
        <v>-2000</v>
      </c>
      <c r="Y36" s="29">
        <v>-2000</v>
      </c>
      <c r="AA36" s="37">
        <v>-2000</v>
      </c>
      <c r="AB36" s="37">
        <v>0</v>
      </c>
      <c r="AC36" s="37">
        <v>0</v>
      </c>
      <c r="AD36" s="37">
        <v>0</v>
      </c>
      <c r="AE36" s="37">
        <v>-3000</v>
      </c>
      <c r="AF36" s="37">
        <v>-9000</v>
      </c>
      <c r="AG36" s="37">
        <v>-12000</v>
      </c>
      <c r="AH36" s="37">
        <v>-15000</v>
      </c>
      <c r="AI36" s="37">
        <v>-17000</v>
      </c>
      <c r="AJ36" s="37">
        <v>-17000</v>
      </c>
      <c r="AK36" s="37">
        <v>-383890</v>
      </c>
      <c r="AL36" s="37">
        <v>-383890</v>
      </c>
    </row>
    <row r="37" spans="1:39">
      <c r="A37" s="1" t="s">
        <v>96</v>
      </c>
      <c r="B37" s="8">
        <f t="shared" ref="B37:AM37" si="27">B35-B36</f>
        <v>28644733.660000004</v>
      </c>
      <c r="C37" s="8">
        <f t="shared" si="27"/>
        <v>-517616.97000000067</v>
      </c>
      <c r="D37" s="8">
        <f t="shared" si="27"/>
        <v>2781783.1000000015</v>
      </c>
      <c r="E37" s="8">
        <f t="shared" si="27"/>
        <v>13416445.920000002</v>
      </c>
      <c r="F37" s="8">
        <f t="shared" si="27"/>
        <v>16360824.530000009</v>
      </c>
      <c r="G37" s="8">
        <f t="shared" si="27"/>
        <v>20677697.479999989</v>
      </c>
      <c r="H37" s="8">
        <f t="shared" si="27"/>
        <v>29452974.349999987</v>
      </c>
      <c r="I37" s="8">
        <f t="shared" si="27"/>
        <v>33523472.540000007</v>
      </c>
      <c r="J37" s="8">
        <f t="shared" si="27"/>
        <v>37371013.470000014</v>
      </c>
      <c r="K37" s="8">
        <f t="shared" si="27"/>
        <v>40336877.560000017</v>
      </c>
      <c r="L37" s="8">
        <f t="shared" si="27"/>
        <v>39559305.849999994</v>
      </c>
      <c r="M37" s="8">
        <f t="shared" si="27"/>
        <v>40398042</v>
      </c>
      <c r="N37" s="8">
        <f t="shared" si="27"/>
        <v>46441368.629999995</v>
      </c>
      <c r="O37" s="8">
        <f t="shared" si="27"/>
        <v>2370418.2300000004</v>
      </c>
      <c r="P37" s="8">
        <f t="shared" si="27"/>
        <v>5697480.5400000028</v>
      </c>
      <c r="Q37" s="8">
        <f t="shared" si="27"/>
        <v>17714436.870000005</v>
      </c>
      <c r="R37" s="8">
        <f t="shared" si="27"/>
        <v>21083869.779999994</v>
      </c>
      <c r="S37" s="8">
        <f t="shared" si="27"/>
        <v>24567817.079999991</v>
      </c>
      <c r="T37" s="8">
        <f t="shared" si="27"/>
        <v>28994666.200000003</v>
      </c>
      <c r="U37" s="8">
        <f t="shared" si="27"/>
        <v>31656194.210000001</v>
      </c>
      <c r="V37" s="8">
        <f t="shared" si="27"/>
        <v>33522059.969999999</v>
      </c>
      <c r="W37" s="8">
        <f t="shared" si="27"/>
        <v>36498340.440000013</v>
      </c>
      <c r="X37" s="8">
        <f t="shared" si="27"/>
        <v>38393333.82</v>
      </c>
      <c r="Y37" s="8">
        <f t="shared" si="27"/>
        <v>40609849.519999996</v>
      </c>
      <c r="Z37" s="31">
        <f t="shared" si="27"/>
        <v>38443045.366499975</v>
      </c>
      <c r="AA37" s="31">
        <f t="shared" si="27"/>
        <v>37690860.809999987</v>
      </c>
      <c r="AB37" s="31">
        <f t="shared" si="27"/>
        <v>-2254042.2400000021</v>
      </c>
      <c r="AC37" s="31">
        <f t="shared" si="27"/>
        <v>483742.23000000417</v>
      </c>
      <c r="AD37" s="31">
        <f t="shared" si="27"/>
        <v>4580273.0800000019</v>
      </c>
      <c r="AE37" s="31">
        <f t="shared" si="27"/>
        <v>6593426.8000000045</v>
      </c>
      <c r="AF37" s="31">
        <f t="shared" si="27"/>
        <v>15515256.129999995</v>
      </c>
      <c r="AG37" s="31">
        <f t="shared" si="27"/>
        <v>18764833.469999999</v>
      </c>
      <c r="AH37" s="31">
        <f t="shared" si="27"/>
        <v>23098065.260000005</v>
      </c>
      <c r="AI37" s="31">
        <f t="shared" si="27"/>
        <v>25449826.469999999</v>
      </c>
      <c r="AJ37" s="31">
        <f t="shared" si="27"/>
        <v>27591673.690000013</v>
      </c>
      <c r="AK37" s="31">
        <f t="shared" si="27"/>
        <v>32827730.959999993</v>
      </c>
      <c r="AL37" s="31">
        <f t="shared" si="27"/>
        <v>37715416.549999997</v>
      </c>
      <c r="AM37" s="31">
        <f t="shared" si="27"/>
        <v>36234289</v>
      </c>
    </row>
    <row r="39" spans="1:39">
      <c r="AM39" s="30">
        <f>37022458-AM29</f>
        <v>8</v>
      </c>
    </row>
    <row r="73" spans="14:14">
      <c r="N73">
        <v>7</v>
      </c>
    </row>
  </sheetData>
  <phoneticPr fontId="12" type="noConversion"/>
  <conditionalFormatting sqref="B29:AM30 B33:AM33 B35:AM35 B37:AM37 B23:AM23 B19:AM19 B12:AM12 B7:AM7 B3:AM4">
    <cfRule type="notContainsBlanks" dxfId="33" priority="129">
      <formula>LEN(TRIM(B3))&gt;0</formula>
    </cfRule>
  </conditionalFormatting>
  <conditionalFormatting sqref="B29:AM30 B33:AM33 B35:AM35 B37:AM37 B23:AM23 B19:AM19 B12:AM12 B7:AM7 B3:AM4">
    <cfRule type="cellIs" dxfId="32" priority="124" operator="lessThan">
      <formula>0</formula>
    </cfRule>
  </conditionalFormatting>
  <conditionalFormatting sqref="A7">
    <cfRule type="cellIs" dxfId="31" priority="21" operator="lessThan">
      <formula>0</formula>
    </cfRule>
  </conditionalFormatting>
  <conditionalFormatting sqref="A7">
    <cfRule type="notContainsBlanks" dxfId="30" priority="22">
      <formula>LEN(TRIM(A7))&gt;0</formula>
    </cfRule>
  </conditionalFormatting>
  <conditionalFormatting sqref="A3">
    <cfRule type="cellIs" dxfId="29" priority="19" operator="lessThan">
      <formula>0</formula>
    </cfRule>
  </conditionalFormatting>
  <conditionalFormatting sqref="A3">
    <cfRule type="notContainsBlanks" dxfId="28" priority="20">
      <formula>LEN(TRIM(A3))&gt;0</formula>
    </cfRule>
  </conditionalFormatting>
  <conditionalFormatting sqref="A4">
    <cfRule type="cellIs" dxfId="27" priority="17" operator="lessThan">
      <formula>0</formula>
    </cfRule>
  </conditionalFormatting>
  <conditionalFormatting sqref="A4">
    <cfRule type="notContainsBlanks" dxfId="26" priority="18">
      <formula>LEN(TRIM(A4))&gt;0</formula>
    </cfRule>
  </conditionalFormatting>
  <conditionalFormatting sqref="A12">
    <cfRule type="cellIs" dxfId="25" priority="15" operator="lessThan">
      <formula>0</formula>
    </cfRule>
  </conditionalFormatting>
  <conditionalFormatting sqref="A12">
    <cfRule type="notContainsBlanks" dxfId="24" priority="16">
      <formula>LEN(TRIM(A12))&gt;0</formula>
    </cfRule>
  </conditionalFormatting>
  <conditionalFormatting sqref="A19">
    <cfRule type="cellIs" dxfId="23" priority="13" operator="lessThan">
      <formula>0</formula>
    </cfRule>
  </conditionalFormatting>
  <conditionalFormatting sqref="A19">
    <cfRule type="notContainsBlanks" dxfId="22" priority="14">
      <formula>LEN(TRIM(A19))&gt;0</formula>
    </cfRule>
  </conditionalFormatting>
  <conditionalFormatting sqref="A23">
    <cfRule type="cellIs" dxfId="21" priority="11" operator="lessThan">
      <formula>0</formula>
    </cfRule>
  </conditionalFormatting>
  <conditionalFormatting sqref="A23">
    <cfRule type="notContainsBlanks" dxfId="20" priority="12">
      <formula>LEN(TRIM(A23))&gt;0</formula>
    </cfRule>
  </conditionalFormatting>
  <conditionalFormatting sqref="A29">
    <cfRule type="cellIs" dxfId="19" priority="9" operator="lessThan">
      <formula>0</formula>
    </cfRule>
  </conditionalFormatting>
  <conditionalFormatting sqref="A29">
    <cfRule type="notContainsBlanks" dxfId="18" priority="10">
      <formula>LEN(TRIM(A29))&gt;0</formula>
    </cfRule>
  </conditionalFormatting>
  <conditionalFormatting sqref="A30">
    <cfRule type="cellIs" dxfId="17" priority="7" operator="lessThan">
      <formula>0</formula>
    </cfRule>
  </conditionalFormatting>
  <conditionalFormatting sqref="A30">
    <cfRule type="notContainsBlanks" dxfId="16" priority="8">
      <formula>LEN(TRIM(A30))&gt;0</formula>
    </cfRule>
  </conditionalFormatting>
  <conditionalFormatting sqref="A33">
    <cfRule type="cellIs" dxfId="15" priority="5" operator="lessThan">
      <formula>0</formula>
    </cfRule>
  </conditionalFormatting>
  <conditionalFormatting sqref="A33">
    <cfRule type="notContainsBlanks" dxfId="14" priority="6">
      <formula>LEN(TRIM(A33))&gt;0</formula>
    </cfRule>
  </conditionalFormatting>
  <conditionalFormatting sqref="A35">
    <cfRule type="cellIs" dxfId="13" priority="3" operator="lessThan">
      <formula>0</formula>
    </cfRule>
  </conditionalFormatting>
  <conditionalFormatting sqref="A35">
    <cfRule type="notContainsBlanks" dxfId="12" priority="4">
      <formula>LEN(TRIM(A35))&gt;0</formula>
    </cfRule>
  </conditionalFormatting>
  <conditionalFormatting sqref="A37">
    <cfRule type="cellIs" dxfId="11" priority="1" operator="lessThan">
      <formula>0</formula>
    </cfRule>
  </conditionalFormatting>
  <conditionalFormatting sqref="A37">
    <cfRule type="notContainsBlanks" dxfId="10" priority="2">
      <formula>LEN(TRIM(A37))&gt;0</formula>
    </cfRule>
  </conditionalFormatting>
  <printOptions horizontalCentered="1" verticalCentere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49"/>
  <sheetViews>
    <sheetView zoomScale="90" zoomScaleNormal="90" workbookViewId="0">
      <pane xSplit="1" ySplit="2" topLeftCell="AC3" activePane="bottomRight" state="frozen"/>
      <selection pane="bottomRight" activeCell="AK8" sqref="AK8"/>
      <selection pane="bottomLeft" activeCell="A3" sqref="A3"/>
      <selection pane="topRight" activeCell="B1" sqref="B1"/>
    </sheetView>
  </sheetViews>
  <sheetFormatPr defaultRowHeight="15"/>
  <cols>
    <col min="1" max="1" width="34.28515625" customWidth="1"/>
    <col min="2" max="7" width="13.5703125" bestFit="1" customWidth="1"/>
    <col min="8" max="12" width="12" bestFit="1" customWidth="1"/>
    <col min="13" max="26" width="12.140625" bestFit="1" customWidth="1"/>
    <col min="27" max="32" width="12" bestFit="1" customWidth="1"/>
    <col min="33" max="39" width="13.5703125" bestFit="1" customWidth="1"/>
    <col min="40" max="45" width="7.7109375" bestFit="1" customWidth="1"/>
  </cols>
  <sheetData>
    <row r="1" spans="1:45">
      <c r="B1" s="4">
        <v>43831</v>
      </c>
      <c r="C1" s="4">
        <v>43862</v>
      </c>
      <c r="D1" s="4">
        <v>43891</v>
      </c>
      <c r="E1" s="4">
        <v>43922</v>
      </c>
      <c r="F1" s="4">
        <v>43952</v>
      </c>
      <c r="G1" s="4">
        <v>43983</v>
      </c>
      <c r="H1" s="4">
        <v>44044</v>
      </c>
      <c r="I1" s="4">
        <v>44075</v>
      </c>
      <c r="J1" s="4">
        <v>44105</v>
      </c>
      <c r="K1" s="4">
        <v>44136</v>
      </c>
      <c r="L1" s="4">
        <v>44166</v>
      </c>
      <c r="M1" s="4" t="s">
        <v>1</v>
      </c>
      <c r="N1" s="5">
        <v>44197</v>
      </c>
      <c r="O1" s="5">
        <v>44228</v>
      </c>
      <c r="P1" s="5">
        <v>44256</v>
      </c>
      <c r="Q1" s="5">
        <v>44287</v>
      </c>
      <c r="R1" s="5">
        <v>44317</v>
      </c>
      <c r="S1" s="5">
        <v>44348</v>
      </c>
      <c r="T1" s="5">
        <v>44378</v>
      </c>
      <c r="U1" s="5">
        <v>44409</v>
      </c>
      <c r="V1" s="5">
        <v>44440</v>
      </c>
      <c r="W1" s="5">
        <v>44470</v>
      </c>
      <c r="X1" s="5">
        <v>44501</v>
      </c>
      <c r="Y1" s="5">
        <v>44531</v>
      </c>
      <c r="Z1" s="33" t="s">
        <v>2</v>
      </c>
      <c r="AA1" s="35">
        <v>44562</v>
      </c>
      <c r="AB1" t="s">
        <v>4</v>
      </c>
      <c r="AC1" t="s">
        <v>5</v>
      </c>
      <c r="AD1" t="s">
        <v>6</v>
      </c>
      <c r="AE1" t="s">
        <v>7</v>
      </c>
      <c r="AF1" t="s">
        <v>8</v>
      </c>
      <c r="AG1" t="s">
        <v>9</v>
      </c>
      <c r="AH1" t="s">
        <v>10</v>
      </c>
      <c r="AI1" t="s">
        <v>11</v>
      </c>
      <c r="AJ1" t="s">
        <v>12</v>
      </c>
      <c r="AK1" t="s">
        <v>13</v>
      </c>
      <c r="AL1" t="s">
        <v>14</v>
      </c>
      <c r="AM1" t="s">
        <v>15</v>
      </c>
    </row>
    <row r="2" spans="1:45">
      <c r="A2" t="s">
        <v>97</v>
      </c>
    </row>
    <row r="3" spans="1:45">
      <c r="A3" s="17" t="s">
        <v>38</v>
      </c>
      <c r="B3" s="18">
        <f>sofp!B25</f>
        <v>726464381.36000013</v>
      </c>
      <c r="C3" s="18">
        <f>sofp!C25</f>
        <v>728729791.58999991</v>
      </c>
      <c r="D3" s="18">
        <f>sofp!D25</f>
        <v>709159588.05000007</v>
      </c>
      <c r="E3" s="18">
        <f>sofp!E25</f>
        <v>727856339.73000002</v>
      </c>
      <c r="F3" s="18">
        <f>sofp!F25</f>
        <v>738625028.88999999</v>
      </c>
      <c r="G3" s="18">
        <f>sofp!G25</f>
        <v>749808689.54999995</v>
      </c>
      <c r="H3" s="18">
        <f>sofp!H25</f>
        <v>0</v>
      </c>
      <c r="I3" s="18">
        <f>sofp!I25</f>
        <v>776114819.3900001</v>
      </c>
      <c r="J3" s="18">
        <f>sofp!J25</f>
        <v>791581457.28000021</v>
      </c>
      <c r="K3" s="18">
        <f>sofp!K25</f>
        <v>798924969.61000013</v>
      </c>
      <c r="L3" s="18">
        <f>sofp!L25</f>
        <v>807507829.47000003</v>
      </c>
      <c r="M3" s="18">
        <f>sofp!M25</f>
        <v>877835636</v>
      </c>
      <c r="N3" s="18">
        <f>sofp!N25</f>
        <v>888841083.84000003</v>
      </c>
      <c r="O3" s="18">
        <f>sofp!O25</f>
        <v>901384660.3499999</v>
      </c>
      <c r="P3" s="18">
        <f>sofp!P25</f>
        <v>882185704.67000008</v>
      </c>
      <c r="Q3" s="18">
        <f>sofp!Q25</f>
        <v>899137962.8499999</v>
      </c>
      <c r="R3" s="18">
        <f>sofp!R25</f>
        <v>903020567.96000004</v>
      </c>
      <c r="S3" s="18">
        <f>sofp!S25</f>
        <v>904828921.32999992</v>
      </c>
      <c r="T3" s="18">
        <f>sofp!T25</f>
        <v>946955555.38</v>
      </c>
      <c r="U3" s="18">
        <f>sofp!U25</f>
        <v>950442167.60000002</v>
      </c>
      <c r="V3" s="18">
        <f>sofp!V25</f>
        <v>949423411.00999999</v>
      </c>
      <c r="W3" s="18">
        <f>sofp!W25</f>
        <v>961713628.62000012</v>
      </c>
      <c r="X3" s="18">
        <f>sofp!X25</f>
        <v>967569819.65999997</v>
      </c>
      <c r="Y3" s="18">
        <f>sofp!Y25</f>
        <v>963121612.81000006</v>
      </c>
      <c r="Z3" s="18">
        <f>sofp!Z25</f>
        <v>963198403.56999993</v>
      </c>
      <c r="AA3" s="18">
        <f>sofp!AA25</f>
        <v>963694852.97000003</v>
      </c>
      <c r="AB3" s="18">
        <f>sofp!AB25</f>
        <v>963478640.46000004</v>
      </c>
      <c r="AC3" s="18">
        <f>sofp!AC25</f>
        <v>954742349.92999995</v>
      </c>
      <c r="AD3" s="18">
        <f>sofp!AD25</f>
        <v>969126034.73000002</v>
      </c>
      <c r="AE3" s="18">
        <f>sofp!AE25</f>
        <v>973767282.63999999</v>
      </c>
      <c r="AF3" s="18">
        <f>sofp!AF25</f>
        <v>983849105.78000009</v>
      </c>
      <c r="AG3" s="18">
        <f>sofp!AG25</f>
        <v>1001815534.8700001</v>
      </c>
      <c r="AH3" s="18">
        <f>sofp!AH25</f>
        <v>1009247641.9299999</v>
      </c>
      <c r="AI3" s="18">
        <f>sofp!AI25</f>
        <v>1008072301.41</v>
      </c>
      <c r="AJ3" s="18">
        <f>sofp!AJ25</f>
        <v>1017296692.54</v>
      </c>
      <c r="AK3" s="18">
        <f>sofp!AK25</f>
        <v>1045065619.79</v>
      </c>
      <c r="AL3" s="18">
        <f>sofp!AL25</f>
        <v>1052006930.63</v>
      </c>
      <c r="AM3" s="18">
        <f>sofp!AM25</f>
        <v>1052081752</v>
      </c>
      <c r="AN3" s="18">
        <f>sofp!AN25</f>
        <v>0</v>
      </c>
      <c r="AO3" s="18">
        <f>sofp!AO25</f>
        <v>0</v>
      </c>
      <c r="AP3" s="18">
        <f>sofp!AP25</f>
        <v>0</v>
      </c>
      <c r="AQ3" s="18">
        <f>sofp!AQ25</f>
        <v>0</v>
      </c>
      <c r="AR3" s="18">
        <f>sofp!AR25</f>
        <v>0</v>
      </c>
      <c r="AS3" s="18">
        <f>sofp!AS25</f>
        <v>0</v>
      </c>
    </row>
    <row r="4" spans="1:45">
      <c r="A4" t="s">
        <v>98</v>
      </c>
      <c r="B4" s="18">
        <f>sofp!B29</f>
        <v>484832635.56</v>
      </c>
      <c r="C4" s="18">
        <f>sofp!C29</f>
        <v>501172738.61000001</v>
      </c>
      <c r="D4" s="18">
        <f>sofp!D29</f>
        <v>495463281.23000002</v>
      </c>
      <c r="E4" s="18">
        <f>sofp!E29</f>
        <v>502984504.14999998</v>
      </c>
      <c r="F4" s="18">
        <f>sofp!F29</f>
        <v>510340485.16000003</v>
      </c>
      <c r="G4" s="18">
        <f>sofp!G29</f>
        <v>514969343.41999996</v>
      </c>
      <c r="H4" s="18">
        <f>sofp!H29</f>
        <v>0</v>
      </c>
      <c r="I4" s="18">
        <f>sofp!I29</f>
        <v>521020022.18000001</v>
      </c>
      <c r="J4" s="18">
        <f>sofp!J29</f>
        <v>531388447.75999999</v>
      </c>
      <c r="K4" s="18">
        <f>sofp!K29</f>
        <v>534040415.88999999</v>
      </c>
      <c r="L4" s="18">
        <f>sofp!L29</f>
        <v>536639675.11000001</v>
      </c>
      <c r="M4" s="18">
        <f>sofp!M29</f>
        <v>536639675</v>
      </c>
      <c r="N4" s="18">
        <f>sofp!N29</f>
        <v>544487995.31999993</v>
      </c>
      <c r="O4" s="18">
        <f>sofp!O29</f>
        <v>576210435.99000001</v>
      </c>
      <c r="P4" s="18">
        <f>sofp!P29</f>
        <v>557713984.00999999</v>
      </c>
      <c r="Q4" s="18">
        <f>sofp!Q29</f>
        <v>561679060.46000004</v>
      </c>
      <c r="R4" s="18">
        <f>sofp!R29</f>
        <v>561010118.43000007</v>
      </c>
      <c r="S4" s="18">
        <f>sofp!S29</f>
        <v>559588742.45000005</v>
      </c>
      <c r="T4" s="18">
        <f>sofp!T29</f>
        <v>594473189.07999992</v>
      </c>
      <c r="U4" s="18">
        <f>sofp!U29</f>
        <v>594444901.72000003</v>
      </c>
      <c r="V4" s="18">
        <f>sofp!V29</f>
        <v>590324781.35000002</v>
      </c>
      <c r="W4" s="18">
        <f>sofp!W29</f>
        <v>598112007.68000007</v>
      </c>
      <c r="X4" s="18">
        <f>sofp!X29</f>
        <v>600377049.77999997</v>
      </c>
      <c r="Y4" s="18">
        <f>sofp!Y29</f>
        <v>584385536.03999996</v>
      </c>
      <c r="Z4" s="18">
        <f>sofp!Z29</f>
        <v>584385536.03999996</v>
      </c>
      <c r="AA4" s="18">
        <f>sofp!AA29</f>
        <v>584460113.16000009</v>
      </c>
      <c r="AB4" s="18">
        <f>sofp!AB29</f>
        <v>608398577.22000003</v>
      </c>
      <c r="AC4" s="18">
        <f>sofp!AC29</f>
        <v>598473579.14999998</v>
      </c>
      <c r="AD4" s="18">
        <f>sofp!AD29</f>
        <v>606878984.45000005</v>
      </c>
      <c r="AE4" s="18">
        <f>sofp!AE29</f>
        <v>606434668.34000003</v>
      </c>
      <c r="AF4" s="18">
        <f>sofp!AF29</f>
        <v>605408480.39999998</v>
      </c>
      <c r="AG4" s="18">
        <f>sofp!AG29</f>
        <v>619575702.22000003</v>
      </c>
      <c r="AH4" s="18">
        <f>sofp!AH29</f>
        <v>621018326.30999994</v>
      </c>
      <c r="AI4" s="18">
        <f>sofp!AI29</f>
        <v>615953218.73000002</v>
      </c>
      <c r="AJ4" s="18">
        <f>sofp!AJ29</f>
        <v>618000906.24000001</v>
      </c>
      <c r="AK4" s="18">
        <f>sofp!AK29</f>
        <v>636969767.57999992</v>
      </c>
      <c r="AL4" s="18">
        <f>sofp!AL29</f>
        <v>620898688.25999999</v>
      </c>
      <c r="AM4" s="18">
        <f>sofp!AM29</f>
        <v>620898688</v>
      </c>
      <c r="AN4" s="18">
        <f>sofp!AN29</f>
        <v>0</v>
      </c>
      <c r="AO4" s="18">
        <f>sofp!AO29</f>
        <v>0</v>
      </c>
      <c r="AP4" s="18">
        <f>sofp!AP29</f>
        <v>0</v>
      </c>
      <c r="AQ4" s="18">
        <f>sofp!AQ29</f>
        <v>0</v>
      </c>
      <c r="AR4" s="18">
        <f>sofp!AR29</f>
        <v>0</v>
      </c>
      <c r="AS4" s="18">
        <f>sofp!AS29</f>
        <v>0</v>
      </c>
    </row>
    <row r="5" spans="1:45">
      <c r="A5" t="s">
        <v>99</v>
      </c>
      <c r="B5" s="18">
        <f>sofp!B28</f>
        <v>393924349.23000002</v>
      </c>
      <c r="C5" s="18">
        <f>sofp!C28</f>
        <v>397670283.92000002</v>
      </c>
      <c r="D5" s="18">
        <f>sofp!D28</f>
        <v>401552847.29000002</v>
      </c>
      <c r="E5" s="18">
        <f>sofp!E28</f>
        <v>404779275</v>
      </c>
      <c r="F5" s="18">
        <f>sofp!F28</f>
        <v>408254884.92000002</v>
      </c>
      <c r="G5" s="18">
        <f>sofp!G28</f>
        <v>412133958.25999999</v>
      </c>
      <c r="H5" s="18">
        <f>sofp!H28</f>
        <v>422454547.11000001</v>
      </c>
      <c r="I5" s="18">
        <f>sofp!I28</f>
        <v>425198459.10000002</v>
      </c>
      <c r="J5" s="18">
        <f>sofp!J28</f>
        <v>429137794.75</v>
      </c>
      <c r="K5" s="18">
        <f>sofp!K28</f>
        <v>432528919.45999998</v>
      </c>
      <c r="L5" s="18">
        <f>sofp!L28</f>
        <v>433128823.86000001</v>
      </c>
      <c r="M5" s="18">
        <f>sofp!M28</f>
        <v>433128824</v>
      </c>
      <c r="N5" s="18">
        <f>sofp!N28</f>
        <v>435990729.52999997</v>
      </c>
      <c r="O5" s="18">
        <f>sofp!O28</f>
        <v>438963498.23000002</v>
      </c>
      <c r="P5" s="18">
        <f>sofp!P28</f>
        <v>441031502.07999998</v>
      </c>
      <c r="Q5" s="18">
        <f>sofp!Q28</f>
        <v>444004505.52999997</v>
      </c>
      <c r="R5" s="18">
        <f>sofp!R28</f>
        <v>447014793.97000003</v>
      </c>
      <c r="S5" s="18">
        <f>sofp!S28</f>
        <v>450173338.38999999</v>
      </c>
      <c r="T5" s="18">
        <f>sofp!T28</f>
        <v>454696113.63</v>
      </c>
      <c r="U5" s="18">
        <f>sofp!U28</f>
        <v>459341679</v>
      </c>
      <c r="V5" s="18">
        <f>sofp!V28</f>
        <v>463157460.38999999</v>
      </c>
      <c r="W5" s="18">
        <f>sofp!W28</f>
        <v>467194926.56</v>
      </c>
      <c r="X5" s="18">
        <f>sofp!X28</f>
        <v>470512410.04000002</v>
      </c>
      <c r="Y5" s="18">
        <f>sofp!Y28</f>
        <v>463998127.55000001</v>
      </c>
      <c r="Z5" s="18">
        <f>sofp!Z28</f>
        <v>463998127.55000001</v>
      </c>
      <c r="AA5" s="18">
        <f>sofp!AA28</f>
        <v>468481283.47000003</v>
      </c>
      <c r="AB5" s="18">
        <f>sofp!AB28</f>
        <v>473060483.10000002</v>
      </c>
      <c r="AC5" s="18">
        <f>sofp!AC28</f>
        <v>478137771.54000002</v>
      </c>
      <c r="AD5" s="18">
        <f>sofp!AD28</f>
        <v>483984837.67000002</v>
      </c>
      <c r="AE5" s="18">
        <f>sofp!AE28</f>
        <v>489376142.44</v>
      </c>
      <c r="AF5" s="18">
        <f>sofp!AF28</f>
        <v>494044417.95999998</v>
      </c>
      <c r="AG5" s="18">
        <f>sofp!AG28</f>
        <v>497257054.44</v>
      </c>
      <c r="AH5" s="18">
        <f>sofp!AH28</f>
        <v>500833207.57999998</v>
      </c>
      <c r="AI5" s="18">
        <f>sofp!AI28</f>
        <v>498023349.63</v>
      </c>
      <c r="AJ5" s="18">
        <f>sofp!AJ28</f>
        <v>501605820.88999999</v>
      </c>
      <c r="AK5" s="18">
        <f>sofp!AK28</f>
        <v>504566358.26999998</v>
      </c>
      <c r="AL5" s="18">
        <f>sofp!AL28</f>
        <v>493594586.02999997</v>
      </c>
      <c r="AM5" s="18">
        <f>sofp!AM28</f>
        <v>493594586</v>
      </c>
      <c r="AN5" s="18">
        <f>sofp!AN28</f>
        <v>0</v>
      </c>
      <c r="AO5" s="18">
        <f>sofp!AO28</f>
        <v>0</v>
      </c>
      <c r="AP5" s="18">
        <f>sofp!AP28</f>
        <v>0</v>
      </c>
      <c r="AQ5" s="18">
        <f>sofp!AQ28</f>
        <v>0</v>
      </c>
      <c r="AR5" s="18">
        <f>sofp!AR28</f>
        <v>0</v>
      </c>
      <c r="AS5" s="18">
        <f>sofp!AS28</f>
        <v>0</v>
      </c>
    </row>
    <row r="6" spans="1:45">
      <c r="A6" t="s">
        <v>100</v>
      </c>
      <c r="B6" s="18">
        <f>sofp!B26 + sofp!B28</f>
        <v>475455233.22000003</v>
      </c>
      <c r="C6" s="18">
        <f>sofp!C26 + sofp!C28</f>
        <v>491542881.90000004</v>
      </c>
      <c r="D6" s="18">
        <f>sofp!D26 + sofp!D28</f>
        <v>485328245.99000001</v>
      </c>
      <c r="E6" s="18">
        <f>sofp!E26 + sofp!E28</f>
        <v>492215367.89999998</v>
      </c>
      <c r="F6" s="18">
        <f>sofp!F26 + sofp!F28</f>
        <v>496890546.58000004</v>
      </c>
      <c r="G6" s="18">
        <f>sofp!G26 + sofp!G28</f>
        <v>501362475.00999999</v>
      </c>
      <c r="H6" s="18">
        <f>sofp!H26 + sofp!H28</f>
        <v>509766918.94</v>
      </c>
      <c r="I6" s="18">
        <f>sofp!I26 + sofp!I28</f>
        <v>508675630.81</v>
      </c>
      <c r="J6" s="18">
        <f>sofp!J26 + sofp!J28</f>
        <v>517812757.20999998</v>
      </c>
      <c r="K6" s="18">
        <f>sofp!K26 + sofp!K28</f>
        <v>522217639.33999997</v>
      </c>
      <c r="L6" s="18">
        <f>sofp!L26 + sofp!L28</f>
        <v>526289685.03000003</v>
      </c>
      <c r="M6" s="18">
        <f>sofp!M26 + sofp!M28</f>
        <v>528158475</v>
      </c>
      <c r="N6" s="18">
        <f>sofp!N26 + sofp!N28</f>
        <v>532380563.78999996</v>
      </c>
      <c r="O6" s="18">
        <f>sofp!O26 + sofp!O28</f>
        <v>562369974.46000004</v>
      </c>
      <c r="P6" s="18">
        <f>sofp!P26 + sofp!P28</f>
        <v>543193065.95000005</v>
      </c>
      <c r="Q6" s="18">
        <f>sofp!Q26 + sofp!Q28</f>
        <v>548086177.73000002</v>
      </c>
      <c r="R6" s="18">
        <f>sofp!R26 + sofp!R28</f>
        <v>547489361.70000005</v>
      </c>
      <c r="S6" s="18">
        <f>sofp!S26 + sofp!S28</f>
        <v>542409541.72000003</v>
      </c>
      <c r="T6" s="18">
        <f>sofp!T26 + sofp!T28</f>
        <v>572546780.60000002</v>
      </c>
      <c r="U6" s="18">
        <f>sofp!U26 + sofp!U28</f>
        <v>572220317.34000003</v>
      </c>
      <c r="V6" s="18">
        <f>sofp!V26 + sofp!V28</f>
        <v>568902187.35000002</v>
      </c>
      <c r="W6" s="18">
        <f>sofp!W26 + sofp!W28</f>
        <v>575966443.5</v>
      </c>
      <c r="X6" s="18">
        <f>sofp!X26 + sofp!X28</f>
        <v>576168581.60000002</v>
      </c>
      <c r="Y6" s="18">
        <f>sofp!Y26 + sofp!Y28</f>
        <v>562872607.24000001</v>
      </c>
      <c r="Z6" s="18">
        <f>sofp!Z26 + sofp!Z28</f>
        <v>564935312.86000001</v>
      </c>
      <c r="AA6" s="18">
        <f>sofp!AA26 + sofp!AA28</f>
        <v>565129039.61000001</v>
      </c>
      <c r="AB6" s="18">
        <f>sofp!AB26 + sofp!AB28</f>
        <v>587777549.67000008</v>
      </c>
      <c r="AC6" s="18">
        <f>sofp!AC26 + sofp!AC28</f>
        <v>577868623.85000002</v>
      </c>
      <c r="AD6" s="18">
        <f>sofp!AD26 + sofp!AD28</f>
        <v>587223382.70000005</v>
      </c>
      <c r="AE6" s="18">
        <f>sofp!AE26 + sofp!AE28</f>
        <v>587152158.45000005</v>
      </c>
      <c r="AF6" s="18">
        <f>sofp!AF26 + sofp!AF28</f>
        <v>586938949.38</v>
      </c>
      <c r="AG6" s="18">
        <f>sofp!AG26 + sofp!AG28</f>
        <v>601508393.55999994</v>
      </c>
      <c r="AH6" s="18">
        <f>sofp!AH26 + sofp!AH28</f>
        <v>602149375.86000001</v>
      </c>
      <c r="AI6" s="18">
        <f>sofp!AI26 + sofp!AI28</f>
        <v>595897026.35000002</v>
      </c>
      <c r="AJ6" s="18">
        <f>sofp!AJ26 + sofp!AJ28</f>
        <v>597860456.29999995</v>
      </c>
      <c r="AK6" s="18">
        <f>sofp!AK26 + sofp!AK28</f>
        <v>617133214.20000005</v>
      </c>
      <c r="AL6" s="18">
        <f>sofp!AL26 + sofp!AL28</f>
        <v>600962121.93999994</v>
      </c>
      <c r="AM6" s="18">
        <f>sofp!AM26 + sofp!AM28</f>
        <v>510841478</v>
      </c>
      <c r="AN6" s="18">
        <f>sofp!AN26 + sofp!AN28</f>
        <v>0</v>
      </c>
      <c r="AO6" s="18">
        <f>sofp!AO26 + sofp!AO28</f>
        <v>0</v>
      </c>
      <c r="AP6" s="18">
        <f>sofp!AP26 + sofp!AP28</f>
        <v>0</v>
      </c>
      <c r="AQ6" s="18">
        <f>sofp!AQ26 + sofp!AQ28</f>
        <v>0</v>
      </c>
      <c r="AR6" s="18">
        <f>sofp!AR26 + sofp!AR28</f>
        <v>0</v>
      </c>
      <c r="AS6" s="18">
        <f>sofp!AS26 + sofp!AS28</f>
        <v>0</v>
      </c>
    </row>
    <row r="7" spans="1:45">
      <c r="A7" t="s">
        <v>101</v>
      </c>
      <c r="B7" s="18">
        <f>sofp!B35</f>
        <v>41250000</v>
      </c>
      <c r="C7" s="18">
        <f>sofp!C35</f>
        <v>40000000</v>
      </c>
      <c r="D7" s="18">
        <f>sofp!D35</f>
        <v>38750000</v>
      </c>
      <c r="E7" s="18">
        <f>sofp!E35</f>
        <v>37500000</v>
      </c>
      <c r="F7" s="18">
        <f>sofp!F35</f>
        <v>36250000</v>
      </c>
      <c r="G7" s="18">
        <f>sofp!G35</f>
        <v>35000000</v>
      </c>
      <c r="H7" s="18">
        <f>sofp!H35</f>
        <v>32500000</v>
      </c>
      <c r="I7" s="18">
        <f>sofp!I35</f>
        <v>31250000</v>
      </c>
      <c r="J7" s="18">
        <f>sofp!J35</f>
        <v>30000000</v>
      </c>
      <c r="K7" s="18">
        <f>sofp!K35</f>
        <v>28750000</v>
      </c>
      <c r="L7" s="18">
        <f>sofp!L35</f>
        <v>27500000</v>
      </c>
      <c r="M7" s="18">
        <f>sofp!M35</f>
        <v>27500000</v>
      </c>
      <c r="N7" s="18">
        <f>sofp!N35</f>
        <v>26250000</v>
      </c>
      <c r="O7" s="18">
        <f>sofp!O35</f>
        <v>25000000</v>
      </c>
      <c r="P7" s="18">
        <f>sofp!P35</f>
        <v>23750000</v>
      </c>
      <c r="Q7" s="18">
        <f>sofp!Q35</f>
        <v>22500000</v>
      </c>
      <c r="R7" s="18">
        <f>sofp!R35</f>
        <v>21250000</v>
      </c>
      <c r="S7" s="18">
        <f>sofp!S35</f>
        <v>20000000</v>
      </c>
      <c r="T7" s="18">
        <f>sofp!T35</f>
        <v>18750000</v>
      </c>
      <c r="U7" s="18">
        <f>sofp!U35</f>
        <v>17500000</v>
      </c>
      <c r="V7" s="18">
        <f>sofp!V35</f>
        <v>16250000</v>
      </c>
      <c r="W7" s="18">
        <f>sofp!W35</f>
        <v>15000000</v>
      </c>
      <c r="X7" s="18">
        <f>sofp!X35</f>
        <v>13750000</v>
      </c>
      <c r="Y7" s="18">
        <f>sofp!Y35</f>
        <v>12500000</v>
      </c>
      <c r="Z7" s="18">
        <f>sofp!Z35</f>
        <v>12500000</v>
      </c>
      <c r="AA7" s="18">
        <f>sofp!AA35</f>
        <v>11250000</v>
      </c>
      <c r="AB7" s="18">
        <f>sofp!AB35</f>
        <v>10000000</v>
      </c>
      <c r="AC7" s="18">
        <f>sofp!AC35</f>
        <v>8750000</v>
      </c>
      <c r="AD7" s="18">
        <f>sofp!AD35</f>
        <v>7500000</v>
      </c>
      <c r="AE7" s="18">
        <f>sofp!AE35</f>
        <v>6250000</v>
      </c>
      <c r="AF7" s="18">
        <f>sofp!AF35</f>
        <v>5000000</v>
      </c>
      <c r="AG7" s="18">
        <f>sofp!AG35</f>
        <v>3750000</v>
      </c>
      <c r="AH7" s="18">
        <f>sofp!AH35</f>
        <v>2500000</v>
      </c>
      <c r="AI7" s="18">
        <f>sofp!AI35</f>
        <v>1250000</v>
      </c>
      <c r="AJ7" s="18">
        <f>sofp!AJ35</f>
        <v>0</v>
      </c>
      <c r="AK7" s="18">
        <f>sofp!AK35</f>
        <v>0</v>
      </c>
      <c r="AL7" s="18">
        <f>sofp!AL35</f>
        <v>0</v>
      </c>
      <c r="AM7" s="18">
        <f>sofp!AM35</f>
        <v>32269688</v>
      </c>
      <c r="AN7" s="18">
        <f>sofp!AN35</f>
        <v>0</v>
      </c>
      <c r="AO7" s="18">
        <f>sofp!AO35</f>
        <v>0</v>
      </c>
      <c r="AP7" s="18">
        <f>sofp!AP35</f>
        <v>0</v>
      </c>
      <c r="AQ7" s="18">
        <f>sofp!AQ35</f>
        <v>0</v>
      </c>
      <c r="AR7" s="18">
        <f>sofp!AR35</f>
        <v>0</v>
      </c>
      <c r="AS7" s="18">
        <f>sofp!AS35</f>
        <v>0</v>
      </c>
    </row>
    <row r="8" spans="1:45">
      <c r="A8" t="s">
        <v>102</v>
      </c>
      <c r="B8" s="18">
        <f>SUM(sofp!B30:B34)</f>
        <v>12127772.949999999</v>
      </c>
      <c r="C8" s="18">
        <f>SUM(sofp!C30:C34)</f>
        <v>15973054.890000001</v>
      </c>
      <c r="D8" s="18">
        <f>SUM(sofp!D30:D34)</f>
        <v>16374589.93</v>
      </c>
      <c r="E8" s="18">
        <f>SUM(sofp!E30:E34)</f>
        <v>18401555.829999998</v>
      </c>
      <c r="F8" s="18">
        <f>SUM(sofp!F30:F34)</f>
        <v>20423965.509999998</v>
      </c>
      <c r="G8" s="18">
        <f>SUM(sofp!G30:G34)</f>
        <v>24140892.109999999</v>
      </c>
      <c r="H8" s="18">
        <f>SUM(sofp!H30:H34)</f>
        <v>26839493.579999998</v>
      </c>
      <c r="I8" s="18">
        <f>SUM(sofp!I30:I34)</f>
        <v>27364293.989999998</v>
      </c>
      <c r="J8" s="18">
        <f>SUM(sofp!J30:J34)</f>
        <v>29268289.079999998</v>
      </c>
      <c r="K8" s="18">
        <f>SUM(sofp!K30:K34)</f>
        <v>31827615.229999997</v>
      </c>
      <c r="L8" s="18">
        <f>SUM(sofp!L30:L34)</f>
        <v>36990742.600000001</v>
      </c>
      <c r="M8" s="18">
        <f>SUM(sofp!M30:M34)</f>
        <v>37147404</v>
      </c>
      <c r="N8" s="18">
        <f>SUM(sofp!N30:N34)</f>
        <v>39785536.440000005</v>
      </c>
      <c r="O8" s="18">
        <f>SUM(sofp!O30:O34)</f>
        <v>24789211.439999998</v>
      </c>
      <c r="P8" s="18">
        <f>SUM(sofp!P30:P34)</f>
        <v>23169683.029999997</v>
      </c>
      <c r="Q8" s="18">
        <f>SUM(sofp!Q30:Q34)</f>
        <v>25272825.43</v>
      </c>
      <c r="R8" s="18">
        <f>SUM(sofp!R30:R34)</f>
        <v>27723022.629999999</v>
      </c>
      <c r="S8" s="18">
        <f>SUM(sofp!S30:S34)</f>
        <v>28197155.299999997</v>
      </c>
      <c r="T8" s="18">
        <f>SUM(sofp!T30:T34)</f>
        <v>32150582.459999997</v>
      </c>
      <c r="U8" s="18">
        <f>SUM(sofp!U30:U34)</f>
        <v>33994898.969999999</v>
      </c>
      <c r="V8" s="18">
        <f>SUM(sofp!V30:V34)</f>
        <v>36082697.030000001</v>
      </c>
      <c r="W8" s="18">
        <f>SUM(sofp!W30:W34)</f>
        <v>38450527.960000001</v>
      </c>
      <c r="X8" s="18">
        <f>SUM(sofp!X30:X34)</f>
        <v>40437413.32</v>
      </c>
      <c r="Y8" s="18">
        <f>SUM(sofp!Y30:Y34)</f>
        <v>39898415.270000003</v>
      </c>
      <c r="Z8" s="18">
        <f>SUM(sofp!Z30:Z34)</f>
        <v>42138009.269999996</v>
      </c>
      <c r="AA8" s="18">
        <f>SUM(sofp!AA30:AA34)</f>
        <v>44315666.969999999</v>
      </c>
      <c r="AB8" s="18">
        <f>SUM(sofp!AB30:AB34)</f>
        <v>26624677.949999999</v>
      </c>
      <c r="AC8" s="18">
        <f>SUM(sofp!AC30:AC34)</f>
        <v>23589375.039999999</v>
      </c>
      <c r="AD8" s="18">
        <f>SUM(sofp!AD30:AD34)</f>
        <v>26706015.18</v>
      </c>
      <c r="AE8" s="18">
        <f>SUM(sofp!AE30:AE34)</f>
        <v>30946421.34</v>
      </c>
      <c r="AF8" s="18">
        <f>SUM(sofp!AF30:AF34)</f>
        <v>34123099.079999998</v>
      </c>
      <c r="AG8" s="18">
        <f>SUM(sofp!AG30:AG34)</f>
        <v>35677224.920000002</v>
      </c>
      <c r="AH8" s="18">
        <f>SUM(sofp!AH30:AH34)</f>
        <v>38320417.619999997</v>
      </c>
      <c r="AI8" s="18">
        <f>SUM(sofp!AI30:AI34)</f>
        <v>40674223.579999998</v>
      </c>
      <c r="AJ8" s="18">
        <f>SUM(sofp!AJ30:AJ34)</f>
        <v>46814153.490000002</v>
      </c>
      <c r="AK8" s="18">
        <f>SUM(sofp!AK30:AK34)</f>
        <v>50891042.270000003</v>
      </c>
      <c r="AL8" s="18">
        <f>SUM(sofp!AL30:AL34)</f>
        <v>54250053.939999998</v>
      </c>
      <c r="AM8" s="18">
        <f>SUM(sofp!AM30:AM34)</f>
        <v>22768527</v>
      </c>
      <c r="AN8" s="18">
        <f>SUM(sofp!AN30:AN34)</f>
        <v>0</v>
      </c>
      <c r="AO8" s="18">
        <f>SUM(sofp!AO30:AO34)</f>
        <v>0</v>
      </c>
      <c r="AP8" s="18">
        <f>SUM(sofp!AP30:AP34)</f>
        <v>0</v>
      </c>
      <c r="AQ8" s="18">
        <f>SUM(sofp!AQ30:AQ34)</f>
        <v>0</v>
      </c>
      <c r="AR8" s="18">
        <f>SUM(sofp!AR30:AR34)</f>
        <v>0</v>
      </c>
      <c r="AS8" s="18">
        <f>SUM(sofp!AS30:AS34)</f>
        <v>0</v>
      </c>
    </row>
    <row r="9" spans="1:45"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</row>
    <row r="10" spans="1:45">
      <c r="A10" s="17" t="s">
        <v>103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</row>
    <row r="11" spans="1:45">
      <c r="A11" t="s">
        <v>104</v>
      </c>
      <c r="B11" s="18">
        <f t="shared" ref="B11:G11" si="0">B14</f>
        <v>174473972.84999999</v>
      </c>
      <c r="C11" s="18">
        <f t="shared" si="0"/>
        <v>168849743.09</v>
      </c>
      <c r="D11" s="18">
        <f t="shared" si="0"/>
        <v>171744535.84</v>
      </c>
      <c r="E11" s="18">
        <f t="shared" si="0"/>
        <v>182493098.69999999</v>
      </c>
      <c r="F11" s="18">
        <f t="shared" si="0"/>
        <v>185483397.16999999</v>
      </c>
      <c r="G11" s="18">
        <f t="shared" si="0"/>
        <v>189921272.96999997</v>
      </c>
      <c r="H11" s="18">
        <f t="shared" ref="H11:M11" si="1">H14</f>
        <v>206651576.03999999</v>
      </c>
      <c r="I11" s="18">
        <f t="shared" si="1"/>
        <v>211768864.81999999</v>
      </c>
      <c r="J11" s="18">
        <f t="shared" si="1"/>
        <v>216635675.95999998</v>
      </c>
      <c r="K11" s="18">
        <f t="shared" si="1"/>
        <v>220367894.00999999</v>
      </c>
      <c r="L11" s="18">
        <f t="shared" si="1"/>
        <v>222946416.21999997</v>
      </c>
      <c r="M11" s="18">
        <f t="shared" si="1"/>
        <v>217510115</v>
      </c>
      <c r="N11" s="18">
        <f t="shared" ref="N11:AF11" si="2">N14</f>
        <v>224464689.07999998</v>
      </c>
      <c r="O11" s="18">
        <f t="shared" si="2"/>
        <v>221532149.91999999</v>
      </c>
      <c r="P11" s="18">
        <f t="shared" si="2"/>
        <v>223699174.63</v>
      </c>
      <c r="Q11" s="18">
        <f t="shared" si="2"/>
        <v>235833213.95999998</v>
      </c>
      <c r="R11" s="18">
        <f t="shared" si="2"/>
        <v>239184563.89999998</v>
      </c>
      <c r="S11" s="18">
        <f t="shared" si="2"/>
        <v>243190160.57999998</v>
      </c>
      <c r="T11" s="18">
        <f t="shared" si="2"/>
        <v>247728920.83999997</v>
      </c>
      <c r="U11" s="18">
        <f t="shared" si="2"/>
        <v>250649503.91</v>
      </c>
      <c r="V11" s="18">
        <f t="shared" si="2"/>
        <v>252913069.63</v>
      </c>
      <c r="W11" s="18">
        <f t="shared" si="2"/>
        <v>256298229.97999999</v>
      </c>
      <c r="X11" s="18">
        <f t="shared" si="2"/>
        <v>259152493.55999997</v>
      </c>
      <c r="Y11" s="18">
        <f t="shared" si="2"/>
        <v>272484798.5</v>
      </c>
      <c r="Z11" s="18">
        <f t="shared" si="2"/>
        <v>264626133.37649998</v>
      </c>
      <c r="AA11" s="18">
        <f t="shared" si="2"/>
        <v>269816209.83999997</v>
      </c>
      <c r="AB11" s="18">
        <f t="shared" si="2"/>
        <v>264602522.29000002</v>
      </c>
      <c r="AC11" s="18">
        <f t="shared" si="2"/>
        <v>270076532.74000001</v>
      </c>
      <c r="AD11" s="18">
        <f t="shared" si="2"/>
        <v>274188172.10000002</v>
      </c>
      <c r="AE11" s="18">
        <f t="shared" si="2"/>
        <v>276283329.96000004</v>
      </c>
      <c r="AF11" s="18">
        <f t="shared" si="2"/>
        <v>285464663.30000001</v>
      </c>
      <c r="AG11" s="18">
        <f t="shared" ref="AG11:AS11" si="3">AG14</f>
        <v>288959744.73000002</v>
      </c>
      <c r="AH11" s="18">
        <f t="shared" si="3"/>
        <v>293556035</v>
      </c>
      <c r="AI11" s="18">
        <f t="shared" si="3"/>
        <v>296341996.10000002</v>
      </c>
      <c r="AJ11" s="18">
        <f t="shared" si="3"/>
        <v>298628769.81</v>
      </c>
      <c r="AK11" s="18">
        <f t="shared" si="3"/>
        <v>303351946.94000006</v>
      </c>
      <c r="AL11" s="18">
        <f t="shared" si="3"/>
        <v>323005325.43000001</v>
      </c>
      <c r="AM11" s="18">
        <f t="shared" ref="AM11" si="4">AM14</f>
        <v>158463575</v>
      </c>
      <c r="AN11" s="18">
        <f t="shared" si="3"/>
        <v>0</v>
      </c>
      <c r="AO11" s="18">
        <f t="shared" si="3"/>
        <v>0</v>
      </c>
      <c r="AP11" s="18">
        <f t="shared" si="3"/>
        <v>0</v>
      </c>
      <c r="AQ11" s="18">
        <f t="shared" si="3"/>
        <v>0</v>
      </c>
      <c r="AR11" s="18">
        <f t="shared" si="3"/>
        <v>0</v>
      </c>
      <c r="AS11" s="18">
        <f t="shared" si="3"/>
        <v>0</v>
      </c>
    </row>
    <row r="12" spans="1:45">
      <c r="A12" t="s">
        <v>105</v>
      </c>
      <c r="B12" s="18">
        <f t="shared" ref="B12:G12" si="5">B11 - B15</f>
        <v>134218841.56999999</v>
      </c>
      <c r="C12" s="18">
        <f t="shared" si="5"/>
        <v>128590611.81</v>
      </c>
      <c r="D12" s="18">
        <f t="shared" si="5"/>
        <v>131475404.56</v>
      </c>
      <c r="E12" s="18">
        <f t="shared" si="5"/>
        <v>142214467.41999999</v>
      </c>
      <c r="F12" s="18">
        <f t="shared" si="5"/>
        <v>145204765.88999999</v>
      </c>
      <c r="G12" s="18">
        <f t="shared" si="5"/>
        <v>149572659.84999996</v>
      </c>
      <c r="H12" s="18">
        <f t="shared" ref="H12:M12" si="6">H11 - H15</f>
        <v>166246462.91999999</v>
      </c>
      <c r="I12" s="18">
        <f t="shared" si="6"/>
        <v>171353251.69999999</v>
      </c>
      <c r="J12" s="18">
        <f t="shared" si="6"/>
        <v>176211562.83999997</v>
      </c>
      <c r="K12" s="18">
        <f t="shared" si="6"/>
        <v>179929280.88999999</v>
      </c>
      <c r="L12" s="18">
        <f t="shared" si="6"/>
        <v>179540642.89999998</v>
      </c>
      <c r="M12" s="18">
        <f t="shared" si="6"/>
        <v>174104342</v>
      </c>
      <c r="N12" s="18">
        <f t="shared" ref="N12:AF12" si="7">N11 - N15</f>
        <v>181046715.75999999</v>
      </c>
      <c r="O12" s="18">
        <f t="shared" si="7"/>
        <v>178090676.59999999</v>
      </c>
      <c r="P12" s="18">
        <f t="shared" si="7"/>
        <v>179876158.09</v>
      </c>
      <c r="Q12" s="18">
        <f t="shared" si="7"/>
        <v>191985197.41999999</v>
      </c>
      <c r="R12" s="18">
        <f t="shared" si="7"/>
        <v>195322547.35999998</v>
      </c>
      <c r="S12" s="18">
        <f t="shared" si="7"/>
        <v>199320144.03999999</v>
      </c>
      <c r="T12" s="18">
        <f t="shared" si="7"/>
        <v>203820851.17999998</v>
      </c>
      <c r="U12" s="18">
        <f t="shared" si="7"/>
        <v>206493284.25</v>
      </c>
      <c r="V12" s="18">
        <f t="shared" si="7"/>
        <v>208377849.97</v>
      </c>
      <c r="W12" s="18">
        <f t="shared" si="7"/>
        <v>211377630.31999999</v>
      </c>
      <c r="X12" s="18">
        <f t="shared" si="7"/>
        <v>213287623.89999998</v>
      </c>
      <c r="Y12" s="18">
        <f t="shared" si="7"/>
        <v>215526204.49000001</v>
      </c>
      <c r="Z12" s="18">
        <f t="shared" si="7"/>
        <v>207667539.36649999</v>
      </c>
      <c r="AA12" s="18">
        <f t="shared" si="7"/>
        <v>212620215.82999998</v>
      </c>
      <c r="AB12" s="18">
        <f t="shared" si="7"/>
        <v>205546227.10000002</v>
      </c>
      <c r="AC12" s="18">
        <f t="shared" si="7"/>
        <v>208308011.56</v>
      </c>
      <c r="AD12" s="18">
        <f t="shared" si="7"/>
        <v>212319812.41000003</v>
      </c>
      <c r="AE12" s="18">
        <f t="shared" si="7"/>
        <v>214334966.21000004</v>
      </c>
      <c r="AF12" s="18">
        <f t="shared" si="7"/>
        <v>223270795.53</v>
      </c>
      <c r="AG12" s="18">
        <f t="shared" ref="AG12:AS12" si="8">AG11 - AG15</f>
        <v>226529372.96000001</v>
      </c>
      <c r="AH12" s="18">
        <f t="shared" si="8"/>
        <v>230872977.62</v>
      </c>
      <c r="AI12" s="18">
        <f t="shared" si="8"/>
        <v>233229738.72000003</v>
      </c>
      <c r="AJ12" s="18">
        <f t="shared" si="8"/>
        <v>235379586.16</v>
      </c>
      <c r="AK12" s="18">
        <f t="shared" si="8"/>
        <v>239898863.29000005</v>
      </c>
      <c r="AL12" s="18">
        <f t="shared" si="8"/>
        <v>245354548.94</v>
      </c>
      <c r="AM12" s="18">
        <f t="shared" ref="AM12" si="9">AM11 - AM15</f>
        <v>80812799</v>
      </c>
      <c r="AN12" s="18">
        <f t="shared" si="8"/>
        <v>0</v>
      </c>
      <c r="AO12" s="18">
        <f t="shared" si="8"/>
        <v>0</v>
      </c>
      <c r="AP12" s="18">
        <f t="shared" si="8"/>
        <v>0</v>
      </c>
      <c r="AQ12" s="18">
        <f t="shared" si="8"/>
        <v>0</v>
      </c>
      <c r="AR12" s="18">
        <f t="shared" si="8"/>
        <v>0</v>
      </c>
      <c r="AS12" s="18">
        <f t="shared" si="8"/>
        <v>0</v>
      </c>
    </row>
    <row r="13" spans="1:45"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</row>
    <row r="14" spans="1:45">
      <c r="A14" t="s">
        <v>106</v>
      </c>
      <c r="B14" s="18">
        <f t="shared" ref="B14:G14" si="10">SUM(B15:B17) + B19</f>
        <v>174473972.84999999</v>
      </c>
      <c r="C14" s="18">
        <f t="shared" si="10"/>
        <v>168849743.09</v>
      </c>
      <c r="D14" s="18">
        <f t="shared" si="10"/>
        <v>171744535.84</v>
      </c>
      <c r="E14" s="18">
        <f t="shared" si="10"/>
        <v>182493098.69999999</v>
      </c>
      <c r="F14" s="18">
        <f t="shared" si="10"/>
        <v>185483397.16999999</v>
      </c>
      <c r="G14" s="18">
        <f t="shared" si="10"/>
        <v>189921272.96999997</v>
      </c>
      <c r="H14" s="18">
        <f t="shared" ref="H14:M14" si="11">SUM(H15:H17) + H19</f>
        <v>206651576.03999999</v>
      </c>
      <c r="I14" s="18">
        <f t="shared" si="11"/>
        <v>211768864.81999999</v>
      </c>
      <c r="J14" s="18">
        <f t="shared" si="11"/>
        <v>216635675.95999998</v>
      </c>
      <c r="K14" s="18">
        <f t="shared" si="11"/>
        <v>220367894.00999999</v>
      </c>
      <c r="L14" s="18">
        <f t="shared" si="11"/>
        <v>222946416.21999997</v>
      </c>
      <c r="M14" s="18">
        <f t="shared" si="11"/>
        <v>217510115</v>
      </c>
      <c r="N14" s="18">
        <f t="shared" ref="N14:AF14" si="12">SUM(N15:N17) + N19</f>
        <v>224464689.07999998</v>
      </c>
      <c r="O14" s="18">
        <f t="shared" si="12"/>
        <v>221532149.91999999</v>
      </c>
      <c r="P14" s="18">
        <f t="shared" si="12"/>
        <v>223699174.63</v>
      </c>
      <c r="Q14" s="18">
        <f t="shared" si="12"/>
        <v>235833213.95999998</v>
      </c>
      <c r="R14" s="18">
        <f t="shared" si="12"/>
        <v>239184563.89999998</v>
      </c>
      <c r="S14" s="18">
        <f t="shared" si="12"/>
        <v>243190160.57999998</v>
      </c>
      <c r="T14" s="18">
        <f t="shared" si="12"/>
        <v>247728920.83999997</v>
      </c>
      <c r="U14" s="18">
        <f t="shared" si="12"/>
        <v>250649503.91</v>
      </c>
      <c r="V14" s="18">
        <f t="shared" si="12"/>
        <v>252913069.63</v>
      </c>
      <c r="W14" s="18">
        <f t="shared" si="12"/>
        <v>256298229.97999999</v>
      </c>
      <c r="X14" s="18">
        <f t="shared" si="12"/>
        <v>259152493.55999997</v>
      </c>
      <c r="Y14" s="18">
        <f t="shared" si="12"/>
        <v>272484798.5</v>
      </c>
      <c r="Z14" s="18">
        <f t="shared" si="12"/>
        <v>264626133.37649998</v>
      </c>
      <c r="AA14" s="18">
        <f t="shared" si="12"/>
        <v>269816209.83999997</v>
      </c>
      <c r="AB14" s="18">
        <f t="shared" si="12"/>
        <v>264602522.29000002</v>
      </c>
      <c r="AC14" s="18">
        <f t="shared" si="12"/>
        <v>270076532.74000001</v>
      </c>
      <c r="AD14" s="18">
        <f t="shared" si="12"/>
        <v>274188172.10000002</v>
      </c>
      <c r="AE14" s="18">
        <f t="shared" si="12"/>
        <v>276283329.96000004</v>
      </c>
      <c r="AF14" s="18">
        <f t="shared" si="12"/>
        <v>285464663.30000001</v>
      </c>
      <c r="AG14" s="18">
        <f t="shared" ref="AG14:AS14" si="13">SUM(AG15:AG17) + AG19</f>
        <v>288959744.73000002</v>
      </c>
      <c r="AH14" s="18">
        <f t="shared" si="13"/>
        <v>293556035</v>
      </c>
      <c r="AI14" s="18">
        <f t="shared" si="13"/>
        <v>296341996.10000002</v>
      </c>
      <c r="AJ14" s="18">
        <f t="shared" si="13"/>
        <v>298628769.81</v>
      </c>
      <c r="AK14" s="18">
        <f t="shared" si="13"/>
        <v>303351946.94000006</v>
      </c>
      <c r="AL14" s="18">
        <f t="shared" si="13"/>
        <v>323005325.43000001</v>
      </c>
      <c r="AM14" s="18">
        <f t="shared" ref="AM14" si="14">SUM(AM15:AM17) + AM19</f>
        <v>158463575</v>
      </c>
      <c r="AN14" s="18">
        <f t="shared" si="13"/>
        <v>0</v>
      </c>
      <c r="AO14" s="18">
        <f t="shared" si="13"/>
        <v>0</v>
      </c>
      <c r="AP14" s="18">
        <f t="shared" si="13"/>
        <v>0</v>
      </c>
      <c r="AQ14" s="18">
        <f t="shared" si="13"/>
        <v>0</v>
      </c>
      <c r="AR14" s="18">
        <f t="shared" si="13"/>
        <v>0</v>
      </c>
      <c r="AS14" s="18">
        <f t="shared" si="13"/>
        <v>0</v>
      </c>
    </row>
    <row r="15" spans="1:45">
      <c r="A15" t="s">
        <v>107</v>
      </c>
      <c r="B15" s="18">
        <f>sofp!B37</f>
        <v>40255131.280000001</v>
      </c>
      <c r="C15" s="18">
        <f>sofp!C37</f>
        <v>40259131.280000001</v>
      </c>
      <c r="D15" s="18">
        <f>sofp!D37</f>
        <v>40269131.280000001</v>
      </c>
      <c r="E15" s="18">
        <f>sofp!E37</f>
        <v>40278631.280000001</v>
      </c>
      <c r="F15" s="18">
        <f>sofp!F37</f>
        <v>40278631.280000001</v>
      </c>
      <c r="G15" s="18">
        <f>sofp!G37</f>
        <v>40348613.119999997</v>
      </c>
      <c r="H15" s="18">
        <f>sofp!H37</f>
        <v>40405113.119999997</v>
      </c>
      <c r="I15" s="18">
        <f>sofp!I37</f>
        <v>40415613.119999997</v>
      </c>
      <c r="J15" s="18">
        <f>sofp!J37</f>
        <v>40424113.119999997</v>
      </c>
      <c r="K15" s="18">
        <f>sofp!K37</f>
        <v>40438613.119999997</v>
      </c>
      <c r="L15" s="18">
        <f>sofp!L37</f>
        <v>43405773.32</v>
      </c>
      <c r="M15" s="18">
        <f>sofp!M37</f>
        <v>43405773</v>
      </c>
      <c r="N15" s="18">
        <f>sofp!N37</f>
        <v>43417973.32</v>
      </c>
      <c r="O15" s="18">
        <f>sofp!O37</f>
        <v>43441473.32</v>
      </c>
      <c r="P15" s="18">
        <f>sofp!P37</f>
        <v>43823016.539999999</v>
      </c>
      <c r="Q15" s="18">
        <f>sofp!Q37</f>
        <v>43848016.539999999</v>
      </c>
      <c r="R15" s="18">
        <f>sofp!R37</f>
        <v>43862016.539999999</v>
      </c>
      <c r="S15" s="18">
        <f>sofp!S37</f>
        <v>43870016.539999999</v>
      </c>
      <c r="T15" s="18">
        <f>sofp!T37</f>
        <v>43908069.659999996</v>
      </c>
      <c r="U15" s="18">
        <f>sofp!U37</f>
        <v>44156219.659999996</v>
      </c>
      <c r="V15" s="18">
        <f>sofp!V37</f>
        <v>44535219.659999996</v>
      </c>
      <c r="W15" s="18">
        <f>sofp!W37</f>
        <v>44920599.659999996</v>
      </c>
      <c r="X15" s="18">
        <f>sofp!X37</f>
        <v>45864869.659999996</v>
      </c>
      <c r="Y15" s="18">
        <f>sofp!Y37</f>
        <v>56958594.009999998</v>
      </c>
      <c r="Z15" s="18">
        <f>sofp!Z37</f>
        <v>56958594.009999998</v>
      </c>
      <c r="AA15" s="18">
        <f>sofp!AA37</f>
        <v>57195994.009999998</v>
      </c>
      <c r="AB15" s="18">
        <f>sofp!AB37</f>
        <v>59056295.189999998</v>
      </c>
      <c r="AC15" s="18">
        <f>sofp!AC37</f>
        <v>61768521.18</v>
      </c>
      <c r="AD15" s="18">
        <f>sofp!AD37</f>
        <v>61868359.689999998</v>
      </c>
      <c r="AE15" s="18">
        <f>sofp!AE37</f>
        <v>61948363.75</v>
      </c>
      <c r="AF15" s="18">
        <f>sofp!AF37</f>
        <v>62193867.770000003</v>
      </c>
      <c r="AG15" s="18">
        <f>sofp!AG37</f>
        <v>62430371.770000003</v>
      </c>
      <c r="AH15" s="18">
        <f>sofp!AH37</f>
        <v>62683057.380000003</v>
      </c>
      <c r="AI15" s="18">
        <f>sofp!AI37</f>
        <v>63112257.380000003</v>
      </c>
      <c r="AJ15" s="18">
        <f>sofp!AJ37</f>
        <v>63249183.649999999</v>
      </c>
      <c r="AK15" s="18">
        <f>sofp!AK37</f>
        <v>63453083.649999999</v>
      </c>
      <c r="AL15" s="18">
        <f>sofp!AL37</f>
        <v>77650776.489999995</v>
      </c>
      <c r="AM15" s="18">
        <f>sofp!AM37</f>
        <v>77650776</v>
      </c>
      <c r="AN15" s="18">
        <f>sofp!AN37</f>
        <v>0</v>
      </c>
      <c r="AO15" s="18">
        <f>sofp!AO37</f>
        <v>0</v>
      </c>
      <c r="AP15" s="18">
        <f>sofp!AP37</f>
        <v>0</v>
      </c>
      <c r="AQ15" s="18">
        <f>sofp!AQ37</f>
        <v>0</v>
      </c>
      <c r="AR15" s="18">
        <f>sofp!AR37</f>
        <v>0</v>
      </c>
      <c r="AS15" s="18">
        <f>sofp!AS37</f>
        <v>0</v>
      </c>
    </row>
    <row r="16" spans="1:45">
      <c r="A16" t="s">
        <v>108</v>
      </c>
      <c r="B16" s="18">
        <f>sofp!B39 + sofp!B40</f>
        <v>92546407.769999996</v>
      </c>
      <c r="C16" s="18">
        <f>sofp!C39 + sofp!C40</f>
        <v>79604765.010000005</v>
      </c>
      <c r="D16" s="18">
        <f>sofp!D39 + sofp!D40</f>
        <v>82489557.760000005</v>
      </c>
      <c r="E16" s="18">
        <f>sofp!E39 + sofp!E40</f>
        <v>93228620.620000005</v>
      </c>
      <c r="F16" s="18">
        <f>sofp!F39 + sofp!F40</f>
        <v>96218919.090000004</v>
      </c>
      <c r="G16" s="18">
        <f>sofp!G39 + sofp!G40</f>
        <v>100586813.05</v>
      </c>
      <c r="H16" s="18">
        <f>sofp!H39 + sofp!H40</f>
        <v>110862723.81</v>
      </c>
      <c r="I16" s="18">
        <f>sofp!I39 + sofp!I40</f>
        <v>115964632.59</v>
      </c>
      <c r="J16" s="18">
        <f>sofp!J39 + sofp!J40</f>
        <v>120812943.72999999</v>
      </c>
      <c r="K16" s="18">
        <f>sofp!K39 + sofp!K40</f>
        <v>124526961.78</v>
      </c>
      <c r="L16" s="18">
        <f>sofp!L39 + sofp!L40</f>
        <v>124103323.78999999</v>
      </c>
      <c r="M16" s="18">
        <f>sofp!M39 + sofp!M40</f>
        <v>109782396</v>
      </c>
      <c r="N16" s="18">
        <f>sofp!N39 + sofp!N40</f>
        <v>125599230.65000001</v>
      </c>
      <c r="O16" s="18">
        <f>sofp!O39 + sofp!O40</f>
        <v>113726263.48999999</v>
      </c>
      <c r="P16" s="18">
        <f>sofp!P39 + sofp!P40</f>
        <v>115479876.73</v>
      </c>
      <c r="Q16" s="18">
        <f>sofp!Q39 + sofp!Q40</f>
        <v>127554916.06</v>
      </c>
      <c r="R16" s="18">
        <f>sofp!R39 + sofp!R40</f>
        <v>130866266</v>
      </c>
      <c r="S16" s="18">
        <f>sofp!S39 + sofp!S40</f>
        <v>134346213.28</v>
      </c>
      <c r="T16" s="18">
        <f>sofp!T39 + sofp!T40</f>
        <v>138773062.41999999</v>
      </c>
      <c r="U16" s="18">
        <f>sofp!U39 + sofp!U40</f>
        <v>141434590.49000001</v>
      </c>
      <c r="V16" s="18">
        <f>sofp!V39 + sofp!V40</f>
        <v>143300456.21000001</v>
      </c>
      <c r="W16" s="18">
        <f>sofp!W39 + sofp!W40</f>
        <v>146276736.56</v>
      </c>
      <c r="X16" s="18">
        <f>sofp!X39 + sofp!X40</f>
        <v>148171730.13999999</v>
      </c>
      <c r="Y16" s="18">
        <f>sofp!Y39 + sofp!Y40</f>
        <v>150388245.72999999</v>
      </c>
      <c r="Z16" s="18">
        <f>sofp!Z39 + sofp!Z40</f>
        <v>134840972.29319999</v>
      </c>
      <c r="AA16" s="18">
        <f>sofp!AA39 + sofp!AA40</f>
        <v>147469257.06999999</v>
      </c>
      <c r="AB16" s="18">
        <f>sofp!AB39 + sofp!AB40</f>
        <v>132687659.34000002</v>
      </c>
      <c r="AC16" s="18">
        <f>sofp!AC39 + sofp!AC40</f>
        <v>135425443.80000001</v>
      </c>
      <c r="AD16" s="18">
        <f>sofp!AD39 + sofp!AD40</f>
        <v>139421244.65000001</v>
      </c>
      <c r="AE16" s="18">
        <f>sofp!AE39 + sofp!AE40</f>
        <v>141428398.45000002</v>
      </c>
      <c r="AF16" s="18">
        <f>sofp!AF39 + sofp!AF40</f>
        <v>150338227.77000001</v>
      </c>
      <c r="AG16" s="18">
        <f>sofp!AG39 + sofp!AG40</f>
        <v>153581805.20000002</v>
      </c>
      <c r="AH16" s="18">
        <f>sofp!AH39 + sofp!AH40</f>
        <v>157909036.86000001</v>
      </c>
      <c r="AI16" s="18">
        <f>sofp!AI39 + sofp!AI40</f>
        <v>160256797.96000001</v>
      </c>
      <c r="AJ16" s="18">
        <f>sofp!AJ39 + sofp!AJ40</f>
        <v>162398645.40000001</v>
      </c>
      <c r="AK16" s="18">
        <f>sofp!AK39 + sofp!AK40</f>
        <v>166900922.53000003</v>
      </c>
      <c r="AL16" s="18">
        <f>sofp!AL39 + sofp!AL40</f>
        <v>171788608.18000001</v>
      </c>
      <c r="AM16" s="18">
        <f>sofp!AM39 + sofp!AM40</f>
        <v>0</v>
      </c>
      <c r="AN16" s="18">
        <f>sofp!AN39 + sofp!AN40</f>
        <v>0</v>
      </c>
      <c r="AO16" s="18">
        <f>sofp!AO39 + sofp!AO40</f>
        <v>0</v>
      </c>
      <c r="AP16" s="18">
        <f>sofp!AP39 + sofp!AP40</f>
        <v>0</v>
      </c>
      <c r="AQ16" s="18">
        <f>sofp!AQ39 + sofp!AQ40</f>
        <v>0</v>
      </c>
      <c r="AR16" s="18">
        <f>sofp!AR39 + sofp!AR40</f>
        <v>0</v>
      </c>
      <c r="AS16" s="18">
        <f>sofp!AS39 + sofp!AS40</f>
        <v>0</v>
      </c>
    </row>
    <row r="17" spans="1:45">
      <c r="A17" t="s">
        <v>54</v>
      </c>
      <c r="B17" s="18">
        <f>sofp!B41</f>
        <v>31319331.510000002</v>
      </c>
      <c r="C17" s="18">
        <f>sofp!C41</f>
        <v>38632744.509999998</v>
      </c>
      <c r="D17" s="18">
        <f>sofp!D41</f>
        <v>38632744.509999998</v>
      </c>
      <c r="E17" s="18">
        <f>sofp!E41</f>
        <v>38632744.509999998</v>
      </c>
      <c r="F17" s="18">
        <f>sofp!F41</f>
        <v>38632744.509999998</v>
      </c>
      <c r="G17" s="18">
        <f>sofp!G41</f>
        <v>38632744.509999998</v>
      </c>
      <c r="H17" s="18">
        <f>sofp!H41</f>
        <v>38632744.509999998</v>
      </c>
      <c r="I17" s="18">
        <f>sofp!I41</f>
        <v>38632744.509999998</v>
      </c>
      <c r="J17" s="18">
        <f>sofp!J41</f>
        <v>38632744.509999998</v>
      </c>
      <c r="K17" s="18">
        <f>sofp!K41</f>
        <v>38632744.509999998</v>
      </c>
      <c r="L17" s="18">
        <f>sofp!L41</f>
        <v>38632744.509999998</v>
      </c>
      <c r="M17" s="18">
        <f>sofp!M41</f>
        <v>47517372</v>
      </c>
      <c r="N17" s="18">
        <f>sofp!N41</f>
        <v>38632744.509999998</v>
      </c>
      <c r="O17" s="18">
        <f>sofp!O41</f>
        <v>47517372.509999998</v>
      </c>
      <c r="P17" s="18">
        <f>sofp!P41</f>
        <v>47517372.509999998</v>
      </c>
      <c r="Q17" s="18">
        <f>sofp!Q41</f>
        <v>47517372.509999998</v>
      </c>
      <c r="R17" s="18">
        <f>sofp!R41</f>
        <v>47517372.509999998</v>
      </c>
      <c r="S17" s="18">
        <f>sofp!S41</f>
        <v>47517372.509999998</v>
      </c>
      <c r="T17" s="18">
        <f>sofp!T41</f>
        <v>47517372.509999998</v>
      </c>
      <c r="U17" s="18">
        <f>sofp!U41</f>
        <v>47517372.509999998</v>
      </c>
      <c r="V17" s="18">
        <f>sofp!V41</f>
        <v>47517372.509999998</v>
      </c>
      <c r="W17" s="18">
        <f>sofp!W41</f>
        <v>47517372.509999998</v>
      </c>
      <c r="X17" s="18">
        <f>sofp!X41</f>
        <v>47517372.509999998</v>
      </c>
      <c r="Y17" s="18">
        <f>sofp!Y41</f>
        <v>47517372.509999998</v>
      </c>
      <c r="Z17" s="18">
        <f>sofp!Z41</f>
        <v>55205981.073299997</v>
      </c>
      <c r="AA17" s="18">
        <f>sofp!AA41</f>
        <v>47517372.509999998</v>
      </c>
      <c r="AB17" s="18">
        <f>sofp!AB41</f>
        <v>55205981.509999998</v>
      </c>
      <c r="AC17" s="18">
        <f>sofp!AC41</f>
        <v>55205981.509999998</v>
      </c>
      <c r="AD17" s="18">
        <f>sofp!AD41</f>
        <v>55205981.509999998</v>
      </c>
      <c r="AE17" s="18">
        <f>sofp!AE41</f>
        <v>55205981.509999998</v>
      </c>
      <c r="AF17" s="18">
        <f>sofp!AF41</f>
        <v>55205981.509999998</v>
      </c>
      <c r="AG17" s="18">
        <f>sofp!AG41</f>
        <v>55205981.509999998</v>
      </c>
      <c r="AH17" s="18">
        <f>sofp!AH41</f>
        <v>55205981.509999998</v>
      </c>
      <c r="AI17" s="18">
        <f>sofp!AI41</f>
        <v>55205981.509999998</v>
      </c>
      <c r="AJ17" s="18">
        <f>sofp!AJ41</f>
        <v>55205981.509999998</v>
      </c>
      <c r="AK17" s="18">
        <f>sofp!AK41</f>
        <v>55205981.509999998</v>
      </c>
      <c r="AL17" s="18">
        <f>sofp!AL41</f>
        <v>55205981.509999998</v>
      </c>
      <c r="AM17" s="18">
        <f>sofp!AM41</f>
        <v>62452840</v>
      </c>
      <c r="AN17" s="18">
        <f>sofp!AN41</f>
        <v>0</v>
      </c>
      <c r="AO17" s="18">
        <f>sofp!AO41</f>
        <v>0</v>
      </c>
      <c r="AP17" s="18">
        <f>sofp!AP41</f>
        <v>0</v>
      </c>
      <c r="AQ17" s="18">
        <f>sofp!AQ41</f>
        <v>0</v>
      </c>
      <c r="AR17" s="18">
        <f>sofp!AR41</f>
        <v>0</v>
      </c>
      <c r="AS17" s="18">
        <f>sofp!AS41</f>
        <v>0</v>
      </c>
    </row>
    <row r="18" spans="1:45">
      <c r="A18" t="s">
        <v>109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</row>
    <row r="19" spans="1:45">
      <c r="A19" t="s">
        <v>110</v>
      </c>
      <c r="B19" s="18">
        <f>sofp!B42</f>
        <v>10353102.289999999</v>
      </c>
      <c r="C19" s="18">
        <f>sofp!C42</f>
        <v>10353102.289999999</v>
      </c>
      <c r="D19" s="18">
        <f>sofp!D42</f>
        <v>10353102.289999999</v>
      </c>
      <c r="E19" s="18">
        <f>sofp!E42</f>
        <v>10353102.289999999</v>
      </c>
      <c r="F19" s="18">
        <f>sofp!F42</f>
        <v>10353102.289999999</v>
      </c>
      <c r="G19" s="18">
        <f>sofp!G42</f>
        <v>10353102.289999999</v>
      </c>
      <c r="H19" s="18">
        <f>sofp!H42</f>
        <v>16750994.6</v>
      </c>
      <c r="I19" s="18">
        <f>sofp!I42</f>
        <v>16755874.6</v>
      </c>
      <c r="J19" s="18">
        <f>sofp!J42</f>
        <v>16765874.6</v>
      </c>
      <c r="K19" s="18">
        <f>sofp!K42</f>
        <v>16769574.6</v>
      </c>
      <c r="L19" s="18">
        <f>sofp!L42</f>
        <v>16804574.600000001</v>
      </c>
      <c r="M19" s="18">
        <f>sofp!M42</f>
        <v>16804574</v>
      </c>
      <c r="N19" s="18">
        <f>sofp!N42</f>
        <v>16814740.600000001</v>
      </c>
      <c r="O19" s="18">
        <f>sofp!O42</f>
        <v>16847040.600000001</v>
      </c>
      <c r="P19" s="18">
        <f>sofp!P42</f>
        <v>16878908.850000001</v>
      </c>
      <c r="Q19" s="18">
        <f>sofp!Q42</f>
        <v>16912908.850000001</v>
      </c>
      <c r="R19" s="18">
        <f>sofp!R42</f>
        <v>16938908.850000001</v>
      </c>
      <c r="S19" s="18">
        <f>sofp!S42</f>
        <v>17456558.25</v>
      </c>
      <c r="T19" s="18">
        <f>sofp!T42</f>
        <v>17530416.25</v>
      </c>
      <c r="U19" s="18">
        <f>sofp!U42</f>
        <v>17541321.25</v>
      </c>
      <c r="V19" s="18">
        <f>sofp!V42</f>
        <v>17560021.25</v>
      </c>
      <c r="W19" s="18">
        <f>sofp!W42</f>
        <v>17583521.25</v>
      </c>
      <c r="X19" s="18">
        <f>sofp!X42</f>
        <v>17598521.25</v>
      </c>
      <c r="Y19" s="18">
        <f>sofp!Y42</f>
        <v>17620586.25</v>
      </c>
      <c r="Z19" s="18">
        <f>sofp!Z42</f>
        <v>17620586</v>
      </c>
      <c r="AA19" s="18">
        <f>sofp!AA42</f>
        <v>17633586.25</v>
      </c>
      <c r="AB19" s="18">
        <f>sofp!AB42</f>
        <v>17652586.25</v>
      </c>
      <c r="AC19" s="18">
        <f>sofp!AC42</f>
        <v>17676586.25</v>
      </c>
      <c r="AD19" s="18">
        <f>sofp!AD42</f>
        <v>17692586.25</v>
      </c>
      <c r="AE19" s="18">
        <f>sofp!AE42</f>
        <v>17700586.25</v>
      </c>
      <c r="AF19" s="18">
        <f>sofp!AF42</f>
        <v>17726586.25</v>
      </c>
      <c r="AG19" s="18">
        <f>sofp!AG42</f>
        <v>17741586.25</v>
      </c>
      <c r="AH19" s="18">
        <f>sofp!AH42</f>
        <v>17757959.25</v>
      </c>
      <c r="AI19" s="18">
        <f>sofp!AI42</f>
        <v>17766959.25</v>
      </c>
      <c r="AJ19" s="18">
        <f>sofp!AJ42</f>
        <v>17774959.25</v>
      </c>
      <c r="AK19" s="18">
        <f>sofp!AK42</f>
        <v>17791959.25</v>
      </c>
      <c r="AL19" s="18">
        <f>sofp!AL42</f>
        <v>18359959.25</v>
      </c>
      <c r="AM19" s="18">
        <f>sofp!AM42</f>
        <v>18359959</v>
      </c>
      <c r="AN19" s="18">
        <f>sofp!AN42</f>
        <v>0</v>
      </c>
      <c r="AO19" s="18">
        <f>sofp!AO42</f>
        <v>0</v>
      </c>
      <c r="AP19" s="18">
        <f>sofp!AP42</f>
        <v>0</v>
      </c>
      <c r="AQ19" s="18">
        <f>sofp!AQ42</f>
        <v>0</v>
      </c>
      <c r="AR19" s="18">
        <f>sofp!AR42</f>
        <v>0</v>
      </c>
      <c r="AS19" s="18">
        <f>sofp!AS42</f>
        <v>0</v>
      </c>
    </row>
    <row r="20" spans="1:45">
      <c r="A20" t="s">
        <v>57</v>
      </c>
      <c r="B20" s="18">
        <f>sofp!B44</f>
        <v>13780000</v>
      </c>
      <c r="C20" s="18">
        <f>sofp!C44</f>
        <v>2488354</v>
      </c>
      <c r="D20" s="18">
        <f>sofp!D44</f>
        <v>0</v>
      </c>
      <c r="E20" s="18">
        <f>sofp!E44</f>
        <v>0</v>
      </c>
      <c r="F20" s="18">
        <f>sofp!F44</f>
        <v>0</v>
      </c>
      <c r="G20" s="18">
        <f>sofp!G44</f>
        <v>0</v>
      </c>
      <c r="H20" s="18">
        <f>sofp!H44</f>
        <v>0</v>
      </c>
      <c r="I20" s="18">
        <f>sofp!I44</f>
        <v>0</v>
      </c>
      <c r="J20" s="18">
        <f>sofp!J44</f>
        <v>0</v>
      </c>
      <c r="K20" s="18">
        <f>sofp!K44</f>
        <v>0</v>
      </c>
      <c r="L20" s="18">
        <f>sofp!L44</f>
        <v>0</v>
      </c>
      <c r="M20" s="18">
        <f>sofp!M44</f>
        <v>5185577</v>
      </c>
      <c r="N20" s="18">
        <f>sofp!N44</f>
        <v>0</v>
      </c>
      <c r="O20" s="18">
        <f>sofp!O44</f>
        <v>0</v>
      </c>
      <c r="P20" s="18">
        <f>sofp!P44</f>
        <v>0</v>
      </c>
      <c r="Q20" s="18">
        <f>sofp!Q44</f>
        <v>0</v>
      </c>
      <c r="R20" s="18">
        <f>sofp!R44</f>
        <v>0</v>
      </c>
      <c r="S20" s="18">
        <f>sofp!S44</f>
        <v>0</v>
      </c>
      <c r="T20" s="18">
        <f>sofp!T44</f>
        <v>0</v>
      </c>
      <c r="U20" s="18">
        <f>sofp!U44</f>
        <v>0</v>
      </c>
      <c r="V20" s="18">
        <f>sofp!V44</f>
        <v>0</v>
      </c>
      <c r="W20" s="18">
        <f>sofp!W44</f>
        <v>0</v>
      </c>
      <c r="X20" s="18">
        <f>sofp!X44</f>
        <v>0</v>
      </c>
      <c r="Y20" s="18">
        <f>sofp!Y44</f>
        <v>0</v>
      </c>
      <c r="Z20" s="18">
        <f>sofp!Z44</f>
        <v>5695860</v>
      </c>
      <c r="AA20" s="18">
        <f>sofp!AA44</f>
        <v>0</v>
      </c>
      <c r="AB20" s="18">
        <f>sofp!AB44</f>
        <v>0</v>
      </c>
      <c r="AC20" s="18">
        <f>sofp!AC44</f>
        <v>0</v>
      </c>
      <c r="AD20" s="18">
        <f>sofp!AD44</f>
        <v>0</v>
      </c>
      <c r="AE20" s="18">
        <f>sofp!AE44</f>
        <v>0</v>
      </c>
      <c r="AF20" s="18">
        <f>sofp!AF44</f>
        <v>0</v>
      </c>
      <c r="AG20" s="18">
        <f>sofp!AG44</f>
        <v>0</v>
      </c>
      <c r="AH20" s="18">
        <f>sofp!AH44</f>
        <v>0</v>
      </c>
      <c r="AI20" s="18">
        <f>sofp!AI44</f>
        <v>0</v>
      </c>
      <c r="AJ20" s="18">
        <f>sofp!AJ44</f>
        <v>0</v>
      </c>
      <c r="AK20" s="18">
        <f>sofp!AK44</f>
        <v>0</v>
      </c>
      <c r="AL20" s="18">
        <f>sofp!AL44</f>
        <v>0</v>
      </c>
      <c r="AM20" s="18">
        <f>sofp!AM44</f>
        <v>6283323</v>
      </c>
      <c r="AN20" s="18">
        <f>sofp!AN44</f>
        <v>0</v>
      </c>
      <c r="AO20" s="18">
        <f>sofp!AO44</f>
        <v>0</v>
      </c>
      <c r="AP20" s="18">
        <f>sofp!AP44</f>
        <v>0</v>
      </c>
      <c r="AQ20" s="18">
        <f>sofp!AQ44</f>
        <v>0</v>
      </c>
      <c r="AR20" s="18">
        <f>sofp!AR44</f>
        <v>0</v>
      </c>
      <c r="AS20" s="18">
        <f>sofp!AS44</f>
        <v>0</v>
      </c>
    </row>
    <row r="21" spans="1:45"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</row>
    <row r="22" spans="1:45">
      <c r="A22" s="17" t="s">
        <v>111</v>
      </c>
      <c r="B22" s="18">
        <f t="shared" ref="B22:G22" si="15">SUM(B23:B24)</f>
        <v>25632908.09</v>
      </c>
      <c r="C22" s="18">
        <f t="shared" si="15"/>
        <v>25982908.09</v>
      </c>
      <c r="D22" s="18">
        <f t="shared" si="15"/>
        <v>26401253.949999999</v>
      </c>
      <c r="E22" s="18">
        <f t="shared" si="15"/>
        <v>26751253.949999999</v>
      </c>
      <c r="F22" s="18">
        <f t="shared" si="15"/>
        <v>27101253.949999999</v>
      </c>
      <c r="G22" s="18">
        <f t="shared" si="15"/>
        <v>27451253.949999999</v>
      </c>
      <c r="H22" s="18">
        <f t="shared" ref="H22:M22" si="16">SUM(H23:H24)</f>
        <v>28151253.949999999</v>
      </c>
      <c r="I22" s="18">
        <f t="shared" si="16"/>
        <v>28516796.600000001</v>
      </c>
      <c r="J22" s="18">
        <f t="shared" si="16"/>
        <v>28939390.52</v>
      </c>
      <c r="K22" s="18">
        <f t="shared" si="16"/>
        <v>29289390.52</v>
      </c>
      <c r="L22" s="18">
        <f t="shared" si="16"/>
        <v>29697439.460000001</v>
      </c>
      <c r="M22" s="18">
        <f t="shared" si="16"/>
        <v>83556241</v>
      </c>
      <c r="N22" s="18">
        <f t="shared" ref="N22:AF22" si="17">SUM(N23:N24)</f>
        <v>83906240.920000002</v>
      </c>
      <c r="O22" s="18">
        <f t="shared" si="17"/>
        <v>104577506</v>
      </c>
      <c r="P22" s="18">
        <f t="shared" si="17"/>
        <v>105078696.96000001</v>
      </c>
      <c r="Q22" s="18">
        <f t="shared" si="17"/>
        <v>105577324.49000001</v>
      </c>
      <c r="R22" s="18">
        <f t="shared" si="17"/>
        <v>116150131.33</v>
      </c>
      <c r="S22" s="18">
        <f t="shared" si="17"/>
        <v>116845131.94</v>
      </c>
      <c r="T22" s="18">
        <f t="shared" si="17"/>
        <v>117456281.64</v>
      </c>
      <c r="U22" s="18">
        <f t="shared" si="17"/>
        <v>118043810.31</v>
      </c>
      <c r="V22" s="18">
        <f t="shared" si="17"/>
        <v>118693850.00999999</v>
      </c>
      <c r="W22" s="18">
        <f t="shared" si="17"/>
        <v>119278664.34</v>
      </c>
      <c r="X22" s="18">
        <f t="shared" si="17"/>
        <v>119859168.15000001</v>
      </c>
      <c r="Y22" s="18">
        <f t="shared" si="17"/>
        <v>120690715.40000001</v>
      </c>
      <c r="Z22" s="18">
        <f t="shared" si="17"/>
        <v>120767504.94</v>
      </c>
      <c r="AA22" s="18">
        <f t="shared" si="17"/>
        <v>121362027.94</v>
      </c>
      <c r="AB22" s="18">
        <f t="shared" si="17"/>
        <v>121933248.55</v>
      </c>
      <c r="AC22" s="18">
        <f t="shared" si="17"/>
        <v>122516522.81</v>
      </c>
      <c r="AD22" s="18">
        <f t="shared" si="17"/>
        <v>123103536.13</v>
      </c>
      <c r="AE22" s="18">
        <f t="shared" si="17"/>
        <v>123701167.2</v>
      </c>
      <c r="AF22" s="18">
        <f t="shared" si="17"/>
        <v>124475779.40000001</v>
      </c>
      <c r="AG22" s="18">
        <f t="shared" ref="AG22:AS22" si="18">SUM(AG23:AG24)</f>
        <v>125073672.44</v>
      </c>
      <c r="AH22" s="18">
        <f t="shared" si="18"/>
        <v>125674277.89</v>
      </c>
      <c r="AI22" s="18">
        <f t="shared" si="18"/>
        <v>126537227.72</v>
      </c>
      <c r="AJ22" s="18">
        <f t="shared" si="18"/>
        <v>127207747.91</v>
      </c>
      <c r="AK22" s="18">
        <f t="shared" si="18"/>
        <v>127807846.89</v>
      </c>
      <c r="AL22" s="18">
        <f t="shared" si="18"/>
        <v>148647560.38999999</v>
      </c>
      <c r="AM22" s="18">
        <f t="shared" ref="AM22" si="19">SUM(AM23:AM24)</f>
        <v>148647561</v>
      </c>
      <c r="AN22" s="18">
        <f t="shared" si="18"/>
        <v>0</v>
      </c>
      <c r="AO22" s="18">
        <f t="shared" si="18"/>
        <v>0</v>
      </c>
      <c r="AP22" s="18">
        <f t="shared" si="18"/>
        <v>0</v>
      </c>
      <c r="AQ22" s="18">
        <f t="shared" si="18"/>
        <v>0</v>
      </c>
      <c r="AR22" s="18">
        <f t="shared" si="18"/>
        <v>0</v>
      </c>
      <c r="AS22" s="18">
        <f t="shared" si="18"/>
        <v>0</v>
      </c>
    </row>
    <row r="23" spans="1:45">
      <c r="A23" t="s">
        <v>112</v>
      </c>
      <c r="B23" s="18">
        <f>sofp!B10</f>
        <v>0</v>
      </c>
      <c r="C23" s="18">
        <f>sofp!C10</f>
        <v>0</v>
      </c>
      <c r="D23" s="18">
        <f>sofp!D10</f>
        <v>13172818.949999999</v>
      </c>
      <c r="E23" s="18">
        <f>sofp!E10</f>
        <v>13522818.949999999</v>
      </c>
      <c r="F23" s="18">
        <f>sofp!F10</f>
        <v>13872818.949999999</v>
      </c>
      <c r="G23" s="18">
        <f>sofp!G10</f>
        <v>14222818.949999999</v>
      </c>
      <c r="H23" s="18">
        <f>sofp!H10</f>
        <v>14922818.949999999</v>
      </c>
      <c r="I23" s="18">
        <f>sofp!I10</f>
        <v>15288361.6</v>
      </c>
      <c r="J23" s="18">
        <f>sofp!J10</f>
        <v>15710955.52</v>
      </c>
      <c r="K23" s="18">
        <f>sofp!K10</f>
        <v>16060955.52</v>
      </c>
      <c r="L23" s="18">
        <f>sofp!L10</f>
        <v>16469004.460000001</v>
      </c>
      <c r="M23" s="18">
        <f>sofp!M10</f>
        <v>16474943</v>
      </c>
      <c r="N23" s="18">
        <f>sofp!N10</f>
        <v>16824942.920000002</v>
      </c>
      <c r="O23" s="18">
        <f>sofp!O10</f>
        <v>37294601</v>
      </c>
      <c r="P23" s="18">
        <f>sofp!P10</f>
        <v>37795791.960000001</v>
      </c>
      <c r="Q23" s="18">
        <f>sofp!Q10</f>
        <v>38294419.490000002</v>
      </c>
      <c r="R23" s="18">
        <f>sofp!R10</f>
        <v>48867226.329999998</v>
      </c>
      <c r="S23" s="18">
        <f>sofp!S10</f>
        <v>49562226.939999998</v>
      </c>
      <c r="T23" s="18">
        <f>sofp!T10</f>
        <v>50173376.640000001</v>
      </c>
      <c r="U23" s="18">
        <f>sofp!U10</f>
        <v>50760905.310000002</v>
      </c>
      <c r="V23" s="18">
        <f>sofp!V10</f>
        <v>51410945.009999998</v>
      </c>
      <c r="W23" s="18">
        <f>sofp!W10</f>
        <v>51995759.340000004</v>
      </c>
      <c r="X23" s="18">
        <f>sofp!X10</f>
        <v>52576263.149999999</v>
      </c>
      <c r="Y23" s="18">
        <f>sofp!Y10</f>
        <v>53247310.399999999</v>
      </c>
      <c r="Z23" s="18">
        <f>sofp!Z10</f>
        <v>21052035.939999998</v>
      </c>
      <c r="AA23" s="18">
        <f>sofp!AA10</f>
        <v>53918622.939999998</v>
      </c>
      <c r="AB23" s="18">
        <f>sofp!AB10</f>
        <v>54489843.549999997</v>
      </c>
      <c r="AC23" s="18">
        <f>sofp!AC10</f>
        <v>55073117.810000002</v>
      </c>
      <c r="AD23" s="18">
        <f>sofp!AD10</f>
        <v>55660131.130000003</v>
      </c>
      <c r="AE23" s="18">
        <f>sofp!AE10</f>
        <v>56257762.200000003</v>
      </c>
      <c r="AF23" s="18">
        <f>sofp!AF10</f>
        <v>57032374.399999999</v>
      </c>
      <c r="AG23" s="18">
        <f>sofp!AG10</f>
        <v>57630267.439999998</v>
      </c>
      <c r="AH23" s="18">
        <f>sofp!AH10</f>
        <v>58230872.890000001</v>
      </c>
      <c r="AI23" s="18">
        <f>sofp!AI10</f>
        <v>58918776.719999999</v>
      </c>
      <c r="AJ23" s="18">
        <f>sofp!AJ10</f>
        <v>59589296.909999996</v>
      </c>
      <c r="AK23" s="18">
        <f>sofp!AK10</f>
        <v>60189395.890000001</v>
      </c>
      <c r="AL23" s="18">
        <f>sofp!AL10</f>
        <v>81029109.390000001</v>
      </c>
      <c r="AM23" s="18">
        <f>sofp!AM10</f>
        <v>25736744</v>
      </c>
      <c r="AN23" s="18">
        <f>sofp!AN10</f>
        <v>0</v>
      </c>
      <c r="AO23" s="18">
        <f>sofp!AO10</f>
        <v>0</v>
      </c>
      <c r="AP23" s="18">
        <f>sofp!AP10</f>
        <v>0</v>
      </c>
      <c r="AQ23" s="18">
        <f>sofp!AQ10</f>
        <v>0</v>
      </c>
      <c r="AR23" s="18">
        <f>sofp!AR10</f>
        <v>0</v>
      </c>
      <c r="AS23" s="18">
        <f>sofp!AS10</f>
        <v>0</v>
      </c>
    </row>
    <row r="24" spans="1:45">
      <c r="A24" t="s">
        <v>113</v>
      </c>
      <c r="B24" s="18">
        <f>sofp!B9 + sofp!B11</f>
        <v>25632908.09</v>
      </c>
      <c r="C24" s="18">
        <f>sofp!C9 + sofp!C11</f>
        <v>25982908.09</v>
      </c>
      <c r="D24" s="18">
        <f>sofp!D9 + sofp!D11</f>
        <v>13228435</v>
      </c>
      <c r="E24" s="18">
        <f>sofp!E9 + sofp!E11</f>
        <v>13228435</v>
      </c>
      <c r="F24" s="18">
        <f>sofp!F9 + sofp!F11</f>
        <v>13228435</v>
      </c>
      <c r="G24" s="18">
        <f>sofp!G9 + sofp!G11</f>
        <v>13228435</v>
      </c>
      <c r="H24" s="18">
        <f>sofp!H9 + sofp!H11</f>
        <v>13228435</v>
      </c>
      <c r="I24" s="18">
        <f>sofp!I9 + sofp!I11</f>
        <v>13228435</v>
      </c>
      <c r="J24" s="18">
        <f>sofp!J9 + sofp!J11</f>
        <v>13228435</v>
      </c>
      <c r="K24" s="18">
        <f>sofp!K9 + sofp!K11</f>
        <v>13228435</v>
      </c>
      <c r="L24" s="18">
        <f>sofp!L9 + sofp!L11</f>
        <v>13228435</v>
      </c>
      <c r="M24" s="18">
        <f>sofp!M9 + sofp!M11</f>
        <v>67081298</v>
      </c>
      <c r="N24" s="18">
        <f>sofp!N9 + sofp!N11</f>
        <v>67081298</v>
      </c>
      <c r="O24" s="18">
        <f>sofp!O9 + sofp!O11</f>
        <v>67282905</v>
      </c>
      <c r="P24" s="18">
        <f>sofp!P9 + sofp!P11</f>
        <v>67282905</v>
      </c>
      <c r="Q24" s="18">
        <f>sofp!Q9 + sofp!Q11</f>
        <v>67282905</v>
      </c>
      <c r="R24" s="18">
        <f>sofp!R9 + sofp!R11</f>
        <v>67282905</v>
      </c>
      <c r="S24" s="18">
        <f>sofp!S9 + sofp!S11</f>
        <v>67282905</v>
      </c>
      <c r="T24" s="18">
        <f>sofp!T9 + sofp!T11</f>
        <v>67282905</v>
      </c>
      <c r="U24" s="18">
        <f>sofp!U9 + sofp!U11</f>
        <v>67282905</v>
      </c>
      <c r="V24" s="18">
        <f>sofp!V9 + sofp!V11</f>
        <v>67282905</v>
      </c>
      <c r="W24" s="18">
        <f>sofp!W9 + sofp!W11</f>
        <v>67282905</v>
      </c>
      <c r="X24" s="18">
        <f>sofp!X9 + sofp!X11</f>
        <v>67282905</v>
      </c>
      <c r="Y24" s="18">
        <f>sofp!Y9 + sofp!Y11</f>
        <v>67443405</v>
      </c>
      <c r="Z24" s="18">
        <f>sofp!Z9 + sofp!Z11</f>
        <v>99715469</v>
      </c>
      <c r="AA24" s="18">
        <f>sofp!AA9 + sofp!AA11</f>
        <v>67443405</v>
      </c>
      <c r="AB24" s="18">
        <f>sofp!AB9 + sofp!AB11</f>
        <v>67443405</v>
      </c>
      <c r="AC24" s="18">
        <f>sofp!AC9 + sofp!AC11</f>
        <v>67443405</v>
      </c>
      <c r="AD24" s="18">
        <f>sofp!AD9 + sofp!AD11</f>
        <v>67443405</v>
      </c>
      <c r="AE24" s="18">
        <f>sofp!AE9 + sofp!AE11</f>
        <v>67443405</v>
      </c>
      <c r="AF24" s="18">
        <f>sofp!AF9 + sofp!AF11</f>
        <v>67443405</v>
      </c>
      <c r="AG24" s="18">
        <f>sofp!AG9 + sofp!AG11</f>
        <v>67443405</v>
      </c>
      <c r="AH24" s="18">
        <f>sofp!AH9 + sofp!AH11</f>
        <v>67443405</v>
      </c>
      <c r="AI24" s="18">
        <f>sofp!AI9 + sofp!AI11</f>
        <v>67618451</v>
      </c>
      <c r="AJ24" s="18">
        <f>sofp!AJ9 + sofp!AJ11</f>
        <v>67618451</v>
      </c>
      <c r="AK24" s="18">
        <f>sofp!AK9 + sofp!AK11</f>
        <v>67618451</v>
      </c>
      <c r="AL24" s="18">
        <f>sofp!AL9 + sofp!AL11</f>
        <v>67618451</v>
      </c>
      <c r="AM24" s="18">
        <f>sofp!AM9 + sofp!AM11</f>
        <v>122910817</v>
      </c>
      <c r="AN24" s="18">
        <f>sofp!AN9 + sofp!AN11</f>
        <v>0</v>
      </c>
      <c r="AO24" s="18">
        <f>sofp!AO9 + sofp!AO11</f>
        <v>0</v>
      </c>
      <c r="AP24" s="18">
        <f>sofp!AP9 + sofp!AP11</f>
        <v>0</v>
      </c>
      <c r="AQ24" s="18">
        <f>sofp!AQ9 + sofp!AQ11</f>
        <v>0</v>
      </c>
      <c r="AR24" s="18">
        <f>sofp!AR9 + sofp!AR11</f>
        <v>0</v>
      </c>
      <c r="AS24" s="18">
        <f>sofp!AS9 + sofp!AS11</f>
        <v>0</v>
      </c>
    </row>
    <row r="25" spans="1:45"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</row>
    <row r="26" spans="1:45">
      <c r="A26" s="17" t="s">
        <v>114</v>
      </c>
      <c r="B26" s="18">
        <f t="shared" ref="B26:G26" si="20">B27 - B28</f>
        <v>306288845.12</v>
      </c>
      <c r="C26" s="18">
        <f t="shared" si="20"/>
        <v>300625309.79999995</v>
      </c>
      <c r="D26" s="18">
        <f t="shared" si="20"/>
        <v>299054638.57000005</v>
      </c>
      <c r="E26" s="18">
        <f t="shared" si="20"/>
        <v>292819979.21000004</v>
      </c>
      <c r="F26" s="18">
        <f t="shared" si="20"/>
        <v>288687004.07000005</v>
      </c>
      <c r="G26" s="18">
        <f t="shared" si="20"/>
        <v>305923528.57000005</v>
      </c>
      <c r="H26" s="18">
        <f t="shared" ref="H26:M26" si="21">H27 - H28</f>
        <v>325638842.27999997</v>
      </c>
      <c r="I26" s="18">
        <f t="shared" si="21"/>
        <v>336516296.89999998</v>
      </c>
      <c r="J26" s="18">
        <f t="shared" si="21"/>
        <v>350133281.94000006</v>
      </c>
      <c r="K26" s="18">
        <f t="shared" si="21"/>
        <v>352011703.33000004</v>
      </c>
      <c r="L26" s="18">
        <f t="shared" si="21"/>
        <v>363038849.72000003</v>
      </c>
      <c r="M26" s="18">
        <f t="shared" si="21"/>
        <v>363038850</v>
      </c>
      <c r="N26" s="18">
        <f t="shared" ref="N26:AF26" si="22">N27 - N28</f>
        <v>370202523.86000001</v>
      </c>
      <c r="O26" s="18">
        <f t="shared" si="22"/>
        <v>376863029.76999998</v>
      </c>
      <c r="P26" s="18">
        <f t="shared" si="22"/>
        <v>377489772.28999996</v>
      </c>
      <c r="Q26" s="18">
        <f t="shared" si="22"/>
        <v>383702082.36000001</v>
      </c>
      <c r="R26" s="18">
        <f t="shared" si="22"/>
        <v>383471977.56999999</v>
      </c>
      <c r="S26" s="18">
        <f t="shared" si="22"/>
        <v>383828586.88999999</v>
      </c>
      <c r="T26" s="18">
        <f t="shared" si="22"/>
        <v>419440104.19999999</v>
      </c>
      <c r="U26" s="18">
        <f t="shared" si="22"/>
        <v>435816891.63999999</v>
      </c>
      <c r="V26" s="18">
        <f t="shared" si="22"/>
        <v>431965346.85000002</v>
      </c>
      <c r="W26" s="18">
        <f t="shared" si="22"/>
        <v>434205131.96999997</v>
      </c>
      <c r="X26" s="18">
        <f t="shared" si="22"/>
        <v>429979724.23000002</v>
      </c>
      <c r="Y26" s="18">
        <f t="shared" si="22"/>
        <v>428311564.88</v>
      </c>
      <c r="Z26" s="18">
        <f t="shared" si="22"/>
        <v>428311564.75999999</v>
      </c>
      <c r="AA26" s="18">
        <f t="shared" si="22"/>
        <v>424000397.10000002</v>
      </c>
      <c r="AB26" s="18">
        <f t="shared" si="22"/>
        <v>426339739.11000001</v>
      </c>
      <c r="AC26" s="18">
        <f t="shared" si="22"/>
        <v>445059896.97000003</v>
      </c>
      <c r="AD26" s="18">
        <f t="shared" si="22"/>
        <v>473926062.75</v>
      </c>
      <c r="AE26" s="18">
        <f t="shared" si="22"/>
        <v>486843693.44999999</v>
      </c>
      <c r="AF26" s="18">
        <f t="shared" si="22"/>
        <v>485077045.73000002</v>
      </c>
      <c r="AG26" s="18">
        <f t="shared" ref="AG26:AS26" si="23">AG27 - AG28</f>
        <v>484592308.49000001</v>
      </c>
      <c r="AH26" s="18">
        <f t="shared" si="23"/>
        <v>484101699.64999998</v>
      </c>
      <c r="AI26" s="18">
        <f t="shared" si="23"/>
        <v>488564870.40999997</v>
      </c>
      <c r="AJ26" s="18">
        <f t="shared" si="23"/>
        <v>492961926.19</v>
      </c>
      <c r="AK26" s="18">
        <f t="shared" si="23"/>
        <v>506132050.80000001</v>
      </c>
      <c r="AL26" s="18">
        <f t="shared" si="23"/>
        <v>534200521.63</v>
      </c>
      <c r="AM26" s="18">
        <f t="shared" ref="AM26" si="24">AM27 - AM28</f>
        <v>534200521</v>
      </c>
      <c r="AN26" s="18">
        <f t="shared" si="23"/>
        <v>0</v>
      </c>
      <c r="AO26" s="18">
        <f t="shared" si="23"/>
        <v>0</v>
      </c>
      <c r="AP26" s="18">
        <f t="shared" si="23"/>
        <v>0</v>
      </c>
      <c r="AQ26" s="18">
        <f t="shared" si="23"/>
        <v>0</v>
      </c>
      <c r="AR26" s="18">
        <f t="shared" si="23"/>
        <v>0</v>
      </c>
      <c r="AS26" s="18">
        <f t="shared" si="23"/>
        <v>0</v>
      </c>
    </row>
    <row r="27" spans="1:45">
      <c r="A27" t="s">
        <v>115</v>
      </c>
      <c r="B27" s="18">
        <f>sofp!B13</f>
        <v>328019759.64999998</v>
      </c>
      <c r="C27" s="18">
        <f>sofp!C13</f>
        <v>322606224.32999998</v>
      </c>
      <c r="D27" s="18">
        <f>sofp!D13</f>
        <v>321285553.10000002</v>
      </c>
      <c r="E27" s="18">
        <f>sofp!E13</f>
        <v>315300893.74000001</v>
      </c>
      <c r="F27" s="18">
        <f>sofp!F13</f>
        <v>311417918.60000002</v>
      </c>
      <c r="G27" s="18">
        <f>sofp!G13</f>
        <v>328904443.10000002</v>
      </c>
      <c r="H27" s="18">
        <f>sofp!H13</f>
        <v>349119756.81</v>
      </c>
      <c r="I27" s="18">
        <f>sofp!I13</f>
        <v>360247211.43000001</v>
      </c>
      <c r="J27" s="18">
        <f>sofp!J13</f>
        <v>374114196.47000003</v>
      </c>
      <c r="K27" s="18">
        <f>sofp!K13</f>
        <v>376242617.86000001</v>
      </c>
      <c r="L27" s="18">
        <f>sofp!L13</f>
        <v>387519764.25</v>
      </c>
      <c r="M27" s="18">
        <f>sofp!M13</f>
        <v>387519764</v>
      </c>
      <c r="N27" s="18">
        <f>sofp!N13</f>
        <v>395016772.38999999</v>
      </c>
      <c r="O27" s="18">
        <f>sofp!O13</f>
        <v>402010611.30000001</v>
      </c>
      <c r="P27" s="18">
        <f>sofp!P13</f>
        <v>402970686.81999999</v>
      </c>
      <c r="Q27" s="18">
        <f>sofp!Q13</f>
        <v>409516330.22000003</v>
      </c>
      <c r="R27" s="18">
        <f>sofp!R13</f>
        <v>409619558.76999998</v>
      </c>
      <c r="S27" s="18">
        <f>sofp!S13</f>
        <v>410309501.42000002</v>
      </c>
      <c r="T27" s="18">
        <f>sofp!T13</f>
        <v>446254352.06</v>
      </c>
      <c r="U27" s="18">
        <f>sofp!U13</f>
        <v>462964472.83999997</v>
      </c>
      <c r="V27" s="18">
        <f>sofp!V13</f>
        <v>459446261.38</v>
      </c>
      <c r="W27" s="18">
        <f>sofp!W13</f>
        <v>462019379.83999997</v>
      </c>
      <c r="X27" s="18">
        <f>sofp!X13</f>
        <v>458141540.43000001</v>
      </c>
      <c r="Y27" s="18">
        <f>sofp!Y13</f>
        <v>453806714.41000003</v>
      </c>
      <c r="Z27" s="18">
        <f>sofp!Z13</f>
        <v>453806714.29000002</v>
      </c>
      <c r="AA27" s="18">
        <f>sofp!AA13</f>
        <v>449912213.30000001</v>
      </c>
      <c r="AB27" s="18">
        <f>sofp!AB13</f>
        <v>452668221.97000003</v>
      </c>
      <c r="AC27" s="18">
        <f>sofp!AC13</f>
        <v>471805046.5</v>
      </c>
      <c r="AD27" s="18">
        <f>sofp!AD13</f>
        <v>501087878.94</v>
      </c>
      <c r="AE27" s="18">
        <f>sofp!AE13</f>
        <v>514422176.31</v>
      </c>
      <c r="AF27" s="18">
        <f>sofp!AF13</f>
        <v>513072195.25999999</v>
      </c>
      <c r="AG27" s="18">
        <f>sofp!AG13</f>
        <v>513004124.69</v>
      </c>
      <c r="AH27" s="18">
        <f>sofp!AH13</f>
        <v>512930182.51999998</v>
      </c>
      <c r="AI27" s="18">
        <f>sofp!AI13</f>
        <v>517810019.94</v>
      </c>
      <c r="AJ27" s="18">
        <f>sofp!AJ13</f>
        <v>522623742.38999999</v>
      </c>
      <c r="AK27" s="18">
        <f>sofp!AK13</f>
        <v>536210533.67000002</v>
      </c>
      <c r="AL27" s="18">
        <f>sofp!AL13</f>
        <v>560695671.15999997</v>
      </c>
      <c r="AM27" s="18">
        <f>sofp!AM13</f>
        <v>560695671</v>
      </c>
      <c r="AN27" s="18">
        <f>sofp!AN13</f>
        <v>0</v>
      </c>
      <c r="AO27" s="18">
        <f>sofp!AO13</f>
        <v>0</v>
      </c>
      <c r="AP27" s="18">
        <f>sofp!AP13</f>
        <v>0</v>
      </c>
      <c r="AQ27" s="18">
        <f>sofp!AQ13</f>
        <v>0</v>
      </c>
      <c r="AR27" s="18">
        <f>sofp!AR13</f>
        <v>0</v>
      </c>
      <c r="AS27" s="18">
        <f>sofp!AS13</f>
        <v>0</v>
      </c>
    </row>
    <row r="28" spans="1:45">
      <c r="A28" t="s">
        <v>116</v>
      </c>
      <c r="B28" s="18">
        <f>sofp!B14</f>
        <v>21730914.530000001</v>
      </c>
      <c r="C28" s="18">
        <f>sofp!C14</f>
        <v>21980914.530000001</v>
      </c>
      <c r="D28" s="18">
        <f>sofp!D14</f>
        <v>22230914.530000001</v>
      </c>
      <c r="E28" s="18">
        <f>sofp!E14</f>
        <v>22480914.530000001</v>
      </c>
      <c r="F28" s="18">
        <f>sofp!F14</f>
        <v>22730914.530000001</v>
      </c>
      <c r="G28" s="18">
        <f>sofp!G14</f>
        <v>22980914.530000001</v>
      </c>
      <c r="H28" s="18">
        <f>sofp!H14</f>
        <v>23480914.530000001</v>
      </c>
      <c r="I28" s="18">
        <f>sofp!I14</f>
        <v>23730914.530000001</v>
      </c>
      <c r="J28" s="18">
        <f>sofp!J14</f>
        <v>23980914.530000001</v>
      </c>
      <c r="K28" s="18">
        <f>sofp!K14</f>
        <v>24230914.530000001</v>
      </c>
      <c r="L28" s="18">
        <f>sofp!L14</f>
        <v>24480914.530000001</v>
      </c>
      <c r="M28" s="18">
        <f>sofp!M14</f>
        <v>24480914</v>
      </c>
      <c r="N28" s="18">
        <f>sofp!N14</f>
        <v>24814248.530000001</v>
      </c>
      <c r="O28" s="18">
        <f>sofp!O14</f>
        <v>25147581.530000001</v>
      </c>
      <c r="P28" s="18">
        <f>sofp!P14</f>
        <v>25480914.530000001</v>
      </c>
      <c r="Q28" s="18">
        <f>sofp!Q14</f>
        <v>25814247.859999999</v>
      </c>
      <c r="R28" s="18">
        <f>sofp!R14</f>
        <v>26147581.199999999</v>
      </c>
      <c r="S28" s="18">
        <f>sofp!S14</f>
        <v>26480914.530000001</v>
      </c>
      <c r="T28" s="18">
        <f>sofp!T14</f>
        <v>26814247.859999999</v>
      </c>
      <c r="U28" s="18">
        <f>sofp!U14</f>
        <v>27147581.199999999</v>
      </c>
      <c r="V28" s="18">
        <f>sofp!V14</f>
        <v>27480914.530000001</v>
      </c>
      <c r="W28" s="18">
        <f>sofp!W14</f>
        <v>27814247.870000001</v>
      </c>
      <c r="X28" s="18">
        <f>sofp!X14</f>
        <v>28161816.199999999</v>
      </c>
      <c r="Y28" s="18">
        <f>sofp!Y14</f>
        <v>25495149.530000001</v>
      </c>
      <c r="Z28" s="18">
        <f>sofp!Z14</f>
        <v>25495149.530000001</v>
      </c>
      <c r="AA28" s="18">
        <f>sofp!AA14</f>
        <v>25911816.199999999</v>
      </c>
      <c r="AB28" s="18">
        <f>sofp!AB14</f>
        <v>26328482.859999999</v>
      </c>
      <c r="AC28" s="18">
        <f>sofp!AC14</f>
        <v>26745149.530000001</v>
      </c>
      <c r="AD28" s="18">
        <f>sofp!AD14</f>
        <v>27161816.190000001</v>
      </c>
      <c r="AE28" s="18">
        <f>sofp!AE14</f>
        <v>27578482.859999999</v>
      </c>
      <c r="AF28" s="18">
        <f>sofp!AF14</f>
        <v>27995149.530000001</v>
      </c>
      <c r="AG28" s="18">
        <f>sofp!AG14</f>
        <v>28411816.199999999</v>
      </c>
      <c r="AH28" s="18">
        <f>sofp!AH14</f>
        <v>28828482.870000001</v>
      </c>
      <c r="AI28" s="18">
        <f>sofp!AI14</f>
        <v>29245149.530000001</v>
      </c>
      <c r="AJ28" s="18">
        <f>sofp!AJ14</f>
        <v>29661816.199999999</v>
      </c>
      <c r="AK28" s="18">
        <f>sofp!AK14</f>
        <v>30078482.870000001</v>
      </c>
      <c r="AL28" s="18">
        <f>sofp!AL14</f>
        <v>26495149.530000001</v>
      </c>
      <c r="AM28" s="18">
        <f>sofp!AM14</f>
        <v>26495150</v>
      </c>
      <c r="AN28" s="18">
        <f>sofp!AN14</f>
        <v>0</v>
      </c>
      <c r="AO28" s="18">
        <f>sofp!AO14</f>
        <v>0</v>
      </c>
      <c r="AP28" s="18">
        <f>sofp!AP14</f>
        <v>0</v>
      </c>
      <c r="AQ28" s="18">
        <f>sofp!AQ14</f>
        <v>0</v>
      </c>
      <c r="AR28" s="18">
        <f>sofp!AR14</f>
        <v>0</v>
      </c>
      <c r="AS28" s="18">
        <f>sofp!AS14</f>
        <v>0</v>
      </c>
    </row>
    <row r="29" spans="1:45"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</row>
    <row r="30" spans="1:45">
      <c r="A30" s="17" t="s">
        <v>117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</row>
    <row r="31" spans="1:45">
      <c r="A31" t="s">
        <v>118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</row>
    <row r="32" spans="1:45">
      <c r="A32" t="s">
        <v>119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</row>
    <row r="33" spans="1:45">
      <c r="A33" t="s">
        <v>120</v>
      </c>
      <c r="B33" s="18">
        <f>sofp!B3</f>
        <v>106748122.31</v>
      </c>
      <c r="C33" s="18">
        <f>sofp!C3</f>
        <v>115113445.81999999</v>
      </c>
      <c r="D33" s="18">
        <f>sofp!D3</f>
        <v>110887626.53</v>
      </c>
      <c r="E33" s="18">
        <f>sofp!E3</f>
        <v>136941462.28999999</v>
      </c>
      <c r="F33" s="18">
        <f>sofp!F3</f>
        <v>154645446.65000001</v>
      </c>
      <c r="G33" s="18">
        <f>sofp!G3</f>
        <v>161305147.93000001</v>
      </c>
      <c r="H33" s="18">
        <f>sofp!H3</f>
        <v>0</v>
      </c>
      <c r="I33" s="18">
        <f>sofp!I3</f>
        <v>122683651.08</v>
      </c>
      <c r="J33" s="18">
        <f>sofp!J3</f>
        <v>112397861.46000001</v>
      </c>
      <c r="K33" s="18">
        <f>sofp!K3</f>
        <v>119378928.56</v>
      </c>
      <c r="L33" s="18">
        <f>sofp!L3</f>
        <v>130055916.90000001</v>
      </c>
      <c r="M33" s="18">
        <f>sofp!M3</f>
        <v>130055917</v>
      </c>
      <c r="N33" s="18">
        <f>sofp!N3</f>
        <v>122344658.72</v>
      </c>
      <c r="O33" s="18">
        <f>sofp!O3</f>
        <v>104976617.06</v>
      </c>
      <c r="P33" s="18">
        <f>sofp!P3</f>
        <v>95234315.120000005</v>
      </c>
      <c r="Q33" s="18">
        <f>sofp!Q3</f>
        <v>98302604.760000005</v>
      </c>
      <c r="R33" s="18">
        <f>sofp!R3</f>
        <v>101644816.14</v>
      </c>
      <c r="S33" s="18">
        <f>sofp!S3</f>
        <v>94872848.689999998</v>
      </c>
      <c r="T33" s="18">
        <f>sofp!T3</f>
        <v>103682782.28</v>
      </c>
      <c r="U33" s="18">
        <f>sofp!U3</f>
        <v>103947861.87</v>
      </c>
      <c r="V33" s="18">
        <f>sofp!V3</f>
        <v>94498967.030000001</v>
      </c>
      <c r="W33" s="18">
        <f>sofp!W3</f>
        <v>99869742.469999999</v>
      </c>
      <c r="X33" s="18">
        <f>sofp!X3</f>
        <v>124133397.8</v>
      </c>
      <c r="Y33" s="18">
        <f>sofp!Y3</f>
        <v>125946264.71000001</v>
      </c>
      <c r="Z33" s="18">
        <f>sofp!Z3</f>
        <v>125946264.88</v>
      </c>
      <c r="AA33" s="18">
        <f>sofp!AA3</f>
        <v>113361493.56999999</v>
      </c>
      <c r="AB33" s="18">
        <f>sofp!AB3</f>
        <v>112067016.28</v>
      </c>
      <c r="AC33" s="18">
        <f>sofp!AC3</f>
        <v>105161025.41</v>
      </c>
      <c r="AD33" s="18">
        <f>sofp!AD3</f>
        <v>73330900.879999995</v>
      </c>
      <c r="AE33" s="18">
        <f>sofp!AE3</f>
        <v>64140740.899999999</v>
      </c>
      <c r="AF33" s="18">
        <f>sofp!AF3</f>
        <v>105013963.36</v>
      </c>
      <c r="AG33" s="18">
        <f>sofp!AG3</f>
        <v>89913780.140000001</v>
      </c>
      <c r="AH33" s="18">
        <f>sofp!AH3</f>
        <v>115256950.29000001</v>
      </c>
      <c r="AI33" s="18">
        <f>sofp!AI3</f>
        <v>113947767.55</v>
      </c>
      <c r="AJ33" s="18">
        <f>sofp!AJ3</f>
        <v>105454741.55000001</v>
      </c>
      <c r="AK33" s="18">
        <f>sofp!AK3</f>
        <v>129152483.89</v>
      </c>
      <c r="AL33" s="18">
        <f>sofp!AL3</f>
        <v>99095631.780000001</v>
      </c>
      <c r="AM33" s="18">
        <f>sofp!AM3</f>
        <v>99095632</v>
      </c>
      <c r="AN33" s="18">
        <f>sofp!AN3</f>
        <v>0</v>
      </c>
      <c r="AO33" s="18">
        <f>sofp!AO3</f>
        <v>0</v>
      </c>
      <c r="AP33" s="18">
        <f>sofp!AP3</f>
        <v>0</v>
      </c>
      <c r="AQ33" s="18">
        <f>sofp!AQ3</f>
        <v>0</v>
      </c>
      <c r="AR33" s="18">
        <f>sofp!AR3</f>
        <v>0</v>
      </c>
      <c r="AS33" s="18">
        <f>sofp!AS3</f>
        <v>0</v>
      </c>
    </row>
    <row r="34" spans="1:45"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</row>
    <row r="35" spans="1:45">
      <c r="A35" s="17" t="s">
        <v>121</v>
      </c>
      <c r="B35" s="18">
        <f>sofp!B19 + sofp!B6</f>
        <v>287794505.84000003</v>
      </c>
      <c r="C35" s="18">
        <f>sofp!C19 + sofp!C6</f>
        <v>287008127.88</v>
      </c>
      <c r="D35" s="18">
        <f>sofp!D19 + sofp!D6</f>
        <v>285988887.95000005</v>
      </c>
      <c r="E35" s="18">
        <f>sofp!E19 + sofp!E6</f>
        <v>284866463.23000002</v>
      </c>
      <c r="F35" s="18">
        <f>sofp!F19 + sofp!F6</f>
        <v>282064143.16999996</v>
      </c>
      <c r="G35" s="18">
        <f>sofp!G19 + sofp!G6</f>
        <v>269351578.05000001</v>
      </c>
      <c r="H35" s="18">
        <f>sofp!H19 + sofp!H6</f>
        <v>14324897.17</v>
      </c>
      <c r="I35" s="18">
        <f>sofp!I19 + sofp!I6</f>
        <v>303686436.41000003</v>
      </c>
      <c r="J35" s="18">
        <f>sofp!J19 + sofp!J6</f>
        <v>315821878.88</v>
      </c>
      <c r="K35" s="18">
        <f>sofp!K19 + sofp!K6</f>
        <v>314305902.72000003</v>
      </c>
      <c r="L35" s="18">
        <f>sofp!L19 + sofp!L6</f>
        <v>301184627.85000002</v>
      </c>
      <c r="M35" s="18">
        <f>sofp!M19 + sofp!M6</f>
        <v>301184628</v>
      </c>
      <c r="N35" s="18">
        <f>sofp!N19 + sofp!N6</f>
        <v>312387660.33999997</v>
      </c>
      <c r="O35" s="18">
        <f>sofp!O19 + sofp!O6</f>
        <v>314967507.52000004</v>
      </c>
      <c r="P35" s="18">
        <f>sofp!P19 + sofp!P6</f>
        <v>304382920.30000001</v>
      </c>
      <c r="Q35" s="18">
        <f>sofp!Q19 + sofp!Q6</f>
        <v>311555951.24000001</v>
      </c>
      <c r="R35" s="18">
        <f>sofp!R19 + sofp!R6</f>
        <v>301753642.92000002</v>
      </c>
      <c r="S35" s="18">
        <f>sofp!S19 + sofp!S6</f>
        <v>309282353.81</v>
      </c>
      <c r="T35" s="18">
        <f>sofp!T19 + sofp!T6</f>
        <v>306376387.25999999</v>
      </c>
      <c r="U35" s="18">
        <f>sofp!U19 + sofp!U6</f>
        <v>292633603.77999997</v>
      </c>
      <c r="V35" s="18">
        <f>sofp!V19 + sofp!V6</f>
        <v>304265247.12</v>
      </c>
      <c r="W35" s="18">
        <f>sofp!W19 + sofp!W6</f>
        <v>308360089.83999997</v>
      </c>
      <c r="X35" s="18">
        <f>sofp!X19 + sofp!X6</f>
        <v>293597529.48000002</v>
      </c>
      <c r="Y35" s="18">
        <f>sofp!Y19 + sofp!Y6</f>
        <v>288173067.82000005</v>
      </c>
      <c r="Z35" s="18">
        <f>sofp!Z19 + sofp!Z6</f>
        <v>288173068.99000001</v>
      </c>
      <c r="AA35" s="18">
        <f>sofp!AA19 + sofp!AA6</f>
        <v>304970934.36000001</v>
      </c>
      <c r="AB35" s="18">
        <f>sofp!AB19 + sofp!AB6</f>
        <v>303138636.51999998</v>
      </c>
      <c r="AC35" s="18">
        <f>sofp!AC19 + sofp!AC6</f>
        <v>282004904.74000001</v>
      </c>
      <c r="AD35" s="18">
        <f>sofp!AD19 + sofp!AD6</f>
        <v>298765534.97000003</v>
      </c>
      <c r="AE35" s="18">
        <f>sofp!AE19 + sofp!AE6</f>
        <v>299081681.08999997</v>
      </c>
      <c r="AF35" s="18">
        <f>sofp!AF19 + sofp!AF6</f>
        <v>269282317.28999996</v>
      </c>
      <c r="AG35" s="18">
        <f>sofp!AG19 + sofp!AG6</f>
        <v>302235773.80000001</v>
      </c>
      <c r="AH35" s="18">
        <f>sofp!AH19 + sofp!AH6</f>
        <v>284214714.09999996</v>
      </c>
      <c r="AI35" s="18">
        <f>sofp!AI19 + sofp!AI6</f>
        <v>279022435.72999996</v>
      </c>
      <c r="AJ35" s="18">
        <f>sofp!AJ19 + sofp!AJ6</f>
        <v>291672276.88999999</v>
      </c>
      <c r="AK35" s="18">
        <f>sofp!AK19 + sofp!AK6</f>
        <v>281973238.20999998</v>
      </c>
      <c r="AL35" s="18">
        <f>sofp!AL19 + sofp!AL6</f>
        <v>270063216.82999998</v>
      </c>
      <c r="AM35" s="18">
        <f>sofp!AM19 + sofp!AM6</f>
        <v>270138038</v>
      </c>
      <c r="AN35" s="18">
        <f>sofp!AN19 + sofp!AN6</f>
        <v>0</v>
      </c>
      <c r="AO35" s="18">
        <f>sofp!AO19 + sofp!AO6</f>
        <v>0</v>
      </c>
      <c r="AP35" s="18">
        <f>sofp!AP19 + sofp!AP6</f>
        <v>0</v>
      </c>
      <c r="AQ35" s="18">
        <f>sofp!AQ19 + sofp!AQ6</f>
        <v>0</v>
      </c>
      <c r="AR35" s="18">
        <f>sofp!AR19 + sofp!AR6</f>
        <v>0</v>
      </c>
      <c r="AS35" s="18">
        <f>sofp!AS19 + sofp!AS6</f>
        <v>0</v>
      </c>
    </row>
    <row r="36" spans="1:45">
      <c r="A36" t="s">
        <v>34</v>
      </c>
      <c r="B36" s="18">
        <f>sofp!B21</f>
        <v>41840593.850000001</v>
      </c>
      <c r="C36" s="18">
        <f>sofp!C21</f>
        <v>41696081.780000001</v>
      </c>
      <c r="D36" s="18">
        <f>sofp!D21</f>
        <v>41536086.25</v>
      </c>
      <c r="E36" s="18">
        <f>sofp!E21</f>
        <v>41381251.909999996</v>
      </c>
      <c r="F36" s="18">
        <f>sofp!F21</f>
        <v>42142694.229999997</v>
      </c>
      <c r="G36" s="18">
        <f>sofp!G21</f>
        <v>44074481.630000003</v>
      </c>
      <c r="H36" s="18">
        <f>sofp!H21</f>
        <v>44796533.909999996</v>
      </c>
      <c r="I36" s="18">
        <f>sofp!I21</f>
        <v>44718933.119999997</v>
      </c>
      <c r="J36" s="18">
        <f>sofp!J21</f>
        <v>44527594.149999999</v>
      </c>
      <c r="K36" s="18">
        <f>sofp!K21</f>
        <v>44344598.020000003</v>
      </c>
      <c r="L36" s="18">
        <f>sofp!L21</f>
        <v>44937061.289999999</v>
      </c>
      <c r="M36" s="18">
        <f>sofp!M21</f>
        <v>44937061</v>
      </c>
      <c r="N36" s="18">
        <f>sofp!N21</f>
        <v>44748659.450000003</v>
      </c>
      <c r="O36" s="18">
        <f>sofp!O21</f>
        <v>46318077.149999999</v>
      </c>
      <c r="P36" s="18">
        <f>sofp!P21</f>
        <v>49763737.75</v>
      </c>
      <c r="Q36" s="18">
        <f>sofp!Q21</f>
        <v>49763690.350000001</v>
      </c>
      <c r="R36" s="18">
        <f>sofp!R21</f>
        <v>49488500.960000001</v>
      </c>
      <c r="S36" s="18">
        <f>sofp!S21</f>
        <v>49253740.200000003</v>
      </c>
      <c r="T36" s="18">
        <f>sofp!T21</f>
        <v>48986510.530000001</v>
      </c>
      <c r="U36" s="18">
        <f>sofp!U21</f>
        <v>48723353.609999999</v>
      </c>
      <c r="V36" s="18">
        <f>sofp!V21</f>
        <v>48827834.159999996</v>
      </c>
      <c r="W36" s="18">
        <f>sofp!W21</f>
        <v>48783455.25</v>
      </c>
      <c r="X36" s="18">
        <f>sofp!X21</f>
        <v>48527557.630000003</v>
      </c>
      <c r="Y36" s="18">
        <f>sofp!Y21</f>
        <v>48952366.689999998</v>
      </c>
      <c r="Z36" s="18">
        <f>sofp!Z21</f>
        <v>48952367.049999997</v>
      </c>
      <c r="AA36" s="18">
        <f>sofp!AA21</f>
        <v>48688210</v>
      </c>
      <c r="AB36" s="18">
        <f>sofp!AB21</f>
        <v>48453047.450000003</v>
      </c>
      <c r="AC36" s="18">
        <f>sofp!AC21</f>
        <v>48196408.149999999</v>
      </c>
      <c r="AD36" s="18">
        <f>sofp!AD21</f>
        <v>48061600.07</v>
      </c>
      <c r="AE36" s="18">
        <f>sofp!AE21</f>
        <v>47811174.799999997</v>
      </c>
      <c r="AF36" s="18">
        <f>sofp!AF21</f>
        <v>47572334.75</v>
      </c>
      <c r="AG36" s="18">
        <f>sofp!AG21</f>
        <v>47329081.18</v>
      </c>
      <c r="AH36" s="18">
        <f>sofp!AH21</f>
        <v>47422312.460000001</v>
      </c>
      <c r="AI36" s="18">
        <f>sofp!AI21</f>
        <v>48692097.420000002</v>
      </c>
      <c r="AJ36" s="18">
        <f>sofp!AJ21</f>
        <v>48742680.740000002</v>
      </c>
      <c r="AK36" s="18">
        <f>sofp!AK21</f>
        <v>49483239.18</v>
      </c>
      <c r="AL36" s="18">
        <f>sofp!AL21</f>
        <v>50524502.850000001</v>
      </c>
      <c r="AM36" s="18">
        <f>sofp!AM21</f>
        <v>50599324</v>
      </c>
      <c r="AN36" s="18">
        <f>sofp!AN21</f>
        <v>0</v>
      </c>
      <c r="AO36" s="18">
        <f>sofp!AO21</f>
        <v>0</v>
      </c>
      <c r="AP36" s="18">
        <f>sofp!AP21</f>
        <v>0</v>
      </c>
      <c r="AQ36" s="18">
        <f>sofp!AQ21</f>
        <v>0</v>
      </c>
      <c r="AR36" s="18">
        <f>sofp!AR21</f>
        <v>0</v>
      </c>
      <c r="AS36" s="18">
        <f>sofp!AS21</f>
        <v>0</v>
      </c>
    </row>
    <row r="37" spans="1:45">
      <c r="A37" t="s">
        <v>122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</row>
    <row r="38" spans="1:45"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</row>
    <row r="39" spans="1:45">
      <c r="A39" s="17" t="s">
        <v>123</v>
      </c>
      <c r="B39" s="18">
        <f t="shared" ref="B39:G39" si="25">SUM(B40:B42)</f>
        <v>127499389.46000001</v>
      </c>
      <c r="C39" s="18">
        <f t="shared" si="25"/>
        <v>18709458.48</v>
      </c>
      <c r="D39" s="18">
        <f t="shared" si="25"/>
        <v>29770576.350000001</v>
      </c>
      <c r="E39" s="18">
        <f t="shared" si="25"/>
        <v>47209864.259999998</v>
      </c>
      <c r="F39" s="18">
        <f t="shared" si="25"/>
        <v>56502019.829999998</v>
      </c>
      <c r="G39" s="18">
        <f t="shared" si="25"/>
        <v>67232796.870000005</v>
      </c>
      <c r="H39" s="18">
        <f t="shared" ref="H39:M39" si="26">SUM(H40:H42)</f>
        <v>91477429.900000006</v>
      </c>
      <c r="I39" s="18">
        <f t="shared" si="26"/>
        <v>102674616.69999999</v>
      </c>
      <c r="J39" s="18">
        <f t="shared" si="26"/>
        <v>114186100.62</v>
      </c>
      <c r="K39" s="18">
        <f t="shared" si="26"/>
        <v>124967704.77000001</v>
      </c>
      <c r="L39" s="18">
        <f t="shared" si="26"/>
        <v>136912939.78</v>
      </c>
      <c r="M39" s="18">
        <f t="shared" si="26"/>
        <v>142033452</v>
      </c>
      <c r="N39" s="18">
        <f t="shared" ref="N39:AF39" si="27">SUM(N40:N42)</f>
        <v>152833310.69</v>
      </c>
      <c r="O39" s="18">
        <f t="shared" si="27"/>
        <v>22623107.060000002</v>
      </c>
      <c r="P39" s="18">
        <f t="shared" si="27"/>
        <v>34770632.409999996</v>
      </c>
      <c r="Q39" s="18">
        <f t="shared" si="27"/>
        <v>55375563.950000003</v>
      </c>
      <c r="R39" s="18">
        <f t="shared" si="27"/>
        <v>66695239.410000004</v>
      </c>
      <c r="S39" s="18">
        <f t="shared" si="27"/>
        <v>78513642.659999996</v>
      </c>
      <c r="T39" s="18">
        <f t="shared" si="27"/>
        <v>92482826.560000002</v>
      </c>
      <c r="U39" s="18">
        <f t="shared" si="27"/>
        <v>104256149.90000001</v>
      </c>
      <c r="V39" s="18">
        <f t="shared" si="27"/>
        <v>116313167.02</v>
      </c>
      <c r="W39" s="18">
        <f t="shared" si="27"/>
        <v>128686569.94</v>
      </c>
      <c r="X39" s="18">
        <f t="shared" si="27"/>
        <v>140856659.87</v>
      </c>
      <c r="Y39" s="18">
        <f t="shared" si="27"/>
        <v>153056205.31</v>
      </c>
      <c r="Z39" s="18">
        <f t="shared" si="27"/>
        <v>153132994.57999998</v>
      </c>
      <c r="AA39" s="18">
        <f t="shared" si="27"/>
        <v>164541259.19999999</v>
      </c>
      <c r="AB39" s="18">
        <f t="shared" si="27"/>
        <v>23380866.18</v>
      </c>
      <c r="AC39" s="18">
        <f t="shared" si="27"/>
        <v>37360275.689999998</v>
      </c>
      <c r="AD39" s="18">
        <f t="shared" si="27"/>
        <v>51468425.030000001</v>
      </c>
      <c r="AE39" s="18">
        <f t="shared" si="27"/>
        <v>64562316.18</v>
      </c>
      <c r="AF39" s="18">
        <f t="shared" si="27"/>
        <v>85757614.739999995</v>
      </c>
      <c r="AG39" s="18">
        <f t="shared" ref="AG39:AS39" si="28">SUM(AG40:AG42)</f>
        <v>99024048.709999993</v>
      </c>
      <c r="AH39" s="18">
        <f t="shared" si="28"/>
        <v>113591190.22999999</v>
      </c>
      <c r="AI39" s="18">
        <f t="shared" si="28"/>
        <v>127822639.74000001</v>
      </c>
      <c r="AJ39" s="18">
        <f t="shared" si="28"/>
        <v>141487796.34</v>
      </c>
      <c r="AK39" s="18">
        <f t="shared" si="28"/>
        <v>156690738.84999999</v>
      </c>
      <c r="AL39" s="18">
        <f t="shared" si="28"/>
        <v>173635523.87</v>
      </c>
      <c r="AM39" s="18">
        <f t="shared" ref="AM39" si="29">SUM(AM40:AM42)</f>
        <v>173635517</v>
      </c>
      <c r="AN39" s="18">
        <f t="shared" si="28"/>
        <v>0</v>
      </c>
      <c r="AO39" s="18">
        <f t="shared" si="28"/>
        <v>0</v>
      </c>
      <c r="AP39" s="18">
        <f t="shared" si="28"/>
        <v>0</v>
      </c>
      <c r="AQ39" s="18">
        <f t="shared" si="28"/>
        <v>0</v>
      </c>
      <c r="AR39" s="18">
        <f t="shared" si="28"/>
        <v>0</v>
      </c>
      <c r="AS39" s="18">
        <f t="shared" si="28"/>
        <v>0</v>
      </c>
    </row>
    <row r="40" spans="1:45">
      <c r="A40" t="s">
        <v>124</v>
      </c>
      <c r="B40" s="18">
        <f>soci!B5</f>
        <v>88237052.790000007</v>
      </c>
      <c r="C40" s="18">
        <f>soci!C5</f>
        <v>14256551.380000001</v>
      </c>
      <c r="D40" s="18">
        <f>soci!D5</f>
        <v>22404470.09</v>
      </c>
      <c r="E40" s="18">
        <f>soci!E5</f>
        <v>29546755.699999999</v>
      </c>
      <c r="F40" s="18">
        <f>soci!F5</f>
        <v>36573294.57</v>
      </c>
      <c r="G40" s="18">
        <f>soci!G5</f>
        <v>43954478.609999999</v>
      </c>
      <c r="H40" s="18">
        <f>soci!H5</f>
        <v>62610917.289999999</v>
      </c>
      <c r="I40" s="18">
        <f>soci!I5</f>
        <v>70976748.739999995</v>
      </c>
      <c r="J40" s="18">
        <f>soci!J5</f>
        <v>79577787.840000004</v>
      </c>
      <c r="K40" s="18">
        <f>soci!K5</f>
        <v>87908946.090000004</v>
      </c>
      <c r="L40" s="18">
        <f>soci!L5</f>
        <v>96841535.560000002</v>
      </c>
      <c r="M40" s="18">
        <f>soci!M5</f>
        <v>132797259</v>
      </c>
      <c r="N40" s="18">
        <f>soci!N5</f>
        <v>105109217.44</v>
      </c>
      <c r="O40" s="18">
        <f>soci!O5</f>
        <v>16932014.73</v>
      </c>
      <c r="P40" s="18">
        <f>soci!P5</f>
        <v>25733637.120000001</v>
      </c>
      <c r="Q40" s="18">
        <f>soci!Q5</f>
        <v>34755046.310000002</v>
      </c>
      <c r="R40" s="18">
        <f>soci!R5</f>
        <v>42943230.859999999</v>
      </c>
      <c r="S40" s="18">
        <f>soci!S5</f>
        <v>51226749.07</v>
      </c>
      <c r="T40" s="18">
        <f>soci!T5</f>
        <v>59832115.840000004</v>
      </c>
      <c r="U40" s="18">
        <f>soci!U5</f>
        <v>67751693.530000001</v>
      </c>
      <c r="V40" s="18">
        <f>soci!V5</f>
        <v>76257527.799999997</v>
      </c>
      <c r="W40" s="18">
        <f>soci!W5</f>
        <v>84604289.909999996</v>
      </c>
      <c r="X40" s="18">
        <f>soci!X5</f>
        <v>92751955.629999995</v>
      </c>
      <c r="Y40" s="18">
        <f>soci!Y5</f>
        <v>100712289.78</v>
      </c>
      <c r="Z40" s="18">
        <f>soci!Z5</f>
        <v>141085336.69</v>
      </c>
      <c r="AA40" s="18">
        <f>soci!AA5</f>
        <v>108603722</v>
      </c>
      <c r="AB40" s="18">
        <f>soci!AB5</f>
        <v>16141893.720000001</v>
      </c>
      <c r="AC40" s="18">
        <f>soci!AC5</f>
        <v>25147321.760000002</v>
      </c>
      <c r="AD40" s="18">
        <f>soci!AD5</f>
        <v>33748990.090000004</v>
      </c>
      <c r="AE40" s="18">
        <f>soci!AE5</f>
        <v>42293579.899999999</v>
      </c>
      <c r="AF40" s="18">
        <f>soci!AF5</f>
        <v>51323276.409999996</v>
      </c>
      <c r="AG40" s="18">
        <f>soci!AG5</f>
        <v>60375855.890000001</v>
      </c>
      <c r="AH40" s="18">
        <f>soci!AH5</f>
        <v>69738874.969999999</v>
      </c>
      <c r="AI40" s="18">
        <f>soci!AI5</f>
        <v>79024500.480000004</v>
      </c>
      <c r="AJ40" s="18">
        <f>soci!AJ5</f>
        <v>88113736.010000005</v>
      </c>
      <c r="AK40" s="18">
        <f>soci!AK5</f>
        <v>117019629.70999999</v>
      </c>
      <c r="AL40" s="18">
        <f>soci!AL5</f>
        <v>129748922.2</v>
      </c>
      <c r="AM40" s="18">
        <f>soci!AM5</f>
        <v>161359018</v>
      </c>
      <c r="AN40" s="18">
        <f>soci!AO5</f>
        <v>0</v>
      </c>
      <c r="AO40" s="18">
        <f>soci!AP5</f>
        <v>0</v>
      </c>
      <c r="AP40" s="18">
        <f>soci!AQ5</f>
        <v>0</v>
      </c>
      <c r="AQ40" s="18">
        <f>soci!AR5</f>
        <v>0</v>
      </c>
      <c r="AR40" s="18">
        <f>soci!AS5</f>
        <v>0</v>
      </c>
      <c r="AS40" s="18">
        <f>soci!AT5</f>
        <v>0</v>
      </c>
    </row>
    <row r="41" spans="1:45">
      <c r="A41" t="s">
        <v>125</v>
      </c>
      <c r="B41" s="18">
        <f>soci!B7</f>
        <v>8523562.8699999992</v>
      </c>
      <c r="C41" s="18">
        <f>soci!C7</f>
        <v>0</v>
      </c>
      <c r="D41" s="18">
        <f>soci!D7</f>
        <v>83309.86</v>
      </c>
      <c r="E41" s="18">
        <f>soci!E7</f>
        <v>8183086.46</v>
      </c>
      <c r="F41" s="18">
        <f>soci!F7</f>
        <v>8183086.46</v>
      </c>
      <c r="G41" s="18">
        <f>soci!G7</f>
        <v>8183086.46</v>
      </c>
      <c r="H41" s="18">
        <f>soci!H7</f>
        <v>8228510.71</v>
      </c>
      <c r="I41" s="18">
        <f>soci!I7</f>
        <v>8244053.3600000003</v>
      </c>
      <c r="J41" s="18">
        <f>soci!J7</f>
        <v>8316647.2800000003</v>
      </c>
      <c r="K41" s="18">
        <f>soci!K7</f>
        <v>8316647.2800000003</v>
      </c>
      <c r="L41" s="18">
        <f>soci!L7</f>
        <v>8374696.2199999997</v>
      </c>
      <c r="M41" s="18">
        <f>soci!M7</f>
        <v>855540</v>
      </c>
      <c r="N41" s="18">
        <f>soci!N7</f>
        <v>13360830.35</v>
      </c>
      <c r="O41" s="18">
        <f>soci!O7</f>
        <v>1135227.73</v>
      </c>
      <c r="P41" s="18">
        <f>soci!P7</f>
        <v>1861457.9899999998</v>
      </c>
      <c r="Q41" s="18">
        <f>soci!Q7</f>
        <v>10790572.940000001</v>
      </c>
      <c r="R41" s="18">
        <f>soci!R7</f>
        <v>11601318.449999999</v>
      </c>
      <c r="S41" s="18">
        <f>soci!S7</f>
        <v>12495058.09</v>
      </c>
      <c r="T41" s="18">
        <f>soci!T7</f>
        <v>13324668.620000001</v>
      </c>
      <c r="U41" s="18">
        <f>soci!U7</f>
        <v>13890615.17</v>
      </c>
      <c r="V41" s="18">
        <f>soci!V7</f>
        <v>14821333.719999999</v>
      </c>
      <c r="W41" s="18">
        <f>soci!W7</f>
        <v>15739689.529999999</v>
      </c>
      <c r="X41" s="18">
        <f>soci!X7</f>
        <v>16929125.740000002</v>
      </c>
      <c r="Y41" s="18">
        <f>soci!Y7</f>
        <v>17949846.93</v>
      </c>
      <c r="Z41" s="18">
        <f>soci!Z7</f>
        <v>12047657.890000001</v>
      </c>
      <c r="AA41" s="18">
        <f>soci!AA7</f>
        <v>18673446.600000001</v>
      </c>
      <c r="AB41" s="18">
        <f>soci!AB7</f>
        <v>1382341.8599999999</v>
      </c>
      <c r="AC41" s="18">
        <f>soci!AC7</f>
        <v>2136411.4299999997</v>
      </c>
      <c r="AD41" s="18">
        <f>soci!AD7</f>
        <v>2841568.14</v>
      </c>
      <c r="AE41" s="18">
        <f>soci!AE7</f>
        <v>3391040.1799999997</v>
      </c>
      <c r="AF41" s="18">
        <f>soci!AF7</f>
        <v>11953379.330000002</v>
      </c>
      <c r="AG41" s="18">
        <f>soci!AG7</f>
        <v>12677760.52</v>
      </c>
      <c r="AH41" s="18">
        <f>soci!AH7</f>
        <v>13774169.360000001</v>
      </c>
      <c r="AI41" s="18">
        <f>soci!AI7</f>
        <v>14683573.66</v>
      </c>
      <c r="AJ41" s="18">
        <f>soci!AJ7</f>
        <v>15468021.43</v>
      </c>
      <c r="AK41" s="18">
        <f>soci!AK7</f>
        <v>16406491.440000001</v>
      </c>
      <c r="AL41" s="18">
        <f>soci!AL7</f>
        <v>17952598.27</v>
      </c>
      <c r="AM41" s="18">
        <f>soci!AM7</f>
        <v>12276499</v>
      </c>
      <c r="AN41" s="18">
        <f>soci!AO7</f>
        <v>0</v>
      </c>
      <c r="AO41" s="18">
        <f>soci!AP7</f>
        <v>0</v>
      </c>
      <c r="AP41" s="18">
        <f>soci!AQ7</f>
        <v>0</v>
      </c>
      <c r="AQ41" s="18">
        <f>soci!AR7</f>
        <v>0</v>
      </c>
      <c r="AR41" s="18">
        <f>soci!AS7</f>
        <v>0</v>
      </c>
      <c r="AS41" s="18">
        <f>soci!AT7</f>
        <v>0</v>
      </c>
    </row>
    <row r="42" spans="1:45">
      <c r="A42" t="s">
        <v>126</v>
      </c>
      <c r="B42" s="18">
        <f>soci!B6</f>
        <v>30738773.800000001</v>
      </c>
      <c r="C42" s="18">
        <f>soci!C6</f>
        <v>4452907.0999999996</v>
      </c>
      <c r="D42" s="18">
        <f>soci!D6</f>
        <v>7282796.4000000004</v>
      </c>
      <c r="E42" s="18">
        <f>soci!E6</f>
        <v>9480022.0999999996</v>
      </c>
      <c r="F42" s="18">
        <f>soci!F6</f>
        <v>11745638.800000001</v>
      </c>
      <c r="G42" s="18">
        <f>soci!G6</f>
        <v>15095231.800000001</v>
      </c>
      <c r="H42" s="18">
        <f>soci!H6</f>
        <v>20638001.899999999</v>
      </c>
      <c r="I42" s="18">
        <f>soci!I6</f>
        <v>23453814.600000001</v>
      </c>
      <c r="J42" s="18">
        <f>soci!J6</f>
        <v>26291665.5</v>
      </c>
      <c r="K42" s="18">
        <f>soci!K6</f>
        <v>28742111.399999999</v>
      </c>
      <c r="L42" s="18">
        <f>soci!L6</f>
        <v>31696708</v>
      </c>
      <c r="M42" s="18">
        <f>soci!M6</f>
        <v>8380653</v>
      </c>
      <c r="N42" s="18">
        <f>soci!N6</f>
        <v>34363262.899999999</v>
      </c>
      <c r="O42" s="18">
        <f>soci!O6</f>
        <v>4555864.5999999996</v>
      </c>
      <c r="P42" s="18">
        <f>soci!P6</f>
        <v>7175537.2999999998</v>
      </c>
      <c r="Q42" s="18">
        <f>soci!Q6</f>
        <v>9829944.6999999993</v>
      </c>
      <c r="R42" s="18">
        <f>soci!R6</f>
        <v>12150690.1</v>
      </c>
      <c r="S42" s="18">
        <f>soci!S6</f>
        <v>14791835.5</v>
      </c>
      <c r="T42" s="18">
        <f>soci!T6</f>
        <v>19326042.100000001</v>
      </c>
      <c r="U42" s="18">
        <f>soci!U6</f>
        <v>22613841.199999999</v>
      </c>
      <c r="V42" s="18">
        <f>soci!V6</f>
        <v>25234305.5</v>
      </c>
      <c r="W42" s="18">
        <f>soci!W6</f>
        <v>28342590.5</v>
      </c>
      <c r="X42" s="18">
        <f>soci!X6</f>
        <v>31175578.5</v>
      </c>
      <c r="Y42" s="18">
        <f>soci!Y6</f>
        <v>34394068.600000001</v>
      </c>
      <c r="Z42" s="18">
        <f>soci!Z6</f>
        <v>0</v>
      </c>
      <c r="AA42" s="18">
        <f>soci!AA6</f>
        <v>37264090.600000001</v>
      </c>
      <c r="AB42" s="18">
        <f>soci!AB6</f>
        <v>5856630.5999999996</v>
      </c>
      <c r="AC42" s="18">
        <f>soci!AC6</f>
        <v>10076542.5</v>
      </c>
      <c r="AD42" s="18">
        <f>soci!AD6</f>
        <v>14877866.800000001</v>
      </c>
      <c r="AE42" s="18">
        <f>soci!AE6</f>
        <v>18877696.100000001</v>
      </c>
      <c r="AF42" s="18">
        <f>soci!AF6</f>
        <v>22480959</v>
      </c>
      <c r="AG42" s="18">
        <f>soci!AG6</f>
        <v>25970432.300000001</v>
      </c>
      <c r="AH42" s="18">
        <f>soci!AH6</f>
        <v>30078145.899999999</v>
      </c>
      <c r="AI42" s="18">
        <f>soci!AI6</f>
        <v>34114565.600000001</v>
      </c>
      <c r="AJ42" s="18">
        <f>soci!AJ6</f>
        <v>37906038.899999999</v>
      </c>
      <c r="AK42" s="18">
        <f>soci!AK6</f>
        <v>23264617.699999999</v>
      </c>
      <c r="AL42" s="18">
        <f>soci!AL6</f>
        <v>25934003.399999999</v>
      </c>
      <c r="AM42" s="18">
        <f>soci!AM6</f>
        <v>0</v>
      </c>
      <c r="AN42" s="18">
        <f>soci!AO6</f>
        <v>0</v>
      </c>
      <c r="AO42" s="18">
        <f>soci!AP6</f>
        <v>0</v>
      </c>
      <c r="AP42" s="18">
        <f>soci!AQ6</f>
        <v>0</v>
      </c>
      <c r="AQ42" s="18">
        <f>soci!AR6</f>
        <v>0</v>
      </c>
      <c r="AR42" s="18">
        <f>soci!AS6</f>
        <v>0</v>
      </c>
      <c r="AS42" s="18">
        <f>soci!AT6</f>
        <v>0</v>
      </c>
    </row>
    <row r="43" spans="1:45">
      <c r="A43" t="s">
        <v>127</v>
      </c>
      <c r="B43" s="18">
        <f t="shared" ref="B43:G43" si="30">B40/B27</f>
        <v>0.26899919957306762</v>
      </c>
      <c r="C43" s="18">
        <f t="shared" si="30"/>
        <v>4.4191805070123838E-2</v>
      </c>
      <c r="D43" s="18">
        <f t="shared" si="30"/>
        <v>6.973382361523929E-2</v>
      </c>
      <c r="E43" s="18">
        <f t="shared" si="30"/>
        <v>9.3709711220687261E-2</v>
      </c>
      <c r="F43" s="18">
        <f t="shared" si="30"/>
        <v>0.11744120163161349</v>
      </c>
      <c r="G43" s="18">
        <f t="shared" si="30"/>
        <v>0.13363905393225745</v>
      </c>
      <c r="H43" s="18">
        <f t="shared" ref="H43:M43" si="31">H40/H27</f>
        <v>0.17933937014075796</v>
      </c>
      <c r="I43" s="18">
        <f t="shared" si="31"/>
        <v>0.19702234045964728</v>
      </c>
      <c r="J43" s="18">
        <f t="shared" si="31"/>
        <v>0.21270988535283047</v>
      </c>
      <c r="K43" s="18">
        <f t="shared" si="31"/>
        <v>0.23364962371889234</v>
      </c>
      <c r="L43" s="18">
        <f t="shared" si="31"/>
        <v>0.24990089408065591</v>
      </c>
      <c r="M43" s="18">
        <f t="shared" si="31"/>
        <v>0.34268512560303893</v>
      </c>
      <c r="N43" s="18">
        <f t="shared" ref="N43:AF43" si="32">N40/N27</f>
        <v>0.26608798609752621</v>
      </c>
      <c r="O43" s="18">
        <f t="shared" si="32"/>
        <v>4.21183278601681E-2</v>
      </c>
      <c r="P43" s="18">
        <f t="shared" si="32"/>
        <v>6.3859823956611439E-2</v>
      </c>
      <c r="Q43" s="18">
        <f t="shared" si="32"/>
        <v>8.4868523536848761E-2</v>
      </c>
      <c r="R43" s="18">
        <f t="shared" si="32"/>
        <v>0.10483686616173639</v>
      </c>
      <c r="S43" s="18">
        <f t="shared" si="32"/>
        <v>0.1248490441793679</v>
      </c>
      <c r="T43" s="18">
        <f t="shared" si="32"/>
        <v>0.13407626292898411</v>
      </c>
      <c r="U43" s="18">
        <f t="shared" si="32"/>
        <v>0.14634318075075042</v>
      </c>
      <c r="V43" s="18">
        <f t="shared" si="32"/>
        <v>0.16597703411700793</v>
      </c>
      <c r="W43" s="18">
        <f t="shared" si="32"/>
        <v>0.18311848723596608</v>
      </c>
      <c r="X43" s="18">
        <f t="shared" si="32"/>
        <v>0.20245262095846051</v>
      </c>
      <c r="Y43" s="18">
        <f t="shared" si="32"/>
        <v>0.22192772072783751</v>
      </c>
      <c r="Z43" s="18">
        <f t="shared" si="32"/>
        <v>0.31089301292232757</v>
      </c>
      <c r="AA43" s="18">
        <f t="shared" si="32"/>
        <v>0.24138869492654424</v>
      </c>
      <c r="AB43" s="18">
        <f t="shared" si="32"/>
        <v>3.5659436506832551E-2</v>
      </c>
      <c r="AC43" s="18">
        <f t="shared" si="32"/>
        <v>5.3300239042695367E-2</v>
      </c>
      <c r="AD43" s="18">
        <f t="shared" si="32"/>
        <v>6.7351439754225403E-2</v>
      </c>
      <c r="AE43" s="18">
        <f t="shared" si="32"/>
        <v>8.2215701125826143E-2</v>
      </c>
      <c r="AF43" s="18">
        <f t="shared" si="32"/>
        <v>0.10003129556453914</v>
      </c>
      <c r="AG43" s="18">
        <f t="shared" ref="AG43:AS43" si="33">AG40/AG27</f>
        <v>0.11769078060821468</v>
      </c>
      <c r="AH43" s="18">
        <f t="shared" si="33"/>
        <v>0.13596172997146794</v>
      </c>
      <c r="AI43" s="18">
        <f t="shared" si="33"/>
        <v>0.15261292257178952</v>
      </c>
      <c r="AJ43" s="18">
        <f t="shared" si="33"/>
        <v>0.16859880036649097</v>
      </c>
      <c r="AK43" s="18">
        <f t="shared" si="33"/>
        <v>0.21823448508010357</v>
      </c>
      <c r="AL43" s="18">
        <f t="shared" si="33"/>
        <v>0.23140703392906148</v>
      </c>
      <c r="AM43" s="18">
        <f t="shared" ref="AM43" si="34">AM40/AM27</f>
        <v>0.28778359874299797</v>
      </c>
      <c r="AN43" s="18" t="e">
        <f t="shared" si="33"/>
        <v>#DIV/0!</v>
      </c>
      <c r="AO43" s="18" t="e">
        <f t="shared" si="33"/>
        <v>#DIV/0!</v>
      </c>
      <c r="AP43" s="18" t="e">
        <f t="shared" si="33"/>
        <v>#DIV/0!</v>
      </c>
      <c r="AQ43" s="18" t="e">
        <f t="shared" si="33"/>
        <v>#DIV/0!</v>
      </c>
      <c r="AR43" s="18" t="e">
        <f t="shared" si="33"/>
        <v>#DIV/0!</v>
      </c>
      <c r="AS43" s="18" t="e">
        <f t="shared" si="33"/>
        <v>#DIV/0!</v>
      </c>
    </row>
    <row r="44" spans="1:45"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</row>
    <row r="45" spans="1:45">
      <c r="A45" s="17" t="s">
        <v>128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</row>
    <row r="46" spans="1:45">
      <c r="A46" t="s">
        <v>129</v>
      </c>
      <c r="B46" s="18">
        <f>soci!B13 + soci!B16</f>
        <v>12737306.779999999</v>
      </c>
      <c r="C46" s="18">
        <f>soci!C13 + soci!C16</f>
        <v>1930290.0299999998</v>
      </c>
      <c r="D46" s="18">
        <f>soci!D13 + soci!D16</f>
        <v>6587098.0299999993</v>
      </c>
      <c r="E46" s="18">
        <f>soci!E13 + soci!E16</f>
        <v>8872817.4800000004</v>
      </c>
      <c r="F46" s="18">
        <f>soci!F13 + soci!F16</f>
        <v>11091580.379999999</v>
      </c>
      <c r="G46" s="18">
        <f>soci!G13 + soci!G16</f>
        <v>13416974.18</v>
      </c>
      <c r="H46" s="18">
        <f>soci!H13 + soci!H16</f>
        <v>17927968.09</v>
      </c>
      <c r="I46" s="18">
        <f>soci!I13 + soci!I16</f>
        <v>20249976.07</v>
      </c>
      <c r="J46" s="18">
        <f>soci!J13 + soci!J16</f>
        <v>22490386.810000002</v>
      </c>
      <c r="K46" s="18">
        <f>soci!K13 + soci!K16</f>
        <v>24822838.810000002</v>
      </c>
      <c r="L46" s="18">
        <f>soci!L13 + soci!L16</f>
        <v>28382690.960000001</v>
      </c>
      <c r="M46" s="18">
        <f>soci!M13 + soci!M16</f>
        <v>16919679</v>
      </c>
      <c r="N46" s="18">
        <f>soci!N13 + soci!N16</f>
        <v>30888470.960000001</v>
      </c>
      <c r="O46" s="18">
        <f>soci!O13 + soci!O16</f>
        <v>6092843.9000000004</v>
      </c>
      <c r="P46" s="18">
        <f>soci!P13 + soci!P16</f>
        <v>9102609.3100000005</v>
      </c>
      <c r="Q46" s="18">
        <f>soci!Q13 + soci!Q16</f>
        <v>12191852.720000001</v>
      </c>
      <c r="R46" s="18">
        <f>soci!R13 + soci!R16</f>
        <v>15188254.130000001</v>
      </c>
      <c r="S46" s="18">
        <f>soci!S13 + soci!S16</f>
        <v>18243528.09</v>
      </c>
      <c r="T46" s="18">
        <f>soci!T13 + soci!T16</f>
        <v>21354268.920000002</v>
      </c>
      <c r="U46" s="18">
        <f>soci!U13 + soci!U16</f>
        <v>24593302.960000001</v>
      </c>
      <c r="V46" s="18">
        <f>soci!V13 + soci!V16</f>
        <v>27775913.369999997</v>
      </c>
      <c r="W46" s="18">
        <f>soci!W13 + soci!W16</f>
        <v>30846781.079999998</v>
      </c>
      <c r="X46" s="18">
        <f>soci!X13 + soci!X16</f>
        <v>34088958.490000002</v>
      </c>
      <c r="Y46" s="18">
        <f>soci!Y13 + soci!Y16</f>
        <v>36815268.950000003</v>
      </c>
      <c r="Z46" s="18">
        <f>soci!Z13 + soci!Z16</f>
        <v>18775154.100000001</v>
      </c>
      <c r="AA46" s="18">
        <f>soci!AA13 + soci!AA16</f>
        <v>40750842.040000007</v>
      </c>
      <c r="AB46" s="18">
        <f>soci!AB13 + soci!AB16</f>
        <v>7748689.29</v>
      </c>
      <c r="AC46" s="18">
        <f>soci!AC13 + soci!AC16</f>
        <v>11618238.940000001</v>
      </c>
      <c r="AD46" s="18">
        <f>soci!AD13 + soci!AD16</f>
        <v>15337599.59</v>
      </c>
      <c r="AE46" s="18">
        <f>soci!AE13 + soci!AE16</f>
        <v>19337821.240000002</v>
      </c>
      <c r="AF46" s="18">
        <f>soci!AF13 + soci!AF16</f>
        <v>23186610.890000001</v>
      </c>
      <c r="AG46" s="18">
        <f>soci!AG13 + soci!AG16</f>
        <v>27014595.530000001</v>
      </c>
      <c r="AH46" s="18">
        <f>soci!AH13 + soci!AH16</f>
        <v>31010654.210000001</v>
      </c>
      <c r="AI46" s="18">
        <f>soci!AI13 + soci!AI16</f>
        <v>34998208.310000002</v>
      </c>
      <c r="AJ46" s="18">
        <f>soci!AJ13 + soci!AJ16</f>
        <v>38988108</v>
      </c>
      <c r="AK46" s="18">
        <f>soci!AK13 + soci!AK16</f>
        <v>42922263.240000002</v>
      </c>
      <c r="AL46" s="18">
        <f>soci!AL13 + soci!AL16</f>
        <v>46188632.960000001</v>
      </c>
      <c r="AM46" s="18">
        <f>soci!AM13 + soci!AM16</f>
        <v>26188633</v>
      </c>
      <c r="AN46" s="18">
        <f>soci!AO13 + soci!AO16</f>
        <v>0</v>
      </c>
      <c r="AO46" s="18">
        <f>soci!AP13 + soci!AP16</f>
        <v>0</v>
      </c>
      <c r="AP46" s="18">
        <f>soci!AQ13 + soci!AQ16</f>
        <v>0</v>
      </c>
      <c r="AQ46" s="18">
        <f>soci!AR13 + soci!AR16</f>
        <v>0</v>
      </c>
      <c r="AR46" s="18">
        <f>soci!AS13 + soci!AS16</f>
        <v>0</v>
      </c>
      <c r="AS46" s="18">
        <f>soci!AT13 + soci!AT16</f>
        <v>0</v>
      </c>
    </row>
    <row r="47" spans="1:45">
      <c r="A47" t="s">
        <v>130</v>
      </c>
      <c r="B47" s="18">
        <f>soci!B15</f>
        <v>13780000</v>
      </c>
      <c r="C47" s="18">
        <f>soci!C15</f>
        <v>2488354</v>
      </c>
      <c r="D47" s="18">
        <f>soci!D15</f>
        <v>0</v>
      </c>
      <c r="E47" s="18">
        <f>soci!E15</f>
        <v>0</v>
      </c>
      <c r="F47" s="18">
        <f>soci!F15</f>
        <v>0</v>
      </c>
      <c r="G47" s="18">
        <f>soci!G15</f>
        <v>0</v>
      </c>
      <c r="H47" s="18">
        <f>soci!H15</f>
        <v>0</v>
      </c>
      <c r="I47" s="18">
        <f>soci!I15</f>
        <v>0</v>
      </c>
      <c r="J47" s="18">
        <f>soci!J15</f>
        <v>0</v>
      </c>
      <c r="K47" s="18">
        <f>soci!K15</f>
        <v>0</v>
      </c>
      <c r="L47" s="18">
        <f>soci!L15</f>
        <v>0</v>
      </c>
      <c r="M47" s="18">
        <f>soci!M15</f>
        <v>4025113</v>
      </c>
      <c r="N47" s="18">
        <f>soci!N15</f>
        <v>0</v>
      </c>
      <c r="O47" s="18">
        <f>soci!O15</f>
        <v>0</v>
      </c>
      <c r="P47" s="18">
        <f>soci!P15</f>
        <v>0</v>
      </c>
      <c r="Q47" s="18">
        <f>soci!Q15</f>
        <v>0</v>
      </c>
      <c r="R47" s="18">
        <f>soci!R15</f>
        <v>0</v>
      </c>
      <c r="S47" s="18">
        <f>soci!S15</f>
        <v>0</v>
      </c>
      <c r="T47" s="18">
        <f>soci!T15</f>
        <v>0</v>
      </c>
      <c r="U47" s="18">
        <f>soci!U15</f>
        <v>0</v>
      </c>
      <c r="V47" s="18">
        <f>soci!V15</f>
        <v>0</v>
      </c>
      <c r="W47" s="18">
        <f>soci!W15</f>
        <v>0</v>
      </c>
      <c r="X47" s="18">
        <f>soci!X15</f>
        <v>0</v>
      </c>
      <c r="Y47" s="18">
        <f>soci!Y15</f>
        <v>0</v>
      </c>
      <c r="Z47" s="18">
        <f>soci!Z15</f>
        <v>0</v>
      </c>
      <c r="AA47" s="18">
        <f>soci!AA15</f>
        <v>0</v>
      </c>
      <c r="AB47" s="18">
        <f>soci!AB15</f>
        <v>0</v>
      </c>
      <c r="AC47" s="18">
        <f>soci!AC15</f>
        <v>0</v>
      </c>
      <c r="AD47" s="18">
        <f>soci!AD15</f>
        <v>0</v>
      </c>
      <c r="AE47" s="18">
        <f>soci!AE15</f>
        <v>0</v>
      </c>
      <c r="AF47" s="18">
        <f>soci!AF15</f>
        <v>0</v>
      </c>
      <c r="AG47" s="18">
        <f>soci!AG15</f>
        <v>0</v>
      </c>
      <c r="AH47" s="18">
        <f>soci!AH15</f>
        <v>0</v>
      </c>
      <c r="AI47" s="18">
        <f>soci!AI15</f>
        <v>0</v>
      </c>
      <c r="AJ47" s="18">
        <f>soci!AJ15</f>
        <v>0</v>
      </c>
      <c r="AK47" s="18">
        <f>soci!AK15</f>
        <v>0</v>
      </c>
      <c r="AL47" s="18">
        <f>soci!AL15</f>
        <v>0</v>
      </c>
      <c r="AM47" s="18">
        <f>soci!AM15</f>
        <v>0</v>
      </c>
      <c r="AN47" s="18">
        <f>soci!AO15</f>
        <v>0</v>
      </c>
      <c r="AO47" s="18">
        <f>soci!AP15</f>
        <v>0</v>
      </c>
      <c r="AP47" s="18">
        <f>soci!AQ15</f>
        <v>0</v>
      </c>
      <c r="AQ47" s="18">
        <f>soci!AR15</f>
        <v>0</v>
      </c>
      <c r="AR47" s="18">
        <f>soci!AS15</f>
        <v>0</v>
      </c>
      <c r="AS47" s="18">
        <f>soci!AT15</f>
        <v>0</v>
      </c>
    </row>
    <row r="48" spans="1:45">
      <c r="A48" t="s">
        <v>131</v>
      </c>
      <c r="B48" s="18">
        <f>soci!B14</f>
        <v>7044143.9199999999</v>
      </c>
      <c r="C48" s="18">
        <f>soci!C14</f>
        <v>901934.95</v>
      </c>
      <c r="D48" s="18">
        <f>soci!D14</f>
        <v>1299195.23</v>
      </c>
      <c r="E48" s="18">
        <f>soci!E14</f>
        <v>1710582.22</v>
      </c>
      <c r="F48" s="18">
        <f>soci!F14</f>
        <v>2095856.2</v>
      </c>
      <c r="G48" s="18">
        <f>soci!G14</f>
        <v>2480702.1</v>
      </c>
      <c r="H48" s="18">
        <f>soci!H14</f>
        <v>3198595.95</v>
      </c>
      <c r="I48" s="18">
        <f>soci!I14</f>
        <v>3543630.2</v>
      </c>
      <c r="J48" s="18">
        <f>soci!J14</f>
        <v>3864691.85</v>
      </c>
      <c r="K48" s="18">
        <f>soci!K14</f>
        <v>4183009.04</v>
      </c>
      <c r="L48" s="18">
        <f>soci!L14</f>
        <v>4478385.76</v>
      </c>
      <c r="M48" s="18">
        <f>soci!M14</f>
        <v>4478386</v>
      </c>
      <c r="N48" s="18">
        <f>soci!N14</f>
        <v>4770337.82</v>
      </c>
      <c r="O48" s="18">
        <f>soci!O14</f>
        <v>570633.56999999995</v>
      </c>
      <c r="P48" s="18">
        <f>soci!P14</f>
        <v>810359.6</v>
      </c>
      <c r="Q48" s="18">
        <f>soci!Q14</f>
        <v>1062500.02</v>
      </c>
      <c r="R48" s="18">
        <f>soci!R14</f>
        <v>1293664.4099999999</v>
      </c>
      <c r="S48" s="18">
        <f>soci!S14</f>
        <v>1519263.73</v>
      </c>
      <c r="T48" s="18">
        <f>soci!T14</f>
        <v>1724743.19</v>
      </c>
      <c r="U48" s="18">
        <f>soci!U14</f>
        <v>1923801.41</v>
      </c>
      <c r="V48" s="18">
        <f>soci!V14</f>
        <v>2109589.09</v>
      </c>
      <c r="W48" s="18">
        <f>soci!W14</f>
        <v>2276541.15</v>
      </c>
      <c r="X48" s="18">
        <f>soci!X14</f>
        <v>2435787.73</v>
      </c>
      <c r="Y48" s="18">
        <f>soci!Y14</f>
        <v>2577054.86</v>
      </c>
      <c r="Z48" s="18">
        <f>soci!Z14</f>
        <v>3869126.37</v>
      </c>
      <c r="AA48" s="18">
        <f>soci!AA14</f>
        <v>2709760.34</v>
      </c>
      <c r="AB48" s="18">
        <f>soci!AB14</f>
        <v>252140.42</v>
      </c>
      <c r="AC48" s="18">
        <f>soci!AC14</f>
        <v>348030.84</v>
      </c>
      <c r="AD48" s="18">
        <f>soci!AD14</f>
        <v>440924.68</v>
      </c>
      <c r="AE48" s="18">
        <f>soci!AE14</f>
        <v>517979.48</v>
      </c>
      <c r="AF48" s="18">
        <f>soci!AF14</f>
        <v>584332.22</v>
      </c>
      <c r="AG48" s="18">
        <f>soci!AG14</f>
        <v>635702.09</v>
      </c>
      <c r="AH48" s="18">
        <f>soci!AH14</f>
        <v>675513.74</v>
      </c>
      <c r="AI48" s="18">
        <f>soci!AI14</f>
        <v>702054.84</v>
      </c>
      <c r="AJ48" s="18">
        <f>soci!AJ14</f>
        <v>714897.31</v>
      </c>
      <c r="AK48" s="18">
        <f>soci!AK14</f>
        <v>714897.31</v>
      </c>
      <c r="AL48" s="18">
        <f>soci!AL14</f>
        <v>714897.31</v>
      </c>
      <c r="AM48" s="18">
        <f>soci!AM14</f>
        <v>714897</v>
      </c>
      <c r="AN48" s="18">
        <f>soci!AO14</f>
        <v>0</v>
      </c>
      <c r="AO48" s="18">
        <f>soci!AP14</f>
        <v>0</v>
      </c>
      <c r="AP48" s="18">
        <f>soci!AQ14</f>
        <v>0</v>
      </c>
      <c r="AQ48" s="18">
        <f>soci!AR14</f>
        <v>0</v>
      </c>
      <c r="AR48" s="18">
        <f>soci!AS14</f>
        <v>0</v>
      </c>
      <c r="AS48" s="18">
        <f>soci!AT14</f>
        <v>0</v>
      </c>
    </row>
    <row r="49" spans="1:45">
      <c r="A49" t="s">
        <v>132</v>
      </c>
      <c r="B49" s="18">
        <f>soci!B23</f>
        <v>59562290.600000001</v>
      </c>
      <c r="C49" s="18">
        <f>soci!C23</f>
        <v>13406496.470000001</v>
      </c>
      <c r="D49" s="18">
        <f>soci!D23</f>
        <v>18216699.990000002</v>
      </c>
      <c r="E49" s="18">
        <f>soci!E23</f>
        <v>22074218.640000001</v>
      </c>
      <c r="F49" s="18">
        <f>soci!F23</f>
        <v>25567958.719999999</v>
      </c>
      <c r="G49" s="18">
        <f>soci!G23</f>
        <v>29021623.109999999</v>
      </c>
      <c r="H49" s="18">
        <f>soci!H23</f>
        <v>38762091.509999998</v>
      </c>
      <c r="I49" s="18">
        <f>soci!I23</f>
        <v>42971737.890000001</v>
      </c>
      <c r="J49" s="18">
        <f>soci!J23</f>
        <v>47824208.489999995</v>
      </c>
      <c r="K49" s="18">
        <f>soci!K23</f>
        <v>52739179.359999999</v>
      </c>
      <c r="L49" s="18">
        <f>soci!L23</f>
        <v>61356757.210000008</v>
      </c>
      <c r="M49" s="18">
        <f>soci!M23</f>
        <v>62955570</v>
      </c>
      <c r="N49" s="18">
        <f>soci!N23</f>
        <v>67535599.280000001</v>
      </c>
      <c r="O49" s="18">
        <f>soci!O23</f>
        <v>12922544.359999999</v>
      </c>
      <c r="P49" s="18">
        <f>soci!P23</f>
        <v>18160182.960000001</v>
      </c>
      <c r="Q49" s="18">
        <f>soci!Q23</f>
        <v>23073441.039999999</v>
      </c>
      <c r="R49" s="18">
        <f>soci!R23</f>
        <v>27462784.390000001</v>
      </c>
      <c r="S49" s="18">
        <f>soci!S23</f>
        <v>32185033.760000005</v>
      </c>
      <c r="T49" s="18">
        <f>soci!T23</f>
        <v>38077814.950000003</v>
      </c>
      <c r="U49" s="18">
        <f>soci!U23</f>
        <v>43418184.619999997</v>
      </c>
      <c r="V49" s="18">
        <f>soci!V23</f>
        <v>49907604.590000004</v>
      </c>
      <c r="W49" s="18">
        <f>soci!W23</f>
        <v>55733573.969999999</v>
      </c>
      <c r="X49" s="18">
        <f>soci!X23</f>
        <v>62273913.130000003</v>
      </c>
      <c r="Y49" s="18">
        <f>soci!Y23</f>
        <v>72056031.980000004</v>
      </c>
      <c r="Z49" s="18">
        <f>soci!Z23</f>
        <v>73589361.870000005</v>
      </c>
      <c r="AA49" s="18">
        <f>soci!AA23</f>
        <v>81960893.310000002</v>
      </c>
      <c r="AB49" s="18">
        <f>soci!AB23</f>
        <v>16800745.41</v>
      </c>
      <c r="AC49" s="18">
        <f>soci!AC23</f>
        <v>23660263.68</v>
      </c>
      <c r="AD49" s="18">
        <f>soci!AD23</f>
        <v>29442960.98</v>
      </c>
      <c r="AE49" s="18">
        <f>soci!AE23</f>
        <v>36032755.359999999</v>
      </c>
      <c r="AF49" s="18">
        <f>soci!AF23</f>
        <v>43980415.5</v>
      </c>
      <c r="AG49" s="18">
        <f>soci!AG23</f>
        <v>49704250.920000002</v>
      </c>
      <c r="AH49" s="18">
        <f>soci!AH23</f>
        <v>55488623.719999999</v>
      </c>
      <c r="AI49" s="18">
        <f>soci!AI23</f>
        <v>62939550.120000005</v>
      </c>
      <c r="AJ49" s="18">
        <f>soci!AJ23</f>
        <v>70043450.639999986</v>
      </c>
      <c r="AK49" s="18">
        <f>soci!AK23</f>
        <v>76026404.040000007</v>
      </c>
      <c r="AL49" s="18">
        <f>soci!AL23</f>
        <v>88400467.050000012</v>
      </c>
      <c r="AM49" s="18">
        <f>soci!AM23</f>
        <v>88709537</v>
      </c>
      <c r="AN49" s="18">
        <f>soci!AO23</f>
        <v>0</v>
      </c>
      <c r="AO49" s="18">
        <f>soci!AP23</f>
        <v>0</v>
      </c>
      <c r="AP49" s="18">
        <f>soci!AQ23</f>
        <v>0</v>
      </c>
      <c r="AQ49" s="18">
        <f>soci!AR23</f>
        <v>0</v>
      </c>
      <c r="AR49" s="18">
        <f>soci!AS23</f>
        <v>0</v>
      </c>
      <c r="AS49" s="18">
        <f>soci!AT23</f>
        <v>0</v>
      </c>
    </row>
  </sheetData>
  <conditionalFormatting sqref="B3:AS46">
    <cfRule type="cellIs" dxfId="9" priority="3" operator="lessThan">
      <formula>0</formula>
    </cfRule>
  </conditionalFormatting>
  <printOptions horizontalCentered="1" verticalCentere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X46"/>
  <sheetViews>
    <sheetView tabSelected="1" zoomScale="90" zoomScaleNormal="90" workbookViewId="0">
      <pane xSplit="2" ySplit="1" topLeftCell="AH2" activePane="bottomRight" state="frozen"/>
      <selection pane="bottomRight" activeCell="AN20" sqref="AN20"/>
      <selection pane="bottomLeft" activeCell="A2" sqref="A2"/>
      <selection pane="topRight" activeCell="C1" sqref="C1"/>
    </sheetView>
  </sheetViews>
  <sheetFormatPr defaultColWidth="9.140625" defaultRowHeight="15.75"/>
  <cols>
    <col min="1" max="1" width="38.7109375" style="13" customWidth="1"/>
    <col min="2" max="2" width="18.7109375" style="14" customWidth="1"/>
    <col min="3" max="8" width="15.7109375" style="13" bestFit="1" customWidth="1"/>
    <col min="9" max="13" width="12.42578125" style="13" bestFit="1" customWidth="1"/>
    <col min="14" max="14" width="14.7109375" style="13" bestFit="1" customWidth="1"/>
    <col min="15" max="17" width="16.28515625" style="13" bestFit="1" customWidth="1"/>
    <col min="18" max="19" width="16.28515625" style="13" hidden="1" customWidth="1"/>
    <col min="20" max="20" width="16.28515625" style="13" bestFit="1" customWidth="1"/>
    <col min="21" max="22" width="16.28515625" style="13" hidden="1" customWidth="1"/>
    <col min="23" max="23" width="16.28515625" style="13" bestFit="1" customWidth="1"/>
    <col min="24" max="24" width="0.140625" style="13" customWidth="1"/>
    <col min="25" max="25" width="2.28515625" style="13" hidden="1" customWidth="1"/>
    <col min="26" max="26" width="16.28515625" style="13" bestFit="1" customWidth="1"/>
    <col min="27" max="41" width="16.85546875" style="13" bestFit="1" customWidth="1"/>
    <col min="42" max="50" width="8.28515625" style="13" bestFit="1" customWidth="1"/>
    <col min="51" max="16384" width="9.140625" style="13"/>
  </cols>
  <sheetData>
    <row r="1" spans="1:50">
      <c r="A1" s="13" t="s">
        <v>133</v>
      </c>
      <c r="C1" s="15">
        <v>43831</v>
      </c>
      <c r="D1" s="15">
        <v>43862</v>
      </c>
      <c r="E1" s="15">
        <v>43891</v>
      </c>
      <c r="F1" s="15">
        <v>43922</v>
      </c>
      <c r="G1" s="15">
        <v>43952</v>
      </c>
      <c r="H1" s="15">
        <v>43983</v>
      </c>
      <c r="I1" s="15">
        <v>44044</v>
      </c>
      <c r="J1" s="15">
        <v>44075</v>
      </c>
      <c r="K1" s="15">
        <v>44105</v>
      </c>
      <c r="L1" s="15">
        <v>44136</v>
      </c>
      <c r="M1" s="15">
        <v>44166</v>
      </c>
      <c r="N1" s="15" t="s">
        <v>1</v>
      </c>
      <c r="O1" s="5">
        <v>44197</v>
      </c>
      <c r="P1" s="5">
        <v>44228</v>
      </c>
      <c r="Q1" s="5">
        <v>44256</v>
      </c>
      <c r="R1" s="5">
        <v>44287</v>
      </c>
      <c r="S1" s="5">
        <v>44317</v>
      </c>
      <c r="T1" s="5">
        <v>44348</v>
      </c>
      <c r="U1" s="5">
        <v>44378</v>
      </c>
      <c r="V1" s="5">
        <v>44409</v>
      </c>
      <c r="W1" s="5">
        <v>44440</v>
      </c>
      <c r="X1" s="5">
        <v>44470</v>
      </c>
      <c r="Y1" s="5">
        <v>44501</v>
      </c>
      <c r="Z1" s="5">
        <v>44531</v>
      </c>
      <c r="AA1" s="33" t="s">
        <v>2</v>
      </c>
      <c r="AB1" s="35">
        <v>44562</v>
      </c>
      <c r="AC1" t="s">
        <v>4</v>
      </c>
      <c r="AD1" t="s">
        <v>5</v>
      </c>
      <c r="AE1" t="s">
        <v>6</v>
      </c>
      <c r="AF1" t="s">
        <v>7</v>
      </c>
      <c r="AG1" t="s">
        <v>8</v>
      </c>
      <c r="AH1" t="s">
        <v>9</v>
      </c>
      <c r="AI1" t="s">
        <v>10</v>
      </c>
      <c r="AJ1" t="s">
        <v>11</v>
      </c>
      <c r="AK1" t="s">
        <v>12</v>
      </c>
      <c r="AL1" t="s">
        <v>13</v>
      </c>
      <c r="AM1" t="s">
        <v>14</v>
      </c>
      <c r="AN1" t="s">
        <v>15</v>
      </c>
    </row>
    <row r="2" spans="1:50">
      <c r="A2" s="46" t="s">
        <v>134</v>
      </c>
      <c r="B2" s="46"/>
    </row>
    <row r="3" spans="1:50">
      <c r="A3" s="19" t="s">
        <v>104</v>
      </c>
      <c r="B3" s="20" t="s">
        <v>135</v>
      </c>
      <c r="C3" s="21">
        <f>financials!B11</f>
        <v>174473972.84999999</v>
      </c>
      <c r="D3" s="21">
        <f>financials!C11</f>
        <v>168849743.09</v>
      </c>
      <c r="E3" s="21">
        <f>financials!D11</f>
        <v>171744535.84</v>
      </c>
      <c r="F3" s="21">
        <f>financials!E11</f>
        <v>182493098.69999999</v>
      </c>
      <c r="G3" s="21">
        <f>financials!F11</f>
        <v>185483397.16999999</v>
      </c>
      <c r="H3" s="21">
        <f>financials!G11</f>
        <v>189921272.96999997</v>
      </c>
      <c r="I3" s="21">
        <f>financials!H11</f>
        <v>206651576.03999999</v>
      </c>
      <c r="J3" s="21">
        <f>financials!I11</f>
        <v>211768864.81999999</v>
      </c>
      <c r="K3" s="21">
        <f>financials!J11</f>
        <v>216635675.95999998</v>
      </c>
      <c r="L3" s="21">
        <f>financials!K11</f>
        <v>220367894.00999999</v>
      </c>
      <c r="M3" s="21">
        <f>financials!L11</f>
        <v>222946416.21999997</v>
      </c>
      <c r="N3" s="21">
        <f>financials!M11</f>
        <v>217510115</v>
      </c>
      <c r="O3" s="34">
        <f>financials!N11</f>
        <v>224464689.07999998</v>
      </c>
      <c r="P3" s="34">
        <f>financials!O11</f>
        <v>221532149.91999999</v>
      </c>
      <c r="Q3" s="34">
        <f>financials!P11</f>
        <v>223699174.63</v>
      </c>
      <c r="R3" s="34">
        <f>financials!Q11</f>
        <v>235833213.95999998</v>
      </c>
      <c r="S3" s="34">
        <f>financials!R11</f>
        <v>239184563.89999998</v>
      </c>
      <c r="T3" s="34">
        <f>financials!S11</f>
        <v>243190160.57999998</v>
      </c>
      <c r="U3" s="34">
        <f>financials!T11</f>
        <v>247728920.83999997</v>
      </c>
      <c r="V3" s="34">
        <f>financials!U11</f>
        <v>250649503.91</v>
      </c>
      <c r="W3" s="34">
        <f>financials!V11</f>
        <v>252913069.63</v>
      </c>
      <c r="X3" s="34">
        <f>financials!W11</f>
        <v>256298229.97999999</v>
      </c>
      <c r="Y3" s="34">
        <f>financials!X11</f>
        <v>259152493.55999997</v>
      </c>
      <c r="Z3" s="34">
        <f>financials!Y11</f>
        <v>272484798.5</v>
      </c>
      <c r="AA3" s="34">
        <f>financials!Z11</f>
        <v>264626133.37649998</v>
      </c>
      <c r="AB3" s="34">
        <f>financials!AA11</f>
        <v>269816209.83999997</v>
      </c>
      <c r="AC3" s="34">
        <f>financials!AB11</f>
        <v>264602522.29000002</v>
      </c>
      <c r="AD3" s="34">
        <f>financials!AC11</f>
        <v>270076532.74000001</v>
      </c>
      <c r="AE3" s="34">
        <f>financials!AD11</f>
        <v>274188172.10000002</v>
      </c>
      <c r="AF3" s="34">
        <f>financials!AE11</f>
        <v>276283329.96000004</v>
      </c>
      <c r="AG3" s="34">
        <f>financials!AF11</f>
        <v>285464663.30000001</v>
      </c>
      <c r="AH3" s="34">
        <f>financials!AG11</f>
        <v>288959744.73000002</v>
      </c>
      <c r="AI3" s="34">
        <f>financials!AH11</f>
        <v>293556035</v>
      </c>
      <c r="AJ3" s="34">
        <f>financials!AI11</f>
        <v>296341996.10000002</v>
      </c>
      <c r="AK3" s="34">
        <f>financials!AJ11</f>
        <v>298628769.81</v>
      </c>
      <c r="AL3" s="34">
        <f>financials!AK11</f>
        <v>303351946.94000006</v>
      </c>
      <c r="AM3" s="34">
        <f>financials!AL11</f>
        <v>323005325.43000001</v>
      </c>
      <c r="AN3" s="34">
        <f>financials!AM11</f>
        <v>158463575</v>
      </c>
      <c r="AO3" s="34" t="e">
        <f>financials!#REF!</f>
        <v>#REF!</v>
      </c>
      <c r="AP3" s="34">
        <f>financials!AN11</f>
        <v>0</v>
      </c>
      <c r="AQ3" s="34">
        <f>financials!AO11</f>
        <v>0</v>
      </c>
      <c r="AR3" s="34">
        <f>financials!AP11</f>
        <v>0</v>
      </c>
      <c r="AS3" s="34">
        <f>financials!AQ11</f>
        <v>0</v>
      </c>
      <c r="AT3" s="34">
        <f>financials!AR11</f>
        <v>0</v>
      </c>
      <c r="AU3" s="34">
        <f>financials!AS11</f>
        <v>0</v>
      </c>
      <c r="AV3" s="34">
        <f>financials!AT11</f>
        <v>0</v>
      </c>
      <c r="AW3" s="34">
        <f>financials!AU11</f>
        <v>0</v>
      </c>
      <c r="AX3" s="34">
        <f>financials!AV11</f>
        <v>0</v>
      </c>
    </row>
    <row r="4" spans="1:50">
      <c r="A4" s="19" t="s">
        <v>136</v>
      </c>
      <c r="B4" s="20" t="s">
        <v>137</v>
      </c>
      <c r="C4" s="22">
        <f>financials!B11 /financials!B3</f>
        <v>0.24016865427506659</v>
      </c>
      <c r="D4" s="22">
        <f>financials!C11 /financials!C3</f>
        <v>0.23170418588430475</v>
      </c>
      <c r="E4" s="22">
        <f>financials!D11 /financials!D3</f>
        <v>0.24218037622850411</v>
      </c>
      <c r="F4" s="22">
        <f>financials!E11 /financials!E3</f>
        <v>0.25072681068862601</v>
      </c>
      <c r="G4" s="22">
        <f>financials!F11 /financials!F3</f>
        <v>0.25111983742108362</v>
      </c>
      <c r="H4" s="22">
        <f>financials!G11 /financials!G3</f>
        <v>0.25329297408380508</v>
      </c>
      <c r="I4" s="22" t="e">
        <f>financials!H11 /financials!H3</f>
        <v>#DIV/0!</v>
      </c>
      <c r="J4" s="22">
        <f>financials!I11 /financials!I3</f>
        <v>0.27285764880310254</v>
      </c>
      <c r="K4" s="22">
        <f>financials!J11 /financials!J3</f>
        <v>0.27367452075544396</v>
      </c>
      <c r="L4" s="22">
        <f>financials!K11 /financials!K3</f>
        <v>0.2758305252589287</v>
      </c>
      <c r="M4" s="22">
        <f>financials!L11 /financials!L3</f>
        <v>0.27609195611927217</v>
      </c>
      <c r="N4" s="22">
        <f>financials!M11 /financials!M3</f>
        <v>0.2477800012666608</v>
      </c>
      <c r="O4" s="22">
        <f>financials!N11 /financials!N3</f>
        <v>0.25253635679199299</v>
      </c>
      <c r="P4" s="22">
        <f>financials!O11 /financials!O3</f>
        <v>0.24576871524969257</v>
      </c>
      <c r="Q4" s="22">
        <f>financials!P11 /financials!P3</f>
        <v>0.25357379228184085</v>
      </c>
      <c r="R4" s="22">
        <f>financials!Q11 /financials!Q3</f>
        <v>0.26228812896797155</v>
      </c>
      <c r="S4" s="22">
        <f>financials!R11 /financials!R3</f>
        <v>0.26487166780745447</v>
      </c>
      <c r="T4" s="22">
        <f>financials!S11 /financials!S3</f>
        <v>0.26876921686205274</v>
      </c>
      <c r="U4" s="22">
        <f>financials!T11 /financials!T3</f>
        <v>0.26160564709986822</v>
      </c>
      <c r="V4" s="22">
        <f>financials!U11 /financials!U3</f>
        <v>0.26371883787829531</v>
      </c>
      <c r="W4" s="22">
        <f>financials!V11 /financials!V3</f>
        <v>0.26638596299300243</v>
      </c>
      <c r="X4" s="22">
        <f>financials!W11 /financials!W3</f>
        <v>0.26650160957765795</v>
      </c>
      <c r="Y4" s="22">
        <f>financials!X11 /financials!X3</f>
        <v>0.26783854590572603</v>
      </c>
      <c r="Z4" s="22">
        <f>financials!Y11 /financials!Y3</f>
        <v>0.28291837175681206</v>
      </c>
      <c r="AA4" s="22">
        <f>financials!Z11 /financials!Z3</f>
        <v>0.27473688950863012</v>
      </c>
      <c r="AB4" s="22">
        <f>financials!AA11 /financials!AA3</f>
        <v>0.27998095974929876</v>
      </c>
      <c r="AC4" s="22">
        <f>financials!AB11 /financials!AB3</f>
        <v>0.274632473599694</v>
      </c>
      <c r="AD4" s="22">
        <f>financials!AC11 /financials!AC3</f>
        <v>0.28287897018478497</v>
      </c>
      <c r="AE4" s="22">
        <f>financials!AD11 /financials!AD3</f>
        <v>0.28292313102122912</v>
      </c>
      <c r="AF4" s="22">
        <f>financials!AE11 /financials!AE3</f>
        <v>0.28372624022750359</v>
      </c>
      <c r="AG4" s="22">
        <f>financials!AF11 /financials!AF3</f>
        <v>0.29015085913371069</v>
      </c>
      <c r="AH4" s="22">
        <f>financials!AG11 /financials!AG3</f>
        <v>0.28843607897086232</v>
      </c>
      <c r="AI4" s="22">
        <f>financials!AH11 /financials!AH3</f>
        <v>0.29086620845467442</v>
      </c>
      <c r="AJ4" s="22">
        <f>financials!AI11 /financials!AI3</f>
        <v>0.29396898980906799</v>
      </c>
      <c r="AK4" s="22">
        <f>financials!AJ11 /financials!AJ3</f>
        <v>0.29355130317427819</v>
      </c>
      <c r="AL4" s="22">
        <f>financials!AK11 /financials!AK3</f>
        <v>0.29027071716411157</v>
      </c>
      <c r="AM4" s="22">
        <f>financials!AL11 /financials!AL3</f>
        <v>0.30703725995090786</v>
      </c>
      <c r="AN4" s="22">
        <f>financials!AM11 /financials!AM3</f>
        <v>0.15061906995227498</v>
      </c>
      <c r="AO4" s="22" t="e">
        <f>financials!#REF! /financials!#REF!</f>
        <v>#REF!</v>
      </c>
      <c r="AP4" s="22" t="e">
        <f>financials!AN11 /financials!AN3</f>
        <v>#DIV/0!</v>
      </c>
      <c r="AQ4" s="22" t="e">
        <f>financials!AO11 /financials!AO3</f>
        <v>#DIV/0!</v>
      </c>
      <c r="AR4" s="22" t="e">
        <f>financials!AP11 /financials!AP3</f>
        <v>#DIV/0!</v>
      </c>
      <c r="AS4" s="22" t="e">
        <f>financials!AQ11 /financials!AQ3</f>
        <v>#DIV/0!</v>
      </c>
      <c r="AT4" s="22" t="e">
        <f>financials!AR11 /financials!AR3</f>
        <v>#DIV/0!</v>
      </c>
      <c r="AU4" s="22" t="e">
        <f>financials!AS11 /financials!AS3</f>
        <v>#DIV/0!</v>
      </c>
      <c r="AV4" s="22" t="e">
        <f>financials!AT11 /financials!AT3</f>
        <v>#DIV/0!</v>
      </c>
      <c r="AW4" s="22" t="e">
        <f>financials!AU11 /financials!AU3</f>
        <v>#DIV/0!</v>
      </c>
      <c r="AX4" s="22" t="e">
        <f>financials!AV11 /financials!AV3</f>
        <v>#DIV/0!</v>
      </c>
    </row>
    <row r="5" spans="1:50">
      <c r="A5" s="19" t="s">
        <v>138</v>
      </c>
      <c r="B5" s="20" t="s">
        <v>139</v>
      </c>
      <c r="C5" s="22">
        <f>financials!B11 /financials!B4</f>
        <v>0.35986433266497408</v>
      </c>
      <c r="D5" s="22">
        <f>financials!C11 /financials!C4</f>
        <v>0.33690927315460911</v>
      </c>
      <c r="E5" s="22">
        <f>financials!D11 /financials!D4</f>
        <v>0.34663423576746172</v>
      </c>
      <c r="F5" s="22">
        <f>financials!E11 /financials!E4</f>
        <v>0.3628205187123954</v>
      </c>
      <c r="G5" s="22">
        <f>financials!F11 /financials!F4</f>
        <v>0.36345028968620419</v>
      </c>
      <c r="H5" s="22">
        <f>financials!G11 /financials!G4</f>
        <v>0.36880112456539671</v>
      </c>
      <c r="I5" s="22" t="e">
        <f>financials!H11 /financials!H4</f>
        <v>#DIV/0!</v>
      </c>
      <c r="J5" s="22">
        <f>financials!I11 /financials!I4</f>
        <v>0.40645053127505126</v>
      </c>
      <c r="K5" s="22">
        <f>financials!J11 /financials!J4</f>
        <v>0.40767855769766909</v>
      </c>
      <c r="L5" s="22">
        <f>financials!K11 /financials!K4</f>
        <v>0.41264272787809136</v>
      </c>
      <c r="M5" s="22">
        <f>financials!L11 /financials!L4</f>
        <v>0.41544899969295146</v>
      </c>
      <c r="N5" s="22">
        <f>financials!M11 /financials!M4</f>
        <v>0.40531873645011429</v>
      </c>
      <c r="O5" s="22">
        <f>financials!N11 /financials!N4</f>
        <v>0.41224910559888522</v>
      </c>
      <c r="P5" s="22">
        <f>financials!O11 /financials!O4</f>
        <v>0.38446396677870065</v>
      </c>
      <c r="Q5" s="22">
        <f>financials!P11 /financials!P4</f>
        <v>0.40110017149218369</v>
      </c>
      <c r="R5" s="22">
        <f>financials!Q11 /financials!Q4</f>
        <v>0.41987182816973617</v>
      </c>
      <c r="S5" s="22">
        <f>financials!R11 /financials!R4</f>
        <v>0.4263462565868929</v>
      </c>
      <c r="T5" s="22">
        <f>financials!S11 /financials!S4</f>
        <v>0.43458729980031602</v>
      </c>
      <c r="U5" s="22">
        <f>financials!T11 /financials!T4</f>
        <v>0.41672008997307763</v>
      </c>
      <c r="V5" s="22">
        <f>financials!U11 /financials!U4</f>
        <v>0.42165304670753628</v>
      </c>
      <c r="W5" s="22">
        <f>financials!V11 /financials!V4</f>
        <v>0.42843037870038081</v>
      </c>
      <c r="X5" s="22">
        <f>financials!W11 /financials!W4</f>
        <v>0.42851209587673722</v>
      </c>
      <c r="Y5" s="22">
        <f>financials!X11 /financials!X4</f>
        <v>0.4316495669762242</v>
      </c>
      <c r="Z5" s="22">
        <f>financials!Y11 /financials!Y4</f>
        <v>0.46627574040667047</v>
      </c>
      <c r="AA5" s="22">
        <f>financials!Z11 /financials!Z4</f>
        <v>0.45282799976484511</v>
      </c>
      <c r="AB5" s="22">
        <f>financials!AA11 /financials!AA4</f>
        <v>0.46165033980023867</v>
      </c>
      <c r="AC5" s="22">
        <f>financials!AB11 /financials!AB4</f>
        <v>0.43491640545753346</v>
      </c>
      <c r="AD5" s="22">
        <f>financials!AC11 /financials!AC4</f>
        <v>0.45127561541410782</v>
      </c>
      <c r="AE5" s="22">
        <f>financials!AD11 /financials!AD4</f>
        <v>0.45180040687764172</v>
      </c>
      <c r="AF5" s="22">
        <f>financials!AE11 /financials!AE4</f>
        <v>0.45558630530848987</v>
      </c>
      <c r="AG5" s="22">
        <f>financials!AF11 /financials!AF4</f>
        <v>0.47152405779217099</v>
      </c>
      <c r="AH5" s="22">
        <f>financials!AG11 /financials!AG4</f>
        <v>0.46638327438379062</v>
      </c>
      <c r="AI5" s="22">
        <f>financials!AH11 /financials!AH4</f>
        <v>0.47270108234046332</v>
      </c>
      <c r="AJ5" s="22">
        <f>financials!AI11 /financials!AI4</f>
        <v>0.48111120632019955</v>
      </c>
      <c r="AK5" s="22">
        <f>financials!AJ11 /financials!AJ4</f>
        <v>0.48321736553251565</v>
      </c>
      <c r="AL5" s="22">
        <f>financials!AK11 /financials!AK4</f>
        <v>0.4762422996816732</v>
      </c>
      <c r="AM5" s="22">
        <f>financials!AL11 /financials!AL4</f>
        <v>0.52022227061742832</v>
      </c>
      <c r="AN5" s="22">
        <f>financials!AM11 /financials!AM4</f>
        <v>0.25521647583188323</v>
      </c>
      <c r="AO5" s="22" t="e">
        <f>financials!#REF! /financials!#REF!</f>
        <v>#REF!</v>
      </c>
      <c r="AP5" s="22" t="e">
        <f>financials!AN11 /financials!AN4</f>
        <v>#DIV/0!</v>
      </c>
      <c r="AQ5" s="22" t="e">
        <f>financials!AO11 /financials!AO4</f>
        <v>#DIV/0!</v>
      </c>
      <c r="AR5" s="22" t="e">
        <f>financials!AP11 /financials!AP4</f>
        <v>#DIV/0!</v>
      </c>
      <c r="AS5" s="22" t="e">
        <f>financials!AQ11 /financials!AQ4</f>
        <v>#DIV/0!</v>
      </c>
      <c r="AT5" s="22" t="e">
        <f>financials!AR11 /financials!AR4</f>
        <v>#DIV/0!</v>
      </c>
      <c r="AU5" s="22" t="e">
        <f>financials!AS11 /financials!AS4</f>
        <v>#DIV/0!</v>
      </c>
      <c r="AV5" s="22" t="e">
        <f>financials!AT11 /financials!AT4</f>
        <v>#DIV/0!</v>
      </c>
      <c r="AW5" s="22" t="e">
        <f>financials!AU11 /financials!AU4</f>
        <v>#DIV/0!</v>
      </c>
      <c r="AX5" s="22" t="e">
        <f>financials!AV11 /financials!AV4</f>
        <v>#DIV/0!</v>
      </c>
    </row>
    <row r="6" spans="1:50">
      <c r="A6" s="19" t="s">
        <v>140</v>
      </c>
      <c r="B6" s="20" t="s">
        <v>141</v>
      </c>
      <c r="C6" s="22">
        <f>financials!B12 /financials!B4</f>
        <v>0.27683541025445235</v>
      </c>
      <c r="D6" s="22">
        <f>financials!C12 /financials!C4</f>
        <v>0.25657942242957066</v>
      </c>
      <c r="E6" s="22">
        <f>financials!D12 /financials!D4</f>
        <v>0.26535852310510077</v>
      </c>
      <c r="F6" s="22">
        <f>financials!E12 /financials!E4</f>
        <v>0.28274124997216377</v>
      </c>
      <c r="G6" s="22">
        <f>financials!F12 /financials!F4</f>
        <v>0.28452527305270703</v>
      </c>
      <c r="H6" s="22">
        <f>financials!G12 /financials!G4</f>
        <v>0.29044963891765324</v>
      </c>
      <c r="I6" s="22" t="e">
        <f>financials!H12 /financials!H4</f>
        <v>#DIV/0!</v>
      </c>
      <c r="J6" s="22">
        <f>financials!I12 /financials!I4</f>
        <v>0.32888035853793257</v>
      </c>
      <c r="K6" s="22">
        <f>financials!J12 /financials!J4</f>
        <v>0.33160593457158744</v>
      </c>
      <c r="L6" s="22">
        <f>financials!K12 /financials!K4</f>
        <v>0.33692071898742076</v>
      </c>
      <c r="M6" s="22">
        <f>financials!L12 /financials!L4</f>
        <v>0.33456460867005011</v>
      </c>
      <c r="N6" s="22">
        <f>financials!M12 /financials!M4</f>
        <v>0.3244343460069366</v>
      </c>
      <c r="O6" s="22">
        <f>financials!N12 /financials!N4</f>
        <v>0.33250818625229267</v>
      </c>
      <c r="P6" s="22">
        <f>financials!O12 /financials!O4</f>
        <v>0.30907228588114416</v>
      </c>
      <c r="Q6" s="22">
        <f>financials!P12 /financials!P4</f>
        <v>0.32252402350875026</v>
      </c>
      <c r="R6" s="22">
        <f>financials!Q12 /financials!Q4</f>
        <v>0.34180586554672215</v>
      </c>
      <c r="S6" s="22">
        <f>financials!R12 /financials!R4</f>
        <v>0.348162254018902</v>
      </c>
      <c r="T6" s="22">
        <f>financials!S12 /financials!S4</f>
        <v>0.35619041077798219</v>
      </c>
      <c r="U6" s="22">
        <f>financials!T12 /financials!T4</f>
        <v>0.34285961911155466</v>
      </c>
      <c r="V6" s="22">
        <f>financials!U12 /financials!U4</f>
        <v>0.34737161283160273</v>
      </c>
      <c r="W6" s="22">
        <f>financials!V12 /financials!V4</f>
        <v>0.3529884845651669</v>
      </c>
      <c r="X6" s="22">
        <f>financials!W12 /financials!W4</f>
        <v>0.3534081035087504</v>
      </c>
      <c r="Y6" s="22">
        <f>financials!X12 /financials!X4</f>
        <v>0.35525612442740162</v>
      </c>
      <c r="Z6" s="22">
        <f>financials!Y12 /financials!Y4</f>
        <v>0.36880824592353995</v>
      </c>
      <c r="AA6" s="22">
        <f>financials!Z12 /financials!Z4</f>
        <v>0.35536050528171453</v>
      </c>
      <c r="AB6" s="22">
        <f>financials!AA12 /financials!AA4</f>
        <v>0.36378909534206949</v>
      </c>
      <c r="AC6" s="22">
        <f>financials!AB12 /financials!AB4</f>
        <v>0.33784797466032446</v>
      </c>
      <c r="AD6" s="22">
        <f>financials!AC12 /financials!AC4</f>
        <v>0.34806551001943259</v>
      </c>
      <c r="AE6" s="22">
        <f>financials!AD12 /financials!AD4</f>
        <v>0.34985527238584546</v>
      </c>
      <c r="AF6" s="22">
        <f>financials!AE12 /financials!AE4</f>
        <v>0.35343455346426911</v>
      </c>
      <c r="AG6" s="22">
        <f>financials!AF12 /financials!AF4</f>
        <v>0.36879363728516418</v>
      </c>
      <c r="AH6" s="22">
        <f>financials!AG12 /financials!AG4</f>
        <v>0.36562016900973232</v>
      </c>
      <c r="AI6" s="22">
        <f>financials!AH12 /financials!AH4</f>
        <v>0.37176516028409895</v>
      </c>
      <c r="AJ6" s="22">
        <f>financials!AI12 /financials!AI4</f>
        <v>0.37864846164922</v>
      </c>
      <c r="AK6" s="22">
        <f>financials!AJ12 /financials!AJ4</f>
        <v>0.38087255824927641</v>
      </c>
      <c r="AL6" s="22">
        <f>financials!AK12 /financials!AK4</f>
        <v>0.37662519557471785</v>
      </c>
      <c r="AM6" s="22">
        <f>financials!AL12 /financials!AL4</f>
        <v>0.39516035961934309</v>
      </c>
      <c r="AN6" s="22">
        <f>financials!AM12 /financials!AM4</f>
        <v>0.13015456557060723</v>
      </c>
      <c r="AO6" s="22" t="e">
        <f>financials!#REF! /financials!#REF!</f>
        <v>#REF!</v>
      </c>
      <c r="AP6" s="22" t="e">
        <f>financials!AN12 /financials!AN4</f>
        <v>#DIV/0!</v>
      </c>
      <c r="AQ6" s="22" t="e">
        <f>financials!AO12 /financials!AO4</f>
        <v>#DIV/0!</v>
      </c>
      <c r="AR6" s="22" t="e">
        <f>financials!AP12 /financials!AP4</f>
        <v>#DIV/0!</v>
      </c>
      <c r="AS6" s="22" t="e">
        <f>financials!AQ12 /financials!AQ4</f>
        <v>#DIV/0!</v>
      </c>
      <c r="AT6" s="22" t="e">
        <f>financials!AR12 /financials!AR4</f>
        <v>#DIV/0!</v>
      </c>
      <c r="AU6" s="22" t="e">
        <f>financials!AS12 /financials!AS4</f>
        <v>#DIV/0!</v>
      </c>
      <c r="AV6" s="22" t="e">
        <f>financials!AT12 /financials!AT4</f>
        <v>#DIV/0!</v>
      </c>
      <c r="AW6" s="22" t="e">
        <f>financials!AU12 /financials!AU4</f>
        <v>#DIV/0!</v>
      </c>
      <c r="AX6" s="22" t="e">
        <f>financials!AV12 /financials!AV4</f>
        <v>#DIV/0!</v>
      </c>
    </row>
    <row r="7" spans="1:50" hidden="1">
      <c r="A7" s="46" t="s">
        <v>142</v>
      </c>
      <c r="B7" s="46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</row>
    <row r="8" spans="1:50" hidden="1">
      <c r="A8" s="19" t="s">
        <v>143</v>
      </c>
      <c r="B8" s="20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</row>
    <row r="9" spans="1:50" hidden="1">
      <c r="A9" s="19" t="s">
        <v>144</v>
      </c>
      <c r="B9" s="20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</row>
    <row r="10" spans="1:50">
      <c r="A10" s="46" t="s">
        <v>145</v>
      </c>
      <c r="B10" s="46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</row>
    <row r="11" spans="1:50">
      <c r="A11" s="19" t="s">
        <v>146</v>
      </c>
      <c r="B11" s="20"/>
      <c r="C11" s="22">
        <f>soci!B33 /sofp!B25</f>
        <v>3.9430334638533474E-2</v>
      </c>
      <c r="D11" s="22">
        <f>soci!C33 /sofp!C25</f>
        <v>-7.1030027312403866E-4</v>
      </c>
      <c r="E11" s="22">
        <f>soci!D33 /sofp!D25</f>
        <v>4.1141417942646419E-3</v>
      </c>
      <c r="F11" s="22">
        <f>soci!E33 /sofp!E25</f>
        <v>1.8619396686202168E-2</v>
      </c>
      <c r="G11" s="22">
        <f>soci!F33 /sofp!F25</f>
        <v>2.2334234401440483E-2</v>
      </c>
      <c r="H11" s="22">
        <f>soci!G33 /sofp!G25</f>
        <v>2.7758410605365585E-2</v>
      </c>
      <c r="I11" s="22" t="e">
        <f>soci!H33 /sofp!H25</f>
        <v>#DIV/0!</v>
      </c>
      <c r="J11" s="22">
        <f>soci!I33 /sofp!I25</f>
        <v>4.3368934208027433E-2</v>
      </c>
      <c r="K11" s="22">
        <f>soci!J33 /sofp!J25</f>
        <v>4.7382127417283613E-2</v>
      </c>
      <c r="L11" s="22">
        <f>soci!K33 /sofp!K25</f>
        <v>5.0658921800575331E-2</v>
      </c>
      <c r="M11" s="22">
        <f>soci!L33 /sofp!L25</f>
        <v>4.9157549191880277E-2</v>
      </c>
      <c r="N11" s="22">
        <f>soci!M33 /sofp!M25</f>
        <v>4.6312432911985363E-2</v>
      </c>
      <c r="O11" s="22">
        <f>soci!N33 /sofp!N25</f>
        <v>5.2096566497521896E-2</v>
      </c>
      <c r="P11" s="22">
        <f>soci!O33 /sofp!O25</f>
        <v>2.6297521294400411E-3</v>
      </c>
      <c r="Q11" s="22">
        <f>soci!P33 /sofp!P25</f>
        <v>6.4583686970208429E-3</v>
      </c>
      <c r="R11" s="22">
        <f>soci!Q33 /sofp!Q25</f>
        <v>1.9701578180338988E-2</v>
      </c>
      <c r="S11" s="22">
        <f>soci!R33 /sofp!R25</f>
        <v>2.3348161191533257E-2</v>
      </c>
      <c r="T11" s="22">
        <f>soci!S33 /sofp!S25</f>
        <v>2.7149681559571412E-2</v>
      </c>
      <c r="U11" s="22">
        <f>soci!T33 /sofp!T25</f>
        <v>3.0616712722452588E-2</v>
      </c>
      <c r="V11" s="22">
        <f>soci!U33 /sofp!U25</f>
        <v>3.3304703104588981E-2</v>
      </c>
      <c r="W11" s="22">
        <f>soci!V33 /sofp!V25</f>
        <v>3.5305701946343665E-2</v>
      </c>
      <c r="X11" s="22">
        <f>soci!W33 /sofp!W25</f>
        <v>3.7949280694264481E-2</v>
      </c>
      <c r="Y11" s="22">
        <f>soci!X33 /sofp!X25</f>
        <v>3.967810181749009E-2</v>
      </c>
      <c r="Z11" s="22">
        <f>soci!Y33 /sofp!Y25</f>
        <v>4.2162743499777444E-2</v>
      </c>
      <c r="AA11" s="22">
        <f>soci!Z33 /sofp!Z25</f>
        <v>4.0647190397003888E-2</v>
      </c>
      <c r="AB11" s="22">
        <f>soci!AA33 /sofp!AA25</f>
        <v>3.9108708211782105E-2</v>
      </c>
      <c r="AC11" s="22">
        <f>soci!AB33 /sofp!AB25</f>
        <v>-2.3394833526603556E-3</v>
      </c>
      <c r="AD11" s="22">
        <f>soci!AC33 /sofp!AC25</f>
        <v>5.0667306214652709E-4</v>
      </c>
      <c r="AE11" s="22">
        <f>soci!AD33 /sofp!AD25</f>
        <v>4.7261892838077278E-3</v>
      </c>
      <c r="AF11" s="22">
        <f>soci!AE33 /sofp!AE25</f>
        <v>6.7679690183598757E-3</v>
      </c>
      <c r="AG11" s="22">
        <f>soci!AF33 /sofp!AF25</f>
        <v>1.5760807260892476E-2</v>
      </c>
      <c r="AH11" s="22">
        <f>soci!AG33 /sofp!AG25</f>
        <v>1.8718848747372886E-2</v>
      </c>
      <c r="AI11" s="22">
        <f>soci!AH33 /sofp!AH25</f>
        <v>2.2871557287820758E-2</v>
      </c>
      <c r="AJ11" s="22">
        <f>soci!AI33 /sofp!AI25</f>
        <v>2.5229169013400003E-2</v>
      </c>
      <c r="AK11" s="22">
        <f>soci!AJ33 /sofp!AJ25</f>
        <v>2.7105832440240417E-2</v>
      </c>
      <c r="AL11" s="22">
        <f>soci!AK33 /sofp!AK25</f>
        <v>3.1044788332544516E-2</v>
      </c>
      <c r="AM11" s="22">
        <f>soci!AL33 /sofp!AL25</f>
        <v>3.5486008184037167E-2</v>
      </c>
      <c r="AN11" s="22">
        <f>soci!AM33 /sofp!AM25</f>
        <v>3.5189708337418253E-2</v>
      </c>
      <c r="AO11" s="22" t="e">
        <f>soci!AN33 /sofp!AN25</f>
        <v>#DIV/0!</v>
      </c>
      <c r="AP11" s="22" t="e">
        <f>soci!AO33 /sofp!AO25</f>
        <v>#DIV/0!</v>
      </c>
      <c r="AQ11" s="22" t="e">
        <f>soci!AP33 /sofp!AP25</f>
        <v>#DIV/0!</v>
      </c>
      <c r="AR11" s="22" t="e">
        <f>soci!AQ33 /sofp!AQ25</f>
        <v>#DIV/0!</v>
      </c>
      <c r="AS11" s="22" t="e">
        <f>soci!AR33 /sofp!AR25</f>
        <v>#DIV/0!</v>
      </c>
      <c r="AT11" s="22" t="e">
        <f>soci!AS33 /sofp!AS25</f>
        <v>#DIV/0!</v>
      </c>
      <c r="AU11" s="22" t="e">
        <f>soci!AT33 /sofp!AT25</f>
        <v>#DIV/0!</v>
      </c>
      <c r="AV11" s="22" t="e">
        <f>soci!AU33 /sofp!AU25</f>
        <v>#DIV/0!</v>
      </c>
      <c r="AW11" s="22" t="e">
        <f>soci!AV33 /sofp!AV25</f>
        <v>#DIV/0!</v>
      </c>
      <c r="AX11" s="22" t="e">
        <f>soci!AW33 /sofp!AW25</f>
        <v>#DIV/0!</v>
      </c>
    </row>
    <row r="12" spans="1:50">
      <c r="A12" s="19" t="s">
        <v>147</v>
      </c>
      <c r="B12" s="20"/>
      <c r="C12" s="22">
        <f>soci!B23 /sofp!B19</f>
        <v>0.20714809672666959</v>
      </c>
      <c r="D12" s="22">
        <f>soci!C23 /sofp!C19</f>
        <v>4.6788668795474268E-2</v>
      </c>
      <c r="E12" s="22">
        <f>soci!D23 /sofp!D19</f>
        <v>6.3803382733244388E-2</v>
      </c>
      <c r="F12" s="22">
        <f>soci!E23 /sofp!E19</f>
        <v>7.7589740536949572E-2</v>
      </c>
      <c r="G12" s="22">
        <f>soci!F23 /sofp!F19</f>
        <v>8.9218191778198105E-2</v>
      </c>
      <c r="H12" s="22">
        <f>soci!G23 /sofp!G19</f>
        <v>0.10095313646438964</v>
      </c>
      <c r="I12" s="22" t="e">
        <f>soci!H23 /sofp!H19</f>
        <v>#DIV/0!</v>
      </c>
      <c r="J12" s="22">
        <f>soci!I23 /sofp!I19</f>
        <v>0.15023330624333617</v>
      </c>
      <c r="K12" s="22">
        <f>soci!J23 /sofp!J19</f>
        <v>0.16786386222004265</v>
      </c>
      <c r="L12" s="22">
        <f>soci!K23 /sofp!K19</f>
        <v>0.18584578700396753</v>
      </c>
      <c r="M12" s="22">
        <f>soci!L23 /sofp!L19</f>
        <v>0.2165954791650371</v>
      </c>
      <c r="N12" s="22">
        <f>soci!M23 /sofp!M19</f>
        <v>0.22223944754050479</v>
      </c>
      <c r="O12" s="22">
        <f>soci!N23 /sofp!N19</f>
        <v>0.23935297109660342</v>
      </c>
      <c r="P12" s="22">
        <f>soci!O23 /sofp!O19</f>
        <v>4.5828459506251307E-2</v>
      </c>
      <c r="Q12" s="22">
        <f>soci!P23 /sofp!P19</f>
        <v>6.3926227657418469E-2</v>
      </c>
      <c r="R12" s="22">
        <f>soci!Q23 /sofp!Q19</f>
        <v>8.1605369885480075E-2</v>
      </c>
      <c r="S12" s="22">
        <f>soci!R23 /sofp!R19</f>
        <v>9.7686214420337467E-2</v>
      </c>
      <c r="T12" s="22">
        <f>soci!S23 /sofp!S19</f>
        <v>0.1151246332959622</v>
      </c>
      <c r="U12" s="22">
        <f>soci!T23 /sofp!T19</f>
        <v>0.13698610923954574</v>
      </c>
      <c r="V12" s="22">
        <f>soci!U23 /sofp!U19</f>
        <v>0.15709793172677683</v>
      </c>
      <c r="W12" s="22">
        <f>soci!V23 /sofp!V19</f>
        <v>0.18137856666463076</v>
      </c>
      <c r="X12" s="22">
        <f>soci!W23 /sofp!W19</f>
        <v>0.20356421931076696</v>
      </c>
      <c r="Y12" s="22">
        <f>soci!X23 /sofp!X19</f>
        <v>0.22876889391279415</v>
      </c>
      <c r="Z12" s="22">
        <f>soci!Y23 /sofp!Y19</f>
        <v>0.26571318143658162</v>
      </c>
      <c r="AA12" s="22">
        <f>soci!Z23 /sofp!Z19</f>
        <v>0.27136747390459975</v>
      </c>
      <c r="AB12" s="22">
        <f>soci!AA23 /sofp!AA19</f>
        <v>0.30448720995542972</v>
      </c>
      <c r="AC12" s="22">
        <f>soci!AB23 /sofp!AB19</f>
        <v>6.2874247788383242E-2</v>
      </c>
      <c r="AD12" s="22">
        <f>soci!AC23 /sofp!AC19</f>
        <v>8.9209654680548797E-2</v>
      </c>
      <c r="AE12" s="22">
        <f>soci!AD23 /sofp!AD19</f>
        <v>0.1117990764132664</v>
      </c>
      <c r="AF12" s="22">
        <f>soci!AE23 /sofp!AE19</f>
        <v>0.13785816678250776</v>
      </c>
      <c r="AG12" s="22">
        <f>soci!AF23 /sofp!AF19</f>
        <v>0.16953971515683758</v>
      </c>
      <c r="AH12" s="22">
        <f>soci!AG23 /sofp!AG19</f>
        <v>0.19307013993207908</v>
      </c>
      <c r="AI12" s="22">
        <f>soci!AH23 /sofp!AH19</f>
        <v>0.21691294067915481</v>
      </c>
      <c r="AJ12" s="22">
        <f>soci!AI23 /sofp!AI19</f>
        <v>0.24647387543975813</v>
      </c>
      <c r="AK12" s="22">
        <f>soci!AJ23 /sofp!AJ19</f>
        <v>0.27609850952891579</v>
      </c>
      <c r="AL12" s="22">
        <f>soci!AK23 /sofp!AK19</f>
        <v>0.30084017005978736</v>
      </c>
      <c r="AM12" s="22">
        <f>soci!AL23 /sofp!AL19</f>
        <v>0.35077205743486611</v>
      </c>
      <c r="AN12" s="22">
        <f>soci!AM23 /sofp!AM19</f>
        <v>0.35189396939445033</v>
      </c>
      <c r="AO12" s="22" t="e">
        <f>soci!AN23 /sofp!AN19</f>
        <v>#DIV/0!</v>
      </c>
      <c r="AP12" s="22" t="e">
        <f>soci!AO23 /sofp!AO19</f>
        <v>#DIV/0!</v>
      </c>
      <c r="AQ12" s="22" t="e">
        <f>soci!AP23 /sofp!AP19</f>
        <v>#DIV/0!</v>
      </c>
      <c r="AR12" s="22" t="e">
        <f>soci!AQ23 /sofp!AQ19</f>
        <v>#DIV/0!</v>
      </c>
      <c r="AS12" s="22" t="e">
        <f>soci!AR23 /sofp!AR19</f>
        <v>#DIV/0!</v>
      </c>
      <c r="AT12" s="22" t="e">
        <f>soci!AS23 /sofp!AS19</f>
        <v>#DIV/0!</v>
      </c>
      <c r="AU12" s="22" t="e">
        <f>soci!AT23 /sofp!AT19</f>
        <v>#DIV/0!</v>
      </c>
      <c r="AV12" s="22" t="e">
        <f>soci!AU23 /sofp!AU19</f>
        <v>#DIV/0!</v>
      </c>
      <c r="AW12" s="22" t="e">
        <f>soci!AV23 /sofp!AV19</f>
        <v>#DIV/0!</v>
      </c>
      <c r="AX12" s="22" t="e">
        <f>soci!AW23 /sofp!AW19</f>
        <v>#DIV/0!</v>
      </c>
    </row>
    <row r="13" spans="1:50">
      <c r="A13" s="19" t="s">
        <v>148</v>
      </c>
      <c r="B13" s="20"/>
      <c r="C13" s="22">
        <f>(soci!B12 + soci!B23) / ((sofp!B25 + sofp!C25)/2)</f>
        <v>0.12798806239200039</v>
      </c>
      <c r="D13" s="22">
        <f>(soci!C12 + soci!C23) / ((sofp!C25 + sofp!D25)/2)</f>
        <v>2.6048005799568039E-2</v>
      </c>
      <c r="E13" s="22">
        <f>(soci!D12 + soci!D23) / ((sofp!D25 + sofp!E25)/2)</f>
        <v>3.6329441790287846E-2</v>
      </c>
      <c r="F13" s="22">
        <f>(soci!E12 + soci!E23) / ((sofp!E25 + sofp!F25)/2)</f>
        <v>4.4538742924135115E-2</v>
      </c>
      <c r="G13" s="22">
        <f>(soci!F12 + soci!F23) / ((sofp!F25 + sofp!G25)/2)</f>
        <v>5.2075406274212616E-2</v>
      </c>
      <c r="H13" s="22">
        <f>(soci!G12 + soci!G23) / ((sofp!G25 + sofp!H25)/2)</f>
        <v>0.11981536094749305</v>
      </c>
      <c r="I13" s="22">
        <f>(soci!H12 + soci!H23) / ((sofp!H25 + sofp!I25)/2)</f>
        <v>0.15432936996891888</v>
      </c>
      <c r="J13" s="22">
        <f>(soci!I12 + soci!I23) / ((sofp!I25 + sofp!J25)/2)</f>
        <v>8.5176376513209112E-2</v>
      </c>
      <c r="K13" s="22">
        <f>(soci!J12 + soci!J23) / ((sofp!J25 + sofp!K25)/2)</f>
        <v>9.3277569830442747E-2</v>
      </c>
      <c r="L13" s="22">
        <f>(soci!K12 + soci!K23) / ((sofp!K25 + sofp!L25)/2)</f>
        <v>0.10177210930555597</v>
      </c>
      <c r="M13" s="22">
        <f>(soci!L12 + soci!L23) / ((sofp!L25 + sofp!M25)/2)</f>
        <v>0.11180846617959267</v>
      </c>
      <c r="N13" s="22">
        <f>(soci!M12 + soci!M23) / ((sofp!M25 + sofp!N25)/2)</f>
        <v>0.11137153379018852</v>
      </c>
      <c r="O13" s="22">
        <f>(soci!N12 + soci!N23) / ((sofp!N25 + sofp!O25)/2)</f>
        <v>0.11528647534525432</v>
      </c>
      <c r="P13" s="22">
        <f>(soci!O12 + soci!O23) / ((sofp!O25 + sofp!P25)/2)</f>
        <v>2.1962712785688579E-2</v>
      </c>
      <c r="Q13" s="22">
        <f>(soci!P12 + soci!P23) / ((sofp!P25 + sofp!Q25)/2)</f>
        <v>3.1519428368774881E-2</v>
      </c>
      <c r="R13" s="22">
        <f>(soci!Q12 + soci!Q23) / ((sofp!Q25 + sofp!R25)/2)</f>
        <v>4.0315869174585961E-2</v>
      </c>
      <c r="S13" s="22">
        <f>(soci!R12 + soci!R23) / ((sofp!R25 + sofp!S25)/2)</f>
        <v>4.8615444139941628E-2</v>
      </c>
      <c r="T13" s="22">
        <f>(soci!S12 + soci!S23) / ((sofp!S25 + sofp!T25)/2)</f>
        <v>5.6105692896069495E-2</v>
      </c>
      <c r="U13" s="22">
        <f>(soci!T12 + soci!T23) / ((sofp!T25 + sofp!U25)/2)</f>
        <v>6.446389844291453E-2</v>
      </c>
      <c r="V13" s="22">
        <f>(soci!U12 + soci!U23) / ((sofp!U25 + sofp!V25)/2)</f>
        <v>7.362130224093727E-2</v>
      </c>
      <c r="W13" s="22">
        <f>(soci!V12 + soci!V23) / ((sofp!V25 + sofp!W25)/2)</f>
        <v>8.3503281444901628E-2</v>
      </c>
      <c r="X13" s="22">
        <f>(soci!W12 + soci!W23) / ((sofp!W25 + sofp!X25)/2)</f>
        <v>9.2113884332774343E-2</v>
      </c>
      <c r="Y13" s="22">
        <f>(soci!X12 + soci!X23) / ((sofp!X25 + sofp!Y25)/2)</f>
        <v>0.1023453646589227</v>
      </c>
      <c r="Z13" s="22">
        <f>(soci!Y12 + soci!Y23) / ((sofp!Y25 + sofp!Z25)/2)</f>
        <v>0.11571115374634085</v>
      </c>
      <c r="AA13" s="22">
        <f>(soci!Z12 + soci!Z23) / ((sofp!Z25 + sofp!AA25)/2)</f>
        <v>0.11725345998962962</v>
      </c>
      <c r="AB13" s="22">
        <f>(soci!AA12 + soci!AA23) / ((sofp!AA25 + sofp!AB25)/2)</f>
        <v>0.13016108421746062</v>
      </c>
      <c r="AC13" s="22">
        <f>(soci!AB12 + soci!AB23) / ((sofp!AB25 + sofp!AC25)/2)</f>
        <v>2.5858934131418831E-2</v>
      </c>
      <c r="AD13" s="22">
        <f>(soci!AC12 + soci!AC23) / ((sofp!AC25 + sofp!AD25)/2)</f>
        <v>3.7036352116463708E-2</v>
      </c>
      <c r="AE13" s="22">
        <f>(soci!AD12 + soci!AD23) / ((sofp!AD25 + sofp!AE25)/2)</f>
        <v>4.6550662196125234E-2</v>
      </c>
      <c r="AF13" s="22">
        <f>(soci!AE12 + soci!AE23) / ((sofp!AE25 + sofp!AF25)/2)</f>
        <v>5.7098578057070588E-2</v>
      </c>
      <c r="AG13" s="22">
        <f>(soci!AF12 + soci!AF23) / ((sofp!AF25 + sofp!AG25)/2)</f>
        <v>6.8240484544078744E-2</v>
      </c>
      <c r="AH13" s="22">
        <f>(soci!AG12 + soci!AG23) / ((sofp!AG25 + sofp!AH25)/2)</f>
        <v>7.6929008926598111E-2</v>
      </c>
      <c r="AI13" s="22">
        <f>(soci!AH12 + soci!AH23) / ((sofp!AH25 + sofp!AI25)/2)</f>
        <v>8.6426341996766257E-2</v>
      </c>
      <c r="AJ13" s="22">
        <f>(soci!AI12 + soci!AI23) / ((sofp!AI25 + sofp!AJ25)/2)</f>
        <v>9.7404288862570715E-2</v>
      </c>
      <c r="AK13" s="22">
        <f>(soci!AJ12 + soci!AJ23) / ((sofp!AJ25 + sofp!AK25)/2)</f>
        <v>0.10642791064777699</v>
      </c>
      <c r="AL13" s="22">
        <f>(soci!AK12 + soci!AK23) / ((sofp!AK25 + sofp!AL25)/2)</f>
        <v>0.1141243917059845</v>
      </c>
      <c r="AM13" s="22">
        <f>(soci!AL12 + soci!AL23) / ((sofp!AL25 + sofp!AM25)/2)</f>
        <v>0.12861054615899281</v>
      </c>
      <c r="AN13" s="22">
        <f>(soci!AM12 + soci!AM23) / ((sofp!AM25 + sofp!AN25)/2)</f>
        <v>0.25779948514875489</v>
      </c>
      <c r="AO13" s="22" t="e">
        <f>(soci!AN12 + soci!AN23) / ((sofp!AN25 + sofp!AO25)/2)</f>
        <v>#DIV/0!</v>
      </c>
      <c r="AP13" s="22" t="e">
        <f>(soci!AO12 + soci!AO23) / ((sofp!AO25 + sofp!AP25)/2)</f>
        <v>#DIV/0!</v>
      </c>
      <c r="AQ13" s="22" t="e">
        <f>(soci!AP12 + soci!AP23) / ((sofp!AP25 + sofp!AQ25)/2)</f>
        <v>#DIV/0!</v>
      </c>
      <c r="AR13" s="22" t="e">
        <f>(soci!AQ12 + soci!AQ23) / ((sofp!AQ25 + sofp!AR25)/2)</f>
        <v>#DIV/0!</v>
      </c>
      <c r="AS13" s="22" t="e">
        <f>(soci!AR12 + soci!AR23) / ((sofp!AR25 + sofp!AS25)/2)</f>
        <v>#DIV/0!</v>
      </c>
      <c r="AT13" s="22" t="e">
        <f>(soci!AS12 + soci!AS23) / ((sofp!AS25 + sofp!AT25)/2)</f>
        <v>#DIV/0!</v>
      </c>
      <c r="AU13" s="22" t="e">
        <f>(soci!AT12 + soci!AT23) / ((sofp!AT25 + sofp!AU25)/2)</f>
        <v>#DIV/0!</v>
      </c>
      <c r="AV13" s="22" t="e">
        <f>(soci!AU12 + soci!AU23) / ((sofp!AU25 + sofp!AV25)/2)</f>
        <v>#DIV/0!</v>
      </c>
      <c r="AW13" s="22" t="e">
        <f>(soci!AV12 + soci!AV23) / ((sofp!AV25 + sofp!AW25)/2)</f>
        <v>#DIV/0!</v>
      </c>
      <c r="AX13" s="22" t="e">
        <f>(soci!AW12 + soci!AW23) / ((sofp!AW25 + sofp!AX25)/2)</f>
        <v>#DIV/0!</v>
      </c>
    </row>
    <row r="14" spans="1:50">
      <c r="A14" s="46" t="s">
        <v>149</v>
      </c>
      <c r="B14" s="46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</row>
    <row r="15" spans="1:50">
      <c r="A15" s="19" t="s">
        <v>150</v>
      </c>
      <c r="B15" s="20" t="s">
        <v>151</v>
      </c>
      <c r="C15" s="22">
        <f>financials!B33/(financials!B8+financials!B6)</f>
        <v>0.21893322974587295</v>
      </c>
      <c r="D15" s="22">
        <f>financials!C33/(financials!C8+financials!C6)</f>
        <v>0.22681740114031462</v>
      </c>
      <c r="E15" s="22">
        <f>financials!D33/(financials!D8+financials!D6)</f>
        <v>0.22102252287782923</v>
      </c>
      <c r="F15" s="22">
        <f>financials!E33/(financials!E8+financials!E6)</f>
        <v>0.26818825606025315</v>
      </c>
      <c r="G15" s="22">
        <f>financials!F33/(financials!F8+financials!F6)</f>
        <v>0.29893892986921561</v>
      </c>
      <c r="H15" s="22">
        <f>financials!G33/(financials!G8+financials!G6)</f>
        <v>0.30695359539564199</v>
      </c>
      <c r="I15" s="22">
        <f>financials!H33/(financials!H8+financials!H6)</f>
        <v>0</v>
      </c>
      <c r="J15" s="22">
        <f>financials!I33/(financials!I8+financials!I6)</f>
        <v>0.22887036096382946</v>
      </c>
      <c r="K15" s="22">
        <f>financials!J33/(financials!J8+financials!J6)</f>
        <v>0.20545011058639287</v>
      </c>
      <c r="L15" s="22">
        <f>financials!K33/(financials!K8+financials!K6)</f>
        <v>0.21546782970400349</v>
      </c>
      <c r="M15" s="22">
        <f>financials!L33/(financials!L8+financials!L6)</f>
        <v>0.23089017569314405</v>
      </c>
      <c r="N15" s="22">
        <f>financials!M33/(financials!M8+financials!M6)</f>
        <v>0.23006291254225572</v>
      </c>
      <c r="O15" s="22">
        <f>financials!N33/(financials!N8+financials!N6)</f>
        <v>0.2138271712896303</v>
      </c>
      <c r="P15" s="22">
        <f>financials!O33/(financials!O8+financials!O6)</f>
        <v>0.17878731965862271</v>
      </c>
      <c r="Q15" s="22">
        <f>financials!P33/(financials!P8+financials!P6)</f>
        <v>0.16815073959492172</v>
      </c>
      <c r="R15" s="22">
        <f>financials!Q33/(financials!Q8+financials!Q6)</f>
        <v>0.17145035521935975</v>
      </c>
      <c r="S15" s="22">
        <f>financials!R33/(financials!R8+financials!R6)</f>
        <v>0.17670832358450447</v>
      </c>
      <c r="T15" s="22">
        <f>financials!S33/(financials!S8+financials!S6)</f>
        <v>0.16626662320206639</v>
      </c>
      <c r="U15" s="22">
        <f>financials!T33/(financials!T8+financials!T6)</f>
        <v>0.17146226958114294</v>
      </c>
      <c r="V15" s="22">
        <f>financials!U33/(financials!U8+financials!U6)</f>
        <v>0.17147022884500515</v>
      </c>
      <c r="W15" s="22">
        <f>financials!V33/(financials!V8+financials!V6)</f>
        <v>0.15620054231081218</v>
      </c>
      <c r="X15" s="22">
        <f>financials!W33/(financials!W8+financials!W6)</f>
        <v>0.16254391904684187</v>
      </c>
      <c r="Y15" s="22">
        <f>financials!X33/(financials!X8+financials!X6)</f>
        <v>0.20131720875679349</v>
      </c>
      <c r="Z15" s="22">
        <f>financials!Y33/(financials!Y8+financials!Y6)</f>
        <v>0.2089454535912276</v>
      </c>
      <c r="AA15" s="22">
        <f>financials!Z33/(financials!Z8+financials!Z6)</f>
        <v>0.20746466742781622</v>
      </c>
      <c r="AB15" s="22">
        <f>financials!AA33/(financials!AA8+financials!AA6)</f>
        <v>0.18600784016346092</v>
      </c>
      <c r="AC15" s="22">
        <f>financials!AB33/(financials!AB8+financials!AB6)</f>
        <v>0.18240008131824681</v>
      </c>
      <c r="AD15" s="22">
        <f>financials!AC33/(financials!AC8+financials!AC6)</f>
        <v>0.17484350628651757</v>
      </c>
      <c r="AE15" s="22">
        <f>financials!AD33/(financials!AD8+financials!AD6)</f>
        <v>0.11944516931950767</v>
      </c>
      <c r="AF15" s="22">
        <f>financials!AE33/(financials!AE8+financials!AE6)</f>
        <v>0.10377105367527606</v>
      </c>
      <c r="AG15" s="22">
        <f>financials!AF33/(financials!AF8+financials!AF6)</f>
        <v>0.16908771614751711</v>
      </c>
      <c r="AH15" s="22">
        <f>financials!AG33/(financials!AG8+financials!AG6)</f>
        <v>0.14111081219078431</v>
      </c>
      <c r="AI15" s="22">
        <f>financials!AH33/(financials!AH8+financials!AH6)</f>
        <v>0.17995688705902901</v>
      </c>
      <c r="AJ15" s="22">
        <f>financials!AI33/(financials!AI8+financials!AI6)</f>
        <v>0.17900237807241554</v>
      </c>
      <c r="AK15" s="22">
        <f>financials!AJ33/(financials!AJ8+financials!AJ6)</f>
        <v>0.16357824544129548</v>
      </c>
      <c r="AL15" s="22">
        <f>financials!AK33/(financials!AK8+financials!AK6)</f>
        <v>0.1933350213545727</v>
      </c>
      <c r="AM15" s="22">
        <f>financials!AL33/(financials!AL8+financials!AL6)</f>
        <v>0.15124204864921353</v>
      </c>
      <c r="AN15" s="22">
        <f>financials!AM33/(financials!AM8+financials!AM6)</f>
        <v>0.18570797224838392</v>
      </c>
      <c r="AO15" s="22" t="e">
        <f>financials!#REF!/(financials!#REF!+financials!#REF!)</f>
        <v>#REF!</v>
      </c>
      <c r="AP15" s="22" t="e">
        <f>financials!AN33/(financials!AN8+financials!AN6)</f>
        <v>#DIV/0!</v>
      </c>
      <c r="AQ15" s="22" t="e">
        <f>financials!AO33/(financials!AO8+financials!AO6)</f>
        <v>#DIV/0!</v>
      </c>
      <c r="AR15" s="22" t="e">
        <f>financials!AP33/(financials!AP8+financials!AP6)</f>
        <v>#DIV/0!</v>
      </c>
      <c r="AS15" s="22" t="e">
        <f>financials!AQ33/(financials!AQ8+financials!AQ6)</f>
        <v>#DIV/0!</v>
      </c>
      <c r="AT15" s="22" t="e">
        <f>financials!AR33/(financials!AR8+financials!AR6)</f>
        <v>#DIV/0!</v>
      </c>
      <c r="AU15" s="22" t="e">
        <f>financials!AS33/(financials!AS8+financials!AS6)</f>
        <v>#DIV/0!</v>
      </c>
      <c r="AV15" s="22" t="e">
        <f>financials!AT33/(financials!AT8+financials!AT6)</f>
        <v>#DIV/0!</v>
      </c>
      <c r="AW15" s="22" t="e">
        <f>financials!AU33/(financials!AU8+financials!AU6)</f>
        <v>#DIV/0!</v>
      </c>
      <c r="AX15" s="22" t="e">
        <f>financials!AV33/(financials!AV8+financials!AV6)</f>
        <v>#DIV/0!</v>
      </c>
    </row>
    <row r="16" spans="1:50">
      <c r="A16" s="19" t="s">
        <v>152</v>
      </c>
      <c r="B16" s="20"/>
      <c r="C16" s="22">
        <f>financials!B33/financials!B3</f>
        <v>0.14694199061784541</v>
      </c>
      <c r="D16" s="22">
        <f>financials!C33/financials!C3</f>
        <v>0.1579645118787259</v>
      </c>
      <c r="E16" s="22">
        <f>financials!D33/financials!D3</f>
        <v>0.15636484142435617</v>
      </c>
      <c r="F16" s="22">
        <f>financials!E33/financials!E3</f>
        <v>0.18814353164911463</v>
      </c>
      <c r="G16" s="22">
        <f>financials!F33/financials!F3</f>
        <v>0.20936935603495591</v>
      </c>
      <c r="H16" s="22">
        <f>financials!G33/financials!G3</f>
        <v>0.21512840565612518</v>
      </c>
      <c r="I16" s="22" t="e">
        <f>financials!H33/financials!H3</f>
        <v>#DIV/0!</v>
      </c>
      <c r="J16" s="22">
        <f>financials!I33/financials!I3</f>
        <v>0.15807409936641229</v>
      </c>
      <c r="K16" s="22">
        <f>financials!J33/financials!J3</f>
        <v>0.14199152901612544</v>
      </c>
      <c r="L16" s="22">
        <f>financials!K33/financials!K3</f>
        <v>0.14942445548832392</v>
      </c>
      <c r="M16" s="22">
        <f>financials!L33/financials!L3</f>
        <v>0.16105839739703942</v>
      </c>
      <c r="N16" s="22">
        <f>financials!M33/financials!M3</f>
        <v>0.14815520316835257</v>
      </c>
      <c r="O16" s="22">
        <f>financials!N33/financials!N3</f>
        <v>0.13764514370942738</v>
      </c>
      <c r="P16" s="22">
        <f>financials!O33/financials!O3</f>
        <v>0.11646150825246847</v>
      </c>
      <c r="Q16" s="22">
        <f>financials!P33/financials!P3</f>
        <v>0.10795268458314497</v>
      </c>
      <c r="R16" s="22">
        <f>financials!Q33/financials!Q3</f>
        <v>0.1093298345989196</v>
      </c>
      <c r="S16" s="22">
        <f>financials!R33/financials!R3</f>
        <v>0.1125609091824168</v>
      </c>
      <c r="T16" s="22">
        <f>financials!S33/financials!S3</f>
        <v>0.10485169787737028</v>
      </c>
      <c r="U16" s="22">
        <f>financials!T33/financials!T3</f>
        <v>0.10949065316839876</v>
      </c>
      <c r="V16" s="22">
        <f>financials!U33/financials!U3</f>
        <v>0.10936789782010931</v>
      </c>
      <c r="W16" s="22">
        <f>financials!V33/financials!V3</f>
        <v>9.9533007016828948E-2</v>
      </c>
      <c r="X16" s="22">
        <f>financials!W33/financials!W3</f>
        <v>0.10384561422229914</v>
      </c>
      <c r="Y16" s="22">
        <f>financials!X33/financials!X3</f>
        <v>0.12829399520090443</v>
      </c>
      <c r="Z16" s="22">
        <f>financials!Y33/financials!Y3</f>
        <v>0.13076880742250155</v>
      </c>
      <c r="AA16" s="22">
        <f>financials!Z33/financials!Z3</f>
        <v>0.13075838208742102</v>
      </c>
      <c r="AB16" s="22">
        <f>financials!AA33/financials!AA3</f>
        <v>0.11763214592319604</v>
      </c>
      <c r="AC16" s="22">
        <f>financials!AB33/financials!AB3</f>
        <v>0.1163149981472294</v>
      </c>
      <c r="AD16" s="22">
        <f>financials!AC33/financials!AC3</f>
        <v>0.11014597332747439</v>
      </c>
      <c r="AE16" s="22">
        <f>financials!AD33/financials!AD3</f>
        <v>7.5667042522936753E-2</v>
      </c>
      <c r="AF16" s="22">
        <f>financials!AE33/financials!AE3</f>
        <v>6.5868654701672413E-2</v>
      </c>
      <c r="AG16" s="22">
        <f>financials!AF33/financials!AF3</f>
        <v>0.10673787549641003</v>
      </c>
      <c r="AH16" s="22">
        <f>financials!AG33/financials!AG3</f>
        <v>8.9750834370588589E-2</v>
      </c>
      <c r="AI16" s="22">
        <f>financials!AH33/financials!AH3</f>
        <v>0.11420086161369904</v>
      </c>
      <c r="AJ16" s="22">
        <f>financials!AI33/financials!AI3</f>
        <v>0.11303531243802672</v>
      </c>
      <c r="AK16" s="22">
        <f>financials!AJ33/financials!AJ3</f>
        <v>0.10366173636788222</v>
      </c>
      <c r="AL16" s="22">
        <f>financials!AK33/financials!AK3</f>
        <v>0.12358313338826749</v>
      </c>
      <c r="AM16" s="22">
        <f>financials!AL33/financials!AL3</f>
        <v>9.4196748039156022E-2</v>
      </c>
      <c r="AN16" s="22">
        <f>financials!AM33/financials!AM3</f>
        <v>9.4190049215871208E-2</v>
      </c>
      <c r="AO16" s="22" t="e">
        <f>financials!#REF!/financials!#REF!</f>
        <v>#REF!</v>
      </c>
      <c r="AP16" s="22" t="e">
        <f>financials!AN33/financials!AN3</f>
        <v>#DIV/0!</v>
      </c>
      <c r="AQ16" s="22" t="e">
        <f>financials!AO33/financials!AO3</f>
        <v>#DIV/0!</v>
      </c>
      <c r="AR16" s="22" t="e">
        <f>financials!AP33/financials!AP3</f>
        <v>#DIV/0!</v>
      </c>
      <c r="AS16" s="22" t="e">
        <f>financials!AQ33/financials!AQ3</f>
        <v>#DIV/0!</v>
      </c>
      <c r="AT16" s="22" t="e">
        <f>financials!AR33/financials!AR3</f>
        <v>#DIV/0!</v>
      </c>
      <c r="AU16" s="22" t="e">
        <f>financials!AS33/financials!AS3</f>
        <v>#DIV/0!</v>
      </c>
      <c r="AV16" s="22" t="e">
        <f>financials!AT33/financials!AT3</f>
        <v>#DIV/0!</v>
      </c>
      <c r="AW16" s="22" t="e">
        <f>financials!AU33/financials!AU3</f>
        <v>#DIV/0!</v>
      </c>
      <c r="AX16" s="22" t="e">
        <f>financials!AV33/financials!AV3</f>
        <v>#DIV/0!</v>
      </c>
    </row>
    <row r="17" spans="1:50">
      <c r="A17" s="19" t="s">
        <v>153</v>
      </c>
      <c r="B17" s="20" t="s">
        <v>154</v>
      </c>
      <c r="C17" s="22">
        <f>sofp!B35 / sofp!B25</f>
        <v>5.678186165545606E-2</v>
      </c>
      <c r="D17" s="22">
        <f>sofp!C35 / sofp!C25</f>
        <v>5.489002983221649E-2</v>
      </c>
      <c r="E17" s="22">
        <f>sofp!D35 / sofp!D25</f>
        <v>5.4642143535776164E-2</v>
      </c>
      <c r="F17" s="22">
        <f>sofp!E35 / sofp!E25</f>
        <v>5.1521155965902163E-2</v>
      </c>
      <c r="G17" s="22">
        <f>sofp!F35 / sofp!F25</f>
        <v>4.9077676198539089E-2</v>
      </c>
      <c r="H17" s="22">
        <f>sofp!G35 / sofp!G25</f>
        <v>4.6678573465193315E-2</v>
      </c>
      <c r="I17" s="22" t="e">
        <f>sofp!H35 / sofp!H25</f>
        <v>#DIV/0!</v>
      </c>
      <c r="J17" s="22">
        <f>sofp!I35 / sofp!I25</f>
        <v>4.0264660871391994E-2</v>
      </c>
      <c r="K17" s="22">
        <f>sofp!J35 / sofp!J25</f>
        <v>3.7898816001937147E-2</v>
      </c>
      <c r="L17" s="22">
        <f>sofp!K35 / sofp!K25</f>
        <v>3.598585736284407E-2</v>
      </c>
      <c r="M17" s="22">
        <f>sofp!L35 / sofp!L25</f>
        <v>3.4055397355155503E-2</v>
      </c>
      <c r="N17" s="22">
        <f>sofp!M35 / sofp!M25</f>
        <v>3.1327049019459034E-2</v>
      </c>
      <c r="O17" s="22">
        <f>sofp!N35 / sofp!N25</f>
        <v>2.9532838296125893E-2</v>
      </c>
      <c r="P17" s="22">
        <f>sofp!O35 / sofp!O25</f>
        <v>2.7735106996709613E-2</v>
      </c>
      <c r="Q17" s="22">
        <f>sofp!P35 / sofp!P25</f>
        <v>2.6921769276327348E-2</v>
      </c>
      <c r="R17" s="22">
        <f>sofp!Q35 / sofp!Q25</f>
        <v>2.5023968433811529E-2</v>
      </c>
      <c r="S17" s="22">
        <f>sofp!R35 / sofp!R25</f>
        <v>2.3532132881541726E-2</v>
      </c>
      <c r="T17" s="22">
        <f>sofp!S35 / sofp!S25</f>
        <v>2.2103625921463893E-2</v>
      </c>
      <c r="U17" s="22">
        <f>sofp!T35 / sofp!T25</f>
        <v>1.980029568808632E-2</v>
      </c>
      <c r="V17" s="22">
        <f>sofp!U35 / sofp!U25</f>
        <v>1.8412482733368152E-2</v>
      </c>
      <c r="W17" s="22">
        <f>sofp!V35 / sofp!V25</f>
        <v>1.7115651259023826E-2</v>
      </c>
      <c r="X17" s="22">
        <f>sofp!W35 / sofp!W25</f>
        <v>1.5597158606896398E-2</v>
      </c>
      <c r="Y17" s="22">
        <f>sofp!X35 / sofp!X25</f>
        <v>1.4210860777811045E-2</v>
      </c>
      <c r="Z17" s="22">
        <f>sofp!Y35 / sofp!Y25</f>
        <v>1.2978630978418235E-2</v>
      </c>
      <c r="AA17" s="22">
        <f>sofp!Z35 / sofp!Z25</f>
        <v>1.2977596260199334E-2</v>
      </c>
      <c r="AB17" s="22">
        <f>sofp!AA35 / sofp!AA25</f>
        <v>1.1673819742140113E-2</v>
      </c>
      <c r="AC17" s="22">
        <f>sofp!AB35 / sofp!AB25</f>
        <v>1.0379057282708035E-2</v>
      </c>
      <c r="AD17" s="22">
        <f>sofp!AC35 / sofp!AC25</f>
        <v>9.164776235852044E-3</v>
      </c>
      <c r="AE17" s="22">
        <f>sofp!AD35 / sofp!AD25</f>
        <v>7.7389315024330258E-3</v>
      </c>
      <c r="AF17" s="22">
        <f>sofp!AE35 / sofp!AE25</f>
        <v>6.4183713207692705E-3</v>
      </c>
      <c r="AG17" s="22">
        <f>sofp!AF35 / sofp!AF25</f>
        <v>5.0820801387383248E-3</v>
      </c>
      <c r="AH17" s="22">
        <f>sofp!AG35 / sofp!AG25</f>
        <v>3.7432040824627619E-3</v>
      </c>
      <c r="AI17" s="22">
        <f>sofp!AH35 / sofp!AH25</f>
        <v>2.4770927333743493E-3</v>
      </c>
      <c r="AJ17" s="22">
        <f>sofp!AI35 / sofp!AI25</f>
        <v>1.2399904235555462E-3</v>
      </c>
      <c r="AK17" s="22">
        <f>sofp!AJ35 / sofp!AJ25</f>
        <v>0</v>
      </c>
      <c r="AL17" s="22">
        <f>sofp!AK35 / sofp!AK25</f>
        <v>0</v>
      </c>
      <c r="AM17" s="22">
        <f>sofp!AL35 / sofp!AL25</f>
        <v>0</v>
      </c>
      <c r="AN17" s="22">
        <f>sofp!AM35 / sofp!AM25</f>
        <v>3.06722247949416E-2</v>
      </c>
      <c r="AO17" s="22" t="e">
        <f>sofp!AN35 / sofp!AN25</f>
        <v>#DIV/0!</v>
      </c>
      <c r="AP17" s="22" t="e">
        <f>sofp!AO35 / sofp!AO25</f>
        <v>#DIV/0!</v>
      </c>
      <c r="AQ17" s="22" t="e">
        <f>sofp!AP35 / sofp!AP25</f>
        <v>#DIV/0!</v>
      </c>
      <c r="AR17" s="22" t="e">
        <f>sofp!AQ35 / sofp!AQ25</f>
        <v>#DIV/0!</v>
      </c>
      <c r="AS17" s="22" t="e">
        <f>sofp!AR35 / sofp!AR25</f>
        <v>#DIV/0!</v>
      </c>
      <c r="AT17" s="22" t="e">
        <f>sofp!AS35 / sofp!AS25</f>
        <v>#DIV/0!</v>
      </c>
      <c r="AU17" s="22" t="e">
        <f>sofp!AT35 / sofp!AT25</f>
        <v>#DIV/0!</v>
      </c>
      <c r="AV17" s="22" t="e">
        <f>sofp!AU35 / sofp!AU25</f>
        <v>#DIV/0!</v>
      </c>
      <c r="AW17" s="22" t="e">
        <f>sofp!AV35 / sofp!AV25</f>
        <v>#DIV/0!</v>
      </c>
      <c r="AX17" s="22" t="e">
        <f>sofp!AW35 / sofp!AW25</f>
        <v>#DIV/0!</v>
      </c>
    </row>
    <row r="18" spans="1:50">
      <c r="A18" s="19" t="s">
        <v>155</v>
      </c>
      <c r="B18" s="20"/>
      <c r="C18" s="22">
        <f>financials!B33 / financials!B3</f>
        <v>0.14694199061784541</v>
      </c>
      <c r="D18" s="22">
        <f>financials!C33 / financials!C3</f>
        <v>0.1579645118787259</v>
      </c>
      <c r="E18" s="22">
        <f>financials!D33 / financials!D3</f>
        <v>0.15636484142435617</v>
      </c>
      <c r="F18" s="22">
        <f>financials!E33 / financials!E3</f>
        <v>0.18814353164911463</v>
      </c>
      <c r="G18" s="22">
        <f>financials!F33 / financials!F3</f>
        <v>0.20936935603495591</v>
      </c>
      <c r="H18" s="22">
        <f>financials!G33 / financials!G3</f>
        <v>0.21512840565612518</v>
      </c>
      <c r="I18" s="22" t="e">
        <f>financials!H33 / financials!H3</f>
        <v>#DIV/0!</v>
      </c>
      <c r="J18" s="22">
        <f>financials!I33 / financials!I3</f>
        <v>0.15807409936641229</v>
      </c>
      <c r="K18" s="22">
        <f>financials!J33 / financials!J3</f>
        <v>0.14199152901612544</v>
      </c>
      <c r="L18" s="22">
        <f>financials!K33 / financials!K3</f>
        <v>0.14942445548832392</v>
      </c>
      <c r="M18" s="22">
        <f>financials!L33 / financials!L3</f>
        <v>0.16105839739703942</v>
      </c>
      <c r="N18" s="22">
        <f>financials!M33 / financials!M3</f>
        <v>0.14815520316835257</v>
      </c>
      <c r="O18" s="22">
        <f>financials!N33 / financials!N3</f>
        <v>0.13764514370942738</v>
      </c>
      <c r="P18" s="22">
        <f>financials!O33 / financials!O3</f>
        <v>0.11646150825246847</v>
      </c>
      <c r="Q18" s="22">
        <f>financials!P33 / financials!P3</f>
        <v>0.10795268458314497</v>
      </c>
      <c r="R18" s="22">
        <f>financials!Q33 / financials!Q3</f>
        <v>0.1093298345989196</v>
      </c>
      <c r="S18" s="22">
        <f>financials!R33 / financials!R3</f>
        <v>0.1125609091824168</v>
      </c>
      <c r="T18" s="22">
        <f>financials!S33 / financials!S3</f>
        <v>0.10485169787737028</v>
      </c>
      <c r="U18" s="22">
        <f>financials!T33 / financials!T3</f>
        <v>0.10949065316839876</v>
      </c>
      <c r="V18" s="22">
        <f>financials!U33 / financials!U3</f>
        <v>0.10936789782010931</v>
      </c>
      <c r="W18" s="22">
        <f>financials!V33 / financials!V3</f>
        <v>9.9533007016828948E-2</v>
      </c>
      <c r="X18" s="22">
        <f>financials!W33 / financials!W3</f>
        <v>0.10384561422229914</v>
      </c>
      <c r="Y18" s="22">
        <f>financials!X33 / financials!X3</f>
        <v>0.12829399520090443</v>
      </c>
      <c r="Z18" s="22">
        <f>financials!Y33 / financials!Y3</f>
        <v>0.13076880742250155</v>
      </c>
      <c r="AA18" s="22">
        <f>financials!Z33 / financials!Z3</f>
        <v>0.13075838208742102</v>
      </c>
      <c r="AB18" s="22">
        <f>financials!AA33 / financials!AA3</f>
        <v>0.11763214592319604</v>
      </c>
      <c r="AC18" s="22">
        <f>financials!AB33 / financials!AB3</f>
        <v>0.1163149981472294</v>
      </c>
      <c r="AD18" s="22">
        <f>financials!AC33 / financials!AC3</f>
        <v>0.11014597332747439</v>
      </c>
      <c r="AE18" s="22">
        <f>financials!AD33 / financials!AD3</f>
        <v>7.5667042522936753E-2</v>
      </c>
      <c r="AF18" s="22">
        <f>financials!AE33 / financials!AE3</f>
        <v>6.5868654701672413E-2</v>
      </c>
      <c r="AG18" s="22">
        <f>financials!AF33 / financials!AF3</f>
        <v>0.10673787549641003</v>
      </c>
      <c r="AH18" s="22">
        <f>financials!AG33 / financials!AG3</f>
        <v>8.9750834370588589E-2</v>
      </c>
      <c r="AI18" s="22">
        <f>financials!AH33 / financials!AH3</f>
        <v>0.11420086161369904</v>
      </c>
      <c r="AJ18" s="22">
        <f>financials!AI33 / financials!AI3</f>
        <v>0.11303531243802672</v>
      </c>
      <c r="AK18" s="22">
        <f>financials!AJ33 / financials!AJ3</f>
        <v>0.10366173636788222</v>
      </c>
      <c r="AL18" s="22">
        <f>financials!AK33 / financials!AK3</f>
        <v>0.12358313338826749</v>
      </c>
      <c r="AM18" s="22">
        <f>financials!AL33 / financials!AL3</f>
        <v>9.4196748039156022E-2</v>
      </c>
      <c r="AN18" s="22">
        <f>financials!AM33 / financials!AM3</f>
        <v>9.4190049215871208E-2</v>
      </c>
      <c r="AO18" s="22" t="e">
        <f>financials!#REF! / financials!#REF!</f>
        <v>#REF!</v>
      </c>
      <c r="AP18" s="22" t="e">
        <f>financials!AN33 / financials!AN3</f>
        <v>#DIV/0!</v>
      </c>
      <c r="AQ18" s="22" t="e">
        <f>financials!AO33 / financials!AO3</f>
        <v>#DIV/0!</v>
      </c>
      <c r="AR18" s="22" t="e">
        <f>financials!AP33 / financials!AP3</f>
        <v>#DIV/0!</v>
      </c>
      <c r="AS18" s="22" t="e">
        <f>financials!AQ33 / financials!AQ3</f>
        <v>#DIV/0!</v>
      </c>
      <c r="AT18" s="22" t="e">
        <f>financials!AR33 / financials!AR3</f>
        <v>#DIV/0!</v>
      </c>
      <c r="AU18" s="22" t="e">
        <f>financials!AS33 / financials!AS3</f>
        <v>#DIV/0!</v>
      </c>
      <c r="AV18" s="22" t="e">
        <f>financials!AT33 / financials!AT3</f>
        <v>#DIV/0!</v>
      </c>
      <c r="AW18" s="22" t="e">
        <f>financials!AU33 / financials!AU3</f>
        <v>#DIV/0!</v>
      </c>
      <c r="AX18" s="22" t="e">
        <f>financials!AV33 / financials!AV3</f>
        <v>#DIV/0!</v>
      </c>
    </row>
    <row r="19" spans="1:50">
      <c r="A19" s="46" t="s">
        <v>156</v>
      </c>
      <c r="B19" s="46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</row>
    <row r="20" spans="1:50">
      <c r="A20" s="19" t="s">
        <v>157</v>
      </c>
      <c r="B20" s="20" t="s">
        <v>158</v>
      </c>
      <c r="C20" s="22">
        <f>financials!B35 / financials!B3</f>
        <v>0.39615776523169027</v>
      </c>
      <c r="D20" s="22">
        <f>financials!C35 / financials!C3</f>
        <v>0.39384711753554513</v>
      </c>
      <c r="E20" s="22">
        <f>financials!D35 / financials!D3</f>
        <v>0.40327860296776541</v>
      </c>
      <c r="F20" s="22">
        <f>financials!E35 / financials!E3</f>
        <v>0.39137731950740706</v>
      </c>
      <c r="G20" s="22">
        <f>financials!F35 / financials!F3</f>
        <v>0.38187731546801734</v>
      </c>
      <c r="H20" s="22">
        <f>financials!G35 / financials!G3</f>
        <v>0.35922706925636222</v>
      </c>
      <c r="I20" s="22" t="e">
        <f>financials!H35 / financials!H3</f>
        <v>#DIV/0!</v>
      </c>
      <c r="J20" s="22">
        <f>financials!I35 / financials!I3</f>
        <v>0.39129060394528642</v>
      </c>
      <c r="K20" s="22">
        <f>financials!J35 / financials!J3</f>
        <v>0.39897584256863999</v>
      </c>
      <c r="L20" s="22">
        <f>financials!K35 / financials!K3</f>
        <v>0.39341103942893446</v>
      </c>
      <c r="M20" s="22">
        <f>financials!L35 / financials!L3</f>
        <v>0.37298044286168675</v>
      </c>
      <c r="N20" s="22">
        <f>financials!M35 / financials!M3</f>
        <v>0.34309911291867401</v>
      </c>
      <c r="O20" s="22">
        <f>financials!N35 / financials!N3</f>
        <v>0.35145501937243123</v>
      </c>
      <c r="P20" s="22">
        <f>financials!O35 / financials!O3</f>
        <v>0.34942630086216564</v>
      </c>
      <c r="Q20" s="22">
        <f>financials!P35 / financials!P3</f>
        <v>0.34503270534616154</v>
      </c>
      <c r="R20" s="22">
        <f>financials!Q35 / financials!Q3</f>
        <v>0.34650516840870593</v>
      </c>
      <c r="S20" s="22">
        <f>financials!R35 / financials!R3</f>
        <v>0.33416032106742272</v>
      </c>
      <c r="T20" s="22">
        <f>financials!S35 / financials!S3</f>
        <v>0.34181307263630417</v>
      </c>
      <c r="U20" s="22">
        <f>financials!T35 / financials!T3</f>
        <v>0.32353829651176758</v>
      </c>
      <c r="V20" s="22">
        <f>financials!U35 / financials!U3</f>
        <v>0.30789206724585982</v>
      </c>
      <c r="W20" s="22">
        <f>financials!V35 / financials!V3</f>
        <v>0.32047371445825373</v>
      </c>
      <c r="X20" s="22">
        <f>financials!W35 / financials!W3</f>
        <v>0.32063608195142013</v>
      </c>
      <c r="Y20" s="22">
        <f>financials!X35 / financials!X3</f>
        <v>0.30343808117451304</v>
      </c>
      <c r="Z20" s="22">
        <f>financials!Y35 / financials!Y3</f>
        <v>0.29920735241235774</v>
      </c>
      <c r="AA20" s="22">
        <f>financials!Z35 / financials!Z3</f>
        <v>0.29918349939318312</v>
      </c>
      <c r="AB20" s="22">
        <f>financials!AA35 / financials!AA3</f>
        <v>0.31646006349428307</v>
      </c>
      <c r="AC20" s="22">
        <f>financials!AB35 / financials!AB3</f>
        <v>0.31462932730430898</v>
      </c>
      <c r="AD20" s="22">
        <f>financials!AC35 / financials!AC3</f>
        <v>0.29537278278341389</v>
      </c>
      <c r="AE20" s="22">
        <f>financials!AD35 / financials!AD3</f>
        <v>0.30828346805607854</v>
      </c>
      <c r="AF20" s="22">
        <f>financials!AE35 / financials!AE3</f>
        <v>0.30713876551608271</v>
      </c>
      <c r="AG20" s="22">
        <f>financials!AF35 / financials!AF3</f>
        <v>0.27370286328258814</v>
      </c>
      <c r="AH20" s="22">
        <f>financials!AG35 / financials!AG3</f>
        <v>0.30168804862785387</v>
      </c>
      <c r="AI20" s="22">
        <f>financials!AH35 / financials!AH3</f>
        <v>0.28161048120607124</v>
      </c>
      <c r="AJ20" s="22">
        <f>financials!AI35 / financials!AI3</f>
        <v>0.27678811860987423</v>
      </c>
      <c r="AK20" s="22">
        <f>financials!AJ35 / financials!AJ3</f>
        <v>0.28671308874675366</v>
      </c>
      <c r="AL20" s="22">
        <f>financials!AK35 / financials!AK3</f>
        <v>0.26981390725173882</v>
      </c>
      <c r="AM20" s="22">
        <f>financials!AL35 / financials!AL3</f>
        <v>0.25671239320473982</v>
      </c>
      <c r="AN20" s="22">
        <f>financials!AM35 / financials!AM3</f>
        <v>0.25676525373286768</v>
      </c>
      <c r="AO20" s="22" t="e">
        <f>financials!#REF! / financials!#REF!</f>
        <v>#REF!</v>
      </c>
      <c r="AP20" s="22" t="e">
        <f>financials!AN35 / financials!AN3</f>
        <v>#DIV/0!</v>
      </c>
      <c r="AQ20" s="22" t="e">
        <f>financials!AO35 / financials!AO3</f>
        <v>#DIV/0!</v>
      </c>
      <c r="AR20" s="22" t="e">
        <f>financials!AP35 / financials!AP3</f>
        <v>#DIV/0!</v>
      </c>
      <c r="AS20" s="22" t="e">
        <f>financials!AQ35 / financials!AQ3</f>
        <v>#DIV/0!</v>
      </c>
      <c r="AT20" s="22" t="e">
        <f>financials!AR35 / financials!AR3</f>
        <v>#DIV/0!</v>
      </c>
      <c r="AU20" s="22" t="e">
        <f>financials!AS35 / financials!AS3</f>
        <v>#DIV/0!</v>
      </c>
      <c r="AV20" s="22" t="e">
        <f>financials!AT35 / financials!AT3</f>
        <v>#DIV/0!</v>
      </c>
      <c r="AW20" s="22" t="e">
        <f>financials!AU35 / financials!AU3</f>
        <v>#DIV/0!</v>
      </c>
      <c r="AX20" s="22" t="e">
        <f>financials!AV35 / financials!AV3</f>
        <v>#DIV/0!</v>
      </c>
    </row>
    <row r="21" spans="1:50">
      <c r="A21" s="19" t="s">
        <v>159</v>
      </c>
      <c r="B21" s="20" t="s">
        <v>160</v>
      </c>
      <c r="C21" s="22">
        <f>financials!B36 / financials!B3</f>
        <v>5.7594831795704869E-2</v>
      </c>
      <c r="D21" s="22">
        <f>financials!C36 / financials!C3</f>
        <v>5.7217479319768463E-2</v>
      </c>
      <c r="E21" s="22">
        <f>financials!D36 / financials!D3</f>
        <v>5.8570859013854934E-2</v>
      </c>
      <c r="F21" s="22">
        <f>financials!E36 / financials!E3</f>
        <v>5.685359823251724E-2</v>
      </c>
      <c r="G21" s="22">
        <f>financials!F36 / financials!F3</f>
        <v>5.7055600042868457E-2</v>
      </c>
      <c r="H21" s="22">
        <f>financials!G36 / financials!G3</f>
        <v>5.8780969391607665E-2</v>
      </c>
      <c r="I21" s="22" t="e">
        <f>financials!H36 / financials!H3</f>
        <v>#DIV/0!</v>
      </c>
      <c r="J21" s="22">
        <f>financials!I36 / financials!I3</f>
        <v>5.7618965651432298E-2</v>
      </c>
      <c r="K21" s="22">
        <f>financials!J36 / financials!J3</f>
        <v>5.6251436589992765E-2</v>
      </c>
      <c r="L21" s="22">
        <f>financials!K36 / financials!K3</f>
        <v>5.550533492731749E-2</v>
      </c>
      <c r="M21" s="22">
        <f>financials!L36 / financials!L3</f>
        <v>5.5649071934688245E-2</v>
      </c>
      <c r="N21" s="22">
        <f>financials!M36 / financials!M3</f>
        <v>5.1190745917724399E-2</v>
      </c>
      <c r="O21" s="22">
        <f>financials!N36 / financials!N3</f>
        <v>5.0344949466866892E-2</v>
      </c>
      <c r="P21" s="22">
        <f>financials!O36 / financials!O3</f>
        <v>5.1385473025484026E-2</v>
      </c>
      <c r="Q21" s="22">
        <f>financials!P36 / financials!P3</f>
        <v>5.6409594359291007E-2</v>
      </c>
      <c r="R21" s="22">
        <f>financials!Q36 / financials!Q3</f>
        <v>5.5346000731927615E-2</v>
      </c>
      <c r="S21" s="22">
        <f>financials!R36 / financials!R3</f>
        <v>5.4803293209365889E-2</v>
      </c>
      <c r="T21" s="22">
        <f>financials!S36 / financials!S3</f>
        <v>5.4434312430688414E-2</v>
      </c>
      <c r="U21" s="22">
        <f>financials!T36 / financials!T3</f>
        <v>5.1730527638482883E-2</v>
      </c>
      <c r="V21" s="22">
        <f>financials!U36 / financials!U3</f>
        <v>5.126388040319519E-2</v>
      </c>
      <c r="W21" s="22">
        <f>financials!V36 / financials!V3</f>
        <v>5.1428934228677566E-2</v>
      </c>
      <c r="X21" s="22">
        <f>financials!W36 / financials!W3</f>
        <v>5.0725552595112182E-2</v>
      </c>
      <c r="Y21" s="22">
        <f>financials!X36 / financials!X3</f>
        <v>5.015406293579143E-2</v>
      </c>
      <c r="Z21" s="22">
        <f>financials!Y36 / financials!Y3</f>
        <v>5.0826776223177834E-2</v>
      </c>
      <c r="AA21" s="22">
        <f>financials!Z36 / financials!Z3</f>
        <v>5.0822724444478808E-2</v>
      </c>
      <c r="AB21" s="22">
        <f>financials!AA36 / financials!AA3</f>
        <v>5.0522434409552328E-2</v>
      </c>
      <c r="AC21" s="22">
        <f>financials!AB36 / financials!AB3</f>
        <v>5.0289695500532056E-2</v>
      </c>
      <c r="AD21" s="22">
        <f>financials!AC36 / financials!AC3</f>
        <v>5.0481062407605228E-2</v>
      </c>
      <c r="AE21" s="22">
        <f>financials!AD36 / financials!AD3</f>
        <v>4.9592724111874709E-2</v>
      </c>
      <c r="AF21" s="22">
        <f>financials!AE36 / financials!AE3</f>
        <v>4.9099179703777029E-2</v>
      </c>
      <c r="AG21" s="22">
        <f>financials!AF36 / financials!AF3</f>
        <v>4.8353283517277211E-2</v>
      </c>
      <c r="AH21" s="22">
        <f>financials!AG36 / financials!AG3</f>
        <v>4.7243309304583328E-2</v>
      </c>
      <c r="AI21" s="22">
        <f>financials!AH36 / financials!AH3</f>
        <v>4.6987786237789542E-2</v>
      </c>
      <c r="AJ21" s="22">
        <f>financials!AI36 / financials!AI3</f>
        <v>4.8302187602906971E-2</v>
      </c>
      <c r="AK21" s="22">
        <f>financials!AJ36 / financials!AJ3</f>
        <v>4.791392825459663E-2</v>
      </c>
      <c r="AL21" s="22">
        <f>financials!AK36 / financials!AK3</f>
        <v>4.7349408728940272E-2</v>
      </c>
      <c r="AM21" s="22">
        <f>financials!AL36 / financials!AL3</f>
        <v>4.8026777561002501E-2</v>
      </c>
      <c r="AN21" s="22">
        <f>financials!AM36 / financials!AM3</f>
        <v>4.8094479258680267E-2</v>
      </c>
      <c r="AO21" s="22" t="e">
        <f>financials!#REF! / financials!#REF!</f>
        <v>#REF!</v>
      </c>
      <c r="AP21" s="22" t="e">
        <f>financials!AN36 / financials!AN3</f>
        <v>#DIV/0!</v>
      </c>
      <c r="AQ21" s="22" t="e">
        <f>financials!AO36 / financials!AO3</f>
        <v>#DIV/0!</v>
      </c>
      <c r="AR21" s="22" t="e">
        <f>financials!AP36 / financials!AP3</f>
        <v>#DIV/0!</v>
      </c>
      <c r="AS21" s="22" t="e">
        <f>financials!AQ36 / financials!AQ3</f>
        <v>#DIV/0!</v>
      </c>
      <c r="AT21" s="22" t="e">
        <f>financials!AR36 / financials!AR3</f>
        <v>#DIV/0!</v>
      </c>
      <c r="AU21" s="22" t="e">
        <f>financials!AS36 / financials!AS3</f>
        <v>#DIV/0!</v>
      </c>
      <c r="AV21" s="22" t="e">
        <f>financials!AT36 / financials!AT3</f>
        <v>#DIV/0!</v>
      </c>
      <c r="AW21" s="22" t="e">
        <f>financials!AU36 / financials!AU3</f>
        <v>#DIV/0!</v>
      </c>
      <c r="AX21" s="22" t="e">
        <f>financials!AV36 / financials!AV3</f>
        <v>#DIV/0!</v>
      </c>
    </row>
    <row r="22" spans="1:50">
      <c r="A22" s="19" t="s">
        <v>161</v>
      </c>
      <c r="B22" s="20" t="s">
        <v>160</v>
      </c>
      <c r="C22" s="22">
        <f>financials!B22 / financials!B4</f>
        <v>5.2869601198345537E-2</v>
      </c>
      <c r="D22" s="22">
        <f>financials!C22 / financials!C4</f>
        <v>5.1844216750622674E-2</v>
      </c>
      <c r="E22" s="22">
        <f>financials!D22 / financials!D4</f>
        <v>5.3285995047823172E-2</v>
      </c>
      <c r="F22" s="22">
        <f>financials!E22 / financials!E4</f>
        <v>5.3185045919470798E-2</v>
      </c>
      <c r="G22" s="22">
        <f>financials!F22 / financials!F4</f>
        <v>5.3104260269500894E-2</v>
      </c>
      <c r="H22" s="22">
        <f>financials!G22 / financials!G4</f>
        <v>5.3306578926993017E-2</v>
      </c>
      <c r="I22" s="22" t="e">
        <f>financials!H22 / financials!H4</f>
        <v>#DIV/0!</v>
      </c>
      <c r="J22" s="22">
        <f>financials!I22 / financials!I4</f>
        <v>5.4732630966239773E-2</v>
      </c>
      <c r="K22" s="22">
        <f>financials!J22 / financials!J4</f>
        <v>5.4459954186039043E-2</v>
      </c>
      <c r="L22" s="22">
        <f>financials!K22 / financials!K4</f>
        <v>5.4844894971456504E-2</v>
      </c>
      <c r="M22" s="22">
        <f>financials!L22 / financials!L4</f>
        <v>5.5339627011201958E-2</v>
      </c>
      <c r="N22" s="22">
        <f>financials!M22 / financials!M4</f>
        <v>0.15570269007784412</v>
      </c>
      <c r="O22" s="22">
        <f>financials!N22 / financials!N4</f>
        <v>0.15410117696109651</v>
      </c>
      <c r="P22" s="22">
        <f>financials!O22 / financials!O4</f>
        <v>0.18149186385408492</v>
      </c>
      <c r="Q22" s="22">
        <f>financials!P22 / financials!P4</f>
        <v>0.18840965077561317</v>
      </c>
      <c r="R22" s="22">
        <f>financials!Q22 / financials!Q4</f>
        <v>0.18796734990180161</v>
      </c>
      <c r="S22" s="22">
        <f>financials!R22 / financials!R4</f>
        <v>0.20703749810261685</v>
      </c>
      <c r="T22" s="22">
        <f>financials!S22 / financials!S4</f>
        <v>0.20880536557691787</v>
      </c>
      <c r="U22" s="22">
        <f>financials!T22 / financials!T4</f>
        <v>0.19758045240320093</v>
      </c>
      <c r="V22" s="22">
        <f>financials!U22 / financials!U4</f>
        <v>0.198578219728095</v>
      </c>
      <c r="W22" s="22">
        <f>financials!V22 / financials!V4</f>
        <v>0.20106533515086691</v>
      </c>
      <c r="X22" s="22">
        <f>financials!W22 / financials!W4</f>
        <v>0.1994252962796495</v>
      </c>
      <c r="Y22" s="22">
        <f>financials!X22 / financials!X4</f>
        <v>0.19963982333088978</v>
      </c>
      <c r="Z22" s="22">
        <f>financials!Y22 / financials!Y4</f>
        <v>0.20652584288420681</v>
      </c>
      <c r="AA22" s="22">
        <f>financials!Z22 / financials!Z4</f>
        <v>0.20665724507550734</v>
      </c>
      <c r="AB22" s="22">
        <f>financials!AA22 / financials!AA4</f>
        <v>0.20764809301328024</v>
      </c>
      <c r="AC22" s="22">
        <f>financials!AB22 / financials!AB4</f>
        <v>0.2004167220560549</v>
      </c>
      <c r="AD22" s="22">
        <f>financials!AC22 / financials!AC4</f>
        <v>0.20471500677441393</v>
      </c>
      <c r="AE22" s="22">
        <f>financials!AD22 / financials!AD4</f>
        <v>0.20284692547323219</v>
      </c>
      <c r="AF22" s="22">
        <f>financials!AE22 / financials!AE4</f>
        <v>0.20398102822618716</v>
      </c>
      <c r="AG22" s="22">
        <f>financials!AF22 / financials!AF4</f>
        <v>0.20560626986552535</v>
      </c>
      <c r="AH22" s="22">
        <f>financials!AG22 / financials!AG4</f>
        <v>0.20186987964803793</v>
      </c>
      <c r="AI22" s="22">
        <f>financials!AH22 / financials!AH4</f>
        <v>0.20236806639304539</v>
      </c>
      <c r="AJ22" s="22">
        <f>financials!AI22 / financials!AI4</f>
        <v>0.20543317880682585</v>
      </c>
      <c r="AK22" s="22">
        <f>financials!AJ22 / financials!AJ4</f>
        <v>0.20583747794796761</v>
      </c>
      <c r="AL22" s="22">
        <f>financials!AK22 / financials!AK4</f>
        <v>0.20064978495851143</v>
      </c>
      <c r="AM22" s="22">
        <f>financials!AL22 / financials!AL4</f>
        <v>0.23940710972762458</v>
      </c>
      <c r="AN22" s="22">
        <f>financials!AM22 / financials!AM4</f>
        <v>0.23940711081032273</v>
      </c>
      <c r="AO22" s="22" t="e">
        <f>financials!#REF! / financials!#REF!</f>
        <v>#REF!</v>
      </c>
      <c r="AP22" s="22" t="e">
        <f>financials!AN22 / financials!AN4</f>
        <v>#DIV/0!</v>
      </c>
      <c r="AQ22" s="22" t="e">
        <f>financials!AO22 / financials!AO4</f>
        <v>#DIV/0!</v>
      </c>
      <c r="AR22" s="22" t="e">
        <f>financials!AP22 / financials!AP4</f>
        <v>#DIV/0!</v>
      </c>
      <c r="AS22" s="22" t="e">
        <f>financials!AQ22 / financials!AQ4</f>
        <v>#DIV/0!</v>
      </c>
      <c r="AT22" s="22" t="e">
        <f>financials!AR22 / financials!AR4</f>
        <v>#DIV/0!</v>
      </c>
      <c r="AU22" s="22" t="e">
        <f>financials!AS22 / financials!AS4</f>
        <v>#DIV/0!</v>
      </c>
      <c r="AV22" s="22" t="e">
        <f>financials!AT22 / financials!AT4</f>
        <v>#DIV/0!</v>
      </c>
      <c r="AW22" s="22" t="e">
        <f>financials!AU22 / financials!AU4</f>
        <v>#DIV/0!</v>
      </c>
      <c r="AX22" s="22" t="e">
        <f>financials!AV22 / financials!AV4</f>
        <v>#DIV/0!</v>
      </c>
    </row>
    <row r="23" spans="1:50">
      <c r="A23" s="19" t="s">
        <v>162</v>
      </c>
      <c r="B23" s="20" t="s">
        <v>163</v>
      </c>
      <c r="C23" s="22">
        <f>financials!B22 / C3</f>
        <v>0.14691536893034071</v>
      </c>
      <c r="D23" s="22">
        <f>financials!C22 / D3</f>
        <v>0.15388183372094699</v>
      </c>
      <c r="E23" s="22">
        <f>financials!D22 / E3</f>
        <v>0.15372398208112911</v>
      </c>
      <c r="F23" s="22">
        <f>financials!E22 / F3</f>
        <v>0.14658775669087809</v>
      </c>
      <c r="G23" s="22">
        <f>financials!F22 / G3</f>
        <v>0.14611148147756345</v>
      </c>
      <c r="H23" s="22">
        <f>financials!G22 / H3</f>
        <v>0.14454017457189333</v>
      </c>
      <c r="I23" s="22">
        <f>financials!H22 / I3</f>
        <v>0.13622569200513124</v>
      </c>
      <c r="J23" s="22">
        <f>financials!I22 / J3</f>
        <v>0.13466000596564939</v>
      </c>
      <c r="K23" s="22">
        <f>financials!J22 / K3</f>
        <v>0.13358552506071725</v>
      </c>
      <c r="L23" s="22">
        <f>financials!K22 / L3</f>
        <v>0.13291133289439563</v>
      </c>
      <c r="M23" s="22">
        <f>financials!L22 / M3</f>
        <v>0.13320438140927568</v>
      </c>
      <c r="N23" s="22">
        <f>financials!M22 / N3</f>
        <v>0.3841487601622573</v>
      </c>
      <c r="O23" s="22">
        <f>financials!N22 / O3</f>
        <v>0.37380597039071711</v>
      </c>
      <c r="P23" s="22">
        <f>financials!O22 / P3</f>
        <v>0.47206469145794494</v>
      </c>
      <c r="Q23" s="22">
        <f>financials!P22 / Q3</f>
        <v>0.46973216210475927</v>
      </c>
      <c r="R23" s="22">
        <f>financials!Q22 / R3</f>
        <v>0.44767792762179437</v>
      </c>
      <c r="S23" s="22">
        <f>financials!R22 / S3</f>
        <v>0.48560880951565455</v>
      </c>
      <c r="T23" s="22">
        <f>financials!S22 / T3</f>
        <v>0.48046817215519111</v>
      </c>
      <c r="U23" s="22">
        <f>financials!T22 / U3</f>
        <v>0.47413229445205218</v>
      </c>
      <c r="V23" s="22">
        <f>financials!U22 / V3</f>
        <v>0.47095170135419723</v>
      </c>
      <c r="W23" s="22">
        <f>financials!V22 / W3</f>
        <v>0.4693069052684527</v>
      </c>
      <c r="X23" s="22">
        <f>financials!W22 / X3</f>
        <v>0.46539012130246787</v>
      </c>
      <c r="Y23" s="22">
        <f>financials!X22 / Y3</f>
        <v>0.46250439848555713</v>
      </c>
      <c r="Z23" s="22">
        <f>financials!Y22 / Z3</f>
        <v>0.44292641668228699</v>
      </c>
      <c r="AA23" s="22">
        <f>financials!Z22 / AA3</f>
        <v>0.45637028890180165</v>
      </c>
      <c r="AB23" s="22">
        <f>financials!AA22 / AB3</f>
        <v>0.4497951698749576</v>
      </c>
      <c r="AC23" s="22">
        <f>financials!AB22 / AC3</f>
        <v>0.4608166524443148</v>
      </c>
      <c r="AD23" s="22">
        <f>financials!AC22 / AD3</f>
        <v>0.45363631399972631</v>
      </c>
      <c r="AE23" s="22">
        <f>financials!AD22 / AE3</f>
        <v>0.44897464098160483</v>
      </c>
      <c r="AF23" s="22">
        <f>financials!AE22 / AF3</f>
        <v>0.44773301095621404</v>
      </c>
      <c r="AG23" s="22">
        <f>financials!AF22 / AG3</f>
        <v>0.43604619206120843</v>
      </c>
      <c r="AH23" s="22">
        <f>financials!AG22 / AH3</f>
        <v>0.43284116462958222</v>
      </c>
      <c r="AI23" s="22">
        <f>financials!AH22 / AI3</f>
        <v>0.42811001276127741</v>
      </c>
      <c r="AJ23" s="22">
        <f>financials!AI22 / AJ3</f>
        <v>0.42699728484416449</v>
      </c>
      <c r="AK23" s="22">
        <f>financials!AJ22 / AK3</f>
        <v>0.42597284913618616</v>
      </c>
      <c r="AL23" s="22">
        <f>financials!AK22 / AL3</f>
        <v>0.42131869658077092</v>
      </c>
      <c r="AM23" s="22">
        <f>financials!AL22 / AM3</f>
        <v>0.46020157776690929</v>
      </c>
      <c r="AN23" s="22">
        <f>financials!AM22 / AN3</f>
        <v>0.93805507669507016</v>
      </c>
      <c r="AO23" s="22" t="e">
        <f>financials!#REF! / AO3</f>
        <v>#REF!</v>
      </c>
      <c r="AP23" s="22" t="e">
        <f>financials!AN22 / AP3</f>
        <v>#DIV/0!</v>
      </c>
      <c r="AQ23" s="22" t="e">
        <f>financials!AO22 / AQ3</f>
        <v>#DIV/0!</v>
      </c>
      <c r="AR23" s="22" t="e">
        <f>financials!AP22 / AR3</f>
        <v>#DIV/0!</v>
      </c>
      <c r="AS23" s="22" t="e">
        <f>financials!AQ22 / AS3</f>
        <v>#DIV/0!</v>
      </c>
      <c r="AT23" s="22" t="e">
        <f>financials!AR22 / AT3</f>
        <v>#DIV/0!</v>
      </c>
      <c r="AU23" s="22" t="e">
        <f>financials!AS22 / AU3</f>
        <v>#DIV/0!</v>
      </c>
      <c r="AV23" s="22" t="e">
        <f>financials!AT22 / AV3</f>
        <v>#DIV/0!</v>
      </c>
      <c r="AW23" s="22" t="e">
        <f>financials!AU22 / AW3</f>
        <v>#DIV/0!</v>
      </c>
      <c r="AX23" s="22" t="e">
        <f>financials!AV22 / AX3</f>
        <v>#DIV/0!</v>
      </c>
    </row>
    <row r="24" spans="1:50">
      <c r="A24" s="19" t="s">
        <v>164</v>
      </c>
      <c r="B24" s="20"/>
      <c r="C24" s="22">
        <f>financials!B27 / financials!B3</f>
        <v>0.45152903303520597</v>
      </c>
      <c r="D24" s="22">
        <f>financials!C27 / financials!C3</f>
        <v>0.4426966319383106</v>
      </c>
      <c r="E24" s="22">
        <f>financials!D27 / financials!D3</f>
        <v>0.45305113054094032</v>
      </c>
      <c r="F24" s="22">
        <f>financials!E27 / financials!E3</f>
        <v>0.43319110726845028</v>
      </c>
      <c r="G24" s="22">
        <f>financials!F27 / financials!F3</f>
        <v>0.42161842128203597</v>
      </c>
      <c r="H24" s="22">
        <f>financials!G27 / financials!G3</f>
        <v>0.43865114886490986</v>
      </c>
      <c r="I24" s="22" t="e">
        <f>financials!H27 / financials!H3</f>
        <v>#DIV/0!</v>
      </c>
      <c r="J24" s="22">
        <f>financials!I27 / financials!I3</f>
        <v>0.46416741753899515</v>
      </c>
      <c r="K24" s="22">
        <f>financials!J27 / financials!J3</f>
        <v>0.47261616985763655</v>
      </c>
      <c r="L24" s="22">
        <f>financials!K27 / financials!K3</f>
        <v>0.47093611061332208</v>
      </c>
      <c r="M24" s="22">
        <f>financials!L27 / financials!L3</f>
        <v>0.47989598380036125</v>
      </c>
      <c r="N24" s="22">
        <f>financials!M27 / financials!M3</f>
        <v>0.44144911428498901</v>
      </c>
      <c r="O24" s="22">
        <f>financials!N27 / financials!N3</f>
        <v>0.4444177700286262</v>
      </c>
      <c r="P24" s="22">
        <f>financials!O27 / financials!O3</f>
        <v>0.44599229272872554</v>
      </c>
      <c r="Q24" s="22">
        <f>financials!P27 / financials!P3</f>
        <v>0.45678668866068234</v>
      </c>
      <c r="R24" s="22">
        <f>financials!Q27 / financials!Q3</f>
        <v>0.4554543875802497</v>
      </c>
      <c r="S24" s="22">
        <f>financials!R27 / financials!R3</f>
        <v>0.45361044178137078</v>
      </c>
      <c r="T24" s="22">
        <f>financials!S27 / financials!S3</f>
        <v>0.45346638657050192</v>
      </c>
      <c r="U24" s="22">
        <f>financials!T27 / financials!T3</f>
        <v>0.47125163322044655</v>
      </c>
      <c r="V24" s="22">
        <f>financials!U27 / financials!U3</f>
        <v>0.48710430641882219</v>
      </c>
      <c r="W24" s="22">
        <f>financials!V27 / financials!V3</f>
        <v>0.4839213527410699</v>
      </c>
      <c r="X24" s="22">
        <f>financials!W27 / financials!W3</f>
        <v>0.48041263645495941</v>
      </c>
      <c r="Y24" s="22">
        <f>financials!X27 / financials!X3</f>
        <v>0.47349713800600873</v>
      </c>
      <c r="Z24" s="22">
        <f>financials!Y27 / financials!Y3</f>
        <v>0.47118319054846586</v>
      </c>
      <c r="AA24" s="22">
        <f>financials!Z27 / financials!Z3</f>
        <v>0.47114562545786015</v>
      </c>
      <c r="AB24" s="22">
        <f>financials!AA27 / financials!AA3</f>
        <v>0.46686169580902165</v>
      </c>
      <c r="AC24" s="22">
        <f>financials!AB27 / financials!AB3</f>
        <v>0.46982694058882263</v>
      </c>
      <c r="AD24" s="22">
        <f>financials!AC27 / financials!AC3</f>
        <v>0.49417002035637353</v>
      </c>
      <c r="AE24" s="22">
        <f>financials!AD27 / financials!AD3</f>
        <v>0.51705130290881496</v>
      </c>
      <c r="AF24" s="22">
        <f>financials!AE27 / financials!AE3</f>
        <v>0.52828040691133071</v>
      </c>
      <c r="AG24" s="22">
        <f>financials!AF27 / financials!AF3</f>
        <v>0.52149480265394355</v>
      </c>
      <c r="AH24" s="22">
        <f>financials!AG27 / financials!AG3</f>
        <v>0.51207443569595834</v>
      </c>
      <c r="AI24" s="22">
        <f>financials!AH27 / financials!AH3</f>
        <v>0.50823025113946818</v>
      </c>
      <c r="AJ24" s="22">
        <f>financials!AI27 / financials!AI3</f>
        <v>0.51366357275736507</v>
      </c>
      <c r="AK24" s="22">
        <f>financials!AJ27 / financials!AJ3</f>
        <v>0.51373777799778941</v>
      </c>
      <c r="AL24" s="22">
        <f>financials!AK27 / financials!AK3</f>
        <v>0.51308790904225565</v>
      </c>
      <c r="AM24" s="22">
        <f>financials!AL27 / financials!AL3</f>
        <v>0.53297716472668522</v>
      </c>
      <c r="AN24" s="22">
        <f>financials!AM27 / financials!AM3</f>
        <v>0.53293926059844821</v>
      </c>
      <c r="AO24" s="22" t="e">
        <f>financials!#REF! / financials!#REF!</f>
        <v>#REF!</v>
      </c>
      <c r="AP24" s="22" t="e">
        <f>financials!AN27 / financials!AN3</f>
        <v>#DIV/0!</v>
      </c>
      <c r="AQ24" s="22" t="e">
        <f>financials!AO27 / financials!AO3</f>
        <v>#DIV/0!</v>
      </c>
      <c r="AR24" s="22" t="e">
        <f>financials!AP27 / financials!AP3</f>
        <v>#DIV/0!</v>
      </c>
      <c r="AS24" s="22" t="e">
        <f>financials!AQ27 / financials!AQ3</f>
        <v>#DIV/0!</v>
      </c>
      <c r="AT24" s="22" t="e">
        <f>financials!AR27 / financials!AR3</f>
        <v>#DIV/0!</v>
      </c>
      <c r="AU24" s="22" t="e">
        <f>financials!AS27 / financials!AS3</f>
        <v>#DIV/0!</v>
      </c>
      <c r="AV24" s="22" t="e">
        <f>financials!AT27 / financials!AT3</f>
        <v>#DIV/0!</v>
      </c>
      <c r="AW24" s="22" t="e">
        <f>financials!AU27 / financials!AU3</f>
        <v>#DIV/0!</v>
      </c>
      <c r="AX24" s="22" t="e">
        <f>financials!AV27 / financials!AV3</f>
        <v>#DIV/0!</v>
      </c>
    </row>
    <row r="25" spans="1:50">
      <c r="A25" s="46" t="s">
        <v>165</v>
      </c>
      <c r="B25" s="46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</row>
    <row r="26" spans="1:50">
      <c r="A26" s="19" t="s">
        <v>166</v>
      </c>
      <c r="B26" s="20"/>
      <c r="C26" s="22">
        <f>financials!B4 / financials!B3</f>
        <v>0.66738665790104401</v>
      </c>
      <c r="D26" s="22">
        <f>financials!C4 / financials!C3</f>
        <v>0.68773466433491348</v>
      </c>
      <c r="E26" s="22">
        <f>financials!D4 / financials!D3</f>
        <v>0.69866259947551723</v>
      </c>
      <c r="F26" s="22">
        <f>financials!E4 / financials!E3</f>
        <v>0.69104914897984293</v>
      </c>
      <c r="G26" s="22">
        <f>financials!F4 / financials!F3</f>
        <v>0.69093310570173305</v>
      </c>
      <c r="H26" s="22">
        <f>financials!G4 / financials!G3</f>
        <v>0.68680098083293806</v>
      </c>
      <c r="I26" s="22" t="e">
        <f>financials!H4 / financials!H3</f>
        <v>#DIV/0!</v>
      </c>
      <c r="J26" s="22">
        <f>financials!I4 / financials!I3</f>
        <v>0.67131822400905072</v>
      </c>
      <c r="K26" s="22">
        <f>financials!J4 / financials!J3</f>
        <v>0.67129976690704107</v>
      </c>
      <c r="L26" s="22">
        <f>financials!K4 / financials!K3</f>
        <v>0.66844877329431185</v>
      </c>
      <c r="M26" s="22">
        <f>financials!L4 / financials!L3</f>
        <v>0.66456281354227642</v>
      </c>
      <c r="N26" s="22">
        <f>financials!M4 / financials!M3</f>
        <v>0.61132136016405692</v>
      </c>
      <c r="O26" s="22">
        <f>financials!N4 / financials!N3</f>
        <v>0.61258193980827846</v>
      </c>
      <c r="P26" s="22">
        <f>financials!O4 / financials!O3</f>
        <v>0.63925032379213387</v>
      </c>
      <c r="Q26" s="22">
        <f>financials!P4 / financials!P3</f>
        <v>0.63219567156625434</v>
      </c>
      <c r="R26" s="22">
        <f>financials!Q4 / financials!Q3</f>
        <v>0.62468618128373143</v>
      </c>
      <c r="S26" s="22">
        <f>financials!R4 / financials!R3</f>
        <v>0.62125951316631634</v>
      </c>
      <c r="T26" s="22">
        <f>financials!S4 / financials!S3</f>
        <v>0.61844701164886018</v>
      </c>
      <c r="U26" s="22">
        <f>financials!T4 / financials!T3</f>
        <v>0.62777306252926113</v>
      </c>
      <c r="V26" s="22">
        <f>financials!U4 / financials!U3</f>
        <v>0.62544037079189874</v>
      </c>
      <c r="W26" s="22">
        <f>financials!V4 / financials!V3</f>
        <v>0.62177188228591329</v>
      </c>
      <c r="X26" s="22">
        <f>financials!W4 / financials!W3</f>
        <v>0.62192318989827977</v>
      </c>
      <c r="Y26" s="22">
        <f>financials!X4 / financials!X3</f>
        <v>0.62049997589938266</v>
      </c>
      <c r="Z26" s="22">
        <f>financials!Y4 / financials!Y3</f>
        <v>0.60676193771106313</v>
      </c>
      <c r="AA26" s="22">
        <f>financials!Z4 / financials!Z3</f>
        <v>0.60671356376218288</v>
      </c>
      <c r="AB26" s="22">
        <f>financials!AA4 / financials!AA3</f>
        <v>0.60647840066672476</v>
      </c>
      <c r="AC26" s="22">
        <f>financials!AB4 / financials!AB3</f>
        <v>0.63146036836844477</v>
      </c>
      <c r="AD26" s="22">
        <f>financials!AC4 / financials!AC3</f>
        <v>0.62684302125476998</v>
      </c>
      <c r="AE26" s="22">
        <f>financials!AD4 / financials!AD3</f>
        <v>0.62621265212328903</v>
      </c>
      <c r="AF26" s="22">
        <f>financials!AE4 / financials!AE3</f>
        <v>0.62277166131098882</v>
      </c>
      <c r="AG26" s="22">
        <f>financials!AF4 / financials!AF3</f>
        <v>0.61534688281291805</v>
      </c>
      <c r="AH26" s="22">
        <f>financials!AG4 / financials!AG3</f>
        <v>0.61845287945190308</v>
      </c>
      <c r="AI26" s="22">
        <f>financials!AH4 / financials!AH3</f>
        <v>0.61532799335792054</v>
      </c>
      <c r="AJ26" s="22">
        <f>financials!AI4 / financials!AI3</f>
        <v>0.61102087406673178</v>
      </c>
      <c r="AK26" s="22">
        <f>financials!AJ4 / financials!AJ3</f>
        <v>0.60749328172587203</v>
      </c>
      <c r="AL26" s="22">
        <f>financials!AK4 / financials!AK3</f>
        <v>0.60950217433044573</v>
      </c>
      <c r="AM26" s="22">
        <f>financials!AL4 / financials!AL3</f>
        <v>0.59020399027996084</v>
      </c>
      <c r="AN26" s="22">
        <f>financials!AM4 / financials!AM3</f>
        <v>0.59016201623084519</v>
      </c>
      <c r="AO26" s="22" t="e">
        <f>financials!#REF! / financials!#REF!</f>
        <v>#REF!</v>
      </c>
      <c r="AP26" s="22" t="e">
        <f>financials!AN4 / financials!AN3</f>
        <v>#DIV/0!</v>
      </c>
      <c r="AQ26" s="22" t="e">
        <f>financials!AO4 / financials!AO3</f>
        <v>#DIV/0!</v>
      </c>
      <c r="AR26" s="22" t="e">
        <f>financials!AP4 / financials!AP3</f>
        <v>#DIV/0!</v>
      </c>
      <c r="AS26" s="22" t="e">
        <f>financials!AQ4 / financials!AQ3</f>
        <v>#DIV/0!</v>
      </c>
      <c r="AT26" s="22" t="e">
        <f>financials!AR4 / financials!AR3</f>
        <v>#DIV/0!</v>
      </c>
      <c r="AU26" s="22" t="e">
        <f>financials!AS4 / financials!AS3</f>
        <v>#DIV/0!</v>
      </c>
      <c r="AV26" s="22" t="e">
        <f>financials!AT4 / financials!AT3</f>
        <v>#DIV/0!</v>
      </c>
      <c r="AW26" s="22" t="e">
        <f>financials!AU4 / financials!AU3</f>
        <v>#DIV/0!</v>
      </c>
      <c r="AX26" s="22" t="e">
        <f>financials!AV4 / financials!AV3</f>
        <v>#DIV/0!</v>
      </c>
    </row>
    <row r="27" spans="1:50">
      <c r="A27" s="19" t="s">
        <v>167</v>
      </c>
      <c r="B27" s="20"/>
      <c r="C27" s="22">
        <f>financials!B5 / financials!B3</f>
        <v>0.5422486763804466</v>
      </c>
      <c r="D27" s="22">
        <f>financials!C5 / financials!C3</f>
        <v>0.54570334369387008</v>
      </c>
      <c r="E27" s="22">
        <f>financials!D5 / financials!D3</f>
        <v>0.56623763403405902</v>
      </c>
      <c r="F27" s="22">
        <f>financials!E5 / financials!E3</f>
        <v>0.55612523090772803</v>
      </c>
      <c r="G27" s="22">
        <f>financials!F5 / financials!F3</f>
        <v>0.55272278754691306</v>
      </c>
      <c r="H27" s="22">
        <f>financials!G5 / financials!G3</f>
        <v>0.5496521499468664</v>
      </c>
      <c r="I27" s="22" t="e">
        <f>financials!H5 / financials!H3</f>
        <v>#DIV/0!</v>
      </c>
      <c r="J27" s="22">
        <f>financials!I5 / financials!I3</f>
        <v>0.54785509627839801</v>
      </c>
      <c r="K27" s="22">
        <f>financials!J5 / financials!J3</f>
        <v>0.54212714409024398</v>
      </c>
      <c r="L27" s="22">
        <f>financials!K5 / financials!K3</f>
        <v>0.54138866090409155</v>
      </c>
      <c r="M27" s="22">
        <f>financials!L5 / financials!L3</f>
        <v>0.53637724372812579</v>
      </c>
      <c r="N27" s="22">
        <f>financials!M5 / financials!M3</f>
        <v>0.49340537822504166</v>
      </c>
      <c r="O27" s="22">
        <f>financials!N5 / financials!N3</f>
        <v>0.49051595100264572</v>
      </c>
      <c r="P27" s="22">
        <f>financials!O5 / financials!O3</f>
        <v>0.48698798364236007</v>
      </c>
      <c r="Q27" s="22">
        <f>financials!P5 / financials!P3</f>
        <v>0.49993045653009871</v>
      </c>
      <c r="R27" s="22">
        <f>financials!Q5 / financials!Q3</f>
        <v>0.49381132137123623</v>
      </c>
      <c r="S27" s="22">
        <f>financials!R5 / financials!R3</f>
        <v>0.49502171913962528</v>
      </c>
      <c r="T27" s="22">
        <f>financials!S5 / financials!S3</f>
        <v>0.49752315357945703</v>
      </c>
      <c r="U27" s="22">
        <f>financials!T5 / financials!T3</f>
        <v>0.48016626656521044</v>
      </c>
      <c r="V27" s="22">
        <f>financials!U5 / financials!U3</f>
        <v>0.4832926133316478</v>
      </c>
      <c r="W27" s="22">
        <f>financials!V5 / financials!V3</f>
        <v>0.48783025046463879</v>
      </c>
      <c r="X27" s="22">
        <f>financials!W5 / financials!W3</f>
        <v>0.48579422465957561</v>
      </c>
      <c r="Y27" s="22">
        <f>financials!X5 / financials!X3</f>
        <v>0.48628264387714792</v>
      </c>
      <c r="Z27" s="22">
        <f>financials!Y5 / financials!Y3</f>
        <v>0.4817648377718789</v>
      </c>
      <c r="AA27" s="22">
        <f>financials!Z5 / financials!Z3</f>
        <v>0.48172642918658992</v>
      </c>
      <c r="AB27" s="22">
        <f>financials!AA5 / financials!AA3</f>
        <v>0.48613031607068669</v>
      </c>
      <c r="AC27" s="22">
        <f>financials!AB5 / financials!AB3</f>
        <v>0.49099218522804366</v>
      </c>
      <c r="AD27" s="22">
        <f>financials!AC5 / financials!AC3</f>
        <v>0.50080293555120525</v>
      </c>
      <c r="AE27" s="22">
        <f>financials!AD5 / financials!AD3</f>
        <v>0.49940340092590635</v>
      </c>
      <c r="AF27" s="22">
        <f>financials!AE5 / financials!AE3</f>
        <v>0.50255964763289496</v>
      </c>
      <c r="AG27" s="22">
        <f>financials!AF5 / financials!AF3</f>
        <v>0.50215466483381033</v>
      </c>
      <c r="AH27" s="22">
        <f>financials!AG5 / financials!AG3</f>
        <v>0.49635590299019089</v>
      </c>
      <c r="AI27" s="22">
        <f>financials!AH5 / financials!AH3</f>
        <v>0.49624411965159398</v>
      </c>
      <c r="AJ27" s="22">
        <f>financials!AI5 / financials!AI3</f>
        <v>0.49403534739860444</v>
      </c>
      <c r="AK27" s="22">
        <f>financials!AJ5 / financials!AJ3</f>
        <v>0.49307721588830083</v>
      </c>
      <c r="AL27" s="22">
        <f>financials!AK5 / financials!AK3</f>
        <v>0.48280830286177601</v>
      </c>
      <c r="AM27" s="22">
        <f>financials!AL5 / financials!AL3</f>
        <v>0.46919328348379624</v>
      </c>
      <c r="AN27" s="22">
        <f>financials!AM5 / financials!AM3</f>
        <v>0.46915991562602449</v>
      </c>
      <c r="AO27" s="22" t="e">
        <f>financials!#REF! / financials!#REF!</f>
        <v>#REF!</v>
      </c>
      <c r="AP27" s="22" t="e">
        <f>financials!AN5 / financials!AN3</f>
        <v>#DIV/0!</v>
      </c>
      <c r="AQ27" s="22" t="e">
        <f>financials!AO5 / financials!AO3</f>
        <v>#DIV/0!</v>
      </c>
      <c r="AR27" s="22" t="e">
        <f>financials!AP5 / financials!AP3</f>
        <v>#DIV/0!</v>
      </c>
      <c r="AS27" s="22" t="e">
        <f>financials!AQ5 / financials!AQ3</f>
        <v>#DIV/0!</v>
      </c>
      <c r="AT27" s="22" t="e">
        <f>financials!AR5 / financials!AR3</f>
        <v>#DIV/0!</v>
      </c>
      <c r="AU27" s="22" t="e">
        <f>financials!AS5 / financials!AS3</f>
        <v>#DIV/0!</v>
      </c>
      <c r="AV27" s="22" t="e">
        <f>financials!AT5 / financials!AT3</f>
        <v>#DIV/0!</v>
      </c>
      <c r="AW27" s="22" t="e">
        <f>financials!AU5 / financials!AU3</f>
        <v>#DIV/0!</v>
      </c>
      <c r="AX27" s="22" t="e">
        <f>financials!AV5 / financials!AV3</f>
        <v>#DIV/0!</v>
      </c>
    </row>
    <row r="28" spans="1:50">
      <c r="A28" s="19" t="s">
        <v>168</v>
      </c>
      <c r="B28" s="20"/>
      <c r="C28" s="22">
        <f>financials!B6 / financials!B3</f>
        <v>0.65447838244995482</v>
      </c>
      <c r="D28" s="22">
        <f>financials!C6 / financials!C3</f>
        <v>0.67452008628261673</v>
      </c>
      <c r="E28" s="22">
        <f>financials!D6 / financials!D3</f>
        <v>0.68437098527360163</v>
      </c>
      <c r="F28" s="22">
        <f>financials!E6 / financials!E3</f>
        <v>0.67625345969039496</v>
      </c>
      <c r="G28" s="22">
        <f>financials!F6 / financials!F3</f>
        <v>0.67272367865291993</v>
      </c>
      <c r="H28" s="22">
        <f>financials!G6 / financials!G3</f>
        <v>0.66865386064129806</v>
      </c>
      <c r="I28" s="22" t="e">
        <f>financials!H6 / financials!H3</f>
        <v>#DIV/0!</v>
      </c>
      <c r="J28" s="22">
        <f>financials!I6 / financials!I3</f>
        <v>0.65541285657939352</v>
      </c>
      <c r="K28" s="22">
        <f>financials!J6 / financials!J3</f>
        <v>0.65414968029858478</v>
      </c>
      <c r="L28" s="22">
        <f>financials!K6 / financials!K3</f>
        <v>0.65365041675305702</v>
      </c>
      <c r="M28" s="22">
        <f>financials!L6 / financials!L3</f>
        <v>0.65174561264059216</v>
      </c>
      <c r="N28" s="22">
        <f>financials!M6 / financials!M3</f>
        <v>0.60165987041337199</v>
      </c>
      <c r="O28" s="22">
        <f>financials!N6 / financials!N3</f>
        <v>0.59896034675849164</v>
      </c>
      <c r="P28" s="22">
        <f>financials!O6 / financials!O3</f>
        <v>0.62389565653539814</v>
      </c>
      <c r="Q28" s="22">
        <f>financials!P6 / financials!P3</f>
        <v>0.61573551132660065</v>
      </c>
      <c r="R28" s="22">
        <f>financials!Q6 / financials!Q3</f>
        <v>0.60956849824550829</v>
      </c>
      <c r="S28" s="22">
        <f>financials!R6 / financials!R3</f>
        <v>0.6062867016825817</v>
      </c>
      <c r="T28" s="22">
        <f>financials!S6 / financials!S3</f>
        <v>0.59946088032057721</v>
      </c>
      <c r="U28" s="22">
        <f>financials!T6 / financials!T3</f>
        <v>0.60461842939423383</v>
      </c>
      <c r="V28" s="22">
        <f>financials!U6 / financials!U3</f>
        <v>0.6020569550117254</v>
      </c>
      <c r="W28" s="22">
        <f>financials!V6 / financials!V3</f>
        <v>0.59920808856482677</v>
      </c>
      <c r="X28" s="22">
        <f>financials!W6 / financials!W3</f>
        <v>0.59889599810130212</v>
      </c>
      <c r="Y28" s="22">
        <f>financials!X6 / financials!X3</f>
        <v>0.59548010892119729</v>
      </c>
      <c r="Z28" s="22">
        <f>financials!Y6 / financials!Y3</f>
        <v>0.58442526857824839</v>
      </c>
      <c r="AA28" s="22">
        <f>financials!Z6 / financials!Z3</f>
        <v>0.58652019227411811</v>
      </c>
      <c r="AB28" s="22">
        <f>financials!AA6 / financials!AA3</f>
        <v>0.58641907017385775</v>
      </c>
      <c r="AC28" s="22">
        <f>financials!AB6 / financials!AB3</f>
        <v>0.61005768575146979</v>
      </c>
      <c r="AD28" s="22">
        <f>financials!AC6 / financials!AC3</f>
        <v>0.60526132929200049</v>
      </c>
      <c r="AE28" s="22">
        <f>financials!AD6 / financials!AD3</f>
        <v>0.60593087137897539</v>
      </c>
      <c r="AF28" s="22">
        <f>financials!AE6 / financials!AE3</f>
        <v>0.6029696919557207</v>
      </c>
      <c r="AG28" s="22">
        <f>financials!AF6 / financials!AF3</f>
        <v>0.59657415545920744</v>
      </c>
      <c r="AH28" s="22">
        <f>financials!AG6 / financials!AG3</f>
        <v>0.6004183131758426</v>
      </c>
      <c r="AI28" s="22">
        <f>financials!AH6 / financials!AH3</f>
        <v>0.59663193733948228</v>
      </c>
      <c r="AJ28" s="22">
        <f>financials!AI6 / financials!AI3</f>
        <v>0.59112528487938154</v>
      </c>
      <c r="AK28" s="22">
        <f>financials!AJ6 / financials!AJ3</f>
        <v>0.58769527187516357</v>
      </c>
      <c r="AL28" s="22">
        <f>financials!AK6 / financials!AK3</f>
        <v>0.59052101850217742</v>
      </c>
      <c r="AM28" s="22">
        <f>financials!AL6 / financials!AL3</f>
        <v>0.57125300646081345</v>
      </c>
      <c r="AN28" s="22">
        <f>financials!AM6 / financials!AM3</f>
        <v>0.48555302573102704</v>
      </c>
      <c r="AO28" s="22" t="e">
        <f>financials!#REF! / financials!#REF!</f>
        <v>#REF!</v>
      </c>
      <c r="AP28" s="22" t="e">
        <f>financials!AN6 / financials!AN3</f>
        <v>#DIV/0!</v>
      </c>
      <c r="AQ28" s="22" t="e">
        <f>financials!AO6 / financials!AO3</f>
        <v>#DIV/0!</v>
      </c>
      <c r="AR28" s="22" t="e">
        <f>financials!AP6 / financials!AP3</f>
        <v>#DIV/0!</v>
      </c>
      <c r="AS28" s="22" t="e">
        <f>financials!AQ6 / financials!AQ3</f>
        <v>#DIV/0!</v>
      </c>
      <c r="AT28" s="22" t="e">
        <f>financials!AR6 / financials!AR3</f>
        <v>#DIV/0!</v>
      </c>
      <c r="AU28" s="22" t="e">
        <f>financials!AS6 / financials!AS3</f>
        <v>#DIV/0!</v>
      </c>
      <c r="AV28" s="22" t="e">
        <f>financials!AT6 / financials!AT3</f>
        <v>#DIV/0!</v>
      </c>
      <c r="AW28" s="22" t="e">
        <f>financials!AU6 / financials!AU3</f>
        <v>#DIV/0!</v>
      </c>
      <c r="AX28" s="22" t="e">
        <f>financials!AV6 / financials!AV3</f>
        <v>#DIV/0!</v>
      </c>
    </row>
    <row r="29" spans="1:50">
      <c r="A29" s="46" t="s">
        <v>169</v>
      </c>
      <c r="B29" s="46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</row>
    <row r="30" spans="1:50">
      <c r="A30" s="19" t="s">
        <v>38</v>
      </c>
      <c r="B30" s="20"/>
      <c r="C30" s="23">
        <f>(financials!C3 / financials!B3) - 1</f>
        <v>3.1184050975201494E-3</v>
      </c>
      <c r="D30" s="23">
        <f>(financials!D3 / financials!C3) - 1</f>
        <v>-2.6855226403328492E-2</v>
      </c>
      <c r="E30" s="23">
        <f>(financials!E3 / financials!D3) - 1</f>
        <v>2.6364660360034042E-2</v>
      </c>
      <c r="F30" s="23">
        <f>(financials!F3 / financials!E3) - 1</f>
        <v>1.4795075033618099E-2</v>
      </c>
      <c r="G30" s="23">
        <f>(financials!G3 / financials!F3) - 1</f>
        <v>1.5141188319608867E-2</v>
      </c>
      <c r="H30" s="23">
        <f>(financials!H3 / financials!G3) - 1</f>
        <v>-1</v>
      </c>
      <c r="I30" s="23" t="e">
        <f>(financials!I3 / financials!H3) - 1</f>
        <v>#DIV/0!</v>
      </c>
      <c r="J30" s="23">
        <f>(financials!J3 / financials!I3) - 1</f>
        <v>1.9928285742767171E-2</v>
      </c>
      <c r="K30" s="23">
        <f>(financials!K3 / financials!J3) - 1</f>
        <v>9.2770140867541873E-3</v>
      </c>
      <c r="L30" s="23">
        <f>(financials!L3 / financials!K3) - 1</f>
        <v>1.0743011154338733E-2</v>
      </c>
      <c r="M30" s="23">
        <f>(financials!M3 / financials!L3) - 1</f>
        <v>8.7092414418023623E-2</v>
      </c>
      <c r="N30" s="23">
        <f>(financials!N3 / financials!M3) - 1</f>
        <v>1.2537025598719387E-2</v>
      </c>
      <c r="O30" s="23">
        <f>(financials!O3 / financials!N3) - 1</f>
        <v>1.4112282541901333E-2</v>
      </c>
      <c r="P30" s="23">
        <f>(financials!P3 / financials!O3) - 1</f>
        <v>-2.1299403600395284E-2</v>
      </c>
      <c r="Q30" s="23">
        <f>(financials!Q3 / financials!P3) - 1</f>
        <v>1.9216201407776357E-2</v>
      </c>
      <c r="R30" s="23">
        <f>(financials!R3 / financials!Q3) - 1</f>
        <v>4.3181416761599589E-3</v>
      </c>
      <c r="S30" s="23">
        <f>(financials!S3 / financials!R3) - 1</f>
        <v>2.002560555276256E-3</v>
      </c>
      <c r="T30" s="23">
        <f>(financials!T3 / financials!S3) - 1</f>
        <v>4.6557568018580353E-2</v>
      </c>
      <c r="U30" s="23">
        <f>(financials!U3 / financials!T3) - 1</f>
        <v>3.6819174883038208E-3</v>
      </c>
      <c r="V30" s="23">
        <f>(financials!V3 / financials!U3) - 1</f>
        <v>-1.0718764641646228E-3</v>
      </c>
      <c r="W30" s="23">
        <f>(financials!W3 / financials!V3) - 1</f>
        <v>1.2944927908324688E-2</v>
      </c>
      <c r="X30" s="23">
        <f>(financials!X3 / financials!W3) - 1</f>
        <v>6.0893293655441827E-3</v>
      </c>
      <c r="Y30" s="23">
        <f>(financials!Y3 / financials!X3) - 1</f>
        <v>-4.5972980550003095E-3</v>
      </c>
      <c r="Z30" s="23">
        <f>(financials!Z3 / financials!Y3) - 1</f>
        <v>7.9731114927206193E-5</v>
      </c>
      <c r="AA30" s="23">
        <f>(financials!AA3 / financials!Z3) - 1</f>
        <v>5.1541759014561705E-4</v>
      </c>
      <c r="AB30" s="23">
        <f>(financials!AB3 / financials!AA3) - 1</f>
        <v>-2.2435785490981797E-4</v>
      </c>
      <c r="AC30" s="23">
        <f>(financials!AC3 / financials!AB3) - 1</f>
        <v>-9.0674459849250377E-3</v>
      </c>
      <c r="AD30" s="23">
        <f>(financials!AD3 / financials!AC3) - 1</f>
        <v>1.5065514587317308E-2</v>
      </c>
      <c r="AE30" s="23">
        <f>(financials!AE3 / financials!AD3) - 1</f>
        <v>4.7891066215066669E-3</v>
      </c>
      <c r="AF30" s="23">
        <f>(financials!AF3 / financials!AE3) - 1</f>
        <v>1.0353421520455042E-2</v>
      </c>
      <c r="AG30" s="23">
        <f>(financials!AG3 / financials!AF3) - 1</f>
        <v>1.8261366488467878E-2</v>
      </c>
      <c r="AH30" s="23">
        <f>(financials!AH3 / financials!AG3) - 1</f>
        <v>7.4186382635443859E-3</v>
      </c>
      <c r="AI30" s="23">
        <f>(financials!AI3 / financials!AH3) - 1</f>
        <v>-1.1645709845329311E-3</v>
      </c>
      <c r="AJ30" s="23">
        <f>(financials!AJ3 / financials!AI3) - 1</f>
        <v>9.1505253314645429E-3</v>
      </c>
      <c r="AK30" s="23">
        <f>(financials!AK3 / financials!AJ3) - 1</f>
        <v>2.7296783183936357E-2</v>
      </c>
      <c r="AL30" s="23">
        <f>(financials!AL3 / financials!AK3) - 1</f>
        <v>6.6419856404758004E-3</v>
      </c>
      <c r="AM30" s="23">
        <f>(financials!AM3 / financials!AL3) - 1</f>
        <v>7.1122506726473134E-5</v>
      </c>
      <c r="AN30" s="23" t="e">
        <f>(financials!#REF! / financials!AM3) - 1</f>
        <v>#REF!</v>
      </c>
      <c r="AO30" s="23" t="e">
        <f>(financials!AN3 / financials!#REF!) - 1</f>
        <v>#REF!</v>
      </c>
      <c r="AP30" s="23" t="e">
        <f>(financials!AO3 / financials!AN3) - 1</f>
        <v>#DIV/0!</v>
      </c>
      <c r="AQ30" s="23" t="e">
        <f>(financials!AP3 / financials!AO3) - 1</f>
        <v>#DIV/0!</v>
      </c>
      <c r="AR30" s="23" t="e">
        <f>(financials!AQ3 / financials!AP3) - 1</f>
        <v>#DIV/0!</v>
      </c>
      <c r="AS30" s="23" t="e">
        <f>(financials!AR3 / financials!AQ3) - 1</f>
        <v>#DIV/0!</v>
      </c>
      <c r="AT30" s="23" t="e">
        <f>(financials!AS3 / financials!AR3) - 1</f>
        <v>#DIV/0!</v>
      </c>
      <c r="AU30" s="23" t="e">
        <f>(financials!AT3 / financials!AS3) - 1</f>
        <v>#DIV/0!</v>
      </c>
      <c r="AV30" s="23" t="e">
        <f>(financials!AU3 / financials!AT3) - 1</f>
        <v>#DIV/0!</v>
      </c>
      <c r="AW30" s="23" t="e">
        <f>(financials!AV3 / financials!AU3) - 1</f>
        <v>#DIV/0!</v>
      </c>
      <c r="AX30" s="23" t="e">
        <f>(financials!AW3 / financials!AV3) - 1</f>
        <v>#DIV/0!</v>
      </c>
    </row>
    <row r="31" spans="1:50">
      <c r="A31" s="19" t="s">
        <v>98</v>
      </c>
      <c r="B31" s="20"/>
      <c r="C31" s="23">
        <f>(financials!C4 / financials!B4) - 1</f>
        <v>3.3702564249055822E-2</v>
      </c>
      <c r="D31" s="23">
        <f>(financials!D4 / financials!C4) - 1</f>
        <v>-1.1392194627016572E-2</v>
      </c>
      <c r="E31" s="23">
        <f>(financials!E4 / financials!D4) - 1</f>
        <v>1.5180182275724485E-2</v>
      </c>
      <c r="F31" s="23">
        <f>(financials!F4 / financials!E4) - 1</f>
        <v>1.4624667259741875E-2</v>
      </c>
      <c r="G31" s="23">
        <f>(financials!G4 / financials!F4) - 1</f>
        <v>9.0701372801116342E-3</v>
      </c>
      <c r="H31" s="23">
        <f>(financials!H4 / financials!G4) - 1</f>
        <v>-1</v>
      </c>
      <c r="I31" s="23" t="e">
        <f>(financials!I4 / financials!H4) - 1</f>
        <v>#DIV/0!</v>
      </c>
      <c r="J31" s="23">
        <f>(financials!J4 / financials!I4) - 1</f>
        <v>1.9900244018679736E-2</v>
      </c>
      <c r="K31" s="23">
        <f>(financials!K4 / financials!J4) - 1</f>
        <v>4.9906394111107755E-3</v>
      </c>
      <c r="L31" s="23">
        <f>(financials!L4 / financials!K4) - 1</f>
        <v>4.8671582574293382E-3</v>
      </c>
      <c r="M31" s="23">
        <f>(financials!M4 / financials!L4) - 1</f>
        <v>-2.0497925579121556E-10</v>
      </c>
      <c r="N31" s="23">
        <f>(financials!N4 / financials!M4) - 1</f>
        <v>1.4624934915592913E-2</v>
      </c>
      <c r="O31" s="23">
        <f>(financials!O4 / financials!N4) - 1</f>
        <v>5.826104697011103E-2</v>
      </c>
      <c r="P31" s="23">
        <f>(financials!P4 / financials!O4) - 1</f>
        <v>-3.2100168314759592E-2</v>
      </c>
      <c r="Q31" s="23">
        <f>(financials!Q4 / financials!P4) - 1</f>
        <v>7.1095159233607319E-3</v>
      </c>
      <c r="R31" s="23">
        <f>(financials!R4 / financials!Q4) - 1</f>
        <v>-1.1909684321365077E-3</v>
      </c>
      <c r="S31" s="23">
        <f>(financials!S4 / financials!R4) - 1</f>
        <v>-2.5336013260826018E-3</v>
      </c>
      <c r="T31" s="23">
        <f>(financials!T4 / financials!S4) - 1</f>
        <v>6.2339436060254272E-2</v>
      </c>
      <c r="U31" s="23">
        <f>(financials!U4 / financials!T4) - 1</f>
        <v>-4.7583912141879736E-5</v>
      </c>
      <c r="V31" s="23">
        <f>(financials!V4 / financials!U4) - 1</f>
        <v>-6.9310382813926319E-3</v>
      </c>
      <c r="W31" s="23">
        <f>(financials!W4 / financials!V4) - 1</f>
        <v>1.3191427119477517E-2</v>
      </c>
      <c r="X31" s="23">
        <f>(financials!X4 / financials!W4) - 1</f>
        <v>3.7869865023871796E-3</v>
      </c>
      <c r="Y31" s="23">
        <f>(financials!Y4 / financials!X4) - 1</f>
        <v>-2.663578453883253E-2</v>
      </c>
      <c r="Z31" s="23">
        <f>(financials!Z4 / financials!Y4) - 1</f>
        <v>0</v>
      </c>
      <c r="AA31" s="23">
        <f>(financials!AA4 / financials!Z4) - 1</f>
        <v>1.2761630020041714E-4</v>
      </c>
      <c r="AB31" s="23">
        <f>(financials!AB4 / financials!AA4) - 1</f>
        <v>4.095825107819917E-2</v>
      </c>
      <c r="AC31" s="23">
        <f>(financials!AC4 / financials!AB4) - 1</f>
        <v>-1.6313315713772814E-2</v>
      </c>
      <c r="AD31" s="23">
        <f>(financials!AD4 / financials!AC4) - 1</f>
        <v>1.4044739137754503E-2</v>
      </c>
      <c r="AE31" s="23">
        <f>(financials!AE4 / financials!AD4) - 1</f>
        <v>-7.3213296453611409E-4</v>
      </c>
      <c r="AF31" s="23">
        <f>(financials!AF4 / financials!AE4) - 1</f>
        <v>-1.6921656916630834E-3</v>
      </c>
      <c r="AG31" s="23">
        <f>(financials!AG4 / financials!AF4) - 1</f>
        <v>2.340109575379512E-2</v>
      </c>
      <c r="AH31" s="23">
        <f>(financials!AH4 / financials!AG4) - 1</f>
        <v>2.3284064963020601E-3</v>
      </c>
      <c r="AI31" s="23">
        <f>(financials!AI4 / financials!AH4) - 1</f>
        <v>-8.1561322193115515E-3</v>
      </c>
      <c r="AJ31" s="23">
        <f>(financials!AJ4 / financials!AI4) - 1</f>
        <v>3.3244205042421981E-3</v>
      </c>
      <c r="AK31" s="23">
        <f>(financials!AK4 / financials!AJ4) - 1</f>
        <v>3.0693905378568198E-2</v>
      </c>
      <c r="AL31" s="23">
        <f>(financials!AL4 / financials!AK4) - 1</f>
        <v>-2.5230521349636104E-2</v>
      </c>
      <c r="AM31" s="23">
        <f>(financials!AM4 / financials!AL4) - 1</f>
        <v>-4.1874781420148111E-10</v>
      </c>
      <c r="AN31" s="23" t="e">
        <f>(financials!#REF! / financials!AM4) - 1</f>
        <v>#REF!</v>
      </c>
      <c r="AO31" s="23" t="e">
        <f>(financials!AN4 / financials!#REF!) - 1</f>
        <v>#REF!</v>
      </c>
      <c r="AP31" s="23" t="e">
        <f>(financials!AO4 / financials!AN4) - 1</f>
        <v>#DIV/0!</v>
      </c>
      <c r="AQ31" s="23" t="e">
        <f>(financials!AP4 / financials!AO4) - 1</f>
        <v>#DIV/0!</v>
      </c>
      <c r="AR31" s="23" t="e">
        <f>(financials!AQ4 / financials!AP4) - 1</f>
        <v>#DIV/0!</v>
      </c>
      <c r="AS31" s="23" t="e">
        <f>(financials!AR4 / financials!AQ4) - 1</f>
        <v>#DIV/0!</v>
      </c>
      <c r="AT31" s="23" t="e">
        <f>(financials!AS4 / financials!AR4) - 1</f>
        <v>#DIV/0!</v>
      </c>
      <c r="AU31" s="23" t="e">
        <f>(financials!AT4 / financials!AS4) - 1</f>
        <v>#DIV/0!</v>
      </c>
      <c r="AV31" s="23" t="e">
        <f>(financials!AU4 / financials!AT4) - 1</f>
        <v>#DIV/0!</v>
      </c>
      <c r="AW31" s="23" t="e">
        <f>(financials!AV4 / financials!AU4) - 1</f>
        <v>#DIV/0!</v>
      </c>
      <c r="AX31" s="23" t="e">
        <f>(financials!AW4 / financials!AV4) - 1</f>
        <v>#DIV/0!</v>
      </c>
    </row>
    <row r="32" spans="1:50">
      <c r="A32" s="19" t="s">
        <v>170</v>
      </c>
      <c r="B32" s="20"/>
      <c r="C32" s="23">
        <f>(financials!C5 / financials!B5) - 1</f>
        <v>9.5092742992965995E-3</v>
      </c>
      <c r="D32" s="23">
        <f>(financials!D5 / financials!C5) - 1</f>
        <v>9.7632725576777268E-3</v>
      </c>
      <c r="E32" s="23">
        <f>(financials!E5 / financials!D5) - 1</f>
        <v>8.0348769328233427E-3</v>
      </c>
      <c r="F32" s="23">
        <f>(financials!F5 / financials!E5) - 1</f>
        <v>8.5864324945985615E-3</v>
      </c>
      <c r="G32" s="23">
        <f>(financials!G5 / financials!F5) - 1</f>
        <v>9.5015968780387539E-3</v>
      </c>
      <c r="H32" s="23">
        <f>(financials!H5 / financials!G5) - 1</f>
        <v>2.5041830800773601E-2</v>
      </c>
      <c r="I32" s="23">
        <f>(financials!I5 / financials!H5) - 1</f>
        <v>6.4951650035987019E-3</v>
      </c>
      <c r="J32" s="23">
        <f>(financials!J5 / financials!I5) - 1</f>
        <v>9.2646987910967038E-3</v>
      </c>
      <c r="K32" s="23">
        <f>(financials!K5 / financials!J5) - 1</f>
        <v>7.9021814239772503E-3</v>
      </c>
      <c r="L32" s="23">
        <f>(financials!L5 / financials!K5) - 1</f>
        <v>1.3869694557049339E-3</v>
      </c>
      <c r="M32" s="23">
        <f>(financials!M5 / financials!L5) - 1</f>
        <v>3.2322944321094838E-10</v>
      </c>
      <c r="N32" s="23">
        <f>(financials!N5 / financials!M5) - 1</f>
        <v>6.607515758406235E-3</v>
      </c>
      <c r="O32" s="23">
        <f>(financials!O5 / financials!N5) - 1</f>
        <v>6.8184218118689799E-3</v>
      </c>
      <c r="P32" s="23">
        <f>(financials!P5 / financials!O5) - 1</f>
        <v>4.7111066372000909E-3</v>
      </c>
      <c r="Q32" s="23">
        <f>(financials!Q5 / financials!P5) - 1</f>
        <v>6.7410228883393319E-3</v>
      </c>
      <c r="R32" s="23">
        <f>(financials!R5 / financials!Q5) - 1</f>
        <v>6.7798601196777941E-3</v>
      </c>
      <c r="S32" s="23">
        <f>(financials!S5 / financials!R5) - 1</f>
        <v>7.0658610466747263E-3</v>
      </c>
      <c r="T32" s="23">
        <f>(financials!T5 / financials!S5) - 1</f>
        <v>1.0046741675496129E-2</v>
      </c>
      <c r="U32" s="23">
        <f>(financials!U5 / financials!T5) - 1</f>
        <v>1.0216857436745608E-2</v>
      </c>
      <c r="V32" s="23">
        <f>(financials!V5 / financials!U5) - 1</f>
        <v>8.3070654470263072E-3</v>
      </c>
      <c r="W32" s="23">
        <f>(financials!W5 / financials!V5) - 1</f>
        <v>8.7172646784103858E-3</v>
      </c>
      <c r="X32" s="23">
        <f>(financials!X5 / financials!W5) - 1</f>
        <v>7.1008551065119274E-3</v>
      </c>
      <c r="Y32" s="23">
        <f>(financials!Y5 / financials!X5) - 1</f>
        <v>-1.3845081130689385E-2</v>
      </c>
      <c r="Z32" s="23">
        <f>(financials!Z5 / financials!Y5) - 1</f>
        <v>0</v>
      </c>
      <c r="AA32" s="23">
        <f>(financials!AA5 / financials!Z5) - 1</f>
        <v>9.6620129561124646E-3</v>
      </c>
      <c r="AB32" s="23">
        <f>(financials!AB5 / financials!AA5) - 1</f>
        <v>9.7745625952914139E-3</v>
      </c>
      <c r="AC32" s="23">
        <f>(financials!AC5 / financials!AB5) - 1</f>
        <v>1.0732852608461796E-2</v>
      </c>
      <c r="AD32" s="23">
        <f>(financials!AD5 / financials!AC5) - 1</f>
        <v>1.2228831265866269E-2</v>
      </c>
      <c r="AE32" s="23">
        <f>(financials!AE5 / financials!AD5) - 1</f>
        <v>1.1139408407822904E-2</v>
      </c>
      <c r="AF32" s="23">
        <f>(financials!AF5 / financials!AE5) - 1</f>
        <v>9.5392380526035936E-3</v>
      </c>
      <c r="AG32" s="23">
        <f>(financials!AG5 / financials!AF5) - 1</f>
        <v>6.5027280204188465E-3</v>
      </c>
      <c r="AH32" s="23">
        <f>(financials!AH5 / financials!AG5) - 1</f>
        <v>7.191759489520777E-3</v>
      </c>
      <c r="AI32" s="23">
        <f>(financials!AI5 / financials!AH5) - 1</f>
        <v>-5.6103666998781332E-3</v>
      </c>
      <c r="AJ32" s="23">
        <f>(financials!AJ5 / financials!AI5) - 1</f>
        <v>7.1933801149315357E-3</v>
      </c>
      <c r="AK32" s="23">
        <f>(financials!AK5 / financials!AJ5) - 1</f>
        <v>5.902119267171102E-3</v>
      </c>
      <c r="AL32" s="23">
        <f>(financials!AL5 / financials!AK5) - 1</f>
        <v>-2.174495397913323E-2</v>
      </c>
      <c r="AM32" s="23">
        <f>(financials!AM5 / financials!AL5) - 1</f>
        <v>-6.0778604371591882E-11</v>
      </c>
      <c r="AN32" s="23" t="e">
        <f>(financials!#REF! / financials!AM5) - 1</f>
        <v>#REF!</v>
      </c>
      <c r="AO32" s="23" t="e">
        <f>(financials!AN5 / financials!#REF!) - 1</f>
        <v>#REF!</v>
      </c>
      <c r="AP32" s="23" t="e">
        <f>(financials!AO5 / financials!AN5) - 1</f>
        <v>#DIV/0!</v>
      </c>
      <c r="AQ32" s="23" t="e">
        <f>(financials!AP5 / financials!AO5) - 1</f>
        <v>#DIV/0!</v>
      </c>
      <c r="AR32" s="23" t="e">
        <f>(financials!AQ5 / financials!AP5) - 1</f>
        <v>#DIV/0!</v>
      </c>
      <c r="AS32" s="23" t="e">
        <f>(financials!AR5 / financials!AQ5) - 1</f>
        <v>#DIV/0!</v>
      </c>
      <c r="AT32" s="23" t="e">
        <f>(financials!AS5 / financials!AR5) - 1</f>
        <v>#DIV/0!</v>
      </c>
      <c r="AU32" s="23" t="e">
        <f>(financials!AT5 / financials!AS5) - 1</f>
        <v>#DIV/0!</v>
      </c>
      <c r="AV32" s="23" t="e">
        <f>(financials!AU5 / financials!AT5) - 1</f>
        <v>#DIV/0!</v>
      </c>
      <c r="AW32" s="23" t="e">
        <f>(financials!AV5 / financials!AU5) - 1</f>
        <v>#DIV/0!</v>
      </c>
      <c r="AX32" s="23" t="e">
        <f>(financials!AW5 / financials!AV5) - 1</f>
        <v>#DIV/0!</v>
      </c>
    </row>
    <row r="33" spans="1:50">
      <c r="A33" s="19" t="s">
        <v>171</v>
      </c>
      <c r="B33" s="20"/>
      <c r="C33" s="23">
        <f>(financials!C6 / financials!B6) - 1</f>
        <v>3.3836305830618585E-2</v>
      </c>
      <c r="D33" s="23">
        <f>(financials!D6 / financials!C6) - 1</f>
        <v>-1.2643120547241149E-2</v>
      </c>
      <c r="E33" s="23">
        <f>(financials!E6 / financials!D6) - 1</f>
        <v>1.4190647189617378E-2</v>
      </c>
      <c r="F33" s="23">
        <f>(financials!F6 / financials!E6) - 1</f>
        <v>9.4982379358579117E-3</v>
      </c>
      <c r="G33" s="23">
        <f>(financials!G6 / financials!F6) - 1</f>
        <v>8.9998259390913216E-3</v>
      </c>
      <c r="H33" s="23">
        <f>(financials!H6 / financials!G6) - 1</f>
        <v>1.6763208953427089E-2</v>
      </c>
      <c r="I33" s="23">
        <f>(financials!I6 / financials!H6) - 1</f>
        <v>-2.1407590203561533E-3</v>
      </c>
      <c r="J33" s="23">
        <f>(financials!J6 / financials!I6) - 1</f>
        <v>1.7962579385708555E-2</v>
      </c>
      <c r="K33" s="23">
        <f>(financials!K6 / financials!J6) - 1</f>
        <v>8.5067083973244806E-3</v>
      </c>
      <c r="L33" s="23">
        <f>(financials!L6 / financials!K6) - 1</f>
        <v>7.7976027296713379E-3</v>
      </c>
      <c r="M33" s="23">
        <f>(financials!M6 / financials!L6) - 1</f>
        <v>3.5508770609733453E-3</v>
      </c>
      <c r="N33" s="23">
        <f>(financials!N6 / financials!M6) - 1</f>
        <v>7.9939809542959317E-3</v>
      </c>
      <c r="O33" s="23">
        <f>(financials!O6 / financials!N6) - 1</f>
        <v>5.6330776722024689E-2</v>
      </c>
      <c r="P33" s="23">
        <f>(financials!P6 / financials!O6) - 1</f>
        <v>-3.4100164270708277E-2</v>
      </c>
      <c r="Q33" s="23">
        <f>(financials!Q6 / financials!P6) - 1</f>
        <v>9.0080527288070034E-3</v>
      </c>
      <c r="R33" s="23">
        <f>(financials!R6 / financials!Q6) - 1</f>
        <v>-1.0889091063595036E-3</v>
      </c>
      <c r="S33" s="23">
        <f>(financials!S6 / financials!R6) - 1</f>
        <v>-9.278390294610972E-3</v>
      </c>
      <c r="T33" s="23">
        <f>(financials!T6 / financials!S6) - 1</f>
        <v>5.5561778622908786E-2</v>
      </c>
      <c r="U33" s="23">
        <f>(financials!U6 / financials!T6) - 1</f>
        <v>-5.7019490993881483E-4</v>
      </c>
      <c r="V33" s="23">
        <f>(financials!V6 / financials!U6) - 1</f>
        <v>-5.7986930723196162E-3</v>
      </c>
      <c r="W33" s="23">
        <f>(financials!W6 / financials!V6) - 1</f>
        <v>1.2417347493258735E-2</v>
      </c>
      <c r="X33" s="23">
        <f>(financials!X6 / financials!W6) - 1</f>
        <v>3.5095464723888803E-4</v>
      </c>
      <c r="Y33" s="23">
        <f>(financials!Y6 / financials!X6) - 1</f>
        <v>-2.3076534862552789E-2</v>
      </c>
      <c r="Z33" s="23">
        <f>(financials!Z6 / financials!Y6) - 1</f>
        <v>3.6646047319912611E-3</v>
      </c>
      <c r="AA33" s="23">
        <f>(financials!AA6 / financials!Z6) - 1</f>
        <v>3.42918464450781E-4</v>
      </c>
      <c r="AB33" s="23">
        <f>(financials!AB6 / financials!AA6) - 1</f>
        <v>4.0076705447007255E-2</v>
      </c>
      <c r="AC33" s="23">
        <f>(financials!AC6 / financials!AB6) - 1</f>
        <v>-1.6858292436591538E-2</v>
      </c>
      <c r="AD33" s="23">
        <f>(financials!AD6 / financials!AC6) - 1</f>
        <v>1.618838342126061E-2</v>
      </c>
      <c r="AE33" s="23">
        <f>(financials!AE6 / financials!AD6) - 1</f>
        <v>-1.2128987383386303E-4</v>
      </c>
      <c r="AF33" s="23">
        <f>(financials!AF6 / financials!AE6) - 1</f>
        <v>-3.6312405043847917E-4</v>
      </c>
      <c r="AG33" s="23">
        <f>(financials!AG6 / financials!AF6) - 1</f>
        <v>2.4822759156450713E-2</v>
      </c>
      <c r="AH33" s="23">
        <f>(financials!AH6 / financials!AG6) - 1</f>
        <v>1.0656248638634125E-3</v>
      </c>
      <c r="AI33" s="23">
        <f>(financials!AI6 / financials!AH6) - 1</f>
        <v>-1.0383386183985155E-2</v>
      </c>
      <c r="AJ33" s="23">
        <f>(financials!AJ6 / financials!AI6) - 1</f>
        <v>3.2949148312191312E-3</v>
      </c>
      <c r="AK33" s="23">
        <f>(financials!AK6 / financials!AJ6) - 1</f>
        <v>3.2236214482680658E-2</v>
      </c>
      <c r="AL33" s="23">
        <f>(financials!AL6 / financials!AK6) - 1</f>
        <v>-2.6203568189022142E-2</v>
      </c>
      <c r="AM33" s="23">
        <f>(financials!AM6 / financials!AL6) - 1</f>
        <v>-0.14996060591818394</v>
      </c>
      <c r="AN33" s="23" t="e">
        <f>(financials!#REF! / financials!AM6) - 1</f>
        <v>#REF!</v>
      </c>
      <c r="AO33" s="23" t="e">
        <f>(financials!AN6 / financials!#REF!) - 1</f>
        <v>#REF!</v>
      </c>
      <c r="AP33" s="23" t="e">
        <f>(financials!AO6 / financials!AN6) - 1</f>
        <v>#DIV/0!</v>
      </c>
      <c r="AQ33" s="23" t="e">
        <f>(financials!AP6 / financials!AO6) - 1</f>
        <v>#DIV/0!</v>
      </c>
      <c r="AR33" s="23" t="e">
        <f>(financials!AQ6 / financials!AP6) - 1</f>
        <v>#DIV/0!</v>
      </c>
      <c r="AS33" s="23" t="e">
        <f>(financials!AR6 / financials!AQ6) - 1</f>
        <v>#DIV/0!</v>
      </c>
      <c r="AT33" s="23" t="e">
        <f>(financials!AS6 / financials!AR6) - 1</f>
        <v>#DIV/0!</v>
      </c>
      <c r="AU33" s="23" t="e">
        <f>(financials!AT6 / financials!AS6) - 1</f>
        <v>#DIV/0!</v>
      </c>
      <c r="AV33" s="23" t="e">
        <f>(financials!AU6 / financials!AT6) - 1</f>
        <v>#DIV/0!</v>
      </c>
      <c r="AW33" s="23" t="e">
        <f>(financials!AV6 / financials!AU6) - 1</f>
        <v>#DIV/0!</v>
      </c>
      <c r="AX33" s="23" t="e">
        <f>(financials!AW6 / financials!AV6) - 1</f>
        <v>#DIV/0!</v>
      </c>
    </row>
    <row r="34" spans="1:50">
      <c r="A34" s="19" t="s">
        <v>172</v>
      </c>
      <c r="B34" s="20"/>
      <c r="C34" s="23">
        <f>(financials!C27 / financials!B27) - 1</f>
        <v>-1.6503686624782299E-2</v>
      </c>
      <c r="D34" s="23">
        <f>(financials!D27 / financials!C27) - 1</f>
        <v>-4.0937561968705793E-3</v>
      </c>
      <c r="E34" s="23">
        <f>(financials!E27 / financials!D27) - 1</f>
        <v>-1.8627228340196478E-2</v>
      </c>
      <c r="F34" s="23">
        <f>(financials!F27 / financials!E27) - 1</f>
        <v>-1.2315141558723042E-2</v>
      </c>
      <c r="G34" s="23">
        <f>(financials!G27 / financials!F27) - 1</f>
        <v>5.6151311326630982E-2</v>
      </c>
      <c r="H34" s="23">
        <f>(financials!H27 / financials!G27) - 1</f>
        <v>6.146257411260847E-2</v>
      </c>
      <c r="I34" s="23">
        <f>(financials!I27 / financials!H27) - 1</f>
        <v>3.1872887176808584E-2</v>
      </c>
      <c r="J34" s="23">
        <f>(financials!J27 / financials!I27) - 1</f>
        <v>3.8492969827455648E-2</v>
      </c>
      <c r="K34" s="23">
        <f>(financials!K27 / financials!J27) - 1</f>
        <v>5.6892291446914989E-3</v>
      </c>
      <c r="L34" s="23">
        <f>(financials!L27 / financials!K27) - 1</f>
        <v>2.9973070180465911E-2</v>
      </c>
      <c r="M34" s="23">
        <f>(financials!M27 / financials!L27) - 1</f>
        <v>-6.4512839514918596E-10</v>
      </c>
      <c r="N34" s="23">
        <f>(financials!N27 / financials!M27) - 1</f>
        <v>1.9346131698201541E-2</v>
      </c>
      <c r="O34" s="23">
        <f>(financials!O27 / financials!N27) - 1</f>
        <v>1.7705169498714479E-2</v>
      </c>
      <c r="P34" s="23">
        <f>(financials!P27 / financials!O27) - 1</f>
        <v>2.3881845230286913E-3</v>
      </c>
      <c r="Q34" s="23">
        <f>(financials!Q27 / financials!P27) - 1</f>
        <v>1.6243472823431082E-2</v>
      </c>
      <c r="R34" s="23">
        <f>(financials!R27 / financials!Q27) - 1</f>
        <v>2.5207431885432285E-4</v>
      </c>
      <c r="S34" s="23">
        <f>(financials!S27 / financials!R27) - 1</f>
        <v>1.6843498686238689E-3</v>
      </c>
      <c r="T34" s="23">
        <f>(financials!T27 / financials!S27) - 1</f>
        <v>8.7604236596037888E-2</v>
      </c>
      <c r="U34" s="23">
        <f>(financials!U27 / financials!T27) - 1</f>
        <v>3.7445283621017289E-2</v>
      </c>
      <c r="V34" s="23">
        <f>(financials!V27 / financials!U27) - 1</f>
        <v>-7.5993119697024269E-3</v>
      </c>
      <c r="W34" s="23">
        <f>(financials!W27 / financials!V27) - 1</f>
        <v>5.6004775232501025E-3</v>
      </c>
      <c r="X34" s="23">
        <f>(financials!X27 / financials!W27) - 1</f>
        <v>-8.3932397193877684E-3</v>
      </c>
      <c r="Y34" s="23">
        <f>(financials!Y27 / financials!X27) - 1</f>
        <v>-9.461761568120286E-3</v>
      </c>
      <c r="Z34" s="23">
        <f>(financials!Z27 / financials!Y27) - 1</f>
        <v>-2.6442981138075083E-10</v>
      </c>
      <c r="AA34" s="23">
        <f>(financials!AA27 / financials!Z27) - 1</f>
        <v>-8.5818496451580684E-3</v>
      </c>
      <c r="AB34" s="23">
        <f>(financials!AB27 / financials!AA27) - 1</f>
        <v>6.125658714141835E-3</v>
      </c>
      <c r="AC34" s="23">
        <f>(financials!AC27 / financials!AB27) - 1</f>
        <v>4.2275608494709571E-2</v>
      </c>
      <c r="AD34" s="23">
        <f>(financials!AD27 / financials!AC27) - 1</f>
        <v>6.2065534604238248E-2</v>
      </c>
      <c r="AE34" s="23">
        <f>(financials!AE27 / financials!AD27) - 1</f>
        <v>2.6610696307816095E-2</v>
      </c>
      <c r="AF34" s="23">
        <f>(financials!AF27 / financials!AE27) - 1</f>
        <v>-2.6242668224055743E-3</v>
      </c>
      <c r="AG34" s="23">
        <f>(financials!AG27 / financials!AF27) - 1</f>
        <v>-1.3267249839077344E-4</v>
      </c>
      <c r="AH34" s="23">
        <f>(financials!AH27 / financials!AG27) - 1</f>
        <v>-1.4413562472759267E-4</v>
      </c>
      <c r="AI34" s="23">
        <f>(financials!AI27 / financials!AH27) - 1</f>
        <v>9.5136484190219139E-3</v>
      </c>
      <c r="AJ34" s="23">
        <f>(financials!AJ27 / financials!AI27) - 1</f>
        <v>9.2963099681959704E-3</v>
      </c>
      <c r="AK34" s="23">
        <f>(financials!AK27 / financials!AJ27) - 1</f>
        <v>2.599727141722763E-2</v>
      </c>
      <c r="AL34" s="23">
        <f>(financials!AL27 / financials!AK27) - 1</f>
        <v>4.5663290727274042E-2</v>
      </c>
      <c r="AM34" s="23">
        <f>(financials!AM27 / financials!AL27) - 1</f>
        <v>-2.8535973584098429E-10</v>
      </c>
      <c r="AN34" s="23" t="e">
        <f>(financials!#REF! / financials!AM27) - 1</f>
        <v>#REF!</v>
      </c>
      <c r="AO34" s="23" t="e">
        <f>(financials!AN27 / financials!#REF!) - 1</f>
        <v>#REF!</v>
      </c>
      <c r="AP34" s="23" t="e">
        <f>(financials!AO27 / financials!AN27) - 1</f>
        <v>#DIV/0!</v>
      </c>
      <c r="AQ34" s="23" t="e">
        <f>(financials!AP27 / financials!AO27) - 1</f>
        <v>#DIV/0!</v>
      </c>
      <c r="AR34" s="23" t="e">
        <f>(financials!AQ27 / financials!AP27) - 1</f>
        <v>#DIV/0!</v>
      </c>
      <c r="AS34" s="23" t="e">
        <f>(financials!AR27 / financials!AQ27) - 1</f>
        <v>#DIV/0!</v>
      </c>
      <c r="AT34" s="23" t="e">
        <f>(financials!AS27 / financials!AR27) - 1</f>
        <v>#DIV/0!</v>
      </c>
      <c r="AU34" s="23" t="e">
        <f>(financials!AT27 / financials!AS27) - 1</f>
        <v>#DIV/0!</v>
      </c>
      <c r="AV34" s="23" t="e">
        <f>(financials!AU27 / financials!AT27) - 1</f>
        <v>#DIV/0!</v>
      </c>
      <c r="AW34" s="23" t="e">
        <f>(financials!AV27 / financials!AU27) - 1</f>
        <v>#DIV/0!</v>
      </c>
      <c r="AX34" s="23" t="e">
        <f>(financials!AW27 / financials!AV27) - 1</f>
        <v>#DIV/0!</v>
      </c>
    </row>
    <row r="35" spans="1:50">
      <c r="A35" s="19" t="s">
        <v>104</v>
      </c>
      <c r="B35" s="20"/>
      <c r="C35" s="23">
        <f>(financials!C11 / financials!B11) - 1</f>
        <v>-3.2235351027601666E-2</v>
      </c>
      <c r="D35" s="23">
        <f>(financials!D11 / financials!C11) - 1</f>
        <v>1.7144193985874301E-2</v>
      </c>
      <c r="E35" s="23">
        <f>(financials!E11 / financials!D11) - 1</f>
        <v>6.2584598732232877E-2</v>
      </c>
      <c r="F35" s="23">
        <f>(financials!F11 / financials!E11) - 1</f>
        <v>1.6385816731161684E-2</v>
      </c>
      <c r="G35" s="23">
        <f>(financials!G11 / financials!F11) - 1</f>
        <v>2.3926000211935694E-2</v>
      </c>
      <c r="H35" s="23">
        <f>(financials!H11 / financials!G11) - 1</f>
        <v>8.8090727322803541E-2</v>
      </c>
      <c r="I35" s="23">
        <f>(financials!I11 / financials!H11) - 1</f>
        <v>2.4762882906876449E-2</v>
      </c>
      <c r="J35" s="23">
        <f>(financials!J11 / financials!I11) - 1</f>
        <v>2.2981712368986384E-2</v>
      </c>
      <c r="K35" s="23">
        <f>(financials!K11 / financials!J11) - 1</f>
        <v>1.7228085971809914E-2</v>
      </c>
      <c r="L35" s="23">
        <f>(financials!L11 / financials!K11) - 1</f>
        <v>1.1700988574510518E-2</v>
      </c>
      <c r="M35" s="23">
        <f>(financials!M11 / financials!L11) - 1</f>
        <v>-2.4383891484649478E-2</v>
      </c>
      <c r="N35" s="23">
        <f>(financials!N11 / financials!M11) - 1</f>
        <v>3.1973566286790822E-2</v>
      </c>
      <c r="O35" s="23">
        <f>(financials!O11 / financials!N11) - 1</f>
        <v>-1.3064590123370468E-2</v>
      </c>
      <c r="P35" s="23">
        <f>(financials!P11 / financials!O11) - 1</f>
        <v>9.7819874486957392E-3</v>
      </c>
      <c r="Q35" s="23">
        <f>(financials!Q11 / financials!P11) - 1</f>
        <v>5.4242664730747236E-2</v>
      </c>
      <c r="R35" s="23">
        <f>(financials!R11 / financials!Q11) - 1</f>
        <v>1.4210678316788794E-2</v>
      </c>
      <c r="S35" s="23">
        <f>(financials!S11 / financials!R11) - 1</f>
        <v>1.6746886231649549E-2</v>
      </c>
      <c r="T35" s="23">
        <f>(financials!T11 / financials!S11) - 1</f>
        <v>1.8663420630074867E-2</v>
      </c>
      <c r="U35" s="23">
        <f>(financials!U11 / financials!T11) - 1</f>
        <v>1.1789431206081558E-2</v>
      </c>
      <c r="V35" s="23">
        <f>(financials!V11 / financials!U11) - 1</f>
        <v>9.030800718491605E-3</v>
      </c>
      <c r="W35" s="23">
        <f>(financials!W11 / financials!V11) - 1</f>
        <v>1.3384679387871579E-2</v>
      </c>
      <c r="X35" s="23">
        <f>(financials!X11 / financials!W11) - 1</f>
        <v>1.113649353030155E-2</v>
      </c>
      <c r="Y35" s="23">
        <f>(financials!Y11 / financials!X11) - 1</f>
        <v>5.1445790688150472E-2</v>
      </c>
      <c r="Z35" s="23">
        <f>(financials!Z11 / financials!Y11) - 1</f>
        <v>-2.8840746958219809E-2</v>
      </c>
      <c r="AA35" s="23">
        <f>(financials!AA11 / financials!Z11) - 1</f>
        <v>1.9612864373133254E-2</v>
      </c>
      <c r="AB35" s="23">
        <f>(financials!AB11 / financials!AA11) - 1</f>
        <v>-1.9323107210985069E-2</v>
      </c>
      <c r="AC35" s="23">
        <f>(financials!AC11 / financials!AB11) - 1</f>
        <v>2.068767297690588E-2</v>
      </c>
      <c r="AD35" s="23">
        <f>(financials!AD11 / financials!AC11) - 1</f>
        <v>1.5223978619268719E-2</v>
      </c>
      <c r="AE35" s="23">
        <f>(financials!AE11 / financials!AD11) - 1</f>
        <v>7.6413137880939619E-3</v>
      </c>
      <c r="AF35" s="23">
        <f>(financials!AF11 / financials!AE11) - 1</f>
        <v>3.3231586362192811E-2</v>
      </c>
      <c r="AG35" s="23">
        <f>(financials!AG11 / financials!AF11) - 1</f>
        <v>1.2243481871264006E-2</v>
      </c>
      <c r="AH35" s="23">
        <f>(financials!AH11 / financials!AG11) - 1</f>
        <v>1.5906334199923489E-2</v>
      </c>
      <c r="AI35" s="23">
        <f>(financials!AI11 / financials!AH11) - 1</f>
        <v>9.4903894583533432E-3</v>
      </c>
      <c r="AJ35" s="23">
        <f>(financials!AJ11 / financials!AI11) - 1</f>
        <v>7.7166710763070245E-3</v>
      </c>
      <c r="AK35" s="23">
        <f>(financials!AK11 / financials!AJ11) - 1</f>
        <v>1.581621600961336E-2</v>
      </c>
      <c r="AL35" s="23">
        <f>(financials!AL11 / financials!AK11) - 1</f>
        <v>6.4787382076328726E-2</v>
      </c>
      <c r="AM35" s="23">
        <f>(financials!AM11 / financials!AL11) - 1</f>
        <v>-0.50940878516771892</v>
      </c>
      <c r="AN35" s="23" t="e">
        <f>(financials!#REF! / financials!AM11) - 1</f>
        <v>#REF!</v>
      </c>
      <c r="AO35" s="23" t="e">
        <f>(financials!AN11 / financials!#REF!) - 1</f>
        <v>#REF!</v>
      </c>
      <c r="AP35" s="23" t="e">
        <f>(financials!AO11 / financials!AN11) - 1</f>
        <v>#DIV/0!</v>
      </c>
      <c r="AQ35" s="23" t="e">
        <f>(financials!AP11 / financials!AO11) - 1</f>
        <v>#DIV/0!</v>
      </c>
      <c r="AR35" s="23" t="e">
        <f>(financials!AQ11 / financials!AP11) - 1</f>
        <v>#DIV/0!</v>
      </c>
      <c r="AS35" s="23" t="e">
        <f>(financials!AR11 / financials!AQ11) - 1</f>
        <v>#DIV/0!</v>
      </c>
      <c r="AT35" s="23" t="e">
        <f>(financials!AS11 / financials!AR11) - 1</f>
        <v>#DIV/0!</v>
      </c>
      <c r="AU35" s="23" t="e">
        <f>(financials!AT11 / financials!AS11) - 1</f>
        <v>#DIV/0!</v>
      </c>
      <c r="AV35" s="23" t="e">
        <f>(financials!AU11 / financials!AT11) - 1</f>
        <v>#DIV/0!</v>
      </c>
      <c r="AW35" s="23" t="e">
        <f>(financials!AV11 / financials!AU11) - 1</f>
        <v>#DIV/0!</v>
      </c>
      <c r="AX35" s="23" t="e">
        <f>(financials!AW11 / financials!AV11) - 1</f>
        <v>#DIV/0!</v>
      </c>
    </row>
    <row r="36" spans="1:50">
      <c r="A36" s="19" t="s">
        <v>123</v>
      </c>
      <c r="B36" s="20"/>
      <c r="C36" s="23">
        <f>(financials!C39 / financials!B39) - 1</f>
        <v>-0.8532584464973485</v>
      </c>
      <c r="D36" s="23">
        <f>(financials!D39 / financials!C39) - 1</f>
        <v>0.59120459749404786</v>
      </c>
      <c r="E36" s="23">
        <f>(financials!E39 / financials!D39) - 1</f>
        <v>0.5857893950380304</v>
      </c>
      <c r="F36" s="23">
        <f>(financials!F39 / financials!E39) - 1</f>
        <v>0.19682656825330169</v>
      </c>
      <c r="G36" s="23">
        <f>(financials!G39 / financials!F39) - 1</f>
        <v>0.18991846791116762</v>
      </c>
      <c r="H36" s="23">
        <f>(financials!H39 / financials!G39) - 1</f>
        <v>0.36060723573465103</v>
      </c>
      <c r="I36" s="23">
        <f>(financials!I39 / financials!H39) - 1</f>
        <v>0.12240381930537803</v>
      </c>
      <c r="J36" s="23">
        <f>(financials!J39 / financials!I39) - 1</f>
        <v>0.11211616161796711</v>
      </c>
      <c r="K36" s="23">
        <f>(financials!K39 / financials!J39) - 1</f>
        <v>9.4421335797078454E-2</v>
      </c>
      <c r="L36" s="23">
        <f>(financials!L39 / financials!K39) - 1</f>
        <v>9.558657600365561E-2</v>
      </c>
      <c r="M36" s="23">
        <f>(financials!M39 / financials!L39) - 1</f>
        <v>3.739976826316016E-2</v>
      </c>
      <c r="N36" s="23">
        <f>(financials!N39 / financials!M39) - 1</f>
        <v>7.6037430182292587E-2</v>
      </c>
      <c r="O36" s="23">
        <f>(financials!O39 / financials!N39) - 1</f>
        <v>-0.85197528629156205</v>
      </c>
      <c r="P36" s="23">
        <f>(financials!P39 / financials!O39) - 1</f>
        <v>0.53695212234919221</v>
      </c>
      <c r="Q36" s="23">
        <f>(financials!Q39 / financials!P39) - 1</f>
        <v>0.59259582330961713</v>
      </c>
      <c r="R36" s="23">
        <f>(financials!R39 / financials!Q39) - 1</f>
        <v>0.20441643664741416</v>
      </c>
      <c r="S36" s="23">
        <f>(financials!S39 / financials!R39) - 1</f>
        <v>0.17720010235435169</v>
      </c>
      <c r="T36" s="23">
        <f>(financials!T39 / financials!S39) - 1</f>
        <v>0.17792046613469403</v>
      </c>
      <c r="U36" s="23">
        <f>(financials!U39 / financials!T39) - 1</f>
        <v>0.12730280613084233</v>
      </c>
      <c r="V36" s="23">
        <f>(financials!V39 / financials!U39) - 1</f>
        <v>0.11564801818947656</v>
      </c>
      <c r="W36" s="23">
        <f>(financials!W39 / financials!V39) - 1</f>
        <v>0.10638007060604249</v>
      </c>
      <c r="X36" s="23">
        <f>(financials!X39 / financials!W39) - 1</f>
        <v>9.4571562018276767E-2</v>
      </c>
      <c r="Y36" s="23">
        <f>(financials!Y39 / financials!X39) - 1</f>
        <v>8.6609645942614666E-2</v>
      </c>
      <c r="Z36" s="23">
        <f>(financials!Z39 / financials!Y39) - 1</f>
        <v>5.0170634927515501E-4</v>
      </c>
      <c r="AA36" s="23">
        <f>(financials!AA39 / financials!Z39) - 1</f>
        <v>7.4499063061423287E-2</v>
      </c>
      <c r="AB36" s="23">
        <f>(financials!AB39 / financials!AA39) - 1</f>
        <v>-0.85790271513857475</v>
      </c>
      <c r="AC36" s="23">
        <f>(financials!AC39 / financials!AB39) - 1</f>
        <v>0.59789955608907208</v>
      </c>
      <c r="AD36" s="23">
        <f>(financials!AD39 / financials!AC39) - 1</f>
        <v>0.37762433706494969</v>
      </c>
      <c r="AE36" s="23">
        <f>(financials!AE39 / financials!AD39) - 1</f>
        <v>0.25440629167043305</v>
      </c>
      <c r="AF36" s="23">
        <f>(financials!AF39 / financials!AE39) - 1</f>
        <v>0.32829210310403689</v>
      </c>
      <c r="AG36" s="23">
        <f>(financials!AG39 / financials!AF39) - 1</f>
        <v>0.15469686289924445</v>
      </c>
      <c r="AH36" s="23">
        <f>(financials!AH39 / financials!AG39) - 1</f>
        <v>0.14710710892725731</v>
      </c>
      <c r="AI36" s="23">
        <f>(financials!AI39 / financials!AH39) - 1</f>
        <v>0.12528656035018315</v>
      </c>
      <c r="AJ36" s="23">
        <f>(financials!AJ39 / financials!AI39) - 1</f>
        <v>0.10690716940125666</v>
      </c>
      <c r="AK36" s="23">
        <f>(financials!AK39 / financials!AJ39) - 1</f>
        <v>0.10745055689090521</v>
      </c>
      <c r="AL36" s="23">
        <f>(financials!AL39 / financials!AK39) - 1</f>
        <v>0.10814158605902824</v>
      </c>
      <c r="AM36" s="23">
        <f>(financials!AM39 / financials!AL39) - 1</f>
        <v>-3.9565636433813722E-8</v>
      </c>
      <c r="AN36" s="23" t="e">
        <f>(financials!#REF! / financials!AM39) - 1</f>
        <v>#REF!</v>
      </c>
      <c r="AO36" s="23" t="e">
        <f>(financials!AN39 / financials!#REF!) - 1</f>
        <v>#REF!</v>
      </c>
      <c r="AP36" s="23" t="e">
        <f>(financials!AO39 / financials!AN39) - 1</f>
        <v>#DIV/0!</v>
      </c>
      <c r="AQ36" s="23" t="e">
        <f>(financials!AP39 / financials!AO39) - 1</f>
        <v>#DIV/0!</v>
      </c>
      <c r="AR36" s="23" t="e">
        <f>(financials!AQ39 / financials!AP39) - 1</f>
        <v>#DIV/0!</v>
      </c>
      <c r="AS36" s="23" t="e">
        <f>(financials!AR39 / financials!AQ39) - 1</f>
        <v>#DIV/0!</v>
      </c>
      <c r="AT36" s="23" t="e">
        <f>(financials!AS39 / financials!AR39) - 1</f>
        <v>#DIV/0!</v>
      </c>
      <c r="AU36" s="23" t="e">
        <f>(financials!AT39 / financials!AS39) - 1</f>
        <v>#DIV/0!</v>
      </c>
      <c r="AV36" s="23" t="e">
        <f>(financials!AU39 / financials!AT39) - 1</f>
        <v>#DIV/0!</v>
      </c>
      <c r="AW36" s="23" t="e">
        <f>(financials!AV39 / financials!AU39) - 1</f>
        <v>#DIV/0!</v>
      </c>
      <c r="AX36" s="23" t="e">
        <f>(financials!AW39 / financials!AV39) - 1</f>
        <v>#DIV/0!</v>
      </c>
    </row>
    <row r="37" spans="1:50">
      <c r="A37" s="19" t="s">
        <v>97</v>
      </c>
      <c r="B37" s="20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</row>
    <row r="38" spans="1:50">
      <c r="A38" s="19" t="s">
        <v>173</v>
      </c>
      <c r="B38" s="20"/>
      <c r="C38" s="24">
        <f>(soci!C23 / soci!B23) - 1</f>
        <v>-0.7749163718361094</v>
      </c>
      <c r="D38" s="24">
        <f>(soci!D23 / soci!C23) - 1</f>
        <v>0.3587964633984646</v>
      </c>
      <c r="E38" s="24">
        <f>(soci!E23 / soci!D23) - 1</f>
        <v>0.21175726954484464</v>
      </c>
      <c r="F38" s="24">
        <f>(soci!F23 / soci!E23) - 1</f>
        <v>0.15827242345371628</v>
      </c>
      <c r="G38" s="24">
        <f>(soci!G23 / soci!F23) - 1</f>
        <v>0.13507783033529552</v>
      </c>
      <c r="H38" s="24">
        <f>(soci!H23 / soci!G23) - 1</f>
        <v>0.33562796825942232</v>
      </c>
      <c r="I38" s="24">
        <f>(soci!I23 / soci!H23) - 1</f>
        <v>0.10860214751089936</v>
      </c>
      <c r="J38" s="24">
        <f>(soci!J23 / soci!I23) - 1</f>
        <v>0.11292237266320138</v>
      </c>
      <c r="K38" s="24">
        <f>(soci!K23 / soci!J23) - 1</f>
        <v>0.10277160929966511</v>
      </c>
      <c r="L38" s="24">
        <f>(soci!L23 / soci!K23) - 1</f>
        <v>0.16339992306622819</v>
      </c>
      <c r="M38" s="24">
        <f>(soci!M23 / soci!L23) - 1</f>
        <v>2.6057648133650302E-2</v>
      </c>
      <c r="N38" s="24">
        <f>(soci!N23 / soci!M23) - 1</f>
        <v>7.2750183661270951E-2</v>
      </c>
      <c r="O38" s="24">
        <f>(soci!O23 / soci!N23) - 1</f>
        <v>-0.80865581267112729</v>
      </c>
      <c r="P38" s="24">
        <f>(soci!P23 / soci!O23) - 1</f>
        <v>0.40531016602368242</v>
      </c>
      <c r="Q38" s="24">
        <f>(soci!Q23 / soci!P23) - 1</f>
        <v>0.27055113325796576</v>
      </c>
      <c r="R38" s="24">
        <f>(soci!R23 / soci!Q23) - 1</f>
        <v>0.19023358251552769</v>
      </c>
      <c r="S38" s="24">
        <f>(soci!S23 / soci!R23) - 1</f>
        <v>0.17195085913136743</v>
      </c>
      <c r="T38" s="24">
        <f>(soci!T23 / soci!S23) - 1</f>
        <v>0.18309072576843555</v>
      </c>
      <c r="U38" s="24">
        <f>(soci!U23 / soci!T23) - 1</f>
        <v>0.14024884770863122</v>
      </c>
      <c r="V38" s="24">
        <f>(soci!V23 / soci!U23) - 1</f>
        <v>0.14946318061881247</v>
      </c>
      <c r="W38" s="24">
        <f>(soci!W23 / soci!V23) - 1</f>
        <v>0.11673510335471682</v>
      </c>
      <c r="X38" s="24">
        <f>(soci!X23 / soci!W23) - 1</f>
        <v>0.1173500763385551</v>
      </c>
      <c r="Y38" s="24">
        <f>(soci!Y23 / soci!X23) - 1</f>
        <v>0.15708212890973017</v>
      </c>
      <c r="Z38" s="24">
        <f>(soci!Z23 / soci!Y23) - 1</f>
        <v>2.1279688151931486E-2</v>
      </c>
      <c r="AA38" s="24">
        <f>(soci!AA23 / soci!Z23) - 1</f>
        <v>0.11376007655547826</v>
      </c>
      <c r="AB38" s="24">
        <f>(soci!AB23 / soci!AA23) - 1</f>
        <v>-0.79501510133064701</v>
      </c>
      <c r="AC38" s="24">
        <f>(soci!AC23 / soci!AB23) - 1</f>
        <v>0.40828654340045745</v>
      </c>
      <c r="AD38" s="24">
        <f>(soci!AD23 / soci!AC23) - 1</f>
        <v>0.24440544611884896</v>
      </c>
      <c r="AE38" s="24">
        <f>(soci!AE23 / soci!AD23) - 1</f>
        <v>0.22381561366998071</v>
      </c>
      <c r="AF38" s="24">
        <f>(soci!AF23 / soci!AE23) - 1</f>
        <v>0.22056764909026927</v>
      </c>
      <c r="AG38" s="24">
        <f>(soci!AG23 / soci!AF23) - 1</f>
        <v>0.13014509651460671</v>
      </c>
      <c r="AH38" s="24">
        <f>(soci!AH23 / soci!AG23) - 1</f>
        <v>0.11637581681514653</v>
      </c>
      <c r="AI38" s="24">
        <f>(soci!AI23 / soci!AH23) - 1</f>
        <v>0.13427845025672247</v>
      </c>
      <c r="AJ38" s="24">
        <f>(soci!AJ23 / soci!AI23) - 1</f>
        <v>0.11286862563294053</v>
      </c>
      <c r="AK38" s="24">
        <f>(soci!AK23 / soci!AJ23) - 1</f>
        <v>8.5417742063428781E-2</v>
      </c>
      <c r="AL38" s="24">
        <f>(soci!AL23 / soci!AK23) - 1</f>
        <v>0.16276007219136135</v>
      </c>
      <c r="AM38" s="24">
        <f>(soci!AM23 / soci!AL23) - 1</f>
        <v>3.4962479307396599E-3</v>
      </c>
      <c r="AN38" s="24">
        <f>(soci!AN23 / soci!AM23) - 1</f>
        <v>-1</v>
      </c>
      <c r="AO38" s="24" t="e">
        <f>(soci!AO23 / soci!AN23) - 1</f>
        <v>#DIV/0!</v>
      </c>
      <c r="AP38" s="24" t="e">
        <f>(soci!AP23 / soci!AO23) - 1</f>
        <v>#DIV/0!</v>
      </c>
      <c r="AQ38" s="24" t="e">
        <f>(soci!AQ23 / soci!AP23) - 1</f>
        <v>#DIV/0!</v>
      </c>
      <c r="AR38" s="24" t="e">
        <f>(soci!AR23 / soci!AQ23) - 1</f>
        <v>#DIV/0!</v>
      </c>
      <c r="AS38" s="24" t="e">
        <f>(soci!AS23 / soci!AR23) - 1</f>
        <v>#DIV/0!</v>
      </c>
      <c r="AT38" s="24" t="e">
        <f>(soci!AT23 / soci!AS23) - 1</f>
        <v>#DIV/0!</v>
      </c>
      <c r="AU38" s="24" t="e">
        <f>(soci!AU23 / soci!AT23) - 1</f>
        <v>#DIV/0!</v>
      </c>
      <c r="AV38" s="24" t="e">
        <f>(soci!AV23 / soci!AU23) - 1</f>
        <v>#DIV/0!</v>
      </c>
      <c r="AW38" s="24" t="e">
        <f>(soci!AW23 / soci!AV23) - 1</f>
        <v>#DIV/0!</v>
      </c>
      <c r="AX38" s="24" t="e">
        <f>(soci!AX23 / soci!AW23) - 1</f>
        <v>#DIV/0!</v>
      </c>
    </row>
    <row r="39" spans="1:50">
      <c r="A39" s="46" t="s">
        <v>174</v>
      </c>
      <c r="B39" s="46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</row>
    <row r="40" spans="1:50">
      <c r="A40" s="19" t="s">
        <v>175</v>
      </c>
      <c r="B40" s="20"/>
      <c r="C40" s="22">
        <f>financials!B46 / ((financials!B5 + financials!C5) /2)</f>
        <v>3.2181387408639475E-2</v>
      </c>
      <c r="D40" s="22">
        <f>financials!C46 / ((financials!C5 + financials!D5) /2)</f>
        <v>4.830415824120601E-3</v>
      </c>
      <c r="E40" s="22">
        <f>financials!D46 / ((financials!D5 + financials!E5) /2)</f>
        <v>1.6338423951888472E-2</v>
      </c>
      <c r="F40" s="22">
        <f>financials!E46 / ((financials!E5 + financials!F5) /2)</f>
        <v>2.1826432190433565E-2</v>
      </c>
      <c r="G40" s="22">
        <f>financials!F46 / ((financials!F5 + financials!G5) /2)</f>
        <v>2.7039812820970836E-2</v>
      </c>
      <c r="H40" s="22">
        <f>financials!G46 / ((financials!G5 + financials!H5) /2)</f>
        <v>3.2152310015465223E-2</v>
      </c>
      <c r="I40" s="22">
        <f>financials!H46 / ((financials!H5 + financials!I5) /2)</f>
        <v>4.2300252482224958E-2</v>
      </c>
      <c r="J40" s="22">
        <f>financials!I46 / ((financials!I5 + financials!J5) /2)</f>
        <v>4.7405166241617523E-2</v>
      </c>
      <c r="K40" s="22">
        <f>financials!J46 / ((financials!J5 + financials!K5) /2)</f>
        <v>5.2202055479466471E-2</v>
      </c>
      <c r="L40" s="22">
        <f>financials!K46 / ((financials!K5 + financials!L5) /2)</f>
        <v>5.7350238016236323E-2</v>
      </c>
      <c r="M40" s="22">
        <f>financials!L46 / ((financials!L5 + financials!M5) /2)</f>
        <v>6.5529443878773255E-2</v>
      </c>
      <c r="N40" s="22">
        <f>financials!M46 / ((financials!M5 + financials!N5) /2)</f>
        <v>3.8935216521776186E-2</v>
      </c>
      <c r="O40" s="22">
        <f>financials!N46 / ((financials!N5 + financials!O5) /2)</f>
        <v>7.0605912812327615E-2</v>
      </c>
      <c r="P40" s="22">
        <f>financials!O46 / ((financials!O5 + financials!P5) /2)</f>
        <v>1.3847451173821773E-2</v>
      </c>
      <c r="Q40" s="22">
        <f>financials!P46 / ((financials!P5 + financials!Q5) /2)</f>
        <v>2.0570031573249069E-2</v>
      </c>
      <c r="R40" s="22">
        <f>financials!Q46 / ((financials!Q5 + financials!R5) /2)</f>
        <v>2.736608000935899E-2</v>
      </c>
      <c r="S40" s="22">
        <f>financials!R46 / ((financials!R5 + financials!S5) /2)</f>
        <v>3.3857456607340984E-2</v>
      </c>
      <c r="T40" s="22">
        <f>financials!S46 / ((financials!S5 + financials!T5) /2)</f>
        <v>4.0323005819842328E-2</v>
      </c>
      <c r="U40" s="22">
        <f>financials!T46 / ((financials!T5 + financials!U5) /2)</f>
        <v>4.6725133451115737E-2</v>
      </c>
      <c r="V40" s="22">
        <f>financials!U46 / ((financials!U5 + financials!V5) /2)</f>
        <v>5.3318863747151578E-2</v>
      </c>
      <c r="W40" s="22">
        <f>financials!V46 / ((financials!V5 + financials!W5) /2)</f>
        <v>5.9710522076604849E-2</v>
      </c>
      <c r="X40" s="22">
        <f>financials!W46 / ((financials!W5 + financials!X5) /2)</f>
        <v>6.5791915827055916E-2</v>
      </c>
      <c r="Y40" s="22">
        <f>financials!X46 / ((financials!X5 + financials!Y5) /2)</f>
        <v>7.2955749815110008E-2</v>
      </c>
      <c r="Z40" s="22">
        <f>financials!Y46 / ((financials!Y5 + financials!Z5) /2)</f>
        <v>7.9343572234637574E-2</v>
      </c>
      <c r="AA40" s="22">
        <f>financials!Z46 / ((financials!Z5 + financials!AA5) /2)</f>
        <v>4.0269316143854907E-2</v>
      </c>
      <c r="AB40" s="22">
        <f>financials!AA46 / ((financials!AA5 + financials!AB5) /2)</f>
        <v>8.6561942309694315E-2</v>
      </c>
      <c r="AC40" s="22">
        <f>financials!AB46 / ((financials!AB5 + financials!AC5) /2)</f>
        <v>1.6292480042307576E-2</v>
      </c>
      <c r="AD40" s="22">
        <f>financials!AC46 / ((financials!AC5 + financials!AD5) /2)</f>
        <v>2.4151264773914317E-2</v>
      </c>
      <c r="AE40" s="22">
        <f>financials!AD46 / ((financials!AD5 + financials!AE5) /2)</f>
        <v>3.1514720444755631E-2</v>
      </c>
      <c r="AF40" s="22">
        <f>financials!AE46 / ((financials!AE5 + financials!AF5) /2)</f>
        <v>3.9327673263480412E-2</v>
      </c>
      <c r="AG40" s="22">
        <f>financials!AF46 / ((financials!AF5 + financials!AG5) /2)</f>
        <v>4.678014011996539E-2</v>
      </c>
      <c r="AH40" s="22">
        <f>financials!AG46 / ((financials!AG5 + financials!AH5) /2)</f>
        <v>5.4132570085046426E-2</v>
      </c>
      <c r="AI40" s="22">
        <f>financials!AH46 / ((financials!AH5 + financials!AI5) /2)</f>
        <v>6.2092307421235275E-2</v>
      </c>
      <c r="AJ40" s="22">
        <f>financials!AI46 / ((financials!AI5 + financials!AJ5) /2)</f>
        <v>7.0022382983870271E-2</v>
      </c>
      <c r="AK40" s="22">
        <f>financials!AJ46 / ((financials!AJ5 + financials!AK5) /2)</f>
        <v>7.7497885168220634E-2</v>
      </c>
      <c r="AL40" s="22">
        <f>financials!AK46 / ((financials!AK5 + financials!AL5) /2)</f>
        <v>8.6002690217660133E-2</v>
      </c>
      <c r="AM40" s="22">
        <f>financials!AL46 / ((financials!AL5 + financials!AM5) /2)</f>
        <v>9.3576052632385151E-2</v>
      </c>
      <c r="AN40" s="22" t="e">
        <f>financials!AM46 / ((financials!AM5 + financials!#REF!) /2)</f>
        <v>#REF!</v>
      </c>
      <c r="AO40" s="22" t="e">
        <f>financials!#REF! / ((financials!#REF! + financials!AN5) /2)</f>
        <v>#REF!</v>
      </c>
      <c r="AP40" s="22" t="e">
        <f>financials!AN46 / ((financials!AN5 + financials!AO5) /2)</f>
        <v>#DIV/0!</v>
      </c>
      <c r="AQ40" s="22" t="e">
        <f>financials!AO46 / ((financials!AO5 + financials!AP5) /2)</f>
        <v>#DIV/0!</v>
      </c>
      <c r="AR40" s="22" t="e">
        <f>financials!AP46 / ((financials!AP5 + financials!AQ5) /2)</f>
        <v>#DIV/0!</v>
      </c>
      <c r="AS40" s="22" t="e">
        <f>financials!AQ46 / ((financials!AQ5 + financials!AR5) /2)</f>
        <v>#DIV/0!</v>
      </c>
      <c r="AT40" s="22" t="e">
        <f>financials!AR46 / ((financials!AR5 + financials!AS5) /2)</f>
        <v>#DIV/0!</v>
      </c>
      <c r="AU40" s="22" t="e">
        <f>financials!AS46 / ((financials!AS5 + financials!AT5) /2)</f>
        <v>#DIV/0!</v>
      </c>
      <c r="AV40" s="22" t="e">
        <f>financials!AT46 / ((financials!AT5 + financials!AU5) /2)</f>
        <v>#DIV/0!</v>
      </c>
      <c r="AW40" s="22" t="e">
        <f>financials!AU46 / ((financials!AU5 + financials!AV5) /2)</f>
        <v>#DIV/0!</v>
      </c>
      <c r="AX40" s="22" t="e">
        <f>financials!AV46 / ((financials!AV5 + financials!AW5) /2)</f>
        <v>#DIV/0!</v>
      </c>
    </row>
    <row r="41" spans="1:50">
      <c r="A41" s="19" t="s">
        <v>176</v>
      </c>
      <c r="B41" s="20"/>
      <c r="C41" s="22">
        <f>financials!B47 / ((financials!B15 + financials!C15) /2)</f>
        <v>0.3422996016322204</v>
      </c>
      <c r="D41" s="22">
        <f>financials!C47 / ((financials!C15 + financials!D15) /2)</f>
        <v>6.180076213977613E-2</v>
      </c>
      <c r="E41" s="22">
        <f>financials!D47 / ((financials!D15 + financials!E15) /2)</f>
        <v>0</v>
      </c>
      <c r="F41" s="22">
        <f>financials!E47 / ((financials!E15 + financials!F15) /2)</f>
        <v>0</v>
      </c>
      <c r="G41" s="22">
        <f>financials!F47 / ((financials!F15 + financials!G15) /2)</f>
        <v>0</v>
      </c>
      <c r="H41" s="22">
        <f>financials!G47 / ((financials!G15 + financials!H15) /2)</f>
        <v>0</v>
      </c>
      <c r="I41" s="22">
        <f>financials!H47 / ((financials!H15 + financials!I15) /2)</f>
        <v>0</v>
      </c>
      <c r="J41" s="22">
        <f>financials!I47 / ((financials!I15 + financials!J15) /2)</f>
        <v>0</v>
      </c>
      <c r="K41" s="22">
        <f>financials!J47 / ((financials!J15 + financials!K15) /2)</f>
        <v>0</v>
      </c>
      <c r="L41" s="22">
        <f>financials!K47 / ((financials!K15 + financials!L15) /2)</f>
        <v>0</v>
      </c>
      <c r="M41" s="22">
        <f>financials!L47 / ((financials!L15 + financials!M15) /2)</f>
        <v>0</v>
      </c>
      <c r="N41" s="22">
        <f>financials!M47 / ((financials!M15 + financials!N15) /2)</f>
        <v>9.2719173511931458E-2</v>
      </c>
      <c r="O41" s="22">
        <f>financials!N47 / ((financials!N15 + financials!O15) /2)</f>
        <v>0</v>
      </c>
      <c r="P41" s="22">
        <f>financials!O47 / ((financials!O15 + financials!P15) /2)</f>
        <v>0</v>
      </c>
      <c r="Q41" s="22">
        <f>financials!P47 / ((financials!P15 + financials!Q15) /2)</f>
        <v>0</v>
      </c>
      <c r="R41" s="22">
        <f>financials!Q47 / ((financials!Q15 + financials!R15) /2)</f>
        <v>0</v>
      </c>
      <c r="S41" s="22">
        <f>financials!R47 / ((financials!R15 + financials!S15) /2)</f>
        <v>0</v>
      </c>
      <c r="T41" s="22">
        <f>financials!S47 / ((financials!S15 + financials!T15) /2)</f>
        <v>0</v>
      </c>
      <c r="U41" s="22">
        <f>financials!T47 / ((financials!T15 + financials!U15) /2)</f>
        <v>0</v>
      </c>
      <c r="V41" s="22">
        <f>financials!U47 / ((financials!U15 + financials!V15) /2)</f>
        <v>0</v>
      </c>
      <c r="W41" s="22">
        <f>financials!V47 / ((financials!V15 + financials!W15) /2)</f>
        <v>0</v>
      </c>
      <c r="X41" s="22">
        <f>financials!W47 / ((financials!W15 + financials!X15) /2)</f>
        <v>0</v>
      </c>
      <c r="Y41" s="22">
        <f>financials!X47 / ((financials!X15 + financials!Y15) /2)</f>
        <v>0</v>
      </c>
      <c r="Z41" s="22">
        <f>financials!Y47 / ((financials!Y15 + financials!Z15) /2)</f>
        <v>0</v>
      </c>
      <c r="AA41" s="22">
        <f>financials!Z47 / ((financials!Z15 + financials!AA15) /2)</f>
        <v>0</v>
      </c>
      <c r="AB41" s="22">
        <f>financials!AA47 / ((financials!AA15 + financials!AB15) /2)</f>
        <v>0</v>
      </c>
      <c r="AC41" s="22">
        <f>financials!AB47 / ((financials!AB15 + financials!AC15) /2)</f>
        <v>0</v>
      </c>
      <c r="AD41" s="22">
        <f>financials!AC47 / ((financials!AC15 + financials!AD15) /2)</f>
        <v>0</v>
      </c>
      <c r="AE41" s="22">
        <f>financials!AD47 / ((financials!AD15 + financials!AE15) /2)</f>
        <v>0</v>
      </c>
      <c r="AF41" s="22">
        <f>financials!AE47 / ((financials!AE15 + financials!AF15) /2)</f>
        <v>0</v>
      </c>
      <c r="AG41" s="22">
        <f>financials!AF47 / ((financials!AF15 + financials!AG15) /2)</f>
        <v>0</v>
      </c>
      <c r="AH41" s="22">
        <f>financials!AG47 / ((financials!AG15 + financials!AH15) /2)</f>
        <v>0</v>
      </c>
      <c r="AI41" s="22">
        <f>financials!AH47 / ((financials!AH15 + financials!AI15) /2)</f>
        <v>0</v>
      </c>
      <c r="AJ41" s="22">
        <f>financials!AI47 / ((financials!AI15 + financials!AJ15) /2)</f>
        <v>0</v>
      </c>
      <c r="AK41" s="22">
        <f>financials!AJ47 / ((financials!AJ15 + financials!AK15) /2)</f>
        <v>0</v>
      </c>
      <c r="AL41" s="22">
        <f>financials!AK47 / ((financials!AK15 + financials!AL15) /2)</f>
        <v>0</v>
      </c>
      <c r="AM41" s="22">
        <f>financials!AL47 / ((financials!AL15 + financials!AM15) /2)</f>
        <v>0</v>
      </c>
      <c r="AN41" s="22" t="e">
        <f>financials!AM47 / ((financials!AM15 + financials!#REF!) /2)</f>
        <v>#REF!</v>
      </c>
      <c r="AO41" s="22" t="e">
        <f>financials!#REF! / ((financials!#REF! + financials!AN15) /2)</f>
        <v>#REF!</v>
      </c>
      <c r="AP41" s="22" t="e">
        <f>financials!AN47 / ((financials!AN15 + financials!AO15) /2)</f>
        <v>#DIV/0!</v>
      </c>
      <c r="AQ41" s="22" t="e">
        <f>financials!AO47 / ((financials!AO15 + financials!AP15) /2)</f>
        <v>#DIV/0!</v>
      </c>
      <c r="AR41" s="22" t="e">
        <f>financials!AP47 / ((financials!AP15 + financials!AQ15) /2)</f>
        <v>#DIV/0!</v>
      </c>
      <c r="AS41" s="22" t="e">
        <f>financials!AQ47 / ((financials!AQ15 + financials!AR15) /2)</f>
        <v>#DIV/0!</v>
      </c>
      <c r="AT41" s="22" t="e">
        <f>financials!AR47 / ((financials!AR15 + financials!AS15) /2)</f>
        <v>#DIV/0!</v>
      </c>
      <c r="AU41" s="22" t="e">
        <f>financials!AS47 / ((financials!AS15 + financials!AT15) /2)</f>
        <v>#DIV/0!</v>
      </c>
      <c r="AV41" s="22" t="e">
        <f>financials!AT47 / ((financials!AT15 + financials!AU15) /2)</f>
        <v>#DIV/0!</v>
      </c>
      <c r="AW41" s="22" t="e">
        <f>financials!AU47 / ((financials!AU15 + financials!AV15) /2)</f>
        <v>#DIV/0!</v>
      </c>
      <c r="AX41" s="22" t="e">
        <f>financials!AV47 / ((financials!AV15 + financials!AW15) /2)</f>
        <v>#DIV/0!</v>
      </c>
    </row>
    <row r="42" spans="1:50">
      <c r="A42" s="19" t="s">
        <v>177</v>
      </c>
      <c r="B42" s="20"/>
      <c r="C42" s="22">
        <f>financials!B48 / ((financials!B27 + financials!C27) /2)</f>
        <v>2.1653435594163217E-2</v>
      </c>
      <c r="D42" s="22">
        <f>financials!C48 / ((financials!C27 + financials!D27) /2)</f>
        <v>2.8015110042247829E-3</v>
      </c>
      <c r="E42" s="22">
        <f>financials!D48 / ((financials!D27 + financials!E27) /2)</f>
        <v>4.0817558603365627E-3</v>
      </c>
      <c r="F42" s="22">
        <f>financials!E48 / ((financials!E27 + financials!F27) /2)</f>
        <v>5.4588507200323049E-3</v>
      </c>
      <c r="G42" s="22">
        <f>financials!F48 / ((financials!F27 + financials!G27) /2)</f>
        <v>6.546253341631501E-3</v>
      </c>
      <c r="H42" s="22">
        <f>financials!G48 / ((financials!G27 + financials!H27) /2)</f>
        <v>7.317444127596876E-3</v>
      </c>
      <c r="I42" s="22">
        <f>financials!H48 / ((financials!H27 + financials!I27) /2)</f>
        <v>9.0181699831216825E-3</v>
      </c>
      <c r="J42" s="22">
        <f>financials!I48 / ((financials!I27 + financials!J27) /2)</f>
        <v>9.6509161888925013E-3</v>
      </c>
      <c r="K42" s="22">
        <f>financials!J48 / ((financials!J27 + financials!K27) /2)</f>
        <v>1.0300944233979713E-2</v>
      </c>
      <c r="L42" s="22">
        <f>financials!K48 / ((financials!K27 + financials!L27) /2)</f>
        <v>1.0953692242458589E-2</v>
      </c>
      <c r="M42" s="22">
        <f>financials!L48 / ((financials!L27 + financials!M27) /2)</f>
        <v>1.1556535110181974E-2</v>
      </c>
      <c r="N42" s="22">
        <f>financials!M48 / ((financials!M27 + financials!N27) /2)</f>
        <v>1.1445819566865733E-2</v>
      </c>
      <c r="O42" s="22">
        <f>financials!N48 / ((financials!N27 + financials!O27) /2)</f>
        <v>1.1970323523678078E-2</v>
      </c>
      <c r="P42" s="22">
        <f>financials!O48 / ((financials!O27 + financials!P27) /2)</f>
        <v>1.4177560928003935E-3</v>
      </c>
      <c r="Q42" s="22">
        <f>financials!P48 / ((financials!P27 + financials!Q27) /2)</f>
        <v>1.9947631974532947E-3</v>
      </c>
      <c r="R42" s="22">
        <f>financials!Q48 / ((financials!Q27 + financials!R27) /2)</f>
        <v>2.5941972126506865E-3</v>
      </c>
      <c r="S42" s="22">
        <f>financials!R48 / ((financials!R27 + financials!S27) /2)</f>
        <v>3.1555520417832789E-3</v>
      </c>
      <c r="T42" s="22">
        <f>financials!S48 / ((financials!S27 + financials!T27) /2)</f>
        <v>3.5473449500060495E-3</v>
      </c>
      <c r="U42" s="22">
        <f>financials!T48 / ((financials!T27 + financials!U27) /2)</f>
        <v>3.7939011880659093E-3</v>
      </c>
      <c r="V42" s="22">
        <f>financials!U48 / ((financials!U27 + financials!V27) /2)</f>
        <v>4.1712467963131109E-3</v>
      </c>
      <c r="W42" s="22">
        <f>financials!V48 / ((financials!V27 + financials!W27) /2)</f>
        <v>4.5787688561169807E-3</v>
      </c>
      <c r="X42" s="22">
        <f>financials!W48 / ((financials!W27 + financials!X27) /2)</f>
        <v>4.9481370048447644E-3</v>
      </c>
      <c r="Y42" s="22">
        <f>financials!X48 / ((financials!X27 + financials!Y27) /2)</f>
        <v>5.3419428505345522E-3</v>
      </c>
      <c r="Z42" s="22">
        <f>financials!Y48 / ((financials!Y27 + financials!Z27) /2)</f>
        <v>5.6787499578784045E-3</v>
      </c>
      <c r="AA42" s="22">
        <f>financials!Z48 / ((financials!Z27 + financials!AA27) /2)</f>
        <v>8.5626764071834258E-3</v>
      </c>
      <c r="AB42" s="22">
        <f>financials!AA48 / ((financials!AA27 + financials!AB27) /2)</f>
        <v>6.0044739152569733E-3</v>
      </c>
      <c r="AC42" s="22">
        <f>financials!AB48 / ((financials!AB27 + financials!AC27) /2)</f>
        <v>5.4547909301323879E-4</v>
      </c>
      <c r="AD42" s="22">
        <f>financials!AC48 / ((financials!AC27 + financials!AD27) /2)</f>
        <v>7.1545558796740094E-4</v>
      </c>
      <c r="AE42" s="22">
        <f>financials!AD48 / ((financials!AD27 + financials!AE27) /2)</f>
        <v>8.6838072694701656E-4</v>
      </c>
      <c r="AF42" s="22">
        <f>financials!AE48 / ((financials!AE27 + financials!AF27) /2)</f>
        <v>1.0082380873941588E-3</v>
      </c>
      <c r="AG42" s="22">
        <f>financials!AF48 / ((financials!AF27 + financials!AG27) /2)</f>
        <v>1.1389644388800904E-3</v>
      </c>
      <c r="AH42" s="22">
        <f>financials!AG48 / ((financials!AG27 + financials!AH27) /2)</f>
        <v>1.2392647083394144E-3</v>
      </c>
      <c r="AI42" s="22">
        <f>financials!AH48 / ((financials!AH27 + financials!AI27) /2)</f>
        <v>1.3107352141457094E-3</v>
      </c>
      <c r="AJ42" s="22">
        <f>financials!AI48 / ((financials!AI27 + financials!AJ27) /2)</f>
        <v>1.349542595441699E-3</v>
      </c>
      <c r="AK42" s="22">
        <f>financials!AJ48 / ((financials!AJ27 + financials!AK27) /2)</f>
        <v>1.3503478800482081E-3</v>
      </c>
      <c r="AL42" s="22">
        <f>financials!AK48 / ((financials!AK27 + financials!AL27) /2)</f>
        <v>1.3034793801914829E-3</v>
      </c>
      <c r="AM42" s="22">
        <f>financials!AL48 / ((financials!AL27 + financials!AM27) /2)</f>
        <v>1.2750184224233089E-3</v>
      </c>
      <c r="AN42" s="22" t="e">
        <f>financials!AM48 / ((financials!AM27 + financials!#REF!) /2)</f>
        <v>#REF!</v>
      </c>
      <c r="AO42" s="22" t="e">
        <f>financials!#REF! / ((financials!#REF! + financials!AN27) /2)</f>
        <v>#REF!</v>
      </c>
      <c r="AP42" s="22" t="e">
        <f>financials!AN48 / ((financials!AN27 + financials!AO27) /2)</f>
        <v>#DIV/0!</v>
      </c>
      <c r="AQ42" s="22" t="e">
        <f>financials!AO48 / ((financials!AO27 + financials!AP27) /2)</f>
        <v>#DIV/0!</v>
      </c>
      <c r="AR42" s="22" t="e">
        <f>financials!AP48 / ((financials!AP27 + financials!AQ27) /2)</f>
        <v>#DIV/0!</v>
      </c>
      <c r="AS42" s="22" t="e">
        <f>financials!AQ48 / ((financials!AQ27 + financials!AR27) /2)</f>
        <v>#DIV/0!</v>
      </c>
      <c r="AT42" s="22" t="e">
        <f>financials!AR48 / ((financials!AR27 + financials!AS27) /2)</f>
        <v>#DIV/0!</v>
      </c>
      <c r="AU42" s="22" t="e">
        <f>financials!AS48 / ((financials!AS27 + financials!AT27) /2)</f>
        <v>#DIV/0!</v>
      </c>
      <c r="AV42" s="22" t="e">
        <f>financials!AT48 / ((financials!AT27 + financials!AU27) /2)</f>
        <v>#DIV/0!</v>
      </c>
      <c r="AW42" s="22" t="e">
        <f>financials!AU48 / ((financials!AU27 + financials!AV27) /2)</f>
        <v>#DIV/0!</v>
      </c>
      <c r="AX42" s="22" t="e">
        <f>financials!AV48 / ((financials!AV27 + financials!AW27) /2)</f>
        <v>#DIV/0!</v>
      </c>
    </row>
    <row r="43" spans="1:50">
      <c r="A43" s="19" t="s">
        <v>178</v>
      </c>
      <c r="B43" s="20"/>
      <c r="C43" s="22">
        <f>financials!B49 / ((financials!B3 + financials!C3) /2)</f>
        <v>8.1861639782757081E-2</v>
      </c>
      <c r="D43" s="22">
        <f>financials!C49 / ((financials!C3 + financials!D3) /2)</f>
        <v>1.8647465736698808E-2</v>
      </c>
      <c r="E43" s="22">
        <f>financials!D49 / ((financials!D3 + financials!E3) /2)</f>
        <v>2.5353511590010553E-2</v>
      </c>
      <c r="F43" s="22">
        <f>financials!E49 / ((financials!E3 + financials!F3) /2)</f>
        <v>3.0105010690688092E-2</v>
      </c>
      <c r="G43" s="22">
        <f>financials!F49 / ((financials!F3 + financials!G3) /2)</f>
        <v>3.4355522054146027E-2</v>
      </c>
      <c r="H43" s="22">
        <f>financials!G49 / ((financials!G3 + financials!H3) /2)</f>
        <v>7.7410740938244973E-2</v>
      </c>
      <c r="I43" s="22">
        <f>financials!H49 / ((financials!H3 + financials!I3) /2)</f>
        <v>9.9887518036224809E-2</v>
      </c>
      <c r="J43" s="22">
        <f>financials!I49 / ((financials!I3 + financials!J3) /2)</f>
        <v>5.4821509152624646E-2</v>
      </c>
      <c r="K43" s="22">
        <f>financials!J49 / ((financials!J3 + financials!K3) /2)</f>
        <v>6.0137082983704945E-2</v>
      </c>
      <c r="L43" s="22">
        <f>financials!K49 / ((financials!K3 + financials!L3) /2)</f>
        <v>6.5659988254975363E-2</v>
      </c>
      <c r="M43" s="22">
        <f>financials!L49 / ((financials!L3 + financials!M3) /2)</f>
        <v>7.2812169705584781E-2</v>
      </c>
      <c r="N43" s="22">
        <f>financials!M49 / ((financials!M3 + financials!N3) /2)</f>
        <v>7.1270051043296256E-2</v>
      </c>
      <c r="O43" s="22">
        <f>financials!N49 / ((financials!N3 + financials!O3) /2)</f>
        <v>7.5449254932435289E-2</v>
      </c>
      <c r="P43" s="22">
        <f>financials!O49 / ((financials!O3 + financials!P3) /2)</f>
        <v>1.4490647090175321E-2</v>
      </c>
      <c r="Q43" s="22">
        <f>financials!P49 / ((financials!P3 + financials!Q3) /2)</f>
        <v>2.03895376130976E-2</v>
      </c>
      <c r="R43" s="22">
        <f>financials!Q49 / ((financials!Q3 + financials!R3) /2)</f>
        <v>2.5606449871676259E-2</v>
      </c>
      <c r="S43" s="22">
        <f>financials!R49 / ((financials!R3 + financials!S3) /2)</f>
        <v>3.0381715461042624E-2</v>
      </c>
      <c r="T43" s="22">
        <f>financials!S49 / ((financials!S3 + financials!T3) /2)</f>
        <v>3.4761101159225628E-2</v>
      </c>
      <c r="U43" s="22">
        <f>financials!T49 / ((financials!T3 + financials!U3) /2)</f>
        <v>4.0136882730307112E-2</v>
      </c>
      <c r="V43" s="22">
        <f>financials!U49 / ((financials!U3 + financials!V3) /2)</f>
        <v>4.5706585885687843E-2</v>
      </c>
      <c r="W43" s="22">
        <f>financials!V49 / ((financials!V3 + financials!W3) /2)</f>
        <v>5.2228179931735522E-2</v>
      </c>
      <c r="X43" s="22">
        <f>financials!W49 / ((financials!W3 + financials!X3) /2)</f>
        <v>5.7776449613650853E-2</v>
      </c>
      <c r="Y43" s="22">
        <f>financials!X49 / ((financials!X3 + financials!Y3) /2)</f>
        <v>6.4509441625615796E-2</v>
      </c>
      <c r="Z43" s="22">
        <f>financials!Y49 / ((financials!Y3 + financials!Z3) /2)</f>
        <v>7.4812109480552377E-2</v>
      </c>
      <c r="AA43" s="22">
        <f>financials!Z49 / ((financials!Z3 + financials!AA3) /2)</f>
        <v>7.6381358043817904E-2</v>
      </c>
      <c r="AB43" s="22">
        <f>financials!AA49 / ((financials!AA3 + financials!AB3) /2)</f>
        <v>8.505813678884229E-2</v>
      </c>
      <c r="AC43" s="22">
        <f>financials!AB49 / ((financials!AB3 + financials!AC3) /2)</f>
        <v>1.7517007158371449E-2</v>
      </c>
      <c r="AD43" s="22">
        <f>financials!AC49 / ((financials!AC3 + financials!AD3) /2)</f>
        <v>2.4596551269988685E-2</v>
      </c>
      <c r="AE43" s="22">
        <f>financials!AD49 / ((financials!AD3 + financials!AE3) /2)</f>
        <v>3.0308366102010688E-2</v>
      </c>
      <c r="AF43" s="22">
        <f>financials!AE49 / ((financials!AE3 + financials!AF3) /2)</f>
        <v>3.6812886909965217E-2</v>
      </c>
      <c r="AG43" s="22">
        <f>financials!AF49 / ((financials!AF3 + financials!AG3) /2)</f>
        <v>4.4297928864365711E-2</v>
      </c>
      <c r="AH43" s="22">
        <f>financials!AG49 / ((financials!AG3 + financials!AH3) /2)</f>
        <v>4.9430819969653372E-2</v>
      </c>
      <c r="AI43" s="22">
        <f>financials!AH49 / ((financials!AH3 + financials!AI3) /2)</f>
        <v>5.5012219457989987E-2</v>
      </c>
      <c r="AJ43" s="22">
        <f>financials!AI49 / ((financials!AI3 + financials!AJ3) /2)</f>
        <v>6.2151193494131063E-2</v>
      </c>
      <c r="AK43" s="22">
        <f>financials!AJ49 / ((financials!AJ3 + financials!AK3) /2)</f>
        <v>6.7925456377125923E-2</v>
      </c>
      <c r="AL43" s="22">
        <f>financials!AK49 / ((financials!AK3 + financials!AL3) /2)</f>
        <v>7.2507175800640269E-2</v>
      </c>
      <c r="AM43" s="22">
        <f>financials!AL49 / ((financials!AL3 + financials!AM3) /2)</f>
        <v>8.4027320502008576E-2</v>
      </c>
      <c r="AN43" s="22" t="e">
        <f>financials!AM49 / ((financials!AM3 + financials!#REF!) /2)</f>
        <v>#REF!</v>
      </c>
      <c r="AO43" s="22" t="e">
        <f>financials!#REF! / ((financials!#REF! + financials!AN3) /2)</f>
        <v>#REF!</v>
      </c>
      <c r="AP43" s="22" t="e">
        <f>financials!AN49 / ((financials!AN3 + financials!AO3) /2)</f>
        <v>#DIV/0!</v>
      </c>
      <c r="AQ43" s="22" t="e">
        <f>financials!AO49 / ((financials!AO3 + financials!AP3) /2)</f>
        <v>#DIV/0!</v>
      </c>
      <c r="AR43" s="22" t="e">
        <f>financials!AP49 / ((financials!AP3 + financials!AQ3) /2)</f>
        <v>#DIV/0!</v>
      </c>
      <c r="AS43" s="22" t="e">
        <f>financials!AQ49 / ((financials!AQ3 + financials!AR3) /2)</f>
        <v>#DIV/0!</v>
      </c>
      <c r="AT43" s="22" t="e">
        <f>financials!AR49 / ((financials!AR3 + financials!AS3) /2)</f>
        <v>#DIV/0!</v>
      </c>
      <c r="AU43" s="22" t="e">
        <f>financials!AS49 / ((financials!AS3 + financials!AT3) /2)</f>
        <v>#DIV/0!</v>
      </c>
      <c r="AV43" s="22" t="e">
        <f>financials!AT49 / ((financials!AT3 + financials!AU3) /2)</f>
        <v>#DIV/0!</v>
      </c>
      <c r="AW43" s="22" t="e">
        <f>financials!AU49 / ((financials!AU3 + financials!AV3) /2)</f>
        <v>#DIV/0!</v>
      </c>
      <c r="AX43" s="22" t="e">
        <f>financials!AV49 / ((financials!AV3 + financials!AW3) /2)</f>
        <v>#DIV/0!</v>
      </c>
    </row>
    <row r="44" spans="1:50">
      <c r="A44" s="19" t="s">
        <v>179</v>
      </c>
      <c r="B44" s="20"/>
      <c r="C44" s="22">
        <f>financials!B49 / ((financials!B39 + financials!C39) /2)</f>
        <v>0.81475630837940383</v>
      </c>
      <c r="D44" s="22">
        <f>financials!C49 / ((financials!C39 + financials!D39) /2)</f>
        <v>0.55307288936615651</v>
      </c>
      <c r="E44" s="22">
        <f>financials!D49 / ((financials!D39 + financials!E39) /2)</f>
        <v>0.47328126068516152</v>
      </c>
      <c r="F44" s="22">
        <f>financials!E49 / ((financials!E39 + financials!F39) /2)</f>
        <v>0.42568349487980073</v>
      </c>
      <c r="G44" s="22">
        <f>financials!F49 / ((financials!F39 + financials!G39) /2)</f>
        <v>0.41327024037204557</v>
      </c>
      <c r="H44" s="22">
        <f>financials!G49 / ((financials!G39 + financials!H39) /2)</f>
        <v>0.36571837493569476</v>
      </c>
      <c r="I44" s="22">
        <f>financials!H49 / ((financials!H39 + financials!I39) /2)</f>
        <v>0.39929624424571991</v>
      </c>
      <c r="J44" s="22">
        <f>financials!I49 / ((financials!I39 + financials!J39) /2)</f>
        <v>0.39630725583731091</v>
      </c>
      <c r="K44" s="22">
        <f>financials!J49 / ((financials!J39 + financials!K39) /2)</f>
        <v>0.39994520189223565</v>
      </c>
      <c r="L44" s="22">
        <f>financials!K49 / ((financials!K39 + financials!L39) /2)</f>
        <v>0.40277264057161494</v>
      </c>
      <c r="M44" s="22">
        <f>financials!L49 / ((financials!L39 + financials!M39) /2)</f>
        <v>0.43991791267471198</v>
      </c>
      <c r="N44" s="22">
        <f>financials!M49 / ((financials!M39 + financials!N39) /2)</f>
        <v>0.42701028373405786</v>
      </c>
      <c r="O44" s="22">
        <f>financials!N49 / ((financials!N39 + financials!O39) /2)</f>
        <v>0.76982763179661462</v>
      </c>
      <c r="P44" s="22">
        <f>financials!O49 / ((financials!O39 + financials!P39) /2)</f>
        <v>0.45031198452418941</v>
      </c>
      <c r="Q44" s="22">
        <f>financials!P49 / ((financials!P39 + financials!Q39) /2)</f>
        <v>0.40290514061130378</v>
      </c>
      <c r="R44" s="22">
        <f>financials!Q49 / ((financials!Q39 + financials!R39) /2)</f>
        <v>0.37803373787840033</v>
      </c>
      <c r="S44" s="22">
        <f>financials!R49 / ((financials!R39 + financials!S39) /2)</f>
        <v>0.37825212891262638</v>
      </c>
      <c r="T44" s="22">
        <f>financials!S49 / ((financials!S39 + financials!T39) /2)</f>
        <v>0.37644091608220875</v>
      </c>
      <c r="U44" s="22">
        <f>financials!T49 / ((financials!T39 + financials!U39) /2)</f>
        <v>0.38708969249661412</v>
      </c>
      <c r="V44" s="22">
        <f>financials!U49 / ((financials!U39 + financials!V39) /2)</f>
        <v>0.39369197154242147</v>
      </c>
      <c r="W44" s="22">
        <f>financials!V49 / ((financials!V39 + financials!W39) /2)</f>
        <v>0.40740945446931803</v>
      </c>
      <c r="X44" s="22">
        <f>financials!W49 / ((financials!W39 + financials!X39) /2)</f>
        <v>0.41354089293421603</v>
      </c>
      <c r="Y44" s="22">
        <f>financials!X49 / ((financials!X39 + financials!Y39) /2)</f>
        <v>0.42375765410514993</v>
      </c>
      <c r="Z44" s="22">
        <f>financials!Y49 / ((financials!Y39 + financials!Z39) /2)</f>
        <v>0.47066344603850491</v>
      </c>
      <c r="AA44" s="22">
        <f>financials!Z49 / ((financials!Z39 + financials!AA39) /2)</f>
        <v>0.46330076167244638</v>
      </c>
      <c r="AB44" s="22">
        <f>financials!AA49 / ((financials!AA39 + financials!AB39) /2)</f>
        <v>0.87228572095239687</v>
      </c>
      <c r="AC44" s="22">
        <f>financials!AB49 / ((financials!AB39 + financials!AC39) /2)</f>
        <v>0.55319162244125919</v>
      </c>
      <c r="AD44" s="22">
        <f>financials!AC49 / ((financials!AC39 + financials!AD39) /2)</f>
        <v>0.53271664424272802</v>
      </c>
      <c r="AE44" s="22">
        <f>financials!AD49 / ((financials!AD39 + financials!AE39) /2)</f>
        <v>0.50750276474942457</v>
      </c>
      <c r="AF44" s="22">
        <f>financials!AE49 / ((financials!AE39 + financials!AF39) /2)</f>
        <v>0.47941420860786016</v>
      </c>
      <c r="AG44" s="22">
        <f>financials!AF49 / ((financials!AF39 + financials!AG39) /2)</f>
        <v>0.47602575579043477</v>
      </c>
      <c r="AH44" s="22">
        <f>financials!AG49 / ((financials!AG39 + financials!AH39) /2)</f>
        <v>0.4675511611284508</v>
      </c>
      <c r="AI44" s="22">
        <f>financials!AH49 / ((financials!AH39 + financials!AI39) /2)</f>
        <v>0.45969714102042503</v>
      </c>
      <c r="AJ44" s="22">
        <f>financials!AI49 / ((financials!AI39 + financials!AJ39) /2)</f>
        <v>0.46741263380750303</v>
      </c>
      <c r="AK44" s="22">
        <f>financials!AJ49 / ((financials!AJ39 + financials!AK39) /2)</f>
        <v>0.46980880495216165</v>
      </c>
      <c r="AL44" s="22">
        <f>financials!AK49 / ((financials!AK39 + financials!AL39) /2)</f>
        <v>0.46031098716751767</v>
      </c>
      <c r="AM44" s="22">
        <f>financials!AL49 / ((financials!AL39 + financials!AM39) /2)</f>
        <v>0.50911510979167707</v>
      </c>
      <c r="AN44" s="22" t="e">
        <f>financials!AM49 / ((financials!AM39 + financials!#REF!) /2)</f>
        <v>#REF!</v>
      </c>
      <c r="AO44" s="22" t="e">
        <f>financials!#REF! / ((financials!#REF! + financials!AN39) /2)</f>
        <v>#REF!</v>
      </c>
      <c r="AP44" s="22" t="e">
        <f>financials!AN49 / ((financials!AN39 + financials!AO39) /2)</f>
        <v>#DIV/0!</v>
      </c>
      <c r="AQ44" s="22" t="e">
        <f>financials!AO49 / ((financials!AO39 + financials!AP39) /2)</f>
        <v>#DIV/0!</v>
      </c>
      <c r="AR44" s="22" t="e">
        <f>financials!AP49 / ((financials!AP39 + financials!AQ39) /2)</f>
        <v>#DIV/0!</v>
      </c>
      <c r="AS44" s="22" t="e">
        <f>financials!AQ49 / ((financials!AQ39 + financials!AR39) /2)</f>
        <v>#DIV/0!</v>
      </c>
      <c r="AT44" s="22" t="e">
        <f>financials!AR49 / ((financials!AR39 + financials!AS39) /2)</f>
        <v>#DIV/0!</v>
      </c>
      <c r="AU44" s="22" t="e">
        <f>financials!AS49 / ((financials!AS39 + financials!AT39) /2)</f>
        <v>#DIV/0!</v>
      </c>
      <c r="AV44" s="22" t="e">
        <f>financials!AT49 / ((financials!AT39 + financials!AU39) /2)</f>
        <v>#DIV/0!</v>
      </c>
      <c r="AW44" s="22" t="e">
        <f>financials!AU49 / ((financials!AU39 + financials!AV39) /2)</f>
        <v>#DIV/0!</v>
      </c>
      <c r="AX44" s="22" t="e">
        <f>financials!AV49 / ((financials!AV39 + financials!AW39) /2)</f>
        <v>#DIV/0!</v>
      </c>
    </row>
    <row r="45" spans="1:50">
      <c r="A45" s="19" t="s">
        <v>180</v>
      </c>
      <c r="B45" s="20"/>
      <c r="C45" s="22">
        <f>financials!B40 / ((financials!B26 + financials!C26) /2)</f>
        <v>0.29077276275301545</v>
      </c>
      <c r="D45" s="22">
        <f>financials!C40 / ((financials!C26 + financials!D26) /2)</f>
        <v>4.7547200531720193E-2</v>
      </c>
      <c r="E45" s="22">
        <f>financials!D40 / ((financials!D26 + financials!E26) /2)</f>
        <v>7.5706811601533308E-2</v>
      </c>
      <c r="F45" s="22">
        <f>financials!E40 / ((financials!E26 + financials!F26) /2)</f>
        <v>0.10162132717079687</v>
      </c>
      <c r="G45" s="22">
        <f>financials!F40 / ((financials!F26 + financials!G26) /2)</f>
        <v>0.12301596612363699</v>
      </c>
      <c r="H45" s="22">
        <f>financials!G40 / ((financials!G26 + financials!H26) /2)</f>
        <v>0.13919283554162051</v>
      </c>
      <c r="I45" s="22">
        <f>financials!H40 / ((financials!H26 + financials!I26) /2)</f>
        <v>0.18911253144553447</v>
      </c>
      <c r="J45" s="22">
        <f>financials!I40 / ((financials!I26 + financials!J26) /2)</f>
        <v>0.20673353899060259</v>
      </c>
      <c r="K45" s="22">
        <f>financials!J40 / ((financials!J26 + financials!K26) /2)</f>
        <v>0.22667052961832226</v>
      </c>
      <c r="L45" s="22">
        <f>financials!K40 / ((financials!K26 + financials!L26) /2)</f>
        <v>0.24588176518437838</v>
      </c>
      <c r="M45" s="22">
        <f>financials!L40 / ((financials!L26 + financials!M26) /2)</f>
        <v>0.26675254066429904</v>
      </c>
      <c r="N45" s="22">
        <f>financials!M40 / ((financials!M26 + financials!N26) /2)</f>
        <v>0.36221976482564222</v>
      </c>
      <c r="O45" s="22">
        <f>financials!N40 / ((financials!N26 + financials!O26) /2)</f>
        <v>0.28139222034605427</v>
      </c>
      <c r="P45" s="22">
        <f>financials!O40 / ((financials!O26 + financials!P26) /2)</f>
        <v>4.489150085679209E-2</v>
      </c>
      <c r="Q45" s="22">
        <f>financials!P40 / ((financials!P26 + financials!Q26) /2)</f>
        <v>6.7614063295074175E-2</v>
      </c>
      <c r="R45" s="22">
        <f>financials!Q40 / ((financials!Q26 + financials!R26) /2)</f>
        <v>9.0605373996016467E-2</v>
      </c>
      <c r="S45" s="22">
        <f>financials!R40 / ((financials!R26 + financials!S26) /2)</f>
        <v>0.11193327060881803</v>
      </c>
      <c r="T45" s="22">
        <f>financials!S40 / ((financials!S26 + financials!T26) /2)</f>
        <v>0.12754573815266615</v>
      </c>
      <c r="U45" s="22">
        <f>financials!T40 / ((financials!T26 + financials!U26) /2)</f>
        <v>0.13991610973315743</v>
      </c>
      <c r="V45" s="22">
        <f>financials!U40 / ((financials!U26 + financials!V26) /2)</f>
        <v>0.15614906718508678</v>
      </c>
      <c r="W45" s="22">
        <f>financials!V40 / ((financials!V26 + financials!W26) /2)</f>
        <v>0.17607972025065327</v>
      </c>
      <c r="X45" s="22">
        <f>financials!W40 / ((financials!W26 + financials!X26) /2)</f>
        <v>0.19580137120667121</v>
      </c>
      <c r="Y45" s="22">
        <f>financials!X40 / ((financials!X26 + financials!Y26) /2)</f>
        <v>0.21613164855996284</v>
      </c>
      <c r="Z45" s="22">
        <f>financials!Y40 / ((financials!Y26 + financials!Z26) /2)</f>
        <v>0.23513791840368548</v>
      </c>
      <c r="AA45" s="22">
        <f>financials!Z40 / ((financials!Z26 + financials!AA26) /2)</f>
        <v>0.33106501610539296</v>
      </c>
      <c r="AB45" s="22">
        <f>financials!AA40 / ((financials!AA26 + financials!AB26) /2)</f>
        <v>0.25543595409726544</v>
      </c>
      <c r="AC45" s="22">
        <f>financials!AB40 / ((financials!AB26 + financials!AC26) /2)</f>
        <v>3.7048199360317551E-2</v>
      </c>
      <c r="AD45" s="22">
        <f>financials!AC40 / ((financials!AC26 + financials!AD26) /2)</f>
        <v>5.4728413408322317E-2</v>
      </c>
      <c r="AE45" s="22">
        <f>financials!AD40 / ((financials!AD26 + financials!AE26) /2)</f>
        <v>7.0254064248405829E-2</v>
      </c>
      <c r="AF45" s="22">
        <f>financials!AE40 / ((financials!AE26 + financials!AF26) /2)</f>
        <v>8.7030923809039568E-2</v>
      </c>
      <c r="AG45" s="22">
        <f>financials!AF40 / ((financials!AF26 + financials!AG26) /2)</f>
        <v>0.10585727224778457</v>
      </c>
      <c r="AH45" s="22">
        <f>financials!AG40 / ((financials!AG26 + financials!AH26) /2)</f>
        <v>0.12465413305472663</v>
      </c>
      <c r="AI45" s="22">
        <f>financials!AH40 / ((financials!AH26 + financials!AI26) /2)</f>
        <v>0.14339728971192683</v>
      </c>
      <c r="AJ45" s="22">
        <f>financials!AI40 / ((financials!AI26 + financials!AJ26) /2)</f>
        <v>0.16102362310176385</v>
      </c>
      <c r="AK45" s="22">
        <f>financials!AJ40 / ((financials!AJ26 + financials!AK26) /2)</f>
        <v>0.17638728295703046</v>
      </c>
      <c r="AL45" s="22">
        <f>financials!AK40 / ((financials!AK26 + financials!AL26) /2)</f>
        <v>0.22496580960964535</v>
      </c>
      <c r="AM45" s="22">
        <f>financials!AL40 / ((financials!AL26 + financials!AM26) /2)</f>
        <v>0.24288430471877329</v>
      </c>
      <c r="AN45" s="22" t="e">
        <f>financials!AM40 / ((financials!AM26 + financials!#REF!) /2)</f>
        <v>#REF!</v>
      </c>
      <c r="AO45" s="22" t="e">
        <f>financials!#REF! / ((financials!#REF! + financials!AN26) /2)</f>
        <v>#REF!</v>
      </c>
      <c r="AP45" s="22" t="e">
        <f>financials!AN40 / ((financials!AN26 + financials!AO26) /2)</f>
        <v>#DIV/0!</v>
      </c>
      <c r="AQ45" s="22" t="e">
        <f>financials!AO40 / ((financials!AO26 + financials!AP26) /2)</f>
        <v>#DIV/0!</v>
      </c>
      <c r="AR45" s="22" t="e">
        <f>financials!AP40 / ((financials!AP26 + financials!AQ26) /2)</f>
        <v>#DIV/0!</v>
      </c>
      <c r="AS45" s="22" t="e">
        <f>financials!AQ40 / ((financials!AQ26 + financials!AR26) /2)</f>
        <v>#DIV/0!</v>
      </c>
      <c r="AT45" s="22" t="e">
        <f>financials!AR40 / ((financials!AR26 + financials!AS26) /2)</f>
        <v>#DIV/0!</v>
      </c>
      <c r="AU45" s="22" t="e">
        <f>financials!AS40 / ((financials!AS26 + financials!AT26) /2)</f>
        <v>#DIV/0!</v>
      </c>
      <c r="AV45" s="22" t="e">
        <f>financials!AT40 / ((financials!AT26 + financials!AU26) /2)</f>
        <v>#DIV/0!</v>
      </c>
      <c r="AW45" s="22" t="e">
        <f>financials!AU40 / ((financials!AU26 + financials!AV26) /2)</f>
        <v>#DIV/0!</v>
      </c>
      <c r="AX45" s="22" t="e">
        <f>financials!AV40 / ((financials!AV26 + financials!AW26) /2)</f>
        <v>#DIV/0!</v>
      </c>
    </row>
    <row r="46" spans="1:50">
      <c r="A46" s="19" t="s">
        <v>181</v>
      </c>
      <c r="B46" s="20"/>
      <c r="C46" s="22">
        <f>financials!B40 / ((financials!B27 + financials!C27) /2)</f>
        <v>0.27123740816571007</v>
      </c>
      <c r="D46" s="22">
        <f>financials!C40 / ((financials!C27 + financials!D27) /2)</f>
        <v>4.4282445838656127E-2</v>
      </c>
      <c r="E46" s="22">
        <f>financials!D40 / ((financials!D27 + financials!E27) /2)</f>
        <v>7.0389403359795849E-2</v>
      </c>
      <c r="F46" s="22">
        <f>financials!E40 / ((financials!E27 + financials!F27) /2)</f>
        <v>9.4290310481283737E-2</v>
      </c>
      <c r="G46" s="22">
        <f>financials!F40 / ((financials!F27 + financials!G27) /2)</f>
        <v>0.11423400698642194</v>
      </c>
      <c r="H46" s="22">
        <f>financials!G40 / ((financials!G27 + financials!H27) /2)</f>
        <v>0.12965460116566474</v>
      </c>
      <c r="I46" s="22">
        <f>financials!H40 / ((financials!H27 + financials!I27) /2)</f>
        <v>0.17652617077827298</v>
      </c>
      <c r="J46" s="22">
        <f>financials!I40 / ((financials!I27 + financials!J27) /2)</f>
        <v>0.19330195725553453</v>
      </c>
      <c r="K46" s="22">
        <f>financials!J40 / ((financials!J27 + financials!K27) /2)</f>
        <v>0.21210652404364633</v>
      </c>
      <c r="L46" s="22">
        <f>financials!K40 / ((financials!K27 + financials!L27) /2)</f>
        <v>0.23019972742605962</v>
      </c>
      <c r="M46" s="22">
        <f>financials!L40 / ((financials!L27 + financials!M27) /2)</f>
        <v>0.24990089416126499</v>
      </c>
      <c r="N46" s="22">
        <f>financials!M40 / ((financials!M27 + financials!N27) /2)</f>
        <v>0.33940206705905573</v>
      </c>
      <c r="O46" s="22">
        <f>financials!N40 / ((financials!N27 + financials!O27) /2)</f>
        <v>0.26375308951964871</v>
      </c>
      <c r="P46" s="22">
        <f>financials!O40 / ((financials!O27 + financials!P27) /2)</f>
        <v>4.2068094673861391E-2</v>
      </c>
      <c r="Q46" s="22">
        <f>financials!P40 / ((financials!P27 + financials!Q27) /2)</f>
        <v>6.334534972325126E-2</v>
      </c>
      <c r="R46" s="22">
        <f>financials!Q40 / ((financials!Q27 + financials!R27) /2)</f>
        <v>8.4857828297215027E-2</v>
      </c>
      <c r="S46" s="22">
        <f>financials!R40 / ((financials!R27 + financials!S27) /2)</f>
        <v>0.10474864947474571</v>
      </c>
      <c r="T46" s="22">
        <f>financials!S40 / ((financials!S27 + financials!T27) /2)</f>
        <v>0.11960987814715461</v>
      </c>
      <c r="U46" s="22">
        <f>financials!T40 / ((financials!T27 + financials!U27) /2)</f>
        <v>0.13161213604784439</v>
      </c>
      <c r="V46" s="22">
        <f>financials!U40 / ((financials!U27 + financials!V27) /2)</f>
        <v>0.14690135536484519</v>
      </c>
      <c r="W46" s="22">
        <f>financials!V40 / ((financials!V27 + financials!W27) /2)</f>
        <v>0.16551355664012979</v>
      </c>
      <c r="X46" s="22">
        <f>financials!W40 / ((financials!W27 + financials!X27) /2)</f>
        <v>0.18389020452025895</v>
      </c>
      <c r="Y46" s="22">
        <f>financials!X40 / ((financials!X27 + financials!Y27) /2)</f>
        <v>0.20341495285008948</v>
      </c>
      <c r="Z46" s="22">
        <f>financials!Y40 / ((financials!Y27 + financials!Z27) /2)</f>
        <v>0.22192772075717965</v>
      </c>
      <c r="AA46" s="22">
        <f>financials!Z40 / ((financials!Z27 + financials!AA27) /2)</f>
        <v>0.31223278030978169</v>
      </c>
      <c r="AB46" s="22">
        <f>financials!AA40 / ((financials!AA27 + financials!AB27) /2)</f>
        <v>0.24065162007973734</v>
      </c>
      <c r="AC46" s="22">
        <f>financials!AB40 / ((financials!AB27 + financials!AC27) /2)</f>
        <v>3.4921277381475352E-2</v>
      </c>
      <c r="AD46" s="22">
        <f>financials!AC40 / ((financials!AC27 + financials!AD27) /2)</f>
        <v>5.1695970034167711E-2</v>
      </c>
      <c r="AE46" s="22">
        <f>financials!AD40 / ((financials!AD27 + financials!AE27) /2)</f>
        <v>6.6467072217599302E-2</v>
      </c>
      <c r="AF46" s="22">
        <f>financials!AE40 / ((financials!AE27 + financials!AF27) /2)</f>
        <v>8.2323720830462327E-2</v>
      </c>
      <c r="AG46" s="22">
        <f>financials!AF40 / ((financials!AF27 + financials!AG27) /2)</f>
        <v>0.10003793170570575</v>
      </c>
      <c r="AH46" s="22">
        <f>financials!AG40 / ((financials!AG27 + financials!AH27) /2)</f>
        <v>0.11769926293661136</v>
      </c>
      <c r="AI46" s="22">
        <f>financials!AH40 / ((financials!AH27 + financials!AI27) /2)</f>
        <v>0.13531804581515069</v>
      </c>
      <c r="AJ46" s="22">
        <f>financials!AI40 / ((financials!AI27 + financials!AJ27) /2)</f>
        <v>0.15190683605466349</v>
      </c>
      <c r="AK46" s="22">
        <f>financials!AJ40 / ((financials!AJ27 + financials!AK27) /2)</f>
        <v>0.16643536765333605</v>
      </c>
      <c r="AL46" s="22">
        <f>financials!AK40 / ((financials!AK27 + financials!AL27) /2)</f>
        <v>0.21336305546404646</v>
      </c>
      <c r="AM46" s="22">
        <f>financials!AL40 / ((financials!AL27 + financials!AM27) /2)</f>
        <v>0.23140703396207862</v>
      </c>
      <c r="AN46" s="22" t="e">
        <f>financials!AM40 / ((financials!AM27 + financials!#REF!) /2)</f>
        <v>#REF!</v>
      </c>
      <c r="AO46" s="22" t="e">
        <f>financials!#REF! / ((financials!#REF! + financials!AN27) /2)</f>
        <v>#REF!</v>
      </c>
      <c r="AP46" s="22" t="e">
        <f>financials!AN40 / ((financials!AN27 + financials!AO27) /2)</f>
        <v>#DIV/0!</v>
      </c>
      <c r="AQ46" s="22" t="e">
        <f>financials!AO40 / ((financials!AO27 + financials!AP27) /2)</f>
        <v>#DIV/0!</v>
      </c>
      <c r="AR46" s="22" t="e">
        <f>financials!AP40 / ((financials!AP27 + financials!AQ27) /2)</f>
        <v>#DIV/0!</v>
      </c>
      <c r="AS46" s="22" t="e">
        <f>financials!AQ40 / ((financials!AQ27 + financials!AR27) /2)</f>
        <v>#DIV/0!</v>
      </c>
      <c r="AT46" s="22" t="e">
        <f>financials!AR40 / ((financials!AR27 + financials!AS27) /2)</f>
        <v>#DIV/0!</v>
      </c>
      <c r="AU46" s="22" t="e">
        <f>financials!AS40 / ((financials!AS27 + financials!AT27) /2)</f>
        <v>#DIV/0!</v>
      </c>
      <c r="AV46" s="22" t="e">
        <f>financials!AT40 / ((financials!AT27 + financials!AU27) /2)</f>
        <v>#DIV/0!</v>
      </c>
      <c r="AW46" s="22" t="e">
        <f>financials!AU40 / ((financials!AU27 + financials!AV27) /2)</f>
        <v>#DIV/0!</v>
      </c>
      <c r="AX46" s="22" t="e">
        <f>financials!AV40 / ((financials!AV27 + financials!AW27) /2)</f>
        <v>#DIV/0!</v>
      </c>
    </row>
  </sheetData>
  <mergeCells count="8">
    <mergeCell ref="A25:B25"/>
    <mergeCell ref="A29:B29"/>
    <mergeCell ref="A39:B39"/>
    <mergeCell ref="A2:B2"/>
    <mergeCell ref="A7:B7"/>
    <mergeCell ref="A10:B10"/>
    <mergeCell ref="A14:B14"/>
    <mergeCell ref="A19:B19"/>
  </mergeCells>
  <conditionalFormatting sqref="C15:AX15">
    <cfRule type="cellIs" dxfId="8" priority="8" operator="lessThan">
      <formula>0.15</formula>
    </cfRule>
  </conditionalFormatting>
  <conditionalFormatting sqref="C18:AX18">
    <cfRule type="cellIs" dxfId="7" priority="9" operator="greaterThan">
      <formula>0.25</formula>
    </cfRule>
  </conditionalFormatting>
  <conditionalFormatting sqref="C20:AX20">
    <cfRule type="cellIs" dxfId="6" priority="10" operator="greaterThan">
      <formula>0.1</formula>
    </cfRule>
  </conditionalFormatting>
  <conditionalFormatting sqref="C21:AX22">
    <cfRule type="cellIs" dxfId="5" priority="11" operator="greaterThan">
      <formula>0.05</formula>
    </cfRule>
  </conditionalFormatting>
  <conditionalFormatting sqref="C23:AX23">
    <cfRule type="cellIs" dxfId="4" priority="13" operator="greaterThan">
      <formula>0.4</formula>
    </cfRule>
  </conditionalFormatting>
  <conditionalFormatting sqref="C3:AX3">
    <cfRule type="cellIs" dxfId="3" priority="4" operator="lessThan">
      <formula>10000000</formula>
    </cfRule>
  </conditionalFormatting>
  <conditionalFormatting sqref="C3:AX46">
    <cfRule type="cellIs" dxfId="2" priority="2" operator="lessThan">
      <formula>0</formula>
    </cfRule>
  </conditionalFormatting>
  <conditionalFormatting sqref="C4:AX4">
    <cfRule type="cellIs" dxfId="1" priority="5" operator="lessThan">
      <formula>0.1</formula>
    </cfRule>
  </conditionalFormatting>
  <conditionalFormatting sqref="C5:AX6">
    <cfRule type="cellIs" dxfId="0" priority="6" operator="lessThan">
      <formula>0.08</formula>
    </cfRule>
  </conditionalFormatting>
  <printOptions horizontalCentered="1" verticalCentered="1"/>
  <pageMargins left="0.7" right="0.7" top="0.75" bottom="0.75" header="0.3" footer="0.3"/>
  <pageSetup paperSize="9" scale="7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31"/>
  <sheetViews>
    <sheetView workbookViewId="0">
      <pane xSplit="2" ySplit="8" topLeftCell="C9" activePane="bottomRight" state="frozen"/>
      <selection pane="bottomRight" activeCell="C11" sqref="C11"/>
      <selection pane="bottomLeft" activeCell="A9" sqref="A9"/>
      <selection pane="topRight" activeCell="C1" sqref="C1"/>
    </sheetView>
  </sheetViews>
  <sheetFormatPr defaultColWidth="18.85546875" defaultRowHeight="15"/>
  <cols>
    <col min="1" max="1" width="4.28515625" bestFit="1" customWidth="1"/>
    <col min="2" max="2" width="19" bestFit="1" customWidth="1"/>
    <col min="3" max="3" width="12.85546875" bestFit="1" customWidth="1"/>
    <col min="4" max="4" width="22.28515625" customWidth="1"/>
    <col min="5" max="5" width="12.28515625" bestFit="1" customWidth="1"/>
    <col min="6" max="6" width="25.42578125" customWidth="1"/>
    <col min="36" max="36" width="19.5703125" bestFit="1" customWidth="1"/>
    <col min="48" max="48" width="19.5703125" bestFit="1" customWidth="1"/>
    <col min="64" max="64" width="19.5703125" bestFit="1" customWidth="1"/>
  </cols>
  <sheetData>
    <row r="2" ht="15" hidden="1" customHeight="1"/>
    <row r="4" hidden="1"/>
    <row r="9" ht="45" customHeight="1"/>
    <row r="25" ht="15" customHeight="1"/>
    <row r="28" ht="15" customHeight="1"/>
    <row r="29" ht="15" customHeight="1"/>
    <row r="31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6" ma:contentTypeDescription="Create a new document." ma:contentTypeScope="" ma:versionID="02b30870fc8718c37a5fdeeb3f9f6640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1d039cf6d75f596d6402e382bea0e69c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f647032-17c5-4266-af02-4596a72daf50" xsi:nil="true"/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</documentManagement>
</p:properties>
</file>

<file path=customXml/itemProps1.xml><?xml version="1.0" encoding="utf-8"?>
<ds:datastoreItem xmlns:ds="http://schemas.openxmlformats.org/officeDocument/2006/customXml" ds:itemID="{ECA0C796-62B5-43C4-B0F4-F539CBC8AB4A}"/>
</file>

<file path=customXml/itemProps2.xml><?xml version="1.0" encoding="utf-8"?>
<ds:datastoreItem xmlns:ds="http://schemas.openxmlformats.org/officeDocument/2006/customXml" ds:itemID="{80409182-0CC7-46C8-8C94-9F2A5E7268B3}"/>
</file>

<file path=customXml/itemProps3.xml><?xml version="1.0" encoding="utf-8"?>
<ds:datastoreItem xmlns:ds="http://schemas.openxmlformats.org/officeDocument/2006/customXml" ds:itemID="{50C10C3F-0987-40B6-8AC5-5ECB8F32A6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SASRA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CAELS</dc:title>
  <dc:subject>Analysis of Sacco Performance</dc:subject>
  <dc:creator>Portfolio one</dc:creator>
  <cp:keywords/>
  <dc:description>Created with python and xlswriter</dc:description>
  <cp:lastModifiedBy>Stephen Njuguna</cp:lastModifiedBy>
  <cp:revision/>
  <dcterms:created xsi:type="dcterms:W3CDTF">2015-11-12T10:21:48Z</dcterms:created>
  <dcterms:modified xsi:type="dcterms:W3CDTF">2023-01-31T10:43:39Z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0x010100F4FB27488935CD4FBFBB981DE553EA38</vt:lpwstr>
  </property>
  <property fmtid="{D5CDD505-2E9C-101B-9397-08002B2CF9AE}" pid="3" name="MSIP_Label_6294dde6-398b-42fd-9ab1-a1959fc6b9e2_Enabled">
    <vt:lpwstr>true</vt:lpwstr>
  </property>
  <property fmtid="{D5CDD505-2E9C-101B-9397-08002B2CF9AE}" pid="4" name="MSIP_Label_6294dde6-398b-42fd-9ab1-a1959fc6b9e2_SetDate">
    <vt:lpwstr>2022-02-01T09:24:47Z</vt:lpwstr>
  </property>
  <property fmtid="{D5CDD505-2E9C-101B-9397-08002B2CF9AE}" pid="5" name="MSIP_Label_6294dde6-398b-42fd-9ab1-a1959fc6b9e2_Method">
    <vt:lpwstr>Privileged</vt:lpwstr>
  </property>
  <property fmtid="{D5CDD505-2E9C-101B-9397-08002B2CF9AE}" pid="6" name="MSIP_Label_6294dde6-398b-42fd-9ab1-a1959fc6b9e2_Name">
    <vt:lpwstr>Public</vt:lpwstr>
  </property>
  <property fmtid="{D5CDD505-2E9C-101B-9397-08002B2CF9AE}" pid="7" name="MSIP_Label_6294dde6-398b-42fd-9ab1-a1959fc6b9e2_SiteId">
    <vt:lpwstr>d6c8161d-ccd5-4325-b291-dd442c369fe4</vt:lpwstr>
  </property>
  <property fmtid="{D5CDD505-2E9C-101B-9397-08002B2CF9AE}" pid="8" name="MSIP_Label_6294dde6-398b-42fd-9ab1-a1959fc6b9e2_ActionId">
    <vt:lpwstr>371ce3fb-1838-4ea1-8eac-ec7dfaedfb3c</vt:lpwstr>
  </property>
  <property fmtid="{D5CDD505-2E9C-101B-9397-08002B2CF9AE}" pid="9" name="MSIP_Label_6294dde6-398b-42fd-9ab1-a1959fc6b9e2_ContentBits">
    <vt:lpwstr>0</vt:lpwstr>
  </property>
  <property fmtid="{D5CDD505-2E9C-101B-9397-08002B2CF9AE}" pid="10" name="MediaServiceImageTags">
    <vt:lpwstr/>
  </property>
</Properties>
</file>
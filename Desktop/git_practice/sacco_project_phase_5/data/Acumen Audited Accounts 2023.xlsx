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/>
  <mc:AlternateContent xmlns:mc="http://schemas.openxmlformats.org/markup-compatibility/2006">
    <mc:Choice Requires="x15">
      <x15ac:absPath xmlns:x15ac="http://schemas.microsoft.com/office/spreadsheetml/2010/11/ac" url="C:\Users\rkamwaro\OneDrive - Sacco Societies Regulatory Authority\Documents\"/>
    </mc:Choice>
  </mc:AlternateContent>
  <xr:revisionPtr revIDLastSave="9" documentId="11_C3BCE27764DB5F52B3B17C3BD792211EE43C4D6A" xr6:coauthVersionLast="47" xr6:coauthVersionMax="47" xr10:uidLastSave="{B3974AB7-59BA-4166-A7A1-89B798D3D4DE}"/>
  <bookViews>
    <workbookView xWindow="0" yWindow="0" windowWidth="23040" windowHeight="8040" firstSheet="5" xr2:uid="{00000000-000D-0000-FFFF-FFFF00000000}"/>
  </bookViews>
  <sheets>
    <sheet name="Balance Sheet" sheetId="1" r:id="rId1"/>
    <sheet name="Insider Lending" sheetId="6" r:id="rId2"/>
    <sheet name="Income Stat." sheetId="2" r:id="rId3"/>
    <sheet name="Form 4" sheetId="5" r:id="rId4"/>
    <sheet name="Financials" sheetId="3" r:id="rId5"/>
    <sheet name="CAEL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1" l="1"/>
  <c r="E21" i="5"/>
  <c r="Q39" i="3"/>
  <c r="T13" i="2"/>
  <c r="U13" i="2"/>
  <c r="V13" i="2"/>
  <c r="W13" i="2"/>
  <c r="X13" i="2"/>
  <c r="Y13" i="2"/>
  <c r="Z13" i="2"/>
  <c r="AA13" i="2"/>
  <c r="AB13" i="2"/>
  <c r="AC13" i="2"/>
  <c r="AD13" i="2"/>
  <c r="AE13" i="2"/>
  <c r="AE29" i="2"/>
  <c r="AE27" i="2"/>
  <c r="AE12" i="2"/>
  <c r="AE7" i="2"/>
  <c r="AH46" i="1"/>
  <c r="AH48" i="1" s="1"/>
  <c r="AD43" i="1"/>
  <c r="AD36" i="1"/>
  <c r="AD29" i="1"/>
  <c r="AD5" i="1"/>
  <c r="AD6" i="1" s="1"/>
  <c r="AD8" i="3" l="1"/>
  <c r="X10" i="3"/>
  <c r="Y10" i="3"/>
  <c r="Z10" i="3"/>
  <c r="AA10" i="3"/>
  <c r="AB10" i="3"/>
  <c r="AC10" i="3"/>
  <c r="AD10" i="3"/>
  <c r="X11" i="3"/>
  <c r="Y11" i="3"/>
  <c r="Y9" i="3" s="1"/>
  <c r="Z11" i="3"/>
  <c r="AA11" i="3"/>
  <c r="AB11" i="3"/>
  <c r="AC11" i="3"/>
  <c r="AD11" i="3"/>
  <c r="X12" i="3"/>
  <c r="Y12" i="3"/>
  <c r="Z12" i="3"/>
  <c r="AA12" i="3"/>
  <c r="AB12" i="3"/>
  <c r="AC12" i="3"/>
  <c r="AD12" i="3"/>
  <c r="X13" i="3"/>
  <c r="Y13" i="3"/>
  <c r="Z13" i="3"/>
  <c r="AA13" i="3"/>
  <c r="AB13" i="3"/>
  <c r="AC13" i="3"/>
  <c r="AD13" i="3"/>
  <c r="X19" i="3"/>
  <c r="Y19" i="3"/>
  <c r="Z19" i="3"/>
  <c r="AA19" i="3"/>
  <c r="AB19" i="3"/>
  <c r="AC19" i="3"/>
  <c r="AD19" i="3"/>
  <c r="AD21" i="3"/>
  <c r="X22" i="3"/>
  <c r="Y22" i="3"/>
  <c r="Z22" i="3"/>
  <c r="AA22" i="3"/>
  <c r="AB22" i="3"/>
  <c r="AC22" i="3"/>
  <c r="AD22" i="3"/>
  <c r="X23" i="3"/>
  <c r="Y23" i="3"/>
  <c r="Z23" i="3"/>
  <c r="AA23" i="3"/>
  <c r="AB23" i="3"/>
  <c r="AC23" i="3"/>
  <c r="AD23" i="3"/>
  <c r="X24" i="3"/>
  <c r="Y24" i="3"/>
  <c r="Z24" i="3"/>
  <c r="AA24" i="3"/>
  <c r="AB24" i="3"/>
  <c r="AC24" i="3"/>
  <c r="AD24" i="3"/>
  <c r="AD29" i="3"/>
  <c r="X30" i="3"/>
  <c r="Y30" i="3"/>
  <c r="Z30" i="3"/>
  <c r="AA30" i="3"/>
  <c r="AB30" i="3"/>
  <c r="AC30" i="3"/>
  <c r="AD30" i="3"/>
  <c r="X31" i="3"/>
  <c r="Y31" i="3"/>
  <c r="Z31" i="3"/>
  <c r="AA31" i="3"/>
  <c r="AB31" i="3"/>
  <c r="AC31" i="3"/>
  <c r="AD31" i="3"/>
  <c r="X32" i="3"/>
  <c r="Y32" i="3"/>
  <c r="Z32" i="3"/>
  <c r="AA32" i="3"/>
  <c r="AB32" i="3"/>
  <c r="AC32" i="3"/>
  <c r="AD32" i="3"/>
  <c r="AD34" i="3"/>
  <c r="X35" i="3"/>
  <c r="Y35" i="3"/>
  <c r="Z35" i="3"/>
  <c r="AA35" i="3"/>
  <c r="AB35" i="3"/>
  <c r="AC35" i="3"/>
  <c r="AD35" i="3"/>
  <c r="X37" i="3"/>
  <c r="Y37" i="3"/>
  <c r="Z37" i="3"/>
  <c r="AA37" i="3"/>
  <c r="AB37" i="3"/>
  <c r="AC37" i="3"/>
  <c r="AD37" i="3"/>
  <c r="X38" i="3"/>
  <c r="Y38" i="3"/>
  <c r="Z38" i="3"/>
  <c r="AA38" i="3"/>
  <c r="AB38" i="3"/>
  <c r="AC38" i="3"/>
  <c r="AD38" i="3"/>
  <c r="X42" i="3"/>
  <c r="Y42" i="3"/>
  <c r="Z42" i="3"/>
  <c r="AA42" i="3"/>
  <c r="AB42" i="3"/>
  <c r="AC42" i="3"/>
  <c r="AD42" i="3"/>
  <c r="X43" i="3"/>
  <c r="Y43" i="3"/>
  <c r="Z43" i="3"/>
  <c r="AA43" i="3"/>
  <c r="AB43" i="3"/>
  <c r="AC43" i="3"/>
  <c r="AD43" i="3"/>
  <c r="AD44" i="3"/>
  <c r="X45" i="3"/>
  <c r="Y45" i="3"/>
  <c r="Z45" i="3"/>
  <c r="AA45" i="3"/>
  <c r="AB45" i="3"/>
  <c r="AC45" i="3"/>
  <c r="AD45" i="3"/>
  <c r="X48" i="3"/>
  <c r="Y48" i="3"/>
  <c r="Z48" i="3"/>
  <c r="AA48" i="3"/>
  <c r="AB48" i="3"/>
  <c r="AC48" i="3"/>
  <c r="AD48" i="3"/>
  <c r="X49" i="3"/>
  <c r="Y49" i="3"/>
  <c r="Z49" i="3"/>
  <c r="AA49" i="3"/>
  <c r="AB49" i="3"/>
  <c r="AC49" i="3"/>
  <c r="AD49" i="3"/>
  <c r="X50" i="3"/>
  <c r="Y50" i="3"/>
  <c r="Z50" i="3"/>
  <c r="AA50" i="3"/>
  <c r="AB50" i="3"/>
  <c r="AC50" i="3"/>
  <c r="AD50" i="3"/>
  <c r="AD51" i="3"/>
  <c r="V44" i="1"/>
  <c r="W44" i="1"/>
  <c r="X44" i="1"/>
  <c r="Y44" i="1"/>
  <c r="Z44" i="1"/>
  <c r="AA44" i="1"/>
  <c r="AB44" i="1"/>
  <c r="AC44" i="1"/>
  <c r="AD44" i="1"/>
  <c r="W41" i="1"/>
  <c r="W50" i="1" s="1"/>
  <c r="X41" i="1"/>
  <c r="X50" i="1" s="1"/>
  <c r="Y41" i="1"/>
  <c r="Z41" i="1"/>
  <c r="AA41" i="1"/>
  <c r="AB41" i="1"/>
  <c r="AC41" i="1"/>
  <c r="AD41" i="1"/>
  <c r="AC21" i="3" s="1"/>
  <c r="V31" i="1"/>
  <c r="W31" i="1"/>
  <c r="X31" i="1"/>
  <c r="Y31" i="1"/>
  <c r="Z31" i="1"/>
  <c r="AA31" i="1"/>
  <c r="AB31" i="1"/>
  <c r="AC31" i="1"/>
  <c r="AD31" i="1"/>
  <c r="V30" i="1"/>
  <c r="W30" i="1"/>
  <c r="W38" i="1" s="1"/>
  <c r="W51" i="1" s="1"/>
  <c r="X30" i="1"/>
  <c r="X38" i="1" s="1"/>
  <c r="X51" i="1" s="1"/>
  <c r="Y30" i="1"/>
  <c r="Y38" i="1" s="1"/>
  <c r="Z30" i="1"/>
  <c r="Z38" i="1" s="1"/>
  <c r="AA30" i="1"/>
  <c r="AA38" i="1" s="1"/>
  <c r="AB30" i="1"/>
  <c r="AB38" i="1" s="1"/>
  <c r="AC30" i="1"/>
  <c r="AC38" i="1" s="1"/>
  <c r="AD30" i="1"/>
  <c r="X20" i="1"/>
  <c r="Y20" i="1"/>
  <c r="Z20" i="1"/>
  <c r="AA20" i="1"/>
  <c r="AB20" i="1"/>
  <c r="AC20" i="1"/>
  <c r="AD20" i="1"/>
  <c r="X13" i="1"/>
  <c r="Y13" i="1"/>
  <c r="X34" i="3" s="1"/>
  <c r="X33" i="3" s="1"/>
  <c r="Z13" i="1"/>
  <c r="Y34" i="3" s="1"/>
  <c r="Y33" i="3" s="1"/>
  <c r="AA13" i="1"/>
  <c r="Z34" i="3" s="1"/>
  <c r="Z33" i="3" s="1"/>
  <c r="AB13" i="1"/>
  <c r="AA34" i="3" s="1"/>
  <c r="AC13" i="1"/>
  <c r="AB34" i="3" s="1"/>
  <c r="AB33" i="3" s="1"/>
  <c r="AD13" i="1"/>
  <c r="AC34" i="3" s="1"/>
  <c r="AC33" i="3" s="1"/>
  <c r="X8" i="1"/>
  <c r="Y8" i="1"/>
  <c r="X29" i="3" s="1"/>
  <c r="X28" i="3" s="1"/>
  <c r="Z8" i="1"/>
  <c r="Y29" i="3" s="1"/>
  <c r="Y28" i="3" s="1"/>
  <c r="AA8" i="1"/>
  <c r="Z29" i="3" s="1"/>
  <c r="AB8" i="1"/>
  <c r="AA29" i="3" s="1"/>
  <c r="AA28" i="3" s="1"/>
  <c r="AC8" i="1"/>
  <c r="AB29" i="3" s="1"/>
  <c r="AB28" i="3" s="1"/>
  <c r="AD8" i="1"/>
  <c r="AC29" i="3" s="1"/>
  <c r="AC28" i="3" s="1"/>
  <c r="W4" i="1"/>
  <c r="X4" i="1"/>
  <c r="X26" i="1" s="1"/>
  <c r="Y4" i="1"/>
  <c r="Y26" i="1" s="1"/>
  <c r="X8" i="3" s="1"/>
  <c r="Z4" i="1"/>
  <c r="Z26" i="1" s="1"/>
  <c r="Y8" i="3" s="1"/>
  <c r="AA4" i="1"/>
  <c r="AA26" i="1" s="1"/>
  <c r="Z8" i="3" s="1"/>
  <c r="AB4" i="1"/>
  <c r="AB26" i="1" s="1"/>
  <c r="AA8" i="3" s="1"/>
  <c r="AC4" i="1"/>
  <c r="AC26" i="1" s="1"/>
  <c r="AB8" i="3" s="1"/>
  <c r="AD4" i="1"/>
  <c r="X31" i="2"/>
  <c r="Y31" i="2"/>
  <c r="Z31" i="2"/>
  <c r="AA31" i="2"/>
  <c r="AB31" i="2"/>
  <c r="AC31" i="2"/>
  <c r="AD31" i="2"/>
  <c r="AE31" i="2"/>
  <c r="X24" i="2"/>
  <c r="Y24" i="2"/>
  <c r="Z24" i="2"/>
  <c r="AA24" i="2"/>
  <c r="AB24" i="2"/>
  <c r="AC24" i="2"/>
  <c r="AD24" i="2"/>
  <c r="AE24" i="2"/>
  <c r="X21" i="2"/>
  <c r="Y21" i="2"/>
  <c r="Z21" i="2"/>
  <c r="AA21" i="2"/>
  <c r="AB21" i="2"/>
  <c r="AC21" i="2"/>
  <c r="AD21" i="2"/>
  <c r="AE21" i="2"/>
  <c r="X8" i="2"/>
  <c r="Y8" i="2"/>
  <c r="Z8" i="2"/>
  <c r="AA8" i="2"/>
  <c r="Y44" i="3" s="1"/>
  <c r="AB8" i="2"/>
  <c r="Z44" i="3" s="1"/>
  <c r="AC8" i="2"/>
  <c r="AA44" i="3" s="1"/>
  <c r="AD8" i="2"/>
  <c r="AB44" i="3" s="1"/>
  <c r="AE8" i="2"/>
  <c r="AC44" i="3" s="1"/>
  <c r="AC41" i="3" s="1"/>
  <c r="X5" i="2"/>
  <c r="Y5" i="2"/>
  <c r="Z5" i="2"/>
  <c r="AA5" i="2"/>
  <c r="AB5" i="2"/>
  <c r="AC5" i="2"/>
  <c r="AD5" i="2"/>
  <c r="AE5" i="2"/>
  <c r="X4" i="2"/>
  <c r="X20" i="2" s="1"/>
  <c r="X30" i="2" s="1"/>
  <c r="X34" i="2" s="1"/>
  <c r="X36" i="2" s="1"/>
  <c r="X38" i="2" s="1"/>
  <c r="Y4" i="2"/>
  <c r="Y20" i="2" s="1"/>
  <c r="Y30" i="2" s="1"/>
  <c r="Y34" i="2" s="1"/>
  <c r="Y36" i="2" s="1"/>
  <c r="Y38" i="2" s="1"/>
  <c r="AA4" i="2"/>
  <c r="AA20" i="2" s="1"/>
  <c r="AA30" i="2" s="1"/>
  <c r="AA34" i="2" s="1"/>
  <c r="AA36" i="2" s="1"/>
  <c r="AA38" i="2" s="1"/>
  <c r="AB4" i="2"/>
  <c r="AB20" i="2" s="1"/>
  <c r="AB30" i="2" s="1"/>
  <c r="AB34" i="2" s="1"/>
  <c r="AB36" i="2" s="1"/>
  <c r="AB38" i="2" s="1"/>
  <c r="AC4" i="2"/>
  <c r="AC20" i="2" s="1"/>
  <c r="AC30" i="2" s="1"/>
  <c r="AD4" i="2"/>
  <c r="AD20" i="2" s="1"/>
  <c r="AD30" i="2" s="1"/>
  <c r="AB51" i="3" l="1"/>
  <c r="AD34" i="2"/>
  <c r="AD36" i="2" s="1"/>
  <c r="AD38" i="2" s="1"/>
  <c r="AA51" i="3"/>
  <c r="AA47" i="3" s="1"/>
  <c r="AC34" i="2"/>
  <c r="AC36" i="2" s="1"/>
  <c r="AC38" i="2" s="1"/>
  <c r="Z4" i="2"/>
  <c r="Z20" i="2" s="1"/>
  <c r="Z30" i="2" s="1"/>
  <c r="Z34" i="2" s="1"/>
  <c r="Z36" i="2" s="1"/>
  <c r="Z38" i="2" s="1"/>
  <c r="X44" i="3"/>
  <c r="X41" i="3" s="1"/>
  <c r="AB21" i="3"/>
  <c r="AC50" i="1"/>
  <c r="AC51" i="1" s="1"/>
  <c r="AA21" i="3"/>
  <c r="AB50" i="1"/>
  <c r="AB51" i="1" s="1"/>
  <c r="Z21" i="3"/>
  <c r="AA50" i="1"/>
  <c r="AA51" i="1" s="1"/>
  <c r="Y21" i="3"/>
  <c r="Z50" i="1"/>
  <c r="Z51" i="1" s="1"/>
  <c r="X21" i="3"/>
  <c r="X18" i="3" s="1"/>
  <c r="X16" i="3" s="1"/>
  <c r="X17" i="3" s="1"/>
  <c r="Y50" i="1"/>
  <c r="Y51" i="1" s="1"/>
  <c r="AD47" i="3"/>
  <c r="AB41" i="3"/>
  <c r="AD41" i="3"/>
  <c r="AA41" i="3"/>
  <c r="Z41" i="3"/>
  <c r="Y41" i="3"/>
  <c r="AA33" i="3"/>
  <c r="AD33" i="3"/>
  <c r="Z28" i="3"/>
  <c r="AD28" i="3"/>
  <c r="AB18" i="3"/>
  <c r="AB16" i="3" s="1"/>
  <c r="AB17" i="3" s="1"/>
  <c r="AD18" i="3"/>
  <c r="AD16" i="3" s="1"/>
  <c r="AD17" i="3" s="1"/>
  <c r="AC18" i="3"/>
  <c r="AC16" i="3" s="1"/>
  <c r="AC17" i="3" s="1"/>
  <c r="AA18" i="3"/>
  <c r="AA16" i="3" s="1"/>
  <c r="AA17" i="3" s="1"/>
  <c r="Z18" i="3"/>
  <c r="Z16" i="3" s="1"/>
  <c r="Z17" i="3" s="1"/>
  <c r="Y18" i="3"/>
  <c r="Y16" i="3" s="1"/>
  <c r="Y17" i="3" s="1"/>
  <c r="AD9" i="3"/>
  <c r="AB9" i="3"/>
  <c r="AA9" i="3"/>
  <c r="Z9" i="3"/>
  <c r="X9" i="3"/>
  <c r="X51" i="3"/>
  <c r="Z51" i="3"/>
  <c r="Z47" i="3" s="1"/>
  <c r="Y51" i="3"/>
  <c r="Y47" i="3" s="1"/>
  <c r="X47" i="3"/>
  <c r="AB47" i="3"/>
  <c r="AE4" i="2"/>
  <c r="AE20" i="2" s="1"/>
  <c r="AE30" i="2" s="1"/>
  <c r="AD50" i="1"/>
  <c r="AD38" i="1"/>
  <c r="AC9" i="3"/>
  <c r="AD26" i="1"/>
  <c r="AC8" i="3" s="1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W13" i="3"/>
  <c r="W19" i="3"/>
  <c r="Q22" i="3"/>
  <c r="R22" i="3"/>
  <c r="S22" i="3"/>
  <c r="T22" i="3"/>
  <c r="U22" i="3"/>
  <c r="V22" i="3"/>
  <c r="W22" i="3"/>
  <c r="Q23" i="3"/>
  <c r="R23" i="3"/>
  <c r="S23" i="3"/>
  <c r="T23" i="3"/>
  <c r="U23" i="3"/>
  <c r="V23" i="3"/>
  <c r="W23" i="3"/>
  <c r="R21" i="2"/>
  <c r="AC51" i="3" l="1"/>
  <c r="AC47" i="3" s="1"/>
  <c r="AE34" i="2"/>
  <c r="AE36" i="2" s="1"/>
  <c r="AE38" i="2" s="1"/>
  <c r="AD14" i="4" s="1"/>
  <c r="AD51" i="1"/>
  <c r="AG52" i="1" s="1"/>
  <c r="W21" i="3"/>
  <c r="W37" i="3"/>
  <c r="W34" i="3"/>
  <c r="W29" i="3"/>
  <c r="G53" i="5"/>
  <c r="G52" i="5"/>
  <c r="G51" i="5"/>
  <c r="G50" i="5"/>
  <c r="G49" i="5"/>
  <c r="E65" i="5"/>
  <c r="E61" i="5"/>
  <c r="G61" i="5"/>
  <c r="AA3" i="4"/>
  <c r="AB3" i="4"/>
  <c r="AC3" i="4"/>
  <c r="AD3" i="4"/>
  <c r="AE3" i="4"/>
  <c r="AA4" i="4"/>
  <c r="AB4" i="4"/>
  <c r="AC4" i="4"/>
  <c r="AD4" i="4"/>
  <c r="AA5" i="4"/>
  <c r="AB5" i="4"/>
  <c r="AC5" i="4"/>
  <c r="AD5" i="4"/>
  <c r="AA6" i="4"/>
  <c r="AB6" i="4"/>
  <c r="AC6" i="4"/>
  <c r="AD6" i="4"/>
  <c r="Y9" i="4"/>
  <c r="Z9" i="4"/>
  <c r="AA9" i="4"/>
  <c r="AB9" i="4"/>
  <c r="AC9" i="4"/>
  <c r="AD9" i="4"/>
  <c r="Y10" i="4"/>
  <c r="Z10" i="4"/>
  <c r="AA10" i="4"/>
  <c r="AB10" i="4"/>
  <c r="AC10" i="4"/>
  <c r="AD10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A12" i="4"/>
  <c r="AB12" i="4"/>
  <c r="AC12" i="4"/>
  <c r="AD12" i="4"/>
  <c r="AA13" i="4"/>
  <c r="AB13" i="4"/>
  <c r="AC13" i="4"/>
  <c r="AD13" i="4"/>
  <c r="AA14" i="4"/>
  <c r="AB14" i="4"/>
  <c r="AC14" i="4"/>
  <c r="Y15" i="4"/>
  <c r="Z15" i="4"/>
  <c r="AA15" i="4"/>
  <c r="AB15" i="4"/>
  <c r="AC15" i="4"/>
  <c r="AD15" i="4"/>
  <c r="AD16" i="4"/>
  <c r="Y17" i="4"/>
  <c r="Z17" i="4"/>
  <c r="AA17" i="4"/>
  <c r="AB17" i="4"/>
  <c r="AC17" i="4"/>
  <c r="AD17" i="4"/>
  <c r="Y18" i="4"/>
  <c r="Z18" i="4"/>
  <c r="AA18" i="4"/>
  <c r="AB18" i="4"/>
  <c r="AC18" i="4"/>
  <c r="AD18" i="4"/>
  <c r="Y19" i="4"/>
  <c r="Z19" i="4"/>
  <c r="AA19" i="4"/>
  <c r="AB19" i="4"/>
  <c r="AC19" i="4"/>
  <c r="AD19" i="4"/>
  <c r="Z14" i="4"/>
  <c r="R10" i="3"/>
  <c r="S10" i="3"/>
  <c r="T10" i="3"/>
  <c r="U10" i="3"/>
  <c r="V10" i="3"/>
  <c r="W10" i="3"/>
  <c r="R11" i="3"/>
  <c r="S11" i="3"/>
  <c r="T11" i="3"/>
  <c r="U11" i="3"/>
  <c r="V11" i="3"/>
  <c r="W11" i="3"/>
  <c r="R12" i="3"/>
  <c r="S12" i="3"/>
  <c r="T12" i="3"/>
  <c r="U12" i="3"/>
  <c r="V12" i="3"/>
  <c r="W12" i="3"/>
  <c r="R13" i="3"/>
  <c r="S13" i="3"/>
  <c r="T13" i="3"/>
  <c r="U13" i="3"/>
  <c r="V13" i="3"/>
  <c r="R19" i="3"/>
  <c r="S19" i="3"/>
  <c r="T19" i="3"/>
  <c r="U19" i="3"/>
  <c r="V19" i="3"/>
  <c r="R24" i="3"/>
  <c r="S24" i="3"/>
  <c r="T24" i="3"/>
  <c r="U24" i="3"/>
  <c r="V24" i="3"/>
  <c r="W24" i="3"/>
  <c r="R30" i="3"/>
  <c r="S30" i="3"/>
  <c r="T30" i="3"/>
  <c r="U30" i="3"/>
  <c r="V30" i="3"/>
  <c r="W30" i="3"/>
  <c r="R31" i="3"/>
  <c r="S31" i="3"/>
  <c r="T31" i="3"/>
  <c r="U31" i="3"/>
  <c r="V31" i="3"/>
  <c r="W31" i="3"/>
  <c r="R32" i="3"/>
  <c r="S32" i="3"/>
  <c r="T32" i="3"/>
  <c r="U32" i="3"/>
  <c r="V32" i="3"/>
  <c r="W32" i="3"/>
  <c r="R37" i="3"/>
  <c r="S37" i="3"/>
  <c r="T37" i="3"/>
  <c r="U37" i="3"/>
  <c r="V37" i="3"/>
  <c r="R38" i="3"/>
  <c r="S38" i="3"/>
  <c r="T38" i="3"/>
  <c r="U38" i="3"/>
  <c r="V38" i="3"/>
  <c r="W38" i="3"/>
  <c r="R42" i="3"/>
  <c r="S42" i="3"/>
  <c r="T42" i="3"/>
  <c r="U42" i="3"/>
  <c r="V42" i="3"/>
  <c r="W42" i="3"/>
  <c r="R43" i="3"/>
  <c r="S43" i="3"/>
  <c r="T43" i="3"/>
  <c r="U43" i="3"/>
  <c r="V43" i="3"/>
  <c r="W43" i="3"/>
  <c r="R45" i="3"/>
  <c r="S45" i="3"/>
  <c r="T45" i="3"/>
  <c r="U45" i="3"/>
  <c r="V45" i="3"/>
  <c r="W45" i="3"/>
  <c r="R48" i="3"/>
  <c r="S48" i="3"/>
  <c r="T48" i="3"/>
  <c r="U48" i="3"/>
  <c r="V48" i="3"/>
  <c r="W48" i="3"/>
  <c r="R49" i="3"/>
  <c r="S49" i="3"/>
  <c r="T49" i="3"/>
  <c r="U49" i="3"/>
  <c r="V49" i="3"/>
  <c r="W49" i="3"/>
  <c r="R50" i="3"/>
  <c r="S50" i="3"/>
  <c r="T50" i="3"/>
  <c r="U50" i="3"/>
  <c r="V50" i="3"/>
  <c r="W50" i="3"/>
  <c r="R44" i="1"/>
  <c r="S44" i="1"/>
  <c r="T44" i="1"/>
  <c r="U44" i="1"/>
  <c r="R41" i="1"/>
  <c r="Q21" i="3" s="1"/>
  <c r="S41" i="1"/>
  <c r="T41" i="1"/>
  <c r="S21" i="3" s="1"/>
  <c r="U41" i="1"/>
  <c r="T21" i="3" s="1"/>
  <c r="V41" i="1"/>
  <c r="U21" i="3" s="1"/>
  <c r="V21" i="3"/>
  <c r="R31" i="1"/>
  <c r="S31" i="1"/>
  <c r="T31" i="1"/>
  <c r="U31" i="1"/>
  <c r="R30" i="1"/>
  <c r="R38" i="1" s="1"/>
  <c r="S30" i="1"/>
  <c r="S38" i="1" s="1"/>
  <c r="T30" i="1"/>
  <c r="T38" i="1" s="1"/>
  <c r="U30" i="1"/>
  <c r="U38" i="1" s="1"/>
  <c r="S8" i="1"/>
  <c r="R29" i="3" s="1"/>
  <c r="T8" i="1"/>
  <c r="S29" i="3" s="1"/>
  <c r="U8" i="1"/>
  <c r="T29" i="3" s="1"/>
  <c r="T28" i="3" s="1"/>
  <c r="V8" i="1"/>
  <c r="U29" i="3" s="1"/>
  <c r="U28" i="3" s="1"/>
  <c r="W8" i="1"/>
  <c r="S31" i="2"/>
  <c r="T31" i="2"/>
  <c r="U31" i="2"/>
  <c r="V31" i="2"/>
  <c r="W31" i="2"/>
  <c r="S24" i="2"/>
  <c r="T24" i="2"/>
  <c r="U24" i="2"/>
  <c r="V24" i="2"/>
  <c r="W24" i="2"/>
  <c r="S21" i="2"/>
  <c r="T21" i="2"/>
  <c r="U21" i="2"/>
  <c r="V21" i="2"/>
  <c r="W21" i="2"/>
  <c r="S13" i="2"/>
  <c r="S8" i="2"/>
  <c r="T8" i="2"/>
  <c r="R44" i="3" s="1"/>
  <c r="U8" i="2"/>
  <c r="S44" i="3" s="1"/>
  <c r="V8" i="2"/>
  <c r="T44" i="3" s="1"/>
  <c r="W8" i="2"/>
  <c r="U44" i="3" s="1"/>
  <c r="V44" i="3"/>
  <c r="W44" i="3"/>
  <c r="S5" i="2"/>
  <c r="T5" i="2"/>
  <c r="U5" i="2"/>
  <c r="V5" i="2"/>
  <c r="V4" i="2" s="1"/>
  <c r="W5" i="2"/>
  <c r="Y16" i="4"/>
  <c r="AA16" i="4"/>
  <c r="AB16" i="4"/>
  <c r="AC16" i="4"/>
  <c r="R20" i="1"/>
  <c r="S20" i="1"/>
  <c r="T20" i="1"/>
  <c r="U20" i="1"/>
  <c r="V20" i="1"/>
  <c r="W20" i="1"/>
  <c r="R13" i="1"/>
  <c r="S13" i="1"/>
  <c r="R34" i="3" s="1"/>
  <c r="T13" i="1"/>
  <c r="S34" i="3" s="1"/>
  <c r="U13" i="1"/>
  <c r="T34" i="3" s="1"/>
  <c r="V13" i="1"/>
  <c r="U34" i="3" s="1"/>
  <c r="W13" i="1"/>
  <c r="V34" i="3" s="1"/>
  <c r="R8" i="1"/>
  <c r="R4" i="1"/>
  <c r="S4" i="1"/>
  <c r="T4" i="1"/>
  <c r="T18" i="4" s="1"/>
  <c r="U4" i="1"/>
  <c r="U17" i="4" s="1"/>
  <c r="V4" i="1"/>
  <c r="V17" i="4" s="1"/>
  <c r="W17" i="4"/>
  <c r="C7" i="3"/>
  <c r="P7" i="3"/>
  <c r="R17" i="2"/>
  <c r="R13" i="2" s="1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F21" i="2"/>
  <c r="G21" i="2"/>
  <c r="H21" i="2"/>
  <c r="I21" i="2"/>
  <c r="J21" i="2"/>
  <c r="K21" i="2"/>
  <c r="L21" i="2"/>
  <c r="M21" i="2"/>
  <c r="N21" i="2"/>
  <c r="O21" i="2"/>
  <c r="P21" i="2"/>
  <c r="Q21" i="2"/>
  <c r="F13" i="2"/>
  <c r="G13" i="2"/>
  <c r="H13" i="2"/>
  <c r="I13" i="2"/>
  <c r="J13" i="2"/>
  <c r="K13" i="2"/>
  <c r="L13" i="2"/>
  <c r="M13" i="2"/>
  <c r="N13" i="2"/>
  <c r="O13" i="2"/>
  <c r="P13" i="2"/>
  <c r="Q13" i="2"/>
  <c r="F8" i="2"/>
  <c r="G8" i="2"/>
  <c r="H8" i="2"/>
  <c r="I8" i="2"/>
  <c r="J8" i="2"/>
  <c r="K8" i="2"/>
  <c r="L8" i="2"/>
  <c r="M8" i="2"/>
  <c r="N8" i="2"/>
  <c r="O8" i="2"/>
  <c r="P8" i="2"/>
  <c r="Q8" i="2"/>
  <c r="R8" i="2"/>
  <c r="F5" i="2"/>
  <c r="G5" i="2"/>
  <c r="H5" i="2"/>
  <c r="I5" i="2"/>
  <c r="J5" i="2"/>
  <c r="K5" i="2"/>
  <c r="L5" i="2"/>
  <c r="L4" i="2" s="1"/>
  <c r="L20" i="2" s="1"/>
  <c r="L30" i="2" s="1"/>
  <c r="M5" i="2"/>
  <c r="M4" i="2" s="1"/>
  <c r="N5" i="2"/>
  <c r="N4" i="2" s="1"/>
  <c r="O5" i="2"/>
  <c r="P5" i="2"/>
  <c r="Q5" i="2"/>
  <c r="R5" i="2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Q48" i="1"/>
  <c r="P22" i="3" s="1"/>
  <c r="Q6" i="1"/>
  <c r="Q4" i="1" s="1"/>
  <c r="J13" i="3"/>
  <c r="K13" i="3"/>
  <c r="L13" i="3"/>
  <c r="M13" i="3"/>
  <c r="N13" i="3"/>
  <c r="O13" i="3"/>
  <c r="P13" i="3"/>
  <c r="Q13" i="3"/>
  <c r="P19" i="3"/>
  <c r="P23" i="3"/>
  <c r="G24" i="3"/>
  <c r="H24" i="3"/>
  <c r="I24" i="3"/>
  <c r="J24" i="3"/>
  <c r="K24" i="3"/>
  <c r="L24" i="3"/>
  <c r="J19" i="3"/>
  <c r="K19" i="3"/>
  <c r="L19" i="3"/>
  <c r="M19" i="3"/>
  <c r="N19" i="3"/>
  <c r="O19" i="3"/>
  <c r="J22" i="3"/>
  <c r="K22" i="3"/>
  <c r="L22" i="3"/>
  <c r="M22" i="3"/>
  <c r="N22" i="3"/>
  <c r="O22" i="3"/>
  <c r="J23" i="3"/>
  <c r="K23" i="3"/>
  <c r="L23" i="3"/>
  <c r="M23" i="3"/>
  <c r="N23" i="3"/>
  <c r="O23" i="3"/>
  <c r="K44" i="1"/>
  <c r="L44" i="1"/>
  <c r="M44" i="1"/>
  <c r="N44" i="1"/>
  <c r="O44" i="1"/>
  <c r="P44" i="1"/>
  <c r="Q44" i="1"/>
  <c r="K41" i="1"/>
  <c r="J21" i="3" s="1"/>
  <c r="L41" i="1"/>
  <c r="K21" i="3" s="1"/>
  <c r="M41" i="1"/>
  <c r="L21" i="3" s="1"/>
  <c r="N41" i="1"/>
  <c r="M21" i="3" s="1"/>
  <c r="O41" i="1"/>
  <c r="P41" i="1"/>
  <c r="P50" i="1" s="1"/>
  <c r="Q41" i="1"/>
  <c r="P21" i="3" s="1"/>
  <c r="K30" i="1"/>
  <c r="L30" i="1"/>
  <c r="M30" i="1"/>
  <c r="N30" i="1"/>
  <c r="O30" i="1"/>
  <c r="P30" i="1"/>
  <c r="Q30" i="1"/>
  <c r="K31" i="1"/>
  <c r="L31" i="1"/>
  <c r="M31" i="1"/>
  <c r="N31" i="1"/>
  <c r="O31" i="1"/>
  <c r="P31" i="1"/>
  <c r="Q31" i="1"/>
  <c r="I13" i="1"/>
  <c r="J13" i="1"/>
  <c r="K13" i="1"/>
  <c r="L13" i="1"/>
  <c r="M13" i="1"/>
  <c r="N13" i="1"/>
  <c r="O13" i="1"/>
  <c r="P13" i="1"/>
  <c r="Q13" i="1"/>
  <c r="I8" i="1"/>
  <c r="J8" i="1"/>
  <c r="K8" i="1"/>
  <c r="L8" i="1"/>
  <c r="K29" i="3" s="1"/>
  <c r="M8" i="1"/>
  <c r="N8" i="1"/>
  <c r="O8" i="1"/>
  <c r="P8" i="1"/>
  <c r="Q8" i="1"/>
  <c r="K4" i="1"/>
  <c r="L4" i="1"/>
  <c r="M4" i="1"/>
  <c r="N4" i="1"/>
  <c r="O4" i="1"/>
  <c r="O26" i="1" s="1"/>
  <c r="P4" i="1"/>
  <c r="J10" i="3"/>
  <c r="K10" i="3"/>
  <c r="J11" i="3"/>
  <c r="K11" i="3"/>
  <c r="J12" i="3"/>
  <c r="K12" i="3"/>
  <c r="J29" i="3"/>
  <c r="J30" i="3"/>
  <c r="K30" i="3"/>
  <c r="J31" i="3"/>
  <c r="K31" i="3"/>
  <c r="J32" i="3"/>
  <c r="K32" i="3"/>
  <c r="J34" i="3"/>
  <c r="K34" i="3"/>
  <c r="J37" i="3"/>
  <c r="K37" i="3"/>
  <c r="J38" i="3"/>
  <c r="K38" i="3"/>
  <c r="J42" i="3"/>
  <c r="K42" i="3"/>
  <c r="J43" i="3"/>
  <c r="K43" i="3"/>
  <c r="J44" i="3"/>
  <c r="K44" i="3"/>
  <c r="J45" i="3"/>
  <c r="K45" i="3"/>
  <c r="J48" i="3"/>
  <c r="K48" i="3"/>
  <c r="J49" i="3"/>
  <c r="K49" i="3"/>
  <c r="J50" i="3"/>
  <c r="K50" i="3"/>
  <c r="I4" i="1"/>
  <c r="J4" i="1"/>
  <c r="E17" i="5"/>
  <c r="G9" i="5"/>
  <c r="G8" i="5"/>
  <c r="G7" i="5"/>
  <c r="G6" i="5"/>
  <c r="G5" i="5"/>
  <c r="E44" i="5"/>
  <c r="E40" i="5"/>
  <c r="D11" i="4"/>
  <c r="E11" i="4"/>
  <c r="H13" i="3"/>
  <c r="I13" i="3"/>
  <c r="H22" i="3"/>
  <c r="I22" i="3"/>
  <c r="H23" i="3"/>
  <c r="I23" i="3"/>
  <c r="H19" i="3"/>
  <c r="I19" i="3"/>
  <c r="C35" i="3"/>
  <c r="B35" i="3"/>
  <c r="C34" i="3"/>
  <c r="D34" i="3"/>
  <c r="E34" i="3"/>
  <c r="F34" i="3"/>
  <c r="G34" i="3"/>
  <c r="H34" i="3"/>
  <c r="I34" i="3"/>
  <c r="B34" i="3"/>
  <c r="I41" i="1"/>
  <c r="J41" i="1"/>
  <c r="I44" i="1"/>
  <c r="J44" i="1"/>
  <c r="I30" i="1"/>
  <c r="J30" i="1"/>
  <c r="I31" i="1"/>
  <c r="J31" i="1"/>
  <c r="V29" i="3" l="1"/>
  <c r="W26" i="1"/>
  <c r="O38" i="1"/>
  <c r="M38" i="1"/>
  <c r="L38" i="1"/>
  <c r="K38" i="1"/>
  <c r="M50" i="1"/>
  <c r="S50" i="1"/>
  <c r="R21" i="3"/>
  <c r="R33" i="3"/>
  <c r="V28" i="3"/>
  <c r="I38" i="1"/>
  <c r="P26" i="1"/>
  <c r="P38" i="1"/>
  <c r="N26" i="1"/>
  <c r="N38" i="1"/>
  <c r="O50" i="1"/>
  <c r="N50" i="1"/>
  <c r="M26" i="1"/>
  <c r="S26" i="1"/>
  <c r="V38" i="1"/>
  <c r="R50" i="1"/>
  <c r="T50" i="1"/>
  <c r="T51" i="1" s="1"/>
  <c r="L26" i="1"/>
  <c r="K8" i="3" s="1"/>
  <c r="L50" i="1"/>
  <c r="L51" i="1" s="1"/>
  <c r="R26" i="1"/>
  <c r="R9" i="4" s="1"/>
  <c r="K26" i="1"/>
  <c r="J8" i="3" s="1"/>
  <c r="K50" i="1"/>
  <c r="V50" i="1"/>
  <c r="U18" i="4"/>
  <c r="Q26" i="1"/>
  <c r="U50" i="1"/>
  <c r="U26" i="1"/>
  <c r="S18" i="4"/>
  <c r="U9" i="3"/>
  <c r="S9" i="3"/>
  <c r="K51" i="1"/>
  <c r="Y13" i="4"/>
  <c r="S33" i="3"/>
  <c r="W33" i="3"/>
  <c r="T41" i="3"/>
  <c r="U16" i="4"/>
  <c r="Q4" i="2"/>
  <c r="W16" i="4"/>
  <c r="H4" i="2"/>
  <c r="H20" i="2" s="1"/>
  <c r="H30" i="2" s="1"/>
  <c r="H34" i="2" s="1"/>
  <c r="H36" i="2" s="1"/>
  <c r="H38" i="2" s="1"/>
  <c r="N20" i="2"/>
  <c r="N30" i="2" s="1"/>
  <c r="N34" i="2" s="1"/>
  <c r="N36" i="2" s="1"/>
  <c r="N38" i="2" s="1"/>
  <c r="X17" i="4"/>
  <c r="W8" i="3"/>
  <c r="X13" i="4" s="1"/>
  <c r="X18" i="4"/>
  <c r="O4" i="2"/>
  <c r="O20" i="2" s="1"/>
  <c r="O30" i="2" s="1"/>
  <c r="O34" i="2" s="1"/>
  <c r="O36" i="2" s="1"/>
  <c r="O38" i="2" s="1"/>
  <c r="Q20" i="2"/>
  <c r="Q30" i="2" s="1"/>
  <c r="Q34" i="2" s="1"/>
  <c r="Q36" i="2" s="1"/>
  <c r="Q38" i="2" s="1"/>
  <c r="S4" i="2"/>
  <c r="R16" i="4" s="1"/>
  <c r="K4" i="2"/>
  <c r="K20" i="2" s="1"/>
  <c r="K30" i="2" s="1"/>
  <c r="K34" i="2" s="1"/>
  <c r="K36" i="2" s="1"/>
  <c r="K38" i="2" s="1"/>
  <c r="I4" i="2"/>
  <c r="I20" i="2" s="1"/>
  <c r="I30" i="2" s="1"/>
  <c r="I34" i="2" s="1"/>
  <c r="I36" i="2" s="1"/>
  <c r="I38" i="2" s="1"/>
  <c r="Z16" i="4"/>
  <c r="M20" i="2"/>
  <c r="M30" i="2" s="1"/>
  <c r="M34" i="2" s="1"/>
  <c r="M36" i="2" s="1"/>
  <c r="M38" i="2" s="1"/>
  <c r="L34" i="2"/>
  <c r="L36" i="2" s="1"/>
  <c r="L38" i="2" s="1"/>
  <c r="J51" i="3"/>
  <c r="J47" i="3" s="1"/>
  <c r="R19" i="4"/>
  <c r="R51" i="1"/>
  <c r="U19" i="4"/>
  <c r="U51" i="1"/>
  <c r="S9" i="4"/>
  <c r="S10" i="4"/>
  <c r="R8" i="3"/>
  <c r="S13" i="4" s="1"/>
  <c r="Q8" i="3"/>
  <c r="R10" i="4"/>
  <c r="U33" i="3"/>
  <c r="S19" i="4"/>
  <c r="S51" i="1"/>
  <c r="V33" i="3"/>
  <c r="P51" i="1"/>
  <c r="O51" i="1"/>
  <c r="R18" i="4"/>
  <c r="T17" i="4"/>
  <c r="O21" i="3"/>
  <c r="W28" i="3"/>
  <c r="W9" i="3"/>
  <c r="S17" i="4"/>
  <c r="Y14" i="4"/>
  <c r="U10" i="4"/>
  <c r="J26" i="1"/>
  <c r="K19" i="4" s="1"/>
  <c r="I26" i="1"/>
  <c r="J19" i="4" s="1"/>
  <c r="R41" i="3"/>
  <c r="V9" i="3"/>
  <c r="R17" i="4"/>
  <c r="Z13" i="4"/>
  <c r="W19" i="4"/>
  <c r="U41" i="3"/>
  <c r="N21" i="3"/>
  <c r="S41" i="3"/>
  <c r="J38" i="1"/>
  <c r="J4" i="2"/>
  <c r="J20" i="2" s="1"/>
  <c r="J30" i="2" s="1"/>
  <c r="J34" i="2" s="1"/>
  <c r="J36" i="2" s="1"/>
  <c r="J38" i="2" s="1"/>
  <c r="T9" i="3"/>
  <c r="V26" i="1"/>
  <c r="W18" i="3"/>
  <c r="T26" i="1"/>
  <c r="T9" i="4" s="1"/>
  <c r="S28" i="3"/>
  <c r="V51" i="3"/>
  <c r="V47" i="3" s="1"/>
  <c r="R28" i="3"/>
  <c r="V18" i="3"/>
  <c r="R9" i="3"/>
  <c r="G4" i="2"/>
  <c r="G20" i="2" s="1"/>
  <c r="G30" i="2" s="1"/>
  <c r="G34" i="2" s="1"/>
  <c r="G36" i="2" s="1"/>
  <c r="G38" i="2" s="1"/>
  <c r="U18" i="3"/>
  <c r="W18" i="4"/>
  <c r="F4" i="2"/>
  <c r="F20" i="2" s="1"/>
  <c r="F30" i="2" s="1"/>
  <c r="F34" i="2" s="1"/>
  <c r="F36" i="2" s="1"/>
  <c r="F38" i="2" s="1"/>
  <c r="T33" i="3"/>
  <c r="T18" i="3"/>
  <c r="V18" i="4"/>
  <c r="U4" i="2"/>
  <c r="T16" i="4" s="1"/>
  <c r="W41" i="3"/>
  <c r="S18" i="3"/>
  <c r="P4" i="2"/>
  <c r="P20" i="2" s="1"/>
  <c r="P30" i="2" s="1"/>
  <c r="P34" i="2" s="1"/>
  <c r="P36" i="2" s="1"/>
  <c r="P38" i="2" s="1"/>
  <c r="V41" i="3"/>
  <c r="R18" i="3"/>
  <c r="E66" i="5"/>
  <c r="V20" i="2"/>
  <c r="V30" i="2" s="1"/>
  <c r="V34" i="2" s="1"/>
  <c r="V36" i="2" s="1"/>
  <c r="V38" i="2" s="1"/>
  <c r="R4" i="2"/>
  <c r="R20" i="2" s="1"/>
  <c r="R30" i="2" s="1"/>
  <c r="R34" i="2" s="1"/>
  <c r="R36" i="2" s="1"/>
  <c r="R38" i="2" s="1"/>
  <c r="T4" i="2"/>
  <c r="T20" i="2" s="1"/>
  <c r="W4" i="2"/>
  <c r="W20" i="2" s="1"/>
  <c r="W30" i="2" s="1"/>
  <c r="W34" i="2" s="1"/>
  <c r="W36" i="2" s="1"/>
  <c r="W38" i="2" s="1"/>
  <c r="Q38" i="1"/>
  <c r="Q50" i="1"/>
  <c r="L18" i="3"/>
  <c r="K18" i="3"/>
  <c r="K16" i="3" s="1"/>
  <c r="K17" i="3" s="1"/>
  <c r="J18" i="3"/>
  <c r="J16" i="3" s="1"/>
  <c r="J17" i="3" s="1"/>
  <c r="K41" i="3"/>
  <c r="J41" i="3"/>
  <c r="K33" i="3"/>
  <c r="J33" i="3"/>
  <c r="K28" i="3"/>
  <c r="J28" i="3"/>
  <c r="K9" i="3"/>
  <c r="J9" i="3"/>
  <c r="I21" i="3"/>
  <c r="J50" i="1"/>
  <c r="J51" i="1" s="1"/>
  <c r="H21" i="3"/>
  <c r="I50" i="1"/>
  <c r="I51" i="1" s="1"/>
  <c r="E45" i="5"/>
  <c r="K8" i="4" s="1"/>
  <c r="E22" i="5"/>
  <c r="H8" i="4" s="1"/>
  <c r="G17" i="5"/>
  <c r="B10" i="3"/>
  <c r="C10" i="3"/>
  <c r="B11" i="3"/>
  <c r="C11" i="3"/>
  <c r="B12" i="3"/>
  <c r="C12" i="3"/>
  <c r="B13" i="3"/>
  <c r="C13" i="3"/>
  <c r="C19" i="3"/>
  <c r="B22" i="3"/>
  <c r="C22" i="3"/>
  <c r="B23" i="3"/>
  <c r="C23" i="3"/>
  <c r="B24" i="3"/>
  <c r="C24" i="3"/>
  <c r="B30" i="3"/>
  <c r="C30" i="3"/>
  <c r="B31" i="3"/>
  <c r="C31" i="3"/>
  <c r="B32" i="3"/>
  <c r="C32" i="3"/>
  <c r="B38" i="3"/>
  <c r="C38" i="3"/>
  <c r="B42" i="3"/>
  <c r="C42" i="3"/>
  <c r="B43" i="3"/>
  <c r="C43" i="3"/>
  <c r="B45" i="3"/>
  <c r="C45" i="3"/>
  <c r="B48" i="3"/>
  <c r="C48" i="3"/>
  <c r="B49" i="3"/>
  <c r="C49" i="3"/>
  <c r="B50" i="3"/>
  <c r="C50" i="3"/>
  <c r="D17" i="2"/>
  <c r="D13" i="2" s="1"/>
  <c r="C17" i="2"/>
  <c r="C13" i="2" s="1"/>
  <c r="C29" i="2"/>
  <c r="C24" i="2" s="1"/>
  <c r="D29" i="2"/>
  <c r="D24" i="2" s="1"/>
  <c r="D31" i="2"/>
  <c r="D21" i="2"/>
  <c r="D8" i="2"/>
  <c r="C44" i="3" s="1"/>
  <c r="D5" i="2"/>
  <c r="C31" i="2"/>
  <c r="C21" i="2"/>
  <c r="C8" i="2"/>
  <c r="B44" i="3" s="1"/>
  <c r="C5" i="2"/>
  <c r="V51" i="1" l="1"/>
  <c r="T8" i="3"/>
  <c r="U13" i="4" s="1"/>
  <c r="U9" i="4"/>
  <c r="N51" i="1"/>
  <c r="M51" i="1"/>
  <c r="X10" i="4"/>
  <c r="X9" i="4"/>
  <c r="X19" i="4"/>
  <c r="S20" i="2"/>
  <c r="S30" i="2" s="1"/>
  <c r="S34" i="2" s="1"/>
  <c r="S36" i="2" s="1"/>
  <c r="S38" i="2" s="1"/>
  <c r="R14" i="4" s="1"/>
  <c r="U20" i="2"/>
  <c r="U30" i="2" s="1"/>
  <c r="U34" i="2" s="1"/>
  <c r="U36" i="2" s="1"/>
  <c r="U38" i="2" s="1"/>
  <c r="U15" i="4"/>
  <c r="K51" i="3"/>
  <c r="K47" i="3" s="1"/>
  <c r="U16" i="3"/>
  <c r="Z6" i="4"/>
  <c r="W9" i="4"/>
  <c r="U8" i="3"/>
  <c r="V13" i="4" s="1"/>
  <c r="V9" i="4"/>
  <c r="V10" i="4"/>
  <c r="V16" i="3"/>
  <c r="Y6" i="4"/>
  <c r="W15" i="4"/>
  <c r="S16" i="3"/>
  <c r="S16" i="4"/>
  <c r="V19" i="4"/>
  <c r="U14" i="4"/>
  <c r="T51" i="3"/>
  <c r="T47" i="3" s="1"/>
  <c r="T16" i="3"/>
  <c r="U6" i="4"/>
  <c r="T19" i="4"/>
  <c r="U51" i="3"/>
  <c r="U47" i="3" s="1"/>
  <c r="T30" i="2"/>
  <c r="T34" i="2" s="1"/>
  <c r="T36" i="2" s="1"/>
  <c r="T38" i="2" s="1"/>
  <c r="S15" i="4"/>
  <c r="T10" i="4"/>
  <c r="S8" i="3"/>
  <c r="T13" i="4" s="1"/>
  <c r="V15" i="4"/>
  <c r="V8" i="3"/>
  <c r="W10" i="4"/>
  <c r="R16" i="3"/>
  <c r="S6" i="4"/>
  <c r="W16" i="3"/>
  <c r="X6" i="4"/>
  <c r="V16" i="4"/>
  <c r="Q51" i="1"/>
  <c r="C41" i="3"/>
  <c r="B41" i="3"/>
  <c r="B33" i="3"/>
  <c r="C33" i="3"/>
  <c r="C9" i="3"/>
  <c r="B9" i="3"/>
  <c r="C4" i="2"/>
  <c r="D4" i="2"/>
  <c r="W13" i="4" l="1"/>
  <c r="W6" i="4"/>
  <c r="W3" i="4"/>
  <c r="W4" i="4"/>
  <c r="W5" i="4"/>
  <c r="V6" i="4"/>
  <c r="R15" i="4"/>
  <c r="S51" i="3"/>
  <c r="S47" i="3" s="1"/>
  <c r="T15" i="4"/>
  <c r="T17" i="3"/>
  <c r="U4" i="4"/>
  <c r="U12" i="4"/>
  <c r="U5" i="4"/>
  <c r="U3" i="4"/>
  <c r="T14" i="4"/>
  <c r="R17" i="3"/>
  <c r="S5" i="4"/>
  <c r="S4" i="4"/>
  <c r="S12" i="4"/>
  <c r="S3" i="4"/>
  <c r="V17" i="3"/>
  <c r="W12" i="4"/>
  <c r="Y3" i="4"/>
  <c r="Y12" i="4"/>
  <c r="Y4" i="4"/>
  <c r="Y5" i="4"/>
  <c r="T6" i="4"/>
  <c r="V14" i="4"/>
  <c r="S17" i="3"/>
  <c r="T4" i="4"/>
  <c r="T12" i="4"/>
  <c r="T5" i="4"/>
  <c r="T3" i="4"/>
  <c r="U17" i="3"/>
  <c r="V3" i="4"/>
  <c r="V4" i="4"/>
  <c r="V12" i="4"/>
  <c r="V5" i="4"/>
  <c r="S14" i="4"/>
  <c r="R51" i="3"/>
  <c r="R47" i="3" s="1"/>
  <c r="W17" i="3"/>
  <c r="X3" i="4"/>
  <c r="X4" i="4"/>
  <c r="X12" i="4"/>
  <c r="X5" i="4"/>
  <c r="W14" i="4"/>
  <c r="Z3" i="4"/>
  <c r="Z4" i="4"/>
  <c r="Z12" i="4"/>
  <c r="Z5" i="4"/>
  <c r="D20" i="2"/>
  <c r="E16" i="4"/>
  <c r="C20" i="2"/>
  <c r="D16" i="4"/>
  <c r="C43" i="1"/>
  <c r="C41" i="1" s="1"/>
  <c r="B21" i="3" s="1"/>
  <c r="C39" i="1"/>
  <c r="B19" i="3" s="1"/>
  <c r="C6" i="1"/>
  <c r="D6" i="1"/>
  <c r="C44" i="1"/>
  <c r="D44" i="1"/>
  <c r="D41" i="1"/>
  <c r="C30" i="1"/>
  <c r="D30" i="1"/>
  <c r="C31" i="1"/>
  <c r="D31" i="1"/>
  <c r="C20" i="1"/>
  <c r="D20" i="1"/>
  <c r="C13" i="1"/>
  <c r="D13" i="1"/>
  <c r="C8" i="1"/>
  <c r="B29" i="3" s="1"/>
  <c r="B28" i="3" s="1"/>
  <c r="D8" i="1"/>
  <c r="C29" i="3" s="1"/>
  <c r="C28" i="3" s="1"/>
  <c r="B18" i="3" l="1"/>
  <c r="B16" i="3" s="1"/>
  <c r="D50" i="1"/>
  <c r="C21" i="3"/>
  <c r="C18" i="3" s="1"/>
  <c r="D4" i="1"/>
  <c r="C37" i="3"/>
  <c r="C4" i="1"/>
  <c r="C26" i="1" s="1"/>
  <c r="B37" i="3"/>
  <c r="C30" i="2"/>
  <c r="D15" i="4"/>
  <c r="D30" i="2"/>
  <c r="E15" i="4"/>
  <c r="C50" i="1"/>
  <c r="D38" i="1"/>
  <c r="C38" i="1"/>
  <c r="D26" i="1"/>
  <c r="H44" i="1"/>
  <c r="H41" i="1"/>
  <c r="H30" i="1"/>
  <c r="H31" i="1"/>
  <c r="H13" i="1"/>
  <c r="H8" i="1"/>
  <c r="H4" i="1"/>
  <c r="H26" i="1" s="1"/>
  <c r="I19" i="4" s="1"/>
  <c r="D51" i="1" l="1"/>
  <c r="D19" i="4"/>
  <c r="D10" i="4"/>
  <c r="B8" i="3"/>
  <c r="D9" i="4"/>
  <c r="E19" i="4"/>
  <c r="E10" i="4"/>
  <c r="C8" i="3"/>
  <c r="E13" i="4" s="1"/>
  <c r="E9" i="4"/>
  <c r="D34" i="2"/>
  <c r="D36" i="2" s="1"/>
  <c r="D38" i="2" s="1"/>
  <c r="C51" i="3"/>
  <c r="C47" i="3" s="1"/>
  <c r="C34" i="2"/>
  <c r="C36" i="2" s="1"/>
  <c r="C38" i="2" s="1"/>
  <c r="B51" i="3"/>
  <c r="B47" i="3" s="1"/>
  <c r="B17" i="3"/>
  <c r="D3" i="4"/>
  <c r="D4" i="4"/>
  <c r="D5" i="4"/>
  <c r="D12" i="4"/>
  <c r="D17" i="4"/>
  <c r="D18" i="4"/>
  <c r="E17" i="4"/>
  <c r="E18" i="4"/>
  <c r="C16" i="3"/>
  <c r="E6" i="4"/>
  <c r="H50" i="1"/>
  <c r="C51" i="1"/>
  <c r="H38" i="1"/>
  <c r="G29" i="5"/>
  <c r="G30" i="5"/>
  <c r="G31" i="5"/>
  <c r="G32" i="5"/>
  <c r="G28" i="5"/>
  <c r="D14" i="4" l="1"/>
  <c r="E14" i="4"/>
  <c r="G40" i="5"/>
  <c r="H51" i="1"/>
  <c r="C17" i="3"/>
  <c r="E3" i="4"/>
  <c r="E4" i="4"/>
  <c r="E5" i="4"/>
  <c r="E12" i="4"/>
  <c r="D13" i="4"/>
  <c r="D6" i="4"/>
  <c r="D13" i="3"/>
  <c r="E13" i="3"/>
  <c r="F13" i="3"/>
  <c r="D19" i="3"/>
  <c r="E19" i="3"/>
  <c r="F19" i="3"/>
  <c r="D22" i="3"/>
  <c r="E22" i="3"/>
  <c r="F22" i="3"/>
  <c r="D23" i="3"/>
  <c r="E23" i="3"/>
  <c r="F23" i="3"/>
  <c r="D24" i="3"/>
  <c r="E24" i="3"/>
  <c r="F24" i="3"/>
  <c r="E44" i="1"/>
  <c r="F44" i="1"/>
  <c r="G44" i="1"/>
  <c r="E41" i="1"/>
  <c r="F41" i="1"/>
  <c r="G41" i="1"/>
  <c r="E30" i="1"/>
  <c r="F30" i="1"/>
  <c r="G30" i="1"/>
  <c r="E31" i="1"/>
  <c r="F31" i="1"/>
  <c r="G31" i="1"/>
  <c r="E13" i="1"/>
  <c r="F13" i="1"/>
  <c r="G13" i="1"/>
  <c r="E8" i="1"/>
  <c r="F8" i="1"/>
  <c r="G8" i="1"/>
  <c r="E4" i="1"/>
  <c r="F4" i="1"/>
  <c r="G4" i="1"/>
  <c r="G26" i="1" l="1"/>
  <c r="H19" i="4" s="1"/>
  <c r="F26" i="1"/>
  <c r="G19" i="4" s="1"/>
  <c r="E26" i="1"/>
  <c r="F19" i="4" s="1"/>
  <c r="G38" i="1"/>
  <c r="F38" i="1"/>
  <c r="E38" i="1"/>
  <c r="F21" i="3"/>
  <c r="G50" i="1"/>
  <c r="E21" i="3"/>
  <c r="F50" i="1"/>
  <c r="F51" i="1" s="1"/>
  <c r="D21" i="3"/>
  <c r="E50" i="1"/>
  <c r="G51" i="1" l="1"/>
  <c r="E51" i="1"/>
  <c r="S1" i="1" l="1"/>
  <c r="G22" i="3"/>
  <c r="M24" i="3"/>
  <c r="M18" i="3" s="1"/>
  <c r="N24" i="3"/>
  <c r="N18" i="3" s="1"/>
  <c r="O24" i="3"/>
  <c r="O18" i="3" s="1"/>
  <c r="P24" i="3"/>
  <c r="P18" i="3" s="1"/>
  <c r="Q24" i="3"/>
  <c r="G23" i="3"/>
  <c r="E10" i="3"/>
  <c r="F10" i="3"/>
  <c r="G10" i="3"/>
  <c r="H10" i="3"/>
  <c r="I10" i="3"/>
  <c r="L10" i="3"/>
  <c r="M10" i="3"/>
  <c r="N10" i="3"/>
  <c r="O10" i="3"/>
  <c r="P10" i="3"/>
  <c r="Q10" i="3"/>
  <c r="E11" i="3"/>
  <c r="F11" i="3"/>
  <c r="G11" i="3"/>
  <c r="H11" i="3"/>
  <c r="I11" i="3"/>
  <c r="L11" i="3"/>
  <c r="M11" i="3"/>
  <c r="N11" i="3"/>
  <c r="O11" i="3"/>
  <c r="P11" i="3"/>
  <c r="Q11" i="3"/>
  <c r="E12" i="3"/>
  <c r="F12" i="3"/>
  <c r="G12" i="3"/>
  <c r="H12" i="3"/>
  <c r="I12" i="3"/>
  <c r="L12" i="3"/>
  <c r="M12" i="3"/>
  <c r="N12" i="3"/>
  <c r="O12" i="3"/>
  <c r="P12" i="3"/>
  <c r="Q12" i="3"/>
  <c r="D12" i="3"/>
  <c r="D11" i="3"/>
  <c r="D10" i="3"/>
  <c r="G11" i="4"/>
  <c r="H11" i="4"/>
  <c r="I11" i="4"/>
  <c r="J11" i="4"/>
  <c r="K11" i="4"/>
  <c r="L11" i="4"/>
  <c r="M11" i="4"/>
  <c r="N11" i="4"/>
  <c r="O11" i="4"/>
  <c r="P11" i="4"/>
  <c r="Q11" i="4"/>
  <c r="G15" i="4"/>
  <c r="H15" i="4"/>
  <c r="I15" i="4"/>
  <c r="J15" i="4"/>
  <c r="K15" i="4"/>
  <c r="L15" i="4"/>
  <c r="M15" i="4"/>
  <c r="N15" i="4"/>
  <c r="O15" i="4"/>
  <c r="P15" i="4"/>
  <c r="Q15" i="4"/>
  <c r="G16" i="4"/>
  <c r="H16" i="4"/>
  <c r="I16" i="4"/>
  <c r="J16" i="4"/>
  <c r="K16" i="4"/>
  <c r="L16" i="4"/>
  <c r="M16" i="4"/>
  <c r="N16" i="4"/>
  <c r="O16" i="4"/>
  <c r="P16" i="4"/>
  <c r="Q16" i="4"/>
  <c r="Q19" i="3"/>
  <c r="Q29" i="3"/>
  <c r="Q30" i="3"/>
  <c r="Q31" i="3"/>
  <c r="Q32" i="3"/>
  <c r="Q34" i="3"/>
  <c r="R13" i="4" s="1"/>
  <c r="Q37" i="3"/>
  <c r="Q38" i="3"/>
  <c r="Q42" i="3"/>
  <c r="Q43" i="3"/>
  <c r="Q44" i="3"/>
  <c r="Q45" i="3"/>
  <c r="Q48" i="3"/>
  <c r="Q49" i="3"/>
  <c r="Q50" i="3"/>
  <c r="Q51" i="3"/>
  <c r="O30" i="3"/>
  <c r="P30" i="3"/>
  <c r="O31" i="3"/>
  <c r="P31" i="3"/>
  <c r="O32" i="3"/>
  <c r="P32" i="3"/>
  <c r="O37" i="3"/>
  <c r="P37" i="3"/>
  <c r="O38" i="3"/>
  <c r="P38" i="3"/>
  <c r="O42" i="3"/>
  <c r="P42" i="3"/>
  <c r="O43" i="3"/>
  <c r="P43" i="3"/>
  <c r="O44" i="3"/>
  <c r="P44" i="3"/>
  <c r="O45" i="3"/>
  <c r="P45" i="3"/>
  <c r="O48" i="3"/>
  <c r="P48" i="3"/>
  <c r="O49" i="3"/>
  <c r="P49" i="3"/>
  <c r="O50" i="3"/>
  <c r="P50" i="3"/>
  <c r="O51" i="3"/>
  <c r="P51" i="3"/>
  <c r="G13" i="3"/>
  <c r="G19" i="3"/>
  <c r="E30" i="3"/>
  <c r="F30" i="3"/>
  <c r="G30" i="3"/>
  <c r="H30" i="3"/>
  <c r="I30" i="3"/>
  <c r="L30" i="3"/>
  <c r="M30" i="3"/>
  <c r="N30" i="3"/>
  <c r="E31" i="3"/>
  <c r="F31" i="3"/>
  <c r="G31" i="3"/>
  <c r="H31" i="3"/>
  <c r="I31" i="3"/>
  <c r="L31" i="3"/>
  <c r="L16" i="3" s="1"/>
  <c r="L17" i="3" s="1"/>
  <c r="M31" i="3"/>
  <c r="N31" i="3"/>
  <c r="E32" i="3"/>
  <c r="F32" i="3"/>
  <c r="G32" i="3"/>
  <c r="H32" i="3"/>
  <c r="I32" i="3"/>
  <c r="L32" i="3"/>
  <c r="M32" i="3"/>
  <c r="N32" i="3"/>
  <c r="E37" i="3"/>
  <c r="F37" i="3"/>
  <c r="G37" i="3"/>
  <c r="H37" i="3"/>
  <c r="I37" i="3"/>
  <c r="L37" i="3"/>
  <c r="M37" i="3"/>
  <c r="N37" i="3"/>
  <c r="E38" i="3"/>
  <c r="F38" i="3"/>
  <c r="G38" i="3"/>
  <c r="H38" i="3"/>
  <c r="I38" i="3"/>
  <c r="L38" i="3"/>
  <c r="M38" i="3"/>
  <c r="N38" i="3"/>
  <c r="E42" i="3"/>
  <c r="F42" i="3"/>
  <c r="G42" i="3"/>
  <c r="H42" i="3"/>
  <c r="I42" i="3"/>
  <c r="L42" i="3"/>
  <c r="M42" i="3"/>
  <c r="N42" i="3"/>
  <c r="E43" i="3"/>
  <c r="F43" i="3"/>
  <c r="G43" i="3"/>
  <c r="H43" i="3"/>
  <c r="I43" i="3"/>
  <c r="L43" i="3"/>
  <c r="M43" i="3"/>
  <c r="N43" i="3"/>
  <c r="E44" i="3"/>
  <c r="F44" i="3"/>
  <c r="G44" i="3"/>
  <c r="H44" i="3"/>
  <c r="I44" i="3"/>
  <c r="L44" i="3"/>
  <c r="M44" i="3"/>
  <c r="N44" i="3"/>
  <c r="E45" i="3"/>
  <c r="F45" i="3"/>
  <c r="G45" i="3"/>
  <c r="H45" i="3"/>
  <c r="I45" i="3"/>
  <c r="L45" i="3"/>
  <c r="M45" i="3"/>
  <c r="N45" i="3"/>
  <c r="E48" i="3"/>
  <c r="F48" i="3"/>
  <c r="G48" i="3"/>
  <c r="H48" i="3"/>
  <c r="I48" i="3"/>
  <c r="L48" i="3"/>
  <c r="M48" i="3"/>
  <c r="N48" i="3"/>
  <c r="E49" i="3"/>
  <c r="F49" i="3"/>
  <c r="G49" i="3"/>
  <c r="H49" i="3"/>
  <c r="I49" i="3"/>
  <c r="L49" i="3"/>
  <c r="M49" i="3"/>
  <c r="N49" i="3"/>
  <c r="E50" i="3"/>
  <c r="F50" i="3"/>
  <c r="G50" i="3"/>
  <c r="H50" i="3"/>
  <c r="I50" i="3"/>
  <c r="L50" i="3"/>
  <c r="M50" i="3"/>
  <c r="N50" i="3"/>
  <c r="E51" i="3"/>
  <c r="F51" i="3"/>
  <c r="G51" i="3"/>
  <c r="H51" i="3"/>
  <c r="I51" i="3"/>
  <c r="L51" i="3"/>
  <c r="M51" i="3"/>
  <c r="N51" i="3"/>
  <c r="L34" i="3"/>
  <c r="M34" i="3"/>
  <c r="N34" i="3"/>
  <c r="O34" i="3"/>
  <c r="E29" i="3"/>
  <c r="F29" i="3"/>
  <c r="G29" i="3"/>
  <c r="H29" i="3"/>
  <c r="I29" i="3"/>
  <c r="L29" i="3"/>
  <c r="M29" i="3"/>
  <c r="N29" i="3"/>
  <c r="O29" i="3"/>
  <c r="G18" i="4"/>
  <c r="H18" i="4"/>
  <c r="L17" i="4"/>
  <c r="O17" i="4"/>
  <c r="P18" i="4"/>
  <c r="P34" i="3"/>
  <c r="P29" i="3"/>
  <c r="Q17" i="4"/>
  <c r="P16" i="3" l="1"/>
  <c r="P17" i="3" s="1"/>
  <c r="O16" i="3"/>
  <c r="O17" i="3" s="1"/>
  <c r="N16" i="3"/>
  <c r="N17" i="3" s="1"/>
  <c r="M16" i="3"/>
  <c r="M17" i="3" s="1"/>
  <c r="M9" i="3"/>
  <c r="N9" i="3"/>
  <c r="H33" i="3"/>
  <c r="O33" i="3"/>
  <c r="M33" i="3"/>
  <c r="O28" i="3"/>
  <c r="G28" i="3"/>
  <c r="L33" i="3"/>
  <c r="P47" i="3"/>
  <c r="O47" i="3"/>
  <c r="I41" i="3"/>
  <c r="I28" i="3"/>
  <c r="E28" i="3"/>
  <c r="L8" i="3"/>
  <c r="F28" i="3"/>
  <c r="N33" i="3"/>
  <c r="I33" i="3"/>
  <c r="O18" i="4"/>
  <c r="P28" i="3"/>
  <c r="H28" i="3"/>
  <c r="G9" i="3"/>
  <c r="G10" i="4"/>
  <c r="N9" i="4"/>
  <c r="J10" i="4"/>
  <c r="O19" i="4"/>
  <c r="P17" i="4"/>
  <c r="I9" i="3"/>
  <c r="F18" i="3"/>
  <c r="F16" i="3" s="1"/>
  <c r="Q33" i="3"/>
  <c r="Q28" i="3"/>
  <c r="N18" i="4"/>
  <c r="Q9" i="3"/>
  <c r="H9" i="3"/>
  <c r="E18" i="3"/>
  <c r="F9" i="4"/>
  <c r="L9" i="4"/>
  <c r="Q18" i="4"/>
  <c r="M18" i="4"/>
  <c r="N17" i="4"/>
  <c r="H18" i="3"/>
  <c r="H16" i="3" s="1"/>
  <c r="J3" i="4" s="1"/>
  <c r="K10" i="4"/>
  <c r="G33" i="3"/>
  <c r="O8" i="3"/>
  <c r="P13" i="4" s="1"/>
  <c r="M17" i="4"/>
  <c r="G21" i="3"/>
  <c r="G18" i="3" s="1"/>
  <c r="G16" i="3" s="1"/>
  <c r="O41" i="3"/>
  <c r="N47" i="3"/>
  <c r="L41" i="3"/>
  <c r="M41" i="3"/>
  <c r="F33" i="3"/>
  <c r="E33" i="3"/>
  <c r="I9" i="4"/>
  <c r="I10" i="4"/>
  <c r="G8" i="3"/>
  <c r="I13" i="4" s="1"/>
  <c r="L12" i="4"/>
  <c r="K18" i="4"/>
  <c r="J17" i="4"/>
  <c r="D8" i="3"/>
  <c r="O9" i="3"/>
  <c r="F10" i="4"/>
  <c r="P33" i="3"/>
  <c r="J18" i="4"/>
  <c r="I17" i="4"/>
  <c r="E9" i="3"/>
  <c r="L28" i="3"/>
  <c r="H10" i="4"/>
  <c r="L18" i="4"/>
  <c r="K17" i="4"/>
  <c r="F8" i="3"/>
  <c r="H14" i="4" s="1"/>
  <c r="P9" i="3"/>
  <c r="N28" i="3"/>
  <c r="I18" i="4"/>
  <c r="H17" i="4"/>
  <c r="M28" i="3"/>
  <c r="G17" i="4"/>
  <c r="L9" i="3"/>
  <c r="O10" i="4"/>
  <c r="F9" i="3"/>
  <c r="Q9" i="4"/>
  <c r="N8" i="3"/>
  <c r="G47" i="3"/>
  <c r="I47" i="3"/>
  <c r="F47" i="3"/>
  <c r="Q41" i="3"/>
  <c r="H47" i="3"/>
  <c r="E47" i="3"/>
  <c r="P41" i="3"/>
  <c r="N41" i="3"/>
  <c r="M47" i="3"/>
  <c r="L47" i="3"/>
  <c r="F41" i="3"/>
  <c r="H41" i="3"/>
  <c r="E41" i="3"/>
  <c r="G41" i="3"/>
  <c r="Q47" i="3"/>
  <c r="Q18" i="3"/>
  <c r="R6" i="4" s="1"/>
  <c r="I18" i="3"/>
  <c r="I16" i="3" s="1"/>
  <c r="F17" i="4"/>
  <c r="D50" i="3"/>
  <c r="D49" i="3"/>
  <c r="D48" i="3"/>
  <c r="D45" i="3"/>
  <c r="D43" i="3"/>
  <c r="D42" i="3"/>
  <c r="D32" i="3"/>
  <c r="D31" i="3"/>
  <c r="D30" i="3"/>
  <c r="D29" i="3"/>
  <c r="L5" i="4" l="1"/>
  <c r="P19" i="4"/>
  <c r="P10" i="4"/>
  <c r="M9" i="4"/>
  <c r="L19" i="4"/>
  <c r="M10" i="4"/>
  <c r="L10" i="4"/>
  <c r="H8" i="3"/>
  <c r="J14" i="4" s="1"/>
  <c r="J9" i="4"/>
  <c r="M19" i="4"/>
  <c r="P14" i="4"/>
  <c r="L4" i="4"/>
  <c r="O4" i="4"/>
  <c r="N10" i="4"/>
  <c r="I8" i="3"/>
  <c r="K6" i="4" s="1"/>
  <c r="K9" i="4"/>
  <c r="M8" i="3"/>
  <c r="N6" i="4" s="1"/>
  <c r="N19" i="4"/>
  <c r="G9" i="4"/>
  <c r="O6" i="4"/>
  <c r="O12" i="4"/>
  <c r="H9" i="4"/>
  <c r="E8" i="3"/>
  <c r="G14" i="4" s="1"/>
  <c r="P9" i="4"/>
  <c r="O9" i="4"/>
  <c r="P6" i="4"/>
  <c r="L3" i="4"/>
  <c r="I14" i="4"/>
  <c r="K3" i="4"/>
  <c r="O13" i="4"/>
  <c r="O14" i="4"/>
  <c r="Q19" i="4"/>
  <c r="P8" i="3"/>
  <c r="Q4" i="4" s="1"/>
  <c r="Q10" i="4"/>
  <c r="Q3" i="4"/>
  <c r="F17" i="3"/>
  <c r="H3" i="4"/>
  <c r="H13" i="4"/>
  <c r="G17" i="3"/>
  <c r="I3" i="4"/>
  <c r="O3" i="4"/>
  <c r="O5" i="4"/>
  <c r="M14" i="4"/>
  <c r="M13" i="4"/>
  <c r="N5" i="4"/>
  <c r="N3" i="4"/>
  <c r="P5" i="4"/>
  <c r="P3" i="4"/>
  <c r="I6" i="4"/>
  <c r="Q16" i="3"/>
  <c r="H12" i="4"/>
  <c r="H4" i="4"/>
  <c r="Q12" i="4"/>
  <c r="I12" i="4"/>
  <c r="Q5" i="4"/>
  <c r="I4" i="4"/>
  <c r="H6" i="4"/>
  <c r="I5" i="4"/>
  <c r="H5" i="4"/>
  <c r="M3" i="4"/>
  <c r="M6" i="4"/>
  <c r="N12" i="4"/>
  <c r="E16" i="3"/>
  <c r="G3" i="4" s="1"/>
  <c r="H17" i="3"/>
  <c r="J5" i="4"/>
  <c r="J12" i="4"/>
  <c r="I17" i="3"/>
  <c r="K12" i="4"/>
  <c r="K5" i="4"/>
  <c r="P12" i="4"/>
  <c r="P4" i="4"/>
  <c r="D28" i="3"/>
  <c r="D37" i="3"/>
  <c r="J4" i="4" l="1"/>
  <c r="R5" i="4"/>
  <c r="R3" i="4"/>
  <c r="R4" i="4"/>
  <c r="R12" i="4"/>
  <c r="L6" i="4"/>
  <c r="J6" i="4"/>
  <c r="L13" i="4"/>
  <c r="L14" i="4"/>
  <c r="J13" i="4"/>
  <c r="K4" i="4"/>
  <c r="G13" i="4"/>
  <c r="N14" i="4"/>
  <c r="N13" i="4"/>
  <c r="N4" i="4"/>
  <c r="G6" i="4"/>
  <c r="K14" i="4"/>
  <c r="K13" i="4"/>
  <c r="Q13" i="4"/>
  <c r="Q6" i="4"/>
  <c r="Q14" i="4"/>
  <c r="Q17" i="3"/>
  <c r="M12" i="4"/>
  <c r="M4" i="4"/>
  <c r="M5" i="4"/>
  <c r="E17" i="3"/>
  <c r="G4" i="4"/>
  <c r="G12" i="4"/>
  <c r="G5" i="4"/>
  <c r="F11" i="4"/>
  <c r="F18" i="4"/>
  <c r="D38" i="3"/>
  <c r="D18" i="3"/>
  <c r="D44" i="3"/>
  <c r="D41" i="3" s="1"/>
  <c r="D33" i="3"/>
  <c r="D9" i="3"/>
  <c r="D51" i="3" l="1"/>
  <c r="D47" i="3" s="1"/>
  <c r="D16" i="3"/>
  <c r="F15" i="4"/>
  <c r="F13" i="4"/>
  <c r="F16" i="4"/>
  <c r="F3" i="4" l="1"/>
  <c r="F4" i="4"/>
  <c r="F6" i="4"/>
  <c r="F14" i="4"/>
  <c r="D17" i="3"/>
  <c r="F5" i="4"/>
  <c r="F12" i="4"/>
  <c r="X15" i="4"/>
  <c r="X16" i="4"/>
  <c r="W51" i="3" l="1"/>
  <c r="W47" i="3" s="1"/>
  <c r="X14" i="4"/>
</calcChain>
</file>

<file path=xl/sharedStrings.xml><?xml version="1.0" encoding="utf-8"?>
<sst xmlns="http://schemas.openxmlformats.org/spreadsheetml/2006/main" count="311" uniqueCount="201">
  <si>
    <t>ACUMEN SACCO SOCIETY</t>
  </si>
  <si>
    <t xml:space="preserve"> STATEMENT OF FINANCIAL POSITION</t>
  </si>
  <si>
    <t>FINANCIAL YEAR  2021</t>
  </si>
  <si>
    <t>Aud-2019</t>
  </si>
  <si>
    <t>Aud-2020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</si>
  <si>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</si>
  <si>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</si>
  <si>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</si>
  <si>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</si>
  <si>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</si>
  <si>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</si>
  <si>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</si>
  <si>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</si>
  <si>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</si>
  <si>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</si>
  <si>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</si>
  <si>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</si>
  <si>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Aud-21</t>
  </si>
  <si>
    <t>audited 2022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</si>
  <si>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</si>
  <si>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</si>
  <si>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</si>
  <si>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</si>
  <si>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</si>
  <si>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</si>
  <si>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</si>
  <si>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</si>
  <si>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</si>
  <si>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</si>
  <si>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</si>
  <si>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</si>
  <si>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</si>
  <si>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</si>
  <si>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</si>
  <si>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</si>
  <si>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</si>
  <si>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</si>
  <si>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</si>
  <si>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</si>
  <si>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</si>
  <si>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</si>
  <si>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</si>
  <si>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</si>
  <si>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</si>
  <si>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</si>
  <si>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</si>
  <si>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</si>
  <si>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</si>
  <si>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</si>
  <si>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</si>
  <si>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</si>
  <si>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</si>
  <si>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</si>
  <si>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</si>
  <si>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</si>
  <si>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</si>
  <si>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</si>
  <si>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</si>
  <si>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</si>
  <si>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</si>
  <si>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</si>
  <si>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</si>
  <si>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</si>
  <si>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</si>
  <si>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</si>
  <si>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</si>
  <si>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</si>
  <si>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</si>
  <si>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</si>
  <si>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Loan Type/Name</t>
  </si>
  <si>
    <t>Ref No</t>
  </si>
  <si>
    <t>Amount Granted</t>
  </si>
  <si>
    <t>Disbursement Date</t>
  </si>
  <si>
    <t>BOSA Deposits</t>
  </si>
  <si>
    <t>Security</t>
  </si>
  <si>
    <t>Repayment Commencement</t>
  </si>
  <si>
    <t>Repayment Period</t>
  </si>
  <si>
    <t>STATEMENT OF COMPREHENSIVE INCOME</t>
  </si>
  <si>
    <t>audited-21</t>
  </si>
  <si>
    <t>Audited 2022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</si>
  <si>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</si>
  <si>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</si>
  <si>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</si>
  <si>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</si>
  <si>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</si>
  <si>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</si>
  <si>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</si>
  <si>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</si>
  <si>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</si>
  <si>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</si>
  <si>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</si>
  <si>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</si>
  <si>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</si>
  <si>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</si>
  <si>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</si>
  <si>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</si>
  <si>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</si>
  <si>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</si>
  <si>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</si>
  <si>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</si>
  <si>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</si>
  <si>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</si>
  <si>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</si>
  <si>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</si>
  <si>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</si>
  <si>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</si>
  <si>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</si>
  <si>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</si>
  <si>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</si>
  <si>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</si>
  <si>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</si>
  <si>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</si>
  <si>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</si>
  <si>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</si>
  <si>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</si>
  <si>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</si>
  <si>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</si>
  <si>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</si>
  <si>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</si>
  <si>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</si>
  <si>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</si>
  <si>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</si>
  <si>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</si>
  <si>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</si>
  <si>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</si>
  <si>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 xml:space="preserve">  -   </t>
  </si>
  <si>
    <t>NPL</t>
  </si>
  <si>
    <t>PAR</t>
  </si>
  <si>
    <t>ACUMEN SACCO KPI's</t>
  </si>
  <si>
    <t>Year/month</t>
  </si>
  <si>
    <t>Auditd 2022</t>
  </si>
  <si>
    <t>Membership</t>
  </si>
  <si>
    <t>Active</t>
  </si>
  <si>
    <t>Dormant</t>
  </si>
  <si>
    <t>Total Membership</t>
  </si>
  <si>
    <t>Total Deposits</t>
  </si>
  <si>
    <t>Deposits-Members(BOSA)</t>
  </si>
  <si>
    <t>Deposits-Customers(FOSA)</t>
  </si>
  <si>
    <t>Deposits-Term</t>
  </si>
  <si>
    <t>External Borrowing</t>
  </si>
  <si>
    <t>Share capital and Reserves</t>
  </si>
  <si>
    <t>Core Capital</t>
  </si>
  <si>
    <t>Institutional Capital</t>
  </si>
  <si>
    <t>Total Capital</t>
  </si>
  <si>
    <t>Members Share Capital</t>
  </si>
  <si>
    <t>Entrance Fees</t>
  </si>
  <si>
    <t>Appropriation Account</t>
  </si>
  <si>
    <t>Statutory Reserves</t>
  </si>
  <si>
    <t>Capital Reserves</t>
  </si>
  <si>
    <t>Supplementary Capital &amp; reserves</t>
  </si>
  <si>
    <t>Benevolent  Fund</t>
  </si>
  <si>
    <t>Investments</t>
  </si>
  <si>
    <t>Govt bills</t>
  </si>
  <si>
    <t xml:space="preserve"> Investments in naccos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</si>
  <si>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</si>
  <si>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</si>
  <si>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</si>
  <si>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</si>
  <si>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</si>
  <si>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</si>
  <si>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Property and Equipment</t>
  </si>
  <si>
    <t>Turnover</t>
  </si>
  <si>
    <t>Loan Interest</t>
  </si>
  <si>
    <t>Yield on loans</t>
  </si>
  <si>
    <t>Income from investments</t>
  </si>
  <si>
    <t>Fees &amp; Commissions</t>
  </si>
  <si>
    <t>Finanacial and Operating costs</t>
  </si>
  <si>
    <t>Interest expense on deposits</t>
  </si>
  <si>
    <t>Dividend expense on share capital</t>
  </si>
  <si>
    <t>Interest expense on borrowed funds</t>
  </si>
  <si>
    <t>Operating expenses</t>
  </si>
  <si>
    <t>Net Surplus</t>
  </si>
  <si>
    <t>ACUMEN SACCO CAELS 2021</t>
  </si>
  <si>
    <t>Regulatory Stds</t>
  </si>
  <si>
    <t xml:space="preserve">Jan </t>
  </si>
  <si>
    <t>CAPITAL ADEQUACY</t>
  </si>
  <si>
    <t>10 M</t>
  </si>
  <si>
    <t>CCA</t>
  </si>
  <si>
    <t>CCD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</si>
  <si>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</si>
  <si>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</si>
  <si>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</si>
  <si>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</si>
  <si>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</si>
  <si>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</si>
  <si>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</si>
  <si>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</si>
  <si>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EARNINGS</t>
  </si>
  <si>
    <t>Non-Government Investment to Deposit ratio</t>
  </si>
  <si>
    <t>Non-Government Investment to Core Capital ratio</t>
  </si>
  <si>
    <t>Max 40%</t>
  </si>
  <si>
    <t>Gross loans/TA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</si>
  <si>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</si>
  <si>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</si>
  <si>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</si>
  <si>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</si>
  <si>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</si>
  <si>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</si>
  <si>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</si>
  <si>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>External Borrowing ratio</t>
  </si>
  <si>
    <t>Max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</si>
</sst>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\-??_);_(@_)"/>
    <numFmt numFmtId="165" formatCode="0.0"/>
    <numFmt numFmtId="166" formatCode="_(* #,##0_);_(* \(#,##0\);_(* &quot;-&quot;??_);_(@_)"/>
    <numFmt numFmtId="167" formatCode="[$-10409]#,##0.00;\-\ #,##0.00"/>
    <numFmt numFmtId="168" formatCode="_(* #,##0.00_);_(* \(#,##0.00\);_(* \-??_);_(@_)"/>
    <numFmt numFmtId="169" formatCode="[$-10409]0.00;\-\ 0.00"/>
    <numFmt numFmtId="170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mbria"/>
      <family val="1"/>
    </font>
    <font>
      <b/>
      <sz val="10"/>
      <name val="Cambria"/>
      <family val="1"/>
    </font>
    <font>
      <sz val="10"/>
      <color indexed="8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indexed="8"/>
      <name val="Cambria"/>
      <family val="1"/>
    </font>
    <font>
      <i/>
      <sz val="10"/>
      <name val="Cambria"/>
      <family val="1"/>
    </font>
    <font>
      <sz val="9"/>
      <color indexed="8"/>
      <name val="Arial"/>
      <family val="2"/>
    </font>
    <font>
      <sz val="9"/>
      <color indexed="8"/>
      <name val="Arial"/>
      <charset val="1"/>
    </font>
    <font>
      <sz val="10"/>
      <color indexed="8"/>
      <name val="Arial"/>
      <charset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rgb="FF000000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DAA52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3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65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166" fontId="4" fillId="5" borderId="1" xfId="1" applyNumberFormat="1" applyFont="1" applyFill="1" applyBorder="1"/>
    <xf numFmtId="167" fontId="5" fillId="0" borderId="3" xfId="0" applyNumberFormat="1" applyFont="1" applyBorder="1" applyAlignment="1" applyProtection="1">
      <alignment vertical="top" wrapText="1" readingOrder="1"/>
      <protection locked="0"/>
    </xf>
    <xf numFmtId="0" fontId="4" fillId="0" borderId="5" xfId="0" applyFont="1" applyBorder="1"/>
    <xf numFmtId="0" fontId="3" fillId="0" borderId="4" xfId="0" applyFont="1" applyBorder="1" applyAlignment="1">
      <alignment horizontal="right"/>
    </xf>
    <xf numFmtId="164" fontId="4" fillId="5" borderId="1" xfId="5" applyNumberFormat="1" applyFont="1" applyFill="1" applyBorder="1" applyAlignment="1" applyProtection="1"/>
    <xf numFmtId="169" fontId="5" fillId="0" borderId="3" xfId="0" applyNumberFormat="1" applyFont="1" applyBorder="1" applyAlignment="1" applyProtection="1">
      <alignment vertical="top" wrapText="1" readingOrder="1"/>
      <protection locked="0"/>
    </xf>
    <xf numFmtId="0" fontId="8" fillId="0" borderId="1" xfId="0" applyFont="1" applyBorder="1" applyAlignment="1">
      <alignment horizontal="center"/>
    </xf>
    <xf numFmtId="0" fontId="7" fillId="0" borderId="0" xfId="0" applyFont="1"/>
    <xf numFmtId="0" fontId="9" fillId="0" borderId="0" xfId="0" applyFont="1"/>
    <xf numFmtId="0" fontId="8" fillId="0" borderId="0" xfId="0" applyFont="1"/>
    <xf numFmtId="9" fontId="7" fillId="0" borderId="1" xfId="2" applyFont="1" applyBorder="1"/>
    <xf numFmtId="170" fontId="7" fillId="0" borderId="1" xfId="2" applyNumberFormat="1" applyFont="1" applyBorder="1"/>
    <xf numFmtId="9" fontId="7" fillId="0" borderId="1" xfId="2" applyFont="1" applyBorder="1" applyAlignment="1"/>
    <xf numFmtId="0" fontId="8" fillId="0" borderId="0" xfId="161" applyFont="1"/>
    <xf numFmtId="0" fontId="8" fillId="0" borderId="2" xfId="161" applyFont="1" applyBorder="1"/>
    <xf numFmtId="43" fontId="8" fillId="0" borderId="8" xfId="162" applyFont="1" applyFill="1" applyBorder="1"/>
    <xf numFmtId="3" fontId="3" fillId="0" borderId="9" xfId="161" applyNumberFormat="1" applyFont="1" applyBorder="1"/>
    <xf numFmtId="0" fontId="3" fillId="0" borderId="9" xfId="161" applyFont="1" applyBorder="1"/>
    <xf numFmtId="43" fontId="7" fillId="2" borderId="1" xfId="1" applyFont="1" applyFill="1" applyBorder="1"/>
    <xf numFmtId="0" fontId="4" fillId="0" borderId="9" xfId="161" applyFont="1" applyBorder="1"/>
    <xf numFmtId="43" fontId="8" fillId="2" borderId="1" xfId="1" applyFont="1" applyFill="1" applyBorder="1"/>
    <xf numFmtId="0" fontId="7" fillId="0" borderId="9" xfId="161" applyFont="1" applyBorder="1"/>
    <xf numFmtId="0" fontId="8" fillId="0" borderId="9" xfId="161" applyFont="1" applyBorder="1"/>
    <xf numFmtId="9" fontId="3" fillId="0" borderId="9" xfId="163" applyFont="1" applyFill="1" applyBorder="1"/>
    <xf numFmtId="43" fontId="4" fillId="2" borderId="1" xfId="1" applyFont="1" applyFill="1" applyBorder="1"/>
    <xf numFmtId="43" fontId="3" fillId="2" borderId="1" xfId="1" applyFont="1" applyFill="1" applyBorder="1"/>
    <xf numFmtId="0" fontId="3" fillId="0" borderId="10" xfId="161" applyFont="1" applyBorder="1"/>
    <xf numFmtId="0" fontId="3" fillId="0" borderId="0" xfId="161" applyFont="1"/>
    <xf numFmtId="166" fontId="7" fillId="0" borderId="12" xfId="1" applyNumberFormat="1" applyFont="1" applyBorder="1"/>
    <xf numFmtId="0" fontId="7" fillId="0" borderId="12" xfId="0" applyFont="1" applyBorder="1"/>
    <xf numFmtId="9" fontId="7" fillId="0" borderId="15" xfId="2" applyFont="1" applyBorder="1"/>
    <xf numFmtId="9" fontId="7" fillId="0" borderId="12" xfId="2" applyFont="1" applyBorder="1" applyAlignment="1"/>
    <xf numFmtId="9" fontId="7" fillId="0" borderId="12" xfId="2" applyFont="1" applyBorder="1"/>
    <xf numFmtId="0" fontId="4" fillId="0" borderId="1" xfId="0" applyFont="1" applyBorder="1"/>
    <xf numFmtId="167" fontId="5" fillId="7" borderId="3" xfId="0" applyNumberFormat="1" applyFont="1" applyFill="1" applyBorder="1" applyAlignment="1" applyProtection="1">
      <alignment vertical="top" wrapText="1" readingOrder="1"/>
      <protection locked="0"/>
    </xf>
    <xf numFmtId="43" fontId="7" fillId="0" borderId="0" xfId="1" applyFont="1"/>
    <xf numFmtId="0" fontId="10" fillId="0" borderId="0" xfId="0" applyFont="1"/>
    <xf numFmtId="4" fontId="9" fillId="0" borderId="0" xfId="0" applyNumberFormat="1" applyFont="1"/>
    <xf numFmtId="9" fontId="9" fillId="0" borderId="0" xfId="0" applyNumberFormat="1" applyFont="1"/>
    <xf numFmtId="0" fontId="9" fillId="0" borderId="1" xfId="0" applyFont="1" applyBorder="1"/>
    <xf numFmtId="4" fontId="9" fillId="0" borderId="1" xfId="0" applyNumberFormat="1" applyFont="1" applyBorder="1"/>
    <xf numFmtId="9" fontId="9" fillId="0" borderId="1" xfId="0" applyNumberFormat="1" applyFont="1" applyBorder="1"/>
    <xf numFmtId="4" fontId="10" fillId="0" borderId="1" xfId="0" applyNumberFormat="1" applyFont="1" applyBorder="1"/>
    <xf numFmtId="0" fontId="10" fillId="0" borderId="1" xfId="0" applyFont="1" applyBorder="1"/>
    <xf numFmtId="164" fontId="4" fillId="4" borderId="1" xfId="5" applyNumberFormat="1" applyFont="1" applyFill="1" applyBorder="1" applyAlignment="1" applyProtection="1"/>
    <xf numFmtId="9" fontId="7" fillId="0" borderId="2" xfId="2" applyFont="1" applyBorder="1"/>
    <xf numFmtId="9" fontId="7" fillId="0" borderId="1" xfId="0" applyNumberFormat="1" applyFont="1" applyBorder="1"/>
    <xf numFmtId="167" fontId="11" fillId="0" borderId="3" xfId="0" applyNumberFormat="1" applyFont="1" applyBorder="1" applyAlignment="1" applyProtection="1">
      <alignment vertical="top" wrapText="1" readingOrder="1"/>
      <protection locked="0"/>
    </xf>
    <xf numFmtId="43" fontId="9" fillId="0" borderId="0" xfId="1" applyFont="1"/>
    <xf numFmtId="43" fontId="4" fillId="4" borderId="1" xfId="1" applyFont="1" applyFill="1" applyBorder="1" applyAlignment="1" applyProtection="1"/>
    <xf numFmtId="166" fontId="9" fillId="0" borderId="0" xfId="1" applyNumberFormat="1" applyFont="1"/>
    <xf numFmtId="166" fontId="4" fillId="4" borderId="1" xfId="1" applyNumberFormat="1" applyFont="1" applyFill="1" applyBorder="1" applyAlignment="1" applyProtection="1"/>
    <xf numFmtId="0" fontId="12" fillId="0" borderId="0" xfId="0" applyFont="1"/>
    <xf numFmtId="0" fontId="8" fillId="0" borderId="0" xfId="0" applyFont="1" applyAlignment="1">
      <alignment horizontal="center"/>
    </xf>
    <xf numFmtId="17" fontId="10" fillId="0" borderId="0" xfId="0" applyNumberFormat="1" applyFont="1"/>
    <xf numFmtId="0" fontId="13" fillId="9" borderId="18" xfId="0" applyFont="1" applyFill="1" applyBorder="1" applyAlignment="1">
      <alignment wrapText="1" readingOrder="1"/>
    </xf>
    <xf numFmtId="0" fontId="13" fillId="0" borderId="18" xfId="0" applyFont="1" applyBorder="1" applyAlignment="1">
      <alignment wrapText="1" readingOrder="1"/>
    </xf>
    <xf numFmtId="0" fontId="13" fillId="0" borderId="24" xfId="0" applyFont="1" applyBorder="1" applyAlignment="1">
      <alignment wrapText="1" readingOrder="1"/>
    </xf>
    <xf numFmtId="4" fontId="13" fillId="0" borderId="24" xfId="0" applyNumberFormat="1" applyFont="1" applyBorder="1" applyAlignment="1">
      <alignment wrapText="1" readingOrder="1"/>
    </xf>
    <xf numFmtId="4" fontId="13" fillId="0" borderId="18" xfId="0" applyNumberFormat="1" applyFont="1" applyBorder="1" applyAlignment="1">
      <alignment wrapText="1" readingOrder="1"/>
    </xf>
    <xf numFmtId="0" fontId="13" fillId="9" borderId="24" xfId="0" applyFont="1" applyFill="1" applyBorder="1" applyAlignment="1">
      <alignment wrapText="1" readingOrder="1"/>
    </xf>
    <xf numFmtId="0" fontId="13" fillId="0" borderId="23" xfId="0" applyFont="1" applyBorder="1" applyAlignment="1">
      <alignment wrapText="1" readingOrder="1"/>
    </xf>
    <xf numFmtId="4" fontId="13" fillId="0" borderId="23" xfId="0" applyNumberFormat="1" applyFont="1" applyBorder="1" applyAlignment="1">
      <alignment wrapText="1" readingOrder="1"/>
    </xf>
    <xf numFmtId="0" fontId="13" fillId="9" borderId="23" xfId="0" applyFont="1" applyFill="1" applyBorder="1" applyAlignment="1">
      <alignment wrapText="1" readingOrder="1"/>
    </xf>
    <xf numFmtId="0" fontId="14" fillId="3" borderId="3" xfId="0" applyFont="1" applyFill="1" applyBorder="1" applyAlignment="1" applyProtection="1">
      <alignment vertical="top" wrapText="1" readingOrder="1"/>
      <protection locked="0"/>
    </xf>
    <xf numFmtId="0" fontId="14" fillId="3" borderId="21" xfId="0" applyFont="1" applyFill="1" applyBorder="1" applyAlignment="1" applyProtection="1">
      <alignment vertical="top" wrapText="1" readingOrder="1"/>
      <protection locked="0"/>
    </xf>
    <xf numFmtId="0" fontId="14" fillId="3" borderId="26" xfId="0" applyFont="1" applyFill="1" applyBorder="1" applyAlignment="1" applyProtection="1">
      <alignment vertical="top" wrapText="1" readingOrder="1"/>
      <protection locked="0"/>
    </xf>
    <xf numFmtId="43" fontId="14" fillId="5" borderId="1" xfId="1" applyFont="1" applyFill="1" applyBorder="1" applyAlignment="1" applyProtection="1">
      <alignment horizontal="right" vertical="center"/>
    </xf>
    <xf numFmtId="43" fontId="7" fillId="0" borderId="0" xfId="0" applyNumberFormat="1" applyFont="1"/>
    <xf numFmtId="43" fontId="4" fillId="0" borderId="1" xfId="0" applyNumberFormat="1" applyFont="1" applyBorder="1"/>
    <xf numFmtId="43" fontId="4" fillId="5" borderId="1" xfId="1" applyFont="1" applyFill="1" applyBorder="1"/>
    <xf numFmtId="43" fontId="13" fillId="0" borderId="22" xfId="0" applyNumberFormat="1" applyFont="1" applyBorder="1" applyAlignment="1">
      <alignment wrapText="1" readingOrder="1"/>
    </xf>
    <xf numFmtId="43" fontId="4" fillId="4" borderId="1" xfId="5" applyNumberFormat="1" applyFont="1" applyFill="1" applyBorder="1" applyAlignment="1" applyProtection="1"/>
    <xf numFmtId="43" fontId="13" fillId="9" borderId="22" xfId="0" applyNumberFormat="1" applyFont="1" applyFill="1" applyBorder="1" applyAlignment="1">
      <alignment wrapText="1" readingOrder="1"/>
    </xf>
    <xf numFmtId="43" fontId="4" fillId="5" borderId="1" xfId="5" applyNumberFormat="1" applyFont="1" applyFill="1" applyBorder="1" applyAlignment="1" applyProtection="1"/>
    <xf numFmtId="3" fontId="4" fillId="0" borderId="9" xfId="161" applyNumberFormat="1" applyFont="1" applyBorder="1"/>
    <xf numFmtId="0" fontId="8" fillId="0" borderId="19" xfId="0" applyFont="1" applyBorder="1"/>
    <xf numFmtId="0" fontId="7" fillId="0" borderId="19" xfId="0" applyFont="1" applyBorder="1"/>
    <xf numFmtId="166" fontId="7" fillId="0" borderId="19" xfId="0" applyNumberFormat="1" applyFont="1" applyBorder="1"/>
    <xf numFmtId="166" fontId="8" fillId="0" borderId="19" xfId="0" applyNumberFormat="1" applyFont="1" applyBorder="1"/>
    <xf numFmtId="43" fontId="7" fillId="2" borderId="17" xfId="1" applyFont="1" applyFill="1" applyBorder="1"/>
    <xf numFmtId="16" fontId="7" fillId="0" borderId="0" xfId="0" applyNumberFormat="1" applyFont="1"/>
    <xf numFmtId="16" fontId="7" fillId="0" borderId="0" xfId="1" applyNumberFormat="1" applyFont="1"/>
    <xf numFmtId="167" fontId="11" fillId="7" borderId="3" xfId="0" applyNumberFormat="1" applyFont="1" applyFill="1" applyBorder="1" applyAlignment="1" applyProtection="1">
      <alignment vertical="top" wrapText="1" readingOrder="1"/>
      <protection locked="0"/>
    </xf>
    <xf numFmtId="169" fontId="11" fillId="0" borderId="3" xfId="0" applyNumberFormat="1" applyFont="1" applyBorder="1" applyAlignment="1" applyProtection="1">
      <alignment vertical="top" wrapText="1" readingOrder="1"/>
      <protection locked="0"/>
    </xf>
    <xf numFmtId="167" fontId="16" fillId="0" borderId="3" xfId="161" applyNumberFormat="1" applyFont="1" applyBorder="1" applyAlignment="1" applyProtection="1">
      <alignment vertical="top" wrapText="1" readingOrder="1"/>
      <protection locked="0"/>
    </xf>
    <xf numFmtId="167" fontId="16" fillId="7" borderId="3" xfId="161" applyNumberFormat="1" applyFont="1" applyFill="1" applyBorder="1" applyAlignment="1" applyProtection="1">
      <alignment vertical="top" wrapText="1" readingOrder="1"/>
      <protection locked="0"/>
    </xf>
    <xf numFmtId="16" fontId="9" fillId="0" borderId="0" xfId="0" applyNumberFormat="1" applyFont="1"/>
    <xf numFmtId="4" fontId="7" fillId="0" borderId="0" xfId="0" applyNumberFormat="1" applyFont="1"/>
    <xf numFmtId="167" fontId="11" fillId="0" borderId="16" xfId="0" applyNumberFormat="1" applyFont="1" applyBorder="1" applyAlignment="1" applyProtection="1">
      <alignment vertical="top" wrapText="1" readingOrder="1"/>
      <protection locked="0"/>
    </xf>
    <xf numFmtId="43" fontId="4" fillId="4" borderId="6" xfId="5" applyNumberFormat="1" applyFont="1" applyFill="1" applyBorder="1" applyAlignment="1" applyProtection="1"/>
    <xf numFmtId="167" fontId="11" fillId="7" borderId="16" xfId="0" applyNumberFormat="1" applyFont="1" applyFill="1" applyBorder="1" applyAlignment="1" applyProtection="1">
      <alignment vertical="top" wrapText="1" readingOrder="1"/>
      <protection locked="0"/>
    </xf>
    <xf numFmtId="164" fontId="4" fillId="4" borderId="6" xfId="5" applyNumberFormat="1" applyFont="1" applyFill="1" applyBorder="1" applyAlignment="1" applyProtection="1"/>
    <xf numFmtId="169" fontId="11" fillId="0" borderId="16" xfId="0" applyNumberFormat="1" applyFont="1" applyBorder="1" applyAlignment="1" applyProtection="1">
      <alignment vertical="top" wrapText="1" readingOrder="1"/>
      <protection locked="0"/>
    </xf>
    <xf numFmtId="43" fontId="7" fillId="0" borderId="1" xfId="1" applyFont="1" applyBorder="1"/>
    <xf numFmtId="0" fontId="4" fillId="0" borderId="6" xfId="0" applyFont="1" applyBorder="1"/>
    <xf numFmtId="0" fontId="4" fillId="0" borderId="7" xfId="0" applyFont="1" applyBorder="1" applyAlignment="1">
      <alignment wrapText="1"/>
    </xf>
    <xf numFmtId="17" fontId="8" fillId="6" borderId="1" xfId="0" applyNumberFormat="1" applyFont="1" applyFill="1" applyBorder="1"/>
    <xf numFmtId="0" fontId="8" fillId="8" borderId="1" xfId="0" applyFont="1" applyFill="1" applyBorder="1"/>
    <xf numFmtId="0" fontId="3" fillId="0" borderId="1" xfId="0" applyFont="1" applyBorder="1"/>
    <xf numFmtId="0" fontId="4" fillId="0" borderId="6" xfId="0" applyFont="1" applyBorder="1" applyAlignment="1">
      <alignment wrapText="1"/>
    </xf>
    <xf numFmtId="43" fontId="4" fillId="5" borderId="17" xfId="1" applyFont="1" applyFill="1" applyBorder="1" applyAlignment="1" applyProtection="1"/>
    <xf numFmtId="43" fontId="4" fillId="5" borderId="1" xfId="1" applyFont="1" applyFill="1" applyBorder="1" applyAlignment="1" applyProtection="1"/>
    <xf numFmtId="0" fontId="3" fillId="0" borderId="6" xfId="0" applyFont="1" applyBorder="1" applyAlignment="1">
      <alignment wrapText="1"/>
    </xf>
    <xf numFmtId="43" fontId="3" fillId="0" borderId="1" xfId="1" applyFont="1" applyBorder="1"/>
    <xf numFmtId="43" fontId="5" fillId="0" borderId="3" xfId="1" applyFont="1" applyBorder="1" applyAlignment="1" applyProtection="1">
      <alignment vertical="top" wrapText="1" readingOrder="1"/>
      <protection locked="0"/>
    </xf>
    <xf numFmtId="43" fontId="5" fillId="0" borderId="16" xfId="1" applyFont="1" applyBorder="1" applyAlignment="1" applyProtection="1">
      <alignment vertical="top" wrapText="1" readingOrder="1"/>
      <protection locked="0"/>
    </xf>
    <xf numFmtId="43" fontId="7" fillId="0" borderId="6" xfId="1" applyFont="1" applyBorder="1"/>
    <xf numFmtId="4" fontId="6" fillId="0" borderId="25" xfId="0" applyNumberFormat="1" applyFont="1" applyBorder="1" applyAlignment="1">
      <alignment wrapText="1" readingOrder="1"/>
    </xf>
    <xf numFmtId="4" fontId="6" fillId="0" borderId="19" xfId="0" applyNumberFormat="1" applyFont="1" applyBorder="1" applyAlignment="1">
      <alignment wrapText="1" readingOrder="1"/>
    </xf>
    <xf numFmtId="43" fontId="7" fillId="0" borderId="20" xfId="1" applyFont="1" applyBorder="1"/>
    <xf numFmtId="43" fontId="5" fillId="0" borderId="1" xfId="1" applyFont="1" applyBorder="1" applyAlignment="1" applyProtection="1">
      <alignment horizontal="right" vertical="center"/>
      <protection locked="0"/>
    </xf>
    <xf numFmtId="0" fontId="6" fillId="0" borderId="25" xfId="0" applyFont="1" applyBorder="1" applyAlignment="1">
      <alignment wrapText="1" readingOrder="1"/>
    </xf>
    <xf numFmtId="0" fontId="6" fillId="0" borderId="19" xfId="0" applyFont="1" applyBorder="1" applyAlignment="1">
      <alignment wrapText="1" readingOrder="1"/>
    </xf>
    <xf numFmtId="0" fontId="3" fillId="0" borderId="6" xfId="0" applyFont="1" applyBorder="1"/>
    <xf numFmtId="43" fontId="5" fillId="7" borderId="3" xfId="1" applyFont="1" applyFill="1" applyBorder="1" applyAlignment="1" applyProtection="1">
      <alignment vertical="top" wrapText="1" readingOrder="1"/>
      <protection locked="0"/>
    </xf>
    <xf numFmtId="43" fontId="5" fillId="7" borderId="16" xfId="1" applyFont="1" applyFill="1" applyBorder="1" applyAlignment="1" applyProtection="1">
      <alignment vertical="top" wrapText="1" readingOrder="1"/>
      <protection locked="0"/>
    </xf>
    <xf numFmtId="4" fontId="6" fillId="10" borderId="25" xfId="0" applyNumberFormat="1" applyFont="1" applyFill="1" applyBorder="1" applyAlignment="1">
      <alignment wrapText="1" readingOrder="1"/>
    </xf>
    <xf numFmtId="4" fontId="6" fillId="9" borderId="19" xfId="0" applyNumberFormat="1" applyFont="1" applyFill="1" applyBorder="1" applyAlignment="1">
      <alignment wrapText="1" readingOrder="1"/>
    </xf>
    <xf numFmtId="43" fontId="3" fillId="0" borderId="1" xfId="1" applyFont="1" applyFill="1" applyBorder="1" applyAlignment="1" applyProtection="1">
      <protection locked="0"/>
    </xf>
    <xf numFmtId="43" fontId="3" fillId="0" borderId="1" xfId="1" applyFont="1" applyBorder="1" applyAlignment="1" applyProtection="1">
      <alignment horizontal="right" vertical="center"/>
      <protection locked="0"/>
    </xf>
    <xf numFmtId="43" fontId="3" fillId="0" borderId="0" xfId="1" applyFont="1"/>
    <xf numFmtId="167" fontId="17" fillId="7" borderId="3" xfId="0" applyNumberFormat="1" applyFont="1" applyFill="1" applyBorder="1" applyAlignment="1" applyProtection="1">
      <alignment vertical="top" wrapText="1" readingOrder="1"/>
      <protection locked="0"/>
    </xf>
    <xf numFmtId="167" fontId="17" fillId="0" borderId="3" xfId="0" applyNumberFormat="1" applyFont="1" applyBorder="1" applyAlignment="1" applyProtection="1">
      <alignment vertical="top" wrapText="1" readingOrder="1"/>
      <protection locked="0"/>
    </xf>
    <xf numFmtId="17" fontId="7" fillId="0" borderId="0" xfId="0" applyNumberFormat="1" applyFont="1"/>
    <xf numFmtId="167" fontId="18" fillId="0" borderId="3" xfId="0" applyNumberFormat="1" applyFont="1" applyBorder="1" applyAlignment="1" applyProtection="1">
      <alignment vertical="top" wrapText="1" readingOrder="1"/>
      <protection locked="0"/>
    </xf>
    <xf numFmtId="169" fontId="18" fillId="0" borderId="3" xfId="0" applyNumberFormat="1" applyFont="1" applyBorder="1" applyAlignment="1" applyProtection="1">
      <alignment vertical="top" wrapText="1" readingOrder="1"/>
      <protection locked="0"/>
    </xf>
    <xf numFmtId="43" fontId="0" fillId="0" borderId="27" xfId="1" applyFont="1" applyBorder="1" applyAlignment="1" applyProtection="1">
      <alignment vertical="top" wrapText="1"/>
      <protection locked="0"/>
    </xf>
    <xf numFmtId="43" fontId="4" fillId="4" borderId="6" xfId="1" applyFont="1" applyFill="1" applyBorder="1" applyAlignment="1" applyProtection="1"/>
    <xf numFmtId="43" fontId="0" fillId="0" borderId="27" xfId="1" applyFont="1" applyBorder="1" applyAlignment="1" applyProtection="1">
      <alignment vertical="top" wrapText="1" readingOrder="1"/>
      <protection locked="0"/>
    </xf>
    <xf numFmtId="0" fontId="19" fillId="6" borderId="2" xfId="0" applyFont="1" applyFill="1" applyBorder="1"/>
    <xf numFmtId="0" fontId="19" fillId="0" borderId="0" xfId="0" applyFont="1"/>
    <xf numFmtId="16" fontId="20" fillId="0" borderId="0" xfId="0" applyNumberFormat="1" applyFont="1"/>
    <xf numFmtId="16" fontId="20" fillId="0" borderId="0" xfId="1" applyNumberFormat="1" applyFont="1"/>
    <xf numFmtId="17" fontId="20" fillId="0" borderId="0" xfId="0" applyNumberFormat="1" applyFont="1"/>
    <xf numFmtId="0" fontId="20" fillId="0" borderId="0" xfId="0" applyFont="1"/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left" vertical="top" wrapText="1"/>
    </xf>
    <xf numFmtId="0" fontId="20" fillId="0" borderId="12" xfId="0" applyFont="1" applyBorder="1" applyAlignment="1">
      <alignment horizontal="center" vertical="center" wrapText="1"/>
    </xf>
    <xf numFmtId="166" fontId="20" fillId="0" borderId="12" xfId="1" applyNumberFormat="1" applyFont="1" applyBorder="1"/>
    <xf numFmtId="0" fontId="19" fillId="0" borderId="1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9" fontId="20" fillId="0" borderId="1" xfId="0" applyNumberFormat="1" applyFont="1" applyBorder="1" applyAlignment="1">
      <alignment horizontal="center" vertical="center" wrapText="1"/>
    </xf>
    <xf numFmtId="9" fontId="20" fillId="0" borderId="1" xfId="2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top" wrapText="1"/>
    </xf>
    <xf numFmtId="9" fontId="20" fillId="0" borderId="15" xfId="0" applyNumberFormat="1" applyFont="1" applyBorder="1" applyAlignment="1">
      <alignment horizontal="center" vertical="center" wrapText="1"/>
    </xf>
    <xf numFmtId="170" fontId="20" fillId="0" borderId="15" xfId="2" applyNumberFormat="1" applyFont="1" applyBorder="1"/>
    <xf numFmtId="9" fontId="20" fillId="0" borderId="15" xfId="2" applyFont="1" applyBorder="1"/>
    <xf numFmtId="0" fontId="20" fillId="0" borderId="12" xfId="0" applyFont="1" applyBorder="1"/>
    <xf numFmtId="170" fontId="20" fillId="0" borderId="1" xfId="2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9" fontId="20" fillId="0" borderId="12" xfId="2" applyFont="1" applyBorder="1" applyAlignment="1"/>
    <xf numFmtId="0" fontId="21" fillId="0" borderId="1" xfId="0" applyFont="1" applyBorder="1" applyAlignment="1">
      <alignment vertical="top" wrapText="1"/>
    </xf>
    <xf numFmtId="0" fontId="21" fillId="0" borderId="1" xfId="0" applyFont="1" applyBorder="1" applyAlignment="1">
      <alignment horizontal="center" vertical="center"/>
    </xf>
    <xf numFmtId="9" fontId="20" fillId="0" borderId="1" xfId="2" applyFont="1" applyBorder="1" applyAlignment="1"/>
    <xf numFmtId="0" fontId="21" fillId="0" borderId="1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/>
    </xf>
    <xf numFmtId="9" fontId="20" fillId="0" borderId="12" xfId="2" applyFont="1" applyBorder="1"/>
    <xf numFmtId="0" fontId="20" fillId="0" borderId="2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9" fontId="20" fillId="0" borderId="2" xfId="2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9" fontId="20" fillId="0" borderId="1" xfId="0" applyNumberFormat="1" applyFont="1" applyBorder="1"/>
    <xf numFmtId="0" fontId="7" fillId="11" borderId="0" xfId="0" applyFont="1" applyFill="1"/>
    <xf numFmtId="16" fontId="7" fillId="11" borderId="0" xfId="0" applyNumberFormat="1" applyFont="1" applyFill="1"/>
    <xf numFmtId="43" fontId="7" fillId="11" borderId="17" xfId="1" applyFont="1" applyFill="1" applyBorder="1"/>
    <xf numFmtId="43" fontId="8" fillId="11" borderId="1" xfId="1" applyFont="1" applyFill="1" applyBorder="1"/>
    <xf numFmtId="43" fontId="7" fillId="11" borderId="1" xfId="1" applyFont="1" applyFill="1" applyBorder="1"/>
    <xf numFmtId="43" fontId="4" fillId="11" borderId="1" xfId="1" applyFont="1" applyFill="1" applyBorder="1"/>
    <xf numFmtId="43" fontId="3" fillId="11" borderId="1" xfId="1" applyFont="1" applyFill="1" applyBorder="1"/>
    <xf numFmtId="17" fontId="7" fillId="11" borderId="0" xfId="0" applyNumberFormat="1" applyFont="1" applyFill="1"/>
  </cellXfs>
  <cellStyles count="164">
    <cellStyle name="Comma" xfId="1" builtinId="3"/>
    <cellStyle name="Comma 10" xfId="5" xr:uid="{00000000-0005-0000-0000-000001000000}"/>
    <cellStyle name="Comma 10 10 2" xfId="3" xr:uid="{00000000-0005-0000-0000-000002000000}"/>
    <cellStyle name="Comma 18" xfId="4" xr:uid="{00000000-0005-0000-0000-000003000000}"/>
    <cellStyle name="Comma 369" xfId="162" xr:uid="{00000000-0005-0000-0000-000004000000}"/>
    <cellStyle name="Comma 375" xfId="37" xr:uid="{00000000-0005-0000-0000-000005000000}"/>
    <cellStyle name="Comma 376" xfId="57" xr:uid="{00000000-0005-0000-0000-000006000000}"/>
    <cellStyle name="Comma 380" xfId="86" xr:uid="{00000000-0005-0000-0000-000007000000}"/>
    <cellStyle name="Comma 398" xfId="6" xr:uid="{00000000-0005-0000-0000-000008000000}"/>
    <cellStyle name="Comma 399" xfId="13" xr:uid="{00000000-0005-0000-0000-000009000000}"/>
    <cellStyle name="Comma 400" xfId="19" xr:uid="{00000000-0005-0000-0000-00000A000000}"/>
    <cellStyle name="Comma 401" xfId="27" xr:uid="{00000000-0005-0000-0000-00000B000000}"/>
    <cellStyle name="Comma 402" xfId="35" xr:uid="{00000000-0005-0000-0000-00000C000000}"/>
    <cellStyle name="Comma 403" xfId="44" xr:uid="{00000000-0005-0000-0000-00000D000000}"/>
    <cellStyle name="Comma 404" xfId="52" xr:uid="{00000000-0005-0000-0000-00000E000000}"/>
    <cellStyle name="Comma 405" xfId="64" xr:uid="{00000000-0005-0000-0000-00000F000000}"/>
    <cellStyle name="Comma 406" xfId="74" xr:uid="{00000000-0005-0000-0000-000010000000}"/>
    <cellStyle name="Comma 407" xfId="84" xr:uid="{00000000-0005-0000-0000-000011000000}"/>
    <cellStyle name="Comma 408" xfId="93" xr:uid="{00000000-0005-0000-0000-000012000000}"/>
    <cellStyle name="Comma 409" xfId="102" xr:uid="{00000000-0005-0000-0000-000013000000}"/>
    <cellStyle name="Comma 410" xfId="111" xr:uid="{00000000-0005-0000-0000-000014000000}"/>
    <cellStyle name="Comma 412" xfId="121" xr:uid="{00000000-0005-0000-0000-000015000000}"/>
    <cellStyle name="Comma 413" xfId="133" xr:uid="{00000000-0005-0000-0000-000016000000}"/>
    <cellStyle name="Comma 414" xfId="151" xr:uid="{00000000-0005-0000-0000-000017000000}"/>
    <cellStyle name="Comma 415" xfId="142" xr:uid="{00000000-0005-0000-0000-000018000000}"/>
    <cellStyle name="Comma 416" xfId="110" xr:uid="{00000000-0005-0000-0000-000019000000}"/>
    <cellStyle name="Comma 417" xfId="119" xr:uid="{00000000-0005-0000-0000-00001A000000}"/>
    <cellStyle name="Comma 418" xfId="125" xr:uid="{00000000-0005-0000-0000-00001B000000}"/>
    <cellStyle name="Comma 419" xfId="132" xr:uid="{00000000-0005-0000-0000-00001C000000}"/>
    <cellStyle name="Comma 420" xfId="141" xr:uid="{00000000-0005-0000-0000-00001D000000}"/>
    <cellStyle name="Comma 421" xfId="150" xr:uid="{00000000-0005-0000-0000-00001E000000}"/>
    <cellStyle name="Comma 422" xfId="159" xr:uid="{00000000-0005-0000-0000-00001F000000}"/>
    <cellStyle name="Comma 426" xfId="28" xr:uid="{00000000-0005-0000-0000-000020000000}"/>
    <cellStyle name="Comma 431" xfId="76" xr:uid="{00000000-0005-0000-0000-000021000000}"/>
    <cellStyle name="Comma 435" xfId="112" xr:uid="{00000000-0005-0000-0000-000022000000}"/>
    <cellStyle name="Comma 436" xfId="120" xr:uid="{00000000-0005-0000-0000-000023000000}"/>
    <cellStyle name="Comma 437" xfId="134" xr:uid="{00000000-0005-0000-0000-000024000000}"/>
    <cellStyle name="Comma 438" xfId="143" xr:uid="{00000000-0005-0000-0000-000025000000}"/>
    <cellStyle name="Comma 439" xfId="152" xr:uid="{00000000-0005-0000-0000-000026000000}"/>
    <cellStyle name="Comma 440" xfId="160" xr:uid="{00000000-0005-0000-0000-000027000000}"/>
    <cellStyle name="Comma 441" xfId="14" xr:uid="{00000000-0005-0000-0000-000028000000}"/>
    <cellStyle name="Comma 442" xfId="20" xr:uid="{00000000-0005-0000-0000-000029000000}"/>
    <cellStyle name="Comma 443" xfId="36" xr:uid="{00000000-0005-0000-0000-00002A000000}"/>
    <cellStyle name="Comma 444" xfId="45" xr:uid="{00000000-0005-0000-0000-00002B000000}"/>
    <cellStyle name="Comma 445" xfId="53" xr:uid="{00000000-0005-0000-0000-00002C000000}"/>
    <cellStyle name="Comma 446" xfId="65" xr:uid="{00000000-0005-0000-0000-00002D000000}"/>
    <cellStyle name="Comma 447" xfId="75" xr:uid="{00000000-0005-0000-0000-00002E000000}"/>
    <cellStyle name="Comma 448" xfId="85" xr:uid="{00000000-0005-0000-0000-00002F000000}"/>
    <cellStyle name="Comma 449" xfId="94" xr:uid="{00000000-0005-0000-0000-000030000000}"/>
    <cellStyle name="Comma 450" xfId="103" xr:uid="{00000000-0005-0000-0000-000031000000}"/>
    <cellStyle name="Normal" xfId="0" builtinId="0"/>
    <cellStyle name="Normal 385" xfId="161" xr:uid="{00000000-0005-0000-0000-000033000000}"/>
    <cellStyle name="Normal 392" xfId="54" xr:uid="{00000000-0005-0000-0000-000034000000}"/>
    <cellStyle name="Normal 393" xfId="66" xr:uid="{00000000-0005-0000-0000-000035000000}"/>
    <cellStyle name="Normal 394" xfId="67" xr:uid="{00000000-0005-0000-0000-000036000000}"/>
    <cellStyle name="Normal 395" xfId="77" xr:uid="{00000000-0005-0000-0000-000037000000}"/>
    <cellStyle name="Normal 398" xfId="95" xr:uid="{00000000-0005-0000-0000-000038000000}"/>
    <cellStyle name="Normal 417" xfId="104" xr:uid="{00000000-0005-0000-0000-000039000000}"/>
    <cellStyle name="Normal 418" xfId="113" xr:uid="{00000000-0005-0000-0000-00003A000000}"/>
    <cellStyle name="Normal 419" xfId="122" xr:uid="{00000000-0005-0000-0000-00003B000000}"/>
    <cellStyle name="Normal 420" xfId="126" xr:uid="{00000000-0005-0000-0000-00003C000000}"/>
    <cellStyle name="Normal 421" xfId="135" xr:uid="{00000000-0005-0000-0000-00003D000000}"/>
    <cellStyle name="Normal 422" xfId="144" xr:uid="{00000000-0005-0000-0000-00003E000000}"/>
    <cellStyle name="Normal 423" xfId="153" xr:uid="{00000000-0005-0000-0000-00003F000000}"/>
    <cellStyle name="Normal 424" xfId="16" xr:uid="{00000000-0005-0000-0000-000040000000}"/>
    <cellStyle name="Normal 425" xfId="7" xr:uid="{00000000-0005-0000-0000-000041000000}"/>
    <cellStyle name="Normal 426" xfId="21" xr:uid="{00000000-0005-0000-0000-000042000000}"/>
    <cellStyle name="Normal 427" xfId="29" xr:uid="{00000000-0005-0000-0000-000043000000}"/>
    <cellStyle name="Normal 428" xfId="38" xr:uid="{00000000-0005-0000-0000-000044000000}"/>
    <cellStyle name="Normal 429" xfId="46" xr:uid="{00000000-0005-0000-0000-000045000000}"/>
    <cellStyle name="Normal 430" xfId="58" xr:uid="{00000000-0005-0000-0000-000046000000}"/>
    <cellStyle name="Normal 431" xfId="68" xr:uid="{00000000-0005-0000-0000-000047000000}"/>
    <cellStyle name="Normal 432" xfId="78" xr:uid="{00000000-0005-0000-0000-000048000000}"/>
    <cellStyle name="Normal 433" xfId="87" xr:uid="{00000000-0005-0000-0000-000049000000}"/>
    <cellStyle name="Normal 434" xfId="96" xr:uid="{00000000-0005-0000-0000-00004A000000}"/>
    <cellStyle name="Normal 435" xfId="105" xr:uid="{00000000-0005-0000-0000-00004B000000}"/>
    <cellStyle name="Normal 436" xfId="114" xr:uid="{00000000-0005-0000-0000-00004C000000}"/>
    <cellStyle name="Normal 437" xfId="123" xr:uid="{00000000-0005-0000-0000-00004D000000}"/>
    <cellStyle name="Normal 438" xfId="127" xr:uid="{00000000-0005-0000-0000-00004E000000}"/>
    <cellStyle name="Normal 439" xfId="136" xr:uid="{00000000-0005-0000-0000-00004F000000}"/>
    <cellStyle name="Normal 440" xfId="145" xr:uid="{00000000-0005-0000-0000-000050000000}"/>
    <cellStyle name="Normal 441" xfId="154" xr:uid="{00000000-0005-0000-0000-000051000000}"/>
    <cellStyle name="Normal 442" xfId="8" xr:uid="{00000000-0005-0000-0000-000052000000}"/>
    <cellStyle name="Normal 443" xfId="22" xr:uid="{00000000-0005-0000-0000-000053000000}"/>
    <cellStyle name="Normal 444" xfId="30" xr:uid="{00000000-0005-0000-0000-000054000000}"/>
    <cellStyle name="Normal 445" xfId="39" xr:uid="{00000000-0005-0000-0000-000055000000}"/>
    <cellStyle name="Normal 446" xfId="47" xr:uid="{00000000-0005-0000-0000-000056000000}"/>
    <cellStyle name="Normal 447" xfId="59" xr:uid="{00000000-0005-0000-0000-000057000000}"/>
    <cellStyle name="Normal 448" xfId="69" xr:uid="{00000000-0005-0000-0000-000058000000}"/>
    <cellStyle name="Normal 449" xfId="79" xr:uid="{00000000-0005-0000-0000-000059000000}"/>
    <cellStyle name="Normal 450" xfId="88" xr:uid="{00000000-0005-0000-0000-00005A000000}"/>
    <cellStyle name="Normal 451" xfId="97" xr:uid="{00000000-0005-0000-0000-00005B000000}"/>
    <cellStyle name="Normal 452" xfId="106" xr:uid="{00000000-0005-0000-0000-00005C000000}"/>
    <cellStyle name="Normal 453" xfId="115" xr:uid="{00000000-0005-0000-0000-00005D000000}"/>
    <cellStyle name="Normal 454" xfId="124" xr:uid="{00000000-0005-0000-0000-00005E000000}"/>
    <cellStyle name="Normal 455" xfId="128" xr:uid="{00000000-0005-0000-0000-00005F000000}"/>
    <cellStyle name="Normal 456" xfId="137" xr:uid="{00000000-0005-0000-0000-000060000000}"/>
    <cellStyle name="Normal 457" xfId="146" xr:uid="{00000000-0005-0000-0000-000061000000}"/>
    <cellStyle name="Normal 458" xfId="155" xr:uid="{00000000-0005-0000-0000-000062000000}"/>
    <cellStyle name="Normal 459" xfId="107" xr:uid="{00000000-0005-0000-0000-000063000000}"/>
    <cellStyle name="Normal 460" xfId="116" xr:uid="{00000000-0005-0000-0000-000064000000}"/>
    <cellStyle name="Normal 461" xfId="129" xr:uid="{00000000-0005-0000-0000-000065000000}"/>
    <cellStyle name="Normal 462" xfId="138" xr:uid="{00000000-0005-0000-0000-000066000000}"/>
    <cellStyle name="Normal 463" xfId="147" xr:uid="{00000000-0005-0000-0000-000067000000}"/>
    <cellStyle name="Normal 464" xfId="156" xr:uid="{00000000-0005-0000-0000-000068000000}"/>
    <cellStyle name="Normal 465" xfId="9" xr:uid="{00000000-0005-0000-0000-000069000000}"/>
    <cellStyle name="Normal 466" xfId="23" xr:uid="{00000000-0005-0000-0000-00006A000000}"/>
    <cellStyle name="Normal 467" xfId="31" xr:uid="{00000000-0005-0000-0000-00006B000000}"/>
    <cellStyle name="Normal 468" xfId="40" xr:uid="{00000000-0005-0000-0000-00006C000000}"/>
    <cellStyle name="Normal 469" xfId="48" xr:uid="{00000000-0005-0000-0000-00006D000000}"/>
    <cellStyle name="Normal 470" xfId="60" xr:uid="{00000000-0005-0000-0000-00006E000000}"/>
    <cellStyle name="Normal 471" xfId="70" xr:uid="{00000000-0005-0000-0000-00006F000000}"/>
    <cellStyle name="Normal 472" xfId="80" xr:uid="{00000000-0005-0000-0000-000070000000}"/>
    <cellStyle name="Normal 473" xfId="89" xr:uid="{00000000-0005-0000-0000-000071000000}"/>
    <cellStyle name="Normal 474" xfId="98" xr:uid="{00000000-0005-0000-0000-000072000000}"/>
    <cellStyle name="Normal 477" xfId="117" xr:uid="{00000000-0005-0000-0000-000073000000}"/>
    <cellStyle name="Normal 478" xfId="130" xr:uid="{00000000-0005-0000-0000-000074000000}"/>
    <cellStyle name="Normal 479" xfId="139" xr:uid="{00000000-0005-0000-0000-000075000000}"/>
    <cellStyle name="Normal 480" xfId="148" xr:uid="{00000000-0005-0000-0000-000076000000}"/>
    <cellStyle name="Normal 481" xfId="157" xr:uid="{00000000-0005-0000-0000-000077000000}"/>
    <cellStyle name="Normal 485" xfId="10" xr:uid="{00000000-0005-0000-0000-000078000000}"/>
    <cellStyle name="Normal 486" xfId="24" xr:uid="{00000000-0005-0000-0000-000079000000}"/>
    <cellStyle name="Normal 487" xfId="32" xr:uid="{00000000-0005-0000-0000-00007A000000}"/>
    <cellStyle name="Normal 488" xfId="41" xr:uid="{00000000-0005-0000-0000-00007B000000}"/>
    <cellStyle name="Normal 489" xfId="49" xr:uid="{00000000-0005-0000-0000-00007C000000}"/>
    <cellStyle name="Normal 490" xfId="61" xr:uid="{00000000-0005-0000-0000-00007D000000}"/>
    <cellStyle name="Normal 491" xfId="71" xr:uid="{00000000-0005-0000-0000-00007E000000}"/>
    <cellStyle name="Normal 492" xfId="81" xr:uid="{00000000-0005-0000-0000-00007F000000}"/>
    <cellStyle name="Normal 493" xfId="90" xr:uid="{00000000-0005-0000-0000-000080000000}"/>
    <cellStyle name="Normal 494" xfId="99" xr:uid="{00000000-0005-0000-0000-000081000000}"/>
    <cellStyle name="Normal 495" xfId="108" xr:uid="{00000000-0005-0000-0000-000082000000}"/>
    <cellStyle name="Normal 496" xfId="11" xr:uid="{00000000-0005-0000-0000-000083000000}"/>
    <cellStyle name="Normal 497" xfId="25" xr:uid="{00000000-0005-0000-0000-000084000000}"/>
    <cellStyle name="Normal 498" xfId="33" xr:uid="{00000000-0005-0000-0000-000085000000}"/>
    <cellStyle name="Normal 499" xfId="42" xr:uid="{00000000-0005-0000-0000-000086000000}"/>
    <cellStyle name="Normal 500" xfId="50" xr:uid="{00000000-0005-0000-0000-000087000000}"/>
    <cellStyle name="Normal 501" xfId="62" xr:uid="{00000000-0005-0000-0000-000088000000}"/>
    <cellStyle name="Normal 502" xfId="72" xr:uid="{00000000-0005-0000-0000-000089000000}"/>
    <cellStyle name="Normal 503" xfId="82" xr:uid="{00000000-0005-0000-0000-00008A000000}"/>
    <cellStyle name="Normal 504" xfId="91" xr:uid="{00000000-0005-0000-0000-00008B000000}"/>
    <cellStyle name="Normal 505" xfId="100" xr:uid="{00000000-0005-0000-0000-00008C000000}"/>
    <cellStyle name="Normal 506" xfId="109" xr:uid="{00000000-0005-0000-0000-00008D000000}"/>
    <cellStyle name="Normal 507" xfId="118" xr:uid="{00000000-0005-0000-0000-00008E000000}"/>
    <cellStyle name="Normal 508" xfId="131" xr:uid="{00000000-0005-0000-0000-00008F000000}"/>
    <cellStyle name="Normal 509" xfId="140" xr:uid="{00000000-0005-0000-0000-000090000000}"/>
    <cellStyle name="Normal 510" xfId="149" xr:uid="{00000000-0005-0000-0000-000091000000}"/>
    <cellStyle name="Normal 511" xfId="158" xr:uid="{00000000-0005-0000-0000-000092000000}"/>
    <cellStyle name="Normal 513" xfId="12" xr:uid="{00000000-0005-0000-0000-000093000000}"/>
    <cellStyle name="Normal 514" xfId="26" xr:uid="{00000000-0005-0000-0000-000094000000}"/>
    <cellStyle name="Normal 515" xfId="34" xr:uid="{00000000-0005-0000-0000-000095000000}"/>
    <cellStyle name="Normal 516" xfId="43" xr:uid="{00000000-0005-0000-0000-000096000000}"/>
    <cellStyle name="Normal 517" xfId="51" xr:uid="{00000000-0005-0000-0000-000097000000}"/>
    <cellStyle name="Normal 518" xfId="63" xr:uid="{00000000-0005-0000-0000-000098000000}"/>
    <cellStyle name="Normal 519" xfId="73" xr:uid="{00000000-0005-0000-0000-000099000000}"/>
    <cellStyle name="Normal 520" xfId="83" xr:uid="{00000000-0005-0000-0000-00009A000000}"/>
    <cellStyle name="Normal 521" xfId="92" xr:uid="{00000000-0005-0000-0000-00009B000000}"/>
    <cellStyle name="Normal 522" xfId="101" xr:uid="{00000000-0005-0000-0000-00009C000000}"/>
    <cellStyle name="Normal 527" xfId="17" xr:uid="{00000000-0005-0000-0000-00009D000000}"/>
    <cellStyle name="Normal 532" xfId="55" xr:uid="{00000000-0005-0000-0000-00009E000000}"/>
    <cellStyle name="Normal 569" xfId="18" xr:uid="{00000000-0005-0000-0000-00009F000000}"/>
    <cellStyle name="Normal 573" xfId="56" xr:uid="{00000000-0005-0000-0000-0000A0000000}"/>
    <cellStyle name="Normal 579" xfId="15" xr:uid="{00000000-0005-0000-0000-0000A1000000}"/>
    <cellStyle name="Per cent" xfId="2" builtinId="5"/>
    <cellStyle name="Percent 2 2" xfId="163" xr:uid="{00000000-0005-0000-0000-0000A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tabSelected="1" topLeftCell="A30" workbookViewId="0">
      <pane xSplit="2" topLeftCell="R1" activePane="topRight" state="frozen"/>
      <selection pane="topRight" activeCell="AG9" sqref="AG9"/>
      <selection activeCell="A31" sqref="A31"/>
    </sheetView>
  </sheetViews>
  <sheetFormatPr defaultColWidth="9.140625" defaultRowHeight="13.9"/>
  <cols>
    <col min="1" max="1" width="5.42578125" style="15" bestFit="1" customWidth="1"/>
    <col min="2" max="2" width="47.28515625" style="15" bestFit="1" customWidth="1"/>
    <col min="3" max="3" width="16.28515625" style="16" bestFit="1" customWidth="1"/>
    <col min="4" max="4" width="15.42578125" style="15" customWidth="1"/>
    <col min="5" max="9" width="15.42578125" style="15" hidden="1" customWidth="1"/>
    <col min="10" max="16" width="18.7109375" style="15" hidden="1" customWidth="1"/>
    <col min="17" max="17" width="15.42578125" style="76" bestFit="1" customWidth="1"/>
    <col min="18" max="18" width="15.42578125" style="15" bestFit="1" customWidth="1"/>
    <col min="19" max="24" width="15.42578125" style="43" hidden="1" customWidth="1"/>
    <col min="25" max="28" width="15.42578125" style="15" hidden="1" customWidth="1"/>
    <col min="29" max="29" width="15.42578125" style="15" bestFit="1" customWidth="1"/>
    <col min="30" max="30" width="16.28515625" style="43" bestFit="1" customWidth="1"/>
    <col min="31" max="31" width="9.140625" style="15"/>
    <col min="32" max="32" width="12.140625" style="15" bestFit="1" customWidth="1"/>
    <col min="33" max="33" width="13.140625" style="15" bestFit="1" customWidth="1"/>
    <col min="34" max="34" width="12.28515625" style="15" bestFit="1" customWidth="1"/>
    <col min="35" max="16384" width="9.140625" style="15"/>
  </cols>
  <sheetData>
    <row r="1" spans="1:32">
      <c r="A1" s="1"/>
      <c r="B1" s="2" t="s">
        <v>0</v>
      </c>
      <c r="D1" s="3"/>
      <c r="E1" s="3"/>
      <c r="F1" s="3"/>
      <c r="G1" s="3"/>
      <c r="H1" s="3"/>
      <c r="I1" s="3"/>
      <c r="S1" s="43">
        <f>+X:X</f>
        <v>0</v>
      </c>
    </row>
    <row r="2" spans="1:32">
      <c r="A2" s="1"/>
      <c r="B2" s="4" t="s">
        <v>1</v>
      </c>
      <c r="D2" s="3"/>
      <c r="E2" s="3"/>
      <c r="F2" s="3"/>
      <c r="G2" s="3"/>
      <c r="H2" s="3"/>
      <c r="I2" s="3"/>
    </row>
    <row r="3" spans="1:32" ht="13.15">
      <c r="A3" s="5"/>
      <c r="B3" s="4" t="s">
        <v>2</v>
      </c>
      <c r="C3" s="17" t="s">
        <v>3</v>
      </c>
      <c r="D3" s="4" t="s">
        <v>4</v>
      </c>
      <c r="E3" s="4" t="s">
        <v>5</v>
      </c>
      <c r="F3" s="4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41" t="s">
        <v>12</v>
      </c>
      <c r="M3" s="41" t="s">
        <v>13</v>
      </c>
      <c r="N3" s="41" t="s">
        <v>14</v>
      </c>
      <c r="O3" s="41" t="s">
        <v>15</v>
      </c>
      <c r="P3" s="41" t="s">
        <v>16</v>
      </c>
      <c r="Q3" s="77" t="s">
        <v>17</v>
      </c>
      <c r="R3" s="89">
        <v>44583</v>
      </c>
      <c r="S3" s="90">
        <v>44614</v>
      </c>
      <c r="T3" s="89">
        <v>44642</v>
      </c>
      <c r="U3" s="90">
        <v>44673</v>
      </c>
      <c r="V3" s="89">
        <v>44703</v>
      </c>
      <c r="W3" s="90">
        <v>44734</v>
      </c>
      <c r="X3" s="89">
        <v>44764</v>
      </c>
      <c r="Y3" s="132">
        <v>44774</v>
      </c>
      <c r="Z3" s="132">
        <v>44805</v>
      </c>
      <c r="AA3" s="132">
        <v>44835</v>
      </c>
      <c r="AB3" s="132">
        <v>44866</v>
      </c>
      <c r="AC3" s="132">
        <v>44896</v>
      </c>
      <c r="AD3" s="43" t="s">
        <v>18</v>
      </c>
    </row>
    <row r="4" spans="1:32" ht="12.75" customHeight="1">
      <c r="A4" s="6">
        <v>1</v>
      </c>
      <c r="B4" s="7" t="s">
        <v>19</v>
      </c>
      <c r="C4" s="8">
        <f t="shared" ref="C4:D4" si="0">C5+C6</f>
        <v>10834463</v>
      </c>
      <c r="D4" s="8">
        <f t="shared" si="0"/>
        <v>60942575</v>
      </c>
      <c r="E4" s="8">
        <f>E5+E6</f>
        <v>17588524.649999999</v>
      </c>
      <c r="F4" s="8">
        <f t="shared" ref="F4:AD4" si="1">F5+F6</f>
        <v>17139917.859999999</v>
      </c>
      <c r="G4" s="8">
        <f t="shared" si="1"/>
        <v>16670330.970000001</v>
      </c>
      <c r="H4" s="8">
        <f t="shared" si="1"/>
        <v>20330140.739999998</v>
      </c>
      <c r="I4" s="8">
        <f t="shared" si="1"/>
        <v>21293871.829999998</v>
      </c>
      <c r="J4" s="8">
        <f t="shared" si="1"/>
        <v>24310141.010000002</v>
      </c>
      <c r="K4" s="8">
        <f t="shared" si="1"/>
        <v>10507163.98</v>
      </c>
      <c r="L4" s="8">
        <f t="shared" si="1"/>
        <v>17769049.649999999</v>
      </c>
      <c r="M4" s="8">
        <f t="shared" si="1"/>
        <v>13615374</v>
      </c>
      <c r="N4" s="8">
        <f t="shared" si="1"/>
        <v>15706308.300000001</v>
      </c>
      <c r="O4" s="8">
        <f t="shared" si="1"/>
        <v>13220602.52</v>
      </c>
      <c r="P4" s="8">
        <f t="shared" si="1"/>
        <v>18872807</v>
      </c>
      <c r="Q4" s="78">
        <f t="shared" si="1"/>
        <v>56687339</v>
      </c>
      <c r="R4" s="78">
        <f t="shared" si="1"/>
        <v>19988494.82</v>
      </c>
      <c r="S4" s="78">
        <f t="shared" si="1"/>
        <v>15094316</v>
      </c>
      <c r="T4" s="78">
        <f t="shared" si="1"/>
        <v>10091343.52</v>
      </c>
      <c r="U4" s="78">
        <f t="shared" si="1"/>
        <v>44314258</v>
      </c>
      <c r="V4" s="78">
        <f t="shared" si="1"/>
        <v>47378805.93</v>
      </c>
      <c r="W4" s="78">
        <f t="shared" si="1"/>
        <v>49968245.549999997</v>
      </c>
      <c r="X4" s="78">
        <f t="shared" si="1"/>
        <v>52249064.439999998</v>
      </c>
      <c r="Y4" s="78">
        <f t="shared" si="1"/>
        <v>52281693</v>
      </c>
      <c r="Z4" s="78">
        <f t="shared" si="1"/>
        <v>58048024</v>
      </c>
      <c r="AA4" s="78">
        <f t="shared" si="1"/>
        <v>62794651</v>
      </c>
      <c r="AB4" s="78">
        <f t="shared" si="1"/>
        <v>63055663.280000001</v>
      </c>
      <c r="AC4" s="78">
        <f t="shared" si="1"/>
        <v>77262741</v>
      </c>
      <c r="AD4" s="78">
        <f t="shared" si="1"/>
        <v>77254741</v>
      </c>
    </row>
    <row r="5" spans="1:32" ht="14.45">
      <c r="A5" s="6">
        <v>1.1000000000000001</v>
      </c>
      <c r="B5" s="7" t="s">
        <v>20</v>
      </c>
      <c r="C5" s="58">
        <v>250946</v>
      </c>
      <c r="D5" s="9">
        <v>1162644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64">
        <v>0</v>
      </c>
      <c r="L5" s="65">
        <v>0</v>
      </c>
      <c r="M5" s="66">
        <v>1626211</v>
      </c>
      <c r="N5" s="65">
        <v>0</v>
      </c>
      <c r="O5" s="65">
        <v>0</v>
      </c>
      <c r="P5" s="69">
        <v>0</v>
      </c>
      <c r="Q5" s="79">
        <v>1177937</v>
      </c>
      <c r="R5" s="55">
        <v>0</v>
      </c>
      <c r="S5" s="55">
        <v>0</v>
      </c>
      <c r="T5" s="55">
        <v>0</v>
      </c>
      <c r="U5" s="55">
        <v>5403363</v>
      </c>
      <c r="V5" s="55">
        <v>8177749.9299999997</v>
      </c>
      <c r="W5" s="97">
        <v>10487055.59</v>
      </c>
      <c r="X5" s="102">
        <v>8472651.0199999996</v>
      </c>
      <c r="Y5" s="133">
        <v>12187787</v>
      </c>
      <c r="Z5" s="133">
        <v>17550823</v>
      </c>
      <c r="AA5" s="133">
        <v>21997216</v>
      </c>
      <c r="AB5" s="133">
        <v>15032040.68</v>
      </c>
      <c r="AC5" s="133">
        <v>1229050</v>
      </c>
      <c r="AD5" s="135">
        <f>1229050.75</f>
        <v>1229050.75</v>
      </c>
    </row>
    <row r="6" spans="1:32" ht="14.45">
      <c r="A6" s="6">
        <v>1.2</v>
      </c>
      <c r="B6" s="7" t="s">
        <v>21</v>
      </c>
      <c r="C6" s="58">
        <f>10834463-250946</f>
        <v>10583517</v>
      </c>
      <c r="D6" s="9">
        <f>60942575-1162644</f>
        <v>59779931</v>
      </c>
      <c r="E6" s="9">
        <v>17588524.649999999</v>
      </c>
      <c r="F6" s="9">
        <v>17139917.859999999</v>
      </c>
      <c r="G6" s="9">
        <v>16670330.970000001</v>
      </c>
      <c r="H6" s="9">
        <v>20330140.739999998</v>
      </c>
      <c r="I6" s="9">
        <v>21293871.829999998</v>
      </c>
      <c r="J6" s="9">
        <v>24310141.010000002</v>
      </c>
      <c r="K6" s="67">
        <v>10507163.98</v>
      </c>
      <c r="L6" s="66">
        <v>17769049.649999999</v>
      </c>
      <c r="M6" s="66">
        <v>11989163</v>
      </c>
      <c r="N6" s="66">
        <v>15706308.300000001</v>
      </c>
      <c r="O6" s="66">
        <v>13220602.52</v>
      </c>
      <c r="P6" s="70">
        <v>18872807</v>
      </c>
      <c r="Q6" s="79">
        <f>56687339-1177937</f>
        <v>55509402</v>
      </c>
      <c r="R6" s="55">
        <v>19988494.82</v>
      </c>
      <c r="S6" s="55">
        <v>15094316</v>
      </c>
      <c r="T6" s="55">
        <v>10091343.52</v>
      </c>
      <c r="U6" s="55">
        <v>38910895</v>
      </c>
      <c r="V6" s="55">
        <v>39201056</v>
      </c>
      <c r="W6" s="97">
        <v>39481189.960000001</v>
      </c>
      <c r="X6" s="102">
        <v>43776413.420000002</v>
      </c>
      <c r="Y6" s="133">
        <v>40093906</v>
      </c>
      <c r="Z6" s="133">
        <v>40497201</v>
      </c>
      <c r="AA6" s="133">
        <v>40797435</v>
      </c>
      <c r="AB6" s="133">
        <v>48023622.600000001</v>
      </c>
      <c r="AC6" s="133">
        <v>76033691</v>
      </c>
      <c r="AD6" s="135">
        <f>77254741-AD5</f>
        <v>76025690.25</v>
      </c>
    </row>
    <row r="7" spans="1:32" ht="14.45">
      <c r="A7" s="6">
        <v>2</v>
      </c>
      <c r="B7" s="10" t="s">
        <v>22</v>
      </c>
      <c r="C7" s="58">
        <v>8620453</v>
      </c>
      <c r="D7" s="9">
        <v>11664214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64">
        <v>0</v>
      </c>
      <c r="L7" s="65">
        <v>0</v>
      </c>
      <c r="M7" s="65">
        <v>0</v>
      </c>
      <c r="N7" s="65">
        <v>0</v>
      </c>
      <c r="O7" s="65">
        <v>0</v>
      </c>
      <c r="P7" s="69">
        <v>0</v>
      </c>
      <c r="Q7" s="79">
        <v>6570298</v>
      </c>
      <c r="R7" s="55">
        <v>0</v>
      </c>
      <c r="S7" s="55">
        <v>0</v>
      </c>
      <c r="T7" s="55">
        <v>0</v>
      </c>
      <c r="U7" s="55">
        <v>0</v>
      </c>
      <c r="V7" s="55">
        <v>0</v>
      </c>
      <c r="W7" s="97">
        <v>0</v>
      </c>
      <c r="X7" s="102">
        <v>0</v>
      </c>
      <c r="Y7" s="133">
        <v>0</v>
      </c>
      <c r="Z7" s="133">
        <v>0</v>
      </c>
      <c r="AA7" s="133">
        <v>0</v>
      </c>
      <c r="AB7" s="133">
        <v>0</v>
      </c>
      <c r="AC7" s="133">
        <v>0</v>
      </c>
      <c r="AD7" s="135">
        <v>11282181</v>
      </c>
      <c r="AF7" s="96">
        <f>R14-AC14</f>
        <v>-8289401.1600000262</v>
      </c>
    </row>
    <row r="8" spans="1:32" ht="13.15">
      <c r="A8" s="6">
        <v>3</v>
      </c>
      <c r="B8" s="10" t="s">
        <v>23</v>
      </c>
      <c r="C8" s="59">
        <f t="shared" ref="C8:D8" si="2">SUM(C9:C12)</f>
        <v>115855</v>
      </c>
      <c r="D8" s="52">
        <f t="shared" si="2"/>
        <v>115855</v>
      </c>
      <c r="E8" s="52">
        <f>SUM(E9:E12)</f>
        <v>41747825.780000001</v>
      </c>
      <c r="F8" s="52">
        <f t="shared" ref="F8:AD8" si="3">SUM(F9:F12)</f>
        <v>42026698</v>
      </c>
      <c r="G8" s="52">
        <f t="shared" si="3"/>
        <v>42341640.920000002</v>
      </c>
      <c r="H8" s="52">
        <f t="shared" si="3"/>
        <v>35634084.840000004</v>
      </c>
      <c r="I8" s="52">
        <f t="shared" si="3"/>
        <v>35905690.979999997</v>
      </c>
      <c r="J8" s="52">
        <f t="shared" si="3"/>
        <v>36173046.560000002</v>
      </c>
      <c r="K8" s="52">
        <f t="shared" si="3"/>
        <v>46509569.719999999</v>
      </c>
      <c r="L8" s="52">
        <f t="shared" si="3"/>
        <v>36838263.969999999</v>
      </c>
      <c r="M8" s="52">
        <f t="shared" si="3"/>
        <v>37100801</v>
      </c>
      <c r="N8" s="52">
        <f t="shared" si="3"/>
        <v>37374543.219999999</v>
      </c>
      <c r="O8" s="52">
        <f t="shared" si="3"/>
        <v>37644634.210000001</v>
      </c>
      <c r="P8" s="52">
        <f t="shared" si="3"/>
        <v>37930387.079999998</v>
      </c>
      <c r="Q8" s="80">
        <f t="shared" si="3"/>
        <v>115855</v>
      </c>
      <c r="R8" s="80">
        <f t="shared" si="3"/>
        <v>38216905.100000001</v>
      </c>
      <c r="S8" s="80">
        <f t="shared" si="3"/>
        <v>38467241</v>
      </c>
      <c r="T8" s="80">
        <f t="shared" si="3"/>
        <v>38749032.18</v>
      </c>
      <c r="U8" s="80">
        <f t="shared" si="3"/>
        <v>115855</v>
      </c>
      <c r="V8" s="80">
        <f t="shared" si="3"/>
        <v>115855</v>
      </c>
      <c r="W8" s="98">
        <f t="shared" si="3"/>
        <v>115855</v>
      </c>
      <c r="X8" s="98">
        <f t="shared" si="3"/>
        <v>115855</v>
      </c>
      <c r="Y8" s="98">
        <f t="shared" si="3"/>
        <v>115855</v>
      </c>
      <c r="Z8" s="98">
        <f t="shared" si="3"/>
        <v>115855</v>
      </c>
      <c r="AA8" s="98">
        <f t="shared" si="3"/>
        <v>115855</v>
      </c>
      <c r="AB8" s="98">
        <f t="shared" si="3"/>
        <v>115855</v>
      </c>
      <c r="AC8" s="98">
        <f t="shared" si="3"/>
        <v>115855</v>
      </c>
      <c r="AD8" s="136">
        <f t="shared" si="3"/>
        <v>115855</v>
      </c>
    </row>
    <row r="9" spans="1:32" ht="14.45">
      <c r="A9" s="6">
        <v>3.1</v>
      </c>
      <c r="B9" s="7" t="s">
        <v>24</v>
      </c>
      <c r="C9" s="58"/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64">
        <v>0</v>
      </c>
      <c r="L9" s="65">
        <v>0</v>
      </c>
      <c r="M9" s="65">
        <v>0</v>
      </c>
      <c r="N9" s="65">
        <v>0</v>
      </c>
      <c r="O9" s="65">
        <v>0</v>
      </c>
      <c r="P9" s="69">
        <v>0</v>
      </c>
      <c r="Q9" s="79"/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97">
        <v>0</v>
      </c>
      <c r="X9" s="102">
        <v>0</v>
      </c>
      <c r="Y9" s="133">
        <v>0</v>
      </c>
      <c r="Z9" s="133">
        <v>0</v>
      </c>
      <c r="AA9" s="133">
        <v>0</v>
      </c>
      <c r="AB9" s="133">
        <v>0</v>
      </c>
      <c r="AC9" s="133">
        <v>0</v>
      </c>
      <c r="AD9" s="135"/>
    </row>
    <row r="10" spans="1:32" ht="14.45">
      <c r="A10" s="6">
        <v>3.2</v>
      </c>
      <c r="B10" s="7" t="s">
        <v>25</v>
      </c>
      <c r="C10" s="58"/>
      <c r="D10" s="9"/>
      <c r="E10" s="9">
        <v>41631970.780000001</v>
      </c>
      <c r="F10" s="9">
        <v>41910843</v>
      </c>
      <c r="G10" s="9">
        <v>42225785.920000002</v>
      </c>
      <c r="H10" s="9">
        <v>35518229.840000004</v>
      </c>
      <c r="I10" s="9">
        <v>35789835.799999997</v>
      </c>
      <c r="J10" s="9">
        <v>36057191.560000002</v>
      </c>
      <c r="K10" s="67">
        <v>46393714.719999999</v>
      </c>
      <c r="L10" s="66">
        <v>36722408.969999999</v>
      </c>
      <c r="M10" s="66">
        <v>36984946</v>
      </c>
      <c r="N10" s="66">
        <v>37258688.219999999</v>
      </c>
      <c r="O10" s="66">
        <v>37528779.210000001</v>
      </c>
      <c r="P10" s="70">
        <v>37814532.079999998</v>
      </c>
      <c r="Q10" s="79"/>
      <c r="R10" s="55">
        <v>38101050.100000001</v>
      </c>
      <c r="S10" s="55">
        <v>38351386</v>
      </c>
      <c r="T10" s="55">
        <v>38633177.18</v>
      </c>
      <c r="U10" s="55">
        <v>0</v>
      </c>
      <c r="V10" s="55">
        <v>0</v>
      </c>
      <c r="W10" s="97">
        <v>0</v>
      </c>
      <c r="X10" s="102">
        <v>0</v>
      </c>
      <c r="Y10" s="133">
        <v>0</v>
      </c>
      <c r="Z10" s="133">
        <v>0</v>
      </c>
      <c r="AA10" s="133">
        <v>0</v>
      </c>
      <c r="AB10" s="133">
        <v>0</v>
      </c>
      <c r="AC10" s="133">
        <v>0</v>
      </c>
      <c r="AD10" s="135"/>
    </row>
    <row r="11" spans="1:32" ht="14.45">
      <c r="A11" s="6" t="s">
        <v>26</v>
      </c>
      <c r="B11" s="7" t="s">
        <v>27</v>
      </c>
      <c r="C11" s="58"/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64">
        <v>0</v>
      </c>
      <c r="L11" s="65">
        <v>0</v>
      </c>
      <c r="M11" s="65">
        <v>0</v>
      </c>
      <c r="N11" s="65">
        <v>0</v>
      </c>
      <c r="O11" s="65">
        <v>0</v>
      </c>
      <c r="P11" s="69">
        <v>0</v>
      </c>
      <c r="Q11" s="79"/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97">
        <v>0</v>
      </c>
      <c r="X11" s="102">
        <v>0</v>
      </c>
      <c r="Y11" s="133">
        <v>0</v>
      </c>
      <c r="Z11" s="133">
        <v>0</v>
      </c>
      <c r="AA11" s="133">
        <v>0</v>
      </c>
      <c r="AB11" s="133">
        <v>0</v>
      </c>
      <c r="AC11" s="133">
        <v>0</v>
      </c>
      <c r="AD11" s="135"/>
    </row>
    <row r="12" spans="1:32" ht="14.45">
      <c r="A12" s="6" t="s">
        <v>28</v>
      </c>
      <c r="B12" s="7" t="s">
        <v>29</v>
      </c>
      <c r="C12" s="58">
        <v>115855</v>
      </c>
      <c r="D12" s="9">
        <v>115855</v>
      </c>
      <c r="E12" s="9">
        <v>115855</v>
      </c>
      <c r="F12" s="9">
        <v>115855</v>
      </c>
      <c r="G12" s="9">
        <v>115855</v>
      </c>
      <c r="H12" s="9">
        <v>115855</v>
      </c>
      <c r="I12" s="9">
        <v>115855.18</v>
      </c>
      <c r="J12" s="9">
        <v>115855</v>
      </c>
      <c r="K12" s="67">
        <v>115855</v>
      </c>
      <c r="L12" s="66">
        <v>115855</v>
      </c>
      <c r="M12" s="66">
        <v>115855</v>
      </c>
      <c r="N12" s="66">
        <v>115855</v>
      </c>
      <c r="O12" s="66">
        <v>115855</v>
      </c>
      <c r="P12" s="70">
        <v>115855</v>
      </c>
      <c r="Q12" s="79">
        <v>115855</v>
      </c>
      <c r="R12" s="55">
        <v>115855</v>
      </c>
      <c r="S12" s="55">
        <v>115855</v>
      </c>
      <c r="T12" s="55">
        <v>115855</v>
      </c>
      <c r="U12" s="55">
        <v>115855</v>
      </c>
      <c r="V12" s="55">
        <v>115855</v>
      </c>
      <c r="W12" s="97">
        <v>115855</v>
      </c>
      <c r="X12" s="102">
        <v>115855</v>
      </c>
      <c r="Y12" s="133">
        <v>115855</v>
      </c>
      <c r="Z12" s="133">
        <v>115855</v>
      </c>
      <c r="AA12" s="133">
        <v>115855</v>
      </c>
      <c r="AB12" s="133">
        <v>115855</v>
      </c>
      <c r="AC12" s="133">
        <v>115855</v>
      </c>
      <c r="AD12" s="135">
        <v>115855</v>
      </c>
    </row>
    <row r="13" spans="1:32" ht="13.15">
      <c r="A13" s="6">
        <v>4</v>
      </c>
      <c r="B13" s="10" t="s">
        <v>30</v>
      </c>
      <c r="C13" s="59">
        <f t="shared" ref="C13:D13" si="4">C14-C15</f>
        <v>246137216</v>
      </c>
      <c r="D13" s="52">
        <f t="shared" si="4"/>
        <v>216882732.38999999</v>
      </c>
      <c r="E13" s="52">
        <f>E14-E15</f>
        <v>223323172.89000002</v>
      </c>
      <c r="F13" s="52">
        <f t="shared" ref="F13:AD13" si="5">F14-F15</f>
        <v>223644117</v>
      </c>
      <c r="G13" s="52">
        <f t="shared" si="5"/>
        <v>228530787.96000001</v>
      </c>
      <c r="H13" s="52">
        <f t="shared" si="5"/>
        <v>236012677.70000002</v>
      </c>
      <c r="I13" s="52">
        <f t="shared" si="5"/>
        <v>245492388.47</v>
      </c>
      <c r="J13" s="52">
        <f t="shared" si="5"/>
        <v>246348330.78</v>
      </c>
      <c r="K13" s="52">
        <f t="shared" si="5"/>
        <v>251941477.78</v>
      </c>
      <c r="L13" s="52">
        <f t="shared" si="5"/>
        <v>277949866.74000001</v>
      </c>
      <c r="M13" s="52">
        <f t="shared" si="5"/>
        <v>275878545</v>
      </c>
      <c r="N13" s="52">
        <f t="shared" si="5"/>
        <v>283646280.96999997</v>
      </c>
      <c r="O13" s="52">
        <f t="shared" si="5"/>
        <v>292110126.83999997</v>
      </c>
      <c r="P13" s="52">
        <f t="shared" si="5"/>
        <v>300860862</v>
      </c>
      <c r="Q13" s="80">
        <f t="shared" si="5"/>
        <v>300860863</v>
      </c>
      <c r="R13" s="80">
        <f t="shared" si="5"/>
        <v>301019023.97999996</v>
      </c>
      <c r="S13" s="80">
        <f t="shared" si="5"/>
        <v>297257467.13999999</v>
      </c>
      <c r="T13" s="80">
        <f t="shared" si="5"/>
        <v>302970378</v>
      </c>
      <c r="U13" s="80">
        <f t="shared" si="5"/>
        <v>290276880</v>
      </c>
      <c r="V13" s="80">
        <f t="shared" si="5"/>
        <v>296249541</v>
      </c>
      <c r="W13" s="98">
        <f t="shared" si="5"/>
        <v>296913145.40999997</v>
      </c>
      <c r="X13" s="98">
        <f t="shared" si="5"/>
        <v>297084749.75</v>
      </c>
      <c r="Y13" s="98">
        <f t="shared" si="5"/>
        <v>306015381</v>
      </c>
      <c r="Z13" s="98">
        <f t="shared" si="5"/>
        <v>303216630</v>
      </c>
      <c r="AA13" s="98">
        <f t="shared" si="5"/>
        <v>296654149</v>
      </c>
      <c r="AB13" s="98">
        <f t="shared" si="5"/>
        <v>305311511.12</v>
      </c>
      <c r="AC13" s="98">
        <f t="shared" si="5"/>
        <v>307302543</v>
      </c>
      <c r="AD13" s="136">
        <f t="shared" si="5"/>
        <v>307302543.69000006</v>
      </c>
    </row>
    <row r="14" spans="1:32" ht="14.45">
      <c r="A14" s="11">
        <v>4.0999999999999996</v>
      </c>
      <c r="B14" s="7" t="s">
        <v>31</v>
      </c>
      <c r="C14" s="58">
        <v>247597572</v>
      </c>
      <c r="D14" s="9">
        <v>238201976.38999999</v>
      </c>
      <c r="E14" s="9">
        <v>243205022.08000001</v>
      </c>
      <c r="F14" s="9">
        <v>238585005</v>
      </c>
      <c r="G14" s="9">
        <v>244375608.72</v>
      </c>
      <c r="H14" s="9">
        <v>253387380.08000001</v>
      </c>
      <c r="I14" s="9">
        <v>259356401.55000001</v>
      </c>
      <c r="J14" s="9">
        <v>260780301.58000001</v>
      </c>
      <c r="K14" s="67">
        <v>268161033.33000001</v>
      </c>
      <c r="L14" s="66">
        <v>292822993.51999998</v>
      </c>
      <c r="M14" s="66">
        <v>290247844</v>
      </c>
      <c r="N14" s="66">
        <v>296534076.08999997</v>
      </c>
      <c r="O14" s="66">
        <v>306052574.51999998</v>
      </c>
      <c r="P14" s="70">
        <v>312279513</v>
      </c>
      <c r="Q14" s="79">
        <v>312279513</v>
      </c>
      <c r="R14" s="55">
        <v>314146982.83999997</v>
      </c>
      <c r="S14" s="55">
        <v>310947878</v>
      </c>
      <c r="T14" s="55">
        <v>316634677.79000002</v>
      </c>
      <c r="U14" s="55">
        <v>319463452</v>
      </c>
      <c r="V14" s="55">
        <v>311105756.83999997</v>
      </c>
      <c r="W14" s="97">
        <v>312368033.81999999</v>
      </c>
      <c r="X14" s="102">
        <v>314354133.83999997</v>
      </c>
      <c r="Y14" s="133">
        <v>323838439</v>
      </c>
      <c r="Z14" s="133">
        <v>321243675</v>
      </c>
      <c r="AA14" s="133">
        <v>314535806</v>
      </c>
      <c r="AB14" s="133">
        <v>323012059.16000003</v>
      </c>
      <c r="AC14" s="133">
        <v>322436384</v>
      </c>
      <c r="AD14" s="135">
        <v>322436384.97000003</v>
      </c>
    </row>
    <row r="15" spans="1:32" ht="14.45">
      <c r="A15" s="11">
        <v>4.2</v>
      </c>
      <c r="B15" s="7" t="s">
        <v>32</v>
      </c>
      <c r="C15" s="56">
        <v>1460356</v>
      </c>
      <c r="D15" s="9">
        <v>21319244</v>
      </c>
      <c r="E15" s="9">
        <v>19881849.190000001</v>
      </c>
      <c r="F15" s="9">
        <v>14940888</v>
      </c>
      <c r="G15" s="9">
        <v>15844820.76</v>
      </c>
      <c r="H15" s="9">
        <v>17374702.379999999</v>
      </c>
      <c r="I15" s="9">
        <v>13864013.08</v>
      </c>
      <c r="J15" s="9">
        <v>14431970.800000001</v>
      </c>
      <c r="K15" s="67">
        <v>16219555.550000001</v>
      </c>
      <c r="L15" s="66">
        <v>14873126.779999999</v>
      </c>
      <c r="M15" s="66">
        <v>14369299</v>
      </c>
      <c r="N15" s="66">
        <v>12887795.119999999</v>
      </c>
      <c r="O15" s="66">
        <v>13942447.68</v>
      </c>
      <c r="P15" s="70">
        <v>11418651</v>
      </c>
      <c r="Q15" s="79">
        <v>11418650</v>
      </c>
      <c r="R15" s="55">
        <v>13127958.859999999</v>
      </c>
      <c r="S15" s="55">
        <v>13690410.859999999</v>
      </c>
      <c r="T15" s="55">
        <v>13664299.789999999</v>
      </c>
      <c r="U15" s="55">
        <v>29186572</v>
      </c>
      <c r="V15" s="55">
        <v>14856215.84</v>
      </c>
      <c r="W15" s="97">
        <v>15454888.41</v>
      </c>
      <c r="X15" s="102">
        <v>17269384.09</v>
      </c>
      <c r="Y15" s="133">
        <v>17823058</v>
      </c>
      <c r="Z15" s="133">
        <v>18027045</v>
      </c>
      <c r="AA15" s="133">
        <v>17881657</v>
      </c>
      <c r="AB15" s="133">
        <v>17700548.039999999</v>
      </c>
      <c r="AC15" s="133">
        <v>15133841</v>
      </c>
      <c r="AD15" s="135">
        <v>15133841.279999999</v>
      </c>
    </row>
    <row r="16" spans="1:32">
      <c r="A16" s="6">
        <v>5</v>
      </c>
      <c r="B16" s="10" t="s">
        <v>33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63">
        <v>0</v>
      </c>
      <c r="L16" s="68">
        <v>0</v>
      </c>
      <c r="M16" s="68">
        <v>0</v>
      </c>
      <c r="N16" s="68">
        <v>0</v>
      </c>
      <c r="O16" s="68">
        <v>0</v>
      </c>
      <c r="P16" s="71">
        <v>0</v>
      </c>
      <c r="Q16" s="81"/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9">
        <v>0</v>
      </c>
      <c r="X16" s="102">
        <v>0</v>
      </c>
    </row>
    <row r="17" spans="1:30" ht="14.45">
      <c r="A17" s="11">
        <v>5.0999999999999996</v>
      </c>
      <c r="B17" s="7" t="s">
        <v>34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64">
        <v>0</v>
      </c>
      <c r="L17" s="65">
        <v>0</v>
      </c>
      <c r="M17" s="65">
        <v>0</v>
      </c>
      <c r="N17" s="65">
        <v>0</v>
      </c>
      <c r="O17" s="65">
        <v>0</v>
      </c>
      <c r="P17" s="69">
        <v>0</v>
      </c>
      <c r="Q17" s="79"/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97">
        <v>0</v>
      </c>
      <c r="X17" s="102">
        <v>0</v>
      </c>
      <c r="Y17" s="133">
        <v>0</v>
      </c>
      <c r="Z17" s="133">
        <v>0</v>
      </c>
      <c r="AA17" s="133">
        <v>0</v>
      </c>
      <c r="AB17" s="133">
        <v>0</v>
      </c>
      <c r="AC17" s="133">
        <v>0</v>
      </c>
      <c r="AD17" s="135"/>
    </row>
    <row r="18" spans="1:30" ht="14.45">
      <c r="A18" s="11">
        <v>5.2</v>
      </c>
      <c r="B18" s="7" t="s">
        <v>35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64">
        <v>0</v>
      </c>
      <c r="L18" s="65">
        <v>0</v>
      </c>
      <c r="M18" s="65">
        <v>0</v>
      </c>
      <c r="N18" s="65">
        <v>0</v>
      </c>
      <c r="O18" s="65">
        <v>0</v>
      </c>
      <c r="P18" s="69">
        <v>0</v>
      </c>
      <c r="Q18" s="79"/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97">
        <v>0</v>
      </c>
      <c r="X18" s="102">
        <v>0</v>
      </c>
      <c r="Y18" s="133">
        <v>0</v>
      </c>
      <c r="Z18" s="133">
        <v>0</v>
      </c>
      <c r="AA18" s="133">
        <v>0</v>
      </c>
      <c r="AB18" s="133">
        <v>0</v>
      </c>
      <c r="AC18" s="133">
        <v>0</v>
      </c>
      <c r="AD18" s="135"/>
    </row>
    <row r="19" spans="1:30" ht="14.45">
      <c r="A19" s="11">
        <v>5.3</v>
      </c>
      <c r="B19" s="7" t="s">
        <v>36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64">
        <v>0</v>
      </c>
      <c r="L19" s="65">
        <v>0</v>
      </c>
      <c r="M19" s="65">
        <v>0</v>
      </c>
      <c r="N19" s="65">
        <v>0</v>
      </c>
      <c r="O19" s="65">
        <v>0</v>
      </c>
      <c r="P19" s="69">
        <v>0</v>
      </c>
      <c r="Q19" s="79"/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97">
        <v>0</v>
      </c>
      <c r="X19" s="102">
        <v>0</v>
      </c>
      <c r="Y19" s="133">
        <v>0</v>
      </c>
      <c r="Z19" s="133">
        <v>0</v>
      </c>
      <c r="AA19" s="133">
        <v>0</v>
      </c>
      <c r="AB19" s="133">
        <v>0</v>
      </c>
      <c r="AC19" s="133">
        <v>0</v>
      </c>
      <c r="AD19" s="135"/>
    </row>
    <row r="20" spans="1:30" ht="13.15">
      <c r="A20" s="6">
        <v>6</v>
      </c>
      <c r="B20" s="10" t="s">
        <v>37</v>
      </c>
      <c r="C20" s="52">
        <f t="shared" ref="C20:AD20" si="6">SUM(C21:C25)</f>
        <v>3663226</v>
      </c>
      <c r="D20" s="52">
        <f t="shared" si="6"/>
        <v>3806301.39</v>
      </c>
      <c r="E20" s="52">
        <f t="shared" si="6"/>
        <v>20811386.870000001</v>
      </c>
      <c r="F20" s="52">
        <f t="shared" si="6"/>
        <v>24558472.330000002</v>
      </c>
      <c r="G20" s="52">
        <f t="shared" si="6"/>
        <v>24787827.030000001</v>
      </c>
      <c r="H20" s="52">
        <f t="shared" si="6"/>
        <v>25944663.91</v>
      </c>
      <c r="I20" s="52">
        <f t="shared" si="6"/>
        <v>24321864.66</v>
      </c>
      <c r="J20" s="52">
        <f t="shared" si="6"/>
        <v>24580571.48</v>
      </c>
      <c r="K20" s="52">
        <f t="shared" si="6"/>
        <v>24168207.280000001</v>
      </c>
      <c r="L20" s="52">
        <f t="shared" si="6"/>
        <v>21492138.080000002</v>
      </c>
      <c r="M20" s="52">
        <f t="shared" si="6"/>
        <v>22148373</v>
      </c>
      <c r="N20" s="52">
        <f t="shared" si="6"/>
        <v>20710558.329999998</v>
      </c>
      <c r="O20" s="52">
        <f t="shared" si="6"/>
        <v>20729825.5</v>
      </c>
      <c r="P20" s="52">
        <f t="shared" si="6"/>
        <v>11773058</v>
      </c>
      <c r="Q20" s="52">
        <f t="shared" si="6"/>
        <v>5202760</v>
      </c>
      <c r="R20" s="52">
        <f t="shared" si="6"/>
        <v>12324246.260000002</v>
      </c>
      <c r="S20" s="52">
        <f t="shared" si="6"/>
        <v>17596108.620000001</v>
      </c>
      <c r="T20" s="52">
        <f t="shared" si="6"/>
        <v>22591266.760000002</v>
      </c>
      <c r="U20" s="52">
        <f t="shared" si="6"/>
        <v>29405829</v>
      </c>
      <c r="V20" s="52">
        <f t="shared" si="6"/>
        <v>30547272.899999999</v>
      </c>
      <c r="W20" s="100">
        <f t="shared" si="6"/>
        <v>31553204.359999999</v>
      </c>
      <c r="X20" s="100">
        <f t="shared" si="6"/>
        <v>32346859.260000002</v>
      </c>
      <c r="Y20" s="100">
        <f t="shared" si="6"/>
        <v>30425060</v>
      </c>
      <c r="Z20" s="100">
        <f t="shared" si="6"/>
        <v>30557749</v>
      </c>
      <c r="AA20" s="100">
        <f t="shared" si="6"/>
        <v>33419367</v>
      </c>
      <c r="AB20" s="100">
        <f t="shared" si="6"/>
        <v>30275263.699999999</v>
      </c>
      <c r="AC20" s="100">
        <f t="shared" si="6"/>
        <v>19134625</v>
      </c>
      <c r="AD20" s="136">
        <f t="shared" si="6"/>
        <v>7431862</v>
      </c>
    </row>
    <row r="21" spans="1:30" ht="14.45">
      <c r="A21" s="11">
        <v>6.1</v>
      </c>
      <c r="B21" s="7" t="s">
        <v>38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64">
        <v>0</v>
      </c>
      <c r="L21" s="65">
        <v>0</v>
      </c>
      <c r="M21" s="65">
        <v>0</v>
      </c>
      <c r="N21" s="65">
        <v>0</v>
      </c>
      <c r="O21" s="65">
        <v>0</v>
      </c>
      <c r="P21" s="69">
        <v>0</v>
      </c>
      <c r="Q21" s="79"/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97">
        <v>0</v>
      </c>
      <c r="X21" s="102">
        <v>0</v>
      </c>
      <c r="Y21" s="133">
        <v>0</v>
      </c>
      <c r="Z21" s="133">
        <v>0</v>
      </c>
      <c r="AA21" s="133">
        <v>0</v>
      </c>
      <c r="AB21" s="133">
        <v>0</v>
      </c>
      <c r="AC21" s="133">
        <v>0</v>
      </c>
      <c r="AD21" s="135"/>
    </row>
    <row r="22" spans="1:30" ht="14.45">
      <c r="A22" s="11">
        <v>6.2</v>
      </c>
      <c r="B22" s="7" t="s">
        <v>39</v>
      </c>
      <c r="C22" s="56">
        <v>3663226</v>
      </c>
      <c r="D22" s="9">
        <v>3806301.39</v>
      </c>
      <c r="E22" s="9">
        <v>3838301.39</v>
      </c>
      <c r="F22" s="9">
        <v>3788301.39</v>
      </c>
      <c r="G22" s="9">
        <v>3779212.39</v>
      </c>
      <c r="H22" s="9">
        <v>3729212.39</v>
      </c>
      <c r="I22" s="9">
        <v>4293012.3899999997</v>
      </c>
      <c r="J22" s="9">
        <v>4396107.3899999997</v>
      </c>
      <c r="K22" s="67">
        <v>4381107.3899999997</v>
      </c>
      <c r="L22" s="66">
        <v>4331107.3899999997</v>
      </c>
      <c r="M22" s="66">
        <v>4958707</v>
      </c>
      <c r="N22" s="66">
        <v>4627907.3899999997</v>
      </c>
      <c r="O22" s="66">
        <v>4667107.3899999997</v>
      </c>
      <c r="P22" s="70">
        <v>5202760</v>
      </c>
      <c r="Q22" s="79">
        <v>5202760</v>
      </c>
      <c r="R22" s="55">
        <v>5142759.1100000003</v>
      </c>
      <c r="S22" s="55">
        <v>5082759.1100000003</v>
      </c>
      <c r="T22" s="55">
        <v>8064559.1100000003</v>
      </c>
      <c r="U22" s="55">
        <v>8004559</v>
      </c>
      <c r="V22" s="55">
        <v>7944559</v>
      </c>
      <c r="W22" s="97">
        <v>7884559.1100000003</v>
      </c>
      <c r="X22" s="102">
        <v>7824559.46</v>
      </c>
      <c r="Y22" s="133">
        <v>7764559</v>
      </c>
      <c r="Z22" s="133">
        <v>7704559</v>
      </c>
      <c r="AA22" s="133">
        <v>8772945</v>
      </c>
      <c r="AB22" s="133">
        <v>7831355</v>
      </c>
      <c r="AC22" s="133">
        <v>7431862</v>
      </c>
      <c r="AD22" s="135">
        <v>7431862</v>
      </c>
    </row>
    <row r="23" spans="1:30" ht="14.45">
      <c r="A23" s="11">
        <v>6.3</v>
      </c>
      <c r="B23" s="7" t="s">
        <v>40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64">
        <v>0</v>
      </c>
      <c r="L23" s="65">
        <v>0</v>
      </c>
      <c r="M23" s="65">
        <v>0</v>
      </c>
      <c r="N23" s="65">
        <v>0</v>
      </c>
      <c r="O23" s="65">
        <v>0</v>
      </c>
      <c r="P23" s="69">
        <v>0</v>
      </c>
      <c r="Q23" s="79"/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97">
        <v>0</v>
      </c>
      <c r="X23" s="102">
        <v>0</v>
      </c>
      <c r="Y23" s="133">
        <v>0</v>
      </c>
      <c r="Z23" s="133">
        <v>0</v>
      </c>
      <c r="AA23" s="133">
        <v>0</v>
      </c>
      <c r="AB23" s="133">
        <v>0</v>
      </c>
      <c r="AC23" s="133">
        <v>0</v>
      </c>
      <c r="AD23" s="135"/>
    </row>
    <row r="24" spans="1:30" ht="14.45">
      <c r="A24" s="11">
        <v>6.4</v>
      </c>
      <c r="B24" s="7" t="s">
        <v>41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64">
        <v>0</v>
      </c>
      <c r="L24" s="65">
        <v>0</v>
      </c>
      <c r="M24" s="65">
        <v>0</v>
      </c>
      <c r="N24" s="65">
        <v>0</v>
      </c>
      <c r="O24" s="65">
        <v>0</v>
      </c>
      <c r="P24" s="69">
        <v>0</v>
      </c>
      <c r="Q24" s="79"/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97">
        <v>0</v>
      </c>
      <c r="X24" s="102">
        <v>0</v>
      </c>
      <c r="Y24" s="133">
        <v>0</v>
      </c>
      <c r="Z24" s="133">
        <v>0</v>
      </c>
      <c r="AA24" s="133">
        <v>0</v>
      </c>
      <c r="AB24" s="133">
        <v>0</v>
      </c>
      <c r="AC24" s="133">
        <v>0</v>
      </c>
      <c r="AD24" s="135"/>
    </row>
    <row r="25" spans="1:30" ht="14.45">
      <c r="A25" s="11">
        <v>6.5</v>
      </c>
      <c r="B25" s="7" t="s">
        <v>42</v>
      </c>
      <c r="D25" s="9"/>
      <c r="E25" s="9">
        <v>16973085.48</v>
      </c>
      <c r="F25" s="9">
        <v>20770170.940000001</v>
      </c>
      <c r="G25" s="9">
        <v>21008614.640000001</v>
      </c>
      <c r="H25" s="9">
        <v>22215451.52</v>
      </c>
      <c r="I25" s="9">
        <v>20028852.27</v>
      </c>
      <c r="J25" s="9">
        <v>20184464.09</v>
      </c>
      <c r="K25" s="67">
        <v>19787099.890000001</v>
      </c>
      <c r="L25" s="66">
        <v>17161030.690000001</v>
      </c>
      <c r="M25" s="66">
        <v>17189666</v>
      </c>
      <c r="N25" s="66">
        <v>16082650.939999999</v>
      </c>
      <c r="O25" s="66">
        <v>16062718.109999999</v>
      </c>
      <c r="P25" s="70">
        <v>6570298</v>
      </c>
      <c r="Q25" s="79"/>
      <c r="R25" s="55">
        <v>7181487.1500000004</v>
      </c>
      <c r="S25" s="55">
        <v>12513349.51</v>
      </c>
      <c r="T25" s="55">
        <v>14526707.65</v>
      </c>
      <c r="U25" s="55">
        <v>21401270</v>
      </c>
      <c r="V25" s="55">
        <v>22602713.899999999</v>
      </c>
      <c r="W25" s="97">
        <v>23668645.25</v>
      </c>
      <c r="X25" s="102">
        <v>24522299.800000001</v>
      </c>
      <c r="Y25" s="133">
        <v>22660501</v>
      </c>
      <c r="Z25" s="133">
        <v>22853190</v>
      </c>
      <c r="AA25" s="133">
        <v>24646422</v>
      </c>
      <c r="AB25" s="133">
        <v>22443908.699999999</v>
      </c>
      <c r="AC25" s="133">
        <v>11702763</v>
      </c>
      <c r="AD25" s="135"/>
    </row>
    <row r="26" spans="1:30" ht="13.15">
      <c r="A26" s="11"/>
      <c r="B26" s="10" t="s">
        <v>43</v>
      </c>
      <c r="C26" s="52">
        <f t="shared" ref="C26:D26" si="7">C4+C7+C8+C13+C16+C20</f>
        <v>269371213</v>
      </c>
      <c r="D26" s="52">
        <f t="shared" si="7"/>
        <v>293411677.77999997</v>
      </c>
      <c r="E26" s="52">
        <f>E4+E7+E8+E13+E16+E20</f>
        <v>303470910.19</v>
      </c>
      <c r="F26" s="52">
        <f t="shared" ref="F26:AD26" si="8">F4+F7+F8+F13+F16+F20</f>
        <v>307369205.19</v>
      </c>
      <c r="G26" s="52">
        <f t="shared" si="8"/>
        <v>312330586.88</v>
      </c>
      <c r="H26" s="52">
        <f t="shared" si="8"/>
        <v>317921567.19000006</v>
      </c>
      <c r="I26" s="52">
        <f t="shared" si="8"/>
        <v>327013815.94</v>
      </c>
      <c r="J26" s="52">
        <f t="shared" si="8"/>
        <v>331412089.83000004</v>
      </c>
      <c r="K26" s="52">
        <f t="shared" si="8"/>
        <v>333126418.75999999</v>
      </c>
      <c r="L26" s="52">
        <f t="shared" si="8"/>
        <v>354049318.44</v>
      </c>
      <c r="M26" s="52">
        <f t="shared" si="8"/>
        <v>348743093</v>
      </c>
      <c r="N26" s="52">
        <f t="shared" si="8"/>
        <v>357437690.81999993</v>
      </c>
      <c r="O26" s="52">
        <f t="shared" si="8"/>
        <v>363705189.06999999</v>
      </c>
      <c r="P26" s="52">
        <f t="shared" si="8"/>
        <v>369437114.07999998</v>
      </c>
      <c r="Q26" s="80">
        <f t="shared" si="8"/>
        <v>369437115</v>
      </c>
      <c r="R26" s="80">
        <f t="shared" si="8"/>
        <v>371548670.15999997</v>
      </c>
      <c r="S26" s="80">
        <f t="shared" si="8"/>
        <v>368415132.75999999</v>
      </c>
      <c r="T26" s="80">
        <f t="shared" si="8"/>
        <v>374402020.45999998</v>
      </c>
      <c r="U26" s="80">
        <f t="shared" si="8"/>
        <v>364112822</v>
      </c>
      <c r="V26" s="80">
        <f t="shared" si="8"/>
        <v>374291474.82999998</v>
      </c>
      <c r="W26" s="80">
        <f t="shared" si="8"/>
        <v>378550450.31999999</v>
      </c>
      <c r="X26" s="80">
        <f t="shared" si="8"/>
        <v>381796528.44999999</v>
      </c>
      <c r="Y26" s="80">
        <f t="shared" si="8"/>
        <v>388837989</v>
      </c>
      <c r="Z26" s="80">
        <f t="shared" si="8"/>
        <v>391938258</v>
      </c>
      <c r="AA26" s="80">
        <f t="shared" si="8"/>
        <v>392984022</v>
      </c>
      <c r="AB26" s="80">
        <f t="shared" si="8"/>
        <v>398758293.09999996</v>
      </c>
      <c r="AC26" s="80">
        <f t="shared" si="8"/>
        <v>403815764</v>
      </c>
      <c r="AD26" s="57">
        <f t="shared" si="8"/>
        <v>403387182.69000006</v>
      </c>
    </row>
    <row r="27" spans="1:30" ht="14.45">
      <c r="A27" s="11">
        <v>7</v>
      </c>
      <c r="B27" s="7" t="s">
        <v>44</v>
      </c>
      <c r="C27" s="56">
        <v>744248</v>
      </c>
      <c r="D27" s="9">
        <v>2276384.58</v>
      </c>
      <c r="E27" s="9">
        <v>4492765.07</v>
      </c>
      <c r="F27" s="9">
        <v>2389884.9900000002</v>
      </c>
      <c r="G27" s="9">
        <v>3858157.52</v>
      </c>
      <c r="H27" s="9">
        <v>4039661.78</v>
      </c>
      <c r="I27" s="9">
        <v>6363453.3499999996</v>
      </c>
      <c r="J27" s="9">
        <v>4705808.75</v>
      </c>
      <c r="K27" s="67">
        <v>4923281.04</v>
      </c>
      <c r="L27" s="66">
        <v>17554284.559999999</v>
      </c>
      <c r="M27" s="66">
        <v>6679865</v>
      </c>
      <c r="N27" s="66">
        <v>7769014.5800000001</v>
      </c>
      <c r="O27" s="66">
        <v>7822799.29</v>
      </c>
      <c r="P27" s="70">
        <v>8866827.3800000008</v>
      </c>
      <c r="Q27" s="79">
        <v>7898153</v>
      </c>
      <c r="R27" s="55">
        <v>8670232.5700000003</v>
      </c>
      <c r="S27" s="55">
        <v>10412303</v>
      </c>
      <c r="T27" s="55">
        <v>10767729.890000001</v>
      </c>
      <c r="U27" s="55">
        <v>15840071</v>
      </c>
      <c r="V27" s="55">
        <v>12879740.02</v>
      </c>
      <c r="W27" s="97">
        <v>15726804.390000001</v>
      </c>
      <c r="X27" s="102">
        <v>13981585.619999999</v>
      </c>
      <c r="Y27" s="133">
        <v>14419401</v>
      </c>
      <c r="Z27" s="133">
        <v>12401261</v>
      </c>
      <c r="AA27" s="133">
        <v>11290164</v>
      </c>
      <c r="AB27" s="133">
        <v>11288606.619999999</v>
      </c>
      <c r="AC27" s="133">
        <v>8067834</v>
      </c>
      <c r="AD27" s="135">
        <v>8067834</v>
      </c>
    </row>
    <row r="28" spans="1:30" ht="14.45">
      <c r="A28" s="11">
        <v>8</v>
      </c>
      <c r="B28" s="7" t="s">
        <v>45</v>
      </c>
      <c r="C28" s="56">
        <v>552646</v>
      </c>
      <c r="D28" s="43">
        <v>708204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64">
        <v>0</v>
      </c>
      <c r="L28" s="65">
        <v>0</v>
      </c>
      <c r="M28" s="65">
        <v>0</v>
      </c>
      <c r="N28" s="65">
        <v>0</v>
      </c>
      <c r="O28" s="65">
        <v>0</v>
      </c>
      <c r="P28" s="69">
        <v>0</v>
      </c>
      <c r="Q28" s="79">
        <v>968674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97">
        <v>0</v>
      </c>
      <c r="X28" s="102">
        <v>0</v>
      </c>
      <c r="Y28" s="133">
        <v>0</v>
      </c>
      <c r="Z28" s="133">
        <v>0</v>
      </c>
      <c r="AA28" s="133">
        <v>0</v>
      </c>
      <c r="AB28" s="133">
        <v>0</v>
      </c>
      <c r="AC28" s="133">
        <v>0</v>
      </c>
      <c r="AD28" s="135"/>
    </row>
    <row r="29" spans="1:30" ht="14.45">
      <c r="A29" s="11">
        <v>9</v>
      </c>
      <c r="B29" s="7" t="s">
        <v>46</v>
      </c>
      <c r="C29" s="56">
        <v>220316533</v>
      </c>
      <c r="D29" s="9">
        <v>254720687</v>
      </c>
      <c r="E29" s="9">
        <v>259601968.5</v>
      </c>
      <c r="F29" s="9">
        <v>258890719</v>
      </c>
      <c r="G29" s="9">
        <v>261572529.69</v>
      </c>
      <c r="H29" s="9">
        <v>265437485.86000001</v>
      </c>
      <c r="I29" s="9">
        <v>268395723.21000001</v>
      </c>
      <c r="J29" s="9">
        <v>272790889.10000002</v>
      </c>
      <c r="K29" s="67">
        <v>274051402.69</v>
      </c>
      <c r="L29" s="66">
        <v>277756530.00999999</v>
      </c>
      <c r="M29" s="66">
        <v>280167932</v>
      </c>
      <c r="N29" s="66">
        <v>283755000.67000002</v>
      </c>
      <c r="O29" s="66">
        <v>287517178.22000003</v>
      </c>
      <c r="P29" s="70">
        <v>287470465</v>
      </c>
      <c r="Q29" s="79">
        <v>287470465</v>
      </c>
      <c r="R29" s="55">
        <v>290462998.31</v>
      </c>
      <c r="S29" s="55">
        <v>295733291</v>
      </c>
      <c r="T29" s="55">
        <v>299063804.17000002</v>
      </c>
      <c r="U29" s="55">
        <v>298957139</v>
      </c>
      <c r="V29" s="55">
        <v>297505925.25999999</v>
      </c>
      <c r="W29" s="97">
        <v>299861635.26999998</v>
      </c>
      <c r="X29" s="102">
        <v>303847570.79000002</v>
      </c>
      <c r="Y29" s="133">
        <v>307627757</v>
      </c>
      <c r="Z29" s="133">
        <v>309862125</v>
      </c>
      <c r="AA29" s="133">
        <v>309283561</v>
      </c>
      <c r="AB29" s="133">
        <v>312909106.63</v>
      </c>
      <c r="AC29" s="133">
        <v>312478374</v>
      </c>
      <c r="AD29" s="135">
        <f>311707089+771285</f>
        <v>312478374</v>
      </c>
    </row>
    <row r="30" spans="1:30" ht="13.15">
      <c r="A30" s="11"/>
      <c r="B30" s="10" t="s">
        <v>47</v>
      </c>
      <c r="C30" s="57">
        <f t="shared" ref="C30" si="9">SUM(C27:C29)</f>
        <v>221613427</v>
      </c>
      <c r="D30" s="52">
        <f>SUM(D27:D29)</f>
        <v>257705275.58000001</v>
      </c>
      <c r="E30" s="52">
        <f>SUM(E27:E29)</f>
        <v>264094733.56999999</v>
      </c>
      <c r="F30" s="52">
        <f t="shared" ref="F30:G30" si="10">SUM(F27:F29)</f>
        <v>261280603.99000001</v>
      </c>
      <c r="G30" s="52">
        <f t="shared" si="10"/>
        <v>265430687.21000001</v>
      </c>
      <c r="H30" s="52">
        <f t="shared" ref="H30:J30" si="11">SUM(H27:H29)</f>
        <v>269477147.63999999</v>
      </c>
      <c r="I30" s="52">
        <f t="shared" si="11"/>
        <v>274759176.56</v>
      </c>
      <c r="J30" s="52">
        <f t="shared" si="11"/>
        <v>277496697.85000002</v>
      </c>
      <c r="K30" s="52">
        <f t="shared" ref="K30:AD30" si="12">SUM(K27:K29)</f>
        <v>278974683.73000002</v>
      </c>
      <c r="L30" s="52">
        <f t="shared" si="12"/>
        <v>295310814.56999999</v>
      </c>
      <c r="M30" s="52">
        <f t="shared" si="12"/>
        <v>286847797</v>
      </c>
      <c r="N30" s="52">
        <f t="shared" si="12"/>
        <v>291524015.25</v>
      </c>
      <c r="O30" s="52">
        <f t="shared" si="12"/>
        <v>295339977.51000005</v>
      </c>
      <c r="P30" s="52">
        <f t="shared" si="12"/>
        <v>296337292.38</v>
      </c>
      <c r="Q30" s="80">
        <f t="shared" si="12"/>
        <v>296337292</v>
      </c>
      <c r="R30" s="80">
        <f t="shared" si="12"/>
        <v>299133230.88</v>
      </c>
      <c r="S30" s="80">
        <f t="shared" si="12"/>
        <v>306145594</v>
      </c>
      <c r="T30" s="80">
        <f t="shared" si="12"/>
        <v>309831534.06</v>
      </c>
      <c r="U30" s="80">
        <f t="shared" si="12"/>
        <v>314797210</v>
      </c>
      <c r="V30" s="80">
        <f t="shared" si="12"/>
        <v>310385665.27999997</v>
      </c>
      <c r="W30" s="80">
        <f t="shared" si="12"/>
        <v>315588439.65999997</v>
      </c>
      <c r="X30" s="80">
        <f t="shared" si="12"/>
        <v>317829156.41000003</v>
      </c>
      <c r="Y30" s="80">
        <f t="shared" si="12"/>
        <v>322047158</v>
      </c>
      <c r="Z30" s="80">
        <f t="shared" si="12"/>
        <v>322263386</v>
      </c>
      <c r="AA30" s="80">
        <f t="shared" si="12"/>
        <v>320573725</v>
      </c>
      <c r="AB30" s="80">
        <f t="shared" si="12"/>
        <v>324197713.25</v>
      </c>
      <c r="AC30" s="80">
        <f t="shared" si="12"/>
        <v>320546208</v>
      </c>
      <c r="AD30" s="57">
        <f t="shared" si="12"/>
        <v>320546208</v>
      </c>
    </row>
    <row r="31" spans="1:30" ht="13.15">
      <c r="A31" s="11">
        <v>10</v>
      </c>
      <c r="B31" s="10" t="s">
        <v>48</v>
      </c>
      <c r="C31" s="12">
        <f t="shared" ref="C31:D31" si="13">SUM(C32:C37)</f>
        <v>14172704</v>
      </c>
      <c r="D31" s="12">
        <f t="shared" si="13"/>
        <v>413121</v>
      </c>
      <c r="E31" s="12">
        <f>SUM(E32:E37)</f>
        <v>571369.87</v>
      </c>
      <c r="F31" s="12">
        <f t="shared" ref="F31:G31" si="14">SUM(F32:F37)</f>
        <v>713230</v>
      </c>
      <c r="G31" s="12">
        <f t="shared" si="14"/>
        <v>282026.23</v>
      </c>
      <c r="H31" s="12">
        <f t="shared" ref="H31:J31" si="15">SUM(H32:H37)</f>
        <v>563322.84</v>
      </c>
      <c r="I31" s="12">
        <f t="shared" si="15"/>
        <v>243979.34</v>
      </c>
      <c r="J31" s="12">
        <f t="shared" si="15"/>
        <v>216403.93</v>
      </c>
      <c r="K31" s="12">
        <f t="shared" ref="K31:AD31" si="16">SUM(K32:K37)</f>
        <v>229168.16</v>
      </c>
      <c r="L31" s="12">
        <f t="shared" si="16"/>
        <v>388068.82</v>
      </c>
      <c r="M31" s="12">
        <f t="shared" si="16"/>
        <v>428816.97</v>
      </c>
      <c r="N31" s="12">
        <f t="shared" si="16"/>
        <v>423987.01</v>
      </c>
      <c r="O31" s="12">
        <f t="shared" si="16"/>
        <v>340484.94</v>
      </c>
      <c r="P31" s="12">
        <f t="shared" si="16"/>
        <v>19393076</v>
      </c>
      <c r="Q31" s="82">
        <f t="shared" si="16"/>
        <v>19393076</v>
      </c>
      <c r="R31" s="82">
        <f t="shared" si="16"/>
        <v>19421424.73</v>
      </c>
      <c r="S31" s="82">
        <f t="shared" si="16"/>
        <v>4277528</v>
      </c>
      <c r="T31" s="82">
        <f t="shared" si="16"/>
        <v>6728774.4799999995</v>
      </c>
      <c r="U31" s="82">
        <f t="shared" si="16"/>
        <v>4178341</v>
      </c>
      <c r="V31" s="82">
        <f t="shared" si="16"/>
        <v>6549488.5700000003</v>
      </c>
      <c r="W31" s="82">
        <f t="shared" si="16"/>
        <v>3417279.39</v>
      </c>
      <c r="X31" s="82">
        <f t="shared" si="16"/>
        <v>3256780.82</v>
      </c>
      <c r="Y31" s="82">
        <f t="shared" si="16"/>
        <v>2901803</v>
      </c>
      <c r="Z31" s="82">
        <f t="shared" si="16"/>
        <v>2752366</v>
      </c>
      <c r="AA31" s="82">
        <f t="shared" si="16"/>
        <v>2772651</v>
      </c>
      <c r="AB31" s="82">
        <f t="shared" si="16"/>
        <v>2610330.5999999996</v>
      </c>
      <c r="AC31" s="82">
        <f t="shared" si="16"/>
        <v>16788006</v>
      </c>
      <c r="AD31" s="110">
        <f t="shared" si="16"/>
        <v>19435937</v>
      </c>
    </row>
    <row r="32" spans="1:30" ht="14.45">
      <c r="A32" s="11">
        <v>10.1</v>
      </c>
      <c r="B32" s="7" t="s">
        <v>49</v>
      </c>
      <c r="C32" s="56">
        <v>3610</v>
      </c>
      <c r="D32" s="15">
        <v>14602</v>
      </c>
      <c r="E32" s="12">
        <v>308444.96999999997</v>
      </c>
      <c r="F32" s="12">
        <v>205807</v>
      </c>
      <c r="G32" s="12">
        <v>14602</v>
      </c>
      <c r="H32" s="9">
        <v>13002</v>
      </c>
      <c r="I32" s="9">
        <v>0</v>
      </c>
      <c r="J32" s="9">
        <v>0</v>
      </c>
      <c r="K32" s="67">
        <v>13002</v>
      </c>
      <c r="L32" s="66">
        <v>13002</v>
      </c>
      <c r="M32" s="66">
        <v>254150.97</v>
      </c>
      <c r="N32" s="66">
        <v>13002</v>
      </c>
      <c r="O32" s="66">
        <v>13002</v>
      </c>
      <c r="P32" s="70">
        <v>1046054</v>
      </c>
      <c r="Q32" s="79">
        <v>1046054</v>
      </c>
      <c r="R32" s="55">
        <v>1046054</v>
      </c>
      <c r="S32" s="55">
        <v>1046054</v>
      </c>
      <c r="T32" s="55">
        <v>1046054</v>
      </c>
      <c r="U32" s="55">
        <v>0</v>
      </c>
      <c r="V32" s="55">
        <v>0</v>
      </c>
      <c r="W32" s="97">
        <v>0</v>
      </c>
      <c r="X32" s="82">
        <v>0</v>
      </c>
      <c r="Y32" s="133">
        <v>0</v>
      </c>
      <c r="Z32" s="133">
        <v>0</v>
      </c>
      <c r="AA32" s="133">
        <v>0</v>
      </c>
      <c r="AB32" s="133">
        <v>0</v>
      </c>
      <c r="AC32" s="133">
        <v>968271</v>
      </c>
      <c r="AD32" s="135">
        <v>967553</v>
      </c>
    </row>
    <row r="33" spans="1:34" ht="14.45">
      <c r="A33" s="11">
        <v>10.199999999999999</v>
      </c>
      <c r="B33" s="7" t="s">
        <v>50</v>
      </c>
      <c r="C33" s="56">
        <v>2020210</v>
      </c>
      <c r="D33" s="12"/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64">
        <v>0</v>
      </c>
      <c r="L33" s="65">
        <v>0</v>
      </c>
      <c r="M33" s="65">
        <v>0</v>
      </c>
      <c r="N33" s="65">
        <v>0</v>
      </c>
      <c r="O33" s="65">
        <v>0</v>
      </c>
      <c r="P33" s="70">
        <v>17274788</v>
      </c>
      <c r="Q33" s="79">
        <v>2959259</v>
      </c>
      <c r="R33" s="55">
        <v>17274788</v>
      </c>
      <c r="S33" s="55">
        <v>0</v>
      </c>
      <c r="T33" s="55">
        <v>4196482.72</v>
      </c>
      <c r="U33" s="55">
        <v>3360862</v>
      </c>
      <c r="V33" s="55">
        <v>3100740</v>
      </c>
      <c r="W33" s="97">
        <v>2578741.7000000002</v>
      </c>
      <c r="X33" s="102">
        <v>2400147.0699999998</v>
      </c>
      <c r="Y33" s="133">
        <v>1999238</v>
      </c>
      <c r="Z33" s="133">
        <v>1931788</v>
      </c>
      <c r="AA33" s="133">
        <v>1903995</v>
      </c>
      <c r="AB33" s="133">
        <v>1792841.64</v>
      </c>
      <c r="AC33" s="133">
        <v>15104555</v>
      </c>
      <c r="AD33" s="135">
        <v>3070989</v>
      </c>
    </row>
    <row r="34" spans="1:34" ht="14.45">
      <c r="A34" s="11">
        <v>10.3</v>
      </c>
      <c r="B34" s="7" t="s">
        <v>51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64">
        <v>0</v>
      </c>
      <c r="L34" s="65">
        <v>0</v>
      </c>
      <c r="M34" s="65">
        <v>0</v>
      </c>
      <c r="N34" s="65">
        <v>0</v>
      </c>
      <c r="O34" s="65">
        <v>0</v>
      </c>
      <c r="P34" s="69">
        <v>0</v>
      </c>
      <c r="Q34" s="79"/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97">
        <v>0</v>
      </c>
      <c r="X34" s="102">
        <v>0</v>
      </c>
      <c r="Y34" s="133">
        <v>0</v>
      </c>
      <c r="Z34" s="133">
        <v>0</v>
      </c>
      <c r="AA34" s="133">
        <v>0</v>
      </c>
      <c r="AB34" s="133">
        <v>0</v>
      </c>
      <c r="AC34" s="133">
        <v>0</v>
      </c>
      <c r="AD34" s="135"/>
    </row>
    <row r="35" spans="1:34" ht="14.45">
      <c r="A35" s="11">
        <v>10.4</v>
      </c>
      <c r="B35" s="7" t="s">
        <v>52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K35" s="64">
        <v>0</v>
      </c>
      <c r="L35" s="65">
        <v>0</v>
      </c>
      <c r="M35" s="65">
        <v>0</v>
      </c>
      <c r="N35" s="65">
        <v>0</v>
      </c>
      <c r="O35" s="65">
        <v>0</v>
      </c>
      <c r="P35" s="69">
        <v>0</v>
      </c>
      <c r="Q35" s="79"/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97">
        <v>0</v>
      </c>
      <c r="X35" s="102">
        <v>0</v>
      </c>
      <c r="Y35" s="133">
        <v>0</v>
      </c>
      <c r="Z35" s="133">
        <v>0</v>
      </c>
      <c r="AA35" s="133">
        <v>0</v>
      </c>
      <c r="AB35" s="133">
        <v>0</v>
      </c>
      <c r="AC35" s="133">
        <v>0</v>
      </c>
      <c r="AD35" s="135"/>
    </row>
    <row r="36" spans="1:34" ht="14.45">
      <c r="A36" s="11">
        <v>10.5</v>
      </c>
      <c r="B36" s="7" t="s">
        <v>53</v>
      </c>
      <c r="C36" s="16">
        <v>538954</v>
      </c>
      <c r="D36" s="9">
        <v>398519</v>
      </c>
      <c r="E36" s="9">
        <v>262924.90000000002</v>
      </c>
      <c r="F36" s="9">
        <v>507423</v>
      </c>
      <c r="G36" s="9">
        <v>267424.23</v>
      </c>
      <c r="H36" s="15">
        <v>550320.84</v>
      </c>
      <c r="I36" s="9">
        <v>243979.34</v>
      </c>
      <c r="J36" s="9">
        <v>216403.93</v>
      </c>
      <c r="K36" s="67">
        <v>216166.16</v>
      </c>
      <c r="L36" s="66">
        <v>375066.82</v>
      </c>
      <c r="M36" s="66">
        <v>174666</v>
      </c>
      <c r="N36" s="66">
        <v>410985.01</v>
      </c>
      <c r="O36" s="66">
        <v>327482.94</v>
      </c>
      <c r="P36" s="70">
        <v>1072234</v>
      </c>
      <c r="Q36" s="79">
        <v>1072234</v>
      </c>
      <c r="R36" s="55">
        <v>1100582.73</v>
      </c>
      <c r="S36" s="55">
        <v>3231474</v>
      </c>
      <c r="T36" s="55">
        <v>1486237.76</v>
      </c>
      <c r="U36" s="55">
        <v>817479</v>
      </c>
      <c r="V36" s="55">
        <v>3448748.57</v>
      </c>
      <c r="W36" s="97">
        <v>838537.69</v>
      </c>
      <c r="X36" s="102">
        <v>856633.75</v>
      </c>
      <c r="Y36" s="133">
        <v>902565</v>
      </c>
      <c r="Z36" s="133">
        <v>820578</v>
      </c>
      <c r="AA36" s="133">
        <v>868656</v>
      </c>
      <c r="AB36" s="133">
        <v>817488.96</v>
      </c>
      <c r="AC36" s="133">
        <v>715180</v>
      </c>
      <c r="AD36" s="135">
        <f>292840</f>
        <v>292840</v>
      </c>
    </row>
    <row r="37" spans="1:34" ht="14.45">
      <c r="A37" s="11">
        <v>10.6</v>
      </c>
      <c r="B37" s="7" t="s">
        <v>54</v>
      </c>
      <c r="C37" s="56">
        <v>11609930</v>
      </c>
      <c r="D37" s="9">
        <v>0</v>
      </c>
      <c r="E37" s="15">
        <v>0</v>
      </c>
      <c r="F37" s="15">
        <v>0</v>
      </c>
      <c r="G37" s="15">
        <v>0</v>
      </c>
      <c r="H37" s="9">
        <v>0</v>
      </c>
      <c r="I37" s="15">
        <v>0</v>
      </c>
      <c r="J37" s="15">
        <v>0</v>
      </c>
      <c r="K37" s="64">
        <v>0</v>
      </c>
      <c r="L37" s="65">
        <v>0</v>
      </c>
      <c r="M37" s="65">
        <v>0</v>
      </c>
      <c r="N37" s="65">
        <v>0</v>
      </c>
      <c r="O37" s="65">
        <v>0</v>
      </c>
      <c r="P37" s="69">
        <v>0</v>
      </c>
      <c r="Q37" s="79">
        <v>14315529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97">
        <v>0</v>
      </c>
      <c r="X37" s="102">
        <v>0</v>
      </c>
      <c r="Y37" s="133">
        <v>0</v>
      </c>
      <c r="Z37" s="133">
        <v>0</v>
      </c>
      <c r="AA37" s="133">
        <v>0</v>
      </c>
      <c r="AB37" s="133">
        <v>0</v>
      </c>
      <c r="AC37" s="133">
        <v>0</v>
      </c>
      <c r="AD37" s="135">
        <v>15104555</v>
      </c>
    </row>
    <row r="38" spans="1:34" ht="13.15">
      <c r="A38" s="11"/>
      <c r="B38" s="10" t="s">
        <v>55</v>
      </c>
      <c r="C38" s="52">
        <f t="shared" ref="C38:D38" si="17">C30+C31</f>
        <v>235786131</v>
      </c>
      <c r="D38" s="52">
        <f t="shared" si="17"/>
        <v>258118396.58000001</v>
      </c>
      <c r="E38" s="52">
        <f>E30+E31</f>
        <v>264666103.44</v>
      </c>
      <c r="F38" s="52">
        <f t="shared" ref="F38:AD38" si="18">F30+F31</f>
        <v>261993833.99000001</v>
      </c>
      <c r="G38" s="52">
        <f t="shared" si="18"/>
        <v>265712713.44</v>
      </c>
      <c r="H38" s="52">
        <f t="shared" si="18"/>
        <v>270040470.47999996</v>
      </c>
      <c r="I38" s="52">
        <f t="shared" si="18"/>
        <v>275003155.89999998</v>
      </c>
      <c r="J38" s="52">
        <f t="shared" si="18"/>
        <v>277713101.78000003</v>
      </c>
      <c r="K38" s="52">
        <f t="shared" si="18"/>
        <v>279203851.89000005</v>
      </c>
      <c r="L38" s="52">
        <f t="shared" si="18"/>
        <v>295698883.38999999</v>
      </c>
      <c r="M38" s="52">
        <f t="shared" si="18"/>
        <v>287276613.97000003</v>
      </c>
      <c r="N38" s="52">
        <f t="shared" si="18"/>
        <v>291948002.25999999</v>
      </c>
      <c r="O38" s="52">
        <f t="shared" si="18"/>
        <v>295680462.45000005</v>
      </c>
      <c r="P38" s="52">
        <f t="shared" si="18"/>
        <v>315730368.38</v>
      </c>
      <c r="Q38" s="80">
        <f t="shared" si="18"/>
        <v>315730368</v>
      </c>
      <c r="R38" s="80">
        <f t="shared" si="18"/>
        <v>318554655.61000001</v>
      </c>
      <c r="S38" s="80">
        <f t="shared" si="18"/>
        <v>310423122</v>
      </c>
      <c r="T38" s="80">
        <f t="shared" si="18"/>
        <v>316560308.54000002</v>
      </c>
      <c r="U38" s="80">
        <f t="shared" si="18"/>
        <v>318975551</v>
      </c>
      <c r="V38" s="80">
        <f t="shared" si="18"/>
        <v>316935153.84999996</v>
      </c>
      <c r="W38" s="80">
        <f t="shared" si="18"/>
        <v>319005719.04999995</v>
      </c>
      <c r="X38" s="80">
        <f t="shared" si="18"/>
        <v>321085937.23000002</v>
      </c>
      <c r="Y38" s="80">
        <f t="shared" si="18"/>
        <v>324948961</v>
      </c>
      <c r="Z38" s="80">
        <f t="shared" si="18"/>
        <v>325015752</v>
      </c>
      <c r="AA38" s="80">
        <f t="shared" si="18"/>
        <v>323346376</v>
      </c>
      <c r="AB38" s="80">
        <f t="shared" si="18"/>
        <v>326808043.85000002</v>
      </c>
      <c r="AC38" s="80">
        <f t="shared" si="18"/>
        <v>337334214</v>
      </c>
      <c r="AD38" s="57">
        <f t="shared" si="18"/>
        <v>339982145</v>
      </c>
    </row>
    <row r="39" spans="1:34" ht="14.45">
      <c r="A39" s="11">
        <v>11</v>
      </c>
      <c r="B39" s="7" t="s">
        <v>56</v>
      </c>
      <c r="C39" s="56">
        <f>6148953+11127387</f>
        <v>17276340</v>
      </c>
      <c r="D39" s="52">
        <v>18970134</v>
      </c>
      <c r="E39" s="52">
        <v>19107909.530000001</v>
      </c>
      <c r="F39" s="52">
        <v>19227517</v>
      </c>
      <c r="G39" s="52">
        <v>19365263</v>
      </c>
      <c r="H39" s="9">
        <v>19441092.469999999</v>
      </c>
      <c r="I39" s="52">
        <v>19508987</v>
      </c>
      <c r="J39" s="52">
        <v>19592640</v>
      </c>
      <c r="K39" s="67">
        <v>19661191.899999999</v>
      </c>
      <c r="L39" s="66">
        <v>19754167</v>
      </c>
      <c r="M39" s="66">
        <v>19847365</v>
      </c>
      <c r="N39" s="66">
        <v>19953633.469999999</v>
      </c>
      <c r="O39" s="66">
        <v>20596317.07</v>
      </c>
      <c r="P39" s="70">
        <v>20674211.07</v>
      </c>
      <c r="Q39" s="79">
        <v>20674211</v>
      </c>
      <c r="R39" s="55">
        <v>20814762.399999999</v>
      </c>
      <c r="S39" s="55">
        <v>21048153</v>
      </c>
      <c r="T39" s="55">
        <v>21279379.829999998</v>
      </c>
      <c r="U39" s="55">
        <v>21411957</v>
      </c>
      <c r="V39" s="55">
        <v>21565457.59</v>
      </c>
      <c r="W39" s="97">
        <v>21736105.899999999</v>
      </c>
      <c r="X39" s="80">
        <v>21929375.960000001</v>
      </c>
      <c r="Y39" s="133">
        <v>22170725</v>
      </c>
      <c r="Z39" s="133">
        <v>22520199</v>
      </c>
      <c r="AA39" s="133">
        <v>22655976</v>
      </c>
      <c r="AB39" s="133">
        <v>23093487.98</v>
      </c>
      <c r="AC39" s="133">
        <v>29563201</v>
      </c>
      <c r="AD39" s="135">
        <v>29563201</v>
      </c>
    </row>
    <row r="40" spans="1:34" ht="14.45">
      <c r="A40" s="11">
        <v>12</v>
      </c>
      <c r="B40" s="7" t="s">
        <v>57</v>
      </c>
      <c r="D40" s="52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64">
        <v>0</v>
      </c>
      <c r="L40" s="65">
        <v>0</v>
      </c>
      <c r="M40" s="65">
        <v>0</v>
      </c>
      <c r="N40" s="65">
        <v>0</v>
      </c>
      <c r="O40" s="65">
        <v>0</v>
      </c>
      <c r="P40" s="69">
        <v>0</v>
      </c>
      <c r="Q40" s="79"/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97">
        <v>0</v>
      </c>
      <c r="X40" s="102">
        <v>0</v>
      </c>
      <c r="Y40" s="133">
        <v>0</v>
      </c>
      <c r="Z40" s="133">
        <v>0</v>
      </c>
      <c r="AA40" s="133">
        <v>0</v>
      </c>
      <c r="AB40" s="133">
        <v>0</v>
      </c>
      <c r="AC40" s="133">
        <v>0</v>
      </c>
      <c r="AD40" s="135"/>
    </row>
    <row r="41" spans="1:34" ht="13.15">
      <c r="A41" s="11">
        <v>13</v>
      </c>
      <c r="B41" s="10" t="s">
        <v>58</v>
      </c>
      <c r="C41" s="8">
        <f t="shared" ref="C41:D41" si="19">SUM(C42+C43)</f>
        <v>10527969</v>
      </c>
      <c r="D41" s="8">
        <f t="shared" si="19"/>
        <v>10537857.189999999</v>
      </c>
      <c r="E41" s="8">
        <f>SUM(E42+E43)</f>
        <v>13911607.189999999</v>
      </c>
      <c r="F41" s="8">
        <f t="shared" ref="F41:AD41" si="20">SUM(F42+F43)</f>
        <v>20362564.170000002</v>
      </c>
      <c r="G41" s="8">
        <f t="shared" si="20"/>
        <v>21467320.41</v>
      </c>
      <c r="H41" s="8">
        <f t="shared" si="20"/>
        <v>22654714.710000001</v>
      </c>
      <c r="I41" s="8">
        <f t="shared" si="20"/>
        <v>26703381.009999998</v>
      </c>
      <c r="J41" s="8">
        <f t="shared" si="20"/>
        <v>28308056.02</v>
      </c>
      <c r="K41" s="8">
        <f t="shared" si="20"/>
        <v>28476084.939999998</v>
      </c>
      <c r="L41" s="8">
        <f t="shared" si="20"/>
        <v>32810978.02</v>
      </c>
      <c r="M41" s="8">
        <f t="shared" si="20"/>
        <v>35833824</v>
      </c>
      <c r="N41" s="8">
        <f t="shared" si="20"/>
        <v>39750765.060000002</v>
      </c>
      <c r="O41" s="8">
        <f t="shared" si="20"/>
        <v>41643119.520000003</v>
      </c>
      <c r="P41" s="8">
        <f t="shared" si="20"/>
        <v>23287350</v>
      </c>
      <c r="Q41" s="78">
        <f t="shared" si="20"/>
        <v>26377438</v>
      </c>
      <c r="R41" s="78">
        <f t="shared" si="20"/>
        <v>22434067.150000002</v>
      </c>
      <c r="S41" s="78">
        <f t="shared" si="20"/>
        <v>27198672.760000002</v>
      </c>
      <c r="T41" s="78">
        <f t="shared" si="20"/>
        <v>26817147.09</v>
      </c>
      <c r="U41" s="78">
        <f t="shared" si="20"/>
        <v>14010129</v>
      </c>
      <c r="V41" s="78">
        <f t="shared" si="20"/>
        <v>26045678.390000001</v>
      </c>
      <c r="W41" s="78">
        <f t="shared" si="20"/>
        <v>28063440.120000001</v>
      </c>
      <c r="X41" s="78">
        <f t="shared" si="20"/>
        <v>29036030.259999998</v>
      </c>
      <c r="Y41" s="78">
        <f t="shared" si="20"/>
        <v>31973118</v>
      </c>
      <c r="Z41" s="78">
        <f t="shared" si="20"/>
        <v>34657122</v>
      </c>
      <c r="AA41" s="78">
        <f t="shared" si="20"/>
        <v>37236485</v>
      </c>
      <c r="AB41" s="78">
        <f t="shared" si="20"/>
        <v>39111576.269999996</v>
      </c>
      <c r="AC41" s="78">
        <f t="shared" si="20"/>
        <v>23329276</v>
      </c>
      <c r="AD41" s="78">
        <f t="shared" si="20"/>
        <v>26391713</v>
      </c>
    </row>
    <row r="42" spans="1:34" ht="14.45">
      <c r="A42" s="11">
        <v>13.1</v>
      </c>
      <c r="B42" s="7" t="s">
        <v>59</v>
      </c>
      <c r="C42" s="16">
        <v>9817318</v>
      </c>
      <c r="D42" s="9">
        <v>10520537.189999999</v>
      </c>
      <c r="E42" s="9">
        <v>11957575.84</v>
      </c>
      <c r="F42" s="9">
        <v>16956507.170000002</v>
      </c>
      <c r="G42" s="9">
        <v>16898537</v>
      </c>
      <c r="H42" s="9">
        <v>16898537</v>
      </c>
      <c r="I42" s="9">
        <v>20434979.59</v>
      </c>
      <c r="J42" s="9">
        <v>20434979.59</v>
      </c>
      <c r="K42" s="67">
        <v>20434979.59</v>
      </c>
      <c r="L42" s="66">
        <v>21781408.359999999</v>
      </c>
      <c r="M42" s="66">
        <v>22285234</v>
      </c>
      <c r="N42" s="66">
        <v>23766738.850000001</v>
      </c>
      <c r="O42" s="66">
        <v>23766738.850000001</v>
      </c>
      <c r="P42" s="70">
        <v>10407030</v>
      </c>
      <c r="Q42" s="79">
        <v>10537859</v>
      </c>
      <c r="R42" s="55">
        <v>23287710.890000001</v>
      </c>
      <c r="S42" s="55">
        <v>26442890</v>
      </c>
      <c r="T42" s="55">
        <v>23309293</v>
      </c>
      <c r="U42" s="55">
        <v>23388009</v>
      </c>
      <c r="V42" s="55">
        <v>23388009</v>
      </c>
      <c r="W42" s="97">
        <v>23388009</v>
      </c>
      <c r="X42" s="102">
        <v>23388009</v>
      </c>
      <c r="Y42" s="133">
        <v>23388009</v>
      </c>
      <c r="Z42" s="133">
        <v>23388009</v>
      </c>
      <c r="AA42" s="133">
        <v>23388009</v>
      </c>
      <c r="AB42" s="133">
        <v>23388009</v>
      </c>
      <c r="AC42" s="133">
        <v>23308615</v>
      </c>
      <c r="AD42" s="135">
        <v>23288009</v>
      </c>
    </row>
    <row r="43" spans="1:34" ht="14.45">
      <c r="A43" s="11">
        <v>13.2</v>
      </c>
      <c r="B43" s="7" t="s">
        <v>60</v>
      </c>
      <c r="C43" s="16">
        <f>2730861-2020210</f>
        <v>710651</v>
      </c>
      <c r="D43" s="8">
        <v>17320</v>
      </c>
      <c r="E43" s="8">
        <v>1954031.35</v>
      </c>
      <c r="F43" s="8">
        <v>3406057</v>
      </c>
      <c r="G43" s="8">
        <v>4568783.41</v>
      </c>
      <c r="H43" s="9">
        <v>5756177.71</v>
      </c>
      <c r="I43" s="8">
        <v>6268401.4199999999</v>
      </c>
      <c r="J43" s="8">
        <v>7873076.4299999997</v>
      </c>
      <c r="K43" s="67">
        <v>8041105.3499999996</v>
      </c>
      <c r="L43" s="66">
        <v>11029569.66</v>
      </c>
      <c r="M43" s="66">
        <v>13548590</v>
      </c>
      <c r="N43" s="66">
        <v>15984026.210000001</v>
      </c>
      <c r="O43" s="66">
        <v>17876380.670000002</v>
      </c>
      <c r="P43" s="70">
        <v>12880320</v>
      </c>
      <c r="Q43" s="79">
        <v>15839579</v>
      </c>
      <c r="R43" s="55">
        <v>-853643.74</v>
      </c>
      <c r="S43" s="55">
        <v>755782.76</v>
      </c>
      <c r="T43" s="55">
        <v>3507854.09</v>
      </c>
      <c r="U43" s="55">
        <v>-9377880</v>
      </c>
      <c r="V43" s="55">
        <v>2657669.39</v>
      </c>
      <c r="W43" s="97">
        <v>4675431.12</v>
      </c>
      <c r="X43" s="78">
        <v>5648021.2599999998</v>
      </c>
      <c r="Y43" s="133">
        <v>8585109</v>
      </c>
      <c r="Z43" s="133">
        <v>11269113</v>
      </c>
      <c r="AA43" s="133">
        <v>13848476</v>
      </c>
      <c r="AB43" s="133">
        <v>15723567.27</v>
      </c>
      <c r="AC43" s="133">
        <v>20661</v>
      </c>
      <c r="AD43" s="135">
        <f>3103704</f>
        <v>3103704</v>
      </c>
    </row>
    <row r="44" spans="1:34" ht="13.15">
      <c r="A44" s="11">
        <v>14</v>
      </c>
      <c r="B44" s="10" t="s">
        <v>61</v>
      </c>
      <c r="C44" s="8">
        <f t="shared" ref="C44:D44" si="21">SUM(C45:C49)</f>
        <v>5780960</v>
      </c>
      <c r="D44" s="8">
        <f t="shared" si="21"/>
        <v>5780960.0300000003</v>
      </c>
      <c r="E44" s="8">
        <f>SUM(E45:E49)</f>
        <v>5785290.0300000003</v>
      </c>
      <c r="F44" s="8">
        <f t="shared" ref="F44:AD44" si="22">SUM(F45:F49)</f>
        <v>5785290.0300000003</v>
      </c>
      <c r="G44" s="8">
        <f t="shared" si="22"/>
        <v>5785290.0300000003</v>
      </c>
      <c r="H44" s="8">
        <f t="shared" si="22"/>
        <v>5785290.0300000003</v>
      </c>
      <c r="I44" s="8">
        <f t="shared" si="22"/>
        <v>5785290.0300000003</v>
      </c>
      <c r="J44" s="8">
        <f t="shared" si="22"/>
        <v>5785290.0300000003</v>
      </c>
      <c r="K44" s="8">
        <f t="shared" si="22"/>
        <v>5785290.0300000003</v>
      </c>
      <c r="L44" s="8">
        <f t="shared" si="22"/>
        <v>5785290.0300000003</v>
      </c>
      <c r="M44" s="8">
        <f t="shared" si="22"/>
        <v>5785290.0300000003</v>
      </c>
      <c r="N44" s="8">
        <f t="shared" si="22"/>
        <v>5785290.0300000003</v>
      </c>
      <c r="O44" s="8">
        <f t="shared" si="22"/>
        <v>5785290.0300000003</v>
      </c>
      <c r="P44" s="8">
        <f t="shared" si="22"/>
        <v>9745185</v>
      </c>
      <c r="Q44" s="78">
        <f t="shared" si="22"/>
        <v>6655097</v>
      </c>
      <c r="R44" s="78">
        <f t="shared" si="22"/>
        <v>9745185</v>
      </c>
      <c r="S44" s="78">
        <f t="shared" si="22"/>
        <v>9745185</v>
      </c>
      <c r="T44" s="78">
        <f t="shared" si="22"/>
        <v>9745185</v>
      </c>
      <c r="U44" s="78">
        <f t="shared" si="22"/>
        <v>9715185</v>
      </c>
      <c r="V44" s="78">
        <f t="shared" si="22"/>
        <v>9745185</v>
      </c>
      <c r="W44" s="78">
        <f t="shared" si="22"/>
        <v>9745185</v>
      </c>
      <c r="X44" s="78">
        <f t="shared" si="22"/>
        <v>9745185</v>
      </c>
      <c r="Y44" s="78">
        <f t="shared" si="22"/>
        <v>9745185</v>
      </c>
      <c r="Z44" s="78">
        <f t="shared" si="22"/>
        <v>9745185</v>
      </c>
      <c r="AA44" s="78">
        <f t="shared" si="22"/>
        <v>9745185</v>
      </c>
      <c r="AB44" s="78">
        <f t="shared" si="22"/>
        <v>9745185</v>
      </c>
      <c r="AC44" s="78">
        <f t="shared" si="22"/>
        <v>13589073</v>
      </c>
      <c r="AD44" s="78">
        <f t="shared" si="22"/>
        <v>7450122</v>
      </c>
    </row>
    <row r="45" spans="1:34" ht="14.45">
      <c r="A45" s="11"/>
      <c r="B45" s="7" t="s">
        <v>62</v>
      </c>
      <c r="C45" s="56">
        <v>5780960</v>
      </c>
      <c r="D45" s="9">
        <v>5780960.0300000003</v>
      </c>
      <c r="E45" s="9">
        <v>5785290.0300000003</v>
      </c>
      <c r="F45" s="9">
        <v>5785290.0300000003</v>
      </c>
      <c r="G45" s="9">
        <v>5785290.0300000003</v>
      </c>
      <c r="H45" s="9">
        <v>5785290.0300000003</v>
      </c>
      <c r="I45" s="9">
        <v>5785290.0300000003</v>
      </c>
      <c r="J45" s="9">
        <v>5785290.0300000003</v>
      </c>
      <c r="K45" s="67">
        <v>5785290.0300000003</v>
      </c>
      <c r="L45" s="66">
        <v>5785290.0300000003</v>
      </c>
      <c r="M45" s="66">
        <v>5785290.0300000003</v>
      </c>
      <c r="N45" s="66">
        <v>5785290.0300000003</v>
      </c>
      <c r="O45" s="66">
        <v>5785290.0300000003</v>
      </c>
      <c r="P45" s="70">
        <v>9745185</v>
      </c>
      <c r="Q45" s="79">
        <v>9745185</v>
      </c>
      <c r="R45" s="55">
        <v>9745185</v>
      </c>
      <c r="S45" s="55">
        <v>9745185</v>
      </c>
      <c r="T45" s="55">
        <v>9745185</v>
      </c>
      <c r="U45" s="55">
        <v>9715185</v>
      </c>
      <c r="V45" s="55">
        <v>9745185</v>
      </c>
      <c r="W45" s="97">
        <v>9745185</v>
      </c>
      <c r="X45" s="102">
        <v>9745185</v>
      </c>
      <c r="Y45" s="133">
        <v>9745185</v>
      </c>
      <c r="Z45" s="133">
        <v>9745185</v>
      </c>
      <c r="AA45" s="133">
        <v>9745185</v>
      </c>
      <c r="AB45" s="133">
        <v>9745185</v>
      </c>
      <c r="AC45" s="133">
        <v>10518084</v>
      </c>
      <c r="AD45" s="137">
        <v>10521111</v>
      </c>
    </row>
    <row r="46" spans="1:34" ht="14.45">
      <c r="A46" s="11"/>
      <c r="B46" s="7" t="s">
        <v>63</v>
      </c>
      <c r="D46" s="8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64">
        <v>0</v>
      </c>
      <c r="L46" s="65">
        <v>0</v>
      </c>
      <c r="M46" s="65">
        <v>0</v>
      </c>
      <c r="N46" s="65">
        <v>0</v>
      </c>
      <c r="O46" s="65">
        <v>0</v>
      </c>
      <c r="P46" s="69">
        <v>0</v>
      </c>
      <c r="Q46" s="79"/>
      <c r="R46" s="55">
        <v>0</v>
      </c>
      <c r="S46" s="55">
        <v>0</v>
      </c>
      <c r="T46" s="55">
        <v>0</v>
      </c>
      <c r="U46" s="55">
        <v>0</v>
      </c>
      <c r="V46" s="55">
        <v>0</v>
      </c>
      <c r="W46" s="97">
        <v>0</v>
      </c>
      <c r="X46" s="102">
        <v>0</v>
      </c>
      <c r="Y46" s="133">
        <v>0</v>
      </c>
      <c r="Z46" s="133">
        <v>0</v>
      </c>
      <c r="AA46" s="133">
        <v>0</v>
      </c>
      <c r="AB46" s="133">
        <v>0</v>
      </c>
      <c r="AC46" s="133">
        <v>0</v>
      </c>
      <c r="AD46" s="135"/>
      <c r="AH46" s="15">
        <f>20/100*3879630</f>
        <v>775926</v>
      </c>
    </row>
    <row r="47" spans="1:34" ht="14.45">
      <c r="A47" s="11"/>
      <c r="B47" s="7" t="s">
        <v>64</v>
      </c>
      <c r="D47" s="8">
        <v>0</v>
      </c>
      <c r="E47" s="8">
        <v>0</v>
      </c>
      <c r="F47" s="8">
        <v>0</v>
      </c>
      <c r="G47" s="8">
        <v>0</v>
      </c>
      <c r="H47" s="9">
        <v>0</v>
      </c>
      <c r="I47" s="8">
        <v>0</v>
      </c>
      <c r="J47" s="8">
        <v>0</v>
      </c>
      <c r="K47" s="64">
        <v>0</v>
      </c>
      <c r="L47" s="65">
        <v>0</v>
      </c>
      <c r="M47" s="65">
        <v>0</v>
      </c>
      <c r="N47" s="65">
        <v>0</v>
      </c>
      <c r="O47" s="65">
        <v>0</v>
      </c>
      <c r="P47" s="69">
        <v>0</v>
      </c>
      <c r="Q47" s="79"/>
      <c r="R47" s="55">
        <v>0</v>
      </c>
      <c r="S47" s="55">
        <v>0</v>
      </c>
      <c r="T47" s="55">
        <v>0</v>
      </c>
      <c r="U47" s="55">
        <v>0</v>
      </c>
      <c r="V47" s="55">
        <v>0</v>
      </c>
      <c r="W47" s="97">
        <v>0</v>
      </c>
      <c r="X47" s="78">
        <v>0</v>
      </c>
      <c r="Y47" s="133">
        <v>0</v>
      </c>
      <c r="Z47" s="133">
        <v>0</v>
      </c>
      <c r="AA47" s="133">
        <v>0</v>
      </c>
      <c r="AB47" s="133">
        <v>0</v>
      </c>
      <c r="AC47" s="133">
        <v>0</v>
      </c>
      <c r="AD47" s="135"/>
      <c r="AH47" s="15">
        <v>3879630</v>
      </c>
    </row>
    <row r="48" spans="1:34" ht="14.45">
      <c r="A48" s="11"/>
      <c r="B48" s="7" t="s">
        <v>65</v>
      </c>
      <c r="D48" s="9">
        <v>0</v>
      </c>
      <c r="E48" s="9">
        <v>0</v>
      </c>
      <c r="F48" s="9">
        <v>0</v>
      </c>
      <c r="G48" s="9">
        <v>0</v>
      </c>
      <c r="H48" s="13">
        <v>0</v>
      </c>
      <c r="I48" s="9">
        <v>0</v>
      </c>
      <c r="J48" s="9">
        <v>0</v>
      </c>
      <c r="K48" s="64">
        <v>0</v>
      </c>
      <c r="L48" s="65">
        <v>0</v>
      </c>
      <c r="M48" s="65">
        <v>0</v>
      </c>
      <c r="N48" s="65">
        <v>0</v>
      </c>
      <c r="O48" s="65">
        <v>0</v>
      </c>
      <c r="P48" s="69">
        <v>0</v>
      </c>
      <c r="Q48" s="81">
        <f>-2959259+-130829</f>
        <v>-3090088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101">
        <v>0</v>
      </c>
      <c r="X48" s="102">
        <v>0</v>
      </c>
      <c r="Y48" s="134">
        <v>0</v>
      </c>
      <c r="Z48" s="134">
        <v>0</v>
      </c>
      <c r="AA48" s="134">
        <v>0</v>
      </c>
      <c r="AB48" s="134">
        <v>0</v>
      </c>
      <c r="AC48" s="134">
        <v>3070989</v>
      </c>
      <c r="AD48" s="135">
        <v>-3070989</v>
      </c>
      <c r="AH48" s="43">
        <f>AH47-AH46</f>
        <v>3103704</v>
      </c>
    </row>
    <row r="49" spans="1:33" ht="14.45">
      <c r="A49" s="11"/>
      <c r="B49" s="7" t="s">
        <v>66</v>
      </c>
      <c r="D49" s="9">
        <v>0</v>
      </c>
      <c r="E49" s="9">
        <v>0</v>
      </c>
      <c r="F49" s="9">
        <v>0</v>
      </c>
      <c r="G49" s="9">
        <v>0</v>
      </c>
      <c r="H49" s="13">
        <v>0</v>
      </c>
      <c r="I49" s="9">
        <v>0</v>
      </c>
      <c r="J49" s="9">
        <v>0</v>
      </c>
      <c r="K49" s="64">
        <v>0</v>
      </c>
      <c r="L49" s="65">
        <v>0</v>
      </c>
      <c r="M49" s="65">
        <v>0</v>
      </c>
      <c r="N49" s="65">
        <v>0</v>
      </c>
      <c r="O49" s="65">
        <v>0</v>
      </c>
      <c r="P49" s="69">
        <v>0</v>
      </c>
      <c r="Q49" s="81"/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101">
        <v>0</v>
      </c>
      <c r="X49" s="102">
        <v>0</v>
      </c>
      <c r="Y49" s="134">
        <v>0</v>
      </c>
      <c r="Z49" s="134">
        <v>0</v>
      </c>
      <c r="AA49" s="134">
        <v>0</v>
      </c>
      <c r="AB49" s="134">
        <v>0</v>
      </c>
      <c r="AC49" s="134">
        <v>0</v>
      </c>
      <c r="AD49" s="135"/>
    </row>
    <row r="50" spans="1:33" ht="13.15">
      <c r="A50" s="11"/>
      <c r="B50" s="10" t="s">
        <v>67</v>
      </c>
      <c r="C50" s="8">
        <f t="shared" ref="C50:D50" si="23">SUM(C39+C40+C41+C44)</f>
        <v>33585269</v>
      </c>
      <c r="D50" s="8">
        <f t="shared" si="23"/>
        <v>35288951.219999999</v>
      </c>
      <c r="E50" s="8">
        <f>SUM(E39+E40+E41+E44)</f>
        <v>38804806.75</v>
      </c>
      <c r="F50" s="8">
        <f t="shared" ref="F50:G50" si="24">SUM(F39+F40+F41+F44)</f>
        <v>45375371.200000003</v>
      </c>
      <c r="G50" s="8">
        <f t="shared" si="24"/>
        <v>46617873.439999998</v>
      </c>
      <c r="H50" s="8">
        <f t="shared" ref="H50:J50" si="25">SUM(H39+H40+H41+H44)</f>
        <v>47881097.210000001</v>
      </c>
      <c r="I50" s="8">
        <f t="shared" si="25"/>
        <v>51997658.039999999</v>
      </c>
      <c r="J50" s="8">
        <f t="shared" si="25"/>
        <v>53685986.049999997</v>
      </c>
      <c r="K50" s="8">
        <f t="shared" ref="K50:AD50" si="26">SUM(K39+K40+K41+K44)</f>
        <v>53922566.869999997</v>
      </c>
      <c r="L50" s="8">
        <f t="shared" si="26"/>
        <v>58350435.049999997</v>
      </c>
      <c r="M50" s="8">
        <f t="shared" si="26"/>
        <v>61466479.030000001</v>
      </c>
      <c r="N50" s="8">
        <f t="shared" si="26"/>
        <v>65489688.560000002</v>
      </c>
      <c r="O50" s="8">
        <f t="shared" si="26"/>
        <v>68024726.620000005</v>
      </c>
      <c r="P50" s="8">
        <f t="shared" si="26"/>
        <v>53706746.07</v>
      </c>
      <c r="Q50" s="78">
        <f t="shared" si="26"/>
        <v>53706746</v>
      </c>
      <c r="R50" s="78">
        <f t="shared" si="26"/>
        <v>52994014.549999997</v>
      </c>
      <c r="S50" s="78">
        <f t="shared" si="26"/>
        <v>57992010.760000005</v>
      </c>
      <c r="T50" s="78">
        <f t="shared" si="26"/>
        <v>57841711.920000002</v>
      </c>
      <c r="U50" s="78">
        <f t="shared" si="26"/>
        <v>45137271</v>
      </c>
      <c r="V50" s="78">
        <f t="shared" si="26"/>
        <v>57356320.980000004</v>
      </c>
      <c r="W50" s="78">
        <f t="shared" si="26"/>
        <v>59544731.019999996</v>
      </c>
      <c r="X50" s="78">
        <f t="shared" si="26"/>
        <v>60710591.219999999</v>
      </c>
      <c r="Y50" s="78">
        <f t="shared" si="26"/>
        <v>63889028</v>
      </c>
      <c r="Z50" s="78">
        <f t="shared" si="26"/>
        <v>66922506</v>
      </c>
      <c r="AA50" s="78">
        <f t="shared" si="26"/>
        <v>69637646</v>
      </c>
      <c r="AB50" s="78">
        <f t="shared" si="26"/>
        <v>71950249.25</v>
      </c>
      <c r="AC50" s="78">
        <f t="shared" si="26"/>
        <v>66481550</v>
      </c>
      <c r="AD50" s="78">
        <f t="shared" si="26"/>
        <v>63405036</v>
      </c>
    </row>
    <row r="51" spans="1:33" ht="13.15">
      <c r="A51" s="11"/>
      <c r="B51" s="10" t="s">
        <v>68</v>
      </c>
      <c r="C51" s="8">
        <f t="shared" ref="C51:D51" si="27">SUM(C38+C50)</f>
        <v>269371400</v>
      </c>
      <c r="D51" s="8">
        <f t="shared" si="27"/>
        <v>293407347.80000001</v>
      </c>
      <c r="E51" s="8">
        <f>SUM(E38+E50)</f>
        <v>303470910.19</v>
      </c>
      <c r="F51" s="8">
        <f t="shared" ref="F51:G51" si="28">SUM(F38+F50)</f>
        <v>307369205.19</v>
      </c>
      <c r="G51" s="8">
        <f t="shared" si="28"/>
        <v>312330586.88</v>
      </c>
      <c r="H51" s="8">
        <f t="shared" ref="H51:J51" si="29">SUM(H38+H50)</f>
        <v>317921567.68999994</v>
      </c>
      <c r="I51" s="8">
        <f t="shared" si="29"/>
        <v>327000813.94</v>
      </c>
      <c r="J51" s="8">
        <f t="shared" si="29"/>
        <v>331399087.83000004</v>
      </c>
      <c r="K51" s="8">
        <f t="shared" ref="K51:AD51" si="30">SUM(K38+K50)</f>
        <v>333126418.76000005</v>
      </c>
      <c r="L51" s="8">
        <f t="shared" si="30"/>
        <v>354049318.44</v>
      </c>
      <c r="M51" s="8">
        <f t="shared" si="30"/>
        <v>348743093</v>
      </c>
      <c r="N51" s="8">
        <f t="shared" si="30"/>
        <v>357437690.81999999</v>
      </c>
      <c r="O51" s="8">
        <f t="shared" si="30"/>
        <v>363705189.07000005</v>
      </c>
      <c r="P51" s="8">
        <f t="shared" si="30"/>
        <v>369437114.44999999</v>
      </c>
      <c r="Q51" s="78">
        <f t="shared" si="30"/>
        <v>369437114</v>
      </c>
      <c r="R51" s="78">
        <f t="shared" si="30"/>
        <v>371548670.16000003</v>
      </c>
      <c r="S51" s="78">
        <f t="shared" si="30"/>
        <v>368415132.75999999</v>
      </c>
      <c r="T51" s="78">
        <f t="shared" si="30"/>
        <v>374402020.46000004</v>
      </c>
      <c r="U51" s="78">
        <f t="shared" si="30"/>
        <v>364112822</v>
      </c>
      <c r="V51" s="78">
        <f t="shared" si="30"/>
        <v>374291474.82999998</v>
      </c>
      <c r="W51" s="78">
        <f t="shared" si="30"/>
        <v>378550450.06999993</v>
      </c>
      <c r="X51" s="78">
        <f t="shared" si="30"/>
        <v>381796528.45000005</v>
      </c>
      <c r="Y51" s="78">
        <f t="shared" si="30"/>
        <v>388837989</v>
      </c>
      <c r="Z51" s="78">
        <f t="shared" si="30"/>
        <v>391938258</v>
      </c>
      <c r="AA51" s="78">
        <f t="shared" si="30"/>
        <v>392984022</v>
      </c>
      <c r="AB51" s="78">
        <f t="shared" si="30"/>
        <v>398758293.10000002</v>
      </c>
      <c r="AC51" s="78">
        <f t="shared" si="30"/>
        <v>403815764</v>
      </c>
      <c r="AD51" s="78">
        <f t="shared" si="30"/>
        <v>403387181</v>
      </c>
      <c r="AG51" s="15">
        <v>403387182</v>
      </c>
    </row>
    <row r="52" spans="1:33">
      <c r="A52" s="1"/>
      <c r="B52" s="3"/>
      <c r="D52" s="3"/>
      <c r="E52" s="3"/>
      <c r="F52" s="3"/>
      <c r="G52" s="3"/>
      <c r="H52" s="3"/>
      <c r="I52" s="3"/>
      <c r="AG52" s="76">
        <f>AG51-AD51</f>
        <v>1</v>
      </c>
    </row>
    <row r="53" spans="1:33">
      <c r="A53" s="1"/>
      <c r="B53" s="3"/>
      <c r="D53" s="3"/>
      <c r="E53" s="3"/>
      <c r="F53" s="3"/>
      <c r="G53" s="3"/>
      <c r="H53" s="3"/>
      <c r="I5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"/>
  <sheetViews>
    <sheetView workbookViewId="0">
      <selection activeCell="B2" sqref="B2:I2"/>
    </sheetView>
  </sheetViews>
  <sheetFormatPr defaultRowHeight="14.45"/>
  <cols>
    <col min="2" max="2" width="16.140625" bestFit="1" customWidth="1"/>
    <col min="4" max="4" width="16" bestFit="1" customWidth="1"/>
    <col min="5" max="5" width="18.28515625" bestFit="1" customWidth="1"/>
    <col min="6" max="6" width="14.140625" bestFit="1" customWidth="1"/>
    <col min="7" max="7" width="8.140625" bestFit="1" customWidth="1"/>
    <col min="8" max="8" width="26.7109375" bestFit="1" customWidth="1"/>
    <col min="9" max="9" width="17.5703125" bestFit="1" customWidth="1"/>
  </cols>
  <sheetData>
    <row r="2" spans="2:9"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8"/>
  <sheetViews>
    <sheetView topLeftCell="A11" workbookViewId="0">
      <pane xSplit="2" topLeftCell="S1" activePane="topRight" state="frozen"/>
      <selection pane="topRight" activeCell="AE36" sqref="AE36"/>
    </sheetView>
  </sheetViews>
  <sheetFormatPr defaultColWidth="9.140625" defaultRowHeight="13.15"/>
  <cols>
    <col min="1" max="1" width="9.28515625" style="15" bestFit="1" customWidth="1"/>
    <col min="2" max="2" width="69.85546875" style="15" customWidth="1"/>
    <col min="3" max="7" width="17.140625" style="15" customWidth="1"/>
    <col min="8" max="8" width="17.140625" style="15" bestFit="1" customWidth="1"/>
    <col min="9" max="9" width="17.140625" style="15" customWidth="1"/>
    <col min="10" max="10" width="19" style="15" customWidth="1"/>
    <col min="11" max="11" width="16.7109375" style="15" bestFit="1" customWidth="1"/>
    <col min="12" max="13" width="16.7109375" style="15" customWidth="1"/>
    <col min="14" max="14" width="16.7109375" style="15" bestFit="1" customWidth="1"/>
    <col min="15" max="16" width="16.7109375" style="15" customWidth="1"/>
    <col min="17" max="17" width="16.7109375" style="15" bestFit="1" customWidth="1"/>
    <col min="18" max="18" width="16.42578125" style="15" hidden="1" customWidth="1"/>
    <col min="19" max="19" width="14.140625" style="15" bestFit="1" customWidth="1"/>
    <col min="20" max="20" width="12.28515625" style="15" customWidth="1"/>
    <col min="21" max="24" width="15.28515625" style="15" hidden="1" customWidth="1"/>
    <col min="25" max="25" width="11.42578125" style="96" hidden="1" customWidth="1"/>
    <col min="26" max="29" width="15.140625" style="15" hidden="1" customWidth="1"/>
    <col min="30" max="30" width="15.140625" style="15" bestFit="1" customWidth="1"/>
    <col min="31" max="31" width="17.140625" style="15" customWidth="1"/>
    <col min="32" max="16384" width="9.140625" style="15"/>
  </cols>
  <sheetData>
    <row r="1" spans="1:31">
      <c r="A1" s="41" t="s">
        <v>0</v>
      </c>
      <c r="B1" s="41"/>
      <c r="C1" s="3"/>
      <c r="D1" s="3"/>
      <c r="E1" s="3"/>
      <c r="F1" s="3"/>
      <c r="G1" s="3"/>
      <c r="H1" s="3"/>
      <c r="I1" s="3"/>
      <c r="J1" s="3"/>
    </row>
    <row r="2" spans="1:31">
      <c r="A2" s="103" t="s">
        <v>77</v>
      </c>
      <c r="B2" s="104"/>
      <c r="C2" s="3"/>
      <c r="D2" s="3"/>
      <c r="E2" s="3"/>
      <c r="F2" s="3"/>
      <c r="G2" s="3"/>
      <c r="H2" s="3"/>
      <c r="I2" s="3"/>
      <c r="J2" s="3"/>
    </row>
    <row r="3" spans="1:31">
      <c r="A3" s="105" t="s">
        <v>2</v>
      </c>
      <c r="B3" s="105"/>
      <c r="C3" s="72" t="s">
        <v>3</v>
      </c>
      <c r="D3" s="72" t="s">
        <v>4</v>
      </c>
      <c r="E3" s="72" t="s">
        <v>78</v>
      </c>
      <c r="F3" s="72" t="s">
        <v>5</v>
      </c>
      <c r="G3" s="72" t="s">
        <v>6</v>
      </c>
      <c r="H3" s="72" t="s">
        <v>7</v>
      </c>
      <c r="I3" s="72" t="s">
        <v>8</v>
      </c>
      <c r="J3" s="72" t="s">
        <v>9</v>
      </c>
      <c r="K3" s="72" t="s">
        <v>10</v>
      </c>
      <c r="L3" s="73" t="s">
        <v>11</v>
      </c>
      <c r="M3" s="73" t="s">
        <v>12</v>
      </c>
      <c r="N3" s="73" t="s">
        <v>13</v>
      </c>
      <c r="O3" s="73" t="s">
        <v>14</v>
      </c>
      <c r="P3" s="73" t="s">
        <v>15</v>
      </c>
      <c r="Q3" s="74" t="s">
        <v>16</v>
      </c>
      <c r="R3" s="106" t="s">
        <v>17</v>
      </c>
      <c r="S3" s="89">
        <v>44583</v>
      </c>
      <c r="T3" s="90">
        <v>44614</v>
      </c>
      <c r="U3" s="89">
        <v>44642</v>
      </c>
      <c r="V3" s="90">
        <v>44673</v>
      </c>
      <c r="W3" s="89">
        <v>44703</v>
      </c>
      <c r="X3" s="90">
        <v>44734</v>
      </c>
      <c r="Y3" s="89">
        <v>44764</v>
      </c>
      <c r="Z3" s="132">
        <v>44774</v>
      </c>
      <c r="AA3" s="132">
        <v>44805</v>
      </c>
      <c r="AB3" s="132">
        <v>44835</v>
      </c>
      <c r="AC3" s="132">
        <v>44866</v>
      </c>
      <c r="AD3" s="132">
        <v>44896</v>
      </c>
      <c r="AE3" s="15" t="s">
        <v>79</v>
      </c>
    </row>
    <row r="4" spans="1:31">
      <c r="A4" s="107">
        <v>1</v>
      </c>
      <c r="B4" s="108" t="s">
        <v>80</v>
      </c>
      <c r="C4" s="109">
        <f>C5+C8</f>
        <v>32774205</v>
      </c>
      <c r="D4" s="109">
        <f>D5+D8</f>
        <v>34090071</v>
      </c>
      <c r="E4" s="109">
        <v>46322746</v>
      </c>
      <c r="F4" s="109">
        <f t="shared" ref="F4:R4" si="0">F5+F8</f>
        <v>3418741.53</v>
      </c>
      <c r="G4" s="109">
        <f t="shared" si="0"/>
        <v>6535327</v>
      </c>
      <c r="H4" s="109">
        <f t="shared" si="0"/>
        <v>10453856.390000001</v>
      </c>
      <c r="I4" s="109">
        <f t="shared" si="0"/>
        <v>14017565.810000001</v>
      </c>
      <c r="J4" s="109">
        <f t="shared" si="0"/>
        <v>17535950.669999998</v>
      </c>
      <c r="K4" s="109">
        <f t="shared" si="0"/>
        <v>21401480.100000001</v>
      </c>
      <c r="L4" s="109">
        <f t="shared" si="0"/>
        <v>25456527.640000001</v>
      </c>
      <c r="M4" s="109">
        <f t="shared" si="0"/>
        <v>29896907.440000001</v>
      </c>
      <c r="N4" s="109">
        <f t="shared" si="0"/>
        <v>33595239</v>
      </c>
      <c r="O4" s="109">
        <f t="shared" si="0"/>
        <v>37474379.340000004</v>
      </c>
      <c r="P4" s="109">
        <f t="shared" si="0"/>
        <v>41638214.93</v>
      </c>
      <c r="Q4" s="109">
        <f t="shared" si="0"/>
        <v>46322756</v>
      </c>
      <c r="R4" s="109">
        <f t="shared" si="0"/>
        <v>46322746</v>
      </c>
      <c r="S4" s="109">
        <f t="shared" ref="S4:AE4" si="1">S5+S8</f>
        <v>3822890.75</v>
      </c>
      <c r="T4" s="109">
        <f t="shared" si="1"/>
        <v>7856139.0900000008</v>
      </c>
      <c r="U4" s="109">
        <f t="shared" si="1"/>
        <v>12023229.02</v>
      </c>
      <c r="V4" s="109">
        <f t="shared" si="1"/>
        <v>16134555</v>
      </c>
      <c r="W4" s="109">
        <f t="shared" si="1"/>
        <v>20781791.849999998</v>
      </c>
      <c r="X4" s="109">
        <f t="shared" si="1"/>
        <v>23529011</v>
      </c>
      <c r="Y4" s="109">
        <f t="shared" si="1"/>
        <v>27610471.420000002</v>
      </c>
      <c r="Z4" s="109">
        <f t="shared" si="1"/>
        <v>32903276</v>
      </c>
      <c r="AA4" s="109">
        <f t="shared" si="1"/>
        <v>36721967</v>
      </c>
      <c r="AB4" s="109">
        <f t="shared" si="1"/>
        <v>40462542</v>
      </c>
      <c r="AC4" s="109">
        <f t="shared" si="1"/>
        <v>43048381.100000001</v>
      </c>
      <c r="AD4" s="109">
        <f t="shared" si="1"/>
        <v>50928847</v>
      </c>
      <c r="AE4" s="109">
        <f t="shared" si="1"/>
        <v>50977192</v>
      </c>
    </row>
    <row r="5" spans="1:31">
      <c r="A5" s="41">
        <v>2</v>
      </c>
      <c r="B5" s="108" t="s">
        <v>81</v>
      </c>
      <c r="C5" s="110">
        <f t="shared" ref="C5:D5" si="2">SUM(C6:C7)</f>
        <v>26357606</v>
      </c>
      <c r="D5" s="110">
        <f t="shared" si="2"/>
        <v>29009435</v>
      </c>
      <c r="E5" s="110">
        <v>42777006</v>
      </c>
      <c r="F5" s="110">
        <f t="shared" ref="F5:R5" si="3">SUM(F6:F7)</f>
        <v>3117356.4</v>
      </c>
      <c r="G5" s="110">
        <f t="shared" si="3"/>
        <v>5871886</v>
      </c>
      <c r="H5" s="110">
        <f t="shared" si="3"/>
        <v>9414572.5</v>
      </c>
      <c r="I5" s="110">
        <f t="shared" si="3"/>
        <v>12623995</v>
      </c>
      <c r="J5" s="110">
        <f t="shared" si="3"/>
        <v>15812491.1</v>
      </c>
      <c r="K5" s="110">
        <f t="shared" si="3"/>
        <v>19224393.800000001</v>
      </c>
      <c r="L5" s="110">
        <f t="shared" si="3"/>
        <v>22878583.199999999</v>
      </c>
      <c r="M5" s="110">
        <f t="shared" si="3"/>
        <v>26904791</v>
      </c>
      <c r="N5" s="110">
        <f t="shared" si="3"/>
        <v>30814461</v>
      </c>
      <c r="O5" s="110">
        <f t="shared" si="3"/>
        <v>33805252.5</v>
      </c>
      <c r="P5" s="110">
        <f t="shared" si="3"/>
        <v>37647894.799999997</v>
      </c>
      <c r="Q5" s="110">
        <f t="shared" si="3"/>
        <v>41965613</v>
      </c>
      <c r="R5" s="110">
        <f t="shared" si="3"/>
        <v>42777006</v>
      </c>
      <c r="S5" s="110">
        <f t="shared" ref="S5:AE5" si="4">SUM(S6:S7)</f>
        <v>3483515.75</v>
      </c>
      <c r="T5" s="110">
        <f t="shared" si="4"/>
        <v>7110647.0500000007</v>
      </c>
      <c r="U5" s="110">
        <f t="shared" si="4"/>
        <v>10850843.399999999</v>
      </c>
      <c r="V5" s="110">
        <f t="shared" si="4"/>
        <v>14578320</v>
      </c>
      <c r="W5" s="110">
        <f t="shared" si="4"/>
        <v>18851897.699999999</v>
      </c>
      <c r="X5" s="110">
        <f t="shared" si="4"/>
        <v>21227727</v>
      </c>
      <c r="Y5" s="110">
        <f t="shared" si="4"/>
        <v>25112074.25</v>
      </c>
      <c r="Z5" s="110">
        <f t="shared" si="4"/>
        <v>29753285</v>
      </c>
      <c r="AA5" s="110">
        <f t="shared" si="4"/>
        <v>31724050</v>
      </c>
      <c r="AB5" s="110">
        <f t="shared" si="4"/>
        <v>36406034</v>
      </c>
      <c r="AC5" s="110">
        <f t="shared" si="4"/>
        <v>38659977.100000001</v>
      </c>
      <c r="AD5" s="110">
        <f t="shared" si="4"/>
        <v>43020703</v>
      </c>
      <c r="AE5" s="110">
        <f t="shared" si="4"/>
        <v>50228228</v>
      </c>
    </row>
    <row r="6" spans="1:31">
      <c r="A6" s="107">
        <v>2.1</v>
      </c>
      <c r="B6" s="111" t="s">
        <v>82</v>
      </c>
      <c r="C6" s="112">
        <v>26357606</v>
      </c>
      <c r="D6" s="113">
        <v>29009435</v>
      </c>
      <c r="E6" s="113">
        <v>39662803</v>
      </c>
      <c r="F6" s="113">
        <v>2439265</v>
      </c>
      <c r="G6" s="113">
        <v>4918501</v>
      </c>
      <c r="H6" s="113">
        <v>7397029</v>
      </c>
      <c r="I6" s="113">
        <v>9889192</v>
      </c>
      <c r="J6" s="114">
        <v>12442331</v>
      </c>
      <c r="K6" s="115">
        <v>15103290</v>
      </c>
      <c r="L6" s="116">
        <v>17756062</v>
      </c>
      <c r="M6" s="117">
        <v>20447140</v>
      </c>
      <c r="N6" s="117">
        <v>23395937</v>
      </c>
      <c r="O6" s="117">
        <v>26305388</v>
      </c>
      <c r="P6" s="117">
        <v>29358663</v>
      </c>
      <c r="Q6" s="117">
        <v>39662803</v>
      </c>
      <c r="R6" s="118">
        <v>39662803</v>
      </c>
      <c r="S6" s="93">
        <v>3252538.15</v>
      </c>
      <c r="T6" s="93">
        <v>6475743.1500000004</v>
      </c>
      <c r="U6" s="93">
        <v>9690395.6999999993</v>
      </c>
      <c r="V6" s="93">
        <v>12962772</v>
      </c>
      <c r="W6" s="93">
        <v>16289805</v>
      </c>
      <c r="X6" s="93">
        <v>19550658</v>
      </c>
      <c r="Y6" s="96">
        <v>22731720.949999999</v>
      </c>
      <c r="Z6" s="131">
        <v>28916133</v>
      </c>
      <c r="AA6" s="131">
        <v>29183517</v>
      </c>
      <c r="AB6" s="131">
        <v>32454963</v>
      </c>
      <c r="AC6" s="131">
        <v>35699146.5</v>
      </c>
      <c r="AD6" s="131">
        <v>38924654</v>
      </c>
      <c r="AE6" s="15">
        <v>45542181</v>
      </c>
    </row>
    <row r="7" spans="1:31">
      <c r="A7" s="107">
        <v>2.2000000000000002</v>
      </c>
      <c r="B7" s="111" t="s">
        <v>83</v>
      </c>
      <c r="C7" s="112"/>
      <c r="D7" s="113"/>
      <c r="E7" s="113">
        <v>3114203</v>
      </c>
      <c r="F7" s="113">
        <v>678091.4</v>
      </c>
      <c r="G7" s="113">
        <v>953385</v>
      </c>
      <c r="H7" s="113">
        <v>2017543.5</v>
      </c>
      <c r="I7" s="113">
        <v>2734803</v>
      </c>
      <c r="J7" s="114">
        <v>3370160.1</v>
      </c>
      <c r="K7" s="115">
        <v>4121103.8</v>
      </c>
      <c r="L7" s="116">
        <v>5122521.2</v>
      </c>
      <c r="M7" s="117">
        <v>6457651</v>
      </c>
      <c r="N7" s="117">
        <v>7418524</v>
      </c>
      <c r="O7" s="117">
        <v>7499864.5</v>
      </c>
      <c r="P7" s="117">
        <v>8289231.7999999998</v>
      </c>
      <c r="Q7" s="117">
        <v>2302810</v>
      </c>
      <c r="R7" s="118">
        <v>3114203</v>
      </c>
      <c r="S7" s="93">
        <v>230977.6</v>
      </c>
      <c r="T7" s="93">
        <v>634903.9</v>
      </c>
      <c r="U7" s="93">
        <v>1160447.7</v>
      </c>
      <c r="V7" s="93">
        <v>1615548</v>
      </c>
      <c r="W7" s="93">
        <v>2562092.7000000002</v>
      </c>
      <c r="X7" s="93">
        <v>1677069</v>
      </c>
      <c r="Y7" s="96">
        <v>2380353.2999999998</v>
      </c>
      <c r="Z7" s="131">
        <v>837152</v>
      </c>
      <c r="AA7" s="131">
        <v>2540533</v>
      </c>
      <c r="AB7" s="131">
        <v>3951071</v>
      </c>
      <c r="AC7" s="131">
        <v>2960830.6</v>
      </c>
      <c r="AD7" s="131">
        <v>4096049</v>
      </c>
      <c r="AE7" s="15">
        <f>3799200+886847</f>
        <v>4686047</v>
      </c>
    </row>
    <row r="8" spans="1:31">
      <c r="A8" s="107">
        <v>3</v>
      </c>
      <c r="B8" s="108" t="s">
        <v>84</v>
      </c>
      <c r="C8" s="110">
        <f t="shared" ref="C8:AE8" si="5">SUM(C9:C12)</f>
        <v>6416599</v>
      </c>
      <c r="D8" s="110">
        <f t="shared" si="5"/>
        <v>5080636</v>
      </c>
      <c r="E8" s="110">
        <v>3545740</v>
      </c>
      <c r="F8" s="110">
        <f t="shared" si="5"/>
        <v>301385.13</v>
      </c>
      <c r="G8" s="110">
        <f t="shared" si="5"/>
        <v>663441</v>
      </c>
      <c r="H8" s="110">
        <f t="shared" si="5"/>
        <v>1039283.89</v>
      </c>
      <c r="I8" s="110">
        <f t="shared" si="5"/>
        <v>1393570.81</v>
      </c>
      <c r="J8" s="110">
        <f t="shared" si="5"/>
        <v>1723459.57</v>
      </c>
      <c r="K8" s="110">
        <f t="shared" si="5"/>
        <v>2177086.2999999998</v>
      </c>
      <c r="L8" s="110">
        <f t="shared" si="5"/>
        <v>2577944.44</v>
      </c>
      <c r="M8" s="110">
        <f t="shared" si="5"/>
        <v>2992116.44</v>
      </c>
      <c r="N8" s="110">
        <f t="shared" si="5"/>
        <v>2780778</v>
      </c>
      <c r="O8" s="110">
        <f t="shared" si="5"/>
        <v>3669126.84</v>
      </c>
      <c r="P8" s="110">
        <f t="shared" si="5"/>
        <v>3990320.13</v>
      </c>
      <c r="Q8" s="110">
        <f t="shared" si="5"/>
        <v>4357143</v>
      </c>
      <c r="R8" s="110">
        <f t="shared" si="5"/>
        <v>3545740</v>
      </c>
      <c r="S8" s="110">
        <f t="shared" si="5"/>
        <v>339375</v>
      </c>
      <c r="T8" s="110">
        <f t="shared" si="5"/>
        <v>745492.04</v>
      </c>
      <c r="U8" s="110">
        <f t="shared" si="5"/>
        <v>1172385.6200000001</v>
      </c>
      <c r="V8" s="110">
        <f t="shared" si="5"/>
        <v>1556235</v>
      </c>
      <c r="W8" s="110">
        <f t="shared" si="5"/>
        <v>1929894.15</v>
      </c>
      <c r="X8" s="110">
        <f t="shared" si="5"/>
        <v>2301284</v>
      </c>
      <c r="Y8" s="110">
        <f t="shared" si="5"/>
        <v>2498397.17</v>
      </c>
      <c r="Z8" s="110">
        <f t="shared" si="5"/>
        <v>3149991</v>
      </c>
      <c r="AA8" s="110">
        <f t="shared" si="5"/>
        <v>4997917</v>
      </c>
      <c r="AB8" s="110">
        <f t="shared" si="5"/>
        <v>4056508</v>
      </c>
      <c r="AC8" s="110">
        <f t="shared" si="5"/>
        <v>4388404</v>
      </c>
      <c r="AD8" s="110">
        <f t="shared" si="5"/>
        <v>7908144</v>
      </c>
      <c r="AE8" s="110">
        <f t="shared" si="5"/>
        <v>748964</v>
      </c>
    </row>
    <row r="9" spans="1:31">
      <c r="A9" s="107">
        <v>3.1</v>
      </c>
      <c r="B9" s="111" t="s">
        <v>85</v>
      </c>
      <c r="C9" s="119"/>
      <c r="D9" s="113"/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4">
        <v>0</v>
      </c>
      <c r="K9" s="115">
        <v>0</v>
      </c>
      <c r="L9" s="120">
        <v>0</v>
      </c>
      <c r="M9" s="121">
        <v>0</v>
      </c>
      <c r="N9" s="121">
        <v>0</v>
      </c>
      <c r="O9" s="121">
        <v>0</v>
      </c>
      <c r="P9" s="121">
        <v>0</v>
      </c>
      <c r="Q9" s="121">
        <v>0</v>
      </c>
      <c r="R9" s="118"/>
      <c r="S9" s="93">
        <v>0</v>
      </c>
      <c r="T9" s="93">
        <v>0</v>
      </c>
      <c r="U9" s="93">
        <v>0</v>
      </c>
      <c r="V9" s="93">
        <v>0</v>
      </c>
      <c r="W9" s="93">
        <v>0</v>
      </c>
      <c r="X9" s="93">
        <v>0</v>
      </c>
      <c r="Y9" s="96">
        <v>0</v>
      </c>
      <c r="Z9" s="131">
        <v>0</v>
      </c>
      <c r="AA9" s="131">
        <v>0</v>
      </c>
      <c r="AB9" s="131">
        <v>0</v>
      </c>
      <c r="AC9" s="131">
        <v>0</v>
      </c>
      <c r="AD9" s="131">
        <v>0</v>
      </c>
    </row>
    <row r="10" spans="1:31">
      <c r="A10" s="107">
        <v>3.2</v>
      </c>
      <c r="B10" s="111" t="s">
        <v>86</v>
      </c>
      <c r="C10" s="119">
        <v>207434</v>
      </c>
      <c r="D10" s="113">
        <v>1879690</v>
      </c>
      <c r="E10" s="113">
        <v>3545740</v>
      </c>
      <c r="F10" s="113">
        <v>296185.13</v>
      </c>
      <c r="G10" s="113">
        <v>575057</v>
      </c>
      <c r="H10" s="113">
        <v>889999.89</v>
      </c>
      <c r="I10" s="113">
        <v>1182443.81</v>
      </c>
      <c r="J10" s="114">
        <v>1454049.77</v>
      </c>
      <c r="K10" s="115">
        <v>1721405.33</v>
      </c>
      <c r="L10" s="116">
        <v>2057928.69</v>
      </c>
      <c r="M10" s="117">
        <v>2386622.94</v>
      </c>
      <c r="N10" s="117">
        <v>2649160</v>
      </c>
      <c r="O10" s="117">
        <v>2922902.14</v>
      </c>
      <c r="P10" s="117">
        <v>3192993.13</v>
      </c>
      <c r="Q10" s="117">
        <v>3478746</v>
      </c>
      <c r="R10" s="118">
        <v>3545740</v>
      </c>
      <c r="S10" s="93">
        <v>286518.2</v>
      </c>
      <c r="T10" s="93">
        <v>573036.04</v>
      </c>
      <c r="U10" s="93">
        <v>854827.22</v>
      </c>
      <c r="V10" s="93">
        <v>1132545</v>
      </c>
      <c r="W10" s="93">
        <v>1422704.95</v>
      </c>
      <c r="X10" s="93">
        <v>1702828</v>
      </c>
      <c r="Y10" s="96">
        <v>1998062.37</v>
      </c>
      <c r="Z10" s="131">
        <v>2315555</v>
      </c>
      <c r="AA10" s="131">
        <v>2842210</v>
      </c>
      <c r="AB10" s="131">
        <v>2903227.95</v>
      </c>
      <c r="AC10" s="131">
        <v>3245270.44</v>
      </c>
      <c r="AD10" s="131">
        <v>3592454</v>
      </c>
    </row>
    <row r="11" spans="1:31">
      <c r="A11" s="107">
        <v>3.3</v>
      </c>
      <c r="B11" s="111" t="s">
        <v>87</v>
      </c>
      <c r="C11" s="119"/>
      <c r="D11" s="113"/>
      <c r="E11" s="113">
        <v>0</v>
      </c>
      <c r="F11" s="113">
        <v>0</v>
      </c>
      <c r="G11" s="113">
        <v>0</v>
      </c>
      <c r="H11" s="113">
        <v>0</v>
      </c>
      <c r="I11" s="113">
        <v>0</v>
      </c>
      <c r="J11" s="114">
        <v>0</v>
      </c>
      <c r="K11" s="115">
        <v>0</v>
      </c>
      <c r="L11" s="120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18"/>
      <c r="S11" s="93">
        <v>0</v>
      </c>
      <c r="T11" s="93">
        <v>0</v>
      </c>
      <c r="U11" s="93">
        <v>0</v>
      </c>
      <c r="V11" s="93">
        <v>0</v>
      </c>
      <c r="W11" s="93">
        <v>0</v>
      </c>
      <c r="X11" s="93">
        <v>0</v>
      </c>
      <c r="Y11" s="96">
        <v>0</v>
      </c>
      <c r="Z11" s="131">
        <v>0</v>
      </c>
      <c r="AA11" s="131">
        <v>0</v>
      </c>
      <c r="AB11" s="131">
        <v>0</v>
      </c>
      <c r="AC11" s="131">
        <v>0</v>
      </c>
      <c r="AD11" s="131">
        <v>0</v>
      </c>
    </row>
    <row r="12" spans="1:31">
      <c r="A12" s="107">
        <v>3.4</v>
      </c>
      <c r="B12" s="122" t="s">
        <v>88</v>
      </c>
      <c r="C12" s="119">
        <v>6209165</v>
      </c>
      <c r="D12" s="123">
        <v>3200946</v>
      </c>
      <c r="E12" s="123">
        <v>0</v>
      </c>
      <c r="F12" s="123">
        <v>5200</v>
      </c>
      <c r="G12" s="123">
        <v>88384</v>
      </c>
      <c r="H12" s="123">
        <v>149284</v>
      </c>
      <c r="I12" s="123">
        <v>211127</v>
      </c>
      <c r="J12" s="124">
        <v>269409.8</v>
      </c>
      <c r="K12" s="115">
        <v>455680.97</v>
      </c>
      <c r="L12" s="125">
        <v>520015.75</v>
      </c>
      <c r="M12" s="126">
        <v>605493.5</v>
      </c>
      <c r="N12" s="126">
        <v>131618</v>
      </c>
      <c r="O12" s="126">
        <v>746224.7</v>
      </c>
      <c r="P12" s="126">
        <v>797327</v>
      </c>
      <c r="Q12" s="126">
        <v>878397</v>
      </c>
      <c r="R12" s="118"/>
      <c r="S12" s="94">
        <v>52856.800000000003</v>
      </c>
      <c r="T12" s="94">
        <v>172456</v>
      </c>
      <c r="U12" s="94">
        <v>317558.40000000002</v>
      </c>
      <c r="V12" s="94">
        <v>423690</v>
      </c>
      <c r="W12" s="94">
        <v>507189.2</v>
      </c>
      <c r="X12" s="94">
        <v>598456</v>
      </c>
      <c r="Y12" s="96">
        <v>500334.8</v>
      </c>
      <c r="Z12" s="130">
        <v>834436</v>
      </c>
      <c r="AA12" s="130">
        <v>2155707</v>
      </c>
      <c r="AB12" s="130">
        <v>1153280.05</v>
      </c>
      <c r="AC12" s="130">
        <v>1143133.56</v>
      </c>
      <c r="AD12" s="130">
        <v>4315690</v>
      </c>
      <c r="AE12" s="15">
        <f>320330+428634</f>
        <v>748964</v>
      </c>
    </row>
    <row r="13" spans="1:31">
      <c r="A13" s="107">
        <v>4</v>
      </c>
      <c r="B13" s="108" t="s">
        <v>89</v>
      </c>
      <c r="C13" s="110">
        <f>C14+C15+C16+C17+C18+C19</f>
        <v>11783851</v>
      </c>
      <c r="D13" s="110">
        <f>D14+D15+D16+D17+D18+D19</f>
        <v>138384</v>
      </c>
      <c r="E13" s="110">
        <v>14507402</v>
      </c>
      <c r="F13" s="110">
        <f t="shared" ref="F13:AE13" si="6">F14+F15+F16+F17+F18+F19</f>
        <v>40564</v>
      </c>
      <c r="G13" s="110">
        <f t="shared" si="6"/>
        <v>46804</v>
      </c>
      <c r="H13" s="110">
        <f t="shared" si="6"/>
        <v>64376</v>
      </c>
      <c r="I13" s="110">
        <f t="shared" si="6"/>
        <v>83348</v>
      </c>
      <c r="J13" s="110">
        <f t="shared" si="6"/>
        <v>2023213</v>
      </c>
      <c r="K13" s="110">
        <f t="shared" si="6"/>
        <v>2037171</v>
      </c>
      <c r="L13" s="110">
        <f t="shared" si="6"/>
        <v>2149695</v>
      </c>
      <c r="M13" s="110">
        <f t="shared" si="6"/>
        <v>2163206</v>
      </c>
      <c r="N13" s="110">
        <f t="shared" si="6"/>
        <v>2053442</v>
      </c>
      <c r="O13" s="110">
        <f t="shared" si="6"/>
        <v>2369662</v>
      </c>
      <c r="P13" s="110">
        <f t="shared" si="6"/>
        <v>2386426</v>
      </c>
      <c r="Q13" s="110">
        <f t="shared" si="6"/>
        <v>17466661</v>
      </c>
      <c r="R13" s="110">
        <f t="shared" si="6"/>
        <v>14507402</v>
      </c>
      <c r="S13" s="110">
        <f t="shared" si="6"/>
        <v>489622</v>
      </c>
      <c r="T13" s="110">
        <f t="shared" si="6"/>
        <v>0</v>
      </c>
      <c r="U13" s="110">
        <f t="shared" si="6"/>
        <v>527248</v>
      </c>
      <c r="V13" s="110">
        <f t="shared" si="6"/>
        <v>356638</v>
      </c>
      <c r="W13" s="110">
        <f t="shared" si="6"/>
        <v>5822594</v>
      </c>
      <c r="X13" s="110">
        <f t="shared" si="6"/>
        <v>3989613.34</v>
      </c>
      <c r="Y13" s="110">
        <f t="shared" si="6"/>
        <v>4167941.07</v>
      </c>
      <c r="Z13" s="110">
        <f t="shared" si="6"/>
        <v>4183647</v>
      </c>
      <c r="AA13" s="110">
        <f t="shared" si="6"/>
        <v>3834547</v>
      </c>
      <c r="AB13" s="110">
        <f t="shared" si="6"/>
        <v>3549401.36</v>
      </c>
      <c r="AC13" s="110">
        <f t="shared" si="6"/>
        <v>2327655.5499999998</v>
      </c>
      <c r="AD13" s="110">
        <f t="shared" si="6"/>
        <v>170803</v>
      </c>
      <c r="AE13" s="110">
        <f t="shared" si="6"/>
        <v>15323702</v>
      </c>
    </row>
    <row r="14" spans="1:31">
      <c r="A14" s="107">
        <v>4.2</v>
      </c>
      <c r="B14" s="111" t="s">
        <v>90</v>
      </c>
      <c r="C14" s="113">
        <v>11610005</v>
      </c>
      <c r="D14" s="113"/>
      <c r="E14" s="113">
        <v>14315529</v>
      </c>
      <c r="F14" s="113">
        <v>0</v>
      </c>
      <c r="G14" s="113">
        <v>0</v>
      </c>
      <c r="H14" s="113">
        <v>0</v>
      </c>
      <c r="I14" s="113">
        <v>0</v>
      </c>
      <c r="J14" s="114">
        <v>0</v>
      </c>
      <c r="K14" s="115">
        <v>0</v>
      </c>
      <c r="L14" s="120">
        <v>0</v>
      </c>
      <c r="M14" s="121">
        <v>0</v>
      </c>
      <c r="N14" s="121">
        <v>0</v>
      </c>
      <c r="O14" s="121">
        <v>0</v>
      </c>
      <c r="P14" s="121">
        <v>0</v>
      </c>
      <c r="Q14" s="117">
        <v>14315529</v>
      </c>
      <c r="R14" s="118">
        <v>14315529</v>
      </c>
      <c r="S14" s="93">
        <v>0</v>
      </c>
      <c r="T14" s="93">
        <v>0</v>
      </c>
      <c r="U14" s="93">
        <v>0</v>
      </c>
      <c r="V14" s="93">
        <v>0</v>
      </c>
      <c r="W14" s="93">
        <v>0</v>
      </c>
      <c r="X14" s="93">
        <v>0</v>
      </c>
      <c r="Y14" s="96">
        <v>0</v>
      </c>
      <c r="Z14" s="131">
        <v>0</v>
      </c>
      <c r="AA14" s="131">
        <v>0</v>
      </c>
      <c r="AB14" s="131">
        <v>0</v>
      </c>
      <c r="AC14" s="131">
        <v>0</v>
      </c>
      <c r="AD14" s="131">
        <v>0</v>
      </c>
      <c r="AE14" s="15">
        <v>15104555</v>
      </c>
    </row>
    <row r="15" spans="1:31">
      <c r="A15" s="107">
        <v>4.3</v>
      </c>
      <c r="B15" s="111" t="s">
        <v>91</v>
      </c>
      <c r="C15" s="119"/>
      <c r="D15" s="113"/>
      <c r="E15" s="113">
        <v>0</v>
      </c>
      <c r="F15" s="113">
        <v>0</v>
      </c>
      <c r="G15" s="113">
        <v>0</v>
      </c>
      <c r="H15" s="113">
        <v>0</v>
      </c>
      <c r="I15" s="113">
        <v>0</v>
      </c>
      <c r="J15" s="114">
        <v>0</v>
      </c>
      <c r="K15" s="115">
        <v>0</v>
      </c>
      <c r="L15" s="120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18"/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6">
        <v>0</v>
      </c>
      <c r="Z15" s="131">
        <v>0</v>
      </c>
      <c r="AA15" s="131">
        <v>0</v>
      </c>
      <c r="AB15" s="131">
        <v>0</v>
      </c>
      <c r="AC15" s="131">
        <v>0</v>
      </c>
      <c r="AD15" s="131">
        <v>0</v>
      </c>
    </row>
    <row r="16" spans="1:31">
      <c r="A16" s="107">
        <v>4.4000000000000004</v>
      </c>
      <c r="B16" s="111" t="s">
        <v>92</v>
      </c>
      <c r="C16" s="127"/>
      <c r="D16" s="113"/>
      <c r="E16" s="113">
        <v>0</v>
      </c>
      <c r="F16" s="113">
        <v>0</v>
      </c>
      <c r="G16" s="113">
        <v>0</v>
      </c>
      <c r="H16" s="113">
        <v>0</v>
      </c>
      <c r="I16" s="113">
        <v>0</v>
      </c>
      <c r="J16" s="114">
        <v>0</v>
      </c>
      <c r="K16" s="115">
        <v>0</v>
      </c>
      <c r="L16" s="120">
        <v>0</v>
      </c>
      <c r="M16" s="121">
        <v>0</v>
      </c>
      <c r="N16" s="121">
        <v>0</v>
      </c>
      <c r="O16" s="121">
        <v>0</v>
      </c>
      <c r="P16" s="121">
        <v>0</v>
      </c>
      <c r="Q16" s="117">
        <v>2959259</v>
      </c>
      <c r="R16" s="118"/>
      <c r="S16" s="93">
        <v>0</v>
      </c>
      <c r="T16" s="93">
        <v>0</v>
      </c>
      <c r="U16" s="93">
        <v>0</v>
      </c>
      <c r="V16" s="93">
        <v>0</v>
      </c>
      <c r="W16" s="93">
        <v>0</v>
      </c>
      <c r="X16" s="93">
        <v>0</v>
      </c>
      <c r="Y16" s="96">
        <v>0</v>
      </c>
      <c r="Z16" s="131">
        <v>0</v>
      </c>
      <c r="AA16" s="131">
        <v>0</v>
      </c>
      <c r="AB16" s="131">
        <v>0</v>
      </c>
      <c r="AC16" s="131">
        <v>0</v>
      </c>
      <c r="AD16" s="131">
        <v>0</v>
      </c>
    </row>
    <row r="17" spans="1:31">
      <c r="A17" s="107">
        <v>4.5</v>
      </c>
      <c r="B17" s="111" t="s">
        <v>93</v>
      </c>
      <c r="C17" s="119">
        <f>124634+49212</f>
        <v>173846</v>
      </c>
      <c r="D17" s="113">
        <f>109986+28398</f>
        <v>138384</v>
      </c>
      <c r="E17" s="113">
        <v>191873</v>
      </c>
      <c r="F17" s="113">
        <v>0</v>
      </c>
      <c r="G17" s="113">
        <v>0</v>
      </c>
      <c r="H17" s="113">
        <v>0</v>
      </c>
      <c r="I17" s="113">
        <v>0</v>
      </c>
      <c r="J17" s="114">
        <v>1941025</v>
      </c>
      <c r="K17" s="115">
        <v>1907775</v>
      </c>
      <c r="L17" s="116">
        <v>1907775</v>
      </c>
      <c r="M17" s="117">
        <v>1907775</v>
      </c>
      <c r="N17" s="117">
        <v>2053442</v>
      </c>
      <c r="O17" s="117">
        <v>1907775</v>
      </c>
      <c r="P17" s="117">
        <v>1907775</v>
      </c>
      <c r="Q17" s="117">
        <v>191873</v>
      </c>
      <c r="R17" s="118">
        <f>140300+51573</f>
        <v>191873</v>
      </c>
      <c r="S17" s="93">
        <v>0</v>
      </c>
      <c r="T17" s="93">
        <v>0</v>
      </c>
      <c r="U17" s="93">
        <v>0</v>
      </c>
      <c r="V17" s="93">
        <v>356638</v>
      </c>
      <c r="W17" s="93">
        <v>5822594</v>
      </c>
      <c r="X17" s="93">
        <v>3989613.34</v>
      </c>
      <c r="Y17" s="96">
        <v>4167941.07</v>
      </c>
      <c r="Z17" s="131">
        <v>4183647</v>
      </c>
      <c r="AA17" s="131">
        <v>3834547</v>
      </c>
      <c r="AB17" s="131">
        <v>3549401.36</v>
      </c>
      <c r="AC17" s="131">
        <v>1084261.95</v>
      </c>
      <c r="AD17" s="131">
        <v>170803</v>
      </c>
    </row>
    <row r="18" spans="1:31">
      <c r="A18" s="107">
        <v>4.5999999999999996</v>
      </c>
      <c r="B18" s="111" t="s">
        <v>94</v>
      </c>
      <c r="C18" s="128"/>
      <c r="D18" s="113"/>
      <c r="E18" s="113">
        <v>0</v>
      </c>
      <c r="F18" s="113">
        <v>0</v>
      </c>
      <c r="G18" s="113">
        <v>0</v>
      </c>
      <c r="H18" s="113">
        <v>0</v>
      </c>
      <c r="I18" s="113">
        <v>0</v>
      </c>
      <c r="J18" s="114">
        <v>0</v>
      </c>
      <c r="K18" s="115">
        <v>0</v>
      </c>
      <c r="L18" s="120">
        <v>0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18"/>
      <c r="S18" s="93">
        <v>0</v>
      </c>
      <c r="T18" s="93">
        <v>0</v>
      </c>
      <c r="U18" s="93">
        <v>0</v>
      </c>
      <c r="V18" s="93">
        <v>0</v>
      </c>
      <c r="W18" s="93">
        <v>0</v>
      </c>
      <c r="X18" s="93">
        <v>0</v>
      </c>
      <c r="Y18" s="96">
        <v>0</v>
      </c>
      <c r="Z18" s="131">
        <v>0</v>
      </c>
      <c r="AA18" s="131">
        <v>0</v>
      </c>
      <c r="AB18" s="131">
        <v>0</v>
      </c>
      <c r="AC18" s="131">
        <v>749899.6</v>
      </c>
      <c r="AD18" s="131">
        <v>0</v>
      </c>
    </row>
    <row r="19" spans="1:31">
      <c r="A19" s="107">
        <v>4.7</v>
      </c>
      <c r="B19" s="111" t="s">
        <v>95</v>
      </c>
      <c r="C19" s="127"/>
      <c r="D19" s="113"/>
      <c r="E19" s="113">
        <v>0</v>
      </c>
      <c r="F19" s="113">
        <v>40564</v>
      </c>
      <c r="G19" s="113">
        <v>46804</v>
      </c>
      <c r="H19" s="113">
        <v>64376</v>
      </c>
      <c r="I19" s="113">
        <v>83348</v>
      </c>
      <c r="J19" s="114">
        <v>82188</v>
      </c>
      <c r="K19" s="115">
        <v>129396</v>
      </c>
      <c r="L19" s="116">
        <v>241920</v>
      </c>
      <c r="M19" s="117">
        <v>255431</v>
      </c>
      <c r="N19" s="121">
        <v>0</v>
      </c>
      <c r="O19" s="117">
        <v>461887</v>
      </c>
      <c r="P19" s="117">
        <v>478651</v>
      </c>
      <c r="Q19" s="121">
        <v>0</v>
      </c>
      <c r="R19" s="118"/>
      <c r="S19" s="93">
        <v>489622</v>
      </c>
      <c r="T19" s="93">
        <v>0</v>
      </c>
      <c r="U19" s="93">
        <v>527248</v>
      </c>
      <c r="V19" s="93">
        <v>0</v>
      </c>
      <c r="W19" s="93">
        <v>0</v>
      </c>
      <c r="X19" s="93">
        <v>0</v>
      </c>
      <c r="Y19" s="96">
        <v>0</v>
      </c>
      <c r="Z19" s="131">
        <v>0</v>
      </c>
      <c r="AA19" s="131">
        <v>0</v>
      </c>
      <c r="AB19" s="131">
        <v>0</v>
      </c>
      <c r="AC19" s="131">
        <v>493494</v>
      </c>
      <c r="AD19" s="131">
        <v>0</v>
      </c>
      <c r="AE19" s="15">
        <v>219147</v>
      </c>
    </row>
    <row r="20" spans="1:31">
      <c r="A20" s="107">
        <v>5</v>
      </c>
      <c r="B20" s="108" t="s">
        <v>96</v>
      </c>
      <c r="C20" s="110">
        <f>C4-C13</f>
        <v>20990354</v>
      </c>
      <c r="D20" s="110">
        <f>D4-D13</f>
        <v>33951687</v>
      </c>
      <c r="E20" s="110">
        <v>31815344</v>
      </c>
      <c r="F20" s="110">
        <f t="shared" ref="F20:R20" si="7">F4-F13</f>
        <v>3378177.53</v>
      </c>
      <c r="G20" s="110">
        <f t="shared" si="7"/>
        <v>6488523</v>
      </c>
      <c r="H20" s="110">
        <f t="shared" si="7"/>
        <v>10389480.390000001</v>
      </c>
      <c r="I20" s="110">
        <f t="shared" si="7"/>
        <v>13934217.810000001</v>
      </c>
      <c r="J20" s="110">
        <f t="shared" si="7"/>
        <v>15512737.669999998</v>
      </c>
      <c r="K20" s="110">
        <f t="shared" si="7"/>
        <v>19364309.100000001</v>
      </c>
      <c r="L20" s="110">
        <f t="shared" si="7"/>
        <v>23306832.640000001</v>
      </c>
      <c r="M20" s="110">
        <f t="shared" si="7"/>
        <v>27733701.440000001</v>
      </c>
      <c r="N20" s="110">
        <f t="shared" si="7"/>
        <v>31541797</v>
      </c>
      <c r="O20" s="110">
        <f t="shared" si="7"/>
        <v>35104717.340000004</v>
      </c>
      <c r="P20" s="110">
        <f t="shared" si="7"/>
        <v>39251788.93</v>
      </c>
      <c r="Q20" s="110">
        <f t="shared" si="7"/>
        <v>28856095</v>
      </c>
      <c r="R20" s="110">
        <f t="shared" si="7"/>
        <v>31815344</v>
      </c>
      <c r="S20" s="110">
        <f t="shared" ref="S20:AE20" si="8">S4-S13</f>
        <v>3333268.75</v>
      </c>
      <c r="T20" s="110">
        <f t="shared" si="8"/>
        <v>7856139.0900000008</v>
      </c>
      <c r="U20" s="110">
        <f t="shared" si="8"/>
        <v>11495981.02</v>
      </c>
      <c r="V20" s="110">
        <f t="shared" si="8"/>
        <v>15777917</v>
      </c>
      <c r="W20" s="110">
        <f t="shared" si="8"/>
        <v>14959197.849999998</v>
      </c>
      <c r="X20" s="110">
        <f t="shared" si="8"/>
        <v>19539397.66</v>
      </c>
      <c r="Y20" s="110">
        <f t="shared" si="8"/>
        <v>23442530.350000001</v>
      </c>
      <c r="Z20" s="110">
        <f t="shared" si="8"/>
        <v>28719629</v>
      </c>
      <c r="AA20" s="110">
        <f t="shared" si="8"/>
        <v>32887420</v>
      </c>
      <c r="AB20" s="110">
        <f t="shared" si="8"/>
        <v>36913140.640000001</v>
      </c>
      <c r="AC20" s="110">
        <f t="shared" si="8"/>
        <v>40720725.550000004</v>
      </c>
      <c r="AD20" s="110">
        <f t="shared" si="8"/>
        <v>50758044</v>
      </c>
      <c r="AE20" s="110">
        <f t="shared" si="8"/>
        <v>35653490</v>
      </c>
    </row>
    <row r="21" spans="1:31">
      <c r="A21" s="107">
        <v>6</v>
      </c>
      <c r="B21" s="108" t="s">
        <v>32</v>
      </c>
      <c r="C21" s="110">
        <f t="shared" ref="C21:D21" si="9">C22-C23</f>
        <v>1460356</v>
      </c>
      <c r="D21" s="110">
        <f t="shared" si="9"/>
        <v>19858888</v>
      </c>
      <c r="E21" s="110">
        <v>-9900593</v>
      </c>
      <c r="F21" s="110">
        <f t="shared" ref="F21:R21" si="10">F22-F23</f>
        <v>0</v>
      </c>
      <c r="G21" s="110">
        <f t="shared" si="10"/>
        <v>0</v>
      </c>
      <c r="H21" s="110">
        <f t="shared" si="10"/>
        <v>846134.5</v>
      </c>
      <c r="I21" s="110">
        <f t="shared" si="10"/>
        <v>2371292</v>
      </c>
      <c r="J21" s="110">
        <f t="shared" si="10"/>
        <v>2371292</v>
      </c>
      <c r="K21" s="110">
        <f t="shared" si="10"/>
        <v>2939249.8</v>
      </c>
      <c r="L21" s="110">
        <f t="shared" si="10"/>
        <v>4726834</v>
      </c>
      <c r="M21" s="110">
        <f t="shared" si="10"/>
        <v>4726834</v>
      </c>
      <c r="N21" s="110">
        <f t="shared" si="10"/>
        <v>4726834</v>
      </c>
      <c r="O21" s="110">
        <f t="shared" si="10"/>
        <v>4726834</v>
      </c>
      <c r="P21" s="110">
        <f t="shared" si="10"/>
        <v>5781487.0999999996</v>
      </c>
      <c r="Q21" s="110">
        <f t="shared" si="10"/>
        <v>-9900593</v>
      </c>
      <c r="R21" s="110">
        <f t="shared" si="10"/>
        <v>-9900593</v>
      </c>
      <c r="S21" s="110">
        <f t="shared" ref="S21:AE21" si="11">S22-S23</f>
        <v>1708615.3</v>
      </c>
      <c r="T21" s="110">
        <f t="shared" si="11"/>
        <v>2271067.2999999998</v>
      </c>
      <c r="U21" s="110">
        <f t="shared" si="11"/>
        <v>2271067.2999999998</v>
      </c>
      <c r="V21" s="110">
        <f t="shared" si="11"/>
        <v>12713718</v>
      </c>
      <c r="W21" s="110">
        <f t="shared" si="11"/>
        <v>3458816.3</v>
      </c>
      <c r="X21" s="110">
        <f t="shared" si="11"/>
        <v>4057488</v>
      </c>
      <c r="Y21" s="110">
        <f t="shared" si="11"/>
        <v>5871985.0999999996</v>
      </c>
      <c r="Z21" s="110">
        <f t="shared" si="11"/>
        <v>6425659</v>
      </c>
      <c r="AA21" s="110">
        <f t="shared" si="11"/>
        <v>6645635</v>
      </c>
      <c r="AB21" s="110">
        <f t="shared" si="11"/>
        <v>6484258.7999999998</v>
      </c>
      <c r="AC21" s="110">
        <f t="shared" si="11"/>
        <v>6303149.9000000004</v>
      </c>
      <c r="AD21" s="110">
        <f t="shared" si="11"/>
        <v>3715190</v>
      </c>
      <c r="AE21" s="110">
        <f t="shared" si="11"/>
        <v>3715190</v>
      </c>
    </row>
    <row r="22" spans="1:31">
      <c r="A22" s="107">
        <v>6.1</v>
      </c>
      <c r="B22" s="111" t="s">
        <v>97</v>
      </c>
      <c r="C22" s="127">
        <v>1460356</v>
      </c>
      <c r="D22" s="113">
        <v>19858888</v>
      </c>
      <c r="E22" s="113">
        <v>-9900593</v>
      </c>
      <c r="F22" s="113">
        <v>0</v>
      </c>
      <c r="G22" s="113">
        <v>0</v>
      </c>
      <c r="H22" s="113">
        <v>846134.5</v>
      </c>
      <c r="I22" s="113">
        <v>2371292</v>
      </c>
      <c r="J22" s="114">
        <v>2371292</v>
      </c>
      <c r="K22" s="115">
        <v>2939249.8</v>
      </c>
      <c r="L22" s="116">
        <v>4726834</v>
      </c>
      <c r="M22" s="117">
        <v>4726834</v>
      </c>
      <c r="N22" s="117">
        <v>4726834</v>
      </c>
      <c r="O22" s="117">
        <v>4726834</v>
      </c>
      <c r="P22" s="117">
        <v>5781487.0999999996</v>
      </c>
      <c r="Q22" s="121">
        <v>0</v>
      </c>
      <c r="R22" s="118"/>
      <c r="S22" s="93">
        <v>1708615.3</v>
      </c>
      <c r="T22" s="93">
        <v>2271067.2999999998</v>
      </c>
      <c r="U22" s="93">
        <v>2271067.2999999998</v>
      </c>
      <c r="V22" s="93">
        <v>12713718</v>
      </c>
      <c r="W22" s="93">
        <v>3458816.3</v>
      </c>
      <c r="X22" s="93">
        <v>4057488</v>
      </c>
      <c r="Y22" s="96">
        <v>5871985.0999999996</v>
      </c>
      <c r="Z22" s="131">
        <v>6425659</v>
      </c>
      <c r="AA22" s="131">
        <v>6645635</v>
      </c>
      <c r="AB22" s="131">
        <v>6484258.7999999998</v>
      </c>
      <c r="AC22" s="131">
        <v>6303149.9000000004</v>
      </c>
      <c r="AD22" s="131">
        <v>3715190</v>
      </c>
      <c r="AE22" s="15">
        <v>3715190</v>
      </c>
    </row>
    <row r="23" spans="1:31">
      <c r="A23" s="107">
        <v>6.2</v>
      </c>
      <c r="B23" s="111" t="s">
        <v>98</v>
      </c>
      <c r="C23" s="127">
        <v>0</v>
      </c>
      <c r="D23" s="113"/>
      <c r="E23" s="113">
        <v>0</v>
      </c>
      <c r="F23" s="113">
        <v>0</v>
      </c>
      <c r="G23" s="113">
        <v>0</v>
      </c>
      <c r="H23" s="113">
        <v>0</v>
      </c>
      <c r="I23" s="113">
        <v>0</v>
      </c>
      <c r="J23" s="114">
        <v>0</v>
      </c>
      <c r="K23" s="115">
        <v>0</v>
      </c>
      <c r="L23" s="120">
        <v>0</v>
      </c>
      <c r="M23" s="121">
        <v>0</v>
      </c>
      <c r="N23" s="121">
        <v>0</v>
      </c>
      <c r="O23" s="121">
        <v>0</v>
      </c>
      <c r="P23" s="121">
        <v>0</v>
      </c>
      <c r="Q23" s="117">
        <v>9900593</v>
      </c>
      <c r="R23" s="118">
        <v>9900593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6">
        <v>0</v>
      </c>
      <c r="Z23" s="131">
        <v>0</v>
      </c>
      <c r="AA23" s="131">
        <v>0</v>
      </c>
      <c r="AB23" s="131">
        <v>0</v>
      </c>
      <c r="AC23" s="131">
        <v>0</v>
      </c>
      <c r="AD23" s="131">
        <v>0</v>
      </c>
    </row>
    <row r="24" spans="1:31">
      <c r="A24" s="107">
        <v>7</v>
      </c>
      <c r="B24" s="108" t="s">
        <v>99</v>
      </c>
      <c r="C24" s="110">
        <f t="shared" ref="C24:AE24" si="12">SUM(C25:C29)</f>
        <v>16012815</v>
      </c>
      <c r="D24" s="110">
        <f t="shared" si="12"/>
        <v>14056548</v>
      </c>
      <c r="E24" s="110">
        <v>20870409</v>
      </c>
      <c r="F24" s="110">
        <f t="shared" si="12"/>
        <v>1130303.3</v>
      </c>
      <c r="G24" s="110">
        <f t="shared" si="12"/>
        <v>3053257.3</v>
      </c>
      <c r="H24" s="110">
        <f t="shared" si="12"/>
        <v>4959956.9399999995</v>
      </c>
      <c r="I24" s="110">
        <f t="shared" si="12"/>
        <v>5787799.1399999997</v>
      </c>
      <c r="J24" s="110">
        <f t="shared" si="12"/>
        <v>6854095.1600000001</v>
      </c>
      <c r="K24" s="110">
        <f t="shared" si="12"/>
        <v>8533034.1400000006</v>
      </c>
      <c r="L24" s="110">
        <f t="shared" si="12"/>
        <v>10519943.84</v>
      </c>
      <c r="M24" s="110">
        <f t="shared" si="12"/>
        <v>11958350.030000001</v>
      </c>
      <c r="N24" s="110">
        <f t="shared" si="12"/>
        <v>13266373</v>
      </c>
      <c r="O24" s="110">
        <f t="shared" si="12"/>
        <v>14374908.66</v>
      </c>
      <c r="P24" s="110">
        <f t="shared" si="12"/>
        <v>15574972.640000001</v>
      </c>
      <c r="Q24" s="110">
        <f t="shared" si="12"/>
        <v>20870419.280000001</v>
      </c>
      <c r="R24" s="110">
        <f t="shared" si="12"/>
        <v>20870419.280000001</v>
      </c>
      <c r="S24" s="110">
        <f t="shared" si="12"/>
        <v>2478296.9699999997</v>
      </c>
      <c r="T24" s="110">
        <f t="shared" si="12"/>
        <v>4829289.01</v>
      </c>
      <c r="U24" s="110">
        <f t="shared" si="12"/>
        <v>5717059.5700000003</v>
      </c>
      <c r="V24" s="110">
        <f t="shared" si="12"/>
        <v>7366670</v>
      </c>
      <c r="W24" s="110">
        <f t="shared" si="12"/>
        <v>8842710.8500000015</v>
      </c>
      <c r="X24" s="110">
        <f t="shared" si="12"/>
        <v>10806478.6</v>
      </c>
      <c r="Y24" s="110">
        <f t="shared" si="12"/>
        <v>11922524.07</v>
      </c>
      <c r="Z24" s="110">
        <f t="shared" si="12"/>
        <v>13708861</v>
      </c>
      <c r="AA24" s="110">
        <f t="shared" si="12"/>
        <v>14972672</v>
      </c>
      <c r="AB24" s="110">
        <f t="shared" si="12"/>
        <v>16580404.970000001</v>
      </c>
      <c r="AC24" s="110">
        <f t="shared" si="12"/>
        <v>18694008.460000001</v>
      </c>
      <c r="AD24" s="110">
        <f t="shared" si="12"/>
        <v>27105535</v>
      </c>
      <c r="AE24" s="110">
        <f t="shared" si="12"/>
        <v>27091117</v>
      </c>
    </row>
    <row r="25" spans="1:31">
      <c r="A25" s="107">
        <v>7.1</v>
      </c>
      <c r="B25" s="111" t="s">
        <v>100</v>
      </c>
      <c r="C25" s="127">
        <v>6094358</v>
      </c>
      <c r="D25" s="113">
        <v>5780807</v>
      </c>
      <c r="E25" s="113">
        <v>7415081</v>
      </c>
      <c r="F25" s="113">
        <v>534186.30000000005</v>
      </c>
      <c r="G25" s="113">
        <v>1087152.3</v>
      </c>
      <c r="H25" s="113">
        <v>1613513.8</v>
      </c>
      <c r="I25" s="113">
        <v>2121299</v>
      </c>
      <c r="J25" s="114">
        <v>2745514.5</v>
      </c>
      <c r="K25" s="115">
        <v>3610776</v>
      </c>
      <c r="L25" s="116">
        <v>4363428</v>
      </c>
      <c r="M25" s="117">
        <v>4957534.5</v>
      </c>
      <c r="N25" s="117">
        <v>5611894</v>
      </c>
      <c r="O25" s="117">
        <v>6269491.0999999996</v>
      </c>
      <c r="P25" s="117">
        <v>6919453.0999999996</v>
      </c>
      <c r="Q25" s="117">
        <v>7415081</v>
      </c>
      <c r="R25" s="118">
        <v>7415081</v>
      </c>
      <c r="S25" s="93">
        <v>680373</v>
      </c>
      <c r="T25" s="93">
        <v>1347425</v>
      </c>
      <c r="U25" s="93">
        <v>2074025</v>
      </c>
      <c r="V25" s="93">
        <v>2754365</v>
      </c>
      <c r="W25" s="93">
        <v>3437662.2</v>
      </c>
      <c r="X25" s="93">
        <v>4617963</v>
      </c>
      <c r="Y25" s="96">
        <v>5482490.5</v>
      </c>
      <c r="Z25" s="131">
        <v>6176528</v>
      </c>
      <c r="AA25" s="131">
        <v>6881824</v>
      </c>
      <c r="AB25" s="131">
        <v>7676130</v>
      </c>
      <c r="AC25" s="131">
        <v>8360402.5</v>
      </c>
      <c r="AD25" s="131">
        <v>8761936</v>
      </c>
      <c r="AE25" s="15">
        <v>8611936</v>
      </c>
    </row>
    <row r="26" spans="1:31">
      <c r="A26" s="107">
        <v>7.2</v>
      </c>
      <c r="B26" s="111" t="s">
        <v>101</v>
      </c>
      <c r="C26" s="119">
        <v>3612674</v>
      </c>
      <c r="D26" s="113">
        <v>2626712</v>
      </c>
      <c r="E26" s="113">
        <v>3833821</v>
      </c>
      <c r="F26" s="113">
        <v>105048</v>
      </c>
      <c r="G26" s="113">
        <v>733690</v>
      </c>
      <c r="H26" s="113">
        <v>1612900.14</v>
      </c>
      <c r="I26" s="113">
        <v>1622476.14</v>
      </c>
      <c r="J26" s="114">
        <v>1799738.14</v>
      </c>
      <c r="K26" s="115">
        <v>2051732.14</v>
      </c>
      <c r="L26" s="116">
        <v>2745912.84</v>
      </c>
      <c r="M26" s="117">
        <v>3276754.81</v>
      </c>
      <c r="N26" s="117">
        <v>3500283</v>
      </c>
      <c r="O26" s="117">
        <v>3823875.84</v>
      </c>
      <c r="P26" s="117">
        <v>3991106.84</v>
      </c>
      <c r="Q26" s="117">
        <v>3833831</v>
      </c>
      <c r="R26" s="117">
        <v>3833831</v>
      </c>
      <c r="S26" s="93">
        <v>798834</v>
      </c>
      <c r="T26" s="93">
        <v>1652193</v>
      </c>
      <c r="U26" s="93">
        <v>1822115.6</v>
      </c>
      <c r="V26" s="93">
        <v>1957058</v>
      </c>
      <c r="W26" s="93">
        <v>2271195.6</v>
      </c>
      <c r="X26" s="93">
        <v>2429839.6</v>
      </c>
      <c r="Y26" s="96">
        <v>2829803.6</v>
      </c>
      <c r="Z26" s="131">
        <v>3082582</v>
      </c>
      <c r="AA26" s="131">
        <v>3238941</v>
      </c>
      <c r="AB26" s="131">
        <v>3501135</v>
      </c>
      <c r="AC26" s="131">
        <v>4695694.99</v>
      </c>
      <c r="AD26" s="131">
        <v>4833555</v>
      </c>
      <c r="AE26" s="15">
        <v>4548555</v>
      </c>
    </row>
    <row r="27" spans="1:31">
      <c r="A27" s="107">
        <v>7.3</v>
      </c>
      <c r="B27" s="111" t="s">
        <v>102</v>
      </c>
      <c r="C27" s="119">
        <v>959371</v>
      </c>
      <c r="D27" s="113">
        <v>427336</v>
      </c>
      <c r="E27" s="113">
        <v>1097736</v>
      </c>
      <c r="F27" s="113">
        <v>58713</v>
      </c>
      <c r="G27" s="113">
        <v>107332</v>
      </c>
      <c r="H27" s="113">
        <v>172044</v>
      </c>
      <c r="I27" s="113">
        <v>196954</v>
      </c>
      <c r="J27" s="114">
        <v>234374</v>
      </c>
      <c r="K27" s="115">
        <v>275884</v>
      </c>
      <c r="L27" s="116">
        <v>598554</v>
      </c>
      <c r="M27" s="117">
        <v>623719</v>
      </c>
      <c r="N27" s="117">
        <v>646529</v>
      </c>
      <c r="O27" s="117">
        <v>672311</v>
      </c>
      <c r="P27" s="117">
        <v>705977</v>
      </c>
      <c r="Q27" s="117">
        <v>1097736</v>
      </c>
      <c r="R27" s="117">
        <v>1097736</v>
      </c>
      <c r="S27" s="93">
        <v>605528.97</v>
      </c>
      <c r="T27" s="93">
        <v>639628.97</v>
      </c>
      <c r="U27" s="93">
        <v>795818.97</v>
      </c>
      <c r="V27" s="93">
        <v>825818</v>
      </c>
      <c r="W27" s="93">
        <v>979992.97</v>
      </c>
      <c r="X27" s="93">
        <v>1027353</v>
      </c>
      <c r="Y27" s="96">
        <v>1072052.97</v>
      </c>
      <c r="Z27" s="131">
        <v>1102502</v>
      </c>
      <c r="AA27" s="131">
        <v>1141152</v>
      </c>
      <c r="AB27" s="131">
        <v>1276483</v>
      </c>
      <c r="AC27" s="131">
        <v>1301983.97</v>
      </c>
      <c r="AD27" s="131">
        <v>1781611</v>
      </c>
      <c r="AE27" s="15">
        <f>1781611+245355</f>
        <v>2026966</v>
      </c>
    </row>
    <row r="28" spans="1:31">
      <c r="A28" s="107">
        <v>7.4</v>
      </c>
      <c r="B28" s="122" t="s">
        <v>103</v>
      </c>
      <c r="C28" s="129">
        <v>541194</v>
      </c>
      <c r="D28" s="113">
        <v>543202</v>
      </c>
      <c r="E28" s="113">
        <v>716348.28</v>
      </c>
      <c r="F28" s="113">
        <v>50000</v>
      </c>
      <c r="G28" s="113">
        <v>100000</v>
      </c>
      <c r="H28" s="113">
        <v>150000</v>
      </c>
      <c r="I28" s="113">
        <v>200000</v>
      </c>
      <c r="J28" s="114">
        <v>250000</v>
      </c>
      <c r="K28" s="115">
        <v>300000</v>
      </c>
      <c r="L28" s="116">
        <v>350000</v>
      </c>
      <c r="M28" s="117">
        <v>400000</v>
      </c>
      <c r="N28" s="117">
        <v>450000</v>
      </c>
      <c r="O28" s="117">
        <v>500000</v>
      </c>
      <c r="P28" s="117">
        <v>550000</v>
      </c>
      <c r="Q28" s="117">
        <v>716348.28</v>
      </c>
      <c r="R28" s="117">
        <v>716348.28</v>
      </c>
      <c r="S28" s="93">
        <v>60000</v>
      </c>
      <c r="T28" s="93">
        <v>120000</v>
      </c>
      <c r="U28" s="93">
        <v>180000</v>
      </c>
      <c r="V28" s="93">
        <v>240000</v>
      </c>
      <c r="W28" s="93">
        <v>300000</v>
      </c>
      <c r="X28" s="93">
        <v>360000</v>
      </c>
      <c r="Y28" s="96">
        <v>420000</v>
      </c>
      <c r="Z28" s="131">
        <v>480000</v>
      </c>
      <c r="AA28" s="131">
        <v>540000</v>
      </c>
      <c r="AB28" s="131">
        <v>600000</v>
      </c>
      <c r="AC28" s="131">
        <v>1049576</v>
      </c>
      <c r="AD28" s="131">
        <v>1747808</v>
      </c>
      <c r="AE28" s="15">
        <v>1747808.01</v>
      </c>
    </row>
    <row r="29" spans="1:31">
      <c r="A29" s="107">
        <v>7.5</v>
      </c>
      <c r="B29" s="111" t="s">
        <v>104</v>
      </c>
      <c r="C29" s="119">
        <f>6305783-959371-541194</f>
        <v>4805218</v>
      </c>
      <c r="D29" s="113">
        <f>5649029-427336-543202</f>
        <v>4678491</v>
      </c>
      <c r="E29" s="113">
        <v>7807422.7199999997</v>
      </c>
      <c r="F29" s="113">
        <v>382356</v>
      </c>
      <c r="G29" s="113">
        <v>1025083</v>
      </c>
      <c r="H29" s="113">
        <v>1411499</v>
      </c>
      <c r="I29" s="113">
        <v>1647070</v>
      </c>
      <c r="J29" s="114">
        <v>1824468.52</v>
      </c>
      <c r="K29" s="115">
        <v>2294642</v>
      </c>
      <c r="L29" s="116">
        <v>2462049</v>
      </c>
      <c r="M29" s="117">
        <v>2700341.72</v>
      </c>
      <c r="N29" s="117">
        <v>3057667</v>
      </c>
      <c r="O29" s="117">
        <v>3109230.72</v>
      </c>
      <c r="P29" s="117">
        <v>3408435.7</v>
      </c>
      <c r="Q29" s="117">
        <v>7807423</v>
      </c>
      <c r="R29" s="117">
        <v>7807423</v>
      </c>
      <c r="S29" s="93">
        <v>333561</v>
      </c>
      <c r="T29" s="93">
        <v>1070042.04</v>
      </c>
      <c r="U29" s="93">
        <v>845100</v>
      </c>
      <c r="V29" s="93">
        <v>1589429</v>
      </c>
      <c r="W29" s="93">
        <v>1853860.08</v>
      </c>
      <c r="X29" s="93">
        <v>2371323</v>
      </c>
      <c r="Y29" s="96">
        <v>2118177</v>
      </c>
      <c r="Z29" s="131">
        <v>2867249</v>
      </c>
      <c r="AA29" s="131">
        <v>3170755</v>
      </c>
      <c r="AB29" s="131">
        <v>3526656.97</v>
      </c>
      <c r="AC29" s="131">
        <v>3286351</v>
      </c>
      <c r="AD29" s="131">
        <v>9980625</v>
      </c>
      <c r="AE29" s="15">
        <f>13930626-1781611-245355-1747808.01</f>
        <v>10155851.99</v>
      </c>
    </row>
    <row r="30" spans="1:31">
      <c r="A30" s="107">
        <v>8</v>
      </c>
      <c r="B30" s="108" t="s">
        <v>105</v>
      </c>
      <c r="C30" s="110">
        <f>C20-C21-C24</f>
        <v>3517183</v>
      </c>
      <c r="D30" s="110">
        <f>D20-D21-D24</f>
        <v>36251</v>
      </c>
      <c r="E30" s="110">
        <v>20845528</v>
      </c>
      <c r="F30" s="110">
        <f t="shared" ref="F30:R30" si="13">F20-F21-F24</f>
        <v>2247874.2299999995</v>
      </c>
      <c r="G30" s="110">
        <f t="shared" si="13"/>
        <v>3435265.7</v>
      </c>
      <c r="H30" s="110">
        <f t="shared" si="13"/>
        <v>4583388.9500000011</v>
      </c>
      <c r="I30" s="110">
        <f t="shared" si="13"/>
        <v>5775126.6700000009</v>
      </c>
      <c r="J30" s="110">
        <f t="shared" si="13"/>
        <v>6287350.5099999979</v>
      </c>
      <c r="K30" s="110">
        <f t="shared" si="13"/>
        <v>7892025.1600000001</v>
      </c>
      <c r="L30" s="110">
        <f t="shared" si="13"/>
        <v>8060054.8000000007</v>
      </c>
      <c r="M30" s="110">
        <f t="shared" si="13"/>
        <v>11048517.41</v>
      </c>
      <c r="N30" s="110">
        <f t="shared" si="13"/>
        <v>13548590</v>
      </c>
      <c r="O30" s="110">
        <f t="shared" si="13"/>
        <v>16002974.680000003</v>
      </c>
      <c r="P30" s="110">
        <f t="shared" si="13"/>
        <v>17895329.189999998</v>
      </c>
      <c r="Q30" s="110">
        <f t="shared" si="13"/>
        <v>17886268.719999999</v>
      </c>
      <c r="R30" s="110">
        <f t="shared" si="13"/>
        <v>20845517.719999999</v>
      </c>
      <c r="S30" s="110">
        <f t="shared" ref="S30:AE30" si="14">S20-S21-S24</f>
        <v>-853643.51999999979</v>
      </c>
      <c r="T30" s="110">
        <f t="shared" si="14"/>
        <v>755782.78000000119</v>
      </c>
      <c r="U30" s="110">
        <f t="shared" si="14"/>
        <v>3507854.1499999985</v>
      </c>
      <c r="V30" s="110">
        <f t="shared" si="14"/>
        <v>-4302471</v>
      </c>
      <c r="W30" s="110">
        <f t="shared" si="14"/>
        <v>2657670.6999999955</v>
      </c>
      <c r="X30" s="110">
        <f t="shared" si="14"/>
        <v>4675431.0600000005</v>
      </c>
      <c r="Y30" s="110">
        <f t="shared" si="14"/>
        <v>5648021.1799999997</v>
      </c>
      <c r="Z30" s="110">
        <f t="shared" si="14"/>
        <v>8585109</v>
      </c>
      <c r="AA30" s="110">
        <f t="shared" si="14"/>
        <v>11269113</v>
      </c>
      <c r="AB30" s="110">
        <f t="shared" si="14"/>
        <v>13848476.869999999</v>
      </c>
      <c r="AC30" s="110">
        <f t="shared" si="14"/>
        <v>15723567.190000005</v>
      </c>
      <c r="AD30" s="110">
        <f t="shared" si="14"/>
        <v>19937319</v>
      </c>
      <c r="AE30" s="110">
        <f t="shared" si="14"/>
        <v>4847183</v>
      </c>
    </row>
    <row r="31" spans="1:31">
      <c r="A31" s="107">
        <v>9</v>
      </c>
      <c r="B31" s="108" t="s">
        <v>106</v>
      </c>
      <c r="C31" s="110">
        <f t="shared" ref="C31:D31" si="15">C32-C33</f>
        <v>0</v>
      </c>
      <c r="D31" s="110">
        <f t="shared" si="15"/>
        <v>0</v>
      </c>
      <c r="E31" s="110">
        <v>0</v>
      </c>
      <c r="F31" s="110">
        <f t="shared" ref="F31:R31" si="16">F32-F33</f>
        <v>0</v>
      </c>
      <c r="G31" s="110">
        <f t="shared" si="16"/>
        <v>0</v>
      </c>
      <c r="H31" s="110">
        <f t="shared" si="16"/>
        <v>0</v>
      </c>
      <c r="I31" s="110">
        <f t="shared" si="16"/>
        <v>0</v>
      </c>
      <c r="J31" s="110">
        <f t="shared" si="16"/>
        <v>0</v>
      </c>
      <c r="K31" s="110">
        <f t="shared" si="16"/>
        <v>0</v>
      </c>
      <c r="L31" s="110">
        <f t="shared" si="16"/>
        <v>0</v>
      </c>
      <c r="M31" s="110">
        <f t="shared" si="16"/>
        <v>0</v>
      </c>
      <c r="N31" s="110">
        <f t="shared" si="16"/>
        <v>0</v>
      </c>
      <c r="O31" s="110">
        <f t="shared" si="16"/>
        <v>0</v>
      </c>
      <c r="P31" s="110">
        <f t="shared" si="16"/>
        <v>0</v>
      </c>
      <c r="Q31" s="110">
        <f t="shared" si="16"/>
        <v>0</v>
      </c>
      <c r="R31" s="110">
        <f t="shared" si="16"/>
        <v>0</v>
      </c>
      <c r="S31" s="110">
        <f t="shared" ref="S31:AE31" si="17">S32-S33</f>
        <v>0</v>
      </c>
      <c r="T31" s="110">
        <f t="shared" si="17"/>
        <v>0</v>
      </c>
      <c r="U31" s="110">
        <f t="shared" si="17"/>
        <v>0</v>
      </c>
      <c r="V31" s="110">
        <f t="shared" si="17"/>
        <v>0</v>
      </c>
      <c r="W31" s="110">
        <f t="shared" si="17"/>
        <v>0</v>
      </c>
      <c r="X31" s="110">
        <f t="shared" si="17"/>
        <v>0</v>
      </c>
      <c r="Y31" s="110">
        <f t="shared" si="17"/>
        <v>0</v>
      </c>
      <c r="Z31" s="110">
        <f t="shared" si="17"/>
        <v>0</v>
      </c>
      <c r="AA31" s="110">
        <f t="shared" si="17"/>
        <v>0</v>
      </c>
      <c r="AB31" s="110">
        <f t="shared" si="17"/>
        <v>0</v>
      </c>
      <c r="AC31" s="110">
        <f t="shared" si="17"/>
        <v>0</v>
      </c>
      <c r="AD31" s="110">
        <f t="shared" si="17"/>
        <v>0</v>
      </c>
      <c r="AE31" s="110">
        <f t="shared" si="17"/>
        <v>0</v>
      </c>
    </row>
    <row r="32" spans="1:31">
      <c r="A32" s="107">
        <v>9.1</v>
      </c>
      <c r="B32" s="111" t="s">
        <v>107</v>
      </c>
      <c r="C32" s="119"/>
      <c r="D32" s="113"/>
      <c r="E32" s="113">
        <v>0</v>
      </c>
      <c r="F32" s="113">
        <v>0</v>
      </c>
      <c r="G32" s="113">
        <v>0</v>
      </c>
      <c r="H32" s="113">
        <v>0</v>
      </c>
      <c r="I32" s="113">
        <v>0</v>
      </c>
      <c r="J32" s="114">
        <v>0</v>
      </c>
      <c r="K32" s="115">
        <v>0</v>
      </c>
      <c r="L32" s="120">
        <v>0</v>
      </c>
      <c r="M32" s="121">
        <v>0</v>
      </c>
      <c r="N32" s="121">
        <v>0</v>
      </c>
      <c r="O32" s="121">
        <v>0</v>
      </c>
      <c r="P32" s="121">
        <v>0</v>
      </c>
      <c r="Q32" s="121">
        <v>0</v>
      </c>
      <c r="R32" s="118"/>
      <c r="S32" s="93">
        <v>0</v>
      </c>
      <c r="T32" s="93">
        <v>0</v>
      </c>
      <c r="U32" s="93">
        <v>0</v>
      </c>
      <c r="V32" s="93">
        <v>0</v>
      </c>
      <c r="W32" s="93">
        <v>0</v>
      </c>
      <c r="X32" s="93">
        <v>0</v>
      </c>
      <c r="Y32" s="96">
        <v>0</v>
      </c>
      <c r="Z32" s="131">
        <v>0</v>
      </c>
      <c r="AA32" s="131">
        <v>0</v>
      </c>
      <c r="AB32" s="131">
        <v>0</v>
      </c>
      <c r="AC32" s="131">
        <v>0</v>
      </c>
      <c r="AD32" s="131">
        <v>0</v>
      </c>
    </row>
    <row r="33" spans="1:31">
      <c r="A33" s="107">
        <v>9.1999999999999993</v>
      </c>
      <c r="B33" s="111" t="s">
        <v>108</v>
      </c>
      <c r="C33" s="119"/>
      <c r="D33" s="113"/>
      <c r="E33" s="113">
        <v>0</v>
      </c>
      <c r="F33" s="113">
        <v>0</v>
      </c>
      <c r="G33" s="113">
        <v>0</v>
      </c>
      <c r="H33" s="113">
        <v>0</v>
      </c>
      <c r="I33" s="113">
        <v>0</v>
      </c>
      <c r="J33" s="114">
        <v>0</v>
      </c>
      <c r="K33" s="115">
        <v>0</v>
      </c>
      <c r="L33" s="120">
        <v>0</v>
      </c>
      <c r="M33" s="121">
        <v>0</v>
      </c>
      <c r="N33" s="121">
        <v>0</v>
      </c>
      <c r="O33" s="121">
        <v>0</v>
      </c>
      <c r="P33" s="121">
        <v>0</v>
      </c>
      <c r="Q33" s="121">
        <v>0</v>
      </c>
      <c r="R33" s="118"/>
      <c r="S33" s="93">
        <v>0</v>
      </c>
      <c r="T33" s="93">
        <v>0</v>
      </c>
      <c r="U33" s="93">
        <v>0</v>
      </c>
      <c r="V33" s="93">
        <v>0</v>
      </c>
      <c r="W33" s="93">
        <v>0</v>
      </c>
      <c r="X33" s="93">
        <v>0</v>
      </c>
      <c r="Y33" s="96">
        <v>0</v>
      </c>
      <c r="Z33" s="131">
        <v>0</v>
      </c>
      <c r="AA33" s="131">
        <v>0</v>
      </c>
      <c r="AB33" s="131">
        <v>0</v>
      </c>
      <c r="AC33" s="131">
        <v>0</v>
      </c>
      <c r="AD33" s="131">
        <v>0</v>
      </c>
    </row>
    <row r="34" spans="1:31">
      <c r="A34" s="107">
        <v>10</v>
      </c>
      <c r="B34" s="111" t="s">
        <v>109</v>
      </c>
      <c r="C34" s="75">
        <f>C30+C31</f>
        <v>3517183</v>
      </c>
      <c r="D34" s="75">
        <f>D30+D31</f>
        <v>36251</v>
      </c>
      <c r="E34" s="75">
        <v>20845528</v>
      </c>
      <c r="F34" s="75">
        <f t="shared" ref="F34:AE34" si="18">F30+F31</f>
        <v>2247874.2299999995</v>
      </c>
      <c r="G34" s="75">
        <f t="shared" si="18"/>
        <v>3435265.7</v>
      </c>
      <c r="H34" s="75">
        <f t="shared" si="18"/>
        <v>4583388.9500000011</v>
      </c>
      <c r="I34" s="75">
        <f t="shared" si="18"/>
        <v>5775126.6700000009</v>
      </c>
      <c r="J34" s="75">
        <f t="shared" si="18"/>
        <v>6287350.5099999979</v>
      </c>
      <c r="K34" s="75">
        <f t="shared" si="18"/>
        <v>7892025.1600000001</v>
      </c>
      <c r="L34" s="75">
        <f t="shared" si="18"/>
        <v>8060054.8000000007</v>
      </c>
      <c r="M34" s="75">
        <f t="shared" si="18"/>
        <v>11048517.41</v>
      </c>
      <c r="N34" s="75">
        <f t="shared" si="18"/>
        <v>13548590</v>
      </c>
      <c r="O34" s="75">
        <f t="shared" si="18"/>
        <v>16002974.680000003</v>
      </c>
      <c r="P34" s="75">
        <f t="shared" si="18"/>
        <v>17895329.189999998</v>
      </c>
      <c r="Q34" s="75">
        <f t="shared" si="18"/>
        <v>17886268.719999999</v>
      </c>
      <c r="R34" s="75">
        <f t="shared" si="18"/>
        <v>20845517.719999999</v>
      </c>
      <c r="S34" s="75">
        <f t="shared" si="18"/>
        <v>-853643.51999999979</v>
      </c>
      <c r="T34" s="75">
        <f t="shared" si="18"/>
        <v>755782.78000000119</v>
      </c>
      <c r="U34" s="75">
        <f t="shared" si="18"/>
        <v>3507854.1499999985</v>
      </c>
      <c r="V34" s="75">
        <f t="shared" si="18"/>
        <v>-4302471</v>
      </c>
      <c r="W34" s="75">
        <f t="shared" si="18"/>
        <v>2657670.6999999955</v>
      </c>
      <c r="X34" s="75">
        <f t="shared" si="18"/>
        <v>4675431.0600000005</v>
      </c>
      <c r="Y34" s="75">
        <f t="shared" si="18"/>
        <v>5648021.1799999997</v>
      </c>
      <c r="Z34" s="75">
        <f t="shared" si="18"/>
        <v>8585109</v>
      </c>
      <c r="AA34" s="75">
        <f t="shared" si="18"/>
        <v>11269113</v>
      </c>
      <c r="AB34" s="75">
        <f t="shared" si="18"/>
        <v>13848476.869999999</v>
      </c>
      <c r="AC34" s="75">
        <f t="shared" si="18"/>
        <v>15723567.190000005</v>
      </c>
      <c r="AD34" s="75">
        <f t="shared" si="18"/>
        <v>19937319</v>
      </c>
      <c r="AE34" s="75">
        <f t="shared" si="18"/>
        <v>4847183</v>
      </c>
    </row>
    <row r="35" spans="1:31">
      <c r="A35" s="107">
        <v>11</v>
      </c>
      <c r="B35" s="111" t="s">
        <v>110</v>
      </c>
      <c r="C35" s="127"/>
      <c r="D35" s="113"/>
      <c r="E35" s="113">
        <v>1046054</v>
      </c>
      <c r="F35" s="113">
        <v>293843</v>
      </c>
      <c r="G35" s="113">
        <v>29208</v>
      </c>
      <c r="H35" s="113">
        <v>14604</v>
      </c>
      <c r="I35" s="113">
        <v>18949</v>
      </c>
      <c r="J35" s="114">
        <v>18949</v>
      </c>
      <c r="K35" s="115">
        <v>18948</v>
      </c>
      <c r="L35" s="116">
        <v>18948</v>
      </c>
      <c r="M35" s="117">
        <v>18948</v>
      </c>
      <c r="N35" s="121">
        <v>0</v>
      </c>
      <c r="O35" s="117">
        <v>18948</v>
      </c>
      <c r="P35" s="117">
        <v>18948</v>
      </c>
      <c r="Q35" s="117">
        <v>1046054</v>
      </c>
      <c r="R35" s="117">
        <v>1046054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6">
        <v>0</v>
      </c>
      <c r="Z35" s="131">
        <v>0</v>
      </c>
      <c r="AA35" s="131">
        <v>0</v>
      </c>
      <c r="AB35" s="131">
        <v>0</v>
      </c>
      <c r="AC35" s="131">
        <v>0</v>
      </c>
      <c r="AD35" s="131">
        <v>968261</v>
      </c>
      <c r="AE35" s="15">
        <v>967553</v>
      </c>
    </row>
    <row r="36" spans="1:31">
      <c r="A36" s="107">
        <v>12</v>
      </c>
      <c r="B36" s="108" t="s">
        <v>111</v>
      </c>
      <c r="C36" s="110">
        <f>C34-C35</f>
        <v>3517183</v>
      </c>
      <c r="D36" s="110">
        <f>D34-D35</f>
        <v>36251</v>
      </c>
      <c r="E36" s="110">
        <v>19799474</v>
      </c>
      <c r="F36" s="110">
        <f t="shared" ref="F36:AE36" si="19">F34-F35</f>
        <v>1954031.2299999995</v>
      </c>
      <c r="G36" s="110">
        <f t="shared" si="19"/>
        <v>3406057.7</v>
      </c>
      <c r="H36" s="110">
        <f t="shared" si="19"/>
        <v>4568784.9500000011</v>
      </c>
      <c r="I36" s="110">
        <f t="shared" si="19"/>
        <v>5756177.6700000009</v>
      </c>
      <c r="J36" s="110">
        <f t="shared" si="19"/>
        <v>6268401.5099999979</v>
      </c>
      <c r="K36" s="110">
        <f t="shared" si="19"/>
        <v>7873077.1600000001</v>
      </c>
      <c r="L36" s="110">
        <f t="shared" si="19"/>
        <v>8041106.8000000007</v>
      </c>
      <c r="M36" s="110">
        <f t="shared" si="19"/>
        <v>11029569.41</v>
      </c>
      <c r="N36" s="110">
        <f t="shared" si="19"/>
        <v>13548590</v>
      </c>
      <c r="O36" s="110">
        <f t="shared" si="19"/>
        <v>15984026.680000003</v>
      </c>
      <c r="P36" s="110">
        <f t="shared" si="19"/>
        <v>17876381.189999998</v>
      </c>
      <c r="Q36" s="110">
        <f t="shared" si="19"/>
        <v>16840214.719999999</v>
      </c>
      <c r="R36" s="110">
        <f t="shared" si="19"/>
        <v>19799463.719999999</v>
      </c>
      <c r="S36" s="110">
        <f t="shared" si="19"/>
        <v>-853643.51999999979</v>
      </c>
      <c r="T36" s="110">
        <f t="shared" si="19"/>
        <v>755782.78000000119</v>
      </c>
      <c r="U36" s="110">
        <f t="shared" si="19"/>
        <v>3507854.1499999985</v>
      </c>
      <c r="V36" s="110">
        <f t="shared" si="19"/>
        <v>-4302471</v>
      </c>
      <c r="W36" s="110">
        <f t="shared" si="19"/>
        <v>2657670.6999999955</v>
      </c>
      <c r="X36" s="110">
        <f t="shared" si="19"/>
        <v>4675431.0600000005</v>
      </c>
      <c r="Y36" s="110">
        <f t="shared" si="19"/>
        <v>5648021.1799999997</v>
      </c>
      <c r="Z36" s="110">
        <f t="shared" si="19"/>
        <v>8585109</v>
      </c>
      <c r="AA36" s="110">
        <f t="shared" si="19"/>
        <v>11269113</v>
      </c>
      <c r="AB36" s="110">
        <f t="shared" si="19"/>
        <v>13848476.869999999</v>
      </c>
      <c r="AC36" s="110">
        <f t="shared" si="19"/>
        <v>15723567.190000005</v>
      </c>
      <c r="AD36" s="110">
        <f t="shared" si="19"/>
        <v>18969058</v>
      </c>
      <c r="AE36" s="110">
        <f t="shared" si="19"/>
        <v>3879630</v>
      </c>
    </row>
    <row r="37" spans="1:31">
      <c r="A37" s="107">
        <v>13</v>
      </c>
      <c r="B37" s="111" t="s">
        <v>112</v>
      </c>
      <c r="C37" s="127"/>
      <c r="D37" s="113"/>
      <c r="E37" s="113">
        <v>0</v>
      </c>
      <c r="F37" s="113">
        <v>0</v>
      </c>
      <c r="G37" s="113">
        <v>0</v>
      </c>
      <c r="H37" s="113">
        <v>0</v>
      </c>
      <c r="I37" s="113">
        <v>0</v>
      </c>
      <c r="J37" s="114">
        <v>0</v>
      </c>
      <c r="K37" s="115">
        <v>0</v>
      </c>
      <c r="L37" s="120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18"/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6">
        <v>0</v>
      </c>
      <c r="Z37" s="131">
        <v>0</v>
      </c>
      <c r="AA37" s="131">
        <v>0</v>
      </c>
      <c r="AB37" s="131">
        <v>0</v>
      </c>
      <c r="AC37" s="131">
        <v>0</v>
      </c>
      <c r="AD37" s="131">
        <v>0</v>
      </c>
    </row>
    <row r="38" spans="1:31">
      <c r="A38" s="107">
        <v>14</v>
      </c>
      <c r="B38" s="108" t="s">
        <v>113</v>
      </c>
      <c r="C38" s="110">
        <f t="shared" ref="C38:AE38" si="20">C36-C37</f>
        <v>3517183</v>
      </c>
      <c r="D38" s="110">
        <f t="shared" si="20"/>
        <v>36251</v>
      </c>
      <c r="E38" s="110">
        <v>19799474</v>
      </c>
      <c r="F38" s="110">
        <f t="shared" si="20"/>
        <v>1954031.2299999995</v>
      </c>
      <c r="G38" s="110">
        <f t="shared" si="20"/>
        <v>3406057.7</v>
      </c>
      <c r="H38" s="110">
        <f t="shared" si="20"/>
        <v>4568784.9500000011</v>
      </c>
      <c r="I38" s="110">
        <f t="shared" si="20"/>
        <v>5756177.6700000009</v>
      </c>
      <c r="J38" s="110">
        <f t="shared" si="20"/>
        <v>6268401.5099999979</v>
      </c>
      <c r="K38" s="110">
        <f t="shared" si="20"/>
        <v>7873077.1600000001</v>
      </c>
      <c r="L38" s="110">
        <f t="shared" si="20"/>
        <v>8041106.8000000007</v>
      </c>
      <c r="M38" s="110">
        <f t="shared" si="20"/>
        <v>11029569.41</v>
      </c>
      <c r="N38" s="110">
        <f t="shared" si="20"/>
        <v>13548590</v>
      </c>
      <c r="O38" s="110">
        <f t="shared" si="20"/>
        <v>15984026.680000003</v>
      </c>
      <c r="P38" s="110">
        <f t="shared" si="20"/>
        <v>17876381.189999998</v>
      </c>
      <c r="Q38" s="110">
        <f t="shared" si="20"/>
        <v>16840214.719999999</v>
      </c>
      <c r="R38" s="110">
        <f t="shared" si="20"/>
        <v>19799463.719999999</v>
      </c>
      <c r="S38" s="110">
        <f t="shared" si="20"/>
        <v>-853643.51999999979</v>
      </c>
      <c r="T38" s="110">
        <f t="shared" si="20"/>
        <v>755782.78000000119</v>
      </c>
      <c r="U38" s="110">
        <f t="shared" si="20"/>
        <v>3507854.1499999985</v>
      </c>
      <c r="V38" s="110">
        <f t="shared" si="20"/>
        <v>-4302471</v>
      </c>
      <c r="W38" s="110">
        <f t="shared" si="20"/>
        <v>2657670.6999999955</v>
      </c>
      <c r="X38" s="110">
        <f t="shared" si="20"/>
        <v>4675431.0600000005</v>
      </c>
      <c r="Y38" s="110">
        <f t="shared" si="20"/>
        <v>5648021.1799999997</v>
      </c>
      <c r="Z38" s="110">
        <f t="shared" si="20"/>
        <v>8585109</v>
      </c>
      <c r="AA38" s="110">
        <f t="shared" si="20"/>
        <v>11269113</v>
      </c>
      <c r="AB38" s="110">
        <f t="shared" si="20"/>
        <v>13848476.869999999</v>
      </c>
      <c r="AC38" s="110">
        <f t="shared" si="20"/>
        <v>15723567.190000005</v>
      </c>
      <c r="AD38" s="110">
        <f t="shared" si="20"/>
        <v>18969058</v>
      </c>
      <c r="AE38" s="110">
        <f t="shared" si="20"/>
        <v>3879630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I66"/>
  <sheetViews>
    <sheetView topLeftCell="A2" workbookViewId="0">
      <selection activeCell="E22" sqref="E22"/>
    </sheetView>
  </sheetViews>
  <sheetFormatPr defaultColWidth="9.140625" defaultRowHeight="13.9"/>
  <cols>
    <col min="1" max="2" width="9.140625" style="16"/>
    <col min="3" max="3" width="18" style="16" bestFit="1" customWidth="1"/>
    <col min="4" max="4" width="12.85546875" style="16" bestFit="1" customWidth="1"/>
    <col min="5" max="5" width="41.28515625" style="16" bestFit="1" customWidth="1"/>
    <col min="6" max="6" width="23.7109375" style="16" bestFit="1" customWidth="1"/>
    <col min="7" max="7" width="40.140625" style="16" bestFit="1" customWidth="1"/>
    <col min="8" max="9" width="11.7109375" style="16" bestFit="1" customWidth="1"/>
    <col min="10" max="16384" width="9.140625" style="16"/>
  </cols>
  <sheetData>
    <row r="2" spans="3:7">
      <c r="E2" s="62">
        <v>44256</v>
      </c>
    </row>
    <row r="4" spans="3:7">
      <c r="C4" s="51" t="s">
        <v>114</v>
      </c>
      <c r="D4" s="51" t="s">
        <v>115</v>
      </c>
      <c r="E4" s="51" t="s">
        <v>116</v>
      </c>
      <c r="F4" s="51" t="s">
        <v>117</v>
      </c>
      <c r="G4" s="51" t="s">
        <v>118</v>
      </c>
    </row>
    <row r="5" spans="3:7">
      <c r="C5" s="47" t="s">
        <v>119</v>
      </c>
      <c r="D5" s="55"/>
      <c r="E5" s="55">
        <v>171848660.31</v>
      </c>
      <c r="F5" s="49">
        <v>0.01</v>
      </c>
      <c r="G5" s="48">
        <f>F5*E5</f>
        <v>1718486.6030999999</v>
      </c>
    </row>
    <row r="6" spans="3:7">
      <c r="C6" s="47" t="s">
        <v>120</v>
      </c>
      <c r="D6" s="55"/>
      <c r="E6" s="55">
        <v>28919297.66</v>
      </c>
      <c r="F6" s="49">
        <v>0.05</v>
      </c>
      <c r="G6" s="48">
        <f t="shared" ref="G6:G9" si="0">F6*E6</f>
        <v>1445964.8830000001</v>
      </c>
    </row>
    <row r="7" spans="3:7">
      <c r="C7" s="47" t="s">
        <v>121</v>
      </c>
      <c r="D7" s="55"/>
      <c r="E7" s="55">
        <v>17298338.399999999</v>
      </c>
      <c r="F7" s="49">
        <v>0.25</v>
      </c>
      <c r="G7" s="48">
        <f t="shared" si="0"/>
        <v>4324584.5999999996</v>
      </c>
    </row>
    <row r="8" spans="3:7">
      <c r="C8" s="47" t="s">
        <v>122</v>
      </c>
      <c r="D8" s="55"/>
      <c r="E8" s="55">
        <v>6778093</v>
      </c>
      <c r="F8" s="49">
        <v>0.5</v>
      </c>
      <c r="G8" s="48">
        <f t="shared" si="0"/>
        <v>3389046.5</v>
      </c>
    </row>
    <row r="9" spans="3:7">
      <c r="C9" s="47" t="s">
        <v>123</v>
      </c>
      <c r="D9" s="55"/>
      <c r="E9" s="55">
        <v>3365364.32</v>
      </c>
      <c r="F9" s="49">
        <v>1</v>
      </c>
      <c r="G9" s="48">
        <f t="shared" si="0"/>
        <v>3365364.32</v>
      </c>
    </row>
    <row r="10" spans="3:7">
      <c r="C10" s="51" t="s">
        <v>124</v>
      </c>
      <c r="D10" s="50"/>
      <c r="E10" s="50"/>
      <c r="F10" s="51"/>
      <c r="G10" s="50"/>
    </row>
    <row r="11" spans="3:7">
      <c r="C11" s="47"/>
      <c r="D11" s="47"/>
      <c r="E11" s="47"/>
      <c r="F11" s="47"/>
      <c r="G11" s="47"/>
    </row>
    <row r="12" spans="3:7">
      <c r="C12" s="47" t="s">
        <v>119</v>
      </c>
      <c r="D12" s="47"/>
      <c r="E12" s="47"/>
      <c r="F12" s="49">
        <v>0.01</v>
      </c>
      <c r="G12" s="47" t="s">
        <v>125</v>
      </c>
    </row>
    <row r="13" spans="3:7">
      <c r="C13" s="47" t="s">
        <v>120</v>
      </c>
      <c r="D13" s="47"/>
      <c r="E13" s="47"/>
      <c r="F13" s="49">
        <v>0.05</v>
      </c>
      <c r="G13" s="47" t="s">
        <v>125</v>
      </c>
    </row>
    <row r="14" spans="3:7">
      <c r="C14" s="47" t="s">
        <v>121</v>
      </c>
      <c r="D14" s="47"/>
      <c r="E14" s="47"/>
      <c r="F14" s="49">
        <v>0.25</v>
      </c>
      <c r="G14" s="47" t="s">
        <v>125</v>
      </c>
    </row>
    <row r="15" spans="3:7">
      <c r="C15" s="47" t="s">
        <v>122</v>
      </c>
      <c r="D15" s="47"/>
      <c r="E15" s="47"/>
      <c r="F15" s="49">
        <v>0.5</v>
      </c>
      <c r="G15" s="47" t="s">
        <v>125</v>
      </c>
    </row>
    <row r="16" spans="3:7">
      <c r="C16" s="47" t="s">
        <v>123</v>
      </c>
      <c r="D16" s="47"/>
      <c r="E16" s="47"/>
      <c r="F16" s="49">
        <v>1</v>
      </c>
      <c r="G16" s="47" t="s">
        <v>125</v>
      </c>
    </row>
    <row r="17" spans="3:7">
      <c r="C17" s="47" t="s">
        <v>124</v>
      </c>
      <c r="D17" s="50"/>
      <c r="E17" s="50">
        <f>SUM(E5:E9)</f>
        <v>228209753.69</v>
      </c>
      <c r="F17" s="51"/>
      <c r="G17" s="50">
        <f>SUM(G5:G9)</f>
        <v>14243446.906100001</v>
      </c>
    </row>
    <row r="18" spans="3:7">
      <c r="C18" s="47"/>
    </row>
    <row r="21" spans="3:7">
      <c r="D21" s="44" t="s">
        <v>126</v>
      </c>
      <c r="E21" s="45">
        <f>E7+E8+E9</f>
        <v>27441795.719999999</v>
      </c>
    </row>
    <row r="22" spans="3:7">
      <c r="D22" s="44" t="s">
        <v>127</v>
      </c>
      <c r="E22" s="46">
        <f>E21/E17</f>
        <v>0.12024812820786318</v>
      </c>
    </row>
    <row r="25" spans="3:7">
      <c r="E25" s="62">
        <v>44348</v>
      </c>
    </row>
    <row r="27" spans="3:7">
      <c r="C27" s="51" t="s">
        <v>114</v>
      </c>
      <c r="D27" s="51" t="s">
        <v>115</v>
      </c>
      <c r="E27" s="51" t="s">
        <v>116</v>
      </c>
      <c r="F27" s="51" t="s">
        <v>117</v>
      </c>
      <c r="G27" s="51" t="s">
        <v>118</v>
      </c>
    </row>
    <row r="28" spans="3:7">
      <c r="C28" s="47" t="s">
        <v>119</v>
      </c>
      <c r="D28" s="55"/>
      <c r="E28" s="55">
        <v>180853070.5</v>
      </c>
      <c r="F28" s="49">
        <v>0.01</v>
      </c>
      <c r="G28" s="48">
        <f>F28*E28</f>
        <v>1808530.7050000001</v>
      </c>
    </row>
    <row r="29" spans="3:7">
      <c r="C29" s="47" t="s">
        <v>120</v>
      </c>
      <c r="D29" s="55"/>
      <c r="E29" s="55">
        <v>31883984.739999998</v>
      </c>
      <c r="F29" s="49">
        <v>0.05</v>
      </c>
      <c r="G29" s="48">
        <f t="shared" ref="G29:G32" si="1">F29*E29</f>
        <v>1594199.237</v>
      </c>
    </row>
    <row r="30" spans="3:7">
      <c r="C30" s="47" t="s">
        <v>121</v>
      </c>
      <c r="D30" s="55"/>
      <c r="E30" s="55">
        <v>17598494.969999999</v>
      </c>
      <c r="F30" s="49">
        <v>0.25</v>
      </c>
      <c r="G30" s="48">
        <f t="shared" si="1"/>
        <v>4399623.7424999997</v>
      </c>
    </row>
    <row r="31" spans="3:7">
      <c r="C31" s="47" t="s">
        <v>122</v>
      </c>
      <c r="D31" s="55"/>
      <c r="E31" s="55">
        <v>426649.69</v>
      </c>
      <c r="F31" s="49">
        <v>0.5</v>
      </c>
      <c r="G31" s="48">
        <f t="shared" si="1"/>
        <v>213324.845</v>
      </c>
    </row>
    <row r="32" spans="3:7">
      <c r="C32" s="47" t="s">
        <v>123</v>
      </c>
      <c r="D32" s="55"/>
      <c r="E32" s="55">
        <v>4644340.58</v>
      </c>
      <c r="F32" s="49">
        <v>1</v>
      </c>
      <c r="G32" s="48">
        <f t="shared" si="1"/>
        <v>4644340.58</v>
      </c>
    </row>
    <row r="33" spans="3:7">
      <c r="C33" s="51" t="s">
        <v>124</v>
      </c>
      <c r="D33" s="50"/>
      <c r="E33" s="50"/>
      <c r="F33" s="51"/>
      <c r="G33" s="50"/>
    </row>
    <row r="34" spans="3:7">
      <c r="C34" s="47"/>
      <c r="D34" s="47"/>
      <c r="E34" s="47"/>
      <c r="F34" s="47"/>
      <c r="G34" s="47"/>
    </row>
    <row r="35" spans="3:7">
      <c r="C35" s="47" t="s">
        <v>119</v>
      </c>
      <c r="D35" s="47"/>
      <c r="E35" s="47"/>
      <c r="F35" s="49">
        <v>0.01</v>
      </c>
      <c r="G35" s="47" t="s">
        <v>125</v>
      </c>
    </row>
    <row r="36" spans="3:7">
      <c r="C36" s="47" t="s">
        <v>120</v>
      </c>
      <c r="D36" s="47"/>
      <c r="E36" s="47"/>
      <c r="F36" s="49">
        <v>0.05</v>
      </c>
      <c r="G36" s="47" t="s">
        <v>125</v>
      </c>
    </row>
    <row r="37" spans="3:7">
      <c r="C37" s="47" t="s">
        <v>121</v>
      </c>
      <c r="D37" s="47"/>
      <c r="E37" s="47"/>
      <c r="F37" s="49">
        <v>0.25</v>
      </c>
      <c r="G37" s="47" t="s">
        <v>125</v>
      </c>
    </row>
    <row r="38" spans="3:7">
      <c r="C38" s="47" t="s">
        <v>122</v>
      </c>
      <c r="D38" s="47"/>
      <c r="E38" s="47"/>
      <c r="F38" s="49">
        <v>0.5</v>
      </c>
      <c r="G38" s="47" t="s">
        <v>125</v>
      </c>
    </row>
    <row r="39" spans="3:7">
      <c r="C39" s="47" t="s">
        <v>123</v>
      </c>
      <c r="D39" s="47"/>
      <c r="E39" s="47"/>
      <c r="F39" s="49">
        <v>1</v>
      </c>
      <c r="G39" s="47" t="s">
        <v>125</v>
      </c>
    </row>
    <row r="40" spans="3:7">
      <c r="C40" s="47" t="s">
        <v>124</v>
      </c>
      <c r="D40" s="50"/>
      <c r="E40" s="50">
        <f>SUM(E28:E32)</f>
        <v>235406540.48000002</v>
      </c>
      <c r="F40" s="51"/>
      <c r="G40" s="50">
        <f>SUM(G28:G32)</f>
        <v>12660019.109499998</v>
      </c>
    </row>
    <row r="41" spans="3:7">
      <c r="C41" s="47"/>
    </row>
    <row r="44" spans="3:7">
      <c r="D44" s="44" t="s">
        <v>126</v>
      </c>
      <c r="E44" s="45">
        <f>E30+E31+E32</f>
        <v>22669485.240000002</v>
      </c>
    </row>
    <row r="45" spans="3:7">
      <c r="D45" s="44" t="s">
        <v>127</v>
      </c>
      <c r="E45" s="46">
        <f>E44/E40</f>
        <v>9.6299300749147984E-2</v>
      </c>
    </row>
    <row r="47" spans="3:7">
      <c r="E47" s="95">
        <v>44734</v>
      </c>
    </row>
    <row r="48" spans="3:7">
      <c r="C48" s="51" t="s">
        <v>114</v>
      </c>
      <c r="D48" s="51" t="s">
        <v>115</v>
      </c>
      <c r="E48" s="51" t="s">
        <v>116</v>
      </c>
      <c r="F48" s="51" t="s">
        <v>117</v>
      </c>
      <c r="G48" s="51" t="s">
        <v>118</v>
      </c>
    </row>
    <row r="49" spans="3:9">
      <c r="C49" s="47" t="s">
        <v>119</v>
      </c>
      <c r="D49" s="55">
        <v>554</v>
      </c>
      <c r="E49" s="55">
        <v>218517686</v>
      </c>
      <c r="F49" s="49">
        <v>0.01</v>
      </c>
      <c r="G49" s="48">
        <f>F49*E49</f>
        <v>2185176.86</v>
      </c>
      <c r="H49" s="55"/>
      <c r="I49" s="55"/>
    </row>
    <row r="50" spans="3:9">
      <c r="C50" s="47" t="s">
        <v>120</v>
      </c>
      <c r="D50" s="55">
        <v>88</v>
      </c>
      <c r="E50" s="55">
        <v>70200018</v>
      </c>
      <c r="F50" s="49">
        <v>0.05</v>
      </c>
      <c r="G50" s="48">
        <f t="shared" ref="G50:G53" si="2">F50*E50</f>
        <v>3510000.9000000004</v>
      </c>
      <c r="H50" s="55"/>
      <c r="I50" s="55"/>
    </row>
    <row r="51" spans="3:9">
      <c r="C51" s="47" t="s">
        <v>121</v>
      </c>
      <c r="D51" s="55">
        <v>24</v>
      </c>
      <c r="E51" s="55">
        <v>7504880</v>
      </c>
      <c r="F51" s="49">
        <v>0.25</v>
      </c>
      <c r="G51" s="48">
        <f t="shared" si="2"/>
        <v>1876220</v>
      </c>
      <c r="H51" s="55"/>
      <c r="I51" s="55"/>
    </row>
    <row r="52" spans="3:9">
      <c r="C52" s="47" t="s">
        <v>122</v>
      </c>
      <c r="D52" s="55">
        <v>8</v>
      </c>
      <c r="E52" s="55">
        <v>2427455</v>
      </c>
      <c r="F52" s="49">
        <v>0.5</v>
      </c>
      <c r="G52" s="48">
        <f t="shared" si="2"/>
        <v>1213727.5</v>
      </c>
      <c r="H52" s="55"/>
      <c r="I52" s="55"/>
    </row>
    <row r="53" spans="3:9">
      <c r="C53" s="47" t="s">
        <v>123</v>
      </c>
      <c r="D53" s="55">
        <v>85</v>
      </c>
      <c r="E53" s="55">
        <v>5383483</v>
      </c>
      <c r="F53" s="49">
        <v>1</v>
      </c>
      <c r="G53" s="48">
        <f t="shared" si="2"/>
        <v>5383483</v>
      </c>
      <c r="H53" s="55"/>
      <c r="I53" s="55"/>
    </row>
    <row r="54" spans="3:9">
      <c r="C54" s="51" t="s">
        <v>124</v>
      </c>
      <c r="D54" s="50"/>
      <c r="E54" s="50"/>
      <c r="F54" s="51"/>
      <c r="G54" s="50"/>
    </row>
    <row r="55" spans="3:9">
      <c r="C55" s="47"/>
      <c r="D55" s="47"/>
      <c r="E55" s="47"/>
      <c r="F55" s="47"/>
      <c r="G55" s="47"/>
    </row>
    <row r="56" spans="3:9">
      <c r="C56" s="47" t="s">
        <v>119</v>
      </c>
      <c r="D56" s="47"/>
      <c r="E56" s="47"/>
      <c r="F56" s="49">
        <v>0.01</v>
      </c>
      <c r="G56" s="47" t="s">
        <v>125</v>
      </c>
    </row>
    <row r="57" spans="3:9">
      <c r="C57" s="47" t="s">
        <v>120</v>
      </c>
      <c r="D57" s="47"/>
      <c r="E57" s="47"/>
      <c r="F57" s="49">
        <v>0.05</v>
      </c>
      <c r="G57" s="47" t="s">
        <v>125</v>
      </c>
    </row>
    <row r="58" spans="3:9">
      <c r="C58" s="47" t="s">
        <v>121</v>
      </c>
      <c r="D58" s="47"/>
      <c r="E58" s="47"/>
      <c r="F58" s="49">
        <v>0.25</v>
      </c>
      <c r="G58" s="47" t="s">
        <v>125</v>
      </c>
    </row>
    <row r="59" spans="3:9">
      <c r="C59" s="47" t="s">
        <v>122</v>
      </c>
      <c r="D59" s="47"/>
      <c r="E59" s="47"/>
      <c r="F59" s="49">
        <v>0.5</v>
      </c>
      <c r="G59" s="47" t="s">
        <v>125</v>
      </c>
    </row>
    <row r="60" spans="3:9">
      <c r="C60" s="47" t="s">
        <v>123</v>
      </c>
      <c r="D60" s="47"/>
      <c r="E60" s="47"/>
      <c r="F60" s="49">
        <v>1</v>
      </c>
      <c r="G60" s="47" t="s">
        <v>125</v>
      </c>
    </row>
    <row r="61" spans="3:9">
      <c r="C61" s="47" t="s">
        <v>124</v>
      </c>
      <c r="D61" s="50"/>
      <c r="E61" s="50">
        <f>SUM(E49:E53)</f>
        <v>304033522</v>
      </c>
      <c r="F61" s="51"/>
      <c r="G61" s="50">
        <f>SUM(G49:G53)</f>
        <v>14168608.26</v>
      </c>
    </row>
    <row r="62" spans="3:9">
      <c r="C62" s="47"/>
    </row>
    <row r="65" spans="4:5">
      <c r="D65" s="44" t="s">
        <v>126</v>
      </c>
      <c r="E65" s="45">
        <f>E51+E52+E53</f>
        <v>15315818</v>
      </c>
    </row>
    <row r="66" spans="4:5">
      <c r="D66" s="44" t="s">
        <v>127</v>
      </c>
      <c r="E66" s="46">
        <f>E65/E61</f>
        <v>5.0375425378258128E-2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2"/>
  <sheetViews>
    <sheetView topLeftCell="A29" workbookViewId="0">
      <selection activeCell="Q40" sqref="Q40"/>
    </sheetView>
  </sheetViews>
  <sheetFormatPr defaultColWidth="9.140625" defaultRowHeight="14.45"/>
  <cols>
    <col min="1" max="1" width="29.85546875" style="15" bestFit="1" customWidth="1"/>
    <col min="2" max="2" width="16.28515625" hidden="1" customWidth="1"/>
    <col min="3" max="3" width="18.140625" style="15" customWidth="1"/>
    <col min="4" max="15" width="18.140625" style="15" hidden="1" customWidth="1"/>
    <col min="16" max="16" width="18.140625" style="15" bestFit="1" customWidth="1"/>
    <col min="17" max="17" width="16.42578125" style="175" bestFit="1" customWidth="1"/>
    <col min="18" max="22" width="16.42578125" style="15" bestFit="1" customWidth="1"/>
    <col min="23" max="27" width="16.28515625" style="15" bestFit="1" customWidth="1"/>
    <col min="28" max="28" width="16.28515625" style="175" bestFit="1" customWidth="1"/>
    <col min="29" max="29" width="16.28515625" style="15" bestFit="1" customWidth="1"/>
    <col min="30" max="16384" width="9.140625" style="15"/>
  </cols>
  <sheetData>
    <row r="1" spans="1:30">
      <c r="A1" s="21" t="s">
        <v>128</v>
      </c>
    </row>
    <row r="2" spans="1:30">
      <c r="A2" s="22"/>
    </row>
    <row r="3" spans="1:30">
      <c r="A3" s="23" t="s">
        <v>129</v>
      </c>
      <c r="B3" s="60" t="s">
        <v>3</v>
      </c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  <c r="H3" s="84" t="s">
        <v>9</v>
      </c>
      <c r="I3" s="84" t="s">
        <v>10</v>
      </c>
      <c r="J3" s="84" t="s">
        <v>11</v>
      </c>
      <c r="K3" s="84" t="s">
        <v>12</v>
      </c>
      <c r="L3" s="84" t="s">
        <v>13</v>
      </c>
      <c r="M3" s="84" t="s">
        <v>14</v>
      </c>
      <c r="N3" s="84" t="s">
        <v>15</v>
      </c>
      <c r="O3" s="84" t="s">
        <v>16</v>
      </c>
      <c r="P3" s="84" t="s">
        <v>17</v>
      </c>
      <c r="Q3" s="176">
        <v>44583</v>
      </c>
      <c r="R3" s="90">
        <v>44614</v>
      </c>
      <c r="S3" s="89">
        <v>44642</v>
      </c>
      <c r="T3" s="90">
        <v>44673</v>
      </c>
      <c r="U3" s="89">
        <v>44703</v>
      </c>
      <c r="V3" s="90">
        <v>44734</v>
      </c>
      <c r="W3" s="89">
        <v>44764</v>
      </c>
      <c r="X3" s="132">
        <v>44774</v>
      </c>
      <c r="Y3" s="132">
        <v>44805</v>
      </c>
      <c r="Z3" s="132">
        <v>44835</v>
      </c>
      <c r="AA3" s="132">
        <v>44866</v>
      </c>
      <c r="AB3" s="182">
        <v>44896</v>
      </c>
      <c r="AC3" s="15" t="s">
        <v>130</v>
      </c>
    </row>
    <row r="4" spans="1:30">
      <c r="A4" s="83" t="s">
        <v>131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</row>
    <row r="5" spans="1:30">
      <c r="A5" s="24" t="s">
        <v>132</v>
      </c>
      <c r="C5" s="86">
        <v>1241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>
        <v>1530</v>
      </c>
    </row>
    <row r="6" spans="1:30">
      <c r="A6" s="24" t="s">
        <v>133</v>
      </c>
      <c r="C6" s="86">
        <v>443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>
        <v>537</v>
      </c>
    </row>
    <row r="7" spans="1:30">
      <c r="A7" s="83" t="s">
        <v>134</v>
      </c>
      <c r="C7" s="87">
        <f>SUM(C5:C6)</f>
        <v>1684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>
        <f>SUM(P5:P6)</f>
        <v>2067</v>
      </c>
    </row>
    <row r="8" spans="1:30" ht="13.15">
      <c r="A8" s="25" t="s">
        <v>43</v>
      </c>
      <c r="B8" s="26">
        <f>'Balance Sheet'!C26</f>
        <v>269371213</v>
      </c>
      <c r="C8" s="88">
        <f>'Balance Sheet'!D26</f>
        <v>293411677.77999997</v>
      </c>
      <c r="D8" s="88">
        <f>'Balance Sheet'!E26</f>
        <v>303470910.19</v>
      </c>
      <c r="E8" s="88">
        <f>'Balance Sheet'!F26</f>
        <v>307369205.19</v>
      </c>
      <c r="F8" s="88">
        <f>'Balance Sheet'!G26</f>
        <v>312330586.88</v>
      </c>
      <c r="G8" s="88">
        <f>'Balance Sheet'!H26</f>
        <v>317921567.19000006</v>
      </c>
      <c r="H8" s="88">
        <f>'Balance Sheet'!I26</f>
        <v>327013815.94</v>
      </c>
      <c r="I8" s="88">
        <f>'Balance Sheet'!J26</f>
        <v>331412089.83000004</v>
      </c>
      <c r="J8" s="88">
        <f>'Balance Sheet'!K26</f>
        <v>333126418.75999999</v>
      </c>
      <c r="K8" s="88">
        <f>'Balance Sheet'!L26</f>
        <v>354049318.44</v>
      </c>
      <c r="L8" s="88">
        <f>'Balance Sheet'!M26</f>
        <v>348743093</v>
      </c>
      <c r="M8" s="88">
        <f>'Balance Sheet'!N26</f>
        <v>357437690.81999993</v>
      </c>
      <c r="N8" s="88">
        <f>'Balance Sheet'!O26</f>
        <v>363705189.06999999</v>
      </c>
      <c r="O8" s="88">
        <f>'Balance Sheet'!P26</f>
        <v>369437114.07999998</v>
      </c>
      <c r="P8" s="88">
        <f>'Balance Sheet'!Q26</f>
        <v>369437115</v>
      </c>
      <c r="Q8" s="177">
        <f>'Balance Sheet'!R26</f>
        <v>371548670.15999997</v>
      </c>
      <c r="R8" s="26">
        <f>'Balance Sheet'!S26</f>
        <v>368415132.75999999</v>
      </c>
      <c r="S8" s="26">
        <f>'Balance Sheet'!T26</f>
        <v>374402020.45999998</v>
      </c>
      <c r="T8" s="26">
        <f>'Balance Sheet'!U26</f>
        <v>364112822</v>
      </c>
      <c r="U8" s="26">
        <f>'Balance Sheet'!V26</f>
        <v>374291474.82999998</v>
      </c>
      <c r="V8" s="26">
        <f>'Balance Sheet'!W26</f>
        <v>378550450.31999999</v>
      </c>
      <c r="W8" s="26">
        <f>'Balance Sheet'!X26</f>
        <v>381796528.44999999</v>
      </c>
      <c r="X8" s="26">
        <f>'Balance Sheet'!Y26</f>
        <v>388837989</v>
      </c>
      <c r="Y8" s="26">
        <f>'Balance Sheet'!Z26</f>
        <v>391938258</v>
      </c>
      <c r="Z8" s="26">
        <f>'Balance Sheet'!AA26</f>
        <v>392984022</v>
      </c>
      <c r="AA8" s="26">
        <f>'Balance Sheet'!AB26</f>
        <v>398758293.09999996</v>
      </c>
      <c r="AB8" s="179">
        <f>'Balance Sheet'!AC26</f>
        <v>403815764</v>
      </c>
      <c r="AC8" s="26">
        <f>'Balance Sheet'!AD26</f>
        <v>403387182.69000006</v>
      </c>
      <c r="AD8" s="26">
        <f>'Balance Sheet'!AE26</f>
        <v>0</v>
      </c>
    </row>
    <row r="9" spans="1:30" ht="13.15">
      <c r="A9" s="27" t="s">
        <v>135</v>
      </c>
      <c r="B9" s="28">
        <f t="shared" ref="B9:C9" si="0">B10+B11</f>
        <v>221060781</v>
      </c>
      <c r="C9" s="28">
        <f t="shared" si="0"/>
        <v>256997071.58000001</v>
      </c>
      <c r="D9" s="28">
        <f>D10+D11</f>
        <v>264094733.56999999</v>
      </c>
      <c r="E9" s="28">
        <f t="shared" ref="E9:Q9" si="1">E10+E11</f>
        <v>261280603.99000001</v>
      </c>
      <c r="F9" s="28">
        <f t="shared" si="1"/>
        <v>265430687.21000001</v>
      </c>
      <c r="G9" s="28">
        <f t="shared" si="1"/>
        <v>269477147.63999999</v>
      </c>
      <c r="H9" s="28">
        <f t="shared" si="1"/>
        <v>274759176.56</v>
      </c>
      <c r="I9" s="28">
        <f t="shared" si="1"/>
        <v>277496697.85000002</v>
      </c>
      <c r="J9" s="28">
        <f t="shared" ref="J9:K9" si="2">J10+J11</f>
        <v>278974683.73000002</v>
      </c>
      <c r="K9" s="28">
        <f t="shared" si="2"/>
        <v>295310814.56999999</v>
      </c>
      <c r="L9" s="28">
        <f t="shared" si="1"/>
        <v>286847797</v>
      </c>
      <c r="M9" s="28">
        <f t="shared" si="1"/>
        <v>291524015.25</v>
      </c>
      <c r="N9" s="28">
        <f t="shared" si="1"/>
        <v>295339977.51000005</v>
      </c>
      <c r="O9" s="28">
        <f t="shared" si="1"/>
        <v>296337292.38</v>
      </c>
      <c r="P9" s="28">
        <f t="shared" si="1"/>
        <v>295368618</v>
      </c>
      <c r="Q9" s="178">
        <f t="shared" si="1"/>
        <v>299133230.88</v>
      </c>
      <c r="R9" s="28">
        <f t="shared" ref="R9:W9" si="3">R10+R11</f>
        <v>306145594</v>
      </c>
      <c r="S9" s="28">
        <f t="shared" si="3"/>
        <v>309831534.06</v>
      </c>
      <c r="T9" s="28">
        <f t="shared" si="3"/>
        <v>314797210</v>
      </c>
      <c r="U9" s="28">
        <f t="shared" si="3"/>
        <v>310385665.27999997</v>
      </c>
      <c r="V9" s="28">
        <f t="shared" si="3"/>
        <v>315588439.65999997</v>
      </c>
      <c r="W9" s="28">
        <f t="shared" si="3"/>
        <v>317829156.41000003</v>
      </c>
      <c r="X9" s="28">
        <f t="shared" ref="X9:AD9" si="4">X10+X11</f>
        <v>322047158</v>
      </c>
      <c r="Y9" s="28">
        <f t="shared" si="4"/>
        <v>322263386</v>
      </c>
      <c r="Z9" s="28">
        <f t="shared" si="4"/>
        <v>320573725</v>
      </c>
      <c r="AA9" s="28">
        <f t="shared" si="4"/>
        <v>324197713.25</v>
      </c>
      <c r="AB9" s="178">
        <f t="shared" si="4"/>
        <v>320546208</v>
      </c>
      <c r="AC9" s="28">
        <f t="shared" si="4"/>
        <v>320546208</v>
      </c>
      <c r="AD9" s="28">
        <f t="shared" si="4"/>
        <v>0</v>
      </c>
    </row>
    <row r="10" spans="1:30" ht="13.15">
      <c r="A10" s="29" t="s">
        <v>136</v>
      </c>
      <c r="B10" s="26">
        <f>'Balance Sheet'!C29</f>
        <v>220316533</v>
      </c>
      <c r="C10" s="26">
        <f>'Balance Sheet'!D29</f>
        <v>254720687</v>
      </c>
      <c r="D10" s="26">
        <f>'Balance Sheet'!E29</f>
        <v>259601968.5</v>
      </c>
      <c r="E10" s="26">
        <f>'Balance Sheet'!F29</f>
        <v>258890719</v>
      </c>
      <c r="F10" s="26">
        <f>'Balance Sheet'!G29</f>
        <v>261572529.69</v>
      </c>
      <c r="G10" s="26">
        <f>'Balance Sheet'!H29</f>
        <v>265437485.86000001</v>
      </c>
      <c r="H10" s="26">
        <f>'Balance Sheet'!I29</f>
        <v>268395723.21000001</v>
      </c>
      <c r="I10" s="26">
        <f>'Balance Sheet'!J29</f>
        <v>272790889.10000002</v>
      </c>
      <c r="J10" s="26">
        <f>'Balance Sheet'!K29</f>
        <v>274051402.69</v>
      </c>
      <c r="K10" s="26">
        <f>'Balance Sheet'!L29</f>
        <v>277756530.00999999</v>
      </c>
      <c r="L10" s="26">
        <f>'Balance Sheet'!M29</f>
        <v>280167932</v>
      </c>
      <c r="M10" s="26">
        <f>'Balance Sheet'!N29</f>
        <v>283755000.67000002</v>
      </c>
      <c r="N10" s="26">
        <f>'Balance Sheet'!O29</f>
        <v>287517178.22000003</v>
      </c>
      <c r="O10" s="26">
        <f>'Balance Sheet'!P29</f>
        <v>287470465</v>
      </c>
      <c r="P10" s="26">
        <f>'Balance Sheet'!Q29</f>
        <v>287470465</v>
      </c>
      <c r="Q10" s="179">
        <f>'Balance Sheet'!R29</f>
        <v>290462998.31</v>
      </c>
      <c r="R10" s="26">
        <f>'Balance Sheet'!S29</f>
        <v>295733291</v>
      </c>
      <c r="S10" s="26">
        <f>'Balance Sheet'!T29</f>
        <v>299063804.17000002</v>
      </c>
      <c r="T10" s="26">
        <f>'Balance Sheet'!U29</f>
        <v>298957139</v>
      </c>
      <c r="U10" s="26">
        <f>'Balance Sheet'!V29</f>
        <v>297505925.25999999</v>
      </c>
      <c r="V10" s="26">
        <f>'Balance Sheet'!W29</f>
        <v>299861635.26999998</v>
      </c>
      <c r="W10" s="26">
        <f>'Balance Sheet'!X29</f>
        <v>303847570.79000002</v>
      </c>
      <c r="X10" s="26">
        <f>'Balance Sheet'!Y29</f>
        <v>307627757</v>
      </c>
      <c r="Y10" s="26">
        <f>'Balance Sheet'!Z29</f>
        <v>309862125</v>
      </c>
      <c r="Z10" s="26">
        <f>'Balance Sheet'!AA29</f>
        <v>309283561</v>
      </c>
      <c r="AA10" s="26">
        <f>'Balance Sheet'!AB29</f>
        <v>312909106.63</v>
      </c>
      <c r="AB10" s="179">
        <f>'Balance Sheet'!AC29</f>
        <v>312478374</v>
      </c>
      <c r="AC10" s="26">
        <f>'Balance Sheet'!AD29</f>
        <v>312478374</v>
      </c>
      <c r="AD10" s="26">
        <f>'Balance Sheet'!AE29</f>
        <v>0</v>
      </c>
    </row>
    <row r="11" spans="1:30" ht="13.15">
      <c r="A11" s="29" t="s">
        <v>137</v>
      </c>
      <c r="B11" s="26">
        <f>'Balance Sheet'!C27</f>
        <v>744248</v>
      </c>
      <c r="C11" s="26">
        <f>'Balance Sheet'!D27</f>
        <v>2276384.58</v>
      </c>
      <c r="D11" s="26">
        <f>'Balance Sheet'!E27</f>
        <v>4492765.07</v>
      </c>
      <c r="E11" s="26">
        <f>'Balance Sheet'!F27</f>
        <v>2389884.9900000002</v>
      </c>
      <c r="F11" s="26">
        <f>'Balance Sheet'!G27</f>
        <v>3858157.52</v>
      </c>
      <c r="G11" s="26">
        <f>'Balance Sheet'!H27</f>
        <v>4039661.78</v>
      </c>
      <c r="H11" s="26">
        <f>'Balance Sheet'!I27</f>
        <v>6363453.3499999996</v>
      </c>
      <c r="I11" s="26">
        <f>'Balance Sheet'!J27</f>
        <v>4705808.75</v>
      </c>
      <c r="J11" s="26">
        <f>'Balance Sheet'!K27</f>
        <v>4923281.04</v>
      </c>
      <c r="K11" s="26">
        <f>'Balance Sheet'!L27</f>
        <v>17554284.559999999</v>
      </c>
      <c r="L11" s="26">
        <f>'Balance Sheet'!M27</f>
        <v>6679865</v>
      </c>
      <c r="M11" s="26">
        <f>'Balance Sheet'!N27</f>
        <v>7769014.5800000001</v>
      </c>
      <c r="N11" s="26">
        <f>'Balance Sheet'!O27</f>
        <v>7822799.29</v>
      </c>
      <c r="O11" s="26">
        <f>'Balance Sheet'!P27</f>
        <v>8866827.3800000008</v>
      </c>
      <c r="P11" s="26">
        <f>'Balance Sheet'!Q27</f>
        <v>7898153</v>
      </c>
      <c r="Q11" s="179">
        <f>'Balance Sheet'!R27</f>
        <v>8670232.5700000003</v>
      </c>
      <c r="R11" s="26">
        <f>'Balance Sheet'!S27</f>
        <v>10412303</v>
      </c>
      <c r="S11" s="26">
        <f>'Balance Sheet'!T27</f>
        <v>10767729.890000001</v>
      </c>
      <c r="T11" s="26">
        <f>'Balance Sheet'!U27</f>
        <v>15840071</v>
      </c>
      <c r="U11" s="26">
        <f>'Balance Sheet'!V27</f>
        <v>12879740.02</v>
      </c>
      <c r="V11" s="26">
        <f>'Balance Sheet'!W27</f>
        <v>15726804.390000001</v>
      </c>
      <c r="W11" s="26">
        <f>'Balance Sheet'!X27</f>
        <v>13981585.619999999</v>
      </c>
      <c r="X11" s="26">
        <f>'Balance Sheet'!Y27</f>
        <v>14419401</v>
      </c>
      <c r="Y11" s="26">
        <f>'Balance Sheet'!Z27</f>
        <v>12401261</v>
      </c>
      <c r="Z11" s="26">
        <f>'Balance Sheet'!AA27</f>
        <v>11290164</v>
      </c>
      <c r="AA11" s="26">
        <f>'Balance Sheet'!AB27</f>
        <v>11288606.619999999</v>
      </c>
      <c r="AB11" s="179">
        <f>'Balance Sheet'!AC27</f>
        <v>8067834</v>
      </c>
      <c r="AC11" s="26">
        <f>'Balance Sheet'!AD27</f>
        <v>8067834</v>
      </c>
      <c r="AD11" s="26">
        <f>'Balance Sheet'!AE27</f>
        <v>0</v>
      </c>
    </row>
    <row r="12" spans="1:30" ht="13.15">
      <c r="A12" s="29" t="s">
        <v>138</v>
      </c>
      <c r="B12" s="26">
        <f>'Balance Sheet'!C28</f>
        <v>552646</v>
      </c>
      <c r="C12" s="26">
        <f>'Balance Sheet'!D28</f>
        <v>708204</v>
      </c>
      <c r="D12" s="26">
        <f>'Balance Sheet'!E28</f>
        <v>0</v>
      </c>
      <c r="E12" s="26">
        <f>'Balance Sheet'!F28</f>
        <v>0</v>
      </c>
      <c r="F12" s="26">
        <f>'Balance Sheet'!G28</f>
        <v>0</v>
      </c>
      <c r="G12" s="26">
        <f>'Balance Sheet'!H28</f>
        <v>0</v>
      </c>
      <c r="H12" s="26">
        <f>'Balance Sheet'!I28</f>
        <v>0</v>
      </c>
      <c r="I12" s="26">
        <f>'Balance Sheet'!J28</f>
        <v>0</v>
      </c>
      <c r="J12" s="26">
        <f>'Balance Sheet'!K28</f>
        <v>0</v>
      </c>
      <c r="K12" s="26">
        <f>'Balance Sheet'!L28</f>
        <v>0</v>
      </c>
      <c r="L12" s="26">
        <f>'Balance Sheet'!M28</f>
        <v>0</v>
      </c>
      <c r="M12" s="26">
        <f>'Balance Sheet'!N28</f>
        <v>0</v>
      </c>
      <c r="N12" s="26">
        <f>'Balance Sheet'!O28</f>
        <v>0</v>
      </c>
      <c r="O12" s="26">
        <f>'Balance Sheet'!P28</f>
        <v>0</v>
      </c>
      <c r="P12" s="26">
        <f>'Balance Sheet'!Q28</f>
        <v>968674</v>
      </c>
      <c r="Q12" s="179">
        <f>'Balance Sheet'!R28</f>
        <v>0</v>
      </c>
      <c r="R12" s="26">
        <f>'Balance Sheet'!S28</f>
        <v>0</v>
      </c>
      <c r="S12" s="26">
        <f>'Balance Sheet'!T28</f>
        <v>0</v>
      </c>
      <c r="T12" s="26">
        <f>'Balance Sheet'!U28</f>
        <v>0</v>
      </c>
      <c r="U12" s="26">
        <f>'Balance Sheet'!V28</f>
        <v>0</v>
      </c>
      <c r="V12" s="26">
        <f>'Balance Sheet'!W28</f>
        <v>0</v>
      </c>
      <c r="W12" s="26">
        <f>'Balance Sheet'!X28</f>
        <v>0</v>
      </c>
      <c r="X12" s="26">
        <f>'Balance Sheet'!Y28</f>
        <v>0</v>
      </c>
      <c r="Y12" s="26">
        <f>'Balance Sheet'!Z28</f>
        <v>0</v>
      </c>
      <c r="Z12" s="26">
        <f>'Balance Sheet'!AA28</f>
        <v>0</v>
      </c>
      <c r="AA12" s="26">
        <f>'Balance Sheet'!AB28</f>
        <v>0</v>
      </c>
      <c r="AB12" s="179">
        <f>'Balance Sheet'!AC28</f>
        <v>0</v>
      </c>
      <c r="AC12" s="26">
        <f>'Balance Sheet'!AD28</f>
        <v>0</v>
      </c>
      <c r="AD12" s="26">
        <f>'Balance Sheet'!AE28</f>
        <v>0</v>
      </c>
    </row>
    <row r="13" spans="1:30" ht="13.15">
      <c r="A13" s="25" t="s">
        <v>139</v>
      </c>
      <c r="B13" s="26">
        <f>'Balance Sheet'!C37</f>
        <v>11609930</v>
      </c>
      <c r="C13" s="26">
        <f>'Balance Sheet'!D37</f>
        <v>0</v>
      </c>
      <c r="D13" s="26">
        <f>'Balance Sheet'!E37</f>
        <v>0</v>
      </c>
      <c r="E13" s="26">
        <f>'Balance Sheet'!F37</f>
        <v>0</v>
      </c>
      <c r="F13" s="26">
        <f>'Balance Sheet'!G37</f>
        <v>0</v>
      </c>
      <c r="G13" s="26">
        <f>'Balance Sheet'!H37</f>
        <v>0</v>
      </c>
      <c r="H13" s="26">
        <f>'Balance Sheet'!I37</f>
        <v>0</v>
      </c>
      <c r="I13" s="26">
        <f>'Balance Sheet'!J37</f>
        <v>0</v>
      </c>
      <c r="J13" s="26">
        <f>'Balance Sheet'!K37</f>
        <v>0</v>
      </c>
      <c r="K13" s="26">
        <f>'Balance Sheet'!L37</f>
        <v>0</v>
      </c>
      <c r="L13" s="26">
        <f>'Balance Sheet'!M37</f>
        <v>0</v>
      </c>
      <c r="M13" s="26">
        <f>'Balance Sheet'!N37</f>
        <v>0</v>
      </c>
      <c r="N13" s="26">
        <f>'Balance Sheet'!O37</f>
        <v>0</v>
      </c>
      <c r="O13" s="26">
        <f>'Balance Sheet'!P37</f>
        <v>0</v>
      </c>
      <c r="P13" s="26">
        <f>'Balance Sheet'!Q37</f>
        <v>14315529</v>
      </c>
      <c r="Q13" s="179">
        <f>'Balance Sheet'!R37</f>
        <v>0</v>
      </c>
      <c r="R13" s="26">
        <f>'Balance Sheet'!S37</f>
        <v>0</v>
      </c>
      <c r="S13" s="26">
        <f>'Balance Sheet'!T37</f>
        <v>0</v>
      </c>
      <c r="T13" s="26">
        <f>'Balance Sheet'!U37</f>
        <v>0</v>
      </c>
      <c r="U13" s="26">
        <f>'Balance Sheet'!V37</f>
        <v>0</v>
      </c>
      <c r="V13" s="26">
        <f>'Balance Sheet'!W37</f>
        <v>0</v>
      </c>
      <c r="W13" s="26">
        <f>'Balance Sheet'!X37</f>
        <v>0</v>
      </c>
      <c r="X13" s="26">
        <f>'Balance Sheet'!Y37</f>
        <v>0</v>
      </c>
      <c r="Y13" s="26">
        <f>'Balance Sheet'!Z37</f>
        <v>0</v>
      </c>
      <c r="Z13" s="26">
        <f>'Balance Sheet'!AA37</f>
        <v>0</v>
      </c>
      <c r="AA13" s="26">
        <f>'Balance Sheet'!AB37</f>
        <v>0</v>
      </c>
      <c r="AB13" s="179">
        <f>'Balance Sheet'!AC37</f>
        <v>0</v>
      </c>
      <c r="AC13" s="26">
        <f>'Balance Sheet'!AD37</f>
        <v>15104555</v>
      </c>
      <c r="AD13" s="26">
        <f>'Balance Sheet'!AE37</f>
        <v>0</v>
      </c>
    </row>
    <row r="14" spans="1:30" ht="13.1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79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179"/>
      <c r="AC14" s="26"/>
      <c r="AD14" s="26"/>
    </row>
    <row r="15" spans="1:30" ht="13.15">
      <c r="A15" s="30" t="s">
        <v>140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17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178"/>
      <c r="AC15" s="28"/>
      <c r="AD15" s="28"/>
    </row>
    <row r="16" spans="1:30" ht="13.15">
      <c r="A16" s="30" t="s">
        <v>141</v>
      </c>
      <c r="B16" s="28">
        <f t="shared" ref="B16:C16" si="5">B18-B31</f>
        <v>33585269</v>
      </c>
      <c r="C16" s="28">
        <f t="shared" si="5"/>
        <v>35288951.219999999</v>
      </c>
      <c r="D16" s="28">
        <f>D18-D31</f>
        <v>38804806.75</v>
      </c>
      <c r="E16" s="28">
        <f t="shared" ref="E16:I16" si="6">E18-E31</f>
        <v>45375371.200000003</v>
      </c>
      <c r="F16" s="28">
        <f t="shared" si="6"/>
        <v>46617873.439999998</v>
      </c>
      <c r="G16" s="28">
        <f t="shared" si="6"/>
        <v>47881097.210000001</v>
      </c>
      <c r="H16" s="28">
        <f t="shared" si="6"/>
        <v>51997658.039999999</v>
      </c>
      <c r="I16" s="28">
        <f t="shared" si="6"/>
        <v>53685986.049999997</v>
      </c>
      <c r="J16" s="28">
        <f t="shared" ref="J16:O16" si="7">J18-J31</f>
        <v>53922566.869999997</v>
      </c>
      <c r="K16" s="28">
        <f t="shared" si="7"/>
        <v>58350435.049999997</v>
      </c>
      <c r="L16" s="28">
        <f t="shared" si="7"/>
        <v>61466479.030000001</v>
      </c>
      <c r="M16" s="28">
        <f t="shared" si="7"/>
        <v>65489688.560000002</v>
      </c>
      <c r="N16" s="28">
        <f t="shared" si="7"/>
        <v>68024726.620000005</v>
      </c>
      <c r="O16" s="28">
        <f t="shared" si="7"/>
        <v>53706746.07</v>
      </c>
      <c r="P16" s="28">
        <f t="shared" ref="P16" si="8">P18-P31</f>
        <v>53706746</v>
      </c>
      <c r="Q16" s="178">
        <f t="shared" ref="Q16:W16" si="9">Q18-Q31</f>
        <v>52994014.549999997</v>
      </c>
      <c r="R16" s="28">
        <f t="shared" si="9"/>
        <v>57992010.760000005</v>
      </c>
      <c r="S16" s="28">
        <f t="shared" si="9"/>
        <v>57841711.920000002</v>
      </c>
      <c r="T16" s="28">
        <f t="shared" si="9"/>
        <v>45137271</v>
      </c>
      <c r="U16" s="28">
        <f t="shared" si="9"/>
        <v>57356320.980000004</v>
      </c>
      <c r="V16" s="28">
        <f t="shared" si="9"/>
        <v>59544731.019999996</v>
      </c>
      <c r="W16" s="28">
        <f t="shared" si="9"/>
        <v>60710591.219999999</v>
      </c>
      <c r="X16" s="28">
        <f t="shared" ref="X16:AD16" si="10">X18-X31</f>
        <v>63889028</v>
      </c>
      <c r="Y16" s="28">
        <f t="shared" si="10"/>
        <v>66922506</v>
      </c>
      <c r="Z16" s="28">
        <f t="shared" si="10"/>
        <v>69637646</v>
      </c>
      <c r="AA16" s="28">
        <f t="shared" si="10"/>
        <v>71950249.25</v>
      </c>
      <c r="AB16" s="178">
        <f t="shared" si="10"/>
        <v>66481550</v>
      </c>
      <c r="AC16" s="28">
        <f t="shared" si="10"/>
        <v>63405036</v>
      </c>
      <c r="AD16" s="28">
        <f t="shared" si="10"/>
        <v>0</v>
      </c>
    </row>
    <row r="17" spans="1:30" ht="13.15">
      <c r="A17" s="30" t="s">
        <v>142</v>
      </c>
      <c r="B17" s="28">
        <f t="shared" ref="B17:C17" si="11">B16-B19</f>
        <v>16308929</v>
      </c>
      <c r="C17" s="28">
        <f t="shared" si="11"/>
        <v>16318817.219999999</v>
      </c>
      <c r="D17" s="28">
        <f>D16-D19</f>
        <v>19696897.219999999</v>
      </c>
      <c r="E17" s="28">
        <f t="shared" ref="E17:I17" si="12">E16-E19</f>
        <v>26147854.200000003</v>
      </c>
      <c r="F17" s="28">
        <f t="shared" si="12"/>
        <v>27252610.439999998</v>
      </c>
      <c r="G17" s="28">
        <f t="shared" si="12"/>
        <v>28440004.740000002</v>
      </c>
      <c r="H17" s="28">
        <f t="shared" si="12"/>
        <v>32488671.039999999</v>
      </c>
      <c r="I17" s="28">
        <f t="shared" si="12"/>
        <v>34093346.049999997</v>
      </c>
      <c r="J17" s="28">
        <f t="shared" ref="J17:O17" si="13">J16-J19</f>
        <v>34261374.969999999</v>
      </c>
      <c r="K17" s="28">
        <f t="shared" si="13"/>
        <v>38596268.049999997</v>
      </c>
      <c r="L17" s="28">
        <f t="shared" si="13"/>
        <v>41619114.030000001</v>
      </c>
      <c r="M17" s="28">
        <f t="shared" si="13"/>
        <v>45536055.090000004</v>
      </c>
      <c r="N17" s="28">
        <f t="shared" si="13"/>
        <v>47428409.550000004</v>
      </c>
      <c r="O17" s="28">
        <f t="shared" si="13"/>
        <v>33032535</v>
      </c>
      <c r="P17" s="28">
        <f t="shared" ref="P17" si="14">P16-P19</f>
        <v>33032535</v>
      </c>
      <c r="Q17" s="178">
        <f t="shared" ref="Q17:W17" si="15">Q16-Q19</f>
        <v>32179252.149999999</v>
      </c>
      <c r="R17" s="28">
        <f t="shared" si="15"/>
        <v>36943857.760000005</v>
      </c>
      <c r="S17" s="28">
        <f t="shared" si="15"/>
        <v>36562332.090000004</v>
      </c>
      <c r="T17" s="28">
        <f t="shared" si="15"/>
        <v>23725314</v>
      </c>
      <c r="U17" s="28">
        <f t="shared" si="15"/>
        <v>35790863.390000001</v>
      </c>
      <c r="V17" s="28">
        <f t="shared" si="15"/>
        <v>37808625.119999997</v>
      </c>
      <c r="W17" s="28">
        <f t="shared" si="15"/>
        <v>38781215.259999998</v>
      </c>
      <c r="X17" s="28">
        <f t="shared" ref="X17:AD17" si="16">X16-X19</f>
        <v>41718303</v>
      </c>
      <c r="Y17" s="28">
        <f t="shared" si="16"/>
        <v>44402307</v>
      </c>
      <c r="Z17" s="28">
        <f t="shared" si="16"/>
        <v>46981670</v>
      </c>
      <c r="AA17" s="28">
        <f t="shared" si="16"/>
        <v>48856761.269999996</v>
      </c>
      <c r="AB17" s="178">
        <f t="shared" si="16"/>
        <v>36918349</v>
      </c>
      <c r="AC17" s="28">
        <f t="shared" si="16"/>
        <v>33841835</v>
      </c>
      <c r="AD17" s="28">
        <f t="shared" si="16"/>
        <v>0</v>
      </c>
    </row>
    <row r="18" spans="1:30" ht="13.15">
      <c r="A18" s="30" t="s">
        <v>143</v>
      </c>
      <c r="B18" s="28">
        <f t="shared" ref="B18:C18" si="17">B19+B20+B21+B22+B23+B24</f>
        <v>33585269</v>
      </c>
      <c r="C18" s="28">
        <f t="shared" si="17"/>
        <v>35288951.219999999</v>
      </c>
      <c r="D18" s="28">
        <f>D19+D20+D21+D22+D23+D24</f>
        <v>38804806.75</v>
      </c>
      <c r="E18" s="28">
        <f t="shared" ref="E18:I18" si="18">E19+E20+E21+E22+E23+E24</f>
        <v>45375371.200000003</v>
      </c>
      <c r="F18" s="28">
        <f t="shared" si="18"/>
        <v>46617873.439999998</v>
      </c>
      <c r="G18" s="28">
        <f t="shared" si="18"/>
        <v>47881097.210000001</v>
      </c>
      <c r="H18" s="28">
        <f t="shared" si="18"/>
        <v>51997658.039999999</v>
      </c>
      <c r="I18" s="28">
        <f t="shared" si="18"/>
        <v>53685986.049999997</v>
      </c>
      <c r="J18" s="28">
        <f t="shared" ref="J18:O18" si="19">J19+J20+J21+J22+J23+J24</f>
        <v>53922566.869999997</v>
      </c>
      <c r="K18" s="28">
        <f t="shared" si="19"/>
        <v>58350435.049999997</v>
      </c>
      <c r="L18" s="28">
        <f t="shared" si="19"/>
        <v>61466479.030000001</v>
      </c>
      <c r="M18" s="28">
        <f t="shared" si="19"/>
        <v>65489688.560000002</v>
      </c>
      <c r="N18" s="28">
        <f t="shared" si="19"/>
        <v>68024726.620000005</v>
      </c>
      <c r="O18" s="28">
        <f t="shared" si="19"/>
        <v>53706746.07</v>
      </c>
      <c r="P18" s="28">
        <f t="shared" ref="P18" si="20">P19+P20+P21+P22+P23+P24</f>
        <v>53706746</v>
      </c>
      <c r="Q18" s="178">
        <f t="shared" ref="Q18:W18" si="21">Q19+Q20+Q21+Q22+Q23+Q24</f>
        <v>52994014.549999997</v>
      </c>
      <c r="R18" s="28">
        <f t="shared" si="21"/>
        <v>57992010.760000005</v>
      </c>
      <c r="S18" s="28">
        <f t="shared" si="21"/>
        <v>57841711.920000002</v>
      </c>
      <c r="T18" s="28">
        <f t="shared" si="21"/>
        <v>45137271</v>
      </c>
      <c r="U18" s="28">
        <f t="shared" si="21"/>
        <v>57356320.980000004</v>
      </c>
      <c r="V18" s="28">
        <f t="shared" si="21"/>
        <v>59544731.019999996</v>
      </c>
      <c r="W18" s="28">
        <f t="shared" si="21"/>
        <v>60710591.219999999</v>
      </c>
      <c r="X18" s="28">
        <f t="shared" ref="X18:AD18" si="22">X19+X20+X21+X22+X23+X24</f>
        <v>63889028</v>
      </c>
      <c r="Y18" s="28">
        <f t="shared" si="22"/>
        <v>66922506</v>
      </c>
      <c r="Z18" s="28">
        <f t="shared" si="22"/>
        <v>69637646</v>
      </c>
      <c r="AA18" s="28">
        <f t="shared" si="22"/>
        <v>71950249.25</v>
      </c>
      <c r="AB18" s="178">
        <f t="shared" si="22"/>
        <v>66481550</v>
      </c>
      <c r="AC18" s="28">
        <f t="shared" si="22"/>
        <v>63405036</v>
      </c>
      <c r="AD18" s="28">
        <f t="shared" si="22"/>
        <v>0</v>
      </c>
    </row>
    <row r="19" spans="1:30" ht="13.15">
      <c r="A19" s="31" t="s">
        <v>144</v>
      </c>
      <c r="B19" s="26">
        <f>'Balance Sheet'!C39</f>
        <v>17276340</v>
      </c>
      <c r="C19" s="26">
        <f>'Balance Sheet'!D39</f>
        <v>18970134</v>
      </c>
      <c r="D19" s="26">
        <f>'Balance Sheet'!E39</f>
        <v>19107909.530000001</v>
      </c>
      <c r="E19" s="26">
        <f>'Balance Sheet'!F39</f>
        <v>19227517</v>
      </c>
      <c r="F19" s="26">
        <f>'Balance Sheet'!G39</f>
        <v>19365263</v>
      </c>
      <c r="G19" s="26">
        <f>'Balance Sheet'!H39</f>
        <v>19441092.469999999</v>
      </c>
      <c r="H19" s="26">
        <f>'Balance Sheet'!I39</f>
        <v>19508987</v>
      </c>
      <c r="I19" s="26">
        <f>'Balance Sheet'!J39</f>
        <v>19592640</v>
      </c>
      <c r="J19" s="26">
        <f>'Balance Sheet'!K39</f>
        <v>19661191.899999999</v>
      </c>
      <c r="K19" s="26">
        <f>'Balance Sheet'!L39</f>
        <v>19754167</v>
      </c>
      <c r="L19" s="26">
        <f>'Balance Sheet'!M39</f>
        <v>19847365</v>
      </c>
      <c r="M19" s="26">
        <f>'Balance Sheet'!N39</f>
        <v>19953633.469999999</v>
      </c>
      <c r="N19" s="26">
        <f>'Balance Sheet'!O39</f>
        <v>20596317.07</v>
      </c>
      <c r="O19" s="26">
        <f>'Balance Sheet'!P39</f>
        <v>20674211.07</v>
      </c>
      <c r="P19" s="26">
        <f>'Balance Sheet'!Q39</f>
        <v>20674211</v>
      </c>
      <c r="Q19" s="179">
        <f>'Balance Sheet'!R39</f>
        <v>20814762.399999999</v>
      </c>
      <c r="R19" s="26">
        <f>'Balance Sheet'!S39</f>
        <v>21048153</v>
      </c>
      <c r="S19" s="26">
        <f>'Balance Sheet'!T39</f>
        <v>21279379.829999998</v>
      </c>
      <c r="T19" s="26">
        <f>'Balance Sheet'!U39</f>
        <v>21411957</v>
      </c>
      <c r="U19" s="26">
        <f>'Balance Sheet'!V39</f>
        <v>21565457.59</v>
      </c>
      <c r="V19" s="26">
        <f>'Balance Sheet'!W39</f>
        <v>21736105.899999999</v>
      </c>
      <c r="W19" s="26">
        <f>'Balance Sheet'!X39</f>
        <v>21929375.960000001</v>
      </c>
      <c r="X19" s="26">
        <f>'Balance Sheet'!Y39</f>
        <v>22170725</v>
      </c>
      <c r="Y19" s="26">
        <f>'Balance Sheet'!Z39</f>
        <v>22520199</v>
      </c>
      <c r="Z19" s="26">
        <f>'Balance Sheet'!AA39</f>
        <v>22655976</v>
      </c>
      <c r="AA19" s="26">
        <f>'Balance Sheet'!AB39</f>
        <v>23093487.98</v>
      </c>
      <c r="AB19" s="179">
        <f>'Balance Sheet'!AC39</f>
        <v>29563201</v>
      </c>
      <c r="AC19" s="26">
        <f>'Balance Sheet'!AD39</f>
        <v>29563201</v>
      </c>
      <c r="AD19" s="26">
        <f>'Balance Sheet'!AE39</f>
        <v>0</v>
      </c>
    </row>
    <row r="20" spans="1:30" ht="13.15">
      <c r="A20" s="25" t="s">
        <v>145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179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179"/>
      <c r="AC20" s="26"/>
      <c r="AD20" s="26"/>
    </row>
    <row r="21" spans="1:30" ht="13.15">
      <c r="A21" s="25" t="s">
        <v>58</v>
      </c>
      <c r="B21" s="26">
        <f>'Balance Sheet'!C41</f>
        <v>10527969</v>
      </c>
      <c r="C21" s="26">
        <f>'Balance Sheet'!D41</f>
        <v>10537857.189999999</v>
      </c>
      <c r="D21" s="26">
        <f>'Balance Sheet'!E41</f>
        <v>13911607.189999999</v>
      </c>
      <c r="E21" s="26">
        <f>'Balance Sheet'!F41</f>
        <v>20362564.170000002</v>
      </c>
      <c r="F21" s="26">
        <f>'Balance Sheet'!G41</f>
        <v>21467320.41</v>
      </c>
      <c r="G21" s="26">
        <f>'Balance Sheet'!H41</f>
        <v>22654714.710000001</v>
      </c>
      <c r="H21" s="26">
        <f>'Balance Sheet'!I41</f>
        <v>26703381.009999998</v>
      </c>
      <c r="I21" s="26">
        <f>'Balance Sheet'!J41</f>
        <v>28308056.02</v>
      </c>
      <c r="J21" s="26">
        <f>'Balance Sheet'!K41</f>
        <v>28476084.939999998</v>
      </c>
      <c r="K21" s="26">
        <f>'Balance Sheet'!L41</f>
        <v>32810978.02</v>
      </c>
      <c r="L21" s="26">
        <f>'Balance Sheet'!M41</f>
        <v>35833824</v>
      </c>
      <c r="M21" s="26">
        <f>'Balance Sheet'!N41</f>
        <v>39750765.060000002</v>
      </c>
      <c r="N21" s="26">
        <f>'Balance Sheet'!O41</f>
        <v>41643119.520000003</v>
      </c>
      <c r="O21" s="26">
        <f>'Balance Sheet'!P41</f>
        <v>23287350</v>
      </c>
      <c r="P21" s="26">
        <f>'Balance Sheet'!Q41</f>
        <v>26377438</v>
      </c>
      <c r="Q21" s="179">
        <f>'Balance Sheet'!R41</f>
        <v>22434067.150000002</v>
      </c>
      <c r="R21" s="26">
        <f>'Balance Sheet'!S41</f>
        <v>27198672.760000002</v>
      </c>
      <c r="S21" s="26">
        <f>'Balance Sheet'!T41</f>
        <v>26817147.09</v>
      </c>
      <c r="T21" s="26">
        <f>'Balance Sheet'!U41</f>
        <v>14010129</v>
      </c>
      <c r="U21" s="26">
        <f>'Balance Sheet'!V41</f>
        <v>26045678.390000001</v>
      </c>
      <c r="V21" s="26">
        <f>'Balance Sheet'!W41</f>
        <v>28063440.120000001</v>
      </c>
      <c r="W21" s="26">
        <f>'Balance Sheet'!X41</f>
        <v>29036030.259999998</v>
      </c>
      <c r="X21" s="26">
        <f>'Balance Sheet'!Y41</f>
        <v>31973118</v>
      </c>
      <c r="Y21" s="26">
        <f>'Balance Sheet'!Z41</f>
        <v>34657122</v>
      </c>
      <c r="Z21" s="26">
        <f>'Balance Sheet'!AA41</f>
        <v>37236485</v>
      </c>
      <c r="AA21" s="26">
        <f>'Balance Sheet'!AB41</f>
        <v>39111576.269999996</v>
      </c>
      <c r="AB21" s="179">
        <f>'Balance Sheet'!AC41</f>
        <v>23329276</v>
      </c>
      <c r="AC21" s="26">
        <f>'Balance Sheet'!AD41</f>
        <v>26391713</v>
      </c>
      <c r="AD21" s="26">
        <f>'Balance Sheet'!AE41</f>
        <v>0</v>
      </c>
    </row>
    <row r="22" spans="1:30" ht="13.15">
      <c r="A22" s="25" t="s">
        <v>146</v>
      </c>
      <c r="B22" s="26">
        <f>'Balance Sheet'!C48</f>
        <v>0</v>
      </c>
      <c r="C22" s="26">
        <f>'Balance Sheet'!D48</f>
        <v>0</v>
      </c>
      <c r="D22" s="26">
        <f>'Balance Sheet'!E48</f>
        <v>0</v>
      </c>
      <c r="E22" s="26">
        <f>'Balance Sheet'!F48</f>
        <v>0</v>
      </c>
      <c r="F22" s="26">
        <f>'Balance Sheet'!G48</f>
        <v>0</v>
      </c>
      <c r="G22" s="26">
        <f>'Balance Sheet'!H48</f>
        <v>0</v>
      </c>
      <c r="H22" s="26">
        <f>'Balance Sheet'!I48</f>
        <v>0</v>
      </c>
      <c r="I22" s="26">
        <f>'Balance Sheet'!J48</f>
        <v>0</v>
      </c>
      <c r="J22" s="26">
        <f>'Balance Sheet'!K48</f>
        <v>0</v>
      </c>
      <c r="K22" s="26">
        <f>'Balance Sheet'!L48</f>
        <v>0</v>
      </c>
      <c r="L22" s="26">
        <f>'Balance Sheet'!M48</f>
        <v>0</v>
      </c>
      <c r="M22" s="26">
        <f>'Balance Sheet'!N48</f>
        <v>0</v>
      </c>
      <c r="N22" s="26">
        <f>'Balance Sheet'!O48</f>
        <v>0</v>
      </c>
      <c r="O22" s="26">
        <f>'Balance Sheet'!P48</f>
        <v>0</v>
      </c>
      <c r="P22" s="26">
        <f>'Balance Sheet'!Q48</f>
        <v>-3090088</v>
      </c>
      <c r="Q22" s="179">
        <f>'Balance Sheet'!R48</f>
        <v>0</v>
      </c>
      <c r="R22" s="26">
        <f>'Balance Sheet'!S48</f>
        <v>0</v>
      </c>
      <c r="S22" s="26">
        <f>'Balance Sheet'!T48</f>
        <v>0</v>
      </c>
      <c r="T22" s="26">
        <f>'Balance Sheet'!U48</f>
        <v>0</v>
      </c>
      <c r="U22" s="26">
        <f>'Balance Sheet'!V48</f>
        <v>0</v>
      </c>
      <c r="V22" s="26">
        <f>'Balance Sheet'!W48</f>
        <v>0</v>
      </c>
      <c r="W22" s="26">
        <f>'Balance Sheet'!X48</f>
        <v>0</v>
      </c>
      <c r="X22" s="26">
        <f>'Balance Sheet'!Y48</f>
        <v>0</v>
      </c>
      <c r="Y22" s="26">
        <f>'Balance Sheet'!Z48</f>
        <v>0</v>
      </c>
      <c r="Z22" s="26">
        <f>'Balance Sheet'!AA48</f>
        <v>0</v>
      </c>
      <c r="AA22" s="26">
        <f>'Balance Sheet'!AB48</f>
        <v>0</v>
      </c>
      <c r="AB22" s="179">
        <f>'Balance Sheet'!AC48</f>
        <v>3070989</v>
      </c>
      <c r="AC22" s="26">
        <f>'Balance Sheet'!AD48</f>
        <v>-3070989</v>
      </c>
      <c r="AD22" s="26">
        <f>'Balance Sheet'!AE48</f>
        <v>0</v>
      </c>
    </row>
    <row r="23" spans="1:30" ht="13.15">
      <c r="A23" s="25" t="s">
        <v>147</v>
      </c>
      <c r="B23" s="26">
        <f>'Balance Sheet'!C45</f>
        <v>5780960</v>
      </c>
      <c r="C23" s="26">
        <f>'Balance Sheet'!D45</f>
        <v>5780960.0300000003</v>
      </c>
      <c r="D23" s="26">
        <f>'Balance Sheet'!E45</f>
        <v>5785290.0300000003</v>
      </c>
      <c r="E23" s="26">
        <f>'Balance Sheet'!F45</f>
        <v>5785290.0300000003</v>
      </c>
      <c r="F23" s="26">
        <f>'Balance Sheet'!G45</f>
        <v>5785290.0300000003</v>
      </c>
      <c r="G23" s="26">
        <f>'Balance Sheet'!H45</f>
        <v>5785290.0300000003</v>
      </c>
      <c r="H23" s="26">
        <f>'Balance Sheet'!I45</f>
        <v>5785290.0300000003</v>
      </c>
      <c r="I23" s="26">
        <f>'Balance Sheet'!J45</f>
        <v>5785290.0300000003</v>
      </c>
      <c r="J23" s="26">
        <f>'Balance Sheet'!K45</f>
        <v>5785290.0300000003</v>
      </c>
      <c r="K23" s="26">
        <f>'Balance Sheet'!L45</f>
        <v>5785290.0300000003</v>
      </c>
      <c r="L23" s="26">
        <f>'Balance Sheet'!M45</f>
        <v>5785290.0300000003</v>
      </c>
      <c r="M23" s="26">
        <f>'Balance Sheet'!N45</f>
        <v>5785290.0300000003</v>
      </c>
      <c r="N23" s="26">
        <f>'Balance Sheet'!O45</f>
        <v>5785290.0300000003</v>
      </c>
      <c r="O23" s="26">
        <f>'Balance Sheet'!P45</f>
        <v>9745185</v>
      </c>
      <c r="P23" s="26">
        <f>'Balance Sheet'!Q45</f>
        <v>9745185</v>
      </c>
      <c r="Q23" s="179">
        <f>'Balance Sheet'!R45</f>
        <v>9745185</v>
      </c>
      <c r="R23" s="26">
        <f>'Balance Sheet'!S45</f>
        <v>9745185</v>
      </c>
      <c r="S23" s="26">
        <f>'Balance Sheet'!T45</f>
        <v>9745185</v>
      </c>
      <c r="T23" s="26">
        <f>'Balance Sheet'!U45</f>
        <v>9715185</v>
      </c>
      <c r="U23" s="26">
        <f>'Balance Sheet'!V45</f>
        <v>9745185</v>
      </c>
      <c r="V23" s="26">
        <f>'Balance Sheet'!W45</f>
        <v>9745185</v>
      </c>
      <c r="W23" s="26">
        <f>'Balance Sheet'!X45</f>
        <v>9745185</v>
      </c>
      <c r="X23" s="26">
        <f>'Balance Sheet'!Y45</f>
        <v>9745185</v>
      </c>
      <c r="Y23" s="26">
        <f>'Balance Sheet'!Z45</f>
        <v>9745185</v>
      </c>
      <c r="Z23" s="26">
        <f>'Balance Sheet'!AA45</f>
        <v>9745185</v>
      </c>
      <c r="AA23" s="26">
        <f>'Balance Sheet'!AB45</f>
        <v>9745185</v>
      </c>
      <c r="AB23" s="179">
        <f>'Balance Sheet'!AC45</f>
        <v>10518084</v>
      </c>
      <c r="AC23" s="26">
        <f>'Balance Sheet'!AD45</f>
        <v>10521111</v>
      </c>
      <c r="AD23" s="26">
        <f>'Balance Sheet'!AE45</f>
        <v>0</v>
      </c>
    </row>
    <row r="24" spans="1:30" ht="13.15">
      <c r="A24" s="25" t="s">
        <v>148</v>
      </c>
      <c r="B24" s="26">
        <f>'Balance Sheet'!C46</f>
        <v>0</v>
      </c>
      <c r="C24" s="26">
        <f>'Balance Sheet'!D46</f>
        <v>0</v>
      </c>
      <c r="D24" s="26">
        <f>'Balance Sheet'!E46</f>
        <v>0</v>
      </c>
      <c r="E24" s="26">
        <f>'Balance Sheet'!F46</f>
        <v>0</v>
      </c>
      <c r="F24" s="26">
        <f>'Balance Sheet'!G46</f>
        <v>0</v>
      </c>
      <c r="G24" s="26">
        <f>'Balance Sheet'!H46</f>
        <v>0</v>
      </c>
      <c r="H24" s="26">
        <f>'Balance Sheet'!I46</f>
        <v>0</v>
      </c>
      <c r="I24" s="26">
        <f>'Balance Sheet'!J46</f>
        <v>0</v>
      </c>
      <c r="J24" s="26">
        <f>'Balance Sheet'!K46</f>
        <v>0</v>
      </c>
      <c r="K24" s="26">
        <f>'Balance Sheet'!L46</f>
        <v>0</v>
      </c>
      <c r="L24" s="26">
        <f>'Balance Sheet'!M49</f>
        <v>0</v>
      </c>
      <c r="M24" s="26">
        <f>'Balance Sheet'!N49</f>
        <v>0</v>
      </c>
      <c r="N24" s="26">
        <f>'Balance Sheet'!O49</f>
        <v>0</v>
      </c>
      <c r="O24" s="26">
        <f>'Balance Sheet'!P49</f>
        <v>0</v>
      </c>
      <c r="P24" s="26">
        <f>'Balance Sheet'!Q47</f>
        <v>0</v>
      </c>
      <c r="Q24" s="179">
        <f>'Balance Sheet'!R46</f>
        <v>0</v>
      </c>
      <c r="R24" s="26">
        <f>'Balance Sheet'!S46</f>
        <v>0</v>
      </c>
      <c r="S24" s="26">
        <f>'Balance Sheet'!T46</f>
        <v>0</v>
      </c>
      <c r="T24" s="26">
        <f>'Balance Sheet'!U46</f>
        <v>0</v>
      </c>
      <c r="U24" s="26">
        <f>'Balance Sheet'!V46</f>
        <v>0</v>
      </c>
      <c r="V24" s="26">
        <f>'Balance Sheet'!W46</f>
        <v>0</v>
      </c>
      <c r="W24" s="26">
        <f>'Balance Sheet'!X49</f>
        <v>0</v>
      </c>
      <c r="X24" s="26">
        <f>'Balance Sheet'!Y49</f>
        <v>0</v>
      </c>
      <c r="Y24" s="26">
        <f>'Balance Sheet'!Z49</f>
        <v>0</v>
      </c>
      <c r="Z24" s="26">
        <f>'Balance Sheet'!AA49</f>
        <v>0</v>
      </c>
      <c r="AA24" s="26">
        <f>'Balance Sheet'!AB49</f>
        <v>0</v>
      </c>
      <c r="AB24" s="179">
        <f>'Balance Sheet'!AC49</f>
        <v>0</v>
      </c>
      <c r="AC24" s="26">
        <f>'Balance Sheet'!AD49</f>
        <v>0</v>
      </c>
      <c r="AD24" s="26">
        <f>'Balance Sheet'!AE49</f>
        <v>0</v>
      </c>
    </row>
    <row r="25" spans="1:30" ht="13.15">
      <c r="A25" s="27" t="s">
        <v>149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179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179"/>
      <c r="AC25" s="26"/>
      <c r="AD25" s="26"/>
    </row>
    <row r="26" spans="1:30" ht="13.15">
      <c r="A26" s="25" t="s">
        <v>65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79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179"/>
      <c r="AC26" s="26"/>
      <c r="AD26" s="26"/>
    </row>
    <row r="27" spans="1:30" ht="13.15">
      <c r="A27" s="25" t="s">
        <v>150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179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179"/>
      <c r="AC27" s="26"/>
      <c r="AD27" s="26"/>
    </row>
    <row r="28" spans="1:30" ht="13.15">
      <c r="A28" s="27" t="s">
        <v>151</v>
      </c>
      <c r="B28" s="32">
        <f t="shared" ref="B28:C28" si="23">B29+B30+B32</f>
        <v>115855</v>
      </c>
      <c r="C28" s="32">
        <f t="shared" si="23"/>
        <v>115855</v>
      </c>
      <c r="D28" s="32">
        <f>D29+D30+D32</f>
        <v>83379796.560000002</v>
      </c>
      <c r="E28" s="32">
        <f t="shared" ref="E28:N28" si="24">E29+E30+E32</f>
        <v>83937541</v>
      </c>
      <c r="F28" s="32">
        <f t="shared" si="24"/>
        <v>84567426.840000004</v>
      </c>
      <c r="G28" s="32">
        <f t="shared" si="24"/>
        <v>71152314.680000007</v>
      </c>
      <c r="H28" s="32">
        <f t="shared" si="24"/>
        <v>71695526.780000001</v>
      </c>
      <c r="I28" s="32">
        <f t="shared" si="24"/>
        <v>72230238.120000005</v>
      </c>
      <c r="J28" s="32">
        <f t="shared" ref="J28:K28" si="25">J29+J30+J32</f>
        <v>92903284.439999998</v>
      </c>
      <c r="K28" s="32">
        <f t="shared" si="25"/>
        <v>73560672.939999998</v>
      </c>
      <c r="L28" s="32">
        <f t="shared" si="24"/>
        <v>74085747</v>
      </c>
      <c r="M28" s="32">
        <f t="shared" si="24"/>
        <v>74633231.439999998</v>
      </c>
      <c r="N28" s="32">
        <f t="shared" si="24"/>
        <v>75173413.420000002</v>
      </c>
      <c r="O28" s="32">
        <f t="shared" ref="O28:Q28" si="26">O29+O30+O32</f>
        <v>75744919.159999996</v>
      </c>
      <c r="P28" s="32">
        <f t="shared" si="26"/>
        <v>115855</v>
      </c>
      <c r="Q28" s="180">
        <f t="shared" si="26"/>
        <v>76317955.200000003</v>
      </c>
      <c r="R28" s="32">
        <f t="shared" ref="R28:W28" si="27">R29+R30+R32</f>
        <v>76818627</v>
      </c>
      <c r="S28" s="32">
        <f t="shared" si="27"/>
        <v>77382209.359999999</v>
      </c>
      <c r="T28" s="32">
        <f t="shared" si="27"/>
        <v>115855</v>
      </c>
      <c r="U28" s="32">
        <f t="shared" si="27"/>
        <v>115855</v>
      </c>
      <c r="V28" s="32">
        <f t="shared" si="27"/>
        <v>115855</v>
      </c>
      <c r="W28" s="32">
        <f t="shared" si="27"/>
        <v>115855</v>
      </c>
      <c r="X28" s="32">
        <f t="shared" ref="X28:AD28" si="28">X29+X30+X32</f>
        <v>115855</v>
      </c>
      <c r="Y28" s="32">
        <f t="shared" si="28"/>
        <v>115855</v>
      </c>
      <c r="Z28" s="32">
        <f t="shared" si="28"/>
        <v>115855</v>
      </c>
      <c r="AA28" s="32">
        <f t="shared" si="28"/>
        <v>115855</v>
      </c>
      <c r="AB28" s="180">
        <f t="shared" si="28"/>
        <v>115855</v>
      </c>
      <c r="AC28" s="32">
        <f t="shared" si="28"/>
        <v>115855</v>
      </c>
      <c r="AD28" s="32">
        <f t="shared" si="28"/>
        <v>0</v>
      </c>
    </row>
    <row r="29" spans="1:30" ht="13.15">
      <c r="A29" s="25" t="s">
        <v>152</v>
      </c>
      <c r="B29" s="26">
        <f>'Balance Sheet'!C8</f>
        <v>115855</v>
      </c>
      <c r="C29" s="26">
        <f>'Balance Sheet'!D8</f>
        <v>115855</v>
      </c>
      <c r="D29" s="26">
        <f>'Balance Sheet'!E8</f>
        <v>41747825.780000001</v>
      </c>
      <c r="E29" s="26">
        <f>'Balance Sheet'!F8</f>
        <v>42026698</v>
      </c>
      <c r="F29" s="26">
        <f>'Balance Sheet'!G8</f>
        <v>42341640.920000002</v>
      </c>
      <c r="G29" s="26">
        <f>'Balance Sheet'!H8</f>
        <v>35634084.840000004</v>
      </c>
      <c r="H29" s="26">
        <f>'Balance Sheet'!I8</f>
        <v>35905690.979999997</v>
      </c>
      <c r="I29" s="26">
        <f>'Balance Sheet'!J8</f>
        <v>36173046.560000002</v>
      </c>
      <c r="J29" s="26">
        <f>'Balance Sheet'!K8</f>
        <v>46509569.719999999</v>
      </c>
      <c r="K29" s="26">
        <f>'Balance Sheet'!L8</f>
        <v>36838263.969999999</v>
      </c>
      <c r="L29" s="26">
        <f>'Balance Sheet'!M8</f>
        <v>37100801</v>
      </c>
      <c r="M29" s="26">
        <f>'Balance Sheet'!N8</f>
        <v>37374543.219999999</v>
      </c>
      <c r="N29" s="26">
        <f>'Balance Sheet'!O8</f>
        <v>37644634.210000001</v>
      </c>
      <c r="O29" s="26">
        <f>'Balance Sheet'!P8</f>
        <v>37930387.079999998</v>
      </c>
      <c r="P29" s="26">
        <f>'Balance Sheet'!Q8</f>
        <v>115855</v>
      </c>
      <c r="Q29" s="179">
        <f>'Balance Sheet'!R8</f>
        <v>38216905.100000001</v>
      </c>
      <c r="R29" s="26">
        <f>'Balance Sheet'!S8</f>
        <v>38467241</v>
      </c>
      <c r="S29" s="26">
        <f>'Balance Sheet'!T8</f>
        <v>38749032.18</v>
      </c>
      <c r="T29" s="26">
        <f>'Balance Sheet'!U8</f>
        <v>115855</v>
      </c>
      <c r="U29" s="26">
        <f>'Balance Sheet'!V8</f>
        <v>115855</v>
      </c>
      <c r="V29" s="26">
        <f>'Balance Sheet'!W8</f>
        <v>115855</v>
      </c>
      <c r="W29" s="26">
        <f>'Balance Sheet'!X8</f>
        <v>115855</v>
      </c>
      <c r="X29" s="26">
        <f>'Balance Sheet'!Y8</f>
        <v>115855</v>
      </c>
      <c r="Y29" s="26">
        <f>'Balance Sheet'!Z8</f>
        <v>115855</v>
      </c>
      <c r="Z29" s="26">
        <f>'Balance Sheet'!AA8</f>
        <v>115855</v>
      </c>
      <c r="AA29" s="26">
        <f>'Balance Sheet'!AB8</f>
        <v>115855</v>
      </c>
      <c r="AB29" s="179">
        <f>'Balance Sheet'!AC8</f>
        <v>115855</v>
      </c>
      <c r="AC29" s="26">
        <f>'Balance Sheet'!AD8</f>
        <v>115855</v>
      </c>
      <c r="AD29" s="26">
        <f>'Balance Sheet'!AE8</f>
        <v>0</v>
      </c>
    </row>
    <row r="30" spans="1:30" ht="13.15">
      <c r="A30" s="25" t="s">
        <v>153</v>
      </c>
      <c r="B30" s="26">
        <f>'Balance Sheet'!C11</f>
        <v>0</v>
      </c>
      <c r="C30" s="26">
        <f>'Balance Sheet'!D11</f>
        <v>0</v>
      </c>
      <c r="D30" s="26">
        <f>'Balance Sheet'!E11</f>
        <v>0</v>
      </c>
      <c r="E30" s="26">
        <f>'Balance Sheet'!F11</f>
        <v>0</v>
      </c>
      <c r="F30" s="26">
        <f>'Balance Sheet'!G11</f>
        <v>0</v>
      </c>
      <c r="G30" s="26">
        <f>'Balance Sheet'!H11</f>
        <v>0</v>
      </c>
      <c r="H30" s="26">
        <f>'Balance Sheet'!I11</f>
        <v>0</v>
      </c>
      <c r="I30" s="26">
        <f>'Balance Sheet'!J11</f>
        <v>0</v>
      </c>
      <c r="J30" s="26">
        <f>'Balance Sheet'!K11</f>
        <v>0</v>
      </c>
      <c r="K30" s="26">
        <f>'Balance Sheet'!L11</f>
        <v>0</v>
      </c>
      <c r="L30" s="26">
        <f>'Balance Sheet'!M11</f>
        <v>0</v>
      </c>
      <c r="M30" s="26">
        <f>'Balance Sheet'!N11</f>
        <v>0</v>
      </c>
      <c r="N30" s="26">
        <f>'Balance Sheet'!O11</f>
        <v>0</v>
      </c>
      <c r="O30" s="26">
        <f>'Balance Sheet'!P11</f>
        <v>0</v>
      </c>
      <c r="P30" s="26">
        <f>'Balance Sheet'!Q11</f>
        <v>0</v>
      </c>
      <c r="Q30" s="179">
        <f>'Balance Sheet'!R11</f>
        <v>0</v>
      </c>
      <c r="R30" s="26">
        <f>'Balance Sheet'!S11</f>
        <v>0</v>
      </c>
      <c r="S30" s="26">
        <f>'Balance Sheet'!T11</f>
        <v>0</v>
      </c>
      <c r="T30" s="26">
        <f>'Balance Sheet'!U11</f>
        <v>0</v>
      </c>
      <c r="U30" s="26">
        <f>'Balance Sheet'!V11</f>
        <v>0</v>
      </c>
      <c r="V30" s="26">
        <f>'Balance Sheet'!W11</f>
        <v>0</v>
      </c>
      <c r="W30" s="26">
        <f>'Balance Sheet'!X11</f>
        <v>0</v>
      </c>
      <c r="X30" s="26">
        <f>'Balance Sheet'!Y11</f>
        <v>0</v>
      </c>
      <c r="Y30" s="26">
        <f>'Balance Sheet'!Z11</f>
        <v>0</v>
      </c>
      <c r="Z30" s="26">
        <f>'Balance Sheet'!AA11</f>
        <v>0</v>
      </c>
      <c r="AA30" s="26">
        <f>'Balance Sheet'!AB11</f>
        <v>0</v>
      </c>
      <c r="AB30" s="179">
        <f>'Balance Sheet'!AC11</f>
        <v>0</v>
      </c>
      <c r="AC30" s="26">
        <f>'Balance Sheet'!AD11</f>
        <v>0</v>
      </c>
      <c r="AD30" s="26">
        <f>'Balance Sheet'!AE11</f>
        <v>0</v>
      </c>
    </row>
    <row r="31" spans="1:30" ht="13.15">
      <c r="A31" s="25" t="s">
        <v>154</v>
      </c>
      <c r="B31" s="26">
        <f>'Balance Sheet'!C9</f>
        <v>0</v>
      </c>
      <c r="C31" s="26">
        <f>'Balance Sheet'!D9</f>
        <v>0</v>
      </c>
      <c r="D31" s="26">
        <f>'Balance Sheet'!E9</f>
        <v>0</v>
      </c>
      <c r="E31" s="26">
        <f>'Balance Sheet'!F9</f>
        <v>0</v>
      </c>
      <c r="F31" s="26">
        <f>'Balance Sheet'!G9</f>
        <v>0</v>
      </c>
      <c r="G31" s="26">
        <f>'Balance Sheet'!H9</f>
        <v>0</v>
      </c>
      <c r="H31" s="26">
        <f>'Balance Sheet'!I9</f>
        <v>0</v>
      </c>
      <c r="I31" s="26">
        <f>'Balance Sheet'!J9</f>
        <v>0</v>
      </c>
      <c r="J31" s="26">
        <f>'Balance Sheet'!K9</f>
        <v>0</v>
      </c>
      <c r="K31" s="26">
        <f>'Balance Sheet'!L9</f>
        <v>0</v>
      </c>
      <c r="L31" s="26">
        <f>'Balance Sheet'!M9</f>
        <v>0</v>
      </c>
      <c r="M31" s="26">
        <f>'Balance Sheet'!N9</f>
        <v>0</v>
      </c>
      <c r="N31" s="26">
        <f>'Balance Sheet'!O9</f>
        <v>0</v>
      </c>
      <c r="O31" s="26">
        <f>'Balance Sheet'!P9</f>
        <v>0</v>
      </c>
      <c r="P31" s="26">
        <f>'Balance Sheet'!Q9</f>
        <v>0</v>
      </c>
      <c r="Q31" s="179">
        <f>'Balance Sheet'!R9</f>
        <v>0</v>
      </c>
      <c r="R31" s="26">
        <f>'Balance Sheet'!S9</f>
        <v>0</v>
      </c>
      <c r="S31" s="26">
        <f>'Balance Sheet'!T9</f>
        <v>0</v>
      </c>
      <c r="T31" s="26">
        <f>'Balance Sheet'!U9</f>
        <v>0</v>
      </c>
      <c r="U31" s="26">
        <f>'Balance Sheet'!V9</f>
        <v>0</v>
      </c>
      <c r="V31" s="26">
        <f>'Balance Sheet'!W9</f>
        <v>0</v>
      </c>
      <c r="W31" s="26">
        <f>'Balance Sheet'!X9</f>
        <v>0</v>
      </c>
      <c r="X31" s="26">
        <f>'Balance Sheet'!Y9</f>
        <v>0</v>
      </c>
      <c r="Y31" s="26">
        <f>'Balance Sheet'!Z9</f>
        <v>0</v>
      </c>
      <c r="Z31" s="26">
        <f>'Balance Sheet'!AA9</f>
        <v>0</v>
      </c>
      <c r="AA31" s="26">
        <f>'Balance Sheet'!AB9</f>
        <v>0</v>
      </c>
      <c r="AB31" s="179">
        <f>'Balance Sheet'!AC9</f>
        <v>0</v>
      </c>
      <c r="AC31" s="26">
        <f>'Balance Sheet'!AD9</f>
        <v>0</v>
      </c>
      <c r="AD31" s="26">
        <f>'Balance Sheet'!AE9</f>
        <v>0</v>
      </c>
    </row>
    <row r="32" spans="1:30" ht="13.15">
      <c r="A32" s="25" t="s">
        <v>155</v>
      </c>
      <c r="B32" s="26">
        <f>'Balance Sheet'!C10</f>
        <v>0</v>
      </c>
      <c r="C32" s="26">
        <f>'Balance Sheet'!D10</f>
        <v>0</v>
      </c>
      <c r="D32" s="26">
        <f>'Balance Sheet'!E10</f>
        <v>41631970.780000001</v>
      </c>
      <c r="E32" s="26">
        <f>'Balance Sheet'!F10</f>
        <v>41910843</v>
      </c>
      <c r="F32" s="26">
        <f>'Balance Sheet'!G10</f>
        <v>42225785.920000002</v>
      </c>
      <c r="G32" s="26">
        <f>'Balance Sheet'!H10</f>
        <v>35518229.840000004</v>
      </c>
      <c r="H32" s="26">
        <f>'Balance Sheet'!I10</f>
        <v>35789835.799999997</v>
      </c>
      <c r="I32" s="26">
        <f>'Balance Sheet'!J10</f>
        <v>36057191.560000002</v>
      </c>
      <c r="J32" s="26">
        <f>'Balance Sheet'!K10</f>
        <v>46393714.719999999</v>
      </c>
      <c r="K32" s="26">
        <f>'Balance Sheet'!L10</f>
        <v>36722408.969999999</v>
      </c>
      <c r="L32" s="26">
        <f>'Balance Sheet'!M10</f>
        <v>36984946</v>
      </c>
      <c r="M32" s="26">
        <f>'Balance Sheet'!N10</f>
        <v>37258688.219999999</v>
      </c>
      <c r="N32" s="26">
        <f>'Balance Sheet'!O10</f>
        <v>37528779.210000001</v>
      </c>
      <c r="O32" s="26">
        <f>'Balance Sheet'!P10</f>
        <v>37814532.079999998</v>
      </c>
      <c r="P32" s="26">
        <f>'Balance Sheet'!Q10</f>
        <v>0</v>
      </c>
      <c r="Q32" s="179">
        <f>'Balance Sheet'!R10</f>
        <v>38101050.100000001</v>
      </c>
      <c r="R32" s="26">
        <f>'Balance Sheet'!S10</f>
        <v>38351386</v>
      </c>
      <c r="S32" s="26">
        <f>'Balance Sheet'!T10</f>
        <v>38633177.18</v>
      </c>
      <c r="T32" s="26">
        <f>'Balance Sheet'!U10</f>
        <v>0</v>
      </c>
      <c r="U32" s="26">
        <f>'Balance Sheet'!V10</f>
        <v>0</v>
      </c>
      <c r="V32" s="26">
        <f>'Balance Sheet'!W10</f>
        <v>0</v>
      </c>
      <c r="W32" s="26">
        <f>'Balance Sheet'!X10</f>
        <v>0</v>
      </c>
      <c r="X32" s="26">
        <f>'Balance Sheet'!Y10</f>
        <v>0</v>
      </c>
      <c r="Y32" s="26">
        <f>'Balance Sheet'!Z10</f>
        <v>0</v>
      </c>
      <c r="Z32" s="26">
        <f>'Balance Sheet'!AA10</f>
        <v>0</v>
      </c>
      <c r="AA32" s="26">
        <f>'Balance Sheet'!AB10</f>
        <v>0</v>
      </c>
      <c r="AB32" s="179">
        <f>'Balance Sheet'!AC10</f>
        <v>0</v>
      </c>
      <c r="AC32" s="26">
        <f>'Balance Sheet'!AD10</f>
        <v>0</v>
      </c>
      <c r="AD32" s="26">
        <f>'Balance Sheet'!AE10</f>
        <v>0</v>
      </c>
    </row>
    <row r="33" spans="1:30" ht="13.15">
      <c r="A33" s="27" t="s">
        <v>156</v>
      </c>
      <c r="B33" s="32">
        <f t="shared" ref="B33:C33" si="29">B34-B35</f>
        <v>246137216</v>
      </c>
      <c r="C33" s="32">
        <f t="shared" si="29"/>
        <v>216882732.38999999</v>
      </c>
      <c r="D33" s="32">
        <f>D34-D35</f>
        <v>223323172.89000002</v>
      </c>
      <c r="E33" s="32">
        <f t="shared" ref="E33:N33" si="30">E34-E35</f>
        <v>223644117</v>
      </c>
      <c r="F33" s="32">
        <f t="shared" si="30"/>
        <v>228530787.96000001</v>
      </c>
      <c r="G33" s="32">
        <f t="shared" si="30"/>
        <v>236012677.70000002</v>
      </c>
      <c r="H33" s="32">
        <f t="shared" si="30"/>
        <v>245492388.47</v>
      </c>
      <c r="I33" s="32">
        <f t="shared" si="30"/>
        <v>246348330.78</v>
      </c>
      <c r="J33" s="32">
        <f t="shared" ref="J33:K33" si="31">J34-J35</f>
        <v>251941477.78</v>
      </c>
      <c r="K33" s="32">
        <f t="shared" si="31"/>
        <v>277949866.74000001</v>
      </c>
      <c r="L33" s="32">
        <f t="shared" si="30"/>
        <v>261509246</v>
      </c>
      <c r="M33" s="32">
        <f t="shared" si="30"/>
        <v>270758485.84999996</v>
      </c>
      <c r="N33" s="32">
        <f t="shared" si="30"/>
        <v>278167679.15999997</v>
      </c>
      <c r="O33" s="32">
        <f t="shared" ref="O33:Q33" si="32">O34-O35</f>
        <v>289442211</v>
      </c>
      <c r="P33" s="32">
        <f t="shared" si="32"/>
        <v>289442213</v>
      </c>
      <c r="Q33" s="180">
        <f t="shared" si="32"/>
        <v>287891065.11999995</v>
      </c>
      <c r="R33" s="32">
        <f t="shared" ref="R33:W33" si="33">R34-R35</f>
        <v>283567056.27999997</v>
      </c>
      <c r="S33" s="32">
        <f t="shared" si="33"/>
        <v>289306078.20999998</v>
      </c>
      <c r="T33" s="32">
        <f t="shared" si="33"/>
        <v>261090308</v>
      </c>
      <c r="U33" s="32">
        <f t="shared" si="33"/>
        <v>281393325.16000003</v>
      </c>
      <c r="V33" s="32">
        <f t="shared" si="33"/>
        <v>281458256.99999994</v>
      </c>
      <c r="W33" s="32">
        <f t="shared" si="33"/>
        <v>279815365.66000003</v>
      </c>
      <c r="X33" s="32">
        <f t="shared" ref="X33:AD33" si="34">X34-X35</f>
        <v>288192323</v>
      </c>
      <c r="Y33" s="32">
        <f t="shared" si="34"/>
        <v>285189585</v>
      </c>
      <c r="Z33" s="32">
        <f t="shared" si="34"/>
        <v>278772492</v>
      </c>
      <c r="AA33" s="32">
        <f t="shared" si="34"/>
        <v>287610963.07999998</v>
      </c>
      <c r="AB33" s="180">
        <f t="shared" si="34"/>
        <v>292168702</v>
      </c>
      <c r="AC33" s="32">
        <f t="shared" si="34"/>
        <v>292168702.41000009</v>
      </c>
      <c r="AD33" s="32">
        <f t="shared" si="34"/>
        <v>0</v>
      </c>
    </row>
    <row r="34" spans="1:30" ht="13.15">
      <c r="A34" s="25" t="s">
        <v>157</v>
      </c>
      <c r="B34" s="26">
        <f>'Balance Sheet'!C14</f>
        <v>247597572</v>
      </c>
      <c r="C34" s="26">
        <f>'Balance Sheet'!D14</f>
        <v>238201976.38999999</v>
      </c>
      <c r="D34" s="26">
        <f>'Balance Sheet'!E14</f>
        <v>243205022.08000001</v>
      </c>
      <c r="E34" s="26">
        <f>'Balance Sheet'!F14</f>
        <v>238585005</v>
      </c>
      <c r="F34" s="26">
        <f>'Balance Sheet'!G14</f>
        <v>244375608.72</v>
      </c>
      <c r="G34" s="26">
        <f>'Balance Sheet'!H14</f>
        <v>253387380.08000001</v>
      </c>
      <c r="H34" s="26">
        <f>'Balance Sheet'!I14</f>
        <v>259356401.55000001</v>
      </c>
      <c r="I34" s="26">
        <f>'Balance Sheet'!J14</f>
        <v>260780301.58000001</v>
      </c>
      <c r="J34" s="26">
        <f>'Balance Sheet'!K14</f>
        <v>268161033.33000001</v>
      </c>
      <c r="K34" s="26">
        <f>'Balance Sheet'!L14</f>
        <v>292822993.51999998</v>
      </c>
      <c r="L34" s="26">
        <f>'Balance Sheet'!M13</f>
        <v>275878545</v>
      </c>
      <c r="M34" s="26">
        <f>'Balance Sheet'!N13</f>
        <v>283646280.96999997</v>
      </c>
      <c r="N34" s="26">
        <f>'Balance Sheet'!O13</f>
        <v>292110126.83999997</v>
      </c>
      <c r="O34" s="26">
        <f>'Balance Sheet'!P13</f>
        <v>300860862</v>
      </c>
      <c r="P34" s="26">
        <f>'Balance Sheet'!Q13</f>
        <v>300860863</v>
      </c>
      <c r="Q34" s="179">
        <f>'Balance Sheet'!R13</f>
        <v>301019023.97999996</v>
      </c>
      <c r="R34" s="26">
        <f>'Balance Sheet'!S13</f>
        <v>297257467.13999999</v>
      </c>
      <c r="S34" s="26">
        <f>'Balance Sheet'!T13</f>
        <v>302970378</v>
      </c>
      <c r="T34" s="26">
        <f>'Balance Sheet'!U13</f>
        <v>290276880</v>
      </c>
      <c r="U34" s="26">
        <f>'Balance Sheet'!V13</f>
        <v>296249541</v>
      </c>
      <c r="V34" s="26">
        <f>'Balance Sheet'!W13</f>
        <v>296913145.40999997</v>
      </c>
      <c r="W34" s="26">
        <f>'Balance Sheet'!X13</f>
        <v>297084749.75</v>
      </c>
      <c r="X34" s="26">
        <f>'Balance Sheet'!Y13</f>
        <v>306015381</v>
      </c>
      <c r="Y34" s="26">
        <f>'Balance Sheet'!Z13</f>
        <v>303216630</v>
      </c>
      <c r="Z34" s="26">
        <f>'Balance Sheet'!AA13</f>
        <v>296654149</v>
      </c>
      <c r="AA34" s="26">
        <f>'Balance Sheet'!AB13</f>
        <v>305311511.12</v>
      </c>
      <c r="AB34" s="179">
        <f>'Balance Sheet'!AC13</f>
        <v>307302543</v>
      </c>
      <c r="AC34" s="26">
        <f>'Balance Sheet'!AD13</f>
        <v>307302543.69000006</v>
      </c>
      <c r="AD34" s="26">
        <f>'Balance Sheet'!AE13</f>
        <v>0</v>
      </c>
    </row>
    <row r="35" spans="1:30" ht="13.15">
      <c r="A35" s="25" t="s">
        <v>158</v>
      </c>
      <c r="B35" s="26">
        <f>'Balance Sheet'!C15</f>
        <v>1460356</v>
      </c>
      <c r="C35" s="26">
        <f>'Balance Sheet'!D15</f>
        <v>21319244</v>
      </c>
      <c r="D35" s="26">
        <f>'Balance Sheet'!E15</f>
        <v>19881849.190000001</v>
      </c>
      <c r="E35" s="26">
        <f>'Balance Sheet'!F15</f>
        <v>14940888</v>
      </c>
      <c r="F35" s="26">
        <f>'Balance Sheet'!G15</f>
        <v>15844820.76</v>
      </c>
      <c r="G35" s="26">
        <f>'Balance Sheet'!H15</f>
        <v>17374702.379999999</v>
      </c>
      <c r="H35" s="26">
        <f>'Balance Sheet'!I15</f>
        <v>13864013.08</v>
      </c>
      <c r="I35" s="26">
        <f>'Balance Sheet'!J15</f>
        <v>14431970.800000001</v>
      </c>
      <c r="J35" s="26">
        <f>'Balance Sheet'!K15</f>
        <v>16219555.550000001</v>
      </c>
      <c r="K35" s="26">
        <f>'Balance Sheet'!L15</f>
        <v>14873126.779999999</v>
      </c>
      <c r="L35" s="26">
        <f>'Balance Sheet'!M15</f>
        <v>14369299</v>
      </c>
      <c r="M35" s="26">
        <f>'Balance Sheet'!N15</f>
        <v>12887795.119999999</v>
      </c>
      <c r="N35" s="26">
        <f>'Balance Sheet'!O15</f>
        <v>13942447.68</v>
      </c>
      <c r="O35" s="26">
        <f>'Balance Sheet'!P15</f>
        <v>11418651</v>
      </c>
      <c r="P35" s="26">
        <f>'Balance Sheet'!Q15</f>
        <v>11418650</v>
      </c>
      <c r="Q35" s="179">
        <f>'Balance Sheet'!R15</f>
        <v>13127958.859999999</v>
      </c>
      <c r="R35" s="26">
        <f>'Balance Sheet'!S15</f>
        <v>13690410.859999999</v>
      </c>
      <c r="S35" s="26">
        <f>'Balance Sheet'!T15</f>
        <v>13664299.789999999</v>
      </c>
      <c r="T35" s="26">
        <f>'Balance Sheet'!U15</f>
        <v>29186572</v>
      </c>
      <c r="U35" s="26">
        <f>'Balance Sheet'!V15</f>
        <v>14856215.84</v>
      </c>
      <c r="V35" s="26">
        <f>'Balance Sheet'!W15</f>
        <v>15454888.41</v>
      </c>
      <c r="W35" s="26">
        <f>'Balance Sheet'!X15</f>
        <v>17269384.09</v>
      </c>
      <c r="X35" s="26">
        <f>'Balance Sheet'!Y15</f>
        <v>17823058</v>
      </c>
      <c r="Y35" s="26">
        <f>'Balance Sheet'!Z15</f>
        <v>18027045</v>
      </c>
      <c r="Z35" s="26">
        <f>'Balance Sheet'!AA15</f>
        <v>17881657</v>
      </c>
      <c r="AA35" s="26">
        <f>'Balance Sheet'!AB15</f>
        <v>17700548.039999999</v>
      </c>
      <c r="AB35" s="179">
        <f>'Balance Sheet'!AC15</f>
        <v>15133841</v>
      </c>
      <c r="AC35" s="26">
        <f>'Balance Sheet'!AD15</f>
        <v>15133841.279999999</v>
      </c>
      <c r="AD35" s="26">
        <f>'Balance Sheet'!AE15</f>
        <v>0</v>
      </c>
    </row>
    <row r="36" spans="1:30" ht="13.15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179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179"/>
      <c r="AC36" s="26"/>
      <c r="AD36" s="26"/>
    </row>
    <row r="37" spans="1:30" ht="13.15">
      <c r="A37" s="25" t="s">
        <v>159</v>
      </c>
      <c r="B37" s="26">
        <f>'Balance Sheet'!C6+'Balance Sheet'!C15+'Balance Sheet'!C19</f>
        <v>12043873</v>
      </c>
      <c r="C37" s="26">
        <f>'Balance Sheet'!D6+'Balance Sheet'!D15+'Balance Sheet'!D19</f>
        <v>81099175</v>
      </c>
      <c r="D37" s="26">
        <f>'Balance Sheet'!E6+'Balance Sheet'!E15+'Balance Sheet'!E19</f>
        <v>37470373.840000004</v>
      </c>
      <c r="E37" s="26">
        <f>'Balance Sheet'!F6+'Balance Sheet'!F15+'Balance Sheet'!F19</f>
        <v>32080805.859999999</v>
      </c>
      <c r="F37" s="26">
        <f>'Balance Sheet'!G6+'Balance Sheet'!G15+'Balance Sheet'!G19</f>
        <v>32515151.73</v>
      </c>
      <c r="G37" s="26">
        <f>'Balance Sheet'!H6+'Balance Sheet'!H15+'Balance Sheet'!H19</f>
        <v>37704843.119999997</v>
      </c>
      <c r="H37" s="26">
        <f>'Balance Sheet'!I6+'Balance Sheet'!I15+'Balance Sheet'!I19</f>
        <v>35157884.909999996</v>
      </c>
      <c r="I37" s="26">
        <f>'Balance Sheet'!J6+'Balance Sheet'!J15+'Balance Sheet'!J19</f>
        <v>38742111.810000002</v>
      </c>
      <c r="J37" s="26">
        <f>'Balance Sheet'!K6+'Balance Sheet'!K15+'Balance Sheet'!K19</f>
        <v>26726719.530000001</v>
      </c>
      <c r="K37" s="26">
        <f>'Balance Sheet'!L6+'Balance Sheet'!L15+'Balance Sheet'!L19</f>
        <v>32642176.43</v>
      </c>
      <c r="L37" s="26">
        <f>'Balance Sheet'!M6+'Balance Sheet'!M15+'Balance Sheet'!M19</f>
        <v>26358462</v>
      </c>
      <c r="M37" s="26">
        <f>'Balance Sheet'!N6+'Balance Sheet'!N15+'Balance Sheet'!N19</f>
        <v>28594103.420000002</v>
      </c>
      <c r="N37" s="26">
        <f>'Balance Sheet'!O6+'Balance Sheet'!O15+'Balance Sheet'!O19</f>
        <v>27163050.199999999</v>
      </c>
      <c r="O37" s="26">
        <f>'Balance Sheet'!P6+'Balance Sheet'!P15+'Balance Sheet'!P19</f>
        <v>30291458</v>
      </c>
      <c r="P37" s="26">
        <f>'Balance Sheet'!Q6+'Balance Sheet'!Q15+'Balance Sheet'!Q19</f>
        <v>66928052</v>
      </c>
      <c r="Q37" s="179">
        <f>'Balance Sheet'!R6+'Balance Sheet'!R15+'Balance Sheet'!R19</f>
        <v>33116453.68</v>
      </c>
      <c r="R37" s="26">
        <f>'Balance Sheet'!S6+'Balance Sheet'!S15+'Balance Sheet'!S19</f>
        <v>28784726.859999999</v>
      </c>
      <c r="S37" s="26">
        <f>'Balance Sheet'!T6+'Balance Sheet'!T15+'Balance Sheet'!T19</f>
        <v>23755643.309999999</v>
      </c>
      <c r="T37" s="26">
        <f>'Balance Sheet'!U6+'Balance Sheet'!U15+'Balance Sheet'!U19</f>
        <v>68097467</v>
      </c>
      <c r="U37" s="26">
        <f>'Balance Sheet'!V6+'Balance Sheet'!V15+'Balance Sheet'!V19</f>
        <v>54057271.840000004</v>
      </c>
      <c r="V37" s="26">
        <f>'Balance Sheet'!W6+'Balance Sheet'!W15+'Balance Sheet'!W19</f>
        <v>54936078.370000005</v>
      </c>
      <c r="W37" s="26">
        <f>'Balance Sheet'!X6+'Balance Sheet'!X15+'Balance Sheet'!X19</f>
        <v>61045797.510000005</v>
      </c>
      <c r="X37" s="26">
        <f>'Balance Sheet'!Y6+'Balance Sheet'!Y15+'Balance Sheet'!Y19</f>
        <v>57916964</v>
      </c>
      <c r="Y37" s="26">
        <f>'Balance Sheet'!Z6+'Balance Sheet'!Z15+'Balance Sheet'!Z19</f>
        <v>58524246</v>
      </c>
      <c r="Z37" s="26">
        <f>'Balance Sheet'!AA6+'Balance Sheet'!AA15+'Balance Sheet'!AA19</f>
        <v>58679092</v>
      </c>
      <c r="AA37" s="26">
        <f>'Balance Sheet'!AB6+'Balance Sheet'!AB15+'Balance Sheet'!AB19</f>
        <v>65724170.640000001</v>
      </c>
      <c r="AB37" s="179">
        <f>'Balance Sheet'!AC6+'Balance Sheet'!AC15+'Balance Sheet'!AC19</f>
        <v>91167532</v>
      </c>
      <c r="AC37" s="26">
        <f>'Balance Sheet'!AD6+'Balance Sheet'!AD15+'Balance Sheet'!AD19</f>
        <v>91159531.530000001</v>
      </c>
      <c r="AD37" s="26">
        <f>'Balance Sheet'!AE6+'Balance Sheet'!AE15+'Balance Sheet'!AE19</f>
        <v>0</v>
      </c>
    </row>
    <row r="38" spans="1:30" ht="13.15">
      <c r="A38" s="25" t="s">
        <v>160</v>
      </c>
      <c r="B38" s="26">
        <f>'Balance Sheet'!C19</f>
        <v>0</v>
      </c>
      <c r="C38" s="26">
        <f>'Balance Sheet'!D19</f>
        <v>0</v>
      </c>
      <c r="D38" s="26">
        <f>'Balance Sheet'!E19</f>
        <v>0</v>
      </c>
      <c r="E38" s="26">
        <f>'Balance Sheet'!F19</f>
        <v>0</v>
      </c>
      <c r="F38" s="26">
        <f>'Balance Sheet'!G19</f>
        <v>0</v>
      </c>
      <c r="G38" s="26">
        <f>'Balance Sheet'!H19</f>
        <v>0</v>
      </c>
      <c r="H38" s="26">
        <f>'Balance Sheet'!I19</f>
        <v>0</v>
      </c>
      <c r="I38" s="26">
        <f>'Balance Sheet'!J19</f>
        <v>0</v>
      </c>
      <c r="J38" s="26">
        <f>'Balance Sheet'!K19</f>
        <v>0</v>
      </c>
      <c r="K38" s="26">
        <f>'Balance Sheet'!L19</f>
        <v>0</v>
      </c>
      <c r="L38" s="26">
        <f>'Balance Sheet'!M19</f>
        <v>0</v>
      </c>
      <c r="M38" s="26">
        <f>'Balance Sheet'!N19</f>
        <v>0</v>
      </c>
      <c r="N38" s="26">
        <f>'Balance Sheet'!O19</f>
        <v>0</v>
      </c>
      <c r="O38" s="26">
        <f>'Balance Sheet'!P19</f>
        <v>0</v>
      </c>
      <c r="P38" s="26">
        <f>'Balance Sheet'!Q19</f>
        <v>0</v>
      </c>
      <c r="Q38" s="179">
        <f>'Balance Sheet'!R19</f>
        <v>0</v>
      </c>
      <c r="R38" s="26">
        <f>'Balance Sheet'!S19</f>
        <v>0</v>
      </c>
      <c r="S38" s="26">
        <f>'Balance Sheet'!T19</f>
        <v>0</v>
      </c>
      <c r="T38" s="26">
        <f>'Balance Sheet'!U19</f>
        <v>0</v>
      </c>
      <c r="U38" s="26">
        <f>'Balance Sheet'!V19</f>
        <v>0</v>
      </c>
      <c r="V38" s="26">
        <f>'Balance Sheet'!W19</f>
        <v>0</v>
      </c>
      <c r="W38" s="26">
        <f>'Balance Sheet'!X19</f>
        <v>0</v>
      </c>
      <c r="X38" s="26">
        <f>'Balance Sheet'!Y19</f>
        <v>0</v>
      </c>
      <c r="Y38" s="26">
        <f>'Balance Sheet'!Z19</f>
        <v>0</v>
      </c>
      <c r="Z38" s="26">
        <f>'Balance Sheet'!AA19</f>
        <v>0</v>
      </c>
      <c r="AA38" s="26">
        <f>'Balance Sheet'!AB19</f>
        <v>0</v>
      </c>
      <c r="AB38" s="179">
        <f>'Balance Sheet'!AC19</f>
        <v>0</v>
      </c>
      <c r="AC38" s="26">
        <f>'Balance Sheet'!AD19</f>
        <v>0</v>
      </c>
      <c r="AD38" s="26">
        <f>'Balance Sheet'!AE19</f>
        <v>0</v>
      </c>
    </row>
    <row r="39" spans="1:30" ht="13.15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179">
        <f>Q34-AB34</f>
        <v>-6283519.0200000405</v>
      </c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179"/>
      <c r="AC39" s="26"/>
      <c r="AD39" s="26"/>
    </row>
    <row r="40" spans="1:30" ht="13.15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179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179"/>
      <c r="AC40" s="26"/>
      <c r="AD40" s="26"/>
    </row>
    <row r="41" spans="1:30" ht="13.15">
      <c r="A41" s="27" t="s">
        <v>161</v>
      </c>
      <c r="B41" s="32">
        <f t="shared" ref="B41:C41" si="35">B42+B44+B45</f>
        <v>32774205</v>
      </c>
      <c r="C41" s="32">
        <f t="shared" si="35"/>
        <v>34090071</v>
      </c>
      <c r="D41" s="32">
        <f>D42+D44+D45</f>
        <v>3418741.53</v>
      </c>
      <c r="E41" s="32">
        <f t="shared" ref="E41:N41" si="36">E42+E44+E45</f>
        <v>6535327</v>
      </c>
      <c r="F41" s="32">
        <f t="shared" si="36"/>
        <v>10453856.390000001</v>
      </c>
      <c r="G41" s="32">
        <f t="shared" si="36"/>
        <v>14017565.810000001</v>
      </c>
      <c r="H41" s="32">
        <f t="shared" si="36"/>
        <v>17535950.670000002</v>
      </c>
      <c r="I41" s="32">
        <f t="shared" si="36"/>
        <v>21401480.100000001</v>
      </c>
      <c r="J41" s="32">
        <f t="shared" ref="J41:K41" si="37">J42+J44+J45</f>
        <v>25456527.640000001</v>
      </c>
      <c r="K41" s="32">
        <f t="shared" si="37"/>
        <v>29896907.440000001</v>
      </c>
      <c r="L41" s="32">
        <f t="shared" si="36"/>
        <v>33595239</v>
      </c>
      <c r="M41" s="32">
        <f t="shared" si="36"/>
        <v>37474379.340000004</v>
      </c>
      <c r="N41" s="32">
        <f t="shared" si="36"/>
        <v>41638214.93</v>
      </c>
      <c r="O41" s="32">
        <f t="shared" ref="O41:Q41" si="38">O42+O44+O45</f>
        <v>46322756</v>
      </c>
      <c r="P41" s="32">
        <f t="shared" si="38"/>
        <v>46322746</v>
      </c>
      <c r="Q41" s="180">
        <f t="shared" si="38"/>
        <v>3822890.75</v>
      </c>
      <c r="R41" s="32">
        <f t="shared" ref="R41:W41" si="39">R42+R44+R45</f>
        <v>7856139.0900000008</v>
      </c>
      <c r="S41" s="32">
        <f t="shared" si="39"/>
        <v>12023229.02</v>
      </c>
      <c r="T41" s="32">
        <f t="shared" si="39"/>
        <v>16134555</v>
      </c>
      <c r="U41" s="32">
        <f t="shared" si="39"/>
        <v>20781791.849999998</v>
      </c>
      <c r="V41" s="32">
        <f t="shared" si="39"/>
        <v>23529011</v>
      </c>
      <c r="W41" s="32">
        <f t="shared" si="39"/>
        <v>27228180.489999998</v>
      </c>
      <c r="X41" s="32">
        <f t="shared" ref="X41:AD41" si="40">X42+X44+X45</f>
        <v>34381679</v>
      </c>
      <c r="Y41" s="32">
        <f t="shared" si="40"/>
        <v>37023644</v>
      </c>
      <c r="Z41" s="32">
        <f t="shared" si="40"/>
        <v>39414698.950000003</v>
      </c>
      <c r="AA41" s="32">
        <f t="shared" si="40"/>
        <v>43332820.939999998</v>
      </c>
      <c r="AB41" s="180">
        <f t="shared" si="40"/>
        <v>50425252</v>
      </c>
      <c r="AC41" s="32">
        <f t="shared" si="40"/>
        <v>46291145</v>
      </c>
      <c r="AD41" s="32">
        <f t="shared" si="40"/>
        <v>0</v>
      </c>
    </row>
    <row r="42" spans="1:30" ht="13.15">
      <c r="A42" s="25" t="s">
        <v>162</v>
      </c>
      <c r="B42" s="33">
        <f>'Income Stat.'!C6</f>
        <v>26357606</v>
      </c>
      <c r="C42" s="33">
        <f>'Income Stat.'!D6</f>
        <v>29009435</v>
      </c>
      <c r="D42" s="33">
        <f>'Income Stat.'!F6</f>
        <v>2439265</v>
      </c>
      <c r="E42" s="33">
        <f>'Income Stat.'!G6</f>
        <v>4918501</v>
      </c>
      <c r="F42" s="33">
        <f>'Income Stat.'!H6</f>
        <v>7397029</v>
      </c>
      <c r="G42" s="33">
        <f>'Income Stat.'!I6</f>
        <v>9889192</v>
      </c>
      <c r="H42" s="33">
        <f>'Income Stat.'!J6</f>
        <v>12442331</v>
      </c>
      <c r="I42" s="33">
        <f>'Income Stat.'!K6</f>
        <v>15103290</v>
      </c>
      <c r="J42" s="33">
        <f>'Income Stat.'!L6</f>
        <v>17756062</v>
      </c>
      <c r="K42" s="33">
        <f>'Income Stat.'!M6</f>
        <v>20447140</v>
      </c>
      <c r="L42" s="33">
        <f>'Income Stat.'!N6</f>
        <v>23395937</v>
      </c>
      <c r="M42" s="33">
        <f>'Income Stat.'!O6</f>
        <v>26305388</v>
      </c>
      <c r="N42" s="33">
        <f>'Income Stat.'!P6</f>
        <v>29358663</v>
      </c>
      <c r="O42" s="33">
        <f>'Income Stat.'!Q6</f>
        <v>39662803</v>
      </c>
      <c r="P42" s="33">
        <f>'Income Stat.'!R6</f>
        <v>39662803</v>
      </c>
      <c r="Q42" s="181">
        <f>'Income Stat.'!S6</f>
        <v>3252538.15</v>
      </c>
      <c r="R42" s="33">
        <f>'Income Stat.'!T6</f>
        <v>6475743.1500000004</v>
      </c>
      <c r="S42" s="33">
        <f>'Income Stat.'!U6</f>
        <v>9690395.6999999993</v>
      </c>
      <c r="T42" s="33">
        <f>'Income Stat.'!V6</f>
        <v>12962772</v>
      </c>
      <c r="U42" s="33">
        <f>'Income Stat.'!W6</f>
        <v>16289805</v>
      </c>
      <c r="V42" s="33">
        <f>'Income Stat.'!X6</f>
        <v>19550658</v>
      </c>
      <c r="W42" s="33">
        <f>'Income Stat.'!Y6</f>
        <v>22731720.949999999</v>
      </c>
      <c r="X42" s="33">
        <f>'Income Stat.'!Z6</f>
        <v>28916133</v>
      </c>
      <c r="Y42" s="33">
        <f>'Income Stat.'!AA6</f>
        <v>29183517</v>
      </c>
      <c r="Z42" s="33">
        <f>'Income Stat.'!AB6</f>
        <v>32454963</v>
      </c>
      <c r="AA42" s="33">
        <f>'Income Stat.'!AC6</f>
        <v>35699146.5</v>
      </c>
      <c r="AB42" s="181">
        <f>'Income Stat.'!AD6</f>
        <v>38924654</v>
      </c>
      <c r="AC42" s="33">
        <f>'Income Stat.'!AE6</f>
        <v>45542181</v>
      </c>
      <c r="AD42" s="33">
        <f>'Income Stat.'!AF6</f>
        <v>0</v>
      </c>
    </row>
    <row r="43" spans="1:30" ht="13.15">
      <c r="A43" s="25" t="s">
        <v>163</v>
      </c>
      <c r="B43" s="33">
        <f>'Income Stat.'!C6/'Income Stat.'!C14</f>
        <v>2.2702493237513677</v>
      </c>
      <c r="C43" s="33" t="e">
        <f>'Income Stat.'!D6/'Income Stat.'!D14</f>
        <v>#DIV/0!</v>
      </c>
      <c r="D43" s="33" t="e">
        <f>'Income Stat.'!F6/'Income Stat.'!F14</f>
        <v>#DIV/0!</v>
      </c>
      <c r="E43" s="33" t="e">
        <f>'Income Stat.'!G6/'Income Stat.'!G14</f>
        <v>#DIV/0!</v>
      </c>
      <c r="F43" s="33" t="e">
        <f>'Income Stat.'!H6/'Income Stat.'!H14</f>
        <v>#DIV/0!</v>
      </c>
      <c r="G43" s="33" t="e">
        <f>'Income Stat.'!I6/'Income Stat.'!I14</f>
        <v>#DIV/0!</v>
      </c>
      <c r="H43" s="33" t="e">
        <f>'Income Stat.'!J6/'Income Stat.'!J14</f>
        <v>#DIV/0!</v>
      </c>
      <c r="I43" s="33" t="e">
        <f>'Income Stat.'!K6/'Income Stat.'!K14</f>
        <v>#DIV/0!</v>
      </c>
      <c r="J43" s="33" t="e">
        <f>'Income Stat.'!L6/'Income Stat.'!L14</f>
        <v>#DIV/0!</v>
      </c>
      <c r="K43" s="33" t="e">
        <f>'Income Stat.'!M6/'Income Stat.'!M14</f>
        <v>#DIV/0!</v>
      </c>
      <c r="L43" s="33" t="e">
        <f>'Income Stat.'!N6/'Income Stat.'!N14</f>
        <v>#DIV/0!</v>
      </c>
      <c r="M43" s="33" t="e">
        <f>'Income Stat.'!O6/'Income Stat.'!O14</f>
        <v>#DIV/0!</v>
      </c>
      <c r="N43" s="33" t="e">
        <f>'Income Stat.'!P6/'Income Stat.'!P14</f>
        <v>#DIV/0!</v>
      </c>
      <c r="O43" s="33">
        <f>'Income Stat.'!Q6/'Income Stat.'!Q14</f>
        <v>2.7706138557646036</v>
      </c>
      <c r="P43" s="33">
        <f>'Income Stat.'!R6/'Income Stat.'!R14</f>
        <v>2.7706138557646036</v>
      </c>
      <c r="Q43" s="181" t="e">
        <f>'Income Stat.'!S6/'Income Stat.'!S14</f>
        <v>#DIV/0!</v>
      </c>
      <c r="R43" s="33" t="e">
        <f>'Income Stat.'!T6/'Income Stat.'!T14</f>
        <v>#DIV/0!</v>
      </c>
      <c r="S43" s="33" t="e">
        <f>'Income Stat.'!U6/'Income Stat.'!U14</f>
        <v>#DIV/0!</v>
      </c>
      <c r="T43" s="33" t="e">
        <f>'Income Stat.'!V6/'Income Stat.'!V14</f>
        <v>#DIV/0!</v>
      </c>
      <c r="U43" s="33" t="e">
        <f>'Income Stat.'!W6/'Income Stat.'!W14</f>
        <v>#DIV/0!</v>
      </c>
      <c r="V43" s="33" t="e">
        <f>'Income Stat.'!X6/'Income Stat.'!X14</f>
        <v>#DIV/0!</v>
      </c>
      <c r="W43" s="33" t="e">
        <f>'Income Stat.'!Y6/'Income Stat.'!Y14</f>
        <v>#DIV/0!</v>
      </c>
      <c r="X43" s="33" t="e">
        <f>'Income Stat.'!Z6/'Income Stat.'!Z14</f>
        <v>#DIV/0!</v>
      </c>
      <c r="Y43" s="33" t="e">
        <f>'Income Stat.'!AA6/'Income Stat.'!AA14</f>
        <v>#DIV/0!</v>
      </c>
      <c r="Z43" s="33" t="e">
        <f>'Income Stat.'!AB6/'Income Stat.'!AB14</f>
        <v>#DIV/0!</v>
      </c>
      <c r="AA43" s="33" t="e">
        <f>'Income Stat.'!AC6/'Income Stat.'!AC14</f>
        <v>#DIV/0!</v>
      </c>
      <c r="AB43" s="181" t="e">
        <f>'Income Stat.'!AD6/'Income Stat.'!AD14</f>
        <v>#DIV/0!</v>
      </c>
      <c r="AC43" s="33">
        <f>'Income Stat.'!AE6/'Income Stat.'!AE14</f>
        <v>3.0151289462019899</v>
      </c>
      <c r="AD43" s="33" t="e">
        <f>'Income Stat.'!AF6/'Income Stat.'!AF14</f>
        <v>#DIV/0!</v>
      </c>
    </row>
    <row r="44" spans="1:30" ht="13.15">
      <c r="A44" s="25" t="s">
        <v>164</v>
      </c>
      <c r="B44" s="26">
        <f>'Income Stat.'!C8</f>
        <v>6416599</v>
      </c>
      <c r="C44" s="26">
        <f>'Income Stat.'!D8</f>
        <v>5080636</v>
      </c>
      <c r="D44" s="26">
        <f>'Income Stat.'!F8</f>
        <v>301385.13</v>
      </c>
      <c r="E44" s="26">
        <f>'Income Stat.'!G8</f>
        <v>663441</v>
      </c>
      <c r="F44" s="26">
        <f>'Income Stat.'!H8</f>
        <v>1039283.89</v>
      </c>
      <c r="G44" s="26">
        <f>'Income Stat.'!I8</f>
        <v>1393570.81</v>
      </c>
      <c r="H44" s="26">
        <f>'Income Stat.'!J8</f>
        <v>1723459.57</v>
      </c>
      <c r="I44" s="26">
        <f>'Income Stat.'!K8</f>
        <v>2177086.2999999998</v>
      </c>
      <c r="J44" s="26">
        <f>'Income Stat.'!L8</f>
        <v>2577944.44</v>
      </c>
      <c r="K44" s="26">
        <f>'Income Stat.'!M8</f>
        <v>2992116.44</v>
      </c>
      <c r="L44" s="26">
        <f>'Income Stat.'!N8</f>
        <v>2780778</v>
      </c>
      <c r="M44" s="26">
        <f>'Income Stat.'!O8</f>
        <v>3669126.84</v>
      </c>
      <c r="N44" s="26">
        <f>'Income Stat.'!P8</f>
        <v>3990320.13</v>
      </c>
      <c r="O44" s="26">
        <f>'Income Stat.'!Q8</f>
        <v>4357143</v>
      </c>
      <c r="P44" s="26">
        <f>'Income Stat.'!R8</f>
        <v>3545740</v>
      </c>
      <c r="Q44" s="179">
        <f>'Income Stat.'!S8</f>
        <v>339375</v>
      </c>
      <c r="R44" s="26">
        <f>'Income Stat.'!T8</f>
        <v>745492.04</v>
      </c>
      <c r="S44" s="26">
        <f>'Income Stat.'!U8</f>
        <v>1172385.6200000001</v>
      </c>
      <c r="T44" s="26">
        <f>'Income Stat.'!V8</f>
        <v>1556235</v>
      </c>
      <c r="U44" s="26">
        <f>'Income Stat.'!W8</f>
        <v>1929894.15</v>
      </c>
      <c r="V44" s="26">
        <f>'Income Stat.'!X8</f>
        <v>2301284</v>
      </c>
      <c r="W44" s="26">
        <f>'Income Stat.'!Y8</f>
        <v>2498397.17</v>
      </c>
      <c r="X44" s="26">
        <f>'Income Stat.'!Z8</f>
        <v>3149991</v>
      </c>
      <c r="Y44" s="26">
        <f>'Income Stat.'!AA8</f>
        <v>4997917</v>
      </c>
      <c r="Z44" s="26">
        <f>'Income Stat.'!AB8</f>
        <v>4056508</v>
      </c>
      <c r="AA44" s="26">
        <f>'Income Stat.'!AC8</f>
        <v>4388404</v>
      </c>
      <c r="AB44" s="179">
        <f>'Income Stat.'!AD8</f>
        <v>7908144</v>
      </c>
      <c r="AC44" s="26">
        <f>'Income Stat.'!AE8</f>
        <v>748964</v>
      </c>
      <c r="AD44" s="26">
        <f>'Income Stat.'!AF8</f>
        <v>0</v>
      </c>
    </row>
    <row r="45" spans="1:30" ht="13.15">
      <c r="A45" s="25" t="s">
        <v>165</v>
      </c>
      <c r="B45" s="26">
        <f>'Income Stat.'!C7</f>
        <v>0</v>
      </c>
      <c r="C45" s="26">
        <f>'Income Stat.'!D7</f>
        <v>0</v>
      </c>
      <c r="D45" s="26">
        <f>'Income Stat.'!F7</f>
        <v>678091.4</v>
      </c>
      <c r="E45" s="26">
        <f>'Income Stat.'!G7</f>
        <v>953385</v>
      </c>
      <c r="F45" s="26">
        <f>'Income Stat.'!H7</f>
        <v>2017543.5</v>
      </c>
      <c r="G45" s="26">
        <f>'Income Stat.'!I7</f>
        <v>2734803</v>
      </c>
      <c r="H45" s="26">
        <f>'Income Stat.'!J7</f>
        <v>3370160.1</v>
      </c>
      <c r="I45" s="26">
        <f>'Income Stat.'!K7</f>
        <v>4121103.8</v>
      </c>
      <c r="J45" s="26">
        <f>'Income Stat.'!L7</f>
        <v>5122521.2</v>
      </c>
      <c r="K45" s="26">
        <f>'Income Stat.'!M7</f>
        <v>6457651</v>
      </c>
      <c r="L45" s="26">
        <f>'Income Stat.'!N7</f>
        <v>7418524</v>
      </c>
      <c r="M45" s="26">
        <f>'Income Stat.'!O7</f>
        <v>7499864.5</v>
      </c>
      <c r="N45" s="26">
        <f>'Income Stat.'!P7</f>
        <v>8289231.7999999998</v>
      </c>
      <c r="O45" s="26">
        <f>'Income Stat.'!Q7</f>
        <v>2302810</v>
      </c>
      <c r="P45" s="26">
        <f>'Income Stat.'!R7</f>
        <v>3114203</v>
      </c>
      <c r="Q45" s="179">
        <f>'Income Stat.'!S7</f>
        <v>230977.6</v>
      </c>
      <c r="R45" s="26">
        <f>'Income Stat.'!T7</f>
        <v>634903.9</v>
      </c>
      <c r="S45" s="26">
        <f>'Income Stat.'!U7</f>
        <v>1160447.7</v>
      </c>
      <c r="T45" s="26">
        <f>'Income Stat.'!V7</f>
        <v>1615548</v>
      </c>
      <c r="U45" s="26">
        <f>'Income Stat.'!W7</f>
        <v>2562092.7000000002</v>
      </c>
      <c r="V45" s="26">
        <f>'Income Stat.'!X7</f>
        <v>1677069</v>
      </c>
      <c r="W45" s="26">
        <f>'Income Stat.'!Y10</f>
        <v>1998062.37</v>
      </c>
      <c r="X45" s="26">
        <f>'Income Stat.'!Z10</f>
        <v>2315555</v>
      </c>
      <c r="Y45" s="26">
        <f>'Income Stat.'!AA10</f>
        <v>2842210</v>
      </c>
      <c r="Z45" s="26">
        <f>'Income Stat.'!AB10</f>
        <v>2903227.95</v>
      </c>
      <c r="AA45" s="26">
        <f>'Income Stat.'!AC10</f>
        <v>3245270.44</v>
      </c>
      <c r="AB45" s="179">
        <f>'Income Stat.'!AD10</f>
        <v>3592454</v>
      </c>
      <c r="AC45" s="26">
        <f>'Income Stat.'!AE10</f>
        <v>0</v>
      </c>
      <c r="AD45" s="26">
        <f>'Income Stat.'!AF10</f>
        <v>0</v>
      </c>
    </row>
    <row r="46" spans="1:30" ht="13.15">
      <c r="A46" s="25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179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179"/>
      <c r="AC46" s="26"/>
      <c r="AD46" s="26"/>
    </row>
    <row r="47" spans="1:30" ht="13.15">
      <c r="A47" s="27" t="s">
        <v>166</v>
      </c>
      <c r="B47" s="32">
        <f t="shared" ref="B47:C47" si="41">B48+B49+B50+B51</f>
        <v>15127188</v>
      </c>
      <c r="C47" s="32">
        <f t="shared" si="41"/>
        <v>36251</v>
      </c>
      <c r="D47" s="32">
        <f>D48+D49+D50+D51</f>
        <v>2247874.2299999995</v>
      </c>
      <c r="E47" s="32">
        <f t="shared" ref="E47:N47" si="42">E48+E49+E50+E51</f>
        <v>3435265.7</v>
      </c>
      <c r="F47" s="32">
        <f t="shared" si="42"/>
        <v>4583388.9500000011</v>
      </c>
      <c r="G47" s="32">
        <f t="shared" si="42"/>
        <v>5775126.6700000009</v>
      </c>
      <c r="H47" s="32">
        <f t="shared" si="42"/>
        <v>6287350.5099999979</v>
      </c>
      <c r="I47" s="32">
        <f t="shared" si="42"/>
        <v>7892025.1600000001</v>
      </c>
      <c r="J47" s="32">
        <f t="shared" ref="J47:K47" si="43">J48+J49+J50+J51</f>
        <v>8060054.8000000007</v>
      </c>
      <c r="K47" s="32">
        <f t="shared" si="43"/>
        <v>11048517.41</v>
      </c>
      <c r="L47" s="32">
        <f t="shared" si="42"/>
        <v>13548590</v>
      </c>
      <c r="M47" s="32">
        <f t="shared" si="42"/>
        <v>16002974.680000003</v>
      </c>
      <c r="N47" s="32">
        <f t="shared" si="42"/>
        <v>17895329.189999998</v>
      </c>
      <c r="O47" s="32">
        <f t="shared" ref="O47:Q47" si="44">O48+O49+O50+O51</f>
        <v>35161056.719999999</v>
      </c>
      <c r="P47" s="32">
        <f t="shared" si="44"/>
        <v>35161046.719999999</v>
      </c>
      <c r="Q47" s="180">
        <f t="shared" si="44"/>
        <v>-853643.51999999979</v>
      </c>
      <c r="R47" s="32">
        <f t="shared" ref="R47:W47" si="45">R48+R49+R50+R51</f>
        <v>755782.78000000119</v>
      </c>
      <c r="S47" s="32">
        <f t="shared" si="45"/>
        <v>3507854.1499999985</v>
      </c>
      <c r="T47" s="32">
        <f t="shared" si="45"/>
        <v>-4302471</v>
      </c>
      <c r="U47" s="32">
        <f t="shared" si="45"/>
        <v>2657670.6999999955</v>
      </c>
      <c r="V47" s="32">
        <f t="shared" si="45"/>
        <v>4675431.0600000005</v>
      </c>
      <c r="W47" s="32">
        <f t="shared" si="45"/>
        <v>5648021.1799999997</v>
      </c>
      <c r="X47" s="32">
        <f t="shared" ref="X47:AD47" si="46">X48+X49+X50+X51</f>
        <v>8585109</v>
      </c>
      <c r="Y47" s="32">
        <f t="shared" si="46"/>
        <v>11269113</v>
      </c>
      <c r="Z47" s="32">
        <f t="shared" si="46"/>
        <v>13848476.869999999</v>
      </c>
      <c r="AA47" s="32">
        <f t="shared" si="46"/>
        <v>15723567.190000005</v>
      </c>
      <c r="AB47" s="180">
        <f t="shared" si="46"/>
        <v>19937319</v>
      </c>
      <c r="AC47" s="32">
        <f t="shared" si="46"/>
        <v>19951738</v>
      </c>
      <c r="AD47" s="32">
        <f t="shared" si="46"/>
        <v>0</v>
      </c>
    </row>
    <row r="48" spans="1:30" ht="13.15">
      <c r="A48" s="25" t="s">
        <v>167</v>
      </c>
      <c r="B48" s="26">
        <f>'Income Stat.'!C14</f>
        <v>11610005</v>
      </c>
      <c r="C48" s="26">
        <f>'Income Stat.'!D14</f>
        <v>0</v>
      </c>
      <c r="D48" s="26">
        <f>'Income Stat.'!F14</f>
        <v>0</v>
      </c>
      <c r="E48" s="26">
        <f>'Income Stat.'!G14</f>
        <v>0</v>
      </c>
      <c r="F48" s="26">
        <f>'Income Stat.'!H14</f>
        <v>0</v>
      </c>
      <c r="G48" s="26">
        <f>'Income Stat.'!I14</f>
        <v>0</v>
      </c>
      <c r="H48" s="26">
        <f>'Income Stat.'!J14</f>
        <v>0</v>
      </c>
      <c r="I48" s="26">
        <f>'Income Stat.'!K14</f>
        <v>0</v>
      </c>
      <c r="J48" s="26">
        <f>'Income Stat.'!L14</f>
        <v>0</v>
      </c>
      <c r="K48" s="26">
        <f>'Income Stat.'!M14</f>
        <v>0</v>
      </c>
      <c r="L48" s="26">
        <f>'Income Stat.'!N14</f>
        <v>0</v>
      </c>
      <c r="M48" s="26">
        <f>'Income Stat.'!O14</f>
        <v>0</v>
      </c>
      <c r="N48" s="26">
        <f>'Income Stat.'!P14</f>
        <v>0</v>
      </c>
      <c r="O48" s="26">
        <f>'Income Stat.'!Q14</f>
        <v>14315529</v>
      </c>
      <c r="P48" s="26">
        <f>'Income Stat.'!R14</f>
        <v>14315529</v>
      </c>
      <c r="Q48" s="179">
        <f>'Income Stat.'!S14</f>
        <v>0</v>
      </c>
      <c r="R48" s="26">
        <f>'Income Stat.'!T14</f>
        <v>0</v>
      </c>
      <c r="S48" s="26">
        <f>'Income Stat.'!U14</f>
        <v>0</v>
      </c>
      <c r="T48" s="26">
        <f>'Income Stat.'!V14</f>
        <v>0</v>
      </c>
      <c r="U48" s="26">
        <f>'Income Stat.'!W14</f>
        <v>0</v>
      </c>
      <c r="V48" s="26">
        <f>'Income Stat.'!X14</f>
        <v>0</v>
      </c>
      <c r="W48" s="26">
        <f>'Income Stat.'!Y14</f>
        <v>0</v>
      </c>
      <c r="X48" s="26">
        <f>'Income Stat.'!Z14</f>
        <v>0</v>
      </c>
      <c r="Y48" s="26">
        <f>'Income Stat.'!AA14</f>
        <v>0</v>
      </c>
      <c r="Z48" s="26">
        <f>'Income Stat.'!AB14</f>
        <v>0</v>
      </c>
      <c r="AA48" s="26">
        <f>'Income Stat.'!AC14</f>
        <v>0</v>
      </c>
      <c r="AB48" s="179">
        <f>'Income Stat.'!AD14</f>
        <v>0</v>
      </c>
      <c r="AC48" s="26">
        <f>'Income Stat.'!AE14</f>
        <v>15104555</v>
      </c>
      <c r="AD48" s="26">
        <f>'Income Stat.'!AF14</f>
        <v>0</v>
      </c>
    </row>
    <row r="49" spans="1:30" ht="13.15">
      <c r="A49" s="25" t="s">
        <v>168</v>
      </c>
      <c r="B49" s="26">
        <f>'Income Stat.'!C16</f>
        <v>0</v>
      </c>
      <c r="C49" s="26">
        <f>'Income Stat.'!D16</f>
        <v>0</v>
      </c>
      <c r="D49" s="26">
        <f>'Income Stat.'!F16</f>
        <v>0</v>
      </c>
      <c r="E49" s="26">
        <f>'Income Stat.'!G16</f>
        <v>0</v>
      </c>
      <c r="F49" s="26">
        <f>'Income Stat.'!H16</f>
        <v>0</v>
      </c>
      <c r="G49" s="26">
        <f>'Income Stat.'!I16</f>
        <v>0</v>
      </c>
      <c r="H49" s="26">
        <f>'Income Stat.'!J16</f>
        <v>0</v>
      </c>
      <c r="I49" s="26">
        <f>'Income Stat.'!K16</f>
        <v>0</v>
      </c>
      <c r="J49" s="26">
        <f>'Income Stat.'!L16</f>
        <v>0</v>
      </c>
      <c r="K49" s="26">
        <f>'Income Stat.'!M16</f>
        <v>0</v>
      </c>
      <c r="L49" s="26">
        <f>'Income Stat.'!N16</f>
        <v>0</v>
      </c>
      <c r="M49" s="26">
        <f>'Income Stat.'!O16</f>
        <v>0</v>
      </c>
      <c r="N49" s="26">
        <f>'Income Stat.'!P16</f>
        <v>0</v>
      </c>
      <c r="O49" s="26">
        <f>'Income Stat.'!Q16</f>
        <v>2959259</v>
      </c>
      <c r="P49" s="26">
        <f>'Income Stat.'!R16</f>
        <v>0</v>
      </c>
      <c r="Q49" s="179">
        <f>'Income Stat.'!S16</f>
        <v>0</v>
      </c>
      <c r="R49" s="26">
        <f>'Income Stat.'!T16</f>
        <v>0</v>
      </c>
      <c r="S49" s="26">
        <f>'Income Stat.'!U16</f>
        <v>0</v>
      </c>
      <c r="T49" s="26">
        <f>'Income Stat.'!V16</f>
        <v>0</v>
      </c>
      <c r="U49" s="26">
        <f>'Income Stat.'!W16</f>
        <v>0</v>
      </c>
      <c r="V49" s="26">
        <f>'Income Stat.'!X16</f>
        <v>0</v>
      </c>
      <c r="W49" s="26">
        <f>'Income Stat.'!Y16</f>
        <v>0</v>
      </c>
      <c r="X49" s="26">
        <f>'Income Stat.'!Z16</f>
        <v>0</v>
      </c>
      <c r="Y49" s="26">
        <f>'Income Stat.'!AA16</f>
        <v>0</v>
      </c>
      <c r="Z49" s="26">
        <f>'Income Stat.'!AB16</f>
        <v>0</v>
      </c>
      <c r="AA49" s="26">
        <f>'Income Stat.'!AC16</f>
        <v>0</v>
      </c>
      <c r="AB49" s="179">
        <f>'Income Stat.'!AD16</f>
        <v>0</v>
      </c>
      <c r="AC49" s="26">
        <f>'Income Stat.'!AE16</f>
        <v>0</v>
      </c>
      <c r="AD49" s="26">
        <f>'Income Stat.'!AF16</f>
        <v>0</v>
      </c>
    </row>
    <row r="50" spans="1:30" ht="13.15">
      <c r="A50" s="25" t="s">
        <v>169</v>
      </c>
      <c r="B50" s="26">
        <f>'Income Stat.'!C15</f>
        <v>0</v>
      </c>
      <c r="C50" s="26">
        <f>'Income Stat.'!D15</f>
        <v>0</v>
      </c>
      <c r="D50" s="26">
        <f>'Income Stat.'!F15</f>
        <v>0</v>
      </c>
      <c r="E50" s="26">
        <f>'Income Stat.'!G15</f>
        <v>0</v>
      </c>
      <c r="F50" s="26">
        <f>'Income Stat.'!H15</f>
        <v>0</v>
      </c>
      <c r="G50" s="26">
        <f>'Income Stat.'!I15</f>
        <v>0</v>
      </c>
      <c r="H50" s="26">
        <f>'Income Stat.'!J15</f>
        <v>0</v>
      </c>
      <c r="I50" s="26">
        <f>'Income Stat.'!K15</f>
        <v>0</v>
      </c>
      <c r="J50" s="26">
        <f>'Income Stat.'!L15</f>
        <v>0</v>
      </c>
      <c r="K50" s="26">
        <f>'Income Stat.'!M15</f>
        <v>0</v>
      </c>
      <c r="L50" s="26">
        <f>'Income Stat.'!N15</f>
        <v>0</v>
      </c>
      <c r="M50" s="26">
        <f>'Income Stat.'!O15</f>
        <v>0</v>
      </c>
      <c r="N50" s="26">
        <f>'Income Stat.'!P15</f>
        <v>0</v>
      </c>
      <c r="O50" s="26">
        <f>'Income Stat.'!Q15</f>
        <v>0</v>
      </c>
      <c r="P50" s="26">
        <f>'Income Stat.'!R15</f>
        <v>0</v>
      </c>
      <c r="Q50" s="179">
        <f>'Income Stat.'!S15</f>
        <v>0</v>
      </c>
      <c r="R50" s="26">
        <f>'Income Stat.'!T15</f>
        <v>0</v>
      </c>
      <c r="S50" s="26">
        <f>'Income Stat.'!U15</f>
        <v>0</v>
      </c>
      <c r="T50" s="26">
        <f>'Income Stat.'!V15</f>
        <v>0</v>
      </c>
      <c r="U50" s="26">
        <f>'Income Stat.'!W15</f>
        <v>0</v>
      </c>
      <c r="V50" s="26">
        <f>'Income Stat.'!X15</f>
        <v>0</v>
      </c>
      <c r="W50" s="26">
        <f>'Income Stat.'!Y15</f>
        <v>0</v>
      </c>
      <c r="X50" s="26">
        <f>'Income Stat.'!Z15</f>
        <v>0</v>
      </c>
      <c r="Y50" s="26">
        <f>'Income Stat.'!AA15</f>
        <v>0</v>
      </c>
      <c r="Z50" s="26">
        <f>'Income Stat.'!AB15</f>
        <v>0</v>
      </c>
      <c r="AA50" s="26">
        <f>'Income Stat.'!AC15</f>
        <v>0</v>
      </c>
      <c r="AB50" s="179">
        <f>'Income Stat.'!AD15</f>
        <v>0</v>
      </c>
      <c r="AC50" s="26">
        <f>'Income Stat.'!AE15</f>
        <v>0</v>
      </c>
      <c r="AD50" s="26">
        <f>'Income Stat.'!AF15</f>
        <v>0</v>
      </c>
    </row>
    <row r="51" spans="1:30" ht="13.15">
      <c r="A51" s="34" t="s">
        <v>170</v>
      </c>
      <c r="B51" s="26">
        <f>'Income Stat.'!C30</f>
        <v>3517183</v>
      </c>
      <c r="C51" s="26">
        <f>'Income Stat.'!D30</f>
        <v>36251</v>
      </c>
      <c r="D51" s="26">
        <f>'Income Stat.'!F30</f>
        <v>2247874.2299999995</v>
      </c>
      <c r="E51" s="26">
        <f>'Income Stat.'!G30</f>
        <v>3435265.7</v>
      </c>
      <c r="F51" s="26">
        <f>'Income Stat.'!H30</f>
        <v>4583388.9500000011</v>
      </c>
      <c r="G51" s="26">
        <f>'Income Stat.'!I30</f>
        <v>5775126.6700000009</v>
      </c>
      <c r="H51" s="26">
        <f>'Income Stat.'!J30</f>
        <v>6287350.5099999979</v>
      </c>
      <c r="I51" s="26">
        <f>'Income Stat.'!K30</f>
        <v>7892025.1600000001</v>
      </c>
      <c r="J51" s="26">
        <f>'Income Stat.'!L30</f>
        <v>8060054.8000000007</v>
      </c>
      <c r="K51" s="26">
        <f>'Income Stat.'!M30</f>
        <v>11048517.41</v>
      </c>
      <c r="L51" s="26">
        <f>'Income Stat.'!N30</f>
        <v>13548590</v>
      </c>
      <c r="M51" s="26">
        <f>'Income Stat.'!O30</f>
        <v>16002974.680000003</v>
      </c>
      <c r="N51" s="26">
        <f>'Income Stat.'!P30</f>
        <v>17895329.189999998</v>
      </c>
      <c r="O51" s="26">
        <f>'Income Stat.'!Q30</f>
        <v>17886268.719999999</v>
      </c>
      <c r="P51" s="26">
        <f>'Income Stat.'!R30</f>
        <v>20845517.719999999</v>
      </c>
      <c r="Q51" s="179">
        <f>'Income Stat.'!S30</f>
        <v>-853643.51999999979</v>
      </c>
      <c r="R51" s="26">
        <f>'Income Stat.'!T30</f>
        <v>755782.78000000119</v>
      </c>
      <c r="S51" s="26">
        <f>'Income Stat.'!U30</f>
        <v>3507854.1499999985</v>
      </c>
      <c r="T51" s="26">
        <f>'Income Stat.'!V30</f>
        <v>-4302471</v>
      </c>
      <c r="U51" s="26">
        <f>'Income Stat.'!W30</f>
        <v>2657670.6999999955</v>
      </c>
      <c r="V51" s="26">
        <f>'Income Stat.'!X30</f>
        <v>4675431.0600000005</v>
      </c>
      <c r="W51" s="26">
        <f>'Income Stat.'!Y30</f>
        <v>5648021.1799999997</v>
      </c>
      <c r="X51" s="26">
        <f>'Income Stat.'!Z30</f>
        <v>8585109</v>
      </c>
      <c r="Y51" s="26">
        <f>'Income Stat.'!AA30</f>
        <v>11269113</v>
      </c>
      <c r="Z51" s="26">
        <f>'Income Stat.'!AB30</f>
        <v>13848476.869999999</v>
      </c>
      <c r="AA51" s="26">
        <f>'Income Stat.'!AC30</f>
        <v>15723567.190000005</v>
      </c>
      <c r="AB51" s="179">
        <f>'Income Stat.'!AD30</f>
        <v>19937319</v>
      </c>
      <c r="AC51" s="26">
        <f>'Income Stat.'!AE30</f>
        <v>4847183</v>
      </c>
      <c r="AD51" s="26">
        <f>'Income Stat.'!AF30</f>
        <v>0</v>
      </c>
    </row>
    <row r="52" spans="1:30">
      <c r="A52" s="35" t="s">
        <v>171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E19"/>
  <sheetViews>
    <sheetView workbookViewId="0"/>
  </sheetViews>
  <sheetFormatPr defaultColWidth="9.140625" defaultRowHeight="13.9"/>
  <cols>
    <col min="1" max="1" width="26.28515625" style="16" bestFit="1" customWidth="1"/>
    <col min="2" max="2" width="36.42578125" style="16" customWidth="1"/>
    <col min="3" max="3" width="8.42578125" style="16" customWidth="1"/>
    <col min="4" max="4" width="14.140625" style="16" customWidth="1"/>
    <col min="5" max="5" width="14" style="16" customWidth="1"/>
    <col min="6" max="8" width="14" style="16" hidden="1" customWidth="1"/>
    <col min="9" max="10" width="12.28515625" style="16" hidden="1" customWidth="1"/>
    <col min="11" max="11" width="0.140625" style="16" hidden="1" customWidth="1"/>
    <col min="12" max="16" width="14" style="16" hidden="1" customWidth="1"/>
    <col min="17" max="19" width="11.28515625" style="16" hidden="1" customWidth="1"/>
    <col min="20" max="20" width="13.5703125" style="16" bestFit="1" customWidth="1"/>
    <col min="21" max="21" width="0.28515625" style="16" customWidth="1"/>
    <col min="22" max="22" width="11.28515625" style="16" hidden="1" customWidth="1"/>
    <col min="23" max="23" width="14" style="16" customWidth="1"/>
    <col min="24" max="25" width="11" style="16" hidden="1" customWidth="1"/>
    <col min="26" max="26" width="13.5703125" style="16" bestFit="1" customWidth="1"/>
    <col min="27" max="27" width="0.28515625" style="16" customWidth="1"/>
    <col min="28" max="28" width="11" style="16" hidden="1" customWidth="1"/>
    <col min="29" max="30" width="13.5703125" style="16" bestFit="1" customWidth="1"/>
    <col min="31" max="31" width="7.5703125" style="16" bestFit="1" customWidth="1"/>
    <col min="32" max="16384" width="9.140625" style="16"/>
  </cols>
  <sheetData>
    <row r="1" spans="1:31">
      <c r="A1" s="14" t="s">
        <v>172</v>
      </c>
      <c r="B1" s="14"/>
      <c r="C1" s="14"/>
      <c r="D1" s="61"/>
      <c r="E1" s="61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31" ht="15.6" thickBot="1">
      <c r="A2" s="138"/>
      <c r="B2" s="138"/>
      <c r="C2" s="138" t="s">
        <v>173</v>
      </c>
      <c r="D2" s="139" t="s">
        <v>3</v>
      </c>
      <c r="E2" s="139" t="s">
        <v>4</v>
      </c>
      <c r="F2" s="139" t="s">
        <v>174</v>
      </c>
      <c r="G2" s="139" t="s">
        <v>6</v>
      </c>
      <c r="H2" s="139" t="s">
        <v>7</v>
      </c>
      <c r="I2" s="139" t="s">
        <v>8</v>
      </c>
      <c r="J2" s="139" t="s">
        <v>9</v>
      </c>
      <c r="K2" s="139" t="s">
        <v>10</v>
      </c>
      <c r="L2" s="139" t="s">
        <v>12</v>
      </c>
      <c r="M2" s="139" t="s">
        <v>13</v>
      </c>
      <c r="N2" s="139" t="s">
        <v>14</v>
      </c>
      <c r="O2" s="139" t="s">
        <v>15</v>
      </c>
      <c r="P2" s="139" t="s">
        <v>16</v>
      </c>
      <c r="Q2" s="139" t="s">
        <v>17</v>
      </c>
      <c r="R2" s="140">
        <v>44583</v>
      </c>
      <c r="S2" s="141">
        <v>44614</v>
      </c>
      <c r="T2" s="140">
        <v>44642</v>
      </c>
      <c r="U2" s="141">
        <v>44673</v>
      </c>
      <c r="V2" s="140">
        <v>44703</v>
      </c>
      <c r="W2" s="141">
        <v>44734</v>
      </c>
      <c r="X2" s="142">
        <v>44743</v>
      </c>
      <c r="Y2" s="142">
        <v>44774</v>
      </c>
      <c r="Z2" s="142">
        <v>44805</v>
      </c>
      <c r="AA2" s="142">
        <v>44835</v>
      </c>
      <c r="AB2" s="142">
        <v>44866</v>
      </c>
      <c r="AC2" s="142">
        <v>44896</v>
      </c>
      <c r="AD2" s="143" t="s">
        <v>79</v>
      </c>
    </row>
    <row r="3" spans="1:31" ht="15">
      <c r="A3" s="144" t="s">
        <v>175</v>
      </c>
      <c r="B3" s="145" t="s">
        <v>141</v>
      </c>
      <c r="C3" s="146" t="s">
        <v>176</v>
      </c>
      <c r="D3" s="147">
        <f>Financials!B16</f>
        <v>33585269</v>
      </c>
      <c r="E3" s="147">
        <f>Financials!C16</f>
        <v>35288951.219999999</v>
      </c>
      <c r="F3" s="147">
        <f>Financials!D16</f>
        <v>38804806.75</v>
      </c>
      <c r="G3" s="147">
        <f>Financials!E16</f>
        <v>45375371.200000003</v>
      </c>
      <c r="H3" s="147">
        <f>Financials!F16</f>
        <v>46617873.439999998</v>
      </c>
      <c r="I3" s="147">
        <f>Financials!G16</f>
        <v>47881097.210000001</v>
      </c>
      <c r="J3" s="147">
        <f>Financials!H16</f>
        <v>51997658.039999999</v>
      </c>
      <c r="K3" s="147">
        <f>Financials!I16</f>
        <v>53685986.049999997</v>
      </c>
      <c r="L3" s="147">
        <f>Financials!K16</f>
        <v>58350435.049999997</v>
      </c>
      <c r="M3" s="147">
        <f>Financials!L16</f>
        <v>61466479.030000001</v>
      </c>
      <c r="N3" s="147">
        <f>Financials!M16</f>
        <v>65489688.560000002</v>
      </c>
      <c r="O3" s="147">
        <f>Financials!N16</f>
        <v>68024726.620000005</v>
      </c>
      <c r="P3" s="147">
        <f>Financials!O16</f>
        <v>53706746.07</v>
      </c>
      <c r="Q3" s="147">
        <f>Financials!P16</f>
        <v>53706746</v>
      </c>
      <c r="R3" s="147">
        <f>Financials!Q16</f>
        <v>52994014.549999997</v>
      </c>
      <c r="S3" s="147">
        <f>Financials!R16</f>
        <v>57992010.760000005</v>
      </c>
      <c r="T3" s="147">
        <f>Financials!S16</f>
        <v>57841711.920000002</v>
      </c>
      <c r="U3" s="147">
        <f>Financials!T16</f>
        <v>45137271</v>
      </c>
      <c r="V3" s="147">
        <f>Financials!U16</f>
        <v>57356320.980000004</v>
      </c>
      <c r="W3" s="147">
        <f>Financials!V16</f>
        <v>59544731.019999996</v>
      </c>
      <c r="X3" s="147">
        <f>Financials!W16</f>
        <v>60710591.219999999</v>
      </c>
      <c r="Y3" s="147">
        <f>Financials!X16</f>
        <v>63889028</v>
      </c>
      <c r="Z3" s="147">
        <f>Financials!Y16</f>
        <v>66922506</v>
      </c>
      <c r="AA3" s="147">
        <f>Financials!Z16</f>
        <v>69637646</v>
      </c>
      <c r="AB3" s="147">
        <f>Financials!AA16</f>
        <v>71950249.25</v>
      </c>
      <c r="AC3" s="147">
        <f>Financials!AB16</f>
        <v>66481550</v>
      </c>
      <c r="AD3" s="147">
        <f>Financials!AC16</f>
        <v>63405036</v>
      </c>
      <c r="AE3" s="36">
        <f>Financials!AD16</f>
        <v>0</v>
      </c>
    </row>
    <row r="4" spans="1:31" ht="15">
      <c r="A4" s="148"/>
      <c r="B4" s="149" t="s">
        <v>177</v>
      </c>
      <c r="C4" s="150">
        <v>0.1</v>
      </c>
      <c r="D4" s="151">
        <f>Financials!B16/Financials!B8</f>
        <v>0.12468024562075236</v>
      </c>
      <c r="E4" s="151">
        <f>Financials!C16/Financials!C8</f>
        <v>0.12027112038280784</v>
      </c>
      <c r="F4" s="151">
        <f>Financials!D16/Financials!D8</f>
        <v>0.12786993892002602</v>
      </c>
      <c r="G4" s="151">
        <f>Financials!E16/Financials!E8</f>
        <v>0.14762497489607412</v>
      </c>
      <c r="H4" s="151">
        <f>Financials!F16/Financials!F8</f>
        <v>0.14925811111132375</v>
      </c>
      <c r="I4" s="151">
        <f>Financials!G16/Financials!G8</f>
        <v>0.15060663431299939</v>
      </c>
      <c r="J4" s="151">
        <f>Financials!H16/Financials!H8</f>
        <v>0.15900752661025322</v>
      </c>
      <c r="K4" s="151">
        <f>Financials!I16/Financials!I8</f>
        <v>0.16199163427483459</v>
      </c>
      <c r="L4" s="151">
        <f>Financials!K16/Financials!K8</f>
        <v>0.1648087766616857</v>
      </c>
      <c r="M4" s="151">
        <f>Financials!L16/Financials!L8</f>
        <v>0.17625145920811111</v>
      </c>
      <c r="N4" s="151">
        <f>Financials!M16/Financials!M8</f>
        <v>0.18321987367856959</v>
      </c>
      <c r="O4" s="151">
        <f>Financials!N16/Financials!N8</f>
        <v>0.18703259855582574</v>
      </c>
      <c r="P4" s="151">
        <f>Financials!O16/Financials!O8</f>
        <v>0.14537452795922945</v>
      </c>
      <c r="Q4" s="151">
        <f>Financials!P16/Financials!P8</f>
        <v>0.14537452740772946</v>
      </c>
      <c r="R4" s="151">
        <f>Financials!Q16/Financials!Q8</f>
        <v>0.14263007462031607</v>
      </c>
      <c r="S4" s="151">
        <f>Financials!R16/Financials!R8</f>
        <v>0.15740941563814173</v>
      </c>
      <c r="T4" s="151">
        <f>Financials!S16/Financials!S8</f>
        <v>0.15449091820854541</v>
      </c>
      <c r="U4" s="151">
        <f>Financials!T16/Financials!T8</f>
        <v>0.12396506871708023</v>
      </c>
      <c r="V4" s="151">
        <f>Financials!U16/Financials!U8</f>
        <v>0.15323972047733858</v>
      </c>
      <c r="W4" s="151">
        <f>Financials!V16/Financials!V8</f>
        <v>0.15729668520976545</v>
      </c>
      <c r="X4" s="151">
        <f>Financials!W16/Financials!W8</f>
        <v>0.1590129472011442</v>
      </c>
      <c r="Y4" s="151">
        <f>Financials!X16/Financials!X8</f>
        <v>0.16430757746769439</v>
      </c>
      <c r="Z4" s="151">
        <f>Financials!Y16/Financials!Y8</f>
        <v>0.17074757218520883</v>
      </c>
      <c r="AA4" s="151">
        <f>Financials!Z16/Financials!Z8</f>
        <v>0.17720223241035485</v>
      </c>
      <c r="AB4" s="151">
        <f>Financials!AA16/Financials!AA8</f>
        <v>0.18043574389550421</v>
      </c>
      <c r="AC4" s="151">
        <f>Financials!AB16/Financials!AB8</f>
        <v>0.16463336978593041</v>
      </c>
      <c r="AD4" s="151">
        <f>Financials!AC16/Financials!AC8</f>
        <v>0.15718158315586908</v>
      </c>
      <c r="AE4" s="18"/>
    </row>
    <row r="5" spans="1:31" ht="15">
      <c r="A5" s="148"/>
      <c r="B5" s="149" t="s">
        <v>178</v>
      </c>
      <c r="C5" s="150">
        <v>0.08</v>
      </c>
      <c r="D5" s="151">
        <f>Financials!B16/Financials!B9</f>
        <v>0.1519277587280396</v>
      </c>
      <c r="E5" s="151">
        <f>Financials!C16/Financials!C9</f>
        <v>0.13731265886823532</v>
      </c>
      <c r="F5" s="151">
        <f>Financials!D16/Financials!D9</f>
        <v>0.14693517824244889</v>
      </c>
      <c r="G5" s="151">
        <f>Financials!E16/Financials!E9</f>
        <v>0.17366528746135573</v>
      </c>
      <c r="H5" s="151">
        <f>Financials!F16/Financials!F9</f>
        <v>0.17563106184145721</v>
      </c>
      <c r="I5" s="151">
        <f>Financials!G16/Financials!G9</f>
        <v>0.17768147551407712</v>
      </c>
      <c r="J5" s="151">
        <f>Financials!H16/Financials!H9</f>
        <v>0.18924812154051973</v>
      </c>
      <c r="K5" s="151">
        <f>Financials!I16/Financials!I9</f>
        <v>0.19346531496032357</v>
      </c>
      <c r="L5" s="151">
        <f>Financials!K16/Financials!K9</f>
        <v>0.19758990247263264</v>
      </c>
      <c r="M5" s="151">
        <f>Financials!L16/Financials!L9</f>
        <v>0.21428255567184989</v>
      </c>
      <c r="N5" s="151">
        <f>Financials!M16/Financials!M9</f>
        <v>0.22464594727758025</v>
      </c>
      <c r="O5" s="151">
        <f>Financials!N16/Financials!N9</f>
        <v>0.23032684973268383</v>
      </c>
      <c r="P5" s="151">
        <f>Financials!O16/Financials!O9</f>
        <v>0.18123519196203841</v>
      </c>
      <c r="Q5" s="151">
        <f>Financials!P16/Financials!P9</f>
        <v>0.18182956051207849</v>
      </c>
      <c r="R5" s="151">
        <f>Financials!Q16/Financials!Q9</f>
        <v>0.17715856708430708</v>
      </c>
      <c r="S5" s="151">
        <f>Financials!R16/Financials!R9</f>
        <v>0.18942624651981765</v>
      </c>
      <c r="T5" s="151">
        <f>Financials!S16/Financials!S9</f>
        <v>0.18668762072745876</v>
      </c>
      <c r="U5" s="151">
        <f>Financials!T16/Financials!T9</f>
        <v>0.14338523203556983</v>
      </c>
      <c r="V5" s="151">
        <f>Financials!U16/Financials!U9</f>
        <v>0.18479049581190765</v>
      </c>
      <c r="W5" s="151">
        <f>Financials!V16/Financials!V9</f>
        <v>0.18867842904559706</v>
      </c>
      <c r="X5" s="151">
        <f>Financials!W16/Financials!W9</f>
        <v>0.19101643129833959</v>
      </c>
      <c r="Y5" s="151">
        <f>Financials!X16/Financials!X9</f>
        <v>0.19838407640908293</v>
      </c>
      <c r="Z5" s="151">
        <f>Financials!Y16/Financials!Y9</f>
        <v>0.20766400685680128</v>
      </c>
      <c r="AA5" s="151">
        <f>Financials!Z16/Financials!Z9</f>
        <v>0.21722817738727651</v>
      </c>
      <c r="AB5" s="151">
        <f>Financials!AA16/Financials!AA9</f>
        <v>0.22193324107291493</v>
      </c>
      <c r="AC5" s="151">
        <f>Financials!AB16/Financials!AB9</f>
        <v>0.20740083127110334</v>
      </c>
      <c r="AD5" s="151">
        <f>Financials!AC16/Financials!AC9</f>
        <v>0.19780310737601986</v>
      </c>
      <c r="AE5" s="18"/>
    </row>
    <row r="6" spans="1:31" ht="15.6" thickBot="1">
      <c r="A6" s="152"/>
      <c r="B6" s="153" t="s">
        <v>179</v>
      </c>
      <c r="C6" s="154">
        <v>0.08</v>
      </c>
      <c r="D6" s="155">
        <f>(Financials!B18-Financials!B19)/Financials!B8</f>
        <v>6.0544439097135444E-2</v>
      </c>
      <c r="E6" s="155">
        <f>(Financials!C18-Financials!C19)/Financials!C8</f>
        <v>5.561747693026671E-2</v>
      </c>
      <c r="F6" s="155">
        <f>(Financials!D18-Financials!D19)/Financials!D8</f>
        <v>6.4905388156209026E-2</v>
      </c>
      <c r="G6" s="155">
        <f>(Financials!E18-Financials!E19)/Financials!E8</f>
        <v>8.5069856571469898E-2</v>
      </c>
      <c r="H6" s="155">
        <f>(Financials!F18-Financials!F19)/Financials!F8</f>
        <v>8.7255656617680796E-2</v>
      </c>
      <c r="I6" s="155">
        <f>(Financials!G18-Financials!G19)/Financials!G8</f>
        <v>8.9456040970644024E-2</v>
      </c>
      <c r="J6" s="155">
        <f>(Financials!H18-Financials!H19)/Financials!H8</f>
        <v>9.9349536491635485E-2</v>
      </c>
      <c r="K6" s="155">
        <f>(Financials!I18-Financials!I19)/Financials!I8</f>
        <v>0.10287297022715254</v>
      </c>
      <c r="L6" s="155">
        <f>(Financials!K18-Financials!K19)/Financials!K8</f>
        <v>0.10901381824447948</v>
      </c>
      <c r="M6" s="155">
        <f>(Financials!L18-Financials!L19)/Financials!L8</f>
        <v>0.11934032491361772</v>
      </c>
      <c r="N6" s="155">
        <f>(Financials!M18-Financials!M19)/Financials!M8</f>
        <v>0.12739578466259524</v>
      </c>
      <c r="O6" s="155">
        <f>(Financials!N18-Financials!N19)/Financials!N8</f>
        <v>0.13040344480999902</v>
      </c>
      <c r="P6" s="155">
        <f>(Financials!O18-Financials!O19)/Financials!O8</f>
        <v>8.9413147031153314E-2</v>
      </c>
      <c r="Q6" s="156">
        <f>(Financials!P18-Financials!P19)/Financials!P8</f>
        <v>8.9413146808489996E-2</v>
      </c>
      <c r="R6" s="156">
        <f>(Financials!Q18-Financials!Q19)/Financials!Q8</f>
        <v>8.6608443884734265E-2</v>
      </c>
      <c r="S6" s="156">
        <f>(Financials!R18-Financials!R19)/Financials!R8</f>
        <v>0.1002777966345554</v>
      </c>
      <c r="T6" s="156">
        <f>(Financials!S18-Financials!S19)/Financials!S8</f>
        <v>9.7655274523034297E-2</v>
      </c>
      <c r="U6" s="156">
        <f>(Financials!T18-Financials!T19)/Financials!T8</f>
        <v>6.5159237924337643E-2</v>
      </c>
      <c r="V6" s="156">
        <f>(Financials!U18-Financials!U19)/Financials!U8</f>
        <v>9.5622972460849956E-2</v>
      </c>
      <c r="W6" s="156">
        <f>(Financials!V18-Financials!V19)/Financials!V8</f>
        <v>9.9877374569332142E-2</v>
      </c>
      <c r="X6" s="156">
        <f>(Financials!W18-Financials!W19)/Financials!W8</f>
        <v>0.10157560996544991</v>
      </c>
      <c r="Y6" s="156">
        <f>(Financials!X18-Financials!X19)/Financials!X8</f>
        <v>0.10728967894132381</v>
      </c>
      <c r="Z6" s="156">
        <f>(Financials!Y18-Financials!Y19)/Financials!Y8</f>
        <v>0.11328903492753697</v>
      </c>
      <c r="AA6" s="156">
        <f>(Financials!Z18-Financials!Z19)/Financials!Z8</f>
        <v>0.1195510946244018</v>
      </c>
      <c r="AB6" s="156">
        <f>(Financials!AA18-Financials!AA19)/Financials!AA8</f>
        <v>0.12252224496744893</v>
      </c>
      <c r="AC6" s="156">
        <f>(Financials!AB18-Financials!AB19)/Financials!AB8</f>
        <v>9.142374392298365E-2</v>
      </c>
      <c r="AD6" s="156">
        <f>(Financials!AC18-Financials!AC19)/Financials!AC8</f>
        <v>8.3894175254465603E-2</v>
      </c>
      <c r="AE6" s="38"/>
    </row>
    <row r="7" spans="1:31" ht="15">
      <c r="A7" s="144" t="s">
        <v>180</v>
      </c>
      <c r="B7" s="145" t="s">
        <v>181</v>
      </c>
      <c r="C7" s="145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37"/>
    </row>
    <row r="8" spans="1:31" ht="15">
      <c r="A8" s="148"/>
      <c r="B8" s="149" t="s">
        <v>182</v>
      </c>
      <c r="C8" s="149"/>
      <c r="D8" s="158"/>
      <c r="E8" s="158"/>
      <c r="F8" s="158"/>
      <c r="G8" s="158"/>
      <c r="H8" s="158">
        <f>'Form 4'!E22</f>
        <v>0.12024812820786318</v>
      </c>
      <c r="I8" s="158"/>
      <c r="J8" s="158"/>
      <c r="K8" s="158">
        <f>'Form 4'!E45</f>
        <v>9.6299300749147984E-2</v>
      </c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9"/>
    </row>
    <row r="9" spans="1:31" ht="15">
      <c r="A9" s="148"/>
      <c r="B9" s="149" t="s">
        <v>183</v>
      </c>
      <c r="C9" s="159" t="s">
        <v>184</v>
      </c>
      <c r="D9" s="151">
        <f>('Balance Sheet'!C7+'Balance Sheet'!C20)/'Balance Sheet'!C26</f>
        <v>4.5601305585686321E-2</v>
      </c>
      <c r="E9" s="151">
        <f>('Balance Sheet'!D7+'Balance Sheet'!D20)/'Balance Sheet'!D26</f>
        <v>5.2726311055689444E-2</v>
      </c>
      <c r="F9" s="151">
        <f>('Balance Sheet'!E7+'Balance Sheet'!E20)/'Balance Sheet'!E26</f>
        <v>6.8577864207710074E-2</v>
      </c>
      <c r="G9" s="151">
        <f>('Balance Sheet'!F7+'Balance Sheet'!F20)/'Balance Sheet'!F26</f>
        <v>7.9898935597075199E-2</v>
      </c>
      <c r="H9" s="151">
        <f>('Balance Sheet'!G7+'Balance Sheet'!G20)/'Balance Sheet'!G26</f>
        <v>7.9364071503902012E-2</v>
      </c>
      <c r="I9" s="151">
        <f>('Balance Sheet'!H7+'Balance Sheet'!H20)/'Balance Sheet'!H26</f>
        <v>8.1607121339127786E-2</v>
      </c>
      <c r="J9" s="151">
        <f>('Balance Sheet'!I7+'Balance Sheet'!I20)/'Balance Sheet'!I26</f>
        <v>7.4375648594805971E-2</v>
      </c>
      <c r="K9" s="151">
        <f>('Balance Sheet'!J7+'Balance Sheet'!J20)/'Balance Sheet'!J26</f>
        <v>7.4169205754107403E-2</v>
      </c>
      <c r="L9" s="151">
        <f>('Balance Sheet'!L7+'Balance Sheet'!L20)/'Balance Sheet'!L26</f>
        <v>6.0703797354272351E-2</v>
      </c>
      <c r="M9" s="151">
        <f>('Balance Sheet'!M7+'Balance Sheet'!M20)/'Balance Sheet'!M26</f>
        <v>6.3509137369496232E-2</v>
      </c>
      <c r="N9" s="151">
        <f>('Balance Sheet'!N7+'Balance Sheet'!N20)/'Balance Sheet'!N26</f>
        <v>5.7941730438353559E-2</v>
      </c>
      <c r="O9" s="151">
        <f>('Balance Sheet'!O7+'Balance Sheet'!O20)/'Balance Sheet'!O26</f>
        <v>5.6996232451361213E-2</v>
      </c>
      <c r="P9" s="151">
        <f>('Balance Sheet'!P7+'Balance Sheet'!P20)/'Balance Sheet'!P26</f>
        <v>3.1867556212694416E-2</v>
      </c>
      <c r="Q9" s="151">
        <f>('Balance Sheet'!Q7+'Balance Sheet'!Q20)/'Balance Sheet'!Q26</f>
        <v>3.1867556133335438E-2</v>
      </c>
      <c r="R9" s="151">
        <f>('Balance Sheet'!R7+'Balance Sheet'!R20)/'Balance Sheet'!R26</f>
        <v>3.3169937749185897E-2</v>
      </c>
      <c r="S9" s="151">
        <f>('Balance Sheet'!S7+'Balance Sheet'!S20)/'Balance Sheet'!S26</f>
        <v>4.7761633698860016E-2</v>
      </c>
      <c r="T9" s="151">
        <f>('Balance Sheet'!T7+'Balance Sheet'!T20)/'Balance Sheet'!T26</f>
        <v>6.0339596277401999E-2</v>
      </c>
      <c r="U9" s="151">
        <f>('Balance Sheet'!U7+'Balance Sheet'!U20)/'Balance Sheet'!U26</f>
        <v>8.0760212833153128E-2</v>
      </c>
      <c r="V9" s="151">
        <f>('Balance Sheet'!V7+'Balance Sheet'!V20)/'Balance Sheet'!V26</f>
        <v>8.1613595163700453E-2</v>
      </c>
      <c r="W9" s="151">
        <f>('Balance Sheet'!W7+'Balance Sheet'!W20)/'Balance Sheet'!W26</f>
        <v>8.3352705916284436E-2</v>
      </c>
      <c r="X9" s="151">
        <f>('Balance Sheet'!X7+'Balance Sheet'!X20)/'Balance Sheet'!X26</f>
        <v>8.4722769458696487E-2</v>
      </c>
      <c r="Y9" s="151">
        <f>('Balance Sheet'!Y7+'Balance Sheet'!Y20)/'Balance Sheet'!Y26</f>
        <v>7.8246109847049952E-2</v>
      </c>
      <c r="Z9" s="151">
        <f>('Balance Sheet'!Z7+'Balance Sheet'!Z20)/'Balance Sheet'!Z26</f>
        <v>7.7965721325423662E-2</v>
      </c>
      <c r="AA9" s="151">
        <f>('Balance Sheet'!AA7+'Balance Sheet'!AA20)/'Balance Sheet'!AA26</f>
        <v>8.5040014680291501E-2</v>
      </c>
      <c r="AB9" s="151">
        <f>('Balance Sheet'!AB7+'Balance Sheet'!AB20)/'Balance Sheet'!AB26</f>
        <v>7.5923847162239752E-2</v>
      </c>
      <c r="AC9" s="151">
        <f>('Balance Sheet'!AC7+'Balance Sheet'!AC20)/'Balance Sheet'!AC26</f>
        <v>4.7384541926897138E-2</v>
      </c>
      <c r="AD9" s="151">
        <f>('Balance Sheet'!AD7+'Balance Sheet'!AD20)/'Balance Sheet'!AD26</f>
        <v>4.6392259851205035E-2</v>
      </c>
      <c r="AE9" s="18"/>
    </row>
    <row r="10" spans="1:31" ht="15.6" thickBot="1">
      <c r="A10" s="152"/>
      <c r="B10" s="153" t="s">
        <v>185</v>
      </c>
      <c r="C10" s="160" t="s">
        <v>186</v>
      </c>
      <c r="D10" s="156">
        <f>('Balance Sheet'!C21+'Balance Sheet'!C22)/'Balance Sheet'!C26</f>
        <v>1.3599174014188368E-2</v>
      </c>
      <c r="E10" s="156">
        <f>('Balance Sheet'!D21+'Balance Sheet'!D22)/'Balance Sheet'!D26</f>
        <v>1.2972562710520214E-2</v>
      </c>
      <c r="F10" s="156">
        <f>('Balance Sheet'!E21+'Balance Sheet'!E22)/'Balance Sheet'!E26</f>
        <v>1.2648004342811242E-2</v>
      </c>
      <c r="G10" s="156">
        <f>('Balance Sheet'!F21+'Balance Sheet'!F22)/'Balance Sheet'!F26</f>
        <v>1.2324921709896946E-2</v>
      </c>
      <c r="H10" s="156">
        <f>('Balance Sheet'!G21+'Balance Sheet'!G22)/'Balance Sheet'!G26</f>
        <v>1.2100039345336372E-2</v>
      </c>
      <c r="I10" s="156">
        <f>('Balance Sheet'!H21+'Balance Sheet'!H22)/'Balance Sheet'!H26</f>
        <v>1.1729976116314576E-2</v>
      </c>
      <c r="J10" s="156">
        <f>('Balance Sheet'!I21+'Balance Sheet'!I22)/'Balance Sheet'!I26</f>
        <v>1.3127923594481021E-2</v>
      </c>
      <c r="K10" s="156">
        <f>('Balance Sheet'!J21+'Balance Sheet'!J22)/'Balance Sheet'!J26</f>
        <v>1.3264776768569339E-2</v>
      </c>
      <c r="L10" s="156">
        <f>('Balance Sheet'!L21+'Balance Sheet'!L22)/'Balance Sheet'!L26</f>
        <v>1.223306235719808E-2</v>
      </c>
      <c r="M10" s="156">
        <f>('Balance Sheet'!M21+'Balance Sheet'!M22)/'Balance Sheet'!M26</f>
        <v>1.4218796298856019E-2</v>
      </c>
      <c r="N10" s="156">
        <f>('Balance Sheet'!N21+'Balance Sheet'!N22)/'Balance Sheet'!N26</f>
        <v>1.2947452126223986E-2</v>
      </c>
      <c r="O10" s="156">
        <f>('Balance Sheet'!O21+'Balance Sheet'!O22)/'Balance Sheet'!O26</f>
        <v>1.2832116588531135E-2</v>
      </c>
      <c r="P10" s="156">
        <f>('Balance Sheet'!P21+'Balance Sheet'!P22)/'Balance Sheet'!P26</f>
        <v>1.4082938074471222E-2</v>
      </c>
      <c r="Q10" s="156">
        <f>('Balance Sheet'!Q21+'Balance Sheet'!Q22)/'Balance Sheet'!Q26</f>
        <v>1.4082938039400833E-2</v>
      </c>
      <c r="R10" s="156">
        <f>('Balance Sheet'!R21+'Balance Sheet'!R22)/'Balance Sheet'!R26</f>
        <v>1.3841414390705192E-2</v>
      </c>
      <c r="S10" s="156">
        <f>('Balance Sheet'!S21+'Balance Sheet'!S22)/'Balance Sheet'!S26</f>
        <v>1.3796282123164328E-2</v>
      </c>
      <c r="T10" s="156">
        <f>('Balance Sheet'!T21+'Balance Sheet'!T22)/'Balance Sheet'!T26</f>
        <v>2.1539838647482924E-2</v>
      </c>
      <c r="U10" s="156">
        <f>('Balance Sheet'!U21+'Balance Sheet'!U22)/'Balance Sheet'!U26</f>
        <v>2.198373283322607E-2</v>
      </c>
      <c r="V10" s="156">
        <f>('Balance Sheet'!V21+'Balance Sheet'!V22)/'Balance Sheet'!V26</f>
        <v>2.122559431418616E-2</v>
      </c>
      <c r="W10" s="156">
        <f>('Balance Sheet'!W21+'Balance Sheet'!W22)/'Balance Sheet'!W26</f>
        <v>2.082829145582827E-2</v>
      </c>
      <c r="X10" s="156">
        <f>('Balance Sheet'!X21+'Balance Sheet'!X22)/'Balance Sheet'!X26</f>
        <v>2.0494056066370711E-2</v>
      </c>
      <c r="Y10" s="156">
        <f>('Balance Sheet'!Y21+'Balance Sheet'!Y22)/'Balance Sheet'!Y26</f>
        <v>1.9968622458851365E-2</v>
      </c>
      <c r="Z10" s="156">
        <f>('Balance Sheet'!Z21+'Balance Sheet'!Z22)/'Balance Sheet'!Z26</f>
        <v>1.9657583414579547E-2</v>
      </c>
      <c r="AA10" s="156">
        <f>('Balance Sheet'!AA21+'Balance Sheet'!AA22)/'Balance Sheet'!AA26</f>
        <v>2.2323922879490504E-2</v>
      </c>
      <c r="AB10" s="156">
        <f>('Balance Sheet'!AB21+'Balance Sheet'!AB22)/'Balance Sheet'!AB26</f>
        <v>1.9639353301264297E-2</v>
      </c>
      <c r="AC10" s="156">
        <f>('Balance Sheet'!AC21+'Balance Sheet'!AC22)/'Balance Sheet'!AC26</f>
        <v>1.8404090831877478E-2</v>
      </c>
      <c r="AD10" s="156">
        <f>('Balance Sheet'!AD21+'Balance Sheet'!AD22)/'Balance Sheet'!AD26</f>
        <v>1.8423644376701302E-2</v>
      </c>
      <c r="AE10" s="38"/>
    </row>
    <row r="11" spans="1:31" ht="30">
      <c r="A11" s="144" t="s">
        <v>187</v>
      </c>
      <c r="B11" s="145" t="s">
        <v>188</v>
      </c>
      <c r="C11" s="161" t="s">
        <v>186</v>
      </c>
      <c r="D11" s="162">
        <f>'Balance Sheet'!C11/'Balance Sheet'!C29</f>
        <v>0</v>
      </c>
      <c r="E11" s="162">
        <f>'Balance Sheet'!D11/'Balance Sheet'!D29</f>
        <v>0</v>
      </c>
      <c r="F11" s="162">
        <f>'Balance Sheet'!E11/'Balance Sheet'!E29</f>
        <v>0</v>
      </c>
      <c r="G11" s="162">
        <f>'Balance Sheet'!F11/'Balance Sheet'!F29</f>
        <v>0</v>
      </c>
      <c r="H11" s="162">
        <f>'Balance Sheet'!G11/'Balance Sheet'!G29</f>
        <v>0</v>
      </c>
      <c r="I11" s="162">
        <f>'Balance Sheet'!H11/'Balance Sheet'!H29</f>
        <v>0</v>
      </c>
      <c r="J11" s="162">
        <f>'Balance Sheet'!I11/'Balance Sheet'!I29</f>
        <v>0</v>
      </c>
      <c r="K11" s="162">
        <f>'Balance Sheet'!J11/'Balance Sheet'!J29</f>
        <v>0</v>
      </c>
      <c r="L11" s="162">
        <f>'Balance Sheet'!L11/'Balance Sheet'!L29</f>
        <v>0</v>
      </c>
      <c r="M11" s="162">
        <f>'Balance Sheet'!M11/'Balance Sheet'!M29</f>
        <v>0</v>
      </c>
      <c r="N11" s="162">
        <f>'Balance Sheet'!N11/'Balance Sheet'!N29</f>
        <v>0</v>
      </c>
      <c r="O11" s="162">
        <f>'Balance Sheet'!O11/'Balance Sheet'!O29</f>
        <v>0</v>
      </c>
      <c r="P11" s="162">
        <f>'Balance Sheet'!P11/'Balance Sheet'!P29</f>
        <v>0</v>
      </c>
      <c r="Q11" s="162">
        <f>'Balance Sheet'!Q11/'Balance Sheet'!Q29</f>
        <v>0</v>
      </c>
      <c r="R11" s="162">
        <f>'Balance Sheet'!R11/'Balance Sheet'!R29</f>
        <v>0</v>
      </c>
      <c r="S11" s="162">
        <f>'Balance Sheet'!S11/'Balance Sheet'!S29</f>
        <v>0</v>
      </c>
      <c r="T11" s="162">
        <f>'Balance Sheet'!T11/'Balance Sheet'!T29</f>
        <v>0</v>
      </c>
      <c r="U11" s="162">
        <f>'Balance Sheet'!U11/'Balance Sheet'!U29</f>
        <v>0</v>
      </c>
      <c r="V11" s="162">
        <f>'Balance Sheet'!V11/'Balance Sheet'!V29</f>
        <v>0</v>
      </c>
      <c r="W11" s="162">
        <f>'Balance Sheet'!W11/'Balance Sheet'!W29</f>
        <v>0</v>
      </c>
      <c r="X11" s="162">
        <f>'Balance Sheet'!X11/'Balance Sheet'!X29</f>
        <v>0</v>
      </c>
      <c r="Y11" s="162">
        <f>'Balance Sheet'!Y11/'Balance Sheet'!Y29</f>
        <v>0</v>
      </c>
      <c r="Z11" s="162">
        <f>'Balance Sheet'!Z11/'Balance Sheet'!Z29</f>
        <v>0</v>
      </c>
      <c r="AA11" s="162">
        <f>'Balance Sheet'!AA11/'Balance Sheet'!AA29</f>
        <v>0</v>
      </c>
      <c r="AB11" s="162">
        <f>'Balance Sheet'!AB11/'Balance Sheet'!AB29</f>
        <v>0</v>
      </c>
      <c r="AC11" s="162">
        <f>'Balance Sheet'!AC11/'Balance Sheet'!AC29</f>
        <v>0</v>
      </c>
      <c r="AD11" s="162">
        <f>'Balance Sheet'!AD11/'Balance Sheet'!AD29</f>
        <v>0</v>
      </c>
      <c r="AE11" s="39"/>
    </row>
    <row r="12" spans="1:31" ht="30">
      <c r="A12" s="148"/>
      <c r="B12" s="163" t="s">
        <v>189</v>
      </c>
      <c r="C12" s="164" t="s">
        <v>190</v>
      </c>
      <c r="D12" s="165">
        <f>'Balance Sheet'!C11/Financials!B16</f>
        <v>0</v>
      </c>
      <c r="E12" s="165">
        <f>'Balance Sheet'!D11/Financials!C16</f>
        <v>0</v>
      </c>
      <c r="F12" s="165">
        <f>'Balance Sheet'!E11/Financials!D16</f>
        <v>0</v>
      </c>
      <c r="G12" s="165">
        <f>'Balance Sheet'!F11/Financials!E16</f>
        <v>0</v>
      </c>
      <c r="H12" s="165">
        <f>'Balance Sheet'!G11/Financials!F16</f>
        <v>0</v>
      </c>
      <c r="I12" s="165">
        <f>'Balance Sheet'!H11/Financials!G16</f>
        <v>0</v>
      </c>
      <c r="J12" s="165">
        <f>'Balance Sheet'!I11/Financials!H16</f>
        <v>0</v>
      </c>
      <c r="K12" s="165">
        <f>'Balance Sheet'!J11/Financials!I16</f>
        <v>0</v>
      </c>
      <c r="L12" s="165">
        <f>'Balance Sheet'!L11/Financials!K16</f>
        <v>0</v>
      </c>
      <c r="M12" s="165">
        <f>'Balance Sheet'!M11/Financials!L16</f>
        <v>0</v>
      </c>
      <c r="N12" s="165">
        <f>'Balance Sheet'!N11/Financials!M16</f>
        <v>0</v>
      </c>
      <c r="O12" s="165">
        <f>'Balance Sheet'!O11/Financials!N16</f>
        <v>0</v>
      </c>
      <c r="P12" s="165">
        <f>'Balance Sheet'!P11/Financials!O16</f>
        <v>0</v>
      </c>
      <c r="Q12" s="165">
        <f>'Balance Sheet'!Q11/Financials!P16</f>
        <v>0</v>
      </c>
      <c r="R12" s="165">
        <f>'Balance Sheet'!R11/Financials!Q16</f>
        <v>0</v>
      </c>
      <c r="S12" s="165">
        <f>'Balance Sheet'!S11/Financials!R16</f>
        <v>0</v>
      </c>
      <c r="T12" s="165">
        <f>'Balance Sheet'!T11/Financials!S16</f>
        <v>0</v>
      </c>
      <c r="U12" s="165">
        <f>'Balance Sheet'!U11/Financials!T16</f>
        <v>0</v>
      </c>
      <c r="V12" s="165">
        <f>'Balance Sheet'!V11/Financials!U16</f>
        <v>0</v>
      </c>
      <c r="W12" s="165">
        <f>'Balance Sheet'!W11/Financials!V16</f>
        <v>0</v>
      </c>
      <c r="X12" s="165">
        <f>'Balance Sheet'!X11/Financials!W16</f>
        <v>0</v>
      </c>
      <c r="Y12" s="165">
        <f>'Balance Sheet'!Y11/Financials!X16</f>
        <v>0</v>
      </c>
      <c r="Z12" s="165">
        <f>'Balance Sheet'!Z11/Financials!Y16</f>
        <v>0</v>
      </c>
      <c r="AA12" s="165">
        <f>'Balance Sheet'!AA11/Financials!Z16</f>
        <v>0</v>
      </c>
      <c r="AB12" s="165">
        <f>'Balance Sheet'!AB11/Financials!AA16</f>
        <v>0</v>
      </c>
      <c r="AC12" s="165">
        <f>'Balance Sheet'!AC11/Financials!AB16</f>
        <v>0</v>
      </c>
      <c r="AD12" s="165">
        <f>'Balance Sheet'!AD11/Financials!AC16</f>
        <v>0</v>
      </c>
      <c r="AE12" s="20"/>
    </row>
    <row r="13" spans="1:31" ht="15">
      <c r="A13" s="148"/>
      <c r="B13" s="166" t="s">
        <v>191</v>
      </c>
      <c r="C13" s="166"/>
      <c r="D13" s="151">
        <f>Financials!B34/Financials!B8</f>
        <v>0.91916864182513813</v>
      </c>
      <c r="E13" s="151">
        <f>Financials!C34/Financials!C8</f>
        <v>0.81183536453720762</v>
      </c>
      <c r="F13" s="151">
        <f>Financials!D34/Financials!D8</f>
        <v>0.80141131790105302</v>
      </c>
      <c r="G13" s="151">
        <f>Financials!E34/Financials!E8</f>
        <v>0.77621635795465882</v>
      </c>
      <c r="H13" s="151">
        <f>Financials!F34/Financials!F8</f>
        <v>0.78242611830358821</v>
      </c>
      <c r="I13" s="151">
        <f>Financials!G34/Financials!G8</f>
        <v>0.79701223896071083</v>
      </c>
      <c r="J13" s="151">
        <f>Financials!H34/Financials!H8</f>
        <v>0.79310533349938439</v>
      </c>
      <c r="K13" s="151">
        <f>Financials!I34/Financials!I8</f>
        <v>0.78687624737458717</v>
      </c>
      <c r="L13" s="151">
        <f>Financials!K34/Financials!K8</f>
        <v>0.82706837231102903</v>
      </c>
      <c r="M13" s="151">
        <f>Financials!L34/Financials!L8</f>
        <v>0.79106525845947007</v>
      </c>
      <c r="N13" s="151">
        <f>Financials!M34/Financials!M8</f>
        <v>0.7935544802767871</v>
      </c>
      <c r="O13" s="151">
        <f>Financials!N34/Financials!N8</f>
        <v>0.8031508364973573</v>
      </c>
      <c r="P13" s="151">
        <f>Financials!O34/Financials!O8</f>
        <v>0.81437638649063804</v>
      </c>
      <c r="Q13" s="151">
        <f>Financials!P34/Financials!P8</f>
        <v>0.8143763871694375</v>
      </c>
      <c r="R13" s="151">
        <f>Financials!Q34/Financials!Q8</f>
        <v>0.81017386995456653</v>
      </c>
      <c r="S13" s="151">
        <f>Financials!R34/Financials!R8</f>
        <v>0.80685466124336735</v>
      </c>
      <c r="T13" s="151">
        <f>Financials!S34/Financials!S8</f>
        <v>0.80921138627340417</v>
      </c>
      <c r="U13" s="151">
        <f>Financials!T34/Financials!T8</f>
        <v>0.79721685824071309</v>
      </c>
      <c r="V13" s="151">
        <f>Financials!U34/Financials!U8</f>
        <v>0.79149422554856219</v>
      </c>
      <c r="W13" s="151">
        <f>Financials!V34/Financials!V8</f>
        <v>0.78434233840961076</v>
      </c>
      <c r="X13" s="151">
        <f>Financials!W34/Financials!W8</f>
        <v>0.77812323479234091</v>
      </c>
      <c r="Y13" s="151">
        <f>Financials!X34/Financials!X8</f>
        <v>0.78699970079312387</v>
      </c>
      <c r="Z13" s="151">
        <f>Financials!Y34/Financials!Y8</f>
        <v>0.7736336624734399</v>
      </c>
      <c r="AA13" s="151">
        <f>Financials!Z34/Financials!Z8</f>
        <v>0.75487585345136499</v>
      </c>
      <c r="AB13" s="151">
        <f>Financials!AA34/Financials!AA8</f>
        <v>0.76565557733349632</v>
      </c>
      <c r="AC13" s="151">
        <f>Financials!AB34/Financials!AB8</f>
        <v>0.76099689609938059</v>
      </c>
      <c r="AD13" s="151">
        <f>Financials!AC34/Financials!AC8</f>
        <v>0.7618054238628591</v>
      </c>
      <c r="AE13" s="18"/>
    </row>
    <row r="14" spans="1:31" ht="15">
      <c r="A14" s="148"/>
      <c r="B14" s="149" t="s">
        <v>192</v>
      </c>
      <c r="C14" s="149"/>
      <c r="D14" s="151">
        <f>'Income Stat.'!C38/Financials!B8</f>
        <v>1.3057011403813221E-2</v>
      </c>
      <c r="E14" s="151">
        <f>'Income Stat.'!D38/Financials!C8</f>
        <v>1.2354995641032732E-4</v>
      </c>
      <c r="F14" s="151">
        <f>'Income Stat.'!F38/Financials!D8</f>
        <v>6.4389408156999327E-3</v>
      </c>
      <c r="G14" s="151">
        <f>'Income Stat.'!G38/Financials!E8</f>
        <v>1.1081323836246213E-2</v>
      </c>
      <c r="H14" s="151">
        <f>'Income Stat.'!H38/Financials!F8</f>
        <v>1.4628042023163637E-2</v>
      </c>
      <c r="I14" s="151">
        <f>'Income Stat.'!I38/Financials!G8</f>
        <v>1.8105653293285152E-2</v>
      </c>
      <c r="J14" s="151">
        <f>'Income Stat.'!J38/Financials!H8</f>
        <v>1.9168613692915393E-2</v>
      </c>
      <c r="K14" s="151">
        <f>'Income Stat.'!K38/Financials!I8</f>
        <v>2.3756155558593367E-2</v>
      </c>
      <c r="L14" s="151">
        <f>'Income Stat.'!M38/Financials!K8</f>
        <v>3.1152635623189762E-2</v>
      </c>
      <c r="M14" s="151">
        <f>'Income Stat.'!N38/Financials!L8</f>
        <v>3.8849773004679983E-2</v>
      </c>
      <c r="N14" s="151">
        <f>'Income Stat.'!O38/Financials!M8</f>
        <v>4.471835816567344E-2</v>
      </c>
      <c r="O14" s="151">
        <f>'Income Stat.'!P38/Financials!N8</f>
        <v>4.9150745513722782E-2</v>
      </c>
      <c r="P14" s="151">
        <f>'Income Stat.'!Q38/Financials!O8</f>
        <v>4.5583440532055812E-2</v>
      </c>
      <c r="Q14" s="151">
        <f>'Income Stat.'!R38/Financials!P8</f>
        <v>5.3593596626045542E-2</v>
      </c>
      <c r="R14" s="151">
        <f>'Income Stat.'!S38/Financials!Q8</f>
        <v>-2.2975281263485489E-3</v>
      </c>
      <c r="S14" s="151">
        <f>'Income Stat.'!T38/Financials!R8</f>
        <v>2.0514433659063283E-3</v>
      </c>
      <c r="T14" s="151">
        <f>'Income Stat.'!U38/Financials!S8</f>
        <v>9.3692180017889825E-3</v>
      </c>
      <c r="U14" s="151">
        <f>'Income Stat.'!V38/Financials!T8</f>
        <v>-1.181631280207979E-2</v>
      </c>
      <c r="V14" s="151">
        <f>'Income Stat.'!W38/Financials!U8</f>
        <v>7.1005376256755171E-3</v>
      </c>
      <c r="W14" s="151">
        <f>'Income Stat.'!X38/Financials!V8</f>
        <v>1.2350879667552156E-2</v>
      </c>
      <c r="X14" s="151">
        <f>'Income Stat.'!Y38/Financials!W8</f>
        <v>1.4793275368242809E-2</v>
      </c>
      <c r="Y14" s="151">
        <f>'Income Stat.'!Z38/Financials!X8</f>
        <v>2.2078884375672462E-2</v>
      </c>
      <c r="Z14" s="151">
        <f>'Income Stat.'!AA38/Financials!Y8</f>
        <v>2.8752265873468266E-2</v>
      </c>
      <c r="AA14" s="151">
        <f>'Income Stat.'!AB38/Financials!Z8</f>
        <v>3.5239287336725357E-2</v>
      </c>
      <c r="AB14" s="151">
        <f>'Income Stat.'!AC38/Financials!AA8</f>
        <v>3.9431323340670621E-2</v>
      </c>
      <c r="AC14" s="151">
        <f>'Income Stat.'!AD38/Financials!AB8</f>
        <v>4.697453564492346E-2</v>
      </c>
      <c r="AD14" s="151">
        <f>'Income Stat.'!AE38/Financials!AC8</f>
        <v>9.617633297440354E-3</v>
      </c>
      <c r="AE14" s="18"/>
    </row>
    <row r="15" spans="1:31" ht="15">
      <c r="A15" s="148"/>
      <c r="B15" s="149" t="s">
        <v>193</v>
      </c>
      <c r="C15" s="149"/>
      <c r="D15" s="151">
        <f>'Income Stat.'!C24/('Income Stat.'!C20-'Income Stat.'!C22)</f>
        <v>0.8199086861145608</v>
      </c>
      <c r="E15" s="151">
        <f>'Income Stat.'!D24/('Income Stat.'!D20-'Income Stat.'!D22)</f>
        <v>0.99742769339149728</v>
      </c>
      <c r="F15" s="151">
        <f>'Income Stat.'!F24/('Income Stat.'!F20-'Income Stat.'!F22)</f>
        <v>0.33458966853053462</v>
      </c>
      <c r="G15" s="151">
        <f>'Income Stat.'!G24/('Income Stat.'!G20-'Income Stat.'!G22)</f>
        <v>0.47056276135570452</v>
      </c>
      <c r="H15" s="151">
        <f>'Income Stat.'!H24/('Income Stat.'!H20-'Income Stat.'!H22)</f>
        <v>0.519729348298828</v>
      </c>
      <c r="I15" s="151">
        <f>'Income Stat.'!I24/('Income Stat.'!I20-'Income Stat.'!I22)</f>
        <v>0.50054797852240129</v>
      </c>
      <c r="J15" s="151">
        <f>'Income Stat.'!J24/('Income Stat.'!J20-'Income Stat.'!J22)</f>
        <v>0.52156325355032274</v>
      </c>
      <c r="K15" s="151">
        <f>'Income Stat.'!K24/('Income Stat.'!K20-'Income Stat.'!K22)</f>
        <v>0.51951314050963582</v>
      </c>
      <c r="L15" s="151">
        <f>'Income Stat.'!M24/('Income Stat.'!M20-'Income Stat.'!M22)</f>
        <v>0.51977306607196239</v>
      </c>
      <c r="M15" s="151">
        <f>'Income Stat.'!N24/('Income Stat.'!N20-'Income Stat.'!N22)</f>
        <v>0.4947376955172379</v>
      </c>
      <c r="N15" s="151">
        <f>'Income Stat.'!O24/('Income Stat.'!O20-'Income Stat.'!O22)</f>
        <v>0.47320310303094337</v>
      </c>
      <c r="O15" s="151">
        <f>'Income Stat.'!P24/('Income Stat.'!P20-'Income Stat.'!P22)</f>
        <v>0.46533708357657799</v>
      </c>
      <c r="P15" s="151">
        <f>'Income Stat.'!Q24/('Income Stat.'!Q20-'Income Stat.'!Q22)</f>
        <v>0.72325861416799475</v>
      </c>
      <c r="Q15" s="151">
        <f>'Income Stat.'!R24/('Income Stat.'!R20-'Income Stat.'!R22)</f>
        <v>0.65598596953721455</v>
      </c>
      <c r="R15" s="151">
        <f>'Income Stat.'!S24/('Income Stat.'!S20-'Income Stat.'!S22)</f>
        <v>1.5254311434847843</v>
      </c>
      <c r="S15" s="151">
        <f>'Income Stat.'!T24/('Income Stat.'!T20-'Income Stat.'!T22)</f>
        <v>0.86467805456803248</v>
      </c>
      <c r="T15" s="151">
        <f>'Income Stat.'!U24/('Income Stat.'!U20-'Income Stat.'!U22)</f>
        <v>0.61974125108673661</v>
      </c>
      <c r="U15" s="151">
        <f>'Income Stat.'!V24/('Income Stat.'!V20-'Income Stat.'!V22)</f>
        <v>2.4041095242182378</v>
      </c>
      <c r="V15" s="151">
        <f>'Income Stat.'!W24/('Income Stat.'!W20-'Income Stat.'!W22)</f>
        <v>0.76890586730142041</v>
      </c>
      <c r="W15" s="151">
        <f>'Income Stat.'!X24/('Income Stat.'!X20-'Income Stat.'!X22)</f>
        <v>0.69800682456636942</v>
      </c>
      <c r="X15" s="151">
        <f>'Income Stat.'!Y24/('Income Stat.'!Y20-'Income Stat.'!Y22)</f>
        <v>0.67855174101668814</v>
      </c>
      <c r="Y15" s="151">
        <f>'Income Stat.'!Z24/('Income Stat.'!Z20-'Income Stat.'!Z22)</f>
        <v>0.61491340483547796</v>
      </c>
      <c r="Z15" s="151">
        <f>'Income Stat.'!AA24/('Income Stat.'!AA20-'Income Stat.'!AA22)</f>
        <v>0.57056606477036531</v>
      </c>
      <c r="AA15" s="151">
        <f>'Income Stat.'!AB24/('Income Stat.'!AB20-'Income Stat.'!AB22)</f>
        <v>0.54489037938306317</v>
      </c>
      <c r="AB15" s="151">
        <f>'Income Stat.'!AC24/('Income Stat.'!AC20-'Income Stat.'!AC22)</f>
        <v>0.54315297074098234</v>
      </c>
      <c r="AC15" s="151">
        <f>'Income Stat.'!AD24/('Income Stat.'!AD20-'Income Stat.'!AD22)</f>
        <v>0.57618814963905041</v>
      </c>
      <c r="AD15" s="151">
        <f>'Income Stat.'!AE24/('Income Stat.'!AE20-'Income Stat.'!AE22)</f>
        <v>0.84823290532057127</v>
      </c>
      <c r="AE15" s="18"/>
    </row>
    <row r="16" spans="1:31" ht="15.6" thickBot="1">
      <c r="A16" s="152"/>
      <c r="B16" s="153" t="s">
        <v>194</v>
      </c>
      <c r="C16" s="167"/>
      <c r="D16" s="156">
        <f>'Income Stat.'!C24/'Income Stat.'!C4</f>
        <v>0.48857981452181676</v>
      </c>
      <c r="E16" s="156">
        <f>'Income Stat.'!D24/'Income Stat.'!D4</f>
        <v>0.41233554485703477</v>
      </c>
      <c r="F16" s="156">
        <f>'Income Stat.'!F24/'Income Stat.'!F4</f>
        <v>0.33061970028485893</v>
      </c>
      <c r="G16" s="156">
        <f>'Income Stat.'!G24/'Income Stat.'!G4</f>
        <v>0.46719273572691922</v>
      </c>
      <c r="H16" s="156">
        <f>'Income Stat.'!H24/'Income Stat.'!H4</f>
        <v>0.47446193585982477</v>
      </c>
      <c r="I16" s="156">
        <f>'Income Stat.'!I24/'Income Stat.'!I4</f>
        <v>0.41289616317485295</v>
      </c>
      <c r="J16" s="156">
        <f>'Income Stat.'!J24/'Income Stat.'!J4</f>
        <v>0.3908596282564703</v>
      </c>
      <c r="K16" s="156">
        <f>'Income Stat.'!K24/'Income Stat.'!K4</f>
        <v>0.39871233672291667</v>
      </c>
      <c r="L16" s="156">
        <f>'Income Stat.'!M24/'Income Stat.'!M4</f>
        <v>0.39998618766837912</v>
      </c>
      <c r="M16" s="156">
        <f>'Income Stat.'!N24/'Income Stat.'!N4</f>
        <v>0.39488848404977861</v>
      </c>
      <c r="N16" s="156">
        <f>'Income Stat.'!O24/'Income Stat.'!O4</f>
        <v>0.3835929750718054</v>
      </c>
      <c r="O16" s="156">
        <f>'Income Stat.'!P24/'Income Stat.'!P4</f>
        <v>0.37405476354314982</v>
      </c>
      <c r="P16" s="156">
        <f>'Income Stat.'!Q24/'Income Stat.'!Q4</f>
        <v>0.4505435574688173</v>
      </c>
      <c r="Q16" s="156">
        <f>'Income Stat.'!R24/'Income Stat.'!R4</f>
        <v>0.45054365473065872</v>
      </c>
      <c r="R16" s="156">
        <f>'Income Stat.'!S24/'Income Stat.'!S4</f>
        <v>0.64827826167933256</v>
      </c>
      <c r="S16" s="156">
        <f>'Income Stat.'!T24/'Income Stat.'!T4</f>
        <v>0.61471531431350956</v>
      </c>
      <c r="T16" s="156">
        <f>'Income Stat.'!U24/'Income Stat.'!U4</f>
        <v>0.47550117863429009</v>
      </c>
      <c r="U16" s="156">
        <f>'Income Stat.'!V24/'Income Stat.'!V4</f>
        <v>0.45657720339978386</v>
      </c>
      <c r="V16" s="156">
        <f>'Income Stat.'!W24/'Income Stat.'!W4</f>
        <v>0.42550281101001414</v>
      </c>
      <c r="W16" s="156">
        <f>'Income Stat.'!X24/'Income Stat.'!X4</f>
        <v>0.45928316324047785</v>
      </c>
      <c r="X16" s="156">
        <f>'Income Stat.'!Y24/'Income Stat.'!Y4</f>
        <v>0.43181168074384146</v>
      </c>
      <c r="Y16" s="156">
        <f>'Income Stat.'!Z24/'Income Stat.'!Z4</f>
        <v>0.41664121833947476</v>
      </c>
      <c r="Z16" s="156">
        <f>'Income Stat.'!AA24/'Income Stat.'!AA4</f>
        <v>0.40773066431871691</v>
      </c>
      <c r="AA16" s="156">
        <f>'Income Stat.'!AB24/'Income Stat.'!AB4</f>
        <v>0.40977170860891537</v>
      </c>
      <c r="AB16" s="156">
        <f>'Income Stat.'!AC24/'Income Stat.'!AC4</f>
        <v>0.43425578343061083</v>
      </c>
      <c r="AC16" s="156">
        <f>'Income Stat.'!AD24/'Income Stat.'!AD4</f>
        <v>0.5322236138587626</v>
      </c>
      <c r="AD16" s="156">
        <f>'Income Stat.'!AE24/'Income Stat.'!AE4</f>
        <v>0.5314360390819487</v>
      </c>
      <c r="AE16" s="38"/>
    </row>
    <row r="17" spans="1:31" ht="15">
      <c r="A17" s="144" t="s">
        <v>195</v>
      </c>
      <c r="B17" s="145" t="s">
        <v>196</v>
      </c>
      <c r="C17" s="146" t="s">
        <v>197</v>
      </c>
      <c r="D17" s="168">
        <f>'Balance Sheet'!C4/'Balance Sheet'!C27</f>
        <v>14.557597736238458</v>
      </c>
      <c r="E17" s="168">
        <f>'Balance Sheet'!D4/'Balance Sheet'!D27</f>
        <v>26.771651651233729</v>
      </c>
      <c r="F17" s="168">
        <f>'Balance Sheet'!E4/'Balance Sheet'!E27</f>
        <v>3.9148551896126627</v>
      </c>
      <c r="G17" s="168">
        <f>'Balance Sheet'!F4/'Balance Sheet'!F27</f>
        <v>7.1718588684052103</v>
      </c>
      <c r="H17" s="168">
        <f>'Balance Sheet'!G4/'Balance Sheet'!G27</f>
        <v>4.3208010257704563</v>
      </c>
      <c r="I17" s="168">
        <f>'Balance Sheet'!H4/'Balance Sheet'!H27</f>
        <v>5.0326343756431999</v>
      </c>
      <c r="J17" s="168">
        <f>'Balance Sheet'!I4/'Balance Sheet'!I27</f>
        <v>3.3462760955103095</v>
      </c>
      <c r="K17" s="168">
        <f>'Balance Sheet'!J4/'Balance Sheet'!J27</f>
        <v>5.1659857638710882</v>
      </c>
      <c r="L17" s="168">
        <f>'Balance Sheet'!L4/'Balance Sheet'!L27</f>
        <v>1.0122343402413205</v>
      </c>
      <c r="M17" s="168">
        <f>'Balance Sheet'!M4/'Balance Sheet'!M27</f>
        <v>2.0382708333177391</v>
      </c>
      <c r="N17" s="168">
        <f>'Balance Sheet'!N4/'Balance Sheet'!N27</f>
        <v>2.0216602940137616</v>
      </c>
      <c r="O17" s="168">
        <f>'Balance Sheet'!O4/'Balance Sheet'!O27</f>
        <v>1.6900091680608618</v>
      </c>
      <c r="P17" s="168">
        <f>'Balance Sheet'!P4/'Balance Sheet'!P27</f>
        <v>2.1284734878869376</v>
      </c>
      <c r="Q17" s="168">
        <f>'Balance Sheet'!Q4/'Balance Sheet'!Q27</f>
        <v>7.1772905640090787</v>
      </c>
      <c r="R17" s="168">
        <f>'Balance Sheet'!R4/'Balance Sheet'!R27</f>
        <v>2.3054162225316177</v>
      </c>
      <c r="S17" s="168">
        <f>'Balance Sheet'!S4/'Balance Sheet'!S27</f>
        <v>1.449661616647153</v>
      </c>
      <c r="T17" s="168">
        <f>'Balance Sheet'!T4/'Balance Sheet'!T27</f>
        <v>0.93718393970597635</v>
      </c>
      <c r="U17" s="168">
        <f>'Balance Sheet'!U4/'Balance Sheet'!U27</f>
        <v>2.7976047582109955</v>
      </c>
      <c r="V17" s="168">
        <f>'Balance Sheet'!V4/'Balance Sheet'!V27</f>
        <v>3.6785529720653476</v>
      </c>
      <c r="W17" s="168">
        <f>'Balance Sheet'!W4/'Balance Sheet'!W27</f>
        <v>3.1772662971361592</v>
      </c>
      <c r="X17" s="168">
        <f>'Balance Sheet'!X4/'Balance Sheet'!X27</f>
        <v>3.7369913441906171</v>
      </c>
      <c r="Y17" s="168">
        <f>'Balance Sheet'!Y4/'Balance Sheet'!Y27</f>
        <v>3.625788130866185</v>
      </c>
      <c r="Z17" s="168">
        <f>'Balance Sheet'!Z4/'Balance Sheet'!Z27</f>
        <v>4.6808162492507819</v>
      </c>
      <c r="AA17" s="168">
        <f>'Balance Sheet'!AA4/'Balance Sheet'!AA27</f>
        <v>5.5618900664330475</v>
      </c>
      <c r="AB17" s="168">
        <f>'Balance Sheet'!AB4/'Balance Sheet'!AB27</f>
        <v>5.5857791313486311</v>
      </c>
      <c r="AC17" s="168">
        <f>'Balance Sheet'!AC4/'Balance Sheet'!AC27</f>
        <v>9.5766399011184422</v>
      </c>
      <c r="AD17" s="168">
        <f>'Balance Sheet'!AD4/'Balance Sheet'!AD27</f>
        <v>9.5756483090752731</v>
      </c>
      <c r="AE17" s="40"/>
    </row>
    <row r="18" spans="1:31" ht="15.6" thickBot="1">
      <c r="A18" s="152"/>
      <c r="B18" s="169" t="s">
        <v>198</v>
      </c>
      <c r="C18" s="170"/>
      <c r="D18" s="171">
        <f>'Balance Sheet'!C4/'Balance Sheet'!C29</f>
        <v>4.9176804175653947E-2</v>
      </c>
      <c r="E18" s="171">
        <f>'Balance Sheet'!D4/'Balance Sheet'!D29</f>
        <v>0.23925255430863376</v>
      </c>
      <c r="F18" s="171">
        <f>'Balance Sheet'!E4/'Balance Sheet'!E29</f>
        <v>6.7751892451462667E-2</v>
      </c>
      <c r="G18" s="171">
        <f>'Balance Sheet'!F4/'Balance Sheet'!F29</f>
        <v>6.620522329346229E-2</v>
      </c>
      <c r="H18" s="171">
        <f>'Balance Sheet'!G4/'Balance Sheet'!G29</f>
        <v>6.3731199104725078E-2</v>
      </c>
      <c r="I18" s="171">
        <f>'Balance Sheet'!H4/'Balance Sheet'!H29</f>
        <v>7.6591068793963588E-2</v>
      </c>
      <c r="J18" s="171">
        <f>'Balance Sheet'!I4/'Balance Sheet'!I29</f>
        <v>7.9337597392858242E-2</v>
      </c>
      <c r="K18" s="171">
        <f>'Balance Sheet'!J4/'Balance Sheet'!J29</f>
        <v>8.9116396409736245E-2</v>
      </c>
      <c r="L18" s="171">
        <f>'Balance Sheet'!L4/'Balance Sheet'!L29</f>
        <v>6.3973472196532211E-2</v>
      </c>
      <c r="M18" s="171">
        <f>'Balance Sheet'!M4/'Balance Sheet'!M29</f>
        <v>4.8597189202938471E-2</v>
      </c>
      <c r="N18" s="171">
        <f>'Balance Sheet'!N4/'Balance Sheet'!N29</f>
        <v>5.5351652879823764E-2</v>
      </c>
      <c r="O18" s="171">
        <f>'Balance Sheet'!O4/'Balance Sheet'!O29</f>
        <v>4.5981956980267691E-2</v>
      </c>
      <c r="P18" s="171">
        <f>'Balance Sheet'!P4/'Balance Sheet'!P29</f>
        <v>6.5651290472570803E-2</v>
      </c>
      <c r="Q18" s="171">
        <f>'Balance Sheet'!Q4/'Balance Sheet'!Q29</f>
        <v>0.19719361082885506</v>
      </c>
      <c r="R18" s="171">
        <f>'Balance Sheet'!R4/'Balance Sheet'!R29</f>
        <v>6.8815976342250132E-2</v>
      </c>
      <c r="S18" s="171">
        <f>'Balance Sheet'!S4/'Balance Sheet'!S29</f>
        <v>5.1040300363072749E-2</v>
      </c>
      <c r="T18" s="171">
        <f>'Balance Sheet'!T4/'Balance Sheet'!T29</f>
        <v>3.374311226999463E-2</v>
      </c>
      <c r="U18" s="171">
        <f>'Balance Sheet'!U4/'Balance Sheet'!U29</f>
        <v>0.1482294691079446</v>
      </c>
      <c r="V18" s="171">
        <f>'Balance Sheet'!V4/'Balance Sheet'!V29</f>
        <v>0.1592533186980869</v>
      </c>
      <c r="W18" s="171">
        <f>'Balance Sheet'!W4/'Balance Sheet'!W29</f>
        <v>0.16663767442276445</v>
      </c>
      <c r="X18" s="171">
        <f>'Balance Sheet'!X4/'Balance Sheet'!X29</f>
        <v>0.17195814435558282</v>
      </c>
      <c r="Y18" s="171">
        <f>'Balance Sheet'!Y4/'Balance Sheet'!Y29</f>
        <v>0.16995115626058413</v>
      </c>
      <c r="Z18" s="171">
        <f>'Balance Sheet'!Z4/'Balance Sheet'!Z29</f>
        <v>0.18733500907863457</v>
      </c>
      <c r="AA18" s="171">
        <f>'Balance Sheet'!AA4/'Balance Sheet'!AA29</f>
        <v>0.20303261769544875</v>
      </c>
      <c r="AB18" s="171">
        <f>'Balance Sheet'!AB4/'Balance Sheet'!AB29</f>
        <v>0.20151431180480248</v>
      </c>
      <c r="AC18" s="171">
        <f>'Balance Sheet'!AC4/'Balance Sheet'!AC29</f>
        <v>0.247257882236676</v>
      </c>
      <c r="AD18" s="171">
        <f>'Balance Sheet'!AD4/'Balance Sheet'!AD29</f>
        <v>0.24723228046495146</v>
      </c>
      <c r="AE18" s="53"/>
    </row>
    <row r="19" spans="1:31" ht="15">
      <c r="A19" s="143"/>
      <c r="B19" s="172" t="s">
        <v>199</v>
      </c>
      <c r="C19" s="173" t="s">
        <v>200</v>
      </c>
      <c r="D19" s="174">
        <f>'Balance Sheet'!C37/'Balance Sheet'!C26</f>
        <v>4.3100114042252911E-2</v>
      </c>
      <c r="E19" s="174">
        <f>'Balance Sheet'!D37/'Balance Sheet'!D26</f>
        <v>0</v>
      </c>
      <c r="F19" s="174">
        <f>'Balance Sheet'!E37/'Balance Sheet'!E26</f>
        <v>0</v>
      </c>
      <c r="G19" s="174">
        <f>'Balance Sheet'!F37/'Balance Sheet'!F26</f>
        <v>0</v>
      </c>
      <c r="H19" s="174">
        <f>'Balance Sheet'!G37/'Balance Sheet'!G26</f>
        <v>0</v>
      </c>
      <c r="I19" s="174">
        <f>'Balance Sheet'!H37/'Balance Sheet'!H26</f>
        <v>0</v>
      </c>
      <c r="J19" s="174">
        <f>'Balance Sheet'!I37/'Balance Sheet'!I26</f>
        <v>0</v>
      </c>
      <c r="K19" s="174">
        <f>'Balance Sheet'!J37/'Balance Sheet'!J26</f>
        <v>0</v>
      </c>
      <c r="L19" s="174">
        <f>'Balance Sheet'!L38/'Balance Sheet'!L26</f>
        <v>0.8351912233383143</v>
      </c>
      <c r="M19" s="174">
        <f>'Balance Sheet'!M38/'Balance Sheet'!M26</f>
        <v>0.82374854079188897</v>
      </c>
      <c r="N19" s="174">
        <f>'Balance Sheet'!N38/'Balance Sheet'!N26</f>
        <v>0.8167801263214306</v>
      </c>
      <c r="O19" s="174">
        <f>'Balance Sheet'!O38/'Balance Sheet'!O26</f>
        <v>0.81296740144417445</v>
      </c>
      <c r="P19" s="174">
        <f>'Balance Sheet'!P38/'Balance Sheet'!P26</f>
        <v>0.85462547304229419</v>
      </c>
      <c r="Q19" s="174">
        <f>'Balance Sheet'!Q38/'Balance Sheet'!Q26</f>
        <v>0.85462546988544996</v>
      </c>
      <c r="R19" s="174">
        <f>'Balance Sheet'!R38/'Balance Sheet'!R26</f>
        <v>0.85736992537968404</v>
      </c>
      <c r="S19" s="174">
        <f>'Balance Sheet'!S38/'Balance Sheet'!S26</f>
        <v>0.8425905843618583</v>
      </c>
      <c r="T19" s="174">
        <f>'Balance Sheet'!T38/'Balance Sheet'!T26</f>
        <v>0.84550908179145468</v>
      </c>
      <c r="U19" s="174">
        <f>'Balance Sheet'!U38/'Balance Sheet'!U26</f>
        <v>0.87603493128291976</v>
      </c>
      <c r="V19" s="174">
        <f>'Balance Sheet'!V38/'Balance Sheet'!V26</f>
        <v>0.84676027952266142</v>
      </c>
      <c r="W19" s="174">
        <f>'Balance Sheet'!W38/'Balance Sheet'!W26</f>
        <v>0.84270331412982047</v>
      </c>
      <c r="X19" s="174">
        <f>'Balance Sheet'!X39/'Balance Sheet'!X26</f>
        <v>5.7437337235694295E-2</v>
      </c>
      <c r="Y19" s="174">
        <f>'Balance Sheet'!Y38/'Balance Sheet'!Y26</f>
        <v>0.83569242253230558</v>
      </c>
      <c r="Z19" s="174">
        <f>'Balance Sheet'!Z38/'Balance Sheet'!Z26</f>
        <v>0.82925242781479114</v>
      </c>
      <c r="AA19" s="174">
        <f>'Balance Sheet'!AA38/'Balance Sheet'!AA26</f>
        <v>0.82279776758964518</v>
      </c>
      <c r="AB19" s="174">
        <f>'Balance Sheet'!AB38/'Balance Sheet'!AB26</f>
        <v>0.8195642561044959</v>
      </c>
      <c r="AC19" s="174">
        <f>'Balance Sheet'!AC38/'Balance Sheet'!AC26</f>
        <v>0.83536663021406965</v>
      </c>
      <c r="AD19" s="174">
        <f>'Balance Sheet'!AD38/'Balance Sheet'!AD26</f>
        <v>0.84281841265460744</v>
      </c>
      <c r="AE19" s="54"/>
    </row>
  </sheetData>
  <pageMargins left="0.7" right="0.7" top="0.75" bottom="0.75" header="0.3" footer="0.3"/>
  <pageSetup scale="69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0AA84-C6F3-48F8-8828-8D9F81C9C3E4}"/>
</file>

<file path=customXml/itemProps2.xml><?xml version="1.0" encoding="utf-8"?>
<ds:datastoreItem xmlns:ds="http://schemas.openxmlformats.org/officeDocument/2006/customXml" ds:itemID="{32665837-865C-473A-A51A-ECFF059222A2}"/>
</file>

<file path=customXml/itemProps3.xml><?xml version="1.0" encoding="utf-8"?>
<ds:datastoreItem xmlns:ds="http://schemas.openxmlformats.org/officeDocument/2006/customXml" ds:itemID="{804E0971-5C31-4158-9F6D-D241F0DEA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Irene Oreta</cp:lastModifiedBy>
  <cp:revision/>
  <dcterms:created xsi:type="dcterms:W3CDTF">2020-12-13T08:25:54Z</dcterms:created>
  <dcterms:modified xsi:type="dcterms:W3CDTF">2023-05-11T14:26:21Z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2021-07-15T13:14:09Z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a9a24528-78aa-49fd-be7a-fb8b070592e3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
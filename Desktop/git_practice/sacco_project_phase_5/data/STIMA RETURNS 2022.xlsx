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customXml/itemProps2.xml" ContentType="application/vnd.openxmlformats-officedocument.customXm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1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asrake.sharepoint.com/sites/Supervision/Shared Documents/DT Saccos/Portfolio 4/STIMA DT- 2207/ACCOUNTS APROVAL/"/>
    </mc:Choice>
  </mc:AlternateContent>
  <xr:revisionPtr revIDLastSave="335" documentId="8_{5D3FC6E4-16FD-46F2-8A72-099187C19811}" xr6:coauthVersionLast="47" xr6:coauthVersionMax="47" xr10:uidLastSave="{E9B8678D-7934-4D07-907A-277D4FFB77A4}"/>
  <bookViews>
    <workbookView xWindow="-108" yWindow="-108" windowWidth="23256" windowHeight="12576" firstSheet="2" activeTab="2" xr2:uid="{00000000-000D-0000-FFFF-FFFF00000000}"/>
  </bookViews>
  <sheets>
    <sheet name="compliance status" sheetId="8" r:id="rId1"/>
    <sheet name="Prudential Ratios" sheetId="5" r:id="rId2"/>
    <sheet name="CAELS" sheetId="9" r:id="rId3"/>
    <sheet name="Financials" sheetId="6" r:id="rId4"/>
    <sheet name="form4" sheetId="20" r:id="rId5"/>
    <sheet name="SFP" sheetId="4" r:id="rId6"/>
    <sheet name="SCI" sheetId="7" r:id="rId7"/>
    <sheet name="Sheet1" sheetId="24" r:id="rId8"/>
    <sheet name="DEC 2020" sheetId="26" r:id="rId9"/>
    <sheet name="DEC 2019 REPORT" sheetId="25" r:id="rId10"/>
  </sheets>
  <externalReferences>
    <externalReference r:id="rId11"/>
  </externalReferences>
  <definedNames>
    <definedName name="BALANCE1_LDA01">'[1]Financial Statements'!$E$112</definedName>
    <definedName name="BALANCE1_LDA12">'[1]Financial Statements'!$E$123</definedName>
    <definedName name="BALANCE2_LDA01">'[1]Financial Statements'!$F$112</definedName>
    <definedName name="BALANCE2_LDA12">'[1]Financial Statements'!$F$123</definedName>
    <definedName name="BALANCE3_LDA01">'[1]Financial Statements'!$G$112</definedName>
    <definedName name="BALANCE3_LDA12">'[1]Financial Statements'!$G$123</definedName>
    <definedName name="BALANCE4_LDA01">'[1]Financial Statements'!$H$112</definedName>
    <definedName name="BALANCE4_LDA12">'[1]Financial Statements'!$H$123</definedName>
    <definedName name="BALANCE5_LDA01">'[1]Financial Statements'!$I$112</definedName>
    <definedName name="BALANCE5_LDA12">'[1]Financial Statements'!$I$123</definedName>
    <definedName name="BALANCE6_LDA01">'[1]Financial Statements'!$J$112</definedName>
    <definedName name="BALANCE6_LDA12">'[1]Financial Statements'!$J$123</definedName>
    <definedName name="NotApplicable">'Prudential Ratios'!$A$76</definedName>
    <definedName name="PEARLS1_LA002">'[1]Financial Statements'!$E$280</definedName>
    <definedName name="PEARLS1_LE008">'[1]Financial Statements'!$E$275</definedName>
    <definedName name="PEARLS1_LE009">'[1]Financial Statements'!$E$276</definedName>
    <definedName name="PEARLS1_LR001">'[1]Financial Statements'!$E$282</definedName>
    <definedName name="PEARLS1_LR005">'[1]Financial Statements'!$E$286</definedName>
    <definedName name="PEARLS1_LR006">'[1]Financial Statements'!$E$287</definedName>
    <definedName name="PEARLS1_LR007">'[1]Financial Statements'!$E$288</definedName>
    <definedName name="PEARLS1_LR009">'[1]Financial Statements'!$E$290</definedName>
    <definedName name="PEARLS1_LS001">'[1]Financial Statements'!$E$298</definedName>
    <definedName name="PEARLS1_LS005">'[1]Financial Statements'!$E$302</definedName>
    <definedName name="PEARLS1_LS011">'[1]Financial Statements'!$E$308</definedName>
    <definedName name="PEARLS2_LA002">'[1]Financial Statements'!$F$280</definedName>
    <definedName name="PEARLS2_LE008">'[1]Financial Statements'!$F$275</definedName>
    <definedName name="PEARLS2_LE009">'[1]Financial Statements'!$F$276</definedName>
    <definedName name="PEARLS2_LR001">'[1]Financial Statements'!$F$282</definedName>
    <definedName name="PEARLS2_LR005">'[1]Financial Statements'!$F$286</definedName>
    <definedName name="PEARLS2_LR006">'[1]Financial Statements'!$F$287</definedName>
    <definedName name="PEARLS2_LR007">'[1]Financial Statements'!$F$288</definedName>
    <definedName name="PEARLS2_LR009">'[1]Financial Statements'!$F$290</definedName>
    <definedName name="PEARLS2_LS001">'[1]Financial Statements'!$F$298</definedName>
    <definedName name="PEARLS2_LS005">'[1]Financial Statements'!$F$302</definedName>
    <definedName name="PEARLS2_LS010">'[1]Financial Statements'!$F$307</definedName>
    <definedName name="PEARLS2_LS011">'[1]Financial Statements'!$F$308</definedName>
    <definedName name="PEARLS3_LA002">'[1]Financial Statements'!$G$280</definedName>
    <definedName name="PEARLS3_LE008">'[1]Financial Statements'!$G$275</definedName>
    <definedName name="PEARLS3_LE009">'[1]Financial Statements'!$G$276</definedName>
    <definedName name="PEARLS3_LR001">'[1]Financial Statements'!$G$282</definedName>
    <definedName name="PEARLS3_LR005">'[1]Financial Statements'!$G$286</definedName>
    <definedName name="PEARLS3_LR006">'[1]Financial Statements'!$G$287</definedName>
    <definedName name="PEARLS3_LR007">'[1]Financial Statements'!$G$288</definedName>
    <definedName name="PEARLS3_LR009">'[1]Financial Statements'!$G$290</definedName>
    <definedName name="PEARLS3_LS001">'[1]Financial Statements'!$G$298</definedName>
    <definedName name="PEARLS3_LS005">'[1]Financial Statements'!$G$302</definedName>
    <definedName name="PEARLS3_LS010">'[1]Financial Statements'!$G$307</definedName>
    <definedName name="PEARLS3_LS011">'[1]Financial Statements'!$G$308</definedName>
    <definedName name="PEARLS4_LA002">'[1]Financial Statements'!$H$280</definedName>
    <definedName name="PEARLS4_LE008">'[1]Financial Statements'!$H$275</definedName>
    <definedName name="PEARLS4_LE009">'[1]Financial Statements'!$H$276</definedName>
    <definedName name="PEARLS4_LR001">'[1]Financial Statements'!$H$282</definedName>
    <definedName name="PEARLS4_LR005">'[1]Financial Statements'!$H$286</definedName>
    <definedName name="PEARLS4_LR006">'[1]Financial Statements'!$H$287</definedName>
    <definedName name="PEARLS4_LR007">'[1]Financial Statements'!$H$288</definedName>
    <definedName name="PEARLS4_LR009">'[1]Financial Statements'!$H$290</definedName>
    <definedName name="PEARLS4_LS001">'[1]Financial Statements'!$H$298</definedName>
    <definedName name="PEARLS4_LS005">'[1]Financial Statements'!$H$302</definedName>
    <definedName name="PEARLS4_LS010">'[1]Financial Statements'!$H$307</definedName>
    <definedName name="PEARLS4_LS011">'[1]Financial Statements'!$H$308</definedName>
    <definedName name="PEARLS5_LA002">'[1]Financial Statements'!$I$280</definedName>
    <definedName name="PEARLS5_LE008">'[1]Financial Statements'!$I$275</definedName>
    <definedName name="PEARLS5_LE009">'[1]Financial Statements'!$I$276</definedName>
    <definedName name="PEARLS5_LR001">'[1]Financial Statements'!$I$282</definedName>
    <definedName name="PEARLS5_LR005">'[1]Financial Statements'!$I$286</definedName>
    <definedName name="PEARLS5_LR006">'[1]Financial Statements'!$I$287</definedName>
    <definedName name="PEARLS5_LR007">'[1]Financial Statements'!$I$288</definedName>
    <definedName name="PEARLS5_LR009">'[1]Financial Statements'!$I$290</definedName>
    <definedName name="PEARLS5_LS001">'[1]Financial Statements'!$I$298</definedName>
    <definedName name="PEARLS5_LS005">'[1]Financial Statements'!$I$302</definedName>
    <definedName name="PEARLS5_LS010">'[1]Financial Statements'!$I$307</definedName>
    <definedName name="PEARLS5_LS011">'[1]Financial Statements'!$I$308</definedName>
    <definedName name="PEARLS6_LA002">'[1]Financial Statements'!$J$280</definedName>
    <definedName name="PEARLS6_LE008">'[1]Financial Statements'!$J$275</definedName>
    <definedName name="PEARLS6_LE009">'[1]Financial Statements'!$J$276</definedName>
    <definedName name="PEARLS6_LR001">'[1]Financial Statements'!$J$282</definedName>
    <definedName name="PEARLS6_LR005">'[1]Financial Statements'!$J$286</definedName>
    <definedName name="PEARLS6_LR006">'[1]Financial Statements'!$J$287</definedName>
    <definedName name="PEARLS6_LR007">'[1]Financial Statements'!$J$288</definedName>
    <definedName name="PEARLS6_LR009">'[1]Financial Statements'!$J$290</definedName>
    <definedName name="PEARLS6_LS001">'[1]Financial Statements'!$J$298</definedName>
    <definedName name="PEARLS6_LS005">'[1]Financial Statements'!$J$302</definedName>
    <definedName name="PEARLS6_LS010">'[1]Financial Statements'!$J$307</definedName>
    <definedName name="PEARLS6_LS011">'[1]Financial Statements'!$J$308</definedName>
    <definedName name="_xlnm.Print_Area" localSheetId="8">'DEC 2020'!$A$1:$G$64</definedName>
    <definedName name="_xlnm.Print_Area" localSheetId="6">SCI!$A$1:$A$37</definedName>
    <definedName name="_xlnm.Print_Area" localSheetId="5">SFP!$A$1:$A$56</definedName>
    <definedName name="units">'[1]SASRA B.S.'!$C$2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55" i="5" l="1"/>
  <c r="AJ55" i="5"/>
  <c r="AI56" i="5"/>
  <c r="AJ56" i="5"/>
  <c r="AI57" i="5"/>
  <c r="AJ57" i="5"/>
  <c r="AI58" i="5"/>
  <c r="AJ58" i="5"/>
  <c r="AI52" i="5"/>
  <c r="AJ52" i="5"/>
  <c r="AI53" i="5"/>
  <c r="AJ53" i="5"/>
  <c r="AI47" i="5"/>
  <c r="AJ47" i="5"/>
  <c r="AI48" i="5"/>
  <c r="AJ48" i="5"/>
  <c r="AI40" i="5"/>
  <c r="AJ40" i="5"/>
  <c r="AI41" i="5"/>
  <c r="AJ41" i="5"/>
  <c r="AI42" i="5"/>
  <c r="AJ42" i="5"/>
  <c r="AI43" i="5"/>
  <c r="AJ43" i="5"/>
  <c r="AI44" i="5"/>
  <c r="AJ44" i="5"/>
  <c r="AI30" i="5"/>
  <c r="AJ30" i="5"/>
  <c r="AI31" i="5"/>
  <c r="AJ31" i="5"/>
  <c r="AI32" i="5"/>
  <c r="AJ32" i="5"/>
  <c r="AI33" i="5"/>
  <c r="AJ33" i="5"/>
  <c r="AI34" i="5"/>
  <c r="AJ34" i="5"/>
  <c r="AI35" i="5"/>
  <c r="AJ35" i="5"/>
  <c r="AI36" i="5"/>
  <c r="AJ36" i="5"/>
  <c r="AI24" i="5"/>
  <c r="AJ24" i="5"/>
  <c r="AI25" i="5"/>
  <c r="AJ25" i="5"/>
  <c r="AI26" i="5"/>
  <c r="AJ26" i="5"/>
  <c r="AI27" i="5"/>
  <c r="AJ27" i="5"/>
  <c r="AI19" i="5"/>
  <c r="AJ19" i="5"/>
  <c r="AI20" i="5"/>
  <c r="AJ20" i="5"/>
  <c r="AI21" i="5"/>
  <c r="AJ21" i="5"/>
  <c r="AI14" i="5"/>
  <c r="AJ14" i="5"/>
  <c r="AI15" i="5"/>
  <c r="AJ15" i="5"/>
  <c r="AI6" i="5"/>
  <c r="AJ6" i="5"/>
  <c r="AI7" i="5"/>
  <c r="AJ7" i="5"/>
  <c r="AI8" i="5"/>
  <c r="AJ8" i="5"/>
  <c r="AI9" i="5"/>
  <c r="AJ9" i="5"/>
  <c r="AI10" i="5"/>
  <c r="AJ10" i="5"/>
  <c r="AL20" i="9"/>
  <c r="AL21" i="9"/>
  <c r="AL22" i="9"/>
  <c r="AL23" i="9"/>
  <c r="AL15" i="9"/>
  <c r="AL16" i="9"/>
  <c r="AL17" i="9"/>
  <c r="AL18" i="9"/>
  <c r="AL11" i="9"/>
  <c r="AL12" i="9"/>
  <c r="AL13" i="9"/>
  <c r="AL4" i="9"/>
  <c r="AL5" i="9"/>
  <c r="AL6" i="9"/>
  <c r="AL7" i="9"/>
  <c r="AI48" i="6"/>
  <c r="AI49" i="6"/>
  <c r="AI50" i="6"/>
  <c r="AI51" i="6"/>
  <c r="AI52" i="6"/>
  <c r="AI53" i="6"/>
  <c r="AI42" i="6"/>
  <c r="AI43" i="6"/>
  <c r="AI44" i="6"/>
  <c r="AI38" i="6"/>
  <c r="AI39" i="6"/>
  <c r="AI32" i="6"/>
  <c r="AI33" i="6"/>
  <c r="AI34" i="6"/>
  <c r="AI35" i="6"/>
  <c r="AI36" i="6"/>
  <c r="AI27" i="6"/>
  <c r="AI28" i="6"/>
  <c r="AI29" i="6"/>
  <c r="AI23" i="6"/>
  <c r="AI18" i="6"/>
  <c r="AI19" i="6"/>
  <c r="AI20" i="6"/>
  <c r="AI21" i="6"/>
  <c r="AI5" i="6"/>
  <c r="AI6" i="6"/>
  <c r="AI7" i="6"/>
  <c r="AI8" i="6"/>
  <c r="AI9" i="6"/>
  <c r="AI10" i="6"/>
  <c r="AG37" i="7"/>
  <c r="AH37" i="7"/>
  <c r="AG35" i="7"/>
  <c r="AH35" i="7"/>
  <c r="AG33" i="7"/>
  <c r="AH33" i="7"/>
  <c r="AG29" i="7"/>
  <c r="AH29" i="7"/>
  <c r="AG30" i="7"/>
  <c r="AH30" i="7"/>
  <c r="AG23" i="7"/>
  <c r="AH23" i="7"/>
  <c r="AG19" i="7"/>
  <c r="AH19" i="7"/>
  <c r="AG20" i="7"/>
  <c r="AH20" i="7"/>
  <c r="AG12" i="7"/>
  <c r="AH12" i="7"/>
  <c r="AH7" i="7"/>
  <c r="AH4" i="7"/>
  <c r="AH3" i="7" s="1"/>
  <c r="AG55" i="4"/>
  <c r="AH55" i="4"/>
  <c r="AG56" i="4"/>
  <c r="AH56" i="4"/>
  <c r="AG57" i="4"/>
  <c r="AH57" i="4"/>
  <c r="AG49" i="4"/>
  <c r="AH49" i="4"/>
  <c r="AG45" i="4"/>
  <c r="AH45" i="4"/>
  <c r="AG40" i="4"/>
  <c r="AH40" i="4"/>
  <c r="AG32" i="4"/>
  <c r="AH32" i="4"/>
  <c r="AG33" i="4"/>
  <c r="AH33" i="4"/>
  <c r="AG27" i="4"/>
  <c r="AH27" i="4"/>
  <c r="AG21" i="4"/>
  <c r="AH21" i="4"/>
  <c r="AG17" i="4"/>
  <c r="AH17" i="4"/>
  <c r="AG14" i="4"/>
  <c r="AH14" i="4"/>
  <c r="AG8" i="4"/>
  <c r="AH8" i="4"/>
  <c r="AG4" i="4"/>
  <c r="AH4" i="4"/>
  <c r="AD23" i="9"/>
  <c r="AE23" i="9"/>
  <c r="AF23" i="9"/>
  <c r="AG23" i="9"/>
  <c r="AH23" i="9"/>
  <c r="AI23" i="9"/>
  <c r="AJ23" i="9"/>
  <c r="AD22" i="9"/>
  <c r="AE22" i="9"/>
  <c r="AF22" i="9"/>
  <c r="AG22" i="9"/>
  <c r="AH22" i="9"/>
  <c r="AI22" i="9"/>
  <c r="AJ22" i="9"/>
  <c r="AD21" i="9"/>
  <c r="AE21" i="9"/>
  <c r="AF21" i="9"/>
  <c r="AG21" i="9"/>
  <c r="AH21" i="9"/>
  <c r="AI21" i="9"/>
  <c r="AJ21" i="9"/>
  <c r="AD20" i="9"/>
  <c r="AE20" i="9"/>
  <c r="AF20" i="9"/>
  <c r="AG20" i="9"/>
  <c r="AH20" i="9"/>
  <c r="AI20" i="9"/>
  <c r="AJ20" i="9"/>
  <c r="AD18" i="9"/>
  <c r="AE18" i="9"/>
  <c r="AF18" i="9"/>
  <c r="AG18" i="9"/>
  <c r="AH18" i="9"/>
  <c r="AI18" i="9"/>
  <c r="AJ18" i="9"/>
  <c r="AD17" i="9"/>
  <c r="AE17" i="9"/>
  <c r="AF17" i="9"/>
  <c r="AG17" i="9"/>
  <c r="AH17" i="9"/>
  <c r="AI17" i="9"/>
  <c r="AJ17" i="9"/>
  <c r="AD16" i="9"/>
  <c r="AE16" i="9"/>
  <c r="AF16" i="9"/>
  <c r="AG16" i="9"/>
  <c r="AH16" i="9"/>
  <c r="AI16" i="9"/>
  <c r="AJ16" i="9"/>
  <c r="AD15" i="9"/>
  <c r="AE15" i="9"/>
  <c r="AF15" i="9"/>
  <c r="AG15" i="9"/>
  <c r="AH15" i="9"/>
  <c r="AI15" i="9"/>
  <c r="AJ15" i="9"/>
  <c r="AD13" i="9"/>
  <c r="AE13" i="9"/>
  <c r="AF13" i="9"/>
  <c r="AG13" i="9"/>
  <c r="AH13" i="9"/>
  <c r="AI13" i="9"/>
  <c r="AJ13" i="9"/>
  <c r="AD12" i="9"/>
  <c r="AE12" i="9"/>
  <c r="AF12" i="9"/>
  <c r="AG12" i="9"/>
  <c r="AH12" i="9"/>
  <c r="AI12" i="9"/>
  <c r="AJ12" i="9"/>
  <c r="AD11" i="9"/>
  <c r="AE11" i="9"/>
  <c r="AF11" i="9"/>
  <c r="AG11" i="9"/>
  <c r="AH11" i="9"/>
  <c r="AI11" i="9"/>
  <c r="AJ11" i="9"/>
  <c r="AD7" i="9"/>
  <c r="AE7" i="9"/>
  <c r="AF7" i="9"/>
  <c r="AG7" i="9"/>
  <c r="AH7" i="9"/>
  <c r="AI7" i="9"/>
  <c r="AJ7" i="9"/>
  <c r="AD6" i="9"/>
  <c r="AE6" i="9"/>
  <c r="AF6" i="9"/>
  <c r="AG6" i="9"/>
  <c r="AH6" i="9"/>
  <c r="AI6" i="9"/>
  <c r="AJ6" i="9"/>
  <c r="AD5" i="9"/>
  <c r="AE5" i="9"/>
  <c r="AF5" i="9"/>
  <c r="AG5" i="9"/>
  <c r="AH5" i="9"/>
  <c r="AI5" i="9"/>
  <c r="AJ5" i="9"/>
  <c r="AE4" i="9"/>
  <c r="AF4" i="9"/>
  <c r="AG4" i="9"/>
  <c r="AH4" i="9"/>
  <c r="AI4" i="9"/>
  <c r="AJ4" i="9"/>
  <c r="AD58" i="5"/>
  <c r="AE58" i="5"/>
  <c r="AF58" i="5"/>
  <c r="AG58" i="5"/>
  <c r="AH58" i="5"/>
  <c r="AD57" i="5"/>
  <c r="AE57" i="5"/>
  <c r="AF57" i="5"/>
  <c r="AG57" i="5"/>
  <c r="AH57" i="5"/>
  <c r="AD56" i="5"/>
  <c r="AE56" i="5"/>
  <c r="AF56" i="5"/>
  <c r="AG56" i="5"/>
  <c r="AH56" i="5"/>
  <c r="AD55" i="5"/>
  <c r="AE55" i="5"/>
  <c r="AF55" i="5"/>
  <c r="AG55" i="5"/>
  <c r="AH55" i="5"/>
  <c r="AD53" i="5"/>
  <c r="AE53" i="5"/>
  <c r="AF53" i="5"/>
  <c r="AG53" i="5"/>
  <c r="AH53" i="5"/>
  <c r="AD52" i="5"/>
  <c r="AE52" i="5"/>
  <c r="AF52" i="5"/>
  <c r="AG52" i="5"/>
  <c r="AH52" i="5"/>
  <c r="AD48" i="5"/>
  <c r="AE48" i="5"/>
  <c r="AF48" i="5"/>
  <c r="AG48" i="5"/>
  <c r="AH48" i="5"/>
  <c r="AK16" i="9"/>
  <c r="AD47" i="5"/>
  <c r="AE47" i="5"/>
  <c r="AF47" i="5"/>
  <c r="AG47" i="5"/>
  <c r="AH47" i="5"/>
  <c r="AK15" i="9"/>
  <c r="AD44" i="5"/>
  <c r="AE44" i="5"/>
  <c r="AF44" i="5"/>
  <c r="AG44" i="5"/>
  <c r="AH44" i="5"/>
  <c r="AD43" i="5"/>
  <c r="AE43" i="5"/>
  <c r="AF43" i="5"/>
  <c r="AG43" i="5"/>
  <c r="AH43" i="5"/>
  <c r="AD42" i="5"/>
  <c r="AE42" i="5"/>
  <c r="AF42" i="5"/>
  <c r="AG42" i="5"/>
  <c r="AH42" i="5"/>
  <c r="AD41" i="5"/>
  <c r="AE41" i="5"/>
  <c r="AF41" i="5"/>
  <c r="AG41" i="5"/>
  <c r="AH41" i="5"/>
  <c r="AD40" i="5"/>
  <c r="AE40" i="5"/>
  <c r="AF40" i="5"/>
  <c r="AG40" i="5"/>
  <c r="AH40" i="5"/>
  <c r="AD36" i="5"/>
  <c r="AE36" i="5"/>
  <c r="AF36" i="5"/>
  <c r="AG36" i="5"/>
  <c r="AH36" i="5"/>
  <c r="AD35" i="5"/>
  <c r="AE35" i="5"/>
  <c r="AF35" i="5"/>
  <c r="AG35" i="5"/>
  <c r="AH35" i="5"/>
  <c r="AD34" i="5"/>
  <c r="AE34" i="5"/>
  <c r="AF34" i="5"/>
  <c r="AG34" i="5"/>
  <c r="AH34" i="5"/>
  <c r="AD33" i="5"/>
  <c r="AE33" i="5"/>
  <c r="AF33" i="5"/>
  <c r="AG33" i="5"/>
  <c r="AH33" i="5"/>
  <c r="AD32" i="5"/>
  <c r="AE32" i="5"/>
  <c r="AF32" i="5"/>
  <c r="AG32" i="5"/>
  <c r="AH32" i="5"/>
  <c r="AD31" i="5"/>
  <c r="AE31" i="5"/>
  <c r="AF31" i="5"/>
  <c r="AG31" i="5"/>
  <c r="AH31" i="5"/>
  <c r="AD30" i="5"/>
  <c r="AE30" i="5"/>
  <c r="AF30" i="5"/>
  <c r="AG30" i="5"/>
  <c r="AH30" i="5"/>
  <c r="AD27" i="5"/>
  <c r="AE27" i="5"/>
  <c r="AF27" i="5"/>
  <c r="AG27" i="5"/>
  <c r="AH27" i="5"/>
  <c r="AD26" i="5"/>
  <c r="AE26" i="5"/>
  <c r="AF26" i="5"/>
  <c r="AG26" i="5"/>
  <c r="AH26" i="5"/>
  <c r="AD25" i="5"/>
  <c r="AE25" i="5"/>
  <c r="AF25" i="5"/>
  <c r="AG25" i="5"/>
  <c r="AH25" i="5"/>
  <c r="AD24" i="5"/>
  <c r="AE24" i="5"/>
  <c r="AF24" i="5"/>
  <c r="AG24" i="5"/>
  <c r="AH24" i="5"/>
  <c r="AD21" i="5"/>
  <c r="AE21" i="5"/>
  <c r="AF21" i="5"/>
  <c r="AG21" i="5"/>
  <c r="AH21" i="5"/>
  <c r="AD20" i="5"/>
  <c r="AE20" i="5"/>
  <c r="AF20" i="5"/>
  <c r="AG20" i="5"/>
  <c r="AH20" i="5"/>
  <c r="AD19" i="5"/>
  <c r="AE19" i="5"/>
  <c r="AF19" i="5"/>
  <c r="AG19" i="5"/>
  <c r="AH19" i="5"/>
  <c r="AD15" i="5"/>
  <c r="AE15" i="5"/>
  <c r="AF15" i="5"/>
  <c r="AG15" i="5"/>
  <c r="AH15" i="5"/>
  <c r="AD14" i="5"/>
  <c r="AE14" i="5"/>
  <c r="AF14" i="5"/>
  <c r="AG14" i="5"/>
  <c r="AH14" i="5"/>
  <c r="AD10" i="5"/>
  <c r="AE10" i="5"/>
  <c r="AF10" i="5"/>
  <c r="AG10" i="5"/>
  <c r="AH10" i="5"/>
  <c r="AD9" i="5"/>
  <c r="AE9" i="5"/>
  <c r="AF9" i="5"/>
  <c r="AG9" i="5"/>
  <c r="AH9" i="5"/>
  <c r="AD8" i="5"/>
  <c r="AE8" i="5"/>
  <c r="AF8" i="5"/>
  <c r="AG8" i="5"/>
  <c r="AH8" i="5"/>
  <c r="AD7" i="5"/>
  <c r="AE7" i="5"/>
  <c r="AF7" i="5"/>
  <c r="AG7" i="5"/>
  <c r="AH7" i="5"/>
  <c r="AD6" i="5"/>
  <c r="AE6" i="5"/>
  <c r="AF6" i="5"/>
  <c r="AG6" i="5"/>
  <c r="AH6" i="5"/>
  <c r="AC53" i="6"/>
  <c r="AD53" i="6"/>
  <c r="AE53" i="6"/>
  <c r="AF53" i="6"/>
  <c r="AG53" i="6"/>
  <c r="AH53" i="6"/>
  <c r="AC52" i="6"/>
  <c r="AD52" i="6"/>
  <c r="AE52" i="6"/>
  <c r="AF52" i="6"/>
  <c r="AG52" i="6"/>
  <c r="AH52" i="6"/>
  <c r="AC51" i="6"/>
  <c r="AD51" i="6"/>
  <c r="AE51" i="6"/>
  <c r="AF51" i="6"/>
  <c r="AG51" i="6"/>
  <c r="AH51" i="6"/>
  <c r="AC50" i="6"/>
  <c r="AD50" i="6"/>
  <c r="AE50" i="6"/>
  <c r="AF50" i="6"/>
  <c r="AG50" i="6"/>
  <c r="AH50" i="6"/>
  <c r="AC49" i="6"/>
  <c r="AD49" i="6"/>
  <c r="AE49" i="6"/>
  <c r="AF49" i="6"/>
  <c r="AG49" i="6"/>
  <c r="AH49" i="6"/>
  <c r="AC48" i="6"/>
  <c r="AD48" i="6"/>
  <c r="AE48" i="6"/>
  <c r="AF48" i="6"/>
  <c r="AG48" i="6"/>
  <c r="AH48" i="6"/>
  <c r="AC47" i="6"/>
  <c r="AD47" i="6"/>
  <c r="AE47" i="6"/>
  <c r="AF47" i="6"/>
  <c r="AG47" i="6"/>
  <c r="AH47" i="6"/>
  <c r="AC44" i="6"/>
  <c r="AD44" i="6"/>
  <c r="AE44" i="6"/>
  <c r="AF44" i="6"/>
  <c r="AG44" i="6"/>
  <c r="AH44" i="6"/>
  <c r="AC43" i="6"/>
  <c r="AD43" i="6"/>
  <c r="AE43" i="6"/>
  <c r="AF43" i="6"/>
  <c r="AG43" i="6"/>
  <c r="AH43" i="6"/>
  <c r="AC42" i="6"/>
  <c r="AD42" i="6"/>
  <c r="AE42" i="6"/>
  <c r="AF42" i="6"/>
  <c r="AG42" i="6"/>
  <c r="AH42" i="6"/>
  <c r="AC41" i="6"/>
  <c r="AD41" i="6"/>
  <c r="AE41" i="6"/>
  <c r="AF41" i="6"/>
  <c r="AG41" i="6"/>
  <c r="AH41" i="6"/>
  <c r="AC39" i="6"/>
  <c r="AD39" i="6"/>
  <c r="AE39" i="6"/>
  <c r="AF39" i="6"/>
  <c r="AG39" i="6"/>
  <c r="AH39" i="6"/>
  <c r="AC38" i="6"/>
  <c r="AD38" i="6"/>
  <c r="AE38" i="6"/>
  <c r="AF38" i="6"/>
  <c r="AG38" i="6"/>
  <c r="AH38" i="6"/>
  <c r="AC36" i="6"/>
  <c r="AD36" i="6"/>
  <c r="AE36" i="6"/>
  <c r="AF36" i="6"/>
  <c r="AG36" i="6"/>
  <c r="AH36" i="6"/>
  <c r="AC35" i="6"/>
  <c r="AD35" i="6"/>
  <c r="AE35" i="6"/>
  <c r="AF35" i="6"/>
  <c r="AG35" i="6"/>
  <c r="AH35" i="6"/>
  <c r="AC34" i="6"/>
  <c r="AD34" i="6"/>
  <c r="AE34" i="6"/>
  <c r="AF34" i="6"/>
  <c r="AG34" i="6"/>
  <c r="AH34" i="6"/>
  <c r="AC33" i="6"/>
  <c r="AD33" i="6"/>
  <c r="AE33" i="6"/>
  <c r="AF33" i="6"/>
  <c r="AG33" i="6"/>
  <c r="AH33" i="6"/>
  <c r="AC32" i="6"/>
  <c r="AD32" i="6"/>
  <c r="AE32" i="6"/>
  <c r="AF32" i="6"/>
  <c r="AG32" i="6"/>
  <c r="AH32" i="6"/>
  <c r="AC31" i="6"/>
  <c r="AD31" i="6"/>
  <c r="AE31" i="6"/>
  <c r="AF31" i="6"/>
  <c r="AG31" i="6"/>
  <c r="AH31" i="6"/>
  <c r="AC29" i="6"/>
  <c r="AD29" i="6"/>
  <c r="AE29" i="6"/>
  <c r="AF29" i="6"/>
  <c r="AG29" i="6"/>
  <c r="AH29" i="6"/>
  <c r="AC28" i="6"/>
  <c r="AD28" i="6"/>
  <c r="AE28" i="6"/>
  <c r="AF28" i="6"/>
  <c r="AG28" i="6"/>
  <c r="AH28" i="6"/>
  <c r="AC27" i="6"/>
  <c r="AD27" i="6"/>
  <c r="AE27" i="6"/>
  <c r="AF27" i="6"/>
  <c r="AG27" i="6"/>
  <c r="AH27" i="6"/>
  <c r="AC26" i="6"/>
  <c r="AD26" i="6"/>
  <c r="AE26" i="6"/>
  <c r="AF26" i="6"/>
  <c r="AG26" i="6"/>
  <c r="AH26" i="6"/>
  <c r="AC23" i="6"/>
  <c r="AD23" i="6"/>
  <c r="AE23" i="6"/>
  <c r="AF23" i="6"/>
  <c r="AG23" i="6"/>
  <c r="AH23" i="6"/>
  <c r="AC21" i="6"/>
  <c r="AD21" i="6"/>
  <c r="AE21" i="6"/>
  <c r="AF21" i="6"/>
  <c r="AG21" i="6"/>
  <c r="AH21" i="6"/>
  <c r="AC20" i="6"/>
  <c r="AD20" i="6"/>
  <c r="AE20" i="6"/>
  <c r="AF20" i="6"/>
  <c r="AG20" i="6"/>
  <c r="AH20" i="6"/>
  <c r="AC19" i="6"/>
  <c r="AD19" i="6"/>
  <c r="AE19" i="6"/>
  <c r="AF19" i="6"/>
  <c r="AG19" i="6"/>
  <c r="AH19" i="6"/>
  <c r="AC18" i="6"/>
  <c r="AD18" i="6"/>
  <c r="AE18" i="6"/>
  <c r="AF18" i="6"/>
  <c r="AG18" i="6"/>
  <c r="AH18" i="6"/>
  <c r="AC17" i="6"/>
  <c r="AD17" i="6"/>
  <c r="AE17" i="6"/>
  <c r="AF17" i="6"/>
  <c r="AG17" i="6"/>
  <c r="AH17" i="6"/>
  <c r="AC14" i="6"/>
  <c r="AC15" i="6" s="1"/>
  <c r="AD14" i="6"/>
  <c r="AD15" i="6" s="1"/>
  <c r="AE14" i="6"/>
  <c r="AE15" i="6" s="1"/>
  <c r="AF14" i="6"/>
  <c r="AF15" i="6" s="1"/>
  <c r="AG14" i="6"/>
  <c r="AG15" i="6" s="1"/>
  <c r="AH14" i="6"/>
  <c r="AC10" i="6"/>
  <c r="AD10" i="6"/>
  <c r="AE10" i="6"/>
  <c r="AF10" i="6"/>
  <c r="AG10" i="6"/>
  <c r="AH10" i="6"/>
  <c r="AC9" i="6"/>
  <c r="AD9" i="6"/>
  <c r="AE9" i="6"/>
  <c r="AF9" i="6"/>
  <c r="AG9" i="6"/>
  <c r="AH9" i="6"/>
  <c r="AC8" i="6"/>
  <c r="AD8" i="6"/>
  <c r="AE8" i="6"/>
  <c r="AF8" i="6"/>
  <c r="AG8" i="6"/>
  <c r="AH8" i="6"/>
  <c r="AC7" i="6"/>
  <c r="AD7" i="6"/>
  <c r="AE7" i="6"/>
  <c r="AF7" i="6"/>
  <c r="AG7" i="6"/>
  <c r="AH7" i="6"/>
  <c r="AC6" i="6"/>
  <c r="AD6" i="6"/>
  <c r="AE6" i="6"/>
  <c r="AF6" i="6"/>
  <c r="AG6" i="6"/>
  <c r="AH6" i="6"/>
  <c r="AC5" i="6"/>
  <c r="AD5" i="6"/>
  <c r="AE5" i="6"/>
  <c r="AF5" i="6"/>
  <c r="AG5" i="6"/>
  <c r="AF30" i="7"/>
  <c r="AF23" i="7"/>
  <c r="AF20" i="7"/>
  <c r="AF12" i="7"/>
  <c r="AF7" i="7"/>
  <c r="AG7" i="7"/>
  <c r="AF4" i="7"/>
  <c r="AG4" i="7"/>
  <c r="AF3" i="7"/>
  <c r="AF19" i="7" s="1"/>
  <c r="AF29" i="7" s="1"/>
  <c r="AF33" i="7" s="1"/>
  <c r="AF35" i="7" s="1"/>
  <c r="AF37" i="7" s="1"/>
  <c r="AG3" i="7"/>
  <c r="AF57" i="4"/>
  <c r="AF56" i="4"/>
  <c r="AF55" i="4"/>
  <c r="AF49" i="4"/>
  <c r="AF45" i="4"/>
  <c r="AF40" i="4"/>
  <c r="AF33" i="4"/>
  <c r="AF32" i="4"/>
  <c r="AF27" i="4"/>
  <c r="AF21" i="4"/>
  <c r="AF17" i="4"/>
  <c r="AF14" i="4"/>
  <c r="AF8" i="4"/>
  <c r="AF4" i="4"/>
  <c r="AB37" i="7"/>
  <c r="AB35" i="7"/>
  <c r="AB33" i="7"/>
  <c r="AC30" i="7"/>
  <c r="AD30" i="7"/>
  <c r="AE30" i="7"/>
  <c r="AB29" i="7"/>
  <c r="AB23" i="7"/>
  <c r="AC23" i="7"/>
  <c r="AD23" i="7"/>
  <c r="AE23" i="7"/>
  <c r="AB20" i="7"/>
  <c r="AC20" i="7"/>
  <c r="AD20" i="7"/>
  <c r="AE20" i="7"/>
  <c r="AB19" i="7"/>
  <c r="AB12" i="7"/>
  <c r="AC12" i="7"/>
  <c r="AD12" i="7"/>
  <c r="AE12" i="7"/>
  <c r="AB7" i="7"/>
  <c r="AC7" i="7"/>
  <c r="AD7" i="7"/>
  <c r="AE7" i="7"/>
  <c r="AB4" i="7"/>
  <c r="AC4" i="7"/>
  <c r="AD4" i="7"/>
  <c r="AE4" i="7"/>
  <c r="AB3" i="7"/>
  <c r="AC3" i="7"/>
  <c r="AC19" i="7" s="1"/>
  <c r="AC29" i="7" s="1"/>
  <c r="AC33" i="7" s="1"/>
  <c r="AC35" i="7" s="1"/>
  <c r="AC37" i="7" s="1"/>
  <c r="AD3" i="7"/>
  <c r="AD19" i="7" s="1"/>
  <c r="AD29" i="7" s="1"/>
  <c r="AD33" i="7" s="1"/>
  <c r="AD35" i="7" s="1"/>
  <c r="AD37" i="7" s="1"/>
  <c r="AE3" i="7"/>
  <c r="AE19" i="7" s="1"/>
  <c r="AE29" i="7" s="1"/>
  <c r="AE33" i="7" s="1"/>
  <c r="AE35" i="7" s="1"/>
  <c r="AE37" i="7" s="1"/>
  <c r="AC57" i="4"/>
  <c r="AD57" i="4"/>
  <c r="AE57" i="4"/>
  <c r="AB56" i="4"/>
  <c r="AC56" i="4"/>
  <c r="AD56" i="4"/>
  <c r="AE56" i="4"/>
  <c r="AB55" i="4"/>
  <c r="AC55" i="4"/>
  <c r="AD55" i="4"/>
  <c r="AE55" i="4"/>
  <c r="AB49" i="4"/>
  <c r="AC49" i="4"/>
  <c r="AD49" i="4"/>
  <c r="AE49" i="4"/>
  <c r="AB45" i="4"/>
  <c r="AC45" i="4"/>
  <c r="AD45" i="4"/>
  <c r="AE45" i="4"/>
  <c r="AB40" i="4"/>
  <c r="AC40" i="4"/>
  <c r="AD40" i="4"/>
  <c r="AE40" i="4"/>
  <c r="AB33" i="4"/>
  <c r="AC33" i="4"/>
  <c r="AD33" i="4"/>
  <c r="AE33" i="4"/>
  <c r="AB32" i="4"/>
  <c r="AC32" i="4"/>
  <c r="AD32" i="4"/>
  <c r="AE32" i="4"/>
  <c r="AB27" i="4"/>
  <c r="AC27" i="4"/>
  <c r="AD27" i="4"/>
  <c r="AE27" i="4"/>
  <c r="AB21" i="4"/>
  <c r="AC21" i="4"/>
  <c r="AD21" i="4"/>
  <c r="AE21" i="4"/>
  <c r="AB17" i="4"/>
  <c r="AC17" i="4"/>
  <c r="AD17" i="4"/>
  <c r="AE17" i="4"/>
  <c r="AB14" i="4"/>
  <c r="AC14" i="4"/>
  <c r="AD14" i="4"/>
  <c r="AE14" i="4"/>
  <c r="AB8" i="4"/>
  <c r="AC8" i="4"/>
  <c r="AD8" i="4"/>
  <c r="AE8" i="4"/>
  <c r="AB4" i="4"/>
  <c r="AC4" i="4"/>
  <c r="AD4" i="4"/>
  <c r="AE4" i="4"/>
  <c r="Q7" i="6"/>
  <c r="R7" i="6"/>
  <c r="S7" i="6"/>
  <c r="T7" i="6"/>
  <c r="U7" i="6"/>
  <c r="V7" i="6"/>
  <c r="W7" i="6"/>
  <c r="X7" i="6"/>
  <c r="Y7" i="6"/>
  <c r="Z7" i="6"/>
  <c r="AA7" i="6"/>
  <c r="AB7" i="6"/>
  <c r="Q8" i="6"/>
  <c r="R8" i="6"/>
  <c r="S8" i="6"/>
  <c r="T8" i="6"/>
  <c r="U8" i="6"/>
  <c r="V8" i="6"/>
  <c r="W8" i="6"/>
  <c r="X8" i="6"/>
  <c r="Y8" i="6"/>
  <c r="Z8" i="6"/>
  <c r="AA8" i="6"/>
  <c r="AB8" i="6"/>
  <c r="Q9" i="6"/>
  <c r="R9" i="6"/>
  <c r="S9" i="6"/>
  <c r="T9" i="6"/>
  <c r="U9" i="6"/>
  <c r="V9" i="6"/>
  <c r="W9" i="6"/>
  <c r="X9" i="6"/>
  <c r="Y9" i="6"/>
  <c r="Z9" i="6"/>
  <c r="AA9" i="6"/>
  <c r="AB9" i="6"/>
  <c r="Q10" i="6"/>
  <c r="R10" i="6"/>
  <c r="S10" i="6"/>
  <c r="T10" i="6"/>
  <c r="U10" i="6"/>
  <c r="V10" i="6"/>
  <c r="W10" i="6"/>
  <c r="X10" i="6"/>
  <c r="Y10" i="6"/>
  <c r="Z10" i="6"/>
  <c r="AA10" i="6"/>
  <c r="AB10" i="6"/>
  <c r="Q18" i="6"/>
  <c r="R18" i="6"/>
  <c r="S18" i="6"/>
  <c r="T18" i="6"/>
  <c r="U18" i="6"/>
  <c r="V18" i="6"/>
  <c r="W18" i="6"/>
  <c r="X18" i="6"/>
  <c r="Y18" i="6"/>
  <c r="Z18" i="6"/>
  <c r="AA18" i="6"/>
  <c r="AB18" i="6"/>
  <c r="Q20" i="6"/>
  <c r="R20" i="6"/>
  <c r="S20" i="6"/>
  <c r="T20" i="6"/>
  <c r="U20" i="6"/>
  <c r="V20" i="6"/>
  <c r="W20" i="6"/>
  <c r="X20" i="6"/>
  <c r="Y20" i="6"/>
  <c r="Z20" i="6"/>
  <c r="AA20" i="6"/>
  <c r="AB20" i="6"/>
  <c r="Q21" i="6"/>
  <c r="R21" i="6"/>
  <c r="S21" i="6"/>
  <c r="T21" i="6"/>
  <c r="U21" i="6"/>
  <c r="V21" i="6"/>
  <c r="W21" i="6"/>
  <c r="X21" i="6"/>
  <c r="Y21" i="6"/>
  <c r="Z21" i="6"/>
  <c r="AA21" i="6"/>
  <c r="AB21" i="6"/>
  <c r="Q23" i="6"/>
  <c r="R23" i="6"/>
  <c r="S23" i="6"/>
  <c r="T23" i="6"/>
  <c r="U23" i="6"/>
  <c r="V23" i="6"/>
  <c r="W23" i="6"/>
  <c r="X23" i="6"/>
  <c r="Y23" i="6"/>
  <c r="Z23" i="6"/>
  <c r="AA23" i="6"/>
  <c r="AB23" i="6"/>
  <c r="Q27" i="6"/>
  <c r="R27" i="6"/>
  <c r="S27" i="6"/>
  <c r="T27" i="6"/>
  <c r="U27" i="6"/>
  <c r="V27" i="6"/>
  <c r="W27" i="6"/>
  <c r="X27" i="6"/>
  <c r="Y27" i="6"/>
  <c r="Z27" i="6"/>
  <c r="AA27" i="6"/>
  <c r="AB27" i="6"/>
  <c r="Q28" i="6"/>
  <c r="R28" i="6"/>
  <c r="S28" i="6"/>
  <c r="T28" i="6"/>
  <c r="U28" i="6"/>
  <c r="V28" i="6"/>
  <c r="W28" i="6"/>
  <c r="X28" i="6"/>
  <c r="Y28" i="6"/>
  <c r="Z28" i="6"/>
  <c r="AA28" i="6"/>
  <c r="AB28" i="6"/>
  <c r="Q29" i="6"/>
  <c r="R29" i="6"/>
  <c r="S29" i="6"/>
  <c r="T29" i="6"/>
  <c r="U29" i="6"/>
  <c r="V29" i="6"/>
  <c r="W29" i="6"/>
  <c r="W26" i="6" s="1"/>
  <c r="X29" i="6"/>
  <c r="Y29" i="6"/>
  <c r="Z29" i="6"/>
  <c r="AA29" i="6"/>
  <c r="AB29" i="6"/>
  <c r="Q32" i="6"/>
  <c r="R32" i="6"/>
  <c r="S32" i="6"/>
  <c r="T32" i="6"/>
  <c r="U32" i="6"/>
  <c r="V32" i="6"/>
  <c r="W32" i="6"/>
  <c r="X32" i="6"/>
  <c r="Y32" i="6"/>
  <c r="Z32" i="6"/>
  <c r="AA32" i="6"/>
  <c r="AB32" i="6"/>
  <c r="Q33" i="6"/>
  <c r="R33" i="6"/>
  <c r="S33" i="6"/>
  <c r="T33" i="6"/>
  <c r="T31" i="6" s="1"/>
  <c r="U33" i="6"/>
  <c r="V33" i="6"/>
  <c r="W33" i="6"/>
  <c r="X33" i="6"/>
  <c r="Y33" i="6"/>
  <c r="Z33" i="6"/>
  <c r="AA33" i="6"/>
  <c r="AB33" i="6"/>
  <c r="AB31" i="6" s="1"/>
  <c r="Q34" i="6"/>
  <c r="R34" i="6"/>
  <c r="S34" i="6"/>
  <c r="T34" i="6"/>
  <c r="U34" i="6"/>
  <c r="V34" i="6"/>
  <c r="W34" i="6"/>
  <c r="X34" i="6"/>
  <c r="Y34" i="6"/>
  <c r="Z34" i="6"/>
  <c r="AA34" i="6"/>
  <c r="AB34" i="6"/>
  <c r="Q35" i="6"/>
  <c r="R35" i="6"/>
  <c r="S35" i="6"/>
  <c r="T35" i="6"/>
  <c r="U35" i="6"/>
  <c r="V35" i="6"/>
  <c r="W35" i="6"/>
  <c r="X35" i="6"/>
  <c r="Y35" i="6"/>
  <c r="Z35" i="6"/>
  <c r="AA35" i="6"/>
  <c r="AB35" i="6"/>
  <c r="Q39" i="6"/>
  <c r="R39" i="6"/>
  <c r="S39" i="6"/>
  <c r="T39" i="6"/>
  <c r="U39" i="6"/>
  <c r="V39" i="6"/>
  <c r="W39" i="6"/>
  <c r="X39" i="6"/>
  <c r="Y39" i="6"/>
  <c r="Z39" i="6"/>
  <c r="AA39" i="6"/>
  <c r="AB39" i="6"/>
  <c r="Q42" i="6"/>
  <c r="R42" i="6"/>
  <c r="S42" i="6"/>
  <c r="T42" i="6"/>
  <c r="U42" i="6"/>
  <c r="V42" i="6"/>
  <c r="W42" i="6"/>
  <c r="X42" i="6"/>
  <c r="Y42" i="6"/>
  <c r="Z42" i="6"/>
  <c r="AA42" i="6"/>
  <c r="AB42" i="6"/>
  <c r="Q43" i="6"/>
  <c r="R43" i="6"/>
  <c r="S43" i="6"/>
  <c r="T43" i="6"/>
  <c r="U43" i="6"/>
  <c r="V43" i="6"/>
  <c r="W43" i="6"/>
  <c r="X43" i="6"/>
  <c r="Y43" i="6"/>
  <c r="Z43" i="6"/>
  <c r="AA43" i="6"/>
  <c r="AB43" i="6"/>
  <c r="Q44" i="6"/>
  <c r="R44" i="6"/>
  <c r="S44" i="6"/>
  <c r="T44" i="6"/>
  <c r="U44" i="6"/>
  <c r="V44" i="6"/>
  <c r="W44" i="6"/>
  <c r="X44" i="6"/>
  <c r="Y44" i="6"/>
  <c r="Z44" i="6"/>
  <c r="AA44" i="6"/>
  <c r="AB44" i="6"/>
  <c r="Q48" i="6"/>
  <c r="R48" i="6"/>
  <c r="S48" i="6"/>
  <c r="T48" i="6"/>
  <c r="U48" i="6"/>
  <c r="V48" i="6"/>
  <c r="W48" i="6"/>
  <c r="X48" i="6"/>
  <c r="Y48" i="6"/>
  <c r="Z48" i="6"/>
  <c r="AA48" i="6"/>
  <c r="AB48" i="6"/>
  <c r="Q49" i="6"/>
  <c r="R49" i="6"/>
  <c r="S41" i="5" s="1"/>
  <c r="S49" i="6"/>
  <c r="T41" i="5" s="1"/>
  <c r="T49" i="6"/>
  <c r="U41" i="5" s="1"/>
  <c r="U49" i="6"/>
  <c r="V41" i="5" s="1"/>
  <c r="V49" i="6"/>
  <c r="W41" i="5" s="1"/>
  <c r="W49" i="6"/>
  <c r="X41" i="5" s="1"/>
  <c r="X49" i="6"/>
  <c r="Y49" i="6"/>
  <c r="Z41" i="5" s="1"/>
  <c r="Z49" i="6"/>
  <c r="AA41" i="5" s="1"/>
  <c r="AA49" i="6"/>
  <c r="AB41" i="5" s="1"/>
  <c r="AB49" i="6"/>
  <c r="AC41" i="5" s="1"/>
  <c r="Q50" i="6"/>
  <c r="R50" i="6"/>
  <c r="S42" i="5" s="1"/>
  <c r="S50" i="6"/>
  <c r="T42" i="5" s="1"/>
  <c r="T50" i="6"/>
  <c r="U42" i="5" s="1"/>
  <c r="U50" i="6"/>
  <c r="V42" i="5" s="1"/>
  <c r="V50" i="6"/>
  <c r="W42" i="5" s="1"/>
  <c r="W50" i="6"/>
  <c r="X42" i="5" s="1"/>
  <c r="X50" i="6"/>
  <c r="Y42" i="5" s="1"/>
  <c r="Y50" i="6"/>
  <c r="Z42" i="5" s="1"/>
  <c r="Z50" i="6"/>
  <c r="AA42" i="5" s="1"/>
  <c r="AA50" i="6"/>
  <c r="AB42" i="5" s="1"/>
  <c r="AB50" i="6"/>
  <c r="AC42" i="5" s="1"/>
  <c r="Q51" i="6"/>
  <c r="R51" i="6"/>
  <c r="S51" i="6"/>
  <c r="T51" i="6"/>
  <c r="U51" i="6"/>
  <c r="V51" i="6"/>
  <c r="W51" i="6"/>
  <c r="X51" i="6"/>
  <c r="Y51" i="6"/>
  <c r="Z51" i="6"/>
  <c r="AA51" i="6"/>
  <c r="AB51" i="6"/>
  <c r="Q52" i="6"/>
  <c r="R52" i="6"/>
  <c r="S52" i="6"/>
  <c r="T52" i="6"/>
  <c r="U52" i="6"/>
  <c r="V52" i="6"/>
  <c r="W52" i="6"/>
  <c r="X52" i="6"/>
  <c r="Y52" i="6"/>
  <c r="Z52" i="6"/>
  <c r="AA52" i="6"/>
  <c r="AB52" i="6"/>
  <c r="Q53" i="6"/>
  <c r="R53" i="6"/>
  <c r="S53" i="6"/>
  <c r="T53" i="6"/>
  <c r="U53" i="6"/>
  <c r="V53" i="6"/>
  <c r="W53" i="6"/>
  <c r="X53" i="6"/>
  <c r="Y53" i="6"/>
  <c r="Z53" i="6"/>
  <c r="AA53" i="6"/>
  <c r="AB53" i="6"/>
  <c r="Q4" i="4"/>
  <c r="P8" i="4"/>
  <c r="Q8" i="4"/>
  <c r="R8" i="4"/>
  <c r="S8" i="4"/>
  <c r="P21" i="4"/>
  <c r="Q21" i="4"/>
  <c r="R21" i="4"/>
  <c r="S21" i="4"/>
  <c r="P17" i="4"/>
  <c r="Q38" i="6" s="1"/>
  <c r="Q17" i="4"/>
  <c r="R38" i="6" s="1"/>
  <c r="R17" i="4"/>
  <c r="S38" i="6" s="1"/>
  <c r="S17" i="4"/>
  <c r="T38" i="6" s="1"/>
  <c r="P14" i="4"/>
  <c r="R52" i="5" s="1"/>
  <c r="Q14" i="4"/>
  <c r="S52" i="5" s="1"/>
  <c r="R14" i="4"/>
  <c r="T52" i="5" s="1"/>
  <c r="S14" i="4"/>
  <c r="U52" i="5" s="1"/>
  <c r="P23" i="7"/>
  <c r="Q23" i="7"/>
  <c r="R23" i="7"/>
  <c r="S23" i="7"/>
  <c r="T23" i="7"/>
  <c r="U23" i="7"/>
  <c r="V23" i="7"/>
  <c r="W23" i="7"/>
  <c r="X23" i="7"/>
  <c r="Y23" i="7"/>
  <c r="Z23" i="7"/>
  <c r="AA23" i="7"/>
  <c r="P20" i="7"/>
  <c r="Q20" i="7"/>
  <c r="R20" i="7"/>
  <c r="S20" i="7"/>
  <c r="T20" i="7"/>
  <c r="U20" i="7"/>
  <c r="V20" i="7"/>
  <c r="W20" i="7"/>
  <c r="X20" i="7"/>
  <c r="Y20" i="7"/>
  <c r="Z20" i="7"/>
  <c r="AA20" i="7"/>
  <c r="P12" i="7"/>
  <c r="Q12" i="7"/>
  <c r="R12" i="7"/>
  <c r="S12" i="7"/>
  <c r="T12" i="7"/>
  <c r="U12" i="7"/>
  <c r="V12" i="7"/>
  <c r="W12" i="7"/>
  <c r="X12" i="7"/>
  <c r="Y12" i="7"/>
  <c r="Z12" i="7"/>
  <c r="AA12" i="7"/>
  <c r="P7" i="7"/>
  <c r="Q7" i="7"/>
  <c r="R7" i="7"/>
  <c r="S7" i="7"/>
  <c r="T7" i="7"/>
  <c r="U7" i="7"/>
  <c r="V7" i="7"/>
  <c r="W7" i="7"/>
  <c r="X7" i="7"/>
  <c r="Y7" i="7"/>
  <c r="Z7" i="7"/>
  <c r="AA7" i="7"/>
  <c r="P4" i="7"/>
  <c r="Q4" i="7"/>
  <c r="R4" i="7"/>
  <c r="S4" i="7"/>
  <c r="T4" i="7"/>
  <c r="U4" i="7"/>
  <c r="V4" i="7"/>
  <c r="W4" i="7"/>
  <c r="X4" i="7"/>
  <c r="Y4" i="7"/>
  <c r="Z4" i="7"/>
  <c r="AA4" i="7"/>
  <c r="AB6" i="4"/>
  <c r="AB21" i="7"/>
  <c r="AB28" i="7"/>
  <c r="AB27" i="7"/>
  <c r="AB25" i="7"/>
  <c r="AB24" i="7"/>
  <c r="AB13" i="7"/>
  <c r="AB5" i="7"/>
  <c r="AB6" i="7"/>
  <c r="AB47" i="4"/>
  <c r="AB38" i="4"/>
  <c r="AB12" i="4"/>
  <c r="AB26" i="4"/>
  <c r="AB22" i="4"/>
  <c r="AI47" i="6" l="1"/>
  <c r="AI41" i="6"/>
  <c r="AI31" i="6"/>
  <c r="AI26" i="6"/>
  <c r="AI17" i="6"/>
  <c r="AI14" i="6" s="1"/>
  <c r="AI15" i="6" s="1"/>
  <c r="AK12" i="9"/>
  <c r="AH15" i="6"/>
  <c r="AK23" i="9"/>
  <c r="AK4" i="9"/>
  <c r="AK22" i="9"/>
  <c r="AK7" i="9"/>
  <c r="AK13" i="9"/>
  <c r="AK11" i="9"/>
  <c r="AH5" i="6"/>
  <c r="AK18" i="9"/>
  <c r="S47" i="5"/>
  <c r="U15" i="9" s="1"/>
  <c r="R36" i="6"/>
  <c r="W47" i="6"/>
  <c r="X47" i="6"/>
  <c r="Y41" i="5"/>
  <c r="AB47" i="6"/>
  <c r="AA47" i="6"/>
  <c r="Z47" i="6"/>
  <c r="Y47" i="6"/>
  <c r="V47" i="6"/>
  <c r="U47" i="6"/>
  <c r="T47" i="6"/>
  <c r="S47" i="6"/>
  <c r="R47" i="6"/>
  <c r="Q47" i="6"/>
  <c r="AB41" i="6"/>
  <c r="X41" i="6"/>
  <c r="T41" i="6"/>
  <c r="AA41" i="6"/>
  <c r="Z41" i="6"/>
  <c r="Y41" i="6"/>
  <c r="Z36" i="5" s="1"/>
  <c r="W41" i="6"/>
  <c r="V41" i="6"/>
  <c r="U41" i="6"/>
  <c r="V36" i="5" s="1"/>
  <c r="S41" i="6"/>
  <c r="R41" i="6"/>
  <c r="Q41" i="6"/>
  <c r="AA31" i="6"/>
  <c r="Z31" i="6"/>
  <c r="Y31" i="6"/>
  <c r="X31" i="6"/>
  <c r="W31" i="6"/>
  <c r="V31" i="6"/>
  <c r="U31" i="6"/>
  <c r="S31" i="6"/>
  <c r="R31" i="6"/>
  <c r="Q31" i="6"/>
  <c r="X26" i="6"/>
  <c r="AB26" i="6"/>
  <c r="AA26" i="6"/>
  <c r="Z26" i="6"/>
  <c r="Y26" i="6"/>
  <c r="V26" i="6"/>
  <c r="U26" i="6"/>
  <c r="T26" i="6"/>
  <c r="S26" i="6"/>
  <c r="R26" i="6"/>
  <c r="Q26" i="6"/>
  <c r="AC32" i="5"/>
  <c r="AB32" i="5"/>
  <c r="AA32" i="5"/>
  <c r="Z32" i="5"/>
  <c r="Y32" i="5"/>
  <c r="X32" i="5"/>
  <c r="W32" i="5"/>
  <c r="V32" i="5"/>
  <c r="U32" i="5"/>
  <c r="T32" i="5"/>
  <c r="S32" i="5"/>
  <c r="AC33" i="5"/>
  <c r="AB33" i="5"/>
  <c r="AA33" i="5"/>
  <c r="Z33" i="5"/>
  <c r="Y33" i="5"/>
  <c r="X33" i="5"/>
  <c r="W33" i="5"/>
  <c r="V33" i="5"/>
  <c r="U33" i="5"/>
  <c r="T33" i="5"/>
  <c r="S33" i="5"/>
  <c r="Q27" i="4"/>
  <c r="S3" i="7"/>
  <c r="S19" i="7" s="1"/>
  <c r="W3" i="7"/>
  <c r="W19" i="7" s="1"/>
  <c r="Z3" i="7"/>
  <c r="Z19" i="7" s="1"/>
  <c r="R3" i="7"/>
  <c r="R19" i="7" s="1"/>
  <c r="Y3" i="7"/>
  <c r="Y19" i="7" s="1"/>
  <c r="Q3" i="7"/>
  <c r="Q19" i="7" s="1"/>
  <c r="U3" i="7"/>
  <c r="U19" i="7" s="1"/>
  <c r="AA3" i="7"/>
  <c r="AA19" i="7" s="1"/>
  <c r="V3" i="7"/>
  <c r="V19" i="7" s="1"/>
  <c r="X3" i="7"/>
  <c r="X19" i="7" s="1"/>
  <c r="P3" i="7"/>
  <c r="P19" i="7" s="1"/>
  <c r="T3" i="7"/>
  <c r="T19" i="7" s="1"/>
  <c r="AB11" i="7"/>
  <c r="AB30" i="7"/>
  <c r="P49" i="4"/>
  <c r="Q49" i="4"/>
  <c r="R49" i="4"/>
  <c r="S49" i="4"/>
  <c r="T49" i="4"/>
  <c r="U49" i="4"/>
  <c r="V49" i="4"/>
  <c r="W49" i="4"/>
  <c r="X49" i="4"/>
  <c r="Y49" i="4"/>
  <c r="Z49" i="4"/>
  <c r="AA49" i="4"/>
  <c r="P45" i="4"/>
  <c r="Q19" i="6" s="1"/>
  <c r="Q17" i="6" s="1"/>
  <c r="Q14" i="6" s="1"/>
  <c r="Q45" i="4"/>
  <c r="R19" i="6" s="1"/>
  <c r="R17" i="6" s="1"/>
  <c r="R14" i="6" s="1"/>
  <c r="R45" i="4"/>
  <c r="S19" i="6" s="1"/>
  <c r="S17" i="6" s="1"/>
  <c r="S14" i="6" s="1"/>
  <c r="S45" i="4"/>
  <c r="T19" i="6" s="1"/>
  <c r="T17" i="6" s="1"/>
  <c r="T14" i="6" s="1"/>
  <c r="T45" i="4"/>
  <c r="U19" i="6" s="1"/>
  <c r="U17" i="6" s="1"/>
  <c r="U14" i="6" s="1"/>
  <c r="U45" i="4"/>
  <c r="V19" i="6" s="1"/>
  <c r="V17" i="6" s="1"/>
  <c r="V14" i="6" s="1"/>
  <c r="V45" i="4"/>
  <c r="W19" i="6" s="1"/>
  <c r="W17" i="6" s="1"/>
  <c r="W14" i="6" s="1"/>
  <c r="W45" i="4"/>
  <c r="X19" i="6" s="1"/>
  <c r="X17" i="6" s="1"/>
  <c r="X14" i="6" s="1"/>
  <c r="X45" i="4"/>
  <c r="Y19" i="6" s="1"/>
  <c r="Y17" i="6" s="1"/>
  <c r="Y14" i="6" s="1"/>
  <c r="Y45" i="4"/>
  <c r="Z19" i="6" s="1"/>
  <c r="Z17" i="6" s="1"/>
  <c r="Z14" i="6" s="1"/>
  <c r="Z45" i="4"/>
  <c r="AA19" i="6" s="1"/>
  <c r="AA17" i="6" s="1"/>
  <c r="AA14" i="6" s="1"/>
  <c r="AA45" i="4"/>
  <c r="AB19" i="6" s="1"/>
  <c r="AB17" i="6" s="1"/>
  <c r="AB14" i="6" s="1"/>
  <c r="P33" i="4"/>
  <c r="Q33" i="4"/>
  <c r="R33" i="4"/>
  <c r="S33" i="4"/>
  <c r="T33" i="4"/>
  <c r="U33" i="4"/>
  <c r="V33" i="4"/>
  <c r="W33" i="4"/>
  <c r="X33" i="4"/>
  <c r="Y33" i="4"/>
  <c r="Z33" i="4"/>
  <c r="AA33" i="4"/>
  <c r="P32" i="4"/>
  <c r="Q6" i="6" s="1"/>
  <c r="Q32" i="4"/>
  <c r="R32" i="4"/>
  <c r="S6" i="6" s="1"/>
  <c r="S32" i="4"/>
  <c r="T6" i="6" s="1"/>
  <c r="T32" i="4"/>
  <c r="U6" i="6" s="1"/>
  <c r="U32" i="4"/>
  <c r="V6" i="6" s="1"/>
  <c r="V32" i="4"/>
  <c r="W6" i="6" s="1"/>
  <c r="W32" i="4"/>
  <c r="X6" i="6" s="1"/>
  <c r="X32" i="4"/>
  <c r="Y6" i="6" s="1"/>
  <c r="Y32" i="4"/>
  <c r="Z32" i="4"/>
  <c r="AA6" i="6" s="1"/>
  <c r="AA32" i="4"/>
  <c r="AB6" i="6" s="1"/>
  <c r="T21" i="4"/>
  <c r="U21" i="4"/>
  <c r="V21" i="4"/>
  <c r="W21" i="4"/>
  <c r="X21" i="4"/>
  <c r="Y21" i="4"/>
  <c r="Z21" i="4"/>
  <c r="AA21" i="4"/>
  <c r="T17" i="4"/>
  <c r="U38" i="6" s="1"/>
  <c r="U17" i="4"/>
  <c r="V38" i="6" s="1"/>
  <c r="V17" i="4"/>
  <c r="W38" i="6" s="1"/>
  <c r="W17" i="4"/>
  <c r="X38" i="6" s="1"/>
  <c r="X17" i="4"/>
  <c r="Y38" i="6" s="1"/>
  <c r="Y17" i="4"/>
  <c r="Z38" i="6" s="1"/>
  <c r="Z17" i="4"/>
  <c r="AA38" i="6" s="1"/>
  <c r="AA17" i="4"/>
  <c r="AB38" i="6" s="1"/>
  <c r="T14" i="4"/>
  <c r="V52" i="5" s="1"/>
  <c r="U14" i="4"/>
  <c r="W52" i="5" s="1"/>
  <c r="V14" i="4"/>
  <c r="X52" i="5" s="1"/>
  <c r="W14" i="4"/>
  <c r="Y52" i="5" s="1"/>
  <c r="X14" i="4"/>
  <c r="Z52" i="5" s="1"/>
  <c r="Y14" i="4"/>
  <c r="AA52" i="5" s="1"/>
  <c r="Z14" i="4"/>
  <c r="AB52" i="5" s="1"/>
  <c r="AA14" i="4"/>
  <c r="AC52" i="5" s="1"/>
  <c r="T8" i="4"/>
  <c r="U8" i="4"/>
  <c r="V8" i="4"/>
  <c r="W8" i="4"/>
  <c r="X8" i="4"/>
  <c r="Y8" i="4"/>
  <c r="Z8" i="4"/>
  <c r="AA8" i="4"/>
  <c r="P4" i="4"/>
  <c r="S4" i="4"/>
  <c r="T4" i="4"/>
  <c r="U4" i="4"/>
  <c r="V4" i="4"/>
  <c r="W4" i="4"/>
  <c r="X4" i="4"/>
  <c r="Y4" i="4"/>
  <c r="Z4" i="4"/>
  <c r="AA4" i="4"/>
  <c r="B47" i="4"/>
  <c r="B45" i="4" s="1"/>
  <c r="O47" i="4"/>
  <c r="O45" i="4" s="1"/>
  <c r="P19" i="6" s="1"/>
  <c r="B38" i="4"/>
  <c r="O38" i="4"/>
  <c r="B35" i="4"/>
  <c r="O35" i="4"/>
  <c r="R4" i="4"/>
  <c r="O26" i="4"/>
  <c r="O21" i="4" s="1"/>
  <c r="B26" i="4"/>
  <c r="O13" i="4"/>
  <c r="B13" i="4"/>
  <c r="O12" i="4"/>
  <c r="P27" i="6" s="1"/>
  <c r="B12" i="4"/>
  <c r="B6" i="4"/>
  <c r="O6" i="4"/>
  <c r="O4" i="4" s="1"/>
  <c r="B49" i="4"/>
  <c r="B32" i="4"/>
  <c r="F31" i="26" s="1"/>
  <c r="B17" i="4"/>
  <c r="B4" i="4"/>
  <c r="B4" i="7"/>
  <c r="C4" i="7"/>
  <c r="D4" i="7"/>
  <c r="E4" i="7"/>
  <c r="F4" i="7"/>
  <c r="G4" i="7"/>
  <c r="H4" i="7"/>
  <c r="I4" i="7"/>
  <c r="J4" i="7"/>
  <c r="K4" i="7"/>
  <c r="L4" i="7"/>
  <c r="M4" i="7"/>
  <c r="N4" i="7"/>
  <c r="B7" i="7"/>
  <c r="C7" i="7"/>
  <c r="D7" i="7"/>
  <c r="E7" i="7"/>
  <c r="F7" i="7"/>
  <c r="G7" i="7"/>
  <c r="H7" i="7"/>
  <c r="I7" i="7"/>
  <c r="J7" i="7"/>
  <c r="K7" i="7"/>
  <c r="L7" i="7"/>
  <c r="M7" i="7"/>
  <c r="N7" i="7"/>
  <c r="B12" i="7"/>
  <c r="C12" i="7"/>
  <c r="D12" i="7"/>
  <c r="E12" i="7"/>
  <c r="F12" i="7"/>
  <c r="G12" i="7"/>
  <c r="H12" i="7"/>
  <c r="I12" i="7"/>
  <c r="J12" i="7"/>
  <c r="K12" i="7"/>
  <c r="L12" i="7"/>
  <c r="M12" i="7"/>
  <c r="N12" i="7"/>
  <c r="B20" i="7"/>
  <c r="C20" i="7"/>
  <c r="D20" i="7"/>
  <c r="E20" i="7"/>
  <c r="F20" i="7"/>
  <c r="G20" i="7"/>
  <c r="H20" i="7"/>
  <c r="I20" i="7"/>
  <c r="J20" i="7"/>
  <c r="K20" i="7"/>
  <c r="L20" i="7"/>
  <c r="M20" i="7"/>
  <c r="N20" i="7"/>
  <c r="B23" i="7"/>
  <c r="F47" i="26" s="1"/>
  <c r="C23" i="7"/>
  <c r="D23" i="7"/>
  <c r="E23" i="7"/>
  <c r="F23" i="7"/>
  <c r="G23" i="7"/>
  <c r="H23" i="7"/>
  <c r="I23" i="7"/>
  <c r="J23" i="7"/>
  <c r="K23" i="7"/>
  <c r="L23" i="7"/>
  <c r="M23" i="7"/>
  <c r="N23" i="7"/>
  <c r="B30" i="7"/>
  <c r="C30" i="7"/>
  <c r="D30" i="7"/>
  <c r="E30" i="7"/>
  <c r="F30" i="7"/>
  <c r="G30" i="7"/>
  <c r="H30" i="7"/>
  <c r="I30" i="7"/>
  <c r="J30" i="7"/>
  <c r="K30" i="7"/>
  <c r="L30" i="7"/>
  <c r="M30" i="7"/>
  <c r="N30" i="7"/>
  <c r="H69" i="20"/>
  <c r="E69" i="20"/>
  <c r="F69" i="20"/>
  <c r="C32" i="4"/>
  <c r="D6" i="6"/>
  <c r="D32" i="4"/>
  <c r="E32" i="4"/>
  <c r="F32" i="4"/>
  <c r="G6" i="6" s="1"/>
  <c r="G32" i="4"/>
  <c r="H6" i="6" s="1"/>
  <c r="H32" i="4"/>
  <c r="I32" i="4"/>
  <c r="J6" i="6"/>
  <c r="J32" i="4"/>
  <c r="K32" i="4"/>
  <c r="L32" i="4"/>
  <c r="M6" i="6" s="1"/>
  <c r="M32" i="4"/>
  <c r="N6" i="6" s="1"/>
  <c r="C33" i="4"/>
  <c r="D33" i="4"/>
  <c r="E33" i="4"/>
  <c r="E40" i="4" s="1"/>
  <c r="F33" i="4"/>
  <c r="G33" i="4"/>
  <c r="G40" i="4" s="1"/>
  <c r="H33" i="4"/>
  <c r="I33" i="4"/>
  <c r="J33" i="4"/>
  <c r="K33" i="4"/>
  <c r="L33" i="4"/>
  <c r="L40" i="4"/>
  <c r="M33" i="4"/>
  <c r="C45" i="4"/>
  <c r="D45" i="4"/>
  <c r="E45" i="4"/>
  <c r="F45" i="4"/>
  <c r="G45" i="4"/>
  <c r="H19" i="6"/>
  <c r="H45" i="4"/>
  <c r="I45" i="4"/>
  <c r="J45" i="4"/>
  <c r="K45" i="4"/>
  <c r="L45" i="4"/>
  <c r="M45" i="4"/>
  <c r="C49" i="4"/>
  <c r="D49" i="4"/>
  <c r="D55" i="4" s="1"/>
  <c r="E49" i="4"/>
  <c r="F49" i="4"/>
  <c r="G49" i="4"/>
  <c r="H49" i="4"/>
  <c r="I49" i="4"/>
  <c r="J49" i="4"/>
  <c r="K49" i="4"/>
  <c r="L49" i="4"/>
  <c r="L55" i="4" s="1"/>
  <c r="M49" i="4"/>
  <c r="C21" i="4"/>
  <c r="D21" i="4"/>
  <c r="E21" i="4"/>
  <c r="F21" i="4"/>
  <c r="G21" i="4"/>
  <c r="H21" i="4"/>
  <c r="I21" i="4"/>
  <c r="J21" i="4"/>
  <c r="K21" i="4"/>
  <c r="L21" i="4"/>
  <c r="M21" i="4"/>
  <c r="C17" i="4"/>
  <c r="D38" i="6"/>
  <c r="D17" i="4"/>
  <c r="E38" i="6" s="1"/>
  <c r="E17" i="4"/>
  <c r="F38" i="6" s="1"/>
  <c r="F17" i="4"/>
  <c r="G38" i="6"/>
  <c r="G17" i="4"/>
  <c r="H38" i="6"/>
  <c r="H17" i="4"/>
  <c r="I38" i="6" s="1"/>
  <c r="I17" i="4"/>
  <c r="J38" i="6" s="1"/>
  <c r="J17" i="4"/>
  <c r="K17" i="4"/>
  <c r="L17" i="4"/>
  <c r="M38" i="6" s="1"/>
  <c r="M17" i="4"/>
  <c r="N38" i="6" s="1"/>
  <c r="N17" i="4"/>
  <c r="C8" i="4"/>
  <c r="D8" i="4"/>
  <c r="E8" i="4"/>
  <c r="F8" i="4"/>
  <c r="G8" i="4"/>
  <c r="H8" i="4"/>
  <c r="I8" i="4"/>
  <c r="J8" i="4"/>
  <c r="K8" i="4"/>
  <c r="L8" i="4"/>
  <c r="M8" i="4"/>
  <c r="C14" i="4"/>
  <c r="E52" i="5" s="1"/>
  <c r="D14" i="4"/>
  <c r="F52" i="5"/>
  <c r="E14" i="4"/>
  <c r="G52" i="5"/>
  <c r="F14" i="4"/>
  <c r="G14" i="4"/>
  <c r="I52" i="5"/>
  <c r="H14" i="4"/>
  <c r="J52" i="5" s="1"/>
  <c r="I14" i="4"/>
  <c r="J14" i="4"/>
  <c r="L52" i="5" s="1"/>
  <c r="K14" i="4"/>
  <c r="M52" i="5"/>
  <c r="L14" i="4"/>
  <c r="M14" i="4"/>
  <c r="O52" i="5" s="1"/>
  <c r="C4" i="4"/>
  <c r="E47" i="5" s="1"/>
  <c r="G15" i="9" s="1"/>
  <c r="D4" i="4"/>
  <c r="F48" i="5" s="1"/>
  <c r="H16" i="9" s="1"/>
  <c r="E4" i="4"/>
  <c r="F4" i="4"/>
  <c r="G4" i="4"/>
  <c r="I48" i="5"/>
  <c r="K16" i="9" s="1"/>
  <c r="H4" i="4"/>
  <c r="J47" i="5" s="1"/>
  <c r="L15" i="9" s="1"/>
  <c r="I4" i="4"/>
  <c r="J4" i="4"/>
  <c r="K36" i="6" s="1"/>
  <c r="K4" i="4"/>
  <c r="L36" i="6" s="1"/>
  <c r="L4" i="4"/>
  <c r="M4" i="4"/>
  <c r="N4" i="4"/>
  <c r="O36" i="6" s="1"/>
  <c r="P47" i="5"/>
  <c r="R15" i="9" s="1"/>
  <c r="F12" i="9"/>
  <c r="D7" i="6"/>
  <c r="E7" i="6"/>
  <c r="F7" i="6"/>
  <c r="G33" i="5" s="1"/>
  <c r="G7" i="6"/>
  <c r="H7" i="6"/>
  <c r="I33" i="5" s="1"/>
  <c r="I7" i="6"/>
  <c r="J7" i="6"/>
  <c r="K7" i="6"/>
  <c r="L7" i="6"/>
  <c r="M7" i="6"/>
  <c r="N7" i="6"/>
  <c r="O7" i="6"/>
  <c r="P7" i="6"/>
  <c r="D8" i="6"/>
  <c r="E8" i="6"/>
  <c r="F8" i="6"/>
  <c r="G8" i="6"/>
  <c r="H8" i="6"/>
  <c r="I8" i="6"/>
  <c r="J8" i="6"/>
  <c r="K8" i="6"/>
  <c r="L8" i="6"/>
  <c r="M8" i="6"/>
  <c r="N8" i="6"/>
  <c r="O8" i="6"/>
  <c r="P8" i="6"/>
  <c r="R32" i="5" s="1"/>
  <c r="D9" i="6"/>
  <c r="E9" i="6"/>
  <c r="F9" i="6"/>
  <c r="G9" i="6"/>
  <c r="H9" i="6"/>
  <c r="I9" i="6"/>
  <c r="J9" i="6"/>
  <c r="K9" i="6"/>
  <c r="L9" i="6"/>
  <c r="M9" i="6"/>
  <c r="N9" i="6"/>
  <c r="O9" i="6"/>
  <c r="P9" i="6"/>
  <c r="R42" i="5" s="1"/>
  <c r="D10" i="6"/>
  <c r="E10" i="6"/>
  <c r="F10" i="6"/>
  <c r="G10" i="6"/>
  <c r="H10" i="6"/>
  <c r="I10" i="6"/>
  <c r="J10" i="6"/>
  <c r="K10" i="6"/>
  <c r="L10" i="6"/>
  <c r="M10" i="6"/>
  <c r="N10" i="6"/>
  <c r="O10" i="6"/>
  <c r="D18" i="6"/>
  <c r="E18" i="6"/>
  <c r="F18" i="6"/>
  <c r="G18" i="6"/>
  <c r="H18" i="6"/>
  <c r="I18" i="6"/>
  <c r="J18" i="6"/>
  <c r="K18" i="6"/>
  <c r="L18" i="6"/>
  <c r="M18" i="6"/>
  <c r="N18" i="6"/>
  <c r="O18" i="6"/>
  <c r="P18" i="6"/>
  <c r="R41" i="5" s="1"/>
  <c r="G19" i="6"/>
  <c r="J19" i="6"/>
  <c r="N19" i="6"/>
  <c r="D20" i="6"/>
  <c r="E20" i="6"/>
  <c r="F20" i="6"/>
  <c r="G20" i="6"/>
  <c r="H20" i="6"/>
  <c r="I20" i="6"/>
  <c r="J20" i="6"/>
  <c r="K20" i="6"/>
  <c r="L20" i="6"/>
  <c r="M20" i="6"/>
  <c r="N20" i="6"/>
  <c r="O20" i="6"/>
  <c r="P20" i="6"/>
  <c r="D21" i="6"/>
  <c r="E21" i="6"/>
  <c r="F21" i="6"/>
  <c r="G21" i="6"/>
  <c r="H21" i="6"/>
  <c r="I21" i="6"/>
  <c r="J21" i="6"/>
  <c r="K21" i="6"/>
  <c r="L21" i="6"/>
  <c r="M21" i="6"/>
  <c r="N21" i="6"/>
  <c r="O21" i="6"/>
  <c r="P21" i="6"/>
  <c r="D23" i="6"/>
  <c r="E23" i="6"/>
  <c r="F23" i="6"/>
  <c r="G23" i="6"/>
  <c r="H23" i="6"/>
  <c r="I23" i="6"/>
  <c r="J23" i="6"/>
  <c r="K23" i="6"/>
  <c r="L23" i="6"/>
  <c r="M23" i="6"/>
  <c r="N23" i="6"/>
  <c r="O23" i="6"/>
  <c r="P23" i="6"/>
  <c r="D27" i="6"/>
  <c r="E27" i="6"/>
  <c r="F27" i="6"/>
  <c r="G27" i="6"/>
  <c r="H27" i="6"/>
  <c r="I27" i="6"/>
  <c r="J27" i="6"/>
  <c r="K27" i="6"/>
  <c r="L27" i="6"/>
  <c r="M27" i="6"/>
  <c r="N27" i="6"/>
  <c r="O27" i="6"/>
  <c r="D28" i="6"/>
  <c r="E28" i="6"/>
  <c r="F28" i="6"/>
  <c r="G28" i="6"/>
  <c r="H28" i="6"/>
  <c r="I28" i="6"/>
  <c r="J28" i="6"/>
  <c r="K28" i="6"/>
  <c r="L28" i="6"/>
  <c r="M28" i="6"/>
  <c r="N28" i="6"/>
  <c r="O28" i="6"/>
  <c r="P28" i="6"/>
  <c r="D29" i="6"/>
  <c r="E29" i="6"/>
  <c r="F29" i="6"/>
  <c r="G29" i="6"/>
  <c r="H29" i="6"/>
  <c r="I29" i="6"/>
  <c r="J29" i="6"/>
  <c r="K29" i="6"/>
  <c r="K26" i="6" s="1"/>
  <c r="L29" i="6"/>
  <c r="M29" i="6"/>
  <c r="N29" i="6"/>
  <c r="O29" i="6"/>
  <c r="P29" i="6"/>
  <c r="D32" i="6"/>
  <c r="E32" i="6"/>
  <c r="F32" i="6"/>
  <c r="G32" i="6"/>
  <c r="H32" i="6"/>
  <c r="I32" i="6"/>
  <c r="J32" i="6"/>
  <c r="K32" i="6"/>
  <c r="L32" i="6"/>
  <c r="M32" i="6"/>
  <c r="N32" i="6"/>
  <c r="O32" i="6"/>
  <c r="P32" i="6"/>
  <c r="D33" i="6"/>
  <c r="E33" i="6"/>
  <c r="F33" i="6"/>
  <c r="G33" i="6"/>
  <c r="H33" i="6"/>
  <c r="I33" i="6"/>
  <c r="I31" i="6" s="1"/>
  <c r="J33" i="6"/>
  <c r="K33" i="6"/>
  <c r="K31" i="6" s="1"/>
  <c r="L33" i="6"/>
  <c r="M33" i="6"/>
  <c r="N33" i="6"/>
  <c r="O33" i="6"/>
  <c r="P33" i="6"/>
  <c r="D34" i="6"/>
  <c r="E34" i="6"/>
  <c r="F34" i="6"/>
  <c r="G34" i="6"/>
  <c r="H34" i="6"/>
  <c r="I34" i="6"/>
  <c r="J34" i="6"/>
  <c r="K34" i="6"/>
  <c r="L34" i="6"/>
  <c r="M34" i="6"/>
  <c r="N34" i="6"/>
  <c r="O34" i="6"/>
  <c r="P34" i="6"/>
  <c r="D35" i="6"/>
  <c r="E35" i="6"/>
  <c r="F35" i="6"/>
  <c r="G35" i="6"/>
  <c r="H35" i="6"/>
  <c r="I35" i="6"/>
  <c r="J35" i="6"/>
  <c r="K35" i="6"/>
  <c r="L35" i="6"/>
  <c r="M35" i="6"/>
  <c r="N35" i="6"/>
  <c r="O35" i="6"/>
  <c r="P35" i="6"/>
  <c r="F36" i="6"/>
  <c r="I36" i="6"/>
  <c r="J36" i="6"/>
  <c r="K38" i="6"/>
  <c r="D39" i="6"/>
  <c r="E39" i="6"/>
  <c r="F39" i="6"/>
  <c r="G39" i="6"/>
  <c r="H39" i="6"/>
  <c r="I39" i="6"/>
  <c r="J39" i="6"/>
  <c r="K39" i="6"/>
  <c r="L39" i="6"/>
  <c r="M39" i="6"/>
  <c r="N39" i="6"/>
  <c r="O39" i="6"/>
  <c r="P39" i="6"/>
  <c r="D42" i="6"/>
  <c r="E42" i="6"/>
  <c r="F42" i="6"/>
  <c r="G42" i="6"/>
  <c r="H42" i="6"/>
  <c r="I42" i="6"/>
  <c r="J42" i="6"/>
  <c r="K42" i="6"/>
  <c r="L42" i="6"/>
  <c r="M42" i="6"/>
  <c r="N42" i="6"/>
  <c r="O42" i="6"/>
  <c r="P42" i="6"/>
  <c r="D43" i="6"/>
  <c r="E43" i="6"/>
  <c r="F43" i="6"/>
  <c r="G43" i="6"/>
  <c r="H43" i="6"/>
  <c r="I43" i="6"/>
  <c r="J43" i="6"/>
  <c r="K43" i="6"/>
  <c r="L43" i="6"/>
  <c r="M43" i="6"/>
  <c r="N43" i="6"/>
  <c r="O43" i="6"/>
  <c r="P43" i="6"/>
  <c r="D44" i="6"/>
  <c r="E44" i="6"/>
  <c r="F44" i="6"/>
  <c r="G44" i="6"/>
  <c r="H44" i="6"/>
  <c r="I44" i="6"/>
  <c r="J44" i="6"/>
  <c r="K44" i="6"/>
  <c r="L44" i="6"/>
  <c r="M44" i="6"/>
  <c r="N44" i="6"/>
  <c r="O44" i="6"/>
  <c r="P44" i="6"/>
  <c r="D48" i="6"/>
  <c r="E48" i="6"/>
  <c r="F48" i="6"/>
  <c r="G48" i="6"/>
  <c r="H48" i="6"/>
  <c r="I48" i="6"/>
  <c r="J48" i="6"/>
  <c r="K48" i="6"/>
  <c r="L48" i="6"/>
  <c r="M48" i="6"/>
  <c r="N48" i="6"/>
  <c r="O48" i="6"/>
  <c r="P48" i="6"/>
  <c r="D49" i="6"/>
  <c r="E49" i="6"/>
  <c r="F49" i="6"/>
  <c r="G49" i="6"/>
  <c r="H49" i="6"/>
  <c r="I49" i="6"/>
  <c r="J41" i="5" s="1"/>
  <c r="J49" i="6"/>
  <c r="K49" i="6"/>
  <c r="L49" i="6"/>
  <c r="M49" i="6"/>
  <c r="N49" i="6"/>
  <c r="O49" i="6"/>
  <c r="P49" i="6"/>
  <c r="D50" i="6"/>
  <c r="E50" i="6"/>
  <c r="F50" i="6"/>
  <c r="G50" i="6"/>
  <c r="H50" i="6"/>
  <c r="I42" i="5" s="1"/>
  <c r="I50" i="6"/>
  <c r="J50" i="6"/>
  <c r="K50" i="6"/>
  <c r="L50" i="6"/>
  <c r="M50" i="6"/>
  <c r="N50" i="6"/>
  <c r="O50" i="6"/>
  <c r="P50" i="6"/>
  <c r="Q42" i="5" s="1"/>
  <c r="D51" i="6"/>
  <c r="E51" i="6"/>
  <c r="F51" i="6"/>
  <c r="G51" i="6"/>
  <c r="H51" i="6"/>
  <c r="I51" i="6"/>
  <c r="J51" i="6"/>
  <c r="K51" i="6"/>
  <c r="L51" i="6"/>
  <c r="M51" i="6"/>
  <c r="N51" i="6"/>
  <c r="O51" i="6"/>
  <c r="P51" i="6"/>
  <c r="D52" i="6"/>
  <c r="E52" i="6"/>
  <c r="F52" i="6"/>
  <c r="G52" i="6"/>
  <c r="H52" i="6"/>
  <c r="I52" i="6"/>
  <c r="J52" i="6"/>
  <c r="K52" i="6"/>
  <c r="L52" i="6"/>
  <c r="M52" i="6"/>
  <c r="N52" i="6"/>
  <c r="O52" i="6"/>
  <c r="P52" i="6"/>
  <c r="D53" i="6"/>
  <c r="E53" i="6"/>
  <c r="F53" i="6"/>
  <c r="G53" i="6"/>
  <c r="H53" i="6"/>
  <c r="I53" i="6"/>
  <c r="J53" i="6"/>
  <c r="K53" i="6"/>
  <c r="L53" i="6"/>
  <c r="M53" i="6"/>
  <c r="N53" i="6"/>
  <c r="O53" i="6"/>
  <c r="P53" i="6"/>
  <c r="H32" i="5"/>
  <c r="G47" i="5"/>
  <c r="I15" i="9" s="1"/>
  <c r="I47" i="5"/>
  <c r="K15" i="9" s="1"/>
  <c r="K47" i="5"/>
  <c r="M15" i="9" s="1"/>
  <c r="L47" i="5"/>
  <c r="N15" i="9" s="1"/>
  <c r="J48" i="5"/>
  <c r="L16" i="9" s="1"/>
  <c r="K52" i="5"/>
  <c r="O32" i="4"/>
  <c r="O23" i="7"/>
  <c r="O30" i="7"/>
  <c r="O4" i="7"/>
  <c r="O7" i="7"/>
  <c r="O20" i="7"/>
  <c r="O12" i="7"/>
  <c r="N8" i="4"/>
  <c r="N14" i="4"/>
  <c r="P52" i="5"/>
  <c r="O14" i="4"/>
  <c r="Q52" i="5" s="1"/>
  <c r="N49" i="4"/>
  <c r="O49" i="4"/>
  <c r="N45" i="4"/>
  <c r="O19" i="6"/>
  <c r="N33" i="4"/>
  <c r="N32" i="4"/>
  <c r="N21" i="4"/>
  <c r="O38" i="6"/>
  <c r="O17" i="4"/>
  <c r="C8" i="6"/>
  <c r="F35" i="26"/>
  <c r="C52" i="6"/>
  <c r="F48" i="26"/>
  <c r="F43" i="26"/>
  <c r="F42" i="26"/>
  <c r="C7" i="6"/>
  <c r="E33" i="5" s="1"/>
  <c r="C9" i="6"/>
  <c r="C18" i="6"/>
  <c r="C20" i="6"/>
  <c r="C21" i="6"/>
  <c r="C23" i="6"/>
  <c r="C29" i="6"/>
  <c r="C33" i="6"/>
  <c r="C34" i="6"/>
  <c r="C35" i="6"/>
  <c r="C39" i="6"/>
  <c r="F37" i="26"/>
  <c r="C42" i="6"/>
  <c r="C43" i="6"/>
  <c r="C44" i="6"/>
  <c r="C49" i="6"/>
  <c r="C50" i="6"/>
  <c r="C51" i="6"/>
  <c r="G27" i="26"/>
  <c r="E27" i="26"/>
  <c r="D27" i="26"/>
  <c r="C27" i="26"/>
  <c r="G26" i="26"/>
  <c r="E26" i="26"/>
  <c r="D26" i="26"/>
  <c r="C26" i="26"/>
  <c r="G25" i="26"/>
  <c r="E25" i="26"/>
  <c r="D25" i="26"/>
  <c r="C25" i="26"/>
  <c r="G24" i="26"/>
  <c r="E24" i="26"/>
  <c r="D24" i="26"/>
  <c r="C24" i="26"/>
  <c r="G22" i="26"/>
  <c r="E22" i="26"/>
  <c r="D22" i="26"/>
  <c r="C22" i="26"/>
  <c r="G21" i="26"/>
  <c r="E21" i="26"/>
  <c r="D21" i="26"/>
  <c r="C21" i="26"/>
  <c r="G20" i="26"/>
  <c r="E20" i="26"/>
  <c r="D20" i="26"/>
  <c r="C20" i="26"/>
  <c r="G18" i="26"/>
  <c r="E18" i="26"/>
  <c r="D18" i="26"/>
  <c r="C18" i="26"/>
  <c r="G17" i="26"/>
  <c r="E17" i="26"/>
  <c r="D17" i="26"/>
  <c r="C17" i="26"/>
  <c r="G16" i="26"/>
  <c r="E16" i="26"/>
  <c r="D16" i="26"/>
  <c r="C16" i="26"/>
  <c r="G15" i="26"/>
  <c r="E15" i="26"/>
  <c r="D15" i="26"/>
  <c r="C15" i="26"/>
  <c r="G13" i="26"/>
  <c r="E13" i="26"/>
  <c r="D13" i="26"/>
  <c r="C13" i="26"/>
  <c r="G12" i="26"/>
  <c r="E12" i="26"/>
  <c r="D12" i="26"/>
  <c r="C12" i="26"/>
  <c r="G11" i="26"/>
  <c r="E11" i="26"/>
  <c r="D11" i="26"/>
  <c r="C11" i="26"/>
  <c r="G10" i="26"/>
  <c r="E10" i="26"/>
  <c r="D10" i="26"/>
  <c r="C10" i="26"/>
  <c r="G8" i="26"/>
  <c r="E8" i="26"/>
  <c r="D8" i="26"/>
  <c r="C8" i="26"/>
  <c r="G7" i="26"/>
  <c r="E7" i="26"/>
  <c r="D7" i="26"/>
  <c r="C7" i="26"/>
  <c r="G6" i="26"/>
  <c r="E6" i="26"/>
  <c r="D6" i="26"/>
  <c r="C6" i="26"/>
  <c r="F35" i="25"/>
  <c r="F38" i="25"/>
  <c r="F32" i="25"/>
  <c r="F46" i="25"/>
  <c r="F42" i="25"/>
  <c r="F79" i="20"/>
  <c r="F76" i="20"/>
  <c r="E76" i="20"/>
  <c r="E77" i="20"/>
  <c r="H75" i="20"/>
  <c r="H74" i="20"/>
  <c r="H73" i="20"/>
  <c r="H72" i="20"/>
  <c r="H71" i="20"/>
  <c r="F77" i="20"/>
  <c r="F80" i="20" s="1"/>
  <c r="F37" i="25"/>
  <c r="F53" i="20"/>
  <c r="F50" i="20"/>
  <c r="E50" i="20"/>
  <c r="E51" i="20"/>
  <c r="H49" i="20"/>
  <c r="H48" i="20"/>
  <c r="H47" i="20"/>
  <c r="H46" i="20"/>
  <c r="H45" i="20"/>
  <c r="F51" i="20"/>
  <c r="N26" i="20"/>
  <c r="N23" i="20"/>
  <c r="M23" i="20"/>
  <c r="P22" i="20"/>
  <c r="P21" i="20"/>
  <c r="P20" i="20"/>
  <c r="P19" i="20"/>
  <c r="P18" i="20"/>
  <c r="N16" i="20"/>
  <c r="N24" i="20"/>
  <c r="N27" i="20"/>
  <c r="M16" i="20"/>
  <c r="P16" i="20"/>
  <c r="F26" i="20"/>
  <c r="F23" i="20"/>
  <c r="E23" i="20"/>
  <c r="E24" i="20"/>
  <c r="C8" i="8"/>
  <c r="J11" i="8"/>
  <c r="M14" i="8"/>
  <c r="N14" i="8"/>
  <c r="F14" i="8"/>
  <c r="K14" i="8"/>
  <c r="L14" i="8"/>
  <c r="J14" i="8"/>
  <c r="I14" i="8"/>
  <c r="B14" i="8"/>
  <c r="C14" i="8"/>
  <c r="D14" i="8"/>
  <c r="E14" i="8"/>
  <c r="G14" i="8"/>
  <c r="H14" i="8"/>
  <c r="G13" i="8"/>
  <c r="E4" i="9"/>
  <c r="F24" i="20"/>
  <c r="F27" i="20"/>
  <c r="H23" i="20"/>
  <c r="H24" i="20"/>
  <c r="C32" i="6"/>
  <c r="F36" i="25"/>
  <c r="F32" i="26"/>
  <c r="F54" i="20"/>
  <c r="F8" i="8"/>
  <c r="N32" i="5"/>
  <c r="F32" i="5"/>
  <c r="D31" i="6"/>
  <c r="F47" i="25"/>
  <c r="F48" i="25"/>
  <c r="F46" i="26"/>
  <c r="C53" i="6"/>
  <c r="C48" i="6"/>
  <c r="N8" i="8"/>
  <c r="F31" i="25"/>
  <c r="C6" i="6"/>
  <c r="F40" i="25"/>
  <c r="F39" i="25"/>
  <c r="E13" i="9"/>
  <c r="C27" i="6"/>
  <c r="N55" i="4"/>
  <c r="J8" i="8"/>
  <c r="D8" i="8"/>
  <c r="K8" i="8"/>
  <c r="F43" i="25"/>
  <c r="F49" i="25"/>
  <c r="F44" i="25"/>
  <c r="E8" i="8"/>
  <c r="F45" i="25"/>
  <c r="M10" i="8"/>
  <c r="B10" i="8"/>
  <c r="H76" i="20"/>
  <c r="H77" i="20"/>
  <c r="F41" i="25"/>
  <c r="L26" i="6"/>
  <c r="K33" i="5"/>
  <c r="C40" i="4"/>
  <c r="J40" i="4"/>
  <c r="L8" i="8"/>
  <c r="G31" i="6"/>
  <c r="H41" i="6"/>
  <c r="J31" i="6"/>
  <c r="G55" i="4"/>
  <c r="G56" i="4" s="1"/>
  <c r="M40" i="4"/>
  <c r="I40" i="4"/>
  <c r="F20" i="25"/>
  <c r="M31" i="6"/>
  <c r="H13" i="8"/>
  <c r="D7" i="9"/>
  <c r="D4" i="9"/>
  <c r="E11" i="9"/>
  <c r="D13" i="9"/>
  <c r="F4" i="9"/>
  <c r="F7" i="9"/>
  <c r="F22" i="9"/>
  <c r="F23" i="9"/>
  <c r="F25" i="25"/>
  <c r="F29" i="25"/>
  <c r="F22" i="25" s="1"/>
  <c r="F16" i="9"/>
  <c r="F15" i="9"/>
  <c r="D11" i="9"/>
  <c r="D15" i="9"/>
  <c r="D16" i="9"/>
  <c r="E32" i="5"/>
  <c r="E15" i="9"/>
  <c r="E16" i="9"/>
  <c r="O6" i="6"/>
  <c r="N40" i="4"/>
  <c r="N56" i="4" s="1"/>
  <c r="O26" i="6"/>
  <c r="I26" i="6"/>
  <c r="M19" i="6"/>
  <c r="I19" i="6"/>
  <c r="I17" i="6" s="1"/>
  <c r="I14" i="6" s="1"/>
  <c r="J20" i="5" s="1"/>
  <c r="L23" i="9" s="1"/>
  <c r="E19" i="6"/>
  <c r="F40" i="4"/>
  <c r="P41" i="6"/>
  <c r="N26" i="6"/>
  <c r="D27" i="4"/>
  <c r="E5" i="6" s="1"/>
  <c r="F25" i="5" s="1"/>
  <c r="G27" i="4"/>
  <c r="H36" i="6"/>
  <c r="C27" i="4"/>
  <c r="D36" i="6"/>
  <c r="O31" i="6"/>
  <c r="I31" i="5"/>
  <c r="L48" i="5"/>
  <c r="N16" i="9" s="1"/>
  <c r="K6" i="6"/>
  <c r="L31" i="5" s="1"/>
  <c r="P31" i="5"/>
  <c r="P48" i="5"/>
  <c r="R16" i="9" s="1"/>
  <c r="F40" i="26"/>
  <c r="C36" i="6"/>
  <c r="N13" i="8"/>
  <c r="H5" i="6"/>
  <c r="F26" i="25"/>
  <c r="F21" i="25"/>
  <c r="N9" i="8"/>
  <c r="F11" i="9"/>
  <c r="F13" i="9"/>
  <c r="F17" i="9"/>
  <c r="F6" i="9"/>
  <c r="F5" i="9"/>
  <c r="F21" i="9"/>
  <c r="F20" i="9"/>
  <c r="J55" i="4"/>
  <c r="K19" i="6"/>
  <c r="F19" i="6"/>
  <c r="F17" i="6" s="1"/>
  <c r="F14" i="6" s="1"/>
  <c r="O55" i="4"/>
  <c r="C41" i="6"/>
  <c r="J9" i="8"/>
  <c r="G26" i="6"/>
  <c r="H19" i="5" s="1"/>
  <c r="J22" i="9" s="1"/>
  <c r="G9" i="8"/>
  <c r="C31" i="6"/>
  <c r="E34" i="5" s="1"/>
  <c r="O8" i="4"/>
  <c r="O27" i="4" s="1"/>
  <c r="Q57" i="5" s="1"/>
  <c r="S13" i="9" s="1"/>
  <c r="E31" i="5"/>
  <c r="J3" i="8"/>
  <c r="F13" i="8"/>
  <c r="L6" i="6"/>
  <c r="K40" i="4"/>
  <c r="M6" i="8"/>
  <c r="L19" i="6"/>
  <c r="L17" i="6"/>
  <c r="L14" i="6" s="1"/>
  <c r="L15" i="6" s="1"/>
  <c r="K55" i="4"/>
  <c r="J4" i="8"/>
  <c r="F47" i="5"/>
  <c r="H15" i="9" s="1"/>
  <c r="E36" i="6"/>
  <c r="I13" i="8"/>
  <c r="C9" i="8"/>
  <c r="I32" i="5"/>
  <c r="J32" i="5"/>
  <c r="N33" i="5"/>
  <c r="F33" i="5"/>
  <c r="M47" i="5"/>
  <c r="O15" i="9" s="1"/>
  <c r="M48" i="5"/>
  <c r="O16" i="9" s="1"/>
  <c r="F9" i="8"/>
  <c r="F15" i="26"/>
  <c r="J41" i="6"/>
  <c r="O31" i="5"/>
  <c r="E55" i="4"/>
  <c r="F27" i="25"/>
  <c r="M3" i="8"/>
  <c r="D6" i="9"/>
  <c r="B8" i="8"/>
  <c r="D17" i="9"/>
  <c r="D5" i="9"/>
  <c r="D20" i="9"/>
  <c r="D21" i="9"/>
  <c r="D18" i="9"/>
  <c r="I14" i="5"/>
  <c r="K20" i="9" s="1"/>
  <c r="G8" i="8"/>
  <c r="F33" i="25"/>
  <c r="F6" i="25" s="1"/>
  <c r="F7" i="25" s="1"/>
  <c r="C19" i="6"/>
  <c r="C17" i="6"/>
  <c r="C14" i="6" s="1"/>
  <c r="C15" i="6" s="1"/>
  <c r="F34" i="26" s="1"/>
  <c r="D12" i="9"/>
  <c r="Q32" i="5"/>
  <c r="P32" i="5"/>
  <c r="H50" i="20"/>
  <c r="H51" i="20"/>
  <c r="M24" i="20"/>
  <c r="H55" i="4"/>
  <c r="H40" i="4"/>
  <c r="I6" i="6"/>
  <c r="E12" i="9"/>
  <c r="O47" i="5"/>
  <c r="Q15" i="9" s="1"/>
  <c r="P23" i="20"/>
  <c r="P24" i="20"/>
  <c r="N47" i="5"/>
  <c r="P15" i="9" s="1"/>
  <c r="M36" i="6"/>
  <c r="N48" i="5"/>
  <c r="P16" i="9" s="1"/>
  <c r="D40" i="4"/>
  <c r="D56" i="4" s="1"/>
  <c r="E6" i="6"/>
  <c r="F31" i="5" s="1"/>
  <c r="P36" i="6"/>
  <c r="K48" i="5"/>
  <c r="M16" i="9" s="1"/>
  <c r="H4" i="8"/>
  <c r="K3" i="8"/>
  <c r="H6" i="8"/>
  <c r="M8" i="5"/>
  <c r="O7" i="9" s="1"/>
  <c r="M5" i="8"/>
  <c r="K56" i="4"/>
  <c r="J12" i="8"/>
  <c r="N31" i="5"/>
  <c r="M31" i="5"/>
  <c r="E18" i="9"/>
  <c r="E21" i="9"/>
  <c r="E20" i="9"/>
  <c r="E5" i="9"/>
  <c r="E17" i="9"/>
  <c r="F50" i="25"/>
  <c r="H56" i="4"/>
  <c r="D13" i="8"/>
  <c r="AK17" i="9" l="1"/>
  <c r="AK21" i="9"/>
  <c r="AK20" i="9"/>
  <c r="AK6" i="9"/>
  <c r="AK5" i="9"/>
  <c r="J56" i="4"/>
  <c r="M19" i="5"/>
  <c r="O22" i="9" s="1"/>
  <c r="F12" i="25"/>
  <c r="F10" i="26"/>
  <c r="N41" i="6"/>
  <c r="L41" i="6"/>
  <c r="F41" i="6"/>
  <c r="D41" i="6"/>
  <c r="E36" i="5" s="1"/>
  <c r="I41" i="6"/>
  <c r="K36" i="5" s="1"/>
  <c r="P31" i="6"/>
  <c r="I53" i="5"/>
  <c r="J26" i="6"/>
  <c r="F26" i="6"/>
  <c r="D26" i="6"/>
  <c r="E19" i="5" s="1"/>
  <c r="G22" i="9" s="1"/>
  <c r="N17" i="6"/>
  <c r="N14" i="6" s="1"/>
  <c r="O8" i="5" s="1"/>
  <c r="Q7" i="9" s="1"/>
  <c r="O32" i="5"/>
  <c r="Q33" i="5"/>
  <c r="R33" i="5"/>
  <c r="P33" i="5"/>
  <c r="H27" i="4"/>
  <c r="I5" i="6" s="1"/>
  <c r="F14" i="5"/>
  <c r="H20" i="9" s="1"/>
  <c r="I27" i="4"/>
  <c r="J5" i="6" s="1"/>
  <c r="M55" i="4"/>
  <c r="M56" i="4" s="1"/>
  <c r="L56" i="4"/>
  <c r="E56" i="4"/>
  <c r="F25" i="26"/>
  <c r="R27" i="4"/>
  <c r="T47" i="5"/>
  <c r="V15" i="9" s="1"/>
  <c r="T48" i="5"/>
  <c r="V16" i="9" s="1"/>
  <c r="S36" i="6"/>
  <c r="C10" i="6"/>
  <c r="AC47" i="5"/>
  <c r="AC48" i="5"/>
  <c r="AB36" i="6"/>
  <c r="AB47" i="5"/>
  <c r="AB48" i="5"/>
  <c r="AA36" i="6"/>
  <c r="AA47" i="5"/>
  <c r="AC15" i="9" s="1"/>
  <c r="AA48" i="5"/>
  <c r="AC16" i="9" s="1"/>
  <c r="Z36" i="6"/>
  <c r="Z47" i="5"/>
  <c r="AB15" i="9" s="1"/>
  <c r="Z48" i="5"/>
  <c r="AB16" i="9" s="1"/>
  <c r="Y36" i="6"/>
  <c r="Y47" i="5"/>
  <c r="AA15" i="9" s="1"/>
  <c r="Y48" i="5"/>
  <c r="AA16" i="9" s="1"/>
  <c r="X36" i="6"/>
  <c r="X47" i="5"/>
  <c r="Z15" i="9" s="1"/>
  <c r="X48" i="5"/>
  <c r="Z16" i="9" s="1"/>
  <c r="W36" i="6"/>
  <c r="W47" i="5"/>
  <c r="Y15" i="9" s="1"/>
  <c r="W48" i="5"/>
  <c r="Y16" i="9" s="1"/>
  <c r="V36" i="6"/>
  <c r="T27" i="4"/>
  <c r="V47" i="5"/>
  <c r="X15" i="9" s="1"/>
  <c r="V48" i="5"/>
  <c r="X16" i="9" s="1"/>
  <c r="U36" i="6"/>
  <c r="S27" i="4"/>
  <c r="U47" i="5"/>
  <c r="W15" i="9" s="1"/>
  <c r="U48" i="5"/>
  <c r="W16" i="9" s="1"/>
  <c r="T36" i="6"/>
  <c r="R47" i="5"/>
  <c r="T15" i="9" s="1"/>
  <c r="R48" i="5"/>
  <c r="T16" i="9" s="1"/>
  <c r="Q36" i="6"/>
  <c r="P27" i="4"/>
  <c r="AC31" i="5"/>
  <c r="AC40" i="5"/>
  <c r="Y40" i="4"/>
  <c r="Z6" i="6"/>
  <c r="Z31" i="5"/>
  <c r="Z40" i="5"/>
  <c r="Y31" i="5"/>
  <c r="Y40" i="5"/>
  <c r="X31" i="5"/>
  <c r="X40" i="5"/>
  <c r="X19" i="5"/>
  <c r="Z22" i="9" s="1"/>
  <c r="W31" i="5"/>
  <c r="W40" i="5"/>
  <c r="V31" i="5"/>
  <c r="V40" i="5"/>
  <c r="U31" i="5"/>
  <c r="U40" i="5"/>
  <c r="Q40" i="4"/>
  <c r="R6" i="6"/>
  <c r="S48" i="5"/>
  <c r="U16" i="9" s="1"/>
  <c r="AB15" i="6"/>
  <c r="AC6" i="5"/>
  <c r="AC8" i="5"/>
  <c r="AC35" i="5"/>
  <c r="AA15" i="6"/>
  <c r="AB6" i="5"/>
  <c r="AD4" i="9" s="1"/>
  <c r="AB8" i="5"/>
  <c r="AB35" i="5"/>
  <c r="Z15" i="6"/>
  <c r="AA6" i="5"/>
  <c r="AC4" i="9" s="1"/>
  <c r="AA8" i="5"/>
  <c r="AC7" i="9" s="1"/>
  <c r="AA35" i="5"/>
  <c r="Y15" i="6"/>
  <c r="Z6" i="5"/>
  <c r="AB4" i="9" s="1"/>
  <c r="Z8" i="5"/>
  <c r="AB7" i="9" s="1"/>
  <c r="Z35" i="5"/>
  <c r="X15" i="6"/>
  <c r="Y6" i="5"/>
  <c r="AA4" i="9" s="1"/>
  <c r="Y8" i="5"/>
  <c r="AA7" i="9" s="1"/>
  <c r="Y35" i="5"/>
  <c r="W15" i="6"/>
  <c r="X6" i="5"/>
  <c r="Z4" i="9" s="1"/>
  <c r="X8" i="5"/>
  <c r="Z7" i="9" s="1"/>
  <c r="X35" i="5"/>
  <c r="X20" i="5"/>
  <c r="Z23" i="9" s="1"/>
  <c r="V15" i="6"/>
  <c r="W6" i="5"/>
  <c r="Y4" i="9" s="1"/>
  <c r="W8" i="5"/>
  <c r="Y7" i="9" s="1"/>
  <c r="W35" i="5"/>
  <c r="U15" i="6"/>
  <c r="V6" i="5"/>
  <c r="X4" i="9" s="1"/>
  <c r="V8" i="5"/>
  <c r="X7" i="9" s="1"/>
  <c r="V35" i="5"/>
  <c r="T15" i="6"/>
  <c r="U6" i="5"/>
  <c r="W4" i="9" s="1"/>
  <c r="U8" i="5"/>
  <c r="W7" i="9" s="1"/>
  <c r="U35" i="5"/>
  <c r="S15" i="6"/>
  <c r="T6" i="5"/>
  <c r="V4" i="9" s="1"/>
  <c r="T8" i="5"/>
  <c r="V7" i="9" s="1"/>
  <c r="T35" i="5"/>
  <c r="R15" i="6"/>
  <c r="S6" i="5"/>
  <c r="U4" i="9" s="1"/>
  <c r="S8" i="5"/>
  <c r="U7" i="9" s="1"/>
  <c r="S35" i="5"/>
  <c r="Q15" i="6"/>
  <c r="R6" i="5"/>
  <c r="T4" i="9" s="1"/>
  <c r="R8" i="5"/>
  <c r="T7" i="9" s="1"/>
  <c r="T29" i="7"/>
  <c r="T33" i="7" s="1"/>
  <c r="V56" i="5"/>
  <c r="X12" i="9" s="1"/>
  <c r="P29" i="7"/>
  <c r="P33" i="7" s="1"/>
  <c r="R56" i="5"/>
  <c r="T12" i="9" s="1"/>
  <c r="X29" i="7"/>
  <c r="X33" i="7" s="1"/>
  <c r="Z56" i="5"/>
  <c r="AB12" i="9" s="1"/>
  <c r="V29" i="7"/>
  <c r="V33" i="7" s="1"/>
  <c r="X56" i="5"/>
  <c r="Z12" i="9" s="1"/>
  <c r="AA29" i="7"/>
  <c r="AA33" i="7" s="1"/>
  <c r="AC56" i="5"/>
  <c r="U29" i="7"/>
  <c r="U33" i="7" s="1"/>
  <c r="W56" i="5"/>
  <c r="Y12" i="9" s="1"/>
  <c r="Q29" i="7"/>
  <c r="Q33" i="7" s="1"/>
  <c r="S56" i="5"/>
  <c r="U12" i="9" s="1"/>
  <c r="Y29" i="7"/>
  <c r="Y33" i="7" s="1"/>
  <c r="AA56" i="5"/>
  <c r="AC12" i="9" s="1"/>
  <c r="R29" i="7"/>
  <c r="R33" i="7" s="1"/>
  <c r="T56" i="5"/>
  <c r="V12" i="9" s="1"/>
  <c r="Z29" i="7"/>
  <c r="Z33" i="7" s="1"/>
  <c r="AB56" i="5"/>
  <c r="W29" i="7"/>
  <c r="W33" i="7" s="1"/>
  <c r="Y56" i="5"/>
  <c r="AA12" i="9" s="1"/>
  <c r="S29" i="7"/>
  <c r="S33" i="7" s="1"/>
  <c r="U56" i="5"/>
  <c r="W12" i="9" s="1"/>
  <c r="R5" i="6"/>
  <c r="S57" i="5"/>
  <c r="U13" i="9" s="1"/>
  <c r="R19" i="5"/>
  <c r="T22" i="9" s="1"/>
  <c r="R20" i="5"/>
  <c r="T23" i="9" s="1"/>
  <c r="S19" i="5"/>
  <c r="U22" i="9" s="1"/>
  <c r="S20" i="5"/>
  <c r="U23" i="9" s="1"/>
  <c r="T19" i="5"/>
  <c r="V22" i="9" s="1"/>
  <c r="T20" i="5"/>
  <c r="V23" i="9" s="1"/>
  <c r="U19" i="5"/>
  <c r="W22" i="9" s="1"/>
  <c r="U20" i="5"/>
  <c r="W23" i="9" s="1"/>
  <c r="V19" i="5"/>
  <c r="X22" i="9" s="1"/>
  <c r="V20" i="5"/>
  <c r="X23" i="9" s="1"/>
  <c r="W19" i="5"/>
  <c r="Y22" i="9" s="1"/>
  <c r="W20" i="5"/>
  <c r="Y23" i="9" s="1"/>
  <c r="Z19" i="5"/>
  <c r="AB22" i="9" s="1"/>
  <c r="Z20" i="5"/>
  <c r="AB23" i="9" s="1"/>
  <c r="AA19" i="5"/>
  <c r="AC22" i="9" s="1"/>
  <c r="AA20" i="5"/>
  <c r="AC23" i="9" s="1"/>
  <c r="AB19" i="5"/>
  <c r="AB20" i="5"/>
  <c r="AC19" i="5"/>
  <c r="AC20" i="5"/>
  <c r="Y19" i="5"/>
  <c r="AA22" i="9" s="1"/>
  <c r="Y20" i="5"/>
  <c r="AA23" i="9" s="1"/>
  <c r="R34" i="5"/>
  <c r="R44" i="5"/>
  <c r="S21" i="5"/>
  <c r="S34" i="5"/>
  <c r="S44" i="5"/>
  <c r="T34" i="5"/>
  <c r="U44" i="5"/>
  <c r="T44" i="5"/>
  <c r="U34" i="5"/>
  <c r="V34" i="5"/>
  <c r="V44" i="5"/>
  <c r="W34" i="5"/>
  <c r="W44" i="5"/>
  <c r="X34" i="5"/>
  <c r="X44" i="5"/>
  <c r="Y34" i="5"/>
  <c r="Y44" i="5"/>
  <c r="Z34" i="5"/>
  <c r="Z44" i="5"/>
  <c r="AA34" i="5"/>
  <c r="AA44" i="5"/>
  <c r="AB34" i="5"/>
  <c r="AC44" i="5"/>
  <c r="AB44" i="5"/>
  <c r="AC34" i="5"/>
  <c r="R36" i="5"/>
  <c r="S36" i="5"/>
  <c r="T36" i="5"/>
  <c r="W36" i="5"/>
  <c r="X36" i="5"/>
  <c r="AA36" i="5"/>
  <c r="AB36" i="5"/>
  <c r="U36" i="5"/>
  <c r="Y36" i="5"/>
  <c r="AC36" i="5"/>
  <c r="S58" i="5"/>
  <c r="U18" i="9" s="1"/>
  <c r="L44" i="5"/>
  <c r="C10" i="8"/>
  <c r="E44" i="5"/>
  <c r="K17" i="6"/>
  <c r="K14" i="6" s="1"/>
  <c r="L6" i="5" s="1"/>
  <c r="N4" i="9" s="1"/>
  <c r="J42" i="5"/>
  <c r="H3" i="8"/>
  <c r="D10" i="8"/>
  <c r="J33" i="5"/>
  <c r="M41" i="6"/>
  <c r="E41" i="6"/>
  <c r="F36" i="5" s="1"/>
  <c r="M33" i="5"/>
  <c r="K34" i="5"/>
  <c r="D6" i="8"/>
  <c r="G4" i="8"/>
  <c r="I15" i="5"/>
  <c r="K21" i="9" s="1"/>
  <c r="H9" i="8"/>
  <c r="O17" i="6"/>
  <c r="O14" i="6" s="1"/>
  <c r="P20" i="5" s="1"/>
  <c r="R23" i="9" s="1"/>
  <c r="O33" i="5"/>
  <c r="K58" i="5"/>
  <c r="M18" i="9" s="1"/>
  <c r="I26" i="5"/>
  <c r="F10" i="25"/>
  <c r="L31" i="6"/>
  <c r="N44" i="5" s="1"/>
  <c r="G6" i="8"/>
  <c r="K11" i="8"/>
  <c r="K19" i="5"/>
  <c r="M22" i="9" s="1"/>
  <c r="G20" i="5"/>
  <c r="I23" i="9" s="1"/>
  <c r="L32" i="5"/>
  <c r="M32" i="5"/>
  <c r="O48" i="5"/>
  <c r="Q16" i="9" s="1"/>
  <c r="N36" i="6"/>
  <c r="M27" i="4"/>
  <c r="G36" i="6"/>
  <c r="H47" i="5"/>
  <c r="J15" i="9" s="1"/>
  <c r="H48" i="5"/>
  <c r="J16" i="9" s="1"/>
  <c r="J9" i="5"/>
  <c r="J27" i="5"/>
  <c r="L17" i="9" s="1"/>
  <c r="J26" i="5"/>
  <c r="J25" i="5"/>
  <c r="J15" i="5"/>
  <c r="L21" i="9" s="1"/>
  <c r="J30" i="5"/>
  <c r="J53" i="5"/>
  <c r="J58" i="5"/>
  <c r="L18" i="9" s="1"/>
  <c r="L38" i="6"/>
  <c r="K27" i="4"/>
  <c r="D22" i="9"/>
  <c r="D23" i="9"/>
  <c r="K5" i="8"/>
  <c r="E10" i="8"/>
  <c r="M9" i="8"/>
  <c r="K30" i="5"/>
  <c r="K26" i="5"/>
  <c r="H5" i="8"/>
  <c r="I25" i="5"/>
  <c r="O6" i="5"/>
  <c r="Q4" i="9" s="1"/>
  <c r="N15" i="6"/>
  <c r="E57" i="5"/>
  <c r="G13" i="9" s="1"/>
  <c r="D5" i="6"/>
  <c r="J19" i="5"/>
  <c r="L22" i="9" s="1"/>
  <c r="J31" i="5"/>
  <c r="J24" i="5"/>
  <c r="K31" i="5"/>
  <c r="D4" i="8"/>
  <c r="K27" i="5"/>
  <c r="M17" i="9" s="1"/>
  <c r="K9" i="5"/>
  <c r="K14" i="5"/>
  <c r="M20" i="9" s="1"/>
  <c r="K24" i="5"/>
  <c r="K15" i="5"/>
  <c r="M21" i="9" s="1"/>
  <c r="G10" i="8"/>
  <c r="I9" i="5"/>
  <c r="I8" i="8"/>
  <c r="N41" i="5"/>
  <c r="E17" i="6"/>
  <c r="E14" i="6" s="1"/>
  <c r="F8" i="5" s="1"/>
  <c r="H7" i="9" s="1"/>
  <c r="J17" i="6"/>
  <c r="J14" i="6" s="1"/>
  <c r="K20" i="5" s="1"/>
  <c r="M23" i="9" s="1"/>
  <c r="B21" i="4"/>
  <c r="C38" i="6"/>
  <c r="F36" i="26" s="1"/>
  <c r="B55" i="4"/>
  <c r="K12" i="8"/>
  <c r="O42" i="5"/>
  <c r="G42" i="5"/>
  <c r="L41" i="5"/>
  <c r="I40" i="5"/>
  <c r="O41" i="6"/>
  <c r="G41" i="6"/>
  <c r="C4" i="8"/>
  <c r="L19" i="5"/>
  <c r="N22" i="9" s="1"/>
  <c r="F42" i="5"/>
  <c r="K41" i="5"/>
  <c r="P40" i="5"/>
  <c r="K57" i="5"/>
  <c r="M13" i="9" s="1"/>
  <c r="D9" i="8"/>
  <c r="M4" i="8"/>
  <c r="J13" i="8"/>
  <c r="M17" i="6"/>
  <c r="M14" i="6" s="1"/>
  <c r="M15" i="6" s="1"/>
  <c r="D19" i="6"/>
  <c r="D17" i="6" s="1"/>
  <c r="D14" i="6" s="1"/>
  <c r="C55" i="4"/>
  <c r="C56" i="4" s="1"/>
  <c r="B33" i="4"/>
  <c r="F41" i="26" s="1"/>
  <c r="F20" i="26" s="1"/>
  <c r="J27" i="4"/>
  <c r="K5" i="6" s="1"/>
  <c r="L24" i="5" s="1"/>
  <c r="F15" i="25"/>
  <c r="P42" i="5"/>
  <c r="M41" i="5"/>
  <c r="K32" i="5"/>
  <c r="H33" i="5"/>
  <c r="L57" i="5"/>
  <c r="N13" i="9" s="1"/>
  <c r="J57" i="5"/>
  <c r="L13" i="9" s="1"/>
  <c r="Y55" i="4"/>
  <c r="Y56" i="4" s="1"/>
  <c r="Q55" i="4"/>
  <c r="L34" i="5"/>
  <c r="M42" i="5"/>
  <c r="E42" i="5"/>
  <c r="O40" i="5"/>
  <c r="N31" i="6"/>
  <c r="F55" i="4"/>
  <c r="F56" i="4" s="1"/>
  <c r="I57" i="5"/>
  <c r="K13" i="9" s="1"/>
  <c r="X40" i="4"/>
  <c r="P40" i="4"/>
  <c r="X55" i="4"/>
  <c r="P55" i="4"/>
  <c r="J36" i="5"/>
  <c r="Q41" i="5"/>
  <c r="I41" i="5"/>
  <c r="N40" i="5"/>
  <c r="F31" i="6"/>
  <c r="H34" i="5" s="1"/>
  <c r="H26" i="6"/>
  <c r="I19" i="5" s="1"/>
  <c r="K22" i="9" s="1"/>
  <c r="E26" i="6"/>
  <c r="J14" i="5"/>
  <c r="L20" i="9" s="1"/>
  <c r="I55" i="4"/>
  <c r="I56" i="4" s="1"/>
  <c r="Z27" i="4"/>
  <c r="W40" i="4"/>
  <c r="W55" i="4"/>
  <c r="P38" i="6"/>
  <c r="E48" i="5"/>
  <c r="G16" i="9" s="1"/>
  <c r="E31" i="6"/>
  <c r="F34" i="5" s="1"/>
  <c r="P26" i="6"/>
  <c r="O41" i="5"/>
  <c r="F49" i="26"/>
  <c r="F18" i="25"/>
  <c r="M3" i="7"/>
  <c r="E3" i="7"/>
  <c r="L3" i="7"/>
  <c r="D3" i="7"/>
  <c r="D19" i="7" s="1"/>
  <c r="H3" i="7"/>
  <c r="H19" i="7" s="1"/>
  <c r="F40" i="5"/>
  <c r="K3" i="7"/>
  <c r="K19" i="7" s="1"/>
  <c r="C3" i="7"/>
  <c r="C19" i="7" s="1"/>
  <c r="Z55" i="4"/>
  <c r="R55" i="4"/>
  <c r="Q56" i="4"/>
  <c r="P56" i="4"/>
  <c r="Z40" i="4"/>
  <c r="Z56" i="4" s="1"/>
  <c r="Z57" i="4" s="1"/>
  <c r="R40" i="4"/>
  <c r="R56" i="4" s="1"/>
  <c r="R57" i="4" s="1"/>
  <c r="AA27" i="4"/>
  <c r="F34" i="25"/>
  <c r="F8" i="25" s="1"/>
  <c r="G3" i="8"/>
  <c r="J21" i="5"/>
  <c r="K44" i="5"/>
  <c r="J5" i="8"/>
  <c r="O19" i="5"/>
  <c r="Q22" i="9" s="1"/>
  <c r="O20" i="5"/>
  <c r="Q23" i="9" s="1"/>
  <c r="L3" i="8"/>
  <c r="M57" i="4"/>
  <c r="O57" i="5"/>
  <c r="Q13" i="9" s="1"/>
  <c r="L8" i="5"/>
  <c r="N7" i="9" s="1"/>
  <c r="L20" i="5"/>
  <c r="N23" i="9" s="1"/>
  <c r="I15" i="6"/>
  <c r="J10" i="5" s="1"/>
  <c r="L6" i="9" s="1"/>
  <c r="J7" i="5"/>
  <c r="L5" i="9" s="1"/>
  <c r="J6" i="5"/>
  <c r="L4" i="9" s="1"/>
  <c r="L43" i="5"/>
  <c r="P19" i="5"/>
  <c r="R22" i="9" s="1"/>
  <c r="N52" i="5"/>
  <c r="L27" i="4"/>
  <c r="M5" i="6" s="1"/>
  <c r="N7" i="5" s="1"/>
  <c r="P5" i="9" s="1"/>
  <c r="H52" i="5"/>
  <c r="F27" i="4"/>
  <c r="P10" i="6"/>
  <c r="O33" i="4"/>
  <c r="Q47" i="5"/>
  <c r="S15" i="9" s="1"/>
  <c r="F13" i="25"/>
  <c r="F58" i="5"/>
  <c r="H18" i="9" s="1"/>
  <c r="C5" i="8"/>
  <c r="H10" i="8"/>
  <c r="C3" i="8"/>
  <c r="M13" i="8"/>
  <c r="M34" i="5"/>
  <c r="M44" i="5"/>
  <c r="F44" i="5"/>
  <c r="F21" i="5"/>
  <c r="L26" i="5"/>
  <c r="L53" i="5"/>
  <c r="L21" i="5"/>
  <c r="E20" i="5"/>
  <c r="G23" i="9" s="1"/>
  <c r="D15" i="6"/>
  <c r="E10" i="5" s="1"/>
  <c r="G6" i="9" s="1"/>
  <c r="C12" i="8"/>
  <c r="F33" i="26"/>
  <c r="Q48" i="5"/>
  <c r="S16" i="9" s="1"/>
  <c r="L27" i="5"/>
  <c r="N17" i="9" s="1"/>
  <c r="G5" i="8"/>
  <c r="P5" i="6"/>
  <c r="J6" i="8"/>
  <c r="M8" i="8"/>
  <c r="F10" i="8"/>
  <c r="G6" i="5"/>
  <c r="I4" i="9" s="1"/>
  <c r="F53" i="5"/>
  <c r="F9" i="5"/>
  <c r="F27" i="5"/>
  <c r="H17" i="9" s="1"/>
  <c r="F15" i="5"/>
  <c r="H21" i="9" s="1"/>
  <c r="F24" i="5"/>
  <c r="J8" i="5"/>
  <c r="L7" i="9" s="1"/>
  <c r="B13" i="8"/>
  <c r="F26" i="5"/>
  <c r="F15" i="6"/>
  <c r="M6" i="5"/>
  <c r="O4" i="9" s="1"/>
  <c r="M20" i="5"/>
  <c r="O23" i="9" s="1"/>
  <c r="N5" i="6"/>
  <c r="I27" i="5"/>
  <c r="K17" i="9" s="1"/>
  <c r="I24" i="5"/>
  <c r="I58" i="5"/>
  <c r="K18" i="9" s="1"/>
  <c r="N34" i="5"/>
  <c r="P6" i="6"/>
  <c r="O40" i="4"/>
  <c r="O56" i="4" s="1"/>
  <c r="O57" i="4" s="1"/>
  <c r="J57" i="4"/>
  <c r="N10" i="8"/>
  <c r="E6" i="9"/>
  <c r="E7" i="9"/>
  <c r="F30" i="25"/>
  <c r="F17" i="25" s="1"/>
  <c r="F11" i="25"/>
  <c r="F24" i="25"/>
  <c r="E27" i="4"/>
  <c r="H8" i="8"/>
  <c r="B8" i="4"/>
  <c r="C28" i="6"/>
  <c r="C26" i="6" s="1"/>
  <c r="F38" i="26"/>
  <c r="G57" i="4"/>
  <c r="M26" i="6"/>
  <c r="F6" i="6"/>
  <c r="G19" i="5" s="1"/>
  <c r="I22" i="9" s="1"/>
  <c r="G48" i="5"/>
  <c r="I16" i="9" s="1"/>
  <c r="N42" i="5"/>
  <c r="Y27" i="4"/>
  <c r="V40" i="4"/>
  <c r="V55" i="4"/>
  <c r="H31" i="6"/>
  <c r="G32" i="5"/>
  <c r="L33" i="5"/>
  <c r="X27" i="4"/>
  <c r="U40" i="4"/>
  <c r="U55" i="4"/>
  <c r="L42" i="5"/>
  <c r="W27" i="4"/>
  <c r="T40" i="4"/>
  <c r="T55" i="4"/>
  <c r="K42" i="5"/>
  <c r="P41" i="5"/>
  <c r="H41" i="5"/>
  <c r="V27" i="4"/>
  <c r="AA40" i="4"/>
  <c r="S40" i="4"/>
  <c r="AA55" i="4"/>
  <c r="S55" i="4"/>
  <c r="U27" i="4"/>
  <c r="K43" i="5"/>
  <c r="E41" i="5"/>
  <c r="M40" i="5"/>
  <c r="L40" i="5"/>
  <c r="K40" i="5"/>
  <c r="J40" i="5"/>
  <c r="E40" i="5"/>
  <c r="F57" i="5"/>
  <c r="H13" i="9" s="1"/>
  <c r="G3" i="7"/>
  <c r="G19" i="7" s="1"/>
  <c r="B3" i="7"/>
  <c r="B19" i="7" s="1"/>
  <c r="F44" i="26"/>
  <c r="F16" i="26" s="1"/>
  <c r="F16" i="25"/>
  <c r="E47" i="6"/>
  <c r="J3" i="7"/>
  <c r="J19" i="7" s="1"/>
  <c r="P47" i="6"/>
  <c r="O3" i="7"/>
  <c r="O19" i="7" s="1"/>
  <c r="F41" i="5"/>
  <c r="H47" i="6"/>
  <c r="F47" i="6"/>
  <c r="F43" i="5"/>
  <c r="O47" i="6"/>
  <c r="J43" i="5"/>
  <c r="C47" i="6"/>
  <c r="G47" i="6"/>
  <c r="L47" i="6"/>
  <c r="H42" i="5"/>
  <c r="M47" i="6"/>
  <c r="D47" i="6"/>
  <c r="K47" i="6"/>
  <c r="G41" i="5"/>
  <c r="J47" i="6"/>
  <c r="I57" i="4"/>
  <c r="C57" i="4"/>
  <c r="D57" i="4"/>
  <c r="H57" i="4"/>
  <c r="E57" i="4"/>
  <c r="N47" i="6"/>
  <c r="I47" i="6"/>
  <c r="K41" i="6"/>
  <c r="G17" i="6"/>
  <c r="G14" i="6" s="1"/>
  <c r="P17" i="6"/>
  <c r="P14" i="6" s="1"/>
  <c r="R35" i="5" s="1"/>
  <c r="H17" i="6"/>
  <c r="H14" i="6" s="1"/>
  <c r="N27" i="4"/>
  <c r="N57" i="4" s="1"/>
  <c r="M19" i="7"/>
  <c r="L19" i="7"/>
  <c r="E19" i="7"/>
  <c r="N3" i="7"/>
  <c r="N19" i="7" s="1"/>
  <c r="I3" i="7"/>
  <c r="I19" i="7" s="1"/>
  <c r="F3" i="7"/>
  <c r="F19" i="7" s="1"/>
  <c r="V5" i="6" l="1"/>
  <c r="W57" i="5"/>
  <c r="Y13" i="9" s="1"/>
  <c r="W5" i="6"/>
  <c r="X57" i="5"/>
  <c r="Z13" i="9" s="1"/>
  <c r="X5" i="6"/>
  <c r="Y57" i="5"/>
  <c r="AA13" i="9" s="1"/>
  <c r="Y5" i="6"/>
  <c r="Z57" i="5"/>
  <c r="AB13" i="9" s="1"/>
  <c r="Z5" i="6"/>
  <c r="AA57" i="5"/>
  <c r="AC13" i="9" s="1"/>
  <c r="R31" i="5"/>
  <c r="R40" i="5"/>
  <c r="AB5" i="6"/>
  <c r="AC57" i="5"/>
  <c r="W56" i="4"/>
  <c r="AA5" i="6"/>
  <c r="AB57" i="5"/>
  <c r="X56" i="4"/>
  <c r="N36" i="5"/>
  <c r="O36" i="5"/>
  <c r="S14" i="5"/>
  <c r="U20" i="9" s="1"/>
  <c r="S15" i="5"/>
  <c r="U21" i="9" s="1"/>
  <c r="S53" i="5"/>
  <c r="S9" i="5"/>
  <c r="S27" i="5"/>
  <c r="U17" i="9" s="1"/>
  <c r="S26" i="5"/>
  <c r="S25" i="5"/>
  <c r="S7" i="5"/>
  <c r="U5" i="9" s="1"/>
  <c r="S35" i="7"/>
  <c r="S37" i="7" s="1"/>
  <c r="U55" i="5"/>
  <c r="W11" i="9" s="1"/>
  <c r="W35" i="7"/>
  <c r="W37" i="7" s="1"/>
  <c r="Y55" i="5"/>
  <c r="AA11" i="9" s="1"/>
  <c r="Z35" i="7"/>
  <c r="Z37" i="7" s="1"/>
  <c r="AB55" i="5"/>
  <c r="R35" i="7"/>
  <c r="R37" i="7" s="1"/>
  <c r="T55" i="5"/>
  <c r="V11" i="9" s="1"/>
  <c r="Y35" i="7"/>
  <c r="Y37" i="7" s="1"/>
  <c r="AA55" i="5"/>
  <c r="AC11" i="9" s="1"/>
  <c r="Q35" i="7"/>
  <c r="Q37" i="7" s="1"/>
  <c r="S55" i="5"/>
  <c r="U11" i="9" s="1"/>
  <c r="U35" i="7"/>
  <c r="U37" i="7" s="1"/>
  <c r="W55" i="5"/>
  <c r="Y11" i="9" s="1"/>
  <c r="AA35" i="7"/>
  <c r="AA37" i="7" s="1"/>
  <c r="AC55" i="5"/>
  <c r="V35" i="7"/>
  <c r="V37" i="7" s="1"/>
  <c r="X55" i="5"/>
  <c r="Z11" i="9" s="1"/>
  <c r="X35" i="7"/>
  <c r="X37" i="7" s="1"/>
  <c r="Z55" i="5"/>
  <c r="AB11" i="9" s="1"/>
  <c r="P35" i="7"/>
  <c r="P37" i="7" s="1"/>
  <c r="R55" i="5"/>
  <c r="T11" i="9" s="1"/>
  <c r="T35" i="7"/>
  <c r="T37" i="7" s="1"/>
  <c r="V55" i="5"/>
  <c r="X11" i="9" s="1"/>
  <c r="S10" i="5"/>
  <c r="U6" i="9" s="1"/>
  <c r="W10" i="5"/>
  <c r="Y6" i="9" s="1"/>
  <c r="X10" i="5"/>
  <c r="Z6" i="9" s="1"/>
  <c r="Y10" i="5"/>
  <c r="AA6" i="9" s="1"/>
  <c r="Z10" i="5"/>
  <c r="AB6" i="9" s="1"/>
  <c r="AA10" i="5"/>
  <c r="AC6" i="9" s="1"/>
  <c r="AB10" i="5"/>
  <c r="AC10" i="5"/>
  <c r="S24" i="5"/>
  <c r="S31" i="5"/>
  <c r="S40" i="5"/>
  <c r="T31" i="5"/>
  <c r="T40" i="5"/>
  <c r="AA24" i="5"/>
  <c r="AA31" i="5"/>
  <c r="AA40" i="5"/>
  <c r="AB31" i="5"/>
  <c r="AB40" i="5"/>
  <c r="Q5" i="6"/>
  <c r="R57" i="5"/>
  <c r="T13" i="9" s="1"/>
  <c r="R58" i="5"/>
  <c r="T18" i="9" s="1"/>
  <c r="T5" i="6"/>
  <c r="U57" i="5"/>
  <c r="W13" i="9" s="1"/>
  <c r="U5" i="6"/>
  <c r="V57" i="5"/>
  <c r="X13" i="9" s="1"/>
  <c r="W58" i="5"/>
  <c r="Y18" i="9" s="1"/>
  <c r="X58" i="5"/>
  <c r="Z18" i="9" s="1"/>
  <c r="Y58" i="5"/>
  <c r="AA18" i="9" s="1"/>
  <c r="Z58" i="5"/>
  <c r="AB18" i="9" s="1"/>
  <c r="AA58" i="5"/>
  <c r="AC18" i="9" s="1"/>
  <c r="AB58" i="5"/>
  <c r="AC58" i="5"/>
  <c r="S5" i="6"/>
  <c r="T57" i="5"/>
  <c r="V13" i="9" s="1"/>
  <c r="K53" i="5"/>
  <c r="K25" i="5"/>
  <c r="K21" i="5"/>
  <c r="Q34" i="5"/>
  <c r="Q44" i="5"/>
  <c r="K15" i="6"/>
  <c r="L10" i="5" s="1"/>
  <c r="N6" i="9" s="1"/>
  <c r="G44" i="5"/>
  <c r="L7" i="5"/>
  <c r="N5" i="9" s="1"/>
  <c r="O15" i="6"/>
  <c r="P35" i="5"/>
  <c r="P8" i="5"/>
  <c r="R7" i="9" s="1"/>
  <c r="P6" i="5"/>
  <c r="R4" i="9" s="1"/>
  <c r="M35" i="5"/>
  <c r="G34" i="5"/>
  <c r="O58" i="5"/>
  <c r="Q18" i="9" s="1"/>
  <c r="G36" i="5"/>
  <c r="K4" i="8"/>
  <c r="B11" i="8"/>
  <c r="E11" i="8"/>
  <c r="I6" i="8"/>
  <c r="L10" i="8"/>
  <c r="M57" i="5"/>
  <c r="O13" i="9" s="1"/>
  <c r="L5" i="6"/>
  <c r="M14" i="5" s="1"/>
  <c r="O20" i="9" s="1"/>
  <c r="N58" i="5"/>
  <c r="P18" i="9" s="1"/>
  <c r="J10" i="8"/>
  <c r="O44" i="5"/>
  <c r="O34" i="5"/>
  <c r="P44" i="5"/>
  <c r="P34" i="5"/>
  <c r="E21" i="5"/>
  <c r="E9" i="5"/>
  <c r="E26" i="5"/>
  <c r="E15" i="5"/>
  <c r="G21" i="9" s="1"/>
  <c r="E27" i="5"/>
  <c r="G17" i="9" s="1"/>
  <c r="E58" i="5"/>
  <c r="G18" i="9" s="1"/>
  <c r="E24" i="5"/>
  <c r="E14" i="5"/>
  <c r="G20" i="9" s="1"/>
  <c r="E53" i="5"/>
  <c r="E25" i="5"/>
  <c r="F30" i="5"/>
  <c r="I4" i="8"/>
  <c r="H11" i="8"/>
  <c r="F35" i="5"/>
  <c r="K6" i="5"/>
  <c r="M4" i="9" s="1"/>
  <c r="O35" i="5"/>
  <c r="I11" i="8"/>
  <c r="H44" i="5"/>
  <c r="X57" i="4"/>
  <c r="E13" i="8"/>
  <c r="H12" i="8"/>
  <c r="L57" i="4"/>
  <c r="E15" i="6"/>
  <c r="F10" i="5" s="1"/>
  <c r="H6" i="9" s="1"/>
  <c r="G8" i="5"/>
  <c r="I7" i="9" s="1"/>
  <c r="K8" i="5"/>
  <c r="M7" i="9" s="1"/>
  <c r="N35" i="5"/>
  <c r="I36" i="5"/>
  <c r="H36" i="5"/>
  <c r="I3" i="8"/>
  <c r="O43" i="5"/>
  <c r="Y57" i="4"/>
  <c r="F7" i="5"/>
  <c r="H5" i="9" s="1"/>
  <c r="G35" i="5"/>
  <c r="J15" i="6"/>
  <c r="K10" i="5" s="1"/>
  <c r="M6" i="9" s="1"/>
  <c r="L35" i="5"/>
  <c r="N6" i="5"/>
  <c r="P4" i="9" s="1"/>
  <c r="F11" i="8"/>
  <c r="L11" i="8"/>
  <c r="P36" i="5"/>
  <c r="Q36" i="5"/>
  <c r="L13" i="8"/>
  <c r="K7" i="5"/>
  <c r="M5" i="9" s="1"/>
  <c r="K35" i="5"/>
  <c r="B40" i="4"/>
  <c r="B56" i="4" s="1"/>
  <c r="F6" i="5"/>
  <c r="H4" i="9" s="1"/>
  <c r="N8" i="5"/>
  <c r="P7" i="9" s="1"/>
  <c r="C13" i="8"/>
  <c r="L58" i="5"/>
  <c r="N18" i="9" s="1"/>
  <c r="L30" i="5"/>
  <c r="L9" i="5"/>
  <c r="L25" i="5"/>
  <c r="L14" i="5"/>
  <c r="N20" i="9" s="1"/>
  <c r="L15" i="5"/>
  <c r="N21" i="9" s="1"/>
  <c r="E8" i="5"/>
  <c r="G7" i="9" s="1"/>
  <c r="E6" i="5"/>
  <c r="G4" i="9" s="1"/>
  <c r="E7" i="5"/>
  <c r="G5" i="9" s="1"/>
  <c r="E35" i="5"/>
  <c r="L9" i="8"/>
  <c r="L4" i="8"/>
  <c r="D3" i="8"/>
  <c r="E9" i="8"/>
  <c r="M12" i="8"/>
  <c r="K57" i="4"/>
  <c r="F19" i="5"/>
  <c r="H22" i="9" s="1"/>
  <c r="F20" i="5"/>
  <c r="H23" i="9" s="1"/>
  <c r="I5" i="8"/>
  <c r="D5" i="8"/>
  <c r="M11" i="8"/>
  <c r="F18" i="26"/>
  <c r="F27" i="26"/>
  <c r="I56" i="5"/>
  <c r="K12" i="9" s="1"/>
  <c r="G29" i="7"/>
  <c r="G33" i="7" s="1"/>
  <c r="S56" i="4"/>
  <c r="S57" i="4" s="1"/>
  <c r="U56" i="4"/>
  <c r="AA56" i="4"/>
  <c r="AA57" i="4" s="1"/>
  <c r="W57" i="4"/>
  <c r="B3" i="8"/>
  <c r="N57" i="5"/>
  <c r="P13" i="9" s="1"/>
  <c r="U57" i="4"/>
  <c r="V56" i="4"/>
  <c r="V57" i="4" s="1"/>
  <c r="L12" i="8"/>
  <c r="F4" i="8"/>
  <c r="F5" i="8"/>
  <c r="K10" i="8"/>
  <c r="L6" i="8"/>
  <c r="I44" i="5"/>
  <c r="I34" i="5"/>
  <c r="I21" i="5"/>
  <c r="J44" i="5"/>
  <c r="I10" i="8"/>
  <c r="Q26" i="5"/>
  <c r="Q53" i="5"/>
  <c r="Q21" i="5"/>
  <c r="Q15" i="5"/>
  <c r="S21" i="9" s="1"/>
  <c r="Q25" i="5"/>
  <c r="Q58" i="5"/>
  <c r="S18" i="9" s="1"/>
  <c r="Q27" i="5"/>
  <c r="S17" i="9" s="1"/>
  <c r="Q9" i="5"/>
  <c r="Q14" i="5"/>
  <c r="S20" i="9" s="1"/>
  <c r="K13" i="8"/>
  <c r="L5" i="8"/>
  <c r="N19" i="5"/>
  <c r="P22" i="9" s="1"/>
  <c r="N20" i="5"/>
  <c r="P23" i="9" s="1"/>
  <c r="F6" i="26"/>
  <c r="H6" i="26" s="1"/>
  <c r="F3" i="8"/>
  <c r="T56" i="4"/>
  <c r="T57" i="4" s="1"/>
  <c r="F5" i="6"/>
  <c r="G10" i="5" s="1"/>
  <c r="I6" i="9" s="1"/>
  <c r="G57" i="5"/>
  <c r="I13" i="9" s="1"/>
  <c r="B9" i="8"/>
  <c r="K6" i="8"/>
  <c r="F12" i="8"/>
  <c r="C11" i="8"/>
  <c r="F57" i="4"/>
  <c r="H57" i="5"/>
  <c r="J13" i="9" s="1"/>
  <c r="G5" i="6"/>
  <c r="B12" i="8"/>
  <c r="F12" i="26"/>
  <c r="F13" i="26"/>
  <c r="Q31" i="5"/>
  <c r="Q40" i="5"/>
  <c r="Q24" i="5"/>
  <c r="Q19" i="5"/>
  <c r="S22" i="9" s="1"/>
  <c r="O15" i="5"/>
  <c r="Q21" i="9" s="1"/>
  <c r="O53" i="5"/>
  <c r="O7" i="5"/>
  <c r="Q5" i="9" s="1"/>
  <c r="O24" i="5"/>
  <c r="O25" i="5"/>
  <c r="O9" i="5"/>
  <c r="O14" i="5"/>
  <c r="Q20" i="9" s="1"/>
  <c r="O10" i="5"/>
  <c r="Q6" i="9" s="1"/>
  <c r="O26" i="5"/>
  <c r="O21" i="5"/>
  <c r="O27" i="5"/>
  <c r="Q17" i="9" s="1"/>
  <c r="O30" i="5"/>
  <c r="I12" i="8"/>
  <c r="J34" i="5"/>
  <c r="B5" i="8"/>
  <c r="E22" i="9"/>
  <c r="E23" i="9"/>
  <c r="C6" i="8"/>
  <c r="I9" i="8"/>
  <c r="K9" i="8"/>
  <c r="N15" i="5"/>
  <c r="P21" i="9" s="1"/>
  <c r="N14" i="5"/>
  <c r="P20" i="9" s="1"/>
  <c r="N21" i="5"/>
  <c r="N27" i="5"/>
  <c r="P17" i="9" s="1"/>
  <c r="N53" i="5"/>
  <c r="N25" i="5"/>
  <c r="N24" i="5"/>
  <c r="N30" i="5"/>
  <c r="N26" i="5"/>
  <c r="N9" i="5"/>
  <c r="B6" i="8"/>
  <c r="H31" i="5"/>
  <c r="H40" i="5"/>
  <c r="G40" i="5"/>
  <c r="G31" i="5"/>
  <c r="F39" i="26"/>
  <c r="F26" i="26" s="1"/>
  <c r="B27" i="4"/>
  <c r="F6" i="8"/>
  <c r="N10" i="5"/>
  <c r="P6" i="9" s="1"/>
  <c r="B4" i="8"/>
  <c r="H29" i="7"/>
  <c r="H33" i="7" s="1"/>
  <c r="J56" i="5"/>
  <c r="L12" i="9" s="1"/>
  <c r="Q56" i="5"/>
  <c r="S12" i="9" s="1"/>
  <c r="O29" i="7"/>
  <c r="O33" i="7" s="1"/>
  <c r="O35" i="7" s="1"/>
  <c r="O37" i="7" s="1"/>
  <c r="P56" i="6" s="1"/>
  <c r="B29" i="7"/>
  <c r="B33" i="7" s="1"/>
  <c r="B35" i="7" s="1"/>
  <c r="B37" i="7" s="1"/>
  <c r="F45" i="26"/>
  <c r="P57" i="4"/>
  <c r="Q57" i="4"/>
  <c r="AB57" i="4"/>
  <c r="F29" i="7"/>
  <c r="F33" i="7" s="1"/>
  <c r="H56" i="5"/>
  <c r="J12" i="9" s="1"/>
  <c r="I29" i="7"/>
  <c r="I33" i="7" s="1"/>
  <c r="K56" i="5"/>
  <c r="M12" i="9" s="1"/>
  <c r="N29" i="7"/>
  <c r="N33" i="7" s="1"/>
  <c r="P56" i="5"/>
  <c r="R12" i="9" s="1"/>
  <c r="C29" i="7"/>
  <c r="C33" i="7" s="1"/>
  <c r="E56" i="5"/>
  <c r="G12" i="9" s="1"/>
  <c r="F56" i="5"/>
  <c r="H12" i="9" s="1"/>
  <c r="D29" i="7"/>
  <c r="D33" i="7" s="1"/>
  <c r="E29" i="7"/>
  <c r="E33" i="7" s="1"/>
  <c r="G56" i="5"/>
  <c r="I12" i="9" s="1"/>
  <c r="J29" i="7"/>
  <c r="J33" i="7" s="1"/>
  <c r="L56" i="5"/>
  <c r="N12" i="9" s="1"/>
  <c r="K29" i="7"/>
  <c r="K33" i="7" s="1"/>
  <c r="M56" i="5"/>
  <c r="O12" i="9" s="1"/>
  <c r="L29" i="7"/>
  <c r="L33" i="7" s="1"/>
  <c r="N56" i="5"/>
  <c r="P12" i="9" s="1"/>
  <c r="M29" i="7"/>
  <c r="M33" i="7" s="1"/>
  <c r="O56" i="5"/>
  <c r="Q12" i="9" s="1"/>
  <c r="G35" i="7"/>
  <c r="G37" i="7" s="1"/>
  <c r="H56" i="6" s="1"/>
  <c r="I55" i="5"/>
  <c r="K11" i="9" s="1"/>
  <c r="P57" i="5"/>
  <c r="R13" i="9" s="1"/>
  <c r="O5" i="6"/>
  <c r="I6" i="5"/>
  <c r="K4" i="9" s="1"/>
  <c r="I35" i="5"/>
  <c r="I8" i="5"/>
  <c r="K7" i="9" s="1"/>
  <c r="I7" i="5"/>
  <c r="K5" i="9" s="1"/>
  <c r="J35" i="5"/>
  <c r="H15" i="6"/>
  <c r="I10" i="5" s="1"/>
  <c r="K6" i="9" s="1"/>
  <c r="I20" i="5"/>
  <c r="K23" i="9" s="1"/>
  <c r="Q35" i="5"/>
  <c r="Q6" i="5"/>
  <c r="S4" i="9" s="1"/>
  <c r="Q8" i="5"/>
  <c r="S7" i="9" s="1"/>
  <c r="P15" i="6"/>
  <c r="Q10" i="5" s="1"/>
  <c r="S6" i="9" s="1"/>
  <c r="Q20" i="5"/>
  <c r="S23" i="9" s="1"/>
  <c r="Q7" i="5"/>
  <c r="S5" i="9" s="1"/>
  <c r="H6" i="5"/>
  <c r="J4" i="9" s="1"/>
  <c r="G15" i="6"/>
  <c r="H10" i="5" s="1"/>
  <c r="J6" i="9" s="1"/>
  <c r="H8" i="5"/>
  <c r="J7" i="9" s="1"/>
  <c r="H35" i="5"/>
  <c r="H20" i="5"/>
  <c r="J23" i="9" s="1"/>
  <c r="M36" i="5"/>
  <c r="L36" i="5"/>
  <c r="T30" i="5" l="1"/>
  <c r="T14" i="5"/>
  <c r="V20" i="9" s="1"/>
  <c r="T43" i="5"/>
  <c r="T15" i="5"/>
  <c r="V21" i="9" s="1"/>
  <c r="T53" i="5"/>
  <c r="T9" i="5"/>
  <c r="T27" i="5"/>
  <c r="V17" i="9" s="1"/>
  <c r="T26" i="5"/>
  <c r="T25" i="5"/>
  <c r="T24" i="5"/>
  <c r="T7" i="5"/>
  <c r="V5" i="9" s="1"/>
  <c r="T21" i="5"/>
  <c r="T10" i="5"/>
  <c r="V6" i="9" s="1"/>
  <c r="T58" i="5"/>
  <c r="V18" i="9" s="1"/>
  <c r="V30" i="5"/>
  <c r="V43" i="5"/>
  <c r="V15" i="5"/>
  <c r="X21" i="9" s="1"/>
  <c r="V53" i="5"/>
  <c r="V9" i="5"/>
  <c r="V27" i="5"/>
  <c r="X17" i="9" s="1"/>
  <c r="V26" i="5"/>
  <c r="V25" i="5"/>
  <c r="V14" i="5"/>
  <c r="X20" i="9" s="1"/>
  <c r="V24" i="5"/>
  <c r="V7" i="5"/>
  <c r="X5" i="9" s="1"/>
  <c r="V21" i="5"/>
  <c r="V10" i="5"/>
  <c r="X6" i="9" s="1"/>
  <c r="V58" i="5"/>
  <c r="X18" i="9" s="1"/>
  <c r="U30" i="5"/>
  <c r="U14" i="5"/>
  <c r="W20" i="9" s="1"/>
  <c r="U43" i="5"/>
  <c r="U15" i="5"/>
  <c r="W21" i="9" s="1"/>
  <c r="U21" i="5"/>
  <c r="U53" i="5"/>
  <c r="U9" i="5"/>
  <c r="U27" i="5"/>
  <c r="W17" i="9" s="1"/>
  <c r="U26" i="5"/>
  <c r="U25" i="5"/>
  <c r="U24" i="5"/>
  <c r="U7" i="5"/>
  <c r="W5" i="9" s="1"/>
  <c r="U10" i="5"/>
  <c r="W6" i="9" s="1"/>
  <c r="U58" i="5"/>
  <c r="W18" i="9" s="1"/>
  <c r="R30" i="5"/>
  <c r="R14" i="5"/>
  <c r="T20" i="9" s="1"/>
  <c r="R43" i="5"/>
  <c r="R15" i="5"/>
  <c r="T21" i="9" s="1"/>
  <c r="R53" i="5"/>
  <c r="R9" i="5"/>
  <c r="R27" i="5"/>
  <c r="T17" i="9" s="1"/>
  <c r="R26" i="5"/>
  <c r="R25" i="5"/>
  <c r="R24" i="5"/>
  <c r="R7" i="5"/>
  <c r="T5" i="9" s="1"/>
  <c r="R21" i="5"/>
  <c r="S30" i="5"/>
  <c r="S43" i="5"/>
  <c r="R10" i="5"/>
  <c r="T6" i="9" s="1"/>
  <c r="AB30" i="5"/>
  <c r="AB43" i="5"/>
  <c r="AB15" i="5"/>
  <c r="AB53" i="5"/>
  <c r="AB9" i="5"/>
  <c r="AB27" i="5"/>
  <c r="AB26" i="5"/>
  <c r="AB25" i="5"/>
  <c r="AB14" i="5"/>
  <c r="AB24" i="5"/>
  <c r="AB7" i="5"/>
  <c r="AB21" i="5"/>
  <c r="AC30" i="5"/>
  <c r="AC43" i="5"/>
  <c r="AC15" i="5"/>
  <c r="AC21" i="5"/>
  <c r="AC53" i="5"/>
  <c r="AC9" i="5"/>
  <c r="AC27" i="5"/>
  <c r="AC26" i="5"/>
  <c r="AC25" i="5"/>
  <c r="AC14" i="5"/>
  <c r="AC24" i="5"/>
  <c r="AC7" i="5"/>
  <c r="AA30" i="5"/>
  <c r="AA43" i="5"/>
  <c r="AA15" i="5"/>
  <c r="AC21" i="9" s="1"/>
  <c r="AA53" i="5"/>
  <c r="AA9" i="5"/>
  <c r="AA27" i="5"/>
  <c r="AC17" i="9" s="1"/>
  <c r="AA26" i="5"/>
  <c r="AA25" i="5"/>
  <c r="AA14" i="5"/>
  <c r="AC20" i="9" s="1"/>
  <c r="AA7" i="5"/>
  <c r="AC5" i="9" s="1"/>
  <c r="AA21" i="5"/>
  <c r="Z30" i="5"/>
  <c r="Z43" i="5"/>
  <c r="Z15" i="5"/>
  <c r="AB21" i="9" s="1"/>
  <c r="Z53" i="5"/>
  <c r="Z9" i="5"/>
  <c r="Z27" i="5"/>
  <c r="AB17" i="9" s="1"/>
  <c r="Z26" i="5"/>
  <c r="Z25" i="5"/>
  <c r="Z14" i="5"/>
  <c r="AB20" i="9" s="1"/>
  <c r="Z24" i="5"/>
  <c r="Z7" i="5"/>
  <c r="AB5" i="9" s="1"/>
  <c r="Z21" i="5"/>
  <c r="Y30" i="5"/>
  <c r="Y43" i="5"/>
  <c r="Y15" i="5"/>
  <c r="AA21" i="9" s="1"/>
  <c r="Y53" i="5"/>
  <c r="Y9" i="5"/>
  <c r="Y27" i="5"/>
  <c r="AA17" i="9" s="1"/>
  <c r="Y26" i="5"/>
  <c r="Y25" i="5"/>
  <c r="Y14" i="5"/>
  <c r="AA20" i="9" s="1"/>
  <c r="Y24" i="5"/>
  <c r="Y7" i="5"/>
  <c r="AA5" i="9" s="1"/>
  <c r="Y21" i="5"/>
  <c r="X30" i="5"/>
  <c r="X43" i="5"/>
  <c r="X15" i="5"/>
  <c r="Z21" i="9" s="1"/>
  <c r="X53" i="5"/>
  <c r="X9" i="5"/>
  <c r="X27" i="5"/>
  <c r="Z17" i="9" s="1"/>
  <c r="X26" i="5"/>
  <c r="X25" i="5"/>
  <c r="X14" i="5"/>
  <c r="Z20" i="9" s="1"/>
  <c r="X24" i="5"/>
  <c r="X7" i="5"/>
  <c r="Z5" i="9" s="1"/>
  <c r="X21" i="5"/>
  <c r="W30" i="5"/>
  <c r="W43" i="5"/>
  <c r="W15" i="5"/>
  <c r="Y21" i="9" s="1"/>
  <c r="W53" i="5"/>
  <c r="W9" i="5"/>
  <c r="W27" i="5"/>
  <c r="Y17" i="9" s="1"/>
  <c r="W26" i="5"/>
  <c r="W25" i="5"/>
  <c r="W14" i="5"/>
  <c r="Y20" i="9" s="1"/>
  <c r="W24" i="5"/>
  <c r="W7" i="5"/>
  <c r="Y5" i="9" s="1"/>
  <c r="W21" i="5"/>
  <c r="N11" i="8"/>
  <c r="E6" i="8"/>
  <c r="D12" i="8"/>
  <c r="N43" i="5"/>
  <c r="E5" i="8"/>
  <c r="D11" i="8"/>
  <c r="E3" i="8"/>
  <c r="E4" i="8"/>
  <c r="E12" i="8"/>
  <c r="M21" i="5"/>
  <c r="M53" i="5"/>
  <c r="M9" i="5"/>
  <c r="M27" i="5"/>
  <c r="O17" i="9" s="1"/>
  <c r="M24" i="5"/>
  <c r="M25" i="5"/>
  <c r="M10" i="5"/>
  <c r="O6" i="9" s="1"/>
  <c r="M7" i="5"/>
  <c r="O5" i="9" s="1"/>
  <c r="M15" i="5"/>
  <c r="O21" i="9" s="1"/>
  <c r="M26" i="5"/>
  <c r="M58" i="5"/>
  <c r="O18" i="9" s="1"/>
  <c r="M30" i="5"/>
  <c r="M43" i="5"/>
  <c r="G11" i="8"/>
  <c r="G25" i="5"/>
  <c r="G9" i="5"/>
  <c r="G15" i="5"/>
  <c r="I21" i="9" s="1"/>
  <c r="G30" i="5"/>
  <c r="G21" i="5"/>
  <c r="G58" i="5"/>
  <c r="I18" i="9" s="1"/>
  <c r="G53" i="5"/>
  <c r="G27" i="5"/>
  <c r="I17" i="9" s="1"/>
  <c r="G7" i="5"/>
  <c r="I5" i="9" s="1"/>
  <c r="G26" i="5"/>
  <c r="G14" i="5"/>
  <c r="I20" i="9" s="1"/>
  <c r="G43" i="5"/>
  <c r="H25" i="5"/>
  <c r="H30" i="5"/>
  <c r="H27" i="5"/>
  <c r="J17" i="9" s="1"/>
  <c r="H9" i="5"/>
  <c r="H24" i="5"/>
  <c r="H15" i="5"/>
  <c r="J21" i="9" s="1"/>
  <c r="I30" i="5"/>
  <c r="H53" i="5"/>
  <c r="H21" i="5"/>
  <c r="H14" i="5"/>
  <c r="J20" i="9" s="1"/>
  <c r="H26" i="5"/>
  <c r="I43" i="5"/>
  <c r="H58" i="5"/>
  <c r="J18" i="9" s="1"/>
  <c r="H43" i="5"/>
  <c r="H7" i="5"/>
  <c r="J5" i="9" s="1"/>
  <c r="G12" i="8"/>
  <c r="G24" i="5"/>
  <c r="C5" i="6"/>
  <c r="B57" i="4"/>
  <c r="F29" i="26"/>
  <c r="F50" i="26"/>
  <c r="C56" i="6"/>
  <c r="Q55" i="5"/>
  <c r="S11" i="9" s="1"/>
  <c r="J55" i="5"/>
  <c r="L11" i="9" s="1"/>
  <c r="H35" i="7"/>
  <c r="H37" i="7" s="1"/>
  <c r="I56" i="6" s="1"/>
  <c r="P25" i="5"/>
  <c r="P14" i="5"/>
  <c r="R20" i="9" s="1"/>
  <c r="P15" i="5"/>
  <c r="R21" i="9" s="1"/>
  <c r="P26" i="5"/>
  <c r="P58" i="5"/>
  <c r="R18" i="9" s="1"/>
  <c r="P21" i="5"/>
  <c r="P24" i="5"/>
  <c r="P27" i="5"/>
  <c r="R17" i="9" s="1"/>
  <c r="P9" i="5"/>
  <c r="P53" i="5"/>
  <c r="P43" i="5"/>
  <c r="P30" i="5"/>
  <c r="P7" i="5"/>
  <c r="R5" i="9" s="1"/>
  <c r="P10" i="5"/>
  <c r="R6" i="9" s="1"/>
  <c r="Q43" i="5"/>
  <c r="Q30" i="5"/>
  <c r="M35" i="7"/>
  <c r="M37" i="7" s="1"/>
  <c r="N56" i="6" s="1"/>
  <c r="O55" i="5"/>
  <c r="Q11" i="9" s="1"/>
  <c r="L35" i="7"/>
  <c r="L37" i="7" s="1"/>
  <c r="M56" i="6" s="1"/>
  <c r="N55" i="5"/>
  <c r="P11" i="9" s="1"/>
  <c r="K35" i="7"/>
  <c r="K37" i="7" s="1"/>
  <c r="L56" i="6" s="1"/>
  <c r="M55" i="5"/>
  <c r="O11" i="9" s="1"/>
  <c r="J35" i="7"/>
  <c r="J37" i="7" s="1"/>
  <c r="K56" i="6" s="1"/>
  <c r="L55" i="5"/>
  <c r="N11" i="9" s="1"/>
  <c r="E35" i="7"/>
  <c r="E37" i="7" s="1"/>
  <c r="F56" i="6" s="1"/>
  <c r="G55" i="5"/>
  <c r="I11" i="9" s="1"/>
  <c r="D35" i="7"/>
  <c r="D37" i="7" s="1"/>
  <c r="E56" i="6" s="1"/>
  <c r="F55" i="5"/>
  <c r="H11" i="9" s="1"/>
  <c r="C35" i="7"/>
  <c r="C37" i="7" s="1"/>
  <c r="D56" i="6" s="1"/>
  <c r="E55" i="5"/>
  <c r="G11" i="9" s="1"/>
  <c r="N35" i="7"/>
  <c r="N37" i="7" s="1"/>
  <c r="O56" i="6" s="1"/>
  <c r="P55" i="5"/>
  <c r="R11" i="9" s="1"/>
  <c r="I35" i="7"/>
  <c r="I37" i="7" s="1"/>
  <c r="J56" i="6" s="1"/>
  <c r="K55" i="5"/>
  <c r="M11" i="9" s="1"/>
  <c r="F35" i="7"/>
  <c r="F37" i="7" s="1"/>
  <c r="G56" i="6" s="1"/>
  <c r="H55" i="5"/>
  <c r="J11" i="9" s="1"/>
  <c r="N3" i="8" l="1"/>
  <c r="N4" i="8"/>
  <c r="N6" i="8"/>
  <c r="N5" i="8"/>
  <c r="N12" i="8"/>
  <c r="F24" i="26"/>
  <c r="F11" i="26"/>
  <c r="F22" i="26"/>
  <c r="F21" i="26"/>
  <c r="F8" i="26"/>
  <c r="F30" i="26"/>
  <c r="F17" i="26" s="1"/>
  <c r="F7" i="26"/>
  <c r="E30" i="5"/>
  <c r="D58" i="5"/>
  <c r="F18" i="9" s="1"/>
  <c r="E43" i="5"/>
</calcChain>
</file>

<file path=xl/sharedStrings.xml><?xml version="1.0" encoding="utf-8"?>
<sst xmlns="http://schemas.openxmlformats.org/spreadsheetml/2006/main" count="598" uniqueCount="339">
  <si>
    <t>audited2017</t>
  </si>
  <si>
    <t>CORE CAPITAL</t>
  </si>
  <si>
    <t>CCA (Min 10%)</t>
  </si>
  <si>
    <t>ICA (Min 8%)</t>
  </si>
  <si>
    <t>CCD (Min 8%)</t>
  </si>
  <si>
    <t>NPL(5%)</t>
  </si>
  <si>
    <t>Liquidity(15%)</t>
  </si>
  <si>
    <t>NEA (Max 10%)</t>
  </si>
  <si>
    <t>LB ratio (Max 5%)</t>
  </si>
  <si>
    <t>FITD (Max 5%)</t>
  </si>
  <si>
    <t>FICC (Max 40%)</t>
  </si>
  <si>
    <t>EB ratio</t>
  </si>
  <si>
    <t>A=S+L</t>
  </si>
  <si>
    <t>STIMA SACCO SOCIETY LTD</t>
  </si>
  <si>
    <t xml:space="preserve"> Sacco Financial Performance </t>
  </si>
  <si>
    <t>FINANCIAL SOUNDNESS INDICATORS</t>
  </si>
  <si>
    <t>Prude.  Std</t>
  </si>
  <si>
    <t>Audited 2021</t>
  </si>
  <si>
    <t>Audited-2022</t>
  </si>
  <si>
    <t>CAPITAL ADEQUACY REQUIREMENTS</t>
  </si>
  <si>
    <t xml:space="preserve">Core capital </t>
  </si>
  <si>
    <t>≥ Ksh.10M</t>
  </si>
  <si>
    <t>Core capital /Total Assets</t>
  </si>
  <si>
    <t>≥ 10%</t>
  </si>
  <si>
    <t>Core capital /Total Deposits</t>
  </si>
  <si>
    <t>≥ 8%</t>
  </si>
  <si>
    <t>Share Capital/Total Assets</t>
  </si>
  <si>
    <t>≤2%</t>
  </si>
  <si>
    <t>Institutional Capital/Total Assets</t>
  </si>
  <si>
    <t>ASSET MIX AND QUALITY</t>
  </si>
  <si>
    <t>Non Earning Assets</t>
  </si>
  <si>
    <t>2.1.1</t>
  </si>
  <si>
    <t>Non earning Assets/Total assets</t>
  </si>
  <si>
    <t>≤ 10%</t>
  </si>
  <si>
    <t>2.1.2</t>
  </si>
  <si>
    <t xml:space="preserve">Property and Equipment/Total Assets </t>
  </si>
  <si>
    <t>≤ 5%</t>
  </si>
  <si>
    <t>2.1.3</t>
  </si>
  <si>
    <t xml:space="preserve">Non Performing loans/Gross Loans </t>
  </si>
  <si>
    <t>≤ 6%</t>
  </si>
  <si>
    <t>Earning Assets</t>
  </si>
  <si>
    <t>2.2.1</t>
  </si>
  <si>
    <t>Equities &amp; Investments/Deposits</t>
  </si>
  <si>
    <t>2.2.2</t>
  </si>
  <si>
    <t>Equities &amp; Investments/Core Capital</t>
  </si>
  <si>
    <t>≤ 40%</t>
  </si>
  <si>
    <t>2.2.3</t>
  </si>
  <si>
    <t>Net Loans &amp; advances /Total assets</t>
  </si>
  <si>
    <t>NPR</t>
  </si>
  <si>
    <t>FUNDING MIX</t>
  </si>
  <si>
    <t>Total Deposits/Total Assets</t>
  </si>
  <si>
    <t>3.1.1</t>
  </si>
  <si>
    <t>BOSA Deposits/Total Assets</t>
  </si>
  <si>
    <t>3.1.2</t>
  </si>
  <si>
    <t>FOSA Deposits/Total Assets</t>
  </si>
  <si>
    <t>External Borrowing/Total assets</t>
  </si>
  <si>
    <t>≤ 25%</t>
  </si>
  <si>
    <t>GROWTH RATIOS</t>
  </si>
  <si>
    <t>Total Assets</t>
  </si>
  <si>
    <t>Total Deposits</t>
  </si>
  <si>
    <t>4.2.1</t>
  </si>
  <si>
    <t>FOSA Deposits</t>
  </si>
  <si>
    <t>4.2.2</t>
  </si>
  <si>
    <t>BOSA Deposits</t>
  </si>
  <si>
    <t>Net Loans &amp; advances</t>
  </si>
  <si>
    <t>Core capital</t>
  </si>
  <si>
    <t>Total Gross Income</t>
  </si>
  <si>
    <t>Membership</t>
  </si>
  <si>
    <t xml:space="preserve">Efficiency Ratios </t>
  </si>
  <si>
    <t>FinCost-Deposits/Average Deposits</t>
  </si>
  <si>
    <t>FinCost-Shares/Average Share capital</t>
  </si>
  <si>
    <t>FinCost-Ext Loans/Average Ext Loans</t>
  </si>
  <si>
    <t>OpEx/Average Total Assets</t>
  </si>
  <si>
    <t xml:space="preserve">Avge yield on Net loans </t>
  </si>
  <si>
    <t>Liquidity Ratio</t>
  </si>
  <si>
    <t>minimum Liquidity</t>
  </si>
  <si>
    <t>TECHNICAL Liquidity</t>
  </si>
  <si>
    <t>Loan Loss Provisions Ratios</t>
  </si>
  <si>
    <t>Actual LLP / Required LLP</t>
  </si>
  <si>
    <t>allowance for loan loss/NPL</t>
  </si>
  <si>
    <t xml:space="preserve">Loan interest/Net Loans </t>
  </si>
  <si>
    <t>Gross loans/Total assets</t>
  </si>
  <si>
    <t>Earnings</t>
  </si>
  <si>
    <t>ROA</t>
  </si>
  <si>
    <t>Cost Income Ratio</t>
  </si>
  <si>
    <t>Operating Expense Ratio</t>
  </si>
  <si>
    <t>Liquid assets/total assets</t>
  </si>
  <si>
    <t>STIMA SACCO</t>
  </si>
  <si>
    <t>Audited 2020</t>
  </si>
  <si>
    <t>CAPITAL</t>
  </si>
  <si>
    <t>CCA</t>
  </si>
  <si>
    <t>ICA</t>
  </si>
  <si>
    <t>CCD</t>
  </si>
  <si>
    <t>Asset Quality</t>
  </si>
  <si>
    <t>NPL</t>
  </si>
  <si>
    <t>CIR</t>
  </si>
  <si>
    <t>OER</t>
  </si>
  <si>
    <t>LIQUIDITY</t>
  </si>
  <si>
    <t>MIN LIQ</t>
  </si>
  <si>
    <t>TEC LIQ</t>
  </si>
  <si>
    <t>EB</t>
  </si>
  <si>
    <t>LIQ/TA</t>
  </si>
  <si>
    <t>STRUCTURE</t>
  </si>
  <si>
    <t>NEA</t>
  </si>
  <si>
    <t>LB</t>
  </si>
  <si>
    <t>FITD</t>
  </si>
  <si>
    <t>FICC</t>
  </si>
  <si>
    <t>STIMA SACCO SOCIETY</t>
  </si>
  <si>
    <t>Year</t>
  </si>
  <si>
    <t>AUDITED 2020</t>
  </si>
  <si>
    <t>Deposits-Members(BOSA)</t>
  </si>
  <si>
    <t>Deposits-Customers(FOSA)</t>
  </si>
  <si>
    <t xml:space="preserve">External Borrowing </t>
  </si>
  <si>
    <t>Short term Liabilities</t>
  </si>
  <si>
    <t>Share capital and Reserves</t>
  </si>
  <si>
    <t>Core Capital</t>
  </si>
  <si>
    <t>Institutional  Capital</t>
  </si>
  <si>
    <t>Total Capital</t>
  </si>
  <si>
    <t>5.3.1</t>
  </si>
  <si>
    <t>Members Share Capital</t>
  </si>
  <si>
    <t>5.3.3</t>
  </si>
  <si>
    <t>Retained Earnings</t>
  </si>
  <si>
    <t>5.3.5</t>
  </si>
  <si>
    <t>Statutory Reserves</t>
  </si>
  <si>
    <t>5.3.6</t>
  </si>
  <si>
    <t>Capital Reserve</t>
  </si>
  <si>
    <t>5.3.7</t>
  </si>
  <si>
    <t>Supplementary Capital &amp; reserves</t>
  </si>
  <si>
    <t>a</t>
  </si>
  <si>
    <t>Proposed Dividends</t>
  </si>
  <si>
    <t>b</t>
  </si>
  <si>
    <t>Investments</t>
  </si>
  <si>
    <t>Investments in Coop bank, CIC, Kuscco, Kerussu &amp; Codic</t>
  </si>
  <si>
    <t>Equity Investments (at cost)</t>
  </si>
  <si>
    <t>Deposits in KUSCCO CFP</t>
  </si>
  <si>
    <t>Gross Loans &amp; advances</t>
  </si>
  <si>
    <t>Allowance for loan losses</t>
  </si>
  <si>
    <t>Non Performing Loans</t>
  </si>
  <si>
    <t>Required loan loss provision</t>
  </si>
  <si>
    <t>Cash and Cash equipments</t>
  </si>
  <si>
    <t>Non-Earning Assets</t>
  </si>
  <si>
    <t>Property and Equipment</t>
  </si>
  <si>
    <t>Turnover</t>
  </si>
  <si>
    <t>Loan Interest</t>
  </si>
  <si>
    <t>Income from investments</t>
  </si>
  <si>
    <t>Fees &amp; Commissions</t>
  </si>
  <si>
    <t>Average yield on loans</t>
  </si>
  <si>
    <t>Total Expenses (FinCosts + OpEx)</t>
  </si>
  <si>
    <t>Financial Exp. (Interest on deposits)</t>
  </si>
  <si>
    <t>Financial Exp. (Dividends)</t>
  </si>
  <si>
    <t>Financial Exp. (Interest on bank loans)</t>
  </si>
  <si>
    <t>Other Financial Expenses</t>
  </si>
  <si>
    <t>Administrative Expenses</t>
  </si>
  <si>
    <t>Governance Expenses</t>
  </si>
  <si>
    <t>LLP</t>
  </si>
  <si>
    <t>Net Surplus</t>
  </si>
  <si>
    <t>RISK CLASSIFICATION OF ASSETS AND PROVISIONING</t>
  </si>
  <si>
    <t>SACCO SOCIETY CS NUMBER</t>
  </si>
  <si>
    <t xml:space="preserve">FINANCIAL YEAR </t>
  </si>
  <si>
    <t>START DATE:</t>
  </si>
  <si>
    <t>END DATE:</t>
  </si>
  <si>
    <r>
      <t xml:space="preserve">                                                            </t>
    </r>
    <r>
      <rPr>
        <b/>
        <sz val="11"/>
        <rFont val="Cambria"/>
        <family val="1"/>
      </rPr>
      <t>PORTFOLIO AGEING REPORT</t>
    </r>
  </si>
  <si>
    <t>A</t>
  </si>
  <si>
    <t>B</t>
  </si>
  <si>
    <t>C</t>
  </si>
  <si>
    <t>D</t>
  </si>
  <si>
    <t>NO.</t>
  </si>
  <si>
    <t>CLASSIFICATION</t>
  </si>
  <si>
    <t>NO. OF A/Cs</t>
  </si>
  <si>
    <t>OUTSTANDING LOAN PORTFOLIO(Kshs)</t>
  </si>
  <si>
    <t>REQUIRED PROVISION</t>
  </si>
  <si>
    <t>REQUIRED PROVISION AMOUNT(Kshs)</t>
  </si>
  <si>
    <t>Performing</t>
  </si>
  <si>
    <t>Watch</t>
  </si>
  <si>
    <t>Substandard</t>
  </si>
  <si>
    <t>Doubtful</t>
  </si>
  <si>
    <t>Loss</t>
  </si>
  <si>
    <t>subtotal</t>
  </si>
  <si>
    <t>Reschedule/Renegotiated loans</t>
  </si>
  <si>
    <t>GRAND TOTAL</t>
  </si>
  <si>
    <t>STATEMENT OF FINANCIAL POSITION</t>
  </si>
  <si>
    <t>AUDITED 2021</t>
  </si>
  <si>
    <t>Audited -22</t>
  </si>
  <si>
    <t>Cash &amp; Cash Equivalent</t>
  </si>
  <si>
    <t>Cash in hand</t>
  </si>
  <si>
    <t>Cash at bank</t>
  </si>
  <si>
    <t>Prepayments &amp; Sundry Receivables</t>
  </si>
  <si>
    <t>Financial Investments</t>
  </si>
  <si>
    <t xml:space="preserve">Government Securities - Treasury Bills/bonds,  </t>
  </si>
  <si>
    <t>Other Securities - Commercial papers/Bonds</t>
  </si>
  <si>
    <t>Balances  in NACCOS (E.g Jungu Kuu, ESS, Savings,Money Market,Coop FD, CFP)</t>
  </si>
  <si>
    <t>Equity Investments in NACCOs(Shares in- CIC, KUSCCO, COOP BANK,CAK, KERUSSU)</t>
  </si>
  <si>
    <t xml:space="preserve">Equity Investments in companies - shares/stocks </t>
  </si>
  <si>
    <t>Net Loan Portfolio</t>
  </si>
  <si>
    <t>Gross Loan Portfolio</t>
  </si>
  <si>
    <t>Allowance for Loan Loss</t>
  </si>
  <si>
    <t>Accounts Receivables</t>
  </si>
  <si>
    <t>Tax Recoverable</t>
  </si>
  <si>
    <t>Deferred Tax Assets</t>
  </si>
  <si>
    <t>Retirement Benefit Assets</t>
  </si>
  <si>
    <t>Property &amp; Equipment &amp; Other assets</t>
  </si>
  <si>
    <t>Investment Properties</t>
  </si>
  <si>
    <t>Property &amp; Equipment</t>
  </si>
  <si>
    <t>Prepaid Lease rentals</t>
  </si>
  <si>
    <t>Intangible Assets</t>
  </si>
  <si>
    <t>Other Assets</t>
  </si>
  <si>
    <t>LIABILITIES</t>
  </si>
  <si>
    <t>Savings Deposits - Withdrawable deposits - FOSA)</t>
  </si>
  <si>
    <t>Short Term Deposits (e.g Fixed deposits, special savings)</t>
  </si>
  <si>
    <t>Non withdrawable deposits (BOSA member deposits)</t>
  </si>
  <si>
    <t>Total Deposit liabilities</t>
  </si>
  <si>
    <t>Accounts Payable &amp; Other Liabilities</t>
  </si>
  <si>
    <t>Tax Payable</t>
  </si>
  <si>
    <t>Dividends Payable</t>
  </si>
  <si>
    <t>Deferred Tax Liability</t>
  </si>
  <si>
    <t>Retirement Benefits Liability</t>
  </si>
  <si>
    <t>Other Liabilities</t>
  </si>
  <si>
    <t>External Borrowings</t>
  </si>
  <si>
    <t>Total Liabilities</t>
  </si>
  <si>
    <t>EQUITY</t>
  </si>
  <si>
    <t>Share Capital (Members share capital per Bylaws)</t>
  </si>
  <si>
    <t>Capital Grants</t>
  </si>
  <si>
    <t>Prior Years' Retained Earnings</t>
  </si>
  <si>
    <t>Current Year's Surplus</t>
  </si>
  <si>
    <t>Other Equity Accounts</t>
  </si>
  <si>
    <t>Statutory Reserve</t>
  </si>
  <si>
    <t>Other Reserves (provide notes on these reserves)</t>
  </si>
  <si>
    <t>Revaluation Reserves (Not part of core capital)</t>
  </si>
  <si>
    <t>Adjustment to Equity</t>
  </si>
  <si>
    <t>Total Equity</t>
  </si>
  <si>
    <t>Total Liabilities and  Equity</t>
  </si>
  <si>
    <t>STIMA  SACCO SOCIETY LTD</t>
  </si>
  <si>
    <t>STATEMENT OF COMPREHENSIVE INCOME</t>
  </si>
  <si>
    <t>Audited-22</t>
  </si>
  <si>
    <t xml:space="preserve">Financial Income </t>
  </si>
  <si>
    <t>Financial Income from Loans Portfolio</t>
  </si>
  <si>
    <t>Interest on Loan Portfolio</t>
  </si>
  <si>
    <t>Fees &amp; Commission on Loan Portfolio</t>
  </si>
  <si>
    <t>Financial Income from Investments in:</t>
  </si>
  <si>
    <t>Government Securities</t>
  </si>
  <si>
    <t>Deposit with Banks and Other Financial Inst.</t>
  </si>
  <si>
    <t>Other Investments - dividend &amp; Interest incomes from investments</t>
  </si>
  <si>
    <t>Other Operating Income- Salary processing fees, transaction fees, membership fees</t>
  </si>
  <si>
    <t>Financial Expense</t>
  </si>
  <si>
    <t>Interest Expense on Deposits</t>
  </si>
  <si>
    <t>Cost of External Borrowings</t>
  </si>
  <si>
    <t>Dividend Expenses (on member shares)</t>
  </si>
  <si>
    <t>Other Financial Expense</t>
  </si>
  <si>
    <t>Fees &amp; Commission Expense</t>
  </si>
  <si>
    <t>Other Expense</t>
  </si>
  <si>
    <t>Net Financial Income/(Loss)</t>
  </si>
  <si>
    <t>Provision for Loan Losses</t>
  </si>
  <si>
    <t>Value of Loans Recovered</t>
  </si>
  <si>
    <t>Operating Expenses</t>
  </si>
  <si>
    <t>Personnel Expenses</t>
  </si>
  <si>
    <t>Marketing Expenses</t>
  </si>
  <si>
    <t>Depreciation and Amortization Charges</t>
  </si>
  <si>
    <t>Net Operating Income</t>
  </si>
  <si>
    <t>Net Non- Operating Income/ (Expense)</t>
  </si>
  <si>
    <t>Non- Operating Income</t>
  </si>
  <si>
    <t>Non- Operating Expense</t>
  </si>
  <si>
    <t>Net Income (Before Taxes and Donations)</t>
  </si>
  <si>
    <r>
      <t xml:space="preserve">Taxes </t>
    </r>
    <r>
      <rPr>
        <i/>
        <sz val="11"/>
        <rFont val="Cambria"/>
        <family val="1"/>
      </rPr>
      <t>(Incomes taxes &amp; Other payable to KRA)</t>
    </r>
  </si>
  <si>
    <t>Net Income (After Taxes before Donations)</t>
  </si>
  <si>
    <t>Donations</t>
  </si>
  <si>
    <t>Net Income/(After Taxes and Donations)</t>
  </si>
  <si>
    <t>AUDITED 2015</t>
  </si>
  <si>
    <t>AUDITED 2016</t>
  </si>
  <si>
    <t>AUDITED 2017</t>
  </si>
  <si>
    <t>AUDITED 2018</t>
  </si>
  <si>
    <t>MAGADI  SACCO SOCIETY LIMITED</t>
  </si>
  <si>
    <t>PERFORMANCE AND COMPLIANCE REPORT AS AT :  31st December , 2020</t>
  </si>
  <si>
    <t>Prudential Standard</t>
  </si>
  <si>
    <t>Audited</t>
  </si>
  <si>
    <t>Returns</t>
  </si>
  <si>
    <t>Aggregate for all Licensed Saccos</t>
  </si>
  <si>
    <t xml:space="preserve"> 30th September  , 2020</t>
  </si>
  <si>
    <t xml:space="preserve"> 31st December  , 2020</t>
  </si>
  <si>
    <t>A. CAPITAL  ADEQUACY</t>
  </si>
  <si>
    <t xml:space="preserve">Core Capital </t>
  </si>
  <si>
    <r>
      <rPr>
        <sz val="11"/>
        <color indexed="8"/>
        <rFont val="Calibri"/>
        <family val="2"/>
      </rPr>
      <t>≥</t>
    </r>
    <r>
      <rPr>
        <sz val="11"/>
        <color indexed="8"/>
        <rFont val="Cambria"/>
        <family val="1"/>
      </rPr>
      <t>10M</t>
    </r>
  </si>
  <si>
    <t>Core Capital/Total Assets</t>
  </si>
  <si>
    <r>
      <rPr>
        <sz val="11"/>
        <color indexed="8"/>
        <rFont val="Calibri"/>
        <family val="2"/>
      </rPr>
      <t>≥</t>
    </r>
    <r>
      <rPr>
        <sz val="11"/>
        <color indexed="8"/>
        <rFont val="Cambria"/>
        <family val="1"/>
      </rPr>
      <t>10%</t>
    </r>
  </si>
  <si>
    <r>
      <rPr>
        <sz val="11"/>
        <color indexed="8"/>
        <rFont val="Calibri"/>
        <family val="2"/>
      </rPr>
      <t>≥</t>
    </r>
    <r>
      <rPr>
        <sz val="11"/>
        <color indexed="8"/>
        <rFont val="Cambria"/>
        <family val="1"/>
      </rPr>
      <t>8%</t>
    </r>
  </si>
  <si>
    <t>B. ASSET QUALITY</t>
  </si>
  <si>
    <t>NPL  (Substandard+Doubtful+Loss)</t>
  </si>
  <si>
    <t>&lt;5%</t>
  </si>
  <si>
    <t>&lt;10%</t>
  </si>
  <si>
    <t>Equity investments/Deposits</t>
  </si>
  <si>
    <t>Equity investments/Core capital</t>
  </si>
  <si>
    <t>&lt;40%</t>
  </si>
  <si>
    <t>C. EARNINGS RATING</t>
  </si>
  <si>
    <t xml:space="preserve">Yield on Gross Loans </t>
  </si>
  <si>
    <t>Total Expense/Total Income</t>
  </si>
  <si>
    <t>Net Income/Average Assets (ROA)</t>
  </si>
  <si>
    <t>Operating Expenses/Financial Income (OPEX)</t>
  </si>
  <si>
    <t>D. LIQUIDITY</t>
  </si>
  <si>
    <t>Liquid Assets/Short-term Liabilities</t>
  </si>
  <si>
    <t>&gt;15%</t>
  </si>
  <si>
    <t>External Borrowing/Total Assets</t>
  </si>
  <si>
    <t>&lt;25%</t>
  </si>
  <si>
    <t>Liquid Assets/Total Assets</t>
  </si>
  <si>
    <t>E. STRUCTURE/SENSITIVITY TO RISK</t>
  </si>
  <si>
    <t>Gross loans /Total Assets</t>
  </si>
  <si>
    <t>70-80</t>
  </si>
  <si>
    <t>Gross loans/Deposits</t>
  </si>
  <si>
    <t>&gt;100%</t>
  </si>
  <si>
    <t>Financial Investments/Total Assets</t>
  </si>
  <si>
    <t>Dividends+Interest on Deposits/Total Income</t>
  </si>
  <si>
    <t>F. KEY FINANCIAL STATISTICS</t>
  </si>
  <si>
    <t>AGGREGATE</t>
  </si>
  <si>
    <t>Average Assets</t>
  </si>
  <si>
    <t>Gross Loans</t>
  </si>
  <si>
    <t>Institutional Capital</t>
  </si>
  <si>
    <t>Non-performing Loans</t>
  </si>
  <si>
    <t>Equity Investments</t>
  </si>
  <si>
    <t>Liquid Assets</t>
  </si>
  <si>
    <t>Short-term Liabilities)</t>
  </si>
  <si>
    <t>External Borrowing</t>
  </si>
  <si>
    <t>Average Gross Loans</t>
  </si>
  <si>
    <t>Total Income</t>
  </si>
  <si>
    <t>Net Financial Income/Loss</t>
  </si>
  <si>
    <t>Dividends+Interest on Deposits</t>
  </si>
  <si>
    <t>Interest on Loan portfolio+Fees&amp;Commission on Loan</t>
  </si>
  <si>
    <t>Total Expenses</t>
  </si>
  <si>
    <t>Net Income</t>
  </si>
  <si>
    <t>G. AREAS OF IMPROVEMENT/REGULATORY CONCERNS</t>
  </si>
  <si>
    <t>Prepared by:</t>
  </si>
  <si>
    <t>Checked by:</t>
  </si>
  <si>
    <t>Approved by:</t>
  </si>
  <si>
    <t>DISCLAIMER: This report is prepared based on information submitted by the Sacco as at the stated date and may change upon verification by the Authority.</t>
  </si>
  <si>
    <t>EGERTON  SACCO SOCIETY LIMITED</t>
  </si>
  <si>
    <t>PERFORMANCE AND COMPLIANCE REPORT AS AT :  31st December , 2019</t>
  </si>
  <si>
    <t>Audited 2019</t>
  </si>
  <si>
    <t xml:space="preserve"> 30th September  , 2019</t>
  </si>
  <si>
    <t xml:space="preserve"> 31st December  , 2019</t>
  </si>
  <si>
    <t>Checked by: Nelly Kulei</t>
  </si>
  <si>
    <t>Approved by: Peter Owira</t>
  </si>
  <si>
    <t>22nd January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</si>
</sst>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(* #,##0.00_);_(* \(#,##0.00\);_(* &quot;-&quot;??_);_(@_)"/>
    <numFmt numFmtId="164" formatCode="_-* #,##0.00_-;\-* #,##0.00_-;_-* &quot;-&quot;??_-;_-@_-"/>
    <numFmt numFmtId="165" formatCode="&quot;£&quot;#,##0;\-&quot;£&quot;#,##0"/>
    <numFmt numFmtId="166" formatCode="_(* #,##0_);_(* \(#,##0\);_(* &quot;-&quot;??_);_(@_)"/>
    <numFmt numFmtId="167" formatCode="_(* #,##0.00_);_(* \(#,##0.00\);_(* \-??_);_(@_)"/>
    <numFmt numFmtId="168" formatCode="[$-10409]#,##0.00;\-\ #,##0.00"/>
    <numFmt numFmtId="169" formatCode="d/mmm/yy"/>
    <numFmt numFmtId="170" formatCode="\£#,##0;&quot;-£&quot;#,##0"/>
    <numFmt numFmtId="171" formatCode="_-* #,##0.00_-;\-* #,##0.00_-;_-* \-??_-;_-@_-"/>
    <numFmt numFmtId="172" formatCode="0.0"/>
    <numFmt numFmtId="173" formatCode="0.0%"/>
    <numFmt numFmtId="174" formatCode="[$-10409]0.00;\-\ 0.00"/>
    <numFmt numFmtId="175" formatCode="_-* #,##0_-;\-* #,##0_-;_-* &quot;-&quot;??_-;_-@_-"/>
    <numFmt numFmtId="176" formatCode="[$-409]mmm\-yy;@"/>
  </numFmts>
  <fonts count="58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1"/>
      <color indexed="9"/>
      <name val="Arial"/>
      <family val="2"/>
    </font>
    <font>
      <sz val="10"/>
      <color indexed="9"/>
      <name val="Trebuchet MS"/>
      <family val="2"/>
    </font>
    <font>
      <b/>
      <sz val="11"/>
      <color indexed="9"/>
      <name val="Arial"/>
      <family val="2"/>
    </font>
    <font>
      <sz val="8"/>
      <color indexed="8"/>
      <name val="Trebuchet MS"/>
      <family val="2"/>
    </font>
    <font>
      <b/>
      <sz val="8.3000000000000007"/>
      <color indexed="8"/>
      <name val="Arial"/>
      <family val="2"/>
    </font>
    <font>
      <sz val="10"/>
      <name val="Arial Narrow"/>
      <family val="2"/>
    </font>
    <font>
      <sz val="11"/>
      <color indexed="62"/>
      <name val="Arial"/>
      <family val="2"/>
    </font>
    <font>
      <sz val="10"/>
      <color indexed="8"/>
      <name val="MS Sans Serif"/>
      <family val="2"/>
    </font>
    <font>
      <b/>
      <sz val="11"/>
      <color indexed="8"/>
      <name val="Arial"/>
      <family val="2"/>
    </font>
    <font>
      <sz val="10"/>
      <name val="Cambria"/>
      <family val="1"/>
    </font>
    <font>
      <sz val="11"/>
      <name val="Cambria"/>
      <family val="1"/>
    </font>
    <font>
      <b/>
      <sz val="11"/>
      <name val="Cambria"/>
      <family val="1"/>
    </font>
    <font>
      <b/>
      <sz val="10"/>
      <name val="Arial"/>
      <family val="2"/>
    </font>
    <font>
      <i/>
      <sz val="11"/>
      <name val="Cambria"/>
      <family val="1"/>
    </font>
    <font>
      <b/>
      <sz val="12"/>
      <name val="Cambria"/>
      <family val="1"/>
    </font>
    <font>
      <sz val="11"/>
      <color indexed="8"/>
      <name val="Cambria"/>
      <family val="1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Arial"/>
      <family val="2"/>
    </font>
    <font>
      <sz val="10"/>
      <color theme="0"/>
      <name val="Trebuchet MS"/>
      <family val="2"/>
    </font>
    <font>
      <b/>
      <sz val="11"/>
      <color theme="0"/>
      <name val="Arial"/>
      <family val="2"/>
    </font>
    <font>
      <sz val="11"/>
      <color rgb="FF3F3F76"/>
      <name val="Arial"/>
      <family val="2"/>
    </font>
    <font>
      <sz val="8"/>
      <color theme="1"/>
      <name val="Trebuchet MS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rgb="FFFF0000"/>
      <name val="Calibri"/>
      <family val="2"/>
      <scheme val="minor"/>
    </font>
    <font>
      <sz val="10"/>
      <name val="Cambria"/>
      <family val="1"/>
      <scheme val="major"/>
    </font>
    <font>
      <b/>
      <sz val="10"/>
      <name val="Cambria"/>
      <family val="1"/>
      <scheme val="major"/>
    </font>
    <font>
      <b/>
      <sz val="10"/>
      <color indexed="8"/>
      <name val="Cambria"/>
      <family val="1"/>
      <scheme val="major"/>
    </font>
    <font>
      <b/>
      <sz val="10"/>
      <color theme="1"/>
      <name val="Cambria"/>
      <family val="1"/>
      <scheme val="major"/>
    </font>
    <font>
      <i/>
      <sz val="10"/>
      <name val="Cambria"/>
      <family val="1"/>
      <scheme val="major"/>
    </font>
    <font>
      <sz val="10"/>
      <color indexed="8"/>
      <name val="Cambria"/>
      <family val="1"/>
      <scheme val="major"/>
    </font>
    <font>
      <i/>
      <sz val="10"/>
      <color indexed="8"/>
      <name val="Cambria"/>
      <family val="1"/>
      <scheme val="major"/>
    </font>
    <font>
      <sz val="10"/>
      <color theme="1"/>
      <name val="Cambria"/>
      <family val="1"/>
      <scheme val="major"/>
    </font>
    <font>
      <i/>
      <sz val="10"/>
      <color theme="1"/>
      <name val="Cambria"/>
      <family val="1"/>
      <scheme val="major"/>
    </font>
    <font>
      <b/>
      <i/>
      <sz val="10"/>
      <name val="Cambria"/>
      <family val="1"/>
      <scheme val="major"/>
    </font>
    <font>
      <b/>
      <i/>
      <sz val="10"/>
      <color theme="1"/>
      <name val="Cambria"/>
      <family val="1"/>
      <scheme val="major"/>
    </font>
    <font>
      <b/>
      <sz val="10"/>
      <color rgb="FFFF0000"/>
      <name val="Cambria"/>
      <family val="1"/>
      <scheme val="major"/>
    </font>
    <font>
      <sz val="11"/>
      <color theme="1"/>
      <name val="Cambria"/>
      <family val="1"/>
      <scheme val="major"/>
    </font>
    <font>
      <b/>
      <sz val="11"/>
      <name val="Cambria"/>
      <family val="1"/>
      <scheme val="major"/>
    </font>
    <font>
      <sz val="11"/>
      <name val="Cambria"/>
      <family val="1"/>
      <scheme val="major"/>
    </font>
    <font>
      <b/>
      <sz val="12"/>
      <name val="Cambria"/>
      <family val="1"/>
      <scheme val="major"/>
    </font>
    <font>
      <b/>
      <sz val="11"/>
      <color theme="1"/>
      <name val="Cambria"/>
      <family val="1"/>
      <scheme val="major"/>
    </font>
    <font>
      <b/>
      <sz val="20"/>
      <color theme="1"/>
      <name val="Calibri"/>
      <family val="2"/>
      <scheme val="minor"/>
    </font>
    <font>
      <sz val="12"/>
      <name val="Cambria"/>
      <family val="1"/>
      <scheme val="major"/>
    </font>
    <font>
      <sz val="12"/>
      <color theme="1"/>
      <name val="Cambria"/>
      <family val="1"/>
      <scheme val="major"/>
    </font>
    <font>
      <sz val="11"/>
      <color theme="1"/>
      <name val="Cambria"/>
      <family val="1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indexed="8"/>
      <name val="Cambria"/>
      <family val="1"/>
      <scheme val="major"/>
    </font>
    <font>
      <b/>
      <sz val="11"/>
      <name val="Calibri"/>
      <family val="2"/>
      <scheme val="minor"/>
    </font>
    <font>
      <b/>
      <sz val="11"/>
      <color theme="1"/>
      <name val="Cambria"/>
      <family val="1"/>
    </font>
    <font>
      <sz val="8"/>
      <name val="Calibri"/>
      <family val="2"/>
      <scheme val="minor"/>
    </font>
    <font>
      <sz val="10"/>
      <color rgb="FF000000"/>
      <name val="Arial"/>
      <charset val="1"/>
    </font>
    <font>
      <sz val="9"/>
      <color rgb="FF000000"/>
      <name val="Arial"/>
      <charset val="1"/>
    </font>
  </fonts>
  <fills count="23">
    <fill>
      <patternFill patternType="none"/>
    </fill>
    <fill>
      <patternFill patternType="gray125"/>
    </fill>
    <fill>
      <patternFill patternType="solid">
        <fgColor indexed="29"/>
        <bgColor indexed="45"/>
      </patternFill>
    </fill>
    <fill>
      <patternFill patternType="solid">
        <fgColor indexed="62"/>
        <bgColor indexed="59"/>
      </patternFill>
    </fill>
    <fill>
      <patternFill patternType="solid">
        <fgColor indexed="49"/>
        <bgColor indexed="40"/>
      </patternFill>
    </fill>
    <fill>
      <patternFill patternType="solid">
        <fgColor indexed="55"/>
        <bgColor indexed="23"/>
      </patternFill>
    </fill>
    <fill>
      <patternFill patternType="solid">
        <fgColor indexed="47"/>
        <bgColor indexed="22"/>
      </patternFill>
    </fill>
    <fill>
      <patternFill patternType="solid">
        <fgColor indexed="26"/>
        <bgColor indexed="9"/>
      </patternFill>
    </fill>
    <fill>
      <patternFill patternType="solid">
        <fgColor indexed="47"/>
        <bgColor indexed="64"/>
      </patternFill>
    </fill>
    <fill>
      <patternFill patternType="solid">
        <fgColor indexed="52"/>
        <bgColor indexed="51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8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9" tint="0.39997558519241921"/>
        <bgColor indexed="64"/>
      </patternFill>
    </fill>
  </fills>
  <borders count="6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 style="thin">
        <color indexed="59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/>
      <diagonal/>
    </border>
    <border>
      <left style="thin">
        <color indexed="59"/>
      </left>
      <right/>
      <top style="thin">
        <color indexed="59"/>
      </top>
      <bottom style="thin">
        <color indexed="59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12"/>
      </left>
      <right/>
      <top style="thin">
        <color indexed="12"/>
      </top>
      <bottom style="thin">
        <color indexed="12"/>
      </bottom>
      <diagonal/>
    </border>
    <border>
      <left style="thin">
        <color indexed="59"/>
      </left>
      <right style="thin">
        <color indexed="59"/>
      </right>
      <top/>
      <bottom style="thin">
        <color indexed="59"/>
      </bottom>
      <diagonal/>
    </border>
    <border>
      <left style="thin">
        <color indexed="59"/>
      </left>
      <right style="thin">
        <color indexed="59"/>
      </right>
      <top/>
      <bottom/>
      <diagonal/>
    </border>
    <border>
      <left style="thin">
        <color indexed="12"/>
      </left>
      <right/>
      <top/>
      <bottom style="thin">
        <color indexed="12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59"/>
      </left>
      <right/>
      <top style="thin">
        <color indexed="59"/>
      </top>
      <bottom/>
      <diagonal/>
    </border>
    <border>
      <left style="thin">
        <color indexed="59"/>
      </left>
      <right/>
      <top/>
      <bottom/>
      <diagonal/>
    </border>
    <border>
      <left style="thin">
        <color indexed="59"/>
      </left>
      <right/>
      <top/>
      <bottom style="thin">
        <color indexed="59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 count="690">
    <xf numFmtId="0" fontId="0" fillId="0" borderId="0"/>
    <xf numFmtId="0" fontId="3" fillId="2" borderId="0" applyNumberFormat="0" applyBorder="0" applyAlignment="0" applyProtection="0"/>
    <xf numFmtId="0" fontId="21" fillId="10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22" fillId="11" borderId="0" applyNumberFormat="0" applyBorder="0" applyAlignment="0" applyProtection="0"/>
    <xf numFmtId="0" fontId="4" fillId="3" borderId="0" applyNumberFormat="0" applyBorder="0" applyAlignment="0" applyProtection="0"/>
    <xf numFmtId="0" fontId="22" fillId="11" borderId="0" applyNumberFormat="0" applyBorder="0" applyAlignment="0" applyProtection="0"/>
    <xf numFmtId="0" fontId="4" fillId="3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4" fillId="3" borderId="0" applyNumberFormat="0" applyBorder="0" applyAlignment="0" applyProtection="0"/>
    <xf numFmtId="0" fontId="22" fillId="11" borderId="0" applyNumberFormat="0" applyBorder="0" applyAlignment="0" applyProtection="0"/>
    <xf numFmtId="0" fontId="4" fillId="3" borderId="0" applyNumberFormat="0" applyBorder="0" applyAlignment="0" applyProtection="0"/>
    <xf numFmtId="0" fontId="22" fillId="11" borderId="0" applyNumberFormat="0" applyBorder="0" applyAlignment="0" applyProtection="0"/>
    <xf numFmtId="0" fontId="4" fillId="3" borderId="0" applyNumberFormat="0" applyBorder="0" applyAlignment="0" applyProtection="0"/>
    <xf numFmtId="0" fontId="22" fillId="11" borderId="0" applyNumberFormat="0" applyBorder="0" applyAlignment="0" applyProtection="0"/>
    <xf numFmtId="0" fontId="4" fillId="3" borderId="0" applyNumberFormat="0" applyBorder="0" applyAlignment="0" applyProtection="0"/>
    <xf numFmtId="0" fontId="22" fillId="11" borderId="0" applyNumberFormat="0" applyBorder="0" applyAlignment="0" applyProtection="0"/>
    <xf numFmtId="0" fontId="4" fillId="3" borderId="0" applyNumberFormat="0" applyBorder="0" applyAlignment="0" applyProtection="0"/>
    <xf numFmtId="0" fontId="22" fillId="11" borderId="0" applyNumberFormat="0" applyBorder="0" applyAlignment="0" applyProtection="0"/>
    <xf numFmtId="0" fontId="4" fillId="3" borderId="0" applyNumberFormat="0" applyBorder="0" applyAlignment="0" applyProtection="0"/>
    <xf numFmtId="0" fontId="22" fillId="11" borderId="0" applyNumberFormat="0" applyBorder="0" applyAlignment="0" applyProtection="0"/>
    <xf numFmtId="0" fontId="4" fillId="3" borderId="0" applyNumberFormat="0" applyBorder="0" applyAlignment="0" applyProtection="0"/>
    <xf numFmtId="0" fontId="22" fillId="11" borderId="0" applyNumberFormat="0" applyBorder="0" applyAlignment="0" applyProtection="0"/>
    <xf numFmtId="0" fontId="4" fillId="3" borderId="0" applyNumberFormat="0" applyBorder="0" applyAlignment="0" applyProtection="0"/>
    <xf numFmtId="0" fontId="22" fillId="11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22" fillId="12" borderId="0" applyNumberFormat="0" applyBorder="0" applyAlignment="0" applyProtection="0"/>
    <xf numFmtId="0" fontId="4" fillId="4" borderId="0" applyNumberFormat="0" applyBorder="0" applyAlignment="0" applyProtection="0"/>
    <xf numFmtId="0" fontId="22" fillId="12" borderId="0" applyNumberFormat="0" applyBorder="0" applyAlignment="0" applyProtection="0"/>
    <xf numFmtId="0" fontId="4" fillId="4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4" fillId="4" borderId="0" applyNumberFormat="0" applyBorder="0" applyAlignment="0" applyProtection="0"/>
    <xf numFmtId="0" fontId="22" fillId="12" borderId="0" applyNumberFormat="0" applyBorder="0" applyAlignment="0" applyProtection="0"/>
    <xf numFmtId="0" fontId="4" fillId="4" borderId="0" applyNumberFormat="0" applyBorder="0" applyAlignment="0" applyProtection="0"/>
    <xf numFmtId="0" fontId="22" fillId="12" borderId="0" applyNumberFormat="0" applyBorder="0" applyAlignment="0" applyProtection="0"/>
    <xf numFmtId="0" fontId="4" fillId="4" borderId="0" applyNumberFormat="0" applyBorder="0" applyAlignment="0" applyProtection="0"/>
    <xf numFmtId="0" fontId="22" fillId="12" borderId="0" applyNumberFormat="0" applyBorder="0" applyAlignment="0" applyProtection="0"/>
    <xf numFmtId="0" fontId="4" fillId="4" borderId="0" applyNumberFormat="0" applyBorder="0" applyAlignment="0" applyProtection="0"/>
    <xf numFmtId="0" fontId="22" fillId="12" borderId="0" applyNumberFormat="0" applyBorder="0" applyAlignment="0" applyProtection="0"/>
    <xf numFmtId="0" fontId="4" fillId="4" borderId="0" applyNumberFormat="0" applyBorder="0" applyAlignment="0" applyProtection="0"/>
    <xf numFmtId="0" fontId="22" fillId="12" borderId="0" applyNumberFormat="0" applyBorder="0" applyAlignment="0" applyProtection="0"/>
    <xf numFmtId="0" fontId="4" fillId="4" borderId="0" applyNumberFormat="0" applyBorder="0" applyAlignment="0" applyProtection="0"/>
    <xf numFmtId="0" fontId="22" fillId="12" borderId="0" applyNumberFormat="0" applyBorder="0" applyAlignment="0" applyProtection="0"/>
    <xf numFmtId="0" fontId="4" fillId="4" borderId="0" applyNumberFormat="0" applyBorder="0" applyAlignment="0" applyProtection="0"/>
    <xf numFmtId="0" fontId="22" fillId="12" borderId="0" applyNumberFormat="0" applyBorder="0" applyAlignment="0" applyProtection="0"/>
    <xf numFmtId="0" fontId="4" fillId="4" borderId="0" applyNumberFormat="0" applyBorder="0" applyAlignment="0" applyProtection="0"/>
    <xf numFmtId="0" fontId="22" fillId="12" borderId="0" applyNumberFormat="0" applyBorder="0" applyAlignment="0" applyProtection="0"/>
    <xf numFmtId="0" fontId="5" fillId="5" borderId="2" applyNumberFormat="0" applyAlignment="0" applyProtection="0"/>
    <xf numFmtId="0" fontId="23" fillId="13" borderId="56" applyNumberFormat="0" applyAlignment="0" applyProtection="0"/>
    <xf numFmtId="43" fontId="20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9" fontId="2" fillId="0" borderId="0" applyFill="0" applyBorder="0" applyAlignment="0" applyProtection="0"/>
    <xf numFmtId="16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70" fontId="2" fillId="0" borderId="0" applyFill="0" applyBorder="0" applyAlignment="0" applyProtection="0"/>
    <xf numFmtId="165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6" fillId="0" borderId="0" applyFont="0" applyFill="0" applyBorder="0" applyAlignment="0" applyProtection="0"/>
    <xf numFmtId="171" fontId="2" fillId="0" borderId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71" fontId="2" fillId="0" borderId="0" applyFill="0" applyBorder="0" applyAlignment="0" applyProtection="0"/>
    <xf numFmtId="164" fontId="8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0" fontId="9" fillId="6" borderId="1" applyNumberFormat="0" applyAlignment="0" applyProtection="0"/>
    <xf numFmtId="0" fontId="24" fillId="14" borderId="55" applyNumberFormat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20" fillId="0" borderId="0"/>
    <xf numFmtId="0" fontId="1" fillId="0" borderId="0"/>
    <xf numFmtId="0" fontId="20" fillId="0" borderId="0"/>
    <xf numFmtId="0" fontId="1" fillId="0" borderId="0"/>
    <xf numFmtId="0" fontId="20" fillId="0" borderId="0"/>
    <xf numFmtId="0" fontId="20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5" fillId="0" borderId="0"/>
    <xf numFmtId="0" fontId="6" fillId="0" borderId="0"/>
    <xf numFmtId="0" fontId="25" fillId="0" borderId="0"/>
    <xf numFmtId="0" fontId="6" fillId="0" borderId="0"/>
    <xf numFmtId="0" fontId="25" fillId="0" borderId="0"/>
    <xf numFmtId="0" fontId="2" fillId="0" borderId="0"/>
    <xf numFmtId="0" fontId="2" fillId="0" borderId="0"/>
    <xf numFmtId="0" fontId="25" fillId="0" borderId="0"/>
    <xf numFmtId="0" fontId="2" fillId="0" borderId="0"/>
    <xf numFmtId="0" fontId="6" fillId="0" borderId="0"/>
    <xf numFmtId="0" fontId="25" fillId="0" borderId="0"/>
    <xf numFmtId="0" fontId="6" fillId="0" borderId="0"/>
    <xf numFmtId="0" fontId="25" fillId="0" borderId="0"/>
    <xf numFmtId="0" fontId="6" fillId="0" borderId="0"/>
    <xf numFmtId="0" fontId="25" fillId="0" borderId="0"/>
    <xf numFmtId="0" fontId="6" fillId="0" borderId="0"/>
    <xf numFmtId="0" fontId="25" fillId="0" borderId="0"/>
    <xf numFmtId="0" fontId="6" fillId="0" borderId="0"/>
    <xf numFmtId="0" fontId="25" fillId="0" borderId="0"/>
    <xf numFmtId="0" fontId="6" fillId="0" borderId="0"/>
    <xf numFmtId="0" fontId="25" fillId="0" borderId="0"/>
    <xf numFmtId="0" fontId="6" fillId="0" borderId="0"/>
    <xf numFmtId="0" fontId="25" fillId="0" borderId="0"/>
    <xf numFmtId="0" fontId="6" fillId="0" borderId="0"/>
    <xf numFmtId="0" fontId="25" fillId="0" borderId="0"/>
    <xf numFmtId="0" fontId="6" fillId="0" borderId="0"/>
    <xf numFmtId="0" fontId="25" fillId="0" borderId="0"/>
    <xf numFmtId="0" fontId="6" fillId="0" borderId="0"/>
    <xf numFmtId="0" fontId="25" fillId="0" borderId="0"/>
    <xf numFmtId="0" fontId="2" fillId="7" borderId="3" applyNumberFormat="0" applyAlignment="0" applyProtection="0"/>
    <xf numFmtId="0" fontId="2" fillId="15" borderId="57" applyNumberFormat="0" applyFont="0" applyAlignment="0" applyProtection="0"/>
    <xf numFmtId="9" fontId="20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ont="0" applyFill="0" applyBorder="0" applyAlignment="0" applyProtection="0"/>
    <xf numFmtId="9" fontId="2" fillId="0" borderId="0" applyFill="0" applyBorder="0" applyAlignment="0" applyProtection="0"/>
    <xf numFmtId="9" fontId="6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1" fillId="0" borderId="4" applyNumberFormat="0" applyFill="0" applyAlignment="0" applyProtection="0"/>
    <xf numFmtId="0" fontId="11" fillId="0" borderId="4" applyNumberFormat="0" applyFill="0" applyAlignment="0" applyProtection="0"/>
    <xf numFmtId="0" fontId="27" fillId="0" borderId="58" applyNumberFormat="0" applyFill="0" applyAlignment="0" applyProtection="0"/>
    <xf numFmtId="0" fontId="27" fillId="0" borderId="58" applyNumberFormat="0" applyFill="0" applyAlignment="0" applyProtection="0"/>
  </cellStyleXfs>
  <cellXfs count="397">
    <xf numFmtId="0" fontId="0" fillId="0" borderId="0" xfId="0"/>
    <xf numFmtId="0" fontId="29" fillId="0" borderId="0" xfId="640" applyFont="1"/>
    <xf numFmtId="0" fontId="30" fillId="0" borderId="0" xfId="640" applyFont="1"/>
    <xf numFmtId="0" fontId="29" fillId="0" borderId="0" xfId="640" applyFont="1" applyAlignment="1">
      <alignment horizontal="center"/>
    </xf>
    <xf numFmtId="0" fontId="31" fillId="0" borderId="0" xfId="640" applyFont="1"/>
    <xf numFmtId="0" fontId="31" fillId="0" borderId="5" xfId="640" applyFont="1" applyBorder="1"/>
    <xf numFmtId="0" fontId="31" fillId="0" borderId="6" xfId="640" applyFont="1" applyBorder="1"/>
    <xf numFmtId="0" fontId="31" fillId="8" borderId="6" xfId="640" applyFont="1" applyFill="1" applyBorder="1"/>
    <xf numFmtId="17" fontId="32" fillId="0" borderId="7" xfId="0" applyNumberFormat="1" applyFont="1" applyBorder="1"/>
    <xf numFmtId="172" fontId="31" fillId="0" borderId="8" xfId="640" applyNumberFormat="1" applyFont="1" applyBorder="1"/>
    <xf numFmtId="0" fontId="31" fillId="0" borderId="8" xfId="640" applyFont="1" applyBorder="1"/>
    <xf numFmtId="0" fontId="29" fillId="0" borderId="8" xfId="640" applyFont="1" applyBorder="1"/>
    <xf numFmtId="0" fontId="29" fillId="16" borderId="8" xfId="640" applyFont="1" applyFill="1" applyBorder="1"/>
    <xf numFmtId="172" fontId="29" fillId="0" borderId="8" xfId="640" applyNumberFormat="1" applyFont="1" applyBorder="1"/>
    <xf numFmtId="0" fontId="29" fillId="0" borderId="8" xfId="640" applyFont="1" applyBorder="1" applyAlignment="1">
      <alignment horizontal="right"/>
    </xf>
    <xf numFmtId="0" fontId="33" fillId="0" borderId="8" xfId="640" applyFont="1" applyBorder="1"/>
    <xf numFmtId="173" fontId="34" fillId="0" borderId="7" xfId="680" applyNumberFormat="1" applyFont="1" applyBorder="1" applyAlignment="1">
      <alignment horizontal="right"/>
    </xf>
    <xf numFmtId="0" fontId="35" fillId="16" borderId="8" xfId="640" applyFont="1" applyFill="1" applyBorder="1"/>
    <xf numFmtId="9" fontId="34" fillId="0" borderId="7" xfId="680" applyFont="1" applyBorder="1" applyAlignment="1">
      <alignment horizontal="right"/>
    </xf>
    <xf numFmtId="9" fontId="29" fillId="0" borderId="7" xfId="678" applyFont="1" applyBorder="1" applyAlignment="1">
      <alignment horizontal="right"/>
    </xf>
    <xf numFmtId="166" fontId="34" fillId="0" borderId="7" xfId="56" applyNumberFormat="1" applyFont="1" applyBorder="1" applyAlignment="1">
      <alignment horizontal="right"/>
    </xf>
    <xf numFmtId="0" fontId="30" fillId="16" borderId="8" xfId="640" applyFont="1" applyFill="1" applyBorder="1"/>
    <xf numFmtId="14" fontId="31" fillId="8" borderId="7" xfId="640" applyNumberFormat="1" applyFont="1" applyFill="1" applyBorder="1" applyAlignment="1">
      <alignment horizontal="right"/>
    </xf>
    <xf numFmtId="9" fontId="29" fillId="0" borderId="7" xfId="680" applyFont="1" applyBorder="1" applyAlignment="1">
      <alignment horizontal="right"/>
    </xf>
    <xf numFmtId="0" fontId="29" fillId="0" borderId="7" xfId="640" applyFont="1" applyBorder="1" applyAlignment="1">
      <alignment horizontal="right"/>
    </xf>
    <xf numFmtId="173" fontId="29" fillId="0" borderId="7" xfId="680" applyNumberFormat="1" applyFont="1" applyBorder="1" applyAlignment="1">
      <alignment horizontal="right"/>
    </xf>
    <xf numFmtId="0" fontId="36" fillId="0" borderId="0" xfId="0" applyFont="1"/>
    <xf numFmtId="0" fontId="32" fillId="0" borderId="9" xfId="0" applyFont="1" applyBorder="1"/>
    <xf numFmtId="0" fontId="32" fillId="0" borderId="10" xfId="0" applyFont="1" applyBorder="1"/>
    <xf numFmtId="0" fontId="32" fillId="0" borderId="11" xfId="0" applyFont="1" applyBorder="1"/>
    <xf numFmtId="0" fontId="29" fillId="0" borderId="12" xfId="0" applyFont="1" applyBorder="1"/>
    <xf numFmtId="0" fontId="29" fillId="0" borderId="11" xfId="0" applyFont="1" applyBorder="1"/>
    <xf numFmtId="0" fontId="29" fillId="0" borderId="0" xfId="0" applyFont="1"/>
    <xf numFmtId="172" fontId="29" fillId="0" borderId="13" xfId="0" applyNumberFormat="1" applyFont="1" applyBorder="1"/>
    <xf numFmtId="172" fontId="29" fillId="0" borderId="12" xfId="0" applyNumberFormat="1" applyFont="1" applyBorder="1"/>
    <xf numFmtId="172" fontId="29" fillId="0" borderId="14" xfId="0" applyNumberFormat="1" applyFont="1" applyBorder="1"/>
    <xf numFmtId="172" fontId="29" fillId="0" borderId="11" xfId="0" applyNumberFormat="1" applyFont="1" applyBorder="1"/>
    <xf numFmtId="0" fontId="32" fillId="0" borderId="0" xfId="0" applyFont="1"/>
    <xf numFmtId="172" fontId="29" fillId="0" borderId="9" xfId="0" applyNumberFormat="1" applyFont="1" applyBorder="1"/>
    <xf numFmtId="172" fontId="29" fillId="0" borderId="12" xfId="0" applyNumberFormat="1" applyFont="1" applyBorder="1" applyAlignment="1">
      <alignment horizontal="right"/>
    </xf>
    <xf numFmtId="172" fontId="29" fillId="0" borderId="14" xfId="0" applyNumberFormat="1" applyFont="1" applyBorder="1" applyAlignment="1">
      <alignment horizontal="right"/>
    </xf>
    <xf numFmtId="166" fontId="37" fillId="0" borderId="0" xfId="0" applyNumberFormat="1" applyFont="1"/>
    <xf numFmtId="0" fontId="37" fillId="0" borderId="0" xfId="0" applyFont="1"/>
    <xf numFmtId="0" fontId="29" fillId="0" borderId="14" xfId="0" applyFont="1" applyBorder="1"/>
    <xf numFmtId="0" fontId="33" fillId="0" borderId="0" xfId="0" applyFont="1"/>
    <xf numFmtId="43" fontId="32" fillId="0" borderId="0" xfId="56" applyFont="1" applyBorder="1"/>
    <xf numFmtId="172" fontId="29" fillId="0" borderId="15" xfId="0" applyNumberFormat="1" applyFont="1" applyBorder="1"/>
    <xf numFmtId="172" fontId="29" fillId="0" borderId="16" xfId="0" applyNumberFormat="1" applyFont="1" applyBorder="1"/>
    <xf numFmtId="172" fontId="29" fillId="0" borderId="17" xfId="0" applyNumberFormat="1" applyFont="1" applyBorder="1"/>
    <xf numFmtId="172" fontId="38" fillId="0" borderId="9" xfId="0" applyNumberFormat="1" applyFont="1" applyBorder="1"/>
    <xf numFmtId="0" fontId="38" fillId="0" borderId="10" xfId="0" applyFont="1" applyBorder="1"/>
    <xf numFmtId="0" fontId="29" fillId="0" borderId="18" xfId="0" applyFont="1" applyBorder="1"/>
    <xf numFmtId="0" fontId="29" fillId="0" borderId="19" xfId="0" applyFont="1" applyBorder="1"/>
    <xf numFmtId="0" fontId="29" fillId="0" borderId="20" xfId="0" applyFont="1" applyBorder="1"/>
    <xf numFmtId="43" fontId="36" fillId="0" borderId="0" xfId="53" applyFont="1"/>
    <xf numFmtId="43" fontId="36" fillId="0" borderId="7" xfId="53" applyFont="1" applyBorder="1"/>
    <xf numFmtId="43" fontId="29" fillId="0" borderId="7" xfId="53" applyFont="1" applyBorder="1"/>
    <xf numFmtId="0" fontId="31" fillId="0" borderId="21" xfId="640" applyFont="1" applyBorder="1" applyAlignment="1">
      <alignment horizontal="center"/>
    </xf>
    <xf numFmtId="0" fontId="31" fillId="8" borderId="22" xfId="640" applyFont="1" applyFill="1" applyBorder="1" applyAlignment="1">
      <alignment horizontal="center"/>
    </xf>
    <xf numFmtId="0" fontId="31" fillId="0" borderId="12" xfId="640" applyFont="1" applyBorder="1" applyAlignment="1">
      <alignment horizontal="center"/>
    </xf>
    <xf numFmtId="0" fontId="34" fillId="0" borderId="12" xfId="640" applyFont="1" applyBorder="1" applyAlignment="1">
      <alignment horizontal="center"/>
    </xf>
    <xf numFmtId="173" fontId="34" fillId="0" borderId="23" xfId="680" applyNumberFormat="1" applyFont="1" applyBorder="1"/>
    <xf numFmtId="9" fontId="34" fillId="0" borderId="12" xfId="680" applyFont="1" applyBorder="1" applyAlignment="1">
      <alignment horizontal="center"/>
    </xf>
    <xf numFmtId="0" fontId="31" fillId="0" borderId="23" xfId="640" applyFont="1" applyBorder="1"/>
    <xf numFmtId="173" fontId="34" fillId="0" borderId="12" xfId="680" applyNumberFormat="1" applyFont="1" applyBorder="1" applyAlignment="1">
      <alignment horizontal="center"/>
    </xf>
    <xf numFmtId="14" fontId="31" fillId="8" borderId="23" xfId="640" applyNumberFormat="1" applyFont="1" applyFill="1" applyBorder="1" applyAlignment="1">
      <alignment horizontal="center"/>
    </xf>
    <xf numFmtId="173" fontId="35" fillId="0" borderId="12" xfId="680" applyNumberFormat="1" applyFont="1" applyBorder="1" applyAlignment="1">
      <alignment horizontal="center"/>
    </xf>
    <xf numFmtId="173" fontId="35" fillId="0" borderId="23" xfId="680" applyNumberFormat="1" applyFont="1" applyBorder="1"/>
    <xf numFmtId="0" fontId="29" fillId="0" borderId="12" xfId="640" applyFont="1" applyBorder="1" applyAlignment="1">
      <alignment horizontal="center"/>
    </xf>
    <xf numFmtId="9" fontId="34" fillId="0" borderId="12" xfId="640" applyNumberFormat="1" applyFont="1" applyBorder="1" applyAlignment="1">
      <alignment horizontal="center"/>
    </xf>
    <xf numFmtId="0" fontId="29" fillId="0" borderId="7" xfId="640" applyFont="1" applyBorder="1" applyAlignment="1">
      <alignment horizontal="center"/>
    </xf>
    <xf numFmtId="173" fontId="29" fillId="0" borderId="7" xfId="680" applyNumberFormat="1" applyFont="1" applyBorder="1"/>
    <xf numFmtId="173" fontId="29" fillId="0" borderId="7" xfId="678" applyNumberFormat="1" applyFont="1" applyBorder="1"/>
    <xf numFmtId="0" fontId="30" fillId="0" borderId="7" xfId="640" applyFont="1" applyBorder="1" applyAlignment="1">
      <alignment horizontal="center"/>
    </xf>
    <xf numFmtId="173" fontId="30" fillId="0" borderId="7" xfId="680" applyNumberFormat="1" applyFont="1" applyBorder="1"/>
    <xf numFmtId="43" fontId="36" fillId="0" borderId="24" xfId="53" applyFont="1" applyFill="1" applyBorder="1"/>
    <xf numFmtId="166" fontId="29" fillId="0" borderId="7" xfId="53" applyNumberFormat="1" applyFont="1" applyFill="1" applyBorder="1" applyAlignment="1">
      <alignment horizontal="right"/>
    </xf>
    <xf numFmtId="173" fontId="34" fillId="0" borderId="23" xfId="680" applyNumberFormat="1" applyFont="1" applyFill="1" applyBorder="1"/>
    <xf numFmtId="173" fontId="35" fillId="0" borderId="23" xfId="680" applyNumberFormat="1" applyFont="1" applyFill="1" applyBorder="1"/>
    <xf numFmtId="173" fontId="29" fillId="0" borderId="23" xfId="680" applyNumberFormat="1" applyFont="1" applyFill="1" applyBorder="1"/>
    <xf numFmtId="0" fontId="29" fillId="0" borderId="7" xfId="640" applyFont="1" applyBorder="1"/>
    <xf numFmtId="172" fontId="29" fillId="0" borderId="7" xfId="640" applyNumberFormat="1" applyFont="1" applyBorder="1"/>
    <xf numFmtId="0" fontId="30" fillId="16" borderId="7" xfId="640" applyFont="1" applyFill="1" applyBorder="1"/>
    <xf numFmtId="0" fontId="29" fillId="16" borderId="7" xfId="640" applyFont="1" applyFill="1" applyBorder="1"/>
    <xf numFmtId="9" fontId="34" fillId="0" borderId="7" xfId="640" applyNumberFormat="1" applyFont="1" applyBorder="1" applyAlignment="1">
      <alignment horizontal="center"/>
    </xf>
    <xf numFmtId="172" fontId="30" fillId="0" borderId="7" xfId="640" applyNumberFormat="1" applyFont="1" applyBorder="1"/>
    <xf numFmtId="9" fontId="29" fillId="0" borderId="7" xfId="678" applyFont="1" applyBorder="1"/>
    <xf numFmtId="166" fontId="2" fillId="0" borderId="7" xfId="56" applyNumberFormat="1" applyFont="1" applyFill="1" applyBorder="1"/>
    <xf numFmtId="0" fontId="0" fillId="0" borderId="7" xfId="0" applyBorder="1"/>
    <xf numFmtId="0" fontId="2" fillId="0" borderId="7" xfId="0" applyFont="1" applyBorder="1"/>
    <xf numFmtId="0" fontId="0" fillId="0" borderId="12" xfId="0" applyBorder="1"/>
    <xf numFmtId="0" fontId="0" fillId="0" borderId="14" xfId="0" applyBorder="1"/>
    <xf numFmtId="0" fontId="34" fillId="0" borderId="7" xfId="640" applyFont="1" applyBorder="1" applyAlignment="1">
      <alignment horizontal="center"/>
    </xf>
    <xf numFmtId="0" fontId="34" fillId="0" borderId="24" xfId="640" applyFont="1" applyBorder="1" applyAlignment="1">
      <alignment horizontal="center"/>
    </xf>
    <xf numFmtId="0" fontId="26" fillId="0" borderId="16" xfId="0" applyFont="1" applyBorder="1"/>
    <xf numFmtId="0" fontId="26" fillId="0" borderId="25" xfId="0" applyFont="1" applyBorder="1"/>
    <xf numFmtId="0" fontId="26" fillId="0" borderId="26" xfId="0" applyFont="1" applyBorder="1"/>
    <xf numFmtId="0" fontId="26" fillId="0" borderId="0" xfId="0" applyFont="1"/>
    <xf numFmtId="43" fontId="32" fillId="0" borderId="18" xfId="56" applyFont="1" applyBorder="1"/>
    <xf numFmtId="0" fontId="37" fillId="0" borderId="18" xfId="0" applyFont="1" applyBorder="1"/>
    <xf numFmtId="0" fontId="32" fillId="0" borderId="27" xfId="0" applyFont="1" applyBorder="1"/>
    <xf numFmtId="9" fontId="37" fillId="0" borderId="18" xfId="680" applyFont="1" applyBorder="1"/>
    <xf numFmtId="0" fontId="39" fillId="0" borderId="18" xfId="0" applyFont="1" applyBorder="1"/>
    <xf numFmtId="0" fontId="37" fillId="0" borderId="20" xfId="0" applyFont="1" applyBorder="1"/>
    <xf numFmtId="0" fontId="39" fillId="0" borderId="27" xfId="0" applyFont="1" applyBorder="1"/>
    <xf numFmtId="0" fontId="29" fillId="0" borderId="27" xfId="0" applyFont="1" applyBorder="1"/>
    <xf numFmtId="0" fontId="33" fillId="0" borderId="18" xfId="0" applyFont="1" applyBorder="1"/>
    <xf numFmtId="0" fontId="38" fillId="0" borderId="15" xfId="0" applyFont="1" applyBorder="1"/>
    <xf numFmtId="0" fontId="29" fillId="0" borderId="16" xfId="0" applyFont="1" applyBorder="1"/>
    <xf numFmtId="0" fontId="29" fillId="0" borderId="17" xfId="0" applyFont="1" applyBorder="1"/>
    <xf numFmtId="43" fontId="36" fillId="0" borderId="23" xfId="53" applyFont="1" applyBorder="1"/>
    <xf numFmtId="43" fontId="29" fillId="0" borderId="23" xfId="53" applyFont="1" applyBorder="1"/>
    <xf numFmtId="43" fontId="36" fillId="0" borderId="28" xfId="53" applyFont="1" applyBorder="1"/>
    <xf numFmtId="43" fontId="36" fillId="0" borderId="29" xfId="53" applyFont="1" applyBorder="1"/>
    <xf numFmtId="43" fontId="36" fillId="0" borderId="30" xfId="53" applyFont="1" applyBorder="1"/>
    <xf numFmtId="43" fontId="36" fillId="0" borderId="31" xfId="53" applyFont="1" applyBorder="1"/>
    <xf numFmtId="43" fontId="36" fillId="0" borderId="32" xfId="53" applyFont="1" applyBorder="1"/>
    <xf numFmtId="38" fontId="36" fillId="0" borderId="28" xfId="53" applyNumberFormat="1" applyFont="1" applyBorder="1"/>
    <xf numFmtId="9" fontId="40" fillId="0" borderId="30" xfId="678" applyFont="1" applyBorder="1"/>
    <xf numFmtId="38" fontId="32" fillId="0" borderId="28" xfId="53" applyNumberFormat="1" applyFont="1" applyBorder="1"/>
    <xf numFmtId="43" fontId="32" fillId="0" borderId="29" xfId="53" applyFont="1" applyBorder="1"/>
    <xf numFmtId="166" fontId="36" fillId="0" borderId="30" xfId="53" applyNumberFormat="1" applyFont="1" applyBorder="1"/>
    <xf numFmtId="0" fontId="36" fillId="0" borderId="7" xfId="0" applyFont="1" applyBorder="1"/>
    <xf numFmtId="172" fontId="29" fillId="17" borderId="12" xfId="0" applyNumberFormat="1" applyFont="1" applyFill="1" applyBorder="1"/>
    <xf numFmtId="0" fontId="32" fillId="17" borderId="18" xfId="0" applyFont="1" applyFill="1" applyBorder="1"/>
    <xf numFmtId="43" fontId="36" fillId="17" borderId="23" xfId="53" applyFont="1" applyFill="1" applyBorder="1"/>
    <xf numFmtId="0" fontId="36" fillId="17" borderId="0" xfId="0" applyFont="1" applyFill="1"/>
    <xf numFmtId="172" fontId="29" fillId="18" borderId="14" xfId="0" applyNumberFormat="1" applyFont="1" applyFill="1" applyBorder="1"/>
    <xf numFmtId="0" fontId="32" fillId="18" borderId="20" xfId="0" applyFont="1" applyFill="1" applyBorder="1"/>
    <xf numFmtId="43" fontId="36" fillId="18" borderId="30" xfId="53" applyFont="1" applyFill="1" applyBorder="1"/>
    <xf numFmtId="0" fontId="36" fillId="18" borderId="0" xfId="0" applyFont="1" applyFill="1"/>
    <xf numFmtId="173" fontId="31" fillId="0" borderId="12" xfId="680" applyNumberFormat="1" applyFont="1" applyFill="1" applyBorder="1"/>
    <xf numFmtId="0" fontId="41" fillId="0" borderId="7" xfId="0" applyFont="1" applyBorder="1"/>
    <xf numFmtId="0" fontId="42" fillId="0" borderId="0" xfId="0" applyFont="1"/>
    <xf numFmtId="0" fontId="43" fillId="0" borderId="0" xfId="0" applyFont="1"/>
    <xf numFmtId="43" fontId="42" fillId="19" borderId="7" xfId="53" applyFont="1" applyFill="1" applyBorder="1"/>
    <xf numFmtId="0" fontId="42" fillId="19" borderId="0" xfId="0" applyFont="1" applyFill="1"/>
    <xf numFmtId="43" fontId="43" fillId="0" borderId="7" xfId="53" applyFont="1" applyFill="1" applyBorder="1"/>
    <xf numFmtId="43" fontId="43" fillId="0" borderId="0" xfId="56" applyFont="1" applyFill="1" applyBorder="1" applyAlignment="1">
      <alignment horizontal="left" wrapText="1"/>
    </xf>
    <xf numFmtId="0" fontId="43" fillId="0" borderId="7" xfId="0" applyFont="1" applyBorder="1"/>
    <xf numFmtId="0" fontId="0" fillId="0" borderId="18" xfId="0" applyBorder="1"/>
    <xf numFmtId="17" fontId="44" fillId="0" borderId="7" xfId="0" applyNumberFormat="1" applyFont="1" applyBorder="1" applyAlignment="1">
      <alignment horizontal="center" vertical="center"/>
    </xf>
    <xf numFmtId="0" fontId="12" fillId="0" borderId="0" xfId="0" applyFont="1"/>
    <xf numFmtId="0" fontId="13" fillId="0" borderId="34" xfId="0" applyFont="1" applyBorder="1" applyAlignment="1">
      <alignment wrapText="1"/>
    </xf>
    <xf numFmtId="0" fontId="14" fillId="0" borderId="34" xfId="0" applyFont="1" applyBorder="1" applyAlignment="1">
      <alignment wrapText="1"/>
    </xf>
    <xf numFmtId="49" fontId="14" fillId="0" borderId="34" xfId="0" applyNumberFormat="1" applyFont="1" applyBorder="1" applyAlignment="1" applyProtection="1">
      <alignment horizontal="right" wrapText="1"/>
      <protection locked="0"/>
    </xf>
    <xf numFmtId="0" fontId="14" fillId="0" borderId="35" xfId="0" applyFont="1" applyBorder="1" applyAlignment="1" applyProtection="1">
      <alignment horizontal="right" wrapText="1"/>
      <protection locked="0"/>
    </xf>
    <xf numFmtId="0" fontId="13" fillId="0" borderId="36" xfId="0" applyFont="1" applyBorder="1" applyAlignment="1">
      <alignment wrapText="1"/>
    </xf>
    <xf numFmtId="49" fontId="15" fillId="0" borderId="7" xfId="0" applyNumberFormat="1" applyFont="1" applyBorder="1" applyAlignment="1" applyProtection="1">
      <alignment horizontal="right"/>
      <protection locked="0"/>
    </xf>
    <xf numFmtId="0" fontId="13" fillId="0" borderId="34" xfId="0" applyFont="1" applyBorder="1" applyAlignment="1" applyProtection="1">
      <alignment wrapText="1"/>
      <protection locked="0"/>
    </xf>
    <xf numFmtId="9" fontId="12" fillId="0" borderId="0" xfId="678" applyFont="1"/>
    <xf numFmtId="0" fontId="29" fillId="0" borderId="16" xfId="640" applyFont="1" applyBorder="1"/>
    <xf numFmtId="0" fontId="31" fillId="0" borderId="37" xfId="640" applyFont="1" applyBorder="1" applyAlignment="1">
      <alignment horizontal="center"/>
    </xf>
    <xf numFmtId="0" fontId="34" fillId="0" borderId="38" xfId="640" applyFont="1" applyBorder="1" applyAlignment="1">
      <alignment horizontal="center"/>
    </xf>
    <xf numFmtId="173" fontId="34" fillId="0" borderId="39" xfId="680" applyNumberFormat="1" applyFont="1" applyFill="1" applyBorder="1"/>
    <xf numFmtId="43" fontId="43" fillId="16" borderId="7" xfId="56" applyFont="1" applyFill="1" applyBorder="1" applyAlignment="1">
      <alignment horizontal="left"/>
    </xf>
    <xf numFmtId="43" fontId="42" fillId="16" borderId="7" xfId="56" applyFont="1" applyFill="1" applyBorder="1" applyAlignment="1">
      <alignment horizontal="left" wrapText="1"/>
    </xf>
    <xf numFmtId="43" fontId="43" fillId="16" borderId="7" xfId="56" applyFont="1" applyFill="1" applyBorder="1" applyAlignment="1">
      <alignment horizontal="left" wrapText="1"/>
    </xf>
    <xf numFmtId="0" fontId="45" fillId="0" borderId="0" xfId="0" applyFont="1"/>
    <xf numFmtId="0" fontId="41" fillId="0" borderId="0" xfId="0" applyFont="1"/>
    <xf numFmtId="43" fontId="42" fillId="16" borderId="7" xfId="53" applyFont="1" applyFill="1" applyBorder="1" applyAlignment="1">
      <alignment horizontal="left" wrapText="1"/>
    </xf>
    <xf numFmtId="43" fontId="45" fillId="19" borderId="0" xfId="53" applyFont="1" applyFill="1"/>
    <xf numFmtId="0" fontId="45" fillId="19" borderId="0" xfId="0" applyFont="1" applyFill="1"/>
    <xf numFmtId="0" fontId="41" fillId="19" borderId="0" xfId="0" applyFont="1" applyFill="1"/>
    <xf numFmtId="43" fontId="42" fillId="16" borderId="7" xfId="56" applyFont="1" applyFill="1" applyBorder="1" applyAlignment="1">
      <alignment horizontal="left"/>
    </xf>
    <xf numFmtId="0" fontId="42" fillId="0" borderId="0" xfId="0" applyFont="1" applyAlignment="1" applyProtection="1">
      <alignment horizontal="left" vertical="top" wrapText="1" readingOrder="1"/>
      <protection locked="0"/>
    </xf>
    <xf numFmtId="43" fontId="12" fillId="0" borderId="0" xfId="53" applyFont="1"/>
    <xf numFmtId="43" fontId="13" fillId="0" borderId="34" xfId="53" applyFont="1" applyBorder="1" applyAlignment="1" applyProtection="1">
      <alignment wrapText="1"/>
      <protection locked="0"/>
    </xf>
    <xf numFmtId="43" fontId="13" fillId="0" borderId="34" xfId="53" applyFont="1" applyBorder="1" applyAlignment="1" applyProtection="1">
      <alignment horizontal="center" wrapText="1"/>
    </xf>
    <xf numFmtId="43" fontId="13" fillId="0" borderId="34" xfId="53" applyFont="1" applyBorder="1" applyAlignment="1" applyProtection="1">
      <alignment wrapText="1"/>
    </xf>
    <xf numFmtId="43" fontId="14" fillId="0" borderId="34" xfId="53" applyFont="1" applyBorder="1" applyAlignment="1" applyProtection="1">
      <alignment wrapText="1"/>
    </xf>
    <xf numFmtId="176" fontId="26" fillId="0" borderId="7" xfId="0" applyNumberFormat="1" applyFont="1" applyBorder="1"/>
    <xf numFmtId="0" fontId="31" fillId="17" borderId="0" xfId="640" applyFont="1" applyFill="1" applyAlignment="1">
      <alignment horizontal="center" wrapText="1"/>
    </xf>
    <xf numFmtId="0" fontId="31" fillId="17" borderId="0" xfId="640" applyFont="1" applyFill="1" applyAlignment="1">
      <alignment horizontal="center"/>
    </xf>
    <xf numFmtId="0" fontId="34" fillId="0" borderId="0" xfId="640" applyFont="1" applyAlignment="1">
      <alignment horizontal="center"/>
    </xf>
    <xf numFmtId="9" fontId="34" fillId="0" borderId="0" xfId="640" applyNumberFormat="1" applyFont="1" applyAlignment="1">
      <alignment horizontal="center"/>
    </xf>
    <xf numFmtId="0" fontId="26" fillId="0" borderId="41" xfId="0" applyFont="1" applyBorder="1"/>
    <xf numFmtId="0" fontId="26" fillId="0" borderId="42" xfId="0" applyFont="1" applyBorder="1"/>
    <xf numFmtId="0" fontId="31" fillId="17" borderId="43" xfId="640" applyFont="1" applyFill="1" applyBorder="1" applyAlignment="1">
      <alignment horizontal="center" wrapText="1"/>
    </xf>
    <xf numFmtId="0" fontId="31" fillId="17" borderId="40" xfId="640" applyFont="1" applyFill="1" applyBorder="1" applyAlignment="1">
      <alignment horizontal="center"/>
    </xf>
    <xf numFmtId="0" fontId="0" fillId="0" borderId="28" xfId="0" applyBorder="1"/>
    <xf numFmtId="43" fontId="20" fillId="0" borderId="23" xfId="53" applyFont="1" applyFill="1" applyBorder="1" applyAlignment="1">
      <alignment horizontal="right"/>
    </xf>
    <xf numFmtId="173" fontId="20" fillId="0" borderId="23" xfId="678" applyNumberFormat="1" applyFont="1" applyFill="1" applyBorder="1" applyAlignment="1">
      <alignment horizontal="right"/>
    </xf>
    <xf numFmtId="173" fontId="2" fillId="0" borderId="23" xfId="680" applyNumberFormat="1" applyFont="1" applyFill="1" applyBorder="1" applyAlignment="1">
      <alignment horizontal="right"/>
    </xf>
    <xf numFmtId="173" fontId="20" fillId="0" borderId="23" xfId="678" applyNumberFormat="1" applyFont="1" applyFill="1" applyBorder="1"/>
    <xf numFmtId="173" fontId="20" fillId="0" borderId="30" xfId="678" applyNumberFormat="1" applyFont="1" applyFill="1" applyBorder="1"/>
    <xf numFmtId="43" fontId="41" fillId="0" borderId="7" xfId="53" applyFont="1" applyBorder="1"/>
    <xf numFmtId="43" fontId="12" fillId="0" borderId="0" xfId="0" applyNumberFormat="1" applyFont="1"/>
    <xf numFmtId="43" fontId="43" fillId="0" borderId="0" xfId="53" applyFont="1" applyFill="1" applyBorder="1"/>
    <xf numFmtId="43" fontId="47" fillId="0" borderId="0" xfId="53" applyFont="1" applyFill="1" applyBorder="1" applyAlignment="1" applyProtection="1"/>
    <xf numFmtId="0" fontId="36" fillId="0" borderId="9" xfId="0" applyFont="1" applyBorder="1"/>
    <xf numFmtId="0" fontId="36" fillId="0" borderId="10" xfId="0" applyFont="1" applyBorder="1"/>
    <xf numFmtId="0" fontId="36" fillId="0" borderId="11" xfId="0" applyFont="1" applyBorder="1"/>
    <xf numFmtId="43" fontId="36" fillId="0" borderId="18" xfId="56" applyFont="1" applyFill="1" applyBorder="1"/>
    <xf numFmtId="17" fontId="36" fillId="0" borderId="7" xfId="0" applyNumberFormat="1" applyFont="1" applyBorder="1"/>
    <xf numFmtId="17" fontId="41" fillId="0" borderId="7" xfId="0" applyNumberFormat="1" applyFont="1" applyBorder="1"/>
    <xf numFmtId="17" fontId="48" fillId="0" borderId="7" xfId="0" applyNumberFormat="1" applyFont="1" applyBorder="1"/>
    <xf numFmtId="43" fontId="36" fillId="0" borderId="33" xfId="53" applyFont="1" applyFill="1" applyBorder="1"/>
    <xf numFmtId="43" fontId="36" fillId="0" borderId="7" xfId="53" applyFont="1" applyFill="1" applyBorder="1"/>
    <xf numFmtId="43" fontId="29" fillId="0" borderId="7" xfId="53" applyFont="1" applyFill="1" applyBorder="1"/>
    <xf numFmtId="0" fontId="36" fillId="0" borderId="18" xfId="0" applyFont="1" applyBorder="1"/>
    <xf numFmtId="43" fontId="36" fillId="0" borderId="23" xfId="53" applyFont="1" applyFill="1" applyBorder="1"/>
    <xf numFmtId="0" fontId="36" fillId="0" borderId="20" xfId="0" applyFont="1" applyBorder="1"/>
    <xf numFmtId="43" fontId="36" fillId="0" borderId="30" xfId="53" applyFont="1" applyFill="1" applyBorder="1"/>
    <xf numFmtId="43" fontId="36" fillId="0" borderId="31" xfId="53" applyFont="1" applyFill="1" applyBorder="1"/>
    <xf numFmtId="43" fontId="36" fillId="0" borderId="29" xfId="53" applyFont="1" applyFill="1" applyBorder="1"/>
    <xf numFmtId="43" fontId="36" fillId="0" borderId="28" xfId="53" applyFont="1" applyFill="1" applyBorder="1"/>
    <xf numFmtId="0" fontId="33" fillId="0" borderId="15" xfId="0" applyFont="1" applyBorder="1"/>
    <xf numFmtId="172" fontId="33" fillId="0" borderId="9" xfId="0" applyNumberFormat="1" applyFont="1" applyBorder="1"/>
    <xf numFmtId="0" fontId="33" fillId="0" borderId="10" xfId="0" applyFont="1" applyBorder="1"/>
    <xf numFmtId="9" fontId="36" fillId="0" borderId="0" xfId="678" applyFont="1" applyFill="1"/>
    <xf numFmtId="43" fontId="36" fillId="0" borderId="0" xfId="53" applyFont="1" applyFill="1"/>
    <xf numFmtId="43" fontId="13" fillId="0" borderId="34" xfId="53" applyFont="1" applyBorder="1" applyAlignment="1">
      <alignment horizontal="center" wrapText="1"/>
    </xf>
    <xf numFmtId="43" fontId="13" fillId="0" borderId="34" xfId="53" applyFont="1" applyBorder="1" applyAlignment="1">
      <alignment wrapText="1"/>
    </xf>
    <xf numFmtId="43" fontId="14" fillId="0" borderId="34" xfId="53" applyFont="1" applyBorder="1" applyAlignment="1">
      <alignment wrapText="1"/>
    </xf>
    <xf numFmtId="43" fontId="14" fillId="0" borderId="34" xfId="53" applyFont="1" applyBorder="1" applyAlignment="1" applyProtection="1">
      <alignment horizontal="right" wrapText="1"/>
      <protection locked="0"/>
    </xf>
    <xf numFmtId="43" fontId="14" fillId="0" borderId="35" xfId="53" applyFont="1" applyBorder="1" applyAlignment="1" applyProtection="1">
      <alignment horizontal="right" wrapText="1"/>
      <protection locked="0"/>
    </xf>
    <xf numFmtId="43" fontId="13" fillId="0" borderId="36" xfId="53" applyFont="1" applyBorder="1" applyAlignment="1">
      <alignment wrapText="1"/>
    </xf>
    <xf numFmtId="43" fontId="15" fillId="0" borderId="7" xfId="53" applyFont="1" applyBorder="1" applyAlignment="1" applyProtection="1">
      <alignment horizontal="right"/>
      <protection locked="0"/>
    </xf>
    <xf numFmtId="43" fontId="14" fillId="0" borderId="34" xfId="53" applyFont="1" applyFill="1" applyBorder="1" applyAlignment="1">
      <alignment wrapText="1"/>
    </xf>
    <xf numFmtId="0" fontId="26" fillId="0" borderId="7" xfId="0" applyFont="1" applyBorder="1" applyAlignment="1" applyProtection="1">
      <alignment horizontal="right"/>
      <protection locked="0"/>
    </xf>
    <xf numFmtId="17" fontId="26" fillId="0" borderId="0" xfId="0" applyNumberFormat="1" applyFont="1" applyProtection="1">
      <protection locked="0"/>
    </xf>
    <xf numFmtId="17" fontId="26" fillId="0" borderId="23" xfId="0" applyNumberFormat="1" applyFont="1" applyBorder="1" applyAlignment="1" applyProtection="1">
      <alignment horizontal="right" wrapText="1"/>
      <protection locked="0"/>
    </xf>
    <xf numFmtId="0" fontId="0" fillId="0" borderId="7" xfId="0" applyBorder="1" applyAlignment="1" applyProtection="1">
      <alignment horizontal="center"/>
      <protection locked="0"/>
    </xf>
    <xf numFmtId="173" fontId="2" fillId="0" borderId="0" xfId="680" applyNumberFormat="1" applyFont="1" applyProtection="1">
      <protection locked="0"/>
    </xf>
    <xf numFmtId="173" fontId="20" fillId="0" borderId="0" xfId="680" applyNumberFormat="1" applyFont="1" applyProtection="1">
      <protection locked="0"/>
    </xf>
    <xf numFmtId="0" fontId="49" fillId="16" borderId="12" xfId="0" applyFont="1" applyFill="1" applyBorder="1" applyAlignment="1" applyProtection="1">
      <alignment horizontal="left"/>
      <protection locked="0"/>
    </xf>
    <xf numFmtId="0" fontId="0" fillId="0" borderId="12" xfId="0" applyBorder="1" applyAlignment="1" applyProtection="1">
      <alignment horizontal="left"/>
      <protection locked="0"/>
    </xf>
    <xf numFmtId="0" fontId="0" fillId="0" borderId="7" xfId="0" applyBorder="1" applyProtection="1">
      <protection locked="0"/>
    </xf>
    <xf numFmtId="0" fontId="0" fillId="0" borderId="18" xfId="0" applyBorder="1" applyProtection="1">
      <protection locked="0"/>
    </xf>
    <xf numFmtId="0" fontId="28" fillId="0" borderId="23" xfId="0" applyFont="1" applyBorder="1" applyProtection="1">
      <protection locked="0"/>
    </xf>
    <xf numFmtId="0" fontId="0" fillId="0" borderId="7" xfId="0" applyBorder="1" applyAlignment="1" applyProtection="1">
      <alignment horizontal="left"/>
      <protection locked="0"/>
    </xf>
    <xf numFmtId="0" fontId="0" fillId="0" borderId="18" xfId="0" applyBorder="1" applyAlignment="1" applyProtection="1">
      <alignment horizontal="left"/>
      <protection locked="0"/>
    </xf>
    <xf numFmtId="0" fontId="28" fillId="0" borderId="23" xfId="0" applyFont="1" applyBorder="1" applyAlignment="1" applyProtection="1">
      <alignment horizontal="left"/>
      <protection locked="0"/>
    </xf>
    <xf numFmtId="0" fontId="0" fillId="0" borderId="44" xfId="0" applyBorder="1" applyAlignment="1" applyProtection="1">
      <alignment horizontal="center"/>
      <protection locked="0"/>
    </xf>
    <xf numFmtId="166" fontId="49" fillId="0" borderId="7" xfId="56" applyNumberFormat="1" applyFont="1" applyBorder="1" applyAlignment="1" applyProtection="1">
      <alignment horizontal="right"/>
    </xf>
    <xf numFmtId="0" fontId="49" fillId="0" borderId="12" xfId="0" applyFont="1" applyBorder="1"/>
    <xf numFmtId="0" fontId="49" fillId="0" borderId="7" xfId="0" applyFont="1" applyBorder="1" applyAlignment="1">
      <alignment horizontal="center"/>
    </xf>
    <xf numFmtId="9" fontId="49" fillId="0" borderId="7" xfId="0" applyNumberFormat="1" applyFont="1" applyBorder="1" applyAlignment="1">
      <alignment horizontal="center"/>
    </xf>
    <xf numFmtId="173" fontId="20" fillId="16" borderId="7" xfId="678" applyNumberFormat="1" applyFont="1" applyFill="1" applyBorder="1" applyAlignment="1" applyProtection="1">
      <alignment horizontal="right"/>
    </xf>
    <xf numFmtId="0" fontId="49" fillId="16" borderId="12" xfId="0" applyFont="1" applyFill="1" applyBorder="1"/>
    <xf numFmtId="0" fontId="49" fillId="16" borderId="7" xfId="0" applyFont="1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49" fillId="16" borderId="12" xfId="0" applyFont="1" applyFill="1" applyBorder="1" applyAlignment="1">
      <alignment horizontal="left"/>
    </xf>
    <xf numFmtId="9" fontId="49" fillId="16" borderId="7" xfId="0" applyNumberFormat="1" applyFont="1" applyFill="1" applyBorder="1" applyAlignment="1">
      <alignment horizontal="center"/>
    </xf>
    <xf numFmtId="0" fontId="28" fillId="0" borderId="7" xfId="0" applyFont="1" applyBorder="1" applyAlignment="1">
      <alignment horizontal="center"/>
    </xf>
    <xf numFmtId="0" fontId="26" fillId="0" borderId="12" xfId="0" applyFont="1" applyBorder="1" applyAlignment="1">
      <alignment horizontal="center"/>
    </xf>
    <xf numFmtId="43" fontId="50" fillId="0" borderId="7" xfId="53" applyFont="1" applyBorder="1" applyAlignment="1" applyProtection="1">
      <alignment horizontal="center"/>
    </xf>
    <xf numFmtId="0" fontId="26" fillId="16" borderId="12" xfId="0" applyFont="1" applyFill="1" applyBorder="1"/>
    <xf numFmtId="0" fontId="26" fillId="16" borderId="37" xfId="0" applyFont="1" applyFill="1" applyBorder="1"/>
    <xf numFmtId="173" fontId="49" fillId="0" borderId="7" xfId="678" applyNumberFormat="1" applyFont="1" applyBorder="1" applyAlignment="1" applyProtection="1">
      <alignment horizontal="right"/>
    </xf>
    <xf numFmtId="173" fontId="49" fillId="16" borderId="7" xfId="678" applyNumberFormat="1" applyFont="1" applyFill="1" applyBorder="1" applyAlignment="1" applyProtection="1">
      <alignment horizontal="right"/>
    </xf>
    <xf numFmtId="173" fontId="49" fillId="0" borderId="7" xfId="678" applyNumberFormat="1" applyFont="1" applyFill="1" applyBorder="1" applyAlignment="1" applyProtection="1">
      <alignment horizontal="right"/>
    </xf>
    <xf numFmtId="0" fontId="26" fillId="0" borderId="18" xfId="0" applyFont="1" applyBorder="1" applyAlignment="1">
      <alignment horizontal="right"/>
    </xf>
    <xf numFmtId="43" fontId="50" fillId="0" borderId="7" xfId="53" applyFont="1" applyBorder="1" applyProtection="1">
      <protection locked="0"/>
    </xf>
    <xf numFmtId="43" fontId="13" fillId="0" borderId="7" xfId="53" applyFont="1" applyBorder="1" applyProtection="1">
      <protection locked="0"/>
    </xf>
    <xf numFmtId="43" fontId="12" fillId="0" borderId="7" xfId="53" applyFont="1" applyBorder="1" applyProtection="1">
      <protection locked="0"/>
    </xf>
    <xf numFmtId="0" fontId="0" fillId="0" borderId="23" xfId="0" applyBorder="1" applyProtection="1">
      <protection locked="0"/>
    </xf>
    <xf numFmtId="0" fontId="50" fillId="0" borderId="12" xfId="0" applyFont="1" applyBorder="1"/>
    <xf numFmtId="0" fontId="26" fillId="0" borderId="7" xfId="0" applyFont="1" applyBorder="1" applyProtection="1">
      <protection locked="0"/>
    </xf>
    <xf numFmtId="0" fontId="26" fillId="16" borderId="7" xfId="0" applyFont="1" applyFill="1" applyBorder="1"/>
    <xf numFmtId="0" fontId="28" fillId="0" borderId="7" xfId="0" applyFont="1" applyBorder="1" applyProtection="1">
      <protection locked="0"/>
    </xf>
    <xf numFmtId="0" fontId="51" fillId="16" borderId="7" xfId="0" applyFont="1" applyFill="1" applyBorder="1"/>
    <xf numFmtId="0" fontId="0" fillId="16" borderId="7" xfId="0" applyFill="1" applyBorder="1" applyProtection="1">
      <protection locked="0"/>
    </xf>
    <xf numFmtId="0" fontId="13" fillId="0" borderId="34" xfId="477" applyFont="1" applyBorder="1"/>
    <xf numFmtId="0" fontId="13" fillId="20" borderId="34" xfId="477" applyFont="1" applyFill="1" applyBorder="1"/>
    <xf numFmtId="168" fontId="19" fillId="0" borderId="45" xfId="0" applyNumberFormat="1" applyFont="1" applyBorder="1" applyAlignment="1" applyProtection="1">
      <alignment vertical="top" wrapText="1" readingOrder="1"/>
      <protection locked="0"/>
    </xf>
    <xf numFmtId="0" fontId="0" fillId="0" borderId="0" xfId="0" applyProtection="1">
      <protection locked="0"/>
    </xf>
    <xf numFmtId="0" fontId="0" fillId="16" borderId="0" xfId="0" applyFill="1" applyProtection="1">
      <protection locked="0"/>
    </xf>
    <xf numFmtId="0" fontId="26" fillId="16" borderId="14" xfId="0" applyFont="1" applyFill="1" applyBorder="1"/>
    <xf numFmtId="0" fontId="0" fillId="0" borderId="24" xfId="0" applyBorder="1" applyAlignment="1" applyProtection="1">
      <alignment horizontal="center"/>
      <protection locked="0"/>
    </xf>
    <xf numFmtId="0" fontId="0" fillId="0" borderId="24" xfId="0" applyBorder="1" applyProtection="1">
      <protection locked="0"/>
    </xf>
    <xf numFmtId="0" fontId="0" fillId="0" borderId="20" xfId="0" applyBorder="1" applyProtection="1">
      <protection locked="0"/>
    </xf>
    <xf numFmtId="0" fontId="28" fillId="0" borderId="30" xfId="0" applyFont="1" applyBorder="1" applyProtection="1">
      <protection locked="0"/>
    </xf>
    <xf numFmtId="0" fontId="51" fillId="16" borderId="46" xfId="0" applyFont="1" applyFill="1" applyBorder="1"/>
    <xf numFmtId="0" fontId="0" fillId="0" borderId="0" xfId="0" applyAlignment="1" applyProtection="1">
      <alignment horizontal="center"/>
      <protection locked="0"/>
    </xf>
    <xf numFmtId="0" fontId="28" fillId="0" borderId="0" xfId="0" applyFont="1" applyProtection="1">
      <protection locked="0"/>
    </xf>
    <xf numFmtId="43" fontId="17" fillId="9" borderId="34" xfId="53" applyFont="1" applyFill="1" applyBorder="1" applyAlignment="1" applyProtection="1"/>
    <xf numFmtId="43" fontId="41" fillId="0" borderId="0" xfId="53" applyFont="1"/>
    <xf numFmtId="166" fontId="0" fillId="0" borderId="0" xfId="0" applyNumberFormat="1" applyProtection="1">
      <protection locked="0"/>
    </xf>
    <xf numFmtId="168" fontId="19" fillId="0" borderId="47" xfId="0" applyNumberFormat="1" applyFont="1" applyBorder="1" applyAlignment="1" applyProtection="1">
      <alignment vertical="top" wrapText="1" readingOrder="1"/>
      <protection locked="0"/>
    </xf>
    <xf numFmtId="43" fontId="17" fillId="9" borderId="48" xfId="53" applyFont="1" applyFill="1" applyBorder="1" applyAlignment="1" applyProtection="1"/>
    <xf numFmtId="43" fontId="19" fillId="0" borderId="7" xfId="53" applyFont="1" applyBorder="1" applyAlignment="1" applyProtection="1">
      <alignment vertical="top" wrapText="1" readingOrder="1"/>
      <protection locked="0"/>
    </xf>
    <xf numFmtId="43" fontId="17" fillId="9" borderId="35" xfId="53" applyFont="1" applyFill="1" applyBorder="1" applyAlignment="1" applyProtection="1"/>
    <xf numFmtId="43" fontId="17" fillId="9" borderId="7" xfId="53" applyFont="1" applyFill="1" applyBorder="1" applyAlignment="1" applyProtection="1"/>
    <xf numFmtId="43" fontId="17" fillId="9" borderId="49" xfId="53" applyFont="1" applyFill="1" applyBorder="1" applyAlignment="1" applyProtection="1"/>
    <xf numFmtId="164" fontId="43" fillId="0" borderId="7" xfId="0" applyNumberFormat="1" applyFont="1" applyBorder="1"/>
    <xf numFmtId="43" fontId="17" fillId="21" borderId="35" xfId="53" applyFont="1" applyFill="1" applyBorder="1" applyAlignment="1" applyProtection="1"/>
    <xf numFmtId="43" fontId="17" fillId="21" borderId="49" xfId="53" applyFont="1" applyFill="1" applyBorder="1" applyAlignment="1" applyProtection="1"/>
    <xf numFmtId="0" fontId="30" fillId="0" borderId="0" xfId="0" applyFont="1" applyAlignment="1" applyProtection="1">
      <alignment horizontal="center" vertical="center" wrapText="1"/>
      <protection locked="0"/>
    </xf>
    <xf numFmtId="17" fontId="32" fillId="0" borderId="7" xfId="0" applyNumberFormat="1" applyFont="1" applyBorder="1" applyAlignment="1">
      <alignment horizontal="center"/>
    </xf>
    <xf numFmtId="0" fontId="30" fillId="0" borderId="7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43" fontId="19" fillId="0" borderId="7" xfId="53" applyFont="1" applyBorder="1" applyAlignment="1" applyProtection="1">
      <alignment wrapText="1" readingOrder="1"/>
      <protection locked="0"/>
    </xf>
    <xf numFmtId="17" fontId="45" fillId="0" borderId="7" xfId="0" applyNumberFormat="1" applyFont="1" applyBorder="1" applyAlignment="1">
      <alignment horizontal="center"/>
    </xf>
    <xf numFmtId="0" fontId="45" fillId="0" borderId="7" xfId="0" applyFont="1" applyBorder="1" applyAlignment="1">
      <alignment horizontal="right"/>
    </xf>
    <xf numFmtId="43" fontId="45" fillId="0" borderId="18" xfId="53" applyFont="1" applyBorder="1"/>
    <xf numFmtId="43" fontId="42" fillId="21" borderId="18" xfId="53" applyFont="1" applyFill="1" applyBorder="1" applyAlignment="1" applyProtection="1"/>
    <xf numFmtId="43" fontId="52" fillId="21" borderId="18" xfId="53" applyFont="1" applyFill="1" applyBorder="1" applyAlignment="1" applyProtection="1">
      <alignment horizontal="right" vertical="center"/>
    </xf>
    <xf numFmtId="3" fontId="0" fillId="0" borderId="7" xfId="0" applyNumberFormat="1" applyBorder="1"/>
    <xf numFmtId="43" fontId="42" fillId="21" borderId="7" xfId="53" applyFont="1" applyFill="1" applyBorder="1" applyAlignment="1" applyProtection="1"/>
    <xf numFmtId="43" fontId="43" fillId="0" borderId="7" xfId="53" applyFont="1" applyFill="1" applyBorder="1" applyAlignment="1" applyProtection="1">
      <protection locked="0"/>
    </xf>
    <xf numFmtId="43" fontId="43" fillId="0" borderId="7" xfId="53" applyFont="1" applyBorder="1" applyAlignment="1" applyProtection="1">
      <alignment horizontal="right" vertical="center"/>
      <protection locked="0"/>
    </xf>
    <xf numFmtId="166" fontId="41" fillId="0" borderId="7" xfId="53" applyNumberFormat="1" applyFont="1" applyBorder="1"/>
    <xf numFmtId="3" fontId="41" fillId="0" borderId="7" xfId="0" applyNumberFormat="1" applyFont="1" applyBorder="1"/>
    <xf numFmtId="43" fontId="20" fillId="0" borderId="0" xfId="53" applyFont="1"/>
    <xf numFmtId="166" fontId="20" fillId="0" borderId="7" xfId="53" applyNumberFormat="1" applyFont="1" applyBorder="1"/>
    <xf numFmtId="175" fontId="43" fillId="0" borderId="7" xfId="0" applyNumberFormat="1" applyFont="1" applyBorder="1"/>
    <xf numFmtId="166" fontId="43" fillId="0" borderId="7" xfId="53" applyNumberFormat="1" applyFont="1" applyFill="1" applyBorder="1"/>
    <xf numFmtId="3" fontId="43" fillId="0" borderId="7" xfId="0" applyNumberFormat="1" applyFont="1" applyBorder="1"/>
    <xf numFmtId="168" fontId="19" fillId="0" borderId="50" xfId="0" applyNumberFormat="1" applyFont="1" applyBorder="1" applyAlignment="1" applyProtection="1">
      <alignment vertical="top" wrapText="1" readingOrder="1"/>
      <protection locked="0"/>
    </xf>
    <xf numFmtId="166" fontId="19" fillId="0" borderId="7" xfId="53" applyNumberFormat="1" applyFont="1" applyBorder="1" applyAlignment="1" applyProtection="1">
      <alignment vertical="top" wrapText="1" readingOrder="1"/>
      <protection locked="0"/>
    </xf>
    <xf numFmtId="17" fontId="31" fillId="0" borderId="0" xfId="640" applyNumberFormat="1" applyFont="1"/>
    <xf numFmtId="17" fontId="32" fillId="0" borderId="7" xfId="0" applyNumberFormat="1" applyFont="1" applyBorder="1" applyAlignment="1">
      <alignment horizontal="right"/>
    </xf>
    <xf numFmtId="17" fontId="26" fillId="0" borderId="7" xfId="0" applyNumberFormat="1" applyFont="1" applyBorder="1"/>
    <xf numFmtId="0" fontId="26" fillId="0" borderId="7" xfId="0" applyFont="1" applyBorder="1"/>
    <xf numFmtId="164" fontId="43" fillId="0" borderId="0" xfId="0" applyNumberFormat="1" applyFont="1"/>
    <xf numFmtId="17" fontId="29" fillId="0" borderId="0" xfId="0" applyNumberFormat="1" applyFont="1" applyAlignment="1">
      <alignment horizontal="center" vertical="center"/>
    </xf>
    <xf numFmtId="174" fontId="19" fillId="0" borderId="45" xfId="0" applyNumberFormat="1" applyFont="1" applyBorder="1" applyAlignment="1" applyProtection="1">
      <alignment vertical="top" wrapText="1" readingOrder="1"/>
      <protection locked="0"/>
    </xf>
    <xf numFmtId="43" fontId="17" fillId="9" borderId="59" xfId="53" applyFont="1" applyFill="1" applyBorder="1" applyAlignment="1" applyProtection="1"/>
    <xf numFmtId="43" fontId="17" fillId="9" borderId="18" xfId="53" applyFont="1" applyFill="1" applyBorder="1" applyAlignment="1" applyProtection="1"/>
    <xf numFmtId="43" fontId="17" fillId="9" borderId="60" xfId="53" applyFont="1" applyFill="1" applyBorder="1" applyAlignment="1" applyProtection="1"/>
    <xf numFmtId="43" fontId="17" fillId="9" borderId="61" xfId="53" applyFont="1" applyFill="1" applyBorder="1" applyAlignment="1" applyProtection="1"/>
    <xf numFmtId="43" fontId="17" fillId="21" borderId="59" xfId="53" applyFont="1" applyFill="1" applyBorder="1" applyAlignment="1" applyProtection="1"/>
    <xf numFmtId="43" fontId="17" fillId="21" borderId="60" xfId="53" applyFont="1" applyFill="1" applyBorder="1" applyAlignment="1" applyProtection="1"/>
    <xf numFmtId="43" fontId="17" fillId="9" borderId="36" xfId="53" applyFont="1" applyFill="1" applyBorder="1" applyAlignment="1" applyProtection="1"/>
    <xf numFmtId="166" fontId="43" fillId="0" borderId="7" xfId="53" applyNumberFormat="1" applyFont="1" applyBorder="1"/>
    <xf numFmtId="166" fontId="47" fillId="0" borderId="0" xfId="53" applyNumberFormat="1" applyFont="1" applyFill="1" applyBorder="1" applyAlignment="1" applyProtection="1"/>
    <xf numFmtId="166" fontId="17" fillId="9" borderId="7" xfId="53" applyNumberFormat="1" applyFont="1" applyFill="1" applyBorder="1" applyAlignment="1" applyProtection="1"/>
    <xf numFmtId="166" fontId="42" fillId="19" borderId="7" xfId="53" applyNumberFormat="1" applyFont="1" applyFill="1" applyBorder="1"/>
    <xf numFmtId="166" fontId="43" fillId="0" borderId="0" xfId="53" applyNumberFormat="1" applyFont="1"/>
    <xf numFmtId="43" fontId="41" fillId="0" borderId="0" xfId="0" applyNumberFormat="1" applyFont="1"/>
    <xf numFmtId="43" fontId="41" fillId="0" borderId="0" xfId="53" applyFont="1" applyBorder="1"/>
    <xf numFmtId="43" fontId="41" fillId="20" borderId="7" xfId="53" applyFont="1" applyFill="1" applyBorder="1"/>
    <xf numFmtId="166" fontId="29" fillId="0" borderId="0" xfId="53" applyNumberFormat="1" applyFont="1" applyAlignment="1">
      <alignment horizontal="center" vertical="center"/>
    </xf>
    <xf numFmtId="166" fontId="17" fillId="9" borderId="35" xfId="53" applyNumberFormat="1" applyFont="1" applyFill="1" applyBorder="1" applyAlignment="1" applyProtection="1"/>
    <xf numFmtId="166" fontId="42" fillId="19" borderId="0" xfId="53" applyNumberFormat="1" applyFont="1" applyFill="1"/>
    <xf numFmtId="166" fontId="17" fillId="9" borderId="49" xfId="53" applyNumberFormat="1" applyFont="1" applyFill="1" applyBorder="1" applyAlignment="1" applyProtection="1"/>
    <xf numFmtId="166" fontId="17" fillId="9" borderId="48" xfId="53" applyNumberFormat="1" applyFont="1" applyFill="1" applyBorder="1" applyAlignment="1" applyProtection="1"/>
    <xf numFmtId="166" fontId="17" fillId="21" borderId="35" xfId="53" applyNumberFormat="1" applyFont="1" applyFill="1" applyBorder="1" applyAlignment="1" applyProtection="1"/>
    <xf numFmtId="166" fontId="17" fillId="21" borderId="49" xfId="53" applyNumberFormat="1" applyFont="1" applyFill="1" applyBorder="1" applyAlignment="1" applyProtection="1"/>
    <xf numFmtId="166" fontId="17" fillId="9" borderId="34" xfId="53" applyNumberFormat="1" applyFont="1" applyFill="1" applyBorder="1" applyAlignment="1" applyProtection="1"/>
    <xf numFmtId="0" fontId="56" fillId="0" borderId="62" xfId="0" applyFont="1" applyBorder="1" applyAlignment="1">
      <alignment wrapText="1" readingOrder="1"/>
    </xf>
    <xf numFmtId="4" fontId="56" fillId="0" borderId="62" xfId="0" applyNumberFormat="1" applyFont="1" applyBorder="1" applyAlignment="1">
      <alignment wrapText="1" readingOrder="1"/>
    </xf>
    <xf numFmtId="4" fontId="56" fillId="0" borderId="63" xfId="0" applyNumberFormat="1" applyFont="1" applyBorder="1" applyAlignment="1">
      <alignment wrapText="1" readingOrder="1"/>
    </xf>
    <xf numFmtId="0" fontId="56" fillId="0" borderId="64" xfId="0" applyFont="1" applyBorder="1" applyAlignment="1">
      <alignment wrapText="1" readingOrder="1"/>
    </xf>
    <xf numFmtId="4" fontId="56" fillId="0" borderId="64" xfId="0" applyNumberFormat="1" applyFont="1" applyBorder="1" applyAlignment="1">
      <alignment wrapText="1" readingOrder="1"/>
    </xf>
    <xf numFmtId="0" fontId="56" fillId="0" borderId="65" xfId="0" applyFont="1" applyBorder="1" applyAlignment="1">
      <alignment wrapText="1" readingOrder="1"/>
    </xf>
    <xf numFmtId="4" fontId="56" fillId="0" borderId="65" xfId="0" applyNumberFormat="1" applyFont="1" applyBorder="1" applyAlignment="1">
      <alignment wrapText="1" readingOrder="1"/>
    </xf>
    <xf numFmtId="0" fontId="57" fillId="0" borderId="62" xfId="0" applyFont="1" applyBorder="1" applyAlignment="1">
      <alignment wrapText="1" readingOrder="1"/>
    </xf>
    <xf numFmtId="4" fontId="57" fillId="0" borderId="62" xfId="0" applyNumberFormat="1" applyFont="1" applyBorder="1" applyAlignment="1">
      <alignment wrapText="1" readingOrder="1"/>
    </xf>
    <xf numFmtId="0" fontId="57" fillId="0" borderId="63" xfId="0" applyFont="1" applyBorder="1" applyAlignment="1">
      <alignment wrapText="1" readingOrder="1"/>
    </xf>
    <xf numFmtId="4" fontId="57" fillId="0" borderId="63" xfId="0" applyNumberFormat="1" applyFont="1" applyBorder="1" applyAlignment="1">
      <alignment wrapText="1" readingOrder="1"/>
    </xf>
    <xf numFmtId="0" fontId="57" fillId="0" borderId="64" xfId="0" applyFont="1" applyBorder="1" applyAlignment="1">
      <alignment wrapText="1" readingOrder="1"/>
    </xf>
    <xf numFmtId="4" fontId="57" fillId="0" borderId="64" xfId="0" applyNumberFormat="1" applyFont="1" applyBorder="1" applyAlignment="1">
      <alignment wrapText="1" readingOrder="1"/>
    </xf>
    <xf numFmtId="0" fontId="57" fillId="0" borderId="65" xfId="0" applyFont="1" applyBorder="1" applyAlignment="1">
      <alignment wrapText="1" readingOrder="1"/>
    </xf>
    <xf numFmtId="4" fontId="57" fillId="0" borderId="65" xfId="0" applyNumberFormat="1" applyFont="1" applyBorder="1" applyAlignment="1">
      <alignment wrapText="1" readingOrder="1"/>
    </xf>
    <xf numFmtId="0" fontId="46" fillId="0" borderId="0" xfId="0" applyFont="1" applyAlignment="1">
      <alignment horizontal="center" wrapText="1"/>
    </xf>
    <xf numFmtId="43" fontId="14" fillId="0" borderId="34" xfId="53" applyFont="1" applyBorder="1" applyAlignment="1">
      <alignment horizontal="center" wrapText="1"/>
    </xf>
    <xf numFmtId="43" fontId="13" fillId="0" borderId="34" xfId="53" applyFont="1" applyBorder="1" applyAlignment="1">
      <alignment horizontal="center" wrapText="1"/>
    </xf>
    <xf numFmtId="43" fontId="13" fillId="0" borderId="48" xfId="53" applyFont="1" applyBorder="1" applyAlignment="1">
      <alignment horizontal="center" wrapText="1"/>
    </xf>
    <xf numFmtId="0" fontId="14" fillId="0" borderId="34" xfId="0" applyFont="1" applyBorder="1" applyAlignment="1">
      <alignment horizontal="center" wrapText="1"/>
    </xf>
    <xf numFmtId="0" fontId="13" fillId="0" borderId="3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53" fillId="22" borderId="41" xfId="0" applyFont="1" applyFill="1" applyBorder="1" applyAlignment="1">
      <alignment horizontal="left"/>
    </xf>
    <xf numFmtId="0" fontId="53" fillId="22" borderId="42" xfId="0" applyFont="1" applyFill="1" applyBorder="1" applyAlignment="1">
      <alignment horizontal="left"/>
    </xf>
    <xf numFmtId="0" fontId="53" fillId="22" borderId="51" xfId="0" applyFont="1" applyFill="1" applyBorder="1" applyAlignment="1">
      <alignment horizontal="left"/>
    </xf>
    <xf numFmtId="0" fontId="0" fillId="0" borderId="18" xfId="0" applyBorder="1" applyAlignment="1" applyProtection="1">
      <alignment horizontal="center"/>
      <protection locked="0"/>
    </xf>
    <xf numFmtId="0" fontId="0" fillId="0" borderId="25" xfId="0" applyBorder="1" applyAlignment="1" applyProtection="1">
      <alignment horizontal="center"/>
      <protection locked="0"/>
    </xf>
    <xf numFmtId="0" fontId="0" fillId="0" borderId="26" xfId="0" applyBorder="1" applyAlignment="1" applyProtection="1">
      <alignment horizontal="center"/>
      <protection locked="0"/>
    </xf>
    <xf numFmtId="0" fontId="54" fillId="17" borderId="12" xfId="0" applyFont="1" applyFill="1" applyBorder="1" applyAlignment="1">
      <alignment horizontal="left"/>
    </xf>
    <xf numFmtId="0" fontId="54" fillId="17" borderId="7" xfId="0" applyFont="1" applyFill="1" applyBorder="1" applyAlignment="1">
      <alignment horizontal="left"/>
    </xf>
    <xf numFmtId="0" fontId="54" fillId="17" borderId="18" xfId="0" applyFont="1" applyFill="1" applyBorder="1" applyAlignment="1">
      <alignment horizontal="left"/>
    </xf>
    <xf numFmtId="0" fontId="54" fillId="17" borderId="23" xfId="0" applyFont="1" applyFill="1" applyBorder="1" applyAlignment="1">
      <alignment horizontal="left"/>
    </xf>
    <xf numFmtId="0" fontId="26" fillId="0" borderId="13" xfId="0" applyFont="1" applyBorder="1" applyAlignment="1" applyProtection="1">
      <alignment horizontal="center"/>
      <protection locked="0"/>
    </xf>
    <xf numFmtId="0" fontId="26" fillId="0" borderId="52" xfId="0" applyFont="1" applyBorder="1" applyAlignment="1" applyProtection="1">
      <alignment horizontal="center"/>
      <protection locked="0"/>
    </xf>
    <xf numFmtId="0" fontId="26" fillId="0" borderId="27" xfId="0" applyFont="1" applyBorder="1" applyAlignment="1" applyProtection="1">
      <alignment horizontal="center"/>
      <protection locked="0"/>
    </xf>
    <xf numFmtId="0" fontId="26" fillId="0" borderId="29" xfId="0" applyFont="1" applyBorder="1" applyAlignment="1" applyProtection="1">
      <alignment horizontal="center"/>
      <protection locked="0"/>
    </xf>
    <xf numFmtId="0" fontId="26" fillId="0" borderId="12" xfId="0" applyFont="1" applyBorder="1" applyAlignment="1" applyProtection="1">
      <alignment horizontal="center"/>
      <protection locked="0"/>
    </xf>
    <xf numFmtId="0" fontId="26" fillId="0" borderId="7" xfId="0" applyFont="1" applyBorder="1" applyAlignment="1" applyProtection="1">
      <alignment horizontal="center"/>
      <protection locked="0"/>
    </xf>
    <xf numFmtId="0" fontId="26" fillId="0" borderId="18" xfId="0" applyFont="1" applyBorder="1" applyAlignment="1" applyProtection="1">
      <alignment horizontal="center"/>
      <protection locked="0"/>
    </xf>
    <xf numFmtId="0" fontId="26" fillId="0" borderId="23" xfId="0" applyFont="1" applyBorder="1" applyAlignment="1" applyProtection="1">
      <alignment horizontal="center"/>
      <protection locked="0"/>
    </xf>
    <xf numFmtId="0" fontId="26" fillId="0" borderId="44" xfId="0" applyFont="1" applyBorder="1" applyAlignment="1">
      <alignment horizontal="center"/>
    </xf>
    <xf numFmtId="0" fontId="26" fillId="0" borderId="33" xfId="0" applyFont="1" applyBorder="1" applyAlignment="1">
      <alignment horizontal="center"/>
    </xf>
    <xf numFmtId="0" fontId="26" fillId="0" borderId="25" xfId="0" applyFont="1" applyBorder="1" applyAlignment="1" applyProtection="1">
      <alignment horizontal="center"/>
      <protection locked="0"/>
    </xf>
    <xf numFmtId="0" fontId="26" fillId="0" borderId="26" xfId="0" applyFont="1" applyBorder="1" applyAlignment="1" applyProtection="1">
      <alignment horizontal="center"/>
      <protection locked="0"/>
    </xf>
    <xf numFmtId="17" fontId="26" fillId="0" borderId="53" xfId="0" applyNumberFormat="1" applyFont="1" applyBorder="1" applyAlignment="1" applyProtection="1">
      <alignment horizontal="center" wrapText="1"/>
      <protection locked="0"/>
    </xf>
    <xf numFmtId="17" fontId="26" fillId="0" borderId="54" xfId="0" applyNumberFormat="1" applyFont="1" applyBorder="1" applyAlignment="1" applyProtection="1">
      <alignment horizontal="center" wrapText="1"/>
      <protection locked="0"/>
    </xf>
    <xf numFmtId="0" fontId="54" fillId="0" borderId="53" xfId="0" applyFont="1" applyBorder="1" applyAlignment="1">
      <alignment horizontal="center" wrapText="1"/>
    </xf>
    <xf numFmtId="0" fontId="54" fillId="0" borderId="54" xfId="0" applyFont="1" applyBorder="1" applyAlignment="1">
      <alignment horizontal="center" wrapText="1"/>
    </xf>
    <xf numFmtId="4" fontId="56" fillId="0" borderId="62" xfId="0" applyNumberFormat="1" applyFont="1" applyFill="1" applyBorder="1" applyAlignment="1">
      <alignment wrapText="1" readingOrder="1"/>
    </xf>
    <xf numFmtId="0" fontId="56" fillId="0" borderId="64" xfId="0" applyFont="1" applyFill="1" applyBorder="1" applyAlignment="1">
      <alignment wrapText="1" readingOrder="1"/>
    </xf>
    <xf numFmtId="4" fontId="56" fillId="0" borderId="64" xfId="0" applyNumberFormat="1" applyFont="1" applyFill="1" applyBorder="1" applyAlignment="1">
      <alignment wrapText="1" readingOrder="1"/>
    </xf>
    <xf numFmtId="0" fontId="57" fillId="0" borderId="62" xfId="0" applyFont="1" applyFill="1" applyBorder="1" applyAlignment="1">
      <alignment wrapText="1" readingOrder="1"/>
    </xf>
    <xf numFmtId="4" fontId="57" fillId="0" borderId="62" xfId="0" applyNumberFormat="1" applyFont="1" applyFill="1" applyBorder="1" applyAlignment="1">
      <alignment wrapText="1" readingOrder="1"/>
    </xf>
    <xf numFmtId="0" fontId="57" fillId="0" borderId="64" xfId="0" applyFont="1" applyFill="1" applyBorder="1" applyAlignment="1">
      <alignment wrapText="1" readingOrder="1"/>
    </xf>
    <xf numFmtId="4" fontId="57" fillId="0" borderId="64" xfId="0" applyNumberFormat="1" applyFont="1" applyFill="1" applyBorder="1" applyAlignment="1">
      <alignment wrapText="1" readingOrder="1"/>
    </xf>
  </cellXfs>
  <cellStyles count="690">
    <cellStyle name="60% - Accent2 2" xfId="1" xr:uid="{00000000-0005-0000-0000-000000000000}"/>
    <cellStyle name="60% - Accent2 2 2" xfId="2" xr:uid="{00000000-0005-0000-0000-000001000000}"/>
    <cellStyle name="Accent1 2" xfId="3" xr:uid="{00000000-0005-0000-0000-000002000000}"/>
    <cellStyle name="Accent1 2 10" xfId="4" xr:uid="{00000000-0005-0000-0000-000003000000}"/>
    <cellStyle name="Accent1 2 10 2" xfId="5" xr:uid="{00000000-0005-0000-0000-000004000000}"/>
    <cellStyle name="Accent1 2 11" xfId="6" xr:uid="{00000000-0005-0000-0000-000005000000}"/>
    <cellStyle name="Accent1 2 11 2" xfId="7" xr:uid="{00000000-0005-0000-0000-000006000000}"/>
    <cellStyle name="Accent1 2 12" xfId="8" xr:uid="{00000000-0005-0000-0000-000007000000}"/>
    <cellStyle name="Accent1 2 12 2" xfId="9" xr:uid="{00000000-0005-0000-0000-000008000000}"/>
    <cellStyle name="Accent1 2 13" xfId="10" xr:uid="{00000000-0005-0000-0000-000009000000}"/>
    <cellStyle name="Accent1 2 2" xfId="11" xr:uid="{00000000-0005-0000-0000-00000A000000}"/>
    <cellStyle name="Accent1 2 2 2" xfId="12" xr:uid="{00000000-0005-0000-0000-00000B000000}"/>
    <cellStyle name="Accent1 2 3" xfId="13" xr:uid="{00000000-0005-0000-0000-00000C000000}"/>
    <cellStyle name="Accent1 2 3 2" xfId="14" xr:uid="{00000000-0005-0000-0000-00000D000000}"/>
    <cellStyle name="Accent1 2 4" xfId="15" xr:uid="{00000000-0005-0000-0000-00000E000000}"/>
    <cellStyle name="Accent1 2 4 2" xfId="16" xr:uid="{00000000-0005-0000-0000-00000F000000}"/>
    <cellStyle name="Accent1 2 5" xfId="17" xr:uid="{00000000-0005-0000-0000-000010000000}"/>
    <cellStyle name="Accent1 2 5 2" xfId="18" xr:uid="{00000000-0005-0000-0000-000011000000}"/>
    <cellStyle name="Accent1 2 6" xfId="19" xr:uid="{00000000-0005-0000-0000-000012000000}"/>
    <cellStyle name="Accent1 2 6 2" xfId="20" xr:uid="{00000000-0005-0000-0000-000013000000}"/>
    <cellStyle name="Accent1 2 7" xfId="21" xr:uid="{00000000-0005-0000-0000-000014000000}"/>
    <cellStyle name="Accent1 2 7 2" xfId="22" xr:uid="{00000000-0005-0000-0000-000015000000}"/>
    <cellStyle name="Accent1 2 8" xfId="23" xr:uid="{00000000-0005-0000-0000-000016000000}"/>
    <cellStyle name="Accent1 2 8 2" xfId="24" xr:uid="{00000000-0005-0000-0000-000017000000}"/>
    <cellStyle name="Accent1 2 9" xfId="25" xr:uid="{00000000-0005-0000-0000-000018000000}"/>
    <cellStyle name="Accent1 2 9 2" xfId="26" xr:uid="{00000000-0005-0000-0000-000019000000}"/>
    <cellStyle name="Accent5 2" xfId="27" xr:uid="{00000000-0005-0000-0000-00001A000000}"/>
    <cellStyle name="Accent5 2 10" xfId="28" xr:uid="{00000000-0005-0000-0000-00001B000000}"/>
    <cellStyle name="Accent5 2 10 2" xfId="29" xr:uid="{00000000-0005-0000-0000-00001C000000}"/>
    <cellStyle name="Accent5 2 11" xfId="30" xr:uid="{00000000-0005-0000-0000-00001D000000}"/>
    <cellStyle name="Accent5 2 11 2" xfId="31" xr:uid="{00000000-0005-0000-0000-00001E000000}"/>
    <cellStyle name="Accent5 2 12" xfId="32" xr:uid="{00000000-0005-0000-0000-00001F000000}"/>
    <cellStyle name="Accent5 2 12 2" xfId="33" xr:uid="{00000000-0005-0000-0000-000020000000}"/>
    <cellStyle name="Accent5 2 13" xfId="34" xr:uid="{00000000-0005-0000-0000-000021000000}"/>
    <cellStyle name="Accent5 2 2" xfId="35" xr:uid="{00000000-0005-0000-0000-000022000000}"/>
    <cellStyle name="Accent5 2 2 2" xfId="36" xr:uid="{00000000-0005-0000-0000-000023000000}"/>
    <cellStyle name="Accent5 2 3" xfId="37" xr:uid="{00000000-0005-0000-0000-000024000000}"/>
    <cellStyle name="Accent5 2 3 2" xfId="38" xr:uid="{00000000-0005-0000-0000-000025000000}"/>
    <cellStyle name="Accent5 2 4" xfId="39" xr:uid="{00000000-0005-0000-0000-000026000000}"/>
    <cellStyle name="Accent5 2 4 2" xfId="40" xr:uid="{00000000-0005-0000-0000-000027000000}"/>
    <cellStyle name="Accent5 2 5" xfId="41" xr:uid="{00000000-0005-0000-0000-000028000000}"/>
    <cellStyle name="Accent5 2 5 2" xfId="42" xr:uid="{00000000-0005-0000-0000-000029000000}"/>
    <cellStyle name="Accent5 2 6" xfId="43" xr:uid="{00000000-0005-0000-0000-00002A000000}"/>
    <cellStyle name="Accent5 2 6 2" xfId="44" xr:uid="{00000000-0005-0000-0000-00002B000000}"/>
    <cellStyle name="Accent5 2 7" xfId="45" xr:uid="{00000000-0005-0000-0000-00002C000000}"/>
    <cellStyle name="Accent5 2 7 2" xfId="46" xr:uid="{00000000-0005-0000-0000-00002D000000}"/>
    <cellStyle name="Accent5 2 8" xfId="47" xr:uid="{00000000-0005-0000-0000-00002E000000}"/>
    <cellStyle name="Accent5 2 8 2" xfId="48" xr:uid="{00000000-0005-0000-0000-00002F000000}"/>
    <cellStyle name="Accent5 2 9" xfId="49" xr:uid="{00000000-0005-0000-0000-000030000000}"/>
    <cellStyle name="Accent5 2 9 2" xfId="50" xr:uid="{00000000-0005-0000-0000-000031000000}"/>
    <cellStyle name="Check Cell 2" xfId="51" xr:uid="{00000000-0005-0000-0000-000032000000}"/>
    <cellStyle name="Check Cell 2 2" xfId="52" xr:uid="{00000000-0005-0000-0000-000033000000}"/>
    <cellStyle name="Comma" xfId="53" builtinId="3"/>
    <cellStyle name="Comma 10" xfId="54" xr:uid="{00000000-0005-0000-0000-000035000000}"/>
    <cellStyle name="Comma 10 10" xfId="55" xr:uid="{00000000-0005-0000-0000-000036000000}"/>
    <cellStyle name="Comma 10 10 2" xfId="56" xr:uid="{00000000-0005-0000-0000-000037000000}"/>
    <cellStyle name="Comma 10 11" xfId="57" xr:uid="{00000000-0005-0000-0000-000038000000}"/>
    <cellStyle name="Comma 10 11 2" xfId="58" xr:uid="{00000000-0005-0000-0000-000039000000}"/>
    <cellStyle name="Comma 10 12" xfId="59" xr:uid="{00000000-0005-0000-0000-00003A000000}"/>
    <cellStyle name="Comma 10 12 2" xfId="60" xr:uid="{00000000-0005-0000-0000-00003B000000}"/>
    <cellStyle name="Comma 10 13" xfId="61" xr:uid="{00000000-0005-0000-0000-00003C000000}"/>
    <cellStyle name="Comma 10 13 2" xfId="62" xr:uid="{00000000-0005-0000-0000-00003D000000}"/>
    <cellStyle name="Comma 10 14" xfId="63" xr:uid="{00000000-0005-0000-0000-00003E000000}"/>
    <cellStyle name="Comma 10 14 2" xfId="64" xr:uid="{00000000-0005-0000-0000-00003F000000}"/>
    <cellStyle name="Comma 10 15" xfId="65" xr:uid="{00000000-0005-0000-0000-000040000000}"/>
    <cellStyle name="Comma 10 15 2" xfId="66" xr:uid="{00000000-0005-0000-0000-000041000000}"/>
    <cellStyle name="Comma 10 16" xfId="67" xr:uid="{00000000-0005-0000-0000-000042000000}"/>
    <cellStyle name="Comma 10 16 2" xfId="68" xr:uid="{00000000-0005-0000-0000-000043000000}"/>
    <cellStyle name="Comma 10 17" xfId="69" xr:uid="{00000000-0005-0000-0000-000044000000}"/>
    <cellStyle name="Comma 10 19" xfId="70" xr:uid="{00000000-0005-0000-0000-000045000000}"/>
    <cellStyle name="Comma 10 2" xfId="71" xr:uid="{00000000-0005-0000-0000-000046000000}"/>
    <cellStyle name="Comma 10 2 2" xfId="72" xr:uid="{00000000-0005-0000-0000-000047000000}"/>
    <cellStyle name="Comma 10 3" xfId="73" xr:uid="{00000000-0005-0000-0000-000048000000}"/>
    <cellStyle name="Comma 10 3 2" xfId="74" xr:uid="{00000000-0005-0000-0000-000049000000}"/>
    <cellStyle name="Comma 10 4" xfId="75" xr:uid="{00000000-0005-0000-0000-00004A000000}"/>
    <cellStyle name="Comma 10 4 2" xfId="76" xr:uid="{00000000-0005-0000-0000-00004B000000}"/>
    <cellStyle name="Comma 10 5" xfId="77" xr:uid="{00000000-0005-0000-0000-00004C000000}"/>
    <cellStyle name="Comma 10 5 2" xfId="78" xr:uid="{00000000-0005-0000-0000-00004D000000}"/>
    <cellStyle name="Comma 10 6" xfId="79" xr:uid="{00000000-0005-0000-0000-00004E000000}"/>
    <cellStyle name="Comma 10 6 2" xfId="80" xr:uid="{00000000-0005-0000-0000-00004F000000}"/>
    <cellStyle name="Comma 10 7" xfId="81" xr:uid="{00000000-0005-0000-0000-000050000000}"/>
    <cellStyle name="Comma 10 7 2" xfId="82" xr:uid="{00000000-0005-0000-0000-000051000000}"/>
    <cellStyle name="Comma 10 8" xfId="83" xr:uid="{00000000-0005-0000-0000-000052000000}"/>
    <cellStyle name="Comma 10 8 2" xfId="84" xr:uid="{00000000-0005-0000-0000-000053000000}"/>
    <cellStyle name="Comma 10 9" xfId="85" xr:uid="{00000000-0005-0000-0000-000054000000}"/>
    <cellStyle name="Comma 10 9 2" xfId="86" xr:uid="{00000000-0005-0000-0000-000055000000}"/>
    <cellStyle name="Comma 11" xfId="87" xr:uid="{00000000-0005-0000-0000-000056000000}"/>
    <cellStyle name="Comma 11 10" xfId="88" xr:uid="{00000000-0005-0000-0000-000057000000}"/>
    <cellStyle name="Comma 11 10 2" xfId="89" xr:uid="{00000000-0005-0000-0000-000058000000}"/>
    <cellStyle name="Comma 11 11" xfId="90" xr:uid="{00000000-0005-0000-0000-000059000000}"/>
    <cellStyle name="Comma 11 11 2" xfId="91" xr:uid="{00000000-0005-0000-0000-00005A000000}"/>
    <cellStyle name="Comma 11 12" xfId="92" xr:uid="{00000000-0005-0000-0000-00005B000000}"/>
    <cellStyle name="Comma 11 12 2" xfId="93" xr:uid="{00000000-0005-0000-0000-00005C000000}"/>
    <cellStyle name="Comma 11 13" xfId="94" xr:uid="{00000000-0005-0000-0000-00005D000000}"/>
    <cellStyle name="Comma 11 13 2" xfId="95" xr:uid="{00000000-0005-0000-0000-00005E000000}"/>
    <cellStyle name="Comma 11 14" xfId="96" xr:uid="{00000000-0005-0000-0000-00005F000000}"/>
    <cellStyle name="Comma 11 14 2" xfId="97" xr:uid="{00000000-0005-0000-0000-000060000000}"/>
    <cellStyle name="Comma 11 15" xfId="98" xr:uid="{00000000-0005-0000-0000-000061000000}"/>
    <cellStyle name="Comma 11 15 2" xfId="99" xr:uid="{00000000-0005-0000-0000-000062000000}"/>
    <cellStyle name="Comma 11 16" xfId="100" xr:uid="{00000000-0005-0000-0000-000063000000}"/>
    <cellStyle name="Comma 11 16 2" xfId="101" xr:uid="{00000000-0005-0000-0000-000064000000}"/>
    <cellStyle name="Comma 11 17" xfId="102" xr:uid="{00000000-0005-0000-0000-000065000000}"/>
    <cellStyle name="Comma 11 17 2" xfId="103" xr:uid="{00000000-0005-0000-0000-000066000000}"/>
    <cellStyle name="Comma 11 18" xfId="104" xr:uid="{00000000-0005-0000-0000-000067000000}"/>
    <cellStyle name="Comma 11 2" xfId="105" xr:uid="{00000000-0005-0000-0000-000068000000}"/>
    <cellStyle name="Comma 11 2 2" xfId="106" xr:uid="{00000000-0005-0000-0000-000069000000}"/>
    <cellStyle name="Comma 11 2 2 2" xfId="107" xr:uid="{00000000-0005-0000-0000-00006A000000}"/>
    <cellStyle name="Comma 11 2 3" xfId="108" xr:uid="{00000000-0005-0000-0000-00006B000000}"/>
    <cellStyle name="Comma 11 3" xfId="109" xr:uid="{00000000-0005-0000-0000-00006C000000}"/>
    <cellStyle name="Comma 11 3 2" xfId="110" xr:uid="{00000000-0005-0000-0000-00006D000000}"/>
    <cellStyle name="Comma 11 4" xfId="111" xr:uid="{00000000-0005-0000-0000-00006E000000}"/>
    <cellStyle name="Comma 11 4 2" xfId="112" xr:uid="{00000000-0005-0000-0000-00006F000000}"/>
    <cellStyle name="Comma 11 5" xfId="113" xr:uid="{00000000-0005-0000-0000-000070000000}"/>
    <cellStyle name="Comma 11 5 2" xfId="114" xr:uid="{00000000-0005-0000-0000-000071000000}"/>
    <cellStyle name="Comma 11 6" xfId="115" xr:uid="{00000000-0005-0000-0000-000072000000}"/>
    <cellStyle name="Comma 11 6 2" xfId="116" xr:uid="{00000000-0005-0000-0000-000073000000}"/>
    <cellStyle name="Comma 11 7" xfId="117" xr:uid="{00000000-0005-0000-0000-000074000000}"/>
    <cellStyle name="Comma 11 7 2" xfId="118" xr:uid="{00000000-0005-0000-0000-000075000000}"/>
    <cellStyle name="Comma 11 8" xfId="119" xr:uid="{00000000-0005-0000-0000-000076000000}"/>
    <cellStyle name="Comma 11 8 2" xfId="120" xr:uid="{00000000-0005-0000-0000-000077000000}"/>
    <cellStyle name="Comma 11 9" xfId="121" xr:uid="{00000000-0005-0000-0000-000078000000}"/>
    <cellStyle name="Comma 11 9 2" xfId="122" xr:uid="{00000000-0005-0000-0000-000079000000}"/>
    <cellStyle name="Comma 12" xfId="123" xr:uid="{00000000-0005-0000-0000-00007A000000}"/>
    <cellStyle name="Comma 12 2" xfId="124" xr:uid="{00000000-0005-0000-0000-00007B000000}"/>
    <cellStyle name="Comma 13" xfId="125" xr:uid="{00000000-0005-0000-0000-00007C000000}"/>
    <cellStyle name="Comma 13 2" xfId="126" xr:uid="{00000000-0005-0000-0000-00007D000000}"/>
    <cellStyle name="Comma 14" xfId="127" xr:uid="{00000000-0005-0000-0000-00007E000000}"/>
    <cellStyle name="Comma 14 2" xfId="128" xr:uid="{00000000-0005-0000-0000-00007F000000}"/>
    <cellStyle name="Comma 15" xfId="129" xr:uid="{00000000-0005-0000-0000-000080000000}"/>
    <cellStyle name="Comma 15 2" xfId="130" xr:uid="{00000000-0005-0000-0000-000081000000}"/>
    <cellStyle name="Comma 16" xfId="131" xr:uid="{00000000-0005-0000-0000-000082000000}"/>
    <cellStyle name="Comma 16 10" xfId="132" xr:uid="{00000000-0005-0000-0000-000083000000}"/>
    <cellStyle name="Comma 16 10 2" xfId="133" xr:uid="{00000000-0005-0000-0000-000084000000}"/>
    <cellStyle name="Comma 16 11" xfId="134" xr:uid="{00000000-0005-0000-0000-000085000000}"/>
    <cellStyle name="Comma 16 11 2" xfId="135" xr:uid="{00000000-0005-0000-0000-000086000000}"/>
    <cellStyle name="Comma 16 12" xfId="136" xr:uid="{00000000-0005-0000-0000-000087000000}"/>
    <cellStyle name="Comma 16 12 2" xfId="137" xr:uid="{00000000-0005-0000-0000-000088000000}"/>
    <cellStyle name="Comma 16 13" xfId="138" xr:uid="{00000000-0005-0000-0000-000089000000}"/>
    <cellStyle name="Comma 16 13 2" xfId="139" xr:uid="{00000000-0005-0000-0000-00008A000000}"/>
    <cellStyle name="Comma 16 14" xfId="140" xr:uid="{00000000-0005-0000-0000-00008B000000}"/>
    <cellStyle name="Comma 16 14 2" xfId="141" xr:uid="{00000000-0005-0000-0000-00008C000000}"/>
    <cellStyle name="Comma 16 15" xfId="142" xr:uid="{00000000-0005-0000-0000-00008D000000}"/>
    <cellStyle name="Comma 16 15 2" xfId="143" xr:uid="{00000000-0005-0000-0000-00008E000000}"/>
    <cellStyle name="Comma 16 16" xfId="144" xr:uid="{00000000-0005-0000-0000-00008F000000}"/>
    <cellStyle name="Comma 16 16 2" xfId="145" xr:uid="{00000000-0005-0000-0000-000090000000}"/>
    <cellStyle name="Comma 16 17" xfId="146" xr:uid="{00000000-0005-0000-0000-000091000000}"/>
    <cellStyle name="Comma 16 2" xfId="147" xr:uid="{00000000-0005-0000-0000-000092000000}"/>
    <cellStyle name="Comma 16 2 2" xfId="148" xr:uid="{00000000-0005-0000-0000-000093000000}"/>
    <cellStyle name="Comma 16 3" xfId="149" xr:uid="{00000000-0005-0000-0000-000094000000}"/>
    <cellStyle name="Comma 16 3 2" xfId="150" xr:uid="{00000000-0005-0000-0000-000095000000}"/>
    <cellStyle name="Comma 16 4" xfId="151" xr:uid="{00000000-0005-0000-0000-000096000000}"/>
    <cellStyle name="Comma 16 4 2" xfId="152" xr:uid="{00000000-0005-0000-0000-000097000000}"/>
    <cellStyle name="Comma 16 5" xfId="153" xr:uid="{00000000-0005-0000-0000-000098000000}"/>
    <cellStyle name="Comma 16 5 2" xfId="154" xr:uid="{00000000-0005-0000-0000-000099000000}"/>
    <cellStyle name="Comma 16 6" xfId="155" xr:uid="{00000000-0005-0000-0000-00009A000000}"/>
    <cellStyle name="Comma 16 6 2" xfId="156" xr:uid="{00000000-0005-0000-0000-00009B000000}"/>
    <cellStyle name="Comma 16 7" xfId="157" xr:uid="{00000000-0005-0000-0000-00009C000000}"/>
    <cellStyle name="Comma 16 7 2" xfId="158" xr:uid="{00000000-0005-0000-0000-00009D000000}"/>
    <cellStyle name="Comma 16 8" xfId="159" xr:uid="{00000000-0005-0000-0000-00009E000000}"/>
    <cellStyle name="Comma 16 8 2" xfId="160" xr:uid="{00000000-0005-0000-0000-00009F000000}"/>
    <cellStyle name="Comma 16 9" xfId="161" xr:uid="{00000000-0005-0000-0000-0000A0000000}"/>
    <cellStyle name="Comma 16 9 2" xfId="162" xr:uid="{00000000-0005-0000-0000-0000A1000000}"/>
    <cellStyle name="Comma 17" xfId="163" xr:uid="{00000000-0005-0000-0000-0000A2000000}"/>
    <cellStyle name="Comma 17 10" xfId="164" xr:uid="{00000000-0005-0000-0000-0000A3000000}"/>
    <cellStyle name="Comma 17 10 2" xfId="165" xr:uid="{00000000-0005-0000-0000-0000A4000000}"/>
    <cellStyle name="Comma 17 11" xfId="166" xr:uid="{00000000-0005-0000-0000-0000A5000000}"/>
    <cellStyle name="Comma 17 2" xfId="167" xr:uid="{00000000-0005-0000-0000-0000A6000000}"/>
    <cellStyle name="Comma 17 2 2" xfId="168" xr:uid="{00000000-0005-0000-0000-0000A7000000}"/>
    <cellStyle name="Comma 17 3" xfId="169" xr:uid="{00000000-0005-0000-0000-0000A8000000}"/>
    <cellStyle name="Comma 17 3 2" xfId="170" xr:uid="{00000000-0005-0000-0000-0000A9000000}"/>
    <cellStyle name="Comma 17 4" xfId="171" xr:uid="{00000000-0005-0000-0000-0000AA000000}"/>
    <cellStyle name="Comma 17 4 2" xfId="172" xr:uid="{00000000-0005-0000-0000-0000AB000000}"/>
    <cellStyle name="Comma 17 5" xfId="173" xr:uid="{00000000-0005-0000-0000-0000AC000000}"/>
    <cellStyle name="Comma 17 5 2" xfId="174" xr:uid="{00000000-0005-0000-0000-0000AD000000}"/>
    <cellStyle name="Comma 17 6" xfId="175" xr:uid="{00000000-0005-0000-0000-0000AE000000}"/>
    <cellStyle name="Comma 17 6 2" xfId="176" xr:uid="{00000000-0005-0000-0000-0000AF000000}"/>
    <cellStyle name="Comma 17 7" xfId="177" xr:uid="{00000000-0005-0000-0000-0000B0000000}"/>
    <cellStyle name="Comma 17 7 2" xfId="178" xr:uid="{00000000-0005-0000-0000-0000B1000000}"/>
    <cellStyle name="Comma 17 8" xfId="179" xr:uid="{00000000-0005-0000-0000-0000B2000000}"/>
    <cellStyle name="Comma 17 8 2" xfId="180" xr:uid="{00000000-0005-0000-0000-0000B3000000}"/>
    <cellStyle name="Comma 17 9" xfId="181" xr:uid="{00000000-0005-0000-0000-0000B4000000}"/>
    <cellStyle name="Comma 17 9 2" xfId="182" xr:uid="{00000000-0005-0000-0000-0000B5000000}"/>
    <cellStyle name="Comma 18" xfId="183" xr:uid="{00000000-0005-0000-0000-0000B6000000}"/>
    <cellStyle name="Comma 18 2" xfId="184" xr:uid="{00000000-0005-0000-0000-0000B7000000}"/>
    <cellStyle name="Comma 19" xfId="185" xr:uid="{00000000-0005-0000-0000-0000B8000000}"/>
    <cellStyle name="Comma 2" xfId="186" xr:uid="{00000000-0005-0000-0000-0000B9000000}"/>
    <cellStyle name="Comma 2 10" xfId="187" xr:uid="{00000000-0005-0000-0000-0000BA000000}"/>
    <cellStyle name="Comma 2 10 2" xfId="188" xr:uid="{00000000-0005-0000-0000-0000BB000000}"/>
    <cellStyle name="Comma 2 11" xfId="189" xr:uid="{00000000-0005-0000-0000-0000BC000000}"/>
    <cellStyle name="Comma 2 11 2" xfId="190" xr:uid="{00000000-0005-0000-0000-0000BD000000}"/>
    <cellStyle name="Comma 2 12" xfId="191" xr:uid="{00000000-0005-0000-0000-0000BE000000}"/>
    <cellStyle name="Comma 2 12 2" xfId="192" xr:uid="{00000000-0005-0000-0000-0000BF000000}"/>
    <cellStyle name="Comma 2 13" xfId="193" xr:uid="{00000000-0005-0000-0000-0000C0000000}"/>
    <cellStyle name="Comma 2 13 2" xfId="194" xr:uid="{00000000-0005-0000-0000-0000C1000000}"/>
    <cellStyle name="Comma 2 14" xfId="195" xr:uid="{00000000-0005-0000-0000-0000C2000000}"/>
    <cellStyle name="Comma 2 14 2" xfId="196" xr:uid="{00000000-0005-0000-0000-0000C3000000}"/>
    <cellStyle name="Comma 2 15" xfId="197" xr:uid="{00000000-0005-0000-0000-0000C4000000}"/>
    <cellStyle name="Comma 2 15 2" xfId="198" xr:uid="{00000000-0005-0000-0000-0000C5000000}"/>
    <cellStyle name="Comma 2 16" xfId="199" xr:uid="{00000000-0005-0000-0000-0000C6000000}"/>
    <cellStyle name="Comma 2 16 2" xfId="200" xr:uid="{00000000-0005-0000-0000-0000C7000000}"/>
    <cellStyle name="Comma 2 17" xfId="201" xr:uid="{00000000-0005-0000-0000-0000C8000000}"/>
    <cellStyle name="Comma 2 17 2" xfId="202" xr:uid="{00000000-0005-0000-0000-0000C9000000}"/>
    <cellStyle name="Comma 2 18" xfId="203" xr:uid="{00000000-0005-0000-0000-0000CA000000}"/>
    <cellStyle name="Comma 2 18 2" xfId="204" xr:uid="{00000000-0005-0000-0000-0000CB000000}"/>
    <cellStyle name="Comma 2 19" xfId="205" xr:uid="{00000000-0005-0000-0000-0000CC000000}"/>
    <cellStyle name="Comma 2 19 2" xfId="206" xr:uid="{00000000-0005-0000-0000-0000CD000000}"/>
    <cellStyle name="Comma 2 2" xfId="207" xr:uid="{00000000-0005-0000-0000-0000CE000000}"/>
    <cellStyle name="Comma 2 2 2" xfId="208" xr:uid="{00000000-0005-0000-0000-0000CF000000}"/>
    <cellStyle name="Comma 2 20" xfId="209" xr:uid="{00000000-0005-0000-0000-0000D0000000}"/>
    <cellStyle name="Comma 2 20 2" xfId="210" xr:uid="{00000000-0005-0000-0000-0000D1000000}"/>
    <cellStyle name="Comma 2 21" xfId="211" xr:uid="{00000000-0005-0000-0000-0000D2000000}"/>
    <cellStyle name="Comma 2 21 2" xfId="212" xr:uid="{00000000-0005-0000-0000-0000D3000000}"/>
    <cellStyle name="Comma 2 22" xfId="213" xr:uid="{00000000-0005-0000-0000-0000D4000000}"/>
    <cellStyle name="Comma 2 22 2" xfId="214" xr:uid="{00000000-0005-0000-0000-0000D5000000}"/>
    <cellStyle name="Comma 2 23" xfId="215" xr:uid="{00000000-0005-0000-0000-0000D6000000}"/>
    <cellStyle name="Comma 2 23 2" xfId="216" xr:uid="{00000000-0005-0000-0000-0000D7000000}"/>
    <cellStyle name="Comma 2 24" xfId="217" xr:uid="{00000000-0005-0000-0000-0000D8000000}"/>
    <cellStyle name="Comma 2 24 2" xfId="218" xr:uid="{00000000-0005-0000-0000-0000D9000000}"/>
    <cellStyle name="Comma 2 25" xfId="219" xr:uid="{00000000-0005-0000-0000-0000DA000000}"/>
    <cellStyle name="Comma 2 25 2" xfId="220" xr:uid="{00000000-0005-0000-0000-0000DB000000}"/>
    <cellStyle name="Comma 2 26" xfId="221" xr:uid="{00000000-0005-0000-0000-0000DC000000}"/>
    <cellStyle name="Comma 2 26 2" xfId="222" xr:uid="{00000000-0005-0000-0000-0000DD000000}"/>
    <cellStyle name="Comma 2 27" xfId="223" xr:uid="{00000000-0005-0000-0000-0000DE000000}"/>
    <cellStyle name="Comma 2 3" xfId="224" xr:uid="{00000000-0005-0000-0000-0000DF000000}"/>
    <cellStyle name="Comma 2 3 2" xfId="225" xr:uid="{00000000-0005-0000-0000-0000E0000000}"/>
    <cellStyle name="Comma 2 4" xfId="226" xr:uid="{00000000-0005-0000-0000-0000E1000000}"/>
    <cellStyle name="Comma 2 4 2" xfId="227" xr:uid="{00000000-0005-0000-0000-0000E2000000}"/>
    <cellStyle name="Comma 2 5" xfId="228" xr:uid="{00000000-0005-0000-0000-0000E3000000}"/>
    <cellStyle name="Comma 2 5 2" xfId="229" xr:uid="{00000000-0005-0000-0000-0000E4000000}"/>
    <cellStyle name="Comma 2 6" xfId="230" xr:uid="{00000000-0005-0000-0000-0000E5000000}"/>
    <cellStyle name="Comma 2 6 2" xfId="231" xr:uid="{00000000-0005-0000-0000-0000E6000000}"/>
    <cellStyle name="Comma 2 7" xfId="232" xr:uid="{00000000-0005-0000-0000-0000E7000000}"/>
    <cellStyle name="Comma 2 7 2" xfId="233" xr:uid="{00000000-0005-0000-0000-0000E8000000}"/>
    <cellStyle name="Comma 2 8" xfId="234" xr:uid="{00000000-0005-0000-0000-0000E9000000}"/>
    <cellStyle name="Comma 2 8 2" xfId="235" xr:uid="{00000000-0005-0000-0000-0000EA000000}"/>
    <cellStyle name="Comma 2 9" xfId="236" xr:uid="{00000000-0005-0000-0000-0000EB000000}"/>
    <cellStyle name="Comma 2 9 2" xfId="237" xr:uid="{00000000-0005-0000-0000-0000EC000000}"/>
    <cellStyle name="Comma 24" xfId="238" xr:uid="{00000000-0005-0000-0000-0000ED000000}"/>
    <cellStyle name="Comma 24 2" xfId="239" xr:uid="{00000000-0005-0000-0000-0000EE000000}"/>
    <cellStyle name="Comma 3" xfId="240" xr:uid="{00000000-0005-0000-0000-0000EF000000}"/>
    <cellStyle name="Comma 3 10" xfId="241" xr:uid="{00000000-0005-0000-0000-0000F0000000}"/>
    <cellStyle name="Comma 3 10 2" xfId="242" xr:uid="{00000000-0005-0000-0000-0000F1000000}"/>
    <cellStyle name="Comma 3 11" xfId="243" xr:uid="{00000000-0005-0000-0000-0000F2000000}"/>
    <cellStyle name="Comma 3 11 2" xfId="244" xr:uid="{00000000-0005-0000-0000-0000F3000000}"/>
    <cellStyle name="Comma 3 12" xfId="245" xr:uid="{00000000-0005-0000-0000-0000F4000000}"/>
    <cellStyle name="Comma 3 12 2" xfId="246" xr:uid="{00000000-0005-0000-0000-0000F5000000}"/>
    <cellStyle name="Comma 3 13" xfId="247" xr:uid="{00000000-0005-0000-0000-0000F6000000}"/>
    <cellStyle name="Comma 3 13 2" xfId="248" xr:uid="{00000000-0005-0000-0000-0000F7000000}"/>
    <cellStyle name="Comma 3 14" xfId="249" xr:uid="{00000000-0005-0000-0000-0000F8000000}"/>
    <cellStyle name="Comma 3 14 2" xfId="250" xr:uid="{00000000-0005-0000-0000-0000F9000000}"/>
    <cellStyle name="Comma 3 15" xfId="251" xr:uid="{00000000-0005-0000-0000-0000FA000000}"/>
    <cellStyle name="Comma 3 15 2" xfId="252" xr:uid="{00000000-0005-0000-0000-0000FB000000}"/>
    <cellStyle name="Comma 3 16" xfId="253" xr:uid="{00000000-0005-0000-0000-0000FC000000}"/>
    <cellStyle name="Comma 3 16 2" xfId="254" xr:uid="{00000000-0005-0000-0000-0000FD000000}"/>
    <cellStyle name="Comma 3 17" xfId="255" xr:uid="{00000000-0005-0000-0000-0000FE000000}"/>
    <cellStyle name="Comma 3 17 2" xfId="256" xr:uid="{00000000-0005-0000-0000-0000FF000000}"/>
    <cellStyle name="Comma 3 18" xfId="257" xr:uid="{00000000-0005-0000-0000-000000010000}"/>
    <cellStyle name="Comma 3 18 2" xfId="258" xr:uid="{00000000-0005-0000-0000-000001010000}"/>
    <cellStyle name="Comma 3 19" xfId="259" xr:uid="{00000000-0005-0000-0000-000002010000}"/>
    <cellStyle name="Comma 3 19 2" xfId="260" xr:uid="{00000000-0005-0000-0000-000003010000}"/>
    <cellStyle name="Comma 3 2" xfId="261" xr:uid="{00000000-0005-0000-0000-000004010000}"/>
    <cellStyle name="Comma 3 2 2" xfId="262" xr:uid="{00000000-0005-0000-0000-000005010000}"/>
    <cellStyle name="Comma 3 20" xfId="263" xr:uid="{00000000-0005-0000-0000-000006010000}"/>
    <cellStyle name="Comma 3 20 2" xfId="264" xr:uid="{00000000-0005-0000-0000-000007010000}"/>
    <cellStyle name="Comma 3 21" xfId="265" xr:uid="{00000000-0005-0000-0000-000008010000}"/>
    <cellStyle name="Comma 3 3" xfId="266" xr:uid="{00000000-0005-0000-0000-000009010000}"/>
    <cellStyle name="Comma 3 3 2" xfId="267" xr:uid="{00000000-0005-0000-0000-00000A010000}"/>
    <cellStyle name="Comma 3 4" xfId="268" xr:uid="{00000000-0005-0000-0000-00000B010000}"/>
    <cellStyle name="Comma 3 4 2" xfId="269" xr:uid="{00000000-0005-0000-0000-00000C010000}"/>
    <cellStyle name="Comma 3 5" xfId="270" xr:uid="{00000000-0005-0000-0000-00000D010000}"/>
    <cellStyle name="Comma 3 5 2" xfId="271" xr:uid="{00000000-0005-0000-0000-00000E010000}"/>
    <cellStyle name="Comma 3 6" xfId="272" xr:uid="{00000000-0005-0000-0000-00000F010000}"/>
    <cellStyle name="Comma 3 6 2" xfId="273" xr:uid="{00000000-0005-0000-0000-000010010000}"/>
    <cellStyle name="Comma 3 7" xfId="274" xr:uid="{00000000-0005-0000-0000-000011010000}"/>
    <cellStyle name="Comma 3 7 2" xfId="275" xr:uid="{00000000-0005-0000-0000-000012010000}"/>
    <cellStyle name="Comma 3 8" xfId="276" xr:uid="{00000000-0005-0000-0000-000013010000}"/>
    <cellStyle name="Comma 3 8 2" xfId="277" xr:uid="{00000000-0005-0000-0000-000014010000}"/>
    <cellStyle name="Comma 3 9" xfId="278" xr:uid="{00000000-0005-0000-0000-000015010000}"/>
    <cellStyle name="Comma 3 9 2" xfId="279" xr:uid="{00000000-0005-0000-0000-000016010000}"/>
    <cellStyle name="Comma 4" xfId="280" xr:uid="{00000000-0005-0000-0000-000017010000}"/>
    <cellStyle name="Comma 4 2" xfId="281" xr:uid="{00000000-0005-0000-0000-000018010000}"/>
    <cellStyle name="Comma 5" xfId="282" xr:uid="{00000000-0005-0000-0000-000019010000}"/>
    <cellStyle name="Comma 5 10" xfId="283" xr:uid="{00000000-0005-0000-0000-00001A010000}"/>
    <cellStyle name="Comma 5 10 2" xfId="284" xr:uid="{00000000-0005-0000-0000-00001B010000}"/>
    <cellStyle name="Comma 5 11" xfId="285" xr:uid="{00000000-0005-0000-0000-00001C010000}"/>
    <cellStyle name="Comma 5 11 2" xfId="286" xr:uid="{00000000-0005-0000-0000-00001D010000}"/>
    <cellStyle name="Comma 5 12" xfId="287" xr:uid="{00000000-0005-0000-0000-00001E010000}"/>
    <cellStyle name="Comma 5 12 2" xfId="288" xr:uid="{00000000-0005-0000-0000-00001F010000}"/>
    <cellStyle name="Comma 5 13" xfId="289" xr:uid="{00000000-0005-0000-0000-000020010000}"/>
    <cellStyle name="Comma 5 13 2" xfId="290" xr:uid="{00000000-0005-0000-0000-000021010000}"/>
    <cellStyle name="Comma 5 14" xfId="291" xr:uid="{00000000-0005-0000-0000-000022010000}"/>
    <cellStyle name="Comma 5 14 2" xfId="292" xr:uid="{00000000-0005-0000-0000-000023010000}"/>
    <cellStyle name="Comma 5 15" xfId="293" xr:uid="{00000000-0005-0000-0000-000024010000}"/>
    <cellStyle name="Comma 5 15 2" xfId="294" xr:uid="{00000000-0005-0000-0000-000025010000}"/>
    <cellStyle name="Comma 5 16" xfId="295" xr:uid="{00000000-0005-0000-0000-000026010000}"/>
    <cellStyle name="Comma 5 16 2" xfId="296" xr:uid="{00000000-0005-0000-0000-000027010000}"/>
    <cellStyle name="Comma 5 17" xfId="297" xr:uid="{00000000-0005-0000-0000-000028010000}"/>
    <cellStyle name="Comma 5 17 2" xfId="298" xr:uid="{00000000-0005-0000-0000-000029010000}"/>
    <cellStyle name="Comma 5 18" xfId="299" xr:uid="{00000000-0005-0000-0000-00002A010000}"/>
    <cellStyle name="Comma 5 18 2" xfId="300" xr:uid="{00000000-0005-0000-0000-00002B010000}"/>
    <cellStyle name="Comma 5 19" xfId="301" xr:uid="{00000000-0005-0000-0000-00002C010000}"/>
    <cellStyle name="Comma 5 19 2" xfId="302" xr:uid="{00000000-0005-0000-0000-00002D010000}"/>
    <cellStyle name="Comma 5 2" xfId="303" xr:uid="{00000000-0005-0000-0000-00002E010000}"/>
    <cellStyle name="Comma 5 2 2" xfId="304" xr:uid="{00000000-0005-0000-0000-00002F010000}"/>
    <cellStyle name="Comma 5 20" xfId="305" xr:uid="{00000000-0005-0000-0000-000030010000}"/>
    <cellStyle name="Comma 5 20 2" xfId="306" xr:uid="{00000000-0005-0000-0000-000031010000}"/>
    <cellStyle name="Comma 5 21" xfId="307" xr:uid="{00000000-0005-0000-0000-000032010000}"/>
    <cellStyle name="Comma 5 3" xfId="308" xr:uid="{00000000-0005-0000-0000-000033010000}"/>
    <cellStyle name="Comma 5 3 2" xfId="309" xr:uid="{00000000-0005-0000-0000-000034010000}"/>
    <cellStyle name="Comma 5 4" xfId="310" xr:uid="{00000000-0005-0000-0000-000035010000}"/>
    <cellStyle name="Comma 5 4 2" xfId="311" xr:uid="{00000000-0005-0000-0000-000036010000}"/>
    <cellStyle name="Comma 5 5" xfId="312" xr:uid="{00000000-0005-0000-0000-000037010000}"/>
    <cellStyle name="Comma 5 5 2" xfId="313" xr:uid="{00000000-0005-0000-0000-000038010000}"/>
    <cellStyle name="Comma 5 6" xfId="314" xr:uid="{00000000-0005-0000-0000-000039010000}"/>
    <cellStyle name="Comma 5 6 2" xfId="315" xr:uid="{00000000-0005-0000-0000-00003A010000}"/>
    <cellStyle name="Comma 5 7" xfId="316" xr:uid="{00000000-0005-0000-0000-00003B010000}"/>
    <cellStyle name="Comma 5 7 2" xfId="317" xr:uid="{00000000-0005-0000-0000-00003C010000}"/>
    <cellStyle name="Comma 5 8" xfId="318" xr:uid="{00000000-0005-0000-0000-00003D010000}"/>
    <cellStyle name="Comma 5 8 2" xfId="319" xr:uid="{00000000-0005-0000-0000-00003E010000}"/>
    <cellStyle name="Comma 5 9" xfId="320" xr:uid="{00000000-0005-0000-0000-00003F010000}"/>
    <cellStyle name="Comma 5 9 2" xfId="321" xr:uid="{00000000-0005-0000-0000-000040010000}"/>
    <cellStyle name="Comma 6" xfId="322" xr:uid="{00000000-0005-0000-0000-000041010000}"/>
    <cellStyle name="Comma 6 10" xfId="323" xr:uid="{00000000-0005-0000-0000-000042010000}"/>
    <cellStyle name="Comma 6 10 2" xfId="324" xr:uid="{00000000-0005-0000-0000-000043010000}"/>
    <cellStyle name="Comma 6 11" xfId="325" xr:uid="{00000000-0005-0000-0000-000044010000}"/>
    <cellStyle name="Comma 6 11 2" xfId="326" xr:uid="{00000000-0005-0000-0000-000045010000}"/>
    <cellStyle name="Comma 6 12" xfId="327" xr:uid="{00000000-0005-0000-0000-000046010000}"/>
    <cellStyle name="Comma 6 12 2" xfId="328" xr:uid="{00000000-0005-0000-0000-000047010000}"/>
    <cellStyle name="Comma 6 13" xfId="329" xr:uid="{00000000-0005-0000-0000-000048010000}"/>
    <cellStyle name="Comma 6 13 2" xfId="330" xr:uid="{00000000-0005-0000-0000-000049010000}"/>
    <cellStyle name="Comma 6 14" xfId="331" xr:uid="{00000000-0005-0000-0000-00004A010000}"/>
    <cellStyle name="Comma 6 14 2" xfId="332" xr:uid="{00000000-0005-0000-0000-00004B010000}"/>
    <cellStyle name="Comma 6 15" xfId="333" xr:uid="{00000000-0005-0000-0000-00004C010000}"/>
    <cellStyle name="Comma 6 15 2" xfId="334" xr:uid="{00000000-0005-0000-0000-00004D010000}"/>
    <cellStyle name="Comma 6 16" xfId="335" xr:uid="{00000000-0005-0000-0000-00004E010000}"/>
    <cellStyle name="Comma 6 16 2" xfId="336" xr:uid="{00000000-0005-0000-0000-00004F010000}"/>
    <cellStyle name="Comma 6 17" xfId="337" xr:uid="{00000000-0005-0000-0000-000050010000}"/>
    <cellStyle name="Comma 6 17 2" xfId="338" xr:uid="{00000000-0005-0000-0000-000051010000}"/>
    <cellStyle name="Comma 6 18" xfId="339" xr:uid="{00000000-0005-0000-0000-000052010000}"/>
    <cellStyle name="Comma 6 18 2" xfId="340" xr:uid="{00000000-0005-0000-0000-000053010000}"/>
    <cellStyle name="Comma 6 19" xfId="341" xr:uid="{00000000-0005-0000-0000-000054010000}"/>
    <cellStyle name="Comma 6 19 2" xfId="342" xr:uid="{00000000-0005-0000-0000-000055010000}"/>
    <cellStyle name="Comma 6 2" xfId="343" xr:uid="{00000000-0005-0000-0000-000056010000}"/>
    <cellStyle name="Comma 6 2 2" xfId="344" xr:uid="{00000000-0005-0000-0000-000057010000}"/>
    <cellStyle name="Comma 6 20" xfId="345" xr:uid="{00000000-0005-0000-0000-000058010000}"/>
    <cellStyle name="Comma 6 3" xfId="346" xr:uid="{00000000-0005-0000-0000-000059010000}"/>
    <cellStyle name="Comma 6 3 2" xfId="347" xr:uid="{00000000-0005-0000-0000-00005A010000}"/>
    <cellStyle name="Comma 6 4" xfId="348" xr:uid="{00000000-0005-0000-0000-00005B010000}"/>
    <cellStyle name="Comma 6 4 2" xfId="349" xr:uid="{00000000-0005-0000-0000-00005C010000}"/>
    <cellStyle name="Comma 6 5" xfId="350" xr:uid="{00000000-0005-0000-0000-00005D010000}"/>
    <cellStyle name="Comma 6 5 2" xfId="351" xr:uid="{00000000-0005-0000-0000-00005E010000}"/>
    <cellStyle name="Comma 6 6" xfId="352" xr:uid="{00000000-0005-0000-0000-00005F010000}"/>
    <cellStyle name="Comma 6 6 2" xfId="353" xr:uid="{00000000-0005-0000-0000-000060010000}"/>
    <cellStyle name="Comma 6 7" xfId="354" xr:uid="{00000000-0005-0000-0000-000061010000}"/>
    <cellStyle name="Comma 6 7 2" xfId="355" xr:uid="{00000000-0005-0000-0000-000062010000}"/>
    <cellStyle name="Comma 6 8" xfId="356" xr:uid="{00000000-0005-0000-0000-000063010000}"/>
    <cellStyle name="Comma 6 8 2" xfId="357" xr:uid="{00000000-0005-0000-0000-000064010000}"/>
    <cellStyle name="Comma 6 9" xfId="358" xr:uid="{00000000-0005-0000-0000-000065010000}"/>
    <cellStyle name="Comma 6 9 2" xfId="359" xr:uid="{00000000-0005-0000-0000-000066010000}"/>
    <cellStyle name="Comma 7" xfId="360" xr:uid="{00000000-0005-0000-0000-000067010000}"/>
    <cellStyle name="Comma 7 10" xfId="361" xr:uid="{00000000-0005-0000-0000-000068010000}"/>
    <cellStyle name="Comma 7 10 2" xfId="362" xr:uid="{00000000-0005-0000-0000-000069010000}"/>
    <cellStyle name="Comma 7 11" xfId="363" xr:uid="{00000000-0005-0000-0000-00006A010000}"/>
    <cellStyle name="Comma 7 11 2" xfId="364" xr:uid="{00000000-0005-0000-0000-00006B010000}"/>
    <cellStyle name="Comma 7 12" xfId="365" xr:uid="{00000000-0005-0000-0000-00006C010000}"/>
    <cellStyle name="Comma 7 12 2" xfId="366" xr:uid="{00000000-0005-0000-0000-00006D010000}"/>
    <cellStyle name="Comma 7 13" xfId="367" xr:uid="{00000000-0005-0000-0000-00006E010000}"/>
    <cellStyle name="Comma 7 13 2" xfId="368" xr:uid="{00000000-0005-0000-0000-00006F010000}"/>
    <cellStyle name="Comma 7 14" xfId="369" xr:uid="{00000000-0005-0000-0000-000070010000}"/>
    <cellStyle name="Comma 7 14 2" xfId="370" xr:uid="{00000000-0005-0000-0000-000071010000}"/>
    <cellStyle name="Comma 7 15" xfId="371" xr:uid="{00000000-0005-0000-0000-000072010000}"/>
    <cellStyle name="Comma 7 15 2" xfId="372" xr:uid="{00000000-0005-0000-0000-000073010000}"/>
    <cellStyle name="Comma 7 16" xfId="373" xr:uid="{00000000-0005-0000-0000-000074010000}"/>
    <cellStyle name="Comma 7 16 2" xfId="374" xr:uid="{00000000-0005-0000-0000-000075010000}"/>
    <cellStyle name="Comma 7 17" xfId="375" xr:uid="{00000000-0005-0000-0000-000076010000}"/>
    <cellStyle name="Comma 7 17 2" xfId="376" xr:uid="{00000000-0005-0000-0000-000077010000}"/>
    <cellStyle name="Comma 7 18" xfId="377" xr:uid="{00000000-0005-0000-0000-000078010000}"/>
    <cellStyle name="Comma 7 18 2" xfId="378" xr:uid="{00000000-0005-0000-0000-000079010000}"/>
    <cellStyle name="Comma 7 19" xfId="379" xr:uid="{00000000-0005-0000-0000-00007A010000}"/>
    <cellStyle name="Comma 7 19 2" xfId="380" xr:uid="{00000000-0005-0000-0000-00007B010000}"/>
    <cellStyle name="Comma 7 2" xfId="381" xr:uid="{00000000-0005-0000-0000-00007C010000}"/>
    <cellStyle name="Comma 7 2 2" xfId="382" xr:uid="{00000000-0005-0000-0000-00007D010000}"/>
    <cellStyle name="Comma 7 20" xfId="383" xr:uid="{00000000-0005-0000-0000-00007E010000}"/>
    <cellStyle name="Comma 7 3" xfId="384" xr:uid="{00000000-0005-0000-0000-00007F010000}"/>
    <cellStyle name="Comma 7 3 2" xfId="385" xr:uid="{00000000-0005-0000-0000-000080010000}"/>
    <cellStyle name="Comma 7 4" xfId="386" xr:uid="{00000000-0005-0000-0000-000081010000}"/>
    <cellStyle name="Comma 7 4 2" xfId="387" xr:uid="{00000000-0005-0000-0000-000082010000}"/>
    <cellStyle name="Comma 7 5" xfId="388" xr:uid="{00000000-0005-0000-0000-000083010000}"/>
    <cellStyle name="Comma 7 5 2" xfId="389" xr:uid="{00000000-0005-0000-0000-000084010000}"/>
    <cellStyle name="Comma 7 6" xfId="390" xr:uid="{00000000-0005-0000-0000-000085010000}"/>
    <cellStyle name="Comma 7 6 2" xfId="391" xr:uid="{00000000-0005-0000-0000-000086010000}"/>
    <cellStyle name="Comma 7 7" xfId="392" xr:uid="{00000000-0005-0000-0000-000087010000}"/>
    <cellStyle name="Comma 7 7 2" xfId="393" xr:uid="{00000000-0005-0000-0000-000088010000}"/>
    <cellStyle name="Comma 7 8" xfId="394" xr:uid="{00000000-0005-0000-0000-000089010000}"/>
    <cellStyle name="Comma 7 8 2" xfId="395" xr:uid="{00000000-0005-0000-0000-00008A010000}"/>
    <cellStyle name="Comma 7 9" xfId="396" xr:uid="{00000000-0005-0000-0000-00008B010000}"/>
    <cellStyle name="Comma 7 9 2" xfId="397" xr:uid="{00000000-0005-0000-0000-00008C010000}"/>
    <cellStyle name="Comma 8" xfId="398" xr:uid="{00000000-0005-0000-0000-00008D010000}"/>
    <cellStyle name="Comma 8 10" xfId="399" xr:uid="{00000000-0005-0000-0000-00008E010000}"/>
    <cellStyle name="Comma 8 10 2" xfId="400" xr:uid="{00000000-0005-0000-0000-00008F010000}"/>
    <cellStyle name="Comma 8 11" xfId="401" xr:uid="{00000000-0005-0000-0000-000090010000}"/>
    <cellStyle name="Comma 8 11 2" xfId="402" xr:uid="{00000000-0005-0000-0000-000091010000}"/>
    <cellStyle name="Comma 8 12" xfId="403" xr:uid="{00000000-0005-0000-0000-000092010000}"/>
    <cellStyle name="Comma 8 12 2" xfId="404" xr:uid="{00000000-0005-0000-0000-000093010000}"/>
    <cellStyle name="Comma 8 13" xfId="405" xr:uid="{00000000-0005-0000-0000-000094010000}"/>
    <cellStyle name="Comma 8 13 2" xfId="406" xr:uid="{00000000-0005-0000-0000-000095010000}"/>
    <cellStyle name="Comma 8 14" xfId="407" xr:uid="{00000000-0005-0000-0000-000096010000}"/>
    <cellStyle name="Comma 8 14 2" xfId="408" xr:uid="{00000000-0005-0000-0000-000097010000}"/>
    <cellStyle name="Comma 8 15" xfId="409" xr:uid="{00000000-0005-0000-0000-000098010000}"/>
    <cellStyle name="Comma 8 15 2" xfId="410" xr:uid="{00000000-0005-0000-0000-000099010000}"/>
    <cellStyle name="Comma 8 16" xfId="411" xr:uid="{00000000-0005-0000-0000-00009A010000}"/>
    <cellStyle name="Comma 8 16 2" xfId="412" xr:uid="{00000000-0005-0000-0000-00009B010000}"/>
    <cellStyle name="Comma 8 17" xfId="413" xr:uid="{00000000-0005-0000-0000-00009C010000}"/>
    <cellStyle name="Comma 8 17 2" xfId="414" xr:uid="{00000000-0005-0000-0000-00009D010000}"/>
    <cellStyle name="Comma 8 18" xfId="415" xr:uid="{00000000-0005-0000-0000-00009E010000}"/>
    <cellStyle name="Comma 8 18 2" xfId="416" xr:uid="{00000000-0005-0000-0000-00009F010000}"/>
    <cellStyle name="Comma 8 19" xfId="417" xr:uid="{00000000-0005-0000-0000-0000A0010000}"/>
    <cellStyle name="Comma 8 19 2" xfId="418" xr:uid="{00000000-0005-0000-0000-0000A1010000}"/>
    <cellStyle name="Comma 8 2" xfId="419" xr:uid="{00000000-0005-0000-0000-0000A2010000}"/>
    <cellStyle name="Comma 8 2 2" xfId="420" xr:uid="{00000000-0005-0000-0000-0000A3010000}"/>
    <cellStyle name="Comma 8 20" xfId="421" xr:uid="{00000000-0005-0000-0000-0000A4010000}"/>
    <cellStyle name="Comma 8 3" xfId="422" xr:uid="{00000000-0005-0000-0000-0000A5010000}"/>
    <cellStyle name="Comma 8 3 2" xfId="423" xr:uid="{00000000-0005-0000-0000-0000A6010000}"/>
    <cellStyle name="Comma 8 4" xfId="424" xr:uid="{00000000-0005-0000-0000-0000A7010000}"/>
    <cellStyle name="Comma 8 4 2" xfId="425" xr:uid="{00000000-0005-0000-0000-0000A8010000}"/>
    <cellStyle name="Comma 8 5" xfId="426" xr:uid="{00000000-0005-0000-0000-0000A9010000}"/>
    <cellStyle name="Comma 8 5 2" xfId="427" xr:uid="{00000000-0005-0000-0000-0000AA010000}"/>
    <cellStyle name="Comma 8 6" xfId="428" xr:uid="{00000000-0005-0000-0000-0000AB010000}"/>
    <cellStyle name="Comma 8 6 2" xfId="429" xr:uid="{00000000-0005-0000-0000-0000AC010000}"/>
    <cellStyle name="Comma 8 7" xfId="430" xr:uid="{00000000-0005-0000-0000-0000AD010000}"/>
    <cellStyle name="Comma 8 7 2" xfId="431" xr:uid="{00000000-0005-0000-0000-0000AE010000}"/>
    <cellStyle name="Comma 8 8" xfId="432" xr:uid="{00000000-0005-0000-0000-0000AF010000}"/>
    <cellStyle name="Comma 8 8 2" xfId="433" xr:uid="{00000000-0005-0000-0000-0000B0010000}"/>
    <cellStyle name="Comma 8 9" xfId="434" xr:uid="{00000000-0005-0000-0000-0000B1010000}"/>
    <cellStyle name="Comma 8 9 2" xfId="435" xr:uid="{00000000-0005-0000-0000-0000B2010000}"/>
    <cellStyle name="Comma 9" xfId="436" xr:uid="{00000000-0005-0000-0000-0000B3010000}"/>
    <cellStyle name="Comma 9 10" xfId="437" xr:uid="{00000000-0005-0000-0000-0000B4010000}"/>
    <cellStyle name="Comma 9 10 2" xfId="438" xr:uid="{00000000-0005-0000-0000-0000B5010000}"/>
    <cellStyle name="Comma 9 11" xfId="439" xr:uid="{00000000-0005-0000-0000-0000B6010000}"/>
    <cellStyle name="Comma 9 11 2" xfId="440" xr:uid="{00000000-0005-0000-0000-0000B7010000}"/>
    <cellStyle name="Comma 9 12" xfId="441" xr:uid="{00000000-0005-0000-0000-0000B8010000}"/>
    <cellStyle name="Comma 9 12 2" xfId="442" xr:uid="{00000000-0005-0000-0000-0000B9010000}"/>
    <cellStyle name="Comma 9 13" xfId="443" xr:uid="{00000000-0005-0000-0000-0000BA010000}"/>
    <cellStyle name="Comma 9 13 2" xfId="444" xr:uid="{00000000-0005-0000-0000-0000BB010000}"/>
    <cellStyle name="Comma 9 14" xfId="445" xr:uid="{00000000-0005-0000-0000-0000BC010000}"/>
    <cellStyle name="Comma 9 14 2" xfId="446" xr:uid="{00000000-0005-0000-0000-0000BD010000}"/>
    <cellStyle name="Comma 9 15" xfId="447" xr:uid="{00000000-0005-0000-0000-0000BE010000}"/>
    <cellStyle name="Comma 9 15 2" xfId="448" xr:uid="{00000000-0005-0000-0000-0000BF010000}"/>
    <cellStyle name="Comma 9 16" xfId="449" xr:uid="{00000000-0005-0000-0000-0000C0010000}"/>
    <cellStyle name="Comma 9 16 2" xfId="450" xr:uid="{00000000-0005-0000-0000-0000C1010000}"/>
    <cellStyle name="Comma 9 17" xfId="451" xr:uid="{00000000-0005-0000-0000-0000C2010000}"/>
    <cellStyle name="Comma 9 17 2" xfId="452" xr:uid="{00000000-0005-0000-0000-0000C3010000}"/>
    <cellStyle name="Comma 9 18" xfId="453" xr:uid="{00000000-0005-0000-0000-0000C4010000}"/>
    <cellStyle name="Comma 9 18 2" xfId="454" xr:uid="{00000000-0005-0000-0000-0000C5010000}"/>
    <cellStyle name="Comma 9 19" xfId="455" xr:uid="{00000000-0005-0000-0000-0000C6010000}"/>
    <cellStyle name="Comma 9 19 2" xfId="456" xr:uid="{00000000-0005-0000-0000-0000C7010000}"/>
    <cellStyle name="Comma 9 2" xfId="457" xr:uid="{00000000-0005-0000-0000-0000C8010000}"/>
    <cellStyle name="Comma 9 2 2" xfId="458" xr:uid="{00000000-0005-0000-0000-0000C9010000}"/>
    <cellStyle name="Comma 9 20" xfId="459" xr:uid="{00000000-0005-0000-0000-0000CA010000}"/>
    <cellStyle name="Comma 9 3" xfId="460" xr:uid="{00000000-0005-0000-0000-0000CB010000}"/>
    <cellStyle name="Comma 9 3 2" xfId="461" xr:uid="{00000000-0005-0000-0000-0000CC010000}"/>
    <cellStyle name="Comma 9 4" xfId="462" xr:uid="{00000000-0005-0000-0000-0000CD010000}"/>
    <cellStyle name="Comma 9 4 2" xfId="463" xr:uid="{00000000-0005-0000-0000-0000CE010000}"/>
    <cellStyle name="Comma 9 5" xfId="464" xr:uid="{00000000-0005-0000-0000-0000CF010000}"/>
    <cellStyle name="Comma 9 5 2" xfId="465" xr:uid="{00000000-0005-0000-0000-0000D0010000}"/>
    <cellStyle name="Comma 9 6" xfId="466" xr:uid="{00000000-0005-0000-0000-0000D1010000}"/>
    <cellStyle name="Comma 9 6 2" xfId="467" xr:uid="{00000000-0005-0000-0000-0000D2010000}"/>
    <cellStyle name="Comma 9 7" xfId="468" xr:uid="{00000000-0005-0000-0000-0000D3010000}"/>
    <cellStyle name="Comma 9 7 2" xfId="469" xr:uid="{00000000-0005-0000-0000-0000D4010000}"/>
    <cellStyle name="Comma 9 8" xfId="470" xr:uid="{00000000-0005-0000-0000-0000D5010000}"/>
    <cellStyle name="Comma 9 8 2" xfId="471" xr:uid="{00000000-0005-0000-0000-0000D6010000}"/>
    <cellStyle name="Comma 9 9" xfId="472" xr:uid="{00000000-0005-0000-0000-0000D7010000}"/>
    <cellStyle name="Comma 9 9 2" xfId="473" xr:uid="{00000000-0005-0000-0000-0000D8010000}"/>
    <cellStyle name="Input 2" xfId="474" xr:uid="{00000000-0005-0000-0000-0000D9010000}"/>
    <cellStyle name="Input 2 2" xfId="475" xr:uid="{00000000-0005-0000-0000-0000DA010000}"/>
    <cellStyle name="Jun" xfId="476" xr:uid="{00000000-0005-0000-0000-0000DB010000}"/>
    <cellStyle name="Normal" xfId="0" builtinId="0"/>
    <cellStyle name="Normal 10" xfId="477" xr:uid="{00000000-0005-0000-0000-0000DD010000}"/>
    <cellStyle name="Normal 10 2" xfId="478" xr:uid="{00000000-0005-0000-0000-0000DE010000}"/>
    <cellStyle name="Normal 10 2 2" xfId="479" xr:uid="{00000000-0005-0000-0000-0000DF010000}"/>
    <cellStyle name="Normal 10 3" xfId="480" xr:uid="{00000000-0005-0000-0000-0000E0010000}"/>
    <cellStyle name="Normal 10 4" xfId="481" xr:uid="{00000000-0005-0000-0000-0000E1010000}"/>
    <cellStyle name="Normal 10 5" xfId="482" xr:uid="{00000000-0005-0000-0000-0000E2010000}"/>
    <cellStyle name="Normal 11" xfId="483" xr:uid="{00000000-0005-0000-0000-0000E3010000}"/>
    <cellStyle name="Normal 12" xfId="484" xr:uid="{00000000-0005-0000-0000-0000E4010000}"/>
    <cellStyle name="Normal 12 2" xfId="485" xr:uid="{00000000-0005-0000-0000-0000E5010000}"/>
    <cellStyle name="Normal 12 3" xfId="486" xr:uid="{00000000-0005-0000-0000-0000E6010000}"/>
    <cellStyle name="Normal 12 4" xfId="487" xr:uid="{00000000-0005-0000-0000-0000E7010000}"/>
    <cellStyle name="Normal 12 5" xfId="488" xr:uid="{00000000-0005-0000-0000-0000E8010000}"/>
    <cellStyle name="Normal 13" xfId="489" xr:uid="{00000000-0005-0000-0000-0000E9010000}"/>
    <cellStyle name="Normal 13 2" xfId="490" xr:uid="{00000000-0005-0000-0000-0000EA010000}"/>
    <cellStyle name="Normal 13 3" xfId="491" xr:uid="{00000000-0005-0000-0000-0000EB010000}"/>
    <cellStyle name="Normal 13 4" xfId="492" xr:uid="{00000000-0005-0000-0000-0000EC010000}"/>
    <cellStyle name="Normal 13 5" xfId="493" xr:uid="{00000000-0005-0000-0000-0000ED010000}"/>
    <cellStyle name="Normal 14" xfId="494" xr:uid="{00000000-0005-0000-0000-0000EE010000}"/>
    <cellStyle name="Normal 14 10" xfId="495" xr:uid="{00000000-0005-0000-0000-0000EF010000}"/>
    <cellStyle name="Normal 14 11" xfId="496" xr:uid="{00000000-0005-0000-0000-0000F0010000}"/>
    <cellStyle name="Normal 14 12" xfId="497" xr:uid="{00000000-0005-0000-0000-0000F1010000}"/>
    <cellStyle name="Normal 14 2" xfId="498" xr:uid="{00000000-0005-0000-0000-0000F2010000}"/>
    <cellStyle name="Normal 14 3" xfId="499" xr:uid="{00000000-0005-0000-0000-0000F3010000}"/>
    <cellStyle name="Normal 14 4" xfId="500" xr:uid="{00000000-0005-0000-0000-0000F4010000}"/>
    <cellStyle name="Normal 14 5" xfId="501" xr:uid="{00000000-0005-0000-0000-0000F5010000}"/>
    <cellStyle name="Normal 14 6" xfId="502" xr:uid="{00000000-0005-0000-0000-0000F6010000}"/>
    <cellStyle name="Normal 14 7" xfId="503" xr:uid="{00000000-0005-0000-0000-0000F7010000}"/>
    <cellStyle name="Normal 14 8" xfId="504" xr:uid="{00000000-0005-0000-0000-0000F8010000}"/>
    <cellStyle name="Normal 14 9" xfId="505" xr:uid="{00000000-0005-0000-0000-0000F9010000}"/>
    <cellStyle name="Normal 15" xfId="506" xr:uid="{00000000-0005-0000-0000-0000FA010000}"/>
    <cellStyle name="Normal 16" xfId="507" xr:uid="{00000000-0005-0000-0000-0000FB010000}"/>
    <cellStyle name="Normal 17" xfId="508" xr:uid="{00000000-0005-0000-0000-0000FC010000}"/>
    <cellStyle name="Normal 17 2" xfId="509" xr:uid="{00000000-0005-0000-0000-0000FD010000}"/>
    <cellStyle name="Normal 17 2 2" xfId="510" xr:uid="{00000000-0005-0000-0000-0000FE010000}"/>
    <cellStyle name="Normal 17 3" xfId="511" xr:uid="{00000000-0005-0000-0000-0000FF010000}"/>
    <cellStyle name="Normal 17 3 2" xfId="512" xr:uid="{00000000-0005-0000-0000-000000020000}"/>
    <cellStyle name="Normal 17 4" xfId="513" xr:uid="{00000000-0005-0000-0000-000001020000}"/>
    <cellStyle name="Normal 17 4 2" xfId="514" xr:uid="{00000000-0005-0000-0000-000002020000}"/>
    <cellStyle name="Normal 17 5" xfId="515" xr:uid="{00000000-0005-0000-0000-000003020000}"/>
    <cellStyle name="Normal 17 5 2" xfId="516" xr:uid="{00000000-0005-0000-0000-000004020000}"/>
    <cellStyle name="Normal 17 6" xfId="517" xr:uid="{00000000-0005-0000-0000-000005020000}"/>
    <cellStyle name="Normal 18" xfId="518" xr:uid="{00000000-0005-0000-0000-000006020000}"/>
    <cellStyle name="Normal 2" xfId="519" xr:uid="{00000000-0005-0000-0000-000007020000}"/>
    <cellStyle name="Normal 2 10" xfId="520" xr:uid="{00000000-0005-0000-0000-000008020000}"/>
    <cellStyle name="Normal 2 11" xfId="521" xr:uid="{00000000-0005-0000-0000-000009020000}"/>
    <cellStyle name="Normal 2 12" xfId="522" xr:uid="{00000000-0005-0000-0000-00000A020000}"/>
    <cellStyle name="Normal 2 13" xfId="523" xr:uid="{00000000-0005-0000-0000-00000B020000}"/>
    <cellStyle name="Normal 2 14" xfId="524" xr:uid="{00000000-0005-0000-0000-00000C020000}"/>
    <cellStyle name="Normal 2 15" xfId="525" xr:uid="{00000000-0005-0000-0000-00000D020000}"/>
    <cellStyle name="Normal 2 16" xfId="526" xr:uid="{00000000-0005-0000-0000-00000E020000}"/>
    <cellStyle name="Normal 2 17" xfId="527" xr:uid="{00000000-0005-0000-0000-00000F020000}"/>
    <cellStyle name="Normal 2 18" xfId="528" xr:uid="{00000000-0005-0000-0000-000010020000}"/>
    <cellStyle name="Normal 2 19" xfId="529" xr:uid="{00000000-0005-0000-0000-000011020000}"/>
    <cellStyle name="Normal 2 2" xfId="530" xr:uid="{00000000-0005-0000-0000-000012020000}"/>
    <cellStyle name="Normal 2 20" xfId="531" xr:uid="{00000000-0005-0000-0000-000013020000}"/>
    <cellStyle name="Normal 2 3" xfId="532" xr:uid="{00000000-0005-0000-0000-000014020000}"/>
    <cellStyle name="Normal 2 4" xfId="533" xr:uid="{00000000-0005-0000-0000-000015020000}"/>
    <cellStyle name="Normal 2 5" xfId="534" xr:uid="{00000000-0005-0000-0000-000016020000}"/>
    <cellStyle name="Normal 2 6" xfId="535" xr:uid="{00000000-0005-0000-0000-000017020000}"/>
    <cellStyle name="Normal 2 7" xfId="536" xr:uid="{00000000-0005-0000-0000-000018020000}"/>
    <cellStyle name="Normal 2 8" xfId="537" xr:uid="{00000000-0005-0000-0000-000019020000}"/>
    <cellStyle name="Normal 2 9" xfId="538" xr:uid="{00000000-0005-0000-0000-00001A020000}"/>
    <cellStyle name="Normal 2_deposits mobilized" xfId="539" xr:uid="{00000000-0005-0000-0000-00001B020000}"/>
    <cellStyle name="Normal 21" xfId="540" xr:uid="{00000000-0005-0000-0000-00001C020000}"/>
    <cellStyle name="Normal 21 10" xfId="541" xr:uid="{00000000-0005-0000-0000-00001D020000}"/>
    <cellStyle name="Normal 21 11" xfId="542" xr:uid="{00000000-0005-0000-0000-00001E020000}"/>
    <cellStyle name="Normal 21 12" xfId="543" xr:uid="{00000000-0005-0000-0000-00001F020000}"/>
    <cellStyle name="Normal 21 13" xfId="544" xr:uid="{00000000-0005-0000-0000-000020020000}"/>
    <cellStyle name="Normal 21 14" xfId="545" xr:uid="{00000000-0005-0000-0000-000021020000}"/>
    <cellStyle name="Normal 21 15" xfId="546" xr:uid="{00000000-0005-0000-0000-000022020000}"/>
    <cellStyle name="Normal 21 16" xfId="547" xr:uid="{00000000-0005-0000-0000-000023020000}"/>
    <cellStyle name="Normal 21 2" xfId="548" xr:uid="{00000000-0005-0000-0000-000024020000}"/>
    <cellStyle name="Normal 21 3" xfId="549" xr:uid="{00000000-0005-0000-0000-000025020000}"/>
    <cellStyle name="Normal 21 4" xfId="550" xr:uid="{00000000-0005-0000-0000-000026020000}"/>
    <cellStyle name="Normal 21 5" xfId="551" xr:uid="{00000000-0005-0000-0000-000027020000}"/>
    <cellStyle name="Normal 21 6" xfId="552" xr:uid="{00000000-0005-0000-0000-000028020000}"/>
    <cellStyle name="Normal 21 7" xfId="553" xr:uid="{00000000-0005-0000-0000-000029020000}"/>
    <cellStyle name="Normal 21 8" xfId="554" xr:uid="{00000000-0005-0000-0000-00002A020000}"/>
    <cellStyle name="Normal 21 9" xfId="555" xr:uid="{00000000-0005-0000-0000-00002B020000}"/>
    <cellStyle name="Normal 22" xfId="556" xr:uid="{00000000-0005-0000-0000-00002C020000}"/>
    <cellStyle name="Normal 26" xfId="557" xr:uid="{00000000-0005-0000-0000-00002D020000}"/>
    <cellStyle name="Normal 27" xfId="558" xr:uid="{00000000-0005-0000-0000-00002E020000}"/>
    <cellStyle name="Normal 3" xfId="559" xr:uid="{00000000-0005-0000-0000-00002F020000}"/>
    <cellStyle name="Normal 3 10" xfId="560" xr:uid="{00000000-0005-0000-0000-000030020000}"/>
    <cellStyle name="Normal 3 11" xfId="561" xr:uid="{00000000-0005-0000-0000-000031020000}"/>
    <cellStyle name="Normal 3 12" xfId="562" xr:uid="{00000000-0005-0000-0000-000032020000}"/>
    <cellStyle name="Normal 3 13" xfId="563" xr:uid="{00000000-0005-0000-0000-000033020000}"/>
    <cellStyle name="Normal 3 14" xfId="564" xr:uid="{00000000-0005-0000-0000-000034020000}"/>
    <cellStyle name="Normal 3 15" xfId="565" xr:uid="{00000000-0005-0000-0000-000035020000}"/>
    <cellStyle name="Normal 3 16" xfId="566" xr:uid="{00000000-0005-0000-0000-000036020000}"/>
    <cellStyle name="Normal 3 17" xfId="567" xr:uid="{00000000-0005-0000-0000-000037020000}"/>
    <cellStyle name="Normal 3 18" xfId="568" xr:uid="{00000000-0005-0000-0000-000038020000}"/>
    <cellStyle name="Normal 3 19" xfId="569" xr:uid="{00000000-0005-0000-0000-000039020000}"/>
    <cellStyle name="Normal 3 2" xfId="570" xr:uid="{00000000-0005-0000-0000-00003A020000}"/>
    <cellStyle name="Normal 3 20" xfId="571" xr:uid="{00000000-0005-0000-0000-00003B020000}"/>
    <cellStyle name="Normal 3 21" xfId="572" xr:uid="{00000000-0005-0000-0000-00003C020000}"/>
    <cellStyle name="Normal 3 22" xfId="573" xr:uid="{00000000-0005-0000-0000-00003D020000}"/>
    <cellStyle name="Normal 3 23" xfId="574" xr:uid="{00000000-0005-0000-0000-00003E020000}"/>
    <cellStyle name="Normal 3 24" xfId="575" xr:uid="{00000000-0005-0000-0000-00003F020000}"/>
    <cellStyle name="Normal 3 25" xfId="576" xr:uid="{00000000-0005-0000-0000-000040020000}"/>
    <cellStyle name="Normal 3 26" xfId="577" xr:uid="{00000000-0005-0000-0000-000041020000}"/>
    <cellStyle name="Normal 3 27" xfId="578" xr:uid="{00000000-0005-0000-0000-000042020000}"/>
    <cellStyle name="Normal 3 28" xfId="579" xr:uid="{00000000-0005-0000-0000-000043020000}"/>
    <cellStyle name="Normal 3 29" xfId="580" xr:uid="{00000000-0005-0000-0000-000044020000}"/>
    <cellStyle name="Normal 3 3" xfId="581" xr:uid="{00000000-0005-0000-0000-000045020000}"/>
    <cellStyle name="Normal 3 30" xfId="582" xr:uid="{00000000-0005-0000-0000-000046020000}"/>
    <cellStyle name="Normal 3 4" xfId="583" xr:uid="{00000000-0005-0000-0000-000047020000}"/>
    <cellStyle name="Normal 3 5" xfId="584" xr:uid="{00000000-0005-0000-0000-000048020000}"/>
    <cellStyle name="Normal 3 6" xfId="585" xr:uid="{00000000-0005-0000-0000-000049020000}"/>
    <cellStyle name="Normal 3 7" xfId="586" xr:uid="{00000000-0005-0000-0000-00004A020000}"/>
    <cellStyle name="Normal 3 8" xfId="587" xr:uid="{00000000-0005-0000-0000-00004B020000}"/>
    <cellStyle name="Normal 3 9" xfId="588" xr:uid="{00000000-0005-0000-0000-00004C020000}"/>
    <cellStyle name="Normal 3_deposits mobilized" xfId="589" xr:uid="{00000000-0005-0000-0000-00004D020000}"/>
    <cellStyle name="Normal 4" xfId="590" xr:uid="{00000000-0005-0000-0000-00004E020000}"/>
    <cellStyle name="Normal 4 10" xfId="591" xr:uid="{00000000-0005-0000-0000-00004F020000}"/>
    <cellStyle name="Normal 4 11" xfId="592" xr:uid="{00000000-0005-0000-0000-000050020000}"/>
    <cellStyle name="Normal 4 12" xfId="593" xr:uid="{00000000-0005-0000-0000-000051020000}"/>
    <cellStyle name="Normal 4 13" xfId="594" xr:uid="{00000000-0005-0000-0000-000052020000}"/>
    <cellStyle name="Normal 4 14" xfId="595" xr:uid="{00000000-0005-0000-0000-000053020000}"/>
    <cellStyle name="Normal 4 15" xfId="596" xr:uid="{00000000-0005-0000-0000-000054020000}"/>
    <cellStyle name="Normal 4 16" xfId="597" xr:uid="{00000000-0005-0000-0000-000055020000}"/>
    <cellStyle name="Normal 4 17" xfId="598" xr:uid="{00000000-0005-0000-0000-000056020000}"/>
    <cellStyle name="Normal 4 18" xfId="599" xr:uid="{00000000-0005-0000-0000-000057020000}"/>
    <cellStyle name="Normal 4 19" xfId="600" xr:uid="{00000000-0005-0000-0000-000058020000}"/>
    <cellStyle name="Normal 4 2" xfId="601" xr:uid="{00000000-0005-0000-0000-000059020000}"/>
    <cellStyle name="Normal 4 20" xfId="602" xr:uid="{00000000-0005-0000-0000-00005A020000}"/>
    <cellStyle name="Normal 4 21" xfId="603" xr:uid="{00000000-0005-0000-0000-00005B020000}"/>
    <cellStyle name="Normal 4 22" xfId="604" xr:uid="{00000000-0005-0000-0000-00005C020000}"/>
    <cellStyle name="Normal 4 23" xfId="605" xr:uid="{00000000-0005-0000-0000-00005D020000}"/>
    <cellStyle name="Normal 4 24" xfId="606" xr:uid="{00000000-0005-0000-0000-00005E020000}"/>
    <cellStyle name="Normal 4 25" xfId="607" xr:uid="{00000000-0005-0000-0000-00005F020000}"/>
    <cellStyle name="Normal 4 26" xfId="608" xr:uid="{00000000-0005-0000-0000-000060020000}"/>
    <cellStyle name="Normal 4 27" xfId="609" xr:uid="{00000000-0005-0000-0000-000061020000}"/>
    <cellStyle name="Normal 4 28" xfId="610" xr:uid="{00000000-0005-0000-0000-000062020000}"/>
    <cellStyle name="Normal 4 29" xfId="611" xr:uid="{00000000-0005-0000-0000-000063020000}"/>
    <cellStyle name="Normal 4 3" xfId="612" xr:uid="{00000000-0005-0000-0000-000064020000}"/>
    <cellStyle name="Normal 4 30" xfId="613" xr:uid="{00000000-0005-0000-0000-000065020000}"/>
    <cellStyle name="Normal 4 4" xfId="614" xr:uid="{00000000-0005-0000-0000-000066020000}"/>
    <cellStyle name="Normal 4 5" xfId="615" xr:uid="{00000000-0005-0000-0000-000067020000}"/>
    <cellStyle name="Normal 4 6" xfId="616" xr:uid="{00000000-0005-0000-0000-000068020000}"/>
    <cellStyle name="Normal 4 7" xfId="617" xr:uid="{00000000-0005-0000-0000-000069020000}"/>
    <cellStyle name="Normal 4 8" xfId="618" xr:uid="{00000000-0005-0000-0000-00006A020000}"/>
    <cellStyle name="Normal 4 9" xfId="619" xr:uid="{00000000-0005-0000-0000-00006B020000}"/>
    <cellStyle name="Normal 5" xfId="620" xr:uid="{00000000-0005-0000-0000-00006C020000}"/>
    <cellStyle name="Normal 5 10" xfId="621" xr:uid="{00000000-0005-0000-0000-00006D020000}"/>
    <cellStyle name="Normal 5 11" xfId="622" xr:uid="{00000000-0005-0000-0000-00006E020000}"/>
    <cellStyle name="Normal 5 12" xfId="623" xr:uid="{00000000-0005-0000-0000-00006F020000}"/>
    <cellStyle name="Normal 5 13" xfId="624" xr:uid="{00000000-0005-0000-0000-000070020000}"/>
    <cellStyle name="Normal 5 14" xfId="625" xr:uid="{00000000-0005-0000-0000-000071020000}"/>
    <cellStyle name="Normal 5 15" xfId="626" xr:uid="{00000000-0005-0000-0000-000072020000}"/>
    <cellStyle name="Normal 5 2" xfId="627" xr:uid="{00000000-0005-0000-0000-000073020000}"/>
    <cellStyle name="Normal 5 3" xfId="628" xr:uid="{00000000-0005-0000-0000-000074020000}"/>
    <cellStyle name="Normal 5 4" xfId="629" xr:uid="{00000000-0005-0000-0000-000075020000}"/>
    <cellStyle name="Normal 5 5" xfId="630" xr:uid="{00000000-0005-0000-0000-000076020000}"/>
    <cellStyle name="Normal 5 6" xfId="631" xr:uid="{00000000-0005-0000-0000-000077020000}"/>
    <cellStyle name="Normal 5 7" xfId="632" xr:uid="{00000000-0005-0000-0000-000078020000}"/>
    <cellStyle name="Normal 5 8" xfId="633" xr:uid="{00000000-0005-0000-0000-000079020000}"/>
    <cellStyle name="Normal 5 9" xfId="634" xr:uid="{00000000-0005-0000-0000-00007A020000}"/>
    <cellStyle name="Normal 6" xfId="635" xr:uid="{00000000-0005-0000-0000-00007B020000}"/>
    <cellStyle name="Normal 6 2" xfId="636" xr:uid="{00000000-0005-0000-0000-00007C020000}"/>
    <cellStyle name="Normal 6 3" xfId="637" xr:uid="{00000000-0005-0000-0000-00007D020000}"/>
    <cellStyle name="Normal 6 4" xfId="638" xr:uid="{00000000-0005-0000-0000-00007E020000}"/>
    <cellStyle name="Normal 6 5" xfId="639" xr:uid="{00000000-0005-0000-0000-00007F020000}"/>
    <cellStyle name="Normal 7" xfId="640" xr:uid="{00000000-0005-0000-0000-000080020000}"/>
    <cellStyle name="Normal 7 2" xfId="641" xr:uid="{00000000-0005-0000-0000-000081020000}"/>
    <cellStyle name="Normal 7 3" xfId="642" xr:uid="{00000000-0005-0000-0000-000082020000}"/>
    <cellStyle name="Normal 7 4" xfId="643" xr:uid="{00000000-0005-0000-0000-000083020000}"/>
    <cellStyle name="Normal 8" xfId="644" xr:uid="{00000000-0005-0000-0000-000084020000}"/>
    <cellStyle name="Normal 9" xfId="645" xr:uid="{00000000-0005-0000-0000-000085020000}"/>
    <cellStyle name="Normal 9 10" xfId="646" xr:uid="{00000000-0005-0000-0000-000086020000}"/>
    <cellStyle name="Normal 9 10 2" xfId="647" xr:uid="{00000000-0005-0000-0000-000087020000}"/>
    <cellStyle name="Normal 9 11" xfId="648" xr:uid="{00000000-0005-0000-0000-000088020000}"/>
    <cellStyle name="Normal 9 11 2" xfId="649" xr:uid="{00000000-0005-0000-0000-000089020000}"/>
    <cellStyle name="Normal 9 12" xfId="650" xr:uid="{00000000-0005-0000-0000-00008A020000}"/>
    <cellStyle name="Normal 9 12 2" xfId="651" xr:uid="{00000000-0005-0000-0000-00008B020000}"/>
    <cellStyle name="Normal 9 13" xfId="652" xr:uid="{00000000-0005-0000-0000-00008C020000}"/>
    <cellStyle name="Normal 9 14" xfId="653" xr:uid="{00000000-0005-0000-0000-00008D020000}"/>
    <cellStyle name="Normal 9 15" xfId="654" xr:uid="{00000000-0005-0000-0000-00008E020000}"/>
    <cellStyle name="Normal 9 2" xfId="655" xr:uid="{00000000-0005-0000-0000-00008F020000}"/>
    <cellStyle name="Normal 9 2 2" xfId="656" xr:uid="{00000000-0005-0000-0000-000090020000}"/>
    <cellStyle name="Normal 9 2 2 2" xfId="657" xr:uid="{00000000-0005-0000-0000-000091020000}"/>
    <cellStyle name="Normal 9 2 3" xfId="658" xr:uid="{00000000-0005-0000-0000-000092020000}"/>
    <cellStyle name="Normal 9 2 3 2" xfId="659" xr:uid="{00000000-0005-0000-0000-000093020000}"/>
    <cellStyle name="Normal 9 2 4" xfId="660" xr:uid="{00000000-0005-0000-0000-000094020000}"/>
    <cellStyle name="Normal 9 2 4 2" xfId="661" xr:uid="{00000000-0005-0000-0000-000095020000}"/>
    <cellStyle name="Normal 9 3" xfId="662" xr:uid="{00000000-0005-0000-0000-000096020000}"/>
    <cellStyle name="Normal 9 3 2" xfId="663" xr:uid="{00000000-0005-0000-0000-000097020000}"/>
    <cellStyle name="Normal 9 4" xfId="664" xr:uid="{00000000-0005-0000-0000-000098020000}"/>
    <cellStyle name="Normal 9 4 2" xfId="665" xr:uid="{00000000-0005-0000-0000-000099020000}"/>
    <cellStyle name="Normal 9 5" xfId="666" xr:uid="{00000000-0005-0000-0000-00009A020000}"/>
    <cellStyle name="Normal 9 5 2" xfId="667" xr:uid="{00000000-0005-0000-0000-00009B020000}"/>
    <cellStyle name="Normal 9 6" xfId="668" xr:uid="{00000000-0005-0000-0000-00009C020000}"/>
    <cellStyle name="Normal 9 6 2" xfId="669" xr:uid="{00000000-0005-0000-0000-00009D020000}"/>
    <cellStyle name="Normal 9 7" xfId="670" xr:uid="{00000000-0005-0000-0000-00009E020000}"/>
    <cellStyle name="Normal 9 7 2" xfId="671" xr:uid="{00000000-0005-0000-0000-00009F020000}"/>
    <cellStyle name="Normal 9 8" xfId="672" xr:uid="{00000000-0005-0000-0000-0000A0020000}"/>
    <cellStyle name="Normal 9 8 2" xfId="673" xr:uid="{00000000-0005-0000-0000-0000A1020000}"/>
    <cellStyle name="Normal 9 9" xfId="674" xr:uid="{00000000-0005-0000-0000-0000A2020000}"/>
    <cellStyle name="Normal 9 9 2" xfId="675" xr:uid="{00000000-0005-0000-0000-0000A3020000}"/>
    <cellStyle name="Note 2" xfId="676" xr:uid="{00000000-0005-0000-0000-0000A4020000}"/>
    <cellStyle name="Note 2 2" xfId="677" xr:uid="{00000000-0005-0000-0000-0000A5020000}"/>
    <cellStyle name="Per cent" xfId="678" builtinId="5"/>
    <cellStyle name="Percent 2" xfId="679" xr:uid="{00000000-0005-0000-0000-0000A7020000}"/>
    <cellStyle name="Percent 2 2" xfId="680" xr:uid="{00000000-0005-0000-0000-0000A8020000}"/>
    <cellStyle name="Percent 3" xfId="681" xr:uid="{00000000-0005-0000-0000-0000A9020000}"/>
    <cellStyle name="Percent 3 2" xfId="682" xr:uid="{00000000-0005-0000-0000-0000AA020000}"/>
    <cellStyle name="Percent 3 4" xfId="683" xr:uid="{00000000-0005-0000-0000-0000AB020000}"/>
    <cellStyle name="Percent 4" xfId="684" xr:uid="{00000000-0005-0000-0000-0000AC020000}"/>
    <cellStyle name="Percent 5" xfId="685" xr:uid="{00000000-0005-0000-0000-0000AD020000}"/>
    <cellStyle name="Total 2" xfId="686" xr:uid="{00000000-0005-0000-0000-0000AE020000}"/>
    <cellStyle name="Total 2 2" xfId="687" xr:uid="{00000000-0005-0000-0000-0000AF020000}"/>
    <cellStyle name="Total 2 2 2" xfId="688" xr:uid="{00000000-0005-0000-0000-0000B0020000}"/>
    <cellStyle name="Total 2 3" xfId="689" xr:uid="{00000000-0005-0000-0000-0000B102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n\Supervision\Documents%20and%20Settings\Francis\My%20Documents\Downloads\Wakenya%20Pamoja%20financials%20(3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ncial Statements"/>
      <sheetName val="SASRA B.S."/>
      <sheetName val="SASRA I.S."/>
      <sheetName val="SASRA Prudential Ratios"/>
      <sheetName val="PEARLS PL"/>
      <sheetName val="PEARLS BS"/>
      <sheetName val="PEARLS Ratios"/>
      <sheetName val="BS Yr. 1"/>
      <sheetName val="P&amp;L Yr. 1"/>
      <sheetName val="Rates Yr.1"/>
      <sheetName val="PEARLS Yr. 1"/>
      <sheetName val="BS Yr. 2"/>
      <sheetName val="P&amp;L Yr. 2"/>
      <sheetName val="Rates Yr. 2"/>
      <sheetName val="PEARLS Yr. 2"/>
      <sheetName val="BS Yr. 3"/>
      <sheetName val="P&amp;L Yr. 3"/>
      <sheetName val="Rates Yr. 3"/>
      <sheetName val="PEARLS Yr. 3"/>
      <sheetName val="BS Yr. 4"/>
      <sheetName val="P&amp;L Yr. 4"/>
      <sheetName val="Rates Yr. 4"/>
      <sheetName val="PEARLS Yr. 4"/>
      <sheetName val="Pro Forma SASRA BS"/>
      <sheetName val="Pro Forma SASRA P&amp;L "/>
      <sheetName val="SASRA Pro Forma Ratios"/>
      <sheetName val="ProForma PEARLS"/>
      <sheetName val=" Key Regulatory Ratios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14"/>
  <sheetViews>
    <sheetView workbookViewId="0">
      <selection activeCell="B3" sqref="B3"/>
    </sheetView>
  </sheetViews>
  <sheetFormatPr defaultRowHeight="14.45"/>
  <cols>
    <col min="1" max="1" width="16.7109375" bestFit="1" customWidth="1"/>
    <col min="2" max="2" width="14.7109375" bestFit="1" customWidth="1"/>
    <col min="3" max="12" width="13.42578125" bestFit="1" customWidth="1"/>
    <col min="14" max="14" width="13" customWidth="1"/>
  </cols>
  <sheetData>
    <row r="2" spans="1:14" ht="15">
      <c r="B2" s="141" t="s">
        <v>0</v>
      </c>
      <c r="C2" s="171">
        <v>43101</v>
      </c>
      <c r="D2" s="171">
        <v>43133</v>
      </c>
      <c r="E2" s="171">
        <v>43165</v>
      </c>
      <c r="F2" s="171">
        <v>43197</v>
      </c>
      <c r="G2" s="171">
        <v>43229</v>
      </c>
      <c r="H2" s="171">
        <v>43261</v>
      </c>
      <c r="I2" s="171">
        <v>43293</v>
      </c>
      <c r="J2" s="171">
        <v>43325</v>
      </c>
      <c r="K2" s="171">
        <v>43357</v>
      </c>
      <c r="L2" s="171">
        <v>43389</v>
      </c>
      <c r="M2" s="171">
        <v>43421</v>
      </c>
      <c r="N2" s="171">
        <v>43453</v>
      </c>
    </row>
    <row r="3" spans="1:14">
      <c r="A3" s="87" t="s">
        <v>1</v>
      </c>
      <c r="B3" s="140" t="e">
        <f>IF('Prudential Ratios'!#REF!&gt;10,"compliant","not compliant")</f>
        <v>#REF!</v>
      </c>
      <c r="C3" s="140" t="e">
        <f>IF('Prudential Ratios'!#REF!&gt;10,"compliant","not compliant")</f>
        <v>#REF!</v>
      </c>
      <c r="D3" s="140" t="e">
        <f>IF('Prudential Ratios'!#REF!&gt;10,"compliant","not compliant")</f>
        <v>#REF!</v>
      </c>
      <c r="E3" s="88" t="e">
        <f>IF('Prudential Ratios'!#REF!&gt;10,"compliant","not compliant")</f>
        <v>#REF!</v>
      </c>
      <c r="F3" s="140" t="e">
        <f>IF('Prudential Ratios'!#REF!&gt;10,"compliant","not compliant")</f>
        <v>#REF!</v>
      </c>
      <c r="G3" s="88" t="e">
        <f>IF('Prudential Ratios'!#REF!&gt;10,"compliant","not compliant")</f>
        <v>#REF!</v>
      </c>
      <c r="H3" s="88" t="e">
        <f>IF('Prudential Ratios'!#REF!&gt;10,"compliant","not compliant")</f>
        <v>#REF!</v>
      </c>
      <c r="I3" s="140" t="e">
        <f>IF('Prudential Ratios'!#REF!&gt;10,"compliant","not compliant")</f>
        <v>#REF!</v>
      </c>
      <c r="J3" s="140" t="e">
        <f>IF('Prudential Ratios'!#REF!&gt;10,"compliant","not compliant")</f>
        <v>#REF!</v>
      </c>
      <c r="K3" s="140" t="e">
        <f>IF('Prudential Ratios'!#REF!&gt;10,"compliant","not compliant")</f>
        <v>#REF!</v>
      </c>
      <c r="L3" s="88" t="e">
        <f>IF('Prudential Ratios'!#REF!&gt;10,"compliant","not compliant")</f>
        <v>#REF!</v>
      </c>
      <c r="M3" s="140" t="e">
        <f>IF('Prudential Ratios'!#REF!&gt;10,"compliant","not compliant")</f>
        <v>#REF!</v>
      </c>
      <c r="N3" s="88" t="e">
        <f>IF('Prudential Ratios'!#REF!&gt;10,"compliant","not compliant")</f>
        <v>#REF!</v>
      </c>
    </row>
    <row r="4" spans="1:14">
      <c r="A4" s="89" t="s">
        <v>2</v>
      </c>
      <c r="B4" s="88" t="e">
        <f>IF('Prudential Ratios'!#REF!&gt;10%,"compliant","not compliant")</f>
        <v>#REF!</v>
      </c>
      <c r="C4" s="88" t="e">
        <f>IF('Prudential Ratios'!#REF!&gt;10%,"compliant","not compliant")</f>
        <v>#REF!</v>
      </c>
      <c r="D4" s="88" t="e">
        <f>IF('Prudential Ratios'!#REF!&gt;10%,"compliant","not compliant")</f>
        <v>#REF!</v>
      </c>
      <c r="E4" s="88" t="e">
        <f>IF('Prudential Ratios'!#REF!&gt;10%,"compliant","not compliant")</f>
        <v>#REF!</v>
      </c>
      <c r="F4" s="88" t="e">
        <f>IF('Prudential Ratios'!#REF!&gt;10%,"compliant","not compliant")</f>
        <v>#REF!</v>
      </c>
      <c r="G4" s="88" t="e">
        <f>IF('Prudential Ratios'!#REF!&gt;10%,"compliant","not compliant")</f>
        <v>#REF!</v>
      </c>
      <c r="H4" s="88" t="e">
        <f>IF('Prudential Ratios'!#REF!&gt;10%,"compliant","not compliant")</f>
        <v>#REF!</v>
      </c>
      <c r="I4" s="88" t="e">
        <f>IF('Prudential Ratios'!#REF!&gt;10%,"compliant","not compliant")</f>
        <v>#REF!</v>
      </c>
      <c r="J4" s="88" t="e">
        <f>IF('Prudential Ratios'!#REF!&gt;10%,"compliant","not compliant")</f>
        <v>#REF!</v>
      </c>
      <c r="K4" s="88" t="e">
        <f>IF('Prudential Ratios'!#REF!&gt;10%,"compliant","not compliant")</f>
        <v>#REF!</v>
      </c>
      <c r="L4" s="88" t="e">
        <f>IF('Prudential Ratios'!#REF!&gt;10%,"compliant","not compliant")</f>
        <v>#REF!</v>
      </c>
      <c r="M4" s="88" t="e">
        <f>IF('Prudential Ratios'!#REF!&gt;10%,"compliant","not compliant")</f>
        <v>#REF!</v>
      </c>
      <c r="N4" s="88" t="e">
        <f>IF('Prudential Ratios'!#REF!&gt;10%,"compliant","not compliant")</f>
        <v>#REF!</v>
      </c>
    </row>
    <row r="5" spans="1:14">
      <c r="A5" s="89" t="s">
        <v>3</v>
      </c>
      <c r="B5" s="88" t="e">
        <f>IF('Prudential Ratios'!#REF!&gt;8%,"compliant","not compliant")</f>
        <v>#REF!</v>
      </c>
      <c r="C5" s="88" t="e">
        <f>IF('Prudential Ratios'!#REF!&gt;8%,"compliant","not compliant")</f>
        <v>#REF!</v>
      </c>
      <c r="D5" s="88" t="e">
        <f>IF('Prudential Ratios'!#REF!&gt;8%,"compliant","not compliant")</f>
        <v>#REF!</v>
      </c>
      <c r="E5" s="88" t="e">
        <f>IF('Prudential Ratios'!#REF!&gt;8%,"compliant","not compliant")</f>
        <v>#REF!</v>
      </c>
      <c r="F5" s="88" t="e">
        <f>IF('Prudential Ratios'!#REF!&gt;8%,"compliant","not compliant")</f>
        <v>#REF!</v>
      </c>
      <c r="G5" s="88" t="e">
        <f>IF('Prudential Ratios'!#REF!&gt;8%,"compliant","not compliant")</f>
        <v>#REF!</v>
      </c>
      <c r="H5" s="88" t="e">
        <f>IF('Prudential Ratios'!#REF!&gt;8%,"compliant","not compliant")</f>
        <v>#REF!</v>
      </c>
      <c r="I5" s="88" t="e">
        <f>IF('Prudential Ratios'!#REF!&gt;8%,"compliant","not compliant")</f>
        <v>#REF!</v>
      </c>
      <c r="J5" s="88" t="e">
        <f>IF('Prudential Ratios'!#REF!&gt;8%,"compliant","not compliant")</f>
        <v>#REF!</v>
      </c>
      <c r="K5" s="88" t="e">
        <f>IF('Prudential Ratios'!#REF!&gt;8%,"compliant","not compliant")</f>
        <v>#REF!</v>
      </c>
      <c r="L5" s="88" t="e">
        <f>IF('Prudential Ratios'!#REF!&gt;8%,"compliant","not compliant")</f>
        <v>#REF!</v>
      </c>
      <c r="M5" s="88" t="e">
        <f>IF('Prudential Ratios'!#REF!&gt;8%,"compliant","not compliant")</f>
        <v>#REF!</v>
      </c>
      <c r="N5" s="88" t="e">
        <f>IF('Prudential Ratios'!#REF!&gt;8%,"compliant","not compliant")</f>
        <v>#REF!</v>
      </c>
    </row>
    <row r="6" spans="1:14">
      <c r="A6" s="89" t="s">
        <v>4</v>
      </c>
      <c r="B6" s="88" t="e">
        <f>IF('Prudential Ratios'!#REF!&gt;8%,"compliant","not compliant")</f>
        <v>#REF!</v>
      </c>
      <c r="C6" s="88" t="e">
        <f>IF('Prudential Ratios'!#REF!&gt;8%,"compliant","not compliant")</f>
        <v>#REF!</v>
      </c>
      <c r="D6" s="88" t="e">
        <f>IF('Prudential Ratios'!#REF!&gt;8%,"compliant","not compliant")</f>
        <v>#REF!</v>
      </c>
      <c r="E6" s="88" t="e">
        <f>IF('Prudential Ratios'!#REF!&gt;8%,"compliant","not compliant")</f>
        <v>#REF!</v>
      </c>
      <c r="F6" s="88" t="e">
        <f>IF('Prudential Ratios'!#REF!&gt;8%,"compliant","not compliant")</f>
        <v>#REF!</v>
      </c>
      <c r="G6" s="88" t="e">
        <f>IF('Prudential Ratios'!#REF!&gt;8%,"compliant","not compliant")</f>
        <v>#REF!</v>
      </c>
      <c r="H6" s="88" t="e">
        <f>IF('Prudential Ratios'!#REF!&gt;8%,"compliant","not compliant")</f>
        <v>#REF!</v>
      </c>
      <c r="I6" s="88" t="e">
        <f>IF('Prudential Ratios'!#REF!&gt;8%,"compliant","not compliant")</f>
        <v>#REF!</v>
      </c>
      <c r="J6" s="88" t="e">
        <f>IF('Prudential Ratios'!#REF!&gt;8%,"compliant","not compliant")</f>
        <v>#REF!</v>
      </c>
      <c r="K6" s="88" t="e">
        <f>IF('Prudential Ratios'!#REF!&gt;8%,"compliant","not compliant")</f>
        <v>#REF!</v>
      </c>
      <c r="L6" s="88" t="e">
        <f>IF('Prudential Ratios'!#REF!&gt;8%,"compliant","not compliant")</f>
        <v>#REF!</v>
      </c>
      <c r="M6" s="88" t="e">
        <f>IF('Prudential Ratios'!#REF!&gt;8%,"compliant","not compliant")</f>
        <v>#REF!</v>
      </c>
      <c r="N6" s="88" t="e">
        <f>IF('Prudential Ratios'!#REF!&gt;8%,"compliant","not compliant")</f>
        <v>#REF!</v>
      </c>
    </row>
    <row r="7" spans="1:14">
      <c r="A7" s="89" t="s">
        <v>5</v>
      </c>
      <c r="B7" s="88"/>
      <c r="C7" s="88"/>
      <c r="D7" s="88"/>
      <c r="E7" s="88"/>
      <c r="F7" s="88"/>
      <c r="G7" s="88"/>
      <c r="H7" s="88"/>
      <c r="I7" s="88"/>
      <c r="J7" s="88"/>
      <c r="K7" s="88"/>
      <c r="L7" s="88"/>
      <c r="M7" s="88"/>
      <c r="N7" s="88"/>
    </row>
    <row r="8" spans="1:14">
      <c r="A8" s="89" t="s">
        <v>6</v>
      </c>
      <c r="B8" s="88" t="e">
        <f>IF('Prudential Ratios'!#REF!&gt;15%,"compliant","not compliant")</f>
        <v>#REF!</v>
      </c>
      <c r="C8" s="88" t="e">
        <f>IF('Prudential Ratios'!#REF!&gt;15%,"compliant","not compliant")</f>
        <v>#REF!</v>
      </c>
      <c r="D8" s="88" t="e">
        <f>IF('Prudential Ratios'!#REF!&gt;15%,"compliant","not compliant")</f>
        <v>#REF!</v>
      </c>
      <c r="E8" s="88" t="e">
        <f>IF('Prudential Ratios'!#REF!&gt;15%,"compliant","not compliant")</f>
        <v>#REF!</v>
      </c>
      <c r="F8" s="88" t="e">
        <f>IF('Prudential Ratios'!#REF!&gt;15%,"compliant","not compliant")</f>
        <v>#REF!</v>
      </c>
      <c r="G8" s="88" t="e">
        <f>IF('Prudential Ratios'!#REF!&gt;15%,"compliant","not compliant")</f>
        <v>#REF!</v>
      </c>
      <c r="H8" s="88" t="e">
        <f>IF('Prudential Ratios'!#REF!&gt;15%,"compliant","not compliant")</f>
        <v>#REF!</v>
      </c>
      <c r="I8" s="88" t="e">
        <f>IF('Prudential Ratios'!#REF!&gt;15%,"compliant","not compliant")</f>
        <v>#REF!</v>
      </c>
      <c r="J8" s="88" t="e">
        <f>IF('Prudential Ratios'!#REF!&gt;15%,"compliant","not compliant")</f>
        <v>#REF!</v>
      </c>
      <c r="K8" s="88" t="e">
        <f>IF('Prudential Ratios'!#REF!&gt;15%,"compliant","not compliant")</f>
        <v>#REF!</v>
      </c>
      <c r="L8" s="88" t="e">
        <f>IF('Prudential Ratios'!#REF!&gt;15%,"compliant","not compliant")</f>
        <v>#REF!</v>
      </c>
      <c r="M8" s="88" t="e">
        <f>IF('Prudential Ratios'!#REF!&gt;15%,"compliant","not compliant")</f>
        <v>#REF!</v>
      </c>
      <c r="N8" s="88" t="e">
        <f>IF('Prudential Ratios'!#REF!&gt;15%,"compliant","not compliant")</f>
        <v>#REF!</v>
      </c>
    </row>
    <row r="9" spans="1:14">
      <c r="A9" s="89" t="s">
        <v>7</v>
      </c>
      <c r="B9" s="88" t="e">
        <f>IF('Prudential Ratios'!#REF!&lt;10%,"compliant","not compliant")</f>
        <v>#REF!</v>
      </c>
      <c r="C9" s="88" t="e">
        <f>IF('Prudential Ratios'!#REF!&lt;10%,"compliant","not compliant")</f>
        <v>#REF!</v>
      </c>
      <c r="D9" s="88" t="e">
        <f>IF('Prudential Ratios'!#REF!&lt;10%,"compliant","not compliant")</f>
        <v>#REF!</v>
      </c>
      <c r="E9" s="88" t="e">
        <f>IF('Prudential Ratios'!#REF!&lt;10%,"compliant","not compliant")</f>
        <v>#REF!</v>
      </c>
      <c r="F9" s="88" t="e">
        <f>IF('Prudential Ratios'!#REF!&lt;10%,"compliant","not compliant")</f>
        <v>#REF!</v>
      </c>
      <c r="G9" s="88" t="e">
        <f>IF('Prudential Ratios'!#REF!&lt;10%,"compliant","not compliant")</f>
        <v>#REF!</v>
      </c>
      <c r="H9" s="88" t="e">
        <f>IF('Prudential Ratios'!#REF!&lt;10%,"compliant","not compliant")</f>
        <v>#REF!</v>
      </c>
      <c r="I9" s="88" t="e">
        <f>IF('Prudential Ratios'!#REF!&lt;10%,"compliant","not compliant")</f>
        <v>#REF!</v>
      </c>
      <c r="J9" s="88" t="e">
        <f>IF('Prudential Ratios'!#REF!&lt;10%,"compliant","not compliant")</f>
        <v>#REF!</v>
      </c>
      <c r="K9" s="88" t="e">
        <f>IF('Prudential Ratios'!#REF!&lt;10%,"compliant","not compliant")</f>
        <v>#REF!</v>
      </c>
      <c r="L9" s="88" t="e">
        <f>IF('Prudential Ratios'!#REF!&lt;10%,"compliant","not compliant")</f>
        <v>#REF!</v>
      </c>
      <c r="M9" s="88" t="e">
        <f>IF('Prudential Ratios'!#REF!&lt;10%,"compliant","not compliant")</f>
        <v>#REF!</v>
      </c>
      <c r="N9" s="88" t="e">
        <f>IF('Prudential Ratios'!#REF!&lt;10%,"compliant","not compliant")</f>
        <v>#REF!</v>
      </c>
    </row>
    <row r="10" spans="1:14">
      <c r="A10" s="89" t="s">
        <v>8</v>
      </c>
      <c r="B10" s="88" t="e">
        <f>IF('Prudential Ratios'!#REF!&lt;5%,"compliant","not compliant")</f>
        <v>#REF!</v>
      </c>
      <c r="C10" s="88" t="e">
        <f>IF('Prudential Ratios'!#REF!&lt;5%,"compliant","not compliant")</f>
        <v>#REF!</v>
      </c>
      <c r="D10" s="88" t="e">
        <f>IF('Prudential Ratios'!#REF!&lt;5%,"compliant","not compliant")</f>
        <v>#REF!</v>
      </c>
      <c r="E10" s="88" t="e">
        <f>IF('Prudential Ratios'!#REF!&lt;5%,"compliant","not compliant")</f>
        <v>#REF!</v>
      </c>
      <c r="F10" s="88" t="e">
        <f>IF('Prudential Ratios'!#REF!&lt;5%,"compliant","not compliant")</f>
        <v>#REF!</v>
      </c>
      <c r="G10" s="88" t="e">
        <f>IF('Prudential Ratios'!#REF!&lt;5%,"compliant","not compliant")</f>
        <v>#REF!</v>
      </c>
      <c r="H10" s="88" t="e">
        <f>IF('Prudential Ratios'!#REF!&lt;5%,"compliant","not compliant")</f>
        <v>#REF!</v>
      </c>
      <c r="I10" s="88" t="e">
        <f>IF('Prudential Ratios'!#REF!&lt;5%,"compliant","not compliant")</f>
        <v>#REF!</v>
      </c>
      <c r="J10" s="88" t="e">
        <f>IF('Prudential Ratios'!#REF!&lt;5%,"compliant","not compliant")</f>
        <v>#REF!</v>
      </c>
      <c r="K10" s="88" t="e">
        <f>IF('Prudential Ratios'!#REF!&lt;5%,"compliant","not compliant")</f>
        <v>#REF!</v>
      </c>
      <c r="L10" s="88" t="e">
        <f>IF('Prudential Ratios'!#REF!&lt;5%,"compliant","not compliant")</f>
        <v>#REF!</v>
      </c>
      <c r="M10" s="88" t="e">
        <f>IF('Prudential Ratios'!#REF!&lt;5%,"compliant","not compliant")</f>
        <v>#REF!</v>
      </c>
      <c r="N10" s="88" t="e">
        <f>IF('Prudential Ratios'!#REF!&lt;5%,"compliant","not compliant")</f>
        <v>#REF!</v>
      </c>
    </row>
    <row r="11" spans="1:14">
      <c r="A11" s="89" t="s">
        <v>9</v>
      </c>
      <c r="B11" s="88" t="e">
        <f>IF('Prudential Ratios'!#REF!&lt;5%,"compliant","not compliant")</f>
        <v>#REF!</v>
      </c>
      <c r="C11" s="88" t="e">
        <f>IF('Prudential Ratios'!#REF!&lt;5%,"compliant","not compliant")</f>
        <v>#REF!</v>
      </c>
      <c r="D11" s="88" t="e">
        <f>IF('Prudential Ratios'!#REF!&lt;5%,"compliant","not compliant")</f>
        <v>#REF!</v>
      </c>
      <c r="E11" s="88" t="e">
        <f>IF('Prudential Ratios'!#REF!&lt;5%,"compliant","not compliant")</f>
        <v>#REF!</v>
      </c>
      <c r="F11" s="88" t="e">
        <f>IF('Prudential Ratios'!#REF!&lt;5%,"compliant","not compliant")</f>
        <v>#REF!</v>
      </c>
      <c r="G11" s="88" t="e">
        <f>IF('Prudential Ratios'!#REF!&lt;5%,"compliant","not compliant")</f>
        <v>#REF!</v>
      </c>
      <c r="H11" s="88" t="e">
        <f>IF('Prudential Ratios'!#REF!&lt;5%,"compliant","not compliant")</f>
        <v>#REF!</v>
      </c>
      <c r="I11" s="88" t="e">
        <f>IF('Prudential Ratios'!#REF!&lt;5%,"compliant","not compliant")</f>
        <v>#REF!</v>
      </c>
      <c r="J11" s="88" t="e">
        <f>IF('Prudential Ratios'!#REF!&lt;5%,"compliant","not compliant")</f>
        <v>#REF!</v>
      </c>
      <c r="K11" s="88" t="e">
        <f>IF('Prudential Ratios'!#REF!&lt;5%,"compliant","not compliant")</f>
        <v>#REF!</v>
      </c>
      <c r="L11" s="88" t="e">
        <f>IF('Prudential Ratios'!#REF!&lt;5%,"compliant","not compliant")</f>
        <v>#REF!</v>
      </c>
      <c r="M11" s="88" t="e">
        <f>IF('Prudential Ratios'!#REF!&lt;5%,"compliant","not compliant")</f>
        <v>#REF!</v>
      </c>
      <c r="N11" s="88" t="e">
        <f>IF('Prudential Ratios'!#REF!&lt;5%,"compliant","not compliant")</f>
        <v>#REF!</v>
      </c>
    </row>
    <row r="12" spans="1:14">
      <c r="A12" s="89" t="s">
        <v>10</v>
      </c>
      <c r="B12" s="88" t="e">
        <f>IF('Prudential Ratios'!#REF!&lt;40%,"compliant","not compliant")</f>
        <v>#REF!</v>
      </c>
      <c r="C12" s="88" t="e">
        <f>IF('Prudential Ratios'!#REF!&lt;40%,"compliant","not compliant")</f>
        <v>#REF!</v>
      </c>
      <c r="D12" s="88" t="e">
        <f>IF('Prudential Ratios'!#REF!&lt;40%,"compliant","not compliant")</f>
        <v>#REF!</v>
      </c>
      <c r="E12" s="88" t="e">
        <f>IF('Prudential Ratios'!#REF!&lt;40%,"compliant","not compliant")</f>
        <v>#REF!</v>
      </c>
      <c r="F12" s="88" t="e">
        <f>IF('Prudential Ratios'!#REF!&lt;40%,"compliant","not compliant")</f>
        <v>#REF!</v>
      </c>
      <c r="G12" s="88" t="e">
        <f>IF('Prudential Ratios'!#REF!&lt;40%,"compliant","not compliant")</f>
        <v>#REF!</v>
      </c>
      <c r="H12" s="88" t="e">
        <f>IF('Prudential Ratios'!#REF!&lt;40%,"compliant","not compliant")</f>
        <v>#REF!</v>
      </c>
      <c r="I12" s="88" t="e">
        <f>IF('Prudential Ratios'!#REF!&lt;40%,"compliant","not compliant")</f>
        <v>#REF!</v>
      </c>
      <c r="J12" s="88" t="e">
        <f>IF('Prudential Ratios'!#REF!&lt;40%,"compliant","not compliant")</f>
        <v>#REF!</v>
      </c>
      <c r="K12" s="88" t="e">
        <f>IF('Prudential Ratios'!#REF!&lt;40%,"compliant","not compliant")</f>
        <v>#REF!</v>
      </c>
      <c r="L12" s="88" t="e">
        <f>IF('Prudential Ratios'!#REF!&lt;40%,"compliant","not compliant")</f>
        <v>#REF!</v>
      </c>
      <c r="M12" s="88" t="e">
        <f>IF('Prudential Ratios'!#REF!&lt;40%,"compliant","not compliant")</f>
        <v>#REF!</v>
      </c>
      <c r="N12" s="88" t="e">
        <f>IF('Prudential Ratios'!#REF!&lt;40%,"compliant","not compliant")</f>
        <v>#REF!</v>
      </c>
    </row>
    <row r="13" spans="1:14">
      <c r="A13" s="89" t="s">
        <v>11</v>
      </c>
      <c r="B13" s="88" t="e">
        <f>IF('Prudential Ratios'!#REF!&lt;25%,"compliant","not compliant")</f>
        <v>#REF!</v>
      </c>
      <c r="C13" s="88" t="e">
        <f>IF('Prudential Ratios'!#REF!&lt;25%,"compliant","not compliant")</f>
        <v>#REF!</v>
      </c>
      <c r="D13" s="88" t="e">
        <f>IF('Prudential Ratios'!#REF!&lt;25%,"compliant","not compliant")</f>
        <v>#REF!</v>
      </c>
      <c r="E13" s="88" t="e">
        <f>IF('Prudential Ratios'!#REF!&lt;25%,"compliant","not compliant")</f>
        <v>#REF!</v>
      </c>
      <c r="F13" s="88" t="e">
        <f>IF('Prudential Ratios'!#REF!&lt;25%,"compliant","not compliant")</f>
        <v>#REF!</v>
      </c>
      <c r="G13" s="88" t="e">
        <f>IF('Prudential Ratios'!#REF!&lt;25%,"compliant","not compliant")</f>
        <v>#REF!</v>
      </c>
      <c r="H13" s="88" t="e">
        <f>IF('Prudential Ratios'!#REF!&lt;25%,"compliant","not compliant")</f>
        <v>#REF!</v>
      </c>
      <c r="I13" s="88" t="e">
        <f>IF('Prudential Ratios'!#REF!&lt;25%,"compliant","not compliant")</f>
        <v>#REF!</v>
      </c>
      <c r="J13" s="88" t="e">
        <f>IF('Prudential Ratios'!#REF!&lt;25%,"compliant","not compliant")</f>
        <v>#REF!</v>
      </c>
      <c r="K13" s="88" t="e">
        <f>IF('Prudential Ratios'!#REF!&lt;25%,"compliant","not compliant")</f>
        <v>#REF!</v>
      </c>
      <c r="L13" s="88" t="e">
        <f>IF('Prudential Ratios'!#REF!&lt;25%,"compliant","not compliant")</f>
        <v>#REF!</v>
      </c>
      <c r="M13" s="88" t="e">
        <f>IF('Prudential Ratios'!#REF!&lt;25%,"compliant","not compliant")</f>
        <v>#REF!</v>
      </c>
      <c r="N13" s="88" t="e">
        <f>IF('Prudential Ratios'!#REF!&lt;25%,"compliant","not compliant")</f>
        <v>#REF!</v>
      </c>
    </row>
    <row r="14" spans="1:14">
      <c r="A14" s="89" t="s">
        <v>12</v>
      </c>
      <c r="B14" s="88" t="e">
        <f>IF(SFP!#REF!=SFP!#REF!,"balancing","notbalancing")</f>
        <v>#REF!</v>
      </c>
      <c r="C14" s="88" t="e">
        <f>IF(SFP!#REF!=SFP!#REF!,"balancing","notbalancing")</f>
        <v>#REF!</v>
      </c>
      <c r="D14" s="88" t="e">
        <f>IF(SFP!#REF!=SFP!#REF!,"balancing","notbalancing")</f>
        <v>#REF!</v>
      </c>
      <c r="E14" s="88" t="e">
        <f>IF(SFP!#REF!=SFP!#REF!,"balancing","notbalancing")</f>
        <v>#REF!</v>
      </c>
      <c r="F14" s="88" t="e">
        <f>IF(SFP!#REF!=SFP!#REF!,"balancing","notbalancing")</f>
        <v>#REF!</v>
      </c>
      <c r="G14" s="88" t="e">
        <f>IF(SFP!#REF!=SFP!#REF!,"balancing","notbalancing")</f>
        <v>#REF!</v>
      </c>
      <c r="H14" s="88" t="e">
        <f>IF(SFP!#REF!=SFP!#REF!,"balancing","notbalancing")</f>
        <v>#REF!</v>
      </c>
      <c r="I14" s="88" t="e">
        <f>IF(SFP!#REF!=SFP!#REF!,"balancing","notbalancing")</f>
        <v>#REF!</v>
      </c>
      <c r="J14" s="88" t="e">
        <f>IF(SFP!#REF!=SFP!#REF!,"balancing","notbalancing")</f>
        <v>#REF!</v>
      </c>
      <c r="K14" s="88" t="e">
        <f>IF(SFP!#REF!=SFP!#REF!,"balancing","notbalancing")</f>
        <v>#REF!</v>
      </c>
      <c r="L14" s="88" t="e">
        <f>IF(SFP!#REF!=SFP!#REF!,"balancing","notbalancing")</f>
        <v>#REF!</v>
      </c>
      <c r="M14" s="88" t="e">
        <f>IF(SFP!#REF!=SFP!#REF!,"balancing","notbalancing")</f>
        <v>#REF!</v>
      </c>
      <c r="N14" s="88" t="e">
        <f>IF(SFP!#REF!=SFP!#REF!,"balancing","notbalancing")</f>
        <v>#REF!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76"/>
  <sheetViews>
    <sheetView zoomScale="80" zoomScaleNormal="80" workbookViewId="0">
      <pane xSplit="3" topLeftCell="AC1" activePane="topRight" state="frozen"/>
      <selection pane="topRight" activeCell="AH55" sqref="AH55:AJ58"/>
    </sheetView>
  </sheetViews>
  <sheetFormatPr defaultColWidth="9.28515625" defaultRowHeight="13.15"/>
  <cols>
    <col min="1" max="1" width="4.7109375" style="1" bestFit="1" customWidth="1"/>
    <col min="2" max="2" width="34" style="1" customWidth="1"/>
    <col min="3" max="3" width="10.42578125" style="3" bestFit="1" customWidth="1"/>
    <col min="4" max="4" width="6.7109375" style="1" bestFit="1" customWidth="1"/>
    <col min="5" max="15" width="9.28515625" style="1"/>
    <col min="16" max="16" width="13.7109375" style="1" customWidth="1"/>
    <col min="17" max="17" width="14" style="1" customWidth="1"/>
    <col min="18" max="29" width="9.28515625" style="1"/>
    <col min="30" max="30" width="13.85546875" style="1" customWidth="1"/>
    <col min="31" max="16384" width="9.28515625" style="1"/>
  </cols>
  <sheetData>
    <row r="1" spans="1:36">
      <c r="B1" s="2" t="s">
        <v>13</v>
      </c>
    </row>
    <row r="2" spans="1:36" ht="13.9" thickBot="1">
      <c r="B2" s="4" t="s">
        <v>14</v>
      </c>
    </row>
    <row r="3" spans="1:36" s="4" customFormat="1" ht="15" customHeight="1">
      <c r="A3" s="5"/>
      <c r="B3" s="5"/>
      <c r="C3" s="57"/>
    </row>
    <row r="4" spans="1:36" s="4" customFormat="1">
      <c r="A4" s="6"/>
      <c r="B4" s="7" t="s">
        <v>15</v>
      </c>
      <c r="C4" s="58" t="s">
        <v>16</v>
      </c>
      <c r="D4" s="312">
        <v>44197</v>
      </c>
      <c r="E4" s="312">
        <v>44197</v>
      </c>
      <c r="F4" s="312">
        <v>44228</v>
      </c>
      <c r="G4" s="312">
        <v>44256</v>
      </c>
      <c r="H4" s="312">
        <v>44287</v>
      </c>
      <c r="I4" s="312">
        <v>44317</v>
      </c>
      <c r="J4" s="312">
        <v>44348</v>
      </c>
      <c r="K4" s="312">
        <v>44378</v>
      </c>
      <c r="L4" s="312">
        <v>44409</v>
      </c>
      <c r="M4" s="312">
        <v>44440</v>
      </c>
      <c r="N4" s="312">
        <v>44470</v>
      </c>
      <c r="O4" s="312">
        <v>44501</v>
      </c>
      <c r="P4" s="312">
        <v>44531</v>
      </c>
      <c r="Q4" s="312" t="s">
        <v>17</v>
      </c>
      <c r="R4" s="312">
        <v>44562</v>
      </c>
      <c r="S4" s="312">
        <v>44593</v>
      </c>
      <c r="T4" s="312">
        <v>44621</v>
      </c>
      <c r="U4" s="312">
        <v>44652</v>
      </c>
      <c r="V4" s="312">
        <v>44682</v>
      </c>
      <c r="W4" s="312">
        <v>44713</v>
      </c>
      <c r="X4" s="312">
        <v>44743</v>
      </c>
      <c r="Y4" s="312">
        <v>44774</v>
      </c>
      <c r="Z4" s="312">
        <v>44805</v>
      </c>
      <c r="AA4" s="312">
        <v>44835</v>
      </c>
      <c r="AB4" s="312">
        <v>44866</v>
      </c>
      <c r="AC4" s="312">
        <v>44896</v>
      </c>
      <c r="AD4" s="312" t="s">
        <v>18</v>
      </c>
      <c r="AE4" s="312">
        <v>44949</v>
      </c>
      <c r="AF4" s="312">
        <v>44980</v>
      </c>
      <c r="AG4" s="312">
        <v>45008</v>
      </c>
      <c r="AH4" s="312">
        <v>45039</v>
      </c>
      <c r="AI4" s="312">
        <v>45069</v>
      </c>
      <c r="AJ4" s="312">
        <v>45100</v>
      </c>
    </row>
    <row r="5" spans="1:36" s="4" customFormat="1">
      <c r="A5" s="9">
        <v>1</v>
      </c>
      <c r="B5" s="10" t="s">
        <v>19</v>
      </c>
      <c r="C5" s="152"/>
    </row>
    <row r="6" spans="1:36" s="4" customFormat="1" ht="12.75">
      <c r="A6" s="11">
        <v>1.1000000000000001</v>
      </c>
      <c r="B6" s="151" t="s">
        <v>20</v>
      </c>
      <c r="C6" s="92" t="s">
        <v>21</v>
      </c>
      <c r="D6" s="76"/>
      <c r="E6" s="76">
        <f>Financials!D14/1000000</f>
        <v>6578.7088703099998</v>
      </c>
      <c r="F6" s="76">
        <f>Financials!E14/1000000</f>
        <v>6664.0025228300001</v>
      </c>
      <c r="G6" s="76">
        <f>Financials!F14/1000000</f>
        <v>6555.7886588700003</v>
      </c>
      <c r="H6" s="76">
        <f>Financials!G14/1000000</f>
        <v>6722.7781720699995</v>
      </c>
      <c r="I6" s="76">
        <f>Financials!H14/1000000</f>
        <v>6916.581521099999</v>
      </c>
      <c r="J6" s="76">
        <f>Financials!I14/1000000</f>
        <v>6899.1974771100004</v>
      </c>
      <c r="K6" s="76">
        <f>Financials!J14/1000000</f>
        <v>7079.1033209599991</v>
      </c>
      <c r="L6" s="76">
        <f>Financials!K14/1000000</f>
        <v>7230.3262221399991</v>
      </c>
      <c r="M6" s="76">
        <f>Financials!L14/1000000</f>
        <v>7485.2025401800001</v>
      </c>
      <c r="N6" s="76">
        <f>Financials!M14/1000000</f>
        <v>7720.9503434699991</v>
      </c>
      <c r="O6" s="76">
        <f>Financials!N14/1000000</f>
        <v>7927.4780519799997</v>
      </c>
      <c r="P6" s="76">
        <f>Financials!O14/1000000</f>
        <v>8218.0573709300006</v>
      </c>
      <c r="Q6" s="76">
        <f>Financials!P14/1000000</f>
        <v>7683.3689999999997</v>
      </c>
      <c r="R6" s="76">
        <f>Financials!Q14/1000000</f>
        <v>8190.399731739999</v>
      </c>
      <c r="S6" s="76">
        <f>Financials!R14/1000000</f>
        <v>8102.7402257199992</v>
      </c>
      <c r="T6" s="76">
        <f>Financials!S14/1000000</f>
        <v>8273.5998448699993</v>
      </c>
      <c r="U6" s="76">
        <f>Financials!T14/1000000</f>
        <v>8698.6904173600014</v>
      </c>
      <c r="V6" s="76">
        <f>Financials!U14/1000000</f>
        <v>8925.053520540001</v>
      </c>
      <c r="W6" s="76">
        <f>Financials!V14/1000000</f>
        <v>8836.8186723500003</v>
      </c>
      <c r="X6" s="76">
        <f>Financials!W14/1000000</f>
        <v>9048.4434205699999</v>
      </c>
      <c r="Y6" s="76">
        <f>Financials!X14/1000000</f>
        <v>9258.7092681200011</v>
      </c>
      <c r="Z6" s="76">
        <f>Financials!Y14/1000000</f>
        <v>9454.3329495800026</v>
      </c>
      <c r="AA6" s="76">
        <f>Financials!Z14/1000000</f>
        <v>9511.2255768600007</v>
      </c>
      <c r="AB6" s="76">
        <f>Financials!AA14/1000000</f>
        <v>9744.2422688200004</v>
      </c>
      <c r="AC6" s="76">
        <f>Financials!AB14/1000000</f>
        <v>9945.5061892699996</v>
      </c>
      <c r="AD6" s="76">
        <f>Financials!AC14/1000000</f>
        <v>8837.9539999999997</v>
      </c>
      <c r="AE6" s="76">
        <f>Financials!AD14/1000000</f>
        <v>9977.0100007800011</v>
      </c>
      <c r="AF6" s="76">
        <f>Financials!AE14/1000000</f>
        <v>9312.1649078800019</v>
      </c>
      <c r="AG6" s="76">
        <f>Financials!AF14/1000000</f>
        <v>8714.6262629700013</v>
      </c>
      <c r="AH6" s="76">
        <f>Financials!AG14/1000000</f>
        <v>8869.2160714399997</v>
      </c>
      <c r="AI6" s="76">
        <f>Financials!AH14/1000000</f>
        <v>9140.3975269599996</v>
      </c>
      <c r="AJ6" s="76">
        <f>Financials!AI14/1000000</f>
        <v>8931.2173012999992</v>
      </c>
    </row>
    <row r="7" spans="1:36" s="4" customFormat="1" ht="12.75">
      <c r="A7" s="11">
        <v>1.2</v>
      </c>
      <c r="B7" s="11" t="s">
        <v>22</v>
      </c>
      <c r="C7" s="153" t="s">
        <v>23</v>
      </c>
      <c r="D7" s="154"/>
      <c r="E7" s="154">
        <f>Financials!D14/Financials!D5</f>
        <v>0.15865783416092355</v>
      </c>
      <c r="F7" s="154">
        <f>Financials!E14/Financials!E5</f>
        <v>0.15884834388877636</v>
      </c>
      <c r="G7" s="154">
        <f>Financials!F14/Financials!F5</f>
        <v>0.15934179445352883</v>
      </c>
      <c r="H7" s="154">
        <f>Financials!G14/Financials!G5</f>
        <v>0.16194355763931262</v>
      </c>
      <c r="I7" s="154">
        <f>Financials!H14/Financials!H5</f>
        <v>0.16491152384831551</v>
      </c>
      <c r="J7" s="154">
        <f>Financials!I14/Financials!I5</f>
        <v>0.16266766175515204</v>
      </c>
      <c r="K7" s="154">
        <f>Financials!J14/Financials!J5</f>
        <v>0.16547489131210327</v>
      </c>
      <c r="L7" s="154">
        <f>Financials!K14/Financials!K5</f>
        <v>0.16552830963360521</v>
      </c>
      <c r="M7" s="154">
        <f>Financials!L14/Financials!L5</f>
        <v>0.16715381053583478</v>
      </c>
      <c r="N7" s="154">
        <f>Financials!M14/Financials!M5</f>
        <v>0.1695834859985059</v>
      </c>
      <c r="O7" s="154">
        <f>Financials!N14/Financials!N5</f>
        <v>0.17155111442719803</v>
      </c>
      <c r="P7" s="154">
        <f>Financials!O14/Financials!O5</f>
        <v>0.17569933564993281</v>
      </c>
      <c r="Q7" s="154">
        <f>Financials!P14/Financials!P5</f>
        <v>0.16159547031140789</v>
      </c>
      <c r="R7" s="154">
        <f>Financials!Q14/Financials!Q5</f>
        <v>0.17335719775572644</v>
      </c>
      <c r="S7" s="154">
        <f>Financials!R14/Financials!R5</f>
        <v>0.17082658299546974</v>
      </c>
      <c r="T7" s="154">
        <f>Financials!S14/Financials!S5</f>
        <v>0.175331234754945</v>
      </c>
      <c r="U7" s="154">
        <f>Financials!T14/Financials!T5</f>
        <v>0.18080522705528024</v>
      </c>
      <c r="V7" s="154">
        <f>Financials!U14/Financials!U5</f>
        <v>0.18283756367699855</v>
      </c>
      <c r="W7" s="154">
        <f>Financials!V14/Financials!V5</f>
        <v>0.17944143456982126</v>
      </c>
      <c r="X7" s="154">
        <f>Financials!W14/Financials!W5</f>
        <v>0.18141924422403966</v>
      </c>
      <c r="Y7" s="154">
        <f>Financials!X14/Financials!X5</f>
        <v>0.18282728442002977</v>
      </c>
      <c r="Z7" s="154">
        <f>Financials!Y14/Financials!Y5</f>
        <v>0.18346927818859252</v>
      </c>
      <c r="AA7" s="154">
        <f>Financials!Z14/Financials!Z5</f>
        <v>0.18095149090178744</v>
      </c>
      <c r="AB7" s="154">
        <f>Financials!AA14/Financials!AA5</f>
        <v>0.18222268376178291</v>
      </c>
      <c r="AC7" s="154">
        <f>Financials!AB14/Financials!AB5</f>
        <v>0.18295222033030994</v>
      </c>
      <c r="AD7" s="154">
        <f>Financials!AC14/Financials!AC5</f>
        <v>0.16432438992360784</v>
      </c>
      <c r="AE7" s="154">
        <f>Financials!AD14/Financials!AD5</f>
        <v>0.1822421550317318</v>
      </c>
      <c r="AF7" s="154">
        <f>Financials!AE14/Financials!AE5</f>
        <v>0.16709572304690976</v>
      </c>
      <c r="AG7" s="154">
        <f>Financials!AF14/Financials!AF5</f>
        <v>0.16297627349063928</v>
      </c>
      <c r="AH7" s="154">
        <f>Financials!AG14/Financials!AG5</f>
        <v>0.16605476113518375</v>
      </c>
      <c r="AI7" s="154">
        <f>Financials!AH14/Financials!AH5</f>
        <v>0.16943356391144945</v>
      </c>
      <c r="AJ7" s="154">
        <f>Financials!AI14/Financials!AI5</f>
        <v>0.1644925614658159</v>
      </c>
    </row>
    <row r="8" spans="1:36" s="4" customFormat="1" ht="12.75">
      <c r="A8" s="11">
        <v>1.3</v>
      </c>
      <c r="B8" s="11" t="s">
        <v>24</v>
      </c>
      <c r="C8" s="60" t="s">
        <v>25</v>
      </c>
      <c r="D8" s="77"/>
      <c r="E8" s="77">
        <f>Financials!D14/Financials!D6</f>
        <v>0.21071152741295318</v>
      </c>
      <c r="F8" s="77">
        <f>Financials!E14/Financials!E6</f>
        <v>0.21273765901904454</v>
      </c>
      <c r="G8" s="77">
        <f>Financials!F14/Financials!F6</f>
        <v>0.20080789758332462</v>
      </c>
      <c r="H8" s="77">
        <f>Financials!G14/Financials!G6</f>
        <v>0.20518068491193384</v>
      </c>
      <c r="I8" s="77">
        <f>Financials!H14/Financials!H6</f>
        <v>0.21123958075091245</v>
      </c>
      <c r="J8" s="77">
        <f>Financials!I14/Financials!I6</f>
        <v>0.20953859436004521</v>
      </c>
      <c r="K8" s="77">
        <f>Financials!J14/Financials!J6</f>
        <v>0.21630413812453089</v>
      </c>
      <c r="L8" s="77">
        <f>Financials!K14/Financials!K6</f>
        <v>0.21829935455252869</v>
      </c>
      <c r="M8" s="77">
        <f>Financials!L14/Financials!L6</f>
        <v>0.22215351535601496</v>
      </c>
      <c r="N8" s="77">
        <f>Financials!M14/Financials!M6</f>
        <v>0.22741736820168587</v>
      </c>
      <c r="O8" s="77">
        <f>Financials!N14/Financials!N6</f>
        <v>0.23171850403335384</v>
      </c>
      <c r="P8" s="77">
        <f>Financials!O14/Financials!O6</f>
        <v>0.24020370376270986</v>
      </c>
      <c r="Q8" s="77">
        <f>Financials!P14/Financials!P6</f>
        <v>0.22457542070356162</v>
      </c>
      <c r="R8" s="77">
        <f>Financials!Q14/Financials!Q6</f>
        <v>0.23694222139897225</v>
      </c>
      <c r="S8" s="77">
        <f>Financials!R14/Financials!R6</f>
        <v>0.21877779839785824</v>
      </c>
      <c r="T8" s="77">
        <f>Financials!S14/Financials!S6</f>
        <v>0.22661875818336119</v>
      </c>
      <c r="U8" s="77">
        <f>Financials!T14/Financials!T6</f>
        <v>0.2369047269737668</v>
      </c>
      <c r="V8" s="77">
        <f>Financials!U14/Financials!U6</f>
        <v>0.24170272455675004</v>
      </c>
      <c r="W8" s="77">
        <f>Financials!V14/Financials!V6</f>
        <v>0.23753922502271868</v>
      </c>
      <c r="X8" s="77">
        <f>Financials!W14/Financials!W6</f>
        <v>0.242571929846886</v>
      </c>
      <c r="Y8" s="77">
        <f>Financials!X14/Financials!X6</f>
        <v>0.24573997277113221</v>
      </c>
      <c r="Z8" s="77">
        <f>Financials!Y14/Financials!Y6</f>
        <v>0.24825166845487354</v>
      </c>
      <c r="AA8" s="77">
        <f>Financials!Z14/Financials!Z6</f>
        <v>0.24679138327435807</v>
      </c>
      <c r="AB8" s="77">
        <f>Financials!AA14/Financials!AA6</f>
        <v>0.24989179087732244</v>
      </c>
      <c r="AC8" s="77">
        <f>Financials!AB14/Financials!AB6</f>
        <v>0.25223883719747642</v>
      </c>
      <c r="AD8" s="77">
        <f>Financials!AC14/Financials!AC6</f>
        <v>0.22414899721460832</v>
      </c>
      <c r="AE8" s="77">
        <f>Financials!AD14/Financials!AD6</f>
        <v>0.25217236811338234</v>
      </c>
      <c r="AF8" s="77">
        <f>Financials!AE14/Financials!AE6</f>
        <v>0.23265405400690992</v>
      </c>
      <c r="AG8" s="77">
        <f>Financials!AF14/Financials!AF6</f>
        <v>0.20988505493354456</v>
      </c>
      <c r="AH8" s="77">
        <f>Financials!AG14/Financials!AG6</f>
        <v>0.21556143924101248</v>
      </c>
      <c r="AI8" s="77">
        <f>Financials!AH14/Financials!AH6</f>
        <v>0.22305593304706725</v>
      </c>
      <c r="AJ8" s="77">
        <f>Financials!AI14/Financials!AI6</f>
        <v>0.21805422391155793</v>
      </c>
    </row>
    <row r="9" spans="1:36" s="4" customFormat="1" ht="12.75">
      <c r="A9" s="11">
        <v>1.4</v>
      </c>
      <c r="B9" s="12" t="s">
        <v>26</v>
      </c>
      <c r="C9" s="60" t="s">
        <v>27</v>
      </c>
      <c r="D9" s="77"/>
      <c r="E9" s="77">
        <f>Financials!D18/Financials!D5</f>
        <v>4.9260174640116026E-2</v>
      </c>
      <c r="F9" s="77">
        <f>Financials!E18/Financials!E5</f>
        <v>4.9200162304891541E-2</v>
      </c>
      <c r="G9" s="77">
        <f>Financials!F18/Financials!F5</f>
        <v>5.1796068880829341E-2</v>
      </c>
      <c r="H9" s="77">
        <f>Financials!G18/Financials!G5</f>
        <v>5.1999451730690552E-2</v>
      </c>
      <c r="I9" s="77">
        <f>Financials!H18/Financials!H5</f>
        <v>5.2001157625051551E-2</v>
      </c>
      <c r="J9" s="77">
        <f>Financials!I18/Financials!I5</f>
        <v>5.1987666890344904E-2</v>
      </c>
      <c r="K9" s="77">
        <f>Financials!J18/Financials!J5</f>
        <v>5.2398015790758493E-2</v>
      </c>
      <c r="L9" s="77">
        <f>Financials!K18/Financials!K5</f>
        <v>5.2011354611597414E-2</v>
      </c>
      <c r="M9" s="77">
        <f>Financials!L18/Financials!L5</f>
        <v>5.1324157871289189E-2</v>
      </c>
      <c r="N9" s="77">
        <f>Financials!M18/Financials!M5</f>
        <v>5.1109698771106202E-2</v>
      </c>
      <c r="O9" s="77">
        <f>Financials!N18/Financials!N5</f>
        <v>5.0929851232702147E-2</v>
      </c>
      <c r="P9" s="77">
        <f>Financials!O18/Financials!O5</f>
        <v>5.0943021581732098E-2</v>
      </c>
      <c r="Q9" s="77">
        <f>Financials!P18/Financials!P5</f>
        <v>5.0114252374595852E-2</v>
      </c>
      <c r="R9" s="77">
        <f>Financials!Q18/Financials!Q5</f>
        <v>5.1010323519865598E-2</v>
      </c>
      <c r="S9" s="77">
        <f>Financials!R18/Financials!R5</f>
        <v>5.235222718497954E-2</v>
      </c>
      <c r="T9" s="77">
        <f>Financials!S18/Financials!S5</f>
        <v>5.3452235457395823E-2</v>
      </c>
      <c r="U9" s="77">
        <f>Financials!T18/Financials!T5</f>
        <v>5.3173582499266535E-2</v>
      </c>
      <c r="V9" s="77">
        <f>Financials!U18/Financials!U5</f>
        <v>5.3175012197264976E-2</v>
      </c>
      <c r="W9" s="77">
        <f>Financials!V18/Financials!V5</f>
        <v>5.3655191067421983E-2</v>
      </c>
      <c r="X9" s="77">
        <f>Financials!W18/Financials!W5</f>
        <v>5.4086438298182486E-2</v>
      </c>
      <c r="Y9" s="77">
        <f>Financials!X18/Financials!X5</f>
        <v>5.4361971268244713E-2</v>
      </c>
      <c r="Z9" s="77">
        <f>Financials!Y18/Financials!Y5</f>
        <v>5.4679450040800492E-2</v>
      </c>
      <c r="AA9" s="77">
        <f>Financials!Z18/Financials!Z5</f>
        <v>5.474905353140784E-2</v>
      </c>
      <c r="AB9" s="77">
        <f>Financials!AA18/Financials!AA5</f>
        <v>5.4853659545951512E-2</v>
      </c>
      <c r="AC9" s="77">
        <f>Financials!AB18/Financials!AB5</f>
        <v>5.4947273376876833E-2</v>
      </c>
      <c r="AD9" s="77">
        <f>Financials!AC18/Financials!AC5</f>
        <v>5.553741477113442E-2</v>
      </c>
      <c r="AE9" s="77">
        <f>Financials!AD18/Financials!AD5</f>
        <v>5.5263830123870539E-2</v>
      </c>
      <c r="AF9" s="77">
        <f>Financials!AE18/Financials!AE5</f>
        <v>5.4815281254804019E-2</v>
      </c>
      <c r="AG9" s="77">
        <f>Financials!AF18/Financials!AF5</f>
        <v>5.8413883545840185E-2</v>
      </c>
      <c r="AH9" s="77">
        <f>Financials!AG18/Financials!AG5</f>
        <v>5.9388269332039251E-2</v>
      </c>
      <c r="AI9" s="77">
        <f>Financials!AH18/Financials!AH5</f>
        <v>5.9747368622878522E-2</v>
      </c>
      <c r="AJ9" s="77">
        <f>Financials!AI18/Financials!AI5</f>
        <v>6.0103750397734773E-2</v>
      </c>
    </row>
    <row r="10" spans="1:36" s="4" customFormat="1" ht="12.75">
      <c r="A10" s="11">
        <v>1.5</v>
      </c>
      <c r="B10" s="12" t="s">
        <v>28</v>
      </c>
      <c r="C10" s="60" t="s">
        <v>25</v>
      </c>
      <c r="D10" s="77"/>
      <c r="E10" s="77">
        <f>Financials!D15/Financials!D5</f>
        <v>0.10939765952080754</v>
      </c>
      <c r="F10" s="77">
        <f>Financials!E15/Financials!E5</f>
        <v>0.10964818158388481</v>
      </c>
      <c r="G10" s="77">
        <f>Financials!F15/Financials!F5</f>
        <v>0.10754572557269949</v>
      </c>
      <c r="H10" s="77">
        <f>Financials!G15/Financials!G5</f>
        <v>0.10994410590862208</v>
      </c>
      <c r="I10" s="77">
        <f>Financials!H15/Financials!H5</f>
        <v>0.11291036622326396</v>
      </c>
      <c r="J10" s="77">
        <f>Financials!I15/Financials!I5</f>
        <v>0.11067999486480715</v>
      </c>
      <c r="K10" s="77">
        <f>Financials!J15/Financials!J5</f>
        <v>0.11307687552134479</v>
      </c>
      <c r="L10" s="77">
        <f>Financials!K15/Financials!K5</f>
        <v>0.11351695502200779</v>
      </c>
      <c r="M10" s="77">
        <f>Financials!L15/Financials!L5</f>
        <v>0.1158296526645456</v>
      </c>
      <c r="N10" s="77">
        <f>Financials!M15/Financials!M5</f>
        <v>0.11847378722739969</v>
      </c>
      <c r="O10" s="77">
        <f>Financials!N15/Financials!N5</f>
        <v>0.12062126319449588</v>
      </c>
      <c r="P10" s="77">
        <f>Financials!O15/Financials!O5</f>
        <v>0.12475631406820072</v>
      </c>
      <c r="Q10" s="77">
        <f>Financials!P15/Financials!P5</f>
        <v>0.11148121793681204</v>
      </c>
      <c r="R10" s="77">
        <f>Financials!Q15/Financials!Q5</f>
        <v>0.12234687423586085</v>
      </c>
      <c r="S10" s="77">
        <f>Financials!R15/Financials!R5</f>
        <v>0.11847435581049021</v>
      </c>
      <c r="T10" s="77">
        <f>Financials!S15/Financials!S5</f>
        <v>0.12187899929754917</v>
      </c>
      <c r="U10" s="77">
        <f>Financials!T15/Financials!T5</f>
        <v>0.12763164455601372</v>
      </c>
      <c r="V10" s="77">
        <f>Financials!U15/Financials!U5</f>
        <v>0.12966255147973357</v>
      </c>
      <c r="W10" s="77">
        <f>Financials!V15/Financials!V5</f>
        <v>0.12578624350239925</v>
      </c>
      <c r="X10" s="77">
        <f>Financials!W15/Financials!W5</f>
        <v>0.12733280592585716</v>
      </c>
      <c r="Y10" s="77">
        <f>Financials!X15/Financials!X5</f>
        <v>0.12846531315178505</v>
      </c>
      <c r="Z10" s="77">
        <f>Financials!Y15/Financials!Y5</f>
        <v>0.12878982814779202</v>
      </c>
      <c r="AA10" s="77">
        <f>Financials!Z15/Financials!Z5</f>
        <v>0.12620243737037959</v>
      </c>
      <c r="AB10" s="77">
        <f>Financials!AA15/Financials!AA5</f>
        <v>0.12736902421583138</v>
      </c>
      <c r="AC10" s="77">
        <f>Financials!AB15/Financials!AB5</f>
        <v>0.12800494695343312</v>
      </c>
      <c r="AD10" s="77">
        <f>Financials!AC15/Financials!AC5</f>
        <v>0.10878697515247342</v>
      </c>
      <c r="AE10" s="77">
        <f>Financials!AD15/Financials!AD5</f>
        <v>0.12697832490786126</v>
      </c>
      <c r="AF10" s="77">
        <f>Financials!AE15/Financials!AE5</f>
        <v>0.11228044179210575</v>
      </c>
      <c r="AG10" s="77">
        <f>Financials!AF15/Financials!AF5</f>
        <v>0.10456238994479911</v>
      </c>
      <c r="AH10" s="77">
        <f>Financials!AG15/Financials!AG5</f>
        <v>0.1066664918031445</v>
      </c>
      <c r="AI10" s="77">
        <f>Financials!AH15/Financials!AH5</f>
        <v>0.10968619528857093</v>
      </c>
      <c r="AJ10" s="77">
        <f>Financials!AI15/Financials!AI5</f>
        <v>0.10438881106808111</v>
      </c>
    </row>
    <row r="11" spans="1:36" s="4" customFormat="1">
      <c r="A11" s="10"/>
      <c r="B11" s="11"/>
      <c r="C11" s="62"/>
      <c r="D11" s="77"/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77"/>
      <c r="AA11" s="77"/>
      <c r="AB11" s="77"/>
      <c r="AC11" s="77"/>
      <c r="AD11" s="77"/>
      <c r="AE11" s="77"/>
      <c r="AF11" s="77"/>
      <c r="AG11" s="77"/>
      <c r="AH11" s="77"/>
    </row>
    <row r="12" spans="1:36" s="4" customFormat="1">
      <c r="A12" s="9">
        <v>2</v>
      </c>
      <c r="B12" s="10" t="s">
        <v>29</v>
      </c>
      <c r="C12" s="59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</row>
    <row r="13" spans="1:36" s="4" customFormat="1">
      <c r="A13" s="13">
        <v>2.1</v>
      </c>
      <c r="B13" s="10" t="s">
        <v>30</v>
      </c>
      <c r="C13" s="59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</row>
    <row r="14" spans="1:36" s="4" customFormat="1" ht="12.75">
      <c r="A14" s="14" t="s">
        <v>31</v>
      </c>
      <c r="B14" s="12" t="s">
        <v>32</v>
      </c>
      <c r="C14" s="60" t="s">
        <v>33</v>
      </c>
      <c r="D14" s="77"/>
      <c r="E14" s="77">
        <f>Financials!D38/Financials!D5</f>
        <v>3.5368552640099818E-2</v>
      </c>
      <c r="F14" s="77">
        <f>Financials!E38/Financials!E5</f>
        <v>4.0774312307791834E-2</v>
      </c>
      <c r="G14" s="77">
        <f>Financials!F38/Financials!F5</f>
        <v>3.3083895105368383E-2</v>
      </c>
      <c r="H14" s="77">
        <f>Financials!G38/Financials!G5</f>
        <v>4.0344571446352853E-2</v>
      </c>
      <c r="I14" s="77">
        <f>Financials!H38/Financials!H5</f>
        <v>3.9739293675773224E-2</v>
      </c>
      <c r="J14" s="77">
        <f>Financials!I38/Financials!I5</f>
        <v>4.0677021027676126E-2</v>
      </c>
      <c r="K14" s="77">
        <f>Financials!J38/Financials!J5</f>
        <v>4.5702626976518931E-2</v>
      </c>
      <c r="L14" s="77">
        <f>Financials!K38/Financials!K5</f>
        <v>4.5025494197898745E-2</v>
      </c>
      <c r="M14" s="77">
        <f>Financials!L38/Financials!L5</f>
        <v>4.5058875449534443E-2</v>
      </c>
      <c r="N14" s="77">
        <f>Financials!M38/Financials!M5</f>
        <v>4.692363727000419E-2</v>
      </c>
      <c r="O14" s="77">
        <f>Financials!N38/Financials!N5</f>
        <v>4.6114003029818863E-2</v>
      </c>
      <c r="P14" s="77">
        <f>Financials!O38/Financials!O5</f>
        <v>4.8913991307589687E-2</v>
      </c>
      <c r="Q14" s="77">
        <f>Financials!P38/Financials!P5</f>
        <v>5.8240433720509376E-2</v>
      </c>
      <c r="R14" s="77">
        <f>Financials!Q38/Financials!Q5</f>
        <v>5.0326457261043032E-2</v>
      </c>
      <c r="S14" s="77">
        <f>Financials!R38/Financials!R5</f>
        <v>5.3170745978364874E-2</v>
      </c>
      <c r="T14" s="77">
        <f>Financials!S38/Financials!S5</f>
        <v>4.9246587752028032E-2</v>
      </c>
      <c r="U14" s="77">
        <f>Financials!T38/Financials!T5</f>
        <v>5.0284707369422879E-2</v>
      </c>
      <c r="V14" s="77">
        <f>Financials!U38/Financials!U5</f>
        <v>5.0663919697332874E-2</v>
      </c>
      <c r="W14" s="77">
        <f>Financials!V38/Financials!V5</f>
        <v>4.8084253230382561E-2</v>
      </c>
      <c r="X14" s="77">
        <f>Financials!W38/Financials!W5</f>
        <v>4.8031587521996606E-2</v>
      </c>
      <c r="Y14" s="77">
        <f>Financials!X38/Financials!X5</f>
        <v>4.7376913505563528E-2</v>
      </c>
      <c r="Z14" s="77">
        <f>Financials!Y38/Financials!Y5</f>
        <v>4.6483860224069522E-2</v>
      </c>
      <c r="AA14" s="77">
        <f>Financials!Z38/Financials!Z5</f>
        <v>4.975710036036101E-2</v>
      </c>
      <c r="AB14" s="77">
        <f>Financials!AA38/Financials!AA5</f>
        <v>4.8178474192124753E-2</v>
      </c>
      <c r="AC14" s="77">
        <f>Financials!AB38/Financials!AB5</f>
        <v>4.5870531274285774E-2</v>
      </c>
      <c r="AD14" s="77">
        <f>Financials!AC38/Financials!AC5</f>
        <v>4.3979894353397421E-2</v>
      </c>
      <c r="AE14" s="77">
        <f>Financials!AD38/Financials!AD5</f>
        <v>5.0266035376231227E-2</v>
      </c>
      <c r="AF14" s="77">
        <f>Financials!AE38/Financials!AE5</f>
        <v>4.7690529859905198E-2</v>
      </c>
      <c r="AG14" s="77">
        <f>Financials!AF38/Financials!AF5</f>
        <v>4.2452241557885642E-2</v>
      </c>
      <c r="AH14" s="77">
        <f>Financials!AG38/Financials!AG5</f>
        <v>4.1997154961680522E-2</v>
      </c>
      <c r="AI14" s="77">
        <f>Financials!AH38/Financials!AH5</f>
        <v>3.622362281253317E-2</v>
      </c>
      <c r="AJ14" s="77">
        <f>Financials!AI38/Financials!AI5</f>
        <v>4.8769960288804821E-2</v>
      </c>
    </row>
    <row r="15" spans="1:36" s="4" customFormat="1" ht="12.75">
      <c r="A15" s="14" t="s">
        <v>34</v>
      </c>
      <c r="B15" s="11" t="s">
        <v>35</v>
      </c>
      <c r="C15" s="60" t="s">
        <v>36</v>
      </c>
      <c r="D15" s="77"/>
      <c r="E15" s="77">
        <f>Financials!D39/Financials!D5</f>
        <v>5.512639308855388E-3</v>
      </c>
      <c r="F15" s="77">
        <f>Financials!E39/Financials!E5</f>
        <v>5.4400205112733893E-3</v>
      </c>
      <c r="G15" s="77">
        <f>Financials!F39/Financials!F5</f>
        <v>5.5423733332345404E-3</v>
      </c>
      <c r="H15" s="77">
        <f>Financials!G39/Financials!G5</f>
        <v>5.4591736618012652E-3</v>
      </c>
      <c r="I15" s="77">
        <f>Financials!H39/Financials!H5</f>
        <v>5.3447842520892089E-3</v>
      </c>
      <c r="J15" s="77">
        <f>Financials!I39/Financials!I5</f>
        <v>5.2457842511654876E-3</v>
      </c>
      <c r="K15" s="77">
        <f>Financials!J39/Financials!J5</f>
        <v>5.166933459565622E-3</v>
      </c>
      <c r="L15" s="77">
        <f>Financials!K39/Financials!K5</f>
        <v>5.0875011622014323E-3</v>
      </c>
      <c r="M15" s="77">
        <f>Financials!L39/Financials!L5</f>
        <v>5.3134795911407833E-3</v>
      </c>
      <c r="N15" s="77">
        <f>Financials!M39/Financials!M5</f>
        <v>5.1831700628193061E-3</v>
      </c>
      <c r="O15" s="77">
        <f>Financials!N39/Financials!N5</f>
        <v>5.0831069026878225E-3</v>
      </c>
      <c r="P15" s="77">
        <f>Financials!O39/Financials!O5</f>
        <v>8.0458602471491156E-3</v>
      </c>
      <c r="Q15" s="77">
        <f>Financials!P39/Financials!P5</f>
        <v>7.9125187738187022E-3</v>
      </c>
      <c r="R15" s="77">
        <f>Financials!Q39/Financials!Q5</f>
        <v>7.9605928666764969E-3</v>
      </c>
      <c r="S15" s="77">
        <f>Financials!R39/Financials!R5</f>
        <v>7.942152957158919E-3</v>
      </c>
      <c r="T15" s="77">
        <f>Financials!S39/Financials!S5</f>
        <v>7.742656208042379E-3</v>
      </c>
      <c r="U15" s="77">
        <f>Financials!T39/Financials!T5</f>
        <v>7.5596053056907996E-3</v>
      </c>
      <c r="V15" s="77">
        <f>Financials!U39/Financials!U5</f>
        <v>7.4168709549701055E-3</v>
      </c>
      <c r="W15" s="77">
        <f>Financials!V39/Financials!V5</f>
        <v>7.3046847126112865E-3</v>
      </c>
      <c r="X15" s="77">
        <f>Financials!W39/Financials!W5</f>
        <v>7.1061186860840713E-3</v>
      </c>
      <c r="Y15" s="77">
        <f>Financials!X39/Financials!X5</f>
        <v>6.9020038860606973E-3</v>
      </c>
      <c r="Z15" s="77">
        <f>Financials!Y39/Financials!Y5</f>
        <v>6.6859126509058739E-3</v>
      </c>
      <c r="AA15" s="77">
        <f>Financials!Z39/Financials!Z5</f>
        <v>6.4947495420918976E-3</v>
      </c>
      <c r="AB15" s="77">
        <f>Financials!AA39/Financials!AA5</f>
        <v>6.5500433918173704E-3</v>
      </c>
      <c r="AC15" s="77">
        <f>Financials!AB39/Financials!AB5</f>
        <v>6.332275753535125E-3</v>
      </c>
      <c r="AD15" s="77">
        <f>Financials!AC39/Financials!AC5</f>
        <v>6.3891246898829029E-3</v>
      </c>
      <c r="AE15" s="77">
        <f>Financials!AD39/Financials!AD5</f>
        <v>7.2086302693270977E-3</v>
      </c>
      <c r="AF15" s="77">
        <f>Financials!AE39/Financials!AE5</f>
        <v>7.2143297332531338E-3</v>
      </c>
      <c r="AG15" s="77">
        <f>Financials!AF39/Financials!AF5</f>
        <v>7.6447455474833777E-3</v>
      </c>
      <c r="AH15" s="77">
        <f>Financials!AG39/Financials!AG5</f>
        <v>7.9084399731035194E-3</v>
      </c>
      <c r="AI15" s="77">
        <f>Financials!AH39/Financials!AH5</f>
        <v>8.0000974366666571E-3</v>
      </c>
      <c r="AJ15" s="77">
        <f>Financials!AI39/Financials!AI5</f>
        <v>8.1536804777256958E-3</v>
      </c>
    </row>
    <row r="16" spans="1:36" s="4" customFormat="1">
      <c r="A16" s="14" t="s">
        <v>37</v>
      </c>
      <c r="B16" s="11" t="s">
        <v>38</v>
      </c>
      <c r="C16" s="60" t="s">
        <v>39</v>
      </c>
      <c r="D16" s="131"/>
      <c r="E16" s="131"/>
      <c r="F16" s="131"/>
      <c r="G16" s="131"/>
      <c r="H16" s="131"/>
      <c r="I16" s="131"/>
      <c r="J16" s="131"/>
      <c r="K16" s="131"/>
      <c r="L16" s="131"/>
      <c r="M16" s="131"/>
      <c r="N16" s="131"/>
      <c r="O16" s="131"/>
      <c r="P16" s="131"/>
      <c r="Q16" s="131"/>
      <c r="R16" s="131"/>
      <c r="S16" s="131"/>
      <c r="T16" s="131"/>
      <c r="U16" s="131"/>
      <c r="V16" s="131"/>
      <c r="W16" s="131"/>
      <c r="X16" s="131"/>
      <c r="Y16" s="131"/>
      <c r="Z16" s="131"/>
      <c r="AA16" s="131"/>
      <c r="AB16" s="131"/>
      <c r="AC16" s="131"/>
      <c r="AD16" s="131"/>
      <c r="AE16" s="131"/>
      <c r="AF16" s="131"/>
      <c r="AG16" s="131"/>
      <c r="AH16" s="131"/>
    </row>
    <row r="17" spans="1:36" s="4" customFormat="1">
      <c r="A17" s="14"/>
      <c r="B17" s="11"/>
      <c r="C17" s="60"/>
      <c r="D17" s="77"/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  <c r="AA17" s="77"/>
      <c r="AB17" s="77"/>
      <c r="AC17" s="77"/>
      <c r="AD17" s="77"/>
      <c r="AE17" s="77"/>
      <c r="AF17" s="77"/>
      <c r="AG17" s="77"/>
      <c r="AH17" s="77"/>
    </row>
    <row r="18" spans="1:36" s="4" customFormat="1">
      <c r="A18" s="14">
        <v>2.2000000000000002</v>
      </c>
      <c r="B18" s="10" t="s">
        <v>40</v>
      </c>
      <c r="C18" s="60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  <c r="AA18" s="77"/>
      <c r="AB18" s="77"/>
      <c r="AC18" s="77"/>
      <c r="AD18" s="77"/>
      <c r="AE18" s="77"/>
      <c r="AF18" s="77"/>
      <c r="AG18" s="77"/>
      <c r="AH18" s="77"/>
    </row>
    <row r="19" spans="1:36" s="4" customFormat="1" ht="12.75">
      <c r="A19" s="14" t="s">
        <v>41</v>
      </c>
      <c r="B19" s="11" t="s">
        <v>42</v>
      </c>
      <c r="C19" s="60" t="s">
        <v>36</v>
      </c>
      <c r="D19" s="61"/>
      <c r="E19" s="61">
        <f>Financials!D26/Financials!D6</f>
        <v>1.8499490340720206E-2</v>
      </c>
      <c r="F19" s="61">
        <f>Financials!E26/Financials!E6</f>
        <v>1.8438607801360613E-2</v>
      </c>
      <c r="G19" s="61">
        <f>Financials!F26/Financials!F6</f>
        <v>1.7691880460741407E-2</v>
      </c>
      <c r="H19" s="61">
        <f>Financials!G26/Financials!G6</f>
        <v>1.762808328552002E-2</v>
      </c>
      <c r="I19" s="61">
        <f>Financials!H26/Financials!H6</f>
        <v>1.7640197872926807E-2</v>
      </c>
      <c r="J19" s="61">
        <f>Financials!I26/Financials!I6</f>
        <v>1.7542211944577911E-2</v>
      </c>
      <c r="K19" s="61">
        <f>Financials!J26/Financials!J6</f>
        <v>1.764846688940519E-2</v>
      </c>
      <c r="L19" s="61">
        <f>Financials!K26/Financials!K6</f>
        <v>1.7438764727548319E-2</v>
      </c>
      <c r="M19" s="61">
        <f>Financials!L26/Financials!L6</f>
        <v>1.714236717017199E-2</v>
      </c>
      <c r="N19" s="61">
        <f>Financials!M26/Financials!M6</f>
        <v>1.7012730773588031E-2</v>
      </c>
      <c r="O19" s="61">
        <f>Financials!N26/Financials!N6</f>
        <v>1.6882832949545755E-2</v>
      </c>
      <c r="P19" s="61">
        <f>Financials!O26/Financials!O6</f>
        <v>1.7433980525914466E-2</v>
      </c>
      <c r="Q19" s="61">
        <f>Financials!P26/Financials!P6</f>
        <v>6.3540947912959181E-2</v>
      </c>
      <c r="R19" s="61">
        <f>Financials!Q26/Financials!Q6</f>
        <v>1.7065380497460533E-2</v>
      </c>
      <c r="S19" s="61">
        <f>Financials!R26/Financials!R6</f>
        <v>1.5927585675181113E-2</v>
      </c>
      <c r="T19" s="61">
        <f>Financials!S26/Financials!S6</f>
        <v>1.615768825844334E-2</v>
      </c>
      <c r="U19" s="61">
        <f>Financials!T26/Financials!T6</f>
        <v>1.6065615364106851E-2</v>
      </c>
      <c r="V19" s="61">
        <f>Financials!U26/Financials!U6</f>
        <v>1.5975257320209484E-2</v>
      </c>
      <c r="W19" s="61">
        <f>Financials!V26/Financials!V6</f>
        <v>1.5856916736520933E-2</v>
      </c>
      <c r="X19" s="61">
        <f>Financials!W26/Financials!W6</f>
        <v>1.5814048901936169E-2</v>
      </c>
      <c r="Y19" s="61">
        <f>Financials!X26/Financials!X6</f>
        <v>1.5656835065459562E-2</v>
      </c>
      <c r="Z19" s="61">
        <f>Financials!Y26/Financials!Y6</f>
        <v>1.496416710082229E-2</v>
      </c>
      <c r="AA19" s="61">
        <f>Financials!Z26/Financials!Z6</f>
        <v>1.478710824423264E-2</v>
      </c>
      <c r="AB19" s="61">
        <f>Financials!AA26/Financials!AA6</f>
        <v>1.4614749362526524E-2</v>
      </c>
      <c r="AC19" s="61">
        <f>Financials!AB26/Financials!AB6</f>
        <v>1.4159137100301629E-2</v>
      </c>
      <c r="AD19" s="61">
        <f>Financials!AC26/Financials!AC6</f>
        <v>0.1842023844170238</v>
      </c>
      <c r="AE19" s="61">
        <f>Financials!AD26/Financials!AD6</f>
        <v>1.4110682975334275E-2</v>
      </c>
      <c r="AF19" s="61">
        <f>Financials!AE26/Financials!AE6</f>
        <v>1.3947967015340571E-2</v>
      </c>
      <c r="AG19" s="61">
        <f>Financials!AF26/Financials!AF6</f>
        <v>1.344570857658503E-2</v>
      </c>
      <c r="AH19" s="61">
        <f>Financials!AG26/Financials!AG6</f>
        <v>1.356865451721259E-2</v>
      </c>
      <c r="AI19" s="61">
        <f>Financials!AH26/Financials!AH6</f>
        <v>1.3623843329960032E-2</v>
      </c>
      <c r="AJ19" s="61">
        <f>Financials!AI26/Financials!AI6</f>
        <v>1.3630280490072295E-2</v>
      </c>
    </row>
    <row r="20" spans="1:36" s="4" customFormat="1" ht="12.75">
      <c r="A20" s="14" t="s">
        <v>43</v>
      </c>
      <c r="B20" s="11" t="s">
        <v>44</v>
      </c>
      <c r="C20" s="60" t="s">
        <v>45</v>
      </c>
      <c r="D20" s="61"/>
      <c r="E20" s="61">
        <f>Financials!D26/Financials!D14</f>
        <v>8.779534070988361E-2</v>
      </c>
      <c r="F20" s="61">
        <f>Financials!E26/Financials!E14</f>
        <v>8.6672984399579031E-2</v>
      </c>
      <c r="G20" s="61">
        <f>Financials!F26/Financials!F14</f>
        <v>8.8103509242709002E-2</v>
      </c>
      <c r="H20" s="61">
        <f>Financials!G26/Financials!G14</f>
        <v>8.5914925632918221E-2</v>
      </c>
      <c r="I20" s="61">
        <f>Financials!H26/Financials!H14</f>
        <v>8.3508014029471195E-2</v>
      </c>
      <c r="J20" s="61">
        <f>Financials!I26/Financials!I14</f>
        <v>8.3718285875467605E-2</v>
      </c>
      <c r="K20" s="61">
        <f>Financials!J26/Financials!J14</f>
        <v>8.1590981302653548E-2</v>
      </c>
      <c r="L20" s="61">
        <f>Financials!K26/Financials!K14</f>
        <v>7.9884637145604037E-2</v>
      </c>
      <c r="M20" s="61">
        <f>Financials!L26/Financials!L14</f>
        <v>7.7164510058282315E-2</v>
      </c>
      <c r="N20" s="61">
        <f>Financials!M26/Financials!M14</f>
        <v>7.4808405831608388E-2</v>
      </c>
      <c r="O20" s="61">
        <f>Financials!N26/Financials!N14</f>
        <v>7.2859235044585038E-2</v>
      </c>
      <c r="P20" s="61">
        <f>Financials!O26/Financials!O14</f>
        <v>7.25799821269075E-2</v>
      </c>
      <c r="Q20" s="61">
        <f>Financials!P26/Financials!P14</f>
        <v>0.28293812258658929</v>
      </c>
      <c r="R20" s="61">
        <f>Financials!Q26/Financials!Q14</f>
        <v>7.2023383577235908E-2</v>
      </c>
      <c r="S20" s="61">
        <f>Financials!R26/Financials!R14</f>
        <v>7.280256859617909E-2</v>
      </c>
      <c r="T20" s="61">
        <f>Financials!S26/Financials!S14</f>
        <v>7.1298988609627245E-2</v>
      </c>
      <c r="U20" s="61">
        <f>Financials!T26/Financials!T14</f>
        <v>6.7814667817438043E-2</v>
      </c>
      <c r="V20" s="61">
        <f>Financials!U26/Financials!U14</f>
        <v>6.6094651392556436E-2</v>
      </c>
      <c r="W20" s="61">
        <f>Financials!V26/Financials!V14</f>
        <v>6.6754940094648996E-2</v>
      </c>
      <c r="X20" s="61">
        <f>Financials!W26/Financials!W14</f>
        <v>6.5193235309288125E-2</v>
      </c>
      <c r="Y20" s="61">
        <f>Financials!X26/Financials!X14</f>
        <v>6.3713017011039624E-2</v>
      </c>
      <c r="Z20" s="61">
        <f>Financials!Y26/Financials!Y14</f>
        <v>6.0278213612660704E-2</v>
      </c>
      <c r="AA20" s="61">
        <f>Financials!Z26/Financials!Z14</f>
        <v>5.9917441395406439E-2</v>
      </c>
      <c r="AB20" s="61">
        <f>Financials!AA26/Financials!AA14</f>
        <v>5.8484311594298177E-2</v>
      </c>
      <c r="AC20" s="61">
        <f>Financials!AB26/Financials!AB14</f>
        <v>5.6133850193800711E-2</v>
      </c>
      <c r="AD20" s="61">
        <f>Financials!AC26/Financials!AC14</f>
        <v>0.82178544943773191</v>
      </c>
      <c r="AE20" s="61">
        <f>Financials!AD26/Financials!AD14</f>
        <v>5.5956499440849898E-2</v>
      </c>
      <c r="AF20" s="61">
        <f>Financials!AE26/Financials!AE14</f>
        <v>5.9951532221855501E-2</v>
      </c>
      <c r="AG20" s="61">
        <f>Financials!AF26/Financials!AF14</f>
        <v>6.4062248647681536E-2</v>
      </c>
      <c r="AH20" s="61">
        <f>Financials!AG26/Financials!AG14</f>
        <v>6.2945648187298947E-2</v>
      </c>
      <c r="AI20" s="61">
        <f>Financials!AH26/Financials!AH14</f>
        <v>6.1078148174992734E-2</v>
      </c>
      <c r="AJ20" s="61">
        <f>Financials!AI26/Financials!AI14</f>
        <v>6.2508674427699654E-2</v>
      </c>
    </row>
    <row r="21" spans="1:36" s="4" customFormat="1" ht="12.75">
      <c r="A21" s="14" t="s">
        <v>46</v>
      </c>
      <c r="B21" s="12" t="s">
        <v>47</v>
      </c>
      <c r="C21" s="64" t="s">
        <v>48</v>
      </c>
      <c r="D21" s="61"/>
      <c r="E21" s="61">
        <f>Financials!D31/Financials!D5</f>
        <v>0.80199738631206652</v>
      </c>
      <c r="F21" s="61">
        <f>Financials!E31/Financials!E5</f>
        <v>0.79584640479347912</v>
      </c>
      <c r="G21" s="61">
        <f>Financials!F31/Financials!F5</f>
        <v>0.8062971244661209</v>
      </c>
      <c r="H21" s="61">
        <f>Financials!G31/Financials!G5</f>
        <v>0.80254471947299932</v>
      </c>
      <c r="I21" s="61">
        <f>Financials!H31/Financials!H5</f>
        <v>0.80080759577570793</v>
      </c>
      <c r="J21" s="61">
        <f>Financials!I31/Financials!I5</f>
        <v>0.79273100814585518</v>
      </c>
      <c r="K21" s="61">
        <f>Financials!J31/Financials!J5</f>
        <v>0.78306191215546328</v>
      </c>
      <c r="L21" s="61">
        <f>Financials!K31/Financials!K5</f>
        <v>0.77305813272814106</v>
      </c>
      <c r="M21" s="61">
        <f>Financials!L31/Financials!L5</f>
        <v>0.77718865922343827</v>
      </c>
      <c r="N21" s="61">
        <f>Financials!M31/Financials!M5</f>
        <v>0.78244088300603032</v>
      </c>
      <c r="O21" s="61">
        <f>Financials!N31/Financials!N5</f>
        <v>0.78380259506723837</v>
      </c>
      <c r="P21" s="61">
        <f>Financials!O31/Financials!O5</f>
        <v>0.78625850918637064</v>
      </c>
      <c r="Q21" s="61">
        <f>Financials!P31/Financials!P5</f>
        <v>0.76453837727030682</v>
      </c>
      <c r="R21" s="61">
        <f>Financials!Q31/Financials!Q5</f>
        <v>0.77701437627133718</v>
      </c>
      <c r="S21" s="61">
        <f>Financials!R31/Financials!R5</f>
        <v>0.77379424981013045</v>
      </c>
      <c r="T21" s="61">
        <f>Financials!S31/Financials!S5</f>
        <v>0.78707307667442084</v>
      </c>
      <c r="U21" s="61">
        <f>Financials!T31/Financials!T5</f>
        <v>0.78679400422346779</v>
      </c>
      <c r="V21" s="61">
        <f>Financials!U31/Financials!U5</f>
        <v>0.78383283023741712</v>
      </c>
      <c r="W21" s="61">
        <f>Financials!V31/Financials!V5</f>
        <v>0.7762251247741857</v>
      </c>
      <c r="X21" s="61">
        <f>Financials!W31/Financials!W5</f>
        <v>0.77495675773813988</v>
      </c>
      <c r="Y21" s="61">
        <f>Financials!X31/Financials!X5</f>
        <v>0.7689156018187705</v>
      </c>
      <c r="Z21" s="61">
        <f>Financials!Y31/Financials!Y5</f>
        <v>0.76420488504287531</v>
      </c>
      <c r="AA21" s="61">
        <f>Financials!Z31/Financials!Z5</f>
        <v>0.75837371877873627</v>
      </c>
      <c r="AB21" s="61">
        <f>Financials!AA31/Financials!AA5</f>
        <v>0.75712614794728605</v>
      </c>
      <c r="AC21" s="61">
        <f>Financials!AB31/Financials!AB5</f>
        <v>0.75753558473928739</v>
      </c>
      <c r="AD21" s="61">
        <f>Financials!AC31/Financials!AC5</f>
        <v>0.76820802680542655</v>
      </c>
      <c r="AE21" s="61">
        <f>Financials!AD31/Financials!AD5</f>
        <v>0.76474061391889747</v>
      </c>
      <c r="AF21" s="61">
        <f>Financials!AE31/Financials!AE5</f>
        <v>0.75454235605001296</v>
      </c>
      <c r="AG21" s="61">
        <f>Financials!AF31/Financials!AF5</f>
        <v>0.77466518644945093</v>
      </c>
      <c r="AH21" s="61">
        <f>Financials!AG31/Financials!AG5</f>
        <v>0.78374861325682965</v>
      </c>
      <c r="AI21" s="61">
        <f>Financials!AH31/Financials!AH5</f>
        <v>0.77508399826876362</v>
      </c>
      <c r="AJ21" s="61">
        <f>Financials!AI31/Financials!AI5</f>
        <v>0.76435025606858209</v>
      </c>
    </row>
    <row r="22" spans="1:36" s="4" customFormat="1">
      <c r="A22" s="10"/>
      <c r="B22" s="10"/>
      <c r="C22" s="59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3"/>
      <c r="AC22" s="63"/>
      <c r="AD22" s="63"/>
      <c r="AE22" s="63"/>
      <c r="AF22" s="63"/>
      <c r="AG22" s="63"/>
      <c r="AH22" s="63"/>
    </row>
    <row r="23" spans="1:36" s="4" customFormat="1">
      <c r="A23" s="9">
        <v>3</v>
      </c>
      <c r="B23" s="10" t="s">
        <v>49</v>
      </c>
      <c r="C23" s="59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5"/>
      <c r="AC23" s="65"/>
      <c r="AD23" s="65"/>
      <c r="AE23" s="65"/>
      <c r="AF23" s="65"/>
      <c r="AG23" s="65"/>
      <c r="AH23" s="65"/>
    </row>
    <row r="24" spans="1:36" s="4" customFormat="1" ht="12.75">
      <c r="A24" s="11">
        <v>3.1</v>
      </c>
      <c r="B24" s="12" t="s">
        <v>50</v>
      </c>
      <c r="C24" s="64" t="s">
        <v>48</v>
      </c>
      <c r="D24" s="61"/>
      <c r="E24" s="61">
        <f>Financials!D6/Financials!D5</f>
        <v>0.75296228976588164</v>
      </c>
      <c r="F24" s="61">
        <f>Financials!E6/Financials!E5</f>
        <v>0.74668652753462916</v>
      </c>
      <c r="G24" s="61">
        <f>Financials!F6/Financials!F5</f>
        <v>0.79350362396683349</v>
      </c>
      <c r="H24" s="61">
        <f>Financials!G6/Financials!G5</f>
        <v>0.78927291674077837</v>
      </c>
      <c r="I24" s="61">
        <f>Financials!H6/Financials!H5</f>
        <v>0.78068477158537053</v>
      </c>
      <c r="J24" s="61">
        <f>Financials!I6/Financials!I5</f>
        <v>0.77631360586319498</v>
      </c>
      <c r="K24" s="61">
        <f>Financials!J6/Financials!J5</f>
        <v>0.76501028943253901</v>
      </c>
      <c r="L24" s="61">
        <f>Financials!K6/Financials!K5</f>
        <v>0.75826293656665222</v>
      </c>
      <c r="M24" s="61">
        <f>Financials!L6/Financials!L5</f>
        <v>0.7524247827812236</v>
      </c>
      <c r="N24" s="61">
        <f>Financials!M6/Financials!M5</f>
        <v>0.74569276453903122</v>
      </c>
      <c r="O24" s="61">
        <f>Financials!N6/Financials!N5</f>
        <v>0.74034274967744806</v>
      </c>
      <c r="P24" s="61">
        <f>Financials!O6/Financials!O5</f>
        <v>0.7314597272967156</v>
      </c>
      <c r="Q24" s="61">
        <f>Financials!P6/Financials!P5</f>
        <v>0.7195599135700298</v>
      </c>
      <c r="R24" s="61">
        <f>Financials!Q6/Financials!Q5</f>
        <v>0.73164333790819436</v>
      </c>
      <c r="S24" s="61">
        <f>Financials!R6/Financials!R5</f>
        <v>0.78082229662451019</v>
      </c>
      <c r="T24" s="61">
        <f>Financials!S6/Financials!S5</f>
        <v>0.77368367985266884</v>
      </c>
      <c r="U24" s="61">
        <f>Financials!T6/Financials!T5</f>
        <v>0.76319805588050327</v>
      </c>
      <c r="V24" s="61">
        <f>Financials!U6/Financials!U5</f>
        <v>0.75645636188958065</v>
      </c>
      <c r="W24" s="61">
        <f>Financials!V6/Financials!V5</f>
        <v>0.7554181190607957</v>
      </c>
      <c r="X24" s="61">
        <f>Financials!W6/Financials!W5</f>
        <v>0.7478987545613931</v>
      </c>
      <c r="Y24" s="61">
        <f>Financials!X6/Financials!X5</f>
        <v>0.74398675298261052</v>
      </c>
      <c r="Z24" s="61">
        <f>Financials!Y6/Financials!Y5</f>
        <v>0.73904549899104921</v>
      </c>
      <c r="AA24" s="61">
        <f>Financials!Z6/Financials!Z5</f>
        <v>0.73321640529330634</v>
      </c>
      <c r="AB24" s="61">
        <f>Financials!AA6/Financials!AA5</f>
        <v>0.72920636216993684</v>
      </c>
      <c r="AC24" s="61">
        <f>Financials!AB6/Financials!AB5</f>
        <v>0.7253134464264821</v>
      </c>
      <c r="AD24" s="61">
        <f>Financials!AC6/Financials!AC5</f>
        <v>0.7331033908943958</v>
      </c>
      <c r="AE24" s="61">
        <f>Financials!AD6/Financials!AD5</f>
        <v>0.72268883539925211</v>
      </c>
      <c r="AF24" s="61">
        <f>Financials!AE6/Financials!AE5</f>
        <v>0.71821539392538136</v>
      </c>
      <c r="AG24" s="61">
        <f>Financials!AF6/Financials!AF5</f>
        <v>0.77650251725756314</v>
      </c>
      <c r="AH24" s="61">
        <f>Financials!AG6/Financials!AG5</f>
        <v>0.77033611261763346</v>
      </c>
      <c r="AI24" s="61">
        <f>Financials!AH6/Financials!AH5</f>
        <v>0.75960124259818329</v>
      </c>
      <c r="AJ24" s="61">
        <f>Financials!AI6/Financials!AI5</f>
        <v>0.7543653982714571</v>
      </c>
    </row>
    <row r="25" spans="1:36" s="4" customFormat="1" ht="12.75">
      <c r="A25" s="14" t="s">
        <v>51</v>
      </c>
      <c r="B25" s="15" t="s">
        <v>52</v>
      </c>
      <c r="C25" s="66" t="s">
        <v>48</v>
      </c>
      <c r="D25" s="67"/>
      <c r="E25" s="67">
        <f>Financials!D7/Financials!D5</f>
        <v>0.57644424372007885</v>
      </c>
      <c r="F25" s="67">
        <f>Financials!E7/Financials!E5</f>
        <v>0.57372279287225825</v>
      </c>
      <c r="G25" s="67">
        <f>Financials!F7/Financials!F5</f>
        <v>0.595909231018659</v>
      </c>
      <c r="H25" s="67">
        <f>Financials!G7/Financials!G5</f>
        <v>0.59613390007295208</v>
      </c>
      <c r="I25" s="67">
        <f>Financials!H7/Financials!H5</f>
        <v>0.59407402143200605</v>
      </c>
      <c r="J25" s="67">
        <f>Financials!I7/Financials!I5</f>
        <v>0.59000273896676514</v>
      </c>
      <c r="K25" s="67">
        <f>Financials!J7/Financials!J5</f>
        <v>0.59246095472717863</v>
      </c>
      <c r="L25" s="67">
        <f>Financials!K7/Financials!K5</f>
        <v>0.58524308133555814</v>
      </c>
      <c r="M25" s="67">
        <f>Financials!L7/Financials!L5</f>
        <v>0.57868996078603552</v>
      </c>
      <c r="N25" s="67">
        <f>Financials!M7/Financials!M5</f>
        <v>0.57591786104321363</v>
      </c>
      <c r="O25" s="67">
        <f>Financials!N7/Financials!N5</f>
        <v>0.574268988233537</v>
      </c>
      <c r="P25" s="67">
        <f>Financials!O7/Financials!O5</f>
        <v>0.57379620945456944</v>
      </c>
      <c r="Q25" s="67">
        <f>Financials!P7/Financials!P5</f>
        <v>0.56446135022000266</v>
      </c>
      <c r="R25" s="67">
        <f>Financials!Q7/Financials!Q5</f>
        <v>0.57354753640539846</v>
      </c>
      <c r="S25" s="67">
        <f>Financials!R7/Financials!R5</f>
        <v>0.58188716571232302</v>
      </c>
      <c r="T25" s="67">
        <f>Financials!S7/Financials!S5</f>
        <v>0.59415101743953458</v>
      </c>
      <c r="U25" s="67">
        <f>Financials!T7/Financials!T5</f>
        <v>0.58896904762503133</v>
      </c>
      <c r="V25" s="67">
        <f>Financials!U7/Financials!U5</f>
        <v>0.58691416309810585</v>
      </c>
      <c r="W25" s="67">
        <f>Financials!V7/Financials!V5</f>
        <v>0.58802528940200194</v>
      </c>
      <c r="X25" s="67">
        <f>Financials!W7/Financials!W5</f>
        <v>0.5875238594256682</v>
      </c>
      <c r="Y25" s="67">
        <f>Financials!X7/Financials!X5</f>
        <v>0.58565399197393109</v>
      </c>
      <c r="Z25" s="67">
        <f>Financials!Y7/Financials!Y5</f>
        <v>0.58170652487317709</v>
      </c>
      <c r="AA25" s="67">
        <f>Financials!Z7/Financials!Z5</f>
        <v>0.57810468224293043</v>
      </c>
      <c r="AB25" s="67">
        <f>Financials!AA7/Financials!AA5</f>
        <v>0.57569445215118187</v>
      </c>
      <c r="AC25" s="67">
        <f>Financials!AB7/Financials!AB5</f>
        <v>0.57220698743440057</v>
      </c>
      <c r="AD25" s="67">
        <f>Financials!AC7/Financials!AC5</f>
        <v>0.57835255480142189</v>
      </c>
      <c r="AE25" s="67">
        <f>Financials!AD7/Financials!AD5</f>
        <v>0.57157171729010814</v>
      </c>
      <c r="AF25" s="67">
        <f>Financials!AE7/Financials!AE5</f>
        <v>0.56731207206472833</v>
      </c>
      <c r="AG25" s="67">
        <f>Financials!AF7/Financials!AF5</f>
        <v>0.59743890822428058</v>
      </c>
      <c r="AH25" s="67">
        <f>Financials!AG7/Financials!AG5</f>
        <v>0.60242610806365626</v>
      </c>
      <c r="AI25" s="67">
        <f>Financials!AH7/Financials!AH5</f>
        <v>0.60095133311662852</v>
      </c>
      <c r="AJ25" s="67">
        <f>Financials!AI7/Financials!AI5</f>
        <v>0.59905723121744825</v>
      </c>
    </row>
    <row r="26" spans="1:36" s="4" customFormat="1" ht="12.75">
      <c r="A26" s="14" t="s">
        <v>53</v>
      </c>
      <c r="B26" s="15" t="s">
        <v>54</v>
      </c>
      <c r="C26" s="66" t="s">
        <v>48</v>
      </c>
      <c r="D26" s="78"/>
      <c r="E26" s="78">
        <f>Financials!D8/Financials!D5</f>
        <v>7.4901097334976213E-2</v>
      </c>
      <c r="F26" s="78">
        <f>Financials!E8/Financials!E5</f>
        <v>7.2759204265125194E-2</v>
      </c>
      <c r="G26" s="78">
        <f>Financials!F8/Financials!F5</f>
        <v>9.2461449928015332E-2</v>
      </c>
      <c r="H26" s="78">
        <f>Financials!G8/Financials!G5</f>
        <v>8.7136284742310388E-2</v>
      </c>
      <c r="I26" s="78">
        <f>Financials!H8/Financials!H5</f>
        <v>8.1448833703000295E-2</v>
      </c>
      <c r="J26" s="78">
        <f>Financials!I8/Financials!I5</f>
        <v>8.2411516273102892E-2</v>
      </c>
      <c r="K26" s="78">
        <f>Financials!J8/Financials!J5</f>
        <v>6.5010692000519399E-2</v>
      </c>
      <c r="L26" s="78">
        <f>Financials!K8/Financials!K5</f>
        <v>6.7431729482580832E-2</v>
      </c>
      <c r="M26" s="78">
        <f>Financials!L8/Financials!L5</f>
        <v>6.9251039901085651E-2</v>
      </c>
      <c r="N26" s="78">
        <f>Financials!M8/Financials!M5</f>
        <v>6.6003588021398177E-2</v>
      </c>
      <c r="O26" s="78">
        <f>Financials!N8/Financials!N5</f>
        <v>6.4509163269248604E-2</v>
      </c>
      <c r="P26" s="78">
        <f>Financials!O8/Financials!O5</f>
        <v>6.0079644578247611E-2</v>
      </c>
      <c r="Q26" s="78">
        <f>Financials!P8/Financials!P5</f>
        <v>7.2285040972043343E-2</v>
      </c>
      <c r="R26" s="78">
        <f>Financials!Q8/Financials!Q5</f>
        <v>6.1031625106062762E-2</v>
      </c>
      <c r="S26" s="78">
        <f>Financials!R8/Financials!R5</f>
        <v>9.6090513842876812E-2</v>
      </c>
      <c r="T26" s="78">
        <f>Financials!S8/Financials!S5</f>
        <v>7.5571110914077963E-2</v>
      </c>
      <c r="U26" s="78">
        <f>Financials!T8/Financials!T5</f>
        <v>6.8404692168889836E-2</v>
      </c>
      <c r="V26" s="78">
        <f>Financials!U8/Financials!U5</f>
        <v>6.5308781391574894E-2</v>
      </c>
      <c r="W26" s="78">
        <f>Financials!V8/Financials!V5</f>
        <v>6.4002009692063849E-2</v>
      </c>
      <c r="X26" s="78">
        <f>Financials!W8/Financials!W5</f>
        <v>5.9981582340967711E-2</v>
      </c>
      <c r="Y26" s="78">
        <f>Financials!X8/Financials!X5</f>
        <v>5.9530225907068732E-2</v>
      </c>
      <c r="Z26" s="78">
        <f>Financials!Y8/Financials!Y5</f>
        <v>5.7537226845932481E-2</v>
      </c>
      <c r="AA26" s="78">
        <f>Financials!Z8/Financials!Z5</f>
        <v>5.7569922987917702E-2</v>
      </c>
      <c r="AB26" s="78">
        <f>Financials!AA8/Financials!AA5</f>
        <v>5.7907602319068434E-2</v>
      </c>
      <c r="AC26" s="78">
        <f>Financials!AB8/Financials!AB5</f>
        <v>5.8033250343573616E-2</v>
      </c>
      <c r="AD26" s="78">
        <f>Financials!AC8/Financials!AC5</f>
        <v>7.0259975029084418E-2</v>
      </c>
      <c r="AE26" s="78">
        <f>Financials!AD8/Financials!AD5</f>
        <v>5.7188197590440401E-2</v>
      </c>
      <c r="AF26" s="78">
        <f>Financials!AE8/Financials!AE5</f>
        <v>5.6717131611464279E-2</v>
      </c>
      <c r="AG26" s="78">
        <f>Financials!AF8/Financials!AF5</f>
        <v>8.2806582607356724E-2</v>
      </c>
      <c r="AH26" s="78">
        <f>Financials!AG8/Financials!AG5</f>
        <v>7.4901880214770386E-2</v>
      </c>
      <c r="AI26" s="78">
        <f>Financials!AH8/Financials!AH5</f>
        <v>6.8000770301181401E-2</v>
      </c>
      <c r="AJ26" s="78">
        <f>Financials!AI8/Financials!AI5</f>
        <v>6.7300176920114446E-2</v>
      </c>
    </row>
    <row r="27" spans="1:36" s="4" customFormat="1" ht="12.75">
      <c r="A27" s="11">
        <v>3.2</v>
      </c>
      <c r="B27" s="12" t="s">
        <v>55</v>
      </c>
      <c r="C27" s="60" t="s">
        <v>56</v>
      </c>
      <c r="D27" s="79"/>
      <c r="E27" s="79">
        <f>Financials!D9/Financials!D5</f>
        <v>0</v>
      </c>
      <c r="F27" s="79">
        <f>Financials!E9/Financials!E5</f>
        <v>0</v>
      </c>
      <c r="G27" s="79">
        <f>Financials!F9/Financials!F5</f>
        <v>0</v>
      </c>
      <c r="H27" s="79">
        <f>Financials!G9/Financials!G5</f>
        <v>0</v>
      </c>
      <c r="I27" s="79">
        <f>Financials!H9/Financials!H5</f>
        <v>0</v>
      </c>
      <c r="J27" s="79">
        <f>Financials!I9/Financials!I5</f>
        <v>0</v>
      </c>
      <c r="K27" s="79">
        <f>Financials!J9/Financials!J5</f>
        <v>0</v>
      </c>
      <c r="L27" s="79">
        <f>Financials!K9/Financials!K5</f>
        <v>1.5803761423563438E-3</v>
      </c>
      <c r="M27" s="79">
        <f>Financials!L9/Financials!L5</f>
        <v>1.5415542128510171E-3</v>
      </c>
      <c r="N27" s="79">
        <f>Financials!M9/Financials!M5</f>
        <v>1.4997176077172641E-3</v>
      </c>
      <c r="O27" s="79">
        <f>Financials!N9/Financials!N5</f>
        <v>1.4450993310197141E-3</v>
      </c>
      <c r="P27" s="79">
        <f>Financials!O9/Financials!O5</f>
        <v>1.4277105055728373E-3</v>
      </c>
      <c r="Q27" s="79">
        <f>Financials!P9/Financials!P5</f>
        <v>1.4042756448665154E-3</v>
      </c>
      <c r="R27" s="79">
        <f>Financials!Q9/Financials!Q5</f>
        <v>1.3811865808957848E-3</v>
      </c>
      <c r="S27" s="79">
        <f>Financials!R9/Financials!R5</f>
        <v>1.3755505554625877E-3</v>
      </c>
      <c r="T27" s="79">
        <f>Financials!S9/Financials!S5</f>
        <v>1.3664226068979993E-3</v>
      </c>
      <c r="U27" s="79">
        <f>Financials!T9/Financials!T5</f>
        <v>2.9446905558041269E-3</v>
      </c>
      <c r="V27" s="79">
        <f>Financials!U9/Financials!U5</f>
        <v>2.8864304522055262E-3</v>
      </c>
      <c r="W27" s="79">
        <f>Financials!V9/Financials!V5</f>
        <v>2.834462828866121E-3</v>
      </c>
      <c r="X27" s="79">
        <f>Financials!W9/Financials!W5</f>
        <v>2.7722692103108407E-3</v>
      </c>
      <c r="Y27" s="79">
        <f>Financials!X9/Financials!X5</f>
        <v>2.7041729571005771E-3</v>
      </c>
      <c r="Z27" s="79">
        <f>Financials!Y9/Financials!Y5</f>
        <v>2.6317852293407935E-3</v>
      </c>
      <c r="AA27" s="79">
        <f>Financials!Z9/Financials!Z5</f>
        <v>2.5547655327581281E-3</v>
      </c>
      <c r="AB27" s="79">
        <f>Financials!AA9/Financials!AA5</f>
        <v>5.3128350836791115E-3</v>
      </c>
      <c r="AC27" s="79">
        <f>Financials!AB9/Financials!AB5</f>
        <v>5.2014187717573657E-3</v>
      </c>
      <c r="AD27" s="79">
        <f>Financials!AC9/Financials!AC5</f>
        <v>5.2572736713553539E-3</v>
      </c>
      <c r="AE27" s="79">
        <f>Financials!AD9/Financials!AD5</f>
        <v>5.1277173675308048E-3</v>
      </c>
      <c r="AF27" s="79">
        <f>Financials!AE9/Financials!AE5</f>
        <v>5.0005571675808096E-3</v>
      </c>
      <c r="AG27" s="79">
        <f>Financials!AF9/Financials!AF5</f>
        <v>5.1725589232444946E-3</v>
      </c>
      <c r="AH27" s="79">
        <f>Financials!AG9/Financials!AG5</f>
        <v>5.1390497887860492E-3</v>
      </c>
      <c r="AI27" s="79">
        <f>Financials!AH9/Financials!AH5</f>
        <v>5.0512165012774057E-3</v>
      </c>
      <c r="AJ27" s="79">
        <f>Financials!AI9/Financials!AI5</f>
        <v>4.9804886544299477E-3</v>
      </c>
    </row>
    <row r="28" spans="1:36" s="4" customFormat="1">
      <c r="A28" s="11"/>
      <c r="B28" s="11"/>
      <c r="C28" s="68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</row>
    <row r="29" spans="1:36" s="4" customFormat="1">
      <c r="A29" s="9">
        <v>4</v>
      </c>
      <c r="B29" s="10" t="s">
        <v>57</v>
      </c>
      <c r="C29" s="59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  <c r="AA29" s="65"/>
      <c r="AB29" s="65"/>
      <c r="AC29" s="65"/>
      <c r="AD29" s="65"/>
      <c r="AE29" s="65"/>
      <c r="AF29" s="65"/>
      <c r="AG29" s="65"/>
      <c r="AH29" s="65"/>
    </row>
    <row r="30" spans="1:36" ht="12.75">
      <c r="A30" s="11">
        <v>4.0999999999999996</v>
      </c>
      <c r="B30" s="12" t="s">
        <v>58</v>
      </c>
      <c r="C30" s="64" t="s">
        <v>48</v>
      </c>
      <c r="D30" s="16"/>
      <c r="E30" s="16">
        <f>Financials!D5/Financials!C5-1</f>
        <v>-1.3550629478256804E-2</v>
      </c>
      <c r="F30" s="16">
        <f>Financials!E5/Financials!D5-1</f>
        <v>1.175023758898841E-2</v>
      </c>
      <c r="G30" s="16">
        <f>Financials!F5/Financials!E5-1</f>
        <v>-1.9285086806280938E-2</v>
      </c>
      <c r="H30" s="16">
        <f>Financials!G5/Financials!F5-1</f>
        <v>8.996975941680363E-3</v>
      </c>
      <c r="I30" s="16">
        <f>Financials!H5/Financials!G5-1</f>
        <v>1.031171714551804E-2</v>
      </c>
      <c r="J30" s="16">
        <f>Financials!I5/Financials!H5-1</f>
        <v>1.1246093065184981E-2</v>
      </c>
      <c r="K30" s="16">
        <f>Financials!J5/Financials!I5-1</f>
        <v>8.6692806939256961E-3</v>
      </c>
      <c r="L30" s="16">
        <f>Financials!K5/Financials!J5-1</f>
        <v>2.1032264415584256E-2</v>
      </c>
      <c r="M30" s="16">
        <f>Financials!L5/Financials!K5-1</f>
        <v>2.5183629081411141E-2</v>
      </c>
      <c r="N30" s="16">
        <f>Financials!M5/Financials!L5-1</f>
        <v>1.6716627298394959E-2</v>
      </c>
      <c r="O30" s="16">
        <f>Financials!N5/Financials!M5-1</f>
        <v>1.497256615076159E-2</v>
      </c>
      <c r="P30" s="16">
        <f>Financials!O5/Financials!N5-1</f>
        <v>1.2179517751674807E-2</v>
      </c>
      <c r="Q30" s="16">
        <f>Financials!P5/Financials!O5-1</f>
        <v>1.653762723081198E-2</v>
      </c>
      <c r="R30" s="16">
        <f>Financials!Q5/Financials!P5-1</f>
        <v>-6.3333554456603824E-3</v>
      </c>
      <c r="S30" s="16">
        <f>Financials!R5/Financials!Q5-1</f>
        <v>3.952676673125266E-3</v>
      </c>
      <c r="T30" s="16">
        <f>Financials!S5/Financials!R5-1</f>
        <v>-5.1473542941388173E-3</v>
      </c>
      <c r="U30" s="16">
        <f>Financials!T5/Financials!S5-1</f>
        <v>1.9547988304570829E-2</v>
      </c>
      <c r="V30" s="16">
        <f>Financials!U5/Financials!T5-1</f>
        <v>1.4617877781273769E-2</v>
      </c>
      <c r="W30" s="16">
        <f>Financials!V5/Financials!U5-1</f>
        <v>8.852808801906864E-3</v>
      </c>
      <c r="X30" s="16">
        <f>Financials!W5/Financials!V5-1</f>
        <v>1.2785117213033992E-2</v>
      </c>
      <c r="Y30" s="16">
        <f>Financials!X5/Financials!W5-1</f>
        <v>1.5357349442908896E-2</v>
      </c>
      <c r="Z30" s="16">
        <f>Financials!Y5/Financials!X5-1</f>
        <v>1.7555490115704897E-2</v>
      </c>
      <c r="AA30" s="16">
        <f>Financials!Z5/Financials!Y5-1</f>
        <v>2.0015510925079028E-2</v>
      </c>
      <c r="AB30" s="16">
        <f>Financials!AA5/Financials!Z5-1</f>
        <v>1.7352176108353934E-2</v>
      </c>
      <c r="AC30" s="16">
        <f>Financials!AB5/Financials!AA5-1</f>
        <v>1.6584708891049571E-2</v>
      </c>
      <c r="AD30" s="16">
        <f>Financials!AC5/Financials!AB5-1</f>
        <v>-1.0625982942676027E-2</v>
      </c>
      <c r="AE30" s="16">
        <f>Financials!AD5/Financials!AC5-1</f>
        <v>1.7892365365167695E-2</v>
      </c>
      <c r="AF30" s="16">
        <f>Financials!AE5/Financials!AD5-1</f>
        <v>1.7967139831779333E-2</v>
      </c>
      <c r="AG30" s="16">
        <f>Financials!AF5/Financials!AE5-1</f>
        <v>-4.0513079304090205E-2</v>
      </c>
      <c r="AH30" s="16">
        <f>Financials!AG5/Financials!AF5-1</f>
        <v>-1.1287350726673084E-3</v>
      </c>
      <c r="AI30" s="16">
        <f>Financials!AH5/Financials!AG5-1</f>
        <v>1.0024096639965618E-2</v>
      </c>
      <c r="AJ30" s="16">
        <f>Financials!AI5/Financials!AH5-1</f>
        <v>6.4651800747377308E-3</v>
      </c>
    </row>
    <row r="31" spans="1:36" ht="12.75">
      <c r="A31" s="11">
        <v>4.2</v>
      </c>
      <c r="B31" s="12" t="s">
        <v>59</v>
      </c>
      <c r="C31" s="64" t="s">
        <v>48</v>
      </c>
      <c r="D31" s="16"/>
      <c r="E31" s="16">
        <f>Financials!D6/Financials!C6-1</f>
        <v>1.0624491526682878E-3</v>
      </c>
      <c r="F31" s="16">
        <f>Financials!E6/Financials!D6-1</f>
        <v>3.3175391460213977E-3</v>
      </c>
      <c r="G31" s="16">
        <f>Financials!F6/Financials!E6-1</f>
        <v>4.2205542755616055E-2</v>
      </c>
      <c r="H31" s="16">
        <f>Financials!G6/Financials!F6-1</f>
        <v>3.6173271685040476E-3</v>
      </c>
      <c r="I31" s="16">
        <f>Financials!H6/Financials!G6-1</f>
        <v>-6.8156983420575301E-4</v>
      </c>
      <c r="J31" s="16">
        <f>Financials!I6/Financials!H6-1</f>
        <v>5.5839815195557474E-3</v>
      </c>
      <c r="K31" s="16">
        <f>Financials!J6/Financials!I6-1</f>
        <v>-6.0171913290505419E-3</v>
      </c>
      <c r="L31" s="16">
        <f>Financials!K6/Financials!J6-1</f>
        <v>1.2026810409759392E-2</v>
      </c>
      <c r="M31" s="16">
        <f>Financials!L6/Financials!K6-1</f>
        <v>1.7290351701955586E-2</v>
      </c>
      <c r="N31" s="16">
        <f>Financials!M6/Financials!L6-1</f>
        <v>7.6199640321834572E-3</v>
      </c>
      <c r="O31" s="16">
        <f>Financials!N6/Financials!M6-1</f>
        <v>7.690588141544108E-3</v>
      </c>
      <c r="P31" s="16">
        <f>Financials!O6/Financials!N6-1</f>
        <v>3.48546028503538E-5</v>
      </c>
      <c r="Q31" s="16">
        <f>Financials!P6/Financials!O6-1</f>
        <v>-1.4468237719000854E-10</v>
      </c>
      <c r="R31" s="16">
        <f>Financials!Q6/Financials!P6-1</f>
        <v>1.0353087879481304E-2</v>
      </c>
      <c r="S31" s="16">
        <f>Financials!R6/Financials!Q6-1</f>
        <v>7.1435485141529087E-2</v>
      </c>
      <c r="T31" s="16">
        <f>Financials!S6/Financials!R6-1</f>
        <v>-1.4242729532330634E-2</v>
      </c>
      <c r="U31" s="16">
        <f>Financials!T6/Financials!S6-1</f>
        <v>5.7302006151942475E-3</v>
      </c>
      <c r="V31" s="16">
        <f>Financials!U6/Financials!T6-1</f>
        <v>5.6552720762199638E-3</v>
      </c>
      <c r="W31" s="16">
        <f>Financials!V6/Financials!U6-1</f>
        <v>7.4681496902804234E-3</v>
      </c>
      <c r="X31" s="16">
        <f>Financials!W6/Financials!V6-1</f>
        <v>2.7039445965189035E-3</v>
      </c>
      <c r="Y31" s="16">
        <f>Financials!X6/Financials!W6-1</f>
        <v>1.004636379167767E-2</v>
      </c>
      <c r="Z31" s="16">
        <f>Financials!Y6/Financials!X6-1</f>
        <v>1.0797305098280363E-2</v>
      </c>
      <c r="AA31" s="16">
        <f>Financials!Z6/Financials!Y6-1</f>
        <v>1.1970314797844051E-2</v>
      </c>
      <c r="AB31" s="16">
        <f>Financials!AA6/Financials!Z6-1</f>
        <v>1.1788162444180017E-2</v>
      </c>
      <c r="AC31" s="16">
        <f>Financials!AB6/Financials!AA6-1</f>
        <v>1.1157605092858791E-2</v>
      </c>
      <c r="AD31" s="16">
        <f>Financials!AC6/Financials!AB6-1</f>
        <v>4.702132017087024E-10</v>
      </c>
      <c r="AE31" s="16">
        <f>Financials!AD6/Financials!AC6-1</f>
        <v>3.4320632320055111E-3</v>
      </c>
      <c r="AF31" s="16">
        <f>Financials!AE6/Financials!AD6-1</f>
        <v>1.166592664111854E-2</v>
      </c>
      <c r="AG31" s="16">
        <f>Financials!AF6/Financials!AE6-1</f>
        <v>3.7354553379968181E-2</v>
      </c>
      <c r="AH31" s="16">
        <f>Financials!AG6/Financials!AF6-1</f>
        <v>-9.0610266826085528E-3</v>
      </c>
      <c r="AI31" s="16">
        <f>Financials!AH6/Financials!AG6-1</f>
        <v>-4.0508989578642574E-3</v>
      </c>
      <c r="AJ31" s="16">
        <f>Financials!AI6/Financials!AH6-1</f>
        <v>-4.7226908624165009E-4</v>
      </c>
    </row>
    <row r="32" spans="1:36" ht="12.75">
      <c r="A32" s="11" t="s">
        <v>60</v>
      </c>
      <c r="B32" s="17" t="s">
        <v>61</v>
      </c>
      <c r="C32" s="64" t="s">
        <v>48</v>
      </c>
      <c r="D32" s="16"/>
      <c r="E32" s="16">
        <f>Financials!D8/Financials!C8-1</f>
        <v>-0.19911086684107449</v>
      </c>
      <c r="F32" s="16">
        <f>Financials!E8/Financials!D8-1</f>
        <v>-1.7182059792722026E-2</v>
      </c>
      <c r="G32" s="16">
        <f>Financials!F8/Financials!E8-1</f>
        <v>0.24627974915034523</v>
      </c>
      <c r="H32" s="16">
        <f>Financials!G8/Financials!F8-1</f>
        <v>-4.911454591904485E-2</v>
      </c>
      <c r="I32" s="16">
        <f>Financials!H8/Financials!G8-1</f>
        <v>-5.5632090795105782E-2</v>
      </c>
      <c r="J32" s="16">
        <f>Financials!I8/Financials!H8-1</f>
        <v>2.3198492425844597E-2</v>
      </c>
      <c r="K32" s="16">
        <f>Financials!J8/Financials!I8-1</f>
        <v>-0.20430674130212423</v>
      </c>
      <c r="L32" s="16">
        <f>Financials!K8/Financials!J8-1</f>
        <v>5.9056123360577972E-2</v>
      </c>
      <c r="M32" s="16">
        <f>Financials!L8/Financials!K8-1</f>
        <v>5.2843119229149194E-2</v>
      </c>
      <c r="N32" s="16">
        <f>Financials!M8/Financials!L8-1</f>
        <v>-3.0961188473696222E-2</v>
      </c>
      <c r="O32" s="16">
        <f>Financials!N8/Financials!M8-1</f>
        <v>-8.008004619371567E-3</v>
      </c>
      <c r="P32" s="16">
        <f>Financials!O8/Financials!N8-1</f>
        <v>-5.732174168671389E-2</v>
      </c>
      <c r="Q32" s="16">
        <f>Financials!P8/Financials!O8-1</f>
        <v>0.22305091100034979</v>
      </c>
      <c r="R32" s="16">
        <f>Financials!Q8/Financials!P8-1</f>
        <v>-0.16102848784031809</v>
      </c>
      <c r="S32" s="16">
        <f>Financials!R8/Financials!Q8-1</f>
        <v>0.5806613113742729</v>
      </c>
      <c r="T32" s="16">
        <f>Financials!S8/Financials!R8-1</f>
        <v>-0.2175906171681401</v>
      </c>
      <c r="U32" s="16">
        <f>Financials!T8/Financials!S8-1</f>
        <v>-7.7135886348430049E-2</v>
      </c>
      <c r="V32" s="16">
        <f>Financials!U8/Financials!T8-1</f>
        <v>-3.1302457843130127E-2</v>
      </c>
      <c r="W32" s="16">
        <f>Financials!V8/Financials!U8-1</f>
        <v>-1.1333455149492355E-2</v>
      </c>
      <c r="X32" s="16">
        <f>Financials!W8/Financials!V8-1</f>
        <v>-5.0835212923744377E-2</v>
      </c>
      <c r="Y32" s="16">
        <f>Financials!X8/Financials!W8-1</f>
        <v>7.7168695740630344E-3</v>
      </c>
      <c r="Z32" s="16">
        <f>Financials!Y8/Financials!X8-1</f>
        <v>-1.6511021568972328E-2</v>
      </c>
      <c r="AA32" s="16">
        <f>Financials!Z8/Financials!Y8-1</f>
        <v>2.0595145603365506E-2</v>
      </c>
      <c r="AB32" s="16">
        <f>Financials!AA8/Financials!Z8-1</f>
        <v>2.3319507390785921E-2</v>
      </c>
      <c r="AC32" s="16">
        <f>Financials!AB8/Financials!AA8-1</f>
        <v>1.8790496305809867E-2</v>
      </c>
      <c r="AD32" s="16">
        <f>Financials!AC8/Financials!AB8-1</f>
        <v>0.19782010005183492</v>
      </c>
      <c r="AE32" s="16">
        <f>Financials!AD8/Financials!AC8-1</f>
        <v>-0.17148519207120294</v>
      </c>
      <c r="AF32" s="16">
        <f>Financials!AE8/Financials!AD8-1</f>
        <v>9.5820235403973886E-3</v>
      </c>
      <c r="AG32" s="16">
        <f>Financials!AF8/Financials!AE8-1</f>
        <v>0.40084363757254149</v>
      </c>
      <c r="AH32" s="16">
        <f>Financials!AG8/Financials!AF8-1</f>
        <v>-9.6480817348495451E-2</v>
      </c>
      <c r="AI32" s="16">
        <f>Financials!AH8/Financials!AG8-1</f>
        <v>-8.3034813046941047E-2</v>
      </c>
      <c r="AJ32" s="16">
        <f>Financials!AI8/Financials!AH8-1</f>
        <v>-3.9041560417747423E-3</v>
      </c>
    </row>
    <row r="33" spans="1:36" ht="12.75">
      <c r="A33" s="11" t="s">
        <v>62</v>
      </c>
      <c r="B33" s="17" t="s">
        <v>63</v>
      </c>
      <c r="C33" s="64" t="s">
        <v>48</v>
      </c>
      <c r="D33" s="16"/>
      <c r="E33" s="16">
        <f>Financials!D7/Financials!C7-1</f>
        <v>8.0039666854319069E-3</v>
      </c>
      <c r="F33" s="16">
        <f>Financials!E7/Financials!D7-1</f>
        <v>6.9736636672852459E-3</v>
      </c>
      <c r="G33" s="16">
        <f>Financials!F7/Financials!E7-1</f>
        <v>1.8640146479107944E-2</v>
      </c>
      <c r="H33" s="16">
        <f>Financials!G7/Financials!F7-1</f>
        <v>9.3773868911495306E-3</v>
      </c>
      <c r="I33" s="16">
        <f>Financials!H7/Financials!G7-1</f>
        <v>6.8206901688760979E-3</v>
      </c>
      <c r="J33" s="16">
        <f>Financials!I7/Financials!H7-1</f>
        <v>4.3158649484673628E-3</v>
      </c>
      <c r="K33" s="16">
        <f>Financials!J7/Financials!I7-1</f>
        <v>1.2871848850116052E-2</v>
      </c>
      <c r="L33" s="16">
        <f>Financials!K7/Financials!J7-1</f>
        <v>8.5931634849500949E-3</v>
      </c>
      <c r="M33" s="16">
        <f>Financials!L7/Financials!K7-1</f>
        <v>1.370437862801599E-2</v>
      </c>
      <c r="N33" s="16">
        <f>Financials!M7/Financials!L7-1</f>
        <v>1.1846247488749739E-2</v>
      </c>
      <c r="O33" s="16">
        <f>Financials!N7/Financials!M7-1</f>
        <v>1.2066664493427748E-2</v>
      </c>
      <c r="P33" s="16">
        <f>Financials!O7/Financials!N7-1</f>
        <v>1.1346220104921034E-2</v>
      </c>
      <c r="Q33" s="16">
        <f>Financials!P7/Financials!O7-1</f>
        <v>-1.3660647169011497E-8</v>
      </c>
      <c r="R33" s="16">
        <f>Financials!Q7/Financials!P7-1</f>
        <v>9.6617877738343072E-3</v>
      </c>
      <c r="S33" s="16">
        <f>Financials!R7/Financials!Q7-1</f>
        <v>1.855058292100531E-2</v>
      </c>
      <c r="T33" s="16">
        <f>Financials!S7/Financials!R7-1</f>
        <v>1.5820156344156677E-2</v>
      </c>
      <c r="U33" s="16">
        <f>Financials!T7/Financials!S7-1</f>
        <v>1.0655860302165365E-2</v>
      </c>
      <c r="V33" s="16">
        <f>Financials!U7/Financials!T7-1</f>
        <v>1.1077925068645023E-2</v>
      </c>
      <c r="W33" s="16">
        <f>Financials!V7/Financials!U7-1</f>
        <v>1.0762735266625301E-2</v>
      </c>
      <c r="X33" s="16">
        <f>Financials!W7/Financials!V7-1</f>
        <v>1.1921479497942089E-2</v>
      </c>
      <c r="Y33" s="16">
        <f>Financials!X7/Financials!W7-1</f>
        <v>1.2125848918894011E-2</v>
      </c>
      <c r="Z33" s="16">
        <f>Financials!Y7/Financials!X7-1</f>
        <v>1.0696889516253583E-2</v>
      </c>
      <c r="AA33" s="16">
        <f>Financials!Z7/Financials!Y7-1</f>
        <v>1.3699722475630782E-2</v>
      </c>
      <c r="AB33" s="16">
        <f>Financials!AA7/Financials!Z7-1</f>
        <v>1.3110638366004679E-2</v>
      </c>
      <c r="AC33" s="16">
        <f>Financials!AB7/Financials!AA7-1</f>
        <v>1.0426401666393748E-2</v>
      </c>
      <c r="AD33" s="16">
        <f>Financials!AC7/Financials!AB7-1</f>
        <v>5.2163786623538044E-9</v>
      </c>
      <c r="AE33" s="16">
        <f>Financials!AD7/Financials!AC7-1</f>
        <v>5.9581866773639192E-3</v>
      </c>
      <c r="AF33" s="16">
        <f>Financials!AE7/Financials!AD7-1</f>
        <v>1.0380727251156463E-2</v>
      </c>
      <c r="AG33" s="16">
        <f>Financials!AF7/Financials!AE7-1</f>
        <v>1.0440014558049215E-2</v>
      </c>
      <c r="AH33" s="16">
        <f>Financials!AG7/Financials!AF7-1</f>
        <v>7.2094741457593425E-3</v>
      </c>
      <c r="AI33" s="16">
        <f>Financials!AH7/Financials!AG7-1</f>
        <v>7.5514975714978672E-3</v>
      </c>
      <c r="AJ33" s="16">
        <f>Financials!AI7/Financials!AH7-1</f>
        <v>3.2929637836918157E-3</v>
      </c>
    </row>
    <row r="34" spans="1:36" ht="12.75">
      <c r="A34" s="11">
        <v>4.3</v>
      </c>
      <c r="B34" s="12" t="s">
        <v>64</v>
      </c>
      <c r="C34" s="64" t="s">
        <v>48</v>
      </c>
      <c r="D34" s="16"/>
      <c r="E34" s="16">
        <f>Financials!D31/Financials!C31-1</f>
        <v>-8.8263435135503832E-2</v>
      </c>
      <c r="F34" s="16">
        <f>Financials!E31/Financials!D31-1</f>
        <v>3.9905402145947733E-3</v>
      </c>
      <c r="G34" s="16">
        <f>Financials!F31/Financials!E31-1</f>
        <v>-6.4067517722408152E-3</v>
      </c>
      <c r="H34" s="16">
        <f>Financials!G31/Financials!F31-1</f>
        <v>4.3012314379713423E-3</v>
      </c>
      <c r="I34" s="16">
        <f>Financials!H31/Financials!G31-1</f>
        <v>8.1248777296945018E-3</v>
      </c>
      <c r="J34" s="16">
        <f>Financials!I31/Financials!H31-1</f>
        <v>1.0471167704162454E-3</v>
      </c>
      <c r="K34" s="16">
        <f>Financials!J31/Financials!I31-1</f>
        <v>-3.6336568692214577E-3</v>
      </c>
      <c r="L34" s="16">
        <f>Financials!K31/Financials!J31-1</f>
        <v>7.9883640510813869E-3</v>
      </c>
      <c r="M34" s="16">
        <f>Financials!L31/Financials!K31-1</f>
        <v>3.0661287181354968E-2</v>
      </c>
      <c r="N34" s="16">
        <f>Financials!M31/Financials!L31-1</f>
        <v>2.3587575795493532E-2</v>
      </c>
      <c r="O34" s="16">
        <f>Financials!N31/Financials!M31-1</f>
        <v>1.6738962072985197E-2</v>
      </c>
      <c r="P34" s="16">
        <f>Financials!O31/Financials!N31-1</f>
        <v>1.5351012697451871E-2</v>
      </c>
      <c r="Q34" s="16">
        <f>Financials!P31/Financials!O31-1</f>
        <v>-1.1543889348186731E-2</v>
      </c>
      <c r="R34" s="16">
        <f>Financials!Q31/Financials!P31-1</f>
        <v>9.8816370692726974E-3</v>
      </c>
      <c r="S34" s="16">
        <f>Financials!R31/Financials!Q31-1</f>
        <v>-2.0793435117527626E-4</v>
      </c>
      <c r="T34" s="16">
        <f>Financials!S31/Financials!R31-1</f>
        <v>1.1924982494420755E-2</v>
      </c>
      <c r="U34" s="16">
        <f>Financials!T31/Financials!S31-1</f>
        <v>1.9186487238923133E-2</v>
      </c>
      <c r="V34" s="16">
        <f>Financials!U31/Financials!T31-1</f>
        <v>1.0799267002162383E-2</v>
      </c>
      <c r="W34" s="16">
        <f>Financials!V31/Financials!U31-1</f>
        <v>-9.3889005152580918E-4</v>
      </c>
      <c r="X34" s="16">
        <f>Financials!W31/Financials!V31-1</f>
        <v>1.1130206522472985E-2</v>
      </c>
      <c r="Y34" s="16">
        <f>Financials!X31/Financials!W31-1</f>
        <v>7.442156755557594E-3</v>
      </c>
      <c r="Z34" s="16">
        <f>Financials!Y31/Financials!X31-1</f>
        <v>1.1321495505172807E-2</v>
      </c>
      <c r="AA34" s="16">
        <f>Financials!Z31/Financials!Y31-1</f>
        <v>1.2232414856711005E-2</v>
      </c>
      <c r="AB34" s="16">
        <f>Financials!AA31/Financials!Z31-1</f>
        <v>1.5678569984094892E-2</v>
      </c>
      <c r="AC34" s="16">
        <f>Financials!AB31/Financials!AA31-1</f>
        <v>1.7134455037229435E-2</v>
      </c>
      <c r="AD34" s="16">
        <f>Financials!AC31/Financials!AB31-1</f>
        <v>3.3126848790101526E-3</v>
      </c>
      <c r="AE34" s="16">
        <f>Financials!AD31/Financials!AC31-1</f>
        <v>1.3297967778040265E-2</v>
      </c>
      <c r="AF34" s="16">
        <f>Financials!AE31/Financials!AD31-1</f>
        <v>4.3919599536563769E-3</v>
      </c>
      <c r="AG34" s="16">
        <f>Financials!AF31/Financials!AE31-1</f>
        <v>-1.4924598523876731E-2</v>
      </c>
      <c r="AH34" s="16">
        <f>Financials!AG31/Financials!AF31-1</f>
        <v>1.0583646203360608E-2</v>
      </c>
      <c r="AI34" s="16">
        <f>Financials!AH31/Financials!AG31-1</f>
        <v>-1.1420729430186016E-3</v>
      </c>
      <c r="AJ34" s="16">
        <f>Financials!AI31/Financials!AH31-1</f>
        <v>-7.4728418693502663E-3</v>
      </c>
    </row>
    <row r="35" spans="1:36" ht="12.75">
      <c r="A35" s="11">
        <v>4.4000000000000004</v>
      </c>
      <c r="B35" s="12" t="s">
        <v>65</v>
      </c>
      <c r="C35" s="64" t="s">
        <v>48</v>
      </c>
      <c r="D35" s="16"/>
      <c r="E35" s="16">
        <f>Financials!D14/Financials!C14-1</f>
        <v>7.9311472545245065E-2</v>
      </c>
      <c r="F35" s="16">
        <f>Financials!E14/Financials!D14-1</f>
        <v>1.2965105190310799E-2</v>
      </c>
      <c r="G35" s="16">
        <f>Financials!F14/Financials!E14-1</f>
        <v>-1.6238568876478343E-2</v>
      </c>
      <c r="H35" s="16">
        <f>Financials!G14/Financials!F14-1</f>
        <v>2.5472070850554696E-2</v>
      </c>
      <c r="I35" s="16">
        <f>Financials!H14/Financials!G14-1</f>
        <v>2.8827866109752298E-2</v>
      </c>
      <c r="J35" s="16">
        <f>Financials!I14/Financials!H14-1</f>
        <v>-2.5133866978891417E-3</v>
      </c>
      <c r="K35" s="16">
        <f>Financials!J14/Financials!I14-1</f>
        <v>2.6076343581537653E-2</v>
      </c>
      <c r="L35" s="16">
        <f>Financials!K14/Financials!J14-1</f>
        <v>2.1361872305529994E-2</v>
      </c>
      <c r="M35" s="16">
        <f>Financials!L14/Financials!K14-1</f>
        <v>3.5251012223977307E-2</v>
      </c>
      <c r="N35" s="16">
        <f>Financials!M14/Financials!L14-1</f>
        <v>3.1495180260590505E-2</v>
      </c>
      <c r="O35" s="16">
        <f>Financials!N14/Financials!M14-1</f>
        <v>2.6749001006679318E-2</v>
      </c>
      <c r="P35" s="16">
        <f>Financials!O14/Financials!N14-1</f>
        <v>3.6654698637409E-2</v>
      </c>
      <c r="Q35" s="16">
        <f>Financials!P14/Financials!O14-1</f>
        <v>-6.5062623293598687E-2</v>
      </c>
      <c r="R35" s="16">
        <f>Financials!Q14/Financials!P14-1</f>
        <v>6.5990678274074677E-2</v>
      </c>
      <c r="S35" s="16">
        <f>Financials!R14/Financials!Q14-1</f>
        <v>-1.0702714017765902E-2</v>
      </c>
      <c r="T35" s="16">
        <f>Financials!S14/Financials!R14-1</f>
        <v>2.1086646540592779E-2</v>
      </c>
      <c r="U35" s="16">
        <f>Financials!T14/Financials!S14-1</f>
        <v>5.1379155441458213E-2</v>
      </c>
      <c r="V35" s="16">
        <f>Financials!U14/Financials!T14-1</f>
        <v>2.6022664598828182E-2</v>
      </c>
      <c r="W35" s="16">
        <f>Financials!V14/Financials!U14-1</f>
        <v>-9.8861982157236739E-3</v>
      </c>
      <c r="X35" s="16">
        <f>Financials!W14/Financials!V14-1</f>
        <v>2.3948069556090745E-2</v>
      </c>
      <c r="Y35" s="16">
        <f>Financials!X14/Financials!W14-1</f>
        <v>2.3237792156825643E-2</v>
      </c>
      <c r="Z35" s="16">
        <f>Financials!Y14/Financials!X14-1</f>
        <v>2.1128612617050235E-2</v>
      </c>
      <c r="AA35" s="16">
        <f>Financials!Z14/Financials!Y14-1</f>
        <v>6.0176246789072074E-3</v>
      </c>
      <c r="AB35" s="16">
        <f>Financials!AA14/Financials!Z14-1</f>
        <v>2.4499123701461567E-2</v>
      </c>
      <c r="AC35" s="16">
        <f>Financials!AB14/Financials!AA14-1</f>
        <v>2.0654650705269617E-2</v>
      </c>
      <c r="AD35" s="16">
        <f>Financials!AC14/Financials!AB14-1</f>
        <v>-0.11136207330149928</v>
      </c>
      <c r="AE35" s="16">
        <f>Financials!AD14/Financials!AC14-1</f>
        <v>0.1288823183261647</v>
      </c>
      <c r="AF35" s="16">
        <f>Financials!AE14/Financials!AD14-1</f>
        <v>-6.6637709378663756E-2</v>
      </c>
      <c r="AG35" s="16">
        <f>Financials!AF14/Financials!AE14-1</f>
        <v>-6.4167532557800833E-2</v>
      </c>
      <c r="AH35" s="16">
        <f>Financials!AG14/Financials!AF14-1</f>
        <v>1.7739120853280665E-2</v>
      </c>
      <c r="AI35" s="16">
        <f>Financials!AH14/Financials!AG14-1</f>
        <v>3.0575583381403648E-2</v>
      </c>
      <c r="AJ35" s="16">
        <f>Financials!AI14/Financials!AH14-1</f>
        <v>-2.2885243781029629E-2</v>
      </c>
    </row>
    <row r="36" spans="1:36" ht="12.75">
      <c r="A36" s="11">
        <v>4.5</v>
      </c>
      <c r="B36" s="12" t="s">
        <v>66</v>
      </c>
      <c r="C36" s="64" t="s">
        <v>48</v>
      </c>
      <c r="D36" s="18"/>
      <c r="E36" s="18">
        <f>Financials!D41/Financials!C41-1</f>
        <v>7.0642437293915172E-3</v>
      </c>
      <c r="F36" s="18">
        <f>Financials!E41/Financials!D41-1</f>
        <v>-7.0144428634877354E-3</v>
      </c>
      <c r="G36" s="18">
        <f>Financials!F41/Financials!E41-1</f>
        <v>0</v>
      </c>
      <c r="H36" s="18">
        <f>Financials!G41/Financials!F41-1</f>
        <v>0</v>
      </c>
      <c r="I36" s="18">
        <f>Financials!H41/Financials!G41-1</f>
        <v>0</v>
      </c>
      <c r="J36" s="18">
        <f>Financials!I41/Financials!H41-1</f>
        <v>0</v>
      </c>
      <c r="K36" s="18">
        <f>Financials!J41/Financials!I41-1</f>
        <v>0</v>
      </c>
      <c r="L36" s="18">
        <f>Financials!K41/Financials!J41-1</f>
        <v>0</v>
      </c>
      <c r="M36" s="18">
        <f>Financials!L41/Financials!K41-1</f>
        <v>0</v>
      </c>
      <c r="N36" s="18">
        <f>Financials!M41/Financials!L41-1</f>
        <v>0</v>
      </c>
      <c r="O36" s="18">
        <f>Financials!N41/Financials!M41-1</f>
        <v>0</v>
      </c>
      <c r="P36" s="18">
        <f>Financials!O41/Financials!N41-1</f>
        <v>1.8451761344825846E-2</v>
      </c>
      <c r="Q36" s="18">
        <f>Financials!P41/Financials!O41-1</f>
        <v>0.20375120575388328</v>
      </c>
      <c r="R36" s="18">
        <f>Financials!Q41/Financials!P41-1</f>
        <v>-3.3612426596862921E-4</v>
      </c>
      <c r="S36" s="18">
        <f>Financials!R41/Financials!Q41-1</f>
        <v>3.4037967789490864E-4</v>
      </c>
      <c r="T36" s="18">
        <f>Financials!S41/Financials!R41-1</f>
        <v>0</v>
      </c>
      <c r="U36" s="18">
        <f>Financials!T41/Financials!S41-1</f>
        <v>0</v>
      </c>
      <c r="V36" s="18">
        <f>Financials!U41/Financials!T41-1</f>
        <v>0</v>
      </c>
      <c r="W36" s="18">
        <f>Financials!V41/Financials!U41-1</f>
        <v>0</v>
      </c>
      <c r="X36" s="18">
        <f>Financials!W41/Financials!V41-1</f>
        <v>0</v>
      </c>
      <c r="Y36" s="18">
        <f>Financials!X41/Financials!W41-1</f>
        <v>0</v>
      </c>
      <c r="Z36" s="18">
        <f>Financials!Y41/Financials!X41-1</f>
        <v>0</v>
      </c>
      <c r="AA36" s="18">
        <f>Financials!Z41/Financials!Y41-1</f>
        <v>0</v>
      </c>
      <c r="AB36" s="18">
        <f>Financials!AA41/Financials!Z41-1</f>
        <v>0</v>
      </c>
      <c r="AC36" s="18">
        <f>Financials!AB41/Financials!AA41-1</f>
        <v>7.1501177110915304E-3</v>
      </c>
      <c r="AD36" s="18">
        <f>Financials!AC41/Financials!AB41-1</f>
        <v>0.14683693611478676</v>
      </c>
      <c r="AE36" s="18">
        <f>Financials!AD41/Financials!AC41-1</f>
        <v>-1.236609576910852E-2</v>
      </c>
      <c r="AF36" s="18">
        <f>Financials!AE41/Financials!AD41-1</f>
        <v>1.2520818712128845E-2</v>
      </c>
      <c r="AG36" s="18">
        <f>Financials!AF41/Financials!AE41-1</f>
        <v>0</v>
      </c>
      <c r="AH36" s="18">
        <f>Financials!AG41/Financials!AF41-1</f>
        <v>0</v>
      </c>
      <c r="AI36" s="18">
        <f>Financials!AH41/Financials!AG41-1</f>
        <v>0</v>
      </c>
      <c r="AJ36" s="18">
        <f>Financials!AI41/Financials!AH41-1</f>
        <v>0</v>
      </c>
    </row>
    <row r="37" spans="1:36">
      <c r="A37" s="11">
        <v>4.5999999999999996</v>
      </c>
      <c r="B37" s="12" t="s">
        <v>67</v>
      </c>
      <c r="C37" s="64" t="s">
        <v>48</v>
      </c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</row>
    <row r="38" spans="1:36">
      <c r="A38" s="11"/>
      <c r="B38" s="12"/>
      <c r="C38" s="68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</row>
    <row r="39" spans="1:36">
      <c r="A39" s="13">
        <v>5</v>
      </c>
      <c r="B39" s="21" t="s">
        <v>68</v>
      </c>
      <c r="C39" s="68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</row>
    <row r="40" spans="1:36" ht="12.75">
      <c r="A40" s="13">
        <v>5.0999999999999996</v>
      </c>
      <c r="B40" s="12" t="s">
        <v>69</v>
      </c>
      <c r="C40" s="64" t="s">
        <v>48</v>
      </c>
      <c r="D40" s="16"/>
      <c r="E40" s="16">
        <f>Financials!D48/((Financials!D6+Financials!C6)/2)</f>
        <v>0</v>
      </c>
      <c r="F40" s="16">
        <f>Financials!E48/((Financials!E6+Financials!D6)/2)</f>
        <v>0</v>
      </c>
      <c r="G40" s="16">
        <f>Financials!F48/((Financials!F6+Financials!E6)/2)</f>
        <v>0</v>
      </c>
      <c r="H40" s="16">
        <f>Financials!G48/((Financials!G6+Financials!F6)/2)</f>
        <v>0</v>
      </c>
      <c r="I40" s="16">
        <f>Financials!H48/((Financials!H6+Financials!G6)/2)</f>
        <v>0</v>
      </c>
      <c r="J40" s="16">
        <f>Financials!I48/((Financials!I6+Financials!H6)/2)</f>
        <v>0</v>
      </c>
      <c r="K40" s="16">
        <f>Financials!J48/((Financials!J6+Financials!I6)/2)</f>
        <v>0</v>
      </c>
      <c r="L40" s="16">
        <f>Financials!K48/((Financials!K6+Financials!J6)/2)</f>
        <v>0</v>
      </c>
      <c r="M40" s="16">
        <f>Financials!L48/((Financials!L6+Financials!K6)/2)</f>
        <v>0</v>
      </c>
      <c r="N40" s="16">
        <f>Financials!M48/((Financials!M6+Financials!L6)/2)</f>
        <v>0</v>
      </c>
      <c r="O40" s="16">
        <f>Financials!N48/((Financials!N6+Financials!M6)/2)</f>
        <v>0</v>
      </c>
      <c r="P40" s="16">
        <f>Financials!O48/((Financials!O6+Financials!N6)/2)</f>
        <v>0</v>
      </c>
      <c r="Q40" s="16">
        <f>Financials!P48/((Financials!P6+Financials!O6)/2)</f>
        <v>9.0571333872014756E-2</v>
      </c>
      <c r="R40" s="16">
        <f>Financials!Q48/((Financials!Q6+Financials!P6)/2)</f>
        <v>1.0029951621489878E-3</v>
      </c>
      <c r="S40" s="16">
        <f>Financials!R48/((Financials!R6+Financials!Q6)/2)</f>
        <v>1.7710300702414039E-3</v>
      </c>
      <c r="T40" s="16">
        <f>Financials!S48/((Financials!S6+Financials!R6)/2)</f>
        <v>2.739199232770381E-3</v>
      </c>
      <c r="U40" s="16">
        <f>Financials!T48/((Financials!T6+Financials!S6)/2)</f>
        <v>3.7487468332796994E-3</v>
      </c>
      <c r="V40" s="16">
        <f>Financials!U48/((Financials!U6+Financials!T6)/2)</f>
        <v>4.6882721951723915E-3</v>
      </c>
      <c r="W40" s="16">
        <f>Financials!V48/((Financials!V6+Financials!U6)/2)</f>
        <v>5.6404092988263082E-3</v>
      </c>
      <c r="X40" s="16">
        <f>Financials!W48/((Financials!W6+Financials!V6)/2)</f>
        <v>6.6726135012509531E-3</v>
      </c>
      <c r="Y40" s="16">
        <f>Financials!X48/((Financials!X6+Financials!W6)/2)</f>
        <v>7.6514369031382475E-3</v>
      </c>
      <c r="Z40" s="16">
        <f>Financials!Y48/((Financials!Y6+Financials!X6)/2)</f>
        <v>8.8422642642897037E-3</v>
      </c>
      <c r="AA40" s="16">
        <f>Financials!Z48/((Financials!Z6+Financials!Y6)/2)</f>
        <v>9.5883122949847761E-3</v>
      </c>
      <c r="AB40" s="16">
        <f>Financials!AA48/((Financials!AA6+Financials!Z6)/2)</f>
        <v>1.0604457477568368E-2</v>
      </c>
      <c r="AC40" s="16">
        <f>Financials!AB48/((Financials!AB6+Financials!AA6)/2)</f>
        <v>1.1943425802662805E-2</v>
      </c>
      <c r="AD40" s="16">
        <f>Financials!AC48/((Financials!AC6+Financials!AB6)/2)</f>
        <v>9.0432721684355122E-2</v>
      </c>
      <c r="AE40" s="16">
        <f>Financials!AD48/((Financials!AD6+Financials!AC6)/2)</f>
        <v>7.1664903969136432E-4</v>
      </c>
      <c r="AF40" s="16">
        <f>Financials!AE48/((Financials!AE6+Financials!AD6)/2)</f>
        <v>1.7633769098868443E-3</v>
      </c>
      <c r="AG40" s="16">
        <f>Financials!AF48/((Financials!AF6+Financials!AE6)/2)</f>
        <v>2.9490397570929999E-3</v>
      </c>
      <c r="AH40" s="16">
        <f>Financials!AG48/((Financials!AG6+Financials!AF6)/2)</f>
        <v>3.9513522063702872E-3</v>
      </c>
      <c r="AI40" s="16">
        <f>Financials!AH48/((Financials!AH6+Financials!AG6)/2)</f>
        <v>3.6173918717151629E-3</v>
      </c>
      <c r="AJ40" s="16">
        <f>Financials!AI48/((Financials!AI6+Financials!AH6)/2)</f>
        <v>4.4478241364647878E-3</v>
      </c>
    </row>
    <row r="41" spans="1:36" ht="12.75">
      <c r="A41" s="13">
        <v>5.2</v>
      </c>
      <c r="B41" s="12" t="s">
        <v>70</v>
      </c>
      <c r="C41" s="64" t="s">
        <v>48</v>
      </c>
      <c r="D41" s="16"/>
      <c r="E41" s="16">
        <f>Financials!D49/((Financials!D18+Financials!C18)/2)</f>
        <v>0</v>
      </c>
      <c r="F41" s="16">
        <f>Financials!E49/((Financials!E18+Financials!D18)/2)</f>
        <v>0</v>
      </c>
      <c r="G41" s="16">
        <f>Financials!F49/((Financials!F18+Financials!E18)/2)</f>
        <v>0</v>
      </c>
      <c r="H41" s="16">
        <f>Financials!G49/((Financials!G18+Financials!F18)/2)</f>
        <v>0</v>
      </c>
      <c r="I41" s="16">
        <f>Financials!H49/((Financials!H18+Financials!G18)/2)</f>
        <v>0</v>
      </c>
      <c r="J41" s="16">
        <f>Financials!I49/((Financials!I18+Financials!H18)/2)</f>
        <v>0</v>
      </c>
      <c r="K41" s="16">
        <f>Financials!J49/((Financials!J18+Financials!I18)/2)</f>
        <v>0</v>
      </c>
      <c r="L41" s="16">
        <f>Financials!K49/((Financials!K18+Financials!J18)/2)</f>
        <v>0</v>
      </c>
      <c r="M41" s="16">
        <f>Financials!L49/((Financials!L18+Financials!K18)/2)</f>
        <v>0</v>
      </c>
      <c r="N41" s="16">
        <f>Financials!M49/((Financials!M18+Financials!L18)/2)</f>
        <v>0</v>
      </c>
      <c r="O41" s="16">
        <f>Financials!N49/((Financials!N18+Financials!M18)/2)</f>
        <v>0</v>
      </c>
      <c r="P41" s="16">
        <f>Financials!O49/((Financials!O18+Financials!N18)/2)</f>
        <v>0</v>
      </c>
      <c r="Q41" s="16">
        <f>Financials!P49/((Financials!P18+Financials!O18)/2)</f>
        <v>0</v>
      </c>
      <c r="R41" s="16">
        <f>Financials!Q49/((Financials!Q18+Financials!P18)/2)</f>
        <v>0.10483597272255292</v>
      </c>
      <c r="S41" s="16">
        <f>Financials!R49/((Financials!R18+Financials!Q18)/2)</f>
        <v>0.20537896875818148</v>
      </c>
      <c r="T41" s="16">
        <f>Financials!S49/((Financials!S18+Financials!R18)/2)</f>
        <v>0.30114212109413074</v>
      </c>
      <c r="U41" s="16">
        <f>Financials!T49/((Financials!T18+Financials!S18)/2)</f>
        <v>0.39565527196423711</v>
      </c>
      <c r="V41" s="16">
        <f>Financials!U49/((Financials!U18+Financials!T18)/2)</f>
        <v>0.48751465843560726</v>
      </c>
      <c r="W41" s="16">
        <f>Financials!V49/((Financials!V18+Financials!U18)/2)</f>
        <v>0.5756134396641045</v>
      </c>
      <c r="X41" s="16">
        <f>Financials!W49/((Financials!W18+Financials!V18)/2)</f>
        <v>0.6587219259246494</v>
      </c>
      <c r="Y41" s="16">
        <f>Financials!X49/((Financials!X18+Financials!W18)/2)</f>
        <v>0.7375308027307268</v>
      </c>
      <c r="Z41" s="16">
        <f>Financials!Y49/((Financials!Y18+Financials!X18)/2)</f>
        <v>0.81183094476398854</v>
      </c>
      <c r="AA41" s="16">
        <f>Financials!Z49/((Financials!Z18+Financials!Y18)/2)</f>
        <v>0.88227483322127875</v>
      </c>
      <c r="AB41" s="16">
        <f>Financials!AA49/((Financials!AA18+Financials!Z18)/2)</f>
        <v>0.9511338674555786</v>
      </c>
      <c r="AC41" s="16">
        <f>Financials!AB49/((Financials!AB18+Financials!AA18)/2)</f>
        <v>1.04563867794694</v>
      </c>
      <c r="AD41" s="16">
        <f>Financials!AC49/((Financials!AC18+Financials!AB18)/2)</f>
        <v>0</v>
      </c>
      <c r="AE41" s="16">
        <f>Financials!AD49/((Financials!AD18+Financials!AC18)/2)</f>
        <v>9.4006105633458209E-2</v>
      </c>
      <c r="AF41" s="16">
        <f>Financials!AE49/((Financials!AE18+Financials!AD18)/2)</f>
        <v>0.1859065609540097</v>
      </c>
      <c r="AG41" s="16">
        <f>Financials!AF49/((Financials!AF18+Financials!AE18)/2)</f>
        <v>0.27417652964021544</v>
      </c>
      <c r="AH41" s="16">
        <f>Financials!AG49/((Financials!AG18+Financials!AF18)/2)</f>
        <v>0.35910307111712425</v>
      </c>
      <c r="AI41" s="16">
        <f>Financials!AH49/((Financials!AH18+Financials!AG18)/2)</f>
        <v>0.44188183558714805</v>
      </c>
      <c r="AJ41" s="16">
        <f>Financials!AI49/((Financials!AI18+Financials!AH18)/2)</f>
        <v>0.52278999243946767</v>
      </c>
    </row>
    <row r="42" spans="1:36" ht="12.75">
      <c r="A42" s="13">
        <v>5.3</v>
      </c>
      <c r="B42" s="12" t="s">
        <v>71</v>
      </c>
      <c r="C42" s="64" t="s">
        <v>48</v>
      </c>
      <c r="D42" s="16"/>
      <c r="E42" s="16" t="e">
        <f>Financials!D50/((Financials!D9+Financials!C9)/2)</f>
        <v>#DIV/0!</v>
      </c>
      <c r="F42" s="16" t="e">
        <f>Financials!E50/((Financials!E9+Financials!D9)/2)</f>
        <v>#DIV/0!</v>
      </c>
      <c r="G42" s="16" t="e">
        <f>Financials!F50/((Financials!F9+Financials!E9)/2)</f>
        <v>#DIV/0!</v>
      </c>
      <c r="H42" s="16" t="e">
        <f>Financials!G50/((Financials!G9+Financials!F9)/2)</f>
        <v>#DIV/0!</v>
      </c>
      <c r="I42" s="16" t="e">
        <f>Financials!H50/((Financials!H9+Financials!G9)/2)</f>
        <v>#DIV/0!</v>
      </c>
      <c r="J42" s="16" t="e">
        <f>Financials!I50/((Financials!I9+Financials!H9)/2)</f>
        <v>#DIV/0!</v>
      </c>
      <c r="K42" s="16" t="e">
        <f>Financials!J50/((Financials!J9+Financials!I9)/2)</f>
        <v>#DIV/0!</v>
      </c>
      <c r="L42" s="16">
        <f>Financials!K50/((Financials!K9+Financials!J9)/2)</f>
        <v>0</v>
      </c>
      <c r="M42" s="16">
        <f>Financials!L50/((Financials!L9+Financials!K9)/2)</f>
        <v>0</v>
      </c>
      <c r="N42" s="16">
        <f>Financials!M50/((Financials!M9+Financials!L9)/2)</f>
        <v>0</v>
      </c>
      <c r="O42" s="16">
        <f>Financials!N50/((Financials!N9+Financials!M9)/2)</f>
        <v>0</v>
      </c>
      <c r="P42" s="16">
        <f>Financials!O50/((Financials!O9+Financials!N9)/2)</f>
        <v>0</v>
      </c>
      <c r="Q42" s="16">
        <f>Financials!P50/((Financials!P9+Financials!O9)/2)</f>
        <v>1.277444355640696E-2</v>
      </c>
      <c r="R42" s="16">
        <f>Financials!Q50/((Financials!Q9+Financials!P9)/2)</f>
        <v>8.3809565189506708E-3</v>
      </c>
      <c r="S42" s="16">
        <f>Financials!R50/((Financials!R9+Financials!Q9)/2)</f>
        <v>8.4787740319161552E-3</v>
      </c>
      <c r="T42" s="16">
        <f>Financials!S50/((Financials!S9+Financials!R9)/2)</f>
        <v>1.2720779925000316E-2</v>
      </c>
      <c r="U42" s="16">
        <f>Financials!T50/((Financials!T9+Financials!S9)/2)</f>
        <v>1.0611322017706613E-2</v>
      </c>
      <c r="V42" s="16">
        <f>Financials!U50/((Financials!U9+Financials!T9)/2)</f>
        <v>9.6204293713673134E-3</v>
      </c>
      <c r="W42" s="16">
        <f>Financials!V50/((Financials!V9+Financials!U9)/2)</f>
        <v>1.3878092210955501E-2</v>
      </c>
      <c r="X42" s="16">
        <f>Financials!W50/((Financials!W9+Financials!V9)/2)</f>
        <v>1.81958336245195E-2</v>
      </c>
      <c r="Y42" s="16">
        <f>Financials!X50/((Financials!X9+Financials!W9)/2)</f>
        <v>2.2540909027236246E-2</v>
      </c>
      <c r="Z42" s="16">
        <f>Financials!Y50/((Financials!Y9+Financials!X9)/2)</f>
        <v>2.6963679967785582E-2</v>
      </c>
      <c r="AA42" s="16">
        <f>Financials!Z50/((Financials!Z9+Financials!Y9)/2)</f>
        <v>3.1416670809149581E-2</v>
      </c>
      <c r="AB42" s="16">
        <f>Financials!AA50/((Financials!AA9+Financials!Z9)/2)</f>
        <v>2.2941739277645548E-2</v>
      </c>
      <c r="AC42" s="16">
        <f>Financials!AB50/((Financials!AB9+Financials!AA9)/2)</f>
        <v>1.8887249209246153E-2</v>
      </c>
      <c r="AD42" s="16">
        <f>Financials!AC50/((Financials!AC9+Financials!AB9)/2)</f>
        <v>1.893156786397995E-2</v>
      </c>
      <c r="AE42" s="16">
        <f>Financials!AD50/((Financials!AD9+Financials!AC9)/2)</f>
        <v>4.4499658983707642E-3</v>
      </c>
      <c r="AF42" s="16">
        <f>Financials!AE50/((Financials!AE9+Financials!AD9)/2)</f>
        <v>8.9332636189287575E-3</v>
      </c>
      <c r="AG42" s="16">
        <f>Financials!AF50/((Financials!AF9+Financials!AE9)/2)</f>
        <v>1.3303435587185455E-2</v>
      </c>
      <c r="AH42" s="16">
        <f>Financials!AG50/((Financials!AG9+Financials!AF9)/2)</f>
        <v>1.760635933388692E-2</v>
      </c>
      <c r="AI42" s="16">
        <f>Financials!AH50/((Financials!AH9+Financials!AG9)/2)</f>
        <v>2.232424806005915E-2</v>
      </c>
      <c r="AJ42" s="16">
        <f>Financials!AI50/((Financials!AI9+Financials!AH9)/2)</f>
        <v>2.6946091324119192E-2</v>
      </c>
    </row>
    <row r="43" spans="1:36" ht="12.75">
      <c r="A43" s="13">
        <v>5.4</v>
      </c>
      <c r="B43" s="12" t="s">
        <v>72</v>
      </c>
      <c r="C43" s="64" t="s">
        <v>48</v>
      </c>
      <c r="D43" s="16"/>
      <c r="E43" s="16">
        <f>(Financials!D52+Financials!D53)/((Financials!D5+Financials!C5)/2)</f>
        <v>0</v>
      </c>
      <c r="F43" s="16">
        <f>(Financials!E52+Financials!E53)/((Financials!E5+Financials!D5)/2)</f>
        <v>0</v>
      </c>
      <c r="G43" s="16">
        <f>(Financials!F52+Financials!F53)/((Financials!F5+Financials!E5)/2)</f>
        <v>0</v>
      </c>
      <c r="H43" s="16">
        <f>(Financials!G52+Financials!G53)/((Financials!G5+Financials!F5)/2)</f>
        <v>0</v>
      </c>
      <c r="I43" s="16">
        <f>(Financials!H52+Financials!H53)/((Financials!H5+Financials!G5)/2)</f>
        <v>0</v>
      </c>
      <c r="J43" s="16">
        <f>(Financials!I52+Financials!I53)/((Financials!I5+Financials!H5)/2)</f>
        <v>0</v>
      </c>
      <c r="K43" s="16">
        <f>(Financials!J52+Financials!J53)/((Financials!J5+Financials!I5)/2)</f>
        <v>0</v>
      </c>
      <c r="L43" s="16">
        <f>(Financials!K52+Financials!K53)/((Financials!K5+Financials!J5)/2)</f>
        <v>0</v>
      </c>
      <c r="M43" s="16">
        <f>(Financials!L52+Financials!L53)/((Financials!L5+Financials!K5)/2)</f>
        <v>0</v>
      </c>
      <c r="N43" s="16">
        <f>(Financials!M52+Financials!M53)/((Financials!M5+Financials!L5)/2)</f>
        <v>0</v>
      </c>
      <c r="O43" s="16">
        <f>(Financials!N52+Financials!N53)/((Financials!N5+Financials!M5)/2)</f>
        <v>0</v>
      </c>
      <c r="P43" s="16">
        <f>(Financials!O52+Financials!O53)/((Financials!O5+Financials!N5)/2)</f>
        <v>0</v>
      </c>
      <c r="Q43" s="16">
        <f>(Financials!P52+Financials!P53)/((Financials!P5+Financials!O5)/2)</f>
        <v>1.8342066121009713E-2</v>
      </c>
      <c r="R43" s="16">
        <f>(Financials!Q52+Financials!Q53)/((Financials!Q5+Financials!P5)/2)</f>
        <v>1.1394768298909992E-3</v>
      </c>
      <c r="S43" s="16">
        <f>(Financials!R52+Financials!R53)/((Financials!R5+Financials!Q5)/2)</f>
        <v>2.0780113219610566E-3</v>
      </c>
      <c r="T43" s="16">
        <f>(Financials!S52+Financials!S53)/((Financials!S5+Financials!R5)/2)</f>
        <v>3.3370237673834382E-3</v>
      </c>
      <c r="U43" s="16">
        <f>(Financials!T52+Financials!T53)/((Financials!T5+Financials!S5)/2)</f>
        <v>4.2694536268000523E-3</v>
      </c>
      <c r="V43" s="16">
        <f>(Financials!U52+Financials!U53)/((Financials!U5+Financials!T5)/2)</f>
        <v>5.3419800048777914E-3</v>
      </c>
      <c r="W43" s="16">
        <f>(Financials!V52+Financials!V53)/((Financials!V5+Financials!U5)/2)</f>
        <v>6.7778796212462997E-3</v>
      </c>
      <c r="X43" s="16">
        <f>(Financials!W52+Financials!W53)/((Financials!W5+Financials!V5)/2)</f>
        <v>8.0796629968969535E-3</v>
      </c>
      <c r="Y43" s="16">
        <f>(Financials!X52+Financials!X53)/((Financials!X5+Financials!W5)/2)</f>
        <v>9.1698843223754038E-3</v>
      </c>
      <c r="Z43" s="16">
        <f>(Financials!Y52+Financials!Y53)/((Financials!Y5+Financials!X5)/2)</f>
        <v>1.0260936617744068E-2</v>
      </c>
      <c r="AA43" s="16">
        <f>(Financials!Z52+Financials!Z53)/((Financials!Z5+Financials!Y5)/2)</f>
        <v>1.1127111209071614E-2</v>
      </c>
      <c r="AB43" s="16">
        <f>(Financials!AA52+Financials!AA53)/((Financials!AA5+Financials!Z5)/2)</f>
        <v>1.2509845485260159E-2</v>
      </c>
      <c r="AC43" s="16">
        <f>(Financials!AB52+Financials!AB53)/((Financials!AB5+Financials!AA5)/2)</f>
        <v>1.3484707762903227E-2</v>
      </c>
      <c r="AD43" s="16">
        <f>(Financials!AC52+Financials!AC53)/((Financials!AC5+Financials!AB5)/2)</f>
        <v>1.3289348878476553E-2</v>
      </c>
      <c r="AE43" s="16">
        <f>(Financials!AD52+Financials!AD53)/((Financials!AD5+Financials!AC5)/2)</f>
        <v>1.0450159366217021E-3</v>
      </c>
      <c r="AF43" s="16">
        <f>(Financials!AE52+Financials!AE53)/((Financials!AE5+Financials!AD5)/2)</f>
        <v>2.1195623838959512E-3</v>
      </c>
      <c r="AG43" s="16">
        <f>(Financials!AF52+Financials!AF53)/((Financials!AF5+Financials!AE5)/2)</f>
        <v>3.7929465882062469E-3</v>
      </c>
      <c r="AH43" s="16">
        <f>(Financials!AG52+Financials!AG53)/((Financials!AG5+Financials!AF5)/2)</f>
        <v>5.1708797848802231E-3</v>
      </c>
      <c r="AI43" s="16">
        <f>(Financials!AH52+Financials!AH53)/((Financials!AH5+Financials!AG5)/2)</f>
        <v>6.4971441353138988E-3</v>
      </c>
      <c r="AJ43" s="16">
        <f>(Financials!AI52+Financials!AI53)/((Financials!AI5+Financials!AH5)/2)</f>
        <v>7.6891635151897283E-3</v>
      </c>
    </row>
    <row r="44" spans="1:36" ht="12.75">
      <c r="A44" s="13">
        <v>5.5</v>
      </c>
      <c r="B44" s="12" t="s">
        <v>73</v>
      </c>
      <c r="C44" s="64" t="s">
        <v>48</v>
      </c>
      <c r="D44" s="16"/>
      <c r="E44" s="16">
        <f>Financials!D42/((Financials!D31+Financials!C31)/2)</f>
        <v>3.3985925219559718E-2</v>
      </c>
      <c r="F44" s="16">
        <f>Financials!E42/((Financials!E31+Financials!D31)/2)</f>
        <v>3.5305748436229405E-2</v>
      </c>
      <c r="G44" s="16">
        <f>Financials!F42/((Financials!F31+Financials!E31)/2)</f>
        <v>3.5348819481989736E-2</v>
      </c>
      <c r="H44" s="16">
        <f>Financials!G42/((Financials!G31+Financials!F31)/2)</f>
        <v>3.5386682033286009E-2</v>
      </c>
      <c r="I44" s="16">
        <f>Financials!H42/((Financials!H31+Financials!G31)/2)</f>
        <v>3.5168036814464801E-2</v>
      </c>
      <c r="J44" s="16">
        <f>Financials!I42/((Financials!I31+Financials!H31)/2)</f>
        <v>3.5007991517202734E-2</v>
      </c>
      <c r="K44" s="16">
        <f>Financials!J42/((Financials!J31+Financials!I31)/2)</f>
        <v>3.5053367917498364E-2</v>
      </c>
      <c r="L44" s="16">
        <f>Financials!K42/((Financials!K31+Financials!J31)/2)</f>
        <v>3.4977579311329117E-2</v>
      </c>
      <c r="M44" s="16">
        <f>Financials!L42/((Financials!L31+Financials!K31)/2)</f>
        <v>3.4312940220021224E-2</v>
      </c>
      <c r="N44" s="16">
        <f>Financials!M42/((Financials!M31+Financials!L31)/2)</f>
        <v>3.3408536787696216E-2</v>
      </c>
      <c r="O44" s="16">
        <f>Financials!N42/((Financials!N31+Financials!M31)/2)</f>
        <v>3.2749506863430741E-2</v>
      </c>
      <c r="P44" s="16">
        <f>Financials!O42/((Financials!O31+Financials!N31)/2)</f>
        <v>3.2232522112069097E-2</v>
      </c>
      <c r="Q44" s="16">
        <f>Financials!P42/((Financials!P31+Financials!O31)/2)</f>
        <v>4.0307491658266387E-2</v>
      </c>
      <c r="R44" s="16">
        <f>Financials!Q42/((Financials!Q31+Financials!P31)/2)</f>
        <v>3.9988549828441695E-2</v>
      </c>
      <c r="S44" s="16">
        <f>Financials!R42/((Financials!R31+Financials!Q31)/2)</f>
        <v>3.9810675543890277E-2</v>
      </c>
      <c r="T44" s="16">
        <f>Financials!S42/((Financials!S31+Financials!R31)/2)</f>
        <v>3.95788269986505E-2</v>
      </c>
      <c r="U44" s="16">
        <f>Financials!T42/((Financials!T31+Financials!S31)/2)</f>
        <v>3.8971754052536424E-2</v>
      </c>
      <c r="V44" s="16">
        <f>Financials!U42/((Financials!U31+Financials!T31)/2)</f>
        <v>3.8397593717495328E-2</v>
      </c>
      <c r="W44" s="16">
        <f>Financials!V42/((Financials!V31+Financials!U31)/2)</f>
        <v>3.8210413594703861E-2</v>
      </c>
      <c r="X44" s="16">
        <f>Financials!W42/((Financials!W31+Financials!V31)/2)</f>
        <v>3.801680071897983E-2</v>
      </c>
      <c r="Y44" s="16">
        <f>Financials!X42/((Financials!X31+Financials!W31)/2)</f>
        <v>3.7667398822323207E-2</v>
      </c>
      <c r="Z44" s="16">
        <f>Financials!Y42/((Financials!Y31+Financials!X31)/2)</f>
        <v>3.7317028605083638E-2</v>
      </c>
      <c r="AA44" s="16">
        <f>Financials!Z42/((Financials!Z31+Financials!Y31)/2)</f>
        <v>3.6882569678087215E-2</v>
      </c>
      <c r="AB44" s="16">
        <f>Financials!AA42/((Financials!AA31+Financials!Z31)/2)</f>
        <v>3.6374563719534431E-2</v>
      </c>
      <c r="AC44" s="16">
        <f>Financials!AB42/((Financials!AB31+Financials!AA31)/2)</f>
        <v>3.5787036576462414E-2</v>
      </c>
      <c r="AD44" s="16">
        <f>Financials!AC42/((Financials!AC31+Financials!AB31)/2)</f>
        <v>4.0492190310153858E-2</v>
      </c>
      <c r="AE44" s="16">
        <f>Financials!AD42/((Financials!AD31+Financials!AC31)/2)</f>
        <v>3.9858405161285887E-2</v>
      </c>
      <c r="AF44" s="16">
        <f>Financials!AE42/((Financials!AE31+Financials!AD31)/2)</f>
        <v>3.9510106499420862E-2</v>
      </c>
      <c r="AG44" s="16">
        <f>Financials!AF42/((Financials!AF31+Financials!AE31)/2)</f>
        <v>3.9720125958391438E-2</v>
      </c>
      <c r="AH44" s="16">
        <f>Financials!AG42/((Financials!AG31+Financials!AF31)/2)</f>
        <v>3.9810350815889586E-2</v>
      </c>
      <c r="AI44" s="16">
        <f>Financials!AH42/((Financials!AH31+Financials!AG31)/2)</f>
        <v>3.9624514823896596E-2</v>
      </c>
      <c r="AJ44" s="16">
        <f>Financials!AI42/((Financials!AI31+Financials!AH31)/2)</f>
        <v>3.9795861829560943E-2</v>
      </c>
    </row>
    <row r="45" spans="1:36">
      <c r="A45" s="13"/>
      <c r="B45" s="21"/>
      <c r="C45" s="68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</row>
    <row r="46" spans="1:36">
      <c r="A46" s="13">
        <v>6</v>
      </c>
      <c r="B46" s="21" t="s">
        <v>74</v>
      </c>
      <c r="C46" s="68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</row>
    <row r="47" spans="1:36" ht="12.75">
      <c r="A47" s="13">
        <v>6.1</v>
      </c>
      <c r="B47" s="12" t="s">
        <v>75</v>
      </c>
      <c r="C47" s="69">
        <v>0.15</v>
      </c>
      <c r="D47" s="16"/>
      <c r="E47" s="16">
        <f>(SFP!C4+SFP!C11)/(SFP!C31+SFP!C34+SFP!C35+SFP!C36+SFP!C37+SFP!C38)</f>
        <v>0.19203639539690923</v>
      </c>
      <c r="F47" s="16">
        <f>(SFP!D4+SFP!D11)/(SFP!D31+SFP!D34+SFP!D35+SFP!D36+SFP!D37+SFP!D38)</f>
        <v>0.19261705961940609</v>
      </c>
      <c r="G47" s="16">
        <f>(SFP!E4+SFP!E11)/(SFP!E31+SFP!E34+SFP!E35+SFP!E36+SFP!E37+SFP!E38)</f>
        <v>0.19469053388440968</v>
      </c>
      <c r="H47" s="16">
        <f>(SFP!F4+SFP!F11)/(SFP!F31+SFP!F34+SFP!F35+SFP!F36+SFP!F37+SFP!F38)</f>
        <v>0.17994745230781514</v>
      </c>
      <c r="I47" s="16">
        <f>(SFP!G4+SFP!G11)/(SFP!G31+SFP!G34+SFP!G35+SFP!G36+SFP!G37+SFP!G38)</f>
        <v>0.18302274204913857</v>
      </c>
      <c r="J47" s="16">
        <f>(SFP!H4+SFP!H11)/(SFP!H31+SFP!H34+SFP!H35+SFP!H36+SFP!H37+SFP!H38)</f>
        <v>0.1896988136932036</v>
      </c>
      <c r="K47" s="16">
        <f>(SFP!I4+SFP!I11)/(SFP!I31+SFP!I34+SFP!I35+SFP!I36+SFP!I37+SFP!I38)</f>
        <v>0.19398707977789828</v>
      </c>
      <c r="L47" s="16">
        <f>(SFP!J4+SFP!J11)/(SFP!J31+SFP!J34+SFP!J35+SFP!J36+SFP!J37+SFP!J38)</f>
        <v>0.21202261740842834</v>
      </c>
      <c r="M47" s="16">
        <f>(SFP!K4+SFP!K11)/(SFP!K31+SFP!K34+SFP!K35+SFP!K36+SFP!K37+SFP!K38)</f>
        <v>0.20035305591763058</v>
      </c>
      <c r="N47" s="16">
        <f>(SFP!L4+SFP!L11)/(SFP!L31+SFP!L34+SFP!L35+SFP!L36+SFP!L37+SFP!L38)</f>
        <v>0.17222544349769145</v>
      </c>
      <c r="O47" s="16">
        <f>(SFP!M4+SFP!M11)/(SFP!M31+SFP!M34+SFP!M35+SFP!M36+SFP!M37+SFP!M38)</f>
        <v>0.17354211990882354</v>
      </c>
      <c r="P47" s="16">
        <f>(SFP!N4+SFP!N11)/(SFP!N31+SFP!N34+SFP!N35+SFP!N36+SFP!N37+SFP!N38)</f>
        <v>0.16462496458449616</v>
      </c>
      <c r="Q47" s="16">
        <f>(SFP!O4+SFP!O11)/(SFP!O31+SFP!O34+SFP!O35+SFP!O36+SFP!O37+SFP!O38)</f>
        <v>0.16905759336837309</v>
      </c>
      <c r="R47" s="16">
        <f>(SFP!P4+SFP!P11)/(SFP!P31+SFP!P34+SFP!P35+SFP!P36+SFP!P37+SFP!P38)</f>
        <v>0.17722189489026552</v>
      </c>
      <c r="S47" s="16">
        <f>(SFP!Q4+SFP!Q11)/(SFP!Q31+SFP!Q34+SFP!Q35+SFP!Q36+SFP!Q37+SFP!Q38)</f>
        <v>0.18865351802194744</v>
      </c>
      <c r="T47" s="16">
        <f>(SFP!R4+SFP!R11)/(SFP!R31+SFP!R34+SFP!R35+SFP!R36+SFP!R37+SFP!R38)</f>
        <v>0.16908773521396109</v>
      </c>
      <c r="U47" s="16">
        <f>(SFP!S4+SFP!S11)/(SFP!S31+SFP!S34+SFP!S35+SFP!S36+SFP!S37+SFP!S38)</f>
        <v>0.17039426413398923</v>
      </c>
      <c r="V47" s="16">
        <f>(SFP!T4+SFP!T11)/(SFP!T31+SFP!T34+SFP!T35+SFP!T36+SFP!T37+SFP!T38)</f>
        <v>0.15569253710007294</v>
      </c>
      <c r="W47" s="16">
        <f>(SFP!U4+SFP!U11)/(SFP!U31+SFP!U34+SFP!U35+SFP!U36+SFP!U37+SFP!U38)</f>
        <v>0.17050965605856275</v>
      </c>
      <c r="X47" s="16">
        <f>(SFP!V4+SFP!V11)/(SFP!V31+SFP!V34+SFP!V35+SFP!V36+SFP!V37+SFP!V38)</f>
        <v>0.17188506638658269</v>
      </c>
      <c r="Y47" s="16">
        <f>(SFP!W4+SFP!W11)/(SFP!W31+SFP!W34+SFP!W35+SFP!W36+SFP!W37+SFP!W38)</f>
        <v>0.16721813170364905</v>
      </c>
      <c r="Z47" s="16">
        <f>(SFP!X4+SFP!X11)/(SFP!X31+SFP!X34+SFP!X35+SFP!X36+SFP!X37+SFP!X38)</f>
        <v>0.17714749555243933</v>
      </c>
      <c r="AA47" s="16">
        <f>(SFP!Y4+SFP!Y11)/(SFP!Y31+SFP!Y34+SFP!Y35+SFP!Y36+SFP!Y37+SFP!Y38)</f>
        <v>0.18275411819675466</v>
      </c>
      <c r="AB47" s="16">
        <f>(SFP!Z4+SFP!Z11)/(SFP!Z31+SFP!Z34+SFP!Z35+SFP!Z36+SFP!Z37+SFP!Z38)</f>
        <v>0.19007682681392807</v>
      </c>
      <c r="AC47" s="16">
        <f>(SFP!AA4+SFP!AA11)/(SFP!AA31+SFP!AA34+SFP!AA35+SFP!AA36+SFP!AA37+SFP!AA38)</f>
        <v>0.19387315635292765</v>
      </c>
      <c r="AD47" s="16">
        <f>(SFP!AB4+SFP!AB11)/(SFP!AB31+SFP!AB34+SFP!AB35+SFP!AB36+SFP!AB37+SFP!AB38)</f>
        <v>0.19196363178223619</v>
      </c>
      <c r="AE47" s="16">
        <f>(SFP!AC4+SFP!AC11)/(SFP!AC31+SFP!AC34+SFP!AC35+SFP!AC36+SFP!AC37+SFP!AC38)</f>
        <v>0.17565129659890141</v>
      </c>
      <c r="AF47" s="16">
        <f>(SFP!AD4+SFP!AD11)/(SFP!AD31+SFP!AD34+SFP!AD35+SFP!AD36+SFP!AD37+SFP!AD38)</f>
        <v>0.19581938908091884</v>
      </c>
      <c r="AG47" s="16">
        <f>(SFP!AE4+SFP!AE11)/(SFP!AE31+SFP!AE34+SFP!AE35+SFP!AE36+SFP!AE37+SFP!AE38)</f>
        <v>0.17307379620761107</v>
      </c>
      <c r="AH47" s="16">
        <f>(SFP!AF4+SFP!AF11)/(SFP!AF31+SFP!AF34+SFP!AF35+SFP!AF36+SFP!AF37+SFP!AF38)</f>
        <v>0.15934271425040245</v>
      </c>
      <c r="AI47" s="16">
        <f>(SFP!AG4+SFP!AG11)/(SFP!AG31+SFP!AG34+SFP!AG35+SFP!AG36+SFP!AG37+SFP!AG38)</f>
        <v>0.18102149701740716</v>
      </c>
      <c r="AJ47" s="16">
        <f>(SFP!AH4+SFP!AH11)/(SFP!AH31+SFP!AH34+SFP!AH35+SFP!AH36+SFP!AH37+SFP!AH38)</f>
        <v>0.17620899956069919</v>
      </c>
    </row>
    <row r="48" spans="1:36">
      <c r="A48" s="13"/>
      <c r="B48" s="12" t="s">
        <v>76</v>
      </c>
      <c r="C48" s="68"/>
      <c r="D48" s="25"/>
      <c r="E48" s="25">
        <f>(SFP!C4+SFP!C11)/(SFP!C32+SFP!C34+SFP!C35+SFP!C36+SFP!C37+SFP!C38)</f>
        <v>0.15173395520006397</v>
      </c>
      <c r="F48" s="25">
        <f>(SFP!D4+SFP!D11)/(SFP!D32+SFP!D34+SFP!D35+SFP!D36+SFP!D37+SFP!D38)</f>
        <v>0.15299789236933201</v>
      </c>
      <c r="G48" s="25">
        <f>(SFP!E4+SFP!E11)/(SFP!E32+SFP!E34+SFP!E35+SFP!E36+SFP!E37+SFP!E38)</f>
        <v>0.1489150997359345</v>
      </c>
      <c r="H48" s="25">
        <f>(SFP!F4+SFP!F11)/(SFP!F32+SFP!F34+SFP!F35+SFP!F36+SFP!F37+SFP!F38)</f>
        <v>0.1384640707375655</v>
      </c>
      <c r="I48" s="25">
        <f>(SFP!G4+SFP!G11)/(SFP!G32+SFP!G34+SFP!G35+SFP!G36+SFP!G37+SFP!G38)</f>
        <v>0.14211174662873141</v>
      </c>
      <c r="J48" s="25">
        <f>(SFP!H4+SFP!H11)/(SFP!H32+SFP!H34+SFP!H35+SFP!H36+SFP!H37+SFP!H38)</f>
        <v>0.14747728471709362</v>
      </c>
      <c r="K48" s="25">
        <f>(SFP!I4+SFP!I11)/(SFP!I32+SFP!I34+SFP!I35+SFP!I36+SFP!I37+SFP!I38)</f>
        <v>0.15386577697047712</v>
      </c>
      <c r="L48" s="25">
        <f>(SFP!J4+SFP!J11)/(SFP!J32+SFP!J34+SFP!J35+SFP!J36+SFP!J37+SFP!J38)</f>
        <v>0.16796553376349857</v>
      </c>
      <c r="M48" s="25">
        <f>(SFP!K4+SFP!K11)/(SFP!K32+SFP!K34+SFP!K35+SFP!K36+SFP!K37+SFP!K38)</f>
        <v>0.15846928980761144</v>
      </c>
      <c r="N48" s="25">
        <f>(SFP!L4+SFP!L11)/(SFP!L32+SFP!L34+SFP!L35+SFP!L36+SFP!L37+SFP!L38)</f>
        <v>0.13694116249037161</v>
      </c>
      <c r="O48" s="25">
        <f>(SFP!M4+SFP!M11)/(SFP!M32+SFP!M34+SFP!M35+SFP!M36+SFP!M37+SFP!M38)</f>
        <v>0.13868284766347144</v>
      </c>
      <c r="P48" s="25">
        <f>(SFP!N4+SFP!N11)/(SFP!N32+SFP!N34+SFP!N35+SFP!N36+SFP!N37+SFP!N38)</f>
        <v>0.13305580398307199</v>
      </c>
      <c r="Q48" s="25">
        <f>(SFP!O4+SFP!O11)/(SFP!O32+SFP!O34+SFP!O35+SFP!O36+SFP!O37+SFP!O38)</f>
        <v>0.13660985154200272</v>
      </c>
      <c r="R48" s="25">
        <f>(SFP!P4+SFP!P11)/(SFP!P32+SFP!P34+SFP!P35+SFP!P36+SFP!P37+SFP!P38)</f>
        <v>0.14327429206705633</v>
      </c>
      <c r="S48" s="25">
        <f>(SFP!Q4+SFP!Q11)/(SFP!Q32+SFP!Q34+SFP!Q35+SFP!Q36+SFP!Q37+SFP!Q38)</f>
        <v>0.14332042059249067</v>
      </c>
      <c r="T48" s="25">
        <f>(SFP!R4+SFP!R11)/(SFP!R32+SFP!R34+SFP!R35+SFP!R36+SFP!R37+SFP!R38)</f>
        <v>0.13221892352912376</v>
      </c>
      <c r="U48" s="25">
        <f>(SFP!S4+SFP!S11)/(SFP!S32+SFP!S34+SFP!S35+SFP!S36+SFP!S37+SFP!S38)</f>
        <v>0.13402659165172609</v>
      </c>
      <c r="V48" s="25">
        <f>(SFP!T4+SFP!T11)/(SFP!T32+SFP!T34+SFP!T35+SFP!T36+SFP!T37+SFP!T38)</f>
        <v>0.12327815705503699</v>
      </c>
      <c r="W48" s="25">
        <f>(SFP!U4+SFP!U11)/(SFP!U32+SFP!U34+SFP!U35+SFP!U36+SFP!U37+SFP!U38)</f>
        <v>0.13560822373387393</v>
      </c>
      <c r="X48" s="25">
        <f>(SFP!V4+SFP!V11)/(SFP!V32+SFP!V34+SFP!V35+SFP!V36+SFP!V37+SFP!V38)</f>
        <v>0.13809796760419094</v>
      </c>
      <c r="Y48" s="25">
        <f>(SFP!W4+SFP!W11)/(SFP!W32+SFP!W34+SFP!W35+SFP!W36+SFP!W37+SFP!W38)</f>
        <v>0.13471352588798144</v>
      </c>
      <c r="Z48" s="25">
        <f>(SFP!X4+SFP!X11)/(SFP!X32+SFP!X34+SFP!X35+SFP!X36+SFP!X37+SFP!X38)</f>
        <v>0.1429049142570599</v>
      </c>
      <c r="AA48" s="25">
        <f>(SFP!Y4+SFP!Y11)/(SFP!Y32+SFP!Y34+SFP!Y35+SFP!Y36+SFP!Y37+SFP!Y38)</f>
        <v>0.14803846351214625</v>
      </c>
      <c r="AB48" s="25">
        <f>(SFP!Z4+SFP!Z11)/(SFP!Z32+SFP!Z34+SFP!Z35+SFP!Z36+SFP!Z37+SFP!Z38)</f>
        <v>0.1541653140336236</v>
      </c>
      <c r="AC48" s="25">
        <f>(SFP!AA4+SFP!AA11)/(SFP!AA32+SFP!AA34+SFP!AA35+SFP!AA36+SFP!AA37+SFP!AA38)</f>
        <v>0.15730456433600354</v>
      </c>
      <c r="AD48" s="25">
        <f>(SFP!AB4+SFP!AB11)/(SFP!AB32+SFP!AB34+SFP!AB35+SFP!AB36+SFP!AB37+SFP!AB38)</f>
        <v>0.15584792785574023</v>
      </c>
      <c r="AE48" s="25">
        <f>(SFP!AC4+SFP!AC11)/(SFP!AC32+SFP!AC34+SFP!AC35+SFP!AC36+SFP!AC37+SFP!AC38)</f>
        <v>0.1429818008301959</v>
      </c>
      <c r="AF48" s="25">
        <f>(SFP!AD4+SFP!AD11)/(SFP!AD32+SFP!AD34+SFP!AD35+SFP!AD36+SFP!AD37+SFP!AD38)</f>
        <v>0.15979608243286322</v>
      </c>
      <c r="AG48" s="25">
        <f>(SFP!AE4+SFP!AE11)/(SFP!AE32+SFP!AE34+SFP!AE35+SFP!AE36+SFP!AE37+SFP!AE38)</f>
        <v>0.13579443081298695</v>
      </c>
      <c r="AH48" s="25">
        <f>(SFP!AF4+SFP!AF11)/(SFP!AF32+SFP!AF34+SFP!AF35+SFP!AF36+SFP!AF37+SFP!AF38)</f>
        <v>0.12704047631364168</v>
      </c>
      <c r="AI48" s="25">
        <f>(SFP!AG4+SFP!AG11)/(SFP!AG32+SFP!AG34+SFP!AG35+SFP!AG36+SFP!AG37+SFP!AG38)</f>
        <v>0.14621021206542578</v>
      </c>
      <c r="AJ48" s="25">
        <f>(SFP!AH4+SFP!AH11)/(SFP!AH32+SFP!AH34+SFP!AH35+SFP!AH36+SFP!AH37+SFP!AH38)</f>
        <v>0.14323737167352249</v>
      </c>
    </row>
    <row r="49" spans="1:36">
      <c r="A49" s="81">
        <v>7</v>
      </c>
      <c r="B49" s="82" t="s">
        <v>77</v>
      </c>
      <c r="C49" s="70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</row>
    <row r="50" spans="1:36">
      <c r="A50" s="81">
        <v>7.1</v>
      </c>
      <c r="B50" s="83" t="s">
        <v>78</v>
      </c>
      <c r="C50" s="84">
        <v>1</v>
      </c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</row>
    <row r="51" spans="1:36">
      <c r="A51" s="81">
        <v>7.2</v>
      </c>
      <c r="B51" s="71" t="s">
        <v>79</v>
      </c>
      <c r="C51" s="70"/>
      <c r="D51" s="71"/>
      <c r="E51" s="71"/>
      <c r="F51" s="71"/>
      <c r="G51" s="71"/>
      <c r="H51" s="71"/>
      <c r="I51" s="71"/>
      <c r="J51" s="71"/>
      <c r="K51" s="71"/>
      <c r="L51" s="71"/>
      <c r="M51" s="71"/>
      <c r="N51" s="71"/>
      <c r="O51" s="71"/>
      <c r="P51" s="71"/>
      <c r="Q51" s="71"/>
      <c r="R51" s="71"/>
      <c r="S51" s="71"/>
      <c r="T51" s="71"/>
      <c r="U51" s="71"/>
      <c r="V51" s="71"/>
      <c r="W51" s="71"/>
      <c r="X51" s="71"/>
      <c r="Y51" s="71"/>
      <c r="Z51" s="71"/>
      <c r="AA51" s="71"/>
      <c r="AB51" s="71"/>
      <c r="AC51" s="71"/>
      <c r="AD51" s="71"/>
      <c r="AE51" s="71"/>
      <c r="AF51" s="71"/>
      <c r="AG51" s="71"/>
      <c r="AH51" s="71"/>
    </row>
    <row r="52" spans="1:36">
      <c r="A52" s="81"/>
      <c r="B52" s="71" t="s">
        <v>80</v>
      </c>
      <c r="C52" s="70"/>
      <c r="D52" s="71"/>
      <c r="E52" s="71">
        <f>SCI!C5/SFP!C14</f>
        <v>0</v>
      </c>
      <c r="F52" s="71">
        <f>SCI!D5/SFP!D14</f>
        <v>0</v>
      </c>
      <c r="G52" s="71">
        <f>SCI!E5/SFP!E14</f>
        <v>0</v>
      </c>
      <c r="H52" s="71">
        <f>SCI!F5/SFP!F14</f>
        <v>0</v>
      </c>
      <c r="I52" s="71">
        <f>SCI!G5/SFP!G14</f>
        <v>0</v>
      </c>
      <c r="J52" s="71">
        <f>SCI!H5/SFP!H14</f>
        <v>0</v>
      </c>
      <c r="K52" s="71">
        <f>SCI!I5/SFP!I14</f>
        <v>0</v>
      </c>
      <c r="L52" s="71">
        <f>SCI!J5/SFP!J14</f>
        <v>0</v>
      </c>
      <c r="M52" s="71">
        <f>SCI!K5/SFP!K14</f>
        <v>0</v>
      </c>
      <c r="N52" s="71">
        <f>SCI!L5/SFP!L14</f>
        <v>0</v>
      </c>
      <c r="O52" s="71">
        <f>SCI!M5/SFP!M14</f>
        <v>0</v>
      </c>
      <c r="P52" s="71">
        <f>SCI!N5/SFP!N14</f>
        <v>0</v>
      </c>
      <c r="Q52" s="71">
        <f>SCI!O5/SFP!O14</f>
        <v>0.16011235313689645</v>
      </c>
      <c r="R52" s="71">
        <f>SCI!P5/SFP!P14</f>
        <v>1.4270074955257313E-2</v>
      </c>
      <c r="S52" s="71">
        <f>SCI!Q5/SFP!Q14</f>
        <v>2.7186174858748823E-2</v>
      </c>
      <c r="T52" s="71">
        <f>SCI!R5/SFP!R14</f>
        <v>4.0906872445029926E-2</v>
      </c>
      <c r="U52" s="71">
        <f>SCI!S5/SFP!S14</f>
        <v>5.3733141937397935E-2</v>
      </c>
      <c r="V52" s="71">
        <f>SCI!T5/SFP!T14</f>
        <v>6.6928620622768734E-2</v>
      </c>
      <c r="W52" s="71">
        <f>SCI!U5/SFP!U14</f>
        <v>8.0380754036135732E-2</v>
      </c>
      <c r="X52" s="71">
        <f>SCI!V5/SFP!V14</f>
        <v>9.3626714985483195E-2</v>
      </c>
      <c r="Y52" s="71">
        <f>SCI!W5/SFP!W14</f>
        <v>0.10680762855239803</v>
      </c>
      <c r="Z52" s="71">
        <f>SCI!X5/SFP!X14</f>
        <v>0.1191227975694344</v>
      </c>
      <c r="AA52" s="71">
        <f>SCI!Y5/SFP!Y14</f>
        <v>0.13191971047538056</v>
      </c>
      <c r="AB52" s="71">
        <f>SCI!Z5/SFP!Z14</f>
        <v>0.1436771931273669</v>
      </c>
      <c r="AC52" s="71">
        <f>SCI!AA5/SFP!AA14</f>
        <v>0.15527413491203565</v>
      </c>
      <c r="AD52" s="71">
        <f>SCI!AB5/SFP!AB14</f>
        <v>0.15190036405857177</v>
      </c>
      <c r="AE52" s="71">
        <f>SCI!AC5/SFP!AC14</f>
        <v>1.4952228278959392E-2</v>
      </c>
      <c r="AF52" s="71">
        <f>SCI!AD5/SFP!AD14</f>
        <v>2.6978478480117245E-2</v>
      </c>
      <c r="AG52" s="71">
        <f>SCI!AE5/SFP!AE14</f>
        <v>3.9513419457131271E-2</v>
      </c>
      <c r="AH52" s="71">
        <f>SCI!AF5/SFP!AF14</f>
        <v>5.144543796872203E-2</v>
      </c>
      <c r="AI52" s="71">
        <f>SCI!AG5/SFP!AG14</f>
        <v>6.5058947373480946E-2</v>
      </c>
      <c r="AJ52" s="71">
        <f>SCI!AH5/SFP!AH14</f>
        <v>7.9293843526754157E-2</v>
      </c>
    </row>
    <row r="53" spans="1:36">
      <c r="A53" s="81"/>
      <c r="B53" s="71" t="s">
        <v>81</v>
      </c>
      <c r="C53" s="70"/>
      <c r="D53" s="71"/>
      <c r="E53" s="71">
        <f>Financials!D32/Financials!D5</f>
        <v>0.85819520468756694</v>
      </c>
      <c r="F53" s="71">
        <f>Financials!E32/Financials!E5</f>
        <v>0.8513915544634415</v>
      </c>
      <c r="G53" s="71">
        <f>Financials!F32/Financials!F5</f>
        <v>0.86624196464193892</v>
      </c>
      <c r="H53" s="71">
        <f>Financials!G32/Financials!G5</f>
        <v>0.8619550463670641</v>
      </c>
      <c r="I53" s="71">
        <f>Financials!H32/Financials!H5</f>
        <v>0.85961155289690172</v>
      </c>
      <c r="J53" s="71">
        <f>Financials!I32/Financials!I5</f>
        <v>0.85408940840523517</v>
      </c>
      <c r="K53" s="71">
        <f>Financials!J32/Financials!J5</f>
        <v>0.84389295106364504</v>
      </c>
      <c r="L53" s="71">
        <f>Financials!K32/Financials!K5</f>
        <v>0.83263611182657837</v>
      </c>
      <c r="M53" s="71">
        <f>Financials!L32/Financials!L5</f>
        <v>0.83530310565858135</v>
      </c>
      <c r="N53" s="71">
        <f>Financials!M32/Financials!M5</f>
        <v>0.83959982471583983</v>
      </c>
      <c r="O53" s="71">
        <f>Financials!N32/Financials!N5</f>
        <v>0.8401183454786828</v>
      </c>
      <c r="P53" s="71">
        <f>Financials!O32/Financials!O5</f>
        <v>0.8418966143088068</v>
      </c>
      <c r="Q53" s="71">
        <f>Financials!P32/Financials!P5</f>
        <v>0.82820014910320294</v>
      </c>
      <c r="R53" s="71">
        <f>Financials!Q32/Financials!Q5</f>
        <v>0.84108190965944452</v>
      </c>
      <c r="S53" s="71">
        <f>Financials!R32/Financials!R5</f>
        <v>0.8376095419814833</v>
      </c>
      <c r="T53" s="71">
        <f>Financials!S32/Financials!S5</f>
        <v>0.85121854831467081</v>
      </c>
      <c r="U53" s="71">
        <f>Financials!T32/Financials!T5</f>
        <v>0.84451326779582103</v>
      </c>
      <c r="V53" s="71">
        <f>Financials!U32/Financials!U5</f>
        <v>0.84072051656379188</v>
      </c>
      <c r="W53" s="71">
        <f>Financials!V32/Financials!V5</f>
        <v>0.83854614689454321</v>
      </c>
      <c r="X53" s="71">
        <f>Financials!W32/Financials!W5</f>
        <v>0.83649105663448564</v>
      </c>
      <c r="Y53" s="71">
        <f>Financials!X32/Financials!X5</f>
        <v>0.8295191902303849</v>
      </c>
      <c r="Z53" s="71">
        <f>Financials!Y32/Financials!Y5</f>
        <v>0.82376290325446511</v>
      </c>
      <c r="AA53" s="71">
        <f>Financials!Z32/Financials!Z5</f>
        <v>0.82143616983630063</v>
      </c>
      <c r="AB53" s="71">
        <f>Financials!AA32/Financials!AA5</f>
        <v>0.81911299236412816</v>
      </c>
      <c r="AC53" s="71">
        <f>Financials!AB32/Financials!AB5</f>
        <v>0.81851116687691472</v>
      </c>
      <c r="AD53" s="71">
        <f>Financials!AC32/Financials!AC5</f>
        <v>0.83806774956550334</v>
      </c>
      <c r="AE53" s="71">
        <f>Financials!AD32/Financials!AD5</f>
        <v>0.83271811706170407</v>
      </c>
      <c r="AF53" s="71">
        <f>Financials!AE32/Financials!AE5</f>
        <v>0.82196274924555934</v>
      </c>
      <c r="AG53" s="71">
        <f>Financials!AF32/Financials!AF5</f>
        <v>0.85891566752451975</v>
      </c>
      <c r="AH53" s="71">
        <f>Financials!AG32/Financials!AG5</f>
        <v>0.86809429826479512</v>
      </c>
      <c r="AI53" s="71">
        <f>Financials!AH32/Financials!AH5</f>
        <v>0.85859258513174763</v>
      </c>
      <c r="AJ53" s="71">
        <f>Financials!AI32/Financials!AI5</f>
        <v>0.85657270941482466</v>
      </c>
    </row>
    <row r="54" spans="1:36" s="2" customFormat="1">
      <c r="A54" s="85">
        <v>8</v>
      </c>
      <c r="B54" s="74" t="s">
        <v>82</v>
      </c>
      <c r="C54" s="73"/>
      <c r="D54" s="74"/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  <c r="AA54" s="74"/>
      <c r="AB54" s="74"/>
      <c r="AC54" s="74"/>
      <c r="AD54" s="74"/>
      <c r="AE54" s="74"/>
      <c r="AF54" s="74"/>
      <c r="AG54" s="74"/>
      <c r="AH54" s="74"/>
    </row>
    <row r="55" spans="1:36">
      <c r="A55" s="80">
        <v>8.1</v>
      </c>
      <c r="B55" s="71" t="s">
        <v>83</v>
      </c>
      <c r="C55" s="70"/>
      <c r="D55" s="72"/>
      <c r="E55" s="72">
        <f>SCI!C33/(SFP!B27+SFP!C27/2)</f>
        <v>-1.9118408584221742E-10</v>
      </c>
      <c r="F55" s="72">
        <f>SCI!D33/(SFP!C27+SFP!D27/2)</f>
        <v>-1.761670091101469E-10</v>
      </c>
      <c r="G55" s="72">
        <f>SCI!E33/(SFP!D27+SFP!E27/2)</f>
        <v>-1.5994000075817573E-10</v>
      </c>
      <c r="H55" s="72">
        <f>SCI!F33/(SFP!E27+SFP!F27/2)</f>
        <v>-1.4539702249467842E-10</v>
      </c>
      <c r="I55" s="72">
        <f>SCI!G33/(SFP!F27+SFP!G27/2)</f>
        <v>-1.2803343818878286E-10</v>
      </c>
      <c r="J55" s="72">
        <f>SCI!H33/(SFP!G27+SFP!H27/2)</f>
        <v>-1.1085142768017374E-10</v>
      </c>
      <c r="K55" s="72">
        <f>SCI!I33/(SFP!H27+SFP!I27/2)</f>
        <v>-9.4039311807189236E-11</v>
      </c>
      <c r="L55" s="72">
        <f>SCI!J33/(SFP!I27+SFP!J27/2)</f>
        <v>-7.7374613023448186E-11</v>
      </c>
      <c r="M55" s="72">
        <f>SCI!K33/(SFP!J27+SFP!K27/2)</f>
        <v>-6.0541424172629362E-11</v>
      </c>
      <c r="N55" s="72">
        <f>SCI!L33/(SFP!K27+SFP!L27/2)</f>
        <v>-4.441497873820333E-11</v>
      </c>
      <c r="O55" s="72">
        <f>SCI!M33/(SFP!L27+SFP!M27/2)</f>
        <v>-2.9139991832496214E-11</v>
      </c>
      <c r="P55" s="72">
        <f>SCI!N33/(SFP!M27+SFP!N27/2)</f>
        <v>-1.436837453072226E-11</v>
      </c>
      <c r="Q55" s="72">
        <f>SCI!O33/(SFP!N27+SFP!O27/2)</f>
        <v>2.1811794343338513E-2</v>
      </c>
      <c r="R55" s="72">
        <f>SCI!P33/(SFP!O27+SFP!P27/2)</f>
        <v>2.5648635354992701E-3</v>
      </c>
      <c r="S55" s="72">
        <f>SCI!Q33/(SFP!P27+SFP!Q27/2)</f>
        <v>4.9599201779302838E-3</v>
      </c>
      <c r="T55" s="72">
        <f>SCI!R33/(SFP!Q27+SFP!R27/2)</f>
        <v>6.8924260278877547E-3</v>
      </c>
      <c r="U55" s="72">
        <f>SCI!S33/(SFP!R27+SFP!S27/2)</f>
        <v>1.2472804357934519E-2</v>
      </c>
      <c r="V55" s="72">
        <f>SCI!T33/(SFP!S27+SFP!T27/2)</f>
        <v>1.495617719665834E-2</v>
      </c>
      <c r="W55" s="72">
        <f>SCI!U33/(SFP!T27+SFP!U27/2)</f>
        <v>1.2997182485485191E-2</v>
      </c>
      <c r="X55" s="72">
        <f>SCI!V33/(SFP!U27+SFP!V27/2)</f>
        <v>1.507474468735715E-2</v>
      </c>
      <c r="Y55" s="72">
        <f>SCI!W33/(SFP!V27+SFP!W27/2)</f>
        <v>1.7022196705053633E-2</v>
      </c>
      <c r="Z55" s="72">
        <f>SCI!X33/(SFP!W27+SFP!X27/2)</f>
        <v>1.8514751478357881E-2</v>
      </c>
      <c r="AA55" s="72">
        <f>SCI!Y33/(SFP!X27+SFP!Y27/2)</f>
        <v>1.8195753107413896E-2</v>
      </c>
      <c r="AB55" s="72">
        <f>SCI!Z33/(SFP!Y27+SFP!Z27/2)</f>
        <v>2.0147238732753786E-2</v>
      </c>
      <c r="AC55" s="72">
        <f>SCI!AA33/(SFP!Z27+SFP!AA27/2)</f>
        <v>2.1438943295282769E-2</v>
      </c>
      <c r="AD55" s="72">
        <f>SCI!AB33/(SFP!AA27+SFP!AB27/2)</f>
        <v>1.3524409463177739E-2</v>
      </c>
      <c r="AE55" s="72">
        <f>SCI!AC33/(SFP!AB27+SFP!AC27/2)</f>
        <v>3.4796517000940364E-3</v>
      </c>
      <c r="AF55" s="72">
        <f>SCI!AD33/(SFP!AC27+SFP!AD27/2)</f>
        <v>5.0239768090099349E-3</v>
      </c>
      <c r="AG55" s="72">
        <f>SCI!AE33/(SFP!AD27+SFP!AE27/2)</f>
        <v>-3.0454462777183815E-3</v>
      </c>
      <c r="AH55" s="72">
        <f>SCI!AF33/(SFP!AE27+SFP!AF27/2)</f>
        <v>-1.7445662234750767E-3</v>
      </c>
      <c r="AI55" s="72">
        <f>SCI!AG33/(SFP!AF27+SFP!AG27/2)</f>
        <v>1.0741895762892155E-3</v>
      </c>
      <c r="AJ55" s="72">
        <f>SCI!AH33/(SFP!AG27+SFP!AH27/2)</f>
        <v>-1.9981103882128403E-3</v>
      </c>
    </row>
    <row r="56" spans="1:36">
      <c r="A56" s="80">
        <v>8.1999999999999993</v>
      </c>
      <c r="B56" s="71" t="s">
        <v>84</v>
      </c>
      <c r="C56" s="70"/>
      <c r="D56" s="72"/>
      <c r="E56" s="72" t="e">
        <f>SCI!C23/SCI!C19</f>
        <v>#DIV/0!</v>
      </c>
      <c r="F56" s="72" t="e">
        <f>SCI!D23/SCI!D19</f>
        <v>#DIV/0!</v>
      </c>
      <c r="G56" s="72" t="e">
        <f>SCI!E23/SCI!E19</f>
        <v>#DIV/0!</v>
      </c>
      <c r="H56" s="72" t="e">
        <f>SCI!F23/SCI!F19</f>
        <v>#DIV/0!</v>
      </c>
      <c r="I56" s="72" t="e">
        <f>SCI!G23/SCI!G19</f>
        <v>#DIV/0!</v>
      </c>
      <c r="J56" s="72" t="e">
        <f>SCI!H23/SCI!H19</f>
        <v>#DIV/0!</v>
      </c>
      <c r="K56" s="72" t="e">
        <f>SCI!I23/SCI!I19</f>
        <v>#DIV/0!</v>
      </c>
      <c r="L56" s="72" t="e">
        <f>SCI!J23/SCI!J19</f>
        <v>#DIV/0!</v>
      </c>
      <c r="M56" s="72" t="e">
        <f>SCI!K23/SCI!K19</f>
        <v>#DIV/0!</v>
      </c>
      <c r="N56" s="72" t="e">
        <f>SCI!L23/SCI!L19</f>
        <v>#DIV/0!</v>
      </c>
      <c r="O56" s="72" t="e">
        <f>SCI!M23/SCI!M19</f>
        <v>#DIV/0!</v>
      </c>
      <c r="P56" s="72" t="e">
        <f>SCI!N23/SCI!N19</f>
        <v>#DIV/0!</v>
      </c>
      <c r="Q56" s="72">
        <f>SCI!O23/SCI!O19</f>
        <v>0.41960215257282923</v>
      </c>
      <c r="R56" s="72">
        <f>SCI!P23/SCI!P19</f>
        <v>0.39993830925875784</v>
      </c>
      <c r="S56" s="72">
        <f>SCI!Q23/SCI!Q19</f>
        <v>0.4003141394196687</v>
      </c>
      <c r="T56" s="72">
        <f>SCI!R23/SCI!R19</f>
        <v>0.44792343991807149</v>
      </c>
      <c r="U56" s="72">
        <f>SCI!S23/SCI!S19</f>
        <v>0.46050146058049235</v>
      </c>
      <c r="V56" s="72">
        <f>SCI!T23/SCI!T19</f>
        <v>0.45329400752234472</v>
      </c>
      <c r="W56" s="72">
        <f>SCI!U23/SCI!U19</f>
        <v>0.47028807618620844</v>
      </c>
      <c r="X56" s="72">
        <f>SCI!V23/SCI!V19</f>
        <v>0.47775917135826085</v>
      </c>
      <c r="Y56" s="72">
        <f>SCI!W23/SCI!W19</f>
        <v>0.48074899360321482</v>
      </c>
      <c r="Z56" s="72">
        <f>SCI!X23/SCI!X19</f>
        <v>0.49007384832580042</v>
      </c>
      <c r="AA56" s="72">
        <f>SCI!Y23/SCI!Y19</f>
        <v>0.47784944649208944</v>
      </c>
      <c r="AB56" s="72">
        <f>SCI!Z23/SCI!Z19</f>
        <v>0.47986089181897723</v>
      </c>
      <c r="AC56" s="72">
        <f>SCI!AA23/SCI!AA19</f>
        <v>0.48666616507517219</v>
      </c>
      <c r="AD56" s="72">
        <f>SCI!AB23/SCI!AB19</f>
        <v>0.49778682354633863</v>
      </c>
      <c r="AE56" s="72">
        <f>SCI!AC23/SCI!AC19</f>
        <v>0.32415700893664728</v>
      </c>
      <c r="AF56" s="72">
        <f>SCI!AD23/SCI!AD19</f>
        <v>0.4029056713810929</v>
      </c>
      <c r="AG56" s="72">
        <f>SCI!AE23/SCI!AE19</f>
        <v>0.48749839598605099</v>
      </c>
      <c r="AH56" s="72">
        <f>SCI!AF23/SCI!AF19</f>
        <v>0.51351814710696042</v>
      </c>
      <c r="AI56" s="72">
        <f>SCI!AG23/SCI!AG19</f>
        <v>0.49456329692480355</v>
      </c>
      <c r="AJ56" s="72">
        <f>SCI!AH23/SCI!AH19</f>
        <v>0.48272104358789347</v>
      </c>
    </row>
    <row r="57" spans="1:36">
      <c r="A57" s="80">
        <v>8.3000000000000007</v>
      </c>
      <c r="B57" s="80" t="s">
        <v>85</v>
      </c>
      <c r="C57" s="70"/>
      <c r="D57" s="72"/>
      <c r="E57" s="72">
        <f>SCI!C23/SFP!C27</f>
        <v>0</v>
      </c>
      <c r="F57" s="72">
        <f>SCI!D23/SFP!D27</f>
        <v>0</v>
      </c>
      <c r="G57" s="72">
        <f>SCI!E23/SFP!E27</f>
        <v>0</v>
      </c>
      <c r="H57" s="72">
        <f>SCI!F23/SFP!F27</f>
        <v>0</v>
      </c>
      <c r="I57" s="72">
        <f>SCI!G23/SFP!G27</f>
        <v>0</v>
      </c>
      <c r="J57" s="72">
        <f>SCI!H23/SFP!H27</f>
        <v>0</v>
      </c>
      <c r="K57" s="72">
        <f>SCI!I23/SFP!I27</f>
        <v>0</v>
      </c>
      <c r="L57" s="72">
        <f>SCI!J23/SFP!J27</f>
        <v>0</v>
      </c>
      <c r="M57" s="72">
        <f>SCI!K23/SFP!K27</f>
        <v>0</v>
      </c>
      <c r="N57" s="72">
        <f>SCI!L23/SFP!L27</f>
        <v>0</v>
      </c>
      <c r="O57" s="72">
        <f>SCI!M23/SFP!M27</f>
        <v>0</v>
      </c>
      <c r="P57" s="72">
        <f>SCI!N23/SFP!N27</f>
        <v>0</v>
      </c>
      <c r="Q57" s="72">
        <f>SCI!O23/SFP!O27</f>
        <v>3.3990205004390081E-2</v>
      </c>
      <c r="R57" s="72">
        <f>SCI!P23/SFP!P27</f>
        <v>2.5751000030582762E-3</v>
      </c>
      <c r="S57" s="72">
        <f>SCI!Q23/SFP!Q27</f>
        <v>4.9533801240281795E-3</v>
      </c>
      <c r="T57" s="72">
        <f>SCI!R23/SFP!R27</f>
        <v>8.4171157424207596E-3</v>
      </c>
      <c r="U57" s="72">
        <f>SCI!S23/SFP!S27</f>
        <v>1.1330097976772749E-2</v>
      </c>
      <c r="V57" s="72">
        <f>SCI!T23/SFP!T27</f>
        <v>1.4176014298984086E-2</v>
      </c>
      <c r="W57" s="72">
        <f>SCI!U23/SFP!U27</f>
        <v>1.7967428717787681E-2</v>
      </c>
      <c r="X57" s="72">
        <f>SCI!V23/SFP!V27</f>
        <v>2.1285256939226029E-2</v>
      </c>
      <c r="Y57" s="72">
        <f>SCI!W23/SFP!W27</f>
        <v>2.417234372771486E-2</v>
      </c>
      <c r="Z57" s="72">
        <f>SCI!X23/SFP!X27</f>
        <v>2.7170123512865924E-2</v>
      </c>
      <c r="AA57" s="72">
        <f>SCI!Y23/SFP!Y27</f>
        <v>2.9661780597794684E-2</v>
      </c>
      <c r="AB57" s="72">
        <f>SCI!Z23/SFP!Z27</f>
        <v>3.2528601177557258E-2</v>
      </c>
      <c r="AC57" s="72">
        <f>SCI!AA23/SFP!AA27</f>
        <v>3.5175120947717423E-2</v>
      </c>
      <c r="AD57" s="72">
        <f>SCI!AB23/SFP!AB27</f>
        <v>3.5251651040451616E-2</v>
      </c>
      <c r="AE57" s="72">
        <f>SCI!AC23/SFP!AC27</f>
        <v>2.4741001224622403E-3</v>
      </c>
      <c r="AF57" s="72">
        <f>SCI!AD23/SFP!AD27</f>
        <v>5.0252631941308515E-3</v>
      </c>
      <c r="AG57" s="72">
        <f>SCI!AE23/SFP!AE27</f>
        <v>8.8335294946782113E-3</v>
      </c>
      <c r="AH57" s="72">
        <f>SCI!AF23/SFP!AF27</f>
        <v>1.2012794048401285E-2</v>
      </c>
      <c r="AI57" s="72">
        <f>SCI!AG23/SFP!AG27</f>
        <v>1.51282312920232E-2</v>
      </c>
      <c r="AJ57" s="72">
        <f>SCI!AH23/SFP!AH27</f>
        <v>1.8698524069581297E-2</v>
      </c>
    </row>
    <row r="58" spans="1:36">
      <c r="A58" s="80"/>
      <c r="B58" s="80" t="s">
        <v>86</v>
      </c>
      <c r="C58" s="70"/>
      <c r="D58" s="86">
        <f>(Financials!C36+Financials!C29)/Financials!C5</f>
        <v>0.12148195174941562</v>
      </c>
      <c r="E58" s="86">
        <f>(Financials!D36+Financials!D29)/Financials!D5</f>
        <v>0.12762157301261917</v>
      </c>
      <c r="F58" s="86">
        <f>(Financials!E36+Financials!E29)/Financials!E5</f>
        <v>0.12865595955587036</v>
      </c>
      <c r="G58" s="86">
        <f>(Financials!F36+Financials!F29)/Financials!F5</f>
        <v>0.12514851982199249</v>
      </c>
      <c r="H58" s="86">
        <f>(Financials!G36+Financials!G29)/Financials!G5</f>
        <v>0.11600552193561961</v>
      </c>
      <c r="I58" s="86">
        <f>(Financials!H36+Financials!H29)/Financials!H5</f>
        <v>0.11864013902758541</v>
      </c>
      <c r="J58" s="86">
        <f>(Financials!I36+Financials!I29)/Financials!I5</f>
        <v>0.123450819746989</v>
      </c>
      <c r="K58" s="86">
        <f>(Financials!J36+Financials!J29)/Financials!J5</f>
        <v>0.12836691434041864</v>
      </c>
      <c r="L58" s="86">
        <f>(Financials!K36+Financials!K29)/Financials!K5</f>
        <v>0.13985647070351173</v>
      </c>
      <c r="M58" s="86">
        <f>(Financials!L36+Financials!L29)/Financials!L5</f>
        <v>0.13169892514086493</v>
      </c>
      <c r="N58" s="86">
        <f>(Financials!M36+Financials!M29)/Financials!M5</f>
        <v>0.11348110137631362</v>
      </c>
      <c r="O58" s="86">
        <f>(Financials!N36+Financials!N29)/Financials!N5</f>
        <v>0.11465958223781282</v>
      </c>
      <c r="P58" s="86">
        <f>(Financials!O36+Financials!O29)/Financials!O5</f>
        <v>0.10939505627119428</v>
      </c>
      <c r="Q58" s="86">
        <f>(Financials!P36+Financials!P29)/Financials!P5</f>
        <v>0.11039260934033326</v>
      </c>
      <c r="R58" s="86">
        <f>(Financials!Q36+Financials!Q29)/Financials!Q5</f>
        <v>0.1182488351590846</v>
      </c>
      <c r="S58" s="86">
        <f>(Financials!R36+Financials!R29)/Financials!R5</f>
        <v>0.11865036340485356</v>
      </c>
      <c r="T58" s="86">
        <f>(Financials!S36+Financials!S29)/Financials!S5</f>
        <v>0.10886544582313853</v>
      </c>
      <c r="U58" s="86">
        <f>(Financials!T36+Financials!T29)/Financials!T5</f>
        <v>0.10940845923869368</v>
      </c>
      <c r="V58" s="86">
        <f>(Financials!U36+Financials!U29)/Financials!U5</f>
        <v>0.10039082437968735</v>
      </c>
      <c r="W58" s="86">
        <f>(Financials!V36+Financials!V29)/Financials!V5</f>
        <v>0.11089924927592544</v>
      </c>
      <c r="X58" s="86">
        <f>(Financials!W36+Financials!W29)/Financials!W5</f>
        <v>0.11267068045558959</v>
      </c>
      <c r="Y58" s="86">
        <f>(Financials!X36+Financials!X29)/Financials!X5</f>
        <v>0.10972875492819614</v>
      </c>
      <c r="Z58" s="86">
        <f>(Financials!Y36+Financials!Y29)/Financials!Y5</f>
        <v>0.11631935870845758</v>
      </c>
      <c r="AA58" s="86">
        <f>(Financials!Z36+Financials!Z29)/Financials!Z5</f>
        <v>0.12088182371762024</v>
      </c>
      <c r="AB58" s="86">
        <f>(Financials!AA36+Financials!AA29)/Financials!AA5</f>
        <v>0.12526340709177297</v>
      </c>
      <c r="AC58" s="86">
        <f>(Financials!AB36+Financials!AB29)/Financials!AB5</f>
        <v>0.12768629288451797</v>
      </c>
      <c r="AD58" s="86">
        <f>(Financials!AC36+Financials!AC29)/Financials!AC5</f>
        <v>0.12819081544394773</v>
      </c>
      <c r="AE58" s="86">
        <f>(Financials!AD36+Financials!AD29)/Financials!AD5</f>
        <v>0.1161725049443339</v>
      </c>
      <c r="AF58" s="86">
        <f>(Financials!AE36+Financials!AE29)/Financials!AE5</f>
        <v>0.13108018458960885</v>
      </c>
      <c r="AG58" s="86">
        <f>(Financials!AF36+Financials!AF29)/Financials!AF5</f>
        <v>0.11288912357962889</v>
      </c>
      <c r="AH58" s="86">
        <f>(Financials!AG36+Financials!AG29)/Financials!AG5</f>
        <v>0.1052248428159239</v>
      </c>
      <c r="AI58" s="86">
        <f>(Financials!AH36+Financials!AH29)/Financials!AH5</f>
        <v>0.12062230786116537</v>
      </c>
      <c r="AJ58" s="86">
        <f>(Financials!AI36+Financials!AI29)/Financials!AI5</f>
        <v>0.11888808541285635</v>
      </c>
    </row>
    <row r="76" spans="1:3">
      <c r="A76" s="1">
        <v>0</v>
      </c>
      <c r="C76" s="1"/>
    </row>
  </sheetData>
  <pageMargins left="0.7" right="0.7" top="0.75" bottom="0.75" header="0.3" footer="0.3"/>
  <pageSetup scale="9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N54"/>
  <sheetViews>
    <sheetView tabSelected="1" workbookViewId="0">
      <pane xSplit="3" topLeftCell="AC1" activePane="topRight" state="frozen"/>
      <selection pane="topRight" activeCell="AK20" sqref="AK20:AL23"/>
    </sheetView>
  </sheetViews>
  <sheetFormatPr defaultRowHeight="14.45"/>
  <cols>
    <col min="2" max="2" width="16.5703125" customWidth="1"/>
    <col min="3" max="3" width="14" customWidth="1"/>
    <col min="4" max="5" width="0" hidden="1" customWidth="1"/>
    <col min="6" max="6" width="12.28515625" hidden="1" customWidth="1"/>
    <col min="7" max="7" width="10.7109375" customWidth="1"/>
    <col min="8" max="8" width="9.5703125" customWidth="1"/>
    <col min="9" max="9" width="9.7109375" customWidth="1"/>
    <col min="10" max="10" width="10.5703125" customWidth="1"/>
    <col min="11" max="11" width="10.42578125" customWidth="1"/>
    <col min="12" max="13" width="10.7109375" customWidth="1"/>
    <col min="14" max="14" width="9.7109375" customWidth="1"/>
    <col min="15" max="16" width="10" customWidth="1"/>
    <col min="17" max="17" width="9.42578125" customWidth="1"/>
    <col min="18" max="18" width="9.5703125" customWidth="1"/>
    <col min="19" max="19" width="13.7109375" customWidth="1"/>
    <col min="32" max="32" width="13.140625" customWidth="1"/>
  </cols>
  <sheetData>
    <row r="1" spans="2:40" ht="15" thickBot="1">
      <c r="B1" s="97" t="s">
        <v>87</v>
      </c>
    </row>
    <row r="2" spans="2:40" ht="39">
      <c r="B2" s="178" t="s">
        <v>15</v>
      </c>
      <c r="C2" s="179" t="s">
        <v>16</v>
      </c>
      <c r="D2" s="314">
        <v>44136</v>
      </c>
      <c r="E2" s="314">
        <v>44166</v>
      </c>
      <c r="F2" s="315" t="s">
        <v>88</v>
      </c>
      <c r="G2" s="314">
        <v>44197</v>
      </c>
      <c r="H2" s="314">
        <v>44228</v>
      </c>
      <c r="I2" s="314">
        <v>44256</v>
      </c>
      <c r="J2" s="314">
        <v>44287</v>
      </c>
      <c r="K2" s="314">
        <v>44317</v>
      </c>
      <c r="L2" s="314">
        <v>44348</v>
      </c>
      <c r="M2" s="314">
        <v>44378</v>
      </c>
      <c r="N2" s="314">
        <v>44409</v>
      </c>
      <c r="O2" s="314">
        <v>44440</v>
      </c>
      <c r="P2" s="314">
        <v>44470</v>
      </c>
      <c r="Q2" s="314">
        <v>44501</v>
      </c>
      <c r="R2" s="314">
        <v>44531</v>
      </c>
      <c r="S2" s="315" t="s">
        <v>17</v>
      </c>
      <c r="T2" s="314">
        <v>44562</v>
      </c>
      <c r="U2" s="314">
        <v>44593</v>
      </c>
      <c r="V2" s="314">
        <v>44621</v>
      </c>
      <c r="W2" s="314">
        <v>44652</v>
      </c>
      <c r="X2" s="314">
        <v>44682</v>
      </c>
      <c r="Y2" s="314">
        <v>44713</v>
      </c>
      <c r="Z2" s="314">
        <v>44743</v>
      </c>
      <c r="AA2" s="314">
        <v>44774</v>
      </c>
      <c r="AB2" s="314">
        <v>44805</v>
      </c>
      <c r="AC2" s="314">
        <v>44835</v>
      </c>
      <c r="AD2" s="314">
        <v>44866</v>
      </c>
      <c r="AE2" s="314">
        <v>44896</v>
      </c>
      <c r="AF2" s="314" t="s">
        <v>18</v>
      </c>
      <c r="AG2" s="314">
        <v>44949</v>
      </c>
      <c r="AH2" s="314">
        <v>44980</v>
      </c>
      <c r="AI2" s="314">
        <v>45008</v>
      </c>
      <c r="AJ2" s="314">
        <v>45039</v>
      </c>
      <c r="AK2" s="314">
        <v>45069</v>
      </c>
      <c r="AL2" s="314">
        <v>45100</v>
      </c>
      <c r="AM2" s="314">
        <v>45130</v>
      </c>
      <c r="AN2" s="314">
        <v>45161</v>
      </c>
    </row>
    <row r="3" spans="2:40">
      <c r="B3" s="176" t="s">
        <v>89</v>
      </c>
      <c r="C3" s="177"/>
    </row>
    <row r="4" spans="2:40" ht="15">
      <c r="B4" s="90" t="s">
        <v>1</v>
      </c>
      <c r="C4" s="92" t="s">
        <v>21</v>
      </c>
      <c r="D4" s="181" t="e">
        <f>'Prudential Ratios'!#REF!</f>
        <v>#REF!</v>
      </c>
      <c r="E4" s="181" t="e">
        <f>'Prudential Ratios'!#REF!</f>
        <v>#REF!</v>
      </c>
      <c r="F4" s="181">
        <f>'Prudential Ratios'!D6</f>
        <v>0</v>
      </c>
      <c r="G4" s="181">
        <f>'Prudential Ratios'!E6</f>
        <v>6578.7088703099998</v>
      </c>
      <c r="H4" s="181">
        <f>'Prudential Ratios'!F6</f>
        <v>6664.0025228300001</v>
      </c>
      <c r="I4" s="181">
        <f>'Prudential Ratios'!G6</f>
        <v>6555.7886588700003</v>
      </c>
      <c r="J4" s="181">
        <f>'Prudential Ratios'!H6</f>
        <v>6722.7781720699995</v>
      </c>
      <c r="K4" s="181">
        <f>'Prudential Ratios'!I6</f>
        <v>6916.581521099999</v>
      </c>
      <c r="L4" s="181">
        <f>'Prudential Ratios'!J6</f>
        <v>6899.1974771100004</v>
      </c>
      <c r="M4" s="181">
        <f>'Prudential Ratios'!K6</f>
        <v>7079.1033209599991</v>
      </c>
      <c r="N4" s="181">
        <f>'Prudential Ratios'!L6</f>
        <v>7230.3262221399991</v>
      </c>
      <c r="O4" s="181">
        <f>'Prudential Ratios'!M6</f>
        <v>7485.2025401800001</v>
      </c>
      <c r="P4" s="181">
        <f>'Prudential Ratios'!N6</f>
        <v>7720.9503434699991</v>
      </c>
      <c r="Q4" s="181">
        <f>'Prudential Ratios'!O6</f>
        <v>7927.4780519799997</v>
      </c>
      <c r="R4" s="181">
        <f>'Prudential Ratios'!P6</f>
        <v>8218.0573709300006</v>
      </c>
      <c r="S4" s="181">
        <f>'Prudential Ratios'!Q6</f>
        <v>7683.3689999999997</v>
      </c>
      <c r="T4" s="181">
        <f>'Prudential Ratios'!R6</f>
        <v>8190.399731739999</v>
      </c>
      <c r="U4" s="181">
        <f>'Prudential Ratios'!S6</f>
        <v>8102.7402257199992</v>
      </c>
      <c r="V4" s="181">
        <f>'Prudential Ratios'!T6</f>
        <v>8273.5998448699993</v>
      </c>
      <c r="W4" s="181">
        <f>'Prudential Ratios'!U6</f>
        <v>8698.6904173600014</v>
      </c>
      <c r="X4" s="181">
        <f>'Prudential Ratios'!V6</f>
        <v>8925.053520540001</v>
      </c>
      <c r="Y4" s="181">
        <f>'Prudential Ratios'!W6</f>
        <v>8836.8186723500003</v>
      </c>
      <c r="Z4" s="181">
        <f>'Prudential Ratios'!X6</f>
        <v>9048.4434205699999</v>
      </c>
      <c r="AA4" s="181">
        <f>'Prudential Ratios'!Y6</f>
        <v>9258.7092681200011</v>
      </c>
      <c r="AB4" s="181">
        <f>'Prudential Ratios'!Z6</f>
        <v>9454.3329495800026</v>
      </c>
      <c r="AC4" s="181">
        <f>'Prudential Ratios'!AA6</f>
        <v>9511.2255768600007</v>
      </c>
      <c r="AD4" s="181">
        <f>'Prudential Ratios'!AB6</f>
        <v>9744.2422688200004</v>
      </c>
      <c r="AE4" s="181">
        <f>'Prudential Ratios'!AC6</f>
        <v>9945.5061892699996</v>
      </c>
      <c r="AF4" s="181">
        <f>'Prudential Ratios'!AD6</f>
        <v>8837.9539999999997</v>
      </c>
      <c r="AG4" s="181">
        <f>'Prudential Ratios'!AE6</f>
        <v>9977.0100007800011</v>
      </c>
      <c r="AH4" s="181">
        <f>'Prudential Ratios'!AF6</f>
        <v>9312.1649078800019</v>
      </c>
      <c r="AI4" s="181">
        <f>'Prudential Ratios'!AG6</f>
        <v>8714.6262629700013</v>
      </c>
      <c r="AJ4" s="181">
        <f>'Prudential Ratios'!AH6</f>
        <v>8869.2160714399997</v>
      </c>
      <c r="AK4" s="181">
        <f>'Prudential Ratios'!AI6</f>
        <v>9140.3975269599996</v>
      </c>
      <c r="AL4" s="181">
        <f>'Prudential Ratios'!AJ6</f>
        <v>8931.2173012999992</v>
      </c>
    </row>
    <row r="5" spans="2:40" ht="15">
      <c r="B5" s="90" t="s">
        <v>90</v>
      </c>
      <c r="C5" s="92" t="s">
        <v>23</v>
      </c>
      <c r="D5" s="182" t="e">
        <f>'Prudential Ratios'!#REF!</f>
        <v>#REF!</v>
      </c>
      <c r="E5" s="182" t="e">
        <f>'Prudential Ratios'!#REF!</f>
        <v>#REF!</v>
      </c>
      <c r="F5" s="182">
        <f>'Prudential Ratios'!D7</f>
        <v>0</v>
      </c>
      <c r="G5" s="182">
        <f>'Prudential Ratios'!E7</f>
        <v>0.15865783416092355</v>
      </c>
      <c r="H5" s="182">
        <f>'Prudential Ratios'!F7</f>
        <v>0.15884834388877636</v>
      </c>
      <c r="I5" s="182">
        <f>'Prudential Ratios'!G7</f>
        <v>0.15934179445352883</v>
      </c>
      <c r="J5" s="182">
        <f>'Prudential Ratios'!H7</f>
        <v>0.16194355763931262</v>
      </c>
      <c r="K5" s="182">
        <f>'Prudential Ratios'!I7</f>
        <v>0.16491152384831551</v>
      </c>
      <c r="L5" s="182">
        <f>'Prudential Ratios'!J7</f>
        <v>0.16266766175515204</v>
      </c>
      <c r="M5" s="182">
        <f>'Prudential Ratios'!K7</f>
        <v>0.16547489131210327</v>
      </c>
      <c r="N5" s="182">
        <f>'Prudential Ratios'!L7</f>
        <v>0.16552830963360521</v>
      </c>
      <c r="O5" s="182">
        <f>'Prudential Ratios'!M7</f>
        <v>0.16715381053583478</v>
      </c>
      <c r="P5" s="182">
        <f>'Prudential Ratios'!N7</f>
        <v>0.1695834859985059</v>
      </c>
      <c r="Q5" s="182">
        <f>'Prudential Ratios'!O7</f>
        <v>0.17155111442719803</v>
      </c>
      <c r="R5" s="182">
        <f>'Prudential Ratios'!P7</f>
        <v>0.17569933564993281</v>
      </c>
      <c r="S5" s="182">
        <f>'Prudential Ratios'!Q7</f>
        <v>0.16159547031140789</v>
      </c>
      <c r="T5" s="182">
        <f>'Prudential Ratios'!R7</f>
        <v>0.17335719775572644</v>
      </c>
      <c r="U5" s="182">
        <f>'Prudential Ratios'!S7</f>
        <v>0.17082658299546974</v>
      </c>
      <c r="V5" s="182">
        <f>'Prudential Ratios'!T7</f>
        <v>0.175331234754945</v>
      </c>
      <c r="W5" s="182">
        <f>'Prudential Ratios'!U7</f>
        <v>0.18080522705528024</v>
      </c>
      <c r="X5" s="182">
        <f>'Prudential Ratios'!V7</f>
        <v>0.18283756367699855</v>
      </c>
      <c r="Y5" s="182">
        <f>'Prudential Ratios'!W7</f>
        <v>0.17944143456982126</v>
      </c>
      <c r="Z5" s="182">
        <f>'Prudential Ratios'!X7</f>
        <v>0.18141924422403966</v>
      </c>
      <c r="AA5" s="182">
        <f>'Prudential Ratios'!Y7</f>
        <v>0.18282728442002977</v>
      </c>
      <c r="AB5" s="182">
        <f>'Prudential Ratios'!Z7</f>
        <v>0.18346927818859252</v>
      </c>
      <c r="AC5" s="182">
        <f>'Prudential Ratios'!AA7</f>
        <v>0.18095149090178744</v>
      </c>
      <c r="AD5" s="182">
        <f>'Prudential Ratios'!AB7</f>
        <v>0.18222268376178291</v>
      </c>
      <c r="AE5" s="182">
        <f>'Prudential Ratios'!AC7</f>
        <v>0.18295222033030994</v>
      </c>
      <c r="AF5" s="182">
        <f>'Prudential Ratios'!AD7</f>
        <v>0.16432438992360784</v>
      </c>
      <c r="AG5" s="182">
        <f>'Prudential Ratios'!AE7</f>
        <v>0.1822421550317318</v>
      </c>
      <c r="AH5" s="182">
        <f>'Prudential Ratios'!AF7</f>
        <v>0.16709572304690976</v>
      </c>
      <c r="AI5" s="182">
        <f>'Prudential Ratios'!AG7</f>
        <v>0.16297627349063928</v>
      </c>
      <c r="AJ5" s="182">
        <f>'Prudential Ratios'!AH7</f>
        <v>0.16605476113518375</v>
      </c>
      <c r="AK5" s="182">
        <f>'Prudential Ratios'!AI7</f>
        <v>0.16943356391144945</v>
      </c>
      <c r="AL5" s="182">
        <f>'Prudential Ratios'!AJ7</f>
        <v>0.1644925614658159</v>
      </c>
    </row>
    <row r="6" spans="2:40" ht="15">
      <c r="B6" s="90" t="s">
        <v>91</v>
      </c>
      <c r="C6" s="92" t="s">
        <v>25</v>
      </c>
      <c r="D6" s="182" t="e">
        <f>'Prudential Ratios'!#REF!</f>
        <v>#REF!</v>
      </c>
      <c r="E6" s="182" t="e">
        <f>'Prudential Ratios'!#REF!</f>
        <v>#REF!</v>
      </c>
      <c r="F6" s="182">
        <f>'Prudential Ratios'!D10</f>
        <v>0</v>
      </c>
      <c r="G6" s="182">
        <f>'Prudential Ratios'!E10</f>
        <v>0.10939765952080754</v>
      </c>
      <c r="H6" s="182">
        <f>'Prudential Ratios'!F10</f>
        <v>0.10964818158388481</v>
      </c>
      <c r="I6" s="182">
        <f>'Prudential Ratios'!G10</f>
        <v>0.10754572557269949</v>
      </c>
      <c r="J6" s="182">
        <f>'Prudential Ratios'!H10</f>
        <v>0.10994410590862208</v>
      </c>
      <c r="K6" s="182">
        <f>'Prudential Ratios'!I10</f>
        <v>0.11291036622326396</v>
      </c>
      <c r="L6" s="182">
        <f>'Prudential Ratios'!J10</f>
        <v>0.11067999486480715</v>
      </c>
      <c r="M6" s="182">
        <f>'Prudential Ratios'!K10</f>
        <v>0.11307687552134479</v>
      </c>
      <c r="N6" s="182">
        <f>'Prudential Ratios'!L10</f>
        <v>0.11351695502200779</v>
      </c>
      <c r="O6" s="182">
        <f>'Prudential Ratios'!M10</f>
        <v>0.1158296526645456</v>
      </c>
      <c r="P6" s="182">
        <f>'Prudential Ratios'!N10</f>
        <v>0.11847378722739969</v>
      </c>
      <c r="Q6" s="182">
        <f>'Prudential Ratios'!O10</f>
        <v>0.12062126319449588</v>
      </c>
      <c r="R6" s="182">
        <f>'Prudential Ratios'!P10</f>
        <v>0.12475631406820072</v>
      </c>
      <c r="S6" s="182">
        <f>'Prudential Ratios'!Q10</f>
        <v>0.11148121793681204</v>
      </c>
      <c r="T6" s="182">
        <f>'Prudential Ratios'!R10</f>
        <v>0.12234687423586085</v>
      </c>
      <c r="U6" s="182">
        <f>'Prudential Ratios'!S10</f>
        <v>0.11847435581049021</v>
      </c>
      <c r="V6" s="182">
        <f>'Prudential Ratios'!T10</f>
        <v>0.12187899929754917</v>
      </c>
      <c r="W6" s="182">
        <f>'Prudential Ratios'!U10</f>
        <v>0.12763164455601372</v>
      </c>
      <c r="X6" s="182">
        <f>'Prudential Ratios'!V10</f>
        <v>0.12966255147973357</v>
      </c>
      <c r="Y6" s="182">
        <f>'Prudential Ratios'!W10</f>
        <v>0.12578624350239925</v>
      </c>
      <c r="Z6" s="182">
        <f>'Prudential Ratios'!X10</f>
        <v>0.12733280592585716</v>
      </c>
      <c r="AA6" s="182">
        <f>'Prudential Ratios'!Y10</f>
        <v>0.12846531315178505</v>
      </c>
      <c r="AB6" s="182">
        <f>'Prudential Ratios'!Z10</f>
        <v>0.12878982814779202</v>
      </c>
      <c r="AC6" s="182">
        <f>'Prudential Ratios'!AA10</f>
        <v>0.12620243737037959</v>
      </c>
      <c r="AD6" s="182">
        <f>'Prudential Ratios'!AB10</f>
        <v>0.12736902421583138</v>
      </c>
      <c r="AE6" s="182">
        <f>'Prudential Ratios'!AC10</f>
        <v>0.12800494695343312</v>
      </c>
      <c r="AF6" s="182">
        <f>'Prudential Ratios'!AD10</f>
        <v>0.10878697515247342</v>
      </c>
      <c r="AG6" s="182">
        <f>'Prudential Ratios'!AE10</f>
        <v>0.12697832490786126</v>
      </c>
      <c r="AH6" s="182">
        <f>'Prudential Ratios'!AF10</f>
        <v>0.11228044179210575</v>
      </c>
      <c r="AI6" s="182">
        <f>'Prudential Ratios'!AG10</f>
        <v>0.10456238994479911</v>
      </c>
      <c r="AJ6" s="182">
        <f>'Prudential Ratios'!AH10</f>
        <v>0.1066664918031445</v>
      </c>
      <c r="AK6" s="182">
        <f>'Prudential Ratios'!AI10</f>
        <v>0.10968619528857093</v>
      </c>
      <c r="AL6" s="182">
        <f>'Prudential Ratios'!AJ10</f>
        <v>0.10438881106808111</v>
      </c>
    </row>
    <row r="7" spans="2:40" ht="15">
      <c r="B7" s="90" t="s">
        <v>92</v>
      </c>
      <c r="C7" s="92" t="s">
        <v>25</v>
      </c>
      <c r="D7" s="182" t="e">
        <f>'Prudential Ratios'!#REF!</f>
        <v>#REF!</v>
      </c>
      <c r="E7" s="182" t="e">
        <f>'Prudential Ratios'!#REF!</f>
        <v>#REF!</v>
      </c>
      <c r="F7" s="182">
        <f>'Prudential Ratios'!D8</f>
        <v>0</v>
      </c>
      <c r="G7" s="182">
        <f>'Prudential Ratios'!E8</f>
        <v>0.21071152741295318</v>
      </c>
      <c r="H7" s="182">
        <f>'Prudential Ratios'!F8</f>
        <v>0.21273765901904454</v>
      </c>
      <c r="I7" s="182">
        <f>'Prudential Ratios'!G8</f>
        <v>0.20080789758332462</v>
      </c>
      <c r="J7" s="182">
        <f>'Prudential Ratios'!H8</f>
        <v>0.20518068491193384</v>
      </c>
      <c r="K7" s="182">
        <f>'Prudential Ratios'!I8</f>
        <v>0.21123958075091245</v>
      </c>
      <c r="L7" s="182">
        <f>'Prudential Ratios'!J8</f>
        <v>0.20953859436004521</v>
      </c>
      <c r="M7" s="182">
        <f>'Prudential Ratios'!K8</f>
        <v>0.21630413812453089</v>
      </c>
      <c r="N7" s="182">
        <f>'Prudential Ratios'!L8</f>
        <v>0.21829935455252869</v>
      </c>
      <c r="O7" s="182">
        <f>'Prudential Ratios'!M8</f>
        <v>0.22215351535601496</v>
      </c>
      <c r="P7" s="182">
        <f>'Prudential Ratios'!N8</f>
        <v>0.22741736820168587</v>
      </c>
      <c r="Q7" s="182">
        <f>'Prudential Ratios'!O8</f>
        <v>0.23171850403335384</v>
      </c>
      <c r="R7" s="182">
        <f>'Prudential Ratios'!P8</f>
        <v>0.24020370376270986</v>
      </c>
      <c r="S7" s="182">
        <f>'Prudential Ratios'!Q8</f>
        <v>0.22457542070356162</v>
      </c>
      <c r="T7" s="182">
        <f>'Prudential Ratios'!R8</f>
        <v>0.23694222139897225</v>
      </c>
      <c r="U7" s="182">
        <f>'Prudential Ratios'!S8</f>
        <v>0.21877779839785824</v>
      </c>
      <c r="V7" s="182">
        <f>'Prudential Ratios'!T8</f>
        <v>0.22661875818336119</v>
      </c>
      <c r="W7" s="182">
        <f>'Prudential Ratios'!U8</f>
        <v>0.2369047269737668</v>
      </c>
      <c r="X7" s="182">
        <f>'Prudential Ratios'!V8</f>
        <v>0.24170272455675004</v>
      </c>
      <c r="Y7" s="182">
        <f>'Prudential Ratios'!W8</f>
        <v>0.23753922502271868</v>
      </c>
      <c r="Z7" s="182">
        <f>'Prudential Ratios'!X8</f>
        <v>0.242571929846886</v>
      </c>
      <c r="AA7" s="182">
        <f>'Prudential Ratios'!Y8</f>
        <v>0.24573997277113221</v>
      </c>
      <c r="AB7" s="182">
        <f>'Prudential Ratios'!Z8</f>
        <v>0.24825166845487354</v>
      </c>
      <c r="AC7" s="182">
        <f>'Prudential Ratios'!AA8</f>
        <v>0.24679138327435807</v>
      </c>
      <c r="AD7" s="182">
        <f>'Prudential Ratios'!AB8</f>
        <v>0.24989179087732244</v>
      </c>
      <c r="AE7" s="182">
        <f>'Prudential Ratios'!AC8</f>
        <v>0.25223883719747642</v>
      </c>
      <c r="AF7" s="182">
        <f>'Prudential Ratios'!AD8</f>
        <v>0.22414899721460832</v>
      </c>
      <c r="AG7" s="182">
        <f>'Prudential Ratios'!AE8</f>
        <v>0.25217236811338234</v>
      </c>
      <c r="AH7" s="182">
        <f>'Prudential Ratios'!AF8</f>
        <v>0.23265405400690992</v>
      </c>
      <c r="AI7" s="182">
        <f>'Prudential Ratios'!AG8</f>
        <v>0.20988505493354456</v>
      </c>
      <c r="AJ7" s="182">
        <f>'Prudential Ratios'!AH8</f>
        <v>0.21556143924101248</v>
      </c>
      <c r="AK7" s="182">
        <f>'Prudential Ratios'!AI8</f>
        <v>0.22305593304706725</v>
      </c>
      <c r="AL7" s="182">
        <f>'Prudential Ratios'!AJ8</f>
        <v>0.21805422391155793</v>
      </c>
    </row>
    <row r="8" spans="2:40">
      <c r="B8" s="94" t="s">
        <v>93</v>
      </c>
      <c r="C8" s="95"/>
      <c r="D8" s="96"/>
      <c r="E8" s="96"/>
      <c r="F8" s="96"/>
      <c r="G8" s="96"/>
      <c r="H8" s="96"/>
      <c r="I8" s="96"/>
      <c r="J8" s="96"/>
      <c r="K8" s="96"/>
      <c r="L8" s="96"/>
      <c r="M8" s="96"/>
      <c r="N8" s="96"/>
      <c r="O8" s="96"/>
      <c r="P8" s="96"/>
      <c r="Q8" s="96"/>
      <c r="R8" s="96"/>
      <c r="S8" s="96"/>
      <c r="T8" s="96"/>
      <c r="U8" s="96"/>
      <c r="V8" s="96"/>
      <c r="W8" s="96"/>
      <c r="X8" s="96"/>
      <c r="Y8" s="96"/>
      <c r="Z8" s="96"/>
      <c r="AA8" s="96"/>
      <c r="AB8" s="96"/>
      <c r="AC8" s="96"/>
      <c r="AD8" s="96"/>
      <c r="AE8" s="96"/>
      <c r="AF8" s="96"/>
    </row>
    <row r="9" spans="2:40">
      <c r="B9" s="90" t="s">
        <v>94</v>
      </c>
      <c r="C9" s="92" t="s">
        <v>39</v>
      </c>
      <c r="D9" s="183"/>
      <c r="E9" s="183"/>
      <c r="F9" s="183"/>
      <c r="G9" s="183"/>
      <c r="H9" s="183"/>
      <c r="I9" s="183"/>
      <c r="J9" s="183"/>
      <c r="K9" s="183"/>
      <c r="L9" s="183"/>
      <c r="M9" s="183"/>
      <c r="N9" s="183"/>
      <c r="O9" s="183"/>
      <c r="P9" s="183"/>
      <c r="Q9" s="183"/>
      <c r="R9" s="183"/>
      <c r="S9" s="183"/>
      <c r="T9" s="183"/>
      <c r="U9" s="183"/>
      <c r="V9" s="183"/>
      <c r="W9" s="183"/>
      <c r="X9" s="183"/>
      <c r="Y9" s="183"/>
      <c r="Z9" s="183"/>
      <c r="AA9" s="183"/>
      <c r="AB9" s="183"/>
      <c r="AC9" s="183"/>
      <c r="AD9" s="183"/>
      <c r="AE9" s="183"/>
      <c r="AF9" s="183"/>
    </row>
    <row r="10" spans="2:40">
      <c r="B10" s="94" t="s">
        <v>82</v>
      </c>
      <c r="C10" s="95"/>
      <c r="D10" s="180"/>
      <c r="E10" s="180"/>
      <c r="F10" s="180"/>
      <c r="G10" s="180"/>
      <c r="H10" s="180"/>
      <c r="I10" s="180"/>
      <c r="J10" s="180"/>
      <c r="K10" s="180"/>
      <c r="L10" s="180"/>
      <c r="M10" s="180"/>
      <c r="N10" s="180"/>
      <c r="O10" s="180"/>
      <c r="P10" s="180"/>
      <c r="Q10" s="180"/>
      <c r="R10" s="180"/>
      <c r="S10" s="180"/>
      <c r="T10" s="180"/>
      <c r="U10" s="180"/>
      <c r="V10" s="180"/>
      <c r="W10" s="180"/>
      <c r="X10" s="180"/>
      <c r="Y10" s="180"/>
      <c r="Z10" s="180"/>
      <c r="AA10" s="180"/>
      <c r="AB10" s="180"/>
      <c r="AC10" s="180"/>
      <c r="AD10" s="180"/>
      <c r="AE10" s="180"/>
      <c r="AF10" s="180"/>
    </row>
    <row r="11" spans="2:40" ht="15">
      <c r="B11" s="90" t="s">
        <v>83</v>
      </c>
      <c r="C11" s="88"/>
      <c r="D11" s="183" t="e">
        <f>'Prudential Ratios'!#REF!</f>
        <v>#REF!</v>
      </c>
      <c r="E11" s="183" t="e">
        <f>'Prudential Ratios'!#REF!</f>
        <v>#REF!</v>
      </c>
      <c r="F11" s="183">
        <f>'Prudential Ratios'!D55</f>
        <v>0</v>
      </c>
      <c r="G11" s="183">
        <f>'Prudential Ratios'!E55</f>
        <v>-1.9118408584221742E-10</v>
      </c>
      <c r="H11" s="183">
        <f>'Prudential Ratios'!F55</f>
        <v>-1.761670091101469E-10</v>
      </c>
      <c r="I11" s="183">
        <f>'Prudential Ratios'!G55</f>
        <v>-1.5994000075817573E-10</v>
      </c>
      <c r="J11" s="183">
        <f>'Prudential Ratios'!H55</f>
        <v>-1.4539702249467842E-10</v>
      </c>
      <c r="K11" s="183">
        <f>'Prudential Ratios'!I55</f>
        <v>-1.2803343818878286E-10</v>
      </c>
      <c r="L11" s="183">
        <f>'Prudential Ratios'!J55</f>
        <v>-1.1085142768017374E-10</v>
      </c>
      <c r="M11" s="183">
        <f>'Prudential Ratios'!K55</f>
        <v>-9.4039311807189236E-11</v>
      </c>
      <c r="N11" s="183">
        <f>'Prudential Ratios'!L55</f>
        <v>-7.7374613023448186E-11</v>
      </c>
      <c r="O11" s="183">
        <f>'Prudential Ratios'!M55</f>
        <v>-6.0541424172629362E-11</v>
      </c>
      <c r="P11" s="183">
        <f>'Prudential Ratios'!N55</f>
        <v>-4.441497873820333E-11</v>
      </c>
      <c r="Q11" s="183">
        <f>'Prudential Ratios'!O55</f>
        <v>-2.9139991832496214E-11</v>
      </c>
      <c r="R11" s="183">
        <f>'Prudential Ratios'!P55</f>
        <v>-1.436837453072226E-11</v>
      </c>
      <c r="S11" s="183">
        <f>'Prudential Ratios'!Q55</f>
        <v>2.1811794343338513E-2</v>
      </c>
      <c r="T11" s="183">
        <f>'Prudential Ratios'!R55</f>
        <v>2.5648635354992701E-3</v>
      </c>
      <c r="U11" s="183">
        <f>'Prudential Ratios'!S55</f>
        <v>4.9599201779302838E-3</v>
      </c>
      <c r="V11" s="183">
        <f>'Prudential Ratios'!T55</f>
        <v>6.8924260278877547E-3</v>
      </c>
      <c r="W11" s="183">
        <f>'Prudential Ratios'!U55</f>
        <v>1.2472804357934519E-2</v>
      </c>
      <c r="X11" s="183">
        <f>'Prudential Ratios'!V55</f>
        <v>1.495617719665834E-2</v>
      </c>
      <c r="Y11" s="183">
        <f>'Prudential Ratios'!W55</f>
        <v>1.2997182485485191E-2</v>
      </c>
      <c r="Z11" s="183">
        <f>'Prudential Ratios'!X55</f>
        <v>1.507474468735715E-2</v>
      </c>
      <c r="AA11" s="183">
        <f>'Prudential Ratios'!Y55</f>
        <v>1.7022196705053633E-2</v>
      </c>
      <c r="AB11" s="183">
        <f>'Prudential Ratios'!Z55</f>
        <v>1.8514751478357881E-2</v>
      </c>
      <c r="AC11" s="183">
        <f>'Prudential Ratios'!AA55</f>
        <v>1.8195753107413896E-2</v>
      </c>
      <c r="AD11" s="183">
        <f>'Prudential Ratios'!AB55</f>
        <v>2.0147238732753786E-2</v>
      </c>
      <c r="AE11" s="183">
        <f>'Prudential Ratios'!AC55</f>
        <v>2.1438943295282769E-2</v>
      </c>
      <c r="AF11" s="183">
        <f>'Prudential Ratios'!AD55</f>
        <v>1.3524409463177739E-2</v>
      </c>
      <c r="AG11" s="183">
        <f>'Prudential Ratios'!AE55</f>
        <v>3.4796517000940364E-3</v>
      </c>
      <c r="AH11" s="183">
        <f>'Prudential Ratios'!AF55</f>
        <v>5.0239768090099349E-3</v>
      </c>
      <c r="AI11" s="183">
        <f>'Prudential Ratios'!AG55</f>
        <v>-3.0454462777183815E-3</v>
      </c>
      <c r="AJ11" s="183">
        <f>'Prudential Ratios'!AH55</f>
        <v>-1.7445662234750767E-3</v>
      </c>
      <c r="AK11" s="183">
        <f>'Prudential Ratios'!AI55</f>
        <v>1.0741895762892155E-3</v>
      </c>
      <c r="AL11" s="183">
        <f>'Prudential Ratios'!AJ55</f>
        <v>-1.9981103882128403E-3</v>
      </c>
    </row>
    <row r="12" spans="2:40" ht="15">
      <c r="B12" s="90" t="s">
        <v>95</v>
      </c>
      <c r="C12" s="88"/>
      <c r="D12" s="183" t="e">
        <f>'Prudential Ratios'!#REF!</f>
        <v>#REF!</v>
      </c>
      <c r="E12" s="183" t="e">
        <f>'Prudential Ratios'!#REF!</f>
        <v>#REF!</v>
      </c>
      <c r="F12" s="183">
        <f>'Prudential Ratios'!D56</f>
        <v>0</v>
      </c>
      <c r="G12" s="183" t="e">
        <f>'Prudential Ratios'!E56</f>
        <v>#DIV/0!</v>
      </c>
      <c r="H12" s="183" t="e">
        <f>'Prudential Ratios'!F56</f>
        <v>#DIV/0!</v>
      </c>
      <c r="I12" s="183" t="e">
        <f>'Prudential Ratios'!G56</f>
        <v>#DIV/0!</v>
      </c>
      <c r="J12" s="183" t="e">
        <f>'Prudential Ratios'!H56</f>
        <v>#DIV/0!</v>
      </c>
      <c r="K12" s="183" t="e">
        <f>'Prudential Ratios'!I56</f>
        <v>#DIV/0!</v>
      </c>
      <c r="L12" s="183" t="e">
        <f>'Prudential Ratios'!J56</f>
        <v>#DIV/0!</v>
      </c>
      <c r="M12" s="183" t="e">
        <f>'Prudential Ratios'!K56</f>
        <v>#DIV/0!</v>
      </c>
      <c r="N12" s="183" t="e">
        <f>'Prudential Ratios'!L56</f>
        <v>#DIV/0!</v>
      </c>
      <c r="O12" s="183" t="e">
        <f>'Prudential Ratios'!M56</f>
        <v>#DIV/0!</v>
      </c>
      <c r="P12" s="183" t="e">
        <f>'Prudential Ratios'!N56</f>
        <v>#DIV/0!</v>
      </c>
      <c r="Q12" s="183" t="e">
        <f>'Prudential Ratios'!O56</f>
        <v>#DIV/0!</v>
      </c>
      <c r="R12" s="183" t="e">
        <f>'Prudential Ratios'!P56</f>
        <v>#DIV/0!</v>
      </c>
      <c r="S12" s="183">
        <f>'Prudential Ratios'!Q56</f>
        <v>0.41960215257282923</v>
      </c>
      <c r="T12" s="183">
        <f>'Prudential Ratios'!R56</f>
        <v>0.39993830925875784</v>
      </c>
      <c r="U12" s="183">
        <f>'Prudential Ratios'!S56</f>
        <v>0.4003141394196687</v>
      </c>
      <c r="V12" s="183">
        <f>'Prudential Ratios'!T56</f>
        <v>0.44792343991807149</v>
      </c>
      <c r="W12" s="183">
        <f>'Prudential Ratios'!U56</f>
        <v>0.46050146058049235</v>
      </c>
      <c r="X12" s="183">
        <f>'Prudential Ratios'!V56</f>
        <v>0.45329400752234472</v>
      </c>
      <c r="Y12" s="183">
        <f>'Prudential Ratios'!W56</f>
        <v>0.47028807618620844</v>
      </c>
      <c r="Z12" s="183">
        <f>'Prudential Ratios'!X56</f>
        <v>0.47775917135826085</v>
      </c>
      <c r="AA12" s="183">
        <f>'Prudential Ratios'!Y56</f>
        <v>0.48074899360321482</v>
      </c>
      <c r="AB12" s="183">
        <f>'Prudential Ratios'!Z56</f>
        <v>0.49007384832580042</v>
      </c>
      <c r="AC12" s="183">
        <f>'Prudential Ratios'!AA56</f>
        <v>0.47784944649208944</v>
      </c>
      <c r="AD12" s="183">
        <f>'Prudential Ratios'!AB56</f>
        <v>0.47986089181897723</v>
      </c>
      <c r="AE12" s="183">
        <f>'Prudential Ratios'!AC56</f>
        <v>0.48666616507517219</v>
      </c>
      <c r="AF12" s="183">
        <f>'Prudential Ratios'!AD56</f>
        <v>0.49778682354633863</v>
      </c>
      <c r="AG12" s="183">
        <f>'Prudential Ratios'!AE56</f>
        <v>0.32415700893664728</v>
      </c>
      <c r="AH12" s="183">
        <f>'Prudential Ratios'!AF56</f>
        <v>0.4029056713810929</v>
      </c>
      <c r="AI12" s="183">
        <f>'Prudential Ratios'!AG56</f>
        <v>0.48749839598605099</v>
      </c>
      <c r="AJ12" s="183">
        <f>'Prudential Ratios'!AH56</f>
        <v>0.51351814710696042</v>
      </c>
      <c r="AK12" s="183">
        <f>'Prudential Ratios'!AI56</f>
        <v>0.49456329692480355</v>
      </c>
      <c r="AL12" s="183">
        <f>'Prudential Ratios'!AJ56</f>
        <v>0.48272104358789347</v>
      </c>
    </row>
    <row r="13" spans="2:40" ht="15">
      <c r="B13" s="90" t="s">
        <v>96</v>
      </c>
      <c r="C13" s="88"/>
      <c r="D13" s="183" t="e">
        <f>'Prudential Ratios'!#REF!</f>
        <v>#REF!</v>
      </c>
      <c r="E13" s="183" t="e">
        <f>'Prudential Ratios'!#REF!</f>
        <v>#REF!</v>
      </c>
      <c r="F13" s="183">
        <f>'Prudential Ratios'!D57</f>
        <v>0</v>
      </c>
      <c r="G13" s="183">
        <f>'Prudential Ratios'!E57</f>
        <v>0</v>
      </c>
      <c r="H13" s="183">
        <f>'Prudential Ratios'!F57</f>
        <v>0</v>
      </c>
      <c r="I13" s="183">
        <f>'Prudential Ratios'!G57</f>
        <v>0</v>
      </c>
      <c r="J13" s="183">
        <f>'Prudential Ratios'!H57</f>
        <v>0</v>
      </c>
      <c r="K13" s="183">
        <f>'Prudential Ratios'!I57</f>
        <v>0</v>
      </c>
      <c r="L13" s="183">
        <f>'Prudential Ratios'!J57</f>
        <v>0</v>
      </c>
      <c r="M13" s="183">
        <f>'Prudential Ratios'!K57</f>
        <v>0</v>
      </c>
      <c r="N13" s="183">
        <f>'Prudential Ratios'!L57</f>
        <v>0</v>
      </c>
      <c r="O13" s="183">
        <f>'Prudential Ratios'!M57</f>
        <v>0</v>
      </c>
      <c r="P13" s="183">
        <f>'Prudential Ratios'!N57</f>
        <v>0</v>
      </c>
      <c r="Q13" s="183">
        <f>'Prudential Ratios'!O57</f>
        <v>0</v>
      </c>
      <c r="R13" s="183">
        <f>'Prudential Ratios'!P57</f>
        <v>0</v>
      </c>
      <c r="S13" s="183">
        <f>'Prudential Ratios'!Q57</f>
        <v>3.3990205004390081E-2</v>
      </c>
      <c r="T13" s="183">
        <f>'Prudential Ratios'!R57</f>
        <v>2.5751000030582762E-3</v>
      </c>
      <c r="U13" s="183">
        <f>'Prudential Ratios'!S57</f>
        <v>4.9533801240281795E-3</v>
      </c>
      <c r="V13" s="183">
        <f>'Prudential Ratios'!T57</f>
        <v>8.4171157424207596E-3</v>
      </c>
      <c r="W13" s="183">
        <f>'Prudential Ratios'!U57</f>
        <v>1.1330097976772749E-2</v>
      </c>
      <c r="X13" s="183">
        <f>'Prudential Ratios'!V57</f>
        <v>1.4176014298984086E-2</v>
      </c>
      <c r="Y13" s="183">
        <f>'Prudential Ratios'!W57</f>
        <v>1.7967428717787681E-2</v>
      </c>
      <c r="Z13" s="183">
        <f>'Prudential Ratios'!X57</f>
        <v>2.1285256939226029E-2</v>
      </c>
      <c r="AA13" s="183">
        <f>'Prudential Ratios'!Y57</f>
        <v>2.417234372771486E-2</v>
      </c>
      <c r="AB13" s="183">
        <f>'Prudential Ratios'!Z57</f>
        <v>2.7170123512865924E-2</v>
      </c>
      <c r="AC13" s="183">
        <f>'Prudential Ratios'!AA57</f>
        <v>2.9661780597794684E-2</v>
      </c>
      <c r="AD13" s="183">
        <f>'Prudential Ratios'!AB57</f>
        <v>3.2528601177557258E-2</v>
      </c>
      <c r="AE13" s="183">
        <f>'Prudential Ratios'!AC57</f>
        <v>3.5175120947717423E-2</v>
      </c>
      <c r="AF13" s="183">
        <f>'Prudential Ratios'!AD57</f>
        <v>3.5251651040451616E-2</v>
      </c>
      <c r="AG13" s="183">
        <f>'Prudential Ratios'!AE57</f>
        <v>2.4741001224622403E-3</v>
      </c>
      <c r="AH13" s="183">
        <f>'Prudential Ratios'!AF57</f>
        <v>5.0252631941308515E-3</v>
      </c>
      <c r="AI13" s="183">
        <f>'Prudential Ratios'!AG57</f>
        <v>8.8335294946782113E-3</v>
      </c>
      <c r="AJ13" s="183">
        <f>'Prudential Ratios'!AH57</f>
        <v>1.2012794048401285E-2</v>
      </c>
      <c r="AK13" s="183">
        <f>'Prudential Ratios'!AI57</f>
        <v>1.51282312920232E-2</v>
      </c>
      <c r="AL13" s="183">
        <f>'Prudential Ratios'!AJ57</f>
        <v>1.8698524069581297E-2</v>
      </c>
    </row>
    <row r="14" spans="2:40">
      <c r="B14" s="94" t="s">
        <v>97</v>
      </c>
      <c r="C14" s="95"/>
      <c r="D14" s="96"/>
      <c r="E14" s="96"/>
      <c r="F14" s="96"/>
      <c r="G14" s="96"/>
      <c r="H14" s="96"/>
      <c r="I14" s="96"/>
      <c r="J14" s="96"/>
      <c r="K14" s="96"/>
      <c r="L14" s="96"/>
      <c r="M14" s="96"/>
      <c r="N14" s="96"/>
      <c r="O14" s="96"/>
      <c r="P14" s="96"/>
      <c r="Q14" s="96"/>
      <c r="R14" s="96"/>
      <c r="S14" s="96"/>
      <c r="T14" s="96"/>
      <c r="U14" s="96"/>
      <c r="V14" s="96"/>
      <c r="W14" s="96"/>
      <c r="X14" s="96"/>
      <c r="Y14" s="96"/>
      <c r="Z14" s="96"/>
      <c r="AA14" s="96"/>
      <c r="AB14" s="96"/>
      <c r="AC14" s="96"/>
      <c r="AD14" s="96"/>
      <c r="AE14" s="96"/>
      <c r="AF14" s="96"/>
    </row>
    <row r="15" spans="2:40" ht="15">
      <c r="B15" s="90" t="s">
        <v>98</v>
      </c>
      <c r="C15" s="84">
        <v>0.15</v>
      </c>
      <c r="D15" s="184" t="e">
        <f>'Prudential Ratios'!#REF!</f>
        <v>#REF!</v>
      </c>
      <c r="E15" s="184" t="e">
        <f>'Prudential Ratios'!#REF!</f>
        <v>#REF!</v>
      </c>
      <c r="F15" s="184">
        <f>'Prudential Ratios'!D47</f>
        <v>0</v>
      </c>
      <c r="G15" s="184">
        <f>'Prudential Ratios'!E47</f>
        <v>0.19203639539690923</v>
      </c>
      <c r="H15" s="184">
        <f>'Prudential Ratios'!F47</f>
        <v>0.19261705961940609</v>
      </c>
      <c r="I15" s="184">
        <f>'Prudential Ratios'!G47</f>
        <v>0.19469053388440968</v>
      </c>
      <c r="J15" s="184">
        <f>'Prudential Ratios'!H47</f>
        <v>0.17994745230781514</v>
      </c>
      <c r="K15" s="184">
        <f>'Prudential Ratios'!I47</f>
        <v>0.18302274204913857</v>
      </c>
      <c r="L15" s="184">
        <f>'Prudential Ratios'!J47</f>
        <v>0.1896988136932036</v>
      </c>
      <c r="M15" s="184">
        <f>'Prudential Ratios'!K47</f>
        <v>0.19398707977789828</v>
      </c>
      <c r="N15" s="184">
        <f>'Prudential Ratios'!L47</f>
        <v>0.21202261740842834</v>
      </c>
      <c r="O15" s="184">
        <f>'Prudential Ratios'!M47</f>
        <v>0.20035305591763058</v>
      </c>
      <c r="P15" s="184">
        <f>'Prudential Ratios'!N47</f>
        <v>0.17222544349769145</v>
      </c>
      <c r="Q15" s="184">
        <f>'Prudential Ratios'!O47</f>
        <v>0.17354211990882354</v>
      </c>
      <c r="R15" s="184">
        <f>'Prudential Ratios'!P47</f>
        <v>0.16462496458449616</v>
      </c>
      <c r="S15" s="184">
        <f>'Prudential Ratios'!Q47</f>
        <v>0.16905759336837309</v>
      </c>
      <c r="T15" s="184">
        <f>'Prudential Ratios'!R47</f>
        <v>0.17722189489026552</v>
      </c>
      <c r="U15" s="184">
        <f>'Prudential Ratios'!S47</f>
        <v>0.18865351802194744</v>
      </c>
      <c r="V15" s="184">
        <f>'Prudential Ratios'!T47</f>
        <v>0.16908773521396109</v>
      </c>
      <c r="W15" s="184">
        <f>'Prudential Ratios'!U47</f>
        <v>0.17039426413398923</v>
      </c>
      <c r="X15" s="184">
        <f>'Prudential Ratios'!V47</f>
        <v>0.15569253710007294</v>
      </c>
      <c r="Y15" s="184">
        <f>'Prudential Ratios'!W47</f>
        <v>0.17050965605856275</v>
      </c>
      <c r="Z15" s="184">
        <f>'Prudential Ratios'!X47</f>
        <v>0.17188506638658269</v>
      </c>
      <c r="AA15" s="184">
        <f>'Prudential Ratios'!Y47</f>
        <v>0.16721813170364905</v>
      </c>
      <c r="AB15" s="184">
        <f>'Prudential Ratios'!Z47</f>
        <v>0.17714749555243933</v>
      </c>
      <c r="AC15" s="184">
        <f>'Prudential Ratios'!AA47</f>
        <v>0.18275411819675466</v>
      </c>
      <c r="AD15" s="184">
        <f>'Prudential Ratios'!AB47</f>
        <v>0.19007682681392807</v>
      </c>
      <c r="AE15" s="184">
        <f>'Prudential Ratios'!AC47</f>
        <v>0.19387315635292765</v>
      </c>
      <c r="AF15" s="184">
        <f>'Prudential Ratios'!AD47</f>
        <v>0.19196363178223619</v>
      </c>
      <c r="AG15" s="184">
        <f>'Prudential Ratios'!AE47</f>
        <v>0.17565129659890141</v>
      </c>
      <c r="AH15" s="184">
        <f>'Prudential Ratios'!AF47</f>
        <v>0.19581938908091884</v>
      </c>
      <c r="AI15" s="184">
        <f>'Prudential Ratios'!AG47</f>
        <v>0.17307379620761107</v>
      </c>
      <c r="AJ15" s="184">
        <f>'Prudential Ratios'!AH47</f>
        <v>0.15934271425040245</v>
      </c>
      <c r="AK15" s="184">
        <f>'Prudential Ratios'!AI47</f>
        <v>0.18102149701740716</v>
      </c>
      <c r="AL15" s="184">
        <f>'Prudential Ratios'!AJ47</f>
        <v>0.17620899956069919</v>
      </c>
    </row>
    <row r="16" spans="2:40" ht="15">
      <c r="B16" s="90" t="s">
        <v>99</v>
      </c>
      <c r="C16" s="84"/>
      <c r="D16" s="184" t="e">
        <f>'Prudential Ratios'!#REF!</f>
        <v>#REF!</v>
      </c>
      <c r="E16" s="184" t="e">
        <f>'Prudential Ratios'!#REF!</f>
        <v>#REF!</v>
      </c>
      <c r="F16" s="184">
        <f>'Prudential Ratios'!D48</f>
        <v>0</v>
      </c>
      <c r="G16" s="184">
        <f>'Prudential Ratios'!E48</f>
        <v>0.15173395520006397</v>
      </c>
      <c r="H16" s="184">
        <f>'Prudential Ratios'!F48</f>
        <v>0.15299789236933201</v>
      </c>
      <c r="I16" s="184">
        <f>'Prudential Ratios'!G48</f>
        <v>0.1489150997359345</v>
      </c>
      <c r="J16" s="184">
        <f>'Prudential Ratios'!H48</f>
        <v>0.1384640707375655</v>
      </c>
      <c r="K16" s="184">
        <f>'Prudential Ratios'!I48</f>
        <v>0.14211174662873141</v>
      </c>
      <c r="L16" s="184">
        <f>'Prudential Ratios'!J48</f>
        <v>0.14747728471709362</v>
      </c>
      <c r="M16" s="184">
        <f>'Prudential Ratios'!K48</f>
        <v>0.15386577697047712</v>
      </c>
      <c r="N16" s="184">
        <f>'Prudential Ratios'!L48</f>
        <v>0.16796553376349857</v>
      </c>
      <c r="O16" s="184">
        <f>'Prudential Ratios'!M48</f>
        <v>0.15846928980761144</v>
      </c>
      <c r="P16" s="184">
        <f>'Prudential Ratios'!N48</f>
        <v>0.13694116249037161</v>
      </c>
      <c r="Q16" s="184">
        <f>'Prudential Ratios'!O48</f>
        <v>0.13868284766347144</v>
      </c>
      <c r="R16" s="184">
        <f>'Prudential Ratios'!P48</f>
        <v>0.13305580398307199</v>
      </c>
      <c r="S16" s="184">
        <f>'Prudential Ratios'!Q48</f>
        <v>0.13660985154200272</v>
      </c>
      <c r="T16" s="184">
        <f>'Prudential Ratios'!R48</f>
        <v>0.14327429206705633</v>
      </c>
      <c r="U16" s="184">
        <f>'Prudential Ratios'!S48</f>
        <v>0.14332042059249067</v>
      </c>
      <c r="V16" s="184">
        <f>'Prudential Ratios'!T48</f>
        <v>0.13221892352912376</v>
      </c>
      <c r="W16" s="184">
        <f>'Prudential Ratios'!U48</f>
        <v>0.13402659165172609</v>
      </c>
      <c r="X16" s="184">
        <f>'Prudential Ratios'!V48</f>
        <v>0.12327815705503699</v>
      </c>
      <c r="Y16" s="184">
        <f>'Prudential Ratios'!W48</f>
        <v>0.13560822373387393</v>
      </c>
      <c r="Z16" s="184">
        <f>'Prudential Ratios'!X48</f>
        <v>0.13809796760419094</v>
      </c>
      <c r="AA16" s="184">
        <f>'Prudential Ratios'!Y48</f>
        <v>0.13471352588798144</v>
      </c>
      <c r="AB16" s="184">
        <f>'Prudential Ratios'!Z48</f>
        <v>0.1429049142570599</v>
      </c>
      <c r="AC16" s="184">
        <f>'Prudential Ratios'!AA48</f>
        <v>0.14803846351214625</v>
      </c>
      <c r="AD16" s="184">
        <f>'Prudential Ratios'!AB48</f>
        <v>0.1541653140336236</v>
      </c>
      <c r="AE16" s="184">
        <f>'Prudential Ratios'!AC48</f>
        <v>0.15730456433600354</v>
      </c>
      <c r="AF16" s="184">
        <f>'Prudential Ratios'!AD48</f>
        <v>0.15584792785574023</v>
      </c>
      <c r="AG16" s="184">
        <f>'Prudential Ratios'!AE48</f>
        <v>0.1429818008301959</v>
      </c>
      <c r="AH16" s="184">
        <f>'Prudential Ratios'!AF48</f>
        <v>0.15979608243286322</v>
      </c>
      <c r="AI16" s="184">
        <f>'Prudential Ratios'!AG48</f>
        <v>0.13579443081298695</v>
      </c>
      <c r="AJ16" s="184">
        <f>'Prudential Ratios'!AH48</f>
        <v>0.12704047631364168</v>
      </c>
      <c r="AK16" s="184">
        <f>'Prudential Ratios'!AI48</f>
        <v>0.14621021206542578</v>
      </c>
      <c r="AL16" s="184">
        <f>'Prudential Ratios'!AJ48</f>
        <v>0.14323737167352249</v>
      </c>
    </row>
    <row r="17" spans="2:38" ht="15">
      <c r="B17" s="90" t="s">
        <v>100</v>
      </c>
      <c r="C17" s="92" t="s">
        <v>56</v>
      </c>
      <c r="D17" s="184" t="e">
        <f>'Prudential Ratios'!#REF!</f>
        <v>#REF!</v>
      </c>
      <c r="E17" s="184" t="e">
        <f>'Prudential Ratios'!#REF!</f>
        <v>#REF!</v>
      </c>
      <c r="F17" s="184">
        <f>'Prudential Ratios'!D27</f>
        <v>0</v>
      </c>
      <c r="G17" s="184">
        <f>'Prudential Ratios'!E27</f>
        <v>0</v>
      </c>
      <c r="H17" s="184">
        <f>'Prudential Ratios'!F27</f>
        <v>0</v>
      </c>
      <c r="I17" s="184">
        <f>'Prudential Ratios'!G27</f>
        <v>0</v>
      </c>
      <c r="J17" s="184">
        <f>'Prudential Ratios'!H27</f>
        <v>0</v>
      </c>
      <c r="K17" s="184">
        <f>'Prudential Ratios'!I27</f>
        <v>0</v>
      </c>
      <c r="L17" s="184">
        <f>'Prudential Ratios'!J27</f>
        <v>0</v>
      </c>
      <c r="M17" s="184">
        <f>'Prudential Ratios'!K27</f>
        <v>0</v>
      </c>
      <c r="N17" s="184">
        <f>'Prudential Ratios'!L27</f>
        <v>1.5803761423563438E-3</v>
      </c>
      <c r="O17" s="184">
        <f>'Prudential Ratios'!M27</f>
        <v>1.5415542128510171E-3</v>
      </c>
      <c r="P17" s="184">
        <f>'Prudential Ratios'!N27</f>
        <v>1.4997176077172641E-3</v>
      </c>
      <c r="Q17" s="184">
        <f>'Prudential Ratios'!O27</f>
        <v>1.4450993310197141E-3</v>
      </c>
      <c r="R17" s="184">
        <f>'Prudential Ratios'!P27</f>
        <v>1.4277105055728373E-3</v>
      </c>
      <c r="S17" s="184">
        <f>'Prudential Ratios'!Q27</f>
        <v>1.4042756448665154E-3</v>
      </c>
      <c r="T17" s="184">
        <f>'Prudential Ratios'!R27</f>
        <v>1.3811865808957848E-3</v>
      </c>
      <c r="U17" s="184">
        <f>'Prudential Ratios'!S27</f>
        <v>1.3755505554625877E-3</v>
      </c>
      <c r="V17" s="184">
        <f>'Prudential Ratios'!T27</f>
        <v>1.3664226068979993E-3</v>
      </c>
      <c r="W17" s="184">
        <f>'Prudential Ratios'!U27</f>
        <v>2.9446905558041269E-3</v>
      </c>
      <c r="X17" s="184">
        <f>'Prudential Ratios'!V27</f>
        <v>2.8864304522055262E-3</v>
      </c>
      <c r="Y17" s="184">
        <f>'Prudential Ratios'!W27</f>
        <v>2.834462828866121E-3</v>
      </c>
      <c r="Z17" s="184">
        <f>'Prudential Ratios'!X27</f>
        <v>2.7722692103108407E-3</v>
      </c>
      <c r="AA17" s="184">
        <f>'Prudential Ratios'!Y27</f>
        <v>2.7041729571005771E-3</v>
      </c>
      <c r="AB17" s="184">
        <f>'Prudential Ratios'!Z27</f>
        <v>2.6317852293407935E-3</v>
      </c>
      <c r="AC17" s="184">
        <f>'Prudential Ratios'!AA27</f>
        <v>2.5547655327581281E-3</v>
      </c>
      <c r="AD17" s="184">
        <f>'Prudential Ratios'!AB27</f>
        <v>5.3128350836791115E-3</v>
      </c>
      <c r="AE17" s="184">
        <f>'Prudential Ratios'!AC27</f>
        <v>5.2014187717573657E-3</v>
      </c>
      <c r="AF17" s="184">
        <f>'Prudential Ratios'!AD27</f>
        <v>5.2572736713553539E-3</v>
      </c>
      <c r="AG17" s="184">
        <f>'Prudential Ratios'!AE27</f>
        <v>5.1277173675308048E-3</v>
      </c>
      <c r="AH17" s="184">
        <f>'Prudential Ratios'!AF27</f>
        <v>5.0005571675808096E-3</v>
      </c>
      <c r="AI17" s="184">
        <f>'Prudential Ratios'!AG27</f>
        <v>5.1725589232444946E-3</v>
      </c>
      <c r="AJ17" s="184">
        <f>'Prudential Ratios'!AH27</f>
        <v>5.1390497887860492E-3</v>
      </c>
      <c r="AK17" s="184">
        <f>'Prudential Ratios'!AI27</f>
        <v>5.0512165012774057E-3</v>
      </c>
      <c r="AL17" s="184">
        <f>'Prudential Ratios'!AJ27</f>
        <v>4.9804886544299477E-3</v>
      </c>
    </row>
    <row r="18" spans="2:38" ht="15">
      <c r="B18" s="90" t="s">
        <v>101</v>
      </c>
      <c r="C18" s="88"/>
      <c r="D18" s="184" t="e">
        <f>'Prudential Ratios'!#REF!</f>
        <v>#REF!</v>
      </c>
      <c r="E18" s="184" t="e">
        <f>'Prudential Ratios'!#REF!</f>
        <v>#REF!</v>
      </c>
      <c r="F18" s="184">
        <f>'Prudential Ratios'!D58</f>
        <v>0.12148195174941562</v>
      </c>
      <c r="G18" s="184">
        <f>'Prudential Ratios'!E58</f>
        <v>0.12762157301261917</v>
      </c>
      <c r="H18" s="184">
        <f>'Prudential Ratios'!F58</f>
        <v>0.12865595955587036</v>
      </c>
      <c r="I18" s="184">
        <f>'Prudential Ratios'!G58</f>
        <v>0.12514851982199249</v>
      </c>
      <c r="J18" s="184">
        <f>'Prudential Ratios'!H58</f>
        <v>0.11600552193561961</v>
      </c>
      <c r="K18" s="184">
        <f>'Prudential Ratios'!I58</f>
        <v>0.11864013902758541</v>
      </c>
      <c r="L18" s="184">
        <f>'Prudential Ratios'!J58</f>
        <v>0.123450819746989</v>
      </c>
      <c r="M18" s="184">
        <f>'Prudential Ratios'!K58</f>
        <v>0.12836691434041864</v>
      </c>
      <c r="N18" s="184">
        <f>'Prudential Ratios'!L58</f>
        <v>0.13985647070351173</v>
      </c>
      <c r="O18" s="184">
        <f>'Prudential Ratios'!M58</f>
        <v>0.13169892514086493</v>
      </c>
      <c r="P18" s="184">
        <f>'Prudential Ratios'!N58</f>
        <v>0.11348110137631362</v>
      </c>
      <c r="Q18" s="184">
        <f>'Prudential Ratios'!O58</f>
        <v>0.11465958223781282</v>
      </c>
      <c r="R18" s="184">
        <f>'Prudential Ratios'!P58</f>
        <v>0.10939505627119428</v>
      </c>
      <c r="S18" s="184">
        <f>'Prudential Ratios'!Q58</f>
        <v>0.11039260934033326</v>
      </c>
      <c r="T18" s="184">
        <f>'Prudential Ratios'!R58</f>
        <v>0.1182488351590846</v>
      </c>
      <c r="U18" s="184">
        <f>'Prudential Ratios'!S58</f>
        <v>0.11865036340485356</v>
      </c>
      <c r="V18" s="184">
        <f>'Prudential Ratios'!T58</f>
        <v>0.10886544582313853</v>
      </c>
      <c r="W18" s="184">
        <f>'Prudential Ratios'!U58</f>
        <v>0.10940845923869368</v>
      </c>
      <c r="X18" s="184">
        <f>'Prudential Ratios'!V58</f>
        <v>0.10039082437968735</v>
      </c>
      <c r="Y18" s="184">
        <f>'Prudential Ratios'!W58</f>
        <v>0.11089924927592544</v>
      </c>
      <c r="Z18" s="184">
        <f>'Prudential Ratios'!X58</f>
        <v>0.11267068045558959</v>
      </c>
      <c r="AA18" s="184">
        <f>'Prudential Ratios'!Y58</f>
        <v>0.10972875492819614</v>
      </c>
      <c r="AB18" s="184">
        <f>'Prudential Ratios'!Z58</f>
        <v>0.11631935870845758</v>
      </c>
      <c r="AC18" s="184">
        <f>'Prudential Ratios'!AA58</f>
        <v>0.12088182371762024</v>
      </c>
      <c r="AD18" s="184">
        <f>'Prudential Ratios'!AB58</f>
        <v>0.12526340709177297</v>
      </c>
      <c r="AE18" s="184">
        <f>'Prudential Ratios'!AC58</f>
        <v>0.12768629288451797</v>
      </c>
      <c r="AF18" s="184">
        <f>'Prudential Ratios'!AD58</f>
        <v>0.12819081544394773</v>
      </c>
      <c r="AG18" s="184">
        <f>'Prudential Ratios'!AE58</f>
        <v>0.1161725049443339</v>
      </c>
      <c r="AH18" s="184">
        <f>'Prudential Ratios'!AF58</f>
        <v>0.13108018458960885</v>
      </c>
      <c r="AI18" s="184">
        <f>'Prudential Ratios'!AG58</f>
        <v>0.11288912357962889</v>
      </c>
      <c r="AJ18" s="184">
        <f>'Prudential Ratios'!AH58</f>
        <v>0.1052248428159239</v>
      </c>
      <c r="AK18" s="184">
        <f>'Prudential Ratios'!AI58</f>
        <v>0.12062230786116537</v>
      </c>
      <c r="AL18" s="184">
        <f>'Prudential Ratios'!AJ58</f>
        <v>0.11888808541285635</v>
      </c>
    </row>
    <row r="19" spans="2:38" ht="15">
      <c r="B19" s="94" t="s">
        <v>102</v>
      </c>
      <c r="C19" s="95"/>
      <c r="D19" s="96"/>
      <c r="E19" s="96"/>
      <c r="F19" s="96"/>
      <c r="G19" s="96"/>
      <c r="H19" s="96"/>
      <c r="I19" s="96"/>
      <c r="J19" s="96"/>
      <c r="K19" s="96"/>
      <c r="L19" s="96"/>
      <c r="M19" s="96"/>
      <c r="N19" s="96"/>
      <c r="O19" s="96"/>
      <c r="P19" s="96"/>
      <c r="Q19" s="96"/>
      <c r="R19" s="96"/>
      <c r="S19" s="96"/>
      <c r="T19" s="96"/>
      <c r="U19" s="96"/>
      <c r="V19" s="96"/>
      <c r="W19" s="96"/>
      <c r="X19" s="96"/>
      <c r="Y19" s="96"/>
      <c r="Z19" s="96"/>
      <c r="AA19" s="96"/>
      <c r="AB19" s="96"/>
      <c r="AC19" s="96"/>
      <c r="AD19" s="96"/>
      <c r="AE19" s="96"/>
      <c r="AF19" s="96"/>
    </row>
    <row r="20" spans="2:38" ht="15">
      <c r="B20" s="90" t="s">
        <v>103</v>
      </c>
      <c r="C20" s="92" t="s">
        <v>33</v>
      </c>
      <c r="D20" s="184" t="e">
        <f>'Prudential Ratios'!#REF!</f>
        <v>#REF!</v>
      </c>
      <c r="E20" s="184" t="e">
        <f>'Prudential Ratios'!#REF!</f>
        <v>#REF!</v>
      </c>
      <c r="F20" s="184">
        <f>'Prudential Ratios'!D14</f>
        <v>0</v>
      </c>
      <c r="G20" s="184">
        <f>'Prudential Ratios'!E14</f>
        <v>3.5368552640099818E-2</v>
      </c>
      <c r="H20" s="184">
        <f>'Prudential Ratios'!F14</f>
        <v>4.0774312307791834E-2</v>
      </c>
      <c r="I20" s="184">
        <f>'Prudential Ratios'!G14</f>
        <v>3.3083895105368383E-2</v>
      </c>
      <c r="J20" s="184">
        <f>'Prudential Ratios'!H14</f>
        <v>4.0344571446352853E-2</v>
      </c>
      <c r="K20" s="184">
        <f>'Prudential Ratios'!I14</f>
        <v>3.9739293675773224E-2</v>
      </c>
      <c r="L20" s="184">
        <f>'Prudential Ratios'!J14</f>
        <v>4.0677021027676126E-2</v>
      </c>
      <c r="M20" s="184">
        <f>'Prudential Ratios'!K14</f>
        <v>4.5702626976518931E-2</v>
      </c>
      <c r="N20" s="184">
        <f>'Prudential Ratios'!L14</f>
        <v>4.5025494197898745E-2</v>
      </c>
      <c r="O20" s="184">
        <f>'Prudential Ratios'!M14</f>
        <v>4.5058875449534443E-2</v>
      </c>
      <c r="P20" s="184">
        <f>'Prudential Ratios'!N14</f>
        <v>4.692363727000419E-2</v>
      </c>
      <c r="Q20" s="184">
        <f>'Prudential Ratios'!O14</f>
        <v>4.6114003029818863E-2</v>
      </c>
      <c r="R20" s="184">
        <f>'Prudential Ratios'!P14</f>
        <v>4.8913991307589687E-2</v>
      </c>
      <c r="S20" s="184">
        <f>'Prudential Ratios'!Q14</f>
        <v>5.8240433720509376E-2</v>
      </c>
      <c r="T20" s="184">
        <f>'Prudential Ratios'!R14</f>
        <v>5.0326457261043032E-2</v>
      </c>
      <c r="U20" s="184">
        <f>'Prudential Ratios'!S14</f>
        <v>5.3170745978364874E-2</v>
      </c>
      <c r="V20" s="184">
        <f>'Prudential Ratios'!T14</f>
        <v>4.9246587752028032E-2</v>
      </c>
      <c r="W20" s="184">
        <f>'Prudential Ratios'!U14</f>
        <v>5.0284707369422879E-2</v>
      </c>
      <c r="X20" s="184">
        <f>'Prudential Ratios'!V14</f>
        <v>5.0663919697332874E-2</v>
      </c>
      <c r="Y20" s="184">
        <f>'Prudential Ratios'!W14</f>
        <v>4.8084253230382561E-2</v>
      </c>
      <c r="Z20" s="184">
        <f>'Prudential Ratios'!X14</f>
        <v>4.8031587521996606E-2</v>
      </c>
      <c r="AA20" s="184">
        <f>'Prudential Ratios'!Y14</f>
        <v>4.7376913505563528E-2</v>
      </c>
      <c r="AB20" s="184">
        <f>'Prudential Ratios'!Z14</f>
        <v>4.6483860224069522E-2</v>
      </c>
      <c r="AC20" s="184">
        <f>'Prudential Ratios'!AA14</f>
        <v>4.975710036036101E-2</v>
      </c>
      <c r="AD20" s="184">
        <f>'Prudential Ratios'!AB14</f>
        <v>4.8178474192124753E-2</v>
      </c>
      <c r="AE20" s="184">
        <f>'Prudential Ratios'!AC14</f>
        <v>4.5870531274285774E-2</v>
      </c>
      <c r="AF20" s="184">
        <f>'Prudential Ratios'!AD14</f>
        <v>4.3979894353397421E-2</v>
      </c>
      <c r="AG20" s="184">
        <f>'Prudential Ratios'!AE14</f>
        <v>5.0266035376231227E-2</v>
      </c>
      <c r="AH20" s="184">
        <f>'Prudential Ratios'!AF14</f>
        <v>4.7690529859905198E-2</v>
      </c>
      <c r="AI20" s="184">
        <f>'Prudential Ratios'!AG14</f>
        <v>4.2452241557885642E-2</v>
      </c>
      <c r="AJ20" s="184">
        <f>'Prudential Ratios'!AH14</f>
        <v>4.1997154961680522E-2</v>
      </c>
      <c r="AK20" s="184">
        <f>'Prudential Ratios'!AI14</f>
        <v>3.622362281253317E-2</v>
      </c>
      <c r="AL20" s="184">
        <f>'Prudential Ratios'!AJ14</f>
        <v>4.8769960288804821E-2</v>
      </c>
    </row>
    <row r="21" spans="2:38" ht="15">
      <c r="B21" s="90" t="s">
        <v>104</v>
      </c>
      <c r="C21" s="92" t="s">
        <v>36</v>
      </c>
      <c r="D21" s="184" t="e">
        <f>'Prudential Ratios'!#REF!</f>
        <v>#REF!</v>
      </c>
      <c r="E21" s="184" t="e">
        <f>'Prudential Ratios'!#REF!</f>
        <v>#REF!</v>
      </c>
      <c r="F21" s="184">
        <f>'Prudential Ratios'!D15</f>
        <v>0</v>
      </c>
      <c r="G21" s="184">
        <f>'Prudential Ratios'!E15</f>
        <v>5.512639308855388E-3</v>
      </c>
      <c r="H21" s="184">
        <f>'Prudential Ratios'!F15</f>
        <v>5.4400205112733893E-3</v>
      </c>
      <c r="I21" s="184">
        <f>'Prudential Ratios'!G15</f>
        <v>5.5423733332345404E-3</v>
      </c>
      <c r="J21" s="184">
        <f>'Prudential Ratios'!H15</f>
        <v>5.4591736618012652E-3</v>
      </c>
      <c r="K21" s="184">
        <f>'Prudential Ratios'!I15</f>
        <v>5.3447842520892089E-3</v>
      </c>
      <c r="L21" s="184">
        <f>'Prudential Ratios'!J15</f>
        <v>5.2457842511654876E-3</v>
      </c>
      <c r="M21" s="184">
        <f>'Prudential Ratios'!K15</f>
        <v>5.166933459565622E-3</v>
      </c>
      <c r="N21" s="184">
        <f>'Prudential Ratios'!L15</f>
        <v>5.0875011622014323E-3</v>
      </c>
      <c r="O21" s="184">
        <f>'Prudential Ratios'!M15</f>
        <v>5.3134795911407833E-3</v>
      </c>
      <c r="P21" s="184">
        <f>'Prudential Ratios'!N15</f>
        <v>5.1831700628193061E-3</v>
      </c>
      <c r="Q21" s="184">
        <f>'Prudential Ratios'!O15</f>
        <v>5.0831069026878225E-3</v>
      </c>
      <c r="R21" s="184">
        <f>'Prudential Ratios'!P15</f>
        <v>8.0458602471491156E-3</v>
      </c>
      <c r="S21" s="184">
        <f>'Prudential Ratios'!Q15</f>
        <v>7.9125187738187022E-3</v>
      </c>
      <c r="T21" s="184">
        <f>'Prudential Ratios'!R15</f>
        <v>7.9605928666764969E-3</v>
      </c>
      <c r="U21" s="184">
        <f>'Prudential Ratios'!S15</f>
        <v>7.942152957158919E-3</v>
      </c>
      <c r="V21" s="184">
        <f>'Prudential Ratios'!T15</f>
        <v>7.742656208042379E-3</v>
      </c>
      <c r="W21" s="184">
        <f>'Prudential Ratios'!U15</f>
        <v>7.5596053056907996E-3</v>
      </c>
      <c r="X21" s="184">
        <f>'Prudential Ratios'!V15</f>
        <v>7.4168709549701055E-3</v>
      </c>
      <c r="Y21" s="184">
        <f>'Prudential Ratios'!W15</f>
        <v>7.3046847126112865E-3</v>
      </c>
      <c r="Z21" s="184">
        <f>'Prudential Ratios'!X15</f>
        <v>7.1061186860840713E-3</v>
      </c>
      <c r="AA21" s="184">
        <f>'Prudential Ratios'!Y15</f>
        <v>6.9020038860606973E-3</v>
      </c>
      <c r="AB21" s="184">
        <f>'Prudential Ratios'!Z15</f>
        <v>6.6859126509058739E-3</v>
      </c>
      <c r="AC21" s="184">
        <f>'Prudential Ratios'!AA15</f>
        <v>6.4947495420918976E-3</v>
      </c>
      <c r="AD21" s="184">
        <f>'Prudential Ratios'!AB15</f>
        <v>6.5500433918173704E-3</v>
      </c>
      <c r="AE21" s="184">
        <f>'Prudential Ratios'!AC15</f>
        <v>6.332275753535125E-3</v>
      </c>
      <c r="AF21" s="184">
        <f>'Prudential Ratios'!AD15</f>
        <v>6.3891246898829029E-3</v>
      </c>
      <c r="AG21" s="184">
        <f>'Prudential Ratios'!AE15</f>
        <v>7.2086302693270977E-3</v>
      </c>
      <c r="AH21" s="184">
        <f>'Prudential Ratios'!AF15</f>
        <v>7.2143297332531338E-3</v>
      </c>
      <c r="AI21" s="184">
        <f>'Prudential Ratios'!AG15</f>
        <v>7.6447455474833777E-3</v>
      </c>
      <c r="AJ21" s="184">
        <f>'Prudential Ratios'!AH15</f>
        <v>7.9084399731035194E-3</v>
      </c>
      <c r="AK21" s="184">
        <f>'Prudential Ratios'!AI15</f>
        <v>8.0000974366666571E-3</v>
      </c>
      <c r="AL21" s="184">
        <f>'Prudential Ratios'!AJ15</f>
        <v>8.1536804777256958E-3</v>
      </c>
    </row>
    <row r="22" spans="2:38" ht="15">
      <c r="B22" s="90" t="s">
        <v>105</v>
      </c>
      <c r="C22" s="92" t="s">
        <v>36</v>
      </c>
      <c r="D22" s="184" t="e">
        <f>'Prudential Ratios'!#REF!</f>
        <v>#REF!</v>
      </c>
      <c r="E22" s="184" t="e">
        <f>'Prudential Ratios'!#REF!</f>
        <v>#REF!</v>
      </c>
      <c r="F22" s="184">
        <f>'Prudential Ratios'!D19</f>
        <v>0</v>
      </c>
      <c r="G22" s="184">
        <f>'Prudential Ratios'!E19</f>
        <v>1.8499490340720206E-2</v>
      </c>
      <c r="H22" s="184">
        <f>'Prudential Ratios'!F19</f>
        <v>1.8438607801360613E-2</v>
      </c>
      <c r="I22" s="184">
        <f>'Prudential Ratios'!G19</f>
        <v>1.7691880460741407E-2</v>
      </c>
      <c r="J22" s="184">
        <f>'Prudential Ratios'!H19</f>
        <v>1.762808328552002E-2</v>
      </c>
      <c r="K22" s="184">
        <f>'Prudential Ratios'!I19</f>
        <v>1.7640197872926807E-2</v>
      </c>
      <c r="L22" s="184">
        <f>'Prudential Ratios'!J19</f>
        <v>1.7542211944577911E-2</v>
      </c>
      <c r="M22" s="184">
        <f>'Prudential Ratios'!K19</f>
        <v>1.764846688940519E-2</v>
      </c>
      <c r="N22" s="184">
        <f>'Prudential Ratios'!L19</f>
        <v>1.7438764727548319E-2</v>
      </c>
      <c r="O22" s="184">
        <f>'Prudential Ratios'!M19</f>
        <v>1.714236717017199E-2</v>
      </c>
      <c r="P22" s="184">
        <f>'Prudential Ratios'!N19</f>
        <v>1.7012730773588031E-2</v>
      </c>
      <c r="Q22" s="184">
        <f>'Prudential Ratios'!O19</f>
        <v>1.6882832949545755E-2</v>
      </c>
      <c r="R22" s="184">
        <f>'Prudential Ratios'!P19</f>
        <v>1.7433980525914466E-2</v>
      </c>
      <c r="S22" s="184">
        <f>'Prudential Ratios'!Q19</f>
        <v>6.3540947912959181E-2</v>
      </c>
      <c r="T22" s="184">
        <f>'Prudential Ratios'!R19</f>
        <v>1.7065380497460533E-2</v>
      </c>
      <c r="U22" s="184">
        <f>'Prudential Ratios'!S19</f>
        <v>1.5927585675181113E-2</v>
      </c>
      <c r="V22" s="184">
        <f>'Prudential Ratios'!T19</f>
        <v>1.615768825844334E-2</v>
      </c>
      <c r="W22" s="184">
        <f>'Prudential Ratios'!U19</f>
        <v>1.6065615364106851E-2</v>
      </c>
      <c r="X22" s="184">
        <f>'Prudential Ratios'!V19</f>
        <v>1.5975257320209484E-2</v>
      </c>
      <c r="Y22" s="184">
        <f>'Prudential Ratios'!W19</f>
        <v>1.5856916736520933E-2</v>
      </c>
      <c r="Z22" s="184">
        <f>'Prudential Ratios'!X19</f>
        <v>1.5814048901936169E-2</v>
      </c>
      <c r="AA22" s="184">
        <f>'Prudential Ratios'!Y19</f>
        <v>1.5656835065459562E-2</v>
      </c>
      <c r="AB22" s="184">
        <f>'Prudential Ratios'!Z19</f>
        <v>1.496416710082229E-2</v>
      </c>
      <c r="AC22" s="184">
        <f>'Prudential Ratios'!AA19</f>
        <v>1.478710824423264E-2</v>
      </c>
      <c r="AD22" s="184">
        <f>'Prudential Ratios'!AB19</f>
        <v>1.4614749362526524E-2</v>
      </c>
      <c r="AE22" s="184">
        <f>'Prudential Ratios'!AC19</f>
        <v>1.4159137100301629E-2</v>
      </c>
      <c r="AF22" s="184">
        <f>'Prudential Ratios'!AD19</f>
        <v>0.1842023844170238</v>
      </c>
      <c r="AG22" s="184">
        <f>'Prudential Ratios'!AE19</f>
        <v>1.4110682975334275E-2</v>
      </c>
      <c r="AH22" s="184">
        <f>'Prudential Ratios'!AF19</f>
        <v>1.3947967015340571E-2</v>
      </c>
      <c r="AI22" s="184">
        <f>'Prudential Ratios'!AG19</f>
        <v>1.344570857658503E-2</v>
      </c>
      <c r="AJ22" s="184">
        <f>'Prudential Ratios'!AH19</f>
        <v>1.356865451721259E-2</v>
      </c>
      <c r="AK22" s="184">
        <f>'Prudential Ratios'!AI19</f>
        <v>1.3623843329960032E-2</v>
      </c>
      <c r="AL22" s="184">
        <f>'Prudential Ratios'!AJ19</f>
        <v>1.3630280490072295E-2</v>
      </c>
    </row>
    <row r="23" spans="2:38" ht="15">
      <c r="B23" s="91" t="s">
        <v>106</v>
      </c>
      <c r="C23" s="93" t="s">
        <v>45</v>
      </c>
      <c r="D23" s="185" t="e">
        <f>'Prudential Ratios'!#REF!</f>
        <v>#REF!</v>
      </c>
      <c r="E23" s="185" t="e">
        <f>'Prudential Ratios'!#REF!</f>
        <v>#REF!</v>
      </c>
      <c r="F23" s="185">
        <f>'Prudential Ratios'!D20</f>
        <v>0</v>
      </c>
      <c r="G23" s="185">
        <f>'Prudential Ratios'!E20</f>
        <v>8.779534070988361E-2</v>
      </c>
      <c r="H23" s="185">
        <f>'Prudential Ratios'!F20</f>
        <v>8.6672984399579031E-2</v>
      </c>
      <c r="I23" s="185">
        <f>'Prudential Ratios'!G20</f>
        <v>8.8103509242709002E-2</v>
      </c>
      <c r="J23" s="185">
        <f>'Prudential Ratios'!H20</f>
        <v>8.5914925632918221E-2</v>
      </c>
      <c r="K23" s="185">
        <f>'Prudential Ratios'!I20</f>
        <v>8.3508014029471195E-2</v>
      </c>
      <c r="L23" s="185">
        <f>'Prudential Ratios'!J20</f>
        <v>8.3718285875467605E-2</v>
      </c>
      <c r="M23" s="185">
        <f>'Prudential Ratios'!K20</f>
        <v>8.1590981302653548E-2</v>
      </c>
      <c r="N23" s="185">
        <f>'Prudential Ratios'!L20</f>
        <v>7.9884637145604037E-2</v>
      </c>
      <c r="O23" s="185">
        <f>'Prudential Ratios'!M20</f>
        <v>7.7164510058282315E-2</v>
      </c>
      <c r="P23" s="185">
        <f>'Prudential Ratios'!N20</f>
        <v>7.4808405831608388E-2</v>
      </c>
      <c r="Q23" s="185">
        <f>'Prudential Ratios'!O20</f>
        <v>7.2859235044585038E-2</v>
      </c>
      <c r="R23" s="185">
        <f>'Prudential Ratios'!P20</f>
        <v>7.25799821269075E-2</v>
      </c>
      <c r="S23" s="185">
        <f>'Prudential Ratios'!Q20</f>
        <v>0.28293812258658929</v>
      </c>
      <c r="T23" s="185">
        <f>'Prudential Ratios'!R20</f>
        <v>7.2023383577235908E-2</v>
      </c>
      <c r="U23" s="185">
        <f>'Prudential Ratios'!S20</f>
        <v>7.280256859617909E-2</v>
      </c>
      <c r="V23" s="185">
        <f>'Prudential Ratios'!T20</f>
        <v>7.1298988609627245E-2</v>
      </c>
      <c r="W23" s="185">
        <f>'Prudential Ratios'!U20</f>
        <v>6.7814667817438043E-2</v>
      </c>
      <c r="X23" s="185">
        <f>'Prudential Ratios'!V20</f>
        <v>6.6094651392556436E-2</v>
      </c>
      <c r="Y23" s="185">
        <f>'Prudential Ratios'!W20</f>
        <v>6.6754940094648996E-2</v>
      </c>
      <c r="Z23" s="185">
        <f>'Prudential Ratios'!X20</f>
        <v>6.5193235309288125E-2</v>
      </c>
      <c r="AA23" s="185">
        <f>'Prudential Ratios'!Y20</f>
        <v>6.3713017011039624E-2</v>
      </c>
      <c r="AB23" s="185">
        <f>'Prudential Ratios'!Z20</f>
        <v>6.0278213612660704E-2</v>
      </c>
      <c r="AC23" s="185">
        <f>'Prudential Ratios'!AA20</f>
        <v>5.9917441395406439E-2</v>
      </c>
      <c r="AD23" s="185">
        <f>'Prudential Ratios'!AB20</f>
        <v>5.8484311594298177E-2</v>
      </c>
      <c r="AE23" s="185">
        <f>'Prudential Ratios'!AC20</f>
        <v>5.6133850193800711E-2</v>
      </c>
      <c r="AF23" s="185">
        <f>'Prudential Ratios'!AD20</f>
        <v>0.82178544943773191</v>
      </c>
      <c r="AG23" s="185">
        <f>'Prudential Ratios'!AE20</f>
        <v>5.5956499440849898E-2</v>
      </c>
      <c r="AH23" s="185">
        <f>'Prudential Ratios'!AF20</f>
        <v>5.9951532221855501E-2</v>
      </c>
      <c r="AI23" s="185">
        <f>'Prudential Ratios'!AG20</f>
        <v>6.4062248647681536E-2</v>
      </c>
      <c r="AJ23" s="185">
        <f>'Prudential Ratios'!AH20</f>
        <v>6.2945648187298947E-2</v>
      </c>
      <c r="AK23" s="185">
        <f>'Prudential Ratios'!AI20</f>
        <v>6.1078148174992734E-2</v>
      </c>
      <c r="AL23" s="185">
        <f>'Prudential Ratios'!AJ20</f>
        <v>6.2508674427699654E-2</v>
      </c>
    </row>
    <row r="24" spans="2:38" ht="15"/>
    <row r="26" spans="2:38" ht="25.9">
      <c r="B26" s="357"/>
      <c r="C26" s="357"/>
    </row>
    <row r="27" spans="2:38">
      <c r="B27" s="172"/>
      <c r="C27" s="173"/>
    </row>
    <row r="28" spans="2:38">
      <c r="B28" s="97"/>
      <c r="C28" s="97"/>
    </row>
    <row r="29" spans="2:38">
      <c r="C29" s="174"/>
    </row>
    <row r="30" spans="2:38">
      <c r="C30" s="174"/>
    </row>
    <row r="31" spans="2:38">
      <c r="C31" s="174"/>
    </row>
    <row r="32" spans="2:38">
      <c r="C32" s="174"/>
    </row>
    <row r="33" spans="2:3">
      <c r="C33" s="174"/>
    </row>
    <row r="34" spans="2:3">
      <c r="B34" s="97"/>
      <c r="C34" s="97"/>
    </row>
    <row r="35" spans="2:3">
      <c r="C35" s="174"/>
    </row>
    <row r="36" spans="2:3">
      <c r="C36" s="174"/>
    </row>
    <row r="37" spans="2:3">
      <c r="B37" s="97"/>
      <c r="C37" s="97"/>
    </row>
    <row r="42" spans="2:3">
      <c r="B42" s="97"/>
      <c r="C42" s="97"/>
    </row>
    <row r="43" spans="2:3">
      <c r="C43" s="175"/>
    </row>
    <row r="44" spans="2:3">
      <c r="C44" s="175"/>
    </row>
    <row r="45" spans="2:3">
      <c r="C45" s="174"/>
    </row>
    <row r="48" spans="2:3">
      <c r="B48" s="97"/>
      <c r="C48" s="97"/>
    </row>
    <row r="49" spans="3:3">
      <c r="C49" s="174"/>
    </row>
    <row r="50" spans="3:3">
      <c r="C50" s="174"/>
    </row>
    <row r="51" spans="3:3">
      <c r="C51" s="174"/>
    </row>
    <row r="52" spans="3:3">
      <c r="C52" s="174"/>
    </row>
    <row r="54" spans="3:3" s="97" customFormat="1"/>
  </sheetData>
  <mergeCells count="1">
    <mergeCell ref="B26:C26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K56"/>
  <sheetViews>
    <sheetView zoomScale="80" zoomScaleNormal="80" workbookViewId="0">
      <pane xSplit="2" ySplit="11" topLeftCell="AB12" activePane="bottomRight" state="frozen"/>
      <selection pane="bottomRight" activeCell="AH47" sqref="AH47:AI53"/>
      <selection pane="bottomLeft" activeCell="A12" sqref="A12"/>
      <selection pane="topRight" activeCell="D1" sqref="D1"/>
    </sheetView>
  </sheetViews>
  <sheetFormatPr defaultColWidth="9.28515625" defaultRowHeight="13.15"/>
  <cols>
    <col min="1" max="1" width="5" style="26" bestFit="1" customWidth="1"/>
    <col min="2" max="2" width="45.5703125" style="26" bestFit="1" customWidth="1"/>
    <col min="3" max="3" width="17.85546875" style="26" bestFit="1" customWidth="1"/>
    <col min="4" max="4" width="18" style="26" hidden="1" customWidth="1"/>
    <col min="5" max="6" width="18.28515625" style="26" hidden="1" customWidth="1"/>
    <col min="7" max="7" width="17.5703125" style="26" hidden="1" customWidth="1"/>
    <col min="8" max="9" width="16.7109375" style="26" hidden="1" customWidth="1"/>
    <col min="10" max="11" width="18" style="26" hidden="1" customWidth="1"/>
    <col min="12" max="12" width="18.5703125" style="26" hidden="1" customWidth="1"/>
    <col min="13" max="13" width="19" style="26" hidden="1" customWidth="1"/>
    <col min="14" max="14" width="16.7109375" style="26" hidden="1" customWidth="1"/>
    <col min="15" max="15" width="18.5703125" style="26" hidden="1" customWidth="1"/>
    <col min="16" max="16" width="17.85546875" style="26" bestFit="1" customWidth="1"/>
    <col min="17" max="18" width="16.7109375" style="26" hidden="1" customWidth="1"/>
    <col min="19" max="19" width="17.85546875" style="26" bestFit="1" customWidth="1"/>
    <col min="20" max="21" width="17.85546875" style="26" hidden="1" customWidth="1"/>
    <col min="22" max="22" width="17.85546875" style="26" bestFit="1" customWidth="1"/>
    <col min="23" max="24" width="17.85546875" style="26" hidden="1" customWidth="1"/>
    <col min="25" max="25" width="17.85546875" style="26" bestFit="1" customWidth="1"/>
    <col min="26" max="27" width="17.85546875" style="26" hidden="1" customWidth="1"/>
    <col min="28" max="29" width="17.85546875" style="26" bestFit="1" customWidth="1"/>
    <col min="30" max="35" width="17" style="26" bestFit="1" customWidth="1"/>
    <col min="36" max="16384" width="9.28515625" style="26"/>
  </cols>
  <sheetData>
    <row r="1" spans="1:37" ht="13.9" thickBot="1">
      <c r="B1" s="37" t="s">
        <v>107</v>
      </c>
    </row>
    <row r="2" spans="1:37">
      <c r="A2" s="27"/>
      <c r="B2" s="28"/>
    </row>
    <row r="3" spans="1:37" ht="12.75">
      <c r="A3" s="29"/>
      <c r="B3" s="98" t="s">
        <v>108</v>
      </c>
      <c r="C3" s="313" t="s">
        <v>109</v>
      </c>
      <c r="D3" s="8">
        <v>44197</v>
      </c>
      <c r="E3" s="8">
        <v>44228</v>
      </c>
      <c r="F3" s="8">
        <v>44256</v>
      </c>
      <c r="G3" s="8">
        <v>44287</v>
      </c>
      <c r="H3" s="8">
        <v>44317</v>
      </c>
      <c r="I3" s="8">
        <v>44348</v>
      </c>
      <c r="J3" s="8">
        <v>44378</v>
      </c>
      <c r="K3" s="8">
        <v>44409</v>
      </c>
      <c r="L3" s="8">
        <v>44440</v>
      </c>
      <c r="M3" s="8">
        <v>44470</v>
      </c>
      <c r="N3" s="8">
        <v>44501</v>
      </c>
      <c r="O3" s="8">
        <v>44531</v>
      </c>
      <c r="P3" s="8" t="s">
        <v>17</v>
      </c>
      <c r="Q3" s="8">
        <v>44562</v>
      </c>
      <c r="R3" s="8">
        <v>44593</v>
      </c>
      <c r="S3" s="8">
        <v>44621</v>
      </c>
      <c r="T3" s="8">
        <v>44652</v>
      </c>
      <c r="U3" s="8">
        <v>44682</v>
      </c>
      <c r="V3" s="8">
        <v>44713</v>
      </c>
      <c r="W3" s="8">
        <v>44743</v>
      </c>
      <c r="X3" s="8">
        <v>44774</v>
      </c>
      <c r="Y3" s="8">
        <v>44805</v>
      </c>
      <c r="Z3" s="8">
        <v>44835</v>
      </c>
      <c r="AA3" s="8">
        <v>44866</v>
      </c>
      <c r="AB3" s="8">
        <v>44896</v>
      </c>
      <c r="AC3" s="8" t="s">
        <v>18</v>
      </c>
      <c r="AD3" s="8">
        <v>44949</v>
      </c>
      <c r="AE3" s="8">
        <v>44980</v>
      </c>
      <c r="AF3" s="8">
        <v>45008</v>
      </c>
      <c r="AG3" s="8">
        <v>45039</v>
      </c>
      <c r="AH3" s="8">
        <v>45069</v>
      </c>
      <c r="AI3" s="8">
        <v>45100</v>
      </c>
      <c r="AJ3" s="8">
        <v>45130</v>
      </c>
      <c r="AK3" s="8">
        <v>45161</v>
      </c>
    </row>
    <row r="4" spans="1:37" ht="12.75">
      <c r="A4" s="30">
        <v>1</v>
      </c>
      <c r="B4" s="51" t="s">
        <v>67</v>
      </c>
    </row>
    <row r="5" spans="1:37" ht="12.75">
      <c r="A5" s="30">
        <v>2</v>
      </c>
      <c r="B5" s="51" t="s">
        <v>58</v>
      </c>
      <c r="C5" s="55">
        <f>SFP!B27</f>
        <v>42034351000</v>
      </c>
      <c r="D5" s="55">
        <f>SFP!C27</f>
        <v>41464759084.240005</v>
      </c>
      <c r="E5" s="55">
        <f>SFP!D27</f>
        <v>41951979855.049995</v>
      </c>
      <c r="F5" s="55">
        <f>SFP!E27</f>
        <v>41142932281.850006</v>
      </c>
      <c r="G5" s="55">
        <f>SFP!F27</f>
        <v>41513094253.759995</v>
      </c>
      <c r="H5" s="55">
        <f>SFP!G27</f>
        <v>41941165539.540001</v>
      </c>
      <c r="I5" s="55">
        <f>SFP!H27</f>
        <v>42412839790.459999</v>
      </c>
      <c r="J5" s="55">
        <f>SFP!I27</f>
        <v>42780528603.629997</v>
      </c>
      <c r="K5" s="55">
        <f>SFP!J27</f>
        <v>43680299993.060005</v>
      </c>
      <c r="L5" s="55">
        <f>SFP!K27</f>
        <v>44780328466.249992</v>
      </c>
      <c r="M5" s="55">
        <f>SFP!L27</f>
        <v>45528904527.519997</v>
      </c>
      <c r="N5" s="55">
        <f>SFP!M27</f>
        <v>46210589062.330002</v>
      </c>
      <c r="O5" s="55">
        <f>SFP!N27</f>
        <v>46773411752.129997</v>
      </c>
      <c r="P5" s="55">
        <f>SFP!O27</f>
        <v>47546933000</v>
      </c>
      <c r="Q5" s="55">
        <f>SFP!P27</f>
        <v>47245801372.959999</v>
      </c>
      <c r="R5" s="55">
        <f>SFP!Q27</f>
        <v>47432548749.950005</v>
      </c>
      <c r="S5" s="55">
        <f>SFP!R27</f>
        <v>47188396616.459999</v>
      </c>
      <c r="T5" s="55">
        <f>SFP!S27</f>
        <v>48110834841.630005</v>
      </c>
      <c r="U5" s="55">
        <f>SFP!T27</f>
        <v>48814113145.300003</v>
      </c>
      <c r="V5" s="55">
        <f>SFP!U27</f>
        <v>49246255155.80999</v>
      </c>
      <c r="W5" s="55">
        <f>SFP!V27</f>
        <v>49875874300.279999</v>
      </c>
      <c r="X5" s="55">
        <f>SFP!W27</f>
        <v>50641835530.679993</v>
      </c>
      <c r="Y5" s="55">
        <f>SFP!X27</f>
        <v>51530877773.779999</v>
      </c>
      <c r="Z5" s="55">
        <f>SFP!Y27</f>
        <v>52562294620.840004</v>
      </c>
      <c r="AA5" s="55">
        <f>SFP!Z27</f>
        <v>53474364813.760002</v>
      </c>
      <c r="AB5" s="55">
        <f>SFP!AA27</f>
        <v>54361221587.330002</v>
      </c>
      <c r="AC5" s="55">
        <f>SFP!AB27</f>
        <v>53783580174</v>
      </c>
      <c r="AD5" s="55">
        <f>SFP!AC27</f>
        <v>54745895641.119995</v>
      </c>
      <c r="AE5" s="55">
        <f>SFP!AD27</f>
        <v>55729522803.32</v>
      </c>
      <c r="AF5" s="55">
        <f>SFP!AE27</f>
        <v>53471748226.409996</v>
      </c>
      <c r="AG5" s="55">
        <f>SFP!AF27</f>
        <v>53411392788.790009</v>
      </c>
      <c r="AH5" s="55">
        <f>SFP!AG27</f>
        <v>53946793751.780006</v>
      </c>
      <c r="AI5" s="55">
        <f>SFP!AH27</f>
        <v>54295569487.840004</v>
      </c>
    </row>
    <row r="6" spans="1:37" ht="12.75">
      <c r="A6" s="30">
        <v>3</v>
      </c>
      <c r="B6" s="51" t="s">
        <v>59</v>
      </c>
      <c r="C6" s="55">
        <f>SFP!B32</f>
        <v>31188264000</v>
      </c>
      <c r="D6" s="55">
        <f>SFP!C32</f>
        <v>31221399944.659996</v>
      </c>
      <c r="E6" s="55">
        <f>SFP!D32</f>
        <v>31324978161.169998</v>
      </c>
      <c r="F6" s="55">
        <f>SFP!E32</f>
        <v>32647065866.27</v>
      </c>
      <c r="G6" s="55">
        <f>SFP!F32</f>
        <v>32765160984.599998</v>
      </c>
      <c r="H6" s="55">
        <f>SFP!G32</f>
        <v>32742829239.259998</v>
      </c>
      <c r="I6" s="55">
        <f>SFP!H32</f>
        <v>32925664592.629997</v>
      </c>
      <c r="J6" s="55">
        <f>SFP!I32</f>
        <v>32727544569.139999</v>
      </c>
      <c r="K6" s="55">
        <f>SFP!J32</f>
        <v>33121152542.849998</v>
      </c>
      <c r="L6" s="55">
        <f>SFP!K32</f>
        <v>33693828919.089996</v>
      </c>
      <c r="M6" s="55">
        <f>SFP!L32</f>
        <v>33950574683.560001</v>
      </c>
      <c r="N6" s="55">
        <f>SFP!M32</f>
        <v>34211674570.619999</v>
      </c>
      <c r="O6" s="55">
        <f>SFP!N32</f>
        <v>34212867004.950001</v>
      </c>
      <c r="P6" s="55">
        <f>SFP!O32</f>
        <v>34212867000</v>
      </c>
      <c r="Q6" s="55">
        <f>SFP!P32</f>
        <v>34567075818.660004</v>
      </c>
      <c r="R6" s="55">
        <f>SFP!Q32</f>
        <v>37036391649.690002</v>
      </c>
      <c r="S6" s="55">
        <f>SFP!R32</f>
        <v>36508892340.57</v>
      </c>
      <c r="T6" s="55">
        <f>SFP!S32</f>
        <v>36718095617.919998</v>
      </c>
      <c r="U6" s="55">
        <f>SFP!T32</f>
        <v>36925746438.759995</v>
      </c>
      <c r="V6" s="55">
        <f>SFP!U32</f>
        <v>37201513440.589996</v>
      </c>
      <c r="W6" s="55">
        <f>SFP!V32</f>
        <v>37302104271.840004</v>
      </c>
      <c r="X6" s="55">
        <f>SFP!W32</f>
        <v>37676854781.550003</v>
      </c>
      <c r="Y6" s="55">
        <f>SFP!X32</f>
        <v>38083663277.770004</v>
      </c>
      <c r="Z6" s="55">
        <f>SFP!Y32</f>
        <v>38539536715.860001</v>
      </c>
      <c r="AA6" s="55">
        <f>SFP!Z32</f>
        <v>38993847035.190002</v>
      </c>
      <c r="AB6" s="55">
        <f>SFP!AA32</f>
        <v>39428924981.459999</v>
      </c>
      <c r="AC6" s="55">
        <f>SFP!AB32</f>
        <v>39428925000</v>
      </c>
      <c r="AD6" s="55">
        <f>SFP!AC32</f>
        <v>39564247563.770004</v>
      </c>
      <c r="AE6" s="55">
        <f>SFP!AD32</f>
        <v>40025801173.459999</v>
      </c>
      <c r="AF6" s="55">
        <f>SFP!AE32</f>
        <v>41520947099.970001</v>
      </c>
      <c r="AG6" s="55">
        <f>SFP!AF32</f>
        <v>41144724690.409996</v>
      </c>
      <c r="AH6" s="55">
        <f>SFP!AG32</f>
        <v>40978051568.040001</v>
      </c>
      <c r="AI6" s="55">
        <f>SFP!AH32</f>
        <v>40958698901.07</v>
      </c>
    </row>
    <row r="7" spans="1:37" ht="12.75">
      <c r="A7" s="30">
        <v>3.1</v>
      </c>
      <c r="B7" s="99" t="s">
        <v>110</v>
      </c>
      <c r="C7" s="55">
        <f>SFP!B31</f>
        <v>23712329000</v>
      </c>
      <c r="D7" s="55">
        <f>SFP!C31</f>
        <v>23902121691.349998</v>
      </c>
      <c r="E7" s="55">
        <f>SFP!D31</f>
        <v>24068807048.959999</v>
      </c>
      <c r="F7" s="55">
        <f>SFP!E31</f>
        <v>24517453137.93</v>
      </c>
      <c r="G7" s="55">
        <f>SFP!F31</f>
        <v>24747362781.59</v>
      </c>
      <c r="H7" s="55">
        <f>SFP!G31</f>
        <v>24916156875.619999</v>
      </c>
      <c r="I7" s="55">
        <f>SFP!H31</f>
        <v>25023691643.73</v>
      </c>
      <c r="J7" s="55">
        <f>SFP!I31</f>
        <v>25345792820.240002</v>
      </c>
      <c r="K7" s="55">
        <f>SFP!J31</f>
        <v>25563593361.599998</v>
      </c>
      <c r="L7" s="55">
        <f>SFP!K31</f>
        <v>25913926524.119999</v>
      </c>
      <c r="M7" s="55">
        <f>SFP!L31</f>
        <v>26220909311.130001</v>
      </c>
      <c r="N7" s="55">
        <f>SFP!M31</f>
        <v>26537308226.5</v>
      </c>
      <c r="O7" s="55">
        <f>SFP!N31</f>
        <v>26838406366.630001</v>
      </c>
      <c r="P7" s="55">
        <f>SFP!O31</f>
        <v>26838406000</v>
      </c>
      <c r="Q7" s="55">
        <f>SFP!P31</f>
        <v>27097712982.959999</v>
      </c>
      <c r="R7" s="55">
        <f>SFP!Q31</f>
        <v>27600391354.619999</v>
      </c>
      <c r="S7" s="55">
        <f>SFP!R31</f>
        <v>28037033861.009998</v>
      </c>
      <c r="T7" s="55">
        <f>SFP!S31</f>
        <v>28335792577.119999</v>
      </c>
      <c r="U7" s="55">
        <f>SFP!T31</f>
        <v>28649694364.049999</v>
      </c>
      <c r="V7" s="55">
        <f>SFP!U31</f>
        <v>28958043439.959999</v>
      </c>
      <c r="W7" s="55">
        <f>SFP!V31</f>
        <v>29303266161.130001</v>
      </c>
      <c r="X7" s="55">
        <f>SFP!W31</f>
        <v>29658593139.43</v>
      </c>
      <c r="Y7" s="55">
        <f>SFP!X31</f>
        <v>29975847833.450001</v>
      </c>
      <c r="Z7" s="55">
        <f>SFP!Y31</f>
        <v>30386508629.740002</v>
      </c>
      <c r="AA7" s="55">
        <f>SFP!Z31</f>
        <v>30784895155.59</v>
      </c>
      <c r="AB7" s="55">
        <f>SFP!AA31</f>
        <v>31105870837.740002</v>
      </c>
      <c r="AC7" s="55">
        <f>SFP!AB31</f>
        <v>31105871000</v>
      </c>
      <c r="AD7" s="55">
        <f>SFP!AC31</f>
        <v>31291205586.18</v>
      </c>
      <c r="AE7" s="55">
        <f>SFP!AD31</f>
        <v>31616031056.73</v>
      </c>
      <c r="AF7" s="55">
        <f>SFP!AE31</f>
        <v>31946102881.23</v>
      </c>
      <c r="AG7" s="55">
        <f>SFP!AF31</f>
        <v>32176417484.009998</v>
      </c>
      <c r="AH7" s="55">
        <f>SFP!AG31</f>
        <v>32419397622.5</v>
      </c>
      <c r="AI7" s="55">
        <f>SFP!AH31</f>
        <v>32526153524.759998</v>
      </c>
    </row>
    <row r="8" spans="1:37" ht="12.75">
      <c r="A8" s="30">
        <v>3.2</v>
      </c>
      <c r="B8" s="99" t="s">
        <v>111</v>
      </c>
      <c r="C8" s="55">
        <f>SFP!B29</f>
        <v>3877885000</v>
      </c>
      <c r="D8" s="55">
        <f>SFP!C29</f>
        <v>3105755956.1399999</v>
      </c>
      <c r="E8" s="55">
        <f>SFP!D29</f>
        <v>3052392671.5999999</v>
      </c>
      <c r="F8" s="55">
        <f>SFP!E29</f>
        <v>3804135173.0700002</v>
      </c>
      <c r="G8" s="55">
        <f>SFP!F29</f>
        <v>3617296801.4299998</v>
      </c>
      <c r="H8" s="55">
        <f>SFP!G29</f>
        <v>3416059017.3400002</v>
      </c>
      <c r="I8" s="55">
        <f>SFP!H29</f>
        <v>3495306436.5799999</v>
      </c>
      <c r="J8" s="55">
        <f>SFP!I29</f>
        <v>2781191768.6700001</v>
      </c>
      <c r="K8" s="55">
        <f>SFP!J29</f>
        <v>2945438172.8499999</v>
      </c>
      <c r="L8" s="55">
        <f>SFP!K29</f>
        <v>3101084313.4000001</v>
      </c>
      <c r="M8" s="55">
        <f>SFP!L29</f>
        <v>3005071057.5</v>
      </c>
      <c r="N8" s="55">
        <f>SFP!M29</f>
        <v>2981006434.5900002</v>
      </c>
      <c r="O8" s="55">
        <f>SFP!N29</f>
        <v>2810129953.7800002</v>
      </c>
      <c r="P8" s="55">
        <f>SFP!O29</f>
        <v>3436932000</v>
      </c>
      <c r="Q8" s="55">
        <f>SFP!P29</f>
        <v>2883488037.23</v>
      </c>
      <c r="R8" s="55">
        <f>SFP!Q29</f>
        <v>4557817982.2600002</v>
      </c>
      <c r="S8" s="55">
        <f>SFP!R29</f>
        <v>3566079554.5599999</v>
      </c>
      <c r="T8" s="55">
        <f>SFP!S29</f>
        <v>3291006847.3299999</v>
      </c>
      <c r="U8" s="55">
        <f>SFP!T29</f>
        <v>3187990244.23</v>
      </c>
      <c r="V8" s="55">
        <f>SFP!U29</f>
        <v>3151859299.7800002</v>
      </c>
      <c r="W8" s="55">
        <f>SFP!V29</f>
        <v>2991633861.1700001</v>
      </c>
      <c r="X8" s="55">
        <f>SFP!W29</f>
        <v>3014719909.4899998</v>
      </c>
      <c r="Y8" s="55">
        <f>SFP!X29</f>
        <v>2964943804.04</v>
      </c>
      <c r="Z8" s="55">
        <f>SFP!Y29</f>
        <v>3026007253.3899999</v>
      </c>
      <c r="AA8" s="55">
        <f>SFP!Z29</f>
        <v>3096572251.9000001</v>
      </c>
      <c r="AB8" s="55">
        <f>SFP!AA29</f>
        <v>3154758381.3600001</v>
      </c>
      <c r="AC8" s="55">
        <f>SFP!AB29</f>
        <v>3778833000</v>
      </c>
      <c r="AD8" s="55">
        <f>SFP!AC29</f>
        <v>3130819097.1900001</v>
      </c>
      <c r="AE8" s="55">
        <f>SFP!AD29</f>
        <v>3160818679.48</v>
      </c>
      <c r="AF8" s="55">
        <f>SFP!AE29</f>
        <v>4427812736.6700001</v>
      </c>
      <c r="AG8" s="55">
        <f>SFP!AF29</f>
        <v>4000613744.77</v>
      </c>
      <c r="AH8" s="55">
        <f>SFP!AG29</f>
        <v>3668423530.4000001</v>
      </c>
      <c r="AI8" s="55">
        <f>SFP!AH29</f>
        <v>3654101432.5100002</v>
      </c>
    </row>
    <row r="9" spans="1:37" ht="12.75">
      <c r="A9" s="30">
        <v>4</v>
      </c>
      <c r="B9" s="51" t="s">
        <v>112</v>
      </c>
      <c r="C9" s="56">
        <f>SFP!B39</f>
        <v>0</v>
      </c>
      <c r="D9" s="56">
        <f>SFP!C39</f>
        <v>0</v>
      </c>
      <c r="E9" s="56">
        <f>SFP!D39</f>
        <v>0</v>
      </c>
      <c r="F9" s="56">
        <f>SFP!E39</f>
        <v>0</v>
      </c>
      <c r="G9" s="56">
        <f>SFP!F39</f>
        <v>0</v>
      </c>
      <c r="H9" s="56">
        <f>SFP!G39</f>
        <v>0</v>
      </c>
      <c r="I9" s="56">
        <f>SFP!H39</f>
        <v>0</v>
      </c>
      <c r="J9" s="56">
        <f>SFP!I39</f>
        <v>0</v>
      </c>
      <c r="K9" s="56">
        <f>SFP!J39</f>
        <v>69031304</v>
      </c>
      <c r="L9" s="56">
        <f>SFP!K39</f>
        <v>69031304</v>
      </c>
      <c r="M9" s="56">
        <f>SFP!L39</f>
        <v>68280499.780000001</v>
      </c>
      <c r="N9" s="56">
        <f>SFP!M39</f>
        <v>66778891.340000004</v>
      </c>
      <c r="O9" s="56">
        <f>SFP!N39</f>
        <v>66778891.340000004</v>
      </c>
      <c r="P9" s="56">
        <f>SFP!O39</f>
        <v>66769000</v>
      </c>
      <c r="Q9" s="56">
        <f>SFP!P39</f>
        <v>65255266.859999999</v>
      </c>
      <c r="R9" s="56">
        <f>SFP!Q39</f>
        <v>65245868.780000001</v>
      </c>
      <c r="S9" s="56">
        <f>SFP!R39</f>
        <v>64479291.920000002</v>
      </c>
      <c r="T9" s="56">
        <f>SFP!S39</f>
        <v>141671520.99000001</v>
      </c>
      <c r="U9" s="56">
        <f>SFP!T39</f>
        <v>140898542.68000001</v>
      </c>
      <c r="V9" s="56">
        <f>SFP!U39</f>
        <v>139586679.69999999</v>
      </c>
      <c r="W9" s="56">
        <f>SFP!V39</f>
        <v>138269350.66</v>
      </c>
      <c r="X9" s="56">
        <f>SFP!W39</f>
        <v>136944282.13999999</v>
      </c>
      <c r="Y9" s="56">
        <f>SFP!X39</f>
        <v>135618202.97999999</v>
      </c>
      <c r="Z9" s="56">
        <f>SFP!Y39</f>
        <v>134284338.62</v>
      </c>
      <c r="AA9" s="56">
        <f>SFP!Z39</f>
        <v>284100481.45999998</v>
      </c>
      <c r="AB9" s="56">
        <f>SFP!AA39</f>
        <v>282755478.42000002</v>
      </c>
      <c r="AC9" s="56">
        <f>SFP!AB39</f>
        <v>282755000</v>
      </c>
      <c r="AD9" s="56">
        <f>SFP!AC39</f>
        <v>280721479.88</v>
      </c>
      <c r="AE9" s="56">
        <f>SFP!AD39</f>
        <v>278678664.69999999</v>
      </c>
      <c r="AF9" s="56">
        <f>SFP!AE39</f>
        <v>276585768.43000001</v>
      </c>
      <c r="AG9" s="56">
        <f>SFP!AF39</f>
        <v>274483806.82999998</v>
      </c>
      <c r="AH9" s="56">
        <f>SFP!AG39</f>
        <v>272496934.79000002</v>
      </c>
      <c r="AI9" s="56">
        <f>SFP!AH39</f>
        <v>270418467.81999999</v>
      </c>
    </row>
    <row r="10" spans="1:37" ht="12.75">
      <c r="A10" s="43">
        <v>4.0999999999999996</v>
      </c>
      <c r="B10" s="53" t="s">
        <v>113</v>
      </c>
      <c r="C10" s="75">
        <f>SFP!B34+SFP!B35+SFP!B36+SFP!B37+SFP!B38</f>
        <v>3486231000</v>
      </c>
      <c r="D10" s="75">
        <f>SFP!C34+SFP!C35+SFP!C36+SFP!C37+SFP!C38</f>
        <v>3654101533.8499999</v>
      </c>
      <c r="E10" s="75">
        <f>SFP!D34+SFP!D35+SFP!D36+SFP!D37+SFP!D38</f>
        <v>3952450435.6300001</v>
      </c>
      <c r="F10" s="75">
        <f>SFP!E34+SFP!E35+SFP!E36+SFP!E37+SFP!E38</f>
        <v>1929529021.29</v>
      </c>
      <c r="G10" s="75">
        <f>SFP!F34+SFP!F35+SFP!F36+SFP!F37+SFP!F38</f>
        <v>2014606361.6700001</v>
      </c>
      <c r="H10" s="75">
        <f>SFP!G34+SFP!G35+SFP!G36+SFP!G37+SFP!G38</f>
        <v>2271206043.7600002</v>
      </c>
      <c r="I10" s="75">
        <f>SFP!H34+SFP!H35+SFP!H36+SFP!H37+SFP!H38</f>
        <v>2577428985.3000002</v>
      </c>
      <c r="J10" s="75">
        <f>SFP!I34+SFP!I35+SFP!I36+SFP!I37+SFP!I38</f>
        <v>2963331978.1099997</v>
      </c>
      <c r="K10" s="75">
        <f>SFP!J34+SFP!J35+SFP!J36+SFP!J37+SFP!J38</f>
        <v>3249241188.6500001</v>
      </c>
      <c r="L10" s="75">
        <f>SFP!K34+SFP!K35+SFP!K36+SFP!K37+SFP!K38</f>
        <v>3521716967.5599999</v>
      </c>
      <c r="M10" s="75">
        <f>SFP!L34+SFP!L35+SFP!L36+SFP!L37+SFP!L38</f>
        <v>3778550265.29</v>
      </c>
      <c r="N10" s="75">
        <f>SFP!M34+SFP!M35+SFP!M36+SFP!M37+SFP!M38</f>
        <v>3994108812.9700003</v>
      </c>
      <c r="O10" s="75">
        <f>SFP!N34+SFP!N35+SFP!N36+SFP!N37+SFP!N38</f>
        <v>4243027871.0900002</v>
      </c>
      <c r="P10" s="75">
        <f>SFP!O34+SFP!O35+SFP!O36+SFP!O37+SFP!O38</f>
        <v>4209179000</v>
      </c>
      <c r="Q10" s="75">
        <f>SFP!P34+SFP!P35+SFP!P36+SFP!P37+SFP!P38</f>
        <v>4426388381.4300003</v>
      </c>
      <c r="R10" s="75">
        <f>SFP!Q34+SFP!Q35+SFP!Q36+SFP!Q37+SFP!Q38</f>
        <v>2231488831.9200001</v>
      </c>
      <c r="S10" s="75">
        <f>SFP!R34+SFP!R35+SFP!R36+SFP!R37+SFP!R38</f>
        <v>2344742965.2600002</v>
      </c>
      <c r="T10" s="75">
        <f>SFP!S34+SFP!S35+SFP!S36+SFP!S37+SFP!S38</f>
        <v>2555695111.52</v>
      </c>
      <c r="U10" s="75">
        <f>SFP!T34+SFP!T35+SFP!T36+SFP!T37+SFP!T38</f>
        <v>2825732469.48</v>
      </c>
      <c r="V10" s="75">
        <f>SFP!U34+SFP!U35+SFP!U36+SFP!U37+SFP!U38</f>
        <v>3071654189.3299999</v>
      </c>
      <c r="W10" s="75">
        <f>SFP!V34+SFP!V35+SFP!V36+SFP!V37+SFP!V38</f>
        <v>3390375083.3699999</v>
      </c>
      <c r="X10" s="75">
        <f>SFP!W34+SFP!W35+SFP!W36+SFP!W37+SFP!W38</f>
        <v>3572645025.0299997</v>
      </c>
      <c r="Y10" s="75">
        <f>SFP!X34+SFP!X35+SFP!X36+SFP!X37+SFP!X38</f>
        <v>3860581169.6100001</v>
      </c>
      <c r="Z10" s="75">
        <f>SFP!Y34+SFP!Y35+SFP!Y36+SFP!Y37+SFP!Y38</f>
        <v>4380565815.6599998</v>
      </c>
      <c r="AA10" s="75">
        <f>SFP!Z34+SFP!Z35+SFP!Z36+SFP!Z37+SFP!Z38</f>
        <v>4455492854.4499998</v>
      </c>
      <c r="AB10" s="75">
        <f>SFP!AA34+SFP!AA35+SFP!AA36+SFP!AA37+SFP!AA38</f>
        <v>4696831257.46</v>
      </c>
      <c r="AC10" s="75">
        <f>SFP!AB34+SFP!AB35+SFP!AB36+SFP!AB37+SFP!AB38</f>
        <v>4810104000</v>
      </c>
      <c r="AD10" s="75">
        <f>SFP!AC34+SFP!AC35+SFP!AC36+SFP!AC37+SFP!AC38</f>
        <v>4916712915.9700003</v>
      </c>
      <c r="AE10" s="75">
        <f>SFP!AD34+SFP!AD35+SFP!AD36+SFP!AD37+SFP!AD38</f>
        <v>5688937416.6999998</v>
      </c>
      <c r="AF10" s="75">
        <f>SFP!AE34+SFP!AE35+SFP!AE36+SFP!AE37+SFP!AE38</f>
        <v>2931382479.46</v>
      </c>
      <c r="AG10" s="75">
        <f>SFP!AF34+SFP!AF35+SFP!AF36+SFP!AF37+SFP!AF38</f>
        <v>3094761604.5299997</v>
      </c>
      <c r="AH10" s="75">
        <f>SFP!AG34+SFP!AG35+SFP!AG36+SFP!AG37+SFP!AG38</f>
        <v>3527641106.4099998</v>
      </c>
      <c r="AI10" s="75">
        <f>SFP!AH34+SFP!AH35+SFP!AH36+SFP!AH37+SFP!AH38</f>
        <v>4107028202.0699997</v>
      </c>
    </row>
    <row r="11" spans="1:37" ht="12.75">
      <c r="A11" s="31"/>
      <c r="B11" s="32"/>
      <c r="C11" s="112"/>
      <c r="D11" s="112"/>
      <c r="E11" s="112"/>
      <c r="F11" s="112"/>
      <c r="G11" s="112"/>
      <c r="H11" s="112"/>
      <c r="I11" s="112"/>
      <c r="J11" s="112"/>
      <c r="K11" s="112"/>
      <c r="L11" s="112"/>
      <c r="M11" s="112"/>
      <c r="N11" s="112"/>
      <c r="O11" s="112"/>
      <c r="P11" s="112"/>
      <c r="Q11" s="112"/>
      <c r="R11" s="112"/>
      <c r="S11" s="112"/>
      <c r="T11" s="112"/>
      <c r="U11" s="112"/>
      <c r="V11" s="112"/>
      <c r="W11" s="112"/>
      <c r="X11" s="112"/>
      <c r="Y11" s="112"/>
      <c r="Z11" s="112"/>
      <c r="AA11" s="112"/>
      <c r="AB11" s="112"/>
      <c r="AC11" s="112"/>
    </row>
    <row r="12" spans="1:37" ht="13.9" thickBot="1">
      <c r="A12" s="31"/>
      <c r="B12" s="32"/>
      <c r="C12" s="112"/>
      <c r="D12" s="112"/>
      <c r="E12" s="112"/>
      <c r="F12" s="112"/>
      <c r="G12" s="112"/>
      <c r="H12" s="112"/>
      <c r="I12" s="112"/>
      <c r="J12" s="112"/>
      <c r="K12" s="112"/>
      <c r="L12" s="112"/>
      <c r="M12" s="112"/>
      <c r="N12" s="112"/>
      <c r="O12" s="112"/>
      <c r="P12" s="112"/>
      <c r="Q12" s="112"/>
      <c r="R12" s="112"/>
      <c r="S12" s="112"/>
      <c r="T12" s="112"/>
      <c r="U12" s="112"/>
      <c r="V12" s="112"/>
      <c r="W12" s="112"/>
      <c r="X12" s="112"/>
      <c r="Y12" s="112"/>
      <c r="Z12" s="112"/>
      <c r="AA12" s="112"/>
      <c r="AB12" s="112"/>
      <c r="AC12" s="112"/>
    </row>
    <row r="13" spans="1:37" ht="12" customHeight="1">
      <c r="A13" s="33">
        <v>5</v>
      </c>
      <c r="B13" s="100" t="s">
        <v>114</v>
      </c>
      <c r="C13" s="113"/>
      <c r="D13" s="113"/>
      <c r="E13" s="113"/>
      <c r="F13" s="113"/>
      <c r="G13" s="113"/>
      <c r="H13" s="113"/>
      <c r="I13" s="113"/>
      <c r="J13" s="113"/>
      <c r="K13" s="113"/>
      <c r="L13" s="113"/>
      <c r="M13" s="113"/>
      <c r="N13" s="113"/>
      <c r="O13" s="113"/>
      <c r="P13" s="113"/>
      <c r="Q13" s="113"/>
      <c r="R13" s="113"/>
      <c r="S13" s="113"/>
      <c r="T13" s="113"/>
      <c r="U13" s="113"/>
      <c r="V13" s="113"/>
      <c r="W13" s="113"/>
      <c r="X13" s="113"/>
      <c r="Y13" s="113"/>
      <c r="Z13" s="113"/>
      <c r="AA13" s="113"/>
      <c r="AB13" s="113"/>
      <c r="AC13" s="113"/>
    </row>
    <row r="14" spans="1:37" s="126" customFormat="1" ht="12.75">
      <c r="A14" s="123">
        <v>5.0999999999999996</v>
      </c>
      <c r="B14" s="124" t="s">
        <v>115</v>
      </c>
      <c r="C14" s="125">
        <f t="shared" ref="C14" si="0">C17</f>
        <v>6095283000</v>
      </c>
      <c r="D14" s="125">
        <f t="shared" ref="D14:P14" si="1">D17</f>
        <v>6578708870.3099995</v>
      </c>
      <c r="E14" s="125">
        <f t="shared" si="1"/>
        <v>6664002522.8299999</v>
      </c>
      <c r="F14" s="125">
        <f t="shared" si="1"/>
        <v>6555788658.8699999</v>
      </c>
      <c r="G14" s="125">
        <f t="shared" si="1"/>
        <v>6722778172.0699997</v>
      </c>
      <c r="H14" s="125">
        <f t="shared" si="1"/>
        <v>6916581521.0999994</v>
      </c>
      <c r="I14" s="125">
        <f t="shared" si="1"/>
        <v>6899197477.1100006</v>
      </c>
      <c r="J14" s="125">
        <f t="shared" si="1"/>
        <v>7079103320.9599991</v>
      </c>
      <c r="K14" s="125">
        <f t="shared" si="1"/>
        <v>7230326222.1399994</v>
      </c>
      <c r="L14" s="125">
        <f t="shared" si="1"/>
        <v>7485202540.1800003</v>
      </c>
      <c r="M14" s="125">
        <f t="shared" si="1"/>
        <v>7720950343.4699993</v>
      </c>
      <c r="N14" s="125">
        <f t="shared" si="1"/>
        <v>7927478051.9799995</v>
      </c>
      <c r="O14" s="125">
        <f t="shared" si="1"/>
        <v>8218057370.9300003</v>
      </c>
      <c r="P14" s="125">
        <f t="shared" si="1"/>
        <v>7683369000</v>
      </c>
      <c r="Q14" s="125">
        <f t="shared" ref="Q14:AH14" si="2">Q17</f>
        <v>8190399731.7399988</v>
      </c>
      <c r="R14" s="125">
        <f t="shared" si="2"/>
        <v>8102740225.7199993</v>
      </c>
      <c r="S14" s="125">
        <f t="shared" si="2"/>
        <v>8273599844.8699999</v>
      </c>
      <c r="T14" s="125">
        <f t="shared" si="2"/>
        <v>8698690417.3600006</v>
      </c>
      <c r="U14" s="125">
        <f t="shared" si="2"/>
        <v>8925053520.5400009</v>
      </c>
      <c r="V14" s="125">
        <f t="shared" si="2"/>
        <v>8836818672.3500004</v>
      </c>
      <c r="W14" s="125">
        <f t="shared" si="2"/>
        <v>9048443420.5699997</v>
      </c>
      <c r="X14" s="125">
        <f t="shared" si="2"/>
        <v>9258709268.1200008</v>
      </c>
      <c r="Y14" s="125">
        <f t="shared" si="2"/>
        <v>9454332949.5800018</v>
      </c>
      <c r="Z14" s="125">
        <f t="shared" si="2"/>
        <v>9511225576.8600006</v>
      </c>
      <c r="AA14" s="125">
        <f t="shared" si="2"/>
        <v>9744242268.8199997</v>
      </c>
      <c r="AB14" s="125">
        <f t="shared" si="2"/>
        <v>9945506189.2700005</v>
      </c>
      <c r="AC14" s="125">
        <f t="shared" si="2"/>
        <v>8837954000</v>
      </c>
      <c r="AD14" s="125">
        <f t="shared" si="2"/>
        <v>9977010000.7800007</v>
      </c>
      <c r="AE14" s="125">
        <f t="shared" si="2"/>
        <v>9312164907.8800011</v>
      </c>
      <c r="AF14" s="125">
        <f t="shared" si="2"/>
        <v>8714626262.9700012</v>
      </c>
      <c r="AG14" s="125">
        <f t="shared" si="2"/>
        <v>8869216071.4400005</v>
      </c>
      <c r="AH14" s="125">
        <f t="shared" si="2"/>
        <v>9140397526.9599991</v>
      </c>
      <c r="AI14" s="125">
        <f t="shared" ref="AI14" si="3">AI17</f>
        <v>8931217301.2999992</v>
      </c>
    </row>
    <row r="15" spans="1:37" s="130" customFormat="1" ht="12.75">
      <c r="A15" s="127">
        <v>5.2</v>
      </c>
      <c r="B15" s="128" t="s">
        <v>116</v>
      </c>
      <c r="C15" s="129">
        <f t="shared" ref="C15" si="4">C14-C18</f>
        <v>4072845000</v>
      </c>
      <c r="D15" s="129">
        <f t="shared" ref="D15:P15" si="5">D14-D18</f>
        <v>4536147596.4099998</v>
      </c>
      <c r="E15" s="129">
        <f t="shared" si="5"/>
        <v>4599958304.9499998</v>
      </c>
      <c r="F15" s="129">
        <f t="shared" si="5"/>
        <v>4424746504.4399996</v>
      </c>
      <c r="G15" s="129">
        <f t="shared" si="5"/>
        <v>4564120031.2299995</v>
      </c>
      <c r="H15" s="129">
        <f t="shared" si="5"/>
        <v>4735592360.8999996</v>
      </c>
      <c r="I15" s="129">
        <f t="shared" si="5"/>
        <v>4694252890.210001</v>
      </c>
      <c r="J15" s="129">
        <f t="shared" si="5"/>
        <v>4837488507.6499996</v>
      </c>
      <c r="K15" s="129">
        <f t="shared" si="5"/>
        <v>4958454649.6599998</v>
      </c>
      <c r="L15" s="129">
        <f t="shared" si="5"/>
        <v>5186889892.4500008</v>
      </c>
      <c r="M15" s="129">
        <f t="shared" si="5"/>
        <v>5393981747.6899986</v>
      </c>
      <c r="N15" s="129">
        <f t="shared" si="5"/>
        <v>5573979625.6599998</v>
      </c>
      <c r="O15" s="129">
        <f t="shared" si="5"/>
        <v>5835278446.5900002</v>
      </c>
      <c r="P15" s="129">
        <f t="shared" si="5"/>
        <v>5300590000</v>
      </c>
      <c r="Q15" s="129">
        <f t="shared" ref="Q15:AH15" si="6">Q14-Q18</f>
        <v>5780376118.749999</v>
      </c>
      <c r="R15" s="129">
        <f t="shared" si="6"/>
        <v>5619540657.5999994</v>
      </c>
      <c r="S15" s="129">
        <f t="shared" si="6"/>
        <v>5751274558.0699997</v>
      </c>
      <c r="T15" s="129">
        <f t="shared" si="6"/>
        <v>6140464971.8000011</v>
      </c>
      <c r="U15" s="129">
        <f t="shared" si="6"/>
        <v>6329362458.6400013</v>
      </c>
      <c r="V15" s="129">
        <f t="shared" si="6"/>
        <v>6194501442.6100006</v>
      </c>
      <c r="W15" s="129">
        <f t="shared" si="6"/>
        <v>6350835022.6599998</v>
      </c>
      <c r="X15" s="129">
        <f t="shared" si="6"/>
        <v>6505719260.0300007</v>
      </c>
      <c r="Y15" s="129">
        <f t="shared" si="6"/>
        <v>6636652892.7900019</v>
      </c>
      <c r="Z15" s="129">
        <f t="shared" si="6"/>
        <v>6633489694.9300003</v>
      </c>
      <c r="AA15" s="129">
        <f t="shared" si="6"/>
        <v>6810977666.8899994</v>
      </c>
      <c r="AB15" s="129">
        <f t="shared" si="6"/>
        <v>6958505285.6100006</v>
      </c>
      <c r="AC15" s="129">
        <f t="shared" si="6"/>
        <v>5850953000</v>
      </c>
      <c r="AD15" s="129">
        <f t="shared" si="6"/>
        <v>6951542124.0900002</v>
      </c>
      <c r="AE15" s="129">
        <f t="shared" si="6"/>
        <v>6257335441.2200012</v>
      </c>
      <c r="AF15" s="129">
        <f t="shared" si="6"/>
        <v>5591133789.0800018</v>
      </c>
      <c r="AG15" s="129">
        <f t="shared" si="6"/>
        <v>5697205891.1000004</v>
      </c>
      <c r="AH15" s="129">
        <f t="shared" si="6"/>
        <v>5917218554.6499996</v>
      </c>
      <c r="AI15" s="129">
        <f t="shared" ref="AI15" si="7">AI14-AI18</f>
        <v>5667849945.0999994</v>
      </c>
    </row>
    <row r="16" spans="1:37" ht="12.75">
      <c r="A16" s="36"/>
      <c r="B16" s="37"/>
      <c r="C16" s="112"/>
      <c r="D16" s="112"/>
      <c r="E16" s="112"/>
      <c r="F16" s="112"/>
      <c r="G16" s="112"/>
      <c r="H16" s="112"/>
      <c r="I16" s="112"/>
      <c r="J16" s="112"/>
      <c r="K16" s="112"/>
      <c r="L16" s="112"/>
      <c r="M16" s="112"/>
      <c r="N16" s="112"/>
      <c r="O16" s="112"/>
      <c r="P16" s="112"/>
      <c r="Q16" s="112"/>
      <c r="R16" s="112"/>
      <c r="S16" s="112"/>
      <c r="T16" s="112"/>
      <c r="U16" s="112"/>
      <c r="V16" s="112"/>
      <c r="W16" s="112"/>
      <c r="X16" s="112"/>
      <c r="Y16" s="112"/>
      <c r="Z16" s="112"/>
      <c r="AA16" s="112"/>
      <c r="AB16" s="112"/>
      <c r="AC16" s="112"/>
    </row>
    <row r="17" spans="1:35" ht="12.75">
      <c r="A17" s="38">
        <v>5.3</v>
      </c>
      <c r="B17" s="28" t="s">
        <v>117</v>
      </c>
      <c r="C17" s="115">
        <f t="shared" ref="C17" si="8">SUM(C18:C21)</f>
        <v>6095283000</v>
      </c>
      <c r="D17" s="115">
        <f t="shared" ref="D17:P17" si="9">SUM(D18:D21)</f>
        <v>6578708870.3099995</v>
      </c>
      <c r="E17" s="115">
        <f t="shared" si="9"/>
        <v>6664002522.8299999</v>
      </c>
      <c r="F17" s="115">
        <f t="shared" si="9"/>
        <v>6555788658.8699999</v>
      </c>
      <c r="G17" s="115">
        <f t="shared" si="9"/>
        <v>6722778172.0699997</v>
      </c>
      <c r="H17" s="115">
        <f t="shared" si="9"/>
        <v>6916581521.0999994</v>
      </c>
      <c r="I17" s="115">
        <f t="shared" si="9"/>
        <v>6899197477.1100006</v>
      </c>
      <c r="J17" s="115">
        <f t="shared" si="9"/>
        <v>7079103320.9599991</v>
      </c>
      <c r="K17" s="115">
        <f t="shared" si="9"/>
        <v>7230326222.1399994</v>
      </c>
      <c r="L17" s="115">
        <f t="shared" si="9"/>
        <v>7485202540.1800003</v>
      </c>
      <c r="M17" s="115">
        <f t="shared" si="9"/>
        <v>7720950343.4699993</v>
      </c>
      <c r="N17" s="115">
        <f t="shared" si="9"/>
        <v>7927478051.9799995</v>
      </c>
      <c r="O17" s="115">
        <f t="shared" si="9"/>
        <v>8218057370.9300003</v>
      </c>
      <c r="P17" s="115">
        <f t="shared" si="9"/>
        <v>7683369000</v>
      </c>
      <c r="Q17" s="115">
        <f t="shared" ref="Q17:AH17" si="10">SUM(Q18:Q21)</f>
        <v>8190399731.7399988</v>
      </c>
      <c r="R17" s="115">
        <f t="shared" si="10"/>
        <v>8102740225.7199993</v>
      </c>
      <c r="S17" s="115">
        <f t="shared" si="10"/>
        <v>8273599844.8699999</v>
      </c>
      <c r="T17" s="115">
        <f t="shared" si="10"/>
        <v>8698690417.3600006</v>
      </c>
      <c r="U17" s="115">
        <f t="shared" si="10"/>
        <v>8925053520.5400009</v>
      </c>
      <c r="V17" s="115">
        <f t="shared" si="10"/>
        <v>8836818672.3500004</v>
      </c>
      <c r="W17" s="115">
        <f t="shared" si="10"/>
        <v>9048443420.5699997</v>
      </c>
      <c r="X17" s="115">
        <f t="shared" si="10"/>
        <v>9258709268.1200008</v>
      </c>
      <c r="Y17" s="115">
        <f t="shared" si="10"/>
        <v>9454332949.5800018</v>
      </c>
      <c r="Z17" s="115">
        <f t="shared" si="10"/>
        <v>9511225576.8600006</v>
      </c>
      <c r="AA17" s="115">
        <f t="shared" si="10"/>
        <v>9744242268.8199997</v>
      </c>
      <c r="AB17" s="115">
        <f t="shared" si="10"/>
        <v>9945506189.2700005</v>
      </c>
      <c r="AC17" s="115">
        <f t="shared" si="10"/>
        <v>8837954000</v>
      </c>
      <c r="AD17" s="115">
        <f t="shared" si="10"/>
        <v>9977010000.7800007</v>
      </c>
      <c r="AE17" s="115">
        <f t="shared" si="10"/>
        <v>9312164907.8800011</v>
      </c>
      <c r="AF17" s="115">
        <f t="shared" si="10"/>
        <v>8714626262.9700012</v>
      </c>
      <c r="AG17" s="115">
        <f t="shared" si="10"/>
        <v>8869216071.4400005</v>
      </c>
      <c r="AH17" s="115">
        <f t="shared" si="10"/>
        <v>9140397526.9599991</v>
      </c>
      <c r="AI17" s="115">
        <f t="shared" ref="AI17" si="11">SUM(AI18:AI21)</f>
        <v>8931217301.2999992</v>
      </c>
    </row>
    <row r="18" spans="1:35" ht="12.75">
      <c r="A18" s="34" t="s">
        <v>118</v>
      </c>
      <c r="B18" s="101" t="s">
        <v>119</v>
      </c>
      <c r="C18" s="110">
        <f>SFP!B42</f>
        <v>2022438000</v>
      </c>
      <c r="D18" s="110">
        <f>SFP!C42</f>
        <v>2042561273.9000001</v>
      </c>
      <c r="E18" s="110">
        <f>SFP!D42</f>
        <v>2064044217.8800001</v>
      </c>
      <c r="F18" s="110">
        <f>SFP!E42</f>
        <v>2131042154.4300001</v>
      </c>
      <c r="G18" s="110">
        <f>SFP!F42</f>
        <v>2158658140.8400002</v>
      </c>
      <c r="H18" s="110">
        <f>SFP!G42</f>
        <v>2180989160.1999998</v>
      </c>
      <c r="I18" s="110">
        <f>SFP!H42</f>
        <v>2204944586.9000001</v>
      </c>
      <c r="J18" s="110">
        <f>SFP!I42</f>
        <v>2241614813.3099999</v>
      </c>
      <c r="K18" s="110">
        <f>SFP!J42</f>
        <v>2271871572.48</v>
      </c>
      <c r="L18" s="110">
        <f>SFP!K42</f>
        <v>2298312647.73</v>
      </c>
      <c r="M18" s="110">
        <f>SFP!L42</f>
        <v>2326968595.7800002</v>
      </c>
      <c r="N18" s="110">
        <f>SFP!M42</f>
        <v>2353498426.3200002</v>
      </c>
      <c r="O18" s="110">
        <f>SFP!N42</f>
        <v>2382778924.3400002</v>
      </c>
      <c r="P18" s="110">
        <f>SFP!O42</f>
        <v>2382779000</v>
      </c>
      <c r="Q18" s="110">
        <f>SFP!P42</f>
        <v>2410023612.9899998</v>
      </c>
      <c r="R18" s="110">
        <f>SFP!Q42</f>
        <v>2483199568.1199999</v>
      </c>
      <c r="S18" s="110">
        <f>SFP!R42</f>
        <v>2522325286.8000002</v>
      </c>
      <c r="T18" s="110">
        <f>SFP!S42</f>
        <v>2558225445.5599999</v>
      </c>
      <c r="U18" s="110">
        <f>SFP!T42</f>
        <v>2595691061.9000001</v>
      </c>
      <c r="V18" s="110">
        <f>SFP!U42</f>
        <v>2642317229.7399998</v>
      </c>
      <c r="W18" s="110">
        <f>SFP!V42</f>
        <v>2697608397.9099998</v>
      </c>
      <c r="X18" s="110">
        <f>SFP!W42</f>
        <v>2752990008.0900002</v>
      </c>
      <c r="Y18" s="110">
        <f>SFP!X42</f>
        <v>2817680056.79</v>
      </c>
      <c r="Z18" s="110">
        <f>SFP!Y42</f>
        <v>2877735881.9299998</v>
      </c>
      <c r="AA18" s="110">
        <f>SFP!Z42</f>
        <v>2933264601.9299998</v>
      </c>
      <c r="AB18" s="110">
        <f>SFP!AA42</f>
        <v>2987000903.6599998</v>
      </c>
      <c r="AC18" s="110">
        <f>SFP!AB42</f>
        <v>2987001000</v>
      </c>
      <c r="AD18" s="110">
        <f>SFP!AC42</f>
        <v>3025467876.6900001</v>
      </c>
      <c r="AE18" s="110">
        <f>SFP!AD42</f>
        <v>3054829466.6599998</v>
      </c>
      <c r="AF18" s="110">
        <f>SFP!AE42</f>
        <v>3123492473.8899999</v>
      </c>
      <c r="AG18" s="110">
        <f>SFP!AF42</f>
        <v>3172010180.3400002</v>
      </c>
      <c r="AH18" s="110">
        <f>SFP!AG42</f>
        <v>3223178972.3099999</v>
      </c>
      <c r="AI18" s="110">
        <f>SFP!AH42</f>
        <v>3263367356.1999998</v>
      </c>
    </row>
    <row r="19" spans="1:35" ht="12.75">
      <c r="A19" s="34" t="s">
        <v>120</v>
      </c>
      <c r="B19" s="99" t="s">
        <v>121</v>
      </c>
      <c r="C19" s="110">
        <f>SFP!B45</f>
        <v>2883949000</v>
      </c>
      <c r="D19" s="110">
        <f>SFP!C45</f>
        <v>3338778160.0100002</v>
      </c>
      <c r="E19" s="110">
        <f>SFP!D45</f>
        <v>3411061741.5500002</v>
      </c>
      <c r="F19" s="110">
        <f>SFP!E45</f>
        <v>3235849941.04</v>
      </c>
      <c r="G19" s="110">
        <f>SFP!F45</f>
        <v>3375223467.8299999</v>
      </c>
      <c r="H19" s="110">
        <f>SFP!G45</f>
        <v>3546695797.5</v>
      </c>
      <c r="I19" s="110">
        <f>SFP!H45</f>
        <v>3505356326.8100004</v>
      </c>
      <c r="J19" s="110">
        <f>SFP!I45</f>
        <v>3648591944.25</v>
      </c>
      <c r="K19" s="110">
        <f>SFP!J45</f>
        <v>3769558086.2600002</v>
      </c>
      <c r="L19" s="110">
        <f>SFP!K45</f>
        <v>3997993329.0500002</v>
      </c>
      <c r="M19" s="110">
        <f>SFP!L45</f>
        <v>4205085184.29</v>
      </c>
      <c r="N19" s="110">
        <f>SFP!M45</f>
        <v>4385083062.2600002</v>
      </c>
      <c r="O19" s="110">
        <f>SFP!N45</f>
        <v>4646381883.1900005</v>
      </c>
      <c r="P19" s="110">
        <f>SFP!O45</f>
        <v>3826798000</v>
      </c>
      <c r="Q19" s="110">
        <f>SFP!P45</f>
        <v>4307077555.3499994</v>
      </c>
      <c r="R19" s="110">
        <f>SFP!Q45</f>
        <v>4145741742.1999998</v>
      </c>
      <c r="S19" s="110">
        <f>SFP!R45</f>
        <v>4277475642.6700001</v>
      </c>
      <c r="T19" s="110">
        <f>SFP!S45</f>
        <v>4666666056.3999996</v>
      </c>
      <c r="U19" s="110">
        <f>SFP!T45</f>
        <v>4855563543.2399998</v>
      </c>
      <c r="V19" s="110">
        <f>SFP!U45</f>
        <v>4720702527.21</v>
      </c>
      <c r="W19" s="110">
        <f>SFP!V45</f>
        <v>4877036107.2600002</v>
      </c>
      <c r="X19" s="110">
        <f>SFP!W45</f>
        <v>5031920344.6300001</v>
      </c>
      <c r="Y19" s="110">
        <f>SFP!X45</f>
        <v>5162853977.3900003</v>
      </c>
      <c r="Z19" s="110">
        <f>SFP!Y45</f>
        <v>5159690779.5299997</v>
      </c>
      <c r="AA19" s="110">
        <f>SFP!Z45</f>
        <v>5337178751.4899998</v>
      </c>
      <c r="AB19" s="110">
        <f>SFP!AA45</f>
        <v>5484713764.21</v>
      </c>
      <c r="AC19" s="110">
        <f>SFP!AB45</f>
        <v>4180700000</v>
      </c>
      <c r="AD19" s="110">
        <f>SFP!AC45</f>
        <v>5281289123.8299999</v>
      </c>
      <c r="AE19" s="110">
        <f>SFP!AD45</f>
        <v>4587082244.8199997</v>
      </c>
      <c r="AF19" s="110">
        <f>SFP!AE45</f>
        <v>3920880592.6799998</v>
      </c>
      <c r="AG19" s="110">
        <f>SFP!AF45</f>
        <v>4026952694.6999998</v>
      </c>
      <c r="AH19" s="110">
        <f>SFP!AG45</f>
        <v>4246965358.25</v>
      </c>
      <c r="AI19" s="110">
        <f>SFP!AH45</f>
        <v>3997596748.6999998</v>
      </c>
    </row>
    <row r="20" spans="1:35" ht="12.75">
      <c r="A20" s="34" t="s">
        <v>122</v>
      </c>
      <c r="B20" s="99" t="s">
        <v>123</v>
      </c>
      <c r="C20" s="110">
        <f>SFP!B50</f>
        <v>1188896000</v>
      </c>
      <c r="D20" s="110">
        <f>SFP!C50</f>
        <v>1184895023.79</v>
      </c>
      <c r="E20" s="110">
        <f>SFP!D50</f>
        <v>1176422150.79</v>
      </c>
      <c r="F20" s="110">
        <f>SFP!E50</f>
        <v>1176422150.79</v>
      </c>
      <c r="G20" s="110">
        <f>SFP!F50</f>
        <v>1176422150.79</v>
      </c>
      <c r="H20" s="110">
        <f>SFP!G50</f>
        <v>1176422150.79</v>
      </c>
      <c r="I20" s="110">
        <f>SFP!H50</f>
        <v>1176422150.79</v>
      </c>
      <c r="J20" s="110">
        <f>SFP!I50</f>
        <v>1176422150.79</v>
      </c>
      <c r="K20" s="110">
        <f>SFP!J50</f>
        <v>1176422150.79</v>
      </c>
      <c r="L20" s="110">
        <f>SFP!K50</f>
        <v>1176422150.79</v>
      </c>
      <c r="M20" s="110">
        <f>SFP!L50</f>
        <v>1176422150.79</v>
      </c>
      <c r="N20" s="110">
        <f>SFP!M50</f>
        <v>1176422150.79</v>
      </c>
      <c r="O20" s="110">
        <f>SFP!N50</f>
        <v>1176422150.79</v>
      </c>
      <c r="P20" s="110">
        <f>SFP!O50</f>
        <v>1473792000</v>
      </c>
      <c r="Q20" s="110">
        <f>SFP!P50</f>
        <v>1460824150.79</v>
      </c>
      <c r="R20" s="110">
        <f>SFP!Q50</f>
        <v>1461324502.79</v>
      </c>
      <c r="S20" s="110">
        <f>SFP!R50</f>
        <v>1461324502.79</v>
      </c>
      <c r="T20" s="110">
        <f>SFP!S50</f>
        <v>1461324502.79</v>
      </c>
      <c r="U20" s="110">
        <f>SFP!T50</f>
        <v>1461324502.79</v>
      </c>
      <c r="V20" s="110">
        <f>SFP!U50</f>
        <v>1461324502.79</v>
      </c>
      <c r="W20" s="110">
        <f>SFP!V50</f>
        <v>1461324502.79</v>
      </c>
      <c r="X20" s="110">
        <f>SFP!W50</f>
        <v>1461324502.79</v>
      </c>
      <c r="Y20" s="110">
        <f>SFP!X50</f>
        <v>1461324502.79</v>
      </c>
      <c r="Z20" s="110">
        <f>SFP!Y50</f>
        <v>1461324502.79</v>
      </c>
      <c r="AA20" s="110">
        <f>SFP!Z50</f>
        <v>1461324502.79</v>
      </c>
      <c r="AB20" s="110">
        <f>SFP!AA50</f>
        <v>1461317108.79</v>
      </c>
      <c r="AC20" s="110">
        <f>SFP!AB50</f>
        <v>1670253000</v>
      </c>
      <c r="AD20" s="110">
        <f>SFP!AC50</f>
        <v>1657778587.6500001</v>
      </c>
      <c r="AE20" s="110">
        <f>SFP!AD50</f>
        <v>1657778783.79</v>
      </c>
      <c r="AF20" s="110">
        <f>SFP!AE50</f>
        <v>1657778783.79</v>
      </c>
      <c r="AG20" s="110">
        <f>SFP!AF50</f>
        <v>1657778783.79</v>
      </c>
      <c r="AH20" s="110">
        <f>SFP!AG50</f>
        <v>1657778783.79</v>
      </c>
      <c r="AI20" s="110">
        <f>SFP!AH50</f>
        <v>1657778783.79</v>
      </c>
    </row>
    <row r="21" spans="1:35" ht="12.75">
      <c r="A21" s="34" t="s">
        <v>124</v>
      </c>
      <c r="B21" s="99" t="s">
        <v>125</v>
      </c>
      <c r="C21" s="110">
        <f>SFP!B51</f>
        <v>0</v>
      </c>
      <c r="D21" s="110">
        <f>SFP!C51</f>
        <v>12474412.609999999</v>
      </c>
      <c r="E21" s="110">
        <f>SFP!D51</f>
        <v>12474412.609999999</v>
      </c>
      <c r="F21" s="110">
        <f>SFP!E51</f>
        <v>12474412.609999999</v>
      </c>
      <c r="G21" s="110">
        <f>SFP!F51</f>
        <v>12474412.609999999</v>
      </c>
      <c r="H21" s="110">
        <f>SFP!G51</f>
        <v>12474412.609999999</v>
      </c>
      <c r="I21" s="110">
        <f>SFP!H51</f>
        <v>12474412.609999999</v>
      </c>
      <c r="J21" s="110">
        <f>SFP!I51</f>
        <v>12474412.609999999</v>
      </c>
      <c r="K21" s="110">
        <f>SFP!J51</f>
        <v>12474412.609999999</v>
      </c>
      <c r="L21" s="110">
        <f>SFP!K51</f>
        <v>12474412.609999999</v>
      </c>
      <c r="M21" s="110">
        <f>SFP!L51</f>
        <v>12474412.609999999</v>
      </c>
      <c r="N21" s="110">
        <f>SFP!M51</f>
        <v>12474412.609999999</v>
      </c>
      <c r="O21" s="110">
        <f>SFP!N51</f>
        <v>12474412.609999999</v>
      </c>
      <c r="P21" s="110">
        <f>SFP!O51</f>
        <v>0</v>
      </c>
      <c r="Q21" s="110">
        <f>SFP!P51</f>
        <v>12474412.609999999</v>
      </c>
      <c r="R21" s="110">
        <f>SFP!Q51</f>
        <v>12474412.609999999</v>
      </c>
      <c r="S21" s="110">
        <f>SFP!R51</f>
        <v>12474412.609999999</v>
      </c>
      <c r="T21" s="110">
        <f>SFP!S51</f>
        <v>12474412.609999999</v>
      </c>
      <c r="U21" s="110">
        <f>SFP!T51</f>
        <v>12474412.609999999</v>
      </c>
      <c r="V21" s="110">
        <f>SFP!U51</f>
        <v>12474412.609999999</v>
      </c>
      <c r="W21" s="110">
        <f>SFP!V51</f>
        <v>12474412.609999999</v>
      </c>
      <c r="X21" s="110">
        <f>SFP!W51</f>
        <v>12474412.609999999</v>
      </c>
      <c r="Y21" s="110">
        <f>SFP!X51</f>
        <v>12474412.609999999</v>
      </c>
      <c r="Z21" s="110">
        <f>SFP!Y51</f>
        <v>12474412.609999999</v>
      </c>
      <c r="AA21" s="110">
        <f>SFP!Z51</f>
        <v>12474412.609999999</v>
      </c>
      <c r="AB21" s="110">
        <f>SFP!AA51</f>
        <v>12474412.609999999</v>
      </c>
      <c r="AC21" s="110">
        <f>SFP!AB51</f>
        <v>0</v>
      </c>
      <c r="AD21" s="110">
        <f>SFP!AC51</f>
        <v>12474412.609999999</v>
      </c>
      <c r="AE21" s="110">
        <f>SFP!AD51</f>
        <v>12474412.609999999</v>
      </c>
      <c r="AF21" s="110">
        <f>SFP!AE51</f>
        <v>12474412.609999999</v>
      </c>
      <c r="AG21" s="110">
        <f>SFP!AF51</f>
        <v>12474412.609999999</v>
      </c>
      <c r="AH21" s="110">
        <f>SFP!AG51</f>
        <v>12474412.609999999</v>
      </c>
      <c r="AI21" s="110">
        <f>SFP!AH51</f>
        <v>12474412.609999999</v>
      </c>
    </row>
    <row r="22" spans="1:35" ht="12.75">
      <c r="A22" s="34" t="s">
        <v>126</v>
      </c>
      <c r="B22" s="102" t="s">
        <v>127</v>
      </c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  <c r="V22" s="110"/>
      <c r="W22" s="110"/>
      <c r="X22" s="110"/>
      <c r="Y22" s="110"/>
      <c r="Z22" s="110"/>
      <c r="AA22" s="110"/>
      <c r="AB22" s="110"/>
      <c r="AC22" s="110"/>
    </row>
    <row r="23" spans="1:35">
      <c r="A23" s="39" t="s">
        <v>128</v>
      </c>
      <c r="B23" s="99" t="s">
        <v>129</v>
      </c>
      <c r="C23" s="110">
        <f>SFP!B53</f>
        <v>280921000</v>
      </c>
      <c r="D23" s="110">
        <f>SFP!C53</f>
        <v>0</v>
      </c>
      <c r="E23" s="110">
        <f>SFP!D53</f>
        <v>0</v>
      </c>
      <c r="F23" s="110">
        <f>SFP!E53</f>
        <v>0</v>
      </c>
      <c r="G23" s="110">
        <f>SFP!F53</f>
        <v>0</v>
      </c>
      <c r="H23" s="110">
        <f>SFP!G53</f>
        <v>0</v>
      </c>
      <c r="I23" s="110">
        <f>SFP!H53</f>
        <v>0</v>
      </c>
      <c r="J23" s="110">
        <f>SFP!I53</f>
        <v>0</v>
      </c>
      <c r="K23" s="110">
        <f>SFP!J53</f>
        <v>0</v>
      </c>
      <c r="L23" s="110">
        <f>SFP!K53</f>
        <v>0</v>
      </c>
      <c r="M23" s="110">
        <f>SFP!L53</f>
        <v>0</v>
      </c>
      <c r="N23" s="110">
        <f>SFP!M53</f>
        <v>0</v>
      </c>
      <c r="O23" s="110">
        <f>SFP!N53</f>
        <v>0</v>
      </c>
      <c r="P23" s="110">
        <f>SFP!O53</f>
        <v>280921000</v>
      </c>
      <c r="Q23" s="110">
        <f>SFP!P53</f>
        <v>0</v>
      </c>
      <c r="R23" s="110">
        <f>SFP!Q53</f>
        <v>0</v>
      </c>
      <c r="S23" s="110">
        <f>SFP!R53</f>
        <v>0</v>
      </c>
      <c r="T23" s="110">
        <f>SFP!S53</f>
        <v>0</v>
      </c>
      <c r="U23" s="110">
        <f>SFP!T53</f>
        <v>0</v>
      </c>
      <c r="V23" s="110">
        <f>SFP!U53</f>
        <v>0</v>
      </c>
      <c r="W23" s="110">
        <f>SFP!V53</f>
        <v>0</v>
      </c>
      <c r="X23" s="110">
        <f>SFP!W53</f>
        <v>0</v>
      </c>
      <c r="Y23" s="110">
        <f>SFP!X53</f>
        <v>0</v>
      </c>
      <c r="Z23" s="110">
        <f>SFP!Y53</f>
        <v>0</v>
      </c>
      <c r="AA23" s="110">
        <f>SFP!Z53</f>
        <v>0</v>
      </c>
      <c r="AB23" s="110">
        <f>SFP!AA53</f>
        <v>0</v>
      </c>
      <c r="AC23" s="110">
        <f>SFP!AB53</f>
        <v>395734000</v>
      </c>
      <c r="AD23" s="110">
        <f>SFP!AC53</f>
        <v>0</v>
      </c>
      <c r="AE23" s="110">
        <f>SFP!AD53</f>
        <v>395734025</v>
      </c>
      <c r="AF23" s="110">
        <f>SFP!AE53</f>
        <v>0</v>
      </c>
      <c r="AG23" s="110">
        <f>SFP!AF53</f>
        <v>0</v>
      </c>
      <c r="AH23" s="110">
        <f>SFP!AG53</f>
        <v>0</v>
      </c>
      <c r="AI23" s="110">
        <f>SFP!AH53</f>
        <v>0</v>
      </c>
    </row>
    <row r="24" spans="1:35" ht="13.9" thickBot="1">
      <c r="A24" s="40" t="s">
        <v>130</v>
      </c>
      <c r="B24" s="103"/>
      <c r="C24" s="114"/>
      <c r="D24" s="114"/>
      <c r="E24" s="114"/>
      <c r="F24" s="114"/>
      <c r="G24" s="114"/>
      <c r="H24" s="114"/>
      <c r="I24" s="114"/>
      <c r="J24" s="114"/>
      <c r="K24" s="114"/>
      <c r="L24" s="114"/>
      <c r="M24" s="114"/>
      <c r="N24" s="114"/>
      <c r="O24" s="114"/>
      <c r="P24" s="114"/>
      <c r="Q24" s="114"/>
      <c r="R24" s="114"/>
      <c r="S24" s="114"/>
      <c r="T24" s="114"/>
      <c r="U24" s="114"/>
      <c r="V24" s="114"/>
      <c r="W24" s="114"/>
      <c r="X24" s="114"/>
      <c r="Y24" s="114"/>
      <c r="Z24" s="114"/>
      <c r="AA24" s="114"/>
      <c r="AB24" s="114"/>
      <c r="AC24" s="114"/>
    </row>
    <row r="25" spans="1:35" ht="12.75">
      <c r="A25" s="31"/>
      <c r="B25" s="41"/>
      <c r="C25" s="112"/>
      <c r="D25" s="112"/>
      <c r="E25" s="112"/>
      <c r="F25" s="112"/>
      <c r="G25" s="112"/>
      <c r="H25" s="112"/>
      <c r="I25" s="112"/>
      <c r="J25" s="112"/>
      <c r="K25" s="112"/>
      <c r="L25" s="112"/>
      <c r="M25" s="112"/>
      <c r="N25" s="112"/>
      <c r="O25" s="112"/>
      <c r="P25" s="112"/>
      <c r="Q25" s="112"/>
      <c r="R25" s="112"/>
      <c r="S25" s="112"/>
      <c r="T25" s="112"/>
      <c r="U25" s="112"/>
      <c r="V25" s="112"/>
      <c r="W25" s="112"/>
      <c r="X25" s="112"/>
      <c r="Y25" s="112"/>
      <c r="Z25" s="112"/>
      <c r="AA25" s="112"/>
      <c r="AB25" s="112"/>
      <c r="AC25" s="112"/>
    </row>
    <row r="26" spans="1:35" ht="12.75">
      <c r="A26" s="33">
        <v>6</v>
      </c>
      <c r="B26" s="104" t="s">
        <v>131</v>
      </c>
      <c r="C26" s="113">
        <f t="shared" ref="C26" si="12">C27+C28+C29</f>
        <v>1962102000</v>
      </c>
      <c r="D26" s="113">
        <f t="shared" ref="D26:P26" si="13">D27+D28+D29</f>
        <v>577579986.69999993</v>
      </c>
      <c r="E26" s="113">
        <f t="shared" si="13"/>
        <v>577588986.69999993</v>
      </c>
      <c r="F26" s="113">
        <f t="shared" si="13"/>
        <v>577587986.69999993</v>
      </c>
      <c r="G26" s="113">
        <f t="shared" si="13"/>
        <v>577586986.69999993</v>
      </c>
      <c r="H26" s="113">
        <f t="shared" si="13"/>
        <v>577589986.69999993</v>
      </c>
      <c r="I26" s="113">
        <f t="shared" si="13"/>
        <v>577588986.69999993</v>
      </c>
      <c r="J26" s="113">
        <f t="shared" si="13"/>
        <v>577590986.69999993</v>
      </c>
      <c r="K26" s="113">
        <f t="shared" si="13"/>
        <v>577591986.69999993</v>
      </c>
      <c r="L26" s="113">
        <f t="shared" si="13"/>
        <v>577591986.69999993</v>
      </c>
      <c r="M26" s="113">
        <f t="shared" si="13"/>
        <v>577591986.69999993</v>
      </c>
      <c r="N26" s="113">
        <f t="shared" si="13"/>
        <v>577589986.69999993</v>
      </c>
      <c r="O26" s="113">
        <f t="shared" si="13"/>
        <v>596466457.0999999</v>
      </c>
      <c r="P26" s="113">
        <f t="shared" si="13"/>
        <v>2173918000</v>
      </c>
      <c r="Q26" s="113">
        <f t="shared" ref="Q26:AH26" si="14">Q27+Q28+Q29</f>
        <v>589900301.52999997</v>
      </c>
      <c r="R26" s="113">
        <f t="shared" si="14"/>
        <v>589900301.0999999</v>
      </c>
      <c r="S26" s="113">
        <f t="shared" si="14"/>
        <v>589899301.0999999</v>
      </c>
      <c r="T26" s="113">
        <f t="shared" si="14"/>
        <v>589898801.0999999</v>
      </c>
      <c r="U26" s="113">
        <f t="shared" si="14"/>
        <v>589898301.0999999</v>
      </c>
      <c r="V26" s="113">
        <f t="shared" si="14"/>
        <v>589901301.0999999</v>
      </c>
      <c r="W26" s="113">
        <f t="shared" si="14"/>
        <v>589897301.0999999</v>
      </c>
      <c r="X26" s="113">
        <f t="shared" si="14"/>
        <v>589900301.0999999</v>
      </c>
      <c r="Y26" s="113">
        <f t="shared" si="14"/>
        <v>569890301.0999999</v>
      </c>
      <c r="Z26" s="113">
        <f t="shared" si="14"/>
        <v>569888301.0999999</v>
      </c>
      <c r="AA26" s="113">
        <f t="shared" si="14"/>
        <v>569885301.0999999</v>
      </c>
      <c r="AB26" s="113">
        <f t="shared" si="14"/>
        <v>558279554.52999997</v>
      </c>
      <c r="AC26" s="113">
        <f t="shared" si="14"/>
        <v>7262902000</v>
      </c>
      <c r="AD26" s="113">
        <f t="shared" si="14"/>
        <v>558278554.52999997</v>
      </c>
      <c r="AE26" s="113">
        <f t="shared" si="14"/>
        <v>558278554.52999997</v>
      </c>
      <c r="AF26" s="113">
        <f t="shared" si="14"/>
        <v>558278554.52999997</v>
      </c>
      <c r="AG26" s="113">
        <f t="shared" si="14"/>
        <v>558278554.52999997</v>
      </c>
      <c r="AH26" s="113">
        <f t="shared" si="14"/>
        <v>558278554.52999997</v>
      </c>
      <c r="AI26" s="113">
        <f t="shared" ref="AI26" si="15">AI27+AI28+AI29</f>
        <v>558278554.52999997</v>
      </c>
    </row>
    <row r="27" spans="1:35" ht="12.75">
      <c r="A27" s="34">
        <v>6.1</v>
      </c>
      <c r="B27" s="99" t="s">
        <v>132</v>
      </c>
      <c r="C27" s="110">
        <f>SFP!B12</f>
        <v>924989000</v>
      </c>
      <c r="D27" s="110">
        <f>SFP!C12</f>
        <v>561111105.76999998</v>
      </c>
      <c r="E27" s="110">
        <f>SFP!D12</f>
        <v>561120105.76999998</v>
      </c>
      <c r="F27" s="110">
        <f>SFP!E12</f>
        <v>561119105.76999998</v>
      </c>
      <c r="G27" s="110">
        <f>SFP!F12</f>
        <v>561118105.76999998</v>
      </c>
      <c r="H27" s="110">
        <f>SFP!G12</f>
        <v>561121105.76999998</v>
      </c>
      <c r="I27" s="110">
        <f>SFP!H12</f>
        <v>561120105.76999998</v>
      </c>
      <c r="J27" s="110">
        <f>SFP!I12</f>
        <v>561122105.76999998</v>
      </c>
      <c r="K27" s="110">
        <f>SFP!J12</f>
        <v>561123105.76999998</v>
      </c>
      <c r="L27" s="110">
        <f>SFP!K12</f>
        <v>561123105.76999998</v>
      </c>
      <c r="M27" s="110">
        <f>SFP!L12</f>
        <v>561123105.76999998</v>
      </c>
      <c r="N27" s="110">
        <f>SFP!M12</f>
        <v>561121105.76999998</v>
      </c>
      <c r="O27" s="110">
        <f>SFP!N12</f>
        <v>579997576.16999996</v>
      </c>
      <c r="P27" s="110">
        <f>SFP!O12</f>
        <v>1042652000</v>
      </c>
      <c r="Q27" s="110">
        <f>SFP!P12</f>
        <v>0</v>
      </c>
      <c r="R27" s="110">
        <f>SFP!Q12</f>
        <v>0</v>
      </c>
      <c r="S27" s="110">
        <f>SFP!R12</f>
        <v>0</v>
      </c>
      <c r="T27" s="110">
        <f>SFP!S12</f>
        <v>0</v>
      </c>
      <c r="U27" s="110">
        <f>SFP!T12</f>
        <v>0</v>
      </c>
      <c r="V27" s="110">
        <f>SFP!U12</f>
        <v>0</v>
      </c>
      <c r="W27" s="110">
        <f>SFP!V12</f>
        <v>0</v>
      </c>
      <c r="X27" s="110">
        <f>SFP!W12</f>
        <v>0</v>
      </c>
      <c r="Y27" s="110">
        <f>SFP!X12</f>
        <v>0</v>
      </c>
      <c r="Z27" s="110">
        <f>SFP!Y12</f>
        <v>0</v>
      </c>
      <c r="AA27" s="110">
        <f>SFP!Z12</f>
        <v>0</v>
      </c>
      <c r="AB27" s="110">
        <f>SFP!AA12</f>
        <v>0</v>
      </c>
      <c r="AC27" s="110">
        <f>SFP!AB12</f>
        <v>1177731000</v>
      </c>
      <c r="AD27" s="110">
        <f>SFP!AC12</f>
        <v>544602633.60000002</v>
      </c>
      <c r="AE27" s="110">
        <f>SFP!AD12</f>
        <v>544602633.60000002</v>
      </c>
      <c r="AF27" s="110">
        <f>SFP!AE12</f>
        <v>544602633.60000002</v>
      </c>
      <c r="AG27" s="110">
        <f>SFP!AF12</f>
        <v>544602633.60000002</v>
      </c>
      <c r="AH27" s="110">
        <f>SFP!AG12</f>
        <v>544602633.60000002</v>
      </c>
      <c r="AI27" s="110">
        <f>SFP!AH12</f>
        <v>544602633.60000002</v>
      </c>
    </row>
    <row r="28" spans="1:35" ht="12.75">
      <c r="A28" s="34">
        <v>6.2</v>
      </c>
      <c r="B28" s="99" t="s">
        <v>133</v>
      </c>
      <c r="C28" s="110">
        <f>SFP!B13</f>
        <v>1037113000</v>
      </c>
      <c r="D28" s="110">
        <f>SFP!C13</f>
        <v>0</v>
      </c>
      <c r="E28" s="110">
        <f>SFP!D13</f>
        <v>0</v>
      </c>
      <c r="F28" s="110">
        <f>SFP!E13</f>
        <v>0</v>
      </c>
      <c r="G28" s="110">
        <f>SFP!F13</f>
        <v>0</v>
      </c>
      <c r="H28" s="110">
        <f>SFP!G13</f>
        <v>0</v>
      </c>
      <c r="I28" s="110">
        <f>SFP!H13</f>
        <v>0</v>
      </c>
      <c r="J28" s="110">
        <f>SFP!I13</f>
        <v>0</v>
      </c>
      <c r="K28" s="110">
        <f>SFP!J13</f>
        <v>0</v>
      </c>
      <c r="L28" s="110">
        <f>SFP!K13</f>
        <v>0</v>
      </c>
      <c r="M28" s="110">
        <f>SFP!L13</f>
        <v>0</v>
      </c>
      <c r="N28" s="110">
        <f>SFP!M13</f>
        <v>0</v>
      </c>
      <c r="O28" s="110">
        <f>SFP!N13</f>
        <v>0</v>
      </c>
      <c r="P28" s="110">
        <f>SFP!O13</f>
        <v>1131256000</v>
      </c>
      <c r="Q28" s="110">
        <f>SFP!P13</f>
        <v>577197947.60000002</v>
      </c>
      <c r="R28" s="110">
        <f>SFP!Q13</f>
        <v>577197947.16999996</v>
      </c>
      <c r="S28" s="110">
        <f>SFP!R13</f>
        <v>577196947.16999996</v>
      </c>
      <c r="T28" s="110">
        <f>SFP!S13</f>
        <v>577196447.16999996</v>
      </c>
      <c r="U28" s="110">
        <f>SFP!T13</f>
        <v>577195947.16999996</v>
      </c>
      <c r="V28" s="110">
        <f>SFP!U13</f>
        <v>577198947.16999996</v>
      </c>
      <c r="W28" s="110">
        <f>SFP!V13</f>
        <v>577194947.16999996</v>
      </c>
      <c r="X28" s="110">
        <f>SFP!W13</f>
        <v>577197947.16999996</v>
      </c>
      <c r="Y28" s="110">
        <f>SFP!X13</f>
        <v>557187947.16999996</v>
      </c>
      <c r="Z28" s="110">
        <f>SFP!Y13</f>
        <v>557185947.16999996</v>
      </c>
      <c r="AA28" s="110">
        <f>SFP!Z13</f>
        <v>557182947.16999996</v>
      </c>
      <c r="AB28" s="110">
        <f>SFP!AA13</f>
        <v>544603633.60000002</v>
      </c>
      <c r="AC28" s="110">
        <f>SFP!AB13</f>
        <v>0</v>
      </c>
      <c r="AD28" s="110">
        <f>SFP!AC13</f>
        <v>0</v>
      </c>
      <c r="AE28" s="110">
        <f>SFP!AD13</f>
        <v>0</v>
      </c>
      <c r="AF28" s="110">
        <f>SFP!AE13</f>
        <v>0</v>
      </c>
      <c r="AG28" s="110">
        <f>SFP!AF13</f>
        <v>0</v>
      </c>
      <c r="AH28" s="110">
        <f>SFP!AG13</f>
        <v>0</v>
      </c>
      <c r="AI28" s="110">
        <f>SFP!AH13</f>
        <v>0</v>
      </c>
    </row>
    <row r="29" spans="1:35" ht="12.75">
      <c r="A29" s="35">
        <v>6.3</v>
      </c>
      <c r="B29" s="103" t="s">
        <v>134</v>
      </c>
      <c r="C29" s="114">
        <f>SFP!B11</f>
        <v>0</v>
      </c>
      <c r="D29" s="114">
        <f>SFP!C11</f>
        <v>16468880.93</v>
      </c>
      <c r="E29" s="114">
        <f>SFP!D11</f>
        <v>16468880.93</v>
      </c>
      <c r="F29" s="114">
        <f>SFP!E11</f>
        <v>16468880.93</v>
      </c>
      <c r="G29" s="114">
        <f>SFP!F11</f>
        <v>16468880.93</v>
      </c>
      <c r="H29" s="114">
        <f>SFP!G11</f>
        <v>16468880.93</v>
      </c>
      <c r="I29" s="114">
        <f>SFP!H11</f>
        <v>16468880.93</v>
      </c>
      <c r="J29" s="114">
        <f>SFP!I11</f>
        <v>16468880.93</v>
      </c>
      <c r="K29" s="114">
        <f>SFP!J11</f>
        <v>16468880.93</v>
      </c>
      <c r="L29" s="114">
        <f>SFP!K11</f>
        <v>16468880.93</v>
      </c>
      <c r="M29" s="114">
        <f>SFP!L11</f>
        <v>16468880.93</v>
      </c>
      <c r="N29" s="114">
        <f>SFP!M11</f>
        <v>16468880.93</v>
      </c>
      <c r="O29" s="114">
        <f>SFP!N11</f>
        <v>16468880.93</v>
      </c>
      <c r="P29" s="114">
        <f>SFP!O11</f>
        <v>10000</v>
      </c>
      <c r="Q29" s="114">
        <f>SFP!P11</f>
        <v>12702353.93</v>
      </c>
      <c r="R29" s="114">
        <f>SFP!Q11</f>
        <v>12702353.93</v>
      </c>
      <c r="S29" s="114">
        <f>SFP!R11</f>
        <v>12702353.93</v>
      </c>
      <c r="T29" s="114">
        <f>SFP!S11</f>
        <v>12702353.93</v>
      </c>
      <c r="U29" s="114">
        <f>SFP!T11</f>
        <v>12702353.93</v>
      </c>
      <c r="V29" s="114">
        <f>SFP!U11</f>
        <v>12702353.93</v>
      </c>
      <c r="W29" s="114">
        <f>SFP!V11</f>
        <v>12702353.93</v>
      </c>
      <c r="X29" s="114">
        <f>SFP!W11</f>
        <v>12702353.93</v>
      </c>
      <c r="Y29" s="114">
        <f>SFP!X11</f>
        <v>12702353.93</v>
      </c>
      <c r="Z29" s="114">
        <f>SFP!Y11</f>
        <v>12702353.93</v>
      </c>
      <c r="AA29" s="114">
        <f>SFP!Z11</f>
        <v>12702353.93</v>
      </c>
      <c r="AB29" s="114">
        <f>SFP!AA11</f>
        <v>13675920.93</v>
      </c>
      <c r="AC29" s="114">
        <f>SFP!AB11</f>
        <v>6085171000</v>
      </c>
      <c r="AD29" s="114">
        <f>SFP!AC11</f>
        <v>13675920.93</v>
      </c>
      <c r="AE29" s="114">
        <f>SFP!AD11</f>
        <v>13675920.93</v>
      </c>
      <c r="AF29" s="114">
        <f>SFP!AE11</f>
        <v>13675920.93</v>
      </c>
      <c r="AG29" s="114">
        <f>SFP!AF11</f>
        <v>13675920.93</v>
      </c>
      <c r="AH29" s="114">
        <f>SFP!AG11</f>
        <v>13675920.93</v>
      </c>
      <c r="AI29" s="114">
        <f>SFP!AH11</f>
        <v>13675920.93</v>
      </c>
    </row>
    <row r="30" spans="1:35" ht="12.75">
      <c r="A30" s="31"/>
      <c r="B30" s="42"/>
      <c r="C30" s="112"/>
      <c r="D30" s="112"/>
      <c r="E30" s="112"/>
      <c r="F30" s="112"/>
      <c r="G30" s="112"/>
      <c r="H30" s="112"/>
      <c r="I30" s="112"/>
      <c r="J30" s="112"/>
      <c r="K30" s="112"/>
      <c r="L30" s="112"/>
      <c r="M30" s="112"/>
      <c r="N30" s="112"/>
      <c r="O30" s="112"/>
      <c r="P30" s="112"/>
      <c r="Q30" s="112"/>
      <c r="R30" s="112"/>
      <c r="S30" s="112"/>
      <c r="T30" s="112"/>
      <c r="U30" s="112"/>
      <c r="V30" s="112"/>
      <c r="W30" s="112"/>
      <c r="X30" s="112"/>
      <c r="Y30" s="112"/>
      <c r="Z30" s="112"/>
      <c r="AA30" s="112"/>
      <c r="AB30" s="112"/>
      <c r="AC30" s="112"/>
    </row>
    <row r="31" spans="1:35" ht="12.75">
      <c r="A31" s="33">
        <v>7</v>
      </c>
      <c r="B31" s="105" t="s">
        <v>64</v>
      </c>
      <c r="C31" s="113">
        <f t="shared" ref="C31" si="16">C32-C33</f>
        <v>36473944000</v>
      </c>
      <c r="D31" s="113">
        <f t="shared" ref="D31:P31" si="17">D32-D33</f>
        <v>33254628409.620003</v>
      </c>
      <c r="E31" s="113">
        <f t="shared" si="17"/>
        <v>33387332341.610001</v>
      </c>
      <c r="F31" s="113">
        <f t="shared" si="17"/>
        <v>33173427990.959999</v>
      </c>
      <c r="G31" s="113">
        <f t="shared" si="17"/>
        <v>33316114582.339996</v>
      </c>
      <c r="H31" s="113">
        <f t="shared" si="17"/>
        <v>33586803939.75</v>
      </c>
      <c r="I31" s="113">
        <f t="shared" si="17"/>
        <v>33621973245.419998</v>
      </c>
      <c r="J31" s="113">
        <f t="shared" si="17"/>
        <v>33499802531.379997</v>
      </c>
      <c r="K31" s="113">
        <f t="shared" si="17"/>
        <v>33767411149.639999</v>
      </c>
      <c r="L31" s="113">
        <f t="shared" si="17"/>
        <v>34802763440.269997</v>
      </c>
      <c r="M31" s="113">
        <f t="shared" si="17"/>
        <v>35623676260.809998</v>
      </c>
      <c r="N31" s="113">
        <f t="shared" si="17"/>
        <v>36219979626.639999</v>
      </c>
      <c r="O31" s="113">
        <f t="shared" si="17"/>
        <v>36775992993.790001</v>
      </c>
      <c r="P31" s="113">
        <f t="shared" si="17"/>
        <v>36351455000</v>
      </c>
      <c r="Q31" s="113">
        <f t="shared" ref="Q31:AH31" si="18">Q32-Q33</f>
        <v>36710666885.25</v>
      </c>
      <c r="R31" s="113">
        <f t="shared" si="18"/>
        <v>36703033476.550003</v>
      </c>
      <c r="S31" s="113">
        <f t="shared" si="18"/>
        <v>37140716508.25</v>
      </c>
      <c r="T31" s="113">
        <f t="shared" si="18"/>
        <v>37853316391.580002</v>
      </c>
      <c r="U31" s="113">
        <f t="shared" si="18"/>
        <v>38262104462.210007</v>
      </c>
      <c r="V31" s="113">
        <f t="shared" si="18"/>
        <v>38226180552.979996</v>
      </c>
      <c r="W31" s="113">
        <f t="shared" si="18"/>
        <v>38651645837.100006</v>
      </c>
      <c r="X31" s="113">
        <f t="shared" si="18"/>
        <v>38939297444.279999</v>
      </c>
      <c r="Y31" s="113">
        <f t="shared" si="18"/>
        <v>39380148525.270004</v>
      </c>
      <c r="Z31" s="113">
        <f t="shared" si="18"/>
        <v>39861862839.150002</v>
      </c>
      <c r="AA31" s="113">
        <f t="shared" si="18"/>
        <v>40486839845.370003</v>
      </c>
      <c r="AB31" s="113">
        <f t="shared" si="18"/>
        <v>41180559782.300003</v>
      </c>
      <c r="AC31" s="113">
        <f t="shared" si="18"/>
        <v>41316978000</v>
      </c>
      <c r="AD31" s="113">
        <f t="shared" si="18"/>
        <v>41866409842.129997</v>
      </c>
      <c r="AE31" s="113">
        <f t="shared" si="18"/>
        <v>42050285437.559998</v>
      </c>
      <c r="AF31" s="113">
        <f t="shared" si="18"/>
        <v>41422701809.589996</v>
      </c>
      <c r="AG31" s="113">
        <f t="shared" si="18"/>
        <v>41861105030.330002</v>
      </c>
      <c r="AH31" s="113">
        <f t="shared" si="18"/>
        <v>41813296594.910004</v>
      </c>
      <c r="AI31" s="113">
        <f t="shared" ref="AI31" si="19">AI32-AI33</f>
        <v>41500832441.419998</v>
      </c>
    </row>
    <row r="32" spans="1:35" ht="12.75">
      <c r="A32" s="34">
        <v>7.1</v>
      </c>
      <c r="B32" s="51" t="s">
        <v>135</v>
      </c>
      <c r="C32" s="110">
        <f>SFP!B15</f>
        <v>38804173000</v>
      </c>
      <c r="D32" s="110">
        <f>SFP!C15</f>
        <v>35584857409.620003</v>
      </c>
      <c r="E32" s="110">
        <f>SFP!D15</f>
        <v>35717561341.610001</v>
      </c>
      <c r="F32" s="110">
        <f>SFP!E15</f>
        <v>35639734490.959999</v>
      </c>
      <c r="G32" s="110">
        <f>SFP!F15</f>
        <v>35782421082.339996</v>
      </c>
      <c r="H32" s="110">
        <f>SFP!G15</f>
        <v>36053110439.75</v>
      </c>
      <c r="I32" s="110">
        <f>SFP!H15</f>
        <v>36224357245.419998</v>
      </c>
      <c r="J32" s="110">
        <f>SFP!I15</f>
        <v>36102186531.379997</v>
      </c>
      <c r="K32" s="110">
        <f>SFP!J15</f>
        <v>36369795149.639999</v>
      </c>
      <c r="L32" s="110">
        <f>SFP!K15</f>
        <v>37405147440.269997</v>
      </c>
      <c r="M32" s="110">
        <f>SFP!L15</f>
        <v>38226060260.809998</v>
      </c>
      <c r="N32" s="110">
        <f>SFP!M15</f>
        <v>38822363626.639999</v>
      </c>
      <c r="O32" s="110">
        <f>SFP!N15</f>
        <v>39378376993.790001</v>
      </c>
      <c r="P32" s="110">
        <f>SFP!O15</f>
        <v>39378377000</v>
      </c>
      <c r="Q32" s="110">
        <f>SFP!P15</f>
        <v>39737588842.160004</v>
      </c>
      <c r="R32" s="110">
        <f>SFP!Q15</f>
        <v>39729955433.459999</v>
      </c>
      <c r="S32" s="110">
        <f>SFP!R15</f>
        <v>40167638465.160004</v>
      </c>
      <c r="T32" s="110">
        <f>SFP!S15</f>
        <v>40630238348.489998</v>
      </c>
      <c r="U32" s="110">
        <f>SFP!T15</f>
        <v>41039026419.120003</v>
      </c>
      <c r="V32" s="110">
        <f>SFP!U15</f>
        <v>41295257509.889999</v>
      </c>
      <c r="W32" s="110">
        <f>SFP!V15</f>
        <v>41720722794.010002</v>
      </c>
      <c r="X32" s="110">
        <f>SFP!W15</f>
        <v>42008374401.190002</v>
      </c>
      <c r="Y32" s="110">
        <f>SFP!X15</f>
        <v>42449225482.18</v>
      </c>
      <c r="Z32" s="110">
        <f>SFP!Y15</f>
        <v>43176569971.150002</v>
      </c>
      <c r="AA32" s="110">
        <f>SFP!Z15</f>
        <v>43801546977.370003</v>
      </c>
      <c r="AB32" s="110">
        <f>SFP!AA15</f>
        <v>44495266914.300003</v>
      </c>
      <c r="AC32" s="110">
        <f>SFP!AB15</f>
        <v>45074284000</v>
      </c>
      <c r="AD32" s="110">
        <f>SFP!AC15</f>
        <v>45587899135.129997</v>
      </c>
      <c r="AE32" s="110">
        <f>SFP!AD15</f>
        <v>45807591777.559998</v>
      </c>
      <c r="AF32" s="110">
        <f>SFP!AE15</f>
        <v>45927722321.589996</v>
      </c>
      <c r="AG32" s="110">
        <f>SFP!AF15</f>
        <v>46366125542.330002</v>
      </c>
      <c r="AH32" s="110">
        <f>SFP!AG15</f>
        <v>46318317106.910004</v>
      </c>
      <c r="AI32" s="110">
        <f>SFP!AH15</f>
        <v>46508103065.419998</v>
      </c>
    </row>
    <row r="33" spans="1:35" ht="12.75">
      <c r="A33" s="34">
        <v>7.3</v>
      </c>
      <c r="B33" s="51" t="s">
        <v>136</v>
      </c>
      <c r="C33" s="110">
        <f>SFP!B16</f>
        <v>2330229000</v>
      </c>
      <c r="D33" s="110">
        <f>SFP!C16</f>
        <v>2330229000</v>
      </c>
      <c r="E33" s="110">
        <f>SFP!D16</f>
        <v>2330229000</v>
      </c>
      <c r="F33" s="110">
        <f>SFP!E16</f>
        <v>2466306500</v>
      </c>
      <c r="G33" s="110">
        <f>SFP!F16</f>
        <v>2466306500</v>
      </c>
      <c r="H33" s="110">
        <f>SFP!G16</f>
        <v>2466306500</v>
      </c>
      <c r="I33" s="110">
        <f>SFP!H16</f>
        <v>2602384000</v>
      </c>
      <c r="J33" s="110">
        <f>SFP!I16</f>
        <v>2602384000</v>
      </c>
      <c r="K33" s="110">
        <f>SFP!J16</f>
        <v>2602384000</v>
      </c>
      <c r="L33" s="110">
        <f>SFP!K16</f>
        <v>2602384000</v>
      </c>
      <c r="M33" s="110">
        <f>SFP!L16</f>
        <v>2602384000</v>
      </c>
      <c r="N33" s="110">
        <f>SFP!M16</f>
        <v>2602384000</v>
      </c>
      <c r="O33" s="110">
        <f>SFP!N16</f>
        <v>2602384000</v>
      </c>
      <c r="P33" s="110">
        <f>SFP!O16</f>
        <v>3026922000</v>
      </c>
      <c r="Q33" s="110">
        <f>SFP!P16</f>
        <v>3026921956.9099998</v>
      </c>
      <c r="R33" s="110">
        <f>SFP!Q16</f>
        <v>3026921956.9099998</v>
      </c>
      <c r="S33" s="110">
        <f>SFP!R16</f>
        <v>3026921956.9099998</v>
      </c>
      <c r="T33" s="110">
        <f>SFP!S16</f>
        <v>2776921956.9099998</v>
      </c>
      <c r="U33" s="110">
        <f>SFP!T16</f>
        <v>2776921956.9099998</v>
      </c>
      <c r="V33" s="110">
        <f>SFP!U16</f>
        <v>3069076956.9099998</v>
      </c>
      <c r="W33" s="110">
        <f>SFP!V16</f>
        <v>3069076956.9099998</v>
      </c>
      <c r="X33" s="110">
        <f>SFP!W16</f>
        <v>3069076956.9099998</v>
      </c>
      <c r="Y33" s="110">
        <f>SFP!X16</f>
        <v>3069076956.9099998</v>
      </c>
      <c r="Z33" s="110">
        <f>SFP!Y16</f>
        <v>3314707132</v>
      </c>
      <c r="AA33" s="110">
        <f>SFP!Z16</f>
        <v>3314707132</v>
      </c>
      <c r="AB33" s="110">
        <f>SFP!AA16</f>
        <v>3314707132</v>
      </c>
      <c r="AC33" s="110">
        <f>SFP!AB16</f>
        <v>3757306000</v>
      </c>
      <c r="AD33" s="110">
        <f>SFP!AC16</f>
        <v>3721489293</v>
      </c>
      <c r="AE33" s="110">
        <f>SFP!AD16</f>
        <v>3757306340</v>
      </c>
      <c r="AF33" s="110">
        <f>SFP!AE16</f>
        <v>4505020512</v>
      </c>
      <c r="AG33" s="110">
        <f>SFP!AF16</f>
        <v>4505020512</v>
      </c>
      <c r="AH33" s="110">
        <f>SFP!AG16</f>
        <v>4505020512</v>
      </c>
      <c r="AI33" s="110">
        <f>SFP!AH16</f>
        <v>5007270624</v>
      </c>
    </row>
    <row r="34" spans="1:35" ht="12.75">
      <c r="A34" s="43">
        <v>7.4</v>
      </c>
      <c r="B34" s="51" t="s">
        <v>137</v>
      </c>
      <c r="C34" s="116" t="e">
        <f>(#REF!+#REF!+#REF!)</f>
        <v>#REF!</v>
      </c>
      <c r="D34" s="116" t="e">
        <f>(#REF!+#REF!+#REF!)</f>
        <v>#REF!</v>
      </c>
      <c r="E34" s="116" t="e">
        <f>(#REF!+#REF!+#REF!)</f>
        <v>#REF!</v>
      </c>
      <c r="F34" s="116" t="e">
        <f>(#REF!+#REF!+#REF!)</f>
        <v>#REF!</v>
      </c>
      <c r="G34" s="116" t="e">
        <f>(#REF!+#REF!+#REF!)</f>
        <v>#REF!</v>
      </c>
      <c r="H34" s="116" t="e">
        <f>(#REF!+#REF!+#REF!)</f>
        <v>#REF!</v>
      </c>
      <c r="I34" s="116" t="e">
        <f>(#REF!+#REF!+#REF!)</f>
        <v>#REF!</v>
      </c>
      <c r="J34" s="116" t="e">
        <f>(#REF!+#REF!+#REF!)</f>
        <v>#REF!</v>
      </c>
      <c r="K34" s="116" t="e">
        <f>(#REF!+#REF!+#REF!)</f>
        <v>#REF!</v>
      </c>
      <c r="L34" s="116" t="e">
        <f>(#REF!+#REF!+#REF!)</f>
        <v>#REF!</v>
      </c>
      <c r="M34" s="116" t="e">
        <f>(#REF!+#REF!+#REF!)</f>
        <v>#REF!</v>
      </c>
      <c r="N34" s="116" t="e">
        <f>(#REF!+#REF!+#REF!)</f>
        <v>#REF!</v>
      </c>
      <c r="O34" s="116" t="e">
        <f>(#REF!+#REF!+#REF!)</f>
        <v>#REF!</v>
      </c>
      <c r="P34" s="116" t="e">
        <f>(#REF!+#REF!+#REF!)</f>
        <v>#REF!</v>
      </c>
      <c r="Q34" s="116" t="e">
        <f>(#REF!+#REF!+#REF!)</f>
        <v>#REF!</v>
      </c>
      <c r="R34" s="116" t="e">
        <f>(#REF!+#REF!+#REF!)</f>
        <v>#REF!</v>
      </c>
      <c r="S34" s="116" t="e">
        <f>(#REF!+#REF!+#REF!)</f>
        <v>#REF!</v>
      </c>
      <c r="T34" s="116" t="e">
        <f>(#REF!+#REF!+#REF!)</f>
        <v>#REF!</v>
      </c>
      <c r="U34" s="116" t="e">
        <f>(#REF!+#REF!+#REF!)</f>
        <v>#REF!</v>
      </c>
      <c r="V34" s="116" t="e">
        <f>(#REF!+#REF!+#REF!)</f>
        <v>#REF!</v>
      </c>
      <c r="W34" s="116" t="e">
        <f>(#REF!+#REF!+#REF!)</f>
        <v>#REF!</v>
      </c>
      <c r="X34" s="116" t="e">
        <f>(#REF!+#REF!+#REF!)</f>
        <v>#REF!</v>
      </c>
      <c r="Y34" s="116" t="e">
        <f>(#REF!+#REF!+#REF!)</f>
        <v>#REF!</v>
      </c>
      <c r="Z34" s="116" t="e">
        <f>(#REF!+#REF!+#REF!)</f>
        <v>#REF!</v>
      </c>
      <c r="AA34" s="116" t="e">
        <f>(#REF!+#REF!+#REF!)</f>
        <v>#REF!</v>
      </c>
      <c r="AB34" s="116" t="e">
        <f>(#REF!+#REF!+#REF!)</f>
        <v>#REF!</v>
      </c>
      <c r="AC34" s="116" t="e">
        <f>(#REF!+#REF!+#REF!)</f>
        <v>#REF!</v>
      </c>
      <c r="AD34" s="116" t="e">
        <f>(#REF!+#REF!+#REF!)</f>
        <v>#REF!</v>
      </c>
      <c r="AE34" s="116" t="e">
        <f>(#REF!+#REF!+#REF!)</f>
        <v>#REF!</v>
      </c>
      <c r="AF34" s="116" t="e">
        <f>(#REF!+#REF!+#REF!)</f>
        <v>#REF!</v>
      </c>
      <c r="AG34" s="116" t="e">
        <f>(#REF!+#REF!+#REF!)</f>
        <v>#REF!</v>
      </c>
      <c r="AH34" s="116" t="e">
        <f>(#REF!+#REF!+#REF!)</f>
        <v>#REF!</v>
      </c>
      <c r="AI34" s="116" t="e">
        <f>(#REF!+#REF!+#REF!)</f>
        <v>#REF!</v>
      </c>
    </row>
    <row r="35" spans="1:35" ht="12.75">
      <c r="A35" s="43">
        <v>7.5</v>
      </c>
      <c r="B35" s="106" t="s">
        <v>138</v>
      </c>
      <c r="C35" s="116" t="e">
        <f>#REF!</f>
        <v>#REF!</v>
      </c>
      <c r="D35" s="116" t="e">
        <f>#REF!</f>
        <v>#REF!</v>
      </c>
      <c r="E35" s="116" t="e">
        <f>#REF!</f>
        <v>#REF!</v>
      </c>
      <c r="F35" s="116" t="e">
        <f>#REF!</f>
        <v>#REF!</v>
      </c>
      <c r="G35" s="116" t="e">
        <f>#REF!</f>
        <v>#REF!</v>
      </c>
      <c r="H35" s="116" t="e">
        <f>#REF!</f>
        <v>#REF!</v>
      </c>
      <c r="I35" s="116" t="e">
        <f>#REF!</f>
        <v>#REF!</v>
      </c>
      <c r="J35" s="116" t="e">
        <f>#REF!</f>
        <v>#REF!</v>
      </c>
      <c r="K35" s="116" t="e">
        <f>#REF!</f>
        <v>#REF!</v>
      </c>
      <c r="L35" s="116" t="e">
        <f>#REF!</f>
        <v>#REF!</v>
      </c>
      <c r="M35" s="116" t="e">
        <f>#REF!</f>
        <v>#REF!</v>
      </c>
      <c r="N35" s="116" t="e">
        <f>#REF!</f>
        <v>#REF!</v>
      </c>
      <c r="O35" s="116" t="e">
        <f>#REF!</f>
        <v>#REF!</v>
      </c>
      <c r="P35" s="116" t="e">
        <f>#REF!</f>
        <v>#REF!</v>
      </c>
      <c r="Q35" s="116" t="e">
        <f>#REF!</f>
        <v>#REF!</v>
      </c>
      <c r="R35" s="116" t="e">
        <f>#REF!</f>
        <v>#REF!</v>
      </c>
      <c r="S35" s="116" t="e">
        <f>#REF!</f>
        <v>#REF!</v>
      </c>
      <c r="T35" s="116" t="e">
        <f>#REF!</f>
        <v>#REF!</v>
      </c>
      <c r="U35" s="116" t="e">
        <f>#REF!</f>
        <v>#REF!</v>
      </c>
      <c r="V35" s="116" t="e">
        <f>#REF!</f>
        <v>#REF!</v>
      </c>
      <c r="W35" s="116" t="e">
        <f>#REF!</f>
        <v>#REF!</v>
      </c>
      <c r="X35" s="116" t="e">
        <f>#REF!</f>
        <v>#REF!</v>
      </c>
      <c r="Y35" s="116" t="e">
        <f>#REF!</f>
        <v>#REF!</v>
      </c>
      <c r="Z35" s="116" t="e">
        <f>#REF!</f>
        <v>#REF!</v>
      </c>
      <c r="AA35" s="116" t="e">
        <f>#REF!</f>
        <v>#REF!</v>
      </c>
      <c r="AB35" s="116" t="e">
        <f>#REF!</f>
        <v>#REF!</v>
      </c>
      <c r="AC35" s="116" t="e">
        <f>#REF!</f>
        <v>#REF!</v>
      </c>
      <c r="AD35" s="116" t="e">
        <f>#REF!</f>
        <v>#REF!</v>
      </c>
      <c r="AE35" s="116" t="e">
        <f>#REF!</f>
        <v>#REF!</v>
      </c>
      <c r="AF35" s="116" t="e">
        <f>#REF!</f>
        <v>#REF!</v>
      </c>
      <c r="AG35" s="116" t="e">
        <f>#REF!</f>
        <v>#REF!</v>
      </c>
      <c r="AH35" s="116" t="e">
        <f>#REF!</f>
        <v>#REF!</v>
      </c>
      <c r="AI35" s="116" t="e">
        <f>#REF!</f>
        <v>#REF!</v>
      </c>
    </row>
    <row r="36" spans="1:35" ht="12.75">
      <c r="A36" s="43">
        <v>7.6</v>
      </c>
      <c r="B36" s="44" t="s">
        <v>139</v>
      </c>
      <c r="C36" s="112">
        <f>SFP!B4</f>
        <v>5106415000</v>
      </c>
      <c r="D36" s="112">
        <f>SFP!C4</f>
        <v>5275328897.9899998</v>
      </c>
      <c r="E36" s="112">
        <f>SFP!D4</f>
        <v>5380903342.5900002</v>
      </c>
      <c r="F36" s="112">
        <f>SFP!E4</f>
        <v>5132508195.2799997</v>
      </c>
      <c r="G36" s="112">
        <f>SFP!F4</f>
        <v>4799279285.1399994</v>
      </c>
      <c r="H36" s="112">
        <f>SFP!G4</f>
        <v>4959436829.6599998</v>
      </c>
      <c r="I36" s="112">
        <f>SFP!H4</f>
        <v>5219430959</v>
      </c>
      <c r="J36" s="112">
        <f>SFP!I4</f>
        <v>5475135569.7700005</v>
      </c>
      <c r="K36" s="112">
        <f>SFP!J4</f>
        <v>6092503715.3699999</v>
      </c>
      <c r="L36" s="112">
        <f>SFP!K4</f>
        <v>5881052245.5300007</v>
      </c>
      <c r="M36" s="112">
        <f>SFP!L4</f>
        <v>5150201349.3100004</v>
      </c>
      <c r="N36" s="112">
        <f>SFP!M4</f>
        <v>5282017955.9200001</v>
      </c>
      <c r="O36" s="112">
        <f>SFP!N4</f>
        <v>5100311129.6900005</v>
      </c>
      <c r="P36" s="112">
        <f>SFP!O4</f>
        <v>5248820000</v>
      </c>
      <c r="Q36" s="112">
        <f>SFP!P4</f>
        <v>5574058624.5799999</v>
      </c>
      <c r="R36" s="112">
        <f>SFP!Q4</f>
        <v>5615186792.4700003</v>
      </c>
      <c r="S36" s="112">
        <f>SFP!R4</f>
        <v>5124483481.3999996</v>
      </c>
      <c r="T36" s="112">
        <f>SFP!S4</f>
        <v>5251029958.7799997</v>
      </c>
      <c r="U36" s="112">
        <f>SFP!T4</f>
        <v>4887786706.0900002</v>
      </c>
      <c r="V36" s="112">
        <f>SFP!U4</f>
        <v>5448670372.5</v>
      </c>
      <c r="W36" s="112">
        <f>SFP!V4</f>
        <v>5606846341.8000002</v>
      </c>
      <c r="X36" s="112">
        <f>SFP!W4</f>
        <v>5544163206.1300001</v>
      </c>
      <c r="Y36" s="112">
        <f>SFP!X4</f>
        <v>5981336302.3999996</v>
      </c>
      <c r="Z36" s="112">
        <f>SFP!Y4</f>
        <v>6341123678.6199999</v>
      </c>
      <c r="AA36" s="112">
        <f>SFP!Z4</f>
        <v>6685678774.71</v>
      </c>
      <c r="AB36" s="112">
        <f>SFP!AA4</f>
        <v>6927506940.2299995</v>
      </c>
      <c r="AC36" s="112">
        <f>SFP!AB4</f>
        <v>809390000</v>
      </c>
      <c r="AD36" s="112">
        <f>SFP!AC4</f>
        <v>6346291911.1199999</v>
      </c>
      <c r="AE36" s="112">
        <f>SFP!AD4</f>
        <v>7291360215.2200003</v>
      </c>
      <c r="AF36" s="112">
        <f>SFP!AE4</f>
        <v>6022702872.6199999</v>
      </c>
      <c r="AG36" s="112">
        <f>SFP!AF4</f>
        <v>5606529489.8499994</v>
      </c>
      <c r="AH36" s="112">
        <f>SFP!AG4</f>
        <v>6493510843.1199999</v>
      </c>
      <c r="AI36" s="112">
        <f>SFP!AH4</f>
        <v>6441420381.8799992</v>
      </c>
    </row>
    <row r="37" spans="1:35" ht="12.75">
      <c r="A37" s="31"/>
      <c r="B37" s="45"/>
      <c r="C37" s="112"/>
      <c r="D37" s="112"/>
      <c r="E37" s="112"/>
      <c r="F37" s="112"/>
      <c r="G37" s="112"/>
      <c r="H37" s="112"/>
      <c r="I37" s="112"/>
      <c r="J37" s="112"/>
      <c r="K37" s="112"/>
      <c r="L37" s="112"/>
      <c r="M37" s="112"/>
      <c r="N37" s="112"/>
      <c r="O37" s="112"/>
      <c r="P37" s="112"/>
      <c r="Q37" s="112"/>
      <c r="R37" s="112"/>
      <c r="S37" s="112"/>
      <c r="T37" s="112"/>
      <c r="U37" s="112"/>
      <c r="V37" s="112"/>
      <c r="W37" s="112"/>
      <c r="X37" s="112"/>
      <c r="Y37" s="112"/>
      <c r="Z37" s="112"/>
      <c r="AA37" s="112"/>
      <c r="AB37" s="112"/>
      <c r="AC37" s="112"/>
    </row>
    <row r="38" spans="1:35" ht="12.75">
      <c r="A38" s="33">
        <v>8</v>
      </c>
      <c r="B38" s="105" t="s">
        <v>140</v>
      </c>
      <c r="C38" s="113">
        <f>SFP!B7+SFP!B17+SFP!B23+SFP!B24+SFP!B25+SFP!B26</f>
        <v>2167040000</v>
      </c>
      <c r="D38" s="113">
        <f>SFP!C7+SFP!C17+SFP!C23+SFP!C24+SFP!C25+SFP!C26</f>
        <v>1466548514.3799999</v>
      </c>
      <c r="E38" s="113">
        <f>SFP!D7+SFP!D17+SFP!D23+SFP!D24+SFP!D25+SFP!D26</f>
        <v>1710563128.5400002</v>
      </c>
      <c r="F38" s="113">
        <f>SFP!E7+SFP!E17+SFP!E23+SFP!E24+SFP!E25+SFP!E26</f>
        <v>1361168455.9400003</v>
      </c>
      <c r="G38" s="113">
        <f>SFP!F7+SFP!F17+SFP!F23+SFP!F24+SFP!F25+SFP!F26</f>
        <v>1674827997.0800002</v>
      </c>
      <c r="H38" s="113">
        <f>SFP!G7+SFP!G17+SFP!G23+SFP!G24+SFP!G25+SFP!G26</f>
        <v>1666712294.4799998</v>
      </c>
      <c r="I38" s="113">
        <f>SFP!H7+SFP!H17+SFP!H23+SFP!H24+SFP!H25+SFP!H26</f>
        <v>1725227976</v>
      </c>
      <c r="J38" s="113">
        <f>SFP!I7+SFP!I17+SFP!I23+SFP!I24+SFP!I25+SFP!I26</f>
        <v>1955182540.6300001</v>
      </c>
      <c r="K38" s="113">
        <f>SFP!J7+SFP!J17+SFP!J23+SFP!J24+SFP!J25+SFP!J26</f>
        <v>1966727093.8999999</v>
      </c>
      <c r="L38" s="113">
        <f>SFP!K7+SFP!K17+SFP!K23+SFP!K24+SFP!K25+SFP!K26</f>
        <v>2017751242.95</v>
      </c>
      <c r="M38" s="113">
        <f>SFP!L7+SFP!L17+SFP!L23+SFP!L24+SFP!L25+SFP!L26</f>
        <v>2136381801.3499999</v>
      </c>
      <c r="N38" s="113">
        <f>SFP!M7+SFP!M17+SFP!M23+SFP!M24+SFP!M25+SFP!M26</f>
        <v>2130955244.0300002</v>
      </c>
      <c r="O38" s="113">
        <f>SFP!N7+SFP!N17+SFP!N23+SFP!N24+SFP!N25+SFP!N26</f>
        <v>2287874255.8699999</v>
      </c>
      <c r="P38" s="113">
        <f>SFP!O7+SFP!O17+SFP!O23+SFP!O24+SFP!O25+SFP!O26</f>
        <v>2769154000</v>
      </c>
      <c r="Q38" s="113">
        <f>SFP!P7+SFP!P17+SFP!P23+SFP!P24+SFP!P25+SFP!P26</f>
        <v>2377713803.5599995</v>
      </c>
      <c r="R38" s="113">
        <f>SFP!Q7+SFP!Q17+SFP!Q23+SFP!Q24+SFP!Q25+SFP!Q26</f>
        <v>2522024000.6900001</v>
      </c>
      <c r="S38" s="113">
        <f>SFP!R7+SFP!R17+SFP!R23+SFP!R24+SFP!R25+SFP!R26</f>
        <v>2323867514.8499999</v>
      </c>
      <c r="T38" s="113">
        <f>SFP!S7+SFP!S17+SFP!S23+SFP!S24+SFP!S25+SFP!S26</f>
        <v>2419239251.3099995</v>
      </c>
      <c r="U38" s="113">
        <f>SFP!T7+SFP!T17+SFP!T23+SFP!T24+SFP!T25+SFP!T26</f>
        <v>2473114308.4900002</v>
      </c>
      <c r="V38" s="113">
        <f>SFP!U7+SFP!U17+SFP!U23+SFP!U24+SFP!U25+SFP!U26</f>
        <v>2367969403.5600004</v>
      </c>
      <c r="W38" s="113">
        <f>SFP!V7+SFP!V17+SFP!V23+SFP!V24+SFP!V25+SFP!V26</f>
        <v>2395617421.6900001</v>
      </c>
      <c r="X38" s="113">
        <f>SFP!W7+SFP!W17+SFP!W23+SFP!W24+SFP!W25+SFP!W26</f>
        <v>2399253861.6999998</v>
      </c>
      <c r="Y38" s="113">
        <f>SFP!X7+SFP!X17+SFP!X23+SFP!X24+SFP!X25+SFP!X26</f>
        <v>2395354119.6600003</v>
      </c>
      <c r="Z38" s="113">
        <f>SFP!Y7+SFP!Y17+SFP!Y23+SFP!Y24+SFP!Y25+SFP!Y26</f>
        <v>2615347368.6199999</v>
      </c>
      <c r="AA38" s="113">
        <f>SFP!Z7+SFP!Z17+SFP!Z23+SFP!Z24+SFP!Z25+SFP!Z26</f>
        <v>2576313305.1200004</v>
      </c>
      <c r="AB38" s="113">
        <f>SFP!AA7+SFP!AA17+SFP!AA23+SFP!AA24+SFP!AA25+SFP!AA26</f>
        <v>2493578114.9299998</v>
      </c>
      <c r="AC38" s="113">
        <f>SFP!AB7+SFP!AB17+SFP!AB23+SFP!AB24+SFP!AB25+SFP!AB26</f>
        <v>2365396174</v>
      </c>
      <c r="AD38" s="113">
        <f>SFP!AC7+SFP!AC17+SFP!AC23+SFP!AC24+SFP!AC25+SFP!AC26</f>
        <v>2751859127.0000005</v>
      </c>
      <c r="AE38" s="113">
        <f>SFP!AD7+SFP!AD17+SFP!AD23+SFP!AD24+SFP!AD25+SFP!AD26</f>
        <v>2657770471.3299999</v>
      </c>
      <c r="AF38" s="113">
        <f>SFP!AE7+SFP!AE17+SFP!AE23+SFP!AE24+SFP!AE25+SFP!AE26</f>
        <v>2269995572.2300005</v>
      </c>
      <c r="AG38" s="113">
        <f>SFP!AF7+SFP!AF17+SFP!AF23+SFP!AF24+SFP!AF25+SFP!AF26</f>
        <v>2243126539.6699996</v>
      </c>
      <c r="AH38" s="113">
        <f>SFP!AG7+SFP!AG17+SFP!AG23+SFP!AG24+SFP!AG25+SFP!AG26</f>
        <v>1954148308.8100002</v>
      </c>
      <c r="AI38" s="113">
        <f>SFP!AH7+SFP!AH17+SFP!AH23+SFP!AH24+SFP!AH25+SFP!AH26</f>
        <v>2647992767.7799997</v>
      </c>
    </row>
    <row r="39" spans="1:35" ht="12.75">
      <c r="A39" s="35">
        <v>8.1</v>
      </c>
      <c r="B39" s="53" t="s">
        <v>141</v>
      </c>
      <c r="C39" s="114">
        <f>SFP!B23</f>
        <v>223605000</v>
      </c>
      <c r="D39" s="114">
        <f>SFP!C23</f>
        <v>228580260.86000001</v>
      </c>
      <c r="E39" s="114">
        <f>SFP!D23</f>
        <v>228219630.90000001</v>
      </c>
      <c r="F39" s="114">
        <f>SFP!E23</f>
        <v>228029490.72999999</v>
      </c>
      <c r="G39" s="114">
        <f>SFP!F23</f>
        <v>226627190.77000001</v>
      </c>
      <c r="H39" s="114">
        <f>SFP!G23</f>
        <v>224166481.09</v>
      </c>
      <c r="I39" s="114">
        <f>SFP!H23</f>
        <v>222488607.02000001</v>
      </c>
      <c r="J39" s="114">
        <f>SFP!I23</f>
        <v>221044144.66</v>
      </c>
      <c r="K39" s="114">
        <f>SFP!J23</f>
        <v>222223576.97999999</v>
      </c>
      <c r="L39" s="114">
        <f>SFP!K23</f>
        <v>237939361.38999999</v>
      </c>
      <c r="M39" s="114">
        <f>SFP!L23</f>
        <v>235984054.94</v>
      </c>
      <c r="N39" s="114">
        <f>SFP!M23</f>
        <v>234893364.24000001</v>
      </c>
      <c r="O39" s="114">
        <f>SFP!N23</f>
        <v>376332334.24000001</v>
      </c>
      <c r="P39" s="114">
        <f>SFP!O23</f>
        <v>376216000</v>
      </c>
      <c r="Q39" s="114">
        <f>SFP!P23</f>
        <v>376104589.38999999</v>
      </c>
      <c r="R39" s="114">
        <f>SFP!Q23</f>
        <v>376716557.31999999</v>
      </c>
      <c r="S39" s="114">
        <f>SFP!R23</f>
        <v>365363532.00999999</v>
      </c>
      <c r="T39" s="114">
        <f>SFP!S23</f>
        <v>363698922.32999998</v>
      </c>
      <c r="U39" s="114">
        <f>SFP!T23</f>
        <v>362047977.98000002</v>
      </c>
      <c r="V39" s="114">
        <f>SFP!U23</f>
        <v>359728367.19</v>
      </c>
      <c r="W39" s="114">
        <f>SFP!V23</f>
        <v>354423882.35000002</v>
      </c>
      <c r="X39" s="114">
        <f>SFP!W23</f>
        <v>349530145.63</v>
      </c>
      <c r="Y39" s="114">
        <f>SFP!X23</f>
        <v>344530947.62</v>
      </c>
      <c r="Z39" s="114">
        <f>SFP!Y23</f>
        <v>341378938.92000002</v>
      </c>
      <c r="AA39" s="114">
        <f>SFP!Z23</f>
        <v>350259409.88</v>
      </c>
      <c r="AB39" s="114">
        <f>SFP!AA23</f>
        <v>344230245.38999999</v>
      </c>
      <c r="AC39" s="114">
        <f>SFP!AB23</f>
        <v>343630000</v>
      </c>
      <c r="AD39" s="114">
        <f>SFP!AC23</f>
        <v>394642920.44</v>
      </c>
      <c r="AE39" s="114">
        <f>SFP!AD23</f>
        <v>402051153.38</v>
      </c>
      <c r="AF39" s="114">
        <f>SFP!AE23</f>
        <v>408777909.17000002</v>
      </c>
      <c r="AG39" s="114">
        <f>SFP!AF23</f>
        <v>422400793.75</v>
      </c>
      <c r="AH39" s="114">
        <f>SFP!AG23</f>
        <v>431579606.41000003</v>
      </c>
      <c r="AI39" s="114">
        <f>SFP!AH23</f>
        <v>442708724.95999998</v>
      </c>
    </row>
    <row r="40" spans="1:35" ht="12.75">
      <c r="A40" s="31"/>
      <c r="B40" s="32"/>
      <c r="C40" s="117"/>
      <c r="D40" s="117"/>
      <c r="E40" s="117"/>
      <c r="F40" s="117"/>
      <c r="G40" s="117"/>
      <c r="H40" s="117"/>
      <c r="I40" s="117"/>
      <c r="J40" s="117"/>
      <c r="K40" s="117"/>
      <c r="L40" s="117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  <c r="AA40" s="117"/>
      <c r="AB40" s="117"/>
      <c r="AC40" s="117"/>
    </row>
    <row r="41" spans="1:35" ht="12.75">
      <c r="A41" s="46">
        <v>9</v>
      </c>
      <c r="B41" s="107" t="s">
        <v>142</v>
      </c>
      <c r="C41" s="113">
        <f t="shared" ref="C41" si="20">C42+C43+C44</f>
        <v>1199445000</v>
      </c>
      <c r="D41" s="113">
        <f t="shared" ref="D41:P41" si="21">D42+D43+D44</f>
        <v>1207918171.8199999</v>
      </c>
      <c r="E41" s="113">
        <f t="shared" si="21"/>
        <v>1199445298.8199999</v>
      </c>
      <c r="F41" s="113">
        <f t="shared" si="21"/>
        <v>1199445298.8199999</v>
      </c>
      <c r="G41" s="113">
        <f t="shared" si="21"/>
        <v>1199445298.8199999</v>
      </c>
      <c r="H41" s="113">
        <f t="shared" si="21"/>
        <v>1199445298.8199999</v>
      </c>
      <c r="I41" s="113">
        <f t="shared" si="21"/>
        <v>1199445298.8199999</v>
      </c>
      <c r="J41" s="113">
        <f t="shared" si="21"/>
        <v>1199445298.8199999</v>
      </c>
      <c r="K41" s="113">
        <f t="shared" si="21"/>
        <v>1199445298.8199999</v>
      </c>
      <c r="L41" s="113">
        <f t="shared" si="21"/>
        <v>1199445298.8199999</v>
      </c>
      <c r="M41" s="113">
        <f t="shared" si="21"/>
        <v>1199445298.8199999</v>
      </c>
      <c r="N41" s="113">
        <f t="shared" si="21"/>
        <v>1199445298.8199999</v>
      </c>
      <c r="O41" s="113">
        <f t="shared" si="21"/>
        <v>1221577177.2199998</v>
      </c>
      <c r="P41" s="113">
        <f t="shared" si="21"/>
        <v>1470475000</v>
      </c>
      <c r="Q41" s="113">
        <f t="shared" ref="Q41:AH41" si="22">Q42+Q43+Q44</f>
        <v>1469980737.6699998</v>
      </c>
      <c r="R41" s="113">
        <f t="shared" si="22"/>
        <v>1470481089.2399998</v>
      </c>
      <c r="S41" s="113">
        <f t="shared" si="22"/>
        <v>1470481089.2399998</v>
      </c>
      <c r="T41" s="113">
        <f t="shared" si="22"/>
        <v>1470481089.2399998</v>
      </c>
      <c r="U41" s="113">
        <f t="shared" si="22"/>
        <v>1470481089.2399998</v>
      </c>
      <c r="V41" s="113">
        <f t="shared" si="22"/>
        <v>1470481089.2399998</v>
      </c>
      <c r="W41" s="113">
        <f t="shared" si="22"/>
        <v>1470481089.2399998</v>
      </c>
      <c r="X41" s="113">
        <f t="shared" si="22"/>
        <v>1470481089.2399998</v>
      </c>
      <c r="Y41" s="113">
        <f t="shared" si="22"/>
        <v>1470481089.2399998</v>
      </c>
      <c r="Z41" s="113">
        <f t="shared" si="22"/>
        <v>1470481089.2399998</v>
      </c>
      <c r="AA41" s="113">
        <f t="shared" si="22"/>
        <v>1470481089.2399998</v>
      </c>
      <c r="AB41" s="113">
        <f t="shared" si="22"/>
        <v>1480995202.1199999</v>
      </c>
      <c r="AC41" s="113">
        <f t="shared" si="22"/>
        <v>1698460000</v>
      </c>
      <c r="AD41" s="113">
        <f t="shared" si="22"/>
        <v>1677456680.98</v>
      </c>
      <c r="AE41" s="113">
        <f t="shared" si="22"/>
        <v>1698459811.9799998</v>
      </c>
      <c r="AF41" s="113">
        <f t="shared" si="22"/>
        <v>1698459811.9799998</v>
      </c>
      <c r="AG41" s="113">
        <f t="shared" si="22"/>
        <v>1698459811.9799998</v>
      </c>
      <c r="AH41" s="113">
        <f t="shared" si="22"/>
        <v>1698459811.9799998</v>
      </c>
      <c r="AI41" s="113">
        <f t="shared" ref="AI41" si="23">AI42+AI43+AI44</f>
        <v>1698459811.9799998</v>
      </c>
    </row>
    <row r="42" spans="1:35" ht="12.75">
      <c r="A42" s="47">
        <v>9.1</v>
      </c>
      <c r="B42" s="108" t="s">
        <v>143</v>
      </c>
      <c r="C42" s="110">
        <f>SFP!B50</f>
        <v>1188896000</v>
      </c>
      <c r="D42" s="110">
        <f>SFP!C50</f>
        <v>1184895023.79</v>
      </c>
      <c r="E42" s="110">
        <f>SFP!D50</f>
        <v>1176422150.79</v>
      </c>
      <c r="F42" s="110">
        <f>SFP!E50</f>
        <v>1176422150.79</v>
      </c>
      <c r="G42" s="110">
        <f>SFP!F50</f>
        <v>1176422150.79</v>
      </c>
      <c r="H42" s="110">
        <f>SFP!G50</f>
        <v>1176422150.79</v>
      </c>
      <c r="I42" s="110">
        <f>SFP!H50</f>
        <v>1176422150.79</v>
      </c>
      <c r="J42" s="110">
        <f>SFP!I50</f>
        <v>1176422150.79</v>
      </c>
      <c r="K42" s="110">
        <f>SFP!J50</f>
        <v>1176422150.79</v>
      </c>
      <c r="L42" s="110">
        <f>SFP!K50</f>
        <v>1176422150.79</v>
      </c>
      <c r="M42" s="110">
        <f>SFP!L50</f>
        <v>1176422150.79</v>
      </c>
      <c r="N42" s="110">
        <f>SFP!M50</f>
        <v>1176422150.79</v>
      </c>
      <c r="O42" s="110">
        <f>SFP!N50</f>
        <v>1176422150.79</v>
      </c>
      <c r="P42" s="110">
        <f>SFP!O50</f>
        <v>1473792000</v>
      </c>
      <c r="Q42" s="110">
        <f>SFP!P50</f>
        <v>1460824150.79</v>
      </c>
      <c r="R42" s="110">
        <f>SFP!Q50</f>
        <v>1461324502.79</v>
      </c>
      <c r="S42" s="110">
        <f>SFP!R50</f>
        <v>1461324502.79</v>
      </c>
      <c r="T42" s="110">
        <f>SFP!S50</f>
        <v>1461324502.79</v>
      </c>
      <c r="U42" s="110">
        <f>SFP!T50</f>
        <v>1461324502.79</v>
      </c>
      <c r="V42" s="110">
        <f>SFP!U50</f>
        <v>1461324502.79</v>
      </c>
      <c r="W42" s="110">
        <f>SFP!V50</f>
        <v>1461324502.79</v>
      </c>
      <c r="X42" s="110">
        <f>SFP!W50</f>
        <v>1461324502.79</v>
      </c>
      <c r="Y42" s="110">
        <f>SFP!X50</f>
        <v>1461324502.79</v>
      </c>
      <c r="Z42" s="110">
        <f>SFP!Y50</f>
        <v>1461324502.79</v>
      </c>
      <c r="AA42" s="110">
        <f>SFP!Z50</f>
        <v>1461324502.79</v>
      </c>
      <c r="AB42" s="110">
        <f>SFP!AA50</f>
        <v>1461317108.79</v>
      </c>
      <c r="AC42" s="110">
        <f>SFP!AB50</f>
        <v>1670253000</v>
      </c>
      <c r="AD42" s="110">
        <f>SFP!AC50</f>
        <v>1657778587.6500001</v>
      </c>
      <c r="AE42" s="110">
        <f>SFP!AD50</f>
        <v>1657778783.79</v>
      </c>
      <c r="AF42" s="110">
        <f>SFP!AE50</f>
        <v>1657778783.79</v>
      </c>
      <c r="AG42" s="110">
        <f>SFP!AF50</f>
        <v>1657778783.79</v>
      </c>
      <c r="AH42" s="110">
        <f>SFP!AG50</f>
        <v>1657778783.79</v>
      </c>
      <c r="AI42" s="110">
        <f>SFP!AH50</f>
        <v>1657778783.79</v>
      </c>
    </row>
    <row r="43" spans="1:35" ht="12.75">
      <c r="A43" s="47"/>
      <c r="B43" s="108" t="s">
        <v>144</v>
      </c>
      <c r="C43" s="110">
        <f>SFP!B51</f>
        <v>0</v>
      </c>
      <c r="D43" s="110">
        <f>SFP!C51</f>
        <v>12474412.609999999</v>
      </c>
      <c r="E43" s="110">
        <f>SFP!D51</f>
        <v>12474412.609999999</v>
      </c>
      <c r="F43" s="110">
        <f>SFP!E51</f>
        <v>12474412.609999999</v>
      </c>
      <c r="G43" s="110">
        <f>SFP!F51</f>
        <v>12474412.609999999</v>
      </c>
      <c r="H43" s="110">
        <f>SFP!G51</f>
        <v>12474412.609999999</v>
      </c>
      <c r="I43" s="110">
        <f>SFP!H51</f>
        <v>12474412.609999999</v>
      </c>
      <c r="J43" s="110">
        <f>SFP!I51</f>
        <v>12474412.609999999</v>
      </c>
      <c r="K43" s="110">
        <f>SFP!J51</f>
        <v>12474412.609999999</v>
      </c>
      <c r="L43" s="110">
        <f>SFP!K51</f>
        <v>12474412.609999999</v>
      </c>
      <c r="M43" s="110">
        <f>SFP!L51</f>
        <v>12474412.609999999</v>
      </c>
      <c r="N43" s="110">
        <f>SFP!M51</f>
        <v>12474412.609999999</v>
      </c>
      <c r="O43" s="110">
        <f>SFP!N51</f>
        <v>12474412.609999999</v>
      </c>
      <c r="P43" s="110">
        <f>SFP!O51</f>
        <v>0</v>
      </c>
      <c r="Q43" s="110">
        <f>SFP!P51</f>
        <v>12474412.609999999</v>
      </c>
      <c r="R43" s="110">
        <f>SFP!Q51</f>
        <v>12474412.609999999</v>
      </c>
      <c r="S43" s="110">
        <f>SFP!R51</f>
        <v>12474412.609999999</v>
      </c>
      <c r="T43" s="110">
        <f>SFP!S51</f>
        <v>12474412.609999999</v>
      </c>
      <c r="U43" s="110">
        <f>SFP!T51</f>
        <v>12474412.609999999</v>
      </c>
      <c r="V43" s="110">
        <f>SFP!U51</f>
        <v>12474412.609999999</v>
      </c>
      <c r="W43" s="110">
        <f>SFP!V51</f>
        <v>12474412.609999999</v>
      </c>
      <c r="X43" s="110">
        <f>SFP!W51</f>
        <v>12474412.609999999</v>
      </c>
      <c r="Y43" s="110">
        <f>SFP!X51</f>
        <v>12474412.609999999</v>
      </c>
      <c r="Z43" s="110">
        <f>SFP!Y51</f>
        <v>12474412.609999999</v>
      </c>
      <c r="AA43" s="110">
        <f>SFP!Z51</f>
        <v>12474412.609999999</v>
      </c>
      <c r="AB43" s="110">
        <f>SFP!AA51</f>
        <v>12474412.609999999</v>
      </c>
      <c r="AC43" s="110">
        <f>SFP!AB51</f>
        <v>0</v>
      </c>
      <c r="AD43" s="110">
        <f>SFP!AC51</f>
        <v>12474412.609999999</v>
      </c>
      <c r="AE43" s="110">
        <f>SFP!AD51</f>
        <v>12474412.609999999</v>
      </c>
      <c r="AF43" s="110">
        <f>SFP!AE51</f>
        <v>12474412.609999999</v>
      </c>
      <c r="AG43" s="110">
        <f>SFP!AF51</f>
        <v>12474412.609999999</v>
      </c>
      <c r="AH43" s="110">
        <f>SFP!AG51</f>
        <v>12474412.609999999</v>
      </c>
      <c r="AI43" s="110">
        <f>SFP!AH51</f>
        <v>12474412.609999999</v>
      </c>
    </row>
    <row r="44" spans="1:35" ht="12.75">
      <c r="A44" s="47">
        <v>9.1999999999999993</v>
      </c>
      <c r="B44" s="108" t="s">
        <v>145</v>
      </c>
      <c r="C44" s="110">
        <f>SFP!B52</f>
        <v>10549000</v>
      </c>
      <c r="D44" s="110">
        <f>SFP!C52</f>
        <v>10548735.42</v>
      </c>
      <c r="E44" s="110">
        <f>SFP!D52</f>
        <v>10548735.42</v>
      </c>
      <c r="F44" s="110">
        <f>SFP!E52</f>
        <v>10548735.42</v>
      </c>
      <c r="G44" s="110">
        <f>SFP!F52</f>
        <v>10548735.42</v>
      </c>
      <c r="H44" s="110">
        <f>SFP!G52</f>
        <v>10548735.42</v>
      </c>
      <c r="I44" s="110">
        <f>SFP!H52</f>
        <v>10548735.42</v>
      </c>
      <c r="J44" s="110">
        <f>SFP!I52</f>
        <v>10548735.42</v>
      </c>
      <c r="K44" s="110">
        <f>SFP!J52</f>
        <v>10548735.42</v>
      </c>
      <c r="L44" s="110">
        <f>SFP!K52</f>
        <v>10548735.42</v>
      </c>
      <c r="M44" s="110">
        <f>SFP!L52</f>
        <v>10548735.42</v>
      </c>
      <c r="N44" s="110">
        <f>SFP!M52</f>
        <v>10548735.42</v>
      </c>
      <c r="O44" s="110">
        <f>SFP!N52</f>
        <v>32680613.82</v>
      </c>
      <c r="P44" s="110">
        <f>SFP!O52</f>
        <v>-3317000</v>
      </c>
      <c r="Q44" s="110">
        <f>SFP!P52</f>
        <v>-3317825.73</v>
      </c>
      <c r="R44" s="110">
        <f>SFP!Q52</f>
        <v>-3317826.16</v>
      </c>
      <c r="S44" s="110">
        <f>SFP!R52</f>
        <v>-3317826.16</v>
      </c>
      <c r="T44" s="110">
        <f>SFP!S52</f>
        <v>-3317826.16</v>
      </c>
      <c r="U44" s="110">
        <f>SFP!T52</f>
        <v>-3317826.16</v>
      </c>
      <c r="V44" s="110">
        <f>SFP!U52</f>
        <v>-3317826.16</v>
      </c>
      <c r="W44" s="110">
        <f>SFP!V52</f>
        <v>-3317826.16</v>
      </c>
      <c r="X44" s="110">
        <f>SFP!W52</f>
        <v>-3317826.16</v>
      </c>
      <c r="Y44" s="110">
        <f>SFP!X52</f>
        <v>-3317826.16</v>
      </c>
      <c r="Z44" s="110">
        <f>SFP!Y52</f>
        <v>-3317826.16</v>
      </c>
      <c r="AA44" s="110">
        <f>SFP!Z52</f>
        <v>-3317826.16</v>
      </c>
      <c r="AB44" s="110">
        <f>SFP!AA52</f>
        <v>7203680.7199999997</v>
      </c>
      <c r="AC44" s="110">
        <f>SFP!AB52</f>
        <v>28207000</v>
      </c>
      <c r="AD44" s="110">
        <f>SFP!AC52</f>
        <v>7203680.7199999997</v>
      </c>
      <c r="AE44" s="110">
        <f>SFP!AD52</f>
        <v>28206615.579999998</v>
      </c>
      <c r="AF44" s="110">
        <f>SFP!AE52</f>
        <v>28206615.579999998</v>
      </c>
      <c r="AG44" s="110">
        <f>SFP!AF52</f>
        <v>28206615.579999998</v>
      </c>
      <c r="AH44" s="110">
        <f>SFP!AG52</f>
        <v>28206615.579999998</v>
      </c>
      <c r="AI44" s="110">
        <f>SFP!AH52</f>
        <v>28206615.579999998</v>
      </c>
    </row>
    <row r="45" spans="1:35" ht="12.75">
      <c r="A45" s="48"/>
      <c r="B45" s="109" t="s">
        <v>146</v>
      </c>
      <c r="C45" s="118"/>
      <c r="D45" s="118"/>
      <c r="E45" s="118"/>
      <c r="F45" s="118"/>
      <c r="G45" s="118"/>
      <c r="H45" s="118"/>
      <c r="I45" s="118"/>
      <c r="J45" s="118"/>
      <c r="K45" s="118"/>
      <c r="L45" s="118"/>
      <c r="M45" s="118"/>
      <c r="N45" s="118"/>
      <c r="O45" s="118"/>
      <c r="P45" s="118"/>
      <c r="Q45" s="118"/>
      <c r="R45" s="118"/>
      <c r="S45" s="118"/>
      <c r="T45" s="118"/>
      <c r="U45" s="118"/>
      <c r="V45" s="118"/>
      <c r="W45" s="118"/>
      <c r="X45" s="118"/>
      <c r="Y45" s="118"/>
      <c r="Z45" s="118"/>
      <c r="AA45" s="118"/>
      <c r="AB45" s="118"/>
      <c r="AC45" s="118"/>
    </row>
    <row r="46" spans="1:35" ht="12.75">
      <c r="A46" s="36"/>
      <c r="B46" s="32"/>
      <c r="C46" s="119"/>
      <c r="D46" s="119"/>
      <c r="E46" s="119"/>
      <c r="F46" s="119"/>
      <c r="G46" s="119"/>
      <c r="H46" s="119"/>
      <c r="I46" s="119"/>
      <c r="J46" s="119"/>
      <c r="K46" s="119"/>
      <c r="L46" s="119"/>
      <c r="M46" s="119"/>
      <c r="N46" s="119"/>
      <c r="O46" s="119"/>
      <c r="P46" s="119"/>
      <c r="Q46" s="119"/>
      <c r="R46" s="119"/>
      <c r="S46" s="119"/>
      <c r="T46" s="119"/>
      <c r="U46" s="119"/>
      <c r="V46" s="119"/>
      <c r="W46" s="119"/>
      <c r="X46" s="119"/>
      <c r="Y46" s="119"/>
      <c r="Z46" s="119"/>
      <c r="AA46" s="119"/>
      <c r="AB46" s="119"/>
      <c r="AC46" s="119"/>
    </row>
    <row r="47" spans="1:35" ht="12.75">
      <c r="A47" s="49">
        <v>10</v>
      </c>
      <c r="B47" s="50" t="s">
        <v>147</v>
      </c>
      <c r="C47" s="120">
        <f t="shared" ref="C47" si="24">SUM(C48:C53)</f>
        <v>3620405000</v>
      </c>
      <c r="D47" s="120">
        <f t="shared" ref="D47:P47" si="25">SUM(D48:D53)</f>
        <v>0</v>
      </c>
      <c r="E47" s="120">
        <f t="shared" si="25"/>
        <v>0</v>
      </c>
      <c r="F47" s="120">
        <f t="shared" si="25"/>
        <v>0</v>
      </c>
      <c r="G47" s="120">
        <f t="shared" si="25"/>
        <v>0</v>
      </c>
      <c r="H47" s="120">
        <f t="shared" si="25"/>
        <v>0</v>
      </c>
      <c r="I47" s="120">
        <f t="shared" si="25"/>
        <v>0</v>
      </c>
      <c r="J47" s="120">
        <f t="shared" si="25"/>
        <v>0</v>
      </c>
      <c r="K47" s="120">
        <f t="shared" si="25"/>
        <v>0</v>
      </c>
      <c r="L47" s="120">
        <f t="shared" si="25"/>
        <v>0</v>
      </c>
      <c r="M47" s="120">
        <f t="shared" si="25"/>
        <v>0</v>
      </c>
      <c r="N47" s="120">
        <f t="shared" si="25"/>
        <v>0</v>
      </c>
      <c r="O47" s="120">
        <f t="shared" si="25"/>
        <v>0</v>
      </c>
      <c r="P47" s="120">
        <f t="shared" si="25"/>
        <v>3849700000</v>
      </c>
      <c r="Q47" s="120">
        <f t="shared" ref="Q47:AH47" si="26">SUM(Q48:Q53)</f>
        <v>342559679.37999994</v>
      </c>
      <c r="R47" s="120">
        <f t="shared" si="26"/>
        <v>669384089.53000009</v>
      </c>
      <c r="S47" s="120">
        <f t="shared" si="26"/>
        <v>1020033741.76</v>
      </c>
      <c r="T47" s="120">
        <f t="shared" si="26"/>
        <v>1355830507.5699999</v>
      </c>
      <c r="U47" s="120">
        <f t="shared" si="26"/>
        <v>1700097651.6000001</v>
      </c>
      <c r="V47" s="120">
        <f t="shared" si="26"/>
        <v>2063727529.3000002</v>
      </c>
      <c r="W47" s="120">
        <f t="shared" si="26"/>
        <v>2421940465.7599998</v>
      </c>
      <c r="X47" s="120">
        <f t="shared" si="26"/>
        <v>2777333772.1700001</v>
      </c>
      <c r="Y47" s="120">
        <f t="shared" si="26"/>
        <v>3147442661.9200001</v>
      </c>
      <c r="Z47" s="120">
        <f t="shared" si="26"/>
        <v>3488803202.71</v>
      </c>
      <c r="AA47" s="120">
        <f t="shared" si="26"/>
        <v>3871247138.1500001</v>
      </c>
      <c r="AB47" s="120">
        <f t="shared" si="26"/>
        <v>4327500608.1099997</v>
      </c>
      <c r="AC47" s="120">
        <f t="shared" si="26"/>
        <v>4312225000</v>
      </c>
      <c r="AD47" s="120">
        <f t="shared" si="26"/>
        <v>369013326.34000003</v>
      </c>
      <c r="AE47" s="120">
        <f t="shared" si="26"/>
        <v>755784533.95000005</v>
      </c>
      <c r="AF47" s="120">
        <f t="shared" si="26"/>
        <v>1185938980.3800001</v>
      </c>
      <c r="AG47" s="120">
        <f t="shared" si="26"/>
        <v>1585165421.7300003</v>
      </c>
      <c r="AH47" s="120">
        <f t="shared" si="26"/>
        <v>1929635457.48</v>
      </c>
      <c r="AI47" s="120">
        <f t="shared" ref="AI47" si="27">SUM(AI48:AI53)</f>
        <v>2318509926.2999997</v>
      </c>
    </row>
    <row r="48" spans="1:35" ht="12.75">
      <c r="A48" s="34">
        <v>10.1</v>
      </c>
      <c r="B48" s="51" t="s">
        <v>148</v>
      </c>
      <c r="C48" s="110">
        <f>SCI!B13</f>
        <v>2826735000</v>
      </c>
      <c r="D48" s="110">
        <f>SCI!C13</f>
        <v>0</v>
      </c>
      <c r="E48" s="110">
        <f>SCI!D13</f>
        <v>0</v>
      </c>
      <c r="F48" s="110">
        <f>SCI!E13</f>
        <v>0</v>
      </c>
      <c r="G48" s="110">
        <f>SCI!F13</f>
        <v>0</v>
      </c>
      <c r="H48" s="110">
        <f>SCI!G13</f>
        <v>0</v>
      </c>
      <c r="I48" s="110">
        <f>SCI!H13</f>
        <v>0</v>
      </c>
      <c r="J48" s="110">
        <f>SCI!I13</f>
        <v>0</v>
      </c>
      <c r="K48" s="110">
        <f>SCI!J13</f>
        <v>0</v>
      </c>
      <c r="L48" s="110">
        <f>SCI!K13</f>
        <v>0</v>
      </c>
      <c r="M48" s="110">
        <f>SCI!L13</f>
        <v>0</v>
      </c>
      <c r="N48" s="110">
        <f>SCI!M13</f>
        <v>0</v>
      </c>
      <c r="O48" s="110">
        <f>SCI!N13</f>
        <v>0</v>
      </c>
      <c r="P48" s="110">
        <f>SCI!O13</f>
        <v>3098705000</v>
      </c>
      <c r="Q48" s="110">
        <f>SCI!P13</f>
        <v>34492974.950000003</v>
      </c>
      <c r="R48" s="110">
        <f>SCI!Q13</f>
        <v>63405947.009999998</v>
      </c>
      <c r="S48" s="110">
        <f>SCI!R13</f>
        <v>100727592.73999999</v>
      </c>
      <c r="T48" s="110">
        <f>SCI!S13</f>
        <v>137254719.61000001</v>
      </c>
      <c r="U48" s="110">
        <f>SCI!T13</f>
        <v>172631188.53</v>
      </c>
      <c r="V48" s="110">
        <f>SCI!U13</f>
        <v>209054042.96000001</v>
      </c>
      <c r="W48" s="110">
        <f>SCI!V13</f>
        <v>248566922.72</v>
      </c>
      <c r="X48" s="110">
        <f>SCI!W13</f>
        <v>286848387.13</v>
      </c>
      <c r="Y48" s="110">
        <f>SCI!X13</f>
        <v>334947260.74000001</v>
      </c>
      <c r="Z48" s="110">
        <f>SCI!Y13</f>
        <v>367343585.29000002</v>
      </c>
      <c r="AA48" s="110">
        <f>SCI!Z13</f>
        <v>411099735.54000002</v>
      </c>
      <c r="AB48" s="110">
        <f>SCI!AA13</f>
        <v>468318279.41000003</v>
      </c>
      <c r="AC48" s="110">
        <f>SCI!AB13</f>
        <v>3565665000</v>
      </c>
      <c r="AD48" s="110">
        <f>SCI!AC13</f>
        <v>28305190.629999999</v>
      </c>
      <c r="AE48" s="110">
        <f>SCI!AD13</f>
        <v>70173627.099999994</v>
      </c>
      <c r="AF48" s="110">
        <f>SCI!AE13</f>
        <v>120242301.36</v>
      </c>
      <c r="AG48" s="110">
        <f>SCI!AF13</f>
        <v>163320592.31</v>
      </c>
      <c r="AH48" s="110">
        <f>SCI!AG13</f>
        <v>148535131.66</v>
      </c>
      <c r="AI48" s="110">
        <f>SCI!AH13</f>
        <v>182220128.19999999</v>
      </c>
    </row>
    <row r="49" spans="1:35" ht="12.75">
      <c r="A49" s="34">
        <v>10.199999999999999</v>
      </c>
      <c r="B49" s="51" t="s">
        <v>149</v>
      </c>
      <c r="C49" s="116">
        <f>SCI!B15</f>
        <v>0</v>
      </c>
      <c r="D49" s="116">
        <f>SCI!C15</f>
        <v>0</v>
      </c>
      <c r="E49" s="116">
        <f>SCI!D15</f>
        <v>0</v>
      </c>
      <c r="F49" s="116">
        <f>SCI!E15</f>
        <v>0</v>
      </c>
      <c r="G49" s="116">
        <f>SCI!F15</f>
        <v>0</v>
      </c>
      <c r="H49" s="116">
        <f>SCI!G15</f>
        <v>0</v>
      </c>
      <c r="I49" s="116">
        <f>SCI!H15</f>
        <v>0</v>
      </c>
      <c r="J49" s="116">
        <f>SCI!I15</f>
        <v>0</v>
      </c>
      <c r="K49" s="116">
        <f>SCI!J15</f>
        <v>0</v>
      </c>
      <c r="L49" s="116">
        <f>SCI!K15</f>
        <v>0</v>
      </c>
      <c r="M49" s="116">
        <f>SCI!L15</f>
        <v>0</v>
      </c>
      <c r="N49" s="116">
        <f>SCI!M15</f>
        <v>0</v>
      </c>
      <c r="O49" s="116">
        <f>SCI!N15</f>
        <v>0</v>
      </c>
      <c r="P49" s="116">
        <f>SCI!O15</f>
        <v>0</v>
      </c>
      <c r="Q49" s="116">
        <f>SCI!P15</f>
        <v>251229062</v>
      </c>
      <c r="R49" s="116">
        <f>SCI!Q15</f>
        <v>502482565.42000002</v>
      </c>
      <c r="S49" s="116">
        <f>SCI!R15</f>
        <v>753687186</v>
      </c>
      <c r="T49" s="116">
        <f>SCI!S15</f>
        <v>1005073340.87</v>
      </c>
      <c r="U49" s="116">
        <f>SCI!T15</f>
        <v>1256304922.8699999</v>
      </c>
      <c r="V49" s="116">
        <f>SCI!U15</f>
        <v>1507533984.8699999</v>
      </c>
      <c r="W49" s="116">
        <f>SCI!V15</f>
        <v>1758763046.8699999</v>
      </c>
      <c r="X49" s="116">
        <f>SCI!W15</f>
        <v>2009992108.8699999</v>
      </c>
      <c r="Y49" s="116">
        <f>SCI!X15</f>
        <v>2261221170.8699999</v>
      </c>
      <c r="Z49" s="116">
        <f>SCI!Y15</f>
        <v>2512461073.73</v>
      </c>
      <c r="AA49" s="116">
        <f>SCI!Z15</f>
        <v>2763519682</v>
      </c>
      <c r="AB49" s="116">
        <f>SCI!AA15</f>
        <v>3095229298.1799998</v>
      </c>
      <c r="AC49" s="116">
        <f>SCI!AB15</f>
        <v>0</v>
      </c>
      <c r="AD49" s="116">
        <f>SCI!AC15</f>
        <v>282604392.17000002</v>
      </c>
      <c r="AE49" s="116">
        <f>SCI!AD15</f>
        <v>565183584.34000003</v>
      </c>
      <c r="AF49" s="116">
        <f>SCI!AE15</f>
        <v>846975434.33000004</v>
      </c>
      <c r="AG49" s="116">
        <f>SCI!AF15</f>
        <v>1130367168.6800001</v>
      </c>
      <c r="AH49" s="116">
        <f>SCI!AG15</f>
        <v>1412958960.8499999</v>
      </c>
      <c r="AI49" s="116">
        <f>SCI!AH15</f>
        <v>1695550753.02</v>
      </c>
    </row>
    <row r="50" spans="1:35" ht="12.75">
      <c r="A50" s="34">
        <v>10.3</v>
      </c>
      <c r="B50" s="51" t="s">
        <v>150</v>
      </c>
      <c r="C50" s="111">
        <f>SCI!B14</f>
        <v>0</v>
      </c>
      <c r="D50" s="111">
        <f>SCI!C14</f>
        <v>0</v>
      </c>
      <c r="E50" s="111">
        <f>SCI!D14</f>
        <v>0</v>
      </c>
      <c r="F50" s="111">
        <f>SCI!E14</f>
        <v>0</v>
      </c>
      <c r="G50" s="111">
        <f>SCI!F14</f>
        <v>0</v>
      </c>
      <c r="H50" s="111">
        <f>SCI!G14</f>
        <v>0</v>
      </c>
      <c r="I50" s="111">
        <f>SCI!H14</f>
        <v>0</v>
      </c>
      <c r="J50" s="111">
        <f>SCI!I14</f>
        <v>0</v>
      </c>
      <c r="K50" s="111">
        <f>SCI!J14</f>
        <v>0</v>
      </c>
      <c r="L50" s="111">
        <f>SCI!K14</f>
        <v>0</v>
      </c>
      <c r="M50" s="111">
        <f>SCI!L14</f>
        <v>0</v>
      </c>
      <c r="N50" s="111">
        <f>SCI!M14</f>
        <v>0</v>
      </c>
      <c r="O50" s="111">
        <f>SCI!N14</f>
        <v>0</v>
      </c>
      <c r="P50" s="111">
        <f>SCI!O14</f>
        <v>853000</v>
      </c>
      <c r="Q50" s="111">
        <f>SCI!P14</f>
        <v>553244.81999999995</v>
      </c>
      <c r="R50" s="111">
        <f>SCI!Q14</f>
        <v>553244.81999999995</v>
      </c>
      <c r="S50" s="111">
        <f>SCI!R14</f>
        <v>825102.61</v>
      </c>
      <c r="T50" s="111">
        <f>SCI!S14</f>
        <v>1093766.33</v>
      </c>
      <c r="U50" s="111">
        <f>SCI!T14</f>
        <v>1359222.67</v>
      </c>
      <c r="V50" s="111">
        <f>SCI!U14</f>
        <v>1946299.89</v>
      </c>
      <c r="W50" s="111">
        <f>SCI!V14</f>
        <v>2527911.0499999998</v>
      </c>
      <c r="X50" s="111">
        <f>SCI!W14</f>
        <v>3101782.73</v>
      </c>
      <c r="Y50" s="111">
        <f>SCI!X14</f>
        <v>3674643.81</v>
      </c>
      <c r="Z50" s="111">
        <f>SCI!Y14</f>
        <v>4239719.6500000004</v>
      </c>
      <c r="AA50" s="111">
        <f>SCI!Z14</f>
        <v>4799237.7300000004</v>
      </c>
      <c r="AB50" s="111">
        <f>SCI!AA14</f>
        <v>5353174.8899999997</v>
      </c>
      <c r="AC50" s="111">
        <f>SCI!AB14</f>
        <v>5353000</v>
      </c>
      <c r="AD50" s="111">
        <f>SCI!AC14</f>
        <v>1253725.56</v>
      </c>
      <c r="AE50" s="111">
        <f>SCI!AD14</f>
        <v>2498634.48</v>
      </c>
      <c r="AF50" s="111">
        <f>SCI!AE14</f>
        <v>3693462.31</v>
      </c>
      <c r="AG50" s="111">
        <f>SCI!AF14</f>
        <v>4851164.4800000004</v>
      </c>
      <c r="AH50" s="111">
        <f>SCI!AG14</f>
        <v>6105466.8799999999</v>
      </c>
      <c r="AI50" s="111">
        <f>SCI!AH14</f>
        <v>7314724.0099999998</v>
      </c>
    </row>
    <row r="51" spans="1:35" ht="12.75">
      <c r="A51" s="34">
        <v>10.4</v>
      </c>
      <c r="B51" s="51" t="s">
        <v>151</v>
      </c>
      <c r="C51" s="116">
        <f>SCI!B16+SCI!B17+SCI!B18</f>
        <v>192704000</v>
      </c>
      <c r="D51" s="116">
        <f>SCI!C16+SCI!C17+SCI!C18</f>
        <v>0</v>
      </c>
      <c r="E51" s="116">
        <f>SCI!D16+SCI!D17+SCI!D18</f>
        <v>0</v>
      </c>
      <c r="F51" s="116">
        <f>SCI!E16+SCI!E17+SCI!E18</f>
        <v>0</v>
      </c>
      <c r="G51" s="116">
        <f>SCI!F16+SCI!F17+SCI!F18</f>
        <v>0</v>
      </c>
      <c r="H51" s="116">
        <f>SCI!G16+SCI!G17+SCI!G18</f>
        <v>0</v>
      </c>
      <c r="I51" s="116">
        <f>SCI!H16+SCI!H17+SCI!H18</f>
        <v>0</v>
      </c>
      <c r="J51" s="116">
        <f>SCI!I16+SCI!I17+SCI!I18</f>
        <v>0</v>
      </c>
      <c r="K51" s="116">
        <f>SCI!J16+SCI!J17+SCI!J18</f>
        <v>0</v>
      </c>
      <c r="L51" s="116">
        <f>SCI!K16+SCI!K17+SCI!K18</f>
        <v>0</v>
      </c>
      <c r="M51" s="116">
        <f>SCI!L16+SCI!L17+SCI!L18</f>
        <v>0</v>
      </c>
      <c r="N51" s="116">
        <f>SCI!M16+SCI!M17+SCI!M18</f>
        <v>0</v>
      </c>
      <c r="O51" s="116">
        <f>SCI!N16+SCI!N17+SCI!N18</f>
        <v>0</v>
      </c>
      <c r="P51" s="116">
        <f>SCI!O16+SCI!O17+SCI!O18</f>
        <v>-114873000</v>
      </c>
      <c r="Q51" s="116">
        <f>SCI!P16+SCI!P17+SCI!P18</f>
        <v>2277335.38</v>
      </c>
      <c r="R51" s="116">
        <f>SCI!Q16+SCI!Q17+SCI!Q18</f>
        <v>4570990.53</v>
      </c>
      <c r="S51" s="116">
        <f>SCI!R16+SCI!R17+SCI!R18</f>
        <v>6917688.6200000001</v>
      </c>
      <c r="T51" s="116">
        <f>SCI!S16+SCI!S17+SCI!S18</f>
        <v>8970856.0700000003</v>
      </c>
      <c r="U51" s="116">
        <f>SCI!T16+SCI!T17+SCI!T18</f>
        <v>10916750.470000001</v>
      </c>
      <c r="V51" s="116">
        <f>SCI!U16+SCI!U17+SCI!U18</f>
        <v>12872515.6</v>
      </c>
      <c r="W51" s="116">
        <f>SCI!V16+SCI!V17+SCI!V18</f>
        <v>11645884.350000001</v>
      </c>
      <c r="X51" s="116">
        <f>SCI!W16+SCI!W17+SCI!W18</f>
        <v>16523607.690000001</v>
      </c>
      <c r="Y51" s="116">
        <f>SCI!X16+SCI!X17+SCI!X18</f>
        <v>23405718.859999999</v>
      </c>
      <c r="Z51" s="116">
        <f>SCI!Y16+SCI!Y17+SCI!Y18</f>
        <v>25630671.370000001</v>
      </c>
      <c r="AA51" s="116">
        <f>SCI!Z16+SCI!Z17+SCI!Z18</f>
        <v>28577370.229999997</v>
      </c>
      <c r="AB51" s="116">
        <f>SCI!AA16+SCI!AA17+SCI!AA18</f>
        <v>31534171.100000001</v>
      </c>
      <c r="AC51" s="116">
        <f>SCI!AB16+SCI!AB17+SCI!AB18</f>
        <v>22620000</v>
      </c>
      <c r="AD51" s="116">
        <f>SCI!AC16+SCI!AC17+SCI!AC18</f>
        <v>142502.07</v>
      </c>
      <c r="AE51" s="116">
        <f>SCI!AD16+SCI!AD17+SCI!AD18</f>
        <v>848917.39</v>
      </c>
      <c r="AF51" s="116">
        <f>SCI!AE16+SCI!AE17+SCI!AE18</f>
        <v>7930488.1900000004</v>
      </c>
      <c r="AG51" s="116">
        <f>SCI!AF16+SCI!AF17+SCI!AF18</f>
        <v>10286559.65</v>
      </c>
      <c r="AH51" s="116">
        <f>SCI!AG16+SCI!AG17+SCI!AG18</f>
        <v>13275092.059999999</v>
      </c>
      <c r="AI51" s="116">
        <f>SCI!AH16+SCI!AH17+SCI!AH18</f>
        <v>17277705.960000001</v>
      </c>
    </row>
    <row r="52" spans="1:35" ht="12.75">
      <c r="A52" s="34">
        <v>10.5</v>
      </c>
      <c r="B52" s="52" t="s">
        <v>152</v>
      </c>
      <c r="C52" s="110">
        <f>SCI!B28</f>
        <v>600966000</v>
      </c>
      <c r="D52" s="110">
        <f>SCI!C28</f>
        <v>0</v>
      </c>
      <c r="E52" s="110">
        <f>SCI!D28</f>
        <v>0</v>
      </c>
      <c r="F52" s="110">
        <f>SCI!E28</f>
        <v>0</v>
      </c>
      <c r="G52" s="110">
        <f>SCI!F28</f>
        <v>0</v>
      </c>
      <c r="H52" s="110">
        <f>SCI!G28</f>
        <v>0</v>
      </c>
      <c r="I52" s="110">
        <f>SCI!H28</f>
        <v>0</v>
      </c>
      <c r="J52" s="110">
        <f>SCI!I28</f>
        <v>0</v>
      </c>
      <c r="K52" s="110">
        <f>SCI!J28</f>
        <v>0</v>
      </c>
      <c r="L52" s="110">
        <f>SCI!K28</f>
        <v>0</v>
      </c>
      <c r="M52" s="110">
        <f>SCI!L28</f>
        <v>0</v>
      </c>
      <c r="N52" s="110">
        <f>SCI!M28</f>
        <v>0</v>
      </c>
      <c r="O52" s="110">
        <f>SCI!N28</f>
        <v>0</v>
      </c>
      <c r="P52" s="110">
        <f>SCI!O28</f>
        <v>865015000</v>
      </c>
      <c r="Q52" s="110">
        <f>SCI!P28</f>
        <v>49690854.700000003</v>
      </c>
      <c r="R52" s="110">
        <f>SCI!Q28</f>
        <v>88342800.400000006</v>
      </c>
      <c r="S52" s="110">
        <f>SCI!R28</f>
        <v>142878463.12</v>
      </c>
      <c r="T52" s="110">
        <f>SCI!S28</f>
        <v>182038316.56</v>
      </c>
      <c r="U52" s="110">
        <f>SCI!T28</f>
        <v>226985969.16</v>
      </c>
      <c r="V52" s="110">
        <f>SCI!U28</f>
        <v>274225173.60000002</v>
      </c>
      <c r="W52" s="110">
        <f>SCI!V28</f>
        <v>314513977.81</v>
      </c>
      <c r="X52" s="110">
        <f>SCI!W28</f>
        <v>368971382.55000001</v>
      </c>
      <c r="Y52" s="110">
        <f>SCI!X28</f>
        <v>422265543.83999997</v>
      </c>
      <c r="Z52" s="110">
        <f>SCI!Y28</f>
        <v>470107723.80000001</v>
      </c>
      <c r="AA52" s="110">
        <f>SCI!Z28</f>
        <v>538433160.13999999</v>
      </c>
      <c r="AB52" s="110">
        <f>SCI!AA28</f>
        <v>595617660.22000003</v>
      </c>
      <c r="AC52" s="110">
        <f>SCI!AB28</f>
        <v>674148000</v>
      </c>
      <c r="AD52" s="110">
        <f>SCI!AC28</f>
        <v>52992191.359999999</v>
      </c>
      <c r="AE52" s="110">
        <f>SCI!AD28</f>
        <v>110091605.61</v>
      </c>
      <c r="AF52" s="110">
        <f>SCI!AE28</f>
        <v>196152365.36000001</v>
      </c>
      <c r="AG52" s="110">
        <f>SCI!AF28</f>
        <v>261407424.66</v>
      </c>
      <c r="AH52" s="110">
        <f>SCI!AG28</f>
        <v>327981080.25999999</v>
      </c>
      <c r="AI52" s="110">
        <f>SCI!AH28</f>
        <v>391077321.69999999</v>
      </c>
    </row>
    <row r="53" spans="1:35" ht="12.75">
      <c r="A53" s="34">
        <v>10.6</v>
      </c>
      <c r="B53" s="52" t="s">
        <v>153</v>
      </c>
      <c r="C53" s="110">
        <f>SCI!B25</f>
        <v>0</v>
      </c>
      <c r="D53" s="110">
        <f>SCI!C25</f>
        <v>0</v>
      </c>
      <c r="E53" s="110">
        <f>SCI!D25</f>
        <v>0</v>
      </c>
      <c r="F53" s="110">
        <f>SCI!E25</f>
        <v>0</v>
      </c>
      <c r="G53" s="110">
        <f>SCI!F25</f>
        <v>0</v>
      </c>
      <c r="H53" s="110">
        <f>SCI!G25</f>
        <v>0</v>
      </c>
      <c r="I53" s="110">
        <f>SCI!H25</f>
        <v>0</v>
      </c>
      <c r="J53" s="110">
        <f>SCI!I25</f>
        <v>0</v>
      </c>
      <c r="K53" s="110">
        <f>SCI!J25</f>
        <v>0</v>
      </c>
      <c r="L53" s="110">
        <f>SCI!K25</f>
        <v>0</v>
      </c>
      <c r="M53" s="110">
        <f>SCI!L25</f>
        <v>0</v>
      </c>
      <c r="N53" s="110">
        <f>SCI!M25</f>
        <v>0</v>
      </c>
      <c r="O53" s="110">
        <f>SCI!N25</f>
        <v>0</v>
      </c>
      <c r="P53" s="110">
        <f>SCI!O25</f>
        <v>0</v>
      </c>
      <c r="Q53" s="110">
        <f>SCI!P25</f>
        <v>4316207.53</v>
      </c>
      <c r="R53" s="110">
        <f>SCI!Q25</f>
        <v>10028541.35</v>
      </c>
      <c r="S53" s="110">
        <f>SCI!R25</f>
        <v>14997708.67</v>
      </c>
      <c r="T53" s="110">
        <f>SCI!S25</f>
        <v>21399508.129999999</v>
      </c>
      <c r="U53" s="110">
        <f>SCI!T25</f>
        <v>31899597.899999999</v>
      </c>
      <c r="V53" s="110">
        <f>SCI!U25</f>
        <v>58095512.380000003</v>
      </c>
      <c r="W53" s="110">
        <f>SCI!V25</f>
        <v>85922722.959999993</v>
      </c>
      <c r="X53" s="110">
        <f>SCI!W25</f>
        <v>91896503.200000003</v>
      </c>
      <c r="Y53" s="110">
        <f>SCI!X25</f>
        <v>101928323.8</v>
      </c>
      <c r="Z53" s="110">
        <f>SCI!Y25</f>
        <v>109020428.87</v>
      </c>
      <c r="AA53" s="110">
        <f>SCI!Z25</f>
        <v>124817952.51000001</v>
      </c>
      <c r="AB53" s="110">
        <f>SCI!AA25</f>
        <v>131448024.31</v>
      </c>
      <c r="AC53" s="110">
        <f>SCI!AB25</f>
        <v>44439000</v>
      </c>
      <c r="AD53" s="110">
        <f>SCI!AC25</f>
        <v>3715324.55</v>
      </c>
      <c r="AE53" s="110">
        <f>SCI!AD25</f>
        <v>6988165.0300000003</v>
      </c>
      <c r="AF53" s="110">
        <f>SCI!AE25</f>
        <v>10944928.83</v>
      </c>
      <c r="AG53" s="110">
        <f>SCI!AF25</f>
        <v>14932511.949999999</v>
      </c>
      <c r="AH53" s="110">
        <f>SCI!AG25</f>
        <v>20779725.77</v>
      </c>
      <c r="AI53" s="110">
        <f>SCI!AH25</f>
        <v>25069293.41</v>
      </c>
    </row>
    <row r="54" spans="1:35" ht="12.75">
      <c r="A54" s="34"/>
      <c r="B54" s="53" t="s">
        <v>154</v>
      </c>
      <c r="C54" s="121"/>
      <c r="D54" s="121"/>
      <c r="E54" s="121"/>
      <c r="F54" s="121"/>
      <c r="G54" s="121"/>
      <c r="H54" s="121"/>
      <c r="I54" s="121"/>
      <c r="J54" s="121"/>
      <c r="K54" s="121"/>
      <c r="L54" s="121"/>
      <c r="M54" s="121"/>
      <c r="N54" s="121"/>
      <c r="O54" s="121"/>
      <c r="P54" s="121"/>
      <c r="Q54" s="121"/>
      <c r="R54" s="121"/>
      <c r="S54" s="121"/>
      <c r="T54" s="121"/>
      <c r="U54" s="121"/>
      <c r="V54" s="121"/>
      <c r="W54" s="121"/>
      <c r="X54" s="121"/>
      <c r="Y54" s="121"/>
      <c r="Z54" s="121"/>
      <c r="AA54" s="121"/>
      <c r="AB54" s="121"/>
      <c r="AC54" s="121"/>
    </row>
    <row r="56" spans="1:35">
      <c r="B56" s="26" t="s">
        <v>155</v>
      </c>
      <c r="C56" s="54">
        <f>SCI!B37</f>
        <v>1021122000</v>
      </c>
      <c r="D56" s="54">
        <f>SCI!C37</f>
        <v>-12</v>
      </c>
      <c r="E56" s="54">
        <f>SCI!D37</f>
        <v>-11</v>
      </c>
      <c r="F56" s="54">
        <f>SCI!E37</f>
        <v>-10</v>
      </c>
      <c r="G56" s="54">
        <f>SCI!F37</f>
        <v>-9</v>
      </c>
      <c r="H56" s="54">
        <f>SCI!G37</f>
        <v>-8</v>
      </c>
      <c r="I56" s="54">
        <f>SCI!H37</f>
        <v>-7</v>
      </c>
      <c r="J56" s="54">
        <f>SCI!I37</f>
        <v>-6</v>
      </c>
      <c r="K56" s="54">
        <f>SCI!J37</f>
        <v>-5</v>
      </c>
      <c r="L56" s="54">
        <f>SCI!K37</f>
        <v>-4</v>
      </c>
      <c r="M56" s="54">
        <f>SCI!L37</f>
        <v>-3</v>
      </c>
      <c r="N56" s="54">
        <f>SCI!M37</f>
        <v>-2</v>
      </c>
      <c r="O56" s="54">
        <f>SCI!N37</f>
        <v>-1</v>
      </c>
      <c r="P56" s="54">
        <f>SCI!O37</f>
        <v>1424512000</v>
      </c>
    </row>
  </sheetData>
  <pageMargins left="0.7" right="0.7" top="0.75" bottom="0.75" header="0.3" footer="0.3"/>
  <pageSetup scale="51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C3:P80"/>
  <sheetViews>
    <sheetView topLeftCell="F16" workbookViewId="0">
      <selection activeCell="P4" sqref="P4:P7"/>
    </sheetView>
  </sheetViews>
  <sheetFormatPr defaultColWidth="9.28515625" defaultRowHeight="13.15"/>
  <cols>
    <col min="1" max="2" width="9.28515625" style="142"/>
    <col min="3" max="3" width="5.7109375" style="142" bestFit="1" customWidth="1"/>
    <col min="4" max="4" width="18.7109375" style="142" customWidth="1"/>
    <col min="5" max="5" width="12.28515625" style="142" bestFit="1" customWidth="1"/>
    <col min="6" max="6" width="21.42578125" style="142" bestFit="1" customWidth="1"/>
    <col min="7" max="7" width="17" style="142" customWidth="1"/>
    <col min="8" max="8" width="22.42578125" style="142" bestFit="1" customWidth="1"/>
    <col min="9" max="10" width="9.28515625" style="142"/>
    <col min="11" max="11" width="4.28515625" style="166" bestFit="1" customWidth="1"/>
    <col min="12" max="12" width="20.7109375" style="166" customWidth="1"/>
    <col min="13" max="13" width="12" style="166" bestFit="1" customWidth="1"/>
    <col min="14" max="14" width="21.28515625" style="142" customWidth="1"/>
    <col min="15" max="15" width="11.28515625" style="142" bestFit="1" customWidth="1"/>
    <col min="16" max="16" width="24.7109375" style="142" customWidth="1"/>
    <col min="17" max="16384" width="9.28515625" style="142"/>
  </cols>
  <sheetData>
    <row r="3" spans="3:16" ht="13.9">
      <c r="C3" s="143"/>
      <c r="D3" s="361" t="s">
        <v>156</v>
      </c>
      <c r="E3" s="361"/>
      <c r="F3" s="361"/>
      <c r="G3" s="361"/>
      <c r="H3" s="361"/>
      <c r="K3" s="143"/>
      <c r="L3" s="361" t="s">
        <v>156</v>
      </c>
      <c r="M3" s="361"/>
      <c r="N3" s="361"/>
      <c r="O3" s="361"/>
      <c r="P3" s="361"/>
    </row>
    <row r="4" spans="3:16" ht="27.6">
      <c r="C4" s="143"/>
      <c r="D4" s="144" t="s">
        <v>157</v>
      </c>
      <c r="E4" s="143"/>
      <c r="G4" s="143"/>
      <c r="H4" s="145"/>
      <c r="K4" s="143"/>
      <c r="L4" s="144" t="s">
        <v>157</v>
      </c>
      <c r="M4" s="143"/>
      <c r="O4" s="143"/>
      <c r="P4" s="145"/>
    </row>
    <row r="5" spans="3:16" ht="13.9">
      <c r="C5" s="143"/>
      <c r="D5" s="144" t="s">
        <v>158</v>
      </c>
      <c r="E5" s="143"/>
      <c r="F5" s="143"/>
      <c r="G5" s="143"/>
      <c r="H5" s="146"/>
      <c r="K5" s="143"/>
      <c r="L5" s="144" t="s">
        <v>158</v>
      </c>
      <c r="M5" s="143"/>
      <c r="N5" s="143"/>
      <c r="O5" s="143"/>
      <c r="P5" s="146"/>
    </row>
    <row r="6" spans="3:16" ht="13.9">
      <c r="C6" s="143"/>
      <c r="D6" s="144" t="s">
        <v>159</v>
      </c>
      <c r="E6" s="143"/>
      <c r="F6" s="143"/>
      <c r="G6" s="147"/>
      <c r="H6" s="148"/>
      <c r="K6" s="143"/>
      <c r="L6" s="144" t="s">
        <v>159</v>
      </c>
      <c r="M6" s="143"/>
      <c r="N6" s="143"/>
      <c r="O6" s="147"/>
      <c r="P6" s="148"/>
    </row>
    <row r="7" spans="3:16" ht="13.9">
      <c r="C7" s="143"/>
      <c r="D7" s="144" t="s">
        <v>160</v>
      </c>
      <c r="E7" s="143"/>
      <c r="F7" s="143"/>
      <c r="G7" s="147"/>
      <c r="H7" s="148"/>
      <c r="K7" s="143"/>
      <c r="L7" s="144" t="s">
        <v>160</v>
      </c>
      <c r="M7" s="143"/>
      <c r="N7" s="143"/>
      <c r="O7" s="147"/>
      <c r="P7" s="148"/>
    </row>
    <row r="8" spans="3:16" ht="13.9">
      <c r="C8" s="143"/>
      <c r="D8" s="362" t="s">
        <v>161</v>
      </c>
      <c r="E8" s="362"/>
      <c r="F8" s="362"/>
      <c r="G8" s="362"/>
      <c r="H8" s="363"/>
      <c r="K8" s="143"/>
      <c r="L8" s="362" t="s">
        <v>161</v>
      </c>
      <c r="M8" s="362"/>
      <c r="N8" s="362"/>
      <c r="O8" s="362"/>
      <c r="P8" s="363"/>
    </row>
    <row r="9" spans="3:16" ht="13.9">
      <c r="C9" s="143"/>
      <c r="D9" s="143"/>
      <c r="E9" s="144" t="s">
        <v>162</v>
      </c>
      <c r="F9" s="144" t="s">
        <v>163</v>
      </c>
      <c r="G9" s="144" t="s">
        <v>164</v>
      </c>
      <c r="H9" s="144" t="s">
        <v>165</v>
      </c>
      <c r="K9" s="143"/>
      <c r="L9" s="143"/>
      <c r="M9" s="144" t="s">
        <v>162</v>
      </c>
      <c r="N9" s="144" t="s">
        <v>163</v>
      </c>
      <c r="O9" s="144" t="s">
        <v>164</v>
      </c>
      <c r="P9" s="144" t="s">
        <v>165</v>
      </c>
    </row>
    <row r="10" spans="3:16" ht="27.6">
      <c r="C10" s="143" t="s">
        <v>166</v>
      </c>
      <c r="D10" s="144" t="s">
        <v>167</v>
      </c>
      <c r="E10" s="144" t="s">
        <v>168</v>
      </c>
      <c r="F10" s="144" t="s">
        <v>169</v>
      </c>
      <c r="G10" s="144" t="s">
        <v>170</v>
      </c>
      <c r="H10" s="144" t="s">
        <v>171</v>
      </c>
      <c r="K10" s="143" t="s">
        <v>166</v>
      </c>
      <c r="L10" s="144" t="s">
        <v>167</v>
      </c>
      <c r="M10" s="144" t="s">
        <v>168</v>
      </c>
      <c r="N10" s="144" t="s">
        <v>169</v>
      </c>
      <c r="O10" s="144" t="s">
        <v>170</v>
      </c>
      <c r="P10" s="144" t="s">
        <v>171</v>
      </c>
    </row>
    <row r="11" spans="3:16" ht="13.9">
      <c r="C11" s="143">
        <v>1</v>
      </c>
      <c r="D11" s="143" t="s">
        <v>172</v>
      </c>
      <c r="E11" s="149"/>
      <c r="F11" s="167"/>
      <c r="G11" s="168"/>
      <c r="H11" s="169"/>
      <c r="K11" s="143">
        <v>1</v>
      </c>
      <c r="L11" s="143" t="s">
        <v>172</v>
      </c>
      <c r="M11" s="149"/>
      <c r="N11" s="167"/>
      <c r="O11" s="168"/>
      <c r="P11" s="169"/>
    </row>
    <row r="12" spans="3:16" ht="13.9">
      <c r="C12" s="143">
        <v>2</v>
      </c>
      <c r="D12" s="143" t="s">
        <v>173</v>
      </c>
      <c r="E12" s="149"/>
      <c r="F12" s="167"/>
      <c r="G12" s="168"/>
      <c r="H12" s="169"/>
      <c r="K12" s="143">
        <v>2</v>
      </c>
      <c r="L12" s="143" t="s">
        <v>173</v>
      </c>
      <c r="M12" s="149"/>
      <c r="N12" s="167"/>
      <c r="O12" s="168"/>
      <c r="P12" s="169"/>
    </row>
    <row r="13" spans="3:16" ht="13.9">
      <c r="C13" s="143">
        <v>3</v>
      </c>
      <c r="D13" s="143" t="s">
        <v>174</v>
      </c>
      <c r="E13" s="149"/>
      <c r="F13" s="167"/>
      <c r="G13" s="168"/>
      <c r="H13" s="169"/>
      <c r="K13" s="143">
        <v>3</v>
      </c>
      <c r="L13" s="143" t="s">
        <v>174</v>
      </c>
      <c r="M13" s="149"/>
      <c r="N13" s="167"/>
      <c r="O13" s="168"/>
      <c r="P13" s="169"/>
    </row>
    <row r="14" spans="3:16" ht="13.9">
      <c r="C14" s="143">
        <v>4</v>
      </c>
      <c r="D14" s="143" t="s">
        <v>175</v>
      </c>
      <c r="E14" s="149"/>
      <c r="F14" s="167"/>
      <c r="G14" s="168"/>
      <c r="H14" s="169"/>
      <c r="K14" s="143">
        <v>4</v>
      </c>
      <c r="L14" s="143" t="s">
        <v>175</v>
      </c>
      <c r="M14" s="149"/>
      <c r="N14" s="167"/>
      <c r="O14" s="168"/>
      <c r="P14" s="169"/>
    </row>
    <row r="15" spans="3:16" ht="13.9">
      <c r="C15" s="143">
        <v>5</v>
      </c>
      <c r="D15" s="143" t="s">
        <v>176</v>
      </c>
      <c r="E15" s="149"/>
      <c r="F15" s="167"/>
      <c r="G15" s="168"/>
      <c r="H15" s="169"/>
      <c r="K15" s="143">
        <v>5</v>
      </c>
      <c r="L15" s="143" t="s">
        <v>176</v>
      </c>
      <c r="M15" s="149"/>
      <c r="N15" s="167"/>
      <c r="O15" s="168"/>
      <c r="P15" s="169"/>
    </row>
    <row r="16" spans="3:16" ht="13.9">
      <c r="C16" s="143"/>
      <c r="D16" s="144" t="s">
        <v>177</v>
      </c>
      <c r="E16" s="144"/>
      <c r="F16" s="170"/>
      <c r="G16" s="170"/>
      <c r="H16" s="170"/>
      <c r="K16" s="143"/>
      <c r="L16" s="144" t="s">
        <v>177</v>
      </c>
      <c r="M16" s="144">
        <f>SUM(M11:M15)</f>
        <v>0</v>
      </c>
      <c r="N16" s="170">
        <f>SUM(N11:N15)</f>
        <v>0</v>
      </c>
      <c r="O16" s="170"/>
      <c r="P16" s="170">
        <f>SUM(P11:P15)</f>
        <v>0</v>
      </c>
    </row>
    <row r="17" spans="3:16" ht="27.6">
      <c r="C17" s="143"/>
      <c r="D17" s="143" t="s">
        <v>178</v>
      </c>
      <c r="E17" s="149"/>
      <c r="F17" s="167"/>
      <c r="G17" s="167"/>
      <c r="H17" s="167"/>
      <c r="K17" s="143"/>
      <c r="L17" s="143" t="s">
        <v>178</v>
      </c>
      <c r="M17" s="149"/>
      <c r="N17" s="167"/>
      <c r="O17" s="167"/>
      <c r="P17" s="167"/>
    </row>
    <row r="18" spans="3:16" ht="13.9">
      <c r="C18" s="143">
        <v>1</v>
      </c>
      <c r="D18" s="143" t="s">
        <v>172</v>
      </c>
      <c r="E18" s="149"/>
      <c r="F18" s="167"/>
      <c r="G18" s="168"/>
      <c r="H18" s="169"/>
      <c r="K18" s="143">
        <v>1</v>
      </c>
      <c r="L18" s="143" t="s">
        <v>172</v>
      </c>
      <c r="M18" s="149">
        <v>0</v>
      </c>
      <c r="N18" s="167">
        <v>0</v>
      </c>
      <c r="O18" s="168">
        <v>0.01</v>
      </c>
      <c r="P18" s="169">
        <f>N18*O18</f>
        <v>0</v>
      </c>
    </row>
    <row r="19" spans="3:16" ht="13.9">
      <c r="C19" s="143">
        <v>2</v>
      </c>
      <c r="D19" s="143" t="s">
        <v>173</v>
      </c>
      <c r="E19" s="149"/>
      <c r="F19" s="167"/>
      <c r="G19" s="168"/>
      <c r="H19" s="169"/>
      <c r="K19" s="143">
        <v>2</v>
      </c>
      <c r="L19" s="143" t="s">
        <v>173</v>
      </c>
      <c r="M19" s="149">
        <v>0</v>
      </c>
      <c r="N19" s="167">
        <v>0</v>
      </c>
      <c r="O19" s="168">
        <v>0.05</v>
      </c>
      <c r="P19" s="169">
        <f>N19*O19</f>
        <v>0</v>
      </c>
    </row>
    <row r="20" spans="3:16" ht="13.9">
      <c r="C20" s="143">
        <v>3</v>
      </c>
      <c r="D20" s="143" t="s">
        <v>174</v>
      </c>
      <c r="E20" s="149"/>
      <c r="F20" s="167"/>
      <c r="G20" s="168"/>
      <c r="H20" s="169"/>
      <c r="K20" s="143">
        <v>3</v>
      </c>
      <c r="L20" s="143" t="s">
        <v>174</v>
      </c>
      <c r="M20" s="149">
        <v>0</v>
      </c>
      <c r="N20" s="167">
        <v>0</v>
      </c>
      <c r="O20" s="168">
        <v>0.25</v>
      </c>
      <c r="P20" s="169">
        <f>N20*O20</f>
        <v>0</v>
      </c>
    </row>
    <row r="21" spans="3:16" ht="13.9">
      <c r="C21" s="143">
        <v>4</v>
      </c>
      <c r="D21" s="143" t="s">
        <v>175</v>
      </c>
      <c r="E21" s="149"/>
      <c r="F21" s="167"/>
      <c r="G21" s="168"/>
      <c r="H21" s="169"/>
      <c r="K21" s="143">
        <v>4</v>
      </c>
      <c r="L21" s="143" t="s">
        <v>175</v>
      </c>
      <c r="M21" s="149">
        <v>0</v>
      </c>
      <c r="N21" s="167">
        <v>0</v>
      </c>
      <c r="O21" s="168">
        <v>0.5</v>
      </c>
      <c r="P21" s="169">
        <f>N21*O21</f>
        <v>0</v>
      </c>
    </row>
    <row r="22" spans="3:16" ht="13.9">
      <c r="C22" s="143">
        <v>5</v>
      </c>
      <c r="D22" s="143" t="s">
        <v>176</v>
      </c>
      <c r="E22" s="149"/>
      <c r="F22" s="167"/>
      <c r="G22" s="168"/>
      <c r="H22" s="169"/>
      <c r="K22" s="143">
        <v>5</v>
      </c>
      <c r="L22" s="143" t="s">
        <v>176</v>
      </c>
      <c r="M22" s="149">
        <v>0</v>
      </c>
      <c r="N22" s="167">
        <v>0</v>
      </c>
      <c r="O22" s="168">
        <v>1</v>
      </c>
      <c r="P22" s="169">
        <f>N22*O22</f>
        <v>0</v>
      </c>
    </row>
    <row r="23" spans="3:16" ht="13.9">
      <c r="C23" s="143"/>
      <c r="D23" s="144" t="s">
        <v>177</v>
      </c>
      <c r="E23" s="144">
        <f>SUM(E17:E22)</f>
        <v>0</v>
      </c>
      <c r="F23" s="170">
        <f>SUM(F17:F22)</f>
        <v>0</v>
      </c>
      <c r="G23" s="170"/>
      <c r="H23" s="170">
        <f>SUM(H17:H22)</f>
        <v>0</v>
      </c>
      <c r="K23" s="143"/>
      <c r="L23" s="144" t="s">
        <v>177</v>
      </c>
      <c r="M23" s="144">
        <f>SUM(M17:M22)</f>
        <v>0</v>
      </c>
      <c r="N23" s="170">
        <f>SUM(N17:N22)</f>
        <v>0</v>
      </c>
      <c r="O23" s="170"/>
      <c r="P23" s="170">
        <f>SUM(P17:P22)</f>
        <v>0</v>
      </c>
    </row>
    <row r="24" spans="3:16" ht="13.9">
      <c r="C24" s="143"/>
      <c r="D24" s="144" t="s">
        <v>179</v>
      </c>
      <c r="E24" s="144">
        <f>E16+E23</f>
        <v>0</v>
      </c>
      <c r="F24" s="170">
        <f>F16+F23</f>
        <v>0</v>
      </c>
      <c r="G24" s="170"/>
      <c r="H24" s="170">
        <f>H16+H23</f>
        <v>0</v>
      </c>
      <c r="K24" s="143"/>
      <c r="L24" s="144" t="s">
        <v>179</v>
      </c>
      <c r="M24" s="144">
        <f>M16+M23</f>
        <v>0</v>
      </c>
      <c r="N24" s="170">
        <f>N16+N23</f>
        <v>0</v>
      </c>
      <c r="O24" s="170"/>
      <c r="P24" s="170">
        <f>P16+P23</f>
        <v>0</v>
      </c>
    </row>
    <row r="26" spans="3:16">
      <c r="F26" s="187">
        <f>F13+F14+F15</f>
        <v>0</v>
      </c>
      <c r="N26" s="187">
        <f>N13+N14+N15</f>
        <v>0</v>
      </c>
    </row>
    <row r="27" spans="3:16">
      <c r="F27" s="150" t="e">
        <f>F26/F24</f>
        <v>#DIV/0!</v>
      </c>
      <c r="N27" s="142" t="e">
        <f>N26/N24</f>
        <v>#DIV/0!</v>
      </c>
    </row>
    <row r="30" spans="3:16" ht="13.9">
      <c r="C30" s="143"/>
      <c r="D30" s="361" t="s">
        <v>156</v>
      </c>
      <c r="E30" s="361"/>
      <c r="F30" s="361"/>
      <c r="G30" s="361"/>
      <c r="H30" s="361"/>
    </row>
    <row r="31" spans="3:16" ht="27.6">
      <c r="C31" s="143"/>
      <c r="D31" s="144" t="s">
        <v>157</v>
      </c>
      <c r="E31" s="143"/>
      <c r="G31" s="143"/>
      <c r="H31" s="145"/>
    </row>
    <row r="32" spans="3:16" ht="13.9">
      <c r="C32" s="143"/>
      <c r="D32" s="144" t="s">
        <v>158</v>
      </c>
      <c r="E32" s="143"/>
      <c r="F32" s="143"/>
      <c r="G32" s="143"/>
      <c r="H32" s="146"/>
    </row>
    <row r="33" spans="3:8" ht="13.9">
      <c r="C33" s="143"/>
      <c r="D33" s="144" t="s">
        <v>159</v>
      </c>
      <c r="E33" s="143"/>
      <c r="F33" s="143"/>
      <c r="G33" s="147"/>
      <c r="H33" s="148"/>
    </row>
    <row r="34" spans="3:8" ht="13.9">
      <c r="C34" s="143"/>
      <c r="D34" s="144" t="s">
        <v>160</v>
      </c>
      <c r="E34" s="143"/>
      <c r="F34" s="143"/>
      <c r="G34" s="147"/>
      <c r="H34" s="148"/>
    </row>
    <row r="35" spans="3:8" ht="13.9">
      <c r="C35" s="143"/>
      <c r="D35" s="362" t="s">
        <v>161</v>
      </c>
      <c r="E35" s="362"/>
      <c r="F35" s="362"/>
      <c r="G35" s="362"/>
      <c r="H35" s="363"/>
    </row>
    <row r="36" spans="3:8" ht="13.9">
      <c r="C36" s="143"/>
      <c r="D36" s="143"/>
      <c r="E36" s="144" t="s">
        <v>162</v>
      </c>
      <c r="F36" s="144" t="s">
        <v>163</v>
      </c>
      <c r="G36" s="144" t="s">
        <v>164</v>
      </c>
      <c r="H36" s="144" t="s">
        <v>165</v>
      </c>
    </row>
    <row r="37" spans="3:8" ht="27.6">
      <c r="C37" s="143" t="s">
        <v>166</v>
      </c>
      <c r="D37" s="144" t="s">
        <v>167</v>
      </c>
      <c r="E37" s="144" t="s">
        <v>168</v>
      </c>
      <c r="F37" s="144" t="s">
        <v>169</v>
      </c>
      <c r="G37" s="144" t="s">
        <v>170</v>
      </c>
      <c r="H37" s="144" t="s">
        <v>171</v>
      </c>
    </row>
    <row r="38" spans="3:8" ht="13.9">
      <c r="C38" s="143">
        <v>1</v>
      </c>
      <c r="D38" s="143" t="s">
        <v>172</v>
      </c>
      <c r="E38" s="149"/>
      <c r="F38" s="167"/>
      <c r="G38" s="212"/>
      <c r="H38" s="213"/>
    </row>
    <row r="39" spans="3:8" ht="13.9">
      <c r="C39" s="143">
        <v>2</v>
      </c>
      <c r="D39" s="143" t="s">
        <v>173</v>
      </c>
      <c r="E39" s="149"/>
      <c r="F39" s="167"/>
      <c r="G39" s="212"/>
      <c r="H39" s="213"/>
    </row>
    <row r="40" spans="3:8" ht="13.9">
      <c r="C40" s="143">
        <v>3</v>
      </c>
      <c r="D40" s="143" t="s">
        <v>174</v>
      </c>
      <c r="E40" s="149"/>
      <c r="F40" s="167"/>
      <c r="G40" s="212"/>
      <c r="H40" s="213"/>
    </row>
    <row r="41" spans="3:8" ht="13.9">
      <c r="C41" s="143">
        <v>4</v>
      </c>
      <c r="D41" s="143" t="s">
        <v>175</v>
      </c>
      <c r="E41" s="149"/>
      <c r="F41" s="167"/>
      <c r="G41" s="212"/>
      <c r="H41" s="213"/>
    </row>
    <row r="42" spans="3:8" ht="13.9">
      <c r="C42" s="143">
        <v>5</v>
      </c>
      <c r="D42" s="143" t="s">
        <v>176</v>
      </c>
      <c r="E42" s="149"/>
      <c r="F42" s="167"/>
      <c r="G42" s="212"/>
      <c r="H42" s="213"/>
    </row>
    <row r="43" spans="3:8" ht="13.9">
      <c r="C43" s="143"/>
      <c r="D43" s="144" t="s">
        <v>177</v>
      </c>
      <c r="E43" s="144"/>
      <c r="F43" s="214"/>
      <c r="G43" s="214"/>
      <c r="H43" s="214"/>
    </row>
    <row r="44" spans="3:8" ht="27.6">
      <c r="C44" s="143"/>
      <c r="D44" s="143" t="s">
        <v>178</v>
      </c>
      <c r="E44" s="149"/>
      <c r="F44" s="167"/>
      <c r="G44" s="167"/>
      <c r="H44" s="167"/>
    </row>
    <row r="45" spans="3:8" ht="13.9">
      <c r="C45" s="143">
        <v>1</v>
      </c>
      <c r="D45" s="143" t="s">
        <v>172</v>
      </c>
      <c r="E45" s="149"/>
      <c r="F45" s="167"/>
      <c r="G45" s="212"/>
      <c r="H45" s="213">
        <f>F45*G45</f>
        <v>0</v>
      </c>
    </row>
    <row r="46" spans="3:8" ht="13.9">
      <c r="C46" s="143">
        <v>2</v>
      </c>
      <c r="D46" s="143" t="s">
        <v>173</v>
      </c>
      <c r="E46" s="149"/>
      <c r="F46" s="167"/>
      <c r="G46" s="212"/>
      <c r="H46" s="213">
        <f>F46*G46</f>
        <v>0</v>
      </c>
    </row>
    <row r="47" spans="3:8" ht="13.9">
      <c r="C47" s="143">
        <v>3</v>
      </c>
      <c r="D47" s="143" t="s">
        <v>174</v>
      </c>
      <c r="E47" s="149"/>
      <c r="F47" s="167"/>
      <c r="G47" s="212"/>
      <c r="H47" s="213">
        <f>F47*G47</f>
        <v>0</v>
      </c>
    </row>
    <row r="48" spans="3:8" ht="13.9">
      <c r="C48" s="143">
        <v>4</v>
      </c>
      <c r="D48" s="143" t="s">
        <v>175</v>
      </c>
      <c r="E48" s="149"/>
      <c r="F48" s="167"/>
      <c r="G48" s="212"/>
      <c r="H48" s="213">
        <f>F48*G48</f>
        <v>0</v>
      </c>
    </row>
    <row r="49" spans="3:8" ht="13.9">
      <c r="C49" s="143">
        <v>5</v>
      </c>
      <c r="D49" s="143" t="s">
        <v>176</v>
      </c>
      <c r="E49" s="149"/>
      <c r="F49" s="167"/>
      <c r="G49" s="212"/>
      <c r="H49" s="213">
        <f>F49*G49</f>
        <v>0</v>
      </c>
    </row>
    <row r="50" spans="3:8" ht="13.9">
      <c r="C50" s="143"/>
      <c r="D50" s="144" t="s">
        <v>177</v>
      </c>
      <c r="E50" s="144">
        <f>SUM(E44:E49)</f>
        <v>0</v>
      </c>
      <c r="F50" s="214">
        <f>SUM(F44:F49)</f>
        <v>0</v>
      </c>
      <c r="G50" s="214"/>
      <c r="H50" s="214">
        <f>SUM(H44:H49)</f>
        <v>0</v>
      </c>
    </row>
    <row r="51" spans="3:8" ht="13.9">
      <c r="C51" s="143"/>
      <c r="D51" s="144" t="s">
        <v>179</v>
      </c>
      <c r="E51" s="144">
        <f>E43+E50</f>
        <v>0</v>
      </c>
      <c r="F51" s="214">
        <f>F43+F50</f>
        <v>0</v>
      </c>
      <c r="G51" s="214"/>
      <c r="H51" s="214">
        <f>H43+H50</f>
        <v>0</v>
      </c>
    </row>
    <row r="52" spans="3:8">
      <c r="F52" s="166"/>
      <c r="G52" s="166"/>
      <c r="H52" s="166"/>
    </row>
    <row r="53" spans="3:8">
      <c r="F53" s="187">
        <f>F40+F41+F42</f>
        <v>0</v>
      </c>
    </row>
    <row r="54" spans="3:8">
      <c r="F54" s="150" t="e">
        <f>F53/F51</f>
        <v>#DIV/0!</v>
      </c>
    </row>
    <row r="56" spans="3:8" ht="13.9">
      <c r="C56" s="213"/>
      <c r="D56" s="358" t="s">
        <v>156</v>
      </c>
      <c r="E56" s="358"/>
      <c r="F56" s="358"/>
      <c r="G56" s="358"/>
      <c r="H56" s="358"/>
    </row>
    <row r="57" spans="3:8" ht="27.6">
      <c r="C57" s="213"/>
      <c r="D57" s="214" t="s">
        <v>157</v>
      </c>
      <c r="E57" s="213"/>
      <c r="F57" s="166"/>
      <c r="G57" s="213"/>
      <c r="H57" s="215"/>
    </row>
    <row r="58" spans="3:8" ht="13.9">
      <c r="C58" s="213"/>
      <c r="D58" s="214" t="s">
        <v>158</v>
      </c>
      <c r="E58" s="213"/>
      <c r="F58" s="213"/>
      <c r="G58" s="213"/>
      <c r="H58" s="216"/>
    </row>
    <row r="59" spans="3:8" ht="13.9">
      <c r="C59" s="213"/>
      <c r="D59" s="214" t="s">
        <v>159</v>
      </c>
      <c r="E59" s="213"/>
      <c r="F59" s="213"/>
      <c r="G59" s="217"/>
      <c r="H59" s="218"/>
    </row>
    <row r="60" spans="3:8" ht="13.9">
      <c r="C60" s="213"/>
      <c r="D60" s="214" t="s">
        <v>160</v>
      </c>
      <c r="E60" s="213"/>
      <c r="F60" s="213"/>
      <c r="G60" s="217"/>
      <c r="H60" s="218"/>
    </row>
    <row r="61" spans="3:8" ht="13.9">
      <c r="C61" s="213"/>
      <c r="D61" s="359" t="s">
        <v>161</v>
      </c>
      <c r="E61" s="359"/>
      <c r="F61" s="359"/>
      <c r="G61" s="359"/>
      <c r="H61" s="360"/>
    </row>
    <row r="62" spans="3:8" ht="13.9">
      <c r="C62" s="213"/>
      <c r="D62" s="213"/>
      <c r="E62" s="214" t="s">
        <v>162</v>
      </c>
      <c r="F62" s="214" t="s">
        <v>163</v>
      </c>
      <c r="G62" s="214" t="s">
        <v>164</v>
      </c>
      <c r="H62" s="214" t="s">
        <v>165</v>
      </c>
    </row>
    <row r="63" spans="3:8" ht="27.6">
      <c r="C63" s="213" t="s">
        <v>166</v>
      </c>
      <c r="D63" s="219" t="s">
        <v>167</v>
      </c>
      <c r="E63" s="214" t="s">
        <v>168</v>
      </c>
      <c r="F63" s="214" t="s">
        <v>169</v>
      </c>
      <c r="G63" s="214" t="s">
        <v>170</v>
      </c>
      <c r="H63" s="214" t="s">
        <v>171</v>
      </c>
    </row>
    <row r="64" spans="3:8" ht="13.9">
      <c r="C64" s="213">
        <v>1</v>
      </c>
      <c r="D64" s="213" t="s">
        <v>172</v>
      </c>
      <c r="E64" s="167"/>
      <c r="F64" s="167"/>
      <c r="G64" s="168"/>
      <c r="H64" s="169"/>
    </row>
    <row r="65" spans="3:8" ht="13.9">
      <c r="C65" s="213">
        <v>2</v>
      </c>
      <c r="D65" s="213" t="s">
        <v>173</v>
      </c>
      <c r="E65" s="167"/>
      <c r="F65" s="167"/>
      <c r="G65" s="168"/>
      <c r="H65" s="169"/>
    </row>
    <row r="66" spans="3:8" ht="13.9">
      <c r="C66" s="213">
        <v>3</v>
      </c>
      <c r="D66" s="213" t="s">
        <v>174</v>
      </c>
      <c r="E66" s="167"/>
      <c r="F66" s="167"/>
      <c r="G66" s="168"/>
      <c r="H66" s="169"/>
    </row>
    <row r="67" spans="3:8" ht="13.9">
      <c r="C67" s="213">
        <v>4</v>
      </c>
      <c r="D67" s="213" t="s">
        <v>175</v>
      </c>
      <c r="E67" s="167"/>
      <c r="F67" s="167"/>
      <c r="G67" s="168"/>
      <c r="H67" s="169"/>
    </row>
    <row r="68" spans="3:8" ht="13.9">
      <c r="C68" s="213">
        <v>5</v>
      </c>
      <c r="D68" s="213" t="s">
        <v>176</v>
      </c>
      <c r="E68" s="167"/>
      <c r="F68" s="167"/>
      <c r="G68" s="168"/>
      <c r="H68" s="169"/>
    </row>
    <row r="69" spans="3:8" ht="13.9">
      <c r="C69" s="213"/>
      <c r="D69" s="214" t="s">
        <v>177</v>
      </c>
      <c r="E69" s="170">
        <f>SUM(E64:E68)</f>
        <v>0</v>
      </c>
      <c r="F69" s="170">
        <f>SUM(F64:F68)</f>
        <v>0</v>
      </c>
      <c r="G69" s="170"/>
      <c r="H69" s="170">
        <f>SUM(H64:H68)</f>
        <v>0</v>
      </c>
    </row>
    <row r="70" spans="3:8" ht="41.45">
      <c r="C70" s="213"/>
      <c r="D70" s="213" t="s">
        <v>178</v>
      </c>
      <c r="E70" s="167"/>
      <c r="F70" s="167"/>
      <c r="G70" s="167"/>
      <c r="H70" s="167"/>
    </row>
    <row r="71" spans="3:8" ht="13.9">
      <c r="C71" s="213">
        <v>1</v>
      </c>
      <c r="D71" s="213" t="s">
        <v>172</v>
      </c>
      <c r="E71" s="167">
        <v>0</v>
      </c>
      <c r="F71" s="167">
        <v>0</v>
      </c>
      <c r="G71" s="168">
        <v>0.01</v>
      </c>
      <c r="H71" s="169">
        <f>F71*G71</f>
        <v>0</v>
      </c>
    </row>
    <row r="72" spans="3:8" ht="13.9">
      <c r="C72" s="213">
        <v>2</v>
      </c>
      <c r="D72" s="213" t="s">
        <v>173</v>
      </c>
      <c r="E72" s="167">
        <v>0</v>
      </c>
      <c r="F72" s="167">
        <v>0</v>
      </c>
      <c r="G72" s="168">
        <v>0.05</v>
      </c>
      <c r="H72" s="169">
        <f>F72*G72</f>
        <v>0</v>
      </c>
    </row>
    <row r="73" spans="3:8" ht="13.9">
      <c r="C73" s="213">
        <v>3</v>
      </c>
      <c r="D73" s="213" t="s">
        <v>174</v>
      </c>
      <c r="E73" s="167">
        <v>0</v>
      </c>
      <c r="F73" s="167">
        <v>0</v>
      </c>
      <c r="G73" s="168">
        <v>0.25</v>
      </c>
      <c r="H73" s="169">
        <f>F73*G73</f>
        <v>0</v>
      </c>
    </row>
    <row r="74" spans="3:8" ht="13.9">
      <c r="C74" s="213">
        <v>4</v>
      </c>
      <c r="D74" s="213" t="s">
        <v>175</v>
      </c>
      <c r="E74" s="167">
        <v>0</v>
      </c>
      <c r="F74" s="167">
        <v>0</v>
      </c>
      <c r="G74" s="168">
        <v>0.5</v>
      </c>
      <c r="H74" s="169">
        <f>F74*G74</f>
        <v>0</v>
      </c>
    </row>
    <row r="75" spans="3:8" ht="13.9">
      <c r="C75" s="213">
        <v>5</v>
      </c>
      <c r="D75" s="213" t="s">
        <v>176</v>
      </c>
      <c r="E75" s="167">
        <v>0</v>
      </c>
      <c r="F75" s="167">
        <v>0</v>
      </c>
      <c r="G75" s="168">
        <v>1</v>
      </c>
      <c r="H75" s="169">
        <f>F75*G75</f>
        <v>0</v>
      </c>
    </row>
    <row r="76" spans="3:8" ht="13.9">
      <c r="C76" s="213"/>
      <c r="D76" s="214" t="s">
        <v>177</v>
      </c>
      <c r="E76" s="170">
        <f>SUM(E70:E75)</f>
        <v>0</v>
      </c>
      <c r="F76" s="170">
        <f>SUM(F70:F75)</f>
        <v>0</v>
      </c>
      <c r="G76" s="170"/>
      <c r="H76" s="170">
        <f>SUM(H70:H75)</f>
        <v>0</v>
      </c>
    </row>
    <row r="77" spans="3:8" ht="13.9">
      <c r="C77" s="213"/>
      <c r="D77" s="214" t="s">
        <v>179</v>
      </c>
      <c r="E77" s="170">
        <f>E69+E76</f>
        <v>0</v>
      </c>
      <c r="F77" s="170">
        <f>F69+F76</f>
        <v>0</v>
      </c>
      <c r="G77" s="170"/>
      <c r="H77" s="170">
        <f>H69+H76</f>
        <v>0</v>
      </c>
    </row>
    <row r="79" spans="3:8">
      <c r="F79" s="187">
        <f>F66+F67+F68</f>
        <v>0</v>
      </c>
    </row>
    <row r="80" spans="3:8">
      <c r="F80" s="150" t="e">
        <f>F79/F77</f>
        <v>#DIV/0!</v>
      </c>
    </row>
  </sheetData>
  <mergeCells count="8">
    <mergeCell ref="D56:H56"/>
    <mergeCell ref="D61:H61"/>
    <mergeCell ref="D3:H3"/>
    <mergeCell ref="D8:H8"/>
    <mergeCell ref="L3:P3"/>
    <mergeCell ref="L8:P8"/>
    <mergeCell ref="D30:H30"/>
    <mergeCell ref="D35:H3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57"/>
  <sheetViews>
    <sheetView zoomScale="70" zoomScaleNormal="70" zoomScaleSheetLayoutView="78" workbookViewId="0">
      <pane xSplit="1" topLeftCell="AE1" activePane="topRight" state="frozen"/>
      <selection pane="topRight" activeCell="AF55" sqref="AF55:AH57"/>
    </sheetView>
  </sheetViews>
  <sheetFormatPr defaultColWidth="17.28515625" defaultRowHeight="13.9"/>
  <cols>
    <col min="1" max="1" width="43.7109375" style="133" customWidth="1"/>
    <col min="2" max="2" width="29.7109375" style="134" customWidth="1"/>
    <col min="3" max="3" width="27.42578125" style="134" hidden="1" customWidth="1"/>
    <col min="4" max="4" width="21.42578125" style="134" hidden="1" customWidth="1"/>
    <col min="5" max="6" width="21.5703125" style="134" hidden="1" customWidth="1"/>
    <col min="7" max="7" width="21.7109375" style="134" hidden="1" customWidth="1"/>
    <col min="8" max="8" width="21.28515625" style="134" hidden="1" customWidth="1"/>
    <col min="9" max="9" width="22.5703125" style="134" hidden="1" customWidth="1"/>
    <col min="10" max="11" width="21.28515625" style="134" hidden="1" customWidth="1"/>
    <col min="12" max="12" width="21.42578125" style="134" hidden="1" customWidth="1"/>
    <col min="13" max="14" width="21.28515625" style="134" hidden="1" customWidth="1"/>
    <col min="15" max="20" width="22.7109375" style="134" bestFit="1" customWidth="1"/>
    <col min="21" max="21" width="22.7109375" style="330" bestFit="1" customWidth="1"/>
    <col min="22" max="27" width="22.7109375" style="134" bestFit="1" customWidth="1"/>
    <col min="28" max="28" width="22.7109375" style="330" bestFit="1" customWidth="1"/>
    <col min="29" max="29" width="21.7109375" style="134" customWidth="1"/>
    <col min="30" max="31" width="21.85546875" style="134" customWidth="1"/>
    <col min="32" max="32" width="21.140625" style="134" customWidth="1"/>
    <col min="33" max="33" width="22.7109375" style="134" customWidth="1"/>
    <col min="34" max="34" width="22.42578125" style="134" bestFit="1" customWidth="1"/>
    <col min="35" max="16384" width="17.28515625" style="134"/>
  </cols>
  <sheetData>
    <row r="1" spans="1:34">
      <c r="A1" s="133" t="s">
        <v>13</v>
      </c>
    </row>
    <row r="2" spans="1:34" ht="14.25" customHeight="1">
      <c r="A2" s="165" t="s">
        <v>180</v>
      </c>
    </row>
    <row r="3" spans="1:34" s="292" customFormat="1" ht="12.75">
      <c r="A3" s="289"/>
      <c r="B3" s="8" t="s">
        <v>109</v>
      </c>
      <c r="C3" s="290">
        <v>44197</v>
      </c>
      <c r="D3" s="290">
        <v>44228</v>
      </c>
      <c r="E3" s="290">
        <v>44256</v>
      </c>
      <c r="F3" s="290">
        <v>44287</v>
      </c>
      <c r="G3" s="290">
        <v>44317</v>
      </c>
      <c r="H3" s="290">
        <v>44348</v>
      </c>
      <c r="I3" s="290">
        <v>44378</v>
      </c>
      <c r="J3" s="290">
        <v>44409</v>
      </c>
      <c r="K3" s="290">
        <v>44440</v>
      </c>
      <c r="L3" s="290">
        <v>44470</v>
      </c>
      <c r="M3" s="290">
        <v>44501</v>
      </c>
      <c r="N3" s="290">
        <v>44531</v>
      </c>
      <c r="O3" s="291" t="s">
        <v>181</v>
      </c>
      <c r="P3" s="317">
        <v>44562</v>
      </c>
      <c r="Q3" s="317">
        <v>44593</v>
      </c>
      <c r="R3" s="317">
        <v>44621</v>
      </c>
      <c r="S3" s="317">
        <v>44652</v>
      </c>
      <c r="T3" s="317">
        <v>44682</v>
      </c>
      <c r="U3" s="334">
        <v>44713</v>
      </c>
      <c r="V3" s="317">
        <v>44743</v>
      </c>
      <c r="W3" s="317">
        <v>44774</v>
      </c>
      <c r="X3" s="317">
        <v>44805</v>
      </c>
      <c r="Y3" s="317">
        <v>44835</v>
      </c>
      <c r="Z3" s="317">
        <v>44866</v>
      </c>
      <c r="AA3" s="317">
        <v>44896</v>
      </c>
      <c r="AB3" s="317" t="s">
        <v>182</v>
      </c>
      <c r="AC3" s="317">
        <v>44949</v>
      </c>
      <c r="AD3" s="317">
        <v>44980</v>
      </c>
      <c r="AE3" s="317">
        <v>45008</v>
      </c>
      <c r="AF3" s="317">
        <v>45039</v>
      </c>
      <c r="AG3" s="317">
        <v>45069</v>
      </c>
      <c r="AH3" s="317">
        <v>45100</v>
      </c>
    </row>
    <row r="4" spans="1:34" s="136" customFormat="1" ht="15.75">
      <c r="A4" s="156" t="s">
        <v>183</v>
      </c>
      <c r="B4" s="283">
        <f t="shared" ref="B4:AH4" si="0">SUM(B5:B6)</f>
        <v>5106415000</v>
      </c>
      <c r="C4" s="283">
        <f t="shared" si="0"/>
        <v>5275328897.9899998</v>
      </c>
      <c r="D4" s="283">
        <f t="shared" si="0"/>
        <v>5380903342.5900002</v>
      </c>
      <c r="E4" s="283">
        <f t="shared" si="0"/>
        <v>5132508195.2799997</v>
      </c>
      <c r="F4" s="283">
        <f t="shared" si="0"/>
        <v>4799279285.1399994</v>
      </c>
      <c r="G4" s="283">
        <f t="shared" si="0"/>
        <v>4959436829.6599998</v>
      </c>
      <c r="H4" s="283">
        <f t="shared" si="0"/>
        <v>5219430959</v>
      </c>
      <c r="I4" s="283">
        <f t="shared" si="0"/>
        <v>5475135569.7700005</v>
      </c>
      <c r="J4" s="283">
        <f t="shared" si="0"/>
        <v>6092503715.3699999</v>
      </c>
      <c r="K4" s="283">
        <f t="shared" si="0"/>
        <v>5881052245.5300007</v>
      </c>
      <c r="L4" s="283">
        <f t="shared" si="0"/>
        <v>5150201349.3100004</v>
      </c>
      <c r="M4" s="283">
        <f t="shared" si="0"/>
        <v>5282017955.9200001</v>
      </c>
      <c r="N4" s="283">
        <f t="shared" si="0"/>
        <v>5100311129.6900005</v>
      </c>
      <c r="O4" s="283">
        <f t="shared" si="0"/>
        <v>5248820000</v>
      </c>
      <c r="P4" s="283">
        <f t="shared" si="0"/>
        <v>5574058624.5799999</v>
      </c>
      <c r="Q4" s="283">
        <f t="shared" si="0"/>
        <v>5615186792.4700003</v>
      </c>
      <c r="R4" s="283">
        <f t="shared" si="0"/>
        <v>5124483481.3999996</v>
      </c>
      <c r="S4" s="283">
        <f t="shared" si="0"/>
        <v>5251029958.7799997</v>
      </c>
      <c r="T4" s="283">
        <f t="shared" si="0"/>
        <v>4887786706.0900002</v>
      </c>
      <c r="U4" s="335">
        <f t="shared" si="0"/>
        <v>5448670372.5</v>
      </c>
      <c r="V4" s="283">
        <f t="shared" si="0"/>
        <v>5606846341.8000002</v>
      </c>
      <c r="W4" s="283">
        <f t="shared" si="0"/>
        <v>5544163206.1300001</v>
      </c>
      <c r="X4" s="283">
        <f t="shared" si="0"/>
        <v>5981336302.3999996</v>
      </c>
      <c r="Y4" s="283">
        <f t="shared" si="0"/>
        <v>6341123678.6199999</v>
      </c>
      <c r="Z4" s="283">
        <f t="shared" si="0"/>
        <v>6685678774.71</v>
      </c>
      <c r="AA4" s="319">
        <f t="shared" si="0"/>
        <v>6927506940.2299995</v>
      </c>
      <c r="AB4" s="319">
        <f t="shared" si="0"/>
        <v>809390000</v>
      </c>
      <c r="AC4" s="319">
        <f t="shared" si="0"/>
        <v>6346291911.1199999</v>
      </c>
      <c r="AD4" s="319">
        <f t="shared" si="0"/>
        <v>7291360215.2200003</v>
      </c>
      <c r="AE4" s="319">
        <f t="shared" si="0"/>
        <v>6022702872.6199999</v>
      </c>
      <c r="AF4" s="319">
        <f t="shared" si="0"/>
        <v>5606529489.8499994</v>
      </c>
      <c r="AG4" s="319">
        <f t="shared" si="0"/>
        <v>6493510843.1199999</v>
      </c>
      <c r="AH4" s="319">
        <f t="shared" si="0"/>
        <v>6441420381.8799992</v>
      </c>
    </row>
    <row r="5" spans="1:34" ht="14.25">
      <c r="A5" s="155" t="s">
        <v>184</v>
      </c>
      <c r="B5" s="282">
        <v>115892000</v>
      </c>
      <c r="C5" s="266">
        <v>128579468.25</v>
      </c>
      <c r="D5" s="266">
        <v>145397533.25</v>
      </c>
      <c r="E5" s="266">
        <v>107643147.86</v>
      </c>
      <c r="F5" s="266">
        <v>126843207.86</v>
      </c>
      <c r="G5" s="266">
        <v>127152879.86</v>
      </c>
      <c r="H5" s="266">
        <v>127412109.86</v>
      </c>
      <c r="I5" s="266">
        <v>129084495.93000001</v>
      </c>
      <c r="J5" s="266">
        <v>111833926.93000001</v>
      </c>
      <c r="K5" s="266">
        <v>128438413.93000001</v>
      </c>
      <c r="L5" s="266">
        <v>92938973.930000007</v>
      </c>
      <c r="M5" s="266">
        <v>121804187.93000001</v>
      </c>
      <c r="N5" s="266">
        <v>115122631.93000001</v>
      </c>
      <c r="O5" s="137">
        <v>115123000</v>
      </c>
      <c r="P5" s="134">
        <v>124552356.92</v>
      </c>
      <c r="Q5" s="134">
        <v>130981782.92</v>
      </c>
      <c r="R5" s="134">
        <v>99421739.920000002</v>
      </c>
      <c r="S5" s="134">
        <v>121052275.92</v>
      </c>
      <c r="T5" s="134">
        <v>137779430.91999999</v>
      </c>
      <c r="U5" s="330">
        <v>154702994.91999999</v>
      </c>
      <c r="V5" s="134">
        <v>101563562.92</v>
      </c>
      <c r="W5" s="134">
        <v>118778775.37</v>
      </c>
      <c r="X5" s="134">
        <v>116812137.37</v>
      </c>
      <c r="Y5" s="134">
        <v>111877915.37</v>
      </c>
      <c r="Z5" s="134">
        <v>120394322.37</v>
      </c>
      <c r="AA5" s="134">
        <v>104618454.37</v>
      </c>
      <c r="AB5" s="326">
        <v>104618000</v>
      </c>
      <c r="AC5" s="343">
        <v>105210975.37</v>
      </c>
      <c r="AD5" s="344">
        <v>69241337.370000005</v>
      </c>
      <c r="AE5" s="344">
        <v>159467727.72</v>
      </c>
      <c r="AF5" s="344">
        <v>33049673.370000001</v>
      </c>
      <c r="AG5" s="343">
        <v>102799466.69</v>
      </c>
      <c r="AH5" s="390">
        <v>101528921.69</v>
      </c>
    </row>
    <row r="6" spans="1:34" ht="14.25">
      <c r="A6" s="155" t="s">
        <v>185</v>
      </c>
      <c r="B6" s="282">
        <f>5106415000-115892000</f>
        <v>4990523000</v>
      </c>
      <c r="C6" s="266">
        <v>5146749429.7399998</v>
      </c>
      <c r="D6" s="266">
        <v>5235505809.3400002</v>
      </c>
      <c r="E6" s="266">
        <v>5024865047.4200001</v>
      </c>
      <c r="F6" s="266">
        <v>4672436077.2799997</v>
      </c>
      <c r="G6" s="266">
        <v>4832283949.8000002</v>
      </c>
      <c r="H6" s="266">
        <v>5092018849.1400003</v>
      </c>
      <c r="I6" s="266">
        <v>5346051073.8400002</v>
      </c>
      <c r="J6" s="266">
        <v>5980669788.4399996</v>
      </c>
      <c r="K6" s="266">
        <v>5752613831.6000004</v>
      </c>
      <c r="L6" s="266">
        <v>5057262375.3800001</v>
      </c>
      <c r="M6" s="266">
        <v>5160213767.9899998</v>
      </c>
      <c r="N6" s="266">
        <v>4985188497.7600002</v>
      </c>
      <c r="O6" s="137">
        <f>5248820000-115123000</f>
        <v>5133697000</v>
      </c>
      <c r="P6" s="134">
        <v>5449506267.6599998</v>
      </c>
      <c r="Q6" s="134">
        <v>5484205009.5500002</v>
      </c>
      <c r="R6" s="134">
        <v>5025061741.4799995</v>
      </c>
      <c r="S6" s="134">
        <v>5129977682.8599997</v>
      </c>
      <c r="T6" s="134">
        <v>4750007275.1700001</v>
      </c>
      <c r="U6" s="330">
        <v>5293967377.5799999</v>
      </c>
      <c r="V6" s="134">
        <v>5505282778.8800001</v>
      </c>
      <c r="W6" s="134">
        <v>5425384430.7600002</v>
      </c>
      <c r="X6" s="134">
        <v>5864524165.0299997</v>
      </c>
      <c r="Y6" s="134">
        <v>6229245763.25</v>
      </c>
      <c r="Z6" s="134">
        <v>6565284452.3400002</v>
      </c>
      <c r="AA6" s="134">
        <v>6822888485.8599997</v>
      </c>
      <c r="AB6" s="326">
        <f>94752000+588343000+10715000+8254000+2203000+588000-83000</f>
        <v>704772000</v>
      </c>
      <c r="AC6" s="346">
        <v>6241080935.75</v>
      </c>
      <c r="AD6" s="348">
        <v>7222118877.8500004</v>
      </c>
      <c r="AE6" s="348">
        <v>5863235144.8999996</v>
      </c>
      <c r="AF6" s="348">
        <v>5573479816.4799995</v>
      </c>
      <c r="AG6" s="346">
        <v>6390711376.4300003</v>
      </c>
      <c r="AH6" s="392">
        <v>6339891460.1899996</v>
      </c>
    </row>
    <row r="7" spans="1:34" s="136" customFormat="1" ht="15">
      <c r="A7" s="156" t="s">
        <v>186</v>
      </c>
      <c r="B7" s="135">
        <v>1156972000</v>
      </c>
      <c r="C7" s="266">
        <v>1020083211.03</v>
      </c>
      <c r="D7" s="266">
        <v>1254381775.75</v>
      </c>
      <c r="E7" s="266">
        <v>914282822.98000002</v>
      </c>
      <c r="F7" s="266">
        <v>1222641801.6800001</v>
      </c>
      <c r="G7" s="266">
        <v>1226249704.3299999</v>
      </c>
      <c r="H7" s="266">
        <v>1142076108.95</v>
      </c>
      <c r="I7" s="266">
        <v>1281925668.4100001</v>
      </c>
      <c r="J7" s="266">
        <v>1248336142.73</v>
      </c>
      <c r="K7" s="266">
        <v>1290182338.05</v>
      </c>
      <c r="L7" s="266">
        <v>1415839291.8699999</v>
      </c>
      <c r="M7" s="266">
        <v>1464511283.1400001</v>
      </c>
      <c r="N7" s="266">
        <v>1453566398.78</v>
      </c>
      <c r="O7" s="135">
        <v>1377736000</v>
      </c>
      <c r="P7" s="136">
        <v>1551424138.5799999</v>
      </c>
      <c r="Q7" s="136">
        <v>1701396318.77</v>
      </c>
      <c r="R7" s="136">
        <v>1521957292.01</v>
      </c>
      <c r="S7" s="136">
        <v>1625741159.8599999</v>
      </c>
      <c r="T7" s="136">
        <v>1686331605.49</v>
      </c>
      <c r="U7" s="336">
        <v>1614492150.24</v>
      </c>
      <c r="V7" s="136">
        <v>1649703678.3</v>
      </c>
      <c r="W7" s="136">
        <v>1664551626.8699999</v>
      </c>
      <c r="X7" s="136">
        <v>1625843425.6600001</v>
      </c>
      <c r="Y7" s="136">
        <v>1853990948</v>
      </c>
      <c r="Z7" s="136">
        <v>1807304041.0599999</v>
      </c>
      <c r="AA7" s="136">
        <v>1705978444.77</v>
      </c>
      <c r="AB7" s="329">
        <v>1036206000</v>
      </c>
      <c r="AC7" s="346">
        <v>1917827930.8499999</v>
      </c>
      <c r="AD7" s="348">
        <v>1750447455.1300001</v>
      </c>
      <c r="AE7" s="348">
        <v>1360484415.4300001</v>
      </c>
      <c r="AF7" s="348">
        <v>1310925290.98</v>
      </c>
      <c r="AG7" s="346">
        <v>1020069551.13</v>
      </c>
      <c r="AH7" s="392">
        <v>1685916028.53</v>
      </c>
    </row>
    <row r="8" spans="1:34" s="136" customFormat="1" ht="15.75">
      <c r="A8" s="156" t="s">
        <v>187</v>
      </c>
      <c r="B8" s="284">
        <f t="shared" ref="B8:AH8" si="1">SUM(B9:B13)</f>
        <v>1962102000</v>
      </c>
      <c r="C8" s="284">
        <f t="shared" si="1"/>
        <v>981051087.79999995</v>
      </c>
      <c r="D8" s="284">
        <f t="shared" si="1"/>
        <v>985978867.86000001</v>
      </c>
      <c r="E8" s="284">
        <f t="shared" si="1"/>
        <v>988625465.22000003</v>
      </c>
      <c r="F8" s="284">
        <f t="shared" si="1"/>
        <v>1235670214.75</v>
      </c>
      <c r="G8" s="284">
        <f t="shared" si="1"/>
        <v>1241010301.1999998</v>
      </c>
      <c r="H8" s="284">
        <f t="shared" si="1"/>
        <v>1359005435.5899999</v>
      </c>
      <c r="I8" s="284">
        <f t="shared" si="1"/>
        <v>1362335787.4000001</v>
      </c>
      <c r="J8" s="284">
        <f t="shared" si="1"/>
        <v>1365585859.6999998</v>
      </c>
      <c r="K8" s="284">
        <f t="shared" si="1"/>
        <v>1590689363.0499997</v>
      </c>
      <c r="L8" s="284">
        <f t="shared" si="1"/>
        <v>2130421941.6000001</v>
      </c>
      <c r="M8" s="284">
        <f t="shared" si="1"/>
        <v>2089288011.29</v>
      </c>
      <c r="N8" s="284">
        <f t="shared" si="1"/>
        <v>2120885148.3299999</v>
      </c>
      <c r="O8" s="284">
        <f t="shared" si="1"/>
        <v>3177504000</v>
      </c>
      <c r="P8" s="284">
        <f t="shared" si="1"/>
        <v>2094985085.1200004</v>
      </c>
      <c r="Q8" s="284">
        <f t="shared" si="1"/>
        <v>2103927505.79</v>
      </c>
      <c r="R8" s="284">
        <f t="shared" si="1"/>
        <v>2110952137.5100002</v>
      </c>
      <c r="S8" s="284">
        <f t="shared" si="1"/>
        <v>2098862265.5100002</v>
      </c>
      <c r="T8" s="284">
        <f t="shared" si="1"/>
        <v>2702720694.0599999</v>
      </c>
      <c r="U8" s="328">
        <f t="shared" si="1"/>
        <v>2715047852.3200002</v>
      </c>
      <c r="V8" s="284">
        <f t="shared" si="1"/>
        <v>2733361725.2399998</v>
      </c>
      <c r="W8" s="284">
        <f t="shared" si="1"/>
        <v>3270718044.1199999</v>
      </c>
      <c r="X8" s="284">
        <f t="shared" si="1"/>
        <v>3285635851.9999995</v>
      </c>
      <c r="Y8" s="284">
        <f t="shared" si="1"/>
        <v>3255540759.9999995</v>
      </c>
      <c r="Z8" s="284">
        <f t="shared" si="1"/>
        <v>3237112914.1099997</v>
      </c>
      <c r="AA8" s="320">
        <f t="shared" si="1"/>
        <v>3270263575.4200001</v>
      </c>
      <c r="AB8" s="320">
        <f t="shared" si="1"/>
        <v>9275926000</v>
      </c>
      <c r="AC8" s="320">
        <f t="shared" si="1"/>
        <v>3292021586.4200001</v>
      </c>
      <c r="AD8" s="320">
        <f t="shared" si="1"/>
        <v>3240793504.7599998</v>
      </c>
      <c r="AE8" s="320">
        <f t="shared" si="1"/>
        <v>3267034797.5199995</v>
      </c>
      <c r="AF8" s="320">
        <f t="shared" si="1"/>
        <v>3211318554.4899998</v>
      </c>
      <c r="AG8" s="320">
        <f t="shared" si="1"/>
        <v>3196524830.4899998</v>
      </c>
      <c r="AH8" s="320">
        <f t="shared" si="1"/>
        <v>3214985108.3099999</v>
      </c>
    </row>
    <row r="9" spans="1:34" ht="15">
      <c r="A9" s="157" t="s">
        <v>188</v>
      </c>
      <c r="B9" s="137"/>
      <c r="C9" s="266">
        <v>0</v>
      </c>
      <c r="D9" s="266">
        <v>0</v>
      </c>
      <c r="E9" s="266">
        <v>0</v>
      </c>
      <c r="F9" s="266">
        <v>303108000</v>
      </c>
      <c r="G9" s="266">
        <v>303108000</v>
      </c>
      <c r="H9" s="266">
        <v>348307999.30000001</v>
      </c>
      <c r="I9" s="266">
        <v>348307999.30000001</v>
      </c>
      <c r="J9" s="266">
        <v>348307999.30000001</v>
      </c>
      <c r="K9" s="266">
        <v>525068086.64999998</v>
      </c>
      <c r="L9" s="266">
        <v>1061523086.65</v>
      </c>
      <c r="M9" s="266">
        <v>1017157294.65</v>
      </c>
      <c r="N9" s="266">
        <v>1026350493.65</v>
      </c>
      <c r="O9" s="139">
        <v>1003586000</v>
      </c>
      <c r="P9" s="134">
        <v>1003586039.71</v>
      </c>
      <c r="Q9" s="134">
        <v>1009728666.71</v>
      </c>
      <c r="R9" s="134">
        <v>1012956148.71</v>
      </c>
      <c r="S9" s="134">
        <v>997131074.71000004</v>
      </c>
      <c r="T9" s="134">
        <v>1496804206.71</v>
      </c>
      <c r="U9" s="330">
        <v>1507137538.71</v>
      </c>
      <c r="V9" s="134">
        <v>1517815314.71</v>
      </c>
      <c r="W9" s="134">
        <v>2053472269.1099999</v>
      </c>
      <c r="X9" s="134">
        <v>2063805601.1099999</v>
      </c>
      <c r="Y9" s="134">
        <v>2028928567.1099999</v>
      </c>
      <c r="Z9" s="134">
        <v>2005834724.1099999</v>
      </c>
      <c r="AA9" s="134">
        <v>2045844755.95</v>
      </c>
      <c r="AB9" s="326">
        <v>1967562000</v>
      </c>
      <c r="AC9" s="343">
        <v>2067179567.95</v>
      </c>
      <c r="AD9" s="344">
        <v>2008167249.95</v>
      </c>
      <c r="AE9" s="344">
        <v>2029502061.95</v>
      </c>
      <c r="AF9" s="344">
        <v>1968633097.95</v>
      </c>
      <c r="AG9" s="343">
        <v>1948621474.95</v>
      </c>
      <c r="AH9" s="390">
        <v>1969266776.95</v>
      </c>
    </row>
    <row r="10" spans="1:34" ht="14.25">
      <c r="A10" s="155" t="s">
        <v>189</v>
      </c>
      <c r="B10" s="137"/>
      <c r="C10" s="266">
        <v>403471101.10000002</v>
      </c>
      <c r="D10" s="266">
        <v>408389881.16000003</v>
      </c>
      <c r="E10" s="266">
        <v>411037478.51999998</v>
      </c>
      <c r="F10" s="266">
        <v>354975228.05000001</v>
      </c>
      <c r="G10" s="266">
        <v>360312314.5</v>
      </c>
      <c r="H10" s="266">
        <v>433108449.58999997</v>
      </c>
      <c r="I10" s="266">
        <v>436436801.39999998</v>
      </c>
      <c r="J10" s="266">
        <v>439685873.69999999</v>
      </c>
      <c r="K10" s="266">
        <v>488029289.69999999</v>
      </c>
      <c r="L10" s="266">
        <v>491306868.25</v>
      </c>
      <c r="M10" s="266">
        <v>494540729.94</v>
      </c>
      <c r="N10" s="266">
        <v>498068197.57999998</v>
      </c>
      <c r="O10" s="139"/>
      <c r="P10" s="134">
        <v>501498743.88</v>
      </c>
      <c r="Q10" s="316">
        <v>504298537.98000002</v>
      </c>
      <c r="R10" s="134">
        <v>508096687.69999999</v>
      </c>
      <c r="S10" s="134">
        <v>511832389.69999999</v>
      </c>
      <c r="T10" s="134">
        <v>616018186.25</v>
      </c>
      <c r="U10" s="330">
        <v>618009012.50999999</v>
      </c>
      <c r="V10" s="134">
        <v>625649109.42999995</v>
      </c>
      <c r="W10" s="134">
        <v>627345473.90999997</v>
      </c>
      <c r="X10" s="134">
        <v>651939949.78999996</v>
      </c>
      <c r="Y10" s="134">
        <v>656723891.78999996</v>
      </c>
      <c r="Z10" s="134">
        <v>661392888.89999998</v>
      </c>
      <c r="AA10" s="134">
        <v>666139264.94000006</v>
      </c>
      <c r="AB10" s="326">
        <v>45462000</v>
      </c>
      <c r="AC10" s="346">
        <v>666563463.94000006</v>
      </c>
      <c r="AD10" s="348">
        <v>674347700.27999997</v>
      </c>
      <c r="AE10" s="348">
        <v>679254181.03999996</v>
      </c>
      <c r="AF10" s="348">
        <v>684406902.00999999</v>
      </c>
      <c r="AG10" s="346">
        <v>689624801.00999999</v>
      </c>
      <c r="AH10" s="392">
        <v>687439776.83000004</v>
      </c>
    </row>
    <row r="11" spans="1:34" ht="14.25">
      <c r="A11" s="264" t="s">
        <v>190</v>
      </c>
      <c r="B11" s="137"/>
      <c r="C11" s="266">
        <v>16468880.93</v>
      </c>
      <c r="D11" s="266">
        <v>16468880.93</v>
      </c>
      <c r="E11" s="266">
        <v>16468880.93</v>
      </c>
      <c r="F11" s="266">
        <v>16468880.93</v>
      </c>
      <c r="G11" s="266">
        <v>16468880.93</v>
      </c>
      <c r="H11" s="266">
        <v>16468880.93</v>
      </c>
      <c r="I11" s="266">
        <v>16468880.93</v>
      </c>
      <c r="J11" s="266">
        <v>16468880.93</v>
      </c>
      <c r="K11" s="266">
        <v>16468880.93</v>
      </c>
      <c r="L11" s="266">
        <v>16468880.93</v>
      </c>
      <c r="M11" s="266">
        <v>16468880.93</v>
      </c>
      <c r="N11" s="266">
        <v>16468880.93</v>
      </c>
      <c r="O11" s="139">
        <v>10000</v>
      </c>
      <c r="P11" s="134">
        <v>12702353.93</v>
      </c>
      <c r="Q11" s="134">
        <v>12702353.93</v>
      </c>
      <c r="R11" s="134">
        <v>12702353.93</v>
      </c>
      <c r="S11" s="134">
        <v>12702353.93</v>
      </c>
      <c r="T11" s="134">
        <v>12702353.93</v>
      </c>
      <c r="U11" s="330">
        <v>12702353.93</v>
      </c>
      <c r="V11" s="134">
        <v>12702353.93</v>
      </c>
      <c r="W11" s="134">
        <v>12702353.93</v>
      </c>
      <c r="X11" s="134">
        <v>12702353.93</v>
      </c>
      <c r="Y11" s="134">
        <v>12702353.93</v>
      </c>
      <c r="Z11" s="134">
        <v>12702353.93</v>
      </c>
      <c r="AA11" s="134">
        <v>13675920.93</v>
      </c>
      <c r="AB11" s="326">
        <v>6085171000</v>
      </c>
      <c r="AC11" s="346">
        <v>13675920.93</v>
      </c>
      <c r="AD11" s="348">
        <v>13675920.93</v>
      </c>
      <c r="AE11" s="348">
        <v>13675920.93</v>
      </c>
      <c r="AF11" s="348">
        <v>13675920.93</v>
      </c>
      <c r="AG11" s="346">
        <v>13675920.93</v>
      </c>
      <c r="AH11" s="392">
        <v>13675920.93</v>
      </c>
    </row>
    <row r="12" spans="1:34" ht="14.25">
      <c r="A12" s="265" t="s">
        <v>191</v>
      </c>
      <c r="B12" s="282">
        <f>577580000+347409000</f>
        <v>924989000</v>
      </c>
      <c r="C12" s="266">
        <v>561111105.76999998</v>
      </c>
      <c r="D12" s="266">
        <v>561120105.76999998</v>
      </c>
      <c r="E12" s="266">
        <v>561119105.76999998</v>
      </c>
      <c r="F12" s="266">
        <v>561118105.76999998</v>
      </c>
      <c r="G12" s="266">
        <v>561121105.76999998</v>
      </c>
      <c r="H12" s="266">
        <v>561120105.76999998</v>
      </c>
      <c r="I12" s="266">
        <v>561122105.76999998</v>
      </c>
      <c r="J12" s="266">
        <v>561123105.76999998</v>
      </c>
      <c r="K12" s="266">
        <v>561123105.76999998</v>
      </c>
      <c r="L12" s="266">
        <v>561123105.76999998</v>
      </c>
      <c r="M12" s="266">
        <v>561121105.76999998</v>
      </c>
      <c r="N12" s="266">
        <v>579997576.16999996</v>
      </c>
      <c r="O12" s="282">
        <f>589890000+452762000</f>
        <v>1042652000</v>
      </c>
      <c r="AB12" s="326">
        <f>453035000+13676000+20000000+91568000+599452000</f>
        <v>1177731000</v>
      </c>
      <c r="AC12" s="346">
        <v>544602633.60000002</v>
      </c>
      <c r="AD12" s="348">
        <v>544602633.60000002</v>
      </c>
      <c r="AE12" s="348">
        <v>544602633.60000002</v>
      </c>
      <c r="AF12" s="348">
        <v>544602633.60000002</v>
      </c>
      <c r="AG12" s="346">
        <v>544602633.60000002</v>
      </c>
      <c r="AH12" s="392">
        <v>544602633.60000002</v>
      </c>
    </row>
    <row r="13" spans="1:34">
      <c r="A13" s="264" t="s">
        <v>192</v>
      </c>
      <c r="B13" s="137">
        <f>56062000+981051000</f>
        <v>1037113000</v>
      </c>
      <c r="C13" s="188"/>
      <c r="D13" s="188"/>
      <c r="E13" s="188"/>
      <c r="F13" s="188"/>
      <c r="G13" s="188"/>
      <c r="H13" s="188"/>
      <c r="I13" s="188"/>
      <c r="J13" s="188"/>
      <c r="K13" s="188"/>
      <c r="L13" s="188"/>
      <c r="M13" s="188"/>
      <c r="N13" s="266"/>
      <c r="O13" s="139">
        <f>44302000+1086954000</f>
        <v>1131256000</v>
      </c>
      <c r="P13" s="134">
        <v>577197947.60000002</v>
      </c>
      <c r="Q13" s="134">
        <v>577197947.16999996</v>
      </c>
      <c r="R13" s="134">
        <v>577196947.16999996</v>
      </c>
      <c r="S13" s="134">
        <v>577196447.16999996</v>
      </c>
      <c r="T13" s="134">
        <v>577195947.16999996</v>
      </c>
      <c r="U13" s="330">
        <v>577198947.16999996</v>
      </c>
      <c r="V13" s="134">
        <v>577194947.16999996</v>
      </c>
      <c r="W13" s="134">
        <v>577197947.16999996</v>
      </c>
      <c r="X13" s="134">
        <v>557187947.16999996</v>
      </c>
      <c r="Y13" s="134">
        <v>557185947.16999996</v>
      </c>
      <c r="Z13" s="134">
        <v>557182947.16999996</v>
      </c>
      <c r="AA13" s="134">
        <v>544603633.60000002</v>
      </c>
      <c r="AB13" s="326"/>
    </row>
    <row r="14" spans="1:34" s="136" customFormat="1" ht="15.75">
      <c r="A14" s="156" t="s">
        <v>193</v>
      </c>
      <c r="B14" s="285">
        <v>32798794000</v>
      </c>
      <c r="C14" s="285">
        <f t="shared" ref="C14:AH14" si="2">C15-C16</f>
        <v>33254628409.620003</v>
      </c>
      <c r="D14" s="285">
        <f t="shared" si="2"/>
        <v>33387332341.610001</v>
      </c>
      <c r="E14" s="285">
        <f t="shared" si="2"/>
        <v>33173427990.959999</v>
      </c>
      <c r="F14" s="285">
        <f t="shared" si="2"/>
        <v>33316114582.339996</v>
      </c>
      <c r="G14" s="285">
        <f t="shared" si="2"/>
        <v>33586803939.75</v>
      </c>
      <c r="H14" s="285">
        <f t="shared" si="2"/>
        <v>33621973245.419998</v>
      </c>
      <c r="I14" s="285">
        <f t="shared" si="2"/>
        <v>33499802531.379997</v>
      </c>
      <c r="J14" s="285">
        <f t="shared" si="2"/>
        <v>33767411149.639999</v>
      </c>
      <c r="K14" s="285">
        <f t="shared" si="2"/>
        <v>34802763440.269997</v>
      </c>
      <c r="L14" s="285">
        <f t="shared" si="2"/>
        <v>35623676260.809998</v>
      </c>
      <c r="M14" s="285">
        <f t="shared" si="2"/>
        <v>36219979626.639999</v>
      </c>
      <c r="N14" s="285">
        <f t="shared" si="2"/>
        <v>36775992993.790001</v>
      </c>
      <c r="O14" s="285">
        <f t="shared" si="2"/>
        <v>36351455000</v>
      </c>
      <c r="P14" s="285">
        <f t="shared" si="2"/>
        <v>36710666885.25</v>
      </c>
      <c r="Q14" s="285">
        <f t="shared" si="2"/>
        <v>36703033476.550003</v>
      </c>
      <c r="R14" s="285">
        <f t="shared" si="2"/>
        <v>37140716508.25</v>
      </c>
      <c r="S14" s="285">
        <f t="shared" si="2"/>
        <v>37853316391.580002</v>
      </c>
      <c r="T14" s="285">
        <f t="shared" si="2"/>
        <v>38262104462.210007</v>
      </c>
      <c r="U14" s="337">
        <f t="shared" si="2"/>
        <v>38226180552.979996</v>
      </c>
      <c r="V14" s="285">
        <f t="shared" si="2"/>
        <v>38651645837.100006</v>
      </c>
      <c r="W14" s="285">
        <f t="shared" si="2"/>
        <v>38939297444.279999</v>
      </c>
      <c r="X14" s="285">
        <f t="shared" si="2"/>
        <v>39380148525.270004</v>
      </c>
      <c r="Y14" s="285">
        <f t="shared" si="2"/>
        <v>39861862839.150002</v>
      </c>
      <c r="Z14" s="285">
        <f t="shared" si="2"/>
        <v>40486839845.370003</v>
      </c>
      <c r="AA14" s="321">
        <f t="shared" si="2"/>
        <v>41180559782.300003</v>
      </c>
      <c r="AB14" s="321">
        <f t="shared" si="2"/>
        <v>41316978000</v>
      </c>
      <c r="AC14" s="321">
        <f t="shared" si="2"/>
        <v>41866409842.129997</v>
      </c>
      <c r="AD14" s="321">
        <f t="shared" si="2"/>
        <v>42050285437.559998</v>
      </c>
      <c r="AE14" s="321">
        <f t="shared" si="2"/>
        <v>41422701809.589996</v>
      </c>
      <c r="AF14" s="321">
        <f t="shared" si="2"/>
        <v>41861105030.330002</v>
      </c>
      <c r="AG14" s="321">
        <f t="shared" si="2"/>
        <v>41813296594.910004</v>
      </c>
      <c r="AH14" s="321">
        <f t="shared" si="2"/>
        <v>41500832441.419998</v>
      </c>
    </row>
    <row r="15" spans="1:34" ht="15">
      <c r="A15" s="157" t="s">
        <v>194</v>
      </c>
      <c r="B15" s="282">
        <v>38804173000</v>
      </c>
      <c r="C15" s="266">
        <v>35584857409.620003</v>
      </c>
      <c r="D15" s="266">
        <v>35717561341.610001</v>
      </c>
      <c r="E15" s="266">
        <v>35639734490.959999</v>
      </c>
      <c r="F15" s="266">
        <v>35782421082.339996</v>
      </c>
      <c r="G15" s="266">
        <v>36053110439.75</v>
      </c>
      <c r="H15" s="266">
        <v>36224357245.419998</v>
      </c>
      <c r="I15" s="266">
        <v>36102186531.379997</v>
      </c>
      <c r="J15" s="266">
        <v>36369795149.639999</v>
      </c>
      <c r="K15" s="266">
        <v>37405147440.269997</v>
      </c>
      <c r="L15" s="266">
        <v>38226060260.809998</v>
      </c>
      <c r="M15" s="266">
        <v>38822363626.639999</v>
      </c>
      <c r="N15" s="266">
        <v>39378376993.790001</v>
      </c>
      <c r="O15" s="307">
        <v>39378377000</v>
      </c>
      <c r="P15" s="134">
        <v>39737588842.160004</v>
      </c>
      <c r="Q15" s="134">
        <v>39729955433.459999</v>
      </c>
      <c r="R15" s="134">
        <v>40167638465.160004</v>
      </c>
      <c r="S15" s="134">
        <v>40630238348.489998</v>
      </c>
      <c r="T15" s="134">
        <v>41039026419.120003</v>
      </c>
      <c r="U15" s="330">
        <v>41295257509.889999</v>
      </c>
      <c r="V15" s="134">
        <v>41720722794.010002</v>
      </c>
      <c r="W15" s="134">
        <v>42008374401.190002</v>
      </c>
      <c r="X15" s="134">
        <v>42449225482.18</v>
      </c>
      <c r="Y15" s="134">
        <v>43176569971.150002</v>
      </c>
      <c r="Z15" s="134">
        <v>43801546977.370003</v>
      </c>
      <c r="AA15" s="134">
        <v>44495266914.300003</v>
      </c>
      <c r="AB15" s="326">
        <v>45074284000</v>
      </c>
      <c r="AC15" s="343">
        <v>45587899135.129997</v>
      </c>
      <c r="AD15" s="344">
        <v>45807591777.559998</v>
      </c>
      <c r="AE15" s="344">
        <v>45927722321.589996</v>
      </c>
      <c r="AF15" s="344">
        <v>46366125542.330002</v>
      </c>
      <c r="AG15" s="343">
        <v>46318317106.910004</v>
      </c>
      <c r="AH15" s="390">
        <v>46508103065.419998</v>
      </c>
    </row>
    <row r="16" spans="1:34" ht="15">
      <c r="A16" s="157" t="s">
        <v>195</v>
      </c>
      <c r="B16" s="282">
        <v>2330229000</v>
      </c>
      <c r="C16" s="266">
        <v>2330229000</v>
      </c>
      <c r="D16" s="266">
        <v>2330229000</v>
      </c>
      <c r="E16" s="266">
        <v>2466306500</v>
      </c>
      <c r="F16" s="266">
        <v>2466306500</v>
      </c>
      <c r="G16" s="266">
        <v>2466306500</v>
      </c>
      <c r="H16" s="266">
        <v>2602384000</v>
      </c>
      <c r="I16" s="266">
        <v>2602384000</v>
      </c>
      <c r="J16" s="266">
        <v>2602384000</v>
      </c>
      <c r="K16" s="266">
        <v>2602384000</v>
      </c>
      <c r="L16" s="266">
        <v>2602384000</v>
      </c>
      <c r="M16" s="266">
        <v>2602384000</v>
      </c>
      <c r="N16" s="266">
        <v>2602384000</v>
      </c>
      <c r="O16" s="308">
        <v>3026922000</v>
      </c>
      <c r="P16" s="134">
        <v>3026921956.9099998</v>
      </c>
      <c r="Q16" s="134">
        <v>3026921956.9099998</v>
      </c>
      <c r="R16" s="134">
        <v>3026921956.9099998</v>
      </c>
      <c r="S16" s="134">
        <v>2776921956.9099998</v>
      </c>
      <c r="T16" s="134">
        <v>2776921956.9099998</v>
      </c>
      <c r="U16" s="330">
        <v>3069076956.9099998</v>
      </c>
      <c r="V16" s="134">
        <v>3069076956.9099998</v>
      </c>
      <c r="W16" s="134">
        <v>3069076956.9099998</v>
      </c>
      <c r="X16" s="134">
        <v>3069076956.9099998</v>
      </c>
      <c r="Y16" s="134">
        <v>3314707132</v>
      </c>
      <c r="Z16" s="134">
        <v>3314707132</v>
      </c>
      <c r="AA16" s="134">
        <v>3314707132</v>
      </c>
      <c r="AB16" s="326">
        <v>3757306000</v>
      </c>
      <c r="AC16" s="346">
        <v>3721489293</v>
      </c>
      <c r="AD16" s="348">
        <v>3757306340</v>
      </c>
      <c r="AE16" s="348">
        <v>4505020512</v>
      </c>
      <c r="AF16" s="348">
        <v>4505020512</v>
      </c>
      <c r="AG16" s="346">
        <v>4505020512</v>
      </c>
      <c r="AH16" s="392">
        <v>5007270624</v>
      </c>
    </row>
    <row r="17" spans="1:34" s="136" customFormat="1" ht="15.75">
      <c r="A17" s="156" t="s">
        <v>196</v>
      </c>
      <c r="B17" s="285">
        <f t="shared" ref="B17:AH17" si="3">SUM(B18:B20)</f>
        <v>56052000</v>
      </c>
      <c r="C17" s="285">
        <f t="shared" si="3"/>
        <v>0</v>
      </c>
      <c r="D17" s="285">
        <f t="shared" si="3"/>
        <v>0</v>
      </c>
      <c r="E17" s="285">
        <f t="shared" si="3"/>
        <v>0</v>
      </c>
      <c r="F17" s="285">
        <f t="shared" si="3"/>
        <v>0</v>
      </c>
      <c r="G17" s="285">
        <f t="shared" si="3"/>
        <v>0</v>
      </c>
      <c r="H17" s="285">
        <f t="shared" si="3"/>
        <v>0</v>
      </c>
      <c r="I17" s="285">
        <f t="shared" si="3"/>
        <v>0</v>
      </c>
      <c r="J17" s="285">
        <f t="shared" si="3"/>
        <v>0</v>
      </c>
      <c r="K17" s="285">
        <f t="shared" si="3"/>
        <v>0</v>
      </c>
      <c r="L17" s="285">
        <f t="shared" si="3"/>
        <v>0</v>
      </c>
      <c r="M17" s="285">
        <f t="shared" si="3"/>
        <v>0</v>
      </c>
      <c r="N17" s="285">
        <f t="shared" si="3"/>
        <v>0</v>
      </c>
      <c r="O17" s="285">
        <f t="shared" si="3"/>
        <v>56158000</v>
      </c>
      <c r="P17" s="285">
        <f t="shared" si="3"/>
        <v>0</v>
      </c>
      <c r="Q17" s="285">
        <f t="shared" si="3"/>
        <v>0</v>
      </c>
      <c r="R17" s="285">
        <f t="shared" si="3"/>
        <v>0</v>
      </c>
      <c r="S17" s="285">
        <f t="shared" si="3"/>
        <v>0</v>
      </c>
      <c r="T17" s="285">
        <f t="shared" si="3"/>
        <v>0</v>
      </c>
      <c r="U17" s="337">
        <f t="shared" si="3"/>
        <v>0</v>
      </c>
      <c r="V17" s="285">
        <f t="shared" si="3"/>
        <v>0</v>
      </c>
      <c r="W17" s="285">
        <f t="shared" si="3"/>
        <v>0</v>
      </c>
      <c r="X17" s="285">
        <f t="shared" si="3"/>
        <v>0</v>
      </c>
      <c r="Y17" s="285">
        <f t="shared" si="3"/>
        <v>0</v>
      </c>
      <c r="Z17" s="285">
        <f t="shared" si="3"/>
        <v>0</v>
      </c>
      <c r="AA17" s="321">
        <f t="shared" si="3"/>
        <v>0</v>
      </c>
      <c r="AB17" s="321">
        <f t="shared" si="3"/>
        <v>52878000</v>
      </c>
      <c r="AC17" s="321">
        <f t="shared" si="3"/>
        <v>0</v>
      </c>
      <c r="AD17" s="321">
        <f t="shared" si="3"/>
        <v>67877641.549999997</v>
      </c>
      <c r="AE17" s="321">
        <f t="shared" si="3"/>
        <v>67877641.549999997</v>
      </c>
      <c r="AF17" s="321">
        <f t="shared" si="3"/>
        <v>89046395.550000012</v>
      </c>
      <c r="AG17" s="321">
        <f t="shared" si="3"/>
        <v>89046395.550000012</v>
      </c>
      <c r="AH17" s="321">
        <f t="shared" si="3"/>
        <v>116146824.55</v>
      </c>
    </row>
    <row r="18" spans="1:34" ht="15">
      <c r="A18" s="157" t="s">
        <v>197</v>
      </c>
      <c r="B18" s="282"/>
      <c r="C18" s="266">
        <v>0</v>
      </c>
      <c r="D18" s="266">
        <v>0</v>
      </c>
      <c r="E18" s="266">
        <v>0</v>
      </c>
      <c r="F18" s="266">
        <v>0</v>
      </c>
      <c r="G18" s="266">
        <v>0</v>
      </c>
      <c r="H18" s="266">
        <v>0</v>
      </c>
      <c r="I18" s="266">
        <v>0</v>
      </c>
      <c r="J18" s="266">
        <v>0</v>
      </c>
      <c r="K18" s="266">
        <v>0</v>
      </c>
      <c r="L18" s="266">
        <v>0</v>
      </c>
      <c r="M18" s="266">
        <v>0</v>
      </c>
      <c r="N18" s="266">
        <v>0</v>
      </c>
      <c r="O18" s="137">
        <v>5768000</v>
      </c>
      <c r="P18" s="134">
        <v>0</v>
      </c>
      <c r="Q18" s="134">
        <v>0</v>
      </c>
      <c r="R18" s="134">
        <v>0</v>
      </c>
      <c r="S18" s="134">
        <v>0</v>
      </c>
      <c r="T18" s="134">
        <v>0</v>
      </c>
      <c r="U18" s="330">
        <v>0</v>
      </c>
      <c r="V18" s="134">
        <v>0</v>
      </c>
      <c r="W18" s="134">
        <v>0</v>
      </c>
      <c r="X18" s="134">
        <v>0</v>
      </c>
      <c r="Y18" s="134">
        <v>0</v>
      </c>
      <c r="Z18" s="134">
        <v>0</v>
      </c>
      <c r="AA18" s="134">
        <v>0</v>
      </c>
      <c r="AB18" s="326">
        <v>4393000</v>
      </c>
      <c r="AC18" s="342">
        <v>0</v>
      </c>
      <c r="AD18" s="344">
        <v>19393041.239999998</v>
      </c>
      <c r="AE18" s="344">
        <v>19393041.239999998</v>
      </c>
      <c r="AF18" s="344">
        <v>40561795.240000002</v>
      </c>
      <c r="AG18" s="343">
        <v>40561795.240000002</v>
      </c>
      <c r="AH18" s="390">
        <v>67662224.239999995</v>
      </c>
    </row>
    <row r="19" spans="1:34" ht="15">
      <c r="A19" s="157" t="s">
        <v>198</v>
      </c>
      <c r="B19" s="266">
        <v>56052000</v>
      </c>
      <c r="C19" s="266">
        <v>0</v>
      </c>
      <c r="D19" s="266">
        <v>0</v>
      </c>
      <c r="E19" s="266">
        <v>0</v>
      </c>
      <c r="F19" s="266">
        <v>0</v>
      </c>
      <c r="G19" s="266">
        <v>0</v>
      </c>
      <c r="H19" s="266">
        <v>0</v>
      </c>
      <c r="I19" s="266">
        <v>0</v>
      </c>
      <c r="J19" s="266">
        <v>0</v>
      </c>
      <c r="K19" s="266">
        <v>0</v>
      </c>
      <c r="L19" s="266">
        <v>0</v>
      </c>
      <c r="M19" s="266">
        <v>0</v>
      </c>
      <c r="N19" s="266">
        <v>0</v>
      </c>
      <c r="O19" s="266">
        <v>50390000</v>
      </c>
      <c r="P19" s="134">
        <v>0</v>
      </c>
      <c r="Q19" s="134">
        <v>0</v>
      </c>
      <c r="R19" s="134">
        <v>0</v>
      </c>
      <c r="S19" s="134">
        <v>0</v>
      </c>
      <c r="T19" s="134">
        <v>0</v>
      </c>
      <c r="U19" s="330">
        <v>0</v>
      </c>
      <c r="V19" s="134">
        <v>0</v>
      </c>
      <c r="W19" s="134">
        <v>0</v>
      </c>
      <c r="X19" s="134">
        <v>0</v>
      </c>
      <c r="Y19" s="134">
        <v>0</v>
      </c>
      <c r="Z19" s="134">
        <v>0</v>
      </c>
      <c r="AA19" s="134">
        <v>0</v>
      </c>
      <c r="AB19" s="326">
        <v>48485000</v>
      </c>
      <c r="AC19" s="345">
        <v>0</v>
      </c>
      <c r="AD19" s="348">
        <v>48484600.310000002</v>
      </c>
      <c r="AE19" s="348">
        <v>48484600.310000002</v>
      </c>
      <c r="AF19" s="348">
        <v>48484600.310000002</v>
      </c>
      <c r="AG19" s="346">
        <v>48484600.310000002</v>
      </c>
      <c r="AH19" s="392">
        <v>48484600.310000002</v>
      </c>
    </row>
    <row r="20" spans="1:34" ht="15">
      <c r="A20" s="157" t="s">
        <v>199</v>
      </c>
      <c r="B20" s="266"/>
      <c r="C20" s="266">
        <v>0</v>
      </c>
      <c r="D20" s="266">
        <v>0</v>
      </c>
      <c r="E20" s="266">
        <v>0</v>
      </c>
      <c r="F20" s="266">
        <v>0</v>
      </c>
      <c r="G20" s="266">
        <v>0</v>
      </c>
      <c r="H20" s="266">
        <v>0</v>
      </c>
      <c r="I20" s="266">
        <v>0</v>
      </c>
      <c r="J20" s="266">
        <v>0</v>
      </c>
      <c r="K20" s="266">
        <v>0</v>
      </c>
      <c r="L20" s="266">
        <v>0</v>
      </c>
      <c r="M20" s="266">
        <v>0</v>
      </c>
      <c r="N20" s="266">
        <v>0</v>
      </c>
      <c r="O20" s="266"/>
      <c r="P20" s="134">
        <v>0</v>
      </c>
      <c r="Q20" s="134">
        <v>0</v>
      </c>
      <c r="R20" s="134">
        <v>0</v>
      </c>
      <c r="S20" s="134">
        <v>0</v>
      </c>
      <c r="T20" s="134">
        <v>0</v>
      </c>
      <c r="U20" s="330">
        <v>0</v>
      </c>
      <c r="V20" s="134">
        <v>0</v>
      </c>
      <c r="W20" s="134">
        <v>0</v>
      </c>
      <c r="X20" s="134">
        <v>0</v>
      </c>
      <c r="Y20" s="134">
        <v>0</v>
      </c>
      <c r="Z20" s="134">
        <v>0</v>
      </c>
      <c r="AA20" s="134">
        <v>0</v>
      </c>
      <c r="AB20" s="326"/>
      <c r="AC20" s="345">
        <v>0</v>
      </c>
      <c r="AD20" s="347">
        <v>0</v>
      </c>
      <c r="AE20" s="347">
        <v>0</v>
      </c>
      <c r="AF20" s="347">
        <v>0</v>
      </c>
      <c r="AG20" s="345">
        <v>0</v>
      </c>
      <c r="AH20" s="391">
        <v>0</v>
      </c>
    </row>
    <row r="21" spans="1:34" s="136" customFormat="1" ht="15.75">
      <c r="A21" s="156" t="s">
        <v>200</v>
      </c>
      <c r="B21" s="285">
        <f t="shared" ref="B21:AH21" si="4">SUM(B22:B26)</f>
        <v>954016000</v>
      </c>
      <c r="C21" s="285">
        <f t="shared" si="4"/>
        <v>933667477.79999995</v>
      </c>
      <c r="D21" s="285">
        <f t="shared" si="4"/>
        <v>943383527.24000001</v>
      </c>
      <c r="E21" s="285">
        <f t="shared" si="4"/>
        <v>934087807.40999997</v>
      </c>
      <c r="F21" s="285">
        <f t="shared" si="4"/>
        <v>939388369.85000014</v>
      </c>
      <c r="G21" s="285">
        <f t="shared" si="4"/>
        <v>927664764.5999999</v>
      </c>
      <c r="H21" s="285">
        <f t="shared" si="4"/>
        <v>1070354041.5</v>
      </c>
      <c r="I21" s="285">
        <f t="shared" si="4"/>
        <v>1161329046.6700001</v>
      </c>
      <c r="J21" s="285">
        <f t="shared" si="4"/>
        <v>1206463125.6199999</v>
      </c>
      <c r="K21" s="285">
        <f t="shared" si="4"/>
        <v>1215641079.3499999</v>
      </c>
      <c r="L21" s="285">
        <f t="shared" si="4"/>
        <v>1208765683.9300001</v>
      </c>
      <c r="M21" s="285">
        <f t="shared" si="4"/>
        <v>1154792185.3400002</v>
      </c>
      <c r="N21" s="285">
        <f t="shared" si="4"/>
        <v>1322656081.5400002</v>
      </c>
      <c r="O21" s="285">
        <f t="shared" si="4"/>
        <v>1335260000</v>
      </c>
      <c r="P21" s="285">
        <f t="shared" si="4"/>
        <v>1314666639.4300001</v>
      </c>
      <c r="Q21" s="285">
        <f t="shared" si="4"/>
        <v>1309004656.3699999</v>
      </c>
      <c r="R21" s="285">
        <f t="shared" si="4"/>
        <v>1290287197.29</v>
      </c>
      <c r="S21" s="285">
        <f t="shared" si="4"/>
        <v>1281885065.9000001</v>
      </c>
      <c r="T21" s="285">
        <f t="shared" si="4"/>
        <v>1275169677.45</v>
      </c>
      <c r="U21" s="337">
        <f t="shared" si="4"/>
        <v>1241864227.77</v>
      </c>
      <c r="V21" s="285">
        <f t="shared" si="4"/>
        <v>1234316717.8399999</v>
      </c>
      <c r="W21" s="285">
        <f t="shared" si="4"/>
        <v>1223105209.28</v>
      </c>
      <c r="X21" s="285">
        <f t="shared" si="4"/>
        <v>1257913668.45</v>
      </c>
      <c r="Y21" s="285">
        <f t="shared" si="4"/>
        <v>1249776395.0700002</v>
      </c>
      <c r="Z21" s="285">
        <f t="shared" si="4"/>
        <v>1257429238.51</v>
      </c>
      <c r="AA21" s="321">
        <f t="shared" si="4"/>
        <v>1276912844.6099999</v>
      </c>
      <c r="AB21" s="321">
        <f t="shared" si="4"/>
        <v>1292202174</v>
      </c>
      <c r="AC21" s="321">
        <f t="shared" si="4"/>
        <v>1323344370.5999999</v>
      </c>
      <c r="AD21" s="321">
        <f t="shared" si="4"/>
        <v>1328758549.0999999</v>
      </c>
      <c r="AE21" s="321">
        <f t="shared" si="4"/>
        <v>1330946689.7</v>
      </c>
      <c r="AF21" s="321">
        <f t="shared" si="4"/>
        <v>1332468027.5900002</v>
      </c>
      <c r="AG21" s="321">
        <f t="shared" si="4"/>
        <v>1334345536.5799999</v>
      </c>
      <c r="AH21" s="321">
        <f t="shared" si="4"/>
        <v>1336268703.1499999</v>
      </c>
    </row>
    <row r="22" spans="1:34" ht="15">
      <c r="A22" s="157" t="s">
        <v>201</v>
      </c>
      <c r="B22" s="282"/>
      <c r="C22" s="266">
        <v>487202174.44999999</v>
      </c>
      <c r="D22" s="266">
        <v>487202174.44999999</v>
      </c>
      <c r="E22" s="266">
        <v>487202174.44999999</v>
      </c>
      <c r="F22" s="266">
        <v>487202174.44999999</v>
      </c>
      <c r="G22" s="266">
        <v>487202174.44999999</v>
      </c>
      <c r="H22" s="266">
        <v>487202174.44999999</v>
      </c>
      <c r="I22" s="266">
        <v>488072174.44999999</v>
      </c>
      <c r="J22" s="266">
        <v>488072174.44999999</v>
      </c>
      <c r="K22" s="266">
        <v>488072174.44999999</v>
      </c>
      <c r="L22" s="266">
        <v>488223174.44999999</v>
      </c>
      <c r="M22" s="266">
        <v>488348224.44999999</v>
      </c>
      <c r="N22" s="266">
        <v>488348224.44999999</v>
      </c>
      <c r="O22" s="139"/>
      <c r="P22" s="134">
        <v>488376974.44999999</v>
      </c>
      <c r="Q22" s="134">
        <v>488376974.44999999</v>
      </c>
      <c r="R22" s="134">
        <v>488376974.44999999</v>
      </c>
      <c r="S22" s="134">
        <v>488386974.44999999</v>
      </c>
      <c r="T22" s="134">
        <v>488386974.44999999</v>
      </c>
      <c r="U22" s="330">
        <v>488386974.44999999</v>
      </c>
      <c r="V22" s="134">
        <v>488402974.44999999</v>
      </c>
      <c r="W22" s="134">
        <v>488402974.44999999</v>
      </c>
      <c r="X22" s="134">
        <v>488402974.44999999</v>
      </c>
      <c r="Y22" s="134">
        <v>488419974.44999999</v>
      </c>
      <c r="Z22" s="134">
        <v>488419974.44999999</v>
      </c>
      <c r="AA22" s="134">
        <v>489313174.44999999</v>
      </c>
      <c r="AB22" s="326">
        <f>10000+15880000</f>
        <v>15890000</v>
      </c>
      <c r="AC22" s="343">
        <v>489313174.44999999</v>
      </c>
      <c r="AD22" s="344">
        <v>489313174.44999999</v>
      </c>
      <c r="AE22" s="344">
        <v>489313174.44999999</v>
      </c>
      <c r="AF22" s="344">
        <v>489313174.44999999</v>
      </c>
      <c r="AG22" s="343">
        <v>489313174.44999999</v>
      </c>
      <c r="AH22" s="390">
        <v>490338788.44999999</v>
      </c>
    </row>
    <row r="23" spans="1:34" ht="15">
      <c r="A23" s="157" t="s">
        <v>202</v>
      </c>
      <c r="B23" s="282">
        <v>223605000</v>
      </c>
      <c r="C23" s="266">
        <v>228580260.86000001</v>
      </c>
      <c r="D23" s="266">
        <v>228219630.90000001</v>
      </c>
      <c r="E23" s="266">
        <v>228029490.72999999</v>
      </c>
      <c r="F23" s="266">
        <v>226627190.77000001</v>
      </c>
      <c r="G23" s="266">
        <v>224166481.09</v>
      </c>
      <c r="H23" s="266">
        <v>222488607.02000001</v>
      </c>
      <c r="I23" s="266">
        <v>221044144.66</v>
      </c>
      <c r="J23" s="266">
        <v>222223576.97999999</v>
      </c>
      <c r="K23" s="266">
        <v>237939361.38999999</v>
      </c>
      <c r="L23" s="266">
        <v>235984054.94</v>
      </c>
      <c r="M23" s="266">
        <v>234893364.24000001</v>
      </c>
      <c r="N23" s="266">
        <v>376332334.24000001</v>
      </c>
      <c r="O23" s="299">
        <v>376216000</v>
      </c>
      <c r="P23" s="188">
        <v>376104589.38999999</v>
      </c>
      <c r="Q23" s="134">
        <v>376716557.31999999</v>
      </c>
      <c r="R23" s="134">
        <v>365363532.00999999</v>
      </c>
      <c r="S23" s="134">
        <v>363698922.32999998</v>
      </c>
      <c r="T23" s="134">
        <v>362047977.98000002</v>
      </c>
      <c r="U23" s="330">
        <v>359728367.19</v>
      </c>
      <c r="V23" s="134">
        <v>354423882.35000002</v>
      </c>
      <c r="W23" s="134">
        <v>349530145.63</v>
      </c>
      <c r="X23" s="134">
        <v>344530947.62</v>
      </c>
      <c r="Y23" s="134">
        <v>341378938.92000002</v>
      </c>
      <c r="Z23" s="134">
        <v>350259409.88</v>
      </c>
      <c r="AA23" s="134">
        <v>344230245.38999999</v>
      </c>
      <c r="AB23" s="326">
        <v>343630000</v>
      </c>
      <c r="AC23" s="346">
        <v>394642920.44</v>
      </c>
      <c r="AD23" s="348">
        <v>402051153.38</v>
      </c>
      <c r="AE23" s="348">
        <v>408777909.17000002</v>
      </c>
      <c r="AF23" s="348">
        <v>422400793.75</v>
      </c>
      <c r="AG23" s="346">
        <v>431579606.41000003</v>
      </c>
      <c r="AH23" s="392">
        <v>442708724.95999998</v>
      </c>
    </row>
    <row r="24" spans="1:34" ht="15">
      <c r="A24" s="157" t="s">
        <v>203</v>
      </c>
      <c r="B24" s="266">
        <v>19222000</v>
      </c>
      <c r="C24" s="266">
        <v>136408453.21000001</v>
      </c>
      <c r="D24" s="266">
        <v>133683800.76000001</v>
      </c>
      <c r="E24" s="266">
        <v>130632539.89</v>
      </c>
      <c r="F24" s="266">
        <v>128027870.7</v>
      </c>
      <c r="G24" s="266">
        <v>124846463.98</v>
      </c>
      <c r="H24" s="266">
        <v>121963811.43000001</v>
      </c>
      <c r="I24" s="266">
        <v>205595496.81</v>
      </c>
      <c r="J24" s="266">
        <v>200837325.56999999</v>
      </c>
      <c r="K24" s="266">
        <v>196210644.56</v>
      </c>
      <c r="L24" s="266">
        <v>191614964.97999999</v>
      </c>
      <c r="M24" s="266">
        <v>136972133.47999999</v>
      </c>
      <c r="N24" s="266">
        <v>132524275.23</v>
      </c>
      <c r="O24" s="266">
        <v>11640000</v>
      </c>
      <c r="P24" s="134">
        <v>128354416.53</v>
      </c>
      <c r="Q24" s="134">
        <v>124289590.97</v>
      </c>
      <c r="R24" s="134">
        <v>120440436.37</v>
      </c>
      <c r="S24" s="134">
        <v>116612052.58</v>
      </c>
      <c r="T24" s="134">
        <v>113059878.27</v>
      </c>
      <c r="U24" s="330">
        <v>108934514.19</v>
      </c>
      <c r="V24" s="134">
        <v>105222498.44</v>
      </c>
      <c r="W24" s="134">
        <v>101555783.41</v>
      </c>
      <c r="X24" s="134">
        <v>150615180.59999999</v>
      </c>
      <c r="Y24" s="134">
        <v>146125931.87</v>
      </c>
      <c r="Z24" s="134">
        <v>141842344.81999999</v>
      </c>
      <c r="AA24" s="134">
        <v>172619617.24000001</v>
      </c>
      <c r="AB24" s="326">
        <v>4059000</v>
      </c>
      <c r="AC24" s="346">
        <v>172581313.06999999</v>
      </c>
      <c r="AD24" s="348">
        <v>172546715.75</v>
      </c>
      <c r="AE24" s="348">
        <v>160054129.19999999</v>
      </c>
      <c r="AF24" s="348">
        <v>156000690.69</v>
      </c>
      <c r="AG24" s="346">
        <v>152209241.96000001</v>
      </c>
      <c r="AH24" s="392">
        <v>148471006.97</v>
      </c>
    </row>
    <row r="25" spans="1:34" ht="15">
      <c r="A25" s="157" t="s">
        <v>204</v>
      </c>
      <c r="B25" s="282">
        <v>76620000</v>
      </c>
      <c r="C25" s="266">
        <v>74809438.5</v>
      </c>
      <c r="D25" s="266">
        <v>82910973.219999999</v>
      </c>
      <c r="E25" s="266">
        <v>80909734.890000001</v>
      </c>
      <c r="F25" s="266">
        <v>86574573.950000003</v>
      </c>
      <c r="G25" s="266">
        <v>84484906.540000007</v>
      </c>
      <c r="H25" s="266">
        <v>233144110.30000001</v>
      </c>
      <c r="I25" s="266">
        <v>240905693.66</v>
      </c>
      <c r="J25" s="266">
        <v>289772193</v>
      </c>
      <c r="K25" s="266">
        <v>288837350.76999998</v>
      </c>
      <c r="L25" s="266">
        <v>286358042.85000002</v>
      </c>
      <c r="M25" s="266">
        <v>289467559.52999997</v>
      </c>
      <c r="N25" s="266">
        <v>320731955.73000002</v>
      </c>
      <c r="O25" s="299">
        <v>320732000</v>
      </c>
      <c r="P25" s="134">
        <v>317183764.42000002</v>
      </c>
      <c r="Q25" s="134">
        <v>314052616.33999997</v>
      </c>
      <c r="R25" s="134">
        <v>311742484.92000002</v>
      </c>
      <c r="S25" s="134">
        <v>308517467.05000001</v>
      </c>
      <c r="T25" s="134">
        <v>306215141.52999997</v>
      </c>
      <c r="U25" s="330">
        <v>280625195.54000002</v>
      </c>
      <c r="V25" s="134">
        <v>285252686.25</v>
      </c>
      <c r="W25" s="134">
        <v>281302882.64999998</v>
      </c>
      <c r="X25" s="134">
        <v>273515986.13</v>
      </c>
      <c r="Y25" s="134">
        <v>271500342.66000003</v>
      </c>
      <c r="Z25" s="134">
        <v>274183323.23000002</v>
      </c>
      <c r="AA25" s="134">
        <v>268711341.25999999</v>
      </c>
      <c r="AB25" s="326">
        <v>268711000</v>
      </c>
      <c r="AC25" s="346">
        <v>262225403.03</v>
      </c>
      <c r="AD25" s="348">
        <v>261229941.38999999</v>
      </c>
      <c r="AE25" s="348">
        <v>269344903.5</v>
      </c>
      <c r="AF25" s="348">
        <v>263050920.21000001</v>
      </c>
      <c r="AG25" s="346">
        <v>260521089.93000001</v>
      </c>
      <c r="AH25" s="392">
        <v>254433299.03</v>
      </c>
    </row>
    <row r="26" spans="1:34" ht="15">
      <c r="A26" s="157" t="s">
        <v>205</v>
      </c>
      <c r="B26" s="266">
        <f>5629000+487202000+120869000+20869000</f>
        <v>634569000</v>
      </c>
      <c r="C26" s="266">
        <v>6667150.7800000003</v>
      </c>
      <c r="D26" s="266">
        <v>11366947.91</v>
      </c>
      <c r="E26" s="266">
        <v>7313867.4500000002</v>
      </c>
      <c r="F26" s="266">
        <v>10956559.98</v>
      </c>
      <c r="G26" s="266">
        <v>6964738.54</v>
      </c>
      <c r="H26" s="266">
        <v>5555338.2999999998</v>
      </c>
      <c r="I26" s="266">
        <v>5711537.0899999999</v>
      </c>
      <c r="J26" s="266">
        <v>5557855.6200000001</v>
      </c>
      <c r="K26" s="266">
        <v>4581548.18</v>
      </c>
      <c r="L26" s="266">
        <v>6585446.71</v>
      </c>
      <c r="M26" s="266">
        <v>5110903.6399999997</v>
      </c>
      <c r="N26" s="266">
        <v>4719291.8899999997</v>
      </c>
      <c r="O26" s="266">
        <f>4719000+488348000+120884000+12721000</f>
        <v>626672000</v>
      </c>
      <c r="P26" s="134">
        <v>4646894.6399999997</v>
      </c>
      <c r="Q26" s="134">
        <v>5568917.29</v>
      </c>
      <c r="R26" s="134">
        <v>4363769.54</v>
      </c>
      <c r="S26" s="134">
        <v>4669649.49</v>
      </c>
      <c r="T26" s="134">
        <v>5459705.2199999997</v>
      </c>
      <c r="U26" s="330">
        <v>4189176.4</v>
      </c>
      <c r="V26" s="134">
        <v>1014676.35</v>
      </c>
      <c r="W26" s="134">
        <v>2313423.14</v>
      </c>
      <c r="X26" s="134">
        <v>848579.65</v>
      </c>
      <c r="Y26" s="134">
        <v>2351207.17</v>
      </c>
      <c r="Z26" s="134">
        <v>2724186.13</v>
      </c>
      <c r="AA26" s="134">
        <v>2038466.27</v>
      </c>
      <c r="AB26" s="326">
        <f>2038000+489313174+168561000</f>
        <v>659912174</v>
      </c>
      <c r="AC26" s="346">
        <v>4581559.6100000003</v>
      </c>
      <c r="AD26" s="348">
        <v>3617564.13</v>
      </c>
      <c r="AE26" s="348">
        <v>3456573.38</v>
      </c>
      <c r="AF26" s="348">
        <v>1702448.49</v>
      </c>
      <c r="AG26" s="346">
        <v>722423.83</v>
      </c>
      <c r="AH26" s="392">
        <v>316883.74</v>
      </c>
    </row>
    <row r="27" spans="1:34" s="136" customFormat="1" ht="15.75">
      <c r="A27" s="156" t="s">
        <v>58</v>
      </c>
      <c r="B27" s="285">
        <f t="shared" ref="B27:AH27" si="5">B4+B7+B8+B14+B17+B21</f>
        <v>42034351000</v>
      </c>
      <c r="C27" s="285">
        <f t="shared" si="5"/>
        <v>41464759084.240005</v>
      </c>
      <c r="D27" s="285">
        <f t="shared" si="5"/>
        <v>41951979855.049995</v>
      </c>
      <c r="E27" s="285">
        <f t="shared" si="5"/>
        <v>41142932281.850006</v>
      </c>
      <c r="F27" s="285">
        <f t="shared" si="5"/>
        <v>41513094253.759995</v>
      </c>
      <c r="G27" s="285">
        <f t="shared" si="5"/>
        <v>41941165539.540001</v>
      </c>
      <c r="H27" s="285">
        <f t="shared" si="5"/>
        <v>42412839790.459999</v>
      </c>
      <c r="I27" s="285">
        <f t="shared" si="5"/>
        <v>42780528603.629997</v>
      </c>
      <c r="J27" s="285">
        <f t="shared" si="5"/>
        <v>43680299993.060005</v>
      </c>
      <c r="K27" s="285">
        <f t="shared" si="5"/>
        <v>44780328466.249992</v>
      </c>
      <c r="L27" s="285">
        <f t="shared" si="5"/>
        <v>45528904527.519997</v>
      </c>
      <c r="M27" s="285">
        <f t="shared" si="5"/>
        <v>46210589062.330002</v>
      </c>
      <c r="N27" s="285">
        <f t="shared" si="5"/>
        <v>46773411752.129997</v>
      </c>
      <c r="O27" s="285">
        <f t="shared" si="5"/>
        <v>47546933000</v>
      </c>
      <c r="P27" s="285">
        <f t="shared" si="5"/>
        <v>47245801372.959999</v>
      </c>
      <c r="Q27" s="285">
        <f t="shared" si="5"/>
        <v>47432548749.950005</v>
      </c>
      <c r="R27" s="285">
        <f t="shared" si="5"/>
        <v>47188396616.459999</v>
      </c>
      <c r="S27" s="285">
        <f t="shared" si="5"/>
        <v>48110834841.630005</v>
      </c>
      <c r="T27" s="285">
        <f t="shared" si="5"/>
        <v>48814113145.300003</v>
      </c>
      <c r="U27" s="337">
        <f t="shared" si="5"/>
        <v>49246255155.80999</v>
      </c>
      <c r="V27" s="285">
        <f t="shared" si="5"/>
        <v>49875874300.279999</v>
      </c>
      <c r="W27" s="285">
        <f t="shared" si="5"/>
        <v>50641835530.679993</v>
      </c>
      <c r="X27" s="285">
        <f t="shared" si="5"/>
        <v>51530877773.779999</v>
      </c>
      <c r="Y27" s="285">
        <f t="shared" si="5"/>
        <v>52562294620.840004</v>
      </c>
      <c r="Z27" s="285">
        <f t="shared" si="5"/>
        <v>53474364813.760002</v>
      </c>
      <c r="AA27" s="321">
        <f t="shared" si="5"/>
        <v>54361221587.330002</v>
      </c>
      <c r="AB27" s="321">
        <f t="shared" si="5"/>
        <v>53783580174</v>
      </c>
      <c r="AC27" s="321">
        <f t="shared" si="5"/>
        <v>54745895641.119995</v>
      </c>
      <c r="AD27" s="321">
        <f t="shared" si="5"/>
        <v>55729522803.32</v>
      </c>
      <c r="AE27" s="321">
        <f t="shared" si="5"/>
        <v>53471748226.409996</v>
      </c>
      <c r="AF27" s="321">
        <f t="shared" si="5"/>
        <v>53411392788.790009</v>
      </c>
      <c r="AG27" s="321">
        <f t="shared" si="5"/>
        <v>53946793751.780006</v>
      </c>
      <c r="AH27" s="321">
        <f t="shared" si="5"/>
        <v>54295569487.840004</v>
      </c>
    </row>
    <row r="28" spans="1:34">
      <c r="A28" s="164" t="s">
        <v>206</v>
      </c>
      <c r="B28" s="137"/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37"/>
      <c r="O28" s="139"/>
      <c r="AB28" s="326"/>
    </row>
    <row r="29" spans="1:34" ht="29.25">
      <c r="A29" s="157" t="s">
        <v>207</v>
      </c>
      <c r="B29" s="293">
        <v>3877885000</v>
      </c>
      <c r="C29" s="266">
        <v>3105755956.1399999</v>
      </c>
      <c r="D29" s="266">
        <v>3052392671.5999999</v>
      </c>
      <c r="E29" s="266">
        <v>3804135173.0700002</v>
      </c>
      <c r="F29" s="266">
        <v>3617296801.4299998</v>
      </c>
      <c r="G29" s="266">
        <v>3416059017.3400002</v>
      </c>
      <c r="H29" s="266">
        <v>3495306436.5799999</v>
      </c>
      <c r="I29" s="266">
        <v>2781191768.6700001</v>
      </c>
      <c r="J29" s="266">
        <v>2945438172.8499999</v>
      </c>
      <c r="K29" s="266">
        <v>3101084313.4000001</v>
      </c>
      <c r="L29" s="266">
        <v>3005071057.5</v>
      </c>
      <c r="M29" s="266">
        <v>2981006434.5900002</v>
      </c>
      <c r="N29" s="266">
        <v>2810129953.7800002</v>
      </c>
      <c r="O29" s="299">
        <v>3436932000</v>
      </c>
      <c r="P29" s="134">
        <v>2883488037.23</v>
      </c>
      <c r="Q29" s="134">
        <v>4557817982.2600002</v>
      </c>
      <c r="R29" s="134">
        <v>3566079554.5599999</v>
      </c>
      <c r="S29" s="134">
        <v>3291006847.3299999</v>
      </c>
      <c r="T29" s="134">
        <v>3187990244.23</v>
      </c>
      <c r="U29" s="330">
        <v>3151859299.7800002</v>
      </c>
      <c r="V29" s="134">
        <v>2991633861.1700001</v>
      </c>
      <c r="W29" s="134">
        <v>3014719909.4899998</v>
      </c>
      <c r="X29" s="134">
        <v>2964943804.04</v>
      </c>
      <c r="Y29" s="134">
        <v>3026007253.3899999</v>
      </c>
      <c r="Z29" s="134">
        <v>3096572251.9000001</v>
      </c>
      <c r="AA29" s="134">
        <v>3154758381.3600001</v>
      </c>
      <c r="AB29" s="326">
        <v>3778833000</v>
      </c>
      <c r="AC29" s="343">
        <v>3130819097.1900001</v>
      </c>
      <c r="AD29" s="344">
        <v>3160818679.48</v>
      </c>
      <c r="AE29" s="344">
        <v>4427812736.6700001</v>
      </c>
      <c r="AF29" s="344">
        <v>4000613744.77</v>
      </c>
      <c r="AG29" s="343">
        <v>3668423530.4000001</v>
      </c>
      <c r="AH29" s="390">
        <v>3654101432.5100002</v>
      </c>
    </row>
    <row r="30" spans="1:34" ht="29.25">
      <c r="A30" s="157" t="s">
        <v>208</v>
      </c>
      <c r="B30" s="293">
        <v>3598050000</v>
      </c>
      <c r="C30" s="266">
        <v>4213522297.1700001</v>
      </c>
      <c r="D30" s="266">
        <v>4203778440.6100001</v>
      </c>
      <c r="E30" s="266">
        <v>4325477555.2700005</v>
      </c>
      <c r="F30" s="266">
        <v>4400501401.5799999</v>
      </c>
      <c r="G30" s="266">
        <v>4410613346.3000002</v>
      </c>
      <c r="H30" s="266">
        <v>4406666512.3199997</v>
      </c>
      <c r="I30" s="266">
        <v>4600559980.2299995</v>
      </c>
      <c r="J30" s="266">
        <v>4612121008.3999996</v>
      </c>
      <c r="K30" s="266">
        <v>4678818081.5699997</v>
      </c>
      <c r="L30" s="266">
        <v>4724594314.9300003</v>
      </c>
      <c r="M30" s="266">
        <v>4693359909.5299997</v>
      </c>
      <c r="N30" s="266">
        <v>4564330684.54</v>
      </c>
      <c r="O30" s="293">
        <v>3937529000</v>
      </c>
      <c r="P30" s="134">
        <v>4585874798.4700003</v>
      </c>
      <c r="Q30" s="134">
        <v>4878182312.8100004</v>
      </c>
      <c r="R30" s="134">
        <v>4905778925</v>
      </c>
      <c r="S30" s="134">
        <v>5091296193.4700003</v>
      </c>
      <c r="T30" s="134">
        <v>5088061830.4799995</v>
      </c>
      <c r="U30" s="330">
        <v>5091610700.8500004</v>
      </c>
      <c r="V30" s="134">
        <v>5007204249.54</v>
      </c>
      <c r="W30" s="134">
        <v>5003541732.6300001</v>
      </c>
      <c r="X30" s="134">
        <v>5142871640.2799997</v>
      </c>
      <c r="Y30" s="134">
        <v>5127020832.7299995</v>
      </c>
      <c r="Z30" s="134">
        <v>5112379627.6999998</v>
      </c>
      <c r="AA30" s="134">
        <v>5168295762.3599997</v>
      </c>
      <c r="AB30" s="326">
        <v>4544221000</v>
      </c>
      <c r="AC30" s="346">
        <v>5142222880.3999996</v>
      </c>
      <c r="AD30" s="348">
        <v>5248951437.25</v>
      </c>
      <c r="AE30" s="348">
        <v>5147031482.0699997</v>
      </c>
      <c r="AF30" s="348">
        <v>4967693461.6300001</v>
      </c>
      <c r="AG30" s="346">
        <v>4890230415.1400003</v>
      </c>
      <c r="AH30" s="392">
        <v>4778443943.8000002</v>
      </c>
    </row>
    <row r="31" spans="1:34" ht="29.25">
      <c r="A31" s="157" t="s">
        <v>209</v>
      </c>
      <c r="B31" s="293">
        <v>23712329000</v>
      </c>
      <c r="C31" s="266">
        <v>23902121691.349998</v>
      </c>
      <c r="D31" s="266">
        <v>24068807048.959999</v>
      </c>
      <c r="E31" s="266">
        <v>24517453137.93</v>
      </c>
      <c r="F31" s="266">
        <v>24747362781.59</v>
      </c>
      <c r="G31" s="266">
        <v>24916156875.619999</v>
      </c>
      <c r="H31" s="266">
        <v>25023691643.73</v>
      </c>
      <c r="I31" s="266">
        <v>25345792820.240002</v>
      </c>
      <c r="J31" s="266">
        <v>25563593361.599998</v>
      </c>
      <c r="K31" s="266">
        <v>25913926524.119999</v>
      </c>
      <c r="L31" s="266">
        <v>26220909311.130001</v>
      </c>
      <c r="M31" s="266">
        <v>26537308226.5</v>
      </c>
      <c r="N31" s="266">
        <v>26838406366.630001</v>
      </c>
      <c r="O31" s="299">
        <v>26838406000</v>
      </c>
      <c r="P31" s="134">
        <v>27097712982.959999</v>
      </c>
      <c r="Q31" s="134">
        <v>27600391354.619999</v>
      </c>
      <c r="R31" s="134">
        <v>28037033861.009998</v>
      </c>
      <c r="S31" s="134">
        <v>28335792577.119999</v>
      </c>
      <c r="T31" s="134">
        <v>28649694364.049999</v>
      </c>
      <c r="U31" s="330">
        <v>28958043439.959999</v>
      </c>
      <c r="V31" s="134">
        <v>29303266161.130001</v>
      </c>
      <c r="W31" s="134">
        <v>29658593139.43</v>
      </c>
      <c r="X31" s="134">
        <v>29975847833.450001</v>
      </c>
      <c r="Y31" s="134">
        <v>30386508629.740002</v>
      </c>
      <c r="Z31" s="134">
        <v>30784895155.59</v>
      </c>
      <c r="AA31" s="134">
        <v>31105870837.740002</v>
      </c>
      <c r="AB31" s="326">
        <v>31105871000</v>
      </c>
      <c r="AC31" s="346">
        <v>31291205586.18</v>
      </c>
      <c r="AD31" s="348">
        <v>31616031056.73</v>
      </c>
      <c r="AE31" s="348">
        <v>31946102881.23</v>
      </c>
      <c r="AF31" s="348">
        <v>32176417484.009998</v>
      </c>
      <c r="AG31" s="346">
        <v>32419397622.5</v>
      </c>
      <c r="AH31" s="392">
        <v>32526153524.759998</v>
      </c>
    </row>
    <row r="32" spans="1:34" s="136" customFormat="1" ht="15.75">
      <c r="A32" s="156" t="s">
        <v>210</v>
      </c>
      <c r="B32" s="281">
        <f t="shared" ref="B32:AG32" si="6">SUM(B29:B31)</f>
        <v>31188264000</v>
      </c>
      <c r="C32" s="281">
        <f t="shared" si="6"/>
        <v>31221399944.659996</v>
      </c>
      <c r="D32" s="281">
        <f t="shared" si="6"/>
        <v>31324978161.169998</v>
      </c>
      <c r="E32" s="281">
        <f t="shared" si="6"/>
        <v>32647065866.27</v>
      </c>
      <c r="F32" s="281">
        <f t="shared" si="6"/>
        <v>32765160984.599998</v>
      </c>
      <c r="G32" s="281">
        <f t="shared" si="6"/>
        <v>32742829239.259998</v>
      </c>
      <c r="H32" s="281">
        <f t="shared" si="6"/>
        <v>32925664592.629997</v>
      </c>
      <c r="I32" s="281">
        <f t="shared" si="6"/>
        <v>32727544569.139999</v>
      </c>
      <c r="J32" s="281">
        <f t="shared" si="6"/>
        <v>33121152542.849998</v>
      </c>
      <c r="K32" s="281">
        <f t="shared" si="6"/>
        <v>33693828919.089996</v>
      </c>
      <c r="L32" s="281">
        <f t="shared" si="6"/>
        <v>33950574683.560001</v>
      </c>
      <c r="M32" s="281">
        <f t="shared" si="6"/>
        <v>34211674570.619999</v>
      </c>
      <c r="N32" s="281">
        <f t="shared" si="6"/>
        <v>34212867004.950001</v>
      </c>
      <c r="O32" s="281">
        <f t="shared" si="6"/>
        <v>34212867000</v>
      </c>
      <c r="P32" s="281">
        <f t="shared" si="6"/>
        <v>34567075818.660004</v>
      </c>
      <c r="Q32" s="281">
        <f t="shared" si="6"/>
        <v>37036391649.690002</v>
      </c>
      <c r="R32" s="281">
        <f t="shared" si="6"/>
        <v>36508892340.57</v>
      </c>
      <c r="S32" s="281">
        <f t="shared" si="6"/>
        <v>36718095617.919998</v>
      </c>
      <c r="T32" s="281">
        <f t="shared" si="6"/>
        <v>36925746438.759995</v>
      </c>
      <c r="U32" s="338">
        <f t="shared" si="6"/>
        <v>37201513440.589996</v>
      </c>
      <c r="V32" s="281">
        <f t="shared" si="6"/>
        <v>37302104271.840004</v>
      </c>
      <c r="W32" s="281">
        <f t="shared" si="6"/>
        <v>37676854781.550003</v>
      </c>
      <c r="X32" s="281">
        <f t="shared" si="6"/>
        <v>38083663277.770004</v>
      </c>
      <c r="Y32" s="281">
        <f t="shared" si="6"/>
        <v>38539536715.860001</v>
      </c>
      <c r="Z32" s="281">
        <f t="shared" si="6"/>
        <v>38993847035.190002</v>
      </c>
      <c r="AA32" s="322">
        <f t="shared" si="6"/>
        <v>39428924981.459999</v>
      </c>
      <c r="AB32" s="322">
        <f t="shared" si="6"/>
        <v>39428925000</v>
      </c>
      <c r="AC32" s="322">
        <f t="shared" si="6"/>
        <v>39564247563.770004</v>
      </c>
      <c r="AD32" s="322">
        <f t="shared" si="6"/>
        <v>40025801173.459999</v>
      </c>
      <c r="AE32" s="322">
        <f t="shared" si="6"/>
        <v>41520947099.970001</v>
      </c>
      <c r="AF32" s="322">
        <f t="shared" si="6"/>
        <v>41144724690.409996</v>
      </c>
      <c r="AG32" s="322">
        <f t="shared" ref="AG32:AH32" si="7">SUM(AG29:AG31)</f>
        <v>40978051568.040001</v>
      </c>
      <c r="AH32" s="322">
        <f t="shared" si="7"/>
        <v>40958698901.07</v>
      </c>
    </row>
    <row r="33" spans="1:34" s="136" customFormat="1" ht="15" customHeight="1">
      <c r="A33" s="156" t="s">
        <v>211</v>
      </c>
      <c r="B33" s="287">
        <f t="shared" ref="B33:AG33" si="8">SUM(B34:B39)</f>
        <v>3486231000</v>
      </c>
      <c r="C33" s="287">
        <f t="shared" si="8"/>
        <v>3654101533.8499999</v>
      </c>
      <c r="D33" s="287">
        <f t="shared" si="8"/>
        <v>3952450435.6300001</v>
      </c>
      <c r="E33" s="287">
        <f t="shared" si="8"/>
        <v>1929529021.29</v>
      </c>
      <c r="F33" s="287">
        <f t="shared" si="8"/>
        <v>2014606361.6700001</v>
      </c>
      <c r="G33" s="287">
        <f t="shared" si="8"/>
        <v>2271206043.7600002</v>
      </c>
      <c r="H33" s="287">
        <f t="shared" si="8"/>
        <v>2577428985.3000002</v>
      </c>
      <c r="I33" s="287">
        <f t="shared" si="8"/>
        <v>2963331978.1099997</v>
      </c>
      <c r="J33" s="287">
        <f t="shared" si="8"/>
        <v>3318272492.6500001</v>
      </c>
      <c r="K33" s="287">
        <f t="shared" si="8"/>
        <v>3590748271.5599999</v>
      </c>
      <c r="L33" s="287">
        <f t="shared" si="8"/>
        <v>3846830765.0700002</v>
      </c>
      <c r="M33" s="287">
        <f t="shared" si="8"/>
        <v>4060887704.3100004</v>
      </c>
      <c r="N33" s="287">
        <f t="shared" si="8"/>
        <v>4309806762.4300003</v>
      </c>
      <c r="O33" s="287">
        <f t="shared" si="8"/>
        <v>4275948000</v>
      </c>
      <c r="P33" s="287">
        <f t="shared" si="8"/>
        <v>4491643648.29</v>
      </c>
      <c r="Q33" s="287">
        <f t="shared" si="8"/>
        <v>2296734700.7000003</v>
      </c>
      <c r="R33" s="287">
        <f t="shared" si="8"/>
        <v>2409222257.1800003</v>
      </c>
      <c r="S33" s="287">
        <f t="shared" si="8"/>
        <v>2697366632.5100002</v>
      </c>
      <c r="T33" s="287">
        <f t="shared" si="8"/>
        <v>2966631012.1599998</v>
      </c>
      <c r="U33" s="339">
        <f t="shared" si="8"/>
        <v>3211240869.0299997</v>
      </c>
      <c r="V33" s="287">
        <f t="shared" si="8"/>
        <v>3528644434.0299997</v>
      </c>
      <c r="W33" s="287">
        <f t="shared" si="8"/>
        <v>3709589307.1699996</v>
      </c>
      <c r="X33" s="287">
        <f t="shared" si="8"/>
        <v>3996199372.5900002</v>
      </c>
      <c r="Y33" s="287">
        <f t="shared" si="8"/>
        <v>4514850154.2799997</v>
      </c>
      <c r="Z33" s="287">
        <f t="shared" si="8"/>
        <v>4739593335.9099998</v>
      </c>
      <c r="AA33" s="323">
        <f t="shared" si="8"/>
        <v>4979586735.8800001</v>
      </c>
      <c r="AB33" s="323">
        <f t="shared" si="8"/>
        <v>5092859000</v>
      </c>
      <c r="AC33" s="323">
        <f t="shared" si="8"/>
        <v>5197434395.8500004</v>
      </c>
      <c r="AD33" s="323">
        <f t="shared" si="8"/>
        <v>5967616081.3999996</v>
      </c>
      <c r="AE33" s="323">
        <f t="shared" si="8"/>
        <v>3207968247.8899999</v>
      </c>
      <c r="AF33" s="323">
        <f t="shared" si="8"/>
        <v>3369245411.3599997</v>
      </c>
      <c r="AG33" s="323">
        <f t="shared" ref="AG33:AH33" si="9">SUM(AG34:AG39)</f>
        <v>3800138041.1999998</v>
      </c>
      <c r="AH33" s="323">
        <f t="shared" si="9"/>
        <v>4377446669.8899994</v>
      </c>
    </row>
    <row r="34" spans="1:34" ht="15">
      <c r="A34" s="157" t="s">
        <v>212</v>
      </c>
      <c r="B34" s="282">
        <v>11751000</v>
      </c>
      <c r="C34" s="266">
        <v>0</v>
      </c>
      <c r="D34" s="266">
        <v>0</v>
      </c>
      <c r="E34" s="266">
        <v>0</v>
      </c>
      <c r="F34" s="266">
        <v>0</v>
      </c>
      <c r="G34" s="266">
        <v>0</v>
      </c>
      <c r="H34" s="266">
        <v>0</v>
      </c>
      <c r="I34" s="266">
        <v>0</v>
      </c>
      <c r="J34" s="266">
        <v>0</v>
      </c>
      <c r="K34" s="266">
        <v>0</v>
      </c>
      <c r="L34" s="266">
        <v>0</v>
      </c>
      <c r="M34" s="266">
        <v>0</v>
      </c>
      <c r="N34" s="266">
        <v>0</v>
      </c>
      <c r="O34" s="305"/>
      <c r="P34" s="134">
        <v>0</v>
      </c>
      <c r="Q34" s="134">
        <v>0</v>
      </c>
      <c r="R34" s="134">
        <v>0</v>
      </c>
      <c r="S34" s="134">
        <v>0</v>
      </c>
      <c r="T34" s="134">
        <v>0</v>
      </c>
      <c r="U34" s="330">
        <v>0</v>
      </c>
      <c r="V34" s="134">
        <v>0</v>
      </c>
      <c r="W34" s="134">
        <v>0</v>
      </c>
      <c r="X34" s="134">
        <v>0</v>
      </c>
      <c r="Y34" s="134">
        <v>0</v>
      </c>
      <c r="Z34" s="134">
        <v>0</v>
      </c>
      <c r="AA34" s="134">
        <v>0</v>
      </c>
      <c r="AB34" s="326"/>
      <c r="AC34" s="342">
        <v>0</v>
      </c>
      <c r="AD34" s="344">
        <v>25079349.390000001</v>
      </c>
      <c r="AE34" s="344">
        <v>203220514.38999999</v>
      </c>
      <c r="AF34" s="344">
        <v>26504046.350000001</v>
      </c>
      <c r="AG34" s="343">
        <v>23082367.02</v>
      </c>
      <c r="AH34" s="390">
        <v>30701527.440000001</v>
      </c>
    </row>
    <row r="35" spans="1:34" ht="15">
      <c r="A35" s="157" t="s">
        <v>213</v>
      </c>
      <c r="B35" s="282">
        <f>2440942000+8536000</f>
        <v>2449478000</v>
      </c>
      <c r="C35" s="266">
        <v>2600570812.3499999</v>
      </c>
      <c r="D35" s="266">
        <v>2873707683.8000002</v>
      </c>
      <c r="E35" s="266">
        <v>649148676</v>
      </c>
      <c r="F35" s="266">
        <v>865531568</v>
      </c>
      <c r="G35" s="266">
        <v>1081914460</v>
      </c>
      <c r="H35" s="266">
        <v>1298297352</v>
      </c>
      <c r="I35" s="266">
        <v>1514680244</v>
      </c>
      <c r="J35" s="266">
        <v>1766367837.1900001</v>
      </c>
      <c r="K35" s="266">
        <v>1987180628.6900001</v>
      </c>
      <c r="L35" s="266">
        <v>2207993420.1900001</v>
      </c>
      <c r="M35" s="266">
        <v>2428806211.6900001</v>
      </c>
      <c r="N35" s="266">
        <v>2691739946.8299999</v>
      </c>
      <c r="O35" s="299">
        <f>2691740000+9057000</f>
        <v>2700797000</v>
      </c>
      <c r="P35" s="134">
        <v>2942969008.8299999</v>
      </c>
      <c r="Q35" s="134">
        <v>502458124</v>
      </c>
      <c r="R35" s="134">
        <v>753687186</v>
      </c>
      <c r="S35" s="134">
        <v>1004916248</v>
      </c>
      <c r="T35" s="134">
        <v>1256145310</v>
      </c>
      <c r="U35" s="330">
        <v>1507374372</v>
      </c>
      <c r="V35" s="134">
        <v>1758603434</v>
      </c>
      <c r="W35" s="134">
        <v>2009832496</v>
      </c>
      <c r="X35" s="134">
        <v>2261061558</v>
      </c>
      <c r="Y35" s="134">
        <v>2512290620</v>
      </c>
      <c r="Z35" s="134">
        <v>2763519682</v>
      </c>
      <c r="AA35" s="134">
        <v>3095229298.1799998</v>
      </c>
      <c r="AB35" s="326">
        <v>3167211000</v>
      </c>
      <c r="AC35" s="346">
        <v>3377821090.3499999</v>
      </c>
      <c r="AD35" s="348">
        <v>3732394882.52</v>
      </c>
      <c r="AE35" s="348">
        <v>875685612.01999998</v>
      </c>
      <c r="AF35" s="348">
        <v>1130367386.8599999</v>
      </c>
      <c r="AG35" s="346">
        <v>1412959179.03</v>
      </c>
      <c r="AH35" s="392">
        <v>1695550971.2</v>
      </c>
    </row>
    <row r="36" spans="1:34" ht="15">
      <c r="A36" s="157" t="s">
        <v>214</v>
      </c>
      <c r="B36" s="280"/>
      <c r="C36" s="266">
        <v>0</v>
      </c>
      <c r="D36" s="266">
        <v>0</v>
      </c>
      <c r="E36" s="266">
        <v>0</v>
      </c>
      <c r="F36" s="266">
        <v>0</v>
      </c>
      <c r="G36" s="266">
        <v>0</v>
      </c>
      <c r="H36" s="266">
        <v>0</v>
      </c>
      <c r="I36" s="266">
        <v>0</v>
      </c>
      <c r="J36" s="266">
        <v>0</v>
      </c>
      <c r="K36" s="266">
        <v>0</v>
      </c>
      <c r="L36" s="266">
        <v>0</v>
      </c>
      <c r="M36" s="266">
        <v>0</v>
      </c>
      <c r="N36" s="266">
        <v>0</v>
      </c>
      <c r="O36" s="310"/>
      <c r="P36" s="134">
        <v>0</v>
      </c>
      <c r="Q36" s="134">
        <v>0</v>
      </c>
      <c r="R36" s="134">
        <v>0</v>
      </c>
      <c r="S36" s="134">
        <v>0</v>
      </c>
      <c r="T36" s="134">
        <v>0</v>
      </c>
      <c r="U36" s="330">
        <v>0</v>
      </c>
      <c r="V36" s="134">
        <v>0</v>
      </c>
      <c r="W36" s="134">
        <v>0</v>
      </c>
      <c r="X36" s="134">
        <v>-50389600.310000002</v>
      </c>
      <c r="Y36" s="134">
        <v>-50389600.310000002</v>
      </c>
      <c r="Z36" s="134">
        <v>-50389600.310000002</v>
      </c>
      <c r="AA36" s="134">
        <v>-50389600.310000002</v>
      </c>
      <c r="AB36" s="326"/>
      <c r="AC36" s="346">
        <v>-50389600.310000002</v>
      </c>
      <c r="AD36" s="347">
        <v>0</v>
      </c>
      <c r="AE36" s="347">
        <v>0</v>
      </c>
      <c r="AF36" s="347">
        <v>0</v>
      </c>
      <c r="AG36" s="345">
        <v>0</v>
      </c>
      <c r="AH36" s="391">
        <v>0</v>
      </c>
    </row>
    <row r="37" spans="1:34" ht="15">
      <c r="A37" s="157" t="s">
        <v>215</v>
      </c>
      <c r="B37" s="280"/>
      <c r="C37" s="266">
        <v>0</v>
      </c>
      <c r="D37" s="266">
        <v>0</v>
      </c>
      <c r="E37" s="266">
        <v>0</v>
      </c>
      <c r="F37" s="266">
        <v>0</v>
      </c>
      <c r="G37" s="266">
        <v>0</v>
      </c>
      <c r="H37" s="266">
        <v>0</v>
      </c>
      <c r="I37" s="266">
        <v>0</v>
      </c>
      <c r="J37" s="266">
        <v>0</v>
      </c>
      <c r="K37" s="266">
        <v>0</v>
      </c>
      <c r="L37" s="266">
        <v>0</v>
      </c>
      <c r="M37" s="266">
        <v>0</v>
      </c>
      <c r="N37" s="266">
        <v>0</v>
      </c>
      <c r="O37" s="280"/>
      <c r="P37" s="134">
        <v>0</v>
      </c>
      <c r="Q37" s="134">
        <v>0</v>
      </c>
      <c r="R37" s="134">
        <v>0</v>
      </c>
      <c r="S37" s="134">
        <v>0</v>
      </c>
      <c r="T37" s="134">
        <v>0</v>
      </c>
      <c r="U37" s="330">
        <v>0</v>
      </c>
      <c r="V37" s="134">
        <v>0</v>
      </c>
      <c r="W37" s="134">
        <v>0</v>
      </c>
      <c r="X37" s="134">
        <v>6750494</v>
      </c>
      <c r="Y37" s="134">
        <v>7606066</v>
      </c>
      <c r="Z37" s="134">
        <v>8033852</v>
      </c>
      <c r="AA37" s="134">
        <v>8461638</v>
      </c>
      <c r="AB37" s="326"/>
      <c r="AC37" s="346">
        <v>8461638</v>
      </c>
      <c r="AD37" s="348">
        <v>8461638</v>
      </c>
      <c r="AE37" s="348">
        <v>8461638</v>
      </c>
      <c r="AF37" s="348">
        <v>8461638</v>
      </c>
      <c r="AG37" s="346">
        <v>8461638</v>
      </c>
      <c r="AH37" s="392">
        <v>8461638</v>
      </c>
    </row>
    <row r="38" spans="1:34" ht="15">
      <c r="A38" s="157" t="s">
        <v>216</v>
      </c>
      <c r="B38" s="282">
        <f>885714000+139288000</f>
        <v>1025002000</v>
      </c>
      <c r="C38" s="266">
        <v>1053530721.5</v>
      </c>
      <c r="D38" s="266">
        <v>1078742751.8299999</v>
      </c>
      <c r="E38" s="266">
        <v>1280380345.29</v>
      </c>
      <c r="F38" s="266">
        <v>1149074793.6700001</v>
      </c>
      <c r="G38" s="266">
        <v>1189291583.76</v>
      </c>
      <c r="H38" s="266">
        <v>1279131633.3</v>
      </c>
      <c r="I38" s="266">
        <v>1448651734.1099999</v>
      </c>
      <c r="J38" s="266">
        <v>1482873351.46</v>
      </c>
      <c r="K38" s="266">
        <v>1534536338.8699999</v>
      </c>
      <c r="L38" s="266">
        <v>1570556845.0999999</v>
      </c>
      <c r="M38" s="266">
        <v>1565302601.28</v>
      </c>
      <c r="N38" s="266">
        <v>1551287924.26</v>
      </c>
      <c r="O38" s="286">
        <f>1364987000+143395000</f>
        <v>1508382000</v>
      </c>
      <c r="P38" s="134">
        <v>1483419372.5999999</v>
      </c>
      <c r="Q38" s="134">
        <v>1729030707.9200001</v>
      </c>
      <c r="R38" s="134">
        <v>1591055779.26</v>
      </c>
      <c r="S38" s="134">
        <v>1550778863.52</v>
      </c>
      <c r="T38" s="134">
        <v>1569587159.48</v>
      </c>
      <c r="U38" s="330">
        <v>1564279817.3299999</v>
      </c>
      <c r="V38" s="134">
        <v>1631771649.3699999</v>
      </c>
      <c r="W38" s="134">
        <v>1562812529.03</v>
      </c>
      <c r="X38" s="134">
        <v>1643158717.9200001</v>
      </c>
      <c r="Y38" s="134">
        <v>1911058729.97</v>
      </c>
      <c r="Z38" s="134">
        <v>1734328920.76</v>
      </c>
      <c r="AA38" s="134">
        <v>1643529921.5899999</v>
      </c>
      <c r="AB38" s="326">
        <f>1438012000+195095000+9786000</f>
        <v>1642893000</v>
      </c>
      <c r="AC38" s="346">
        <v>1580819787.9300001</v>
      </c>
      <c r="AD38" s="348">
        <v>1923001546.79</v>
      </c>
      <c r="AE38" s="348">
        <v>1844014715.05</v>
      </c>
      <c r="AF38" s="348">
        <v>1929428533.3199999</v>
      </c>
      <c r="AG38" s="346">
        <v>2083137922.3599999</v>
      </c>
      <c r="AH38" s="392">
        <v>2372314065.4299998</v>
      </c>
    </row>
    <row r="39" spans="1:34" ht="15">
      <c r="A39" s="157" t="s">
        <v>217</v>
      </c>
      <c r="B39" s="282"/>
      <c r="C39" s="266">
        <v>0</v>
      </c>
      <c r="D39" s="266">
        <v>0</v>
      </c>
      <c r="E39" s="266">
        <v>0</v>
      </c>
      <c r="F39" s="266">
        <v>0</v>
      </c>
      <c r="G39" s="266">
        <v>0</v>
      </c>
      <c r="H39" s="266">
        <v>0</v>
      </c>
      <c r="I39" s="266">
        <v>0</v>
      </c>
      <c r="J39" s="266">
        <v>69031304</v>
      </c>
      <c r="K39" s="266">
        <v>69031304</v>
      </c>
      <c r="L39" s="266">
        <v>68280499.780000001</v>
      </c>
      <c r="M39" s="266">
        <v>66778891.340000004</v>
      </c>
      <c r="N39" s="266">
        <v>66778891.340000004</v>
      </c>
      <c r="O39" s="286">
        <v>66769000</v>
      </c>
      <c r="P39" s="134">
        <v>65255266.859999999</v>
      </c>
      <c r="Q39" s="134">
        <v>65245868.780000001</v>
      </c>
      <c r="R39" s="134">
        <v>64479291.920000002</v>
      </c>
      <c r="S39" s="134">
        <v>141671520.99000001</v>
      </c>
      <c r="T39" s="134">
        <v>140898542.68000001</v>
      </c>
      <c r="U39" s="330">
        <v>139586679.69999999</v>
      </c>
      <c r="V39" s="134">
        <v>138269350.66</v>
      </c>
      <c r="W39" s="134">
        <v>136944282.13999999</v>
      </c>
      <c r="X39" s="134">
        <v>135618202.97999999</v>
      </c>
      <c r="Y39" s="134">
        <v>134284338.62</v>
      </c>
      <c r="Z39" s="134">
        <v>284100481.45999998</v>
      </c>
      <c r="AA39" s="134">
        <v>282755478.42000002</v>
      </c>
      <c r="AB39" s="326">
        <v>282755000</v>
      </c>
      <c r="AC39" s="346">
        <v>280721479.88</v>
      </c>
      <c r="AD39" s="348">
        <v>278678664.69999999</v>
      </c>
      <c r="AE39" s="348">
        <v>276585768.43000001</v>
      </c>
      <c r="AF39" s="348">
        <v>274483806.82999998</v>
      </c>
      <c r="AG39" s="346">
        <v>272496934.79000002</v>
      </c>
      <c r="AH39" s="392">
        <v>270418467.81999999</v>
      </c>
    </row>
    <row r="40" spans="1:34" s="136" customFormat="1" ht="15.75">
      <c r="A40" s="156" t="s">
        <v>218</v>
      </c>
      <c r="B40" s="285">
        <f t="shared" ref="B40:AH40" si="10">B32+B33</f>
        <v>34674495000</v>
      </c>
      <c r="C40" s="285">
        <f t="shared" si="10"/>
        <v>34875501478.509995</v>
      </c>
      <c r="D40" s="285">
        <f t="shared" si="10"/>
        <v>35277428596.799995</v>
      </c>
      <c r="E40" s="285">
        <f t="shared" si="10"/>
        <v>34576594887.559998</v>
      </c>
      <c r="F40" s="285">
        <f t="shared" si="10"/>
        <v>34779767346.269997</v>
      </c>
      <c r="G40" s="285">
        <f t="shared" si="10"/>
        <v>35014035283.019997</v>
      </c>
      <c r="H40" s="285">
        <f t="shared" si="10"/>
        <v>35503093577.93</v>
      </c>
      <c r="I40" s="285">
        <f t="shared" si="10"/>
        <v>35690876547.25</v>
      </c>
      <c r="J40" s="285">
        <f t="shared" si="10"/>
        <v>36439425035.5</v>
      </c>
      <c r="K40" s="285">
        <f t="shared" si="10"/>
        <v>37284577190.649994</v>
      </c>
      <c r="L40" s="285">
        <f t="shared" si="10"/>
        <v>37797405448.630005</v>
      </c>
      <c r="M40" s="285">
        <f t="shared" si="10"/>
        <v>38272562274.93</v>
      </c>
      <c r="N40" s="285">
        <f t="shared" si="10"/>
        <v>38522673767.380005</v>
      </c>
      <c r="O40" s="285">
        <f t="shared" si="10"/>
        <v>38488815000</v>
      </c>
      <c r="P40" s="285">
        <f t="shared" si="10"/>
        <v>39058719466.950005</v>
      </c>
      <c r="Q40" s="285">
        <f t="shared" si="10"/>
        <v>39333126350.389999</v>
      </c>
      <c r="R40" s="285">
        <f t="shared" si="10"/>
        <v>38918114597.75</v>
      </c>
      <c r="S40" s="285">
        <f t="shared" si="10"/>
        <v>39415462250.43</v>
      </c>
      <c r="T40" s="285">
        <f t="shared" si="10"/>
        <v>39892377450.919998</v>
      </c>
      <c r="U40" s="337">
        <f t="shared" si="10"/>
        <v>40412754309.619995</v>
      </c>
      <c r="V40" s="285">
        <f t="shared" si="10"/>
        <v>40830748705.870003</v>
      </c>
      <c r="W40" s="285">
        <f t="shared" si="10"/>
        <v>41386444088.720001</v>
      </c>
      <c r="X40" s="285">
        <f t="shared" si="10"/>
        <v>42079862650.360001</v>
      </c>
      <c r="Y40" s="285">
        <f t="shared" si="10"/>
        <v>43054386870.139999</v>
      </c>
      <c r="Z40" s="285">
        <f t="shared" si="10"/>
        <v>43733440371.100006</v>
      </c>
      <c r="AA40" s="321">
        <f t="shared" si="10"/>
        <v>44408511717.339996</v>
      </c>
      <c r="AB40" s="321">
        <f t="shared" si="10"/>
        <v>44521784000</v>
      </c>
      <c r="AC40" s="321">
        <f t="shared" si="10"/>
        <v>44761681959.620003</v>
      </c>
      <c r="AD40" s="321">
        <f t="shared" si="10"/>
        <v>45993417254.860001</v>
      </c>
      <c r="AE40" s="321">
        <f t="shared" si="10"/>
        <v>44728915347.860001</v>
      </c>
      <c r="AF40" s="321">
        <f t="shared" si="10"/>
        <v>44513970101.769997</v>
      </c>
      <c r="AG40" s="321">
        <f t="shared" si="10"/>
        <v>44778189609.239998</v>
      </c>
      <c r="AH40" s="321">
        <f t="shared" si="10"/>
        <v>45336145570.959999</v>
      </c>
    </row>
    <row r="41" spans="1:34">
      <c r="A41" s="164" t="s">
        <v>219</v>
      </c>
      <c r="B41" s="137"/>
      <c r="C41" s="137"/>
      <c r="D41" s="137"/>
      <c r="E41" s="137"/>
      <c r="F41" s="137"/>
      <c r="G41" s="137"/>
      <c r="H41" s="137"/>
      <c r="I41" s="137"/>
      <c r="J41" s="137"/>
      <c r="K41" s="137"/>
      <c r="L41" s="137"/>
      <c r="M41" s="137"/>
      <c r="N41" s="137"/>
      <c r="O41" s="286"/>
      <c r="AB41" s="326"/>
    </row>
    <row r="42" spans="1:34" ht="29.25">
      <c r="A42" s="157" t="s">
        <v>220</v>
      </c>
      <c r="B42" s="282">
        <v>2022438000</v>
      </c>
      <c r="C42" s="266">
        <v>2042561273.9000001</v>
      </c>
      <c r="D42" s="266">
        <v>2064044217.8800001</v>
      </c>
      <c r="E42" s="266">
        <v>2131042154.4300001</v>
      </c>
      <c r="F42" s="266">
        <v>2158658140.8400002</v>
      </c>
      <c r="G42" s="266">
        <v>2180989160.1999998</v>
      </c>
      <c r="H42" s="266">
        <v>2204944586.9000001</v>
      </c>
      <c r="I42" s="266">
        <v>2241614813.3099999</v>
      </c>
      <c r="J42" s="266">
        <v>2271871572.48</v>
      </c>
      <c r="K42" s="266">
        <v>2298312647.73</v>
      </c>
      <c r="L42" s="266">
        <v>2326968595.7800002</v>
      </c>
      <c r="M42" s="266">
        <v>2353498426.3200002</v>
      </c>
      <c r="N42" s="266">
        <v>2382778924.3400002</v>
      </c>
      <c r="O42" s="286">
        <v>2382779000</v>
      </c>
      <c r="P42" s="134">
        <v>2410023612.9899998</v>
      </c>
      <c r="Q42" s="134">
        <v>2483199568.1199999</v>
      </c>
      <c r="R42" s="134">
        <v>2522325286.8000002</v>
      </c>
      <c r="S42" s="134">
        <v>2558225445.5599999</v>
      </c>
      <c r="T42" s="134">
        <v>2595691061.9000001</v>
      </c>
      <c r="U42" s="330">
        <v>2642317229.7399998</v>
      </c>
      <c r="V42" s="134">
        <v>2697608397.9099998</v>
      </c>
      <c r="W42" s="134">
        <v>2752990008.0900002</v>
      </c>
      <c r="X42" s="134">
        <v>2817680056.79</v>
      </c>
      <c r="Y42" s="134">
        <v>2877735881.9299998</v>
      </c>
      <c r="Z42" s="134">
        <v>2933264601.9299998</v>
      </c>
      <c r="AA42" s="134">
        <v>2987000903.6599998</v>
      </c>
      <c r="AB42" s="326">
        <v>2987001000</v>
      </c>
      <c r="AC42" s="343">
        <v>3025467876.6900001</v>
      </c>
      <c r="AD42" s="344">
        <v>3054829466.6599998</v>
      </c>
      <c r="AE42" s="344">
        <v>3123492473.8899999</v>
      </c>
      <c r="AF42" s="344">
        <v>3172010180.3400002</v>
      </c>
      <c r="AG42" s="343">
        <v>3223178972.3099999</v>
      </c>
      <c r="AH42" s="390">
        <v>3263367356.1999998</v>
      </c>
    </row>
    <row r="43" spans="1:34" ht="14.25">
      <c r="A43" s="155" t="s">
        <v>221</v>
      </c>
      <c r="B43" s="280"/>
      <c r="C43" s="266">
        <v>0</v>
      </c>
      <c r="D43" s="266">
        <v>0</v>
      </c>
      <c r="E43" s="266">
        <v>0</v>
      </c>
      <c r="F43" s="266">
        <v>0</v>
      </c>
      <c r="G43" s="266">
        <v>0</v>
      </c>
      <c r="H43" s="266">
        <v>0</v>
      </c>
      <c r="I43" s="266">
        <v>0</v>
      </c>
      <c r="J43" s="266">
        <v>0</v>
      </c>
      <c r="K43" s="266">
        <v>0</v>
      </c>
      <c r="L43" s="266">
        <v>0</v>
      </c>
      <c r="M43" s="266">
        <v>0</v>
      </c>
      <c r="N43" s="266">
        <v>0</v>
      </c>
      <c r="O43" s="280"/>
      <c r="P43" s="134">
        <v>0</v>
      </c>
      <c r="Q43" s="134">
        <v>0</v>
      </c>
      <c r="R43" s="134">
        <v>0</v>
      </c>
      <c r="S43" s="134">
        <v>0</v>
      </c>
      <c r="T43" s="134">
        <v>0</v>
      </c>
      <c r="U43" s="330">
        <v>0</v>
      </c>
      <c r="V43" s="134">
        <v>0</v>
      </c>
      <c r="W43" s="134">
        <v>0</v>
      </c>
      <c r="X43" s="134">
        <v>0</v>
      </c>
      <c r="Y43" s="134">
        <v>0</v>
      </c>
      <c r="Z43" s="134">
        <v>0</v>
      </c>
      <c r="AA43" s="134">
        <v>0</v>
      </c>
      <c r="AB43" s="326"/>
      <c r="AC43" s="345">
        <v>0</v>
      </c>
      <c r="AD43" s="347">
        <v>0</v>
      </c>
      <c r="AE43" s="347">
        <v>0</v>
      </c>
      <c r="AF43" s="347">
        <v>0</v>
      </c>
      <c r="AG43" s="345">
        <v>0</v>
      </c>
      <c r="AH43" s="391">
        <v>0</v>
      </c>
    </row>
    <row r="44" spans="1:34">
      <c r="A44" s="155"/>
      <c r="B44" s="137"/>
      <c r="C44" s="137"/>
      <c r="D44" s="137"/>
      <c r="E44" s="137"/>
      <c r="F44" s="137"/>
      <c r="G44" s="137"/>
      <c r="H44" s="137"/>
      <c r="I44" s="137"/>
      <c r="J44" s="137"/>
      <c r="K44" s="137"/>
      <c r="L44" s="137"/>
      <c r="M44" s="137"/>
      <c r="N44" s="137"/>
      <c r="O44" s="139"/>
      <c r="AB44" s="326"/>
    </row>
    <row r="45" spans="1:34" s="136" customFormat="1" ht="15.75">
      <c r="A45" s="156" t="s">
        <v>121</v>
      </c>
      <c r="B45" s="288">
        <f t="shared" ref="B45:AH45" si="11">B47+B46</f>
        <v>2883949000</v>
      </c>
      <c r="C45" s="288">
        <f t="shared" si="11"/>
        <v>3338778160.0100002</v>
      </c>
      <c r="D45" s="288">
        <f t="shared" si="11"/>
        <v>3411061741.5500002</v>
      </c>
      <c r="E45" s="288">
        <f t="shared" si="11"/>
        <v>3235849941.04</v>
      </c>
      <c r="F45" s="288">
        <f t="shared" si="11"/>
        <v>3375223467.8299999</v>
      </c>
      <c r="G45" s="288">
        <f t="shared" si="11"/>
        <v>3546695797.5</v>
      </c>
      <c r="H45" s="288">
        <f t="shared" si="11"/>
        <v>3505356326.8100004</v>
      </c>
      <c r="I45" s="288">
        <f t="shared" si="11"/>
        <v>3648591944.25</v>
      </c>
      <c r="J45" s="288">
        <f t="shared" si="11"/>
        <v>3769558086.2600002</v>
      </c>
      <c r="K45" s="288">
        <f t="shared" si="11"/>
        <v>3997993329.0500002</v>
      </c>
      <c r="L45" s="288">
        <f t="shared" si="11"/>
        <v>4205085184.29</v>
      </c>
      <c r="M45" s="288">
        <f t="shared" si="11"/>
        <v>4385083062.2600002</v>
      </c>
      <c r="N45" s="288">
        <f t="shared" si="11"/>
        <v>4646381883.1900005</v>
      </c>
      <c r="O45" s="288">
        <f t="shared" si="11"/>
        <v>3826798000</v>
      </c>
      <c r="P45" s="288">
        <f t="shared" si="11"/>
        <v>4307077555.3499994</v>
      </c>
      <c r="Q45" s="288">
        <f t="shared" si="11"/>
        <v>4145741742.1999998</v>
      </c>
      <c r="R45" s="288">
        <f t="shared" si="11"/>
        <v>4277475642.6700001</v>
      </c>
      <c r="S45" s="288">
        <f t="shared" si="11"/>
        <v>4666666056.3999996</v>
      </c>
      <c r="T45" s="288">
        <f t="shared" si="11"/>
        <v>4855563543.2399998</v>
      </c>
      <c r="U45" s="340">
        <f t="shared" si="11"/>
        <v>4720702527.21</v>
      </c>
      <c r="V45" s="288">
        <f t="shared" si="11"/>
        <v>4877036107.2600002</v>
      </c>
      <c r="W45" s="288">
        <f t="shared" si="11"/>
        <v>5031920344.6300001</v>
      </c>
      <c r="X45" s="288">
        <f t="shared" si="11"/>
        <v>5162853977.3900003</v>
      </c>
      <c r="Y45" s="288">
        <f t="shared" si="11"/>
        <v>5159690779.5299997</v>
      </c>
      <c r="Z45" s="288">
        <f t="shared" si="11"/>
        <v>5337178751.4899998</v>
      </c>
      <c r="AA45" s="324">
        <f t="shared" si="11"/>
        <v>5484713764.21</v>
      </c>
      <c r="AB45" s="324">
        <f t="shared" si="11"/>
        <v>4180700000</v>
      </c>
      <c r="AC45" s="324">
        <f t="shared" si="11"/>
        <v>5281289123.8299999</v>
      </c>
      <c r="AD45" s="324">
        <f t="shared" si="11"/>
        <v>4587082244.8199997</v>
      </c>
      <c r="AE45" s="324">
        <f t="shared" si="11"/>
        <v>3920880592.6799998</v>
      </c>
      <c r="AF45" s="324">
        <f t="shared" si="11"/>
        <v>4026952694.6999998</v>
      </c>
      <c r="AG45" s="324">
        <f t="shared" si="11"/>
        <v>4246965358.25</v>
      </c>
      <c r="AH45" s="324">
        <f t="shared" si="11"/>
        <v>3997596748.6999998</v>
      </c>
    </row>
    <row r="46" spans="1:34" ht="15">
      <c r="A46" s="157" t="s">
        <v>222</v>
      </c>
      <c r="B46" s="282">
        <v>2273805000</v>
      </c>
      <c r="C46" s="266">
        <v>3205935133.4400001</v>
      </c>
      <c r="D46" s="266">
        <v>3156791765.5900002</v>
      </c>
      <c r="E46" s="266">
        <v>2875870965.5900002</v>
      </c>
      <c r="F46" s="266">
        <v>2875870965.5900002</v>
      </c>
      <c r="G46" s="266">
        <v>2875870965.5900002</v>
      </c>
      <c r="H46" s="266">
        <v>2875870965.5900002</v>
      </c>
      <c r="I46" s="266">
        <v>2875870965.5900002</v>
      </c>
      <c r="J46" s="266">
        <v>2875870965.5900002</v>
      </c>
      <c r="K46" s="266">
        <v>2875870965.5900002</v>
      </c>
      <c r="L46" s="266">
        <v>2875870965.5900002</v>
      </c>
      <c r="M46" s="266">
        <v>2875870965.5900002</v>
      </c>
      <c r="N46" s="266">
        <v>2978292307</v>
      </c>
      <c r="O46" s="309">
        <v>2883949000</v>
      </c>
      <c r="P46" s="134">
        <v>4131442715.6399999</v>
      </c>
      <c r="Q46" s="134">
        <v>3811096605.75</v>
      </c>
      <c r="R46" s="134">
        <v>3811096605.75</v>
      </c>
      <c r="S46" s="134">
        <v>3811096605.75</v>
      </c>
      <c r="T46" s="134">
        <v>3811096605.75</v>
      </c>
      <c r="U46" s="330">
        <v>3811096605.75</v>
      </c>
      <c r="V46" s="134">
        <v>3811096605.75</v>
      </c>
      <c r="W46" s="134">
        <v>3811096605.75</v>
      </c>
      <c r="X46" s="134">
        <v>3811096605.75</v>
      </c>
      <c r="Y46" s="134">
        <v>3811096605.75</v>
      </c>
      <c r="Z46" s="134">
        <v>3811096605.75</v>
      </c>
      <c r="AA46" s="134">
        <v>3880969592.9699998</v>
      </c>
      <c r="AB46" s="326">
        <v>3811104000</v>
      </c>
      <c r="AC46" s="343">
        <v>5006886990.6400003</v>
      </c>
      <c r="AD46" s="344">
        <v>4180699764.6999998</v>
      </c>
      <c r="AE46" s="344">
        <v>4180699764.6999998</v>
      </c>
      <c r="AF46" s="344">
        <v>4180699764.6999998</v>
      </c>
      <c r="AG46" s="343">
        <v>4180699764.6999998</v>
      </c>
      <c r="AH46" s="390">
        <v>4180699764.6999998</v>
      </c>
    </row>
    <row r="47" spans="1:34" ht="15">
      <c r="A47" s="157" t="s">
        <v>223</v>
      </c>
      <c r="B47" s="282">
        <f>2883949000-2273805000</f>
        <v>610144000</v>
      </c>
      <c r="C47" s="266">
        <v>132843026.56999999</v>
      </c>
      <c r="D47" s="266">
        <v>254269975.96000001</v>
      </c>
      <c r="E47" s="266">
        <v>359978975.44999999</v>
      </c>
      <c r="F47" s="266">
        <v>499352502.24000001</v>
      </c>
      <c r="G47" s="266">
        <v>670824831.90999997</v>
      </c>
      <c r="H47" s="266">
        <v>629485361.22000003</v>
      </c>
      <c r="I47" s="266">
        <v>772720978.65999997</v>
      </c>
      <c r="J47" s="266">
        <v>893687120.66999996</v>
      </c>
      <c r="K47" s="266">
        <v>1122122363.46</v>
      </c>
      <c r="L47" s="266">
        <v>1329214218.7</v>
      </c>
      <c r="M47" s="266">
        <v>1509212096.6700001</v>
      </c>
      <c r="N47" s="266">
        <v>1668089576.1900001</v>
      </c>
      <c r="O47" s="308">
        <f>3826798000-2883949000</f>
        <v>942849000</v>
      </c>
      <c r="P47" s="134">
        <v>175634839.71000001</v>
      </c>
      <c r="Q47" s="134">
        <v>334645136.44999999</v>
      </c>
      <c r="R47" s="134">
        <v>466379036.92000002</v>
      </c>
      <c r="S47" s="134">
        <v>855569450.64999998</v>
      </c>
      <c r="T47" s="134">
        <v>1044466937.49</v>
      </c>
      <c r="U47" s="330">
        <v>909605921.46000004</v>
      </c>
      <c r="V47" s="134">
        <v>1065939501.51</v>
      </c>
      <c r="W47" s="134">
        <v>1220823738.8800001</v>
      </c>
      <c r="X47" s="134">
        <v>1351757371.6400001</v>
      </c>
      <c r="Y47" s="134">
        <v>1348594173.78</v>
      </c>
      <c r="Z47" s="134">
        <v>1526082145.74</v>
      </c>
      <c r="AA47" s="134">
        <v>1603744171.24</v>
      </c>
      <c r="AB47" s="326">
        <f>4180700000-AB46</f>
        <v>369596000</v>
      </c>
      <c r="AC47" s="346">
        <v>274402133.19</v>
      </c>
      <c r="AD47" s="348">
        <v>406382480.12</v>
      </c>
      <c r="AE47" s="348">
        <v>-259819172.02000001</v>
      </c>
      <c r="AF47" s="348">
        <v>-153747070</v>
      </c>
      <c r="AG47" s="346">
        <v>66265593.549999997</v>
      </c>
      <c r="AH47" s="392">
        <v>-183103016</v>
      </c>
    </row>
    <row r="48" spans="1:34">
      <c r="A48" s="155"/>
      <c r="B48" s="137"/>
      <c r="C48" s="137"/>
      <c r="D48" s="137"/>
      <c r="E48" s="137"/>
      <c r="F48" s="137"/>
      <c r="G48" s="137"/>
      <c r="H48" s="137"/>
      <c r="I48" s="137"/>
      <c r="J48" s="137"/>
      <c r="K48" s="137"/>
      <c r="L48" s="137"/>
      <c r="M48" s="137"/>
      <c r="N48" s="137"/>
      <c r="O48" s="139"/>
      <c r="AB48" s="326"/>
    </row>
    <row r="49" spans="1:34" s="136" customFormat="1" ht="15.75">
      <c r="A49" s="156" t="s">
        <v>224</v>
      </c>
      <c r="B49" s="288">
        <f t="shared" ref="B49:AH49" si="12">SUM(B50:B54)</f>
        <v>1480366000</v>
      </c>
      <c r="C49" s="288">
        <f t="shared" si="12"/>
        <v>1207918171.8199999</v>
      </c>
      <c r="D49" s="288">
        <f t="shared" si="12"/>
        <v>1199445298.8199999</v>
      </c>
      <c r="E49" s="288">
        <f t="shared" si="12"/>
        <v>1199445298.8199999</v>
      </c>
      <c r="F49" s="288">
        <f t="shared" si="12"/>
        <v>1199445298.8199999</v>
      </c>
      <c r="G49" s="288">
        <f t="shared" si="12"/>
        <v>1199445298.8199999</v>
      </c>
      <c r="H49" s="288">
        <f t="shared" si="12"/>
        <v>1199445298.8199999</v>
      </c>
      <c r="I49" s="288">
        <f t="shared" si="12"/>
        <v>1199445298.8199999</v>
      </c>
      <c r="J49" s="288">
        <f t="shared" si="12"/>
        <v>1199445298.8199999</v>
      </c>
      <c r="K49" s="288">
        <f t="shared" si="12"/>
        <v>1199445298.8199999</v>
      </c>
      <c r="L49" s="288">
        <f t="shared" si="12"/>
        <v>1199445298.8199999</v>
      </c>
      <c r="M49" s="288">
        <f t="shared" si="12"/>
        <v>1199445298.8199999</v>
      </c>
      <c r="N49" s="288">
        <f t="shared" si="12"/>
        <v>1221577177.2199998</v>
      </c>
      <c r="O49" s="288">
        <f t="shared" si="12"/>
        <v>1751396000</v>
      </c>
      <c r="P49" s="288">
        <f t="shared" si="12"/>
        <v>1469980737.6699998</v>
      </c>
      <c r="Q49" s="288">
        <f t="shared" si="12"/>
        <v>1470481089.2399998</v>
      </c>
      <c r="R49" s="288">
        <f t="shared" si="12"/>
        <v>1470481089.2399998</v>
      </c>
      <c r="S49" s="288">
        <f t="shared" si="12"/>
        <v>1470481089.2399998</v>
      </c>
      <c r="T49" s="288">
        <f t="shared" si="12"/>
        <v>1470481089.2399998</v>
      </c>
      <c r="U49" s="340">
        <f t="shared" si="12"/>
        <v>1470481089.2399998</v>
      </c>
      <c r="V49" s="288">
        <f t="shared" si="12"/>
        <v>1470481089.2399998</v>
      </c>
      <c r="W49" s="288">
        <f t="shared" si="12"/>
        <v>1470481089.2399998</v>
      </c>
      <c r="X49" s="288">
        <f t="shared" si="12"/>
        <v>1470481089.2399998</v>
      </c>
      <c r="Y49" s="288">
        <f t="shared" si="12"/>
        <v>1470481089.2399998</v>
      </c>
      <c r="Z49" s="288">
        <f t="shared" si="12"/>
        <v>1470481089.2399998</v>
      </c>
      <c r="AA49" s="324">
        <f t="shared" si="12"/>
        <v>1480995202.1199999</v>
      </c>
      <c r="AB49" s="324">
        <f t="shared" si="12"/>
        <v>2094194000</v>
      </c>
      <c r="AC49" s="324">
        <f t="shared" si="12"/>
        <v>1677456680.98</v>
      </c>
      <c r="AD49" s="324">
        <f t="shared" si="12"/>
        <v>2094193836.9799998</v>
      </c>
      <c r="AE49" s="324">
        <f t="shared" si="12"/>
        <v>1698459811.9799998</v>
      </c>
      <c r="AF49" s="324">
        <f t="shared" si="12"/>
        <v>1698459811.9799998</v>
      </c>
      <c r="AG49" s="324">
        <f t="shared" si="12"/>
        <v>1698459811.9799998</v>
      </c>
      <c r="AH49" s="324">
        <f t="shared" si="12"/>
        <v>1698459811.9799998</v>
      </c>
    </row>
    <row r="50" spans="1:34" ht="15">
      <c r="A50" s="157" t="s">
        <v>225</v>
      </c>
      <c r="B50" s="311">
        <v>1188896000</v>
      </c>
      <c r="C50" s="266">
        <v>1184895023.79</v>
      </c>
      <c r="D50" s="266">
        <v>1176422150.79</v>
      </c>
      <c r="E50" s="266">
        <v>1176422150.79</v>
      </c>
      <c r="F50" s="266">
        <v>1176422150.79</v>
      </c>
      <c r="G50" s="266">
        <v>1176422150.79</v>
      </c>
      <c r="H50" s="266">
        <v>1176422150.79</v>
      </c>
      <c r="I50" s="266">
        <v>1176422150.79</v>
      </c>
      <c r="J50" s="266">
        <v>1176422150.79</v>
      </c>
      <c r="K50" s="266">
        <v>1176422150.79</v>
      </c>
      <c r="L50" s="266">
        <v>1176422150.79</v>
      </c>
      <c r="M50" s="266">
        <v>1176422150.79</v>
      </c>
      <c r="N50" s="266">
        <v>1176422150.79</v>
      </c>
      <c r="O50" s="308">
        <v>1473792000</v>
      </c>
      <c r="P50" s="134">
        <v>1460824150.79</v>
      </c>
      <c r="Q50" s="134">
        <v>1461324502.79</v>
      </c>
      <c r="R50" s="134">
        <v>1461324502.79</v>
      </c>
      <c r="S50" s="134">
        <v>1461324502.79</v>
      </c>
      <c r="T50" s="134">
        <v>1461324502.79</v>
      </c>
      <c r="U50" s="330">
        <v>1461324502.79</v>
      </c>
      <c r="V50" s="134">
        <v>1461324502.79</v>
      </c>
      <c r="W50" s="134">
        <v>1461324502.79</v>
      </c>
      <c r="X50" s="134">
        <v>1461324502.79</v>
      </c>
      <c r="Y50" s="134">
        <v>1461324502.79</v>
      </c>
      <c r="Z50" s="134">
        <v>1461324502.79</v>
      </c>
      <c r="AA50" s="134">
        <v>1461317108.79</v>
      </c>
      <c r="AB50" s="326">
        <v>1670253000</v>
      </c>
      <c r="AC50" s="343">
        <v>1657778587.6500001</v>
      </c>
      <c r="AD50" s="344">
        <v>1657778783.79</v>
      </c>
      <c r="AE50" s="344">
        <v>1657778783.79</v>
      </c>
      <c r="AF50" s="344">
        <v>1657778783.79</v>
      </c>
      <c r="AG50" s="343">
        <v>1657778783.79</v>
      </c>
      <c r="AH50" s="390">
        <v>1657778783.79</v>
      </c>
    </row>
    <row r="51" spans="1:34" ht="29.25">
      <c r="A51" s="157" t="s">
        <v>226</v>
      </c>
      <c r="B51" s="311"/>
      <c r="C51" s="266">
        <v>12474412.609999999</v>
      </c>
      <c r="D51" s="266">
        <v>12474412.609999999</v>
      </c>
      <c r="E51" s="266">
        <v>12474412.609999999</v>
      </c>
      <c r="F51" s="266">
        <v>12474412.609999999</v>
      </c>
      <c r="G51" s="266">
        <v>12474412.609999999</v>
      </c>
      <c r="H51" s="266">
        <v>12474412.609999999</v>
      </c>
      <c r="I51" s="266">
        <v>12474412.609999999</v>
      </c>
      <c r="J51" s="266">
        <v>12474412.609999999</v>
      </c>
      <c r="K51" s="266">
        <v>12474412.609999999</v>
      </c>
      <c r="L51" s="266">
        <v>12474412.609999999</v>
      </c>
      <c r="M51" s="266">
        <v>12474412.609999999</v>
      </c>
      <c r="N51" s="266">
        <v>12474412.609999999</v>
      </c>
      <c r="O51" s="309"/>
      <c r="P51" s="134">
        <v>12474412.609999999</v>
      </c>
      <c r="Q51" s="134">
        <v>12474412.609999999</v>
      </c>
      <c r="R51" s="134">
        <v>12474412.609999999</v>
      </c>
      <c r="S51" s="134">
        <v>12474412.609999999</v>
      </c>
      <c r="T51" s="134">
        <v>12474412.609999999</v>
      </c>
      <c r="U51" s="330">
        <v>12474412.609999999</v>
      </c>
      <c r="V51" s="134">
        <v>12474412.609999999</v>
      </c>
      <c r="W51" s="134">
        <v>12474412.609999999</v>
      </c>
      <c r="X51" s="134">
        <v>12474412.609999999</v>
      </c>
      <c r="Y51" s="134">
        <v>12474412.609999999</v>
      </c>
      <c r="Z51" s="134">
        <v>12474412.609999999</v>
      </c>
      <c r="AA51" s="134">
        <v>12474412.609999999</v>
      </c>
      <c r="AB51" s="326"/>
      <c r="AC51" s="346">
        <v>12474412.609999999</v>
      </c>
      <c r="AD51" s="348">
        <v>12474412.609999999</v>
      </c>
      <c r="AE51" s="348">
        <v>12474412.609999999</v>
      </c>
      <c r="AF51" s="348">
        <v>12474412.609999999</v>
      </c>
      <c r="AG51" s="346">
        <v>12474412.609999999</v>
      </c>
      <c r="AH51" s="392">
        <v>12474412.609999999</v>
      </c>
    </row>
    <row r="52" spans="1:34" ht="29.25">
      <c r="A52" s="157" t="s">
        <v>227</v>
      </c>
      <c r="B52" s="311">
        <v>10549000</v>
      </c>
      <c r="C52" s="266">
        <v>10548735.42</v>
      </c>
      <c r="D52" s="266">
        <v>10548735.42</v>
      </c>
      <c r="E52" s="266">
        <v>10548735.42</v>
      </c>
      <c r="F52" s="266">
        <v>10548735.42</v>
      </c>
      <c r="G52" s="266">
        <v>10548735.42</v>
      </c>
      <c r="H52" s="266">
        <v>10548735.42</v>
      </c>
      <c r="I52" s="266">
        <v>10548735.42</v>
      </c>
      <c r="J52" s="266">
        <v>10548735.42</v>
      </c>
      <c r="K52" s="266">
        <v>10548735.42</v>
      </c>
      <c r="L52" s="266">
        <v>10548735.42</v>
      </c>
      <c r="M52" s="266">
        <v>10548735.42</v>
      </c>
      <c r="N52" s="266">
        <v>32680613.82</v>
      </c>
      <c r="O52" s="139">
        <v>-3317000</v>
      </c>
      <c r="P52" s="134">
        <v>-3317825.73</v>
      </c>
      <c r="Q52" s="134">
        <v>-3317826.16</v>
      </c>
      <c r="R52" s="134">
        <v>-3317826.16</v>
      </c>
      <c r="S52" s="134">
        <v>-3317826.16</v>
      </c>
      <c r="T52" s="134">
        <v>-3317826.16</v>
      </c>
      <c r="U52" s="330">
        <v>-3317826.16</v>
      </c>
      <c r="V52" s="134">
        <v>-3317826.16</v>
      </c>
      <c r="W52" s="134">
        <v>-3317826.16</v>
      </c>
      <c r="X52" s="134">
        <v>-3317826.16</v>
      </c>
      <c r="Y52" s="134">
        <v>-3317826.16</v>
      </c>
      <c r="Z52" s="134">
        <v>-3317826.16</v>
      </c>
      <c r="AA52" s="134">
        <v>7203680.7199999997</v>
      </c>
      <c r="AB52" s="326">
        <v>28207000</v>
      </c>
      <c r="AC52" s="346">
        <v>7203680.7199999997</v>
      </c>
      <c r="AD52" s="348">
        <v>28206615.579999998</v>
      </c>
      <c r="AE52" s="348">
        <v>28206615.579999998</v>
      </c>
      <c r="AF52" s="348">
        <v>28206615.579999998</v>
      </c>
      <c r="AG52" s="346">
        <v>28206615.579999998</v>
      </c>
      <c r="AH52" s="392">
        <v>28206615.579999998</v>
      </c>
    </row>
    <row r="53" spans="1:34" ht="15">
      <c r="A53" s="157" t="s">
        <v>129</v>
      </c>
      <c r="B53" s="311">
        <v>280921000</v>
      </c>
      <c r="C53" s="318">
        <v>0</v>
      </c>
      <c r="D53" s="318">
        <v>0</v>
      </c>
      <c r="E53" s="318">
        <v>0</v>
      </c>
      <c r="F53" s="318">
        <v>0</v>
      </c>
      <c r="G53" s="318">
        <v>0</v>
      </c>
      <c r="H53" s="318">
        <v>0</v>
      </c>
      <c r="I53" s="318">
        <v>0</v>
      </c>
      <c r="J53" s="318">
        <v>0</v>
      </c>
      <c r="K53" s="318">
        <v>0</v>
      </c>
      <c r="L53" s="318">
        <v>0</v>
      </c>
      <c r="M53" s="318">
        <v>0</v>
      </c>
      <c r="N53" s="318">
        <v>0</v>
      </c>
      <c r="O53" s="309">
        <v>280921000</v>
      </c>
      <c r="P53" s="134">
        <v>0</v>
      </c>
      <c r="Q53" s="134">
        <v>0</v>
      </c>
      <c r="R53" s="134">
        <v>0</v>
      </c>
      <c r="S53" s="134">
        <v>0</v>
      </c>
      <c r="T53" s="134">
        <v>0</v>
      </c>
      <c r="U53" s="330">
        <v>0</v>
      </c>
      <c r="V53" s="134">
        <v>0</v>
      </c>
      <c r="W53" s="134">
        <v>0</v>
      </c>
      <c r="X53" s="134">
        <v>0</v>
      </c>
      <c r="Y53" s="134">
        <v>0</v>
      </c>
      <c r="Z53" s="134">
        <v>0</v>
      </c>
      <c r="AA53" s="134">
        <v>0</v>
      </c>
      <c r="AB53" s="326">
        <v>395734000</v>
      </c>
      <c r="AC53" s="345">
        <v>0</v>
      </c>
      <c r="AD53" s="347">
        <v>395734025</v>
      </c>
      <c r="AE53" s="347">
        <v>0</v>
      </c>
      <c r="AF53" s="347">
        <v>0</v>
      </c>
      <c r="AG53" s="345">
        <v>0</v>
      </c>
      <c r="AH53" s="391">
        <v>0</v>
      </c>
    </row>
    <row r="54" spans="1:34" ht="15">
      <c r="A54" s="157" t="s">
        <v>228</v>
      </c>
      <c r="B54" s="282"/>
      <c r="C54" s="318">
        <v>0</v>
      </c>
      <c r="D54" s="318">
        <v>0</v>
      </c>
      <c r="E54" s="318">
        <v>0</v>
      </c>
      <c r="F54" s="318">
        <v>0</v>
      </c>
      <c r="G54" s="318">
        <v>0</v>
      </c>
      <c r="H54" s="318">
        <v>0</v>
      </c>
      <c r="I54" s="318">
        <v>0</v>
      </c>
      <c r="J54" s="318">
        <v>0</v>
      </c>
      <c r="K54" s="318">
        <v>0</v>
      </c>
      <c r="L54" s="318">
        <v>0</v>
      </c>
      <c r="M54" s="318">
        <v>0</v>
      </c>
      <c r="N54" s="318">
        <v>0</v>
      </c>
      <c r="O54" s="286"/>
      <c r="P54" s="134">
        <v>0</v>
      </c>
      <c r="Q54" s="134">
        <v>0</v>
      </c>
      <c r="R54" s="134">
        <v>0</v>
      </c>
      <c r="S54" s="134">
        <v>0</v>
      </c>
      <c r="T54" s="134">
        <v>0</v>
      </c>
      <c r="U54" s="330">
        <v>0</v>
      </c>
      <c r="V54" s="134">
        <v>0</v>
      </c>
      <c r="W54" s="134">
        <v>0</v>
      </c>
      <c r="X54" s="134">
        <v>0</v>
      </c>
      <c r="Y54" s="134">
        <v>0</v>
      </c>
      <c r="Z54" s="134">
        <v>0</v>
      </c>
      <c r="AA54" s="134">
        <v>0</v>
      </c>
      <c r="AB54" s="326"/>
      <c r="AC54" s="345">
        <v>0</v>
      </c>
      <c r="AD54" s="347">
        <v>0</v>
      </c>
      <c r="AE54" s="347">
        <v>0</v>
      </c>
      <c r="AF54" s="347">
        <v>0</v>
      </c>
      <c r="AG54" s="345">
        <v>0</v>
      </c>
      <c r="AH54" s="391">
        <v>0</v>
      </c>
    </row>
    <row r="55" spans="1:34" s="136" customFormat="1" ht="15.75">
      <c r="A55" s="156" t="s">
        <v>229</v>
      </c>
      <c r="B55" s="281">
        <f>B42+B43+B45+B49</f>
        <v>6386753000</v>
      </c>
      <c r="C55" s="281">
        <f t="shared" ref="C55:M55" si="13">C42+C43+C45+C49</f>
        <v>6589257605.7299995</v>
      </c>
      <c r="D55" s="281">
        <f t="shared" si="13"/>
        <v>6674551258.25</v>
      </c>
      <c r="E55" s="281">
        <f t="shared" si="13"/>
        <v>6566337394.29</v>
      </c>
      <c r="F55" s="281">
        <f t="shared" si="13"/>
        <v>6733326907.4899998</v>
      </c>
      <c r="G55" s="281">
        <f t="shared" si="13"/>
        <v>6927130256.5199995</v>
      </c>
      <c r="H55" s="281">
        <f t="shared" si="13"/>
        <v>6909746212.5300007</v>
      </c>
      <c r="I55" s="281">
        <f t="shared" si="13"/>
        <v>7089652056.3799992</v>
      </c>
      <c r="J55" s="281">
        <f t="shared" si="13"/>
        <v>7240874957.5599995</v>
      </c>
      <c r="K55" s="281">
        <f t="shared" si="13"/>
        <v>7495751275.6000004</v>
      </c>
      <c r="L55" s="281">
        <f t="shared" si="13"/>
        <v>7731499078.8899994</v>
      </c>
      <c r="M55" s="281">
        <f t="shared" si="13"/>
        <v>7938026787.3999996</v>
      </c>
      <c r="N55" s="281">
        <f>N42+N43+N45+N49</f>
        <v>8250737984.75</v>
      </c>
      <c r="O55" s="281">
        <f>O42+O43+O45+O49</f>
        <v>7960973000</v>
      </c>
      <c r="P55" s="281">
        <f t="shared" ref="P55:AG55" si="14">P42+P43+P45+P49</f>
        <v>8187081906.0099993</v>
      </c>
      <c r="Q55" s="281">
        <f t="shared" si="14"/>
        <v>8099422399.5599995</v>
      </c>
      <c r="R55" s="281">
        <f t="shared" si="14"/>
        <v>8270282018.71</v>
      </c>
      <c r="S55" s="281">
        <f t="shared" si="14"/>
        <v>8695372591.1999989</v>
      </c>
      <c r="T55" s="281">
        <f t="shared" si="14"/>
        <v>8921735694.3799992</v>
      </c>
      <c r="U55" s="338">
        <f t="shared" si="14"/>
        <v>8833500846.1899986</v>
      </c>
      <c r="V55" s="281">
        <f t="shared" si="14"/>
        <v>9045125594.4099998</v>
      </c>
      <c r="W55" s="281">
        <f t="shared" si="14"/>
        <v>9255391441.9599991</v>
      </c>
      <c r="X55" s="281">
        <f t="shared" si="14"/>
        <v>9451015123.4200001</v>
      </c>
      <c r="Y55" s="281">
        <f t="shared" si="14"/>
        <v>9507907750.6999989</v>
      </c>
      <c r="Z55" s="281">
        <f t="shared" si="14"/>
        <v>9740924442.6599998</v>
      </c>
      <c r="AA55" s="322">
        <f t="shared" si="14"/>
        <v>9952709869.9899998</v>
      </c>
      <c r="AB55" s="322">
        <f t="shared" si="14"/>
        <v>9261895000</v>
      </c>
      <c r="AC55" s="322">
        <f t="shared" si="14"/>
        <v>9984213681.5</v>
      </c>
      <c r="AD55" s="322">
        <f t="shared" si="14"/>
        <v>9736105548.4599991</v>
      </c>
      <c r="AE55" s="322">
        <f t="shared" si="14"/>
        <v>8742832878.5499992</v>
      </c>
      <c r="AF55" s="322">
        <f t="shared" si="14"/>
        <v>8897422687.0200005</v>
      </c>
      <c r="AG55" s="322">
        <f t="shared" ref="AG55:AH55" si="15">AG42+AG43+AG45+AG49</f>
        <v>9168604142.539999</v>
      </c>
      <c r="AH55" s="322">
        <f t="shared" si="15"/>
        <v>8959423916.8799992</v>
      </c>
    </row>
    <row r="56" spans="1:34" s="136" customFormat="1" ht="15.75">
      <c r="A56" s="156" t="s">
        <v>230</v>
      </c>
      <c r="B56" s="277">
        <f>B40+B55</f>
        <v>41061248000</v>
      </c>
      <c r="C56" s="277">
        <f t="shared" ref="C56:AG56" si="16">C40+C55</f>
        <v>41464759084.23999</v>
      </c>
      <c r="D56" s="277">
        <f t="shared" si="16"/>
        <v>41951979855.049995</v>
      </c>
      <c r="E56" s="277">
        <f t="shared" si="16"/>
        <v>41142932281.849998</v>
      </c>
      <c r="F56" s="277">
        <f t="shared" si="16"/>
        <v>41513094253.759995</v>
      </c>
      <c r="G56" s="277">
        <f t="shared" si="16"/>
        <v>41941165539.539993</v>
      </c>
      <c r="H56" s="277">
        <f t="shared" si="16"/>
        <v>42412839790.459999</v>
      </c>
      <c r="I56" s="277">
        <f t="shared" si="16"/>
        <v>42780528603.629997</v>
      </c>
      <c r="J56" s="277">
        <f t="shared" si="16"/>
        <v>43680299993.059998</v>
      </c>
      <c r="K56" s="277">
        <f t="shared" si="16"/>
        <v>44780328466.249992</v>
      </c>
      <c r="L56" s="277">
        <f t="shared" si="16"/>
        <v>45528904527.520004</v>
      </c>
      <c r="M56" s="277">
        <f t="shared" si="16"/>
        <v>46210589062.330002</v>
      </c>
      <c r="N56" s="277">
        <f t="shared" si="16"/>
        <v>46773411752.130005</v>
      </c>
      <c r="O56" s="277">
        <f t="shared" si="16"/>
        <v>46449788000</v>
      </c>
      <c r="P56" s="277">
        <f t="shared" si="16"/>
        <v>47245801372.960007</v>
      </c>
      <c r="Q56" s="277">
        <f t="shared" si="16"/>
        <v>47432548749.949997</v>
      </c>
      <c r="R56" s="277">
        <f t="shared" si="16"/>
        <v>47188396616.459999</v>
      </c>
      <c r="S56" s="277">
        <f t="shared" si="16"/>
        <v>48110834841.629997</v>
      </c>
      <c r="T56" s="277">
        <f t="shared" si="16"/>
        <v>48814113145.299995</v>
      </c>
      <c r="U56" s="341">
        <f t="shared" si="16"/>
        <v>49246255155.809998</v>
      </c>
      <c r="V56" s="277">
        <f t="shared" si="16"/>
        <v>49875874300.279999</v>
      </c>
      <c r="W56" s="277">
        <f t="shared" si="16"/>
        <v>50641835530.68</v>
      </c>
      <c r="X56" s="277">
        <f t="shared" si="16"/>
        <v>51530877773.779999</v>
      </c>
      <c r="Y56" s="277">
        <f t="shared" si="16"/>
        <v>52562294620.839996</v>
      </c>
      <c r="Z56" s="277">
        <f t="shared" si="16"/>
        <v>53474364813.76001</v>
      </c>
      <c r="AA56" s="325">
        <f t="shared" si="16"/>
        <v>54361221587.329994</v>
      </c>
      <c r="AB56" s="325">
        <f t="shared" si="16"/>
        <v>53783679000</v>
      </c>
      <c r="AC56" s="325">
        <f t="shared" si="16"/>
        <v>54745895641.120003</v>
      </c>
      <c r="AD56" s="325">
        <f t="shared" si="16"/>
        <v>55729522803.32</v>
      </c>
      <c r="AE56" s="325">
        <f t="shared" si="16"/>
        <v>53471748226.410004</v>
      </c>
      <c r="AF56" s="325">
        <f t="shared" si="16"/>
        <v>53411392788.789993</v>
      </c>
      <c r="AG56" s="325">
        <f t="shared" ref="AG56:AH56" si="17">AG40+AG55</f>
        <v>53946793751.779999</v>
      </c>
      <c r="AH56" s="325">
        <f t="shared" si="17"/>
        <v>54295569487.839996</v>
      </c>
    </row>
    <row r="57" spans="1:34" ht="15.75">
      <c r="A57" s="138"/>
      <c r="B57" s="189">
        <f>B27-B56</f>
        <v>973103000</v>
      </c>
      <c r="C57" s="189">
        <f t="shared" ref="C57:AG57" si="18">C27-C56</f>
        <v>0</v>
      </c>
      <c r="D57" s="189">
        <f t="shared" si="18"/>
        <v>0</v>
      </c>
      <c r="E57" s="189">
        <f t="shared" si="18"/>
        <v>0</v>
      </c>
      <c r="F57" s="189">
        <f t="shared" si="18"/>
        <v>0</v>
      </c>
      <c r="G57" s="189">
        <f t="shared" si="18"/>
        <v>0</v>
      </c>
      <c r="H57" s="189">
        <f t="shared" si="18"/>
        <v>0</v>
      </c>
      <c r="I57" s="189">
        <f t="shared" si="18"/>
        <v>0</v>
      </c>
      <c r="J57" s="189">
        <f t="shared" si="18"/>
        <v>0</v>
      </c>
      <c r="K57" s="189">
        <f t="shared" si="18"/>
        <v>0</v>
      </c>
      <c r="L57" s="189">
        <f t="shared" si="18"/>
        <v>0</v>
      </c>
      <c r="M57" s="189">
        <f t="shared" si="18"/>
        <v>0</v>
      </c>
      <c r="N57" s="189">
        <f t="shared" si="18"/>
        <v>0</v>
      </c>
      <c r="O57" s="189">
        <f t="shared" si="18"/>
        <v>1097145000</v>
      </c>
      <c r="P57" s="189">
        <f t="shared" si="18"/>
        <v>0</v>
      </c>
      <c r="Q57" s="189">
        <f t="shared" si="18"/>
        <v>0</v>
      </c>
      <c r="R57" s="189">
        <f t="shared" si="18"/>
        <v>0</v>
      </c>
      <c r="S57" s="189">
        <f t="shared" si="18"/>
        <v>0</v>
      </c>
      <c r="T57" s="189">
        <f t="shared" si="18"/>
        <v>0</v>
      </c>
      <c r="U57" s="327">
        <f t="shared" si="18"/>
        <v>0</v>
      </c>
      <c r="V57" s="189">
        <f t="shared" si="18"/>
        <v>0</v>
      </c>
      <c r="W57" s="189">
        <f t="shared" si="18"/>
        <v>0</v>
      </c>
      <c r="X57" s="189">
        <f t="shared" si="18"/>
        <v>0</v>
      </c>
      <c r="Y57" s="189">
        <f t="shared" si="18"/>
        <v>0</v>
      </c>
      <c r="Z57" s="189">
        <f t="shared" si="18"/>
        <v>0</v>
      </c>
      <c r="AA57" s="189">
        <f t="shared" si="18"/>
        <v>0</v>
      </c>
      <c r="AB57" s="327">
        <f t="shared" si="18"/>
        <v>-98826</v>
      </c>
      <c r="AC57" s="327">
        <f t="shared" si="18"/>
        <v>0</v>
      </c>
      <c r="AD57" s="327">
        <f t="shared" si="18"/>
        <v>0</v>
      </c>
      <c r="AE57" s="327">
        <f t="shared" si="18"/>
        <v>0</v>
      </c>
      <c r="AF57" s="327">
        <f t="shared" si="18"/>
        <v>0</v>
      </c>
      <c r="AG57" s="327">
        <f t="shared" ref="AG57:AH57" si="19">AG27-AG56</f>
        <v>0</v>
      </c>
      <c r="AH57" s="327">
        <f t="shared" si="19"/>
        <v>0</v>
      </c>
    </row>
  </sheetData>
  <pageMargins left="0.7" right="0.7" top="0.75" bottom="0.75" header="0.3" footer="0.3"/>
  <pageSetup scale="23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H39"/>
  <sheetViews>
    <sheetView zoomScale="70" zoomScaleNormal="70" zoomScaleSheetLayoutView="100" workbookViewId="0">
      <pane xSplit="1" topLeftCell="AE1" activePane="topRight" state="frozen"/>
      <selection pane="topRight" activeCell="AF37" sqref="AF37:AH37"/>
    </sheetView>
  </sheetViews>
  <sheetFormatPr defaultColWidth="9.28515625" defaultRowHeight="13.9"/>
  <cols>
    <col min="1" max="1" width="44.42578125" style="159" bestFit="1" customWidth="1"/>
    <col min="2" max="2" width="19.85546875" style="278" bestFit="1" customWidth="1"/>
    <col min="3" max="3" width="19" style="278" hidden="1" customWidth="1"/>
    <col min="4" max="4" width="18.5703125" style="278" hidden="1" customWidth="1"/>
    <col min="5" max="5" width="19.5703125" style="278" hidden="1" customWidth="1"/>
    <col min="6" max="6" width="20" style="278" hidden="1" customWidth="1"/>
    <col min="7" max="7" width="20.5703125" style="278" hidden="1" customWidth="1"/>
    <col min="8" max="8" width="20" style="278" hidden="1" customWidth="1"/>
    <col min="9" max="9" width="21.5703125" style="278" hidden="1" customWidth="1"/>
    <col min="10" max="11" width="20" style="278" hidden="1" customWidth="1"/>
    <col min="12" max="12" width="20.7109375" style="278" hidden="1" customWidth="1"/>
    <col min="13" max="13" width="20.5703125" style="278" hidden="1" customWidth="1"/>
    <col min="14" max="14" width="8" style="159" bestFit="1" customWidth="1"/>
    <col min="15" max="27" width="21.42578125" style="159" customWidth="1"/>
    <col min="28" max="28" width="19.7109375" style="159" bestFit="1" customWidth="1"/>
    <col min="29" max="29" width="26.5703125" style="159" customWidth="1"/>
    <col min="30" max="30" width="21" style="159" customWidth="1"/>
    <col min="31" max="31" width="19.42578125" style="159" customWidth="1"/>
    <col min="32" max="32" width="21.85546875" style="159" customWidth="1"/>
    <col min="33" max="33" width="19.42578125" style="159" customWidth="1"/>
    <col min="34" max="34" width="19.7109375" style="159" bestFit="1" customWidth="1"/>
    <col min="35" max="16384" width="9.28515625" style="159"/>
  </cols>
  <sheetData>
    <row r="1" spans="1:34">
      <c r="A1" s="158" t="s">
        <v>231</v>
      </c>
    </row>
    <row r="2" spans="1:34" ht="14.25">
      <c r="A2" s="158" t="s">
        <v>232</v>
      </c>
      <c r="B2" s="296" t="s">
        <v>109</v>
      </c>
      <c r="C2" s="294">
        <v>44197</v>
      </c>
      <c r="D2" s="294">
        <v>44228</v>
      </c>
      <c r="E2" s="294">
        <v>44256</v>
      </c>
      <c r="F2" s="294">
        <v>44287</v>
      </c>
      <c r="G2" s="294">
        <v>44317</v>
      </c>
      <c r="H2" s="294">
        <v>44348</v>
      </c>
      <c r="I2" s="294">
        <v>44378</v>
      </c>
      <c r="J2" s="294">
        <v>44409</v>
      </c>
      <c r="K2" s="294">
        <v>44440</v>
      </c>
      <c r="L2" s="294">
        <v>44470</v>
      </c>
      <c r="M2" s="294">
        <v>44501</v>
      </c>
      <c r="N2" s="294">
        <v>44531</v>
      </c>
      <c r="O2" s="295" t="s">
        <v>17</v>
      </c>
      <c r="P2" s="294">
        <v>44562</v>
      </c>
      <c r="Q2" s="294">
        <v>44593</v>
      </c>
      <c r="R2" s="294">
        <v>44621</v>
      </c>
      <c r="S2" s="294">
        <v>44652</v>
      </c>
      <c r="T2" s="294">
        <v>44682</v>
      </c>
      <c r="U2" s="294">
        <v>44713</v>
      </c>
      <c r="V2" s="294">
        <v>44743</v>
      </c>
      <c r="W2" s="294">
        <v>44774</v>
      </c>
      <c r="X2" s="294">
        <v>44805</v>
      </c>
      <c r="Y2" s="294">
        <v>44835</v>
      </c>
      <c r="Z2" s="294">
        <v>44866</v>
      </c>
      <c r="AA2" s="294">
        <v>44896</v>
      </c>
      <c r="AB2" s="294" t="s">
        <v>233</v>
      </c>
      <c r="AC2" s="294">
        <v>44949</v>
      </c>
      <c r="AD2" s="294">
        <v>44980</v>
      </c>
      <c r="AE2" s="294">
        <v>45008</v>
      </c>
      <c r="AF2" s="294">
        <v>45039</v>
      </c>
      <c r="AG2" s="294">
        <v>45069</v>
      </c>
      <c r="AH2" s="294">
        <v>45100</v>
      </c>
    </row>
    <row r="3" spans="1:34" s="161" customFormat="1" ht="15">
      <c r="A3" s="160" t="s">
        <v>234</v>
      </c>
      <c r="B3" s="300">
        <f t="shared" ref="B3:N3" si="0">B4+B7</f>
        <v>5873701000</v>
      </c>
      <c r="C3" s="300">
        <f t="shared" si="0"/>
        <v>0</v>
      </c>
      <c r="D3" s="300">
        <f t="shared" si="0"/>
        <v>0</v>
      </c>
      <c r="E3" s="300">
        <f t="shared" si="0"/>
        <v>0</v>
      </c>
      <c r="F3" s="300">
        <f t="shared" si="0"/>
        <v>0</v>
      </c>
      <c r="G3" s="300">
        <f t="shared" si="0"/>
        <v>0</v>
      </c>
      <c r="H3" s="300">
        <f t="shared" si="0"/>
        <v>0</v>
      </c>
      <c r="I3" s="300">
        <f t="shared" si="0"/>
        <v>0</v>
      </c>
      <c r="J3" s="300">
        <f t="shared" si="0"/>
        <v>0</v>
      </c>
      <c r="K3" s="300">
        <f t="shared" si="0"/>
        <v>0</v>
      </c>
      <c r="L3" s="300">
        <f t="shared" si="0"/>
        <v>0</v>
      </c>
      <c r="M3" s="300">
        <f t="shared" si="0"/>
        <v>0</v>
      </c>
      <c r="N3" s="300">
        <f t="shared" si="0"/>
        <v>0</v>
      </c>
      <c r="O3" s="300">
        <f>O4+O7</f>
        <v>6836262000</v>
      </c>
      <c r="P3" s="300">
        <f t="shared" ref="P3:AG3" si="1">P4+P7</f>
        <v>592756191.66000009</v>
      </c>
      <c r="Q3" s="300">
        <f t="shared" si="1"/>
        <v>1157930423.3600001</v>
      </c>
      <c r="R3" s="300">
        <f t="shared" si="1"/>
        <v>1748894366.0899999</v>
      </c>
      <c r="S3" s="300">
        <f t="shared" si="1"/>
        <v>2336103309.5799999</v>
      </c>
      <c r="T3" s="300">
        <f t="shared" si="1"/>
        <v>2967792084.4000001</v>
      </c>
      <c r="U3" s="300">
        <f t="shared" si="1"/>
        <v>3612867641.3599997</v>
      </c>
      <c r="V3" s="300">
        <f t="shared" si="1"/>
        <v>4243587323.3900003</v>
      </c>
      <c r="W3" s="300">
        <f t="shared" si="1"/>
        <v>4862767328</v>
      </c>
      <c r="X3" s="300">
        <f t="shared" si="1"/>
        <v>5480165805.1000004</v>
      </c>
      <c r="Y3" s="300">
        <f t="shared" si="1"/>
        <v>6172399873.1100006</v>
      </c>
      <c r="Z3" s="300">
        <f t="shared" si="1"/>
        <v>6832892981.8999996</v>
      </c>
      <c r="AA3" s="300">
        <f t="shared" si="1"/>
        <v>7529540091.3999996</v>
      </c>
      <c r="AB3" s="300">
        <f t="shared" si="1"/>
        <v>7402417000</v>
      </c>
      <c r="AC3" s="300">
        <f t="shared" si="1"/>
        <v>730149088.14999998</v>
      </c>
      <c r="AD3" s="300">
        <f t="shared" si="1"/>
        <v>1333794308.24</v>
      </c>
      <c r="AE3" s="300">
        <f t="shared" si="1"/>
        <v>1947756187.2</v>
      </c>
      <c r="AF3" s="300">
        <f t="shared" si="1"/>
        <v>2558284856.7600002</v>
      </c>
      <c r="AG3" s="300">
        <f t="shared" si="1"/>
        <v>3231056899.9400001</v>
      </c>
      <c r="AH3" s="300">
        <f t="shared" ref="AH3" si="2">AH4+AH7</f>
        <v>4005538688.4100003</v>
      </c>
    </row>
    <row r="4" spans="1:34" s="162" customFormat="1" ht="15">
      <c r="A4" s="156" t="s">
        <v>235</v>
      </c>
      <c r="B4" s="300">
        <f t="shared" ref="B4:N4" si="3">SUM(B5:B6)</f>
        <v>5027362000</v>
      </c>
      <c r="C4" s="300">
        <f t="shared" si="3"/>
        <v>0</v>
      </c>
      <c r="D4" s="300">
        <f t="shared" si="3"/>
        <v>0</v>
      </c>
      <c r="E4" s="300">
        <f t="shared" si="3"/>
        <v>0</v>
      </c>
      <c r="F4" s="300">
        <f t="shared" si="3"/>
        <v>0</v>
      </c>
      <c r="G4" s="300">
        <f t="shared" si="3"/>
        <v>0</v>
      </c>
      <c r="H4" s="300">
        <f t="shared" si="3"/>
        <v>0</v>
      </c>
      <c r="I4" s="300">
        <f t="shared" si="3"/>
        <v>0</v>
      </c>
      <c r="J4" s="300">
        <f t="shared" si="3"/>
        <v>0</v>
      </c>
      <c r="K4" s="300">
        <f t="shared" si="3"/>
        <v>0</v>
      </c>
      <c r="L4" s="300">
        <f t="shared" si="3"/>
        <v>0</v>
      </c>
      <c r="M4" s="300">
        <f t="shared" si="3"/>
        <v>0</v>
      </c>
      <c r="N4" s="300">
        <f t="shared" si="3"/>
        <v>0</v>
      </c>
      <c r="O4" s="300">
        <f>SUM(O5:O6)</f>
        <v>5820317000</v>
      </c>
      <c r="P4" s="300">
        <f t="shared" ref="P4:AG4" si="4">SUM(P5:P6)</f>
        <v>528902873.91000003</v>
      </c>
      <c r="Q4" s="300">
        <f t="shared" si="4"/>
        <v>1007867166.1500001</v>
      </c>
      <c r="R4" s="300">
        <f t="shared" si="4"/>
        <v>1534686552.3399999</v>
      </c>
      <c r="S4" s="300">
        <f t="shared" si="4"/>
        <v>2054443594.8099999</v>
      </c>
      <c r="T4" s="300">
        <f t="shared" si="4"/>
        <v>2586561093.5100002</v>
      </c>
      <c r="U4" s="300">
        <f t="shared" si="4"/>
        <v>3103695401.9299998</v>
      </c>
      <c r="V4" s="300">
        <f t="shared" si="4"/>
        <v>3655141930.7000003</v>
      </c>
      <c r="W4" s="300">
        <f t="shared" si="4"/>
        <v>4200600789.23</v>
      </c>
      <c r="X4" s="300">
        <f t="shared" si="4"/>
        <v>4738044474.75</v>
      </c>
      <c r="Y4" s="300">
        <f t="shared" si="4"/>
        <v>5311118280.2600002</v>
      </c>
      <c r="Z4" s="300">
        <f t="shared" si="4"/>
        <v>5875409236.71</v>
      </c>
      <c r="AA4" s="300">
        <f t="shared" si="4"/>
        <v>6458362913.8699999</v>
      </c>
      <c r="AB4" s="300">
        <f t="shared" si="4"/>
        <v>6349015000</v>
      </c>
      <c r="AC4" s="300">
        <f t="shared" si="4"/>
        <v>632901783.25</v>
      </c>
      <c r="AD4" s="300">
        <f t="shared" si="4"/>
        <v>1142539937.25</v>
      </c>
      <c r="AE4" s="300">
        <f t="shared" si="4"/>
        <v>1645782915.9100001</v>
      </c>
      <c r="AF4" s="300">
        <f t="shared" si="4"/>
        <v>2166252530.1500001</v>
      </c>
      <c r="AG4" s="300">
        <f t="shared" si="4"/>
        <v>2734565259</v>
      </c>
      <c r="AH4" s="300">
        <f t="shared" ref="AH4" si="5">SUM(AH5:AH6)</f>
        <v>3305711676.3500004</v>
      </c>
    </row>
    <row r="5" spans="1:34" ht="15">
      <c r="A5" s="157" t="s">
        <v>236</v>
      </c>
      <c r="B5" s="299">
        <v>5027362000</v>
      </c>
      <c r="C5" s="299"/>
      <c r="D5" s="299"/>
      <c r="E5" s="299"/>
      <c r="F5" s="299"/>
      <c r="G5" s="299"/>
      <c r="H5" s="299"/>
      <c r="I5" s="299"/>
      <c r="J5" s="299"/>
      <c r="K5" s="299"/>
      <c r="L5" s="299"/>
      <c r="M5" s="299"/>
      <c r="N5" s="299"/>
      <c r="O5" s="299">
        <v>5820317000</v>
      </c>
      <c r="P5" s="299">
        <v>523863968.11000001</v>
      </c>
      <c r="Q5" s="299">
        <v>997815085.94000006</v>
      </c>
      <c r="R5" s="299">
        <v>1519310552.72</v>
      </c>
      <c r="S5" s="299">
        <v>2033977622.47</v>
      </c>
      <c r="T5" s="299">
        <v>2560829873.7800002</v>
      </c>
      <c r="U5" s="299">
        <v>3072649216.77</v>
      </c>
      <c r="V5" s="299">
        <v>3618826628.5100002</v>
      </c>
      <c r="W5" s="299">
        <v>4159014017.52</v>
      </c>
      <c r="X5" s="299">
        <v>4691073461.0299997</v>
      </c>
      <c r="Y5" s="299">
        <v>5258565404.75</v>
      </c>
      <c r="Z5" s="299">
        <v>5817035507.5799999</v>
      </c>
      <c r="AA5" s="299">
        <v>6394275795.3900003</v>
      </c>
      <c r="AB5" s="186">
        <f>1015082000+5190873000+70109000</f>
        <v>6276064000</v>
      </c>
      <c r="AC5" s="350">
        <v>625996117.17999995</v>
      </c>
      <c r="AD5" s="352">
        <v>1134452720.76</v>
      </c>
      <c r="AE5" s="352">
        <v>1636752591.6500001</v>
      </c>
      <c r="AF5" s="352">
        <v>2153562882.1399999</v>
      </c>
      <c r="AG5" s="350">
        <v>2720329062.6799998</v>
      </c>
      <c r="AH5" s="394">
        <v>3290760513.8400002</v>
      </c>
    </row>
    <row r="6" spans="1:34" ht="15">
      <c r="A6" s="157" t="s">
        <v>237</v>
      </c>
      <c r="B6" s="303"/>
      <c r="C6" s="303"/>
      <c r="D6" s="303"/>
      <c r="E6" s="303"/>
      <c r="F6" s="303"/>
      <c r="G6" s="303"/>
      <c r="H6" s="303"/>
      <c r="I6" s="303"/>
      <c r="J6" s="303"/>
      <c r="K6" s="303"/>
      <c r="L6" s="303"/>
      <c r="M6" s="303"/>
      <c r="N6" s="303"/>
      <c r="O6" s="303"/>
      <c r="P6" s="303">
        <v>5038905.8</v>
      </c>
      <c r="Q6" s="303">
        <v>10052080.210000001</v>
      </c>
      <c r="R6" s="303">
        <v>15375999.619999999</v>
      </c>
      <c r="S6" s="303">
        <v>20465972.34</v>
      </c>
      <c r="T6" s="303">
        <v>25731219.73</v>
      </c>
      <c r="U6" s="303">
        <v>31046185.16</v>
      </c>
      <c r="V6" s="303">
        <v>36315302.189999998</v>
      </c>
      <c r="W6" s="303">
        <v>41586771.710000001</v>
      </c>
      <c r="X6" s="303">
        <v>46971013.719999999</v>
      </c>
      <c r="Y6" s="303">
        <v>52552875.509999998</v>
      </c>
      <c r="Z6" s="303">
        <v>58373729.130000003</v>
      </c>
      <c r="AA6" s="303">
        <v>64087118.479999997</v>
      </c>
      <c r="AB6" s="186">
        <f>72951000</f>
        <v>72951000</v>
      </c>
      <c r="AC6" s="354">
        <v>6905666.0700000003</v>
      </c>
      <c r="AD6" s="356">
        <v>8087216.4900000002</v>
      </c>
      <c r="AE6" s="356">
        <v>9030324.2599999998</v>
      </c>
      <c r="AF6" s="356">
        <v>12689648.01</v>
      </c>
      <c r="AG6" s="354">
        <v>14236196.32</v>
      </c>
      <c r="AH6" s="396">
        <v>14951162.51</v>
      </c>
    </row>
    <row r="7" spans="1:34" s="162" customFormat="1" ht="15">
      <c r="A7" s="156" t="s">
        <v>238</v>
      </c>
      <c r="B7" s="300">
        <f t="shared" ref="B7:N7" si="6">SUM(B8:B11)</f>
        <v>846339000</v>
      </c>
      <c r="C7" s="300">
        <f t="shared" si="6"/>
        <v>0</v>
      </c>
      <c r="D7" s="300">
        <f t="shared" si="6"/>
        <v>0</v>
      </c>
      <c r="E7" s="300">
        <f t="shared" si="6"/>
        <v>0</v>
      </c>
      <c r="F7" s="300">
        <f t="shared" si="6"/>
        <v>0</v>
      </c>
      <c r="G7" s="300">
        <f t="shared" si="6"/>
        <v>0</v>
      </c>
      <c r="H7" s="300">
        <f t="shared" si="6"/>
        <v>0</v>
      </c>
      <c r="I7" s="300">
        <f t="shared" si="6"/>
        <v>0</v>
      </c>
      <c r="J7" s="300">
        <f t="shared" si="6"/>
        <v>0</v>
      </c>
      <c r="K7" s="300">
        <f t="shared" si="6"/>
        <v>0</v>
      </c>
      <c r="L7" s="300">
        <f t="shared" si="6"/>
        <v>0</v>
      </c>
      <c r="M7" s="300">
        <f t="shared" si="6"/>
        <v>0</v>
      </c>
      <c r="N7" s="300">
        <f t="shared" si="6"/>
        <v>0</v>
      </c>
      <c r="O7" s="300">
        <f>SUM(O8:O11)</f>
        <v>1015945000</v>
      </c>
      <c r="P7" s="300">
        <f t="shared" ref="P7:AH7" si="7">SUM(P8:P11)</f>
        <v>63853317.75</v>
      </c>
      <c r="Q7" s="300">
        <f t="shared" si="7"/>
        <v>150063257.21000001</v>
      </c>
      <c r="R7" s="300">
        <f t="shared" si="7"/>
        <v>214207813.75</v>
      </c>
      <c r="S7" s="300">
        <f t="shared" si="7"/>
        <v>281659714.76999998</v>
      </c>
      <c r="T7" s="300">
        <f t="shared" si="7"/>
        <v>381230990.88999999</v>
      </c>
      <c r="U7" s="300">
        <f t="shared" si="7"/>
        <v>509172239.43000001</v>
      </c>
      <c r="V7" s="300">
        <f t="shared" si="7"/>
        <v>588445392.69000006</v>
      </c>
      <c r="W7" s="300">
        <f t="shared" si="7"/>
        <v>662166538.76999998</v>
      </c>
      <c r="X7" s="300">
        <f t="shared" si="7"/>
        <v>742121330.35000002</v>
      </c>
      <c r="Y7" s="300">
        <f t="shared" si="7"/>
        <v>861281592.85000002</v>
      </c>
      <c r="Z7" s="300">
        <f t="shared" si="7"/>
        <v>957483745.19000006</v>
      </c>
      <c r="AA7" s="300">
        <f t="shared" si="7"/>
        <v>1071177177.53</v>
      </c>
      <c r="AB7" s="300">
        <f t="shared" si="7"/>
        <v>1053402000</v>
      </c>
      <c r="AC7" s="300">
        <f t="shared" si="7"/>
        <v>97247304.899999991</v>
      </c>
      <c r="AD7" s="300">
        <f t="shared" si="7"/>
        <v>191254370.99000001</v>
      </c>
      <c r="AE7" s="300">
        <f t="shared" si="7"/>
        <v>301973271.28999996</v>
      </c>
      <c r="AF7" s="300">
        <f t="shared" si="7"/>
        <v>392032326.61000001</v>
      </c>
      <c r="AG7" s="300">
        <f t="shared" si="7"/>
        <v>496491640.94000006</v>
      </c>
      <c r="AH7" s="300">
        <f t="shared" si="7"/>
        <v>699827012.05999994</v>
      </c>
    </row>
    <row r="8" spans="1:34" ht="15">
      <c r="A8" s="157" t="s">
        <v>239</v>
      </c>
      <c r="B8" s="186">
        <v>0</v>
      </c>
      <c r="C8" s="186">
        <v>0</v>
      </c>
      <c r="D8" s="186">
        <v>0</v>
      </c>
      <c r="E8" s="186">
        <v>0</v>
      </c>
      <c r="F8" s="186">
        <v>0</v>
      </c>
      <c r="G8" s="186">
        <v>0</v>
      </c>
      <c r="H8" s="186">
        <v>0</v>
      </c>
      <c r="I8" s="186">
        <v>0</v>
      </c>
      <c r="J8" s="186">
        <v>0</v>
      </c>
      <c r="K8" s="186">
        <v>0</v>
      </c>
      <c r="L8" s="186">
        <v>0</v>
      </c>
      <c r="M8" s="186">
        <v>0</v>
      </c>
      <c r="N8" s="186">
        <v>0</v>
      </c>
      <c r="O8" s="186">
        <v>0</v>
      </c>
      <c r="P8" s="332">
        <v>0</v>
      </c>
      <c r="Q8" s="332">
        <v>6949973</v>
      </c>
      <c r="R8" s="332">
        <v>10177455</v>
      </c>
      <c r="S8" s="332">
        <v>13352881</v>
      </c>
      <c r="T8" s="332">
        <v>51414113</v>
      </c>
      <c r="U8" s="332">
        <v>61747445</v>
      </c>
      <c r="V8" s="332">
        <v>72425221</v>
      </c>
      <c r="W8" s="332">
        <v>83102997</v>
      </c>
      <c r="X8" s="332">
        <v>93436329</v>
      </c>
      <c r="Y8" s="332">
        <v>140298795</v>
      </c>
      <c r="Z8" s="332">
        <v>161065552</v>
      </c>
      <c r="AA8" s="332">
        <v>181305254</v>
      </c>
      <c r="AC8" s="350">
        <v>18531529</v>
      </c>
      <c r="AD8" s="352">
        <v>40604965</v>
      </c>
      <c r="AE8" s="352">
        <v>61939777</v>
      </c>
      <c r="AF8" s="352">
        <v>82810313</v>
      </c>
      <c r="AG8" s="350">
        <v>104265290</v>
      </c>
      <c r="AH8" s="394">
        <v>124910592</v>
      </c>
    </row>
    <row r="9" spans="1:34" ht="15">
      <c r="A9" s="157" t="s">
        <v>240</v>
      </c>
      <c r="B9" s="186">
        <v>0</v>
      </c>
      <c r="C9" s="186">
        <v>0</v>
      </c>
      <c r="D9" s="186">
        <v>0</v>
      </c>
      <c r="E9" s="186">
        <v>0</v>
      </c>
      <c r="F9" s="186">
        <v>0</v>
      </c>
      <c r="G9" s="186">
        <v>0</v>
      </c>
      <c r="H9" s="186">
        <v>0</v>
      </c>
      <c r="I9" s="186">
        <v>0</v>
      </c>
      <c r="J9" s="186">
        <v>0</v>
      </c>
      <c r="K9" s="186">
        <v>0</v>
      </c>
      <c r="L9" s="186">
        <v>0</v>
      </c>
      <c r="M9" s="186">
        <v>0</v>
      </c>
      <c r="N9" s="186">
        <v>0</v>
      </c>
      <c r="O9" s="186">
        <v>0</v>
      </c>
      <c r="P9" s="186">
        <v>37718264.799999997</v>
      </c>
      <c r="Q9" s="186">
        <v>78406972.359999999</v>
      </c>
      <c r="R9" s="186">
        <v>111815172.2</v>
      </c>
      <c r="S9" s="186">
        <v>148652179.16999999</v>
      </c>
      <c r="T9" s="186">
        <v>182048382.15000001</v>
      </c>
      <c r="U9" s="186">
        <v>220410462.13</v>
      </c>
      <c r="V9" s="186">
        <v>260813219.97</v>
      </c>
      <c r="W9" s="186">
        <v>299973071.60000002</v>
      </c>
      <c r="X9" s="186">
        <v>340980237.19</v>
      </c>
      <c r="Y9" s="186">
        <v>385228012.23000002</v>
      </c>
      <c r="Z9" s="186">
        <v>430812804.99000001</v>
      </c>
      <c r="AA9" s="186">
        <v>494714547.62</v>
      </c>
      <c r="AB9" s="186">
        <v>495662000</v>
      </c>
      <c r="AC9" s="354">
        <v>54144050.229999997</v>
      </c>
      <c r="AD9" s="356">
        <v>99200968.620000005</v>
      </c>
      <c r="AE9" s="356">
        <v>151942157.03999999</v>
      </c>
      <c r="AF9" s="356">
        <v>197058365.94</v>
      </c>
      <c r="AG9" s="354">
        <v>250478205.84</v>
      </c>
      <c r="AH9" s="396">
        <v>318365273.05000001</v>
      </c>
    </row>
    <row r="10" spans="1:34" ht="29.25">
      <c r="A10" s="157" t="s">
        <v>241</v>
      </c>
      <c r="B10" s="304"/>
      <c r="C10" s="304"/>
      <c r="D10" s="304"/>
      <c r="E10" s="304"/>
      <c r="F10" s="304"/>
      <c r="G10" s="304"/>
      <c r="H10" s="304"/>
      <c r="I10" s="304"/>
      <c r="J10" s="304"/>
      <c r="K10" s="304"/>
      <c r="L10" s="304"/>
      <c r="M10" s="304"/>
      <c r="N10" s="304"/>
      <c r="O10" s="304"/>
      <c r="P10" s="304">
        <v>0</v>
      </c>
      <c r="Q10" s="304">
        <v>0</v>
      </c>
      <c r="R10" s="304">
        <v>0</v>
      </c>
      <c r="S10" s="304">
        <v>0</v>
      </c>
      <c r="T10" s="304">
        <v>0</v>
      </c>
      <c r="U10" s="304">
        <v>55322215.600000001</v>
      </c>
      <c r="V10" s="304">
        <v>55322215.600000001</v>
      </c>
      <c r="W10" s="304">
        <v>55322215.600000001</v>
      </c>
      <c r="X10" s="304">
        <v>55322215.600000001</v>
      </c>
      <c r="Y10" s="304">
        <v>55322215.600000001</v>
      </c>
      <c r="Z10" s="304">
        <v>56323718.600000001</v>
      </c>
      <c r="AA10" s="304">
        <v>56323718.600000001</v>
      </c>
      <c r="AB10" s="186">
        <v>181305000</v>
      </c>
      <c r="AC10" s="353">
        <v>0</v>
      </c>
      <c r="AD10" s="355">
        <v>0</v>
      </c>
      <c r="AE10" s="355">
        <v>0</v>
      </c>
      <c r="AF10" s="355">
        <v>0</v>
      </c>
      <c r="AG10" s="353">
        <v>0</v>
      </c>
      <c r="AH10" s="396">
        <v>86070576</v>
      </c>
    </row>
    <row r="11" spans="1:34" ht="29.25">
      <c r="A11" s="157" t="s">
        <v>242</v>
      </c>
      <c r="B11" s="304">
        <v>846339000</v>
      </c>
      <c r="C11" s="304"/>
      <c r="D11" s="304"/>
      <c r="E11" s="304"/>
      <c r="F11" s="304"/>
      <c r="G11" s="304"/>
      <c r="H11" s="304"/>
      <c r="I11" s="304"/>
      <c r="J11" s="304"/>
      <c r="K11" s="304"/>
      <c r="L11" s="304"/>
      <c r="M11" s="304"/>
      <c r="N11" s="304"/>
      <c r="O11" s="304">
        <v>1015945000</v>
      </c>
      <c r="P11" s="304">
        <v>26135052.949999999</v>
      </c>
      <c r="Q11" s="304">
        <v>64706311.850000001</v>
      </c>
      <c r="R11" s="304">
        <v>92215186.549999997</v>
      </c>
      <c r="S11" s="304">
        <v>119654654.59999999</v>
      </c>
      <c r="T11" s="304">
        <v>147768495.74000001</v>
      </c>
      <c r="U11" s="304">
        <v>171692116.69999999</v>
      </c>
      <c r="V11" s="304">
        <v>199884736.12</v>
      </c>
      <c r="W11" s="304">
        <v>223768254.56999999</v>
      </c>
      <c r="X11" s="304">
        <v>252382548.56</v>
      </c>
      <c r="Y11" s="304">
        <v>280432570.01999998</v>
      </c>
      <c r="Z11" s="304">
        <v>309281669.60000002</v>
      </c>
      <c r="AA11" s="304">
        <v>338833657.31</v>
      </c>
      <c r="AB11" s="186">
        <f>110932000+265503000</f>
        <v>376435000</v>
      </c>
      <c r="AC11" s="350">
        <v>24571725.670000002</v>
      </c>
      <c r="AD11" s="352">
        <v>51448437.369999997</v>
      </c>
      <c r="AE11" s="352">
        <v>88091337.25</v>
      </c>
      <c r="AF11" s="352">
        <v>112163647.67</v>
      </c>
      <c r="AG11" s="352">
        <v>141748145.09999999</v>
      </c>
      <c r="AH11" s="396">
        <v>170480571.00999999</v>
      </c>
    </row>
    <row r="12" spans="1:34" s="162" customFormat="1" ht="15">
      <c r="A12" s="156" t="s">
        <v>243</v>
      </c>
      <c r="B12" s="300">
        <f t="shared" ref="B12:N12" si="8">B13+B14+B15+B16+B17+B18</f>
        <v>3019439000</v>
      </c>
      <c r="C12" s="300">
        <f t="shared" si="8"/>
        <v>0</v>
      </c>
      <c r="D12" s="300">
        <f t="shared" si="8"/>
        <v>0</v>
      </c>
      <c r="E12" s="300">
        <f t="shared" si="8"/>
        <v>0</v>
      </c>
      <c r="F12" s="300">
        <f t="shared" si="8"/>
        <v>0</v>
      </c>
      <c r="G12" s="300">
        <f t="shared" si="8"/>
        <v>0</v>
      </c>
      <c r="H12" s="300">
        <f t="shared" si="8"/>
        <v>0</v>
      </c>
      <c r="I12" s="300">
        <f t="shared" si="8"/>
        <v>0</v>
      </c>
      <c r="J12" s="300">
        <f t="shared" si="8"/>
        <v>0</v>
      </c>
      <c r="K12" s="300">
        <f t="shared" si="8"/>
        <v>0</v>
      </c>
      <c r="L12" s="300">
        <f t="shared" si="8"/>
        <v>0</v>
      </c>
      <c r="M12" s="300">
        <f t="shared" si="8"/>
        <v>0</v>
      </c>
      <c r="N12" s="300">
        <f t="shared" si="8"/>
        <v>0</v>
      </c>
      <c r="O12" s="300">
        <f>O13+O14+O15+O16+O17+O18</f>
        <v>2984685000</v>
      </c>
      <c r="P12" s="300">
        <f t="shared" ref="P12:AH12" si="9">P13+P14+P15+P16+P17+P18</f>
        <v>288552617.14999998</v>
      </c>
      <c r="Q12" s="300">
        <f t="shared" si="9"/>
        <v>571012747.78000009</v>
      </c>
      <c r="R12" s="300">
        <f t="shared" si="9"/>
        <v>862157569.97000003</v>
      </c>
      <c r="S12" s="300">
        <f t="shared" si="9"/>
        <v>1152392682.8799999</v>
      </c>
      <c r="T12" s="300">
        <f t="shared" si="9"/>
        <v>1441212084.54</v>
      </c>
      <c r="U12" s="300">
        <f t="shared" si="9"/>
        <v>1731406843.3199997</v>
      </c>
      <c r="V12" s="300">
        <f t="shared" si="9"/>
        <v>2021503764.99</v>
      </c>
      <c r="W12" s="300">
        <f t="shared" si="9"/>
        <v>2316465886.4200001</v>
      </c>
      <c r="X12" s="300">
        <f t="shared" si="9"/>
        <v>2623248794.2800002</v>
      </c>
      <c r="Y12" s="300">
        <f t="shared" si="9"/>
        <v>2909675050.0400004</v>
      </c>
      <c r="Z12" s="300">
        <f t="shared" si="9"/>
        <v>3207996025.5</v>
      </c>
      <c r="AA12" s="300">
        <f t="shared" si="9"/>
        <v>3600434923.5799999</v>
      </c>
      <c r="AB12" s="300">
        <f t="shared" si="9"/>
        <v>3593638000</v>
      </c>
      <c r="AC12" s="300">
        <f t="shared" si="9"/>
        <v>312305810.43000001</v>
      </c>
      <c r="AD12" s="300">
        <f t="shared" si="9"/>
        <v>638704763.31000006</v>
      </c>
      <c r="AE12" s="300">
        <f t="shared" si="9"/>
        <v>978841686.18999994</v>
      </c>
      <c r="AF12" s="300">
        <f t="shared" si="9"/>
        <v>1308825485.1200001</v>
      </c>
      <c r="AG12" s="300">
        <f t="shared" si="9"/>
        <v>1580874651.4499998</v>
      </c>
      <c r="AH12" s="300">
        <f t="shared" si="9"/>
        <v>1902363311.1900001</v>
      </c>
    </row>
    <row r="13" spans="1:34" ht="15">
      <c r="A13" s="157" t="s">
        <v>244</v>
      </c>
      <c r="B13" s="304">
        <v>2826735000</v>
      </c>
      <c r="C13" s="304"/>
      <c r="D13" s="304"/>
      <c r="E13" s="304"/>
      <c r="F13" s="304"/>
      <c r="G13" s="304"/>
      <c r="H13" s="304"/>
      <c r="I13" s="304"/>
      <c r="J13" s="304"/>
      <c r="K13" s="304"/>
      <c r="L13" s="304"/>
      <c r="M13" s="304"/>
      <c r="N13" s="304"/>
      <c r="O13" s="304">
        <v>3098705000</v>
      </c>
      <c r="P13" s="304">
        <v>34492974.950000003</v>
      </c>
      <c r="Q13" s="304">
        <v>63405947.009999998</v>
      </c>
      <c r="R13" s="304">
        <v>100727592.73999999</v>
      </c>
      <c r="S13" s="304">
        <v>137254719.61000001</v>
      </c>
      <c r="T13" s="304">
        <v>172631188.53</v>
      </c>
      <c r="U13" s="304">
        <v>209054042.96000001</v>
      </c>
      <c r="V13" s="304">
        <v>248566922.72</v>
      </c>
      <c r="W13" s="304">
        <v>286848387.13</v>
      </c>
      <c r="X13" s="304">
        <v>334947260.74000001</v>
      </c>
      <c r="Y13" s="304">
        <v>367343585.29000002</v>
      </c>
      <c r="Z13" s="304">
        <v>411099735.54000002</v>
      </c>
      <c r="AA13" s="304">
        <v>468318279.41000003</v>
      </c>
      <c r="AB13" s="186">
        <f>3097346000+405863000+41353000+21103000</f>
        <v>3565665000</v>
      </c>
      <c r="AC13" s="350">
        <v>28305190.629999999</v>
      </c>
      <c r="AD13" s="352">
        <v>70173627.099999994</v>
      </c>
      <c r="AE13" s="352">
        <v>120242301.36</v>
      </c>
      <c r="AF13" s="352">
        <v>163320592.31</v>
      </c>
      <c r="AG13" s="350">
        <v>148535131.66</v>
      </c>
      <c r="AH13" s="394">
        <v>182220128.19999999</v>
      </c>
    </row>
    <row r="14" spans="1:34" ht="15">
      <c r="A14" s="157" t="s">
        <v>245</v>
      </c>
      <c r="B14" s="304"/>
      <c r="C14" s="304"/>
      <c r="D14" s="304"/>
      <c r="E14" s="304"/>
      <c r="F14" s="304"/>
      <c r="G14" s="304"/>
      <c r="H14" s="304"/>
      <c r="I14" s="304"/>
      <c r="J14" s="304"/>
      <c r="K14" s="304"/>
      <c r="L14" s="304"/>
      <c r="M14" s="304"/>
      <c r="N14" s="304"/>
      <c r="O14" s="304">
        <v>853000</v>
      </c>
      <c r="P14" s="304">
        <v>553244.81999999995</v>
      </c>
      <c r="Q14" s="304">
        <v>553244.81999999995</v>
      </c>
      <c r="R14" s="304">
        <v>825102.61</v>
      </c>
      <c r="S14" s="304">
        <v>1093766.33</v>
      </c>
      <c r="T14" s="304">
        <v>1359222.67</v>
      </c>
      <c r="U14" s="304">
        <v>1946299.89</v>
      </c>
      <c r="V14" s="304">
        <v>2527911.0499999998</v>
      </c>
      <c r="W14" s="304">
        <v>3101782.73</v>
      </c>
      <c r="X14" s="304">
        <v>3674643.81</v>
      </c>
      <c r="Y14" s="304">
        <v>4239719.6500000004</v>
      </c>
      <c r="Z14" s="304">
        <v>4799237.7300000004</v>
      </c>
      <c r="AA14" s="304">
        <v>5353174.8899999997</v>
      </c>
      <c r="AB14" s="186">
        <v>5353000</v>
      </c>
      <c r="AC14" s="354">
        <v>1253725.56</v>
      </c>
      <c r="AD14" s="356">
        <v>2498634.48</v>
      </c>
      <c r="AE14" s="356">
        <v>3693462.31</v>
      </c>
      <c r="AF14" s="356">
        <v>4851164.4800000004</v>
      </c>
      <c r="AG14" s="354">
        <v>6105466.8799999999</v>
      </c>
      <c r="AH14" s="396">
        <v>7314724.0099999998</v>
      </c>
    </row>
    <row r="15" spans="1:34" ht="15">
      <c r="A15" s="157" t="s">
        <v>246</v>
      </c>
      <c r="B15" s="301"/>
      <c r="C15" s="301"/>
      <c r="D15" s="301"/>
      <c r="E15" s="301"/>
      <c r="F15" s="301"/>
      <c r="G15" s="301"/>
      <c r="H15" s="301"/>
      <c r="I15" s="301"/>
      <c r="J15" s="301"/>
      <c r="K15" s="301"/>
      <c r="L15" s="301"/>
      <c r="M15" s="301"/>
      <c r="N15" s="301"/>
      <c r="O15" s="301"/>
      <c r="P15" s="301">
        <v>251229062</v>
      </c>
      <c r="Q15" s="301">
        <v>502482565.42000002</v>
      </c>
      <c r="R15" s="301">
        <v>753687186</v>
      </c>
      <c r="S15" s="301">
        <v>1005073340.87</v>
      </c>
      <c r="T15" s="301">
        <v>1256304922.8699999</v>
      </c>
      <c r="U15" s="301">
        <v>1507533984.8699999</v>
      </c>
      <c r="V15" s="301">
        <v>1758763046.8699999</v>
      </c>
      <c r="W15" s="301">
        <v>2009992108.8699999</v>
      </c>
      <c r="X15" s="301">
        <v>2261221170.8699999</v>
      </c>
      <c r="Y15" s="301">
        <v>2512461073.73</v>
      </c>
      <c r="Z15" s="301">
        <v>2763519682</v>
      </c>
      <c r="AA15" s="301">
        <v>3095229298.1799998</v>
      </c>
      <c r="AB15" s="186"/>
      <c r="AC15" s="354">
        <v>282604392.17000002</v>
      </c>
      <c r="AD15" s="356">
        <v>565183584.34000003</v>
      </c>
      <c r="AE15" s="356">
        <v>846975434.33000004</v>
      </c>
      <c r="AF15" s="356">
        <v>1130367168.6800001</v>
      </c>
      <c r="AG15" s="354">
        <v>1412958960.8499999</v>
      </c>
      <c r="AH15" s="396">
        <v>1695550753.02</v>
      </c>
    </row>
    <row r="16" spans="1:34" ht="15">
      <c r="A16" s="157" t="s">
        <v>247</v>
      </c>
      <c r="B16" s="303">
        <v>175569000</v>
      </c>
      <c r="C16" s="303"/>
      <c r="D16" s="303"/>
      <c r="E16" s="303"/>
      <c r="F16" s="303"/>
      <c r="G16" s="303"/>
      <c r="H16" s="303"/>
      <c r="I16" s="303"/>
      <c r="J16" s="303"/>
      <c r="K16" s="303"/>
      <c r="L16" s="303"/>
      <c r="M16" s="303"/>
      <c r="N16" s="303"/>
      <c r="O16" s="303">
        <v>-134546000</v>
      </c>
      <c r="P16" s="303">
        <v>1352909.34</v>
      </c>
      <c r="Q16" s="303">
        <v>2814814.08</v>
      </c>
      <c r="R16" s="303">
        <v>4167512.88</v>
      </c>
      <c r="S16" s="303">
        <v>5533496.5300000003</v>
      </c>
      <c r="T16" s="303">
        <v>6781649.4500000002</v>
      </c>
      <c r="U16" s="303">
        <v>8068673.2699999996</v>
      </c>
      <c r="V16" s="303">
        <v>9344417.4000000004</v>
      </c>
      <c r="W16" s="303">
        <v>10513489.33</v>
      </c>
      <c r="X16" s="303">
        <v>16848069.359999999</v>
      </c>
      <c r="Y16" s="303">
        <v>18597252.510000002</v>
      </c>
      <c r="Z16" s="303">
        <v>20244165.129999999</v>
      </c>
      <c r="AA16" s="303">
        <v>22647082.960000001</v>
      </c>
      <c r="AB16" s="186"/>
      <c r="AC16" s="353">
        <v>883</v>
      </c>
      <c r="AD16" s="356">
        <v>1161</v>
      </c>
      <c r="AE16" s="356">
        <v>5743927.5300000003</v>
      </c>
      <c r="AF16" s="356">
        <v>7601049.9199999999</v>
      </c>
      <c r="AG16" s="354">
        <v>9395924.2899999991</v>
      </c>
      <c r="AH16" s="396">
        <v>11171626.970000001</v>
      </c>
    </row>
    <row r="17" spans="1:34" ht="15">
      <c r="A17" s="157" t="s">
        <v>248</v>
      </c>
      <c r="B17" s="302"/>
      <c r="C17" s="302"/>
      <c r="D17" s="302"/>
      <c r="E17" s="302"/>
      <c r="F17" s="302"/>
      <c r="G17" s="302"/>
      <c r="H17" s="302"/>
      <c r="I17" s="302"/>
      <c r="J17" s="302"/>
      <c r="K17" s="302"/>
      <c r="L17" s="302"/>
      <c r="M17" s="302"/>
      <c r="N17" s="302"/>
      <c r="O17" s="302"/>
      <c r="P17" s="302">
        <v>924426.04</v>
      </c>
      <c r="Q17" s="302">
        <v>1756176.45</v>
      </c>
      <c r="R17" s="302">
        <v>2750175.74</v>
      </c>
      <c r="S17" s="302">
        <v>3437359.54</v>
      </c>
      <c r="T17" s="302">
        <v>4135101.02</v>
      </c>
      <c r="U17" s="302">
        <v>4803842.33</v>
      </c>
      <c r="V17" s="302">
        <v>2301466.9500000002</v>
      </c>
      <c r="W17" s="302">
        <v>6010118.3600000003</v>
      </c>
      <c r="X17" s="302">
        <v>6557649.5</v>
      </c>
      <c r="Y17" s="302">
        <v>7033418.8600000003</v>
      </c>
      <c r="Z17" s="302">
        <v>8333205.0999999996</v>
      </c>
      <c r="AA17" s="302">
        <v>8887088.1400000006</v>
      </c>
      <c r="AB17" s="186"/>
      <c r="AC17" s="354">
        <v>141619.07</v>
      </c>
      <c r="AD17" s="356">
        <v>847756.39</v>
      </c>
      <c r="AE17" s="356">
        <v>2186560.66</v>
      </c>
      <c r="AF17" s="356">
        <v>2685509.73</v>
      </c>
      <c r="AG17" s="354">
        <v>3879167.77</v>
      </c>
      <c r="AH17" s="396">
        <v>6106078.9900000002</v>
      </c>
    </row>
    <row r="18" spans="1:34" ht="15">
      <c r="A18" s="157" t="s">
        <v>249</v>
      </c>
      <c r="B18" s="302">
        <v>17135000</v>
      </c>
      <c r="C18" s="302"/>
      <c r="D18" s="302"/>
      <c r="E18" s="302"/>
      <c r="F18" s="302"/>
      <c r="G18" s="302"/>
      <c r="H18" s="302"/>
      <c r="I18" s="302"/>
      <c r="J18" s="302"/>
      <c r="K18" s="302"/>
      <c r="L18" s="302"/>
      <c r="M18" s="302"/>
      <c r="N18" s="302"/>
      <c r="O18" s="302">
        <v>19673000</v>
      </c>
      <c r="P18" s="302">
        <v>0</v>
      </c>
      <c r="Q18" s="302">
        <v>0</v>
      </c>
      <c r="R18" s="302">
        <v>0</v>
      </c>
      <c r="S18" s="302">
        <v>0</v>
      </c>
      <c r="T18" s="302">
        <v>0</v>
      </c>
      <c r="U18" s="302">
        <v>0</v>
      </c>
      <c r="V18" s="302">
        <v>0</v>
      </c>
      <c r="W18" s="302">
        <v>0</v>
      </c>
      <c r="X18" s="302">
        <v>0</v>
      </c>
      <c r="Y18" s="302">
        <v>0</v>
      </c>
      <c r="Z18" s="302">
        <v>0</v>
      </c>
      <c r="AA18" s="302">
        <v>0</v>
      </c>
      <c r="AB18" s="186">
        <v>22620000</v>
      </c>
      <c r="AC18" s="353">
        <v>0</v>
      </c>
      <c r="AD18" s="355">
        <v>0</v>
      </c>
      <c r="AE18" s="355">
        <v>0</v>
      </c>
      <c r="AF18" s="355">
        <v>0</v>
      </c>
      <c r="AG18" s="353">
        <v>0</v>
      </c>
      <c r="AH18" s="395">
        <v>0</v>
      </c>
    </row>
    <row r="19" spans="1:34" s="162" customFormat="1" ht="15">
      <c r="A19" s="156" t="s">
        <v>250</v>
      </c>
      <c r="B19" s="300">
        <f t="shared" ref="B19:N19" si="10">B3-B12</f>
        <v>2854262000</v>
      </c>
      <c r="C19" s="300">
        <f t="shared" si="10"/>
        <v>0</v>
      </c>
      <c r="D19" s="300">
        <f t="shared" si="10"/>
        <v>0</v>
      </c>
      <c r="E19" s="300">
        <f t="shared" si="10"/>
        <v>0</v>
      </c>
      <c r="F19" s="300">
        <f t="shared" si="10"/>
        <v>0</v>
      </c>
      <c r="G19" s="300">
        <f t="shared" si="10"/>
        <v>0</v>
      </c>
      <c r="H19" s="300">
        <f t="shared" si="10"/>
        <v>0</v>
      </c>
      <c r="I19" s="300">
        <f t="shared" si="10"/>
        <v>0</v>
      </c>
      <c r="J19" s="300">
        <f t="shared" si="10"/>
        <v>0</v>
      </c>
      <c r="K19" s="300">
        <f t="shared" si="10"/>
        <v>0</v>
      </c>
      <c r="L19" s="300">
        <f t="shared" si="10"/>
        <v>0</v>
      </c>
      <c r="M19" s="300">
        <f t="shared" si="10"/>
        <v>0</v>
      </c>
      <c r="N19" s="300">
        <f t="shared" si="10"/>
        <v>0</v>
      </c>
      <c r="O19" s="300">
        <f>O3-O12</f>
        <v>3851577000</v>
      </c>
      <c r="P19" s="300">
        <f t="shared" ref="P19:AG19" si="11">P3-P12</f>
        <v>304203574.51000011</v>
      </c>
      <c r="Q19" s="300">
        <f t="shared" si="11"/>
        <v>586917675.58000004</v>
      </c>
      <c r="R19" s="300">
        <f t="shared" si="11"/>
        <v>886736796.11999989</v>
      </c>
      <c r="S19" s="300">
        <f t="shared" si="11"/>
        <v>1183710626.7</v>
      </c>
      <c r="T19" s="300">
        <f t="shared" si="11"/>
        <v>1526579999.8600001</v>
      </c>
      <c r="U19" s="300">
        <f t="shared" si="11"/>
        <v>1881460798.04</v>
      </c>
      <c r="V19" s="300">
        <f t="shared" si="11"/>
        <v>2222083558.4000006</v>
      </c>
      <c r="W19" s="300">
        <f t="shared" si="11"/>
        <v>2546301441.5799999</v>
      </c>
      <c r="X19" s="300">
        <f t="shared" si="11"/>
        <v>2856917010.8200002</v>
      </c>
      <c r="Y19" s="300">
        <f t="shared" si="11"/>
        <v>3262724823.0700002</v>
      </c>
      <c r="Z19" s="300">
        <f t="shared" si="11"/>
        <v>3624896956.3999996</v>
      </c>
      <c r="AA19" s="300">
        <f t="shared" si="11"/>
        <v>3929105167.8199997</v>
      </c>
      <c r="AB19" s="300">
        <f t="shared" si="11"/>
        <v>3808779000</v>
      </c>
      <c r="AC19" s="300">
        <f t="shared" si="11"/>
        <v>417843277.71999997</v>
      </c>
      <c r="AD19" s="300">
        <f t="shared" si="11"/>
        <v>695089544.92999995</v>
      </c>
      <c r="AE19" s="300">
        <f t="shared" si="11"/>
        <v>968914501.01000011</v>
      </c>
      <c r="AF19" s="300">
        <f t="shared" si="11"/>
        <v>1249459371.6400001</v>
      </c>
      <c r="AG19" s="300">
        <f t="shared" ref="AG19:AH19" si="12">AG3-AG12</f>
        <v>1650182248.4900002</v>
      </c>
      <c r="AH19" s="300">
        <f t="shared" si="12"/>
        <v>2103175377.2200003</v>
      </c>
    </row>
    <row r="20" spans="1:34" s="162" customFormat="1" ht="15">
      <c r="A20" s="156" t="s">
        <v>195</v>
      </c>
      <c r="B20" s="300">
        <f t="shared" ref="B20:N20" si="13">B21-B22</f>
        <v>544310000</v>
      </c>
      <c r="C20" s="300">
        <f t="shared" si="13"/>
        <v>12</v>
      </c>
      <c r="D20" s="300">
        <f t="shared" si="13"/>
        <v>11</v>
      </c>
      <c r="E20" s="300">
        <f t="shared" si="13"/>
        <v>10</v>
      </c>
      <c r="F20" s="300">
        <f t="shared" si="13"/>
        <v>9</v>
      </c>
      <c r="G20" s="300">
        <f t="shared" si="13"/>
        <v>8</v>
      </c>
      <c r="H20" s="300">
        <f t="shared" si="13"/>
        <v>7</v>
      </c>
      <c r="I20" s="300">
        <f t="shared" si="13"/>
        <v>6</v>
      </c>
      <c r="J20" s="300">
        <f t="shared" si="13"/>
        <v>5</v>
      </c>
      <c r="K20" s="300">
        <f t="shared" si="13"/>
        <v>4</v>
      </c>
      <c r="L20" s="300">
        <f t="shared" si="13"/>
        <v>3</v>
      </c>
      <c r="M20" s="300">
        <f t="shared" si="13"/>
        <v>2</v>
      </c>
      <c r="N20" s="300">
        <f t="shared" si="13"/>
        <v>1</v>
      </c>
      <c r="O20" s="300">
        <f>O21-O22</f>
        <v>696693000</v>
      </c>
      <c r="P20" s="300">
        <f t="shared" ref="P20:AG20" si="14">P21-P22</f>
        <v>0</v>
      </c>
      <c r="Q20" s="300">
        <f t="shared" si="14"/>
        <v>0</v>
      </c>
      <c r="R20" s="300">
        <f t="shared" si="14"/>
        <v>0</v>
      </c>
      <c r="S20" s="300">
        <f t="shared" si="14"/>
        <v>-250000000</v>
      </c>
      <c r="T20" s="300">
        <f t="shared" si="14"/>
        <v>-250000000</v>
      </c>
      <c r="U20" s="300">
        <f t="shared" si="14"/>
        <v>42155000</v>
      </c>
      <c r="V20" s="300">
        <f t="shared" si="14"/>
        <v>42155000</v>
      </c>
      <c r="W20" s="300">
        <f t="shared" si="14"/>
        <v>42155000</v>
      </c>
      <c r="X20" s="300">
        <f t="shared" si="14"/>
        <v>42155000</v>
      </c>
      <c r="Y20" s="300">
        <f t="shared" si="14"/>
        <v>287785175.08999997</v>
      </c>
      <c r="Z20" s="300">
        <f t="shared" si="14"/>
        <v>287785175.08999997</v>
      </c>
      <c r="AA20" s="300">
        <f t="shared" si="14"/>
        <v>287785175.08999997</v>
      </c>
      <c r="AB20" s="300">
        <f t="shared" si="14"/>
        <v>821285000</v>
      </c>
      <c r="AC20" s="300">
        <f t="shared" si="14"/>
        <v>0</v>
      </c>
      <c r="AD20" s="300">
        <f t="shared" si="14"/>
        <v>0</v>
      </c>
      <c r="AE20" s="300">
        <f t="shared" si="14"/>
        <v>747714172</v>
      </c>
      <c r="AF20" s="300">
        <f t="shared" si="14"/>
        <v>747714172</v>
      </c>
      <c r="AG20" s="300">
        <f t="shared" ref="AG20:AH20" si="15">AG21-AG22</f>
        <v>747714172</v>
      </c>
      <c r="AH20" s="300">
        <f t="shared" si="15"/>
        <v>1249964284</v>
      </c>
    </row>
    <row r="21" spans="1:34" ht="15">
      <c r="A21" s="157" t="s">
        <v>251</v>
      </c>
      <c r="B21" s="306">
        <v>544310000</v>
      </c>
      <c r="C21" s="306"/>
      <c r="D21" s="306"/>
      <c r="E21" s="306"/>
      <c r="F21" s="306"/>
      <c r="G21" s="306"/>
      <c r="H21" s="306"/>
      <c r="I21" s="306"/>
      <c r="J21" s="306"/>
      <c r="K21" s="306"/>
      <c r="L21" s="306"/>
      <c r="M21" s="306"/>
      <c r="N21" s="306"/>
      <c r="O21" s="306">
        <v>696693000</v>
      </c>
      <c r="P21" s="306">
        <v>0</v>
      </c>
      <c r="Q21" s="306">
        <v>0</v>
      </c>
      <c r="R21" s="306">
        <v>0</v>
      </c>
      <c r="S21" s="306">
        <v>-250000000</v>
      </c>
      <c r="T21" s="306">
        <v>-250000000</v>
      </c>
      <c r="U21" s="306">
        <v>42155000</v>
      </c>
      <c r="V21" s="306">
        <v>42155000</v>
      </c>
      <c r="W21" s="306">
        <v>42155000</v>
      </c>
      <c r="X21" s="306">
        <v>42155000</v>
      </c>
      <c r="Y21" s="306">
        <v>287785175.08999997</v>
      </c>
      <c r="Z21" s="306">
        <v>287785175.08999997</v>
      </c>
      <c r="AA21" s="306">
        <v>287785175.08999997</v>
      </c>
      <c r="AB21" s="186">
        <f>797997000+23288000</f>
        <v>821285000</v>
      </c>
      <c r="AC21" s="349">
        <v>0</v>
      </c>
      <c r="AD21" s="351">
        <v>0</v>
      </c>
      <c r="AE21" s="352">
        <v>747714172</v>
      </c>
      <c r="AF21" s="352">
        <v>747714172</v>
      </c>
      <c r="AG21" s="350">
        <v>747714172</v>
      </c>
      <c r="AH21" s="394">
        <v>1249964284</v>
      </c>
    </row>
    <row r="22" spans="1:34" ht="15">
      <c r="A22" s="157" t="s">
        <v>252</v>
      </c>
      <c r="B22" s="301"/>
      <c r="C22" s="301">
        <v>-12</v>
      </c>
      <c r="D22" s="301">
        <v>-11</v>
      </c>
      <c r="E22" s="301">
        <v>-10</v>
      </c>
      <c r="F22" s="301">
        <v>-9</v>
      </c>
      <c r="G22" s="301">
        <v>-8</v>
      </c>
      <c r="H22" s="301">
        <v>-7</v>
      </c>
      <c r="I22" s="301">
        <v>-6</v>
      </c>
      <c r="J22" s="301">
        <v>-5</v>
      </c>
      <c r="K22" s="301">
        <v>-4</v>
      </c>
      <c r="L22" s="301">
        <v>-3</v>
      </c>
      <c r="M22" s="301">
        <v>-2</v>
      </c>
      <c r="N22" s="301">
        <v>-1</v>
      </c>
      <c r="O22" s="301">
        <v>0</v>
      </c>
      <c r="P22" s="301">
        <v>0</v>
      </c>
      <c r="Q22" s="301">
        <v>0</v>
      </c>
      <c r="R22" s="301">
        <v>0</v>
      </c>
      <c r="S22" s="301">
        <v>0</v>
      </c>
      <c r="T22" s="301">
        <v>0</v>
      </c>
      <c r="U22" s="301">
        <v>0</v>
      </c>
      <c r="V22" s="301">
        <v>0</v>
      </c>
      <c r="W22" s="301">
        <v>0</v>
      </c>
      <c r="X22" s="301">
        <v>0</v>
      </c>
      <c r="Y22" s="301">
        <v>0</v>
      </c>
      <c r="Z22" s="301">
        <v>0</v>
      </c>
      <c r="AA22" s="301">
        <v>0</v>
      </c>
      <c r="AB22" s="186"/>
      <c r="AC22" s="353">
        <v>0</v>
      </c>
      <c r="AD22" s="355">
        <v>0</v>
      </c>
      <c r="AE22" s="355">
        <v>0</v>
      </c>
      <c r="AF22" s="355">
        <v>0</v>
      </c>
      <c r="AG22" s="353">
        <v>0</v>
      </c>
      <c r="AH22" s="395">
        <v>0</v>
      </c>
    </row>
    <row r="23" spans="1:34" s="162" customFormat="1" ht="15">
      <c r="A23" s="156" t="s">
        <v>253</v>
      </c>
      <c r="B23" s="297">
        <f t="shared" ref="B23:N23" si="16">SUM(B24:B28)</f>
        <v>1213299000</v>
      </c>
      <c r="C23" s="297">
        <f t="shared" si="16"/>
        <v>0</v>
      </c>
      <c r="D23" s="297">
        <f t="shared" si="16"/>
        <v>0</v>
      </c>
      <c r="E23" s="297">
        <f t="shared" si="16"/>
        <v>0</v>
      </c>
      <c r="F23" s="297">
        <f t="shared" si="16"/>
        <v>0</v>
      </c>
      <c r="G23" s="297">
        <f t="shared" si="16"/>
        <v>0</v>
      </c>
      <c r="H23" s="297">
        <f t="shared" si="16"/>
        <v>0</v>
      </c>
      <c r="I23" s="297">
        <f t="shared" si="16"/>
        <v>0</v>
      </c>
      <c r="J23" s="297">
        <f t="shared" si="16"/>
        <v>0</v>
      </c>
      <c r="K23" s="297">
        <f t="shared" si="16"/>
        <v>0</v>
      </c>
      <c r="L23" s="297">
        <f t="shared" si="16"/>
        <v>0</v>
      </c>
      <c r="M23" s="297">
        <f t="shared" si="16"/>
        <v>0</v>
      </c>
      <c r="N23" s="297">
        <f t="shared" si="16"/>
        <v>0</v>
      </c>
      <c r="O23" s="297">
        <f>SUM(O24:O28)</f>
        <v>1616130000</v>
      </c>
      <c r="P23" s="297">
        <f t="shared" ref="P23:AH23" si="17">SUM(P24:P28)</f>
        <v>121662663.26000001</v>
      </c>
      <c r="Q23" s="297">
        <f t="shared" si="17"/>
        <v>234951444.21000001</v>
      </c>
      <c r="R23" s="297">
        <f t="shared" si="17"/>
        <v>397190196.01999998</v>
      </c>
      <c r="S23" s="297">
        <f t="shared" si="17"/>
        <v>545100472.5</v>
      </c>
      <c r="T23" s="297">
        <f t="shared" si="17"/>
        <v>691989565.93999994</v>
      </c>
      <c r="U23" s="297">
        <f t="shared" si="17"/>
        <v>884828579.13</v>
      </c>
      <c r="V23" s="297">
        <f t="shared" si="17"/>
        <v>1061620799.55</v>
      </c>
      <c r="W23" s="297">
        <f t="shared" si="17"/>
        <v>1224131855.45</v>
      </c>
      <c r="X23" s="297">
        <f t="shared" si="17"/>
        <v>1400100313.8399999</v>
      </c>
      <c r="Y23" s="297">
        <f t="shared" si="17"/>
        <v>1559091250.76</v>
      </c>
      <c r="Z23" s="297">
        <f t="shared" si="17"/>
        <v>1739446286.25</v>
      </c>
      <c r="AA23" s="297">
        <f t="shared" si="17"/>
        <v>1912162544.2</v>
      </c>
      <c r="AB23" s="297">
        <f t="shared" si="17"/>
        <v>1895960000</v>
      </c>
      <c r="AC23" s="297">
        <f t="shared" si="17"/>
        <v>135446827.11000001</v>
      </c>
      <c r="AD23" s="297">
        <f t="shared" si="17"/>
        <v>280055519.76999998</v>
      </c>
      <c r="AE23" s="297">
        <f t="shared" si="17"/>
        <v>472344265.09000003</v>
      </c>
      <c r="AF23" s="297">
        <f t="shared" si="17"/>
        <v>641620061.40999997</v>
      </c>
      <c r="AG23" s="297">
        <f t="shared" si="17"/>
        <v>816119573.33999991</v>
      </c>
      <c r="AH23" s="297">
        <f t="shared" si="17"/>
        <v>1015247012.9400001</v>
      </c>
    </row>
    <row r="24" spans="1:34" ht="15">
      <c r="A24" s="157" t="s">
        <v>254</v>
      </c>
      <c r="B24" s="304">
        <v>612333000</v>
      </c>
      <c r="C24" s="304"/>
      <c r="D24" s="304"/>
      <c r="E24" s="304"/>
      <c r="F24" s="304"/>
      <c r="G24" s="304"/>
      <c r="H24" s="304"/>
      <c r="I24" s="304"/>
      <c r="J24" s="304"/>
      <c r="K24" s="304"/>
      <c r="L24" s="304"/>
      <c r="M24" s="304"/>
      <c r="N24" s="304"/>
      <c r="O24" s="304">
        <v>751115000</v>
      </c>
      <c r="P24" s="304">
        <v>54074662.520000003</v>
      </c>
      <c r="Q24" s="304">
        <v>109393276.15000001</v>
      </c>
      <c r="R24" s="304">
        <v>178970798.88999999</v>
      </c>
      <c r="S24" s="304">
        <v>260740328.58000001</v>
      </c>
      <c r="T24" s="304">
        <v>329774063.58999997</v>
      </c>
      <c r="U24" s="304">
        <v>397784597.75999999</v>
      </c>
      <c r="V24" s="304">
        <v>462279343.91000003</v>
      </c>
      <c r="W24" s="304">
        <v>536378502.94</v>
      </c>
      <c r="X24" s="304">
        <v>617146891.62</v>
      </c>
      <c r="Y24" s="304">
        <v>693502779.92999995</v>
      </c>
      <c r="Z24" s="304">
        <v>759021019.89999998</v>
      </c>
      <c r="AA24" s="304">
        <v>841883218.35000002</v>
      </c>
      <c r="AB24" s="186">
        <f>591368000+56600000+184911000</f>
        <v>832879000</v>
      </c>
      <c r="AC24" s="350">
        <v>60232700.920000002</v>
      </c>
      <c r="AD24" s="352">
        <v>128089697.12</v>
      </c>
      <c r="AE24" s="352">
        <v>194043088.52000001</v>
      </c>
      <c r="AF24" s="352">
        <v>264718174.34</v>
      </c>
      <c r="AG24" s="350">
        <v>336283216.31999999</v>
      </c>
      <c r="AH24" s="394">
        <v>437934014.29000002</v>
      </c>
    </row>
    <row r="25" spans="1:34" ht="15">
      <c r="A25" s="157" t="s">
        <v>153</v>
      </c>
      <c r="B25" s="304"/>
      <c r="C25" s="304"/>
      <c r="D25" s="304"/>
      <c r="E25" s="304"/>
      <c r="F25" s="304"/>
      <c r="G25" s="304"/>
      <c r="H25" s="304"/>
      <c r="I25" s="304"/>
      <c r="J25" s="304"/>
      <c r="K25" s="304"/>
      <c r="L25" s="304"/>
      <c r="M25" s="304"/>
      <c r="N25" s="304"/>
      <c r="O25" s="304"/>
      <c r="P25" s="304">
        <v>4316207.53</v>
      </c>
      <c r="Q25" s="304">
        <v>10028541.35</v>
      </c>
      <c r="R25" s="304">
        <v>14997708.67</v>
      </c>
      <c r="S25" s="304">
        <v>21399508.129999999</v>
      </c>
      <c r="T25" s="304">
        <v>31899597.899999999</v>
      </c>
      <c r="U25" s="304">
        <v>58095512.380000003</v>
      </c>
      <c r="V25" s="304">
        <v>85922722.959999993</v>
      </c>
      <c r="W25" s="304">
        <v>91896503.200000003</v>
      </c>
      <c r="X25" s="304">
        <v>101928323.8</v>
      </c>
      <c r="Y25" s="304">
        <v>109020428.87</v>
      </c>
      <c r="Z25" s="304">
        <v>124817952.51000001</v>
      </c>
      <c r="AA25" s="304">
        <v>131448024.31</v>
      </c>
      <c r="AB25" s="186">
        <f>6858000+6753000+30828000</f>
        <v>44439000</v>
      </c>
      <c r="AC25" s="354">
        <v>3715324.55</v>
      </c>
      <c r="AD25" s="356">
        <v>6988165.0300000003</v>
      </c>
      <c r="AE25" s="356">
        <v>10944928.83</v>
      </c>
      <c r="AF25" s="356">
        <v>14932511.949999999</v>
      </c>
      <c r="AG25" s="354">
        <v>20779725.77</v>
      </c>
      <c r="AH25" s="396">
        <v>25069293.41</v>
      </c>
    </row>
    <row r="26" spans="1:34" ht="15">
      <c r="A26" s="157" t="s">
        <v>255</v>
      </c>
      <c r="B26" s="304"/>
      <c r="C26" s="304"/>
      <c r="D26" s="304"/>
      <c r="E26" s="304"/>
      <c r="F26" s="304"/>
      <c r="G26" s="304"/>
      <c r="H26" s="304"/>
      <c r="I26" s="304"/>
      <c r="J26" s="304"/>
      <c r="K26" s="304"/>
      <c r="L26" s="304"/>
      <c r="M26" s="304"/>
      <c r="N26" s="304"/>
      <c r="O26" s="304"/>
      <c r="P26" s="304">
        <v>2557890.85</v>
      </c>
      <c r="Q26" s="304">
        <v>5939263.4500000002</v>
      </c>
      <c r="R26" s="304">
        <v>18513215.149999999</v>
      </c>
      <c r="S26" s="304">
        <v>25470362.899999999</v>
      </c>
      <c r="T26" s="304">
        <v>33960666.780000001</v>
      </c>
      <c r="U26" s="304">
        <v>48377057.299999997</v>
      </c>
      <c r="V26" s="304">
        <v>73496538.700000003</v>
      </c>
      <c r="W26" s="304">
        <v>83746428.239999995</v>
      </c>
      <c r="X26" s="304">
        <v>91257475.700000003</v>
      </c>
      <c r="Y26" s="304">
        <v>99836476.019999996</v>
      </c>
      <c r="Z26" s="304">
        <v>110148256.52</v>
      </c>
      <c r="AA26" s="304">
        <v>115747128.52</v>
      </c>
      <c r="AB26" s="186">
        <v>117204000</v>
      </c>
      <c r="AC26" s="354">
        <v>5306997</v>
      </c>
      <c r="AD26" s="356">
        <v>9284771</v>
      </c>
      <c r="AE26" s="356">
        <v>18289015.300000001</v>
      </c>
      <c r="AF26" s="356">
        <v>28937362.620000001</v>
      </c>
      <c r="AG26" s="354">
        <v>39709090.18</v>
      </c>
      <c r="AH26" s="396">
        <v>50267689.789999999</v>
      </c>
    </row>
    <row r="27" spans="1:34" ht="15">
      <c r="A27" s="157" t="s">
        <v>256</v>
      </c>
      <c r="B27" s="304"/>
      <c r="C27" s="304"/>
      <c r="D27" s="304"/>
      <c r="E27" s="304"/>
      <c r="F27" s="304"/>
      <c r="G27" s="304"/>
      <c r="H27" s="304"/>
      <c r="I27" s="304"/>
      <c r="J27" s="304"/>
      <c r="K27" s="304"/>
      <c r="L27" s="304"/>
      <c r="M27" s="304"/>
      <c r="N27" s="304"/>
      <c r="O27" s="304"/>
      <c r="P27" s="304">
        <v>11023047.66</v>
      </c>
      <c r="Q27" s="304">
        <v>21247562.859999999</v>
      </c>
      <c r="R27" s="304">
        <v>41830010.189999998</v>
      </c>
      <c r="S27" s="304">
        <v>55451956.329999998</v>
      </c>
      <c r="T27" s="304">
        <v>69369268.510000005</v>
      </c>
      <c r="U27" s="304">
        <v>106346238.09</v>
      </c>
      <c r="V27" s="304">
        <v>125408216.17</v>
      </c>
      <c r="W27" s="304">
        <v>143139038.52000001</v>
      </c>
      <c r="X27" s="304">
        <v>167502078.88</v>
      </c>
      <c r="Y27" s="304">
        <v>186623842.13999999</v>
      </c>
      <c r="Z27" s="304">
        <v>207025897.18000001</v>
      </c>
      <c r="AA27" s="304">
        <v>227466512.80000001</v>
      </c>
      <c r="AB27" s="186">
        <f>81057000+48820000+7581000+89832000</f>
        <v>227290000</v>
      </c>
      <c r="AC27" s="354">
        <v>13199613.279999999</v>
      </c>
      <c r="AD27" s="356">
        <v>25601281.010000002</v>
      </c>
      <c r="AE27" s="356">
        <v>52914867.079999998</v>
      </c>
      <c r="AF27" s="356">
        <v>71624587.840000004</v>
      </c>
      <c r="AG27" s="354">
        <v>91366460.810000002</v>
      </c>
      <c r="AH27" s="396">
        <v>110898693.75</v>
      </c>
    </row>
    <row r="28" spans="1:34" ht="15">
      <c r="A28" s="157" t="s">
        <v>152</v>
      </c>
      <c r="B28" s="304">
        <v>600966000</v>
      </c>
      <c r="C28" s="304"/>
      <c r="D28" s="304"/>
      <c r="E28" s="304"/>
      <c r="F28" s="304"/>
      <c r="G28" s="304"/>
      <c r="H28" s="304"/>
      <c r="I28" s="304"/>
      <c r="J28" s="304"/>
      <c r="K28" s="304"/>
      <c r="L28" s="304"/>
      <c r="M28" s="304"/>
      <c r="N28" s="304"/>
      <c r="O28" s="304">
        <v>865015000</v>
      </c>
      <c r="P28" s="304">
        <v>49690854.700000003</v>
      </c>
      <c r="Q28" s="304">
        <v>88342800.400000006</v>
      </c>
      <c r="R28" s="304">
        <v>142878463.12</v>
      </c>
      <c r="S28" s="304">
        <v>182038316.56</v>
      </c>
      <c r="T28" s="304">
        <v>226985969.16</v>
      </c>
      <c r="U28" s="304">
        <v>274225173.60000002</v>
      </c>
      <c r="V28" s="304">
        <v>314513977.81</v>
      </c>
      <c r="W28" s="304">
        <v>368971382.55000001</v>
      </c>
      <c r="X28" s="304">
        <v>422265543.83999997</v>
      </c>
      <c r="Y28" s="304">
        <v>470107723.80000001</v>
      </c>
      <c r="Z28" s="304">
        <v>538433160.13999999</v>
      </c>
      <c r="AA28" s="304">
        <v>595617660.22000003</v>
      </c>
      <c r="AB28" s="186">
        <f>27884000+7052000+249512000+6322000+42866000+82816000+136825000+24300000+96571000</f>
        <v>674148000</v>
      </c>
      <c r="AC28" s="354">
        <v>52992191.359999999</v>
      </c>
      <c r="AD28" s="356">
        <v>110091605.61</v>
      </c>
      <c r="AE28" s="356">
        <v>196152365.36000001</v>
      </c>
      <c r="AF28" s="356">
        <v>261407424.66</v>
      </c>
      <c r="AG28" s="354">
        <v>327981080.25999999</v>
      </c>
      <c r="AH28" s="396">
        <v>391077321.69999999</v>
      </c>
    </row>
    <row r="29" spans="1:34" s="162" customFormat="1" ht="15">
      <c r="A29" s="156" t="s">
        <v>257</v>
      </c>
      <c r="B29" s="297">
        <f t="shared" ref="B29:N29" si="18">B19-B20-B23</f>
        <v>1096653000</v>
      </c>
      <c r="C29" s="297">
        <f t="shared" si="18"/>
        <v>-12</v>
      </c>
      <c r="D29" s="297">
        <f t="shared" si="18"/>
        <v>-11</v>
      </c>
      <c r="E29" s="297">
        <f t="shared" si="18"/>
        <v>-10</v>
      </c>
      <c r="F29" s="297">
        <f t="shared" si="18"/>
        <v>-9</v>
      </c>
      <c r="G29" s="297">
        <f t="shared" si="18"/>
        <v>-8</v>
      </c>
      <c r="H29" s="297">
        <f t="shared" si="18"/>
        <v>-7</v>
      </c>
      <c r="I29" s="297">
        <f t="shared" si="18"/>
        <v>-6</v>
      </c>
      <c r="J29" s="297">
        <f t="shared" si="18"/>
        <v>-5</v>
      </c>
      <c r="K29" s="297">
        <f t="shared" si="18"/>
        <v>-4</v>
      </c>
      <c r="L29" s="297">
        <f t="shared" si="18"/>
        <v>-3</v>
      </c>
      <c r="M29" s="297">
        <f t="shared" si="18"/>
        <v>-2</v>
      </c>
      <c r="N29" s="297">
        <f t="shared" si="18"/>
        <v>-1</v>
      </c>
      <c r="O29" s="297">
        <f>O19-O20-O23</f>
        <v>1538754000</v>
      </c>
      <c r="P29" s="297">
        <f t="shared" ref="P29:AG29" si="19">P19-P20-P23</f>
        <v>182540911.25000012</v>
      </c>
      <c r="Q29" s="297">
        <f t="shared" si="19"/>
        <v>351966231.37</v>
      </c>
      <c r="R29" s="297">
        <f t="shared" si="19"/>
        <v>489546600.0999999</v>
      </c>
      <c r="S29" s="297">
        <f t="shared" si="19"/>
        <v>888610154.20000005</v>
      </c>
      <c r="T29" s="297">
        <f t="shared" si="19"/>
        <v>1084590433.9200001</v>
      </c>
      <c r="U29" s="297">
        <f t="shared" si="19"/>
        <v>954477218.90999997</v>
      </c>
      <c r="V29" s="297">
        <f t="shared" si="19"/>
        <v>1118307758.8500006</v>
      </c>
      <c r="W29" s="297">
        <f t="shared" si="19"/>
        <v>1280014586.1299999</v>
      </c>
      <c r="X29" s="297">
        <f t="shared" si="19"/>
        <v>1414661696.9800003</v>
      </c>
      <c r="Y29" s="297">
        <f t="shared" si="19"/>
        <v>1415848397.22</v>
      </c>
      <c r="Z29" s="297">
        <f t="shared" si="19"/>
        <v>1597665495.0599995</v>
      </c>
      <c r="AA29" s="297">
        <f t="shared" si="19"/>
        <v>1729157448.5299995</v>
      </c>
      <c r="AB29" s="297">
        <f t="shared" si="19"/>
        <v>1091534000</v>
      </c>
      <c r="AC29" s="297">
        <f t="shared" si="19"/>
        <v>282396450.60999995</v>
      </c>
      <c r="AD29" s="297">
        <f t="shared" si="19"/>
        <v>415034025.15999997</v>
      </c>
      <c r="AE29" s="297">
        <f t="shared" si="19"/>
        <v>-251143936.07999992</v>
      </c>
      <c r="AF29" s="297">
        <f t="shared" si="19"/>
        <v>-139874861.76999986</v>
      </c>
      <c r="AG29" s="297">
        <f t="shared" ref="AG29:AH29" si="20">AG19-AG20-AG23</f>
        <v>86348503.150000334</v>
      </c>
      <c r="AH29" s="297">
        <f t="shared" si="20"/>
        <v>-162035919.71999979</v>
      </c>
    </row>
    <row r="30" spans="1:34" s="163" customFormat="1" ht="15">
      <c r="A30" s="157" t="s">
        <v>258</v>
      </c>
      <c r="B30" s="297">
        <f t="shared" ref="B30:N30" si="21">B31-B32</f>
        <v>0</v>
      </c>
      <c r="C30" s="297">
        <f t="shared" si="21"/>
        <v>0</v>
      </c>
      <c r="D30" s="297">
        <f t="shared" si="21"/>
        <v>0</v>
      </c>
      <c r="E30" s="297">
        <f t="shared" si="21"/>
        <v>0</v>
      </c>
      <c r="F30" s="297">
        <f t="shared" si="21"/>
        <v>0</v>
      </c>
      <c r="G30" s="297">
        <f t="shared" si="21"/>
        <v>0</v>
      </c>
      <c r="H30" s="297">
        <f t="shared" si="21"/>
        <v>0</v>
      </c>
      <c r="I30" s="297">
        <f t="shared" si="21"/>
        <v>0</v>
      </c>
      <c r="J30" s="297">
        <f t="shared" si="21"/>
        <v>0</v>
      </c>
      <c r="K30" s="297">
        <f t="shared" si="21"/>
        <v>0</v>
      </c>
      <c r="L30" s="297">
        <f t="shared" si="21"/>
        <v>0</v>
      </c>
      <c r="M30" s="297">
        <f t="shared" si="21"/>
        <v>0</v>
      </c>
      <c r="N30" s="297">
        <f t="shared" si="21"/>
        <v>0</v>
      </c>
      <c r="O30" s="297">
        <f>O31-O32</f>
        <v>0</v>
      </c>
      <c r="P30" s="297"/>
      <c r="Q30" s="297"/>
      <c r="R30" s="297"/>
      <c r="S30" s="297"/>
      <c r="T30" s="297"/>
      <c r="U30" s="297"/>
      <c r="V30" s="297"/>
      <c r="W30" s="297"/>
      <c r="X30" s="297"/>
      <c r="Y30" s="297"/>
      <c r="Z30" s="297"/>
      <c r="AA30" s="297"/>
      <c r="AB30" s="300">
        <f>AB31-AB32</f>
        <v>7365000</v>
      </c>
      <c r="AC30" s="300">
        <f t="shared" ref="AC30:AG30" si="22">AC31-AC32</f>
        <v>0</v>
      </c>
      <c r="AD30" s="300">
        <f t="shared" si="22"/>
        <v>0</v>
      </c>
      <c r="AE30" s="300">
        <f t="shared" si="22"/>
        <v>0</v>
      </c>
      <c r="AF30" s="300">
        <f t="shared" si="22"/>
        <v>0</v>
      </c>
      <c r="AG30" s="300">
        <f t="shared" ref="AG30:AH30" si="23">AG31-AG32</f>
        <v>0</v>
      </c>
      <c r="AH30" s="300">
        <f t="shared" si="23"/>
        <v>0</v>
      </c>
    </row>
    <row r="31" spans="1:34" ht="15">
      <c r="A31" s="157" t="s">
        <v>259</v>
      </c>
      <c r="B31" s="132"/>
      <c r="C31" s="132"/>
      <c r="D31" s="132"/>
      <c r="E31" s="132"/>
      <c r="F31" s="132"/>
      <c r="G31" s="132"/>
      <c r="H31" s="132"/>
      <c r="I31" s="132"/>
      <c r="J31" s="132"/>
      <c r="K31" s="132"/>
      <c r="L31" s="132"/>
      <c r="M31" s="132"/>
      <c r="N31" s="132"/>
      <c r="O31" s="132"/>
      <c r="P31" s="132">
        <v>0</v>
      </c>
      <c r="Q31" s="132">
        <v>0</v>
      </c>
      <c r="R31" s="132">
        <v>0</v>
      </c>
      <c r="S31" s="132">
        <v>0</v>
      </c>
      <c r="T31" s="132">
        <v>0</v>
      </c>
      <c r="U31" s="132">
        <v>0</v>
      </c>
      <c r="V31" s="132">
        <v>0</v>
      </c>
      <c r="W31" s="132">
        <v>0</v>
      </c>
      <c r="X31" s="132">
        <v>0</v>
      </c>
      <c r="Y31" s="132">
        <v>0</v>
      </c>
      <c r="Z31" s="132">
        <v>0</v>
      </c>
      <c r="AA31" s="132">
        <v>0</v>
      </c>
      <c r="AB31" s="333">
        <v>10521000</v>
      </c>
      <c r="AC31" s="349">
        <v>0</v>
      </c>
      <c r="AD31" s="351">
        <v>0</v>
      </c>
      <c r="AE31" s="351">
        <v>0</v>
      </c>
      <c r="AF31" s="351">
        <v>0</v>
      </c>
      <c r="AG31" s="349">
        <v>0</v>
      </c>
      <c r="AH31" s="393">
        <v>0</v>
      </c>
    </row>
    <row r="32" spans="1:34" ht="15">
      <c r="A32" s="157" t="s">
        <v>260</v>
      </c>
      <c r="B32" s="132"/>
      <c r="C32" s="132"/>
      <c r="D32" s="132"/>
      <c r="E32" s="132"/>
      <c r="F32" s="132"/>
      <c r="G32" s="132"/>
      <c r="H32" s="132"/>
      <c r="I32" s="132"/>
      <c r="J32" s="132"/>
      <c r="K32" s="132"/>
      <c r="L32" s="132"/>
      <c r="M32" s="132"/>
      <c r="N32" s="132"/>
      <c r="O32" s="132"/>
      <c r="P32" s="132">
        <v>0</v>
      </c>
      <c r="Q32" s="132">
        <v>0</v>
      </c>
      <c r="R32" s="132">
        <v>0</v>
      </c>
      <c r="S32" s="132">
        <v>0</v>
      </c>
      <c r="T32" s="132">
        <v>0</v>
      </c>
      <c r="U32" s="132">
        <v>0</v>
      </c>
      <c r="V32" s="132">
        <v>0</v>
      </c>
      <c r="W32" s="132">
        <v>0</v>
      </c>
      <c r="X32" s="132">
        <v>0</v>
      </c>
      <c r="Y32" s="132">
        <v>0</v>
      </c>
      <c r="Z32" s="132">
        <v>0</v>
      </c>
      <c r="AA32" s="132">
        <v>0</v>
      </c>
      <c r="AB32" s="333">
        <v>3156000</v>
      </c>
      <c r="AC32" s="353">
        <v>0</v>
      </c>
      <c r="AD32" s="355">
        <v>0</v>
      </c>
      <c r="AE32" s="355">
        <v>0</v>
      </c>
      <c r="AF32" s="355">
        <v>0</v>
      </c>
      <c r="AG32" s="353">
        <v>0</v>
      </c>
      <c r="AH32" s="395">
        <v>0</v>
      </c>
    </row>
    <row r="33" spans="1:34" s="162" customFormat="1" ht="15">
      <c r="A33" s="156" t="s">
        <v>261</v>
      </c>
      <c r="B33" s="298">
        <f t="shared" ref="B33:N33" si="24">B29+B30</f>
        <v>1096653000</v>
      </c>
      <c r="C33" s="298">
        <f t="shared" si="24"/>
        <v>-12</v>
      </c>
      <c r="D33" s="298">
        <f t="shared" si="24"/>
        <v>-11</v>
      </c>
      <c r="E33" s="298">
        <f t="shared" si="24"/>
        <v>-10</v>
      </c>
      <c r="F33" s="298">
        <f t="shared" si="24"/>
        <v>-9</v>
      </c>
      <c r="G33" s="298">
        <f t="shared" si="24"/>
        <v>-8</v>
      </c>
      <c r="H33" s="298">
        <f t="shared" si="24"/>
        <v>-7</v>
      </c>
      <c r="I33" s="298">
        <f t="shared" si="24"/>
        <v>-6</v>
      </c>
      <c r="J33" s="298">
        <f t="shared" si="24"/>
        <v>-5</v>
      </c>
      <c r="K33" s="298">
        <f t="shared" si="24"/>
        <v>-4</v>
      </c>
      <c r="L33" s="298">
        <f t="shared" si="24"/>
        <v>-3</v>
      </c>
      <c r="M33" s="298">
        <f t="shared" si="24"/>
        <v>-2</v>
      </c>
      <c r="N33" s="298">
        <f t="shared" si="24"/>
        <v>-1</v>
      </c>
      <c r="O33" s="298">
        <f>O29+O30</f>
        <v>1538754000</v>
      </c>
      <c r="P33" s="298">
        <f t="shared" ref="P33:AH33" si="25">P29+P30</f>
        <v>182540911.25000012</v>
      </c>
      <c r="Q33" s="298">
        <f t="shared" si="25"/>
        <v>351966231.37</v>
      </c>
      <c r="R33" s="298">
        <f t="shared" si="25"/>
        <v>489546600.0999999</v>
      </c>
      <c r="S33" s="298">
        <f t="shared" si="25"/>
        <v>888610154.20000005</v>
      </c>
      <c r="T33" s="298">
        <f t="shared" si="25"/>
        <v>1084590433.9200001</v>
      </c>
      <c r="U33" s="298">
        <f t="shared" si="25"/>
        <v>954477218.90999997</v>
      </c>
      <c r="V33" s="298">
        <f t="shared" si="25"/>
        <v>1118307758.8500006</v>
      </c>
      <c r="W33" s="298">
        <f t="shared" si="25"/>
        <v>1280014586.1299999</v>
      </c>
      <c r="X33" s="298">
        <f t="shared" si="25"/>
        <v>1414661696.9800003</v>
      </c>
      <c r="Y33" s="298">
        <f t="shared" si="25"/>
        <v>1415848397.22</v>
      </c>
      <c r="Z33" s="298">
        <f t="shared" si="25"/>
        <v>1597665495.0599995</v>
      </c>
      <c r="AA33" s="298">
        <f t="shared" si="25"/>
        <v>1729157448.5299995</v>
      </c>
      <c r="AB33" s="298">
        <f t="shared" si="25"/>
        <v>1098899000</v>
      </c>
      <c r="AC33" s="298">
        <f t="shared" si="25"/>
        <v>282396450.60999995</v>
      </c>
      <c r="AD33" s="298">
        <f t="shared" si="25"/>
        <v>415034025.15999997</v>
      </c>
      <c r="AE33" s="298">
        <f t="shared" si="25"/>
        <v>-251143936.07999992</v>
      </c>
      <c r="AF33" s="298">
        <f t="shared" si="25"/>
        <v>-139874861.76999986</v>
      </c>
      <c r="AG33" s="298">
        <f t="shared" si="25"/>
        <v>86348503.150000334</v>
      </c>
      <c r="AH33" s="298">
        <f t="shared" si="25"/>
        <v>-162035919.71999979</v>
      </c>
    </row>
    <row r="34" spans="1:34" ht="29.25">
      <c r="A34" s="157" t="s">
        <v>262</v>
      </c>
      <c r="B34" s="186">
        <v>75531000</v>
      </c>
      <c r="C34" s="186"/>
      <c r="D34" s="186"/>
      <c r="E34" s="186"/>
      <c r="F34" s="186"/>
      <c r="G34" s="186"/>
      <c r="H34" s="186"/>
      <c r="I34" s="186"/>
      <c r="J34" s="186"/>
      <c r="K34" s="186"/>
      <c r="L34" s="186"/>
      <c r="M34" s="186"/>
      <c r="N34" s="186"/>
      <c r="O34" s="186">
        <v>114242000</v>
      </c>
      <c r="P34" s="186">
        <v>6906071.54</v>
      </c>
      <c r="Q34" s="186">
        <v>17321094.920000002</v>
      </c>
      <c r="R34" s="186">
        <v>23167563.18</v>
      </c>
      <c r="S34" s="186">
        <v>33040703.550000001</v>
      </c>
      <c r="T34" s="186">
        <v>40123496.43</v>
      </c>
      <c r="U34" s="186">
        <v>44871297.450000003</v>
      </c>
      <c r="V34" s="186">
        <v>52368257.340000004</v>
      </c>
      <c r="W34" s="186">
        <v>59190847.25</v>
      </c>
      <c r="X34" s="186">
        <v>62904325.340000004</v>
      </c>
      <c r="Y34" s="186">
        <v>67254223.439999998</v>
      </c>
      <c r="Z34" s="186">
        <v>71583349.319999993</v>
      </c>
      <c r="AA34" s="186">
        <v>125413277.29000001</v>
      </c>
      <c r="AB34" s="186">
        <v>109229000</v>
      </c>
      <c r="AC34" s="350">
        <v>7994317.4199999999</v>
      </c>
      <c r="AD34" s="352">
        <v>8651545.0399999991</v>
      </c>
      <c r="AE34" s="352">
        <v>8675235.9399999995</v>
      </c>
      <c r="AF34" s="352">
        <v>13872208.23</v>
      </c>
      <c r="AG34" s="350">
        <v>20082909.600000001</v>
      </c>
      <c r="AH34" s="394">
        <v>21067096.280000001</v>
      </c>
    </row>
    <row r="35" spans="1:34" s="162" customFormat="1" ht="29.25">
      <c r="A35" s="156" t="s">
        <v>263</v>
      </c>
      <c r="B35" s="297">
        <f t="shared" ref="B35:N35" si="26">B33-B34</f>
        <v>1021122000</v>
      </c>
      <c r="C35" s="297">
        <f t="shared" si="26"/>
        <v>-12</v>
      </c>
      <c r="D35" s="297">
        <f t="shared" si="26"/>
        <v>-11</v>
      </c>
      <c r="E35" s="297">
        <f t="shared" si="26"/>
        <v>-10</v>
      </c>
      <c r="F35" s="297">
        <f t="shared" si="26"/>
        <v>-9</v>
      </c>
      <c r="G35" s="297">
        <f t="shared" si="26"/>
        <v>-8</v>
      </c>
      <c r="H35" s="297">
        <f t="shared" si="26"/>
        <v>-7</v>
      </c>
      <c r="I35" s="297">
        <f t="shared" si="26"/>
        <v>-6</v>
      </c>
      <c r="J35" s="297">
        <f t="shared" si="26"/>
        <v>-5</v>
      </c>
      <c r="K35" s="297">
        <f t="shared" si="26"/>
        <v>-4</v>
      </c>
      <c r="L35" s="297">
        <f t="shared" si="26"/>
        <v>-3</v>
      </c>
      <c r="M35" s="297">
        <f t="shared" si="26"/>
        <v>-2</v>
      </c>
      <c r="N35" s="297">
        <f t="shared" si="26"/>
        <v>-1</v>
      </c>
      <c r="O35" s="297">
        <f>O33-O34</f>
        <v>1424512000</v>
      </c>
      <c r="P35" s="297">
        <f t="shared" ref="P35:AH35" si="27">P33-P34</f>
        <v>175634839.71000013</v>
      </c>
      <c r="Q35" s="297">
        <f t="shared" si="27"/>
        <v>334645136.44999999</v>
      </c>
      <c r="R35" s="297">
        <f t="shared" si="27"/>
        <v>466379036.9199999</v>
      </c>
      <c r="S35" s="297">
        <f t="shared" si="27"/>
        <v>855569450.6500001</v>
      </c>
      <c r="T35" s="297">
        <f t="shared" si="27"/>
        <v>1044466937.4900001</v>
      </c>
      <c r="U35" s="297">
        <f t="shared" si="27"/>
        <v>909605921.45999992</v>
      </c>
      <c r="V35" s="297">
        <f t="shared" si="27"/>
        <v>1065939501.5100006</v>
      </c>
      <c r="W35" s="297">
        <f t="shared" si="27"/>
        <v>1220823738.8799999</v>
      </c>
      <c r="X35" s="297">
        <f t="shared" si="27"/>
        <v>1351757371.6400003</v>
      </c>
      <c r="Y35" s="297">
        <f t="shared" si="27"/>
        <v>1348594173.78</v>
      </c>
      <c r="Z35" s="297">
        <f t="shared" si="27"/>
        <v>1526082145.7399995</v>
      </c>
      <c r="AA35" s="297">
        <f t="shared" si="27"/>
        <v>1603744171.2399995</v>
      </c>
      <c r="AB35" s="297">
        <f t="shared" si="27"/>
        <v>989670000</v>
      </c>
      <c r="AC35" s="297">
        <f t="shared" si="27"/>
        <v>274402133.18999994</v>
      </c>
      <c r="AD35" s="297">
        <f t="shared" si="27"/>
        <v>406382480.11999995</v>
      </c>
      <c r="AE35" s="297">
        <f t="shared" si="27"/>
        <v>-259819172.01999992</v>
      </c>
      <c r="AF35" s="297">
        <f t="shared" si="27"/>
        <v>-153747069.99999985</v>
      </c>
      <c r="AG35" s="297">
        <f t="shared" si="27"/>
        <v>66265593.550000332</v>
      </c>
      <c r="AH35" s="297">
        <f t="shared" si="27"/>
        <v>-183103015.99999979</v>
      </c>
    </row>
    <row r="36" spans="1:34" ht="14.25">
      <c r="A36" s="155" t="s">
        <v>264</v>
      </c>
      <c r="B36" s="132"/>
      <c r="C36" s="132"/>
      <c r="D36" s="132"/>
      <c r="E36" s="132"/>
      <c r="F36" s="132"/>
      <c r="G36" s="132"/>
      <c r="H36" s="132"/>
      <c r="I36" s="132"/>
      <c r="J36" s="132"/>
      <c r="K36" s="132"/>
      <c r="L36" s="132"/>
      <c r="M36" s="132"/>
      <c r="N36" s="132"/>
      <c r="O36" s="132"/>
      <c r="P36" s="132">
        <v>0</v>
      </c>
      <c r="Q36" s="132">
        <v>0</v>
      </c>
      <c r="R36" s="132">
        <v>0</v>
      </c>
      <c r="S36" s="132">
        <v>0</v>
      </c>
      <c r="T36" s="132">
        <v>0</v>
      </c>
      <c r="U36" s="132">
        <v>0</v>
      </c>
      <c r="V36" s="132">
        <v>0</v>
      </c>
      <c r="W36" s="132">
        <v>0</v>
      </c>
      <c r="X36" s="132">
        <v>0</v>
      </c>
      <c r="Y36" s="132">
        <v>0</v>
      </c>
      <c r="Z36" s="132">
        <v>0</v>
      </c>
      <c r="AA36" s="132">
        <v>0</v>
      </c>
      <c r="AB36" s="186"/>
      <c r="AC36" s="349">
        <v>0</v>
      </c>
      <c r="AD36" s="351">
        <v>0</v>
      </c>
      <c r="AE36" s="351">
        <v>0</v>
      </c>
      <c r="AF36" s="351">
        <v>0</v>
      </c>
      <c r="AG36" s="349">
        <v>0</v>
      </c>
      <c r="AH36" s="393">
        <v>0</v>
      </c>
    </row>
    <row r="37" spans="1:34" s="162" customFormat="1" ht="15">
      <c r="A37" s="156" t="s">
        <v>265</v>
      </c>
      <c r="B37" s="297">
        <f t="shared" ref="B37:N37" si="28">B35-B36</f>
        <v>1021122000</v>
      </c>
      <c r="C37" s="297">
        <f t="shared" si="28"/>
        <v>-12</v>
      </c>
      <c r="D37" s="297">
        <f t="shared" si="28"/>
        <v>-11</v>
      </c>
      <c r="E37" s="297">
        <f t="shared" si="28"/>
        <v>-10</v>
      </c>
      <c r="F37" s="297">
        <f t="shared" si="28"/>
        <v>-9</v>
      </c>
      <c r="G37" s="297">
        <f t="shared" si="28"/>
        <v>-8</v>
      </c>
      <c r="H37" s="297">
        <f t="shared" si="28"/>
        <v>-7</v>
      </c>
      <c r="I37" s="297">
        <f t="shared" si="28"/>
        <v>-6</v>
      </c>
      <c r="J37" s="297">
        <f t="shared" si="28"/>
        <v>-5</v>
      </c>
      <c r="K37" s="297">
        <f t="shared" si="28"/>
        <v>-4</v>
      </c>
      <c r="L37" s="297">
        <f t="shared" si="28"/>
        <v>-3</v>
      </c>
      <c r="M37" s="297">
        <f t="shared" si="28"/>
        <v>-2</v>
      </c>
      <c r="N37" s="297">
        <f t="shared" si="28"/>
        <v>-1</v>
      </c>
      <c r="O37" s="297">
        <f>O35-O36</f>
        <v>1424512000</v>
      </c>
      <c r="P37" s="297">
        <f t="shared" ref="P37:AH37" si="29">P35-P36</f>
        <v>175634839.71000013</v>
      </c>
      <c r="Q37" s="297">
        <f t="shared" si="29"/>
        <v>334645136.44999999</v>
      </c>
      <c r="R37" s="297">
        <f t="shared" si="29"/>
        <v>466379036.9199999</v>
      </c>
      <c r="S37" s="297">
        <f t="shared" si="29"/>
        <v>855569450.6500001</v>
      </c>
      <c r="T37" s="297">
        <f t="shared" si="29"/>
        <v>1044466937.4900001</v>
      </c>
      <c r="U37" s="297">
        <f t="shared" si="29"/>
        <v>909605921.45999992</v>
      </c>
      <c r="V37" s="297">
        <f t="shared" si="29"/>
        <v>1065939501.5100006</v>
      </c>
      <c r="W37" s="297">
        <f t="shared" si="29"/>
        <v>1220823738.8799999</v>
      </c>
      <c r="X37" s="297">
        <f t="shared" si="29"/>
        <v>1351757371.6400003</v>
      </c>
      <c r="Y37" s="297">
        <f t="shared" si="29"/>
        <v>1348594173.78</v>
      </c>
      <c r="Z37" s="297">
        <f t="shared" si="29"/>
        <v>1526082145.7399995</v>
      </c>
      <c r="AA37" s="297">
        <f t="shared" si="29"/>
        <v>1603744171.2399995</v>
      </c>
      <c r="AB37" s="297">
        <f t="shared" si="29"/>
        <v>989670000</v>
      </c>
      <c r="AC37" s="297">
        <f t="shared" si="29"/>
        <v>274402133.18999994</v>
      </c>
      <c r="AD37" s="297">
        <f t="shared" si="29"/>
        <v>406382480.11999995</v>
      </c>
      <c r="AE37" s="297">
        <f t="shared" si="29"/>
        <v>-259819172.01999992</v>
      </c>
      <c r="AF37" s="297">
        <f t="shared" si="29"/>
        <v>-153747069.99999985</v>
      </c>
      <c r="AG37" s="297">
        <f t="shared" si="29"/>
        <v>66265593.550000332</v>
      </c>
      <c r="AH37" s="297">
        <f t="shared" si="29"/>
        <v>-183103015.99999979</v>
      </c>
    </row>
    <row r="38" spans="1:34">
      <c r="AB38" s="331"/>
    </row>
    <row r="39" spans="1:34">
      <c r="AB39" s="278"/>
    </row>
  </sheetData>
  <phoneticPr fontId="55" type="noConversion"/>
  <pageMargins left="0.7" right="0.7" top="0.75" bottom="0.75" header="0.3" footer="0.3"/>
  <pageSetup scale="36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40"/>
  <sheetViews>
    <sheetView topLeftCell="A7" workbookViewId="0">
      <selection activeCell="H27" sqref="H27"/>
    </sheetView>
  </sheetViews>
  <sheetFormatPr defaultColWidth="9.28515625" defaultRowHeight="13.15"/>
  <cols>
    <col min="1" max="1" width="5" style="26" bestFit="1" customWidth="1"/>
    <col min="2" max="2" width="28.42578125" style="26" bestFit="1" customWidth="1"/>
    <col min="3" max="4" width="14.7109375" style="26" bestFit="1" customWidth="1"/>
    <col min="5" max="12" width="14.42578125" style="26" bestFit="1" customWidth="1"/>
    <col min="13" max="16384" width="9.28515625" style="26"/>
  </cols>
  <sheetData>
    <row r="1" spans="1:12">
      <c r="A1" s="190"/>
      <c r="B1" s="191"/>
      <c r="E1" s="122"/>
    </row>
    <row r="2" spans="1:12" ht="15">
      <c r="A2" s="192"/>
      <c r="B2" s="193" t="s">
        <v>108</v>
      </c>
      <c r="C2" s="193" t="s">
        <v>266</v>
      </c>
      <c r="D2" s="193" t="s">
        <v>267</v>
      </c>
      <c r="E2" s="194" t="s">
        <v>268</v>
      </c>
      <c r="F2" s="194" t="s">
        <v>269</v>
      </c>
      <c r="G2" s="195">
        <v>43466</v>
      </c>
      <c r="H2" s="195">
        <v>43497</v>
      </c>
      <c r="I2" s="196">
        <v>43525</v>
      </c>
      <c r="J2" s="196">
        <v>43556</v>
      </c>
      <c r="K2" s="196">
        <v>43586</v>
      </c>
      <c r="L2" s="196">
        <v>43617</v>
      </c>
    </row>
    <row r="3" spans="1:12">
      <c r="A3" s="30">
        <v>2</v>
      </c>
      <c r="B3" s="51" t="s">
        <v>58</v>
      </c>
      <c r="C3" s="197">
        <v>463518893.97999996</v>
      </c>
      <c r="D3" s="197">
        <v>456370932.63</v>
      </c>
      <c r="E3" s="197">
        <v>436833618.45000005</v>
      </c>
      <c r="F3" s="197">
        <v>590186392</v>
      </c>
      <c r="G3" s="197">
        <v>602313936.84000003</v>
      </c>
      <c r="H3" s="197">
        <v>626251080.43000007</v>
      </c>
      <c r="I3" s="197">
        <v>598286974.44000006</v>
      </c>
      <c r="J3" s="197">
        <v>589072781.48000002</v>
      </c>
      <c r="K3" s="197">
        <v>617101547.82000005</v>
      </c>
      <c r="L3" s="197">
        <v>604177230.95000005</v>
      </c>
    </row>
    <row r="4" spans="1:12">
      <c r="A4" s="30">
        <v>3</v>
      </c>
      <c r="B4" s="51" t="s">
        <v>59</v>
      </c>
      <c r="C4" s="198">
        <v>363910285.35000002</v>
      </c>
      <c r="D4" s="198">
        <v>352811563.69999999</v>
      </c>
      <c r="E4" s="198">
        <v>346819825.96000004</v>
      </c>
      <c r="F4" s="198">
        <v>433315333</v>
      </c>
      <c r="G4" s="198">
        <v>438395348.75</v>
      </c>
      <c r="H4" s="198">
        <v>454200200.84000003</v>
      </c>
      <c r="I4" s="198">
        <v>471183574.06999999</v>
      </c>
      <c r="J4" s="198">
        <v>463060081.56999999</v>
      </c>
      <c r="K4" s="198">
        <v>486178640.04999995</v>
      </c>
      <c r="L4" s="198">
        <v>466221165.13999999</v>
      </c>
    </row>
    <row r="5" spans="1:12">
      <c r="A5" s="30">
        <v>3.1</v>
      </c>
      <c r="B5" s="99" t="s">
        <v>110</v>
      </c>
      <c r="C5" s="198">
        <v>242281651.97</v>
      </c>
      <c r="D5" s="198">
        <v>244644369.28</v>
      </c>
      <c r="E5" s="198">
        <v>243234342.24000001</v>
      </c>
      <c r="F5" s="198">
        <v>365696388</v>
      </c>
      <c r="G5" s="198">
        <v>373130884.45999998</v>
      </c>
      <c r="H5" s="198">
        <v>380563374.49000001</v>
      </c>
      <c r="I5" s="198">
        <v>389962101.52999997</v>
      </c>
      <c r="J5" s="198">
        <v>394639975.25999999</v>
      </c>
      <c r="K5" s="198">
        <v>397105169.01999998</v>
      </c>
      <c r="L5" s="198">
        <v>404014250.98000002</v>
      </c>
    </row>
    <row r="6" spans="1:12">
      <c r="A6" s="30">
        <v>3.2</v>
      </c>
      <c r="B6" s="99" t="s">
        <v>111</v>
      </c>
      <c r="C6" s="198">
        <v>4074376.91</v>
      </c>
      <c r="D6" s="198">
        <v>4984401.29</v>
      </c>
      <c r="E6" s="198">
        <v>5076228.9000000004</v>
      </c>
      <c r="F6" s="198">
        <v>67618945</v>
      </c>
      <c r="G6" s="198">
        <v>14363007.560000001</v>
      </c>
      <c r="H6" s="198">
        <v>15611949.109999999</v>
      </c>
      <c r="I6" s="198">
        <v>13612358.779999999</v>
      </c>
      <c r="J6" s="198">
        <v>14419908.76</v>
      </c>
      <c r="K6" s="198">
        <v>14679037.42</v>
      </c>
      <c r="L6" s="198">
        <v>13096148.84</v>
      </c>
    </row>
    <row r="7" spans="1:12">
      <c r="A7" s="30">
        <v>4</v>
      </c>
      <c r="B7" s="51" t="s">
        <v>112</v>
      </c>
      <c r="C7" s="199">
        <v>782851.88</v>
      </c>
      <c r="D7" s="199">
        <v>782851.88</v>
      </c>
      <c r="E7" s="199">
        <v>782851.88</v>
      </c>
      <c r="F7" s="199">
        <v>0</v>
      </c>
      <c r="G7" s="199">
        <v>0</v>
      </c>
      <c r="H7" s="199">
        <v>0</v>
      </c>
      <c r="I7" s="199">
        <v>0</v>
      </c>
      <c r="J7" s="199">
        <v>0</v>
      </c>
      <c r="K7" s="199">
        <v>0</v>
      </c>
      <c r="L7" s="199">
        <v>0</v>
      </c>
    </row>
    <row r="8" spans="1:12" ht="13.9" thickBot="1">
      <c r="A8" s="43">
        <v>4.0999999999999996</v>
      </c>
      <c r="B8" s="53" t="s">
        <v>113</v>
      </c>
      <c r="C8" s="75">
        <v>4642444.88</v>
      </c>
      <c r="D8" s="75">
        <v>27506533.770000003</v>
      </c>
      <c r="E8" s="75">
        <v>4912342.24</v>
      </c>
      <c r="F8" s="75">
        <v>58156529</v>
      </c>
      <c r="G8" s="75">
        <v>3901907.32</v>
      </c>
      <c r="H8" s="75">
        <v>4415903.3899999997</v>
      </c>
      <c r="I8" s="75">
        <v>-44130680.829999998</v>
      </c>
      <c r="J8" s="75">
        <v>10574287.379999999</v>
      </c>
      <c r="K8" s="75">
        <v>12876255.23</v>
      </c>
      <c r="L8" s="75">
        <v>10617409.810000001</v>
      </c>
    </row>
    <row r="9" spans="1:12">
      <c r="A9" s="34">
        <v>5.0999999999999996</v>
      </c>
      <c r="B9" s="200" t="s">
        <v>115</v>
      </c>
      <c r="C9" s="201">
        <v>94944699.390000001</v>
      </c>
      <c r="D9" s="201">
        <v>75269883.280000001</v>
      </c>
      <c r="E9" s="201">
        <v>78350880.049999997</v>
      </c>
      <c r="F9" s="201">
        <v>88729697</v>
      </c>
      <c r="G9" s="201">
        <v>155788125.82999998</v>
      </c>
      <c r="H9" s="201">
        <v>163406421.19999999</v>
      </c>
      <c r="I9" s="201">
        <v>167005526.25999999</v>
      </c>
      <c r="J9" s="201">
        <v>111209857.65000001</v>
      </c>
      <c r="K9" s="201">
        <v>113818097.59999999</v>
      </c>
      <c r="L9" s="201">
        <v>123110101.06000002</v>
      </c>
    </row>
    <row r="10" spans="1:12" ht="13.9" thickBot="1">
      <c r="A10" s="35">
        <v>5.2</v>
      </c>
      <c r="B10" s="202" t="s">
        <v>116</v>
      </c>
      <c r="C10" s="203">
        <v>85006163.939999998</v>
      </c>
      <c r="D10" s="203">
        <v>65331347.829999998</v>
      </c>
      <c r="E10" s="203">
        <v>67704198.769999996</v>
      </c>
      <c r="F10" s="203">
        <v>65523502</v>
      </c>
      <c r="G10" s="203">
        <v>131996813.03999999</v>
      </c>
      <c r="H10" s="203">
        <v>139578976.91</v>
      </c>
      <c r="I10" s="203">
        <v>142917002.03</v>
      </c>
      <c r="J10" s="203">
        <v>87051630.75</v>
      </c>
      <c r="K10" s="203">
        <v>89639870.699999988</v>
      </c>
      <c r="L10" s="203">
        <v>98730332.050000012</v>
      </c>
    </row>
    <row r="11" spans="1:12" ht="13.9" thickBot="1">
      <c r="A11" s="38">
        <v>5.3</v>
      </c>
      <c r="B11" s="191" t="s">
        <v>117</v>
      </c>
      <c r="C11" s="204">
        <v>94944699.390000001</v>
      </c>
      <c r="D11" s="204">
        <v>75269883.280000001</v>
      </c>
      <c r="E11" s="204">
        <v>78350880.049999997</v>
      </c>
      <c r="F11" s="204">
        <v>92958252</v>
      </c>
      <c r="G11" s="204">
        <v>160016680.76999998</v>
      </c>
      <c r="H11" s="204">
        <v>167634976.13999999</v>
      </c>
      <c r="I11" s="204">
        <v>171234081.19999999</v>
      </c>
      <c r="J11" s="204">
        <v>115438412.59</v>
      </c>
      <c r="K11" s="204">
        <v>118046652.53999999</v>
      </c>
      <c r="L11" s="204">
        <v>127338656.00000001</v>
      </c>
    </row>
    <row r="12" spans="1:12">
      <c r="A12" s="33">
        <v>7</v>
      </c>
      <c r="B12" s="105" t="s">
        <v>64</v>
      </c>
      <c r="C12" s="205">
        <v>299631067.07999998</v>
      </c>
      <c r="D12" s="205">
        <v>309643144.38</v>
      </c>
      <c r="E12" s="205">
        <v>310639770.16000003</v>
      </c>
      <c r="F12" s="205">
        <v>467465209</v>
      </c>
      <c r="G12" s="205">
        <v>472919770.68000001</v>
      </c>
      <c r="H12" s="205">
        <v>478687357.68000001</v>
      </c>
      <c r="I12" s="205">
        <v>475787713.94</v>
      </c>
      <c r="J12" s="205">
        <v>479582540.77999997</v>
      </c>
      <c r="K12" s="205">
        <v>481266665.38999999</v>
      </c>
      <c r="L12" s="205">
        <v>485276972.57000005</v>
      </c>
    </row>
    <row r="13" spans="1:12">
      <c r="A13" s="34">
        <v>7.1</v>
      </c>
      <c r="B13" s="51" t="s">
        <v>135</v>
      </c>
      <c r="C13" s="201">
        <v>309603490.20999998</v>
      </c>
      <c r="D13" s="201">
        <v>319615567.50999999</v>
      </c>
      <c r="E13" s="201">
        <v>320612193.29000002</v>
      </c>
      <c r="F13" s="201">
        <v>478678153</v>
      </c>
      <c r="G13" s="201">
        <v>484132714.24000001</v>
      </c>
      <c r="H13" s="201">
        <v>489900301.24000001</v>
      </c>
      <c r="I13" s="201">
        <v>487605607.92000002</v>
      </c>
      <c r="J13" s="201">
        <v>491602084.89999998</v>
      </c>
      <c r="K13" s="201">
        <v>493487859.64999998</v>
      </c>
      <c r="L13" s="201">
        <v>497699816.97000003</v>
      </c>
    </row>
    <row r="14" spans="1:12">
      <c r="A14" s="34">
        <v>7.3</v>
      </c>
      <c r="B14" s="51" t="s">
        <v>136</v>
      </c>
      <c r="C14" s="201">
        <v>9972423.1300000008</v>
      </c>
      <c r="D14" s="201">
        <v>9972423.1300000008</v>
      </c>
      <c r="E14" s="201">
        <v>9972423.1300000008</v>
      </c>
      <c r="F14" s="201">
        <v>11212944</v>
      </c>
      <c r="G14" s="201">
        <v>11212943.560000001</v>
      </c>
      <c r="H14" s="201">
        <v>11212943.560000001</v>
      </c>
      <c r="I14" s="201">
        <v>11817893.98</v>
      </c>
      <c r="J14" s="201">
        <v>12019544.119999999</v>
      </c>
      <c r="K14" s="201">
        <v>12221194.26</v>
      </c>
      <c r="L14" s="201">
        <v>12422844.4</v>
      </c>
    </row>
    <row r="15" spans="1:12" ht="13.9" thickBot="1">
      <c r="A15" s="43">
        <v>7.6</v>
      </c>
      <c r="B15" s="44" t="s">
        <v>139</v>
      </c>
      <c r="C15" s="206">
        <v>64879933.079999998</v>
      </c>
      <c r="D15" s="206">
        <v>49119809.189999998</v>
      </c>
      <c r="E15" s="206">
        <v>36488011.020000003</v>
      </c>
      <c r="F15" s="206">
        <v>86995878</v>
      </c>
      <c r="G15" s="206">
        <v>99084093.540000007</v>
      </c>
      <c r="H15" s="206">
        <v>106402453.78</v>
      </c>
      <c r="I15" s="206">
        <v>93263618.600000009</v>
      </c>
      <c r="J15" s="206">
        <v>81785848.030000001</v>
      </c>
      <c r="K15" s="206">
        <v>86648913.530000001</v>
      </c>
      <c r="L15" s="206">
        <v>81659238.829999998</v>
      </c>
    </row>
    <row r="16" spans="1:12">
      <c r="A16" s="33">
        <v>8</v>
      </c>
      <c r="B16" s="105" t="s">
        <v>140</v>
      </c>
      <c r="C16" s="205">
        <v>54697471.630000003</v>
      </c>
      <c r="D16" s="205">
        <v>57847365.859999999</v>
      </c>
      <c r="E16" s="205">
        <v>43977605.75</v>
      </c>
      <c r="F16" s="205">
        <v>31496750</v>
      </c>
      <c r="G16" s="205">
        <v>26081517.679999996</v>
      </c>
      <c r="H16" s="205">
        <v>36932714.030000001</v>
      </c>
      <c r="I16" s="205">
        <v>25007086.960000001</v>
      </c>
      <c r="J16" s="205">
        <v>23475837.73</v>
      </c>
      <c r="K16" s="205">
        <v>44957413.959999993</v>
      </c>
      <c r="L16" s="205">
        <v>33012464.609999996</v>
      </c>
    </row>
    <row r="17" spans="1:12" ht="13.9" thickBot="1">
      <c r="A17" s="35">
        <v>8.1</v>
      </c>
      <c r="B17" s="53" t="s">
        <v>141</v>
      </c>
      <c r="C17" s="203">
        <v>5970994.9500000002</v>
      </c>
      <c r="D17" s="203">
        <v>5779199.6399999997</v>
      </c>
      <c r="E17" s="203">
        <v>5967618.2599999998</v>
      </c>
      <c r="F17" s="203">
        <v>3048281</v>
      </c>
      <c r="G17" s="203">
        <v>7005758.3499999996</v>
      </c>
      <c r="H17" s="203">
        <v>7005758.4100000001</v>
      </c>
      <c r="I17" s="203">
        <v>6855145.9100000001</v>
      </c>
      <c r="J17" s="203">
        <v>6223465.2300000004</v>
      </c>
      <c r="K17" s="203">
        <v>6843368.5800000001</v>
      </c>
      <c r="L17" s="203">
        <v>6621497.3099999996</v>
      </c>
    </row>
    <row r="18" spans="1:12" ht="13.9" thickBot="1">
      <c r="A18" s="46">
        <v>9</v>
      </c>
      <c r="B18" s="207" t="s">
        <v>142</v>
      </c>
      <c r="C18" s="205">
        <v>6545698.6699999999</v>
      </c>
      <c r="D18" s="205">
        <v>43521403.869999997</v>
      </c>
      <c r="E18" s="205">
        <v>43551629.869999997</v>
      </c>
      <c r="F18" s="205">
        <v>18430545</v>
      </c>
      <c r="G18" s="205">
        <v>14759404.379999999</v>
      </c>
      <c r="H18" s="205">
        <v>14858404.379999999</v>
      </c>
      <c r="I18" s="205">
        <v>14602688.379999999</v>
      </c>
      <c r="J18" s="205">
        <v>16880137.379999999</v>
      </c>
      <c r="K18" s="205">
        <v>16989737.379999999</v>
      </c>
      <c r="L18" s="205">
        <v>17093937.34</v>
      </c>
    </row>
    <row r="19" spans="1:12">
      <c r="A19" s="208">
        <v>10</v>
      </c>
      <c r="B19" s="209" t="s">
        <v>147</v>
      </c>
      <c r="C19" s="205">
        <v>22339454.649999999</v>
      </c>
      <c r="D19" s="205">
        <v>4546921.07</v>
      </c>
      <c r="E19" s="205">
        <v>5916993.0600000005</v>
      </c>
      <c r="F19" s="205">
        <v>68345005</v>
      </c>
      <c r="G19" s="205">
        <v>18479434.449999999</v>
      </c>
      <c r="H19" s="205">
        <v>19450021.170000002</v>
      </c>
      <c r="I19" s="205">
        <v>21786997.959999997</v>
      </c>
      <c r="J19" s="205">
        <v>6653981.0599999996</v>
      </c>
      <c r="K19" s="205">
        <v>12263359.280000001</v>
      </c>
      <c r="L19" s="205">
        <v>13807774.51</v>
      </c>
    </row>
    <row r="21" spans="1:12" ht="14.45">
      <c r="B21" s="90" t="s">
        <v>1</v>
      </c>
      <c r="C21" s="211">
        <v>94.944699389999997</v>
      </c>
      <c r="D21" s="211">
        <v>75.269883280000002</v>
      </c>
      <c r="E21" s="211">
        <v>78.350880050000001</v>
      </c>
      <c r="F21" s="211">
        <v>88.729697000000002</v>
      </c>
      <c r="G21" s="211">
        <v>155.78812582999998</v>
      </c>
      <c r="H21" s="211">
        <v>163.40642119999998</v>
      </c>
      <c r="I21" s="211">
        <v>167.00552625999998</v>
      </c>
      <c r="J21" s="211">
        <v>111.20985765</v>
      </c>
      <c r="K21" s="211">
        <v>113.81809759999999</v>
      </c>
      <c r="L21" s="211">
        <v>123.11010106000002</v>
      </c>
    </row>
    <row r="22" spans="1:12" ht="14.45">
      <c r="B22" s="90" t="s">
        <v>90</v>
      </c>
      <c r="C22" s="210">
        <v>0.20483458306253358</v>
      </c>
      <c r="D22" s="210">
        <v>0.16493137029177229</v>
      </c>
      <c r="E22" s="210">
        <v>0.17936092081925703</v>
      </c>
      <c r="F22" s="210">
        <v>0.15034182116486344</v>
      </c>
      <c r="G22" s="210">
        <v>0.25864937917148656</v>
      </c>
      <c r="H22" s="210">
        <v>0.26092796692310843</v>
      </c>
      <c r="I22" s="210">
        <v>0.27913949892744716</v>
      </c>
      <c r="J22" s="210">
        <v>0.18878797518125656</v>
      </c>
      <c r="K22" s="210">
        <v>0.18443981870095577</v>
      </c>
      <c r="L22" s="210">
        <v>0.20376488016012018</v>
      </c>
    </row>
    <row r="23" spans="1:12" ht="14.45">
      <c r="B23" s="90" t="s">
        <v>91</v>
      </c>
      <c r="C23" s="210">
        <v>0.18339309366678777</v>
      </c>
      <c r="D23" s="210">
        <v>0.14315405114323307</v>
      </c>
      <c r="E23" s="210">
        <v>0.15498852631862953</v>
      </c>
      <c r="F23" s="210">
        <v>0.11102170922300764</v>
      </c>
      <c r="G23" s="210">
        <v>0.21914952480182093</v>
      </c>
      <c r="H23" s="210">
        <v>0.22288021733098087</v>
      </c>
      <c r="I23" s="210">
        <v>0.23887700741566556</v>
      </c>
      <c r="J23" s="210">
        <v>0.14777737740876346</v>
      </c>
      <c r="K23" s="210">
        <v>0.14525951363542308</v>
      </c>
      <c r="L23" s="210">
        <v>0.16341286462377569</v>
      </c>
    </row>
    <row r="24" spans="1:12" ht="14.45">
      <c r="B24" s="90" t="s">
        <v>92</v>
      </c>
      <c r="C24" s="210">
        <v>0.26090139029372172</v>
      </c>
      <c r="D24" s="210">
        <v>0.21334301656847876</v>
      </c>
      <c r="E24" s="210">
        <v>0.22591234463924931</v>
      </c>
      <c r="F24" s="210">
        <v>0.20476934519185361</v>
      </c>
      <c r="G24" s="210">
        <v>0.35535989666450579</v>
      </c>
      <c r="H24" s="210">
        <v>0.35976739089457771</v>
      </c>
      <c r="I24" s="210">
        <v>0.35443834516011652</v>
      </c>
      <c r="J24" s="210">
        <v>0.24016291206303994</v>
      </c>
      <c r="K24" s="210">
        <v>0.23410756504706712</v>
      </c>
      <c r="L24" s="210">
        <v>0.26405944273900928</v>
      </c>
    </row>
    <row r="25" spans="1:12" ht="14.45">
      <c r="B25" s="94" t="s">
        <v>93</v>
      </c>
      <c r="C25" s="210"/>
      <c r="D25" s="210"/>
      <c r="E25" s="210"/>
      <c r="F25" s="210"/>
      <c r="G25" s="210"/>
      <c r="H25" s="210"/>
      <c r="I25" s="210"/>
      <c r="J25" s="210"/>
      <c r="K25" s="210"/>
      <c r="L25" s="210"/>
    </row>
    <row r="26" spans="1:12" ht="14.45">
      <c r="B26" s="90" t="s">
        <v>94</v>
      </c>
      <c r="C26" s="210"/>
      <c r="D26" s="210"/>
      <c r="E26" s="210"/>
      <c r="F26" s="210"/>
      <c r="G26" s="210"/>
      <c r="H26" s="210"/>
      <c r="I26" s="210"/>
      <c r="J26" s="210"/>
      <c r="K26" s="210"/>
      <c r="L26" s="210"/>
    </row>
    <row r="27" spans="1:12" ht="14.45">
      <c r="B27" s="94" t="s">
        <v>82</v>
      </c>
      <c r="C27" s="210"/>
      <c r="D27" s="210"/>
      <c r="E27" s="210"/>
      <c r="F27" s="210"/>
      <c r="G27" s="210"/>
      <c r="H27" s="210"/>
      <c r="I27" s="210"/>
      <c r="J27" s="210"/>
      <c r="K27" s="210"/>
      <c r="L27" s="210"/>
    </row>
    <row r="28" spans="1:12" ht="14.45">
      <c r="B28" s="90" t="s">
        <v>83</v>
      </c>
      <c r="C28" s="210">
        <v>0.10366401602677947</v>
      </c>
      <c r="D28" s="210">
        <v>4.9791285087911821E-3</v>
      </c>
      <c r="E28" s="210">
        <v>8.6990957539672831E-3</v>
      </c>
      <c r="F28" s="210">
        <v>2.1403286692598458E-2</v>
      </c>
      <c r="G28" s="210">
        <v>8.6521768483988973E-2</v>
      </c>
      <c r="H28" s="210">
        <v>9.2418745160710331E-2</v>
      </c>
      <c r="I28" s="210">
        <v>9.5308003681039338E-2</v>
      </c>
      <c r="J28" s="210">
        <v>2.5179366139760146E-2</v>
      </c>
      <c r="K28" s="210">
        <v>2.7427623319558749E-2</v>
      </c>
      <c r="L28" s="210">
        <v>3.6644693878419822E-2</v>
      </c>
    </row>
    <row r="29" spans="1:12" ht="14.45">
      <c r="B29" s="90" t="s">
        <v>95</v>
      </c>
      <c r="C29" s="210">
        <v>0.25741416351582458</v>
      </c>
      <c r="D29" s="210">
        <v>0.47475461442470174</v>
      </c>
      <c r="E29" s="210">
        <v>0.47309013231184821</v>
      </c>
      <c r="F29" s="210">
        <v>0.59346690595014484</v>
      </c>
      <c r="G29" s="210">
        <v>0.29062189047777387</v>
      </c>
      <c r="H29" s="210">
        <v>0.28378980928479264</v>
      </c>
      <c r="I29" s="210">
        <v>0.30491294255765539</v>
      </c>
      <c r="J29" s="210">
        <v>0.35188480121631338</v>
      </c>
      <c r="K29" s="210">
        <v>0.42614588607338072</v>
      </c>
      <c r="L29" s="210">
        <v>0.38569896660788255</v>
      </c>
    </row>
    <row r="30" spans="1:12" ht="14.45">
      <c r="B30" s="90" t="s">
        <v>96</v>
      </c>
      <c r="C30" s="210">
        <v>5.0864586829587354E-2</v>
      </c>
      <c r="D30" s="210">
        <v>6.8212320229515053E-3</v>
      </c>
      <c r="E30" s="210">
        <v>1.206515205652208E-2</v>
      </c>
      <c r="F30" s="210">
        <v>5.6671521833393947E-2</v>
      </c>
      <c r="G30" s="210">
        <v>5.4654003762069081E-2</v>
      </c>
      <c r="H30" s="210">
        <v>5.5574311322709478E-2</v>
      </c>
      <c r="I30" s="210">
        <v>6.7479628714612397E-2</v>
      </c>
      <c r="J30" s="210">
        <v>2.1463423141422584E-2</v>
      </c>
      <c r="K30" s="210">
        <v>3.0839953808625337E-2</v>
      </c>
      <c r="L30" s="210">
        <v>3.6261474047195714E-2</v>
      </c>
    </row>
    <row r="31" spans="1:12" ht="14.45">
      <c r="B31" s="90" t="s">
        <v>98</v>
      </c>
      <c r="C31" s="210">
        <v>0.28117847936152124</v>
      </c>
      <c r="D31" s="210">
        <v>0.18048740106872116</v>
      </c>
      <c r="E31" s="210">
        <v>0.14704210574669535</v>
      </c>
      <c r="F31" s="210">
        <v>0.20525015756822076</v>
      </c>
      <c r="G31" s="210">
        <v>0.26279967074539218</v>
      </c>
      <c r="H31" s="210">
        <v>0.27638488587213306</v>
      </c>
      <c r="I31" s="210">
        <v>0.26967942476488815</v>
      </c>
      <c r="J31" s="210">
        <v>0.20183358674780927</v>
      </c>
      <c r="K31" s="210">
        <v>0.21134838898740665</v>
      </c>
      <c r="L31" s="210">
        <v>0.19694405071338303</v>
      </c>
    </row>
    <row r="32" spans="1:12" ht="14.45">
      <c r="B32" s="90" t="s">
        <v>99</v>
      </c>
      <c r="C32" s="210">
        <v>0.18838482630876585</v>
      </c>
      <c r="D32" s="210">
        <v>0.12915454067729354</v>
      </c>
      <c r="E32" s="210">
        <v>0.1037380550284283</v>
      </c>
      <c r="F32" s="210">
        <v>0.17701090281339443</v>
      </c>
      <c r="G32" s="210">
        <v>0.22402149726273343</v>
      </c>
      <c r="H32" s="210">
        <v>0.232007670028609</v>
      </c>
      <c r="I32" s="210">
        <v>0.21838891639960548</v>
      </c>
      <c r="J32" s="210">
        <v>0.17267718179175012</v>
      </c>
      <c r="K32" s="210">
        <v>0.17362601659559862</v>
      </c>
      <c r="L32" s="210">
        <v>0.17125132722024969</v>
      </c>
    </row>
    <row r="33" spans="2:12" ht="14.45">
      <c r="B33" s="90" t="s">
        <v>100</v>
      </c>
      <c r="C33" s="210">
        <v>1.6889319727143176E-3</v>
      </c>
      <c r="D33" s="210">
        <v>1.7153850607630448E-3</v>
      </c>
      <c r="E33" s="210">
        <v>1.7921053850611665E-3</v>
      </c>
      <c r="F33" s="210">
        <v>0</v>
      </c>
      <c r="G33" s="210">
        <v>0</v>
      </c>
      <c r="H33" s="210">
        <v>0</v>
      </c>
      <c r="I33" s="210">
        <v>0</v>
      </c>
      <c r="J33" s="210">
        <v>0</v>
      </c>
      <c r="K33" s="210">
        <v>0</v>
      </c>
      <c r="L33" s="210">
        <v>0</v>
      </c>
    </row>
    <row r="34" spans="2:12" ht="14.45">
      <c r="B34" s="90" t="s">
        <v>101</v>
      </c>
      <c r="C34" s="210">
        <v>0.14978837534289544</v>
      </c>
      <c r="D34" s="210">
        <v>0.10763132723403221</v>
      </c>
      <c r="E34" s="210">
        <v>8.3528394974427586E-2</v>
      </c>
      <c r="F34" s="210">
        <v>0.14740407298309921</v>
      </c>
      <c r="G34" s="210">
        <v>0.16450572945370998</v>
      </c>
      <c r="H34" s="210">
        <v>0.16990382468792126</v>
      </c>
      <c r="I34" s="210">
        <v>0.15588442099595312</v>
      </c>
      <c r="J34" s="210">
        <v>0.13883827364170409</v>
      </c>
      <c r="K34" s="210">
        <v>0.14041273083190237</v>
      </c>
      <c r="L34" s="210">
        <v>0.13515775611338435</v>
      </c>
    </row>
    <row r="35" spans="2:12" ht="14.45">
      <c r="B35" s="90" t="s">
        <v>103</v>
      </c>
      <c r="C35" s="210">
        <v>0.11800483721459713</v>
      </c>
      <c r="D35" s="210">
        <v>0.12675514964687595</v>
      </c>
      <c r="E35" s="210">
        <v>0.10067358347108002</v>
      </c>
      <c r="F35" s="210">
        <v>5.3367462257584548E-2</v>
      </c>
      <c r="G35" s="210">
        <v>4.3302198545886121E-2</v>
      </c>
      <c r="H35" s="210">
        <v>5.8974291916017219E-2</v>
      </c>
      <c r="I35" s="210">
        <v>4.1797812802805499E-2</v>
      </c>
      <c r="J35" s="210">
        <v>3.9852185448152541E-2</v>
      </c>
      <c r="K35" s="210">
        <v>7.2852537996085931E-2</v>
      </c>
      <c r="L35" s="210">
        <v>5.4640365308192176E-2</v>
      </c>
    </row>
    <row r="36" spans="2:12" ht="14.45">
      <c r="B36" s="90" t="s">
        <v>104</v>
      </c>
      <c r="C36" s="210">
        <v>1.2881880388370185E-2</v>
      </c>
      <c r="D36" s="210">
        <v>1.2663382408461696E-2</v>
      </c>
      <c r="E36" s="210">
        <v>1.3661078286910861E-2</v>
      </c>
      <c r="F36" s="210">
        <v>5.1649462632815156E-3</v>
      </c>
      <c r="G36" s="210">
        <v>1.1631406682626745E-2</v>
      </c>
      <c r="H36" s="210">
        <v>1.1186820476524634E-2</v>
      </c>
      <c r="I36" s="210">
        <v>1.1457956136211147E-2</v>
      </c>
      <c r="J36" s="210">
        <v>1.056484941362258E-2</v>
      </c>
      <c r="K36" s="210">
        <v>1.108953397406826E-2</v>
      </c>
      <c r="L36" s="210">
        <v>1.0959528050384235E-2</v>
      </c>
    </row>
    <row r="37" spans="2:12" ht="14.45">
      <c r="B37" s="90" t="s">
        <v>105</v>
      </c>
      <c r="C37" s="210">
        <v>0.12176193961482382</v>
      </c>
      <c r="D37" s="210">
        <v>0.11269645695005888</v>
      </c>
      <c r="E37" s="210">
        <v>0.11464342642449089</v>
      </c>
      <c r="F37" s="210">
        <v>9.7586092112738592E-3</v>
      </c>
      <c r="G37" s="210">
        <v>9.6455287494653201E-3</v>
      </c>
      <c r="H37" s="210">
        <v>9.3098922725698731E-3</v>
      </c>
      <c r="I37" s="210">
        <v>8.9743258736175672E-3</v>
      </c>
      <c r="J37" s="210">
        <v>9.1317630439297047E-3</v>
      </c>
      <c r="K37" s="210">
        <v>8.6975333584485004E-3</v>
      </c>
      <c r="L37" s="210">
        <v>9.0698476520906599E-3</v>
      </c>
    </row>
    <row r="38" spans="2:12" ht="15" thickBot="1">
      <c r="B38" s="91" t="s">
        <v>106</v>
      </c>
      <c r="C38" s="210">
        <v>0.46669716661051408</v>
      </c>
      <c r="D38" s="210">
        <v>0.52824066502259104</v>
      </c>
      <c r="E38" s="210">
        <v>0.50746862287477268</v>
      </c>
      <c r="F38" s="210">
        <v>4.7656592358249573E-2</v>
      </c>
      <c r="G38" s="210">
        <v>2.7142986138842883E-2</v>
      </c>
      <c r="H38" s="210">
        <v>2.5877532283902688E-2</v>
      </c>
      <c r="I38" s="210">
        <v>2.5319850394751844E-2</v>
      </c>
      <c r="J38" s="210">
        <v>3.8023202523180283E-2</v>
      </c>
      <c r="K38" s="210">
        <v>3.7151868017164968E-2</v>
      </c>
      <c r="L38" s="210">
        <v>3.4347749726394386E-2</v>
      </c>
    </row>
    <row r="40" spans="2:12">
      <c r="F40" s="210"/>
      <c r="G40" s="210"/>
      <c r="H40" s="210"/>
      <c r="I40" s="210"/>
      <c r="J40" s="210"/>
      <c r="K40" s="210"/>
      <c r="L40" s="210"/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64"/>
  <sheetViews>
    <sheetView view="pageBreakPreview" topLeftCell="A7" zoomScaleNormal="100" zoomScaleSheetLayoutView="100" workbookViewId="0">
      <selection activeCell="E38" sqref="E38"/>
    </sheetView>
  </sheetViews>
  <sheetFormatPr defaultColWidth="8.7109375" defaultRowHeight="14.45"/>
  <cols>
    <col min="1" max="1" width="48" style="267" customWidth="1"/>
    <col min="2" max="2" width="20.7109375" style="275" customWidth="1"/>
    <col min="3" max="3" width="26.28515625" style="267" customWidth="1"/>
    <col min="4" max="4" width="22.28515625" style="267" customWidth="1"/>
    <col min="5" max="5" width="24.42578125" style="267" customWidth="1"/>
    <col min="6" max="6" width="21.42578125" style="267" customWidth="1"/>
    <col min="7" max="7" width="23.28515625" style="276" customWidth="1"/>
    <col min="8" max="8" width="13.7109375" style="267" bestFit="1" customWidth="1"/>
    <col min="9" max="16384" width="8.7109375" style="267"/>
  </cols>
  <sheetData>
    <row r="1" spans="1:8">
      <c r="A1" s="374" t="s">
        <v>270</v>
      </c>
      <c r="B1" s="375"/>
      <c r="C1" s="375"/>
      <c r="D1" s="375"/>
      <c r="E1" s="375"/>
      <c r="F1" s="376"/>
      <c r="G1" s="377"/>
    </row>
    <row r="2" spans="1:8">
      <c r="A2" s="378" t="s">
        <v>271</v>
      </c>
      <c r="B2" s="379"/>
      <c r="C2" s="379"/>
      <c r="D2" s="379"/>
      <c r="E2" s="379"/>
      <c r="F2" s="380"/>
      <c r="G2" s="381"/>
    </row>
    <row r="3" spans="1:8">
      <c r="A3" s="246"/>
      <c r="B3" s="382" t="s">
        <v>272</v>
      </c>
      <c r="C3" s="253" t="s">
        <v>273</v>
      </c>
      <c r="D3" s="384" t="s">
        <v>274</v>
      </c>
      <c r="E3" s="385"/>
      <c r="F3" s="386" t="s">
        <v>109</v>
      </c>
      <c r="G3" s="388" t="s">
        <v>275</v>
      </c>
    </row>
    <row r="4" spans="1:8" ht="21.75" customHeight="1">
      <c r="A4" s="90"/>
      <c r="B4" s="383"/>
      <c r="C4" s="220">
        <v>2019</v>
      </c>
      <c r="D4" s="221" t="s">
        <v>276</v>
      </c>
      <c r="E4" s="222" t="s">
        <v>277</v>
      </c>
      <c r="F4" s="387"/>
      <c r="G4" s="389"/>
    </row>
    <row r="5" spans="1:8">
      <c r="A5" s="370" t="s">
        <v>278</v>
      </c>
      <c r="B5" s="371"/>
      <c r="C5" s="371"/>
      <c r="D5" s="371"/>
      <c r="E5" s="371"/>
      <c r="F5" s="372"/>
      <c r="G5" s="373"/>
    </row>
    <row r="6" spans="1:8">
      <c r="A6" s="236" t="s">
        <v>279</v>
      </c>
      <c r="B6" s="237" t="s">
        <v>280</v>
      </c>
      <c r="C6" s="235">
        <f>C33</f>
        <v>98409139</v>
      </c>
      <c r="D6" s="235">
        <f>D33</f>
        <v>153985536.19000003</v>
      </c>
      <c r="E6" s="235">
        <f>E33</f>
        <v>175657416.46000001</v>
      </c>
      <c r="F6" s="235">
        <f>F33</f>
        <v>6095283000</v>
      </c>
      <c r="G6" s="235">
        <f>G33</f>
        <v>92813819771.184998</v>
      </c>
      <c r="H6" s="279">
        <f>F6-C6</f>
        <v>5996873861</v>
      </c>
    </row>
    <row r="7" spans="1:8">
      <c r="A7" s="236" t="s">
        <v>281</v>
      </c>
      <c r="B7" s="238" t="s">
        <v>282</v>
      </c>
      <c r="C7" s="250">
        <f>C33/C29</f>
        <v>0.14919599732487918</v>
      </c>
      <c r="D7" s="250">
        <f>D33/D29</f>
        <v>0.21974079100548016</v>
      </c>
      <c r="E7" s="250">
        <f>E33/E29</f>
        <v>0.23992254014155917</v>
      </c>
      <c r="F7" s="250">
        <f>F33/F29</f>
        <v>0.14500718709799992</v>
      </c>
      <c r="G7" s="250">
        <f>G33/G29</f>
        <v>0.15852844215836145</v>
      </c>
    </row>
    <row r="8" spans="1:8">
      <c r="A8" s="236" t="s">
        <v>28</v>
      </c>
      <c r="B8" s="238" t="s">
        <v>283</v>
      </c>
      <c r="C8" s="252">
        <f>C34/C29</f>
        <v>0.11007418893107167</v>
      </c>
      <c r="D8" s="252">
        <f>D34/D29</f>
        <v>0.18075964856116333</v>
      </c>
      <c r="E8" s="252">
        <f>E34/E29</f>
        <v>0.20203819807576381</v>
      </c>
      <c r="F8" s="250">
        <f>F34/F29</f>
        <v>9.689325285407642E-2</v>
      </c>
      <c r="G8" s="250">
        <f>G34/G29</f>
        <v>9.2879021526115629E-2</v>
      </c>
    </row>
    <row r="9" spans="1:8">
      <c r="A9" s="370" t="s">
        <v>284</v>
      </c>
      <c r="B9" s="371"/>
      <c r="C9" s="371"/>
      <c r="D9" s="371"/>
      <c r="E9" s="371"/>
      <c r="F9" s="372"/>
      <c r="G9" s="373"/>
    </row>
    <row r="10" spans="1:8">
      <c r="A10" s="236" t="s">
        <v>285</v>
      </c>
      <c r="B10" s="237" t="s">
        <v>286</v>
      </c>
      <c r="C10" s="252">
        <f>C35/C32</f>
        <v>0</v>
      </c>
      <c r="D10" s="252">
        <f>D35/D32</f>
        <v>6.680461637070903E-2</v>
      </c>
      <c r="E10" s="252">
        <f>E35/E32</f>
        <v>5.8669004320712224E-2</v>
      </c>
      <c r="F10" s="252">
        <f>F35/F32</f>
        <v>9.281305904908732E-4</v>
      </c>
      <c r="G10" s="252">
        <f>G35/G32</f>
        <v>8.1923115843372349E-2</v>
      </c>
    </row>
    <row r="11" spans="1:8">
      <c r="A11" s="236" t="s">
        <v>140</v>
      </c>
      <c r="B11" s="237" t="s">
        <v>287</v>
      </c>
      <c r="C11" s="250">
        <f>C36/C29</f>
        <v>4.1460676614543251E-2</v>
      </c>
      <c r="D11" s="250">
        <f>D36/D29</f>
        <v>3.450476512838186E-2</v>
      </c>
      <c r="E11" s="250">
        <f>E36/E29</f>
        <v>3.1473270026014293E-2</v>
      </c>
      <c r="F11" s="250">
        <f>F36/F29</f>
        <v>5.1554025420780254E-2</v>
      </c>
      <c r="G11" s="250">
        <f>G36/G29</f>
        <v>0.10331964188281548</v>
      </c>
    </row>
    <row r="12" spans="1:8">
      <c r="A12" s="236" t="s">
        <v>288</v>
      </c>
      <c r="B12" s="237" t="s">
        <v>286</v>
      </c>
      <c r="C12" s="239">
        <f>C38/C31</f>
        <v>8.6859989292853296E-3</v>
      </c>
      <c r="D12" s="239">
        <f>D38/D31</f>
        <v>7.9726879541608467E-3</v>
      </c>
      <c r="E12" s="239">
        <f>E38/E31</f>
        <v>7.8282924204748777E-3</v>
      </c>
      <c r="F12" s="239">
        <f>F38/F31</f>
        <v>6.2911549036522199E-2</v>
      </c>
      <c r="G12" s="239">
        <f>G38/G31</f>
        <v>3.3894147010812434E-2</v>
      </c>
    </row>
    <row r="13" spans="1:8" s="268" customFormat="1">
      <c r="A13" s="240" t="s">
        <v>289</v>
      </c>
      <c r="B13" s="237" t="s">
        <v>290</v>
      </c>
      <c r="C13" s="251">
        <f>C38/C33</f>
        <v>4.2969139278822469E-2</v>
      </c>
      <c r="D13" s="251">
        <f>D38/D33</f>
        <v>2.7460728095802852E-2</v>
      </c>
      <c r="E13" s="251">
        <f>E38/E33</f>
        <v>2.4072737862240561E-2</v>
      </c>
      <c r="F13" s="251">
        <f>F38/F33</f>
        <v>0.3219049878405974</v>
      </c>
      <c r="G13" s="251">
        <f>G38/G33</f>
        <v>0.14648773764078013</v>
      </c>
    </row>
    <row r="14" spans="1:8">
      <c r="A14" s="370" t="s">
        <v>291</v>
      </c>
      <c r="B14" s="371"/>
      <c r="C14" s="371"/>
      <c r="D14" s="371"/>
      <c r="E14" s="371"/>
      <c r="F14" s="372"/>
      <c r="G14" s="373"/>
    </row>
    <row r="15" spans="1:8">
      <c r="A15" s="236" t="s">
        <v>292</v>
      </c>
      <c r="B15" s="237"/>
      <c r="C15" s="252">
        <f>C48/C32</f>
        <v>0.18432222967654191</v>
      </c>
      <c r="D15" s="252">
        <f>D48/D32</f>
        <v>0.12920339640568926</v>
      </c>
      <c r="E15" s="252">
        <f>E48/E32</f>
        <v>0.17383407041543647</v>
      </c>
      <c r="F15" s="252">
        <f>F48/F32</f>
        <v>7.284616012819034E-2</v>
      </c>
      <c r="G15" s="252">
        <f>G48/G32</f>
        <v>0.17443870315662696</v>
      </c>
    </row>
    <row r="16" spans="1:8">
      <c r="A16" s="236" t="s">
        <v>293</v>
      </c>
      <c r="B16" s="237"/>
      <c r="C16" s="252">
        <f>C49/C44</f>
        <v>0.81230274644767986</v>
      </c>
      <c r="D16" s="252">
        <f>D49/D44</f>
        <v>0.33068826204585827</v>
      </c>
      <c r="E16" s="252">
        <f>E49/E44</f>
        <v>0.33091343328538642</v>
      </c>
      <c r="F16" s="252">
        <f>F49/F44</f>
        <v>0.81329437776965496</v>
      </c>
      <c r="G16" s="252">
        <f>G49/G44</f>
        <v>0.69938820574704474</v>
      </c>
    </row>
    <row r="17" spans="1:9">
      <c r="A17" s="236" t="s">
        <v>294</v>
      </c>
      <c r="B17" s="237"/>
      <c r="C17" s="251">
        <f>C50/C30</f>
        <v>2.2379769613754919E-2</v>
      </c>
      <c r="D17" s="251">
        <f>D50/D30</f>
        <v>8.1626280696577722E-2</v>
      </c>
      <c r="E17" s="251">
        <f>E50/E30</f>
        <v>0.10964544222755615</v>
      </c>
      <c r="F17" s="251">
        <f>F50/F30</f>
        <v>4.7834508766829618E-2</v>
      </c>
      <c r="G17" s="251">
        <f>G50/G30</f>
        <v>3.841044164466715E-2</v>
      </c>
    </row>
    <row r="18" spans="1:9">
      <c r="A18" s="240" t="s">
        <v>295</v>
      </c>
      <c r="B18" s="241"/>
      <c r="C18" s="251">
        <f>C47/C44</f>
        <v>0.32162796115314152</v>
      </c>
      <c r="D18" s="251">
        <f>D47/D44</f>
        <v>0.28452021663262222</v>
      </c>
      <c r="E18" s="251">
        <f>E47/E44</f>
        <v>0.28396283960033991</v>
      </c>
      <c r="F18" s="251">
        <f>F47/F44</f>
        <v>0.20656465148634567</v>
      </c>
      <c r="G18" s="251">
        <f>G47/G44</f>
        <v>0.30079836895724715</v>
      </c>
    </row>
    <row r="19" spans="1:9">
      <c r="A19" s="370" t="s">
        <v>296</v>
      </c>
      <c r="B19" s="371"/>
      <c r="C19" s="371"/>
      <c r="D19" s="371"/>
      <c r="E19" s="371"/>
      <c r="F19" s="372"/>
      <c r="G19" s="373"/>
    </row>
    <row r="20" spans="1:9">
      <c r="A20" s="236" t="s">
        <v>297</v>
      </c>
      <c r="B20" s="242" t="s">
        <v>298</v>
      </c>
      <c r="C20" s="250">
        <f>C40/C41</f>
        <v>0.59313783443023149</v>
      </c>
      <c r="D20" s="250">
        <f>D40/D41</f>
        <v>1.4178168206476982</v>
      </c>
      <c r="E20" s="250">
        <f>E40/E41</f>
        <v>2.0006731708475938</v>
      </c>
      <c r="F20" s="250">
        <f>F40/F41</f>
        <v>0.46582171808016776</v>
      </c>
      <c r="G20" s="250">
        <f>G40/G41</f>
        <v>0.61510570462426006</v>
      </c>
      <c r="I20" s="224"/>
    </row>
    <row r="21" spans="1:9">
      <c r="A21" s="236" t="s">
        <v>299</v>
      </c>
      <c r="B21" s="237" t="s">
        <v>300</v>
      </c>
      <c r="C21" s="250">
        <f>C42/C29</f>
        <v>1.1611646592205726E-5</v>
      </c>
      <c r="D21" s="250">
        <f>D42/D29</f>
        <v>1.1921445449206786E-2</v>
      </c>
      <c r="E21" s="250">
        <f>E42/E29</f>
        <v>1.0282181516231097E-2</v>
      </c>
      <c r="F21" s="250">
        <f>F42/F29</f>
        <v>0</v>
      </c>
      <c r="G21" s="250">
        <f>G42/G29</f>
        <v>3.6576677282176132E-2</v>
      </c>
      <c r="I21" s="225"/>
    </row>
    <row r="22" spans="1:9">
      <c r="A22" s="236" t="s">
        <v>301</v>
      </c>
      <c r="B22" s="237"/>
      <c r="C22" s="250">
        <f>C40/C29</f>
        <v>6.7680720652838644E-2</v>
      </c>
      <c r="D22" s="250">
        <f>D40/D29</f>
        <v>0.12936886465819566</v>
      </c>
      <c r="E22" s="250">
        <f>E40/E29</f>
        <v>0.15742858586785072</v>
      </c>
      <c r="F22" s="250">
        <f>F40/F29</f>
        <v>0.12148195174941562</v>
      </c>
      <c r="G22" s="250">
        <f>G40/G29</f>
        <v>0.11724056070831325</v>
      </c>
    </row>
    <row r="23" spans="1:9">
      <c r="A23" s="370" t="s">
        <v>302</v>
      </c>
      <c r="B23" s="371"/>
      <c r="C23" s="371"/>
      <c r="D23" s="371"/>
      <c r="E23" s="371"/>
      <c r="F23" s="372"/>
      <c r="G23" s="373"/>
    </row>
    <row r="24" spans="1:9">
      <c r="A24" s="243" t="s">
        <v>303</v>
      </c>
      <c r="B24" s="241" t="s">
        <v>304</v>
      </c>
      <c r="C24" s="251">
        <f>C32/C29</f>
        <v>0.82800207020543437</v>
      </c>
      <c r="D24" s="251">
        <f>D32/D29</f>
        <v>0.86523081232939758</v>
      </c>
      <c r="E24" s="251">
        <f>E32/E29</f>
        <v>0.83846194422529452</v>
      </c>
      <c r="F24" s="251">
        <f>F32/F29</f>
        <v>0.92315385100152969</v>
      </c>
      <c r="G24" s="251">
        <f>G32/G29</f>
        <v>0.75523899350036761</v>
      </c>
    </row>
    <row r="25" spans="1:9">
      <c r="A25" s="243" t="s">
        <v>305</v>
      </c>
      <c r="B25" s="244" t="s">
        <v>306</v>
      </c>
      <c r="C25" s="251">
        <f>C32/C31</f>
        <v>1.1218566531308134</v>
      </c>
      <c r="D25" s="251">
        <f>D32/D31</f>
        <v>1.1431784050820011</v>
      </c>
      <c r="E25" s="251">
        <f>E32/E31</f>
        <v>1.1364592253033425</v>
      </c>
      <c r="F25" s="251">
        <f>F32/F31</f>
        <v>1.2441915010081996</v>
      </c>
      <c r="G25" s="251">
        <f>G32/G31</f>
        <v>1.1023021383861471</v>
      </c>
    </row>
    <row r="26" spans="1:9">
      <c r="A26" s="243" t="s">
        <v>307</v>
      </c>
      <c r="B26" s="244"/>
      <c r="C26" s="251">
        <f>C39/C31</f>
        <v>0.11977916882243211</v>
      </c>
      <c r="D26" s="251">
        <f>D39/D31</f>
        <v>7.9726879541608467E-3</v>
      </c>
      <c r="E26" s="251">
        <f>E39/E31</f>
        <v>7.8282924204748777E-3</v>
      </c>
      <c r="F26" s="251">
        <f>F39/F31</f>
        <v>6.2911549036522199E-2</v>
      </c>
      <c r="G26" s="251">
        <f>G39/G31</f>
        <v>6.7272666508328971E-2</v>
      </c>
    </row>
    <row r="27" spans="1:9">
      <c r="A27" s="243" t="s">
        <v>308</v>
      </c>
      <c r="B27" s="245"/>
      <c r="C27" s="251">
        <f>C46/C44</f>
        <v>0.48412626546975585</v>
      </c>
      <c r="D27" s="251">
        <f>D46/D44</f>
        <v>1.2481243403697214E-2</v>
      </c>
      <c r="E27" s="251">
        <f>E46/E44</f>
        <v>1.1558499799963928E-2</v>
      </c>
      <c r="F27" s="251">
        <f>F46/F44</f>
        <v>0.48125279104264929</v>
      </c>
      <c r="G27" s="251">
        <f>G46/G44</f>
        <v>0.33833568901269484</v>
      </c>
    </row>
    <row r="28" spans="1:9">
      <c r="A28" s="370" t="s">
        <v>309</v>
      </c>
      <c r="B28" s="371"/>
      <c r="C28" s="371">
        <v>2015</v>
      </c>
      <c r="D28" s="371">
        <v>2016</v>
      </c>
      <c r="E28" s="371">
        <v>2017</v>
      </c>
      <c r="F28" s="372"/>
      <c r="G28" s="373" t="s">
        <v>310</v>
      </c>
    </row>
    <row r="29" spans="1:9">
      <c r="A29" s="258" t="s">
        <v>58</v>
      </c>
      <c r="B29" s="247"/>
      <c r="C29" s="254">
        <v>659596375</v>
      </c>
      <c r="D29" s="254">
        <v>700759906.63999999</v>
      </c>
      <c r="E29" s="254">
        <v>732142200.38</v>
      </c>
      <c r="F29" s="254">
        <f>SFP!B27</f>
        <v>42034351000</v>
      </c>
      <c r="G29" s="255">
        <v>585471089651.33801</v>
      </c>
    </row>
    <row r="30" spans="1:9">
      <c r="A30" s="258" t="s">
        <v>311</v>
      </c>
      <c r="B30" s="247"/>
      <c r="C30" s="254">
        <v>624882661.5</v>
      </c>
      <c r="D30" s="254">
        <v>669201874.61500001</v>
      </c>
      <c r="E30" s="254">
        <v>695624447.03999996</v>
      </c>
      <c r="F30" s="254">
        <f>(C29+F29)/2</f>
        <v>21346973687.5</v>
      </c>
      <c r="G30" s="255">
        <v>569661220979.42395</v>
      </c>
    </row>
    <row r="31" spans="1:9">
      <c r="A31" s="258" t="s">
        <v>59</v>
      </c>
      <c r="B31" s="247"/>
      <c r="C31" s="255">
        <v>486824375</v>
      </c>
      <c r="D31" s="255">
        <v>530380088.16000003</v>
      </c>
      <c r="E31" s="255">
        <v>540163130.46000004</v>
      </c>
      <c r="F31" s="255">
        <f>SFP!B32</f>
        <v>31188264000</v>
      </c>
      <c r="G31" s="255">
        <v>401133755504.83002</v>
      </c>
    </row>
    <row r="32" spans="1:9">
      <c r="A32" s="258" t="s">
        <v>312</v>
      </c>
      <c r="B32" s="247"/>
      <c r="C32" s="256">
        <v>546147164</v>
      </c>
      <c r="D32" s="256">
        <v>606319063.26999998</v>
      </c>
      <c r="E32" s="256">
        <v>613873372.77999997</v>
      </c>
      <c r="F32" s="256">
        <f>SFP!B15</f>
        <v>38804173000</v>
      </c>
      <c r="G32" s="255">
        <v>442170596471.84003</v>
      </c>
    </row>
    <row r="33" spans="1:7">
      <c r="A33" s="258" t="s">
        <v>115</v>
      </c>
      <c r="B33" s="247"/>
      <c r="C33" s="254">
        <v>98409139</v>
      </c>
      <c r="D33" s="254">
        <v>153985536.19000003</v>
      </c>
      <c r="E33" s="254">
        <v>175657416.46000001</v>
      </c>
      <c r="F33" s="254">
        <f>Financials!C14</f>
        <v>6095283000</v>
      </c>
      <c r="G33" s="255">
        <v>92813819771.184998</v>
      </c>
    </row>
    <row r="34" spans="1:7">
      <c r="A34" s="258" t="s">
        <v>313</v>
      </c>
      <c r="B34" s="247"/>
      <c r="C34" s="254">
        <v>72604536</v>
      </c>
      <c r="D34" s="254">
        <v>126669114.45000003</v>
      </c>
      <c r="E34" s="254">
        <v>147920690.90000001</v>
      </c>
      <c r="F34" s="254">
        <f>Financials!C15</f>
        <v>4072845000</v>
      </c>
      <c r="G34" s="255">
        <v>54377981938.644997</v>
      </c>
    </row>
    <row r="35" spans="1:7">
      <c r="A35" s="258" t="s">
        <v>314</v>
      </c>
      <c r="B35" s="247"/>
      <c r="C35" s="255">
        <v>0</v>
      </c>
      <c r="D35" s="255">
        <v>40504912.420000002</v>
      </c>
      <c r="E35" s="255">
        <v>36015339.560000002</v>
      </c>
      <c r="F35" s="255">
        <f>16172116+14580201+5263023</f>
        <v>36015340</v>
      </c>
      <c r="G35" s="255">
        <v>36223992997.295601</v>
      </c>
    </row>
    <row r="36" spans="1:7">
      <c r="A36" s="258" t="s">
        <v>140</v>
      </c>
      <c r="B36" s="247"/>
      <c r="C36" s="256">
        <v>27347312</v>
      </c>
      <c r="D36" s="256">
        <v>24179555.989999998</v>
      </c>
      <c r="E36" s="256">
        <v>23042909.170000002</v>
      </c>
      <c r="F36" s="256">
        <f>Financials!C38</f>
        <v>2167040000</v>
      </c>
      <c r="G36" s="255">
        <v>60490663315.517998</v>
      </c>
    </row>
    <row r="37" spans="1:7">
      <c r="A37" s="258" t="s">
        <v>141</v>
      </c>
      <c r="B37" s="247"/>
      <c r="C37" s="254">
        <v>5678927</v>
      </c>
      <c r="D37" s="254">
        <v>5703357.4500000002</v>
      </c>
      <c r="E37" s="254">
        <v>5726553.9800000004</v>
      </c>
      <c r="F37" s="256">
        <f>Financials!C39</f>
        <v>223605000</v>
      </c>
      <c r="G37" s="255">
        <v>17300265302.768002</v>
      </c>
    </row>
    <row r="38" spans="1:7">
      <c r="A38" s="258" t="s">
        <v>315</v>
      </c>
      <c r="B38" s="247"/>
      <c r="C38" s="254">
        <v>4228556</v>
      </c>
      <c r="D38" s="254">
        <v>4228554.9400000004</v>
      </c>
      <c r="E38" s="254">
        <v>4228554.9400000004</v>
      </c>
      <c r="F38" s="254">
        <f>SFP!B12+SFP!B13</f>
        <v>1962102000</v>
      </c>
      <c r="G38" s="255">
        <v>13596086480.08</v>
      </c>
    </row>
    <row r="39" spans="1:7">
      <c r="A39" s="258" t="s">
        <v>187</v>
      </c>
      <c r="B39" s="247"/>
      <c r="C39" s="254">
        <v>58311419</v>
      </c>
      <c r="D39" s="254">
        <v>4228554.9400000004</v>
      </c>
      <c r="E39" s="254">
        <v>4228554.9400000004</v>
      </c>
      <c r="F39" s="254">
        <f>SFP!B8</f>
        <v>1962102000</v>
      </c>
      <c r="G39" s="255">
        <v>26985337359.310001</v>
      </c>
    </row>
    <row r="40" spans="1:7">
      <c r="A40" s="258" t="s">
        <v>316</v>
      </c>
      <c r="B40" s="247"/>
      <c r="C40" s="254">
        <v>44641958</v>
      </c>
      <c r="D40" s="254">
        <v>90656513.519999996</v>
      </c>
      <c r="E40" s="254">
        <v>115260111.26000001</v>
      </c>
      <c r="F40" s="254">
        <f>SFP!B4+SFP!B11</f>
        <v>5106415000</v>
      </c>
      <c r="G40" s="255">
        <v>68640958829.230003</v>
      </c>
    </row>
    <row r="41" spans="1:7">
      <c r="A41" s="258" t="s">
        <v>317</v>
      </c>
      <c r="B41" s="247"/>
      <c r="C41" s="254">
        <v>75264054</v>
      </c>
      <c r="D41" s="254">
        <v>63940921.140000001</v>
      </c>
      <c r="E41" s="254">
        <v>57610664.719999999</v>
      </c>
      <c r="F41" s="254">
        <f>SFP!B29+SFP!B30+SFP!B33-SFP!B39</f>
        <v>10962166000</v>
      </c>
      <c r="G41" s="255">
        <v>111592134999.235</v>
      </c>
    </row>
    <row r="42" spans="1:7">
      <c r="A42" s="258" t="s">
        <v>318</v>
      </c>
      <c r="B42" s="247"/>
      <c r="C42" s="254">
        <v>7659</v>
      </c>
      <c r="D42" s="254">
        <v>8354071</v>
      </c>
      <c r="E42" s="254">
        <v>7528019</v>
      </c>
      <c r="F42" s="254">
        <f>SFP!B39</f>
        <v>0</v>
      </c>
      <c r="G42" s="255">
        <v>21414587104.221001</v>
      </c>
    </row>
    <row r="43" spans="1:7">
      <c r="A43" s="258" t="s">
        <v>319</v>
      </c>
      <c r="B43" s="247"/>
      <c r="C43" s="254">
        <v>512412658.5</v>
      </c>
      <c r="D43" s="254">
        <v>576858696.53999996</v>
      </c>
      <c r="E43" s="254">
        <v>579967320.245</v>
      </c>
      <c r="F43" s="254">
        <f>(C32+E32)/2</f>
        <v>580010268.38999999</v>
      </c>
      <c r="G43" s="255">
        <v>431312247219.79498</v>
      </c>
    </row>
    <row r="44" spans="1:7">
      <c r="A44" s="258" t="s">
        <v>320</v>
      </c>
      <c r="B44" s="247"/>
      <c r="C44" s="254">
        <v>119501967</v>
      </c>
      <c r="D44" s="254">
        <v>93225263.090000004</v>
      </c>
      <c r="E44" s="254">
        <v>125316872.87</v>
      </c>
      <c r="F44" s="254">
        <f>SCI!B3</f>
        <v>5873701000</v>
      </c>
      <c r="G44" s="255">
        <v>89459919464.139999</v>
      </c>
    </row>
    <row r="45" spans="1:7">
      <c r="A45" s="258" t="s">
        <v>321</v>
      </c>
      <c r="B45" s="247"/>
      <c r="C45" s="254">
        <v>60865365</v>
      </c>
      <c r="D45" s="254">
        <v>88921234.909999996</v>
      </c>
      <c r="E45" s="254">
        <v>119433171.29000001</v>
      </c>
      <c r="F45" s="254">
        <f>SCI!B19</f>
        <v>2854262000</v>
      </c>
      <c r="G45" s="255">
        <v>53897611535.760002</v>
      </c>
    </row>
    <row r="46" spans="1:7">
      <c r="A46" s="258" t="s">
        <v>322</v>
      </c>
      <c r="B46" s="247"/>
      <c r="C46" s="254">
        <v>57854041</v>
      </c>
      <c r="D46" s="254">
        <v>1163567.2</v>
      </c>
      <c r="E46" s="254">
        <v>1448475.05</v>
      </c>
      <c r="F46" s="254">
        <f>SCI!B13</f>
        <v>2826735000</v>
      </c>
      <c r="G46" s="255">
        <v>30267483490.919998</v>
      </c>
    </row>
    <row r="47" spans="1:7">
      <c r="A47" s="258" t="s">
        <v>253</v>
      </c>
      <c r="B47" s="247"/>
      <c r="C47" s="254">
        <v>38435174</v>
      </c>
      <c r="D47" s="254">
        <v>26524472.050000001</v>
      </c>
      <c r="E47" s="254">
        <v>35585335.07</v>
      </c>
      <c r="F47" s="254">
        <f>SCI!B23</f>
        <v>1213299000</v>
      </c>
      <c r="G47" s="255">
        <v>26909397861.860001</v>
      </c>
    </row>
    <row r="48" spans="1:7">
      <c r="A48" s="258" t="s">
        <v>323</v>
      </c>
      <c r="B48" s="247"/>
      <c r="C48" s="254">
        <v>100667063</v>
      </c>
      <c r="D48" s="254">
        <v>78338482.280000001</v>
      </c>
      <c r="E48" s="254">
        <v>106712107.11</v>
      </c>
      <c r="F48" s="254">
        <f>SCI!B13+SCI!B15</f>
        <v>2826735000</v>
      </c>
      <c r="G48" s="255">
        <v>77131665422.539993</v>
      </c>
    </row>
    <row r="49" spans="1:7">
      <c r="A49" s="258" t="s">
        <v>324</v>
      </c>
      <c r="B49" s="247"/>
      <c r="C49" s="254">
        <v>97071776</v>
      </c>
      <c r="D49" s="254">
        <v>30828500.23</v>
      </c>
      <c r="E49" s="254">
        <v>41469036.649999999</v>
      </c>
      <c r="F49" s="254">
        <f>SCI!B12+SCI!B20+SCI!B23</f>
        <v>4777048000</v>
      </c>
      <c r="G49" s="255">
        <v>62567212560.300003</v>
      </c>
    </row>
    <row r="50" spans="1:7">
      <c r="A50" s="258" t="s">
        <v>325</v>
      </c>
      <c r="B50" s="247"/>
      <c r="C50" s="254">
        <v>13984730</v>
      </c>
      <c r="D50" s="254">
        <v>54624460.060000002</v>
      </c>
      <c r="E50" s="254">
        <v>76272050.120000005</v>
      </c>
      <c r="F50" s="254">
        <f>SCI!B37</f>
        <v>1021122000</v>
      </c>
      <c r="G50" s="255">
        <v>21880939085.66</v>
      </c>
    </row>
    <row r="51" spans="1:7">
      <c r="A51" s="364" t="s">
        <v>326</v>
      </c>
      <c r="B51" s="365"/>
      <c r="C51" s="365"/>
      <c r="D51" s="365"/>
      <c r="E51" s="365"/>
      <c r="F51" s="365"/>
      <c r="G51" s="366"/>
    </row>
    <row r="52" spans="1:7">
      <c r="A52" s="227">
        <v>1</v>
      </c>
      <c r="B52" s="223"/>
      <c r="C52" s="228"/>
      <c r="D52" s="228"/>
      <c r="E52" s="228"/>
      <c r="F52" s="229"/>
      <c r="G52" s="230"/>
    </row>
    <row r="53" spans="1:7">
      <c r="A53" s="227">
        <v>2</v>
      </c>
      <c r="B53" s="223"/>
      <c r="C53" s="228"/>
      <c r="D53" s="228"/>
      <c r="E53" s="228"/>
      <c r="F53" s="229"/>
      <c r="G53" s="230"/>
    </row>
    <row r="54" spans="1:7">
      <c r="A54" s="227">
        <v>3</v>
      </c>
      <c r="B54" s="223"/>
      <c r="C54" s="228"/>
      <c r="D54" s="228"/>
      <c r="E54" s="228"/>
      <c r="F54" s="229"/>
      <c r="G54" s="230"/>
    </row>
    <row r="55" spans="1:7">
      <c r="A55" s="226">
        <v>4</v>
      </c>
      <c r="B55" s="228"/>
      <c r="C55" s="228"/>
      <c r="D55" s="228"/>
      <c r="E55" s="229"/>
      <c r="F55" s="229"/>
      <c r="G55" s="257"/>
    </row>
    <row r="56" spans="1:7">
      <c r="A56" s="248" t="s">
        <v>327</v>
      </c>
      <c r="B56" s="223"/>
      <c r="C56" s="367"/>
      <c r="D56" s="368"/>
      <c r="E56" s="368"/>
      <c r="F56" s="368"/>
      <c r="G56" s="369"/>
    </row>
    <row r="57" spans="1:7">
      <c r="A57" s="248"/>
      <c r="B57" s="223"/>
      <c r="C57" s="231"/>
      <c r="D57" s="231"/>
      <c r="E57" s="232"/>
      <c r="F57" s="232"/>
      <c r="G57" s="233"/>
    </row>
    <row r="58" spans="1:7">
      <c r="A58" s="249" t="s">
        <v>328</v>
      </c>
      <c r="B58" s="234"/>
      <c r="C58" s="367"/>
      <c r="D58" s="368"/>
      <c r="E58" s="368"/>
      <c r="F58" s="368"/>
      <c r="G58" s="369"/>
    </row>
    <row r="59" spans="1:7">
      <c r="A59" s="90"/>
      <c r="B59" s="223"/>
      <c r="C59" s="228"/>
      <c r="D59" s="228"/>
      <c r="E59" s="228"/>
      <c r="F59" s="229"/>
      <c r="G59" s="230"/>
    </row>
    <row r="60" spans="1:7">
      <c r="A60" s="248" t="s">
        <v>329</v>
      </c>
      <c r="B60" s="223"/>
      <c r="C60" s="367"/>
      <c r="D60" s="368"/>
      <c r="E60" s="368"/>
      <c r="F60" s="368"/>
      <c r="G60" s="369"/>
    </row>
    <row r="61" spans="1:7" ht="15" thickBot="1">
      <c r="A61" s="269"/>
      <c r="B61" s="270"/>
      <c r="C61" s="271"/>
      <c r="D61" s="271"/>
      <c r="E61" s="271"/>
      <c r="F61" s="272"/>
      <c r="G61" s="273"/>
    </row>
    <row r="62" spans="1:7">
      <c r="A62" s="274" t="s">
        <v>330</v>
      </c>
    </row>
    <row r="63" spans="1:7">
      <c r="A63" s="268"/>
    </row>
    <row r="64" spans="1:7">
      <c r="A64" s="268"/>
    </row>
  </sheetData>
  <mergeCells count="16">
    <mergeCell ref="A1:G1"/>
    <mergeCell ref="A2:G2"/>
    <mergeCell ref="B3:B4"/>
    <mergeCell ref="D3:E3"/>
    <mergeCell ref="F3:F4"/>
    <mergeCell ref="G3:G4"/>
    <mergeCell ref="A51:G51"/>
    <mergeCell ref="C56:G56"/>
    <mergeCell ref="C58:G58"/>
    <mergeCell ref="C60:G60"/>
    <mergeCell ref="A5:G5"/>
    <mergeCell ref="A9:G9"/>
    <mergeCell ref="A14:G14"/>
    <mergeCell ref="A19:G19"/>
    <mergeCell ref="A23:G23"/>
    <mergeCell ref="A28:G28"/>
  </mergeCells>
  <pageMargins left="0.70866141732283472" right="0.70866141732283472" top="0.74803149606299213" bottom="0.74803149606299213" header="0.31496062992125984" footer="0.31496062992125984"/>
  <pageSetup scale="53" orientation="landscape" r:id="rId1"/>
  <colBreaks count="1" manualBreakCount="1">
    <brk id="7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64"/>
  <sheetViews>
    <sheetView topLeftCell="A43" workbookViewId="0">
      <selection sqref="A1:G1"/>
    </sheetView>
  </sheetViews>
  <sheetFormatPr defaultRowHeight="14.45"/>
  <cols>
    <col min="1" max="1" width="42.42578125" customWidth="1"/>
    <col min="2" max="2" width="18" bestFit="1" customWidth="1"/>
    <col min="3" max="3" width="16.7109375" bestFit="1" customWidth="1"/>
    <col min="4" max="4" width="21" bestFit="1" customWidth="1"/>
    <col min="5" max="6" width="16.28515625" bestFit="1" customWidth="1"/>
    <col min="7" max="7" width="31.7109375" bestFit="1" customWidth="1"/>
  </cols>
  <sheetData>
    <row r="1" spans="1:7">
      <c r="A1" s="374" t="s">
        <v>331</v>
      </c>
      <c r="B1" s="375"/>
      <c r="C1" s="375"/>
      <c r="D1" s="375"/>
      <c r="E1" s="375"/>
      <c r="F1" s="376"/>
      <c r="G1" s="377"/>
    </row>
    <row r="2" spans="1:7">
      <c r="A2" s="378" t="s">
        <v>332</v>
      </c>
      <c r="B2" s="379"/>
      <c r="C2" s="379"/>
      <c r="D2" s="379"/>
      <c r="E2" s="379"/>
      <c r="F2" s="380"/>
      <c r="G2" s="381"/>
    </row>
    <row r="3" spans="1:7">
      <c r="A3" s="246"/>
      <c r="B3" s="382" t="s">
        <v>272</v>
      </c>
      <c r="C3" s="253" t="s">
        <v>273</v>
      </c>
      <c r="D3" s="384" t="s">
        <v>274</v>
      </c>
      <c r="E3" s="385"/>
      <c r="F3" s="386" t="s">
        <v>333</v>
      </c>
      <c r="G3" s="388" t="s">
        <v>275</v>
      </c>
    </row>
    <row r="4" spans="1:7" ht="28.9">
      <c r="A4" s="90"/>
      <c r="B4" s="383"/>
      <c r="C4" s="220">
        <v>2018</v>
      </c>
      <c r="D4" s="221" t="s">
        <v>334</v>
      </c>
      <c r="E4" s="222" t="s">
        <v>335</v>
      </c>
      <c r="F4" s="387"/>
      <c r="G4" s="389"/>
    </row>
    <row r="5" spans="1:7">
      <c r="A5" s="370" t="s">
        <v>278</v>
      </c>
      <c r="B5" s="371"/>
      <c r="C5" s="371"/>
      <c r="D5" s="371"/>
      <c r="E5" s="371"/>
      <c r="F5" s="372"/>
      <c r="G5" s="373"/>
    </row>
    <row r="6" spans="1:7">
      <c r="A6" s="236" t="s">
        <v>279</v>
      </c>
      <c r="B6" s="237" t="s">
        <v>280</v>
      </c>
      <c r="C6" s="235">
        <v>92958252</v>
      </c>
      <c r="D6" s="235">
        <v>114415998.61</v>
      </c>
      <c r="E6" s="235">
        <v>127048808.22</v>
      </c>
      <c r="F6" s="235" t="e">
        <f>F33</f>
        <v>#REF!</v>
      </c>
      <c r="G6" s="235">
        <v>85391581296.029007</v>
      </c>
    </row>
    <row r="7" spans="1:7">
      <c r="A7" s="236" t="s">
        <v>281</v>
      </c>
      <c r="B7" s="238" t="s">
        <v>282</v>
      </c>
      <c r="C7" s="250">
        <v>0.15751125557354806</v>
      </c>
      <c r="D7" s="250">
        <v>0.17943558922369865</v>
      </c>
      <c r="E7" s="250">
        <v>0.19275909262397464</v>
      </c>
      <c r="F7" s="250" t="e">
        <f>F6/F29</f>
        <v>#REF!</v>
      </c>
      <c r="G7" s="250">
        <v>0.15597716421648317</v>
      </c>
    </row>
    <row r="8" spans="1:7">
      <c r="A8" s="236" t="s">
        <v>28</v>
      </c>
      <c r="B8" s="238" t="s">
        <v>283</v>
      </c>
      <c r="C8" s="252">
        <v>0.1181899814220656</v>
      </c>
      <c r="D8" s="252">
        <v>0.13976271198356527</v>
      </c>
      <c r="E8" s="252">
        <v>0.15360973590124533</v>
      </c>
      <c r="F8" s="250" t="e">
        <f>F34/F29</f>
        <v>#REF!</v>
      </c>
      <c r="G8" s="250">
        <v>9.1529476530776754E-2</v>
      </c>
    </row>
    <row r="9" spans="1:7">
      <c r="A9" s="370" t="s">
        <v>284</v>
      </c>
      <c r="B9" s="371"/>
      <c r="C9" s="371"/>
      <c r="D9" s="371"/>
      <c r="E9" s="371"/>
      <c r="F9" s="372"/>
      <c r="G9" s="373"/>
    </row>
    <row r="10" spans="1:7">
      <c r="A10" s="236" t="s">
        <v>285</v>
      </c>
      <c r="B10" s="237" t="s">
        <v>286</v>
      </c>
      <c r="C10" s="252">
        <v>0</v>
      </c>
      <c r="D10" s="252">
        <v>5.7997793674342386E-2</v>
      </c>
      <c r="E10" s="252">
        <v>4.9062416773035251E-2</v>
      </c>
      <c r="F10" s="252" t="e">
        <f>F35/F32</f>
        <v>#REF!</v>
      </c>
      <c r="G10" s="252">
        <v>7.3407956508729152E-2</v>
      </c>
    </row>
    <row r="11" spans="1:7">
      <c r="A11" s="236" t="s">
        <v>140</v>
      </c>
      <c r="B11" s="237" t="s">
        <v>287</v>
      </c>
      <c r="C11" s="250">
        <v>5.3369039673703739E-2</v>
      </c>
      <c r="D11" s="250">
        <v>4.313589934198693E-2</v>
      </c>
      <c r="E11" s="250">
        <v>4.1315651335798287E-2</v>
      </c>
      <c r="F11" s="250" t="e">
        <f>F36/F29</f>
        <v>#REF!</v>
      </c>
      <c r="G11" s="250">
        <v>0.10567686658211675</v>
      </c>
    </row>
    <row r="12" spans="1:7">
      <c r="A12" s="236" t="s">
        <v>288</v>
      </c>
      <c r="B12" s="237" t="s">
        <v>286</v>
      </c>
      <c r="C12" s="239">
        <v>0</v>
      </c>
      <c r="D12" s="239">
        <v>8.629787820115465E-3</v>
      </c>
      <c r="E12" s="239">
        <v>8.6830722287846648E-3</v>
      </c>
      <c r="F12" s="239" t="e">
        <f>F38/F31</f>
        <v>#REF!</v>
      </c>
      <c r="G12" s="239">
        <v>3.4924322826732836E-2</v>
      </c>
    </row>
    <row r="13" spans="1:7">
      <c r="A13" s="240" t="s">
        <v>289</v>
      </c>
      <c r="B13" s="237" t="s">
        <v>290</v>
      </c>
      <c r="C13" s="251">
        <v>0</v>
      </c>
      <c r="D13" s="251">
        <v>3.6957724368717991E-2</v>
      </c>
      <c r="E13" s="251">
        <v>3.3282917008381208E-2</v>
      </c>
      <c r="F13" s="251" t="e">
        <f>F38/F33</f>
        <v>#REF!</v>
      </c>
      <c r="G13" s="251">
        <v>0.15379721295547349</v>
      </c>
    </row>
    <row r="14" spans="1:7">
      <c r="A14" s="370" t="s">
        <v>291</v>
      </c>
      <c r="B14" s="371"/>
      <c r="C14" s="371"/>
      <c r="D14" s="371"/>
      <c r="E14" s="371"/>
      <c r="F14" s="372"/>
      <c r="G14" s="373"/>
    </row>
    <row r="15" spans="1:7">
      <c r="A15" s="236" t="s">
        <v>292</v>
      </c>
      <c r="B15" s="237"/>
      <c r="C15" s="252">
        <v>0.1927037977853984</v>
      </c>
      <c r="D15" s="252">
        <v>0.13877868068462679</v>
      </c>
      <c r="E15" s="252">
        <v>0.1873746590727593</v>
      </c>
      <c r="F15" s="252" t="e">
        <f>F48/F32</f>
        <v>#REF!</v>
      </c>
      <c r="G15" s="252">
        <v>0.16090340655515664</v>
      </c>
    </row>
    <row r="16" spans="1:7">
      <c r="A16" s="236" t="s">
        <v>293</v>
      </c>
      <c r="B16" s="237"/>
      <c r="C16" s="252">
        <v>0.79311986141810542</v>
      </c>
      <c r="D16" s="252">
        <v>0.35836604868678473</v>
      </c>
      <c r="E16" s="252">
        <v>0.33974950555086231</v>
      </c>
      <c r="F16" s="252" t="e">
        <f>F49/F44</f>
        <v>#REF!</v>
      </c>
      <c r="G16" s="252">
        <v>0.70779969699627798</v>
      </c>
    </row>
    <row r="17" spans="1:9">
      <c r="A17" s="236" t="s">
        <v>294</v>
      </c>
      <c r="B17" s="237"/>
      <c r="C17" s="251">
        <v>2.7977037909074701E-2</v>
      </c>
      <c r="D17" s="251">
        <v>8.1818348036064151E-2</v>
      </c>
      <c r="E17" s="251">
        <v>0.11400955414054095</v>
      </c>
      <c r="F17" s="251" t="e">
        <f>F50/F30</f>
        <v>#REF!</v>
      </c>
      <c r="G17" s="251">
        <v>3.697597245768388E-2</v>
      </c>
    </row>
    <row r="18" spans="1:9">
      <c r="A18" s="240" t="s">
        <v>295</v>
      </c>
      <c r="B18" s="241"/>
      <c r="C18" s="251">
        <v>0.30200756782358568</v>
      </c>
      <c r="D18" s="251">
        <v>0.31934512643499757</v>
      </c>
      <c r="E18" s="251">
        <v>0.30463818249029551</v>
      </c>
      <c r="F18" s="251" t="e">
        <f>F47/F45</f>
        <v>#REF!</v>
      </c>
      <c r="G18" s="251">
        <v>0.31992696870403498</v>
      </c>
    </row>
    <row r="19" spans="1:9">
      <c r="A19" s="370" t="s">
        <v>296</v>
      </c>
      <c r="B19" s="371"/>
      <c r="C19" s="371"/>
      <c r="D19" s="371"/>
      <c r="E19" s="371"/>
      <c r="F19" s="372"/>
      <c r="G19" s="373"/>
    </row>
    <row r="20" spans="1:9">
      <c r="A20" s="236" t="s">
        <v>297</v>
      </c>
      <c r="B20" s="242" t="s">
        <v>298</v>
      </c>
      <c r="C20" s="250">
        <v>1.1755674252429795</v>
      </c>
      <c r="D20" s="250">
        <v>1.0116662174612125</v>
      </c>
      <c r="E20" s="250">
        <v>1.4570233995613726</v>
      </c>
      <c r="F20" s="250" t="e">
        <f>F40/F41</f>
        <v>#REF!</v>
      </c>
      <c r="G20" s="250">
        <v>0.54995223824859307</v>
      </c>
      <c r="I20" s="224"/>
    </row>
    <row r="21" spans="1:9">
      <c r="A21" s="236" t="s">
        <v>299</v>
      </c>
      <c r="B21" s="237" t="s">
        <v>300</v>
      </c>
      <c r="C21" s="250">
        <v>0</v>
      </c>
      <c r="D21" s="250">
        <v>0</v>
      </c>
      <c r="E21" s="250">
        <v>0</v>
      </c>
      <c r="F21" s="250" t="e">
        <f>F42/F29</f>
        <v>#REF!</v>
      </c>
      <c r="G21" s="250">
        <v>3.9238044622780577E-2</v>
      </c>
      <c r="I21" s="225"/>
    </row>
    <row r="22" spans="1:9">
      <c r="A22" s="236" t="s">
        <v>301</v>
      </c>
      <c r="B22" s="237"/>
      <c r="C22" s="250">
        <v>0.14737887226150706</v>
      </c>
      <c r="D22" s="250">
        <v>0.12043217751163511</v>
      </c>
      <c r="E22" s="250">
        <v>0.14934900214320188</v>
      </c>
      <c r="F22" s="250" t="e">
        <f>F40/F29</f>
        <v>#REF!</v>
      </c>
      <c r="G22" s="250">
        <v>0.11016896486052413</v>
      </c>
    </row>
    <row r="23" spans="1:9">
      <c r="A23" s="370" t="s">
        <v>302</v>
      </c>
      <c r="B23" s="371"/>
      <c r="C23" s="371"/>
      <c r="D23" s="371"/>
      <c r="E23" s="371"/>
      <c r="F23" s="372"/>
      <c r="G23" s="373"/>
    </row>
    <row r="24" spans="1:9">
      <c r="A24" s="243" t="s">
        <v>303</v>
      </c>
      <c r="B24" s="241" t="s">
        <v>304</v>
      </c>
      <c r="C24" s="251">
        <v>0.8110866466664729</v>
      </c>
      <c r="D24" s="251">
        <v>0.85847034543070588</v>
      </c>
      <c r="E24" s="251">
        <v>0.8284869095238564</v>
      </c>
      <c r="F24" s="251" t="e">
        <f>F32/F29</f>
        <v>#REF!</v>
      </c>
      <c r="G24" s="251">
        <v>0.75892187654689014</v>
      </c>
    </row>
    <row r="25" spans="1:9">
      <c r="A25" s="243" t="s">
        <v>305</v>
      </c>
      <c r="B25" s="244" t="s">
        <v>306</v>
      </c>
      <c r="C25" s="251">
        <v>1.1046877794190588</v>
      </c>
      <c r="D25" s="251">
        <v>1.1171503046253162</v>
      </c>
      <c r="E25" s="251">
        <v>1.1213025480680283</v>
      </c>
      <c r="F25" s="251" t="e">
        <f>F32/F31</f>
        <v>#REF!</v>
      </c>
      <c r="G25" s="251">
        <v>1.1048811904759108</v>
      </c>
    </row>
    <row r="26" spans="1:9">
      <c r="A26" s="243" t="s">
        <v>307</v>
      </c>
      <c r="B26" s="244"/>
      <c r="C26" s="251">
        <v>9.7586092112738592E-3</v>
      </c>
      <c r="D26" s="251">
        <v>8.629787820115465E-3</v>
      </c>
      <c r="E26" s="251">
        <v>8.6830722287846648E-3</v>
      </c>
      <c r="F26" s="251" t="e">
        <f>F39/F29</f>
        <v>#REF!</v>
      </c>
      <c r="G26" s="251">
        <v>5.9782934598017992E-2</v>
      </c>
    </row>
    <row r="27" spans="1:9">
      <c r="A27" s="243" t="s">
        <v>308</v>
      </c>
      <c r="B27" s="245"/>
      <c r="C27" s="251">
        <v>0.48814818827257594</v>
      </c>
      <c r="D27" s="251">
        <v>1.203500084899308E-2</v>
      </c>
      <c r="E27" s="251">
        <v>1.2230217070811957E-2</v>
      </c>
      <c r="F27" s="251" t="e">
        <f>F46/F44</f>
        <v>#REF!</v>
      </c>
      <c r="G27" s="251">
        <v>0.3210852746392126</v>
      </c>
    </row>
    <row r="28" spans="1:9">
      <c r="A28" s="370" t="s">
        <v>309</v>
      </c>
      <c r="B28" s="371"/>
      <c r="C28" s="371">
        <v>2015</v>
      </c>
      <c r="D28" s="371">
        <v>2016</v>
      </c>
      <c r="E28" s="371">
        <v>2017</v>
      </c>
      <c r="F28" s="372"/>
      <c r="G28" s="373" t="s">
        <v>310</v>
      </c>
    </row>
    <row r="29" spans="1:9">
      <c r="A29" s="258" t="s">
        <v>58</v>
      </c>
      <c r="B29" s="247"/>
      <c r="C29" s="254">
        <v>590168948</v>
      </c>
      <c r="D29" s="254">
        <v>637643842.59000003</v>
      </c>
      <c r="E29" s="254">
        <v>659106693.70000005</v>
      </c>
      <c r="F29" s="254" t="e">
        <f>SFP!#REF!</f>
        <v>#REF!</v>
      </c>
      <c r="G29" s="255">
        <v>547462070649.73102</v>
      </c>
    </row>
    <row r="30" spans="1:9">
      <c r="A30" s="258" t="s">
        <v>311</v>
      </c>
      <c r="B30" s="247"/>
      <c r="C30" s="254">
        <v>564133381.5</v>
      </c>
      <c r="D30" s="254">
        <v>614923991.35000002</v>
      </c>
      <c r="E30" s="254">
        <v>641761675.34000003</v>
      </c>
      <c r="F30" s="254" t="e">
        <f>(F29+C29)/2</f>
        <v>#REF!</v>
      </c>
      <c r="G30" s="255">
        <v>520792906241.42297</v>
      </c>
    </row>
    <row r="31" spans="1:9">
      <c r="A31" s="258" t="s">
        <v>59</v>
      </c>
      <c r="B31" s="247"/>
      <c r="C31" s="255">
        <v>433315333</v>
      </c>
      <c r="D31" s="255">
        <v>489995238.37</v>
      </c>
      <c r="E31" s="255">
        <v>486988341.06</v>
      </c>
      <c r="F31" s="255" t="e">
        <f>SFP!#REF!</f>
        <v>#REF!</v>
      </c>
      <c r="G31" s="255">
        <v>376041284417.90002</v>
      </c>
    </row>
    <row r="32" spans="1:9">
      <c r="A32" s="258" t="s">
        <v>312</v>
      </c>
      <c r="B32" s="247"/>
      <c r="C32" s="256">
        <v>478678153</v>
      </c>
      <c r="D32" s="256">
        <v>547398329.80999994</v>
      </c>
      <c r="E32" s="256">
        <v>546061267.71000004</v>
      </c>
      <c r="F32" s="256" t="e">
        <f>SFP!#REF!</f>
        <v>#REF!</v>
      </c>
      <c r="G32" s="255">
        <v>415480941995.73999</v>
      </c>
    </row>
    <row r="33" spans="1:7">
      <c r="A33" s="258" t="s">
        <v>115</v>
      </c>
      <c r="B33" s="247"/>
      <c r="C33" s="254">
        <v>92958252</v>
      </c>
      <c r="D33" s="254">
        <v>114415998.61</v>
      </c>
      <c r="E33" s="254">
        <v>127048808.22</v>
      </c>
      <c r="F33" s="254" t="e">
        <f>Financials!#REF!</f>
        <v>#REF!</v>
      </c>
      <c r="G33" s="255">
        <v>85391581296.029007</v>
      </c>
    </row>
    <row r="34" spans="1:7">
      <c r="A34" s="258" t="s">
        <v>313</v>
      </c>
      <c r="B34" s="247"/>
      <c r="C34" s="254">
        <v>69752057</v>
      </c>
      <c r="D34" s="254">
        <v>89118832.719999999</v>
      </c>
      <c r="E34" s="254">
        <v>101245205.15000001</v>
      </c>
      <c r="F34" s="254" t="e">
        <f>Financials!#REF!</f>
        <v>#REF!</v>
      </c>
      <c r="G34" s="255">
        <v>50108916747.025002</v>
      </c>
    </row>
    <row r="35" spans="1:7">
      <c r="A35" s="258" t="s">
        <v>314</v>
      </c>
      <c r="B35" s="247"/>
      <c r="C35" s="255">
        <v>0</v>
      </c>
      <c r="D35" s="255">
        <v>31747895.390000001</v>
      </c>
      <c r="E35" s="255">
        <v>26791085.5</v>
      </c>
      <c r="F35" s="255">
        <f>22604726+734025+3452334</f>
        <v>26791085</v>
      </c>
      <c r="G35" s="255">
        <v>30499606920.229099</v>
      </c>
    </row>
    <row r="36" spans="1:7">
      <c r="A36" s="258" t="s">
        <v>140</v>
      </c>
      <c r="B36" s="247"/>
      <c r="C36" s="256">
        <v>31496750</v>
      </c>
      <c r="D36" s="256">
        <v>27505340.609999999</v>
      </c>
      <c r="E36" s="256">
        <v>27231422.350000001</v>
      </c>
      <c r="F36" s="256" t="e">
        <f>Financials!#REF!</f>
        <v>#REF!</v>
      </c>
      <c r="G36" s="255">
        <v>57854076198.820999</v>
      </c>
    </row>
    <row r="37" spans="1:7">
      <c r="A37" s="258" t="s">
        <v>141</v>
      </c>
      <c r="B37" s="247"/>
      <c r="C37" s="254">
        <v>7005759</v>
      </c>
      <c r="D37" s="254">
        <v>5982262.1699999999</v>
      </c>
      <c r="E37" s="254">
        <v>5325780.8099999996</v>
      </c>
      <c r="F37" s="256" t="e">
        <f>Financials!#REF!</f>
        <v>#REF!</v>
      </c>
      <c r="G37" s="255">
        <v>17751023583.351002</v>
      </c>
    </row>
    <row r="38" spans="1:7">
      <c r="A38" s="258" t="s">
        <v>315</v>
      </c>
      <c r="B38" s="247"/>
      <c r="C38" s="254">
        <v>0</v>
      </c>
      <c r="D38" s="254">
        <v>4228554.9400000004</v>
      </c>
      <c r="E38" s="254">
        <v>4228554.9400000004</v>
      </c>
      <c r="F38" s="254" t="e">
        <f>SFP!#REF!+SFP!#REF!</f>
        <v>#REF!</v>
      </c>
      <c r="G38" s="255">
        <v>13132987213.190001</v>
      </c>
    </row>
    <row r="39" spans="1:7">
      <c r="A39" s="258" t="s">
        <v>187</v>
      </c>
      <c r="B39" s="247"/>
      <c r="C39" s="254">
        <v>4228555</v>
      </c>
      <c r="D39" s="254">
        <v>4228554.9400000004</v>
      </c>
      <c r="E39" s="254">
        <v>4228554.9400000004</v>
      </c>
      <c r="F39" s="254" t="e">
        <f>SFP!#REF!</f>
        <v>#REF!</v>
      </c>
      <c r="G39" s="255">
        <v>22480851512.509998</v>
      </c>
    </row>
    <row r="40" spans="1:7">
      <c r="A40" s="258" t="s">
        <v>316</v>
      </c>
      <c r="B40" s="247"/>
      <c r="C40" s="254">
        <v>86978434</v>
      </c>
      <c r="D40" s="254">
        <v>76792836.439999998</v>
      </c>
      <c r="E40" s="254">
        <v>98436927.010000005</v>
      </c>
      <c r="F40" s="254" t="e">
        <f>SFP!#REF!</f>
        <v>#REF!</v>
      </c>
      <c r="G40" s="255">
        <v>60313329623.879997</v>
      </c>
    </row>
    <row r="41" spans="1:7">
      <c r="A41" s="258" t="s">
        <v>317</v>
      </c>
      <c r="B41" s="247"/>
      <c r="C41" s="254">
        <v>73988469</v>
      </c>
      <c r="D41" s="254">
        <v>75907285.540000007</v>
      </c>
      <c r="E41" s="254">
        <v>67560292.469999999</v>
      </c>
      <c r="F41" s="254" t="e">
        <f>SFP!#REF!+SFP!#REF!+SFP!#REF!-SFP!#REF!</f>
        <v>#REF!</v>
      </c>
      <c r="G41" s="255">
        <v>109670123020.05901</v>
      </c>
    </row>
    <row r="42" spans="1:7">
      <c r="A42" s="258" t="s">
        <v>318</v>
      </c>
      <c r="B42" s="247"/>
      <c r="C42" s="254">
        <v>0</v>
      </c>
      <c r="D42" s="254">
        <v>0</v>
      </c>
      <c r="E42" s="254">
        <v>0</v>
      </c>
      <c r="F42" s="254" t="e">
        <f>SFP!#REF!</f>
        <v>#REF!</v>
      </c>
      <c r="G42" s="255">
        <v>21481341157.433998</v>
      </c>
    </row>
    <row r="43" spans="1:7">
      <c r="A43" s="258" t="s">
        <v>319</v>
      </c>
      <c r="B43" s="247"/>
      <c r="C43" s="254">
        <v>445483841</v>
      </c>
      <c r="D43" s="254">
        <v>504627081.32499999</v>
      </c>
      <c r="E43" s="254">
        <v>512088379.35500002</v>
      </c>
      <c r="F43" s="254" t="e">
        <f>(C32+F32)/2</f>
        <v>#REF!</v>
      </c>
      <c r="G43" s="255">
        <v>393392009454.375</v>
      </c>
    </row>
    <row r="44" spans="1:7">
      <c r="A44" s="258" t="s">
        <v>320</v>
      </c>
      <c r="B44" s="247"/>
      <c r="C44" s="254">
        <v>110748089</v>
      </c>
      <c r="D44" s="254">
        <v>89428467.310000002</v>
      </c>
      <c r="E44" s="254">
        <v>119356968.2</v>
      </c>
      <c r="F44" s="254" t="e">
        <f>SCI!#REF!</f>
        <v>#REF!</v>
      </c>
      <c r="G44" s="255">
        <v>79322865013.129898</v>
      </c>
    </row>
    <row r="45" spans="1:7">
      <c r="A45" s="258" t="s">
        <v>321</v>
      </c>
      <c r="B45" s="247"/>
      <c r="C45" s="254">
        <v>56358341</v>
      </c>
      <c r="D45" s="254">
        <v>85938886.040000007</v>
      </c>
      <c r="E45" s="254">
        <v>115166187.13</v>
      </c>
      <c r="F45" s="254" t="e">
        <f>SCI!#REF!</f>
        <v>#REF!</v>
      </c>
      <c r="G45" s="255">
        <v>46800235781.199997</v>
      </c>
    </row>
    <row r="46" spans="1:7">
      <c r="A46" s="258" t="s">
        <v>322</v>
      </c>
      <c r="B46" s="247"/>
      <c r="C46" s="254">
        <v>54061479</v>
      </c>
      <c r="D46" s="254">
        <v>1076271.68</v>
      </c>
      <c r="E46" s="254">
        <v>1459761.63</v>
      </c>
      <c r="F46" s="254" t="e">
        <f>SCI!#REF!</f>
        <v>#REF!</v>
      </c>
      <c r="G46" s="255">
        <v>25469403897.91</v>
      </c>
    </row>
    <row r="47" spans="1:7">
      <c r="A47" s="258" t="s">
        <v>253</v>
      </c>
      <c r="B47" s="247"/>
      <c r="C47" s="254">
        <v>33446761</v>
      </c>
      <c r="D47" s="254">
        <v>28558545.199999999</v>
      </c>
      <c r="E47" s="254">
        <v>36360689.859999999</v>
      </c>
      <c r="F47" s="254" t="e">
        <f>SCI!#REF!</f>
        <v>#REF!</v>
      </c>
      <c r="G47" s="255">
        <v>25377523752.57</v>
      </c>
    </row>
    <row r="48" spans="1:7">
      <c r="A48" s="258" t="s">
        <v>323</v>
      </c>
      <c r="B48" s="247"/>
      <c r="C48" s="254">
        <v>92243098</v>
      </c>
      <c r="D48" s="254">
        <v>75967218.019999996</v>
      </c>
      <c r="E48" s="254">
        <v>102318043.87</v>
      </c>
      <c r="F48" s="254" t="e">
        <f>SCI!#REF!</f>
        <v>#REF!</v>
      </c>
      <c r="G48" s="255">
        <v>66852298925.860001</v>
      </c>
    </row>
    <row r="49" spans="1:7">
      <c r="A49" s="258" t="s">
        <v>324</v>
      </c>
      <c r="B49" s="247"/>
      <c r="C49" s="254">
        <v>87836509</v>
      </c>
      <c r="D49" s="254">
        <v>32048126.469999999</v>
      </c>
      <c r="E49" s="254">
        <v>40551470.93</v>
      </c>
      <c r="F49" s="254" t="e">
        <f>SCI!#REF!+SCI!#REF!</f>
        <v>#REF!</v>
      </c>
      <c r="G49" s="255">
        <v>56144699821.169998</v>
      </c>
    </row>
    <row r="50" spans="1:7">
      <c r="A50" s="258" t="s">
        <v>325</v>
      </c>
      <c r="B50" s="247"/>
      <c r="C50" s="254">
        <v>15782781</v>
      </c>
      <c r="D50" s="254">
        <v>50312065.140000001</v>
      </c>
      <c r="E50" s="254">
        <v>73166962.469999999</v>
      </c>
      <c r="F50" s="254" t="e">
        <f>SCI!#REF!</f>
        <v>#REF!</v>
      </c>
      <c r="G50" s="255">
        <v>19256824157.34</v>
      </c>
    </row>
    <row r="51" spans="1:7">
      <c r="A51" s="364" t="s">
        <v>326</v>
      </c>
      <c r="B51" s="365"/>
      <c r="C51" s="365"/>
      <c r="D51" s="365"/>
      <c r="E51" s="365"/>
      <c r="F51" s="365"/>
      <c r="G51" s="366"/>
    </row>
    <row r="52" spans="1:7">
      <c r="A52" s="227">
        <v>1</v>
      </c>
      <c r="B52" s="223"/>
      <c r="C52" s="228"/>
      <c r="D52" s="228"/>
      <c r="E52" s="228"/>
      <c r="F52" s="229"/>
      <c r="G52" s="230"/>
    </row>
    <row r="53" spans="1:7">
      <c r="A53" s="227">
        <v>2</v>
      </c>
      <c r="B53" s="223"/>
      <c r="C53" s="228"/>
      <c r="D53" s="228"/>
      <c r="E53" s="228"/>
      <c r="F53" s="229"/>
      <c r="G53" s="230"/>
    </row>
    <row r="54" spans="1:7">
      <c r="A54" s="227">
        <v>3</v>
      </c>
      <c r="B54" s="223"/>
      <c r="C54" s="228"/>
      <c r="D54" s="228"/>
      <c r="E54" s="228"/>
      <c r="F54" s="229"/>
      <c r="G54" s="230"/>
    </row>
    <row r="55" spans="1:7">
      <c r="A55" s="226">
        <v>4</v>
      </c>
      <c r="B55" s="228"/>
      <c r="C55" s="228"/>
      <c r="D55" s="228"/>
      <c r="E55" s="229"/>
      <c r="F55" s="229"/>
      <c r="G55" s="257"/>
    </row>
    <row r="56" spans="1:7">
      <c r="A56" s="248" t="s">
        <v>327</v>
      </c>
      <c r="B56" s="223"/>
      <c r="C56" s="367"/>
      <c r="D56" s="368"/>
      <c r="E56" s="368"/>
      <c r="F56" s="368"/>
      <c r="G56" s="369"/>
    </row>
    <row r="57" spans="1:7">
      <c r="A57" s="248"/>
      <c r="B57" s="223"/>
      <c r="C57" s="231"/>
      <c r="D57" s="231"/>
      <c r="E57" s="232"/>
      <c r="F57" s="232"/>
      <c r="G57" s="233"/>
    </row>
    <row r="58" spans="1:7">
      <c r="A58" s="249" t="s">
        <v>336</v>
      </c>
      <c r="B58" s="234"/>
      <c r="C58" s="367"/>
      <c r="D58" s="368"/>
      <c r="E58" s="368"/>
      <c r="F58" s="368"/>
      <c r="G58" s="369"/>
    </row>
    <row r="59" spans="1:7">
      <c r="A59" s="90"/>
      <c r="B59" s="223"/>
      <c r="C59" s="228"/>
      <c r="D59" s="228"/>
      <c r="E59" s="228"/>
      <c r="F59" s="229"/>
      <c r="G59" s="230"/>
    </row>
    <row r="60" spans="1:7">
      <c r="A60" s="248" t="s">
        <v>337</v>
      </c>
      <c r="B60" s="223"/>
      <c r="C60" s="367"/>
      <c r="D60" s="368"/>
      <c r="E60" s="368"/>
      <c r="F60" s="368"/>
      <c r="G60" s="369"/>
    </row>
    <row r="61" spans="1:7">
      <c r="A61" s="260"/>
      <c r="B61" s="223"/>
      <c r="C61" s="228"/>
      <c r="D61" s="228"/>
      <c r="E61" s="228"/>
      <c r="F61" s="228"/>
      <c r="G61" s="261"/>
    </row>
    <row r="62" spans="1:7">
      <c r="A62" s="262" t="s">
        <v>330</v>
      </c>
      <c r="B62" s="223"/>
      <c r="C62" s="228"/>
      <c r="D62" s="228"/>
      <c r="E62" s="228"/>
      <c r="F62" s="228"/>
      <c r="G62" s="261"/>
    </row>
    <row r="63" spans="1:7">
      <c r="A63" s="263"/>
      <c r="B63" s="223"/>
      <c r="C63" s="259" t="s">
        <v>338</v>
      </c>
      <c r="D63" s="228"/>
      <c r="E63" s="228"/>
      <c r="F63" s="228"/>
      <c r="G63" s="261"/>
    </row>
    <row r="64" spans="1:7">
      <c r="A64" s="263"/>
      <c r="B64" s="223"/>
      <c r="C64" s="228"/>
      <c r="D64" s="228"/>
      <c r="E64" s="228"/>
      <c r="F64" s="228"/>
      <c r="G64" s="261"/>
    </row>
  </sheetData>
  <mergeCells count="16">
    <mergeCell ref="C58:G58"/>
    <mergeCell ref="C60:G60"/>
    <mergeCell ref="A9:G9"/>
    <mergeCell ref="A5:G5"/>
    <mergeCell ref="A28:G28"/>
    <mergeCell ref="A19:G19"/>
    <mergeCell ref="A23:G23"/>
    <mergeCell ref="A51:G51"/>
    <mergeCell ref="A14:G14"/>
    <mergeCell ref="G3:G4"/>
    <mergeCell ref="B3:B4"/>
    <mergeCell ref="A1:G1"/>
    <mergeCell ref="A2:G2"/>
    <mergeCell ref="C56:G56"/>
    <mergeCell ref="D3:E3"/>
    <mergeCell ref="F3:F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FB27488935CD4FBFBB981DE553EA38" ma:contentTypeVersion="17" ma:contentTypeDescription="Create a new document." ma:contentTypeScope="" ma:versionID="332fa557c6615f9869f6fecf8fd32bdc">
  <xsd:schema xmlns:xsd="http://www.w3.org/2001/XMLSchema" xmlns:xs="http://www.w3.org/2001/XMLSchema" xmlns:p="http://schemas.microsoft.com/office/2006/metadata/properties" xmlns:ns2="6e3db4b3-2b3b-4352-9127-36718d9c05b9" xmlns:ns3="df647032-17c5-4266-af02-4596a72daf50" targetNamespace="http://schemas.microsoft.com/office/2006/metadata/properties" ma:root="true" ma:fieldsID="0ef70def4206780f33c1bc13f4ed6917" ns2:_="" ns3:_="">
    <xsd:import namespace="6e3db4b3-2b3b-4352-9127-36718d9c05b9"/>
    <xsd:import namespace="df647032-17c5-4266-af02-4596a72daf5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_Flow_SignoffStatu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LengthInSecond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3db4b3-2b3b-4352-9127-36718d9c05b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f2a9480d-a1a4-4d65-9325-9590a28e6ac7}" ma:internalName="TaxCatchAll" ma:showField="CatchAllData" ma:web="6e3db4b3-2b3b-4352-9127-36718d9c05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647032-17c5-4266-af02-4596a72daf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Flow_SignoffStatus" ma:index="14" nillable="true" ma:displayName="Sign-off status" ma:internalName="Sign_x002d_off_x0020_status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e3e1d0d5-9008-431c-be16-ab01e5c392e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df647032-17c5-4266-af02-4596a72daf50" xsi:nil="true"/>
    <lcf76f155ced4ddcb4097134ff3c332f xmlns="df647032-17c5-4266-af02-4596a72daf50">
      <Terms xmlns="http://schemas.microsoft.com/office/infopath/2007/PartnerControls"/>
    </lcf76f155ced4ddcb4097134ff3c332f>
    <TaxCatchAll xmlns="6e3db4b3-2b3b-4352-9127-36718d9c05b9" xsi:nil="true"/>
  </documentManagement>
</p:properties>
</file>

<file path=customXml/itemProps1.xml><?xml version="1.0" encoding="utf-8"?>
<ds:datastoreItem xmlns:ds="http://schemas.openxmlformats.org/officeDocument/2006/customXml" ds:itemID="{9A83B7CD-50E2-49B7-B7CE-C97B09215BF8}"/>
</file>

<file path=customXml/itemProps2.xml><?xml version="1.0" encoding="utf-8"?>
<ds:datastoreItem xmlns:ds="http://schemas.openxmlformats.org/officeDocument/2006/customXml" ds:itemID="{FAF787BD-B6D4-44F1-8015-DB76261971C7}"/>
</file>

<file path=customXml/itemProps3.xml><?xml version="1.0" encoding="utf-8"?>
<ds:datastoreItem xmlns:ds="http://schemas.openxmlformats.org/officeDocument/2006/customXml" ds:itemID="{FDBB635B-EE8E-4131-A0A5-E68EA816399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wilfred</dc:creator>
  <cp:keywords/>
  <dc:description/>
  <cp:lastModifiedBy>Brian Nzioka</cp:lastModifiedBy>
  <cp:revision/>
  <dcterms:created xsi:type="dcterms:W3CDTF">2012-07-31T14:31:17Z</dcterms:created>
  <dcterms:modified xsi:type="dcterms:W3CDTF">2023-07-25T07:35:34Z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ign-off status">
    <vt:lpwstr/>
  </property>
  <property fmtid="{D5CDD505-2E9C-101B-9397-08002B2CF9AE}" pid="3" name="MSIP_Label_7a02b3b2-3762-4506-88a3-8b8c11cc60e6_Enabled">
    <vt:lpwstr>true</vt:lpwstr>
  </property>
  <property fmtid="{D5CDD505-2E9C-101B-9397-08002B2CF9AE}" pid="4" name="MSIP_Label_7a02b3b2-3762-4506-88a3-8b8c11cc60e6_SetDate">
    <vt:lpwstr>2023-02-09T05:52:19Z</vt:lpwstr>
  </property>
  <property fmtid="{D5CDD505-2E9C-101B-9397-08002B2CF9AE}" pid="5" name="MSIP_Label_7a02b3b2-3762-4506-88a3-8b8c11cc60e6_Method">
    <vt:lpwstr>Privileged</vt:lpwstr>
  </property>
  <property fmtid="{D5CDD505-2E9C-101B-9397-08002B2CF9AE}" pid="6" name="MSIP_Label_7a02b3b2-3762-4506-88a3-8b8c11cc60e6_Name">
    <vt:lpwstr>Internal Use</vt:lpwstr>
  </property>
  <property fmtid="{D5CDD505-2E9C-101B-9397-08002B2CF9AE}" pid="7" name="MSIP_Label_7a02b3b2-3762-4506-88a3-8b8c11cc60e6_SiteId">
    <vt:lpwstr>d6c8161d-ccd5-4325-b291-dd442c369fe4</vt:lpwstr>
  </property>
  <property fmtid="{D5CDD505-2E9C-101B-9397-08002B2CF9AE}" pid="8" name="MSIP_Label_7a02b3b2-3762-4506-88a3-8b8c11cc60e6_ActionId">
    <vt:lpwstr>6af59d2b-52b4-4e3f-a608-8121f2a6982c</vt:lpwstr>
  </property>
  <property fmtid="{D5CDD505-2E9C-101B-9397-08002B2CF9AE}" pid="9" name="MSIP_Label_7a02b3b2-3762-4506-88a3-8b8c11cc60e6_ContentBits">
    <vt:lpwstr>0</vt:lpwstr>
  </property>
  <property fmtid="{D5CDD505-2E9C-101B-9397-08002B2CF9AE}" pid="10" name="ContentTypeId">
    <vt:lpwstr>0x010100F4FB27488935CD4FBFBB981DE553EA38</vt:lpwstr>
  </property>
</Properties>
</file>
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6"/>
  <workbookPr/>
  <mc:AlternateContent xmlns:mc="http://schemas.openxmlformats.org/markup-compatibility/2006">
    <mc:Choice Requires="x15">
      <x15ac:absPath xmlns:x15ac="http://schemas.microsoft.com/office/spreadsheetml/2010/11/ac" url="C:\Users\sodhiambo.SASRA\Desktop\"/>
    </mc:Choice>
  </mc:AlternateContent>
  <xr:revisionPtr revIDLastSave="668" documentId="8_{D56AB037-A469-486A-A977-D6377EDD2DC0}" xr6:coauthVersionLast="47" xr6:coauthVersionMax="47" xr10:uidLastSave="{A27218B8-DCC3-402A-A79D-57D7E281730B}"/>
  <bookViews>
    <workbookView xWindow="-108" yWindow="-108" windowWidth="23256" windowHeight="12576" firstSheet="2" activeTab="5" xr2:uid="{00000000-000D-0000-FFFF-FFFF00000000}"/>
  </bookViews>
  <sheets>
    <sheet name="Balance Sheet" sheetId="1" r:id="rId1"/>
    <sheet name="Income Statement" sheetId="2" r:id="rId2"/>
    <sheet name="performance report" sheetId="6" r:id="rId3"/>
    <sheet name="Financials" sheetId="3" r:id="rId4"/>
    <sheet name="FORM 4" sheetId="4" r:id="rId5"/>
    <sheet name="CAEL" sheetId="5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5" l="1"/>
  <c r="AQ3" i="5"/>
  <c r="AR3" i="5"/>
  <c r="AS3" i="5"/>
  <c r="AT3" i="5"/>
  <c r="AU3" i="5"/>
  <c r="AV3" i="5"/>
  <c r="AW3" i="5"/>
  <c r="AX3" i="5"/>
  <c r="AY3" i="5"/>
  <c r="AP4" i="5"/>
  <c r="AQ4" i="5"/>
  <c r="AR4" i="5"/>
  <c r="AS4" i="5"/>
  <c r="AT4" i="5"/>
  <c r="AU4" i="5"/>
  <c r="AV4" i="5"/>
  <c r="AW4" i="5"/>
  <c r="AX4" i="5"/>
  <c r="AY4" i="5"/>
  <c r="AP5" i="5"/>
  <c r="AQ5" i="5"/>
  <c r="AR5" i="5"/>
  <c r="AS5" i="5"/>
  <c r="AT5" i="5"/>
  <c r="AU5" i="5"/>
  <c r="AV5" i="5"/>
  <c r="AW5" i="5"/>
  <c r="AX5" i="5"/>
  <c r="AY5" i="5"/>
  <c r="AP6" i="5"/>
  <c r="AQ6" i="5"/>
  <c r="AR6" i="5"/>
  <c r="AS6" i="5"/>
  <c r="AT6" i="5"/>
  <c r="AU6" i="5"/>
  <c r="AV6" i="5"/>
  <c r="AW6" i="5"/>
  <c r="AX6" i="5"/>
  <c r="AY6" i="5"/>
  <c r="AP8" i="5"/>
  <c r="AQ8" i="5"/>
  <c r="AR8" i="5"/>
  <c r="AS8" i="5"/>
  <c r="AT8" i="5"/>
  <c r="AU8" i="5"/>
  <c r="AV8" i="5"/>
  <c r="AW8" i="5"/>
  <c r="AX8" i="5"/>
  <c r="AY8" i="5"/>
  <c r="AP9" i="5"/>
  <c r="AQ9" i="5"/>
  <c r="AR9" i="5"/>
  <c r="AS9" i="5"/>
  <c r="AT9" i="5"/>
  <c r="AU9" i="5"/>
  <c r="AV9" i="5"/>
  <c r="AW9" i="5"/>
  <c r="AX9" i="5"/>
  <c r="AY9" i="5"/>
  <c r="AP10" i="5"/>
  <c r="AQ10" i="5"/>
  <c r="AR10" i="5"/>
  <c r="AS10" i="5"/>
  <c r="AT10" i="5"/>
  <c r="AU10" i="5"/>
  <c r="AV10" i="5"/>
  <c r="AW10" i="5"/>
  <c r="AX10" i="5"/>
  <c r="AY10" i="5"/>
  <c r="AP11" i="5"/>
  <c r="AQ11" i="5"/>
  <c r="AR11" i="5"/>
  <c r="AS11" i="5"/>
  <c r="AT11" i="5"/>
  <c r="AU11" i="5"/>
  <c r="AV11" i="5"/>
  <c r="AW11" i="5"/>
  <c r="AX11" i="5"/>
  <c r="AY11" i="5"/>
  <c r="AP12" i="5"/>
  <c r="AQ12" i="5"/>
  <c r="AR12" i="5"/>
  <c r="AS12" i="5"/>
  <c r="AT12" i="5"/>
  <c r="AU12" i="5"/>
  <c r="AV12" i="5"/>
  <c r="AW12" i="5"/>
  <c r="AX12" i="5"/>
  <c r="AY12" i="5"/>
  <c r="AP13" i="5"/>
  <c r="AQ13" i="5"/>
  <c r="AR13" i="5"/>
  <c r="AS13" i="5"/>
  <c r="AT13" i="5"/>
  <c r="AU13" i="5"/>
  <c r="AV13" i="5"/>
  <c r="AW13" i="5"/>
  <c r="AX13" i="5"/>
  <c r="AY13" i="5"/>
  <c r="AP14" i="5"/>
  <c r="AQ14" i="5"/>
  <c r="AR14" i="5"/>
  <c r="AS14" i="5"/>
  <c r="AT14" i="5"/>
  <c r="AU14" i="5"/>
  <c r="AV14" i="5"/>
  <c r="AW14" i="5"/>
  <c r="AX14" i="5"/>
  <c r="AY14" i="5"/>
  <c r="AP15" i="5"/>
  <c r="AQ15" i="5"/>
  <c r="AR15" i="5"/>
  <c r="AS15" i="5"/>
  <c r="AT15" i="5"/>
  <c r="AU15" i="5"/>
  <c r="AV15" i="5"/>
  <c r="AW15" i="5"/>
  <c r="AX15" i="5"/>
  <c r="AY15" i="5"/>
  <c r="AP16" i="5"/>
  <c r="AQ16" i="5"/>
  <c r="AR16" i="5"/>
  <c r="AS16" i="5"/>
  <c r="AT16" i="5"/>
  <c r="AU16" i="5"/>
  <c r="AV16" i="5"/>
  <c r="AW16" i="5"/>
  <c r="AX16" i="5"/>
  <c r="AY16" i="5"/>
  <c r="AP17" i="5"/>
  <c r="AQ17" i="5"/>
  <c r="AR17" i="5"/>
  <c r="AS17" i="5"/>
  <c r="AT17" i="5"/>
  <c r="AU17" i="5"/>
  <c r="AV17" i="5"/>
  <c r="AW17" i="5"/>
  <c r="AX17" i="5"/>
  <c r="AY17" i="5"/>
  <c r="AP18" i="5"/>
  <c r="AQ18" i="5"/>
  <c r="AR18" i="5"/>
  <c r="AS18" i="5"/>
  <c r="AT18" i="5"/>
  <c r="AU18" i="5"/>
  <c r="AV18" i="5"/>
  <c r="AW18" i="5"/>
  <c r="AX18" i="5"/>
  <c r="AY18" i="5"/>
  <c r="AV5" i="3"/>
  <c r="AW5" i="3"/>
  <c r="AV7" i="3"/>
  <c r="AW7" i="3"/>
  <c r="AV8" i="3"/>
  <c r="AW8" i="3"/>
  <c r="AV9" i="3"/>
  <c r="AW9" i="3"/>
  <c r="AV10" i="3"/>
  <c r="AW10" i="3"/>
  <c r="AV16" i="3"/>
  <c r="AW16" i="3"/>
  <c r="AV18" i="3"/>
  <c r="AW18" i="3"/>
  <c r="AV20" i="3"/>
  <c r="AW20" i="3"/>
  <c r="AV21" i="3"/>
  <c r="AW21" i="3"/>
  <c r="AV26" i="3"/>
  <c r="AW26" i="3"/>
  <c r="AV27" i="3"/>
  <c r="AW27" i="3"/>
  <c r="AV28" i="3"/>
  <c r="AW28" i="3"/>
  <c r="AV29" i="3"/>
  <c r="AW29" i="3"/>
  <c r="AV31" i="3"/>
  <c r="AW31" i="3"/>
  <c r="AV32" i="3"/>
  <c r="AW32" i="3"/>
  <c r="AV34" i="3"/>
  <c r="AW34" i="3"/>
  <c r="AV35" i="3"/>
  <c r="AW35" i="3"/>
  <c r="AV39" i="3"/>
  <c r="AW39" i="3"/>
  <c r="AV40" i="3"/>
  <c r="AW40" i="3"/>
  <c r="AV41" i="3"/>
  <c r="AW41" i="3"/>
  <c r="AV42" i="3"/>
  <c r="AW42" i="3"/>
  <c r="AV45" i="3"/>
  <c r="AW45" i="3"/>
  <c r="AV46" i="3"/>
  <c r="AW46" i="3"/>
  <c r="AV47" i="3"/>
  <c r="AW47" i="3"/>
  <c r="AV48" i="3"/>
  <c r="AW48" i="3"/>
  <c r="AV49" i="3"/>
  <c r="AW49" i="3"/>
  <c r="AW13" i="2"/>
  <c r="AX13" i="2"/>
  <c r="AW8" i="2"/>
  <c r="AX8" i="2"/>
  <c r="AW5" i="2"/>
  <c r="AW4" i="2" s="1"/>
  <c r="AX5" i="2"/>
  <c r="AX4" i="2" s="1"/>
  <c r="AW24" i="2"/>
  <c r="AX24" i="2"/>
  <c r="AW20" i="2"/>
  <c r="AX20" i="2"/>
  <c r="AW21" i="2"/>
  <c r="AX21" i="2"/>
  <c r="AW30" i="2"/>
  <c r="AX30" i="2"/>
  <c r="AW34" i="2"/>
  <c r="AW36" i="2" s="1"/>
  <c r="AW38" i="2" s="1"/>
  <c r="AX34" i="2"/>
  <c r="AX36" i="2" s="1"/>
  <c r="AX38" i="2" s="1"/>
  <c r="AW16" i="1"/>
  <c r="AX16" i="1"/>
  <c r="AW13" i="1"/>
  <c r="AX13" i="1"/>
  <c r="AW8" i="1"/>
  <c r="AX8" i="1"/>
  <c r="AW30" i="1"/>
  <c r="AX30" i="1"/>
  <c r="AW31" i="1"/>
  <c r="AX31" i="1"/>
  <c r="AW26" i="1"/>
  <c r="AX26" i="1"/>
  <c r="AW20" i="1"/>
  <c r="AX20" i="1"/>
  <c r="AW38" i="1"/>
  <c r="AX38" i="1"/>
  <c r="AW41" i="1"/>
  <c r="AX41" i="1"/>
  <c r="AW44" i="1"/>
  <c r="AX44" i="1"/>
  <c r="AW50" i="1"/>
  <c r="AX50" i="1"/>
  <c r="AW51" i="1"/>
  <c r="AX51" i="1"/>
  <c r="AW52" i="1"/>
  <c r="AX52" i="1"/>
  <c r="AW4" i="1"/>
  <c r="AX4" i="1"/>
  <c r="AU5" i="3"/>
  <c r="AU7" i="3"/>
  <c r="AU8" i="3"/>
  <c r="AU9" i="3"/>
  <c r="AU10" i="3"/>
  <c r="AU16" i="3"/>
  <c r="AU18" i="3"/>
  <c r="AU20" i="3"/>
  <c r="AU21" i="3"/>
  <c r="AU26" i="3"/>
  <c r="AU27" i="3"/>
  <c r="AU28" i="3"/>
  <c r="AU29" i="3"/>
  <c r="AU31" i="3"/>
  <c r="AU32" i="3"/>
  <c r="AU34" i="3"/>
  <c r="AU35" i="3"/>
  <c r="AU39" i="3"/>
  <c r="AU40" i="3"/>
  <c r="AU41" i="3"/>
  <c r="AU42" i="3"/>
  <c r="AU45" i="3"/>
  <c r="AU46" i="3"/>
  <c r="AU47" i="3"/>
  <c r="AU48" i="3"/>
  <c r="AU49" i="3"/>
  <c r="AV4" i="2"/>
  <c r="AV5" i="2"/>
  <c r="AV13" i="2"/>
  <c r="AV21" i="2"/>
  <c r="AV20" i="2"/>
  <c r="AV24" i="2"/>
  <c r="AV30" i="2"/>
  <c r="AV34" i="2"/>
  <c r="AV36" i="2"/>
  <c r="AV38" i="2" s="1"/>
  <c r="AV4" i="1"/>
  <c r="AV8" i="1"/>
  <c r="AV38" i="1"/>
  <c r="AV31" i="1"/>
  <c r="AV30" i="1"/>
  <c r="AV26" i="1"/>
  <c r="AV13" i="1"/>
  <c r="AV16" i="1"/>
  <c r="AV20" i="1"/>
  <c r="AV41" i="1"/>
  <c r="AV44" i="1"/>
  <c r="AV50" i="1"/>
  <c r="AV51" i="1"/>
  <c r="AV52" i="1"/>
  <c r="AT5" i="3"/>
  <c r="AT7" i="3"/>
  <c r="AT8" i="3"/>
  <c r="AT9" i="3"/>
  <c r="AT10" i="3"/>
  <c r="AT16" i="3"/>
  <c r="AT18" i="3"/>
  <c r="AT20" i="3"/>
  <c r="AT21" i="3"/>
  <c r="AT26" i="3"/>
  <c r="AT27" i="3"/>
  <c r="AT28" i="3"/>
  <c r="AT29" i="3"/>
  <c r="AT31" i="3"/>
  <c r="AT32" i="3"/>
  <c r="AT34" i="3"/>
  <c r="AT35" i="3"/>
  <c r="AT39" i="3"/>
  <c r="AT40" i="3"/>
  <c r="AT41" i="3"/>
  <c r="AT42" i="3"/>
  <c r="AT45" i="3"/>
  <c r="AT46" i="3"/>
  <c r="AT47" i="3"/>
  <c r="AT48" i="3"/>
  <c r="AT49" i="3"/>
  <c r="AS7" i="3"/>
  <c r="AS8" i="3"/>
  <c r="AS9" i="3"/>
  <c r="AS10" i="3"/>
  <c r="AS16" i="3"/>
  <c r="AS18" i="3"/>
  <c r="AS20" i="3"/>
  <c r="AS21" i="3"/>
  <c r="AS26" i="3"/>
  <c r="AS27" i="3"/>
  <c r="AS28" i="3"/>
  <c r="AS29" i="3"/>
  <c r="AS31" i="3"/>
  <c r="AS32" i="3"/>
  <c r="AS34" i="3"/>
  <c r="AS35" i="3"/>
  <c r="AS39" i="3"/>
  <c r="AS40" i="3"/>
  <c r="AS41" i="3"/>
  <c r="AS42" i="3"/>
  <c r="AS45" i="3"/>
  <c r="AS46" i="3"/>
  <c r="AS47" i="3"/>
  <c r="AS48" i="3"/>
  <c r="AS49" i="3"/>
  <c r="AU38" i="2"/>
  <c r="AU36" i="2"/>
  <c r="AU34" i="2"/>
  <c r="AU30" i="2"/>
  <c r="AU24" i="2"/>
  <c r="AU21" i="2"/>
  <c r="AU20" i="2"/>
  <c r="AU13" i="2"/>
  <c r="AU8" i="2"/>
  <c r="AV8" i="2"/>
  <c r="AU5" i="2"/>
  <c r="AU4" i="2"/>
  <c r="AU52" i="1"/>
  <c r="AU51" i="1"/>
  <c r="AU50" i="1"/>
  <c r="AU44" i="1"/>
  <c r="AU41" i="1"/>
  <c r="AU38" i="1"/>
  <c r="AU31" i="1"/>
  <c r="AU30" i="1"/>
  <c r="AU26" i="1"/>
  <c r="AU20" i="1"/>
  <c r="AU16" i="1"/>
  <c r="AU13" i="1"/>
  <c r="AU8" i="1"/>
  <c r="AU4" i="1"/>
  <c r="AS5" i="3"/>
  <c r="AT52" i="1"/>
  <c r="AT24" i="2"/>
  <c r="AT21" i="2"/>
  <c r="AT13" i="2"/>
  <c r="AT8" i="2"/>
  <c r="AT5" i="2"/>
  <c r="AT4" i="2"/>
  <c r="AT20" i="2" s="1"/>
  <c r="AT30" i="2" s="1"/>
  <c r="AT34" i="2" s="1"/>
  <c r="AT36" i="2" s="1"/>
  <c r="AT38" i="2" s="1"/>
  <c r="AT44" i="1"/>
  <c r="AT41" i="1"/>
  <c r="AT50" i="1" s="1"/>
  <c r="AT31" i="1"/>
  <c r="AT30" i="1"/>
  <c r="AT38" i="1" s="1"/>
  <c r="AT51" i="1" s="1"/>
  <c r="AT20" i="1"/>
  <c r="AT16" i="1"/>
  <c r="AT13" i="1"/>
  <c r="AT8" i="1"/>
  <c r="AT4" i="1"/>
  <c r="AT26" i="1" s="1"/>
  <c r="AR5" i="3"/>
  <c r="AR7" i="3"/>
  <c r="AR8" i="3"/>
  <c r="AR9" i="3"/>
  <c r="AR10" i="3"/>
  <c r="AR16" i="3"/>
  <c r="AR18" i="3"/>
  <c r="AR20" i="3"/>
  <c r="AR21" i="3"/>
  <c r="AR26" i="3"/>
  <c r="AR27" i="3"/>
  <c r="AR28" i="3"/>
  <c r="AR29" i="3"/>
  <c r="AR31" i="3"/>
  <c r="AR32" i="3"/>
  <c r="AR34" i="3"/>
  <c r="AR35" i="3"/>
  <c r="AR39" i="3"/>
  <c r="AR40" i="3"/>
  <c r="AR42" i="3"/>
  <c r="AR45" i="3"/>
  <c r="AR46" i="3"/>
  <c r="AR47" i="3"/>
  <c r="AR49" i="3"/>
  <c r="AS24" i="2"/>
  <c r="AS21" i="2"/>
  <c r="AS13" i="2"/>
  <c r="AS8" i="2"/>
  <c r="AR41" i="3" s="1"/>
  <c r="AS5" i="2"/>
  <c r="AS4" i="2"/>
  <c r="AS20" i="2" s="1"/>
  <c r="AS30" i="2" s="1"/>
  <c r="AS52" i="1"/>
  <c r="AS44" i="1"/>
  <c r="AS41" i="1"/>
  <c r="AS50" i="1" s="1"/>
  <c r="AS31" i="1"/>
  <c r="AS30" i="1"/>
  <c r="AS38" i="1" s="1"/>
  <c r="AS51" i="1" s="1"/>
  <c r="AS20" i="1"/>
  <c r="AS16" i="1"/>
  <c r="AS13" i="1"/>
  <c r="AS8" i="1"/>
  <c r="AS4" i="1"/>
  <c r="AS26" i="1" s="1"/>
  <c r="AO5" i="3"/>
  <c r="AP5" i="3"/>
  <c r="AQ5" i="3"/>
  <c r="AO7" i="3"/>
  <c r="AP7" i="3"/>
  <c r="AQ7" i="3"/>
  <c r="AO8" i="3"/>
  <c r="AP8" i="3"/>
  <c r="AQ8" i="3"/>
  <c r="AO9" i="3"/>
  <c r="AP9" i="3"/>
  <c r="AQ9" i="3"/>
  <c r="AO10" i="3"/>
  <c r="AP10" i="3"/>
  <c r="AQ10" i="3"/>
  <c r="AO16" i="3"/>
  <c r="AP16" i="3"/>
  <c r="AQ16" i="3"/>
  <c r="AO18" i="3"/>
  <c r="AP18" i="3"/>
  <c r="AQ18" i="3"/>
  <c r="AO20" i="3"/>
  <c r="AP20" i="3"/>
  <c r="AQ20" i="3"/>
  <c r="AO21" i="3"/>
  <c r="AP21" i="3"/>
  <c r="AQ21" i="3"/>
  <c r="AO26" i="3"/>
  <c r="AP26" i="3"/>
  <c r="AQ26" i="3"/>
  <c r="AO27" i="3"/>
  <c r="AP27" i="3"/>
  <c r="AQ27" i="3"/>
  <c r="AO28" i="3"/>
  <c r="AP28" i="3"/>
  <c r="AQ28" i="3"/>
  <c r="AO29" i="3"/>
  <c r="AP29" i="3"/>
  <c r="AQ29" i="3"/>
  <c r="AO31" i="3"/>
  <c r="AP31" i="3"/>
  <c r="AQ31" i="3"/>
  <c r="AO32" i="3"/>
  <c r="AP32" i="3"/>
  <c r="AQ32" i="3"/>
  <c r="AO34" i="3"/>
  <c r="AP34" i="3"/>
  <c r="AQ34" i="3"/>
  <c r="AO35" i="3"/>
  <c r="AP35" i="3"/>
  <c r="AQ35" i="3"/>
  <c r="AO39" i="3"/>
  <c r="AP39" i="3"/>
  <c r="AQ39" i="3"/>
  <c r="AO40" i="3"/>
  <c r="AP40" i="3"/>
  <c r="AQ40" i="3"/>
  <c r="AO42" i="3"/>
  <c r="AP42" i="3"/>
  <c r="AQ42" i="3"/>
  <c r="AO45" i="3"/>
  <c r="AP45" i="3"/>
  <c r="AQ45" i="3"/>
  <c r="AO46" i="3"/>
  <c r="AP46" i="3"/>
  <c r="AQ46" i="3"/>
  <c r="AO47" i="3"/>
  <c r="AP47" i="3"/>
  <c r="AQ47" i="3"/>
  <c r="AO49" i="3"/>
  <c r="AP49" i="3"/>
  <c r="AQ49" i="3"/>
  <c r="AQ52" i="1"/>
  <c r="AR52" i="1"/>
  <c r="AP52" i="1"/>
  <c r="AP44" i="1"/>
  <c r="AQ44" i="1"/>
  <c r="AR44" i="1"/>
  <c r="AP41" i="1"/>
  <c r="AP50" i="1" s="1"/>
  <c r="AQ41" i="1"/>
  <c r="AQ50" i="1" s="1"/>
  <c r="AR41" i="1"/>
  <c r="AR50" i="1" s="1"/>
  <c r="AP31" i="1"/>
  <c r="AQ31" i="1"/>
  <c r="AR31" i="1"/>
  <c r="AP30" i="1"/>
  <c r="AP38" i="1" s="1"/>
  <c r="AP51" i="1" s="1"/>
  <c r="AQ30" i="1"/>
  <c r="AQ38" i="1" s="1"/>
  <c r="AQ51" i="1" s="1"/>
  <c r="AR30" i="1"/>
  <c r="AR38" i="1" s="1"/>
  <c r="AR51" i="1" s="1"/>
  <c r="AP20" i="1"/>
  <c r="AQ20" i="1"/>
  <c r="AR20" i="1"/>
  <c r="AP16" i="1"/>
  <c r="AQ16" i="1"/>
  <c r="AR16" i="1"/>
  <c r="AP13" i="1"/>
  <c r="AQ13" i="1"/>
  <c r="AR13" i="1"/>
  <c r="AP8" i="1"/>
  <c r="AQ8" i="1"/>
  <c r="AR8" i="1"/>
  <c r="AP4" i="1"/>
  <c r="AP26" i="1" s="1"/>
  <c r="AQ4" i="1"/>
  <c r="AQ26" i="1" s="1"/>
  <c r="AR4" i="1"/>
  <c r="AR26" i="1" s="1"/>
  <c r="AP24" i="2"/>
  <c r="AQ24" i="2"/>
  <c r="AR24" i="2"/>
  <c r="AP21" i="2"/>
  <c r="AQ21" i="2"/>
  <c r="AR21" i="2"/>
  <c r="AP13" i="2"/>
  <c r="AQ13" i="2"/>
  <c r="AR13" i="2"/>
  <c r="AP8" i="2"/>
  <c r="AO41" i="3" s="1"/>
  <c r="AQ8" i="2"/>
  <c r="AP41" i="3" s="1"/>
  <c r="AR8" i="2"/>
  <c r="AQ41" i="3" s="1"/>
  <c r="AP5" i="2"/>
  <c r="AQ5" i="2"/>
  <c r="AR5" i="2"/>
  <c r="AP4" i="2"/>
  <c r="AP20" i="2" s="1"/>
  <c r="AP30" i="2" s="1"/>
  <c r="AQ4" i="2"/>
  <c r="AQ20" i="2" s="1"/>
  <c r="AQ30" i="2" s="1"/>
  <c r="AR4" i="2"/>
  <c r="AR20" i="2" s="1"/>
  <c r="AR30" i="2" s="1"/>
  <c r="AO41" i="2"/>
  <c r="AO29" i="2"/>
  <c r="AO12" i="2"/>
  <c r="AO10" i="2"/>
  <c r="AN5" i="3"/>
  <c r="AN7" i="3"/>
  <c r="AN8" i="3"/>
  <c r="AN9" i="3"/>
  <c r="AN10" i="3"/>
  <c r="AN16" i="3"/>
  <c r="AN18" i="3"/>
  <c r="AN20" i="3"/>
  <c r="AN21" i="3"/>
  <c r="AN26" i="3"/>
  <c r="AN27" i="3"/>
  <c r="AN28" i="3"/>
  <c r="AN29" i="3"/>
  <c r="AN31" i="3"/>
  <c r="AN32" i="3"/>
  <c r="AN34" i="3"/>
  <c r="AN35" i="3"/>
  <c r="AN39" i="3"/>
  <c r="AN40" i="3"/>
  <c r="AN42" i="3"/>
  <c r="AN45" i="3"/>
  <c r="AN46" i="3"/>
  <c r="AN47" i="3"/>
  <c r="AN49" i="3"/>
  <c r="AO46" i="1"/>
  <c r="AO49" i="1" s="1"/>
  <c r="AO43" i="1"/>
  <c r="AO29" i="1"/>
  <c r="AO12" i="1"/>
  <c r="AO7" i="1"/>
  <c r="AO6" i="1"/>
  <c r="AO5" i="1"/>
  <c r="AO5" i="2"/>
  <c r="AO8" i="2"/>
  <c r="AN41" i="3" s="1"/>
  <c r="AO13" i="2"/>
  <c r="AO21" i="2"/>
  <c r="AO24" i="2"/>
  <c r="AO4" i="1"/>
  <c r="AO8" i="1"/>
  <c r="AO13" i="1"/>
  <c r="AO16" i="1"/>
  <c r="AO20" i="1"/>
  <c r="AO26" i="1"/>
  <c r="AO30" i="1"/>
  <c r="AO31" i="1"/>
  <c r="AO38" i="1"/>
  <c r="AO41" i="1"/>
  <c r="AO44" i="1"/>
  <c r="AO50" i="1" s="1"/>
  <c r="AO51" i="1"/>
  <c r="AM7" i="3"/>
  <c r="AM8" i="3"/>
  <c r="AM9" i="3"/>
  <c r="AM10" i="3"/>
  <c r="AM16" i="3"/>
  <c r="AM20" i="3"/>
  <c r="AM21" i="3"/>
  <c r="AM26" i="3"/>
  <c r="AM27" i="3"/>
  <c r="AM28" i="3"/>
  <c r="AM29" i="3"/>
  <c r="AM31" i="3"/>
  <c r="AM32" i="3"/>
  <c r="AM39" i="3"/>
  <c r="AM40" i="3"/>
  <c r="AM42" i="3"/>
  <c r="AM45" i="3"/>
  <c r="AM46" i="3"/>
  <c r="AM47" i="3"/>
  <c r="AM49" i="3"/>
  <c r="AF7" i="3"/>
  <c r="AG7" i="3"/>
  <c r="AH7" i="3"/>
  <c r="AI7" i="3"/>
  <c r="AJ7" i="3"/>
  <c r="AK7" i="3"/>
  <c r="AL7" i="3"/>
  <c r="AF8" i="3"/>
  <c r="AG8" i="3"/>
  <c r="AH8" i="3"/>
  <c r="AI8" i="3"/>
  <c r="AJ8" i="3"/>
  <c r="AK8" i="3"/>
  <c r="AL8" i="3"/>
  <c r="AF9" i="3"/>
  <c r="AG9" i="3"/>
  <c r="AH9" i="3"/>
  <c r="AI9" i="3"/>
  <c r="AJ9" i="3"/>
  <c r="AK9" i="3"/>
  <c r="AL9" i="3"/>
  <c r="AF10" i="3"/>
  <c r="AG10" i="3"/>
  <c r="AH10" i="3"/>
  <c r="AI10" i="3"/>
  <c r="AJ10" i="3"/>
  <c r="AK10" i="3"/>
  <c r="AL10" i="3"/>
  <c r="AF16" i="3"/>
  <c r="AG16" i="3"/>
  <c r="AH16" i="3"/>
  <c r="AI16" i="3"/>
  <c r="AJ16" i="3"/>
  <c r="AK16" i="3"/>
  <c r="AL16" i="3"/>
  <c r="AF20" i="3"/>
  <c r="AG20" i="3"/>
  <c r="AH20" i="3"/>
  <c r="AI20" i="3"/>
  <c r="AJ20" i="3"/>
  <c r="AK20" i="3"/>
  <c r="AL20" i="3"/>
  <c r="AF21" i="3"/>
  <c r="AG21" i="3"/>
  <c r="AH21" i="3"/>
  <c r="AI21" i="3"/>
  <c r="AJ21" i="3"/>
  <c r="AK21" i="3"/>
  <c r="AL21" i="3"/>
  <c r="AF26" i="3"/>
  <c r="AG26" i="3"/>
  <c r="AH26" i="3"/>
  <c r="AI26" i="3"/>
  <c r="AJ26" i="3"/>
  <c r="AK26" i="3"/>
  <c r="AL26" i="3"/>
  <c r="AF27" i="3"/>
  <c r="AG27" i="3"/>
  <c r="AH27" i="3"/>
  <c r="AI27" i="3"/>
  <c r="AJ27" i="3"/>
  <c r="AK27" i="3"/>
  <c r="AL27" i="3"/>
  <c r="AF28" i="3"/>
  <c r="AG28" i="3"/>
  <c r="AH28" i="3"/>
  <c r="AI28" i="3"/>
  <c r="AJ28" i="3"/>
  <c r="AK28" i="3"/>
  <c r="AL28" i="3"/>
  <c r="AF29" i="3"/>
  <c r="AG29" i="3"/>
  <c r="AH29" i="3"/>
  <c r="AI29" i="3"/>
  <c r="AJ29" i="3"/>
  <c r="AK29" i="3"/>
  <c r="AL29" i="3"/>
  <c r="AF31" i="3"/>
  <c r="AG31" i="3"/>
  <c r="AH31" i="3"/>
  <c r="AI31" i="3"/>
  <c r="AJ31" i="3"/>
  <c r="AK31" i="3"/>
  <c r="AL31" i="3"/>
  <c r="AF32" i="3"/>
  <c r="AG32" i="3"/>
  <c r="AH32" i="3"/>
  <c r="AI32" i="3"/>
  <c r="AJ32" i="3"/>
  <c r="AK32" i="3"/>
  <c r="AL32" i="3"/>
  <c r="AF39" i="3"/>
  <c r="AG39" i="3"/>
  <c r="AH39" i="3"/>
  <c r="AI39" i="3"/>
  <c r="AJ39" i="3"/>
  <c r="AK39" i="3"/>
  <c r="AL39" i="3"/>
  <c r="AF40" i="3"/>
  <c r="AG40" i="3"/>
  <c r="AH40" i="3"/>
  <c r="AI40" i="3"/>
  <c r="AJ40" i="3"/>
  <c r="AK40" i="3"/>
  <c r="AL40" i="3"/>
  <c r="AF42" i="3"/>
  <c r="AG42" i="3"/>
  <c r="AH42" i="3"/>
  <c r="AI42" i="3"/>
  <c r="AJ42" i="3"/>
  <c r="AK42" i="3"/>
  <c r="AL42" i="3"/>
  <c r="AF45" i="3"/>
  <c r="AG45" i="3"/>
  <c r="AH45" i="3"/>
  <c r="AI45" i="3"/>
  <c r="AJ45" i="3"/>
  <c r="AK45" i="3"/>
  <c r="AL45" i="3"/>
  <c r="AF46" i="3"/>
  <c r="AG46" i="3"/>
  <c r="AH46" i="3"/>
  <c r="AI46" i="3"/>
  <c r="AJ46" i="3"/>
  <c r="AK46" i="3"/>
  <c r="AL46" i="3"/>
  <c r="AF47" i="3"/>
  <c r="AG47" i="3"/>
  <c r="AH47" i="3"/>
  <c r="AI47" i="3"/>
  <c r="AJ47" i="3"/>
  <c r="AK47" i="3"/>
  <c r="AL47" i="3"/>
  <c r="AF49" i="3"/>
  <c r="AG49" i="3"/>
  <c r="AH49" i="3"/>
  <c r="AI49" i="3"/>
  <c r="AJ49" i="3"/>
  <c r="AK49" i="3"/>
  <c r="AL49" i="3"/>
  <c r="AD8" i="5"/>
  <c r="AE8" i="5"/>
  <c r="AF8" i="5"/>
  <c r="AG8" i="5"/>
  <c r="AH8" i="5"/>
  <c r="AI8" i="5"/>
  <c r="AJ8" i="5"/>
  <c r="AK8" i="5"/>
  <c r="AL8" i="5"/>
  <c r="AM8" i="5"/>
  <c r="AN8" i="5"/>
  <c r="AO8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N5" i="2"/>
  <c r="AN8" i="2"/>
  <c r="AM41" i="3" s="1"/>
  <c r="AN21" i="2"/>
  <c r="AN24" i="2"/>
  <c r="AC5" i="2"/>
  <c r="AD5" i="2"/>
  <c r="AE5" i="2"/>
  <c r="AF5" i="2"/>
  <c r="AG5" i="2"/>
  <c r="AH5" i="2"/>
  <c r="AI5" i="2"/>
  <c r="AJ5" i="2"/>
  <c r="AK5" i="2"/>
  <c r="AL5" i="2"/>
  <c r="AM5" i="2"/>
  <c r="AC8" i="2"/>
  <c r="AD8" i="2"/>
  <c r="AE8" i="2"/>
  <c r="AF8" i="2"/>
  <c r="AG8" i="2"/>
  <c r="AF41" i="3" s="1"/>
  <c r="AH8" i="2"/>
  <c r="AG41" i="3" s="1"/>
  <c r="AI8" i="2"/>
  <c r="AH41" i="3" s="1"/>
  <c r="AJ8" i="2"/>
  <c r="AI41" i="3" s="1"/>
  <c r="AK8" i="2"/>
  <c r="AJ41" i="3" s="1"/>
  <c r="AL8" i="2"/>
  <c r="AK41" i="3" s="1"/>
  <c r="AM8" i="2"/>
  <c r="AL41" i="3" s="1"/>
  <c r="AC21" i="2"/>
  <c r="AD21" i="2"/>
  <c r="AE21" i="2"/>
  <c r="AF21" i="2"/>
  <c r="AG21" i="2"/>
  <c r="AH21" i="2"/>
  <c r="AI21" i="2"/>
  <c r="AJ21" i="2"/>
  <c r="AK21" i="2"/>
  <c r="AL21" i="2"/>
  <c r="AM21" i="2"/>
  <c r="AC24" i="2"/>
  <c r="AD24" i="2"/>
  <c r="AE24" i="2"/>
  <c r="AF24" i="2"/>
  <c r="AG24" i="2"/>
  <c r="AH24" i="2"/>
  <c r="AI24" i="2"/>
  <c r="AJ24" i="2"/>
  <c r="AK24" i="2"/>
  <c r="AL24" i="2"/>
  <c r="AM24" i="2"/>
  <c r="AC4" i="1"/>
  <c r="AD4" i="1"/>
  <c r="AE4" i="1"/>
  <c r="AF4" i="1"/>
  <c r="AG4" i="1"/>
  <c r="AH4" i="1"/>
  <c r="AI4" i="1"/>
  <c r="AJ4" i="1"/>
  <c r="AK4" i="1"/>
  <c r="AL4" i="1"/>
  <c r="AM4" i="1"/>
  <c r="AN4" i="1"/>
  <c r="AC8" i="1"/>
  <c r="AD8" i="1"/>
  <c r="AE8" i="1"/>
  <c r="AF8" i="1"/>
  <c r="AG8" i="1"/>
  <c r="AH8" i="1"/>
  <c r="AI8" i="1"/>
  <c r="AJ8" i="1"/>
  <c r="AK8" i="1"/>
  <c r="AL8" i="1"/>
  <c r="AM8" i="1"/>
  <c r="AN8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C26" i="1"/>
  <c r="AD10" i="5" s="1"/>
  <c r="AD26" i="1"/>
  <c r="AE10" i="5" s="1"/>
  <c r="AE26" i="1"/>
  <c r="AF10" i="5" s="1"/>
  <c r="AF26" i="1"/>
  <c r="AG10" i="5" s="1"/>
  <c r="AG26" i="1"/>
  <c r="AH26" i="1"/>
  <c r="AI26" i="1"/>
  <c r="AJ26" i="1"/>
  <c r="AK26" i="1"/>
  <c r="AL26" i="1"/>
  <c r="AM26" i="1"/>
  <c r="AN26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C41" i="1"/>
  <c r="AD41" i="1"/>
  <c r="AE41" i="1"/>
  <c r="AF41" i="1"/>
  <c r="AG41" i="1"/>
  <c r="AF18" i="3" s="1"/>
  <c r="AH41" i="1"/>
  <c r="AG18" i="3" s="1"/>
  <c r="AI41" i="1"/>
  <c r="AH18" i="3" s="1"/>
  <c r="AJ41" i="1"/>
  <c r="AI18" i="3" s="1"/>
  <c r="AK41" i="1"/>
  <c r="AJ18" i="3" s="1"/>
  <c r="AL41" i="1"/>
  <c r="AK18" i="3" s="1"/>
  <c r="AM41" i="1"/>
  <c r="AL18" i="3" s="1"/>
  <c r="AN41" i="1"/>
  <c r="AM18" i="3" s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C8" i="5"/>
  <c r="AB19" i="2"/>
  <c r="AB12" i="2"/>
  <c r="X17" i="5"/>
  <c r="Y17" i="5"/>
  <c r="Z17" i="5"/>
  <c r="AA17" i="5"/>
  <c r="AB17" i="5"/>
  <c r="AC17" i="5"/>
  <c r="W17" i="5"/>
  <c r="Q17" i="5"/>
  <c r="R17" i="5"/>
  <c r="S17" i="5"/>
  <c r="T17" i="5"/>
  <c r="U17" i="5"/>
  <c r="V17" i="5"/>
  <c r="AB5" i="3"/>
  <c r="AC5" i="3"/>
  <c r="AD5" i="3"/>
  <c r="AE5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O16" i="3"/>
  <c r="P16" i="3"/>
  <c r="Q16" i="3"/>
  <c r="R16" i="3"/>
  <c r="S16" i="3"/>
  <c r="T16" i="3"/>
  <c r="U16" i="3"/>
  <c r="V16" i="3"/>
  <c r="W16" i="3"/>
  <c r="X16" i="3"/>
  <c r="Y16" i="3"/>
  <c r="Z16" i="3"/>
  <c r="AB16" i="3"/>
  <c r="AC16" i="3"/>
  <c r="AD16" i="3"/>
  <c r="AE16" i="3"/>
  <c r="AB18" i="3"/>
  <c r="AC18" i="3"/>
  <c r="AD18" i="3"/>
  <c r="AE18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O27" i="3"/>
  <c r="P27" i="3"/>
  <c r="Q27" i="3"/>
  <c r="R27" i="3"/>
  <c r="S27" i="3"/>
  <c r="T27" i="3"/>
  <c r="U27" i="3"/>
  <c r="V27" i="3"/>
  <c r="W27" i="3"/>
  <c r="X27" i="3"/>
  <c r="Y27" i="3"/>
  <c r="Z27" i="3"/>
  <c r="AB27" i="3"/>
  <c r="AC27" i="3"/>
  <c r="AD27" i="3"/>
  <c r="AE27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D13" i="5" s="1"/>
  <c r="AC31" i="3"/>
  <c r="AE13" i="5" s="1"/>
  <c r="AD31" i="3"/>
  <c r="AF13" i="5" s="1"/>
  <c r="AE31" i="3"/>
  <c r="AG13" i="5" s="1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B34" i="3"/>
  <c r="AC34" i="3"/>
  <c r="AD34" i="3"/>
  <c r="AE34" i="3"/>
  <c r="AB35" i="3"/>
  <c r="AC35" i="3"/>
  <c r="AD35" i="3"/>
  <c r="AE35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O40" i="3"/>
  <c r="P40" i="3"/>
  <c r="Q40" i="3"/>
  <c r="R40" i="3"/>
  <c r="S40" i="3"/>
  <c r="T40" i="3"/>
  <c r="U40" i="3"/>
  <c r="V40" i="3"/>
  <c r="W40" i="3"/>
  <c r="X40" i="3"/>
  <c r="Y40" i="3"/>
  <c r="Z40" i="3"/>
  <c r="AB40" i="3"/>
  <c r="AC40" i="3"/>
  <c r="AD40" i="3"/>
  <c r="AE40" i="3"/>
  <c r="AB41" i="3"/>
  <c r="AC41" i="3"/>
  <c r="AD41" i="3"/>
  <c r="AE41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O45" i="3"/>
  <c r="P45" i="3"/>
  <c r="Q45" i="3"/>
  <c r="R45" i="3"/>
  <c r="S45" i="3"/>
  <c r="T45" i="3"/>
  <c r="U45" i="3"/>
  <c r="V45" i="3"/>
  <c r="W45" i="3"/>
  <c r="X45" i="3"/>
  <c r="Y45" i="3"/>
  <c r="Z45" i="3"/>
  <c r="AB45" i="3"/>
  <c r="AC45" i="3"/>
  <c r="AD45" i="3"/>
  <c r="AE45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B21" i="2"/>
  <c r="AB8" i="2"/>
  <c r="AA41" i="3" s="1"/>
  <c r="AB14" i="2"/>
  <c r="AB43" i="1"/>
  <c r="AB41" i="1" s="1"/>
  <c r="AA18" i="3" s="1"/>
  <c r="AB39" i="1"/>
  <c r="AA16" i="3" s="1"/>
  <c r="AB36" i="1"/>
  <c r="AB31" i="1" s="1"/>
  <c r="AB12" i="1"/>
  <c r="AB6" i="1"/>
  <c r="AB4" i="1" s="1"/>
  <c r="X44" i="1"/>
  <c r="Y44" i="1"/>
  <c r="Z44" i="1"/>
  <c r="AA44" i="1"/>
  <c r="AB44" i="1"/>
  <c r="X41" i="1"/>
  <c r="Y41" i="1"/>
  <c r="Z41" i="1"/>
  <c r="AA41" i="1"/>
  <c r="X30" i="1"/>
  <c r="Y30" i="1"/>
  <c r="Z30" i="1"/>
  <c r="AA30" i="1"/>
  <c r="AB30" i="1"/>
  <c r="AC18" i="5" s="1"/>
  <c r="X31" i="1"/>
  <c r="Y31" i="1"/>
  <c r="Z31" i="1"/>
  <c r="AA31" i="1"/>
  <c r="X20" i="1"/>
  <c r="Y20" i="1"/>
  <c r="Z20" i="1"/>
  <c r="AA20" i="1"/>
  <c r="AB20" i="1"/>
  <c r="X16" i="1"/>
  <c r="W34" i="3" s="1"/>
  <c r="Y16" i="1"/>
  <c r="X34" i="3" s="1"/>
  <c r="Z16" i="1"/>
  <c r="Y34" i="3" s="1"/>
  <c r="AA16" i="1"/>
  <c r="Z34" i="3" s="1"/>
  <c r="AB16" i="1"/>
  <c r="AA34" i="3" s="1"/>
  <c r="X13" i="1"/>
  <c r="Y13" i="1"/>
  <c r="Z13" i="1"/>
  <c r="AA13" i="1"/>
  <c r="AB13" i="1"/>
  <c r="X8" i="1"/>
  <c r="Y8" i="1"/>
  <c r="Z8" i="1"/>
  <c r="AA8" i="1"/>
  <c r="X4" i="1"/>
  <c r="X26" i="1" s="1"/>
  <c r="Y4" i="1"/>
  <c r="Y26" i="1" s="1"/>
  <c r="Z4" i="1"/>
  <c r="Z26" i="1" s="1"/>
  <c r="AA4" i="1"/>
  <c r="AA26" i="1" s="1"/>
  <c r="X21" i="2"/>
  <c r="Y21" i="2"/>
  <c r="Z21" i="2"/>
  <c r="AA21" i="2"/>
  <c r="X24" i="2"/>
  <c r="Y24" i="2"/>
  <c r="Z24" i="2"/>
  <c r="AA24" i="2"/>
  <c r="AB24" i="2"/>
  <c r="X13" i="2"/>
  <c r="Y13" i="2"/>
  <c r="Z13" i="2"/>
  <c r="AA13" i="2"/>
  <c r="X8" i="2"/>
  <c r="W41" i="3" s="1"/>
  <c r="Y8" i="2"/>
  <c r="X41" i="3" s="1"/>
  <c r="Z8" i="2"/>
  <c r="Y41" i="3" s="1"/>
  <c r="AA8" i="2"/>
  <c r="Z41" i="3" s="1"/>
  <c r="X5" i="2"/>
  <c r="X4" i="2" s="1"/>
  <c r="Y5" i="2"/>
  <c r="Y4" i="2" s="1"/>
  <c r="Z5" i="2"/>
  <c r="Z4" i="2" s="1"/>
  <c r="AA5" i="2"/>
  <c r="AA4" i="2" s="1"/>
  <c r="AB5" i="2"/>
  <c r="Q5" i="2"/>
  <c r="R5" i="2"/>
  <c r="S5" i="2"/>
  <c r="T5" i="2"/>
  <c r="U5" i="2"/>
  <c r="V5" i="2"/>
  <c r="W5" i="2"/>
  <c r="P5" i="2"/>
  <c r="P4" i="1"/>
  <c r="Q4" i="1"/>
  <c r="R4" i="1"/>
  <c r="S4" i="1"/>
  <c r="T4" i="1"/>
  <c r="U4" i="1"/>
  <c r="V4" i="1"/>
  <c r="W4" i="1"/>
  <c r="P8" i="1"/>
  <c r="Q8" i="1"/>
  <c r="R8" i="1"/>
  <c r="S8" i="1"/>
  <c r="T8" i="1"/>
  <c r="U8" i="1"/>
  <c r="V8" i="1"/>
  <c r="W8" i="1"/>
  <c r="P13" i="1"/>
  <c r="Q13" i="1"/>
  <c r="R13" i="1"/>
  <c r="S13" i="1"/>
  <c r="T13" i="1"/>
  <c r="U13" i="1"/>
  <c r="V13" i="1"/>
  <c r="W13" i="1"/>
  <c r="P16" i="1"/>
  <c r="Q16" i="1"/>
  <c r="R16" i="1"/>
  <c r="S16" i="1"/>
  <c r="T16" i="1"/>
  <c r="U16" i="1"/>
  <c r="V16" i="1"/>
  <c r="W16" i="1"/>
  <c r="P20" i="1"/>
  <c r="Q20" i="1"/>
  <c r="R20" i="1"/>
  <c r="S20" i="1"/>
  <c r="T20" i="1"/>
  <c r="U20" i="1"/>
  <c r="V20" i="1"/>
  <c r="W20" i="1"/>
  <c r="P30" i="1"/>
  <c r="Q30" i="1"/>
  <c r="R30" i="1"/>
  <c r="S30" i="1"/>
  <c r="T30" i="1"/>
  <c r="U30" i="1"/>
  <c r="V30" i="1"/>
  <c r="W30" i="1"/>
  <c r="Q31" i="1"/>
  <c r="R31" i="1"/>
  <c r="S31" i="1"/>
  <c r="U31" i="1"/>
  <c r="V31" i="1"/>
  <c r="W31" i="1"/>
  <c r="P31" i="1"/>
  <c r="P38" i="1" s="1"/>
  <c r="T31" i="1"/>
  <c r="P41" i="1"/>
  <c r="O18" i="3" s="1"/>
  <c r="U41" i="1"/>
  <c r="T18" i="3" s="1"/>
  <c r="V41" i="1"/>
  <c r="U18" i="3" s="1"/>
  <c r="W41" i="1"/>
  <c r="V18" i="3" s="1"/>
  <c r="Q41" i="1"/>
  <c r="P18" i="3" s="1"/>
  <c r="R41" i="1"/>
  <c r="Q18" i="3" s="1"/>
  <c r="S41" i="1"/>
  <c r="R18" i="3" s="1"/>
  <c r="T41" i="1"/>
  <c r="S18" i="3" s="1"/>
  <c r="P44" i="1"/>
  <c r="Q44" i="1"/>
  <c r="R44" i="1"/>
  <c r="S44" i="1"/>
  <c r="T44" i="1"/>
  <c r="U44" i="1"/>
  <c r="V44" i="1"/>
  <c r="V50" i="1" s="1"/>
  <c r="W44" i="1"/>
  <c r="V8" i="2"/>
  <c r="W8" i="2"/>
  <c r="V13" i="2"/>
  <c r="W13" i="2"/>
  <c r="V21" i="2"/>
  <c r="W21" i="2"/>
  <c r="V24" i="2"/>
  <c r="W24" i="2"/>
  <c r="Q8" i="2"/>
  <c r="P41" i="3" s="1"/>
  <c r="R8" i="2"/>
  <c r="Q41" i="3" s="1"/>
  <c r="S8" i="2"/>
  <c r="R41" i="3" s="1"/>
  <c r="T8" i="2"/>
  <c r="U8" i="2"/>
  <c r="Q13" i="2"/>
  <c r="R13" i="2"/>
  <c r="S13" i="2"/>
  <c r="T13" i="2"/>
  <c r="U13" i="2"/>
  <c r="Q21" i="2"/>
  <c r="R21" i="2"/>
  <c r="S21" i="2"/>
  <c r="T21" i="2"/>
  <c r="U21" i="2"/>
  <c r="Q24" i="2"/>
  <c r="R24" i="2"/>
  <c r="S24" i="2"/>
  <c r="T24" i="2"/>
  <c r="U24" i="2"/>
  <c r="P8" i="2"/>
  <c r="O41" i="3" s="1"/>
  <c r="P13" i="2"/>
  <c r="P21" i="2"/>
  <c r="P24" i="2"/>
  <c r="AW25" i="3" l="1"/>
  <c r="AV25" i="3"/>
  <c r="AW15" i="3"/>
  <c r="AW13" i="3" s="1"/>
  <c r="AW14" i="3" s="1"/>
  <c r="AV15" i="3"/>
  <c r="AV13" i="3" s="1"/>
  <c r="AV14" i="3" s="1"/>
  <c r="AW6" i="3"/>
  <c r="AV6" i="3"/>
  <c r="AU25" i="3"/>
  <c r="AU15" i="3"/>
  <c r="AU13" i="3" s="1"/>
  <c r="AU14" i="3" s="1"/>
  <c r="AU6" i="3"/>
  <c r="AT25" i="3"/>
  <c r="AT15" i="3"/>
  <c r="AT13" i="3" s="1"/>
  <c r="AT14" i="3" s="1"/>
  <c r="AT6" i="3"/>
  <c r="AS25" i="3"/>
  <c r="AS15" i="3"/>
  <c r="AS6" i="3"/>
  <c r="AR34" i="2"/>
  <c r="AR36" i="2" s="1"/>
  <c r="AR38" i="2" s="1"/>
  <c r="AQ48" i="3"/>
  <c r="AQ34" i="2"/>
  <c r="AQ36" i="2" s="1"/>
  <c r="AQ38" i="2" s="1"/>
  <c r="AP48" i="3"/>
  <c r="AP34" i="2"/>
  <c r="AP36" i="2" s="1"/>
  <c r="AP38" i="2" s="1"/>
  <c r="AO48" i="3"/>
  <c r="AS34" i="2"/>
  <c r="AS36" i="2" s="1"/>
  <c r="AS38" i="2" s="1"/>
  <c r="AR48" i="3"/>
  <c r="AR25" i="3"/>
  <c r="AR15" i="3"/>
  <c r="AR13" i="3" s="1"/>
  <c r="AR14" i="3" s="1"/>
  <c r="AR6" i="3"/>
  <c r="AQ25" i="3"/>
  <c r="AP25" i="3"/>
  <c r="AO25" i="3"/>
  <c r="AQ15" i="3"/>
  <c r="AQ13" i="3" s="1"/>
  <c r="AQ14" i="3" s="1"/>
  <c r="AP15" i="3"/>
  <c r="AP13" i="3" s="1"/>
  <c r="AP14" i="3" s="1"/>
  <c r="AO15" i="3"/>
  <c r="AO13" i="3" s="1"/>
  <c r="AO14" i="3" s="1"/>
  <c r="AQ6" i="3"/>
  <c r="AP6" i="3"/>
  <c r="AO6" i="3"/>
  <c r="AN25" i="3"/>
  <c r="AN15" i="3"/>
  <c r="AN6" i="3"/>
  <c r="AO11" i="5"/>
  <c r="AO18" i="5"/>
  <c r="AN11" i="5"/>
  <c r="AN18" i="5"/>
  <c r="AM11" i="5"/>
  <c r="AM18" i="5"/>
  <c r="AL11" i="5"/>
  <c r="AL18" i="5"/>
  <c r="AK11" i="5"/>
  <c r="AK18" i="5"/>
  <c r="AJ11" i="5"/>
  <c r="AJ18" i="5"/>
  <c r="AI11" i="5"/>
  <c r="AI18" i="5"/>
  <c r="AH11" i="5"/>
  <c r="AH18" i="5"/>
  <c r="AG11" i="5"/>
  <c r="AG18" i="5"/>
  <c r="AF11" i="5"/>
  <c r="AF18" i="5"/>
  <c r="AE11" i="5"/>
  <c r="AE18" i="5"/>
  <c r="AD11" i="5"/>
  <c r="AD18" i="5"/>
  <c r="AM5" i="3"/>
  <c r="AO13" i="5" s="1"/>
  <c r="AO10" i="5"/>
  <c r="AL5" i="3"/>
  <c r="AN13" i="5" s="1"/>
  <c r="AN10" i="5"/>
  <c r="AK5" i="3"/>
  <c r="AM13" i="5" s="1"/>
  <c r="AM10" i="5"/>
  <c r="AJ5" i="3"/>
  <c r="AL13" i="5" s="1"/>
  <c r="AL10" i="5"/>
  <c r="AI5" i="3"/>
  <c r="AK13" i="5" s="1"/>
  <c r="AK10" i="5"/>
  <c r="AH5" i="3"/>
  <c r="AJ13" i="5" s="1"/>
  <c r="AJ10" i="5"/>
  <c r="AG5" i="3"/>
  <c r="AI13" i="5" s="1"/>
  <c r="AI10" i="5"/>
  <c r="AF5" i="3"/>
  <c r="AH13" i="5" s="1"/>
  <c r="AH10" i="5"/>
  <c r="AM35" i="3"/>
  <c r="AO9" i="5"/>
  <c r="AL35" i="3"/>
  <c r="AN9" i="5"/>
  <c r="AK35" i="3"/>
  <c r="AM9" i="5"/>
  <c r="AJ35" i="3"/>
  <c r="AL9" i="5"/>
  <c r="AI35" i="3"/>
  <c r="AK9" i="5"/>
  <c r="AH35" i="3"/>
  <c r="AJ9" i="5"/>
  <c r="AG35" i="3"/>
  <c r="AI9" i="5"/>
  <c r="AF35" i="3"/>
  <c r="AH9" i="5"/>
  <c r="AG9" i="5"/>
  <c r="AF9" i="5"/>
  <c r="AE9" i="5"/>
  <c r="AD9" i="5"/>
  <c r="AM34" i="3"/>
  <c r="AL34" i="3"/>
  <c r="AK34" i="3"/>
  <c r="AJ34" i="3"/>
  <c r="AI34" i="3"/>
  <c r="AH34" i="3"/>
  <c r="AG34" i="3"/>
  <c r="AF34" i="3"/>
  <c r="AL6" i="3"/>
  <c r="AK6" i="3"/>
  <c r="AJ6" i="3"/>
  <c r="AI6" i="3"/>
  <c r="AH6" i="3"/>
  <c r="AG6" i="3"/>
  <c r="AF6" i="3"/>
  <c r="AO4" i="2"/>
  <c r="AM25" i="3"/>
  <c r="AM15" i="3"/>
  <c r="AM6" i="3"/>
  <c r="AL25" i="3"/>
  <c r="AK25" i="3"/>
  <c r="AJ25" i="3"/>
  <c r="AI25" i="3"/>
  <c r="AH25" i="3"/>
  <c r="AG25" i="3"/>
  <c r="AF25" i="3"/>
  <c r="AL15" i="3"/>
  <c r="AK15" i="3"/>
  <c r="AJ15" i="3"/>
  <c r="AI15" i="3"/>
  <c r="AH15" i="3"/>
  <c r="AG15" i="3"/>
  <c r="AF15" i="3"/>
  <c r="AN13" i="2"/>
  <c r="AN4" i="2"/>
  <c r="AM13" i="2"/>
  <c r="AL13" i="2"/>
  <c r="AK13" i="2"/>
  <c r="AJ13" i="2"/>
  <c r="AI13" i="2"/>
  <c r="AH13" i="2"/>
  <c r="AG13" i="2"/>
  <c r="AF13" i="2"/>
  <c r="AE13" i="2"/>
  <c r="AD13" i="2"/>
  <c r="AC13" i="2"/>
  <c r="AM4" i="2"/>
  <c r="AL4" i="2"/>
  <c r="AK4" i="2"/>
  <c r="AJ4" i="2"/>
  <c r="AI4" i="2"/>
  <c r="AH4" i="2"/>
  <c r="AG4" i="2"/>
  <c r="AF4" i="2"/>
  <c r="AE4" i="2"/>
  <c r="AD4" i="2"/>
  <c r="AC4" i="2"/>
  <c r="U4" i="2"/>
  <c r="V16" i="5" s="1"/>
  <c r="T41" i="3"/>
  <c r="T4" i="2"/>
  <c r="U16" i="5" s="1"/>
  <c r="S41" i="3"/>
  <c r="W4" i="2"/>
  <c r="X16" i="5" s="1"/>
  <c r="V41" i="3"/>
  <c r="V4" i="2"/>
  <c r="W16" i="5" s="1"/>
  <c r="U41" i="3"/>
  <c r="X11" i="5"/>
  <c r="X18" i="5"/>
  <c r="W11" i="5"/>
  <c r="W18" i="5"/>
  <c r="V11" i="5"/>
  <c r="V18" i="5"/>
  <c r="U11" i="5"/>
  <c r="U18" i="5"/>
  <c r="T11" i="5"/>
  <c r="T18" i="5"/>
  <c r="S11" i="5"/>
  <c r="S18" i="5"/>
  <c r="R11" i="5"/>
  <c r="R18" i="5"/>
  <c r="Q11" i="5"/>
  <c r="Q18" i="5"/>
  <c r="V35" i="3"/>
  <c r="U35" i="3"/>
  <c r="T35" i="3"/>
  <c r="S35" i="3"/>
  <c r="R35" i="3"/>
  <c r="Q35" i="3"/>
  <c r="P35" i="3"/>
  <c r="O35" i="3"/>
  <c r="V34" i="3"/>
  <c r="U34" i="3"/>
  <c r="T34" i="3"/>
  <c r="S34" i="3"/>
  <c r="R34" i="3"/>
  <c r="Q34" i="3"/>
  <c r="P34" i="3"/>
  <c r="O34" i="3"/>
  <c r="AB16" i="5"/>
  <c r="AA16" i="5"/>
  <c r="Z16" i="5"/>
  <c r="Y16" i="5"/>
  <c r="AB10" i="5"/>
  <c r="Z5" i="3"/>
  <c r="AA10" i="5"/>
  <c r="Y5" i="3"/>
  <c r="Z10" i="5"/>
  <c r="X5" i="3"/>
  <c r="Y10" i="5"/>
  <c r="W5" i="3"/>
  <c r="AA35" i="3"/>
  <c r="AB9" i="5"/>
  <c r="Z35" i="3"/>
  <c r="AA9" i="5"/>
  <c r="Y35" i="3"/>
  <c r="Z9" i="5"/>
  <c r="X35" i="3"/>
  <c r="Y9" i="5"/>
  <c r="W35" i="3"/>
  <c r="AB11" i="5"/>
  <c r="AB18" i="5"/>
  <c r="AA11" i="5"/>
  <c r="AA18" i="5"/>
  <c r="Z11" i="5"/>
  <c r="Z18" i="5"/>
  <c r="Y11" i="5"/>
  <c r="Y18" i="5"/>
  <c r="AA50" i="1"/>
  <c r="Z18" i="3"/>
  <c r="Z50" i="1"/>
  <c r="Y18" i="3"/>
  <c r="Y50" i="1"/>
  <c r="X18" i="3"/>
  <c r="X50" i="1"/>
  <c r="W18" i="3"/>
  <c r="AB8" i="1"/>
  <c r="AC11" i="5"/>
  <c r="AA27" i="3"/>
  <c r="AA15" i="3"/>
  <c r="AA13" i="3" s="1"/>
  <c r="AA14" i="3" s="1"/>
  <c r="AA40" i="3"/>
  <c r="AA45" i="3"/>
  <c r="AB13" i="5"/>
  <c r="AA13" i="5"/>
  <c r="Z13" i="5"/>
  <c r="Y13" i="5"/>
  <c r="AD25" i="3"/>
  <c r="V25" i="3"/>
  <c r="AE25" i="3"/>
  <c r="AC25" i="3"/>
  <c r="AA25" i="3"/>
  <c r="Z25" i="3"/>
  <c r="Y25" i="3"/>
  <c r="X25" i="3"/>
  <c r="W25" i="3"/>
  <c r="U25" i="3"/>
  <c r="T25" i="3"/>
  <c r="S25" i="3"/>
  <c r="R25" i="3"/>
  <c r="Q25" i="3"/>
  <c r="P25" i="3"/>
  <c r="O25" i="3"/>
  <c r="S15" i="3"/>
  <c r="S13" i="3" s="1"/>
  <c r="S14" i="3" s="1"/>
  <c r="AE15" i="3"/>
  <c r="AG6" i="5" s="1"/>
  <c r="AD15" i="3"/>
  <c r="AF6" i="5" s="1"/>
  <c r="AC15" i="3"/>
  <c r="AE6" i="5" s="1"/>
  <c r="AB15" i="3"/>
  <c r="Z15" i="3"/>
  <c r="Z13" i="3" s="1"/>
  <c r="Z14" i="3" s="1"/>
  <c r="Y15" i="3"/>
  <c r="Y13" i="3" s="1"/>
  <c r="Y14" i="3" s="1"/>
  <c r="X15" i="3"/>
  <c r="X13" i="3" s="1"/>
  <c r="X14" i="3" s="1"/>
  <c r="W15" i="3"/>
  <c r="W13" i="3" s="1"/>
  <c r="W14" i="3" s="1"/>
  <c r="V15" i="3"/>
  <c r="V13" i="3" s="1"/>
  <c r="V14" i="3" s="1"/>
  <c r="U15" i="3"/>
  <c r="U13" i="3" s="1"/>
  <c r="U14" i="3" s="1"/>
  <c r="T15" i="3"/>
  <c r="T13" i="3" s="1"/>
  <c r="T14" i="3" s="1"/>
  <c r="R15" i="3"/>
  <c r="R13" i="3" s="1"/>
  <c r="R14" i="3" s="1"/>
  <c r="Q15" i="3"/>
  <c r="Q13" i="3" s="1"/>
  <c r="Q14" i="3" s="1"/>
  <c r="P15" i="3"/>
  <c r="P13" i="3" s="1"/>
  <c r="P14" i="3" s="1"/>
  <c r="O15" i="3"/>
  <c r="O13" i="3" s="1"/>
  <c r="O14" i="3" s="1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AB25" i="3"/>
  <c r="AB13" i="2"/>
  <c r="P4" i="2"/>
  <c r="Q16" i="5" s="1"/>
  <c r="Z20" i="2"/>
  <c r="AA20" i="2"/>
  <c r="Y20" i="2"/>
  <c r="X20" i="2"/>
  <c r="AB4" i="2"/>
  <c r="AC16" i="5" s="1"/>
  <c r="AB50" i="1"/>
  <c r="AB26" i="1"/>
  <c r="AB38" i="1"/>
  <c r="AA38" i="1"/>
  <c r="AA51" i="1" s="1"/>
  <c r="Z38" i="1"/>
  <c r="Z51" i="1" s="1"/>
  <c r="Y38" i="1"/>
  <c r="Y51" i="1" s="1"/>
  <c r="X38" i="1"/>
  <c r="X51" i="1" s="1"/>
  <c r="P50" i="1"/>
  <c r="U20" i="2"/>
  <c r="W20" i="2"/>
  <c r="V20" i="2"/>
  <c r="T20" i="2"/>
  <c r="S4" i="2"/>
  <c r="R4" i="2"/>
  <c r="Q4" i="2"/>
  <c r="W50" i="1"/>
  <c r="S38" i="1"/>
  <c r="P26" i="1"/>
  <c r="U50" i="1"/>
  <c r="T50" i="1"/>
  <c r="R38" i="1"/>
  <c r="Q38" i="1"/>
  <c r="V38" i="1"/>
  <c r="V51" i="1" s="1"/>
  <c r="U38" i="1"/>
  <c r="W38" i="1"/>
  <c r="R26" i="1"/>
  <c r="U26" i="1"/>
  <c r="Q26" i="1"/>
  <c r="T26" i="1"/>
  <c r="S26" i="1"/>
  <c r="W26" i="1"/>
  <c r="V26" i="1"/>
  <c r="T38" i="1"/>
  <c r="P51" i="1"/>
  <c r="S50" i="1"/>
  <c r="Q50" i="1"/>
  <c r="Q51" i="1" s="1"/>
  <c r="R50" i="1"/>
  <c r="P20" i="2"/>
  <c r="AS13" i="3" l="1"/>
  <c r="AO20" i="2"/>
  <c r="AN13" i="3"/>
  <c r="AB13" i="3"/>
  <c r="AD6" i="5"/>
  <c r="AC20" i="2"/>
  <c r="AD16" i="5"/>
  <c r="AD20" i="2"/>
  <c r="AE16" i="5"/>
  <c r="AE20" i="2"/>
  <c r="AF16" i="5"/>
  <c r="AF20" i="2"/>
  <c r="AG16" i="5"/>
  <c r="AG20" i="2"/>
  <c r="AH16" i="5"/>
  <c r="AH20" i="2"/>
  <c r="AI16" i="5"/>
  <c r="AI20" i="2"/>
  <c r="AJ16" i="5"/>
  <c r="AJ20" i="2"/>
  <c r="AK16" i="5"/>
  <c r="AK20" i="2"/>
  <c r="AL16" i="5"/>
  <c r="AL20" i="2"/>
  <c r="AM16" i="5"/>
  <c r="AM20" i="2"/>
  <c r="AN16" i="5"/>
  <c r="AN20" i="2"/>
  <c r="AO16" i="5"/>
  <c r="AM13" i="3"/>
  <c r="AO6" i="5"/>
  <c r="AF13" i="3"/>
  <c r="AH6" i="5"/>
  <c r="AG13" i="3"/>
  <c r="AI6" i="5"/>
  <c r="AH13" i="3"/>
  <c r="AJ6" i="5"/>
  <c r="AI13" i="3"/>
  <c r="AK6" i="5"/>
  <c r="AJ13" i="3"/>
  <c r="AL6" i="5"/>
  <c r="AK13" i="3"/>
  <c r="AM6" i="5"/>
  <c r="AL13" i="3"/>
  <c r="AN6" i="5"/>
  <c r="P30" i="2"/>
  <c r="Q15" i="5"/>
  <c r="W10" i="5"/>
  <c r="U5" i="3"/>
  <c r="W13" i="5" s="1"/>
  <c r="W9" i="5"/>
  <c r="X10" i="5"/>
  <c r="V5" i="3"/>
  <c r="X13" i="5" s="1"/>
  <c r="X9" i="5"/>
  <c r="T10" i="5"/>
  <c r="R5" i="3"/>
  <c r="T13" i="5" s="1"/>
  <c r="T9" i="5"/>
  <c r="U10" i="5"/>
  <c r="S5" i="3"/>
  <c r="U13" i="5" s="1"/>
  <c r="U9" i="5"/>
  <c r="R10" i="5"/>
  <c r="P5" i="3"/>
  <c r="R13" i="5" s="1"/>
  <c r="R9" i="5"/>
  <c r="V10" i="5"/>
  <c r="T5" i="3"/>
  <c r="V13" i="5" s="1"/>
  <c r="V9" i="5"/>
  <c r="S10" i="5"/>
  <c r="Q5" i="3"/>
  <c r="S13" i="5" s="1"/>
  <c r="S9" i="5"/>
  <c r="Q10" i="5"/>
  <c r="O5" i="3"/>
  <c r="Q13" i="5" s="1"/>
  <c r="Q9" i="5"/>
  <c r="Q20" i="2"/>
  <c r="R16" i="5"/>
  <c r="R20" i="2"/>
  <c r="S16" i="5"/>
  <c r="S20" i="2"/>
  <c r="T16" i="5"/>
  <c r="T30" i="2"/>
  <c r="U15" i="5"/>
  <c r="V30" i="2"/>
  <c r="W15" i="5"/>
  <c r="W30" i="2"/>
  <c r="X15" i="5"/>
  <c r="U30" i="2"/>
  <c r="V15" i="5"/>
  <c r="AC10" i="5"/>
  <c r="AA5" i="3"/>
  <c r="AC13" i="5" s="1"/>
  <c r="AC9" i="5"/>
  <c r="X30" i="2"/>
  <c r="Y15" i="5"/>
  <c r="Y30" i="2"/>
  <c r="Z15" i="5"/>
  <c r="AA30" i="2"/>
  <c r="AB15" i="5"/>
  <c r="Z30" i="2"/>
  <c r="AA15" i="5"/>
  <c r="Q6" i="5"/>
  <c r="R6" i="5"/>
  <c r="S6" i="5"/>
  <c r="T6" i="5"/>
  <c r="V6" i="5"/>
  <c r="W6" i="5"/>
  <c r="X6" i="5"/>
  <c r="Y6" i="5"/>
  <c r="Z6" i="5"/>
  <c r="AA6" i="5"/>
  <c r="AB6" i="5"/>
  <c r="AC13" i="3"/>
  <c r="AD13" i="3"/>
  <c r="AE13" i="3"/>
  <c r="U6" i="5"/>
  <c r="AC6" i="5"/>
  <c r="AB20" i="2"/>
  <c r="AB51" i="1"/>
  <c r="W51" i="1"/>
  <c r="U51" i="1"/>
  <c r="S51" i="1"/>
  <c r="T51" i="1"/>
  <c r="R51" i="1"/>
  <c r="C16" i="3"/>
  <c r="D20" i="3"/>
  <c r="E20" i="3"/>
  <c r="F20" i="3"/>
  <c r="G20" i="3"/>
  <c r="H20" i="3"/>
  <c r="I20" i="3"/>
  <c r="J20" i="3"/>
  <c r="K20" i="3"/>
  <c r="L20" i="3"/>
  <c r="M20" i="3"/>
  <c r="N20" i="3"/>
  <c r="C20" i="3"/>
  <c r="D10" i="3"/>
  <c r="E10" i="3"/>
  <c r="F10" i="3"/>
  <c r="G10" i="3"/>
  <c r="H10" i="3"/>
  <c r="I10" i="3"/>
  <c r="J10" i="3"/>
  <c r="K10" i="3"/>
  <c r="L10" i="3"/>
  <c r="M10" i="3"/>
  <c r="N10" i="3"/>
  <c r="C10" i="3"/>
  <c r="D16" i="3"/>
  <c r="E16" i="3"/>
  <c r="F16" i="3"/>
  <c r="G16" i="3"/>
  <c r="H16" i="3"/>
  <c r="I16" i="3"/>
  <c r="J16" i="3"/>
  <c r="K16" i="3"/>
  <c r="L16" i="3"/>
  <c r="M16" i="3"/>
  <c r="D21" i="3"/>
  <c r="E21" i="3"/>
  <c r="F21" i="3"/>
  <c r="G21" i="3"/>
  <c r="H21" i="3"/>
  <c r="I21" i="3"/>
  <c r="J21" i="3"/>
  <c r="K21" i="3"/>
  <c r="L21" i="3"/>
  <c r="M21" i="3"/>
  <c r="N21" i="3"/>
  <c r="C21" i="3"/>
  <c r="D16" i="1"/>
  <c r="E16" i="1"/>
  <c r="F16" i="1"/>
  <c r="G16" i="1"/>
  <c r="H16" i="1"/>
  <c r="I16" i="1"/>
  <c r="J16" i="1"/>
  <c r="K16" i="1"/>
  <c r="L16" i="1"/>
  <c r="M16" i="1"/>
  <c r="N16" i="1"/>
  <c r="O16" i="1"/>
  <c r="O43" i="1"/>
  <c r="O41" i="1" s="1"/>
  <c r="O39" i="1"/>
  <c r="N16" i="3" s="1"/>
  <c r="O36" i="1"/>
  <c r="O31" i="1" s="1"/>
  <c r="O8" i="1"/>
  <c r="D24" i="2"/>
  <c r="E24" i="2"/>
  <c r="F24" i="2"/>
  <c r="G24" i="2"/>
  <c r="H24" i="2"/>
  <c r="I24" i="2"/>
  <c r="J24" i="2"/>
  <c r="K24" i="2"/>
  <c r="L24" i="2"/>
  <c r="M24" i="2"/>
  <c r="N24" i="2"/>
  <c r="O24" i="2"/>
  <c r="D21" i="2"/>
  <c r="E21" i="2"/>
  <c r="F21" i="2"/>
  <c r="G21" i="2"/>
  <c r="H21" i="2"/>
  <c r="I21" i="2"/>
  <c r="J21" i="2"/>
  <c r="K21" i="2"/>
  <c r="L21" i="2"/>
  <c r="M21" i="2"/>
  <c r="N21" i="2"/>
  <c r="O21" i="2"/>
  <c r="D13" i="2"/>
  <c r="E13" i="2"/>
  <c r="F13" i="2"/>
  <c r="G13" i="2"/>
  <c r="H13" i="2"/>
  <c r="I13" i="2"/>
  <c r="J13" i="2"/>
  <c r="K13" i="2"/>
  <c r="L13" i="2"/>
  <c r="M13" i="2"/>
  <c r="N13" i="2"/>
  <c r="O13" i="2"/>
  <c r="D8" i="2"/>
  <c r="E8" i="2"/>
  <c r="D41" i="3" s="1"/>
  <c r="F8" i="2"/>
  <c r="G8" i="2"/>
  <c r="F41" i="3" s="1"/>
  <c r="H8" i="2"/>
  <c r="H4" i="2" s="1"/>
  <c r="I8" i="2"/>
  <c r="H41" i="3" s="1"/>
  <c r="J8" i="2"/>
  <c r="J4" i="2" s="1"/>
  <c r="K16" i="5" s="1"/>
  <c r="K8" i="2"/>
  <c r="J41" i="3" s="1"/>
  <c r="L8" i="2"/>
  <c r="K41" i="3" s="1"/>
  <c r="M8" i="2"/>
  <c r="L41" i="3" s="1"/>
  <c r="N8" i="2"/>
  <c r="O8" i="2"/>
  <c r="N41" i="3" s="1"/>
  <c r="D4" i="2"/>
  <c r="D20" i="2" s="1"/>
  <c r="D30" i="2" s="1"/>
  <c r="E4" i="2"/>
  <c r="E20" i="2" s="1"/>
  <c r="E30" i="2" s="1"/>
  <c r="F4" i="2"/>
  <c r="G4" i="2"/>
  <c r="G20" i="2" s="1"/>
  <c r="K4" i="2"/>
  <c r="K20" i="2" s="1"/>
  <c r="L4" i="2"/>
  <c r="L20" i="2" s="1"/>
  <c r="L30" i="2" s="1"/>
  <c r="M4" i="2"/>
  <c r="M20" i="2" s="1"/>
  <c r="M30" i="2" s="1"/>
  <c r="N4" i="2"/>
  <c r="D44" i="1"/>
  <c r="E44" i="1"/>
  <c r="F44" i="1"/>
  <c r="G44" i="1"/>
  <c r="H44" i="1"/>
  <c r="I44" i="1"/>
  <c r="J44" i="1"/>
  <c r="K44" i="1"/>
  <c r="L44" i="1"/>
  <c r="M44" i="1"/>
  <c r="N44" i="1"/>
  <c r="O44" i="1"/>
  <c r="D41" i="1"/>
  <c r="E41" i="1"/>
  <c r="D18" i="3" s="1"/>
  <c r="F41" i="1"/>
  <c r="E18" i="3" s="1"/>
  <c r="G41" i="1"/>
  <c r="F18" i="3" s="1"/>
  <c r="H41" i="1"/>
  <c r="I41" i="1"/>
  <c r="J41" i="1"/>
  <c r="I18" i="3" s="1"/>
  <c r="K41" i="1"/>
  <c r="J18" i="3" s="1"/>
  <c r="L41" i="1"/>
  <c r="M41" i="1"/>
  <c r="M50" i="1" s="1"/>
  <c r="N41" i="1"/>
  <c r="M18" i="3" s="1"/>
  <c r="D30" i="1"/>
  <c r="E30" i="1"/>
  <c r="F30" i="1"/>
  <c r="G18" i="5" s="1"/>
  <c r="G30" i="1"/>
  <c r="H11" i="5" s="1"/>
  <c r="H30" i="1"/>
  <c r="I11" i="5" s="1"/>
  <c r="I30" i="1"/>
  <c r="J30" i="1"/>
  <c r="K11" i="5" s="1"/>
  <c r="K30" i="1"/>
  <c r="L11" i="5" s="1"/>
  <c r="L30" i="1"/>
  <c r="M18" i="5" s="1"/>
  <c r="M30" i="1"/>
  <c r="N30" i="1"/>
  <c r="O11" i="5" s="1"/>
  <c r="O30" i="1"/>
  <c r="D31" i="1"/>
  <c r="E31" i="1"/>
  <c r="F31" i="1"/>
  <c r="G31" i="1"/>
  <c r="H31" i="1"/>
  <c r="I31" i="1"/>
  <c r="J31" i="1"/>
  <c r="K31" i="1"/>
  <c r="L31" i="1"/>
  <c r="M31" i="1"/>
  <c r="N31" i="1"/>
  <c r="D20" i="1"/>
  <c r="E20" i="1"/>
  <c r="F20" i="1"/>
  <c r="G20" i="1"/>
  <c r="H20" i="1"/>
  <c r="G34" i="3" s="1"/>
  <c r="I20" i="1"/>
  <c r="J20" i="1"/>
  <c r="I34" i="3" s="1"/>
  <c r="K20" i="1"/>
  <c r="L20" i="1"/>
  <c r="M20" i="1"/>
  <c r="N20" i="1"/>
  <c r="M34" i="3" s="1"/>
  <c r="O20" i="1"/>
  <c r="D13" i="1"/>
  <c r="E13" i="1"/>
  <c r="F13" i="1"/>
  <c r="G13" i="1"/>
  <c r="H13" i="1"/>
  <c r="I13" i="1"/>
  <c r="J13" i="1"/>
  <c r="K13" i="1"/>
  <c r="L13" i="1"/>
  <c r="M13" i="1"/>
  <c r="N13" i="1"/>
  <c r="O13" i="1"/>
  <c r="J8" i="1"/>
  <c r="K8" i="1"/>
  <c r="L8" i="1"/>
  <c r="M8" i="1"/>
  <c r="N8" i="1"/>
  <c r="D8" i="1"/>
  <c r="E8" i="1"/>
  <c r="F8" i="1"/>
  <c r="G8" i="1"/>
  <c r="H8" i="1"/>
  <c r="I8" i="1"/>
  <c r="D4" i="1"/>
  <c r="E4" i="1"/>
  <c r="E26" i="1" s="1"/>
  <c r="F10" i="5" s="1"/>
  <c r="F4" i="1"/>
  <c r="G4" i="1"/>
  <c r="H4" i="1"/>
  <c r="I4" i="1"/>
  <c r="J4" i="1"/>
  <c r="K4" i="1"/>
  <c r="L4" i="1"/>
  <c r="M4" i="1"/>
  <c r="N4" i="1"/>
  <c r="O4" i="1"/>
  <c r="F11" i="5"/>
  <c r="J11" i="5"/>
  <c r="M11" i="5"/>
  <c r="N11" i="5"/>
  <c r="F17" i="5"/>
  <c r="G17" i="5"/>
  <c r="H17" i="5"/>
  <c r="I17" i="5"/>
  <c r="J17" i="5"/>
  <c r="K17" i="5"/>
  <c r="L17" i="5"/>
  <c r="M17" i="5"/>
  <c r="N17" i="5"/>
  <c r="O17" i="5"/>
  <c r="P17" i="5"/>
  <c r="F18" i="5"/>
  <c r="I18" i="5"/>
  <c r="J18" i="5"/>
  <c r="N18" i="5"/>
  <c r="E17" i="5"/>
  <c r="D45" i="3"/>
  <c r="E45" i="3"/>
  <c r="F45" i="3"/>
  <c r="G45" i="3"/>
  <c r="H45" i="3"/>
  <c r="I45" i="3"/>
  <c r="J45" i="3"/>
  <c r="K45" i="3"/>
  <c r="L45" i="3"/>
  <c r="M45" i="3"/>
  <c r="N45" i="3"/>
  <c r="D46" i="3"/>
  <c r="E46" i="3"/>
  <c r="F46" i="3"/>
  <c r="G46" i="3"/>
  <c r="H46" i="3"/>
  <c r="I46" i="3"/>
  <c r="J46" i="3"/>
  <c r="K46" i="3"/>
  <c r="L46" i="3"/>
  <c r="M46" i="3"/>
  <c r="N46" i="3"/>
  <c r="D47" i="3"/>
  <c r="E47" i="3"/>
  <c r="F47" i="3"/>
  <c r="G47" i="3"/>
  <c r="H47" i="3"/>
  <c r="I47" i="3"/>
  <c r="J47" i="3"/>
  <c r="K47" i="3"/>
  <c r="L47" i="3"/>
  <c r="M47" i="3"/>
  <c r="N47" i="3"/>
  <c r="I49" i="3"/>
  <c r="J49" i="3"/>
  <c r="K49" i="3"/>
  <c r="L49" i="3"/>
  <c r="M49" i="3"/>
  <c r="N49" i="3"/>
  <c r="D39" i="3"/>
  <c r="E39" i="3"/>
  <c r="F39" i="3"/>
  <c r="G39" i="3"/>
  <c r="H39" i="3"/>
  <c r="I39" i="3"/>
  <c r="J39" i="3"/>
  <c r="K39" i="3"/>
  <c r="L39" i="3"/>
  <c r="M39" i="3"/>
  <c r="N39" i="3"/>
  <c r="D40" i="3"/>
  <c r="E40" i="3"/>
  <c r="F40" i="3"/>
  <c r="G40" i="3"/>
  <c r="H40" i="3"/>
  <c r="I40" i="3"/>
  <c r="J40" i="3"/>
  <c r="K40" i="3"/>
  <c r="L40" i="3"/>
  <c r="M40" i="3"/>
  <c r="N40" i="3"/>
  <c r="E41" i="3"/>
  <c r="M41" i="3"/>
  <c r="D42" i="3"/>
  <c r="E42" i="3"/>
  <c r="F42" i="3"/>
  <c r="G42" i="3"/>
  <c r="H42" i="3"/>
  <c r="I42" i="3"/>
  <c r="J42" i="3"/>
  <c r="K42" i="3"/>
  <c r="L42" i="3"/>
  <c r="M42" i="3"/>
  <c r="N42" i="3"/>
  <c r="D31" i="3"/>
  <c r="E31" i="3"/>
  <c r="F31" i="3"/>
  <c r="G31" i="3"/>
  <c r="H31" i="3"/>
  <c r="I31" i="3"/>
  <c r="J31" i="3"/>
  <c r="K31" i="3"/>
  <c r="L31" i="3"/>
  <c r="M31" i="3"/>
  <c r="N31" i="3"/>
  <c r="D32" i="3"/>
  <c r="E32" i="3"/>
  <c r="F32" i="3"/>
  <c r="G32" i="3"/>
  <c r="H32" i="3"/>
  <c r="I32" i="3"/>
  <c r="J32" i="3"/>
  <c r="K32" i="3"/>
  <c r="L32" i="3"/>
  <c r="M32" i="3"/>
  <c r="N32" i="3"/>
  <c r="D34" i="3"/>
  <c r="D35" i="3"/>
  <c r="E35" i="3"/>
  <c r="H35" i="3"/>
  <c r="L35" i="3"/>
  <c r="M35" i="3"/>
  <c r="D26" i="3"/>
  <c r="E26" i="3"/>
  <c r="F26" i="3"/>
  <c r="G26" i="3"/>
  <c r="H26" i="3"/>
  <c r="I26" i="3"/>
  <c r="J26" i="3"/>
  <c r="K26" i="3"/>
  <c r="L26" i="3"/>
  <c r="M26" i="3"/>
  <c r="N26" i="3"/>
  <c r="D27" i="3"/>
  <c r="E27" i="3"/>
  <c r="F27" i="3"/>
  <c r="G27" i="3"/>
  <c r="H27" i="3"/>
  <c r="I27" i="3"/>
  <c r="J27" i="3"/>
  <c r="K27" i="3"/>
  <c r="L27" i="3"/>
  <c r="M27" i="3"/>
  <c r="N27" i="3"/>
  <c r="D28" i="3"/>
  <c r="E28" i="3"/>
  <c r="F28" i="3"/>
  <c r="G28" i="3"/>
  <c r="H28" i="3"/>
  <c r="I28" i="3"/>
  <c r="J28" i="3"/>
  <c r="K28" i="3"/>
  <c r="L28" i="3"/>
  <c r="M28" i="3"/>
  <c r="N28" i="3"/>
  <c r="D29" i="3"/>
  <c r="E29" i="3"/>
  <c r="F29" i="3"/>
  <c r="G29" i="3"/>
  <c r="H29" i="3"/>
  <c r="I29" i="3"/>
  <c r="J29" i="3"/>
  <c r="K29" i="3"/>
  <c r="L29" i="3"/>
  <c r="M29" i="3"/>
  <c r="N29" i="3"/>
  <c r="D7" i="3"/>
  <c r="E7" i="3"/>
  <c r="F7" i="3"/>
  <c r="G7" i="3"/>
  <c r="H7" i="3"/>
  <c r="I7" i="3"/>
  <c r="J7" i="3"/>
  <c r="K7" i="3"/>
  <c r="L7" i="3"/>
  <c r="M7" i="3"/>
  <c r="N7" i="3"/>
  <c r="D8" i="3"/>
  <c r="E8" i="3"/>
  <c r="F8" i="3"/>
  <c r="G8" i="3"/>
  <c r="H8" i="3"/>
  <c r="I8" i="3"/>
  <c r="J8" i="3"/>
  <c r="K8" i="3"/>
  <c r="L8" i="3"/>
  <c r="M8" i="3"/>
  <c r="N8" i="3"/>
  <c r="D9" i="3"/>
  <c r="E9" i="3"/>
  <c r="F9" i="3"/>
  <c r="G9" i="3"/>
  <c r="H9" i="3"/>
  <c r="I9" i="3"/>
  <c r="J9" i="3"/>
  <c r="K9" i="3"/>
  <c r="L9" i="3"/>
  <c r="M9" i="3"/>
  <c r="N9" i="3"/>
  <c r="C47" i="3"/>
  <c r="C46" i="3"/>
  <c r="C45" i="3"/>
  <c r="C42" i="3"/>
  <c r="C41" i="3"/>
  <c r="C40" i="3"/>
  <c r="C39" i="3"/>
  <c r="C34" i="3"/>
  <c r="C32" i="3"/>
  <c r="C31" i="3"/>
  <c r="C29" i="3"/>
  <c r="C28" i="3"/>
  <c r="C27" i="3"/>
  <c r="C26" i="3"/>
  <c r="C9" i="3"/>
  <c r="C8" i="3"/>
  <c r="C7" i="3"/>
  <c r="C44" i="1"/>
  <c r="C41" i="1"/>
  <c r="C31" i="1"/>
  <c r="C30" i="1"/>
  <c r="C20" i="1"/>
  <c r="C16" i="1"/>
  <c r="C13" i="1"/>
  <c r="C8" i="1"/>
  <c r="C4" i="1"/>
  <c r="D18" i="5"/>
  <c r="D17" i="5"/>
  <c r="D16" i="5"/>
  <c r="D15" i="5"/>
  <c r="D14" i="5"/>
  <c r="D13" i="5"/>
  <c r="D12" i="5"/>
  <c r="D11" i="5"/>
  <c r="D10" i="5"/>
  <c r="D9" i="5"/>
  <c r="D6" i="5"/>
  <c r="D5" i="5"/>
  <c r="D4" i="5"/>
  <c r="D3" i="5"/>
  <c r="B48" i="3"/>
  <c r="B47" i="3"/>
  <c r="B46" i="3"/>
  <c r="B45" i="3"/>
  <c r="B42" i="3"/>
  <c r="B41" i="3"/>
  <c r="B40" i="3"/>
  <c r="B39" i="3"/>
  <c r="B35" i="3"/>
  <c r="B34" i="3"/>
  <c r="B32" i="3"/>
  <c r="B31" i="3"/>
  <c r="B29" i="3"/>
  <c r="B28" i="3"/>
  <c r="B27" i="3"/>
  <c r="B26" i="3"/>
  <c r="B21" i="3"/>
  <c r="B20" i="3"/>
  <c r="B19" i="3"/>
  <c r="B18" i="3"/>
  <c r="B16" i="3"/>
  <c r="B10" i="3"/>
  <c r="B9" i="3"/>
  <c r="B8" i="3"/>
  <c r="B7" i="3"/>
  <c r="B6" i="3" s="1"/>
  <c r="B5" i="3"/>
  <c r="C24" i="2"/>
  <c r="C21" i="2"/>
  <c r="C13" i="2"/>
  <c r="C8" i="2"/>
  <c r="C4" i="2" s="1"/>
  <c r="AS14" i="3" l="1"/>
  <c r="AO30" i="2"/>
  <c r="AN14" i="3"/>
  <c r="AG3" i="5"/>
  <c r="AG4" i="5"/>
  <c r="AG5" i="5"/>
  <c r="AG12" i="5"/>
  <c r="AF3" i="5"/>
  <c r="AF4" i="5"/>
  <c r="AF5" i="5"/>
  <c r="AF12" i="5"/>
  <c r="AE3" i="5"/>
  <c r="AE4" i="5"/>
  <c r="AE5" i="5"/>
  <c r="AE12" i="5"/>
  <c r="AB14" i="3"/>
  <c r="AD3" i="5"/>
  <c r="AD4" i="5"/>
  <c r="AD5" i="5"/>
  <c r="AD12" i="5"/>
  <c r="AN30" i="2"/>
  <c r="AO15" i="5"/>
  <c r="AM30" i="2"/>
  <c r="AN15" i="5"/>
  <c r="AL30" i="2"/>
  <c r="AM15" i="5"/>
  <c r="AK30" i="2"/>
  <c r="AL15" i="5"/>
  <c r="AJ30" i="2"/>
  <c r="AK15" i="5"/>
  <c r="AI30" i="2"/>
  <c r="AJ15" i="5"/>
  <c r="AH30" i="2"/>
  <c r="AI15" i="5"/>
  <c r="AG30" i="2"/>
  <c r="AH15" i="5"/>
  <c r="AF30" i="2"/>
  <c r="AG15" i="5"/>
  <c r="AE30" i="2"/>
  <c r="AF15" i="5"/>
  <c r="AD30" i="2"/>
  <c r="AE15" i="5"/>
  <c r="AC30" i="2"/>
  <c r="AD15" i="5"/>
  <c r="AM14" i="3"/>
  <c r="AO3" i="5"/>
  <c r="AO4" i="5"/>
  <c r="AO5" i="5"/>
  <c r="AO12" i="5"/>
  <c r="AL14" i="3"/>
  <c r="AN3" i="5"/>
  <c r="AN4" i="5"/>
  <c r="AN5" i="5"/>
  <c r="AN12" i="5"/>
  <c r="AK14" i="3"/>
  <c r="AM3" i="5"/>
  <c r="AM4" i="5"/>
  <c r="AM5" i="5"/>
  <c r="AM12" i="5"/>
  <c r="AJ14" i="3"/>
  <c r="AL3" i="5"/>
  <c r="AL4" i="5"/>
  <c r="AL5" i="5"/>
  <c r="AL12" i="5"/>
  <c r="AI14" i="3"/>
  <c r="AK3" i="5"/>
  <c r="AK4" i="5"/>
  <c r="AK5" i="5"/>
  <c r="AK12" i="5"/>
  <c r="AH14" i="3"/>
  <c r="AJ3" i="5"/>
  <c r="AJ4" i="5"/>
  <c r="AJ5" i="5"/>
  <c r="AJ12" i="5"/>
  <c r="AG14" i="3"/>
  <c r="AI3" i="5"/>
  <c r="AI4" i="5"/>
  <c r="AI5" i="5"/>
  <c r="AI12" i="5"/>
  <c r="AF14" i="3"/>
  <c r="AH3" i="5"/>
  <c r="AH4" i="5"/>
  <c r="AH5" i="5"/>
  <c r="AH12" i="5"/>
  <c r="M16" i="5"/>
  <c r="G16" i="5"/>
  <c r="AB30" i="2"/>
  <c r="AA48" i="3" s="1"/>
  <c r="AC15" i="5"/>
  <c r="AC3" i="5"/>
  <c r="AC4" i="5"/>
  <c r="AC5" i="5"/>
  <c r="AC12" i="5"/>
  <c r="U3" i="5"/>
  <c r="U4" i="5"/>
  <c r="U5" i="5"/>
  <c r="U12" i="5"/>
  <c r="AE14" i="3"/>
  <c r="AD14" i="3"/>
  <c r="AC14" i="3"/>
  <c r="AB3" i="5"/>
  <c r="AB4" i="5"/>
  <c r="AB5" i="5"/>
  <c r="AB12" i="5"/>
  <c r="AA3" i="5"/>
  <c r="AA4" i="5"/>
  <c r="AA5" i="5"/>
  <c r="AA12" i="5"/>
  <c r="Z3" i="5"/>
  <c r="Z4" i="5"/>
  <c r="Z5" i="5"/>
  <c r="Z12" i="5"/>
  <c r="Y3" i="5"/>
  <c r="Y4" i="5"/>
  <c r="Y5" i="5"/>
  <c r="Y12" i="5"/>
  <c r="X3" i="5"/>
  <c r="X4" i="5"/>
  <c r="X5" i="5"/>
  <c r="X12" i="5"/>
  <c r="W3" i="5"/>
  <c r="W4" i="5"/>
  <c r="W5" i="5"/>
  <c r="W12" i="5"/>
  <c r="V3" i="5"/>
  <c r="V4" i="5"/>
  <c r="V5" i="5"/>
  <c r="V12" i="5"/>
  <c r="T3" i="5"/>
  <c r="T4" i="5"/>
  <c r="T5" i="5"/>
  <c r="T12" i="5"/>
  <c r="S3" i="5"/>
  <c r="S4" i="5"/>
  <c r="S5" i="5"/>
  <c r="S12" i="5"/>
  <c r="R3" i="5"/>
  <c r="R4" i="5"/>
  <c r="R5" i="5"/>
  <c r="R12" i="5"/>
  <c r="Q3" i="5"/>
  <c r="Q4" i="5"/>
  <c r="Q5" i="5"/>
  <c r="Q12" i="5"/>
  <c r="Z34" i="2"/>
  <c r="Z36" i="2" s="1"/>
  <c r="Z38" i="2" s="1"/>
  <c r="AA14" i="5" s="1"/>
  <c r="Y48" i="3"/>
  <c r="AA34" i="2"/>
  <c r="AA36" i="2" s="1"/>
  <c r="AA38" i="2" s="1"/>
  <c r="AB14" i="5" s="1"/>
  <c r="Z48" i="3"/>
  <c r="Y34" i="2"/>
  <c r="Y36" i="2" s="1"/>
  <c r="Y38" i="2" s="1"/>
  <c r="Z14" i="5" s="1"/>
  <c r="X48" i="3"/>
  <c r="X34" i="2"/>
  <c r="X36" i="2" s="1"/>
  <c r="X38" i="2" s="1"/>
  <c r="Y14" i="5" s="1"/>
  <c r="W48" i="3"/>
  <c r="U34" i="2"/>
  <c r="U36" i="2" s="1"/>
  <c r="U38" i="2" s="1"/>
  <c r="V14" i="5" s="1"/>
  <c r="T48" i="3"/>
  <c r="W34" i="2"/>
  <c r="W36" i="2" s="1"/>
  <c r="W38" i="2" s="1"/>
  <c r="X14" i="5" s="1"/>
  <c r="V48" i="3"/>
  <c r="V34" i="2"/>
  <c r="V36" i="2" s="1"/>
  <c r="V38" i="2" s="1"/>
  <c r="W14" i="5" s="1"/>
  <c r="U48" i="3"/>
  <c r="T34" i="2"/>
  <c r="T36" i="2" s="1"/>
  <c r="T38" i="2" s="1"/>
  <c r="U14" i="5" s="1"/>
  <c r="S48" i="3"/>
  <c r="S30" i="2"/>
  <c r="T15" i="5"/>
  <c r="R30" i="2"/>
  <c r="S15" i="5"/>
  <c r="Q30" i="2"/>
  <c r="R15" i="5"/>
  <c r="P34" i="2"/>
  <c r="P36" i="2" s="1"/>
  <c r="P38" i="2" s="1"/>
  <c r="Q14" i="5" s="1"/>
  <c r="O48" i="3"/>
  <c r="AB34" i="2"/>
  <c r="AB36" i="2" s="1"/>
  <c r="AB38" i="2" s="1"/>
  <c r="AC14" i="5" s="1"/>
  <c r="H20" i="2"/>
  <c r="H30" i="2" s="1"/>
  <c r="I16" i="5"/>
  <c r="I41" i="3"/>
  <c r="G41" i="3"/>
  <c r="M15" i="5"/>
  <c r="I4" i="2"/>
  <c r="I20" i="2" s="1"/>
  <c r="I30" i="2" s="1"/>
  <c r="I34" i="2" s="1"/>
  <c r="I36" i="2" s="1"/>
  <c r="I38" i="2" s="1"/>
  <c r="C38" i="3"/>
  <c r="M25" i="3"/>
  <c r="L25" i="3"/>
  <c r="H25" i="3"/>
  <c r="H30" i="3"/>
  <c r="I26" i="1"/>
  <c r="J10" i="5" s="1"/>
  <c r="H18" i="3"/>
  <c r="I50" i="1"/>
  <c r="L34" i="3"/>
  <c r="H34" i="3"/>
  <c r="D25" i="3"/>
  <c r="B15" i="3"/>
  <c r="B13" i="3" s="1"/>
  <c r="B14" i="3" s="1"/>
  <c r="D38" i="3"/>
  <c r="E16" i="5"/>
  <c r="N16" i="5"/>
  <c r="O18" i="5"/>
  <c r="M38" i="1"/>
  <c r="M51" i="1" s="1"/>
  <c r="I38" i="1"/>
  <c r="I51" i="1" s="1"/>
  <c r="E38" i="1"/>
  <c r="E50" i="1"/>
  <c r="L18" i="3"/>
  <c r="J38" i="1"/>
  <c r="I35" i="3"/>
  <c r="M26" i="1"/>
  <c r="N9" i="5" s="1"/>
  <c r="N26" i="1"/>
  <c r="M5" i="3" s="1"/>
  <c r="O13" i="5" s="1"/>
  <c r="J26" i="1"/>
  <c r="N38" i="1"/>
  <c r="F38" i="1"/>
  <c r="D30" i="3"/>
  <c r="K18" i="5"/>
  <c r="G11" i="5"/>
  <c r="P11" i="5"/>
  <c r="H38" i="1"/>
  <c r="E34" i="3"/>
  <c r="M34" i="2"/>
  <c r="M36" i="2" s="1"/>
  <c r="M38" i="2" s="1"/>
  <c r="L48" i="3"/>
  <c r="E34" i="2"/>
  <c r="E36" i="2" s="1"/>
  <c r="E38" i="2" s="1"/>
  <c r="D48" i="3"/>
  <c r="D44" i="3" s="1"/>
  <c r="K10" i="5"/>
  <c r="I5" i="3"/>
  <c r="K13" i="5" s="1"/>
  <c r="L34" i="2"/>
  <c r="L36" i="2" s="1"/>
  <c r="L38" i="2" s="1"/>
  <c r="K48" i="3"/>
  <c r="H34" i="2"/>
  <c r="H36" i="2" s="1"/>
  <c r="H38" i="2" s="1"/>
  <c r="G48" i="3"/>
  <c r="G44" i="3" s="1"/>
  <c r="O10" i="5"/>
  <c r="C35" i="3"/>
  <c r="C18" i="3"/>
  <c r="C15" i="3" s="1"/>
  <c r="D50" i="1"/>
  <c r="D34" i="2"/>
  <c r="D36" i="2" s="1"/>
  <c r="D38" i="2" s="1"/>
  <c r="C48" i="3"/>
  <c r="C44" i="3" s="1"/>
  <c r="H38" i="3"/>
  <c r="H26" i="1"/>
  <c r="I9" i="5" s="1"/>
  <c r="E18" i="5"/>
  <c r="E11" i="5"/>
  <c r="I15" i="5"/>
  <c r="J9" i="5"/>
  <c r="H5" i="3"/>
  <c r="L15" i="5"/>
  <c r="K30" i="2"/>
  <c r="H15" i="5"/>
  <c r="G30" i="2"/>
  <c r="O50" i="1"/>
  <c r="N18" i="3"/>
  <c r="N15" i="3" s="1"/>
  <c r="N13" i="3" s="1"/>
  <c r="N14" i="3" s="1"/>
  <c r="K34" i="3"/>
  <c r="K35" i="3"/>
  <c r="K18" i="3"/>
  <c r="K15" i="3" s="1"/>
  <c r="K13" i="3" s="1"/>
  <c r="K14" i="3" s="1"/>
  <c r="L50" i="1"/>
  <c r="H50" i="1"/>
  <c r="H51" i="1" s="1"/>
  <c r="G18" i="3"/>
  <c r="N15" i="5"/>
  <c r="F16" i="5"/>
  <c r="F15" i="5"/>
  <c r="G35" i="3"/>
  <c r="L26" i="1"/>
  <c r="D26" i="1"/>
  <c r="D38" i="1"/>
  <c r="F26" i="1"/>
  <c r="G9" i="5" s="1"/>
  <c r="L38" i="1"/>
  <c r="N20" i="2"/>
  <c r="N30" i="2" s="1"/>
  <c r="J20" i="2"/>
  <c r="F20" i="2"/>
  <c r="G38" i="1"/>
  <c r="C20" i="2"/>
  <c r="C30" i="2" s="1"/>
  <c r="C34" i="2" s="1"/>
  <c r="C36" i="2" s="1"/>
  <c r="C38" i="2" s="1"/>
  <c r="C38" i="1"/>
  <c r="E38" i="3"/>
  <c r="G38" i="3"/>
  <c r="E15" i="5"/>
  <c r="O9" i="5"/>
  <c r="K9" i="5"/>
  <c r="K50" i="1"/>
  <c r="G50" i="1"/>
  <c r="K38" i="1"/>
  <c r="C26" i="1"/>
  <c r="N50" i="1"/>
  <c r="N51" i="1" s="1"/>
  <c r="J50" i="1"/>
  <c r="J51" i="1" s="1"/>
  <c r="F50" i="1"/>
  <c r="F51" i="1" s="1"/>
  <c r="O15" i="5"/>
  <c r="K26" i="1"/>
  <c r="L10" i="5" s="1"/>
  <c r="G26" i="1"/>
  <c r="H10" i="5" s="1"/>
  <c r="B44" i="3"/>
  <c r="B30" i="3"/>
  <c r="B38" i="3"/>
  <c r="B25" i="3"/>
  <c r="L5" i="3"/>
  <c r="N10" i="5"/>
  <c r="F9" i="5"/>
  <c r="D5" i="3"/>
  <c r="F13" i="5" s="1"/>
  <c r="N34" i="3"/>
  <c r="J34" i="3"/>
  <c r="F34" i="3"/>
  <c r="O38" i="1"/>
  <c r="O51" i="1" s="1"/>
  <c r="O26" i="1"/>
  <c r="P10" i="5" s="1"/>
  <c r="O16" i="5"/>
  <c r="L16" i="5"/>
  <c r="H16" i="5"/>
  <c r="F38" i="3"/>
  <c r="O4" i="2"/>
  <c r="P18" i="5"/>
  <c r="L18" i="5"/>
  <c r="H18" i="5"/>
  <c r="F5" i="3"/>
  <c r="H13" i="5" s="1"/>
  <c r="H9" i="5"/>
  <c r="N35" i="3"/>
  <c r="J35" i="3"/>
  <c r="F35" i="3"/>
  <c r="C30" i="3"/>
  <c r="M15" i="3"/>
  <c r="M13" i="3" s="1"/>
  <c r="M14" i="3" s="1"/>
  <c r="E15" i="3"/>
  <c r="E13" i="3" s="1"/>
  <c r="E14" i="3" s="1"/>
  <c r="J15" i="3"/>
  <c r="J13" i="3" s="1"/>
  <c r="J14" i="3" s="1"/>
  <c r="C50" i="1"/>
  <c r="C51" i="1" s="1"/>
  <c r="I25" i="3"/>
  <c r="E25" i="3"/>
  <c r="C6" i="3"/>
  <c r="C25" i="3"/>
  <c r="I15" i="3"/>
  <c r="N25" i="3"/>
  <c r="N6" i="3"/>
  <c r="F25" i="3"/>
  <c r="E30" i="3"/>
  <c r="J25" i="3"/>
  <c r="F6" i="3"/>
  <c r="F30" i="3"/>
  <c r="M6" i="3"/>
  <c r="I6" i="3"/>
  <c r="E6" i="3"/>
  <c r="H15" i="3"/>
  <c r="L6" i="3"/>
  <c r="H6" i="3"/>
  <c r="D6" i="3"/>
  <c r="J6" i="3"/>
  <c r="K6" i="3"/>
  <c r="G6" i="3"/>
  <c r="L15" i="3"/>
  <c r="D15" i="3"/>
  <c r="F15" i="3"/>
  <c r="G15" i="3"/>
  <c r="K25" i="3"/>
  <c r="G25" i="3"/>
  <c r="G30" i="3"/>
  <c r="AO34" i="2" l="1"/>
  <c r="AO36" i="2" s="1"/>
  <c r="AO38" i="2" s="1"/>
  <c r="AN48" i="3"/>
  <c r="AC34" i="2"/>
  <c r="AC36" i="2" s="1"/>
  <c r="AC38" i="2" s="1"/>
  <c r="AD14" i="5" s="1"/>
  <c r="AB48" i="3"/>
  <c r="AD34" i="2"/>
  <c r="AD36" i="2" s="1"/>
  <c r="AD38" i="2" s="1"/>
  <c r="AE14" i="5" s="1"/>
  <c r="AC48" i="3"/>
  <c r="AE34" i="2"/>
  <c r="AE36" i="2" s="1"/>
  <c r="AE38" i="2" s="1"/>
  <c r="AF14" i="5" s="1"/>
  <c r="AD48" i="3"/>
  <c r="AF34" i="2"/>
  <c r="AF36" i="2" s="1"/>
  <c r="AF38" i="2" s="1"/>
  <c r="AG14" i="5" s="1"/>
  <c r="AE48" i="3"/>
  <c r="AG34" i="2"/>
  <c r="AG36" i="2" s="1"/>
  <c r="AG38" i="2" s="1"/>
  <c r="AH14" i="5" s="1"/>
  <c r="AF48" i="3"/>
  <c r="AH34" i="2"/>
  <c r="AH36" i="2" s="1"/>
  <c r="AH38" i="2" s="1"/>
  <c r="AI14" i="5" s="1"/>
  <c r="AG48" i="3"/>
  <c r="AI34" i="2"/>
  <c r="AI36" i="2" s="1"/>
  <c r="AI38" i="2" s="1"/>
  <c r="AJ14" i="5" s="1"/>
  <c r="AH48" i="3"/>
  <c r="AJ34" i="2"/>
  <c r="AJ36" i="2" s="1"/>
  <c r="AJ38" i="2" s="1"/>
  <c r="AK14" i="5" s="1"/>
  <c r="AI48" i="3"/>
  <c r="AK34" i="2"/>
  <c r="AK36" i="2" s="1"/>
  <c r="AK38" i="2" s="1"/>
  <c r="AL14" i="5" s="1"/>
  <c r="AJ48" i="3"/>
  <c r="AL34" i="2"/>
  <c r="AL36" i="2" s="1"/>
  <c r="AL38" i="2" s="1"/>
  <c r="AM14" i="5" s="1"/>
  <c r="AK48" i="3"/>
  <c r="AM34" i="2"/>
  <c r="AM36" i="2" s="1"/>
  <c r="AM38" i="2" s="1"/>
  <c r="AN14" i="5" s="1"/>
  <c r="AL48" i="3"/>
  <c r="AN34" i="2"/>
  <c r="AN36" i="2" s="1"/>
  <c r="AN38" i="2" s="1"/>
  <c r="AO14" i="5" s="1"/>
  <c r="AM48" i="3"/>
  <c r="G13" i="3"/>
  <c r="F13" i="3"/>
  <c r="D13" i="3"/>
  <c r="L13" i="3"/>
  <c r="H13" i="3"/>
  <c r="I13" i="3"/>
  <c r="C13" i="3"/>
  <c r="E3" i="5" s="1"/>
  <c r="Q34" i="2"/>
  <c r="Q36" i="2" s="1"/>
  <c r="Q38" i="2" s="1"/>
  <c r="R14" i="5" s="1"/>
  <c r="P48" i="3"/>
  <c r="R34" i="2"/>
  <c r="R36" i="2" s="1"/>
  <c r="R38" i="2" s="1"/>
  <c r="S14" i="5" s="1"/>
  <c r="Q48" i="3"/>
  <c r="S34" i="2"/>
  <c r="S36" i="2" s="1"/>
  <c r="S38" i="2" s="1"/>
  <c r="T14" i="5" s="1"/>
  <c r="R48" i="3"/>
  <c r="C49" i="3"/>
  <c r="H48" i="3"/>
  <c r="H44" i="3" s="1"/>
  <c r="J14" i="5"/>
  <c r="J15" i="5"/>
  <c r="J16" i="5"/>
  <c r="E51" i="1"/>
  <c r="D49" i="3"/>
  <c r="B49" i="3"/>
  <c r="P9" i="5"/>
  <c r="H49" i="3"/>
  <c r="G49" i="3"/>
  <c r="N14" i="5"/>
  <c r="F14" i="5"/>
  <c r="L9" i="5"/>
  <c r="J5" i="3"/>
  <c r="J30" i="2"/>
  <c r="K15" i="5"/>
  <c r="C5" i="3"/>
  <c r="E10" i="5"/>
  <c r="G34" i="2"/>
  <c r="G36" i="2" s="1"/>
  <c r="G38" i="2" s="1"/>
  <c r="H14" i="5" s="1"/>
  <c r="F48" i="3"/>
  <c r="F44" i="3" s="1"/>
  <c r="F49" i="3" s="1"/>
  <c r="N34" i="2"/>
  <c r="N36" i="2" s="1"/>
  <c r="N38" i="2" s="1"/>
  <c r="O14" i="5" s="1"/>
  <c r="M48" i="3"/>
  <c r="M10" i="5"/>
  <c r="K5" i="3"/>
  <c r="E9" i="5"/>
  <c r="N13" i="5"/>
  <c r="G3" i="5"/>
  <c r="G51" i="1"/>
  <c r="L51" i="1"/>
  <c r="J48" i="3"/>
  <c r="K34" i="2"/>
  <c r="K36" i="2" s="1"/>
  <c r="K38" i="2" s="1"/>
  <c r="L14" i="5" s="1"/>
  <c r="G5" i="3"/>
  <c r="I6" i="5" s="1"/>
  <c r="I10" i="5"/>
  <c r="P3" i="5"/>
  <c r="M3" i="5"/>
  <c r="G10" i="5"/>
  <c r="E5" i="3"/>
  <c r="J13" i="5"/>
  <c r="L3" i="5"/>
  <c r="O3" i="5"/>
  <c r="K51" i="1"/>
  <c r="F30" i="2"/>
  <c r="G15" i="5"/>
  <c r="D51" i="1"/>
  <c r="M9" i="5"/>
  <c r="P16" i="5"/>
  <c r="O20" i="2"/>
  <c r="N5" i="3"/>
  <c r="P13" i="5" s="1"/>
  <c r="L5" i="5"/>
  <c r="E6" i="5"/>
  <c r="P5" i="5"/>
  <c r="L4" i="5"/>
  <c r="L6" i="5"/>
  <c r="L13" i="5"/>
  <c r="G6" i="5"/>
  <c r="O6" i="5"/>
  <c r="K6" i="5"/>
  <c r="H6" i="5"/>
  <c r="C14" i="3"/>
  <c r="E5" i="5"/>
  <c r="E12" i="5"/>
  <c r="M4" i="5"/>
  <c r="F6" i="5"/>
  <c r="J6" i="5"/>
  <c r="N6" i="5"/>
  <c r="K12" i="5"/>
  <c r="K4" i="5"/>
  <c r="K5" i="5"/>
  <c r="I14" i="3" l="1"/>
  <c r="K3" i="5"/>
  <c r="H14" i="3"/>
  <c r="J3" i="5"/>
  <c r="L14" i="3"/>
  <c r="N3" i="5"/>
  <c r="D14" i="3"/>
  <c r="F3" i="5"/>
  <c r="F14" i="3"/>
  <c r="H3" i="5"/>
  <c r="G14" i="3"/>
  <c r="I3" i="5"/>
  <c r="O5" i="5"/>
  <c r="L12" i="5"/>
  <c r="P12" i="5"/>
  <c r="G4" i="5"/>
  <c r="P6" i="5"/>
  <c r="M14" i="5"/>
  <c r="M13" i="5"/>
  <c r="E14" i="5"/>
  <c r="E13" i="5"/>
  <c r="M12" i="5"/>
  <c r="P4" i="5"/>
  <c r="F34" i="2"/>
  <c r="F36" i="2" s="1"/>
  <c r="F38" i="2" s="1"/>
  <c r="G14" i="5" s="1"/>
  <c r="E48" i="3"/>
  <c r="E44" i="3" s="1"/>
  <c r="E49" i="3" s="1"/>
  <c r="M6" i="5"/>
  <c r="I14" i="5"/>
  <c r="I13" i="5"/>
  <c r="O4" i="5"/>
  <c r="G12" i="5"/>
  <c r="G13" i="5"/>
  <c r="J34" i="2"/>
  <c r="J36" i="2" s="1"/>
  <c r="J38" i="2" s="1"/>
  <c r="K14" i="5" s="1"/>
  <c r="I48" i="3"/>
  <c r="E4" i="5"/>
  <c r="O12" i="5"/>
  <c r="M5" i="5"/>
  <c r="G5" i="5"/>
  <c r="O30" i="2"/>
  <c r="P15" i="5"/>
  <c r="J12" i="5"/>
  <c r="J4" i="5"/>
  <c r="J5" i="5"/>
  <c r="H12" i="5"/>
  <c r="H4" i="5"/>
  <c r="H5" i="5"/>
  <c r="N12" i="5"/>
  <c r="N4" i="5"/>
  <c r="N5" i="5"/>
  <c r="F12" i="5"/>
  <c r="F4" i="5"/>
  <c r="F5" i="5"/>
  <c r="I5" i="5"/>
  <c r="I12" i="5"/>
  <c r="I4" i="5"/>
  <c r="O34" i="2" l="1"/>
  <c r="O36" i="2" s="1"/>
  <c r="O38" i="2" s="1"/>
  <c r="P14" i="5" s="1"/>
  <c r="N48" i="3"/>
</calcChain>
</file>

<file path=xl/sharedStrings.xml><?xml version="1.0" encoding="utf-8"?>
<sst xmlns="http://schemas.openxmlformats.org/spreadsheetml/2006/main" count="245" uniqueCount="221">
  <si>
    <t>FORM 6 SASRA2/006</t>
  </si>
  <si>
    <t xml:space="preserve"> STATEMENT OF FINANCIAL POSITION</t>
  </si>
  <si>
    <t>FINANCIAL YEAR  2020</t>
  </si>
  <si>
    <t>Aud-20</t>
  </si>
  <si>
    <t>Audited 2021</t>
  </si>
  <si>
    <t>AUDITED 2022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</si>
  <si>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</si>
  <si>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</si>
  <si>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</si>
  <si>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</si>
  <si>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</si>
  <si>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</si>
  <si>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</si>
  <si>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</si>
  <si>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</si>
  <si>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</si>
  <si>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</si>
  <si>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</si>
  <si>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</si>
  <si>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</si>
  <si>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</si>
  <si>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</si>
  <si>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</si>
  <si>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</si>
  <si>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</si>
  <si>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</si>
  <si>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</si>
  <si>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</si>
  <si>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</si>
  <si>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</si>
  <si>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</si>
  <si>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</si>
  <si>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</si>
  <si>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</si>
  <si>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</si>
  <si>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</si>
  <si>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</si>
  <si>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</si>
  <si>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</si>
  <si>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</si>
  <si>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</si>
  <si>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</si>
  <si>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</si>
  <si>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</si>
  <si>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</si>
  <si>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</si>
  <si>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</si>
  <si>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</si>
  <si>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</si>
  <si>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</si>
  <si>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</si>
  <si>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</si>
  <si>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</si>
  <si>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</si>
  <si>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</si>
  <si>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</si>
  <si>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FORM  7 SASRA/007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</si>
  <si>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</si>
  <si>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</si>
  <si>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</si>
  <si>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</si>
  <si>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</si>
  <si>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</si>
  <si>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</si>
  <si>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</si>
  <si>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</si>
  <si>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</si>
  <si>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</si>
  <si>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</si>
  <si>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</si>
  <si>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</si>
  <si>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</si>
  <si>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</si>
  <si>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</si>
  <si>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</si>
  <si>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</si>
  <si>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</si>
  <si>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</si>
  <si>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</si>
  <si>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</si>
  <si>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</si>
  <si>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</si>
  <si>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</si>
  <si>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</si>
  <si>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</si>
  <si>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</si>
  <si>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</si>
  <si>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</si>
  <si>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</si>
  <si>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</si>
  <si>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</si>
  <si>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</si>
  <si>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KENYA ACHIEVAS SACCO SOCIETY LIMITED</t>
  </si>
  <si>
    <t>PERFORMANCE AND COMPLIANCE REPORT AS AT :  31st December , 2020</t>
  </si>
  <si>
    <t>Prudential Standard</t>
  </si>
  <si>
    <t>Audited</t>
  </si>
  <si>
    <t>Returns</t>
  </si>
  <si>
    <t>audited 2020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</si>
  <si>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</si>
  <si>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</si>
  <si>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</si>
  <si>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</si>
  <si>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10M</t>
    </r>
  </si>
  <si>
    <t>Core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</si>
  <si>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10%</t>
    </r>
  </si>
  <si>
    <t>Institutional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</si>
  <si>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</si>
  <si>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</si>
  <si>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</si>
  <si>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</si>
  <si>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</si>
  <si>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</si>
  <si>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</si>
  <si>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</si>
  <si>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</si>
  <si>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</si>
  <si>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</si>
  <si>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</si>
  <si>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</si>
  <si>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</si>
  <si>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</si>
  <si>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</si>
  <si>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</si>
  <si>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</si>
  <si>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</si>
  <si>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</si>
  <si>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</si>
  <si>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</si>
  <si>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</si>
  <si>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</si>
  <si>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</si>
  <si>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</si>
  <si>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</si>
  <si>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</si>
  <si>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</si>
  <si>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</si>
  <si>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</si>
  <si>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</si>
  <si>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</si>
  <si>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</si>
  <si>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Property and Equipment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</si>
  <si>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</si>
  <si>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</si>
  <si>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</si>
  <si>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</si>
  <si>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</si>
  <si>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</si>
  <si>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</si>
  <si>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</si>
  <si>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</si>
  <si>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</si>
  <si>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</si>
  <si>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</si>
  <si>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</si>
  <si>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</si>
  <si>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</si>
  <si>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</si>
  <si>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KENYA ACHIEVAS SACCO FINANCIALS</t>
  </si>
  <si>
    <t>Year/month</t>
  </si>
  <si>
    <t>AUDITED 2020</t>
  </si>
  <si>
    <t>Membership</t>
  </si>
  <si>
    <t>Deposits-Members(BOSA)</t>
  </si>
  <si>
    <t>Deposits-Customers(FOSA)</t>
  </si>
  <si>
    <t>Deposits-Term</t>
  </si>
  <si>
    <t>Share capital and Reserves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</si>
  <si>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</si>
  <si>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</si>
  <si>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</si>
  <si>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</si>
  <si>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</si>
  <si>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</si>
  <si>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</si>
  <si>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</si>
  <si>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</si>
  <si>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</si>
  <si>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</si>
  <si>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</si>
  <si>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</si>
  <si>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</si>
  <si>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</si>
  <si>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</si>
  <si>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</si>
  <si>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</si>
  <si>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</si>
  <si>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</si>
  <si>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</si>
  <si>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</si>
  <si>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</si>
  <si>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</si>
  <si>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</si>
  <si>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</si>
  <si>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</si>
  <si>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NYALA SACCO CAELS 2020</t>
  </si>
  <si>
    <t>Regulatory Stds</t>
  </si>
  <si>
    <t>Aud-21</t>
  </si>
  <si>
    <t>Audited 2022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</si>
  <si>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</si>
  <si>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</si>
  <si>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</si>
  <si>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</si>
  <si>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</si>
  <si>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</si>
  <si>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</si>
  <si>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</si>
  <si>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</si>
  <si>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</si>
  <si>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</si>
  <si>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</si>
  <si>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</si>
  <si>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</si>
  <si>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</si>
  <si>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</si>
  <si>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</si>
  <si>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</si>
  <si>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</si>
  <si>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</si>
  <si>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</si>
  <si>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</si>
  <si>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</si>
  <si>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</si>
  <si>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 xml:space="preserve">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</si>
</sst>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[$-10409]#,##0.00;\-\ #,##0.00"/>
    <numFmt numFmtId="167" formatCode="_(* #,##0.00_);_(* \(#,##0.00\);_(* \-??_);_(@_)"/>
    <numFmt numFmtId="168" formatCode="_(* #,##0_);_(* \(#,##0\);_(* \-??_);_(@_)"/>
    <numFmt numFmtId="169" formatCode="[$-10409]0.00;\-\ 0.00"/>
    <numFmt numFmtId="170" formatCode="0.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name val="Arial"/>
      <family val="2"/>
    </font>
    <font>
      <b/>
      <sz val="10"/>
      <color theme="1"/>
      <name val="Cambria"/>
      <family val="1"/>
    </font>
    <font>
      <b/>
      <sz val="9"/>
      <color indexed="8"/>
      <name val="Cambria"/>
      <family val="1"/>
    </font>
    <font>
      <sz val="9"/>
      <color indexed="8"/>
      <name val="Cambria"/>
      <family val="1"/>
    </font>
    <font>
      <i/>
      <sz val="10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color rgb="FF000000"/>
      <name val="Cambria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51"/>
      </patternFill>
    </fill>
    <fill>
      <patternFill patternType="solid">
        <fgColor theme="5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rgb="FFDAA520"/>
        <bgColor rgb="FF000000"/>
      </patternFill>
    </fill>
  </fills>
  <borders count="37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indexed="64"/>
      </bottom>
      <diagonal/>
    </border>
    <border>
      <left style="thin">
        <color rgb="FFD3D3D3"/>
      </left>
      <right/>
      <top style="thin">
        <color indexed="64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255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" fontId="3" fillId="0" borderId="0" xfId="0" applyNumberFormat="1" applyFont="1"/>
    <xf numFmtId="164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165" fontId="3" fillId="2" borderId="3" xfId="1" applyNumberFormat="1" applyFont="1" applyFill="1" applyBorder="1"/>
    <xf numFmtId="166" fontId="4" fillId="0" borderId="3" xfId="0" applyNumberFormat="1" applyFont="1" applyBorder="1" applyAlignment="1" applyProtection="1">
      <alignment vertical="top" wrapText="1" readingOrder="1"/>
      <protection locked="0"/>
    </xf>
    <xf numFmtId="43" fontId="4" fillId="0" borderId="3" xfId="1" applyFont="1" applyBorder="1" applyAlignment="1" applyProtection="1">
      <alignment vertical="top" wrapText="1" readingOrder="1"/>
      <protection locked="0"/>
    </xf>
    <xf numFmtId="43" fontId="0" fillId="0" borderId="3" xfId="1" applyFont="1" applyBorder="1"/>
    <xf numFmtId="0" fontId="3" fillId="0" borderId="2" xfId="0" applyFont="1" applyBorder="1"/>
    <xf numFmtId="168" fontId="2" fillId="3" borderId="3" xfId="3" applyNumberFormat="1" applyFont="1" applyFill="1" applyBorder="1" applyAlignment="1" applyProtection="1"/>
    <xf numFmtId="0" fontId="2" fillId="0" borderId="1" xfId="0" applyFont="1" applyBorder="1" applyAlignment="1">
      <alignment horizontal="right"/>
    </xf>
    <xf numFmtId="43" fontId="0" fillId="0" borderId="0" xfId="1" applyFont="1"/>
    <xf numFmtId="168" fontId="3" fillId="3" borderId="3" xfId="3" applyNumberFormat="1" applyFont="1" applyFill="1" applyBorder="1" applyAlignment="1" applyProtection="1"/>
    <xf numFmtId="168" fontId="3" fillId="2" borderId="3" xfId="3" applyNumberFormat="1" applyFont="1" applyFill="1" applyBorder="1" applyAlignment="1" applyProtection="1"/>
    <xf numFmtId="43" fontId="3" fillId="0" borderId="3" xfId="1" applyFont="1" applyFill="1" applyBorder="1" applyAlignment="1" applyProtection="1"/>
    <xf numFmtId="43" fontId="2" fillId="0" borderId="3" xfId="1" applyFont="1" applyFill="1" applyBorder="1" applyAlignment="1" applyProtection="1"/>
    <xf numFmtId="43" fontId="4" fillId="0" borderId="4" xfId="1" applyFont="1" applyFill="1" applyBorder="1" applyAlignment="1" applyProtection="1">
      <alignment vertical="top" wrapText="1" readingOrder="1"/>
      <protection locked="0"/>
    </xf>
    <xf numFmtId="165" fontId="2" fillId="2" borderId="3" xfId="1" applyNumberFormat="1" applyFont="1" applyFill="1" applyBorder="1"/>
    <xf numFmtId="169" fontId="4" fillId="0" borderId="3" xfId="0" applyNumberFormat="1" applyFont="1" applyBorder="1" applyAlignment="1" applyProtection="1">
      <alignment vertical="top" wrapText="1" readingOrder="1"/>
      <protection locked="0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17" fontId="6" fillId="4" borderId="3" xfId="0" applyNumberFormat="1" applyFont="1" applyFill="1" applyBorder="1"/>
    <xf numFmtId="0" fontId="7" fillId="5" borderId="7" xfId="0" applyFont="1" applyFill="1" applyBorder="1" applyAlignment="1" applyProtection="1">
      <alignment vertical="top"/>
      <protection locked="0"/>
    </xf>
    <xf numFmtId="16" fontId="7" fillId="5" borderId="8" xfId="0" applyNumberFormat="1" applyFont="1" applyFill="1" applyBorder="1" applyAlignment="1" applyProtection="1">
      <alignment vertical="top"/>
      <protection locked="0"/>
    </xf>
    <xf numFmtId="0" fontId="2" fillId="0" borderId="3" xfId="0" applyFont="1" applyBorder="1"/>
    <xf numFmtId="43" fontId="3" fillId="6" borderId="5" xfId="1" applyFont="1" applyFill="1" applyBorder="1" applyAlignment="1" applyProtection="1"/>
    <xf numFmtId="166" fontId="8" fillId="7" borderId="9" xfId="0" applyNumberFormat="1" applyFont="1" applyFill="1" applyBorder="1" applyAlignment="1" applyProtection="1">
      <alignment vertical="top"/>
      <protection locked="0"/>
    </xf>
    <xf numFmtId="43" fontId="8" fillId="7" borderId="3" xfId="1" applyFont="1" applyFill="1" applyBorder="1" applyAlignment="1" applyProtection="1">
      <alignment vertical="top"/>
      <protection locked="0"/>
    </xf>
    <xf numFmtId="43" fontId="0" fillId="0" borderId="3" xfId="1" applyFont="1" applyBorder="1" applyAlignment="1"/>
    <xf numFmtId="0" fontId="2" fillId="0" borderId="5" xfId="0" applyFont="1" applyBorder="1"/>
    <xf numFmtId="166" fontId="8" fillId="0" borderId="9" xfId="0" applyNumberFormat="1" applyFont="1" applyBorder="1" applyAlignment="1" applyProtection="1">
      <alignment vertical="top"/>
      <protection locked="0"/>
    </xf>
    <xf numFmtId="43" fontId="8" fillId="0" borderId="3" xfId="1" applyFont="1" applyBorder="1" applyAlignment="1" applyProtection="1">
      <alignment vertical="top"/>
      <protection locked="0"/>
    </xf>
    <xf numFmtId="43" fontId="3" fillId="8" borderId="5" xfId="1" applyFont="1" applyFill="1" applyBorder="1" applyAlignment="1"/>
    <xf numFmtId="43" fontId="3" fillId="2" borderId="5" xfId="1" applyFont="1" applyFill="1" applyBorder="1" applyAlignment="1" applyProtection="1"/>
    <xf numFmtId="43" fontId="2" fillId="8" borderId="5" xfId="1" applyFont="1" applyFill="1" applyBorder="1" applyAlignment="1"/>
    <xf numFmtId="0" fontId="6" fillId="0" borderId="0" xfId="4" applyFont="1"/>
    <xf numFmtId="0" fontId="10" fillId="0" borderId="0" xfId="0" applyFont="1"/>
    <xf numFmtId="0" fontId="6" fillId="0" borderId="10" xfId="4" applyFont="1" applyBorder="1"/>
    <xf numFmtId="43" fontId="6" fillId="0" borderId="11" xfId="5" applyFont="1" applyFill="1" applyBorder="1"/>
    <xf numFmtId="0" fontId="6" fillId="0" borderId="0" xfId="0" applyFont="1"/>
    <xf numFmtId="16" fontId="6" fillId="0" borderId="0" xfId="0" applyNumberFormat="1" applyFont="1"/>
    <xf numFmtId="3" fontId="2" fillId="0" borderId="12" xfId="4" applyNumberFormat="1" applyFont="1" applyBorder="1"/>
    <xf numFmtId="0" fontId="2" fillId="0" borderId="12" xfId="4" applyFont="1" applyBorder="1"/>
    <xf numFmtId="43" fontId="10" fillId="9" borderId="3" xfId="1" applyFont="1" applyFill="1" applyBorder="1"/>
    <xf numFmtId="0" fontId="3" fillId="0" borderId="12" xfId="4" applyFont="1" applyBorder="1"/>
    <xf numFmtId="43" fontId="6" fillId="9" borderId="3" xfId="1" applyFont="1" applyFill="1" applyBorder="1"/>
    <xf numFmtId="0" fontId="10" fillId="0" borderId="12" xfId="4" applyFont="1" applyBorder="1"/>
    <xf numFmtId="0" fontId="6" fillId="0" borderId="12" xfId="4" applyFont="1" applyBorder="1"/>
    <xf numFmtId="9" fontId="2" fillId="0" borderId="12" xfId="6" applyFont="1" applyFill="1" applyBorder="1"/>
    <xf numFmtId="43" fontId="3" fillId="9" borderId="3" xfId="1" applyFont="1" applyFill="1" applyBorder="1"/>
    <xf numFmtId="43" fontId="2" fillId="9" borderId="3" xfId="1" applyFont="1" applyFill="1" applyBorder="1"/>
    <xf numFmtId="0" fontId="2" fillId="0" borderId="13" xfId="4" applyFont="1" applyBorder="1"/>
    <xf numFmtId="0" fontId="2" fillId="0" borderId="0" xfId="4" applyFont="1"/>
    <xf numFmtId="0" fontId="6" fillId="0" borderId="3" xfId="0" applyFont="1" applyBorder="1" applyAlignment="1">
      <alignment horizontal="center"/>
    </xf>
    <xf numFmtId="0" fontId="11" fillId="0" borderId="0" xfId="0" applyFont="1"/>
    <xf numFmtId="0" fontId="6" fillId="4" borderId="10" xfId="0" applyFont="1" applyFill="1" applyBorder="1"/>
    <xf numFmtId="0" fontId="10" fillId="0" borderId="15" xfId="0" applyFont="1" applyBorder="1" applyAlignment="1">
      <alignment horizontal="left" vertical="top"/>
    </xf>
    <xf numFmtId="0" fontId="10" fillId="0" borderId="15" xfId="0" applyFont="1" applyBorder="1" applyAlignment="1">
      <alignment horizontal="center" vertical="center" wrapText="1"/>
    </xf>
    <xf numFmtId="165" fontId="10" fillId="0" borderId="15" xfId="1" applyNumberFormat="1" applyFont="1" applyBorder="1"/>
    <xf numFmtId="0" fontId="10" fillId="0" borderId="3" xfId="0" applyFont="1" applyBorder="1" applyAlignment="1">
      <alignment horizontal="left" vertical="top"/>
    </xf>
    <xf numFmtId="9" fontId="10" fillId="0" borderId="3" xfId="0" applyNumberFormat="1" applyFont="1" applyBorder="1" applyAlignment="1">
      <alignment horizontal="center" vertical="center" wrapText="1"/>
    </xf>
    <xf numFmtId="9" fontId="10" fillId="0" borderId="3" xfId="2" applyFont="1" applyBorder="1"/>
    <xf numFmtId="0" fontId="10" fillId="0" borderId="18" xfId="0" applyFont="1" applyBorder="1" applyAlignment="1">
      <alignment horizontal="left" vertical="top"/>
    </xf>
    <xf numFmtId="9" fontId="10" fillId="0" borderId="18" xfId="0" applyNumberFormat="1" applyFont="1" applyBorder="1" applyAlignment="1">
      <alignment horizontal="center" vertical="center" wrapText="1"/>
    </xf>
    <xf numFmtId="0" fontId="10" fillId="0" borderId="18" xfId="2" applyNumberFormat="1" applyFont="1" applyBorder="1"/>
    <xf numFmtId="9" fontId="10" fillId="0" borderId="18" xfId="2" applyFont="1" applyBorder="1"/>
    <xf numFmtId="0" fontId="10" fillId="0" borderId="15" xfId="0" applyFont="1" applyBorder="1" applyAlignment="1">
      <alignment horizontal="left" vertical="top" wrapText="1"/>
    </xf>
    <xf numFmtId="0" fontId="10" fillId="0" borderId="15" xfId="0" applyFont="1" applyBorder="1"/>
    <xf numFmtId="0" fontId="10" fillId="0" borderId="3" xfId="0" applyFont="1" applyBorder="1" applyAlignment="1">
      <alignment horizontal="left" vertical="top" wrapText="1"/>
    </xf>
    <xf numFmtId="170" fontId="10" fillId="0" borderId="3" xfId="2" applyNumberFormat="1" applyFont="1" applyBorder="1"/>
    <xf numFmtId="0" fontId="10" fillId="0" borderId="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9" fontId="10" fillId="0" borderId="15" xfId="2" applyFont="1" applyBorder="1" applyAlignment="1"/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0" fillId="0" borderId="3" xfId="2" applyNumberFormat="1" applyFont="1" applyBorder="1" applyAlignment="1"/>
    <xf numFmtId="9" fontId="10" fillId="0" borderId="3" xfId="2" applyFont="1" applyBorder="1" applyAlignment="1"/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 wrapText="1"/>
    </xf>
    <xf numFmtId="9" fontId="10" fillId="0" borderId="15" xfId="2" applyFont="1" applyBorder="1"/>
    <xf numFmtId="0" fontId="14" fillId="0" borderId="3" xfId="0" applyFont="1" applyBorder="1" applyAlignment="1" applyProtection="1">
      <alignment horizontal="right"/>
      <protection locked="0"/>
    </xf>
    <xf numFmtId="17" fontId="14" fillId="0" borderId="0" xfId="0" applyNumberFormat="1" applyFont="1" applyProtection="1">
      <protection locked="0"/>
    </xf>
    <xf numFmtId="17" fontId="14" fillId="0" borderId="19" xfId="0" applyNumberFormat="1" applyFont="1" applyBorder="1" applyAlignment="1" applyProtection="1">
      <alignment horizontal="right" wrapText="1"/>
      <protection locked="0"/>
    </xf>
    <xf numFmtId="0" fontId="0" fillId="0" borderId="3" xfId="0" applyBorder="1" applyAlignment="1" applyProtection="1">
      <alignment horizontal="center"/>
      <protection locked="0"/>
    </xf>
    <xf numFmtId="170" fontId="5" fillId="0" borderId="0" xfId="6" applyNumberFormat="1" applyFont="1" applyProtection="1">
      <protection locked="0"/>
    </xf>
    <xf numFmtId="170" fontId="1" fillId="0" borderId="0" xfId="6" applyNumberFormat="1" applyFont="1" applyProtection="1">
      <protection locked="0"/>
    </xf>
    <xf numFmtId="0" fontId="11" fillId="9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25" xfId="0" applyBorder="1" applyProtection="1">
      <protection locked="0"/>
    </xf>
    <xf numFmtId="0" fontId="0" fillId="9" borderId="0" xfId="0" applyFill="1" applyProtection="1">
      <protection locked="0"/>
    </xf>
    <xf numFmtId="165" fontId="11" fillId="0" borderId="3" xfId="7" applyNumberFormat="1" applyFont="1" applyBorder="1" applyAlignment="1" applyProtection="1">
      <alignment horizontal="right"/>
    </xf>
    <xf numFmtId="0" fontId="11" fillId="0" borderId="12" xfId="0" applyFont="1" applyBorder="1"/>
    <xf numFmtId="0" fontId="11" fillId="0" borderId="3" xfId="0" applyFont="1" applyBorder="1" applyAlignment="1">
      <alignment horizontal="center"/>
    </xf>
    <xf numFmtId="9" fontId="11" fillId="0" borderId="3" xfId="0" applyNumberFormat="1" applyFont="1" applyBorder="1" applyAlignment="1">
      <alignment horizontal="center"/>
    </xf>
    <xf numFmtId="170" fontId="0" fillId="9" borderId="3" xfId="2" applyNumberFormat="1" applyFont="1" applyFill="1" applyBorder="1" applyAlignment="1" applyProtection="1">
      <alignment horizontal="right"/>
    </xf>
    <xf numFmtId="0" fontId="11" fillId="9" borderId="12" xfId="0" applyFont="1" applyFill="1" applyBorder="1"/>
    <xf numFmtId="0" fontId="11" fillId="9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9" borderId="12" xfId="0" applyFont="1" applyFill="1" applyBorder="1" applyAlignment="1">
      <alignment horizontal="left"/>
    </xf>
    <xf numFmtId="9" fontId="11" fillId="9" borderId="3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0" fillId="0" borderId="12" xfId="0" applyBorder="1"/>
    <xf numFmtId="43" fontId="18" fillId="0" borderId="3" xfId="1" applyFont="1" applyBorder="1" applyAlignment="1" applyProtection="1">
      <alignment horizontal="center"/>
    </xf>
    <xf numFmtId="0" fontId="14" fillId="9" borderId="12" xfId="0" applyFont="1" applyFill="1" applyBorder="1"/>
    <xf numFmtId="0" fontId="14" fillId="9" borderId="21" xfId="0" applyFont="1" applyFill="1" applyBorder="1"/>
    <xf numFmtId="0" fontId="14" fillId="9" borderId="13" xfId="0" applyFont="1" applyFill="1" applyBorder="1"/>
    <xf numFmtId="170" fontId="11" fillId="0" borderId="3" xfId="2" applyNumberFormat="1" applyFont="1" applyBorder="1" applyAlignment="1" applyProtection="1">
      <alignment horizontal="right"/>
    </xf>
    <xf numFmtId="170" fontId="11" fillId="9" borderId="3" xfId="2" applyNumberFormat="1" applyFont="1" applyFill="1" applyBorder="1" applyAlignment="1" applyProtection="1">
      <alignment horizontal="right"/>
    </xf>
    <xf numFmtId="170" fontId="11" fillId="0" borderId="3" xfId="2" applyNumberFormat="1" applyFont="1" applyFill="1" applyBorder="1" applyAlignment="1" applyProtection="1">
      <alignment horizontal="right"/>
    </xf>
    <xf numFmtId="0" fontId="14" fillId="0" borderId="5" xfId="0" applyFont="1" applyBorder="1" applyAlignment="1">
      <alignment horizontal="right"/>
    </xf>
    <xf numFmtId="43" fontId="18" fillId="0" borderId="3" xfId="1" applyFont="1" applyBorder="1" applyProtection="1">
      <protection locked="0"/>
    </xf>
    <xf numFmtId="43" fontId="19" fillId="0" borderId="3" xfId="1" applyFont="1" applyBorder="1" applyProtection="1">
      <protection locked="0"/>
    </xf>
    <xf numFmtId="43" fontId="2" fillId="0" borderId="3" xfId="1" applyFont="1" applyBorder="1" applyProtection="1">
      <protection locked="0"/>
    </xf>
    <xf numFmtId="0" fontId="18" fillId="0" borderId="12" xfId="0" applyFont="1" applyBorder="1"/>
    <xf numFmtId="0" fontId="20" fillId="9" borderId="4" xfId="0" applyFont="1" applyFill="1" applyBorder="1"/>
    <xf numFmtId="43" fontId="18" fillId="0" borderId="3" xfId="1" applyFont="1" applyBorder="1" applyAlignment="1"/>
    <xf numFmtId="165" fontId="3" fillId="9" borderId="3" xfId="1" applyNumberFormat="1" applyFont="1" applyFill="1" applyBorder="1"/>
    <xf numFmtId="165" fontId="2" fillId="9" borderId="3" xfId="1" applyNumberFormat="1" applyFont="1" applyFill="1" applyBorder="1"/>
    <xf numFmtId="0" fontId="2" fillId="9" borderId="1" xfId="0" applyFont="1" applyFill="1" applyBorder="1" applyAlignment="1">
      <alignment horizontal="right"/>
    </xf>
    <xf numFmtId="0" fontId="2" fillId="9" borderId="2" xfId="0" applyFont="1" applyFill="1" applyBorder="1"/>
    <xf numFmtId="166" fontId="4" fillId="9" borderId="3" xfId="0" applyNumberFormat="1" applyFont="1" applyFill="1" applyBorder="1" applyAlignment="1" applyProtection="1">
      <alignment vertical="top" wrapText="1" readingOrder="1"/>
      <protection locked="0"/>
    </xf>
    <xf numFmtId="0" fontId="0" fillId="9" borderId="0" xfId="0" applyFill="1"/>
    <xf numFmtId="43" fontId="0" fillId="9" borderId="3" xfId="1" applyFont="1" applyFill="1" applyBorder="1"/>
    <xf numFmtId="43" fontId="1" fillId="9" borderId="3" xfId="1" applyFont="1" applyFill="1" applyBorder="1"/>
    <xf numFmtId="169" fontId="4" fillId="9" borderId="3" xfId="0" applyNumberFormat="1" applyFont="1" applyFill="1" applyBorder="1" applyAlignment="1" applyProtection="1">
      <alignment vertical="top" wrapText="1" readingOrder="1"/>
      <protection locked="0"/>
    </xf>
    <xf numFmtId="43" fontId="0" fillId="9" borderId="0" xfId="1" applyFont="1" applyFill="1"/>
    <xf numFmtId="168" fontId="2" fillId="12" borderId="3" xfId="3" applyNumberFormat="1" applyFont="1" applyFill="1" applyBorder="1" applyAlignment="1" applyProtection="1"/>
    <xf numFmtId="168" fontId="2" fillId="9" borderId="3" xfId="3" applyNumberFormat="1" applyFont="1" applyFill="1" applyBorder="1" applyAlignment="1" applyProtection="1"/>
    <xf numFmtId="166" fontId="21" fillId="0" borderId="7" xfId="0" applyNumberFormat="1" applyFont="1" applyBorder="1" applyAlignment="1" applyProtection="1">
      <alignment vertical="top" wrapText="1" readingOrder="1"/>
      <protection locked="0"/>
    </xf>
    <xf numFmtId="169" fontId="21" fillId="0" borderId="7" xfId="0" applyNumberFormat="1" applyFont="1" applyBorder="1" applyAlignment="1" applyProtection="1">
      <alignment vertical="top" wrapText="1" readingOrder="1"/>
      <protection locked="0"/>
    </xf>
    <xf numFmtId="166" fontId="22" fillId="0" borderId="7" xfId="0" applyNumberFormat="1" applyFont="1" applyBorder="1" applyAlignment="1" applyProtection="1">
      <alignment vertical="top" wrapText="1" readingOrder="1"/>
      <protection locked="0"/>
    </xf>
    <xf numFmtId="43" fontId="0" fillId="13" borderId="3" xfId="1" applyFont="1" applyFill="1" applyBorder="1" applyAlignment="1"/>
    <xf numFmtId="166" fontId="8" fillId="14" borderId="9" xfId="0" applyNumberFormat="1" applyFont="1" applyFill="1" applyBorder="1" applyAlignment="1" applyProtection="1">
      <alignment vertical="top"/>
      <protection locked="0"/>
    </xf>
    <xf numFmtId="43" fontId="8" fillId="14" borderId="3" xfId="1" applyFont="1" applyFill="1" applyBorder="1" applyAlignment="1" applyProtection="1">
      <alignment vertical="top"/>
      <protection locked="0"/>
    </xf>
    <xf numFmtId="166" fontId="22" fillId="7" borderId="7" xfId="0" applyNumberFormat="1" applyFont="1" applyFill="1" applyBorder="1" applyAlignment="1" applyProtection="1">
      <alignment vertical="top" wrapText="1" readingOrder="1"/>
      <protection locked="0"/>
    </xf>
    <xf numFmtId="0" fontId="23" fillId="0" borderId="29" xfId="0" applyFont="1" applyBorder="1" applyAlignment="1">
      <alignment wrapText="1" readingOrder="1"/>
    </xf>
    <xf numFmtId="4" fontId="23" fillId="0" borderId="29" xfId="0" applyNumberFormat="1" applyFont="1" applyBorder="1" applyAlignment="1">
      <alignment wrapText="1" readingOrder="1"/>
    </xf>
    <xf numFmtId="0" fontId="23" fillId="0" borderId="30" xfId="0" applyFont="1" applyBorder="1" applyAlignment="1">
      <alignment wrapText="1" readingOrder="1"/>
    </xf>
    <xf numFmtId="4" fontId="23" fillId="0" borderId="30" xfId="0" applyNumberFormat="1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4" fontId="23" fillId="0" borderId="31" xfId="0" applyNumberFormat="1" applyFont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4" fontId="23" fillId="0" borderId="32" xfId="0" applyNumberFormat="1" applyFont="1" applyBorder="1" applyAlignment="1">
      <alignment wrapText="1" readingOrder="1"/>
    </xf>
    <xf numFmtId="0" fontId="24" fillId="0" borderId="29" xfId="0" applyFont="1" applyBorder="1" applyAlignment="1">
      <alignment wrapText="1" readingOrder="1"/>
    </xf>
    <xf numFmtId="4" fontId="24" fillId="0" borderId="29" xfId="0" applyNumberFormat="1" applyFont="1" applyBorder="1" applyAlignment="1">
      <alignment wrapText="1" readingOrder="1"/>
    </xf>
    <xf numFmtId="0" fontId="24" fillId="0" borderId="30" xfId="0" applyFont="1" applyBorder="1" applyAlignment="1">
      <alignment wrapText="1" readingOrder="1"/>
    </xf>
    <xf numFmtId="4" fontId="24" fillId="0" borderId="30" xfId="0" applyNumberFormat="1" applyFont="1" applyBorder="1" applyAlignment="1">
      <alignment wrapText="1" readingOrder="1"/>
    </xf>
    <xf numFmtId="0" fontId="24" fillId="0" borderId="31" xfId="0" applyFont="1" applyBorder="1" applyAlignment="1">
      <alignment wrapText="1" readingOrder="1"/>
    </xf>
    <xf numFmtId="4" fontId="24" fillId="0" borderId="31" xfId="0" applyNumberFormat="1" applyFont="1" applyBorder="1" applyAlignment="1">
      <alignment wrapText="1" readingOrder="1"/>
    </xf>
    <xf numFmtId="0" fontId="24" fillId="0" borderId="32" xfId="0" applyFont="1" applyBorder="1" applyAlignment="1">
      <alignment wrapText="1" readingOrder="1"/>
    </xf>
    <xf numFmtId="4" fontId="24" fillId="0" borderId="32" xfId="0" applyNumberFormat="1" applyFont="1" applyBorder="1" applyAlignment="1">
      <alignment wrapText="1" readingOrder="1"/>
    </xf>
    <xf numFmtId="4" fontId="24" fillId="0" borderId="33" xfId="0" applyNumberFormat="1" applyFont="1" applyBorder="1" applyAlignment="1">
      <alignment wrapText="1" readingOrder="1"/>
    </xf>
    <xf numFmtId="0" fontId="24" fillId="0" borderId="33" xfId="0" applyFont="1" applyBorder="1" applyAlignment="1">
      <alignment wrapText="1" readingOrder="1"/>
    </xf>
    <xf numFmtId="43" fontId="3" fillId="0" borderId="0" xfId="1" applyFont="1"/>
    <xf numFmtId="43" fontId="3" fillId="2" borderId="3" xfId="1" applyFont="1" applyFill="1" applyBorder="1"/>
    <xf numFmtId="43" fontId="24" fillId="0" borderId="30" xfId="1" applyFont="1" applyBorder="1" applyAlignment="1">
      <alignment wrapText="1" readingOrder="1"/>
    </xf>
    <xf numFmtId="43" fontId="2" fillId="3" borderId="3" xfId="1" applyFont="1" applyFill="1" applyBorder="1" applyAlignment="1" applyProtection="1"/>
    <xf numFmtId="43" fontId="3" fillId="3" borderId="3" xfId="1" applyFont="1" applyFill="1" applyBorder="1" applyAlignment="1" applyProtection="1"/>
    <xf numFmtId="43" fontId="3" fillId="2" borderId="3" xfId="1" applyFont="1" applyFill="1" applyBorder="1" applyAlignment="1" applyProtection="1"/>
    <xf numFmtId="43" fontId="2" fillId="2" borderId="3" xfId="1" applyFont="1" applyFill="1" applyBorder="1"/>
    <xf numFmtId="4" fontId="23" fillId="0" borderId="0" xfId="0" applyNumberFormat="1" applyFont="1" applyAlignment="1">
      <alignment wrapText="1" readingOrder="1"/>
    </xf>
    <xf numFmtId="0" fontId="14" fillId="0" borderId="0" xfId="0" applyFont="1"/>
    <xf numFmtId="17" fontId="3" fillId="0" borderId="0" xfId="1" applyNumberFormat="1" applyFont="1"/>
    <xf numFmtId="4" fontId="24" fillId="0" borderId="34" xfId="0" applyNumberFormat="1" applyFont="1" applyBorder="1" applyAlignment="1">
      <alignment wrapText="1" readingOrder="1"/>
    </xf>
    <xf numFmtId="4" fontId="24" fillId="0" borderId="35" xfId="0" applyNumberFormat="1" applyFont="1" applyBorder="1" applyAlignment="1">
      <alignment wrapText="1" readingOrder="1"/>
    </xf>
    <xf numFmtId="0" fontId="24" fillId="0" borderId="36" xfId="0" applyFont="1" applyBorder="1" applyAlignment="1">
      <alignment wrapText="1" readingOrder="1"/>
    </xf>
    <xf numFmtId="4" fontId="24" fillId="0" borderId="36" xfId="0" applyNumberFormat="1" applyFont="1" applyBorder="1" applyAlignment="1">
      <alignment wrapText="1" readingOrder="1"/>
    </xf>
    <xf numFmtId="0" fontId="24" fillId="0" borderId="35" xfId="0" applyFont="1" applyBorder="1" applyAlignment="1">
      <alignment wrapText="1" readingOrder="1"/>
    </xf>
    <xf numFmtId="43" fontId="2" fillId="3" borderId="5" xfId="1" applyFont="1" applyFill="1" applyBorder="1" applyAlignment="1" applyProtection="1">
      <alignment horizontal="center"/>
    </xf>
    <xf numFmtId="43" fontId="3" fillId="2" borderId="5" xfId="1" applyFont="1" applyFill="1" applyBorder="1" applyAlignment="1">
      <alignment horizontal="center"/>
    </xf>
    <xf numFmtId="43" fontId="2" fillId="2" borderId="5" xfId="1" applyFont="1" applyFill="1" applyBorder="1" applyAlignment="1">
      <alignment horizontal="center"/>
    </xf>
    <xf numFmtId="0" fontId="24" fillId="0" borderId="34" xfId="0" applyFont="1" applyBorder="1" applyAlignment="1">
      <alignment wrapText="1" readingOrder="1"/>
    </xf>
    <xf numFmtId="43" fontId="3" fillId="2" borderId="5" xfId="1" applyFont="1" applyFill="1" applyBorder="1" applyAlignment="1" applyProtection="1">
      <alignment horizontal="center"/>
    </xf>
    <xf numFmtId="43" fontId="3" fillId="3" borderId="5" xfId="1" applyFont="1" applyFill="1" applyBorder="1" applyAlignment="1" applyProtection="1">
      <alignment horizontal="center"/>
    </xf>
    <xf numFmtId="4" fontId="24" fillId="0" borderId="34" xfId="0" applyNumberFormat="1" applyFont="1" applyBorder="1" applyAlignment="1">
      <alignment horizontal="right" wrapText="1" readingOrder="1"/>
    </xf>
    <xf numFmtId="17" fontId="14" fillId="0" borderId="0" xfId="0" applyNumberFormat="1" applyFont="1"/>
    <xf numFmtId="4" fontId="23" fillId="15" borderId="29" xfId="0" applyNumberFormat="1" applyFont="1" applyFill="1" applyBorder="1" applyAlignment="1">
      <alignment wrapText="1" readingOrder="1"/>
    </xf>
    <xf numFmtId="4" fontId="23" fillId="15" borderId="30" xfId="0" applyNumberFormat="1" applyFont="1" applyFill="1" applyBorder="1" applyAlignment="1">
      <alignment wrapText="1" readingOrder="1"/>
    </xf>
    <xf numFmtId="0" fontId="0" fillId="0" borderId="0" xfId="0" applyAlignment="1">
      <alignment wrapText="1"/>
    </xf>
    <xf numFmtId="17" fontId="3" fillId="0" borderId="0" xfId="1" applyNumberFormat="1" applyFont="1" applyAlignment="1">
      <alignment wrapText="1"/>
    </xf>
    <xf numFmtId="0" fontId="0" fillId="9" borderId="0" xfId="0" applyFill="1" applyAlignment="1">
      <alignment wrapText="1"/>
    </xf>
    <xf numFmtId="4" fontId="24" fillId="0" borderId="33" xfId="0" applyNumberFormat="1" applyFont="1" applyBorder="1" applyAlignment="1">
      <alignment horizontal="center" wrapText="1" readingOrder="1"/>
    </xf>
    <xf numFmtId="43" fontId="0" fillId="9" borderId="0" xfId="0" applyNumberFormat="1" applyFill="1"/>
    <xf numFmtId="43" fontId="3" fillId="2" borderId="5" xfId="1" applyFont="1" applyFill="1" applyBorder="1" applyAlignment="1">
      <alignment wrapText="1"/>
    </xf>
    <xf numFmtId="43" fontId="2" fillId="3" borderId="5" xfId="1" applyFont="1" applyFill="1" applyBorder="1" applyAlignment="1" applyProtection="1">
      <alignment wrapText="1"/>
    </xf>
    <xf numFmtId="43" fontId="3" fillId="3" borderId="5" xfId="1" applyFont="1" applyFill="1" applyBorder="1" applyAlignment="1" applyProtection="1">
      <alignment wrapText="1"/>
    </xf>
    <xf numFmtId="43" fontId="3" fillId="2" borderId="5" xfId="1" applyFont="1" applyFill="1" applyBorder="1" applyAlignment="1" applyProtection="1">
      <alignment wrapText="1"/>
    </xf>
    <xf numFmtId="43" fontId="2" fillId="2" borderId="5" xfId="1" applyFont="1" applyFill="1" applyBorder="1" applyAlignment="1">
      <alignment wrapText="1"/>
    </xf>
    <xf numFmtId="4" fontId="23" fillId="15" borderId="31" xfId="0" applyNumberFormat="1" applyFont="1" applyFill="1" applyBorder="1" applyAlignment="1">
      <alignment wrapText="1" readingOrder="1"/>
    </xf>
    <xf numFmtId="4" fontId="23" fillId="15" borderId="32" xfId="0" applyNumberFormat="1" applyFont="1" applyFill="1" applyBorder="1" applyAlignment="1">
      <alignment wrapText="1" readingOrder="1"/>
    </xf>
    <xf numFmtId="17" fontId="6" fillId="0" borderId="0" xfId="0" applyNumberFormat="1" applyFont="1"/>
    <xf numFmtId="0" fontId="25" fillId="0" borderId="29" xfId="0" applyFont="1" applyBorder="1" applyAlignment="1">
      <alignment wrapText="1" readingOrder="1"/>
    </xf>
    <xf numFmtId="4" fontId="25" fillId="0" borderId="29" xfId="0" applyNumberFormat="1" applyFont="1" applyBorder="1" applyAlignment="1">
      <alignment wrapText="1" readingOrder="1"/>
    </xf>
    <xf numFmtId="0" fontId="25" fillId="0" borderId="31" xfId="0" applyFont="1" applyBorder="1" applyAlignment="1">
      <alignment wrapText="1" readingOrder="1"/>
    </xf>
    <xf numFmtId="4" fontId="25" fillId="0" borderId="31" xfId="0" applyNumberFormat="1" applyFont="1" applyBorder="1" applyAlignment="1">
      <alignment wrapText="1" readingOrder="1"/>
    </xf>
    <xf numFmtId="4" fontId="0" fillId="9" borderId="0" xfId="0" applyNumberFormat="1" applyFill="1"/>
    <xf numFmtId="4" fontId="0" fillId="0" borderId="0" xfId="0" applyNumberFormat="1"/>
    <xf numFmtId="0" fontId="26" fillId="0" borderId="29" xfId="0" applyFont="1" applyBorder="1" applyAlignment="1">
      <alignment wrapText="1" readingOrder="1"/>
    </xf>
    <xf numFmtId="4" fontId="26" fillId="0" borderId="29" xfId="0" applyNumberFormat="1" applyFont="1" applyBorder="1" applyAlignment="1">
      <alignment wrapText="1" readingOrder="1"/>
    </xf>
    <xf numFmtId="0" fontId="26" fillId="0" borderId="31" xfId="0" applyFont="1" applyBorder="1" applyAlignment="1">
      <alignment wrapText="1" readingOrder="1"/>
    </xf>
    <xf numFmtId="4" fontId="26" fillId="0" borderId="31" xfId="0" applyNumberFormat="1" applyFont="1" applyBorder="1" applyAlignment="1">
      <alignment wrapText="1" readingOrder="1"/>
    </xf>
    <xf numFmtId="4" fontId="26" fillId="15" borderId="31" xfId="0" applyNumberFormat="1" applyFont="1" applyFill="1" applyBorder="1" applyAlignment="1">
      <alignment wrapText="1" readingOrder="1"/>
    </xf>
    <xf numFmtId="0" fontId="14" fillId="0" borderId="10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11" xfId="0" applyFont="1" applyBorder="1" applyAlignment="1" applyProtection="1">
      <alignment horizontal="center"/>
      <protection locked="0"/>
    </xf>
    <xf numFmtId="0" fontId="14" fillId="0" borderId="15" xfId="0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12" xfId="0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4" fillId="0" borderId="6" xfId="0" applyFont="1" applyBorder="1" applyAlignment="1" applyProtection="1">
      <alignment horizontal="center"/>
      <protection locked="0"/>
    </xf>
    <xf numFmtId="0" fontId="14" fillId="0" borderId="20" xfId="0" applyFont="1" applyBorder="1" applyAlignment="1" applyProtection="1">
      <alignment horizontal="center"/>
      <protection locked="0"/>
    </xf>
    <xf numFmtId="17" fontId="14" fillId="0" borderId="26" xfId="0" applyNumberFormat="1" applyFont="1" applyBorder="1" applyAlignment="1" applyProtection="1">
      <alignment horizontal="center" wrapText="1"/>
      <protection locked="0"/>
    </xf>
    <xf numFmtId="17" fontId="14" fillId="0" borderId="27" xfId="0" applyNumberFormat="1" applyFont="1" applyBorder="1" applyAlignment="1" applyProtection="1">
      <alignment horizontal="center" wrapText="1"/>
      <protection locked="0"/>
    </xf>
    <xf numFmtId="0" fontId="15" fillId="10" borderId="12" xfId="0" applyFont="1" applyFill="1" applyBorder="1" applyAlignment="1">
      <alignment horizontal="left"/>
    </xf>
    <xf numFmtId="0" fontId="15" fillId="10" borderId="3" xfId="0" applyFont="1" applyFill="1" applyBorder="1" applyAlignment="1">
      <alignment horizontal="left"/>
    </xf>
    <xf numFmtId="0" fontId="15" fillId="10" borderId="5" xfId="0" applyFont="1" applyFill="1" applyBorder="1" applyAlignment="1">
      <alignment horizontal="left"/>
    </xf>
    <xf numFmtId="0" fontId="17" fillId="11" borderId="22" xfId="0" applyFont="1" applyFill="1" applyBorder="1" applyAlignment="1">
      <alignment horizontal="left"/>
    </xf>
    <xf numFmtId="0" fontId="17" fillId="11" borderId="23" xfId="0" applyFont="1" applyFill="1" applyBorder="1" applyAlignment="1">
      <alignment horizontal="left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4" fillId="0" borderId="29" xfId="0" applyFont="1" applyFill="1" applyBorder="1" applyAlignment="1">
      <alignment wrapText="1" readingOrder="1"/>
    </xf>
    <xf numFmtId="4" fontId="24" fillId="0" borderId="29" xfId="0" applyNumberFormat="1" applyFont="1" applyFill="1" applyBorder="1" applyAlignment="1">
      <alignment wrapText="1" readingOrder="1"/>
    </xf>
    <xf numFmtId="0" fontId="24" fillId="0" borderId="30" xfId="0" applyFont="1" applyFill="1" applyBorder="1" applyAlignment="1">
      <alignment wrapText="1" readingOrder="1"/>
    </xf>
    <xf numFmtId="4" fontId="24" fillId="0" borderId="30" xfId="0" applyNumberFormat="1" applyFont="1" applyFill="1" applyBorder="1" applyAlignment="1">
      <alignment wrapText="1" readingOrder="1"/>
    </xf>
    <xf numFmtId="0" fontId="24" fillId="0" borderId="31" xfId="0" applyFont="1" applyFill="1" applyBorder="1" applyAlignment="1">
      <alignment wrapText="1" readingOrder="1"/>
    </xf>
    <xf numFmtId="4" fontId="24" fillId="0" borderId="31" xfId="0" applyNumberFormat="1" applyFont="1" applyFill="1" applyBorder="1" applyAlignment="1">
      <alignment wrapText="1" readingOrder="1"/>
    </xf>
    <xf numFmtId="0" fontId="24" fillId="0" borderId="32" xfId="0" applyFont="1" applyFill="1" applyBorder="1" applyAlignment="1">
      <alignment wrapText="1" readingOrder="1"/>
    </xf>
    <xf numFmtId="4" fontId="24" fillId="0" borderId="32" xfId="0" applyNumberFormat="1" applyFont="1" applyFill="1" applyBorder="1" applyAlignment="1">
      <alignment wrapText="1" readingOrder="1"/>
    </xf>
    <xf numFmtId="0" fontId="23" fillId="0" borderId="29" xfId="0" applyFont="1" applyFill="1" applyBorder="1" applyAlignment="1">
      <alignment wrapText="1" readingOrder="1"/>
    </xf>
    <xf numFmtId="4" fontId="23" fillId="0" borderId="29" xfId="0" applyNumberFormat="1" applyFont="1" applyFill="1" applyBorder="1" applyAlignment="1">
      <alignment wrapText="1" readingOrder="1"/>
    </xf>
    <xf numFmtId="0" fontId="23" fillId="0" borderId="30" xfId="0" applyFont="1" applyFill="1" applyBorder="1" applyAlignment="1">
      <alignment wrapText="1" readingOrder="1"/>
    </xf>
    <xf numFmtId="4" fontId="23" fillId="0" borderId="30" xfId="0" applyNumberFormat="1" applyFont="1" applyFill="1" applyBorder="1" applyAlignment="1">
      <alignment wrapText="1" readingOrder="1"/>
    </xf>
    <xf numFmtId="0" fontId="23" fillId="0" borderId="31" xfId="0" applyFont="1" applyFill="1" applyBorder="1" applyAlignment="1">
      <alignment wrapText="1" readingOrder="1"/>
    </xf>
    <xf numFmtId="4" fontId="23" fillId="0" borderId="31" xfId="0" applyNumberFormat="1" applyFont="1" applyFill="1" applyBorder="1" applyAlignment="1">
      <alignment wrapText="1" readingOrder="1"/>
    </xf>
    <xf numFmtId="0" fontId="23" fillId="0" borderId="32" xfId="0" applyFont="1" applyFill="1" applyBorder="1" applyAlignment="1">
      <alignment wrapText="1" readingOrder="1"/>
    </xf>
    <xf numFmtId="4" fontId="23" fillId="0" borderId="32" xfId="0" applyNumberFormat="1" applyFont="1" applyFill="1" applyBorder="1" applyAlignment="1">
      <alignment wrapText="1" readingOrder="1"/>
    </xf>
  </cellXfs>
  <cellStyles count="9">
    <cellStyle name="Comma" xfId="1" builtinId="3"/>
    <cellStyle name="Comma 10" xfId="3" xr:uid="{00000000-0005-0000-0000-000001000000}"/>
    <cellStyle name="Comma 10 10 2" xfId="7" xr:uid="{00000000-0005-0000-0000-000002000000}"/>
    <cellStyle name="Comma 369" xfId="5" xr:uid="{00000000-0005-0000-0000-000003000000}"/>
    <cellStyle name="Normal" xfId="0" builtinId="0"/>
    <cellStyle name="Normal 385" xfId="4" xr:uid="{00000000-0005-0000-0000-000005000000}"/>
    <cellStyle name="Normal 7" xfId="8" xr:uid="{00000000-0005-0000-0000-000006000000}"/>
    <cellStyle name="Percent" xfId="2" builtinId="5"/>
    <cellStyle name="Percent 2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Acc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Lemison/Downloads/Acc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Financials"/>
      <sheetName val="FORM 4"/>
      <sheetName val="CAEL"/>
    </sheetNames>
    <sheetDataSet>
      <sheetData sheetId="0" refreshError="1">
        <row r="16">
          <cell r="C16">
            <v>0</v>
          </cell>
        </row>
        <row r="20">
          <cell r="C20">
            <v>0</v>
          </cell>
        </row>
        <row r="26">
          <cell r="C26">
            <v>0</v>
          </cell>
        </row>
        <row r="30">
          <cell r="C30">
            <v>0</v>
          </cell>
        </row>
        <row r="41">
          <cell r="C41">
            <v>0</v>
          </cell>
        </row>
      </sheetData>
      <sheetData sheetId="1" refreshError="1">
        <row r="4">
          <cell r="C4">
            <v>0</v>
          </cell>
        </row>
        <row r="8">
          <cell r="C8">
            <v>0</v>
          </cell>
        </row>
        <row r="20">
          <cell r="C20">
            <v>0</v>
          </cell>
        </row>
        <row r="24">
          <cell r="C24">
            <v>0</v>
          </cell>
        </row>
        <row r="30">
          <cell r="C30">
            <v>0</v>
          </cell>
        </row>
        <row r="38">
          <cell r="C38">
            <v>0</v>
          </cell>
        </row>
      </sheetData>
      <sheetData sheetId="2" refreshError="1">
        <row r="5">
          <cell r="B5">
            <v>0</v>
          </cell>
        </row>
        <row r="13">
          <cell r="B13">
            <v>0</v>
          </cell>
        </row>
        <row r="31">
          <cell r="B31">
            <v>0</v>
          </cell>
        </row>
      </sheetData>
      <sheetData sheetId="3" refreshError="1">
        <row r="22">
          <cell r="F22">
            <v>0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Financials"/>
      <sheetName val="FORM 4"/>
      <sheetName val="CAEL"/>
    </sheetNames>
    <sheetDataSet>
      <sheetData sheetId="0"/>
      <sheetData sheetId="1"/>
      <sheetData sheetId="2">
        <row r="5">
          <cell r="B5">
            <v>0</v>
          </cell>
        </row>
        <row r="6">
          <cell r="B6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2"/>
  <sheetViews>
    <sheetView workbookViewId="0">
      <pane xSplit="2" topLeftCell="AT1" activePane="topRight" state="frozen"/>
      <selection pane="topRight" activeCell="AV16" sqref="AV16:AX16"/>
    </sheetView>
  </sheetViews>
  <sheetFormatPr defaultRowHeight="15"/>
  <cols>
    <col min="2" max="2" width="47.28515625" bestFit="1" customWidth="1"/>
    <col min="3" max="3" width="17.140625" customWidth="1"/>
    <col min="4" max="7" width="14.28515625" customWidth="1"/>
    <col min="8" max="15" width="15.28515625" customWidth="1"/>
    <col min="16" max="23" width="15.28515625" bestFit="1" customWidth="1"/>
    <col min="24" max="24" width="13.5703125" customWidth="1"/>
    <col min="25" max="25" width="14.42578125" customWidth="1"/>
    <col min="26" max="26" width="15.7109375" customWidth="1"/>
    <col min="27" max="27" width="17.28515625" customWidth="1"/>
    <col min="28" max="28" width="16.28515625" style="16" bestFit="1" customWidth="1"/>
    <col min="29" max="29" width="15.85546875" customWidth="1"/>
    <col min="30" max="30" width="17.42578125" customWidth="1"/>
    <col min="31" max="31" width="16.140625" customWidth="1"/>
    <col min="32" max="32" width="15.85546875" customWidth="1"/>
    <col min="33" max="33" width="16.5703125" customWidth="1"/>
    <col min="34" max="34" width="17.28515625" customWidth="1"/>
    <col min="35" max="35" width="15.7109375" customWidth="1"/>
    <col min="36" max="36" width="15.85546875" customWidth="1"/>
    <col min="37" max="37" width="19.28515625" customWidth="1"/>
    <col min="38" max="38" width="19.42578125" customWidth="1"/>
    <col min="39" max="39" width="20.7109375" customWidth="1"/>
    <col min="40" max="40" width="16.42578125" style="193" customWidth="1"/>
    <col min="41" max="41" width="15.42578125" style="193" bestFit="1" customWidth="1"/>
    <col min="42" max="44" width="15.42578125" bestFit="1" customWidth="1"/>
    <col min="45" max="45" width="15.85546875" bestFit="1" customWidth="1"/>
    <col min="46" max="46" width="15.42578125" bestFit="1" customWidth="1"/>
    <col min="47" max="47" width="14.28515625" bestFit="1" customWidth="1"/>
    <col min="48" max="48" width="17.140625" customWidth="1"/>
    <col min="49" max="50" width="16.85546875" customWidth="1"/>
  </cols>
  <sheetData>
    <row r="1" spans="1:50">
      <c r="A1" s="1"/>
      <c r="B1" s="2" t="s">
        <v>0</v>
      </c>
      <c r="C1" s="3"/>
      <c r="D1" s="3"/>
      <c r="E1" s="3"/>
      <c r="F1" s="3"/>
      <c r="G1" s="3"/>
    </row>
    <row r="2" spans="1:50">
      <c r="A2" s="1"/>
      <c r="B2" s="4" t="s">
        <v>1</v>
      </c>
      <c r="C2" s="3"/>
      <c r="D2" s="3"/>
      <c r="E2" s="3"/>
      <c r="F2" s="3"/>
      <c r="G2" s="3"/>
    </row>
    <row r="3" spans="1:50">
      <c r="A3" s="5"/>
      <c r="B3" s="4" t="s">
        <v>2</v>
      </c>
      <c r="D3" s="6">
        <v>44216</v>
      </c>
      <c r="E3" s="6">
        <v>44247</v>
      </c>
      <c r="F3" s="6">
        <v>44275</v>
      </c>
      <c r="G3" s="6">
        <v>44306</v>
      </c>
      <c r="H3" s="6">
        <v>44336</v>
      </c>
      <c r="I3" s="6">
        <v>44367</v>
      </c>
      <c r="J3" s="6">
        <v>44428</v>
      </c>
      <c r="K3" s="6">
        <v>44459</v>
      </c>
      <c r="L3" s="6">
        <v>44489</v>
      </c>
      <c r="M3" s="6">
        <v>44520</v>
      </c>
      <c r="N3" s="6">
        <v>44550</v>
      </c>
      <c r="O3" s="6" t="s">
        <v>3</v>
      </c>
      <c r="P3" s="6">
        <v>44197</v>
      </c>
      <c r="Q3" s="6">
        <v>44229</v>
      </c>
      <c r="R3" s="6">
        <v>44258</v>
      </c>
      <c r="S3" s="6">
        <v>44290</v>
      </c>
      <c r="T3" s="6">
        <v>44321</v>
      </c>
      <c r="U3" s="6">
        <v>44353</v>
      </c>
      <c r="V3" s="6">
        <v>44384</v>
      </c>
      <c r="W3" s="6">
        <v>44416</v>
      </c>
      <c r="X3" s="6">
        <v>44448</v>
      </c>
      <c r="Y3" s="6">
        <v>44479</v>
      </c>
      <c r="Z3" s="6">
        <v>44511</v>
      </c>
      <c r="AA3" s="6">
        <v>44542</v>
      </c>
      <c r="AB3" s="168" t="s">
        <v>4</v>
      </c>
      <c r="AC3" s="177">
        <v>44562</v>
      </c>
      <c r="AD3" s="177">
        <v>44593</v>
      </c>
      <c r="AE3" s="177">
        <v>44621</v>
      </c>
      <c r="AF3" s="177">
        <v>44652</v>
      </c>
      <c r="AG3" s="177">
        <v>44682</v>
      </c>
      <c r="AH3" s="177">
        <v>44713</v>
      </c>
      <c r="AI3" s="177">
        <v>44743</v>
      </c>
      <c r="AJ3" s="177">
        <v>44774</v>
      </c>
      <c r="AK3" s="177">
        <v>44805</v>
      </c>
      <c r="AL3" s="177">
        <v>44835</v>
      </c>
      <c r="AM3" s="177">
        <v>44866</v>
      </c>
      <c r="AN3" s="194">
        <v>44896</v>
      </c>
      <c r="AO3" s="194" t="s">
        <v>5</v>
      </c>
      <c r="AP3" s="190">
        <v>44927</v>
      </c>
      <c r="AQ3" s="190">
        <v>44958</v>
      </c>
      <c r="AR3" s="190">
        <v>44986</v>
      </c>
      <c r="AS3" s="190">
        <v>45017</v>
      </c>
      <c r="AT3" s="190">
        <v>45047</v>
      </c>
      <c r="AU3" s="190">
        <v>45078</v>
      </c>
      <c r="AV3" s="190">
        <v>45108</v>
      </c>
      <c r="AW3" s="190">
        <v>45139</v>
      </c>
      <c r="AX3" s="190">
        <v>45170</v>
      </c>
    </row>
    <row r="4" spans="1:50">
      <c r="A4" s="7">
        <v>1</v>
      </c>
      <c r="B4" s="8" t="s">
        <v>6</v>
      </c>
      <c r="C4" s="9">
        <f t="shared" ref="C4:O4" si="0">C5+C6</f>
        <v>0</v>
      </c>
      <c r="D4" s="9">
        <f t="shared" si="0"/>
        <v>70753766.319999993</v>
      </c>
      <c r="E4" s="9">
        <f t="shared" si="0"/>
        <v>44838923.490000002</v>
      </c>
      <c r="F4" s="9">
        <f t="shared" si="0"/>
        <v>35209695.659999996</v>
      </c>
      <c r="G4" s="9">
        <f t="shared" si="0"/>
        <v>47752534.530000001</v>
      </c>
      <c r="H4" s="9">
        <f t="shared" si="0"/>
        <v>51170182.230000004</v>
      </c>
      <c r="I4" s="9">
        <f t="shared" si="0"/>
        <v>54428355.75</v>
      </c>
      <c r="J4" s="9">
        <f t="shared" si="0"/>
        <v>42109273.109999999</v>
      </c>
      <c r="K4" s="9">
        <f t="shared" si="0"/>
        <v>36898780.739999995</v>
      </c>
      <c r="L4" s="9">
        <f t="shared" si="0"/>
        <v>149250430.75999999</v>
      </c>
      <c r="M4" s="9">
        <f t="shared" si="0"/>
        <v>53352341.369999997</v>
      </c>
      <c r="N4" s="9">
        <f t="shared" si="0"/>
        <v>38341912.769999996</v>
      </c>
      <c r="O4" s="9">
        <f t="shared" si="0"/>
        <v>101316629</v>
      </c>
      <c r="P4" s="9">
        <f t="shared" ref="P4:AB4" si="1">P5+P6</f>
        <v>43598811.890000001</v>
      </c>
      <c r="Q4" s="9">
        <f t="shared" si="1"/>
        <v>50679229.090000004</v>
      </c>
      <c r="R4" s="9">
        <f t="shared" si="1"/>
        <v>26856589.439999998</v>
      </c>
      <c r="S4" s="9">
        <f t="shared" si="1"/>
        <v>57360378.200000003</v>
      </c>
      <c r="T4" s="9">
        <f t="shared" si="1"/>
        <v>36630819.630000003</v>
      </c>
      <c r="U4" s="9">
        <f t="shared" si="1"/>
        <v>28358776.859999999</v>
      </c>
      <c r="V4" s="9">
        <f t="shared" si="1"/>
        <v>46835086.600000001</v>
      </c>
      <c r="W4" s="9">
        <f t="shared" si="1"/>
        <v>43556769.939999998</v>
      </c>
      <c r="X4" s="9">
        <f t="shared" si="1"/>
        <v>31137003.490000002</v>
      </c>
      <c r="Y4" s="9">
        <f t="shared" si="1"/>
        <v>111333330.16</v>
      </c>
      <c r="Z4" s="9">
        <f t="shared" si="1"/>
        <v>41846865.850000001</v>
      </c>
      <c r="AA4" s="9">
        <f t="shared" si="1"/>
        <v>28993165.310000002</v>
      </c>
      <c r="AB4" s="169">
        <f t="shared" si="1"/>
        <v>61531261</v>
      </c>
      <c r="AC4" s="169">
        <f t="shared" ref="AC4:AN4" si="2">AC5+AC6</f>
        <v>66107342.440000005</v>
      </c>
      <c r="AD4" s="169">
        <f t="shared" si="2"/>
        <v>69570187.710000008</v>
      </c>
      <c r="AE4" s="169">
        <f t="shared" si="2"/>
        <v>68062890.640000001</v>
      </c>
      <c r="AF4" s="169">
        <f t="shared" si="2"/>
        <v>54986045.280000001</v>
      </c>
      <c r="AG4" s="169">
        <f t="shared" si="2"/>
        <v>68257351</v>
      </c>
      <c r="AH4" s="169">
        <f t="shared" si="2"/>
        <v>62005649</v>
      </c>
      <c r="AI4" s="169">
        <f t="shared" si="2"/>
        <v>55937750.440000005</v>
      </c>
      <c r="AJ4" s="169">
        <f t="shared" si="2"/>
        <v>70671988.159999996</v>
      </c>
      <c r="AK4" s="169">
        <f t="shared" si="2"/>
        <v>50940242</v>
      </c>
      <c r="AL4" s="169">
        <f t="shared" si="2"/>
        <v>65636318.630000003</v>
      </c>
      <c r="AM4" s="169">
        <f t="shared" si="2"/>
        <v>50499416.25</v>
      </c>
      <c r="AN4" s="198">
        <f t="shared" si="2"/>
        <v>52603285.810000002</v>
      </c>
      <c r="AO4" s="184">
        <f t="shared" ref="AO4:AV4" si="3">AO5+AO6</f>
        <v>48321235</v>
      </c>
      <c r="AP4" s="184">
        <f t="shared" si="3"/>
        <v>35337034.120000005</v>
      </c>
      <c r="AQ4" s="184">
        <f t="shared" si="3"/>
        <v>34297575.590000004</v>
      </c>
      <c r="AR4" s="184">
        <f t="shared" si="3"/>
        <v>23817572.43</v>
      </c>
      <c r="AS4" s="184">
        <f t="shared" si="3"/>
        <v>24159560.649999999</v>
      </c>
      <c r="AT4" s="184">
        <f t="shared" si="3"/>
        <v>23487514.98</v>
      </c>
      <c r="AU4" s="184">
        <f t="shared" si="3"/>
        <v>38915505.640000001</v>
      </c>
      <c r="AV4" s="184">
        <f t="shared" si="3"/>
        <v>40852306.350000001</v>
      </c>
      <c r="AW4" s="184">
        <f t="shared" ref="AW4:AX4" si="4">AW5+AW6</f>
        <v>33993917.769999996</v>
      </c>
      <c r="AX4" s="184">
        <f t="shared" si="4"/>
        <v>35776780.090000004</v>
      </c>
    </row>
    <row r="5" spans="1:50" ht="15" customHeight="1">
      <c r="A5" s="7">
        <v>1.1000000000000001</v>
      </c>
      <c r="B5" s="8" t="s">
        <v>7</v>
      </c>
      <c r="C5" s="10"/>
      <c r="D5" s="11">
        <v>8234269</v>
      </c>
      <c r="E5" s="11">
        <v>28909179</v>
      </c>
      <c r="F5" s="11">
        <v>19851472</v>
      </c>
      <c r="G5" s="11">
        <v>12206208</v>
      </c>
      <c r="H5" s="12">
        <v>5644954.0999999996</v>
      </c>
      <c r="I5" s="12">
        <v>14756969.1</v>
      </c>
      <c r="J5" s="12">
        <v>28445220.100000001</v>
      </c>
      <c r="K5" s="12">
        <v>13084775</v>
      </c>
      <c r="L5" s="12">
        <v>46366513.350000001</v>
      </c>
      <c r="M5" s="12">
        <v>17923892</v>
      </c>
      <c r="N5" s="12">
        <v>19065207</v>
      </c>
      <c r="O5" s="12">
        <v>19065207</v>
      </c>
      <c r="P5" s="143">
        <v>15001554</v>
      </c>
      <c r="Q5" s="143">
        <v>29179749</v>
      </c>
      <c r="R5" s="143">
        <v>9869600.6999999993</v>
      </c>
      <c r="S5" s="143">
        <v>15167130.5</v>
      </c>
      <c r="T5" s="143">
        <v>18479014.760000002</v>
      </c>
      <c r="U5" s="143">
        <v>13440725.68</v>
      </c>
      <c r="V5" s="143">
        <v>12042215.130000001</v>
      </c>
      <c r="W5" s="143">
        <v>21054030.030000001</v>
      </c>
      <c r="X5" s="159">
        <v>14937726.18</v>
      </c>
      <c r="Y5" s="161">
        <v>55329783.18</v>
      </c>
      <c r="Z5" s="161">
        <v>15247528.18</v>
      </c>
      <c r="AA5" s="166">
        <v>13304069.18</v>
      </c>
      <c r="AB5" s="170">
        <v>14090543</v>
      </c>
      <c r="AC5" s="159">
        <v>9485095.9900000002</v>
      </c>
      <c r="AD5" s="161">
        <v>12261612.08</v>
      </c>
      <c r="AE5" s="161">
        <v>9893930.9900000002</v>
      </c>
      <c r="AF5" s="161">
        <v>10440622.99</v>
      </c>
      <c r="AG5" s="161">
        <v>13647724</v>
      </c>
      <c r="AH5" s="161">
        <v>8339549</v>
      </c>
      <c r="AI5" s="161">
        <v>9459038.9900000002</v>
      </c>
      <c r="AJ5" s="161">
        <v>10388525.99</v>
      </c>
      <c r="AK5" s="161">
        <v>12501270</v>
      </c>
      <c r="AL5" s="161">
        <v>2424911.31</v>
      </c>
      <c r="AM5" s="161">
        <v>2887917.31</v>
      </c>
      <c r="AN5" s="166">
        <v>2972296.31</v>
      </c>
      <c r="AO5" s="166">
        <f>6699320</f>
        <v>6699320</v>
      </c>
      <c r="AP5" s="159">
        <v>16551992</v>
      </c>
      <c r="AQ5" s="161">
        <v>16918843</v>
      </c>
      <c r="AR5" s="161">
        <v>10255264</v>
      </c>
      <c r="AS5" s="159">
        <v>10735843</v>
      </c>
      <c r="AT5" s="207">
        <v>6715858</v>
      </c>
      <c r="AU5" s="159">
        <v>11882991</v>
      </c>
      <c r="AV5" s="159">
        <v>28994632</v>
      </c>
      <c r="AW5" s="240">
        <v>15776451</v>
      </c>
      <c r="AX5" s="242">
        <v>21527386</v>
      </c>
    </row>
    <row r="6" spans="1:50" ht="15" customHeight="1">
      <c r="A6" s="7">
        <v>1.2</v>
      </c>
      <c r="B6" s="8" t="s">
        <v>8</v>
      </c>
      <c r="C6" s="10"/>
      <c r="D6" s="11">
        <v>62519497.32</v>
      </c>
      <c r="E6" s="11">
        <v>15929744.49</v>
      </c>
      <c r="F6" s="11">
        <v>15358223.66</v>
      </c>
      <c r="G6" s="11">
        <v>35546326.530000001</v>
      </c>
      <c r="H6" s="12">
        <v>45525228.130000003</v>
      </c>
      <c r="I6" s="12">
        <v>39671386.649999999</v>
      </c>
      <c r="J6" s="12">
        <v>13664053.01</v>
      </c>
      <c r="K6" s="12">
        <v>23814005.739999998</v>
      </c>
      <c r="L6" s="12">
        <v>102883917.41</v>
      </c>
      <c r="M6" s="12">
        <v>35428449.369999997</v>
      </c>
      <c r="N6" s="12">
        <v>19276705.77</v>
      </c>
      <c r="O6" s="12">
        <v>82251422</v>
      </c>
      <c r="P6" s="143">
        <v>28597257.890000001</v>
      </c>
      <c r="Q6" s="143">
        <v>21499480.09</v>
      </c>
      <c r="R6" s="143">
        <v>16986988.739999998</v>
      </c>
      <c r="S6" s="143">
        <v>42193247.700000003</v>
      </c>
      <c r="T6" s="143">
        <v>18151804.870000001</v>
      </c>
      <c r="U6" s="143">
        <v>14918051.18</v>
      </c>
      <c r="V6" s="143">
        <v>34792871.469999999</v>
      </c>
      <c r="W6" s="143">
        <v>22502739.91</v>
      </c>
      <c r="X6" s="163">
        <v>16199277.310000001</v>
      </c>
      <c r="Y6" s="165">
        <v>56003546.979999997</v>
      </c>
      <c r="Z6" s="165">
        <v>26599337.670000002</v>
      </c>
      <c r="AA6" s="166">
        <v>15689096.130000001</v>
      </c>
      <c r="AB6" s="170">
        <f>61531261-14090543</f>
        <v>47440718</v>
      </c>
      <c r="AC6" s="163">
        <v>56622246.450000003</v>
      </c>
      <c r="AD6" s="165">
        <v>57308575.630000003</v>
      </c>
      <c r="AE6" s="165">
        <v>58168959.649999999</v>
      </c>
      <c r="AF6" s="165">
        <v>44545422.289999999</v>
      </c>
      <c r="AG6" s="165">
        <v>54609627</v>
      </c>
      <c r="AH6" s="165">
        <v>53666100</v>
      </c>
      <c r="AI6" s="165">
        <v>46478711.450000003</v>
      </c>
      <c r="AJ6" s="165">
        <v>60283462.170000002</v>
      </c>
      <c r="AK6" s="165">
        <v>38438972</v>
      </c>
      <c r="AL6" s="165">
        <v>63211407.32</v>
      </c>
      <c r="AM6" s="165">
        <v>47611498.939999998</v>
      </c>
      <c r="AN6" s="166">
        <v>49630989.5</v>
      </c>
      <c r="AO6" s="196">
        <f>4652946+5697729+31271240</f>
        <v>41621915</v>
      </c>
      <c r="AP6" s="163">
        <v>18785042.120000001</v>
      </c>
      <c r="AQ6" s="165">
        <v>17378732.59</v>
      </c>
      <c r="AR6" s="165">
        <v>13562308.43</v>
      </c>
      <c r="AS6" s="163">
        <v>13423717.65</v>
      </c>
      <c r="AT6" s="209">
        <v>16771656.98</v>
      </c>
      <c r="AU6" s="163">
        <v>27032514.640000001</v>
      </c>
      <c r="AV6" s="163">
        <v>11857674.35</v>
      </c>
      <c r="AW6" s="244">
        <v>18217466.77</v>
      </c>
      <c r="AX6" s="246">
        <v>14249394.09</v>
      </c>
    </row>
    <row r="7" spans="1:50" ht="15" customHeight="1">
      <c r="A7" s="7">
        <v>2</v>
      </c>
      <c r="B7" s="13" t="s">
        <v>9</v>
      </c>
      <c r="C7" s="10"/>
      <c r="D7" s="11">
        <v>88761803.870000005</v>
      </c>
      <c r="E7" s="11">
        <v>85675529.579999998</v>
      </c>
      <c r="F7" s="11">
        <v>85012980.840000004</v>
      </c>
      <c r="G7" s="11">
        <v>86253649.230000004</v>
      </c>
      <c r="H7" s="12">
        <v>87238947.689999998</v>
      </c>
      <c r="I7" s="12">
        <v>88522804.280000001</v>
      </c>
      <c r="J7" s="12">
        <v>93677879.170000002</v>
      </c>
      <c r="K7" s="12">
        <v>94146756.859999999</v>
      </c>
      <c r="L7" s="12">
        <v>81442582.519999996</v>
      </c>
      <c r="M7" s="12">
        <v>84025024.079999998</v>
      </c>
      <c r="N7" s="12">
        <v>85551634.629999995</v>
      </c>
      <c r="O7" s="12">
        <v>87010349</v>
      </c>
      <c r="P7" s="143">
        <v>83827308.329999998</v>
      </c>
      <c r="Q7" s="143">
        <v>79764381.230000004</v>
      </c>
      <c r="R7" s="143">
        <v>81924016.040000007</v>
      </c>
      <c r="S7" s="143">
        <v>82410540.230000004</v>
      </c>
      <c r="T7" s="143">
        <v>80013920.890000001</v>
      </c>
      <c r="U7" s="143">
        <v>83622011.109999999</v>
      </c>
      <c r="V7" s="143">
        <v>81393323.489999995</v>
      </c>
      <c r="W7" s="143">
        <v>76684276.659999996</v>
      </c>
      <c r="X7" s="163">
        <v>86782519.680000007</v>
      </c>
      <c r="Y7" s="165">
        <v>81185876.900000006</v>
      </c>
      <c r="Z7" s="165">
        <v>83214457.569999993</v>
      </c>
      <c r="AA7" s="166">
        <v>90313384.989999995</v>
      </c>
      <c r="AB7" s="170">
        <v>88215792</v>
      </c>
      <c r="AC7" s="163">
        <v>26649304.609999999</v>
      </c>
      <c r="AD7" s="165">
        <v>25537563.25</v>
      </c>
      <c r="AE7" s="165">
        <v>25034686.699999999</v>
      </c>
      <c r="AF7" s="165">
        <v>25029073.899999999</v>
      </c>
      <c r="AG7" s="165">
        <v>17657990</v>
      </c>
      <c r="AH7" s="165">
        <v>26779331</v>
      </c>
      <c r="AI7" s="165">
        <v>22626698.350000001</v>
      </c>
      <c r="AJ7" s="165">
        <v>23082446.82</v>
      </c>
      <c r="AK7" s="165">
        <v>30551829</v>
      </c>
      <c r="AL7" s="165">
        <v>11822014.800000001</v>
      </c>
      <c r="AM7" s="165">
        <v>21842274.449999999</v>
      </c>
      <c r="AN7" s="166">
        <v>22415855.93</v>
      </c>
      <c r="AO7" s="166">
        <f>5414080</f>
        <v>5414080</v>
      </c>
      <c r="AP7" s="163">
        <v>72861097.890000001</v>
      </c>
      <c r="AQ7" s="165">
        <v>77264442.980000004</v>
      </c>
      <c r="AR7" s="165">
        <v>71081038.709999993</v>
      </c>
      <c r="AS7" s="163">
        <v>75486947.640000001</v>
      </c>
      <c r="AT7" s="209">
        <v>72987375.469999999</v>
      </c>
      <c r="AU7" s="163">
        <v>72938421.739999995</v>
      </c>
      <c r="AV7" s="163">
        <v>67006912.060000002</v>
      </c>
      <c r="AW7" s="244">
        <v>72408539.870000005</v>
      </c>
      <c r="AX7" s="246">
        <v>71927264.230000004</v>
      </c>
    </row>
    <row r="8" spans="1:50">
      <c r="A8" s="7">
        <v>3</v>
      </c>
      <c r="B8" s="13" t="s">
        <v>10</v>
      </c>
      <c r="C8" s="14">
        <f t="shared" ref="C8:O8" si="5">SUM(C9:C12)</f>
        <v>0</v>
      </c>
      <c r="D8" s="14">
        <f t="shared" si="5"/>
        <v>21017327.93</v>
      </c>
      <c r="E8" s="14">
        <f t="shared" si="5"/>
        <v>51105313.170000002</v>
      </c>
      <c r="F8" s="14">
        <f t="shared" si="5"/>
        <v>51346744.950000003</v>
      </c>
      <c r="G8" s="14">
        <f t="shared" si="5"/>
        <v>51580714.189999998</v>
      </c>
      <c r="H8" s="14">
        <f t="shared" si="5"/>
        <v>51822330.780000001</v>
      </c>
      <c r="I8" s="14">
        <f t="shared" si="5"/>
        <v>51822330.780000001</v>
      </c>
      <c r="J8" s="14">
        <f t="shared" si="5"/>
        <v>52537194.530000001</v>
      </c>
      <c r="K8" s="14">
        <f t="shared" si="5"/>
        <v>52771176.460000001</v>
      </c>
      <c r="L8" s="14">
        <f t="shared" si="5"/>
        <v>52771176.460000001</v>
      </c>
      <c r="M8" s="14">
        <f t="shared" si="5"/>
        <v>83405740.039999992</v>
      </c>
      <c r="N8" s="14">
        <f t="shared" si="5"/>
        <v>83871738.590000004</v>
      </c>
      <c r="O8" s="14">
        <f t="shared" si="5"/>
        <v>20897023</v>
      </c>
      <c r="P8" s="14">
        <f t="shared" ref="P8:AB8" si="6">SUM(P9:P12)</f>
        <v>83871738.590000004</v>
      </c>
      <c r="Q8" s="14">
        <f t="shared" si="6"/>
        <v>84763364.629999995</v>
      </c>
      <c r="R8" s="14">
        <f t="shared" si="6"/>
        <v>85243293.939999998</v>
      </c>
      <c r="S8" s="14">
        <f t="shared" si="6"/>
        <v>75661237.270000011</v>
      </c>
      <c r="T8" s="14">
        <f t="shared" si="6"/>
        <v>76280016.219999999</v>
      </c>
      <c r="U8" s="14">
        <f t="shared" si="6"/>
        <v>81280016.219999999</v>
      </c>
      <c r="V8" s="14">
        <f t="shared" si="6"/>
        <v>72055070.229999989</v>
      </c>
      <c r="W8" s="14">
        <f t="shared" si="6"/>
        <v>72055070.229999989</v>
      </c>
      <c r="X8" s="14">
        <f t="shared" si="6"/>
        <v>67367009.950000003</v>
      </c>
      <c r="Y8" s="14">
        <f t="shared" si="6"/>
        <v>68017136.620000005</v>
      </c>
      <c r="Z8" s="14">
        <f t="shared" si="6"/>
        <v>68321018.629999995</v>
      </c>
      <c r="AA8" s="14">
        <f t="shared" si="6"/>
        <v>58635118.870000005</v>
      </c>
      <c r="AB8" s="171">
        <f t="shared" si="6"/>
        <v>26097023</v>
      </c>
      <c r="AC8" s="171">
        <f t="shared" ref="AC8:AN8" si="7">SUM(AC9:AC12)</f>
        <v>39234850.530000001</v>
      </c>
      <c r="AD8" s="171">
        <f t="shared" si="7"/>
        <v>39737491.530000001</v>
      </c>
      <c r="AE8" s="171">
        <f t="shared" si="7"/>
        <v>41467780.629999995</v>
      </c>
      <c r="AF8" s="171">
        <f t="shared" si="7"/>
        <v>41454273.530000001</v>
      </c>
      <c r="AG8" s="171">
        <f t="shared" si="7"/>
        <v>42254273</v>
      </c>
      <c r="AH8" s="171">
        <f t="shared" si="7"/>
        <v>43141077</v>
      </c>
      <c r="AI8" s="171">
        <f t="shared" si="7"/>
        <v>43941076.359999999</v>
      </c>
      <c r="AJ8" s="171">
        <f t="shared" si="7"/>
        <v>44832703.359999999</v>
      </c>
      <c r="AK8" s="171">
        <f t="shared" si="7"/>
        <v>58225213</v>
      </c>
      <c r="AL8" s="171">
        <f t="shared" si="7"/>
        <v>46234117.43</v>
      </c>
      <c r="AM8" s="171">
        <f t="shared" si="7"/>
        <v>47034117.43</v>
      </c>
      <c r="AN8" s="199">
        <f t="shared" si="7"/>
        <v>47484117.43</v>
      </c>
      <c r="AO8" s="183">
        <f t="shared" ref="AO8:AX8" si="8">SUM(AO9:AO12)</f>
        <v>13208023</v>
      </c>
      <c r="AP8" s="183">
        <f t="shared" si="8"/>
        <v>42547582</v>
      </c>
      <c r="AQ8" s="183">
        <f t="shared" si="8"/>
        <v>42659439.880000003</v>
      </c>
      <c r="AR8" s="183">
        <f t="shared" si="8"/>
        <v>36659439.880000003</v>
      </c>
      <c r="AS8" s="183">
        <f t="shared" si="8"/>
        <v>36659439.880000003</v>
      </c>
      <c r="AT8" s="183">
        <f t="shared" si="8"/>
        <v>36859439.880000003</v>
      </c>
      <c r="AU8" s="183">
        <f t="shared" si="8"/>
        <v>37223766.030000001</v>
      </c>
      <c r="AV8" s="183">
        <f t="shared" si="8"/>
        <v>39811486.439999998</v>
      </c>
      <c r="AW8" s="183">
        <f t="shared" si="8"/>
        <v>39903530.859999999</v>
      </c>
      <c r="AX8" s="183">
        <f t="shared" si="8"/>
        <v>39995012.109999999</v>
      </c>
    </row>
    <row r="9" spans="1:50">
      <c r="A9" s="7">
        <v>3.1</v>
      </c>
      <c r="B9" s="8" t="s">
        <v>11</v>
      </c>
      <c r="C9" s="10"/>
      <c r="D9" s="11">
        <v>0</v>
      </c>
      <c r="E9" s="11">
        <v>0</v>
      </c>
      <c r="F9" s="11">
        <v>0</v>
      </c>
      <c r="G9" s="11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/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58">
        <v>0</v>
      </c>
      <c r="Y9" s="160">
        <v>0</v>
      </c>
      <c r="Z9" s="160">
        <v>0</v>
      </c>
      <c r="AA9" s="167">
        <v>0</v>
      </c>
      <c r="AB9" s="170"/>
      <c r="AC9" s="158">
        <v>0</v>
      </c>
      <c r="AD9" s="160">
        <v>0</v>
      </c>
      <c r="AE9" s="160">
        <v>0</v>
      </c>
      <c r="AF9" s="160">
        <v>0</v>
      </c>
      <c r="AG9" s="160">
        <v>0</v>
      </c>
      <c r="AH9" s="160">
        <v>0</v>
      </c>
      <c r="AI9" s="160">
        <v>0</v>
      </c>
      <c r="AJ9" s="160">
        <v>0</v>
      </c>
      <c r="AK9" s="160">
        <v>0</v>
      </c>
      <c r="AL9" s="160">
        <v>0</v>
      </c>
      <c r="AM9" s="160">
        <v>0</v>
      </c>
      <c r="AN9" s="182">
        <v>0</v>
      </c>
      <c r="AO9" s="182"/>
      <c r="AP9" s="158">
        <v>0</v>
      </c>
      <c r="AQ9" s="160">
        <v>0</v>
      </c>
      <c r="AR9" s="160">
        <v>0</v>
      </c>
      <c r="AS9" s="158">
        <v>0</v>
      </c>
      <c r="AT9" s="206">
        <v>0</v>
      </c>
      <c r="AU9" s="158">
        <v>0</v>
      </c>
      <c r="AV9" s="158">
        <v>0</v>
      </c>
      <c r="AW9" s="239">
        <v>0</v>
      </c>
      <c r="AX9" s="241">
        <v>0</v>
      </c>
    </row>
    <row r="10" spans="1:50">
      <c r="A10" s="7">
        <v>3.2</v>
      </c>
      <c r="B10" s="8" t="s">
        <v>12</v>
      </c>
      <c r="C10" s="10"/>
      <c r="D10" s="11">
        <v>120305.43</v>
      </c>
      <c r="E10" s="11">
        <v>30208290.670000002</v>
      </c>
      <c r="F10" s="11">
        <v>30449722.449999999</v>
      </c>
      <c r="G10" s="11">
        <v>30683691.690000001</v>
      </c>
      <c r="H10" s="12">
        <v>30925308.280000001</v>
      </c>
      <c r="I10" s="12">
        <v>30925308.280000001</v>
      </c>
      <c r="J10" s="12">
        <v>31640172.030000001</v>
      </c>
      <c r="K10" s="12">
        <v>31874153.960000001</v>
      </c>
      <c r="L10" s="12">
        <v>31874153.960000001</v>
      </c>
      <c r="M10" s="12">
        <v>62508717.539999999</v>
      </c>
      <c r="N10" s="12">
        <v>62974716.090000004</v>
      </c>
      <c r="O10" s="12"/>
      <c r="P10" s="143">
        <v>62974716.090000004</v>
      </c>
      <c r="Q10" s="143">
        <v>63866342.130000003</v>
      </c>
      <c r="R10" s="143">
        <v>64346271.439999998</v>
      </c>
      <c r="S10" s="143">
        <v>54764214.770000003</v>
      </c>
      <c r="T10" s="143">
        <v>55182993.719999999</v>
      </c>
      <c r="U10" s="143">
        <v>55182993.719999999</v>
      </c>
      <c r="V10" s="143">
        <v>45958047.729999997</v>
      </c>
      <c r="W10" s="143">
        <v>45958047.729999997</v>
      </c>
      <c r="X10" s="163">
        <v>41269987.450000003</v>
      </c>
      <c r="Y10" s="165">
        <v>41920114.119999997</v>
      </c>
      <c r="Z10" s="165">
        <v>42223996.130000003</v>
      </c>
      <c r="AA10" s="166">
        <v>32538096.370000001</v>
      </c>
      <c r="AB10" s="170"/>
      <c r="AC10" s="162">
        <v>0</v>
      </c>
      <c r="AD10" s="164">
        <v>0</v>
      </c>
      <c r="AE10" s="164">
        <v>0</v>
      </c>
      <c r="AF10" s="164">
        <v>0</v>
      </c>
      <c r="AG10" s="164">
        <v>0</v>
      </c>
      <c r="AH10" s="164">
        <v>0</v>
      </c>
      <c r="AI10" s="164">
        <v>0</v>
      </c>
      <c r="AJ10" s="164">
        <v>0</v>
      </c>
      <c r="AK10" s="164">
        <v>0</v>
      </c>
      <c r="AL10" s="164">
        <v>0</v>
      </c>
      <c r="AM10" s="164">
        <v>0</v>
      </c>
      <c r="AN10" s="180">
        <v>0</v>
      </c>
      <c r="AO10" s="180"/>
      <c r="AP10" s="163">
        <v>16400559.5</v>
      </c>
      <c r="AQ10" s="165">
        <v>16512417.380000001</v>
      </c>
      <c r="AR10" s="165">
        <v>10512417.380000001</v>
      </c>
      <c r="AS10" s="163">
        <v>10512417.380000001</v>
      </c>
      <c r="AT10" s="209">
        <v>10512417.380000001</v>
      </c>
      <c r="AU10" s="163">
        <v>10876743.529999999</v>
      </c>
      <c r="AV10" s="163">
        <v>10964463.939999999</v>
      </c>
      <c r="AW10" s="244">
        <v>11056508.359999999</v>
      </c>
      <c r="AX10" s="246">
        <v>11147989.609999999</v>
      </c>
    </row>
    <row r="11" spans="1:50">
      <c r="A11" s="7" t="s">
        <v>13</v>
      </c>
      <c r="B11" s="8" t="s">
        <v>14</v>
      </c>
      <c r="C11" s="10"/>
      <c r="D11" s="11">
        <v>0</v>
      </c>
      <c r="E11" s="11">
        <v>0</v>
      </c>
      <c r="F11" s="11">
        <v>0</v>
      </c>
      <c r="G11" s="11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20897023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  <c r="V11" s="143">
        <v>0</v>
      </c>
      <c r="W11" s="143">
        <v>0</v>
      </c>
      <c r="X11" s="162">
        <v>0</v>
      </c>
      <c r="Y11" s="164">
        <v>0</v>
      </c>
      <c r="Z11" s="164">
        <v>0</v>
      </c>
      <c r="AA11" s="167">
        <v>0</v>
      </c>
      <c r="AB11" s="170"/>
      <c r="AC11" s="163">
        <v>24965218.530000001</v>
      </c>
      <c r="AD11" s="165">
        <v>25715218.530000001</v>
      </c>
      <c r="AE11" s="165">
        <v>27228725.629999999</v>
      </c>
      <c r="AF11" s="165">
        <v>27215218.530000001</v>
      </c>
      <c r="AG11" s="165">
        <v>27965218</v>
      </c>
      <c r="AH11" s="165">
        <v>28802022</v>
      </c>
      <c r="AI11" s="165">
        <v>29552021.359999999</v>
      </c>
      <c r="AJ11" s="165">
        <v>30393648.359999999</v>
      </c>
      <c r="AK11" s="165">
        <v>43736158</v>
      </c>
      <c r="AL11" s="165">
        <v>31695062.43</v>
      </c>
      <c r="AM11" s="165">
        <v>32445062.43</v>
      </c>
      <c r="AN11" s="181">
        <v>32895062.43</v>
      </c>
      <c r="AO11" s="181"/>
      <c r="AP11" s="162">
        <v>0</v>
      </c>
      <c r="AQ11" s="164">
        <v>0</v>
      </c>
      <c r="AR11" s="164">
        <v>0</v>
      </c>
      <c r="AS11" s="162">
        <v>0</v>
      </c>
      <c r="AT11" s="208">
        <v>0</v>
      </c>
      <c r="AU11" s="162">
        <v>0</v>
      </c>
      <c r="AV11" s="162">
        <v>0</v>
      </c>
      <c r="AW11" s="243">
        <v>0</v>
      </c>
      <c r="AX11" s="245">
        <v>0</v>
      </c>
    </row>
    <row r="12" spans="1:50" ht="15" customHeight="1">
      <c r="A12" s="7" t="s">
        <v>15</v>
      </c>
      <c r="B12" s="8" t="s">
        <v>16</v>
      </c>
      <c r="C12" s="10"/>
      <c r="D12" s="11">
        <v>20897022.5</v>
      </c>
      <c r="E12" s="11">
        <v>20897022.5</v>
      </c>
      <c r="F12" s="11">
        <v>20897022.5</v>
      </c>
      <c r="G12" s="11">
        <v>20897022.5</v>
      </c>
      <c r="H12" s="12">
        <v>20897022.5</v>
      </c>
      <c r="I12" s="12">
        <v>20897022.5</v>
      </c>
      <c r="J12" s="12">
        <v>20897022.5</v>
      </c>
      <c r="K12" s="12">
        <v>20897022.5</v>
      </c>
      <c r="L12" s="12">
        <v>20897022.5</v>
      </c>
      <c r="M12" s="12">
        <v>20897022.5</v>
      </c>
      <c r="N12" s="12">
        <v>20897022.5</v>
      </c>
      <c r="O12" s="12">
        <v>0</v>
      </c>
      <c r="P12" s="143">
        <v>20897022.5</v>
      </c>
      <c r="Q12" s="143">
        <v>20897022.5</v>
      </c>
      <c r="R12" s="143">
        <v>20897022.5</v>
      </c>
      <c r="S12" s="143">
        <v>20897022.5</v>
      </c>
      <c r="T12" s="143">
        <v>21097022.5</v>
      </c>
      <c r="U12" s="143">
        <v>26097022.5</v>
      </c>
      <c r="V12" s="143">
        <v>26097022.5</v>
      </c>
      <c r="W12" s="143">
        <v>26097022.5</v>
      </c>
      <c r="X12" s="163">
        <v>26097022.5</v>
      </c>
      <c r="Y12" s="165">
        <v>26097022.5</v>
      </c>
      <c r="Z12" s="165">
        <v>26097022.5</v>
      </c>
      <c r="AA12" s="166">
        <v>26097022.5</v>
      </c>
      <c r="AB12" s="170">
        <f>12939000+13158023</f>
        <v>26097023</v>
      </c>
      <c r="AC12" s="163">
        <v>14269632</v>
      </c>
      <c r="AD12" s="165">
        <v>14022273</v>
      </c>
      <c r="AE12" s="165">
        <v>14239055</v>
      </c>
      <c r="AF12" s="165">
        <v>14239055</v>
      </c>
      <c r="AG12" s="165">
        <v>14289055</v>
      </c>
      <c r="AH12" s="165">
        <v>14339055</v>
      </c>
      <c r="AI12" s="165">
        <v>14389055</v>
      </c>
      <c r="AJ12" s="165">
        <v>14439055</v>
      </c>
      <c r="AK12" s="165">
        <v>14489055</v>
      </c>
      <c r="AL12" s="165">
        <v>14539055</v>
      </c>
      <c r="AM12" s="165">
        <v>14589055</v>
      </c>
      <c r="AN12" s="178">
        <v>14589055</v>
      </c>
      <c r="AO12" s="178">
        <f>13208023</f>
        <v>13208023</v>
      </c>
      <c r="AP12" s="163">
        <v>26147022.5</v>
      </c>
      <c r="AQ12" s="165">
        <v>26147022.5</v>
      </c>
      <c r="AR12" s="165">
        <v>26147022.5</v>
      </c>
      <c r="AS12" s="163">
        <v>26147022.5</v>
      </c>
      <c r="AT12" s="209">
        <v>26347022.5</v>
      </c>
      <c r="AU12" s="163">
        <v>26347022.5</v>
      </c>
      <c r="AV12" s="163">
        <v>28847022.5</v>
      </c>
      <c r="AW12" s="244">
        <v>28847022.5</v>
      </c>
      <c r="AX12" s="246">
        <v>28847022.5</v>
      </c>
    </row>
    <row r="13" spans="1:50">
      <c r="A13" s="7">
        <v>4</v>
      </c>
      <c r="B13" s="13" t="s">
        <v>17</v>
      </c>
      <c r="C13" s="14">
        <f t="shared" ref="C13:O13" si="9">C14-C15</f>
        <v>0</v>
      </c>
      <c r="D13" s="14">
        <f t="shared" si="9"/>
        <v>166362370.32999998</v>
      </c>
      <c r="E13" s="14">
        <f t="shared" si="9"/>
        <v>165731913.43000001</v>
      </c>
      <c r="F13" s="14">
        <f t="shared" si="9"/>
        <v>163245645.94</v>
      </c>
      <c r="G13" s="14">
        <f t="shared" si="9"/>
        <v>159798641.20999998</v>
      </c>
      <c r="H13" s="14">
        <f t="shared" si="9"/>
        <v>155588398.00999999</v>
      </c>
      <c r="I13" s="14">
        <f t="shared" si="9"/>
        <v>151990954.31</v>
      </c>
      <c r="J13" s="14">
        <f t="shared" si="9"/>
        <v>149677301.68000001</v>
      </c>
      <c r="K13" s="14">
        <f t="shared" si="9"/>
        <v>144592624.39999998</v>
      </c>
      <c r="L13" s="14">
        <f t="shared" si="9"/>
        <v>118384902.20999999</v>
      </c>
      <c r="M13" s="14">
        <f t="shared" si="9"/>
        <v>119464190.05</v>
      </c>
      <c r="N13" s="14">
        <f t="shared" si="9"/>
        <v>119582723.61</v>
      </c>
      <c r="O13" s="14">
        <f t="shared" si="9"/>
        <v>119582723.61</v>
      </c>
      <c r="P13" s="14">
        <f t="shared" ref="P13:AB13" si="10">P14-P15</f>
        <v>121621133.74999999</v>
      </c>
      <c r="Q13" s="14">
        <f t="shared" si="10"/>
        <v>122653829.23999999</v>
      </c>
      <c r="R13" s="14">
        <f t="shared" si="10"/>
        <v>129475891.73999999</v>
      </c>
      <c r="S13" s="14">
        <f t="shared" si="10"/>
        <v>130744222.77999999</v>
      </c>
      <c r="T13" s="14">
        <f t="shared" si="10"/>
        <v>134262138.69</v>
      </c>
      <c r="U13" s="14">
        <f t="shared" si="10"/>
        <v>137824628.81999999</v>
      </c>
      <c r="V13" s="14">
        <f t="shared" si="10"/>
        <v>142163805.04000002</v>
      </c>
      <c r="W13" s="14">
        <f t="shared" si="10"/>
        <v>144555146.88</v>
      </c>
      <c r="X13" s="14">
        <f t="shared" si="10"/>
        <v>142988309.45999998</v>
      </c>
      <c r="Y13" s="14">
        <f t="shared" si="10"/>
        <v>135374920.64999998</v>
      </c>
      <c r="Z13" s="14">
        <f t="shared" si="10"/>
        <v>141779412.20999998</v>
      </c>
      <c r="AA13" s="14">
        <f t="shared" si="10"/>
        <v>148161380.41</v>
      </c>
      <c r="AB13" s="171">
        <f t="shared" si="10"/>
        <v>148161380.41</v>
      </c>
      <c r="AC13" s="171">
        <f t="shared" ref="AC13:AN13" si="11">AC14-AC15</f>
        <v>291829217.01999998</v>
      </c>
      <c r="AD13" s="171">
        <f t="shared" si="11"/>
        <v>296219940.68000001</v>
      </c>
      <c r="AE13" s="171">
        <f t="shared" si="11"/>
        <v>297535097.15000004</v>
      </c>
      <c r="AF13" s="171">
        <f t="shared" si="11"/>
        <v>297099615.50999999</v>
      </c>
      <c r="AG13" s="171">
        <f t="shared" si="11"/>
        <v>296000144</v>
      </c>
      <c r="AH13" s="171">
        <f t="shared" si="11"/>
        <v>301524915</v>
      </c>
      <c r="AI13" s="171">
        <f t="shared" si="11"/>
        <v>304495749.79000002</v>
      </c>
      <c r="AJ13" s="171">
        <f t="shared" si="11"/>
        <v>299816742.86000001</v>
      </c>
      <c r="AK13" s="171">
        <f t="shared" si="11"/>
        <v>298189191</v>
      </c>
      <c r="AL13" s="171">
        <f t="shared" si="11"/>
        <v>317200708</v>
      </c>
      <c r="AM13" s="171">
        <f t="shared" si="11"/>
        <v>321917480.21000004</v>
      </c>
      <c r="AN13" s="199">
        <f t="shared" si="11"/>
        <v>323727897.13999999</v>
      </c>
      <c r="AO13" s="183">
        <f t="shared" ref="AO13:AX13" si="12">AO14-AO15</f>
        <v>0</v>
      </c>
      <c r="AP13" s="183">
        <f t="shared" si="12"/>
        <v>194312787.43000001</v>
      </c>
      <c r="AQ13" s="183">
        <f t="shared" si="12"/>
        <v>196967915.52000001</v>
      </c>
      <c r="AR13" s="183">
        <f t="shared" si="12"/>
        <v>206787226.97</v>
      </c>
      <c r="AS13" s="183">
        <f t="shared" si="12"/>
        <v>206401900.47</v>
      </c>
      <c r="AT13" s="183">
        <f t="shared" si="12"/>
        <v>205363907.06999999</v>
      </c>
      <c r="AU13" s="183">
        <f t="shared" si="12"/>
        <v>203938467.59</v>
      </c>
      <c r="AV13" s="183">
        <f t="shared" si="12"/>
        <v>201876533.05000001</v>
      </c>
      <c r="AW13" s="183">
        <f t="shared" si="12"/>
        <v>203760744.43000001</v>
      </c>
      <c r="AX13" s="183">
        <f t="shared" si="12"/>
        <v>201545076.41999999</v>
      </c>
    </row>
    <row r="14" spans="1:50" ht="15" customHeight="1">
      <c r="A14" s="15">
        <v>4.0999999999999996</v>
      </c>
      <c r="B14" s="8" t="s">
        <v>18</v>
      </c>
      <c r="C14" s="10"/>
      <c r="D14" s="11">
        <v>189916701.47</v>
      </c>
      <c r="E14" s="11">
        <v>189286244.56999999</v>
      </c>
      <c r="F14" s="11">
        <v>186799977.08000001</v>
      </c>
      <c r="G14" s="11">
        <v>183352972.34999999</v>
      </c>
      <c r="H14" s="12">
        <v>179142729.15000001</v>
      </c>
      <c r="I14" s="12">
        <v>175545285.44999999</v>
      </c>
      <c r="J14" s="12">
        <v>173231632.81999999</v>
      </c>
      <c r="K14" s="12">
        <v>168146955.53999999</v>
      </c>
      <c r="L14" s="12">
        <v>141939233.34999999</v>
      </c>
      <c r="M14" s="12">
        <v>143018521.19</v>
      </c>
      <c r="N14" s="12">
        <v>146599270</v>
      </c>
      <c r="O14" s="12">
        <v>146599270</v>
      </c>
      <c r="P14" s="143">
        <v>148637680.13999999</v>
      </c>
      <c r="Q14" s="143">
        <v>149670375.63</v>
      </c>
      <c r="R14" s="143">
        <v>156492438.13</v>
      </c>
      <c r="S14" s="143">
        <v>157760769.16999999</v>
      </c>
      <c r="T14" s="143">
        <v>161278685.08000001</v>
      </c>
      <c r="U14" s="143">
        <v>164841175.21000001</v>
      </c>
      <c r="V14" s="143">
        <v>169180351.43000001</v>
      </c>
      <c r="W14" s="143">
        <v>171571693.27000001</v>
      </c>
      <c r="X14" s="159">
        <v>170004855.84999999</v>
      </c>
      <c r="Y14" s="161">
        <v>162391467.03999999</v>
      </c>
      <c r="Z14" s="161">
        <v>168795958.59999999</v>
      </c>
      <c r="AA14" s="166">
        <v>174987267.88</v>
      </c>
      <c r="AB14" s="166">
        <v>174987267.88</v>
      </c>
      <c r="AC14" s="159">
        <v>328605761.27999997</v>
      </c>
      <c r="AD14" s="161">
        <v>332716532.94</v>
      </c>
      <c r="AE14" s="161">
        <v>334727641.41000003</v>
      </c>
      <c r="AF14" s="161">
        <v>334500159.76999998</v>
      </c>
      <c r="AG14" s="161">
        <v>333608688</v>
      </c>
      <c r="AH14" s="161">
        <v>339341459</v>
      </c>
      <c r="AI14" s="161">
        <v>342520294.05000001</v>
      </c>
      <c r="AJ14" s="161">
        <v>338049287.12</v>
      </c>
      <c r="AK14" s="161">
        <v>336629735</v>
      </c>
      <c r="AL14" s="161">
        <v>355849252.25999999</v>
      </c>
      <c r="AM14" s="161">
        <v>360774024.47000003</v>
      </c>
      <c r="AN14" s="166">
        <v>362796441.39999998</v>
      </c>
      <c r="AO14" s="166"/>
      <c r="AP14" s="159">
        <v>221324889.46000001</v>
      </c>
      <c r="AQ14" s="161">
        <v>223980017.55000001</v>
      </c>
      <c r="AR14" s="161">
        <v>233799329</v>
      </c>
      <c r="AS14" s="159">
        <v>233414002.5</v>
      </c>
      <c r="AT14" s="207">
        <v>232376009.09999999</v>
      </c>
      <c r="AU14" s="159">
        <v>230950569.62</v>
      </c>
      <c r="AV14" s="159">
        <v>228888635.08000001</v>
      </c>
      <c r="AW14" s="240">
        <v>230772846.46000001</v>
      </c>
      <c r="AX14" s="242">
        <v>228557178.44999999</v>
      </c>
    </row>
    <row r="15" spans="1:50" ht="14.25">
      <c r="A15" s="15">
        <v>4.2</v>
      </c>
      <c r="B15" s="8" t="s">
        <v>19</v>
      </c>
      <c r="C15" s="10"/>
      <c r="D15" s="11">
        <v>23554331.140000001</v>
      </c>
      <c r="E15" s="11">
        <v>23554331.140000001</v>
      </c>
      <c r="F15" s="11">
        <v>23554331.140000001</v>
      </c>
      <c r="G15" s="11">
        <v>23554331.140000001</v>
      </c>
      <c r="H15" s="12">
        <v>23554331.140000001</v>
      </c>
      <c r="I15" s="12">
        <v>23554331.140000001</v>
      </c>
      <c r="J15" s="12">
        <v>23554331.140000001</v>
      </c>
      <c r="K15" s="12">
        <v>23554331.140000001</v>
      </c>
      <c r="L15" s="12">
        <v>23554331.140000001</v>
      </c>
      <c r="M15" s="12">
        <v>23554331.140000001</v>
      </c>
      <c r="N15" s="12">
        <v>27016546.390000001</v>
      </c>
      <c r="O15" s="12">
        <v>27016546.390000001</v>
      </c>
      <c r="P15" s="143">
        <v>27016546.390000001</v>
      </c>
      <c r="Q15" s="143">
        <v>27016546.390000001</v>
      </c>
      <c r="R15" s="143">
        <v>27016546.390000001</v>
      </c>
      <c r="S15" s="143">
        <v>27016546.390000001</v>
      </c>
      <c r="T15" s="143">
        <v>27016546.390000001</v>
      </c>
      <c r="U15" s="143">
        <v>27016546.390000001</v>
      </c>
      <c r="V15" s="143">
        <v>27016546.390000001</v>
      </c>
      <c r="W15" s="143">
        <v>27016546.390000001</v>
      </c>
      <c r="X15" s="163">
        <v>27016546.390000001</v>
      </c>
      <c r="Y15" s="165">
        <v>27016546.390000001</v>
      </c>
      <c r="Z15" s="165">
        <v>27016546.390000001</v>
      </c>
      <c r="AA15" s="166">
        <v>26825887.469999999</v>
      </c>
      <c r="AB15" s="166">
        <v>26825887.469999999</v>
      </c>
      <c r="AC15" s="163">
        <v>36776544.259999998</v>
      </c>
      <c r="AD15" s="165">
        <v>36496592.259999998</v>
      </c>
      <c r="AE15" s="165">
        <v>37192544.259999998</v>
      </c>
      <c r="AF15" s="165">
        <v>37400544.259999998</v>
      </c>
      <c r="AG15" s="165">
        <v>37608544</v>
      </c>
      <c r="AH15" s="165">
        <v>37816544</v>
      </c>
      <c r="AI15" s="165">
        <v>38024544.259999998</v>
      </c>
      <c r="AJ15" s="165">
        <v>38232544.259999998</v>
      </c>
      <c r="AK15" s="165">
        <v>38440544</v>
      </c>
      <c r="AL15" s="165">
        <v>38648544.259999998</v>
      </c>
      <c r="AM15" s="165">
        <v>38856544.259999998</v>
      </c>
      <c r="AN15" s="166">
        <v>39068544.259999998</v>
      </c>
      <c r="AO15" s="166"/>
      <c r="AP15" s="163">
        <v>27012102.030000001</v>
      </c>
      <c r="AQ15" s="165">
        <v>27012102.030000001</v>
      </c>
      <c r="AR15" s="165">
        <v>27012102.030000001</v>
      </c>
      <c r="AS15" s="163">
        <v>27012102.030000001</v>
      </c>
      <c r="AT15" s="209">
        <v>27012102.030000001</v>
      </c>
      <c r="AU15" s="163">
        <v>27012102.030000001</v>
      </c>
      <c r="AV15" s="163">
        <v>27012102.030000001</v>
      </c>
      <c r="AW15" s="244">
        <v>27012102.030000001</v>
      </c>
      <c r="AX15" s="246">
        <v>27012102.030000001</v>
      </c>
    </row>
    <row r="16" spans="1:50">
      <c r="A16" s="7">
        <v>5</v>
      </c>
      <c r="B16" s="13" t="s">
        <v>20</v>
      </c>
      <c r="C16" s="14">
        <f t="shared" ref="C16:O16" si="13">SUM(C17:C19)</f>
        <v>0</v>
      </c>
      <c r="D16" s="14">
        <f t="shared" si="13"/>
        <v>0</v>
      </c>
      <c r="E16" s="14">
        <f t="shared" si="13"/>
        <v>0</v>
      </c>
      <c r="F16" s="14">
        <f t="shared" si="13"/>
        <v>0</v>
      </c>
      <c r="G16" s="14">
        <f t="shared" si="13"/>
        <v>0</v>
      </c>
      <c r="H16" s="14">
        <f t="shared" si="13"/>
        <v>0</v>
      </c>
      <c r="I16" s="14">
        <f t="shared" si="13"/>
        <v>0</v>
      </c>
      <c r="J16" s="14">
        <f t="shared" si="13"/>
        <v>0</v>
      </c>
      <c r="K16" s="14">
        <f t="shared" si="13"/>
        <v>0</v>
      </c>
      <c r="L16" s="14">
        <f t="shared" si="13"/>
        <v>0</v>
      </c>
      <c r="M16" s="14">
        <f t="shared" si="13"/>
        <v>0</v>
      </c>
      <c r="N16" s="14">
        <f t="shared" si="13"/>
        <v>0</v>
      </c>
      <c r="O16" s="14">
        <f t="shared" si="13"/>
        <v>834036</v>
      </c>
      <c r="P16" s="14">
        <f t="shared" ref="P16:AB16" si="14">SUM(P17:P19)</f>
        <v>0</v>
      </c>
      <c r="Q16" s="14">
        <f t="shared" si="14"/>
        <v>0</v>
      </c>
      <c r="R16" s="14">
        <f t="shared" si="14"/>
        <v>0</v>
      </c>
      <c r="S16" s="14">
        <f t="shared" si="14"/>
        <v>0</v>
      </c>
      <c r="T16" s="14">
        <f t="shared" si="14"/>
        <v>0</v>
      </c>
      <c r="U16" s="14">
        <f t="shared" si="14"/>
        <v>0</v>
      </c>
      <c r="V16" s="14">
        <f t="shared" si="14"/>
        <v>0</v>
      </c>
      <c r="W16" s="14">
        <f t="shared" si="14"/>
        <v>0</v>
      </c>
      <c r="X16" s="14">
        <f t="shared" si="14"/>
        <v>0</v>
      </c>
      <c r="Y16" s="14">
        <f t="shared" si="14"/>
        <v>0</v>
      </c>
      <c r="Z16" s="14">
        <f t="shared" si="14"/>
        <v>0</v>
      </c>
      <c r="AA16" s="14">
        <f t="shared" si="14"/>
        <v>0</v>
      </c>
      <c r="AB16" s="171">
        <f t="shared" si="14"/>
        <v>1622250</v>
      </c>
      <c r="AC16" s="171">
        <f t="shared" ref="AC16:AN16" si="15">SUM(AC17:AC19)</f>
        <v>0</v>
      </c>
      <c r="AD16" s="171">
        <f t="shared" si="15"/>
        <v>0</v>
      </c>
      <c r="AE16" s="171">
        <f t="shared" si="15"/>
        <v>0</v>
      </c>
      <c r="AF16" s="171">
        <f t="shared" si="15"/>
        <v>0</v>
      </c>
      <c r="AG16" s="171">
        <f t="shared" si="15"/>
        <v>0</v>
      </c>
      <c r="AH16" s="171">
        <f t="shared" si="15"/>
        <v>0</v>
      </c>
      <c r="AI16" s="171">
        <f t="shared" si="15"/>
        <v>0</v>
      </c>
      <c r="AJ16" s="171">
        <f t="shared" si="15"/>
        <v>0</v>
      </c>
      <c r="AK16" s="171">
        <f t="shared" si="15"/>
        <v>0</v>
      </c>
      <c r="AL16" s="171">
        <f t="shared" si="15"/>
        <v>0</v>
      </c>
      <c r="AM16" s="171">
        <f t="shared" si="15"/>
        <v>0</v>
      </c>
      <c r="AN16" s="199">
        <f t="shared" si="15"/>
        <v>0</v>
      </c>
      <c r="AO16" s="183">
        <f t="shared" ref="AO16:AX16" si="16">SUM(AO17:AO19)</f>
        <v>18017874</v>
      </c>
      <c r="AP16" s="183">
        <f t="shared" si="16"/>
        <v>0</v>
      </c>
      <c r="AQ16" s="183">
        <f t="shared" si="16"/>
        <v>0</v>
      </c>
      <c r="AR16" s="183">
        <f t="shared" si="16"/>
        <v>0</v>
      </c>
      <c r="AS16" s="183">
        <f t="shared" si="16"/>
        <v>0</v>
      </c>
      <c r="AT16" s="183">
        <f t="shared" si="16"/>
        <v>0</v>
      </c>
      <c r="AU16" s="183">
        <f t="shared" si="16"/>
        <v>0</v>
      </c>
      <c r="AV16" s="183">
        <f t="shared" si="16"/>
        <v>0</v>
      </c>
      <c r="AW16" s="183">
        <f t="shared" si="16"/>
        <v>0</v>
      </c>
      <c r="AX16" s="183">
        <f t="shared" si="16"/>
        <v>0</v>
      </c>
    </row>
    <row r="17" spans="1:50" ht="14.25">
      <c r="A17" s="15">
        <v>5.0999999999999996</v>
      </c>
      <c r="B17" s="8" t="s">
        <v>21</v>
      </c>
      <c r="C17" s="10">
        <v>0</v>
      </c>
      <c r="D17" s="11">
        <v>0</v>
      </c>
      <c r="E17" s="11">
        <v>0</v>
      </c>
      <c r="F17" s="11">
        <v>0</v>
      </c>
      <c r="G17" s="11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834036</v>
      </c>
      <c r="P17" s="143">
        <v>0</v>
      </c>
      <c r="Q17" s="143">
        <v>0</v>
      </c>
      <c r="R17" s="143">
        <v>0</v>
      </c>
      <c r="S17" s="143">
        <v>0</v>
      </c>
      <c r="T17" s="143">
        <v>0</v>
      </c>
      <c r="U17" s="143">
        <v>0</v>
      </c>
      <c r="V17" s="143">
        <v>0</v>
      </c>
      <c r="W17" s="143">
        <v>0</v>
      </c>
      <c r="X17" s="143">
        <v>0</v>
      </c>
      <c r="Y17" s="143">
        <v>0</v>
      </c>
      <c r="Z17" s="143">
        <v>0</v>
      </c>
      <c r="AA17" s="143">
        <v>0</v>
      </c>
      <c r="AB17" s="16">
        <v>1622250</v>
      </c>
      <c r="AC17" s="158">
        <v>0</v>
      </c>
      <c r="AD17" s="160">
        <v>0</v>
      </c>
      <c r="AE17" s="160">
        <v>0</v>
      </c>
      <c r="AF17" s="160">
        <v>0</v>
      </c>
      <c r="AG17" s="160">
        <v>0</v>
      </c>
      <c r="AH17" s="160">
        <v>0</v>
      </c>
      <c r="AI17" s="160">
        <v>0</v>
      </c>
      <c r="AJ17" s="160">
        <v>0</v>
      </c>
      <c r="AK17" s="160">
        <v>0</v>
      </c>
      <c r="AL17" s="160">
        <v>0</v>
      </c>
      <c r="AM17" s="160">
        <v>0</v>
      </c>
      <c r="AN17" s="167">
        <v>0</v>
      </c>
      <c r="AO17" s="167">
        <v>18017874</v>
      </c>
      <c r="AP17" s="158">
        <v>0</v>
      </c>
      <c r="AQ17" s="160">
        <v>0</v>
      </c>
      <c r="AR17" s="160">
        <v>0</v>
      </c>
      <c r="AS17" s="158">
        <v>0</v>
      </c>
      <c r="AT17" s="206">
        <v>0</v>
      </c>
      <c r="AU17" s="158">
        <v>0</v>
      </c>
      <c r="AV17" s="158">
        <v>0</v>
      </c>
      <c r="AW17" s="239">
        <v>0</v>
      </c>
      <c r="AX17" s="241">
        <v>0</v>
      </c>
    </row>
    <row r="18" spans="1:50" ht="14.25">
      <c r="A18" s="15">
        <v>5.2</v>
      </c>
      <c r="B18" s="8" t="s">
        <v>22</v>
      </c>
      <c r="C18" s="10">
        <v>0</v>
      </c>
      <c r="D18" s="11">
        <v>0</v>
      </c>
      <c r="E18" s="11">
        <v>0</v>
      </c>
      <c r="F18" s="11">
        <v>0</v>
      </c>
      <c r="G18" s="11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/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0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C18" s="162">
        <v>0</v>
      </c>
      <c r="AD18" s="164">
        <v>0</v>
      </c>
      <c r="AE18" s="164">
        <v>0</v>
      </c>
      <c r="AF18" s="164">
        <v>0</v>
      </c>
      <c r="AG18" s="164">
        <v>0</v>
      </c>
      <c r="AH18" s="164">
        <v>0</v>
      </c>
      <c r="AI18" s="164">
        <v>0</v>
      </c>
      <c r="AJ18" s="164">
        <v>0</v>
      </c>
      <c r="AK18" s="164">
        <v>0</v>
      </c>
      <c r="AL18" s="164">
        <v>0</v>
      </c>
      <c r="AM18" s="164">
        <v>0</v>
      </c>
      <c r="AN18" s="167">
        <v>0</v>
      </c>
      <c r="AO18" s="167"/>
      <c r="AP18" s="162">
        <v>0</v>
      </c>
      <c r="AQ18" s="164">
        <v>0</v>
      </c>
      <c r="AR18" s="164">
        <v>0</v>
      </c>
      <c r="AS18" s="162">
        <v>0</v>
      </c>
      <c r="AT18" s="208">
        <v>0</v>
      </c>
      <c r="AU18" s="162">
        <v>0</v>
      </c>
      <c r="AV18" s="162">
        <v>0</v>
      </c>
      <c r="AW18" s="243">
        <v>0</v>
      </c>
      <c r="AX18" s="245">
        <v>0</v>
      </c>
    </row>
    <row r="19" spans="1:50" ht="14.25">
      <c r="A19" s="15">
        <v>5.3</v>
      </c>
      <c r="B19" s="8" t="s">
        <v>23</v>
      </c>
      <c r="C19" s="10">
        <v>0</v>
      </c>
      <c r="D19" s="11">
        <v>0</v>
      </c>
      <c r="E19" s="11">
        <v>0</v>
      </c>
      <c r="F19" s="11">
        <v>0</v>
      </c>
      <c r="G19" s="11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/>
      <c r="P19" s="143">
        <v>0</v>
      </c>
      <c r="Q19" s="143">
        <v>0</v>
      </c>
      <c r="R19" s="143">
        <v>0</v>
      </c>
      <c r="S19" s="143">
        <v>0</v>
      </c>
      <c r="T19" s="143">
        <v>0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C19" s="162">
        <v>0</v>
      </c>
      <c r="AD19" s="164">
        <v>0</v>
      </c>
      <c r="AE19" s="164">
        <v>0</v>
      </c>
      <c r="AF19" s="164">
        <v>0</v>
      </c>
      <c r="AG19" s="164">
        <v>0</v>
      </c>
      <c r="AH19" s="164">
        <v>0</v>
      </c>
      <c r="AI19" s="164">
        <v>0</v>
      </c>
      <c r="AJ19" s="164">
        <v>0</v>
      </c>
      <c r="AK19" s="164">
        <v>0</v>
      </c>
      <c r="AL19" s="164">
        <v>0</v>
      </c>
      <c r="AM19" s="164">
        <v>0</v>
      </c>
      <c r="AN19" s="167">
        <v>0</v>
      </c>
      <c r="AO19" s="167"/>
      <c r="AP19" s="162">
        <v>0</v>
      </c>
      <c r="AQ19" s="164">
        <v>0</v>
      </c>
      <c r="AR19" s="164">
        <v>0</v>
      </c>
      <c r="AS19" s="162">
        <v>0</v>
      </c>
      <c r="AT19" s="208">
        <v>0</v>
      </c>
      <c r="AU19" s="162">
        <v>0</v>
      </c>
      <c r="AV19" s="162">
        <v>0</v>
      </c>
      <c r="AW19" s="243">
        <v>0</v>
      </c>
      <c r="AX19" s="245">
        <v>0</v>
      </c>
    </row>
    <row r="20" spans="1:50">
      <c r="A20" s="7">
        <v>6</v>
      </c>
      <c r="B20" s="13" t="s">
        <v>24</v>
      </c>
      <c r="C20" s="14">
        <f t="shared" ref="C20:O20" si="17">SUM(C21:C25)</f>
        <v>0</v>
      </c>
      <c r="D20" s="14">
        <f t="shared" si="17"/>
        <v>70696431.969999999</v>
      </c>
      <c r="E20" s="14">
        <f t="shared" si="17"/>
        <v>70062683.849999994</v>
      </c>
      <c r="F20" s="14">
        <f t="shared" si="17"/>
        <v>69428935.730000004</v>
      </c>
      <c r="G20" s="14">
        <f t="shared" si="17"/>
        <v>68795187.609999999</v>
      </c>
      <c r="H20" s="14">
        <f t="shared" si="17"/>
        <v>68199895.120000005</v>
      </c>
      <c r="I20" s="14">
        <f t="shared" si="17"/>
        <v>67573122.319999993</v>
      </c>
      <c r="J20" s="14">
        <f t="shared" si="17"/>
        <v>67510417.150000006</v>
      </c>
      <c r="K20" s="14">
        <f t="shared" si="17"/>
        <v>66863240.100000001</v>
      </c>
      <c r="L20" s="14">
        <f t="shared" si="17"/>
        <v>66950121.339999996</v>
      </c>
      <c r="M20" s="14">
        <f t="shared" si="17"/>
        <v>66290502.600000001</v>
      </c>
      <c r="N20" s="14">
        <f t="shared" si="17"/>
        <v>65630883.859999999</v>
      </c>
      <c r="O20" s="14">
        <f t="shared" si="17"/>
        <v>65630883.859999999</v>
      </c>
      <c r="P20" s="14">
        <f t="shared" ref="P20:AB20" si="18">SUM(P21:P25)</f>
        <v>65079953.730000004</v>
      </c>
      <c r="Q20" s="14">
        <f t="shared" si="18"/>
        <v>66248143.600000001</v>
      </c>
      <c r="R20" s="14">
        <f t="shared" si="18"/>
        <v>65865876.149999999</v>
      </c>
      <c r="S20" s="14">
        <f t="shared" si="18"/>
        <v>65501949.699999996</v>
      </c>
      <c r="T20" s="14">
        <f t="shared" si="18"/>
        <v>65086141.950000003</v>
      </c>
      <c r="U20" s="14">
        <f t="shared" si="18"/>
        <v>64655934.200000003</v>
      </c>
      <c r="V20" s="14">
        <f t="shared" si="18"/>
        <v>64067700.18</v>
      </c>
      <c r="W20" s="14">
        <f t="shared" si="18"/>
        <v>63592175.829999998</v>
      </c>
      <c r="X20" s="14">
        <f t="shared" si="18"/>
        <v>66108269.219999999</v>
      </c>
      <c r="Y20" s="14">
        <f t="shared" si="18"/>
        <v>65482246.609999999</v>
      </c>
      <c r="Z20" s="14">
        <f t="shared" si="18"/>
        <v>64856224</v>
      </c>
      <c r="AA20" s="14">
        <f t="shared" si="18"/>
        <v>64230201.390000001</v>
      </c>
      <c r="AB20" s="171">
        <f t="shared" si="18"/>
        <v>64230201.390000001</v>
      </c>
      <c r="AC20" s="171">
        <f t="shared" ref="AC20:AN20" si="19">SUM(AC21:AC25)</f>
        <v>7892711.9500000002</v>
      </c>
      <c r="AD20" s="171">
        <f t="shared" si="19"/>
        <v>7778873.4500000002</v>
      </c>
      <c r="AE20" s="171">
        <f t="shared" si="19"/>
        <v>7377622.2300000004</v>
      </c>
      <c r="AF20" s="171">
        <f t="shared" si="19"/>
        <v>7263783.7300000004</v>
      </c>
      <c r="AG20" s="171">
        <f t="shared" si="19"/>
        <v>7149945</v>
      </c>
      <c r="AH20" s="171">
        <f t="shared" si="19"/>
        <v>7036107</v>
      </c>
      <c r="AI20" s="171">
        <f t="shared" si="19"/>
        <v>7395768.2300000004</v>
      </c>
      <c r="AJ20" s="171">
        <f t="shared" si="19"/>
        <v>7311829.7300000004</v>
      </c>
      <c r="AK20" s="171">
        <f t="shared" si="19"/>
        <v>7172179</v>
      </c>
      <c r="AL20" s="171">
        <f t="shared" si="19"/>
        <v>7909766.7300000004</v>
      </c>
      <c r="AM20" s="171">
        <f t="shared" si="19"/>
        <v>7093925.7300000004</v>
      </c>
      <c r="AN20" s="199">
        <f t="shared" si="19"/>
        <v>7212339.7300000004</v>
      </c>
      <c r="AO20" s="183">
        <f t="shared" ref="AO20:AX20" si="20">SUM(AO21:AO25)</f>
        <v>53236684</v>
      </c>
      <c r="AP20" s="183">
        <f t="shared" si="20"/>
        <v>60187118.920000002</v>
      </c>
      <c r="AQ20" s="183">
        <f t="shared" si="20"/>
        <v>59872024.509999998</v>
      </c>
      <c r="AR20" s="183">
        <f t="shared" si="20"/>
        <v>59384148.850000001</v>
      </c>
      <c r="AS20" s="183">
        <f t="shared" si="20"/>
        <v>58896273.190000005</v>
      </c>
      <c r="AT20" s="183">
        <f t="shared" si="20"/>
        <v>58408397.530000001</v>
      </c>
      <c r="AU20" s="183">
        <f t="shared" si="20"/>
        <v>57920521.870000005</v>
      </c>
      <c r="AV20" s="183">
        <f t="shared" si="20"/>
        <v>72282646.209999993</v>
      </c>
      <c r="AW20" s="183">
        <f t="shared" si="20"/>
        <v>71739978.890000001</v>
      </c>
      <c r="AX20" s="183">
        <f t="shared" si="20"/>
        <v>72641183.569999993</v>
      </c>
    </row>
    <row r="21" spans="1:50">
      <c r="A21" s="15">
        <v>6.1</v>
      </c>
      <c r="B21" s="8" t="s">
        <v>25</v>
      </c>
      <c r="C21" s="10"/>
      <c r="D21" s="11">
        <v>0</v>
      </c>
      <c r="E21" s="11">
        <v>0</v>
      </c>
      <c r="F21" s="11">
        <v>0</v>
      </c>
      <c r="G21" s="11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/>
      <c r="P21" s="143">
        <v>0</v>
      </c>
      <c r="Q21" s="143">
        <v>0</v>
      </c>
      <c r="R21" s="143">
        <v>0</v>
      </c>
      <c r="S21" s="143">
        <v>0</v>
      </c>
      <c r="T21" s="143">
        <v>0</v>
      </c>
      <c r="U21" s="143">
        <v>0</v>
      </c>
      <c r="V21" s="143">
        <v>0</v>
      </c>
      <c r="W21" s="143">
        <v>0</v>
      </c>
      <c r="X21" s="158">
        <v>0</v>
      </c>
      <c r="Y21" s="160">
        <v>0</v>
      </c>
      <c r="Z21" s="160">
        <v>0</v>
      </c>
      <c r="AA21" s="167">
        <v>0</v>
      </c>
      <c r="AB21" s="170"/>
      <c r="AC21" s="158">
        <v>0</v>
      </c>
      <c r="AD21" s="160">
        <v>0</v>
      </c>
      <c r="AE21" s="160">
        <v>0</v>
      </c>
      <c r="AF21" s="160">
        <v>0</v>
      </c>
      <c r="AG21" s="160">
        <v>0</v>
      </c>
      <c r="AH21" s="160">
        <v>0</v>
      </c>
      <c r="AI21" s="160">
        <v>0</v>
      </c>
      <c r="AJ21" s="160">
        <v>0</v>
      </c>
      <c r="AK21" s="160">
        <v>0</v>
      </c>
      <c r="AL21" s="160">
        <v>0</v>
      </c>
      <c r="AM21" s="160">
        <v>0</v>
      </c>
      <c r="AN21" s="182">
        <v>0</v>
      </c>
      <c r="AO21" s="182"/>
      <c r="AP21" s="158">
        <v>0</v>
      </c>
      <c r="AQ21" s="160">
        <v>0</v>
      </c>
      <c r="AR21" s="160">
        <v>0</v>
      </c>
      <c r="AS21" s="158">
        <v>0</v>
      </c>
      <c r="AT21" s="206">
        <v>0</v>
      </c>
      <c r="AU21" s="158">
        <v>0</v>
      </c>
      <c r="AV21" s="158">
        <v>0</v>
      </c>
      <c r="AW21" s="239">
        <v>0</v>
      </c>
      <c r="AX21" s="241">
        <v>0</v>
      </c>
    </row>
    <row r="22" spans="1:50" ht="14.25">
      <c r="A22" s="15">
        <v>6.2</v>
      </c>
      <c r="B22" s="8" t="s">
        <v>26</v>
      </c>
      <c r="C22" s="10"/>
      <c r="D22" s="11">
        <v>60155672.079999998</v>
      </c>
      <c r="E22" s="11">
        <v>59700580.909999996</v>
      </c>
      <c r="F22" s="11">
        <v>59245489.740000002</v>
      </c>
      <c r="G22" s="11">
        <v>58790398.57</v>
      </c>
      <c r="H22" s="12">
        <v>58373763.030000001</v>
      </c>
      <c r="I22" s="12">
        <v>57925647.18</v>
      </c>
      <c r="J22" s="12">
        <v>57784188.880000003</v>
      </c>
      <c r="K22" s="12">
        <v>57323059.75</v>
      </c>
      <c r="L22" s="12">
        <v>56907655.579999998</v>
      </c>
      <c r="M22" s="12">
        <v>56445751.43</v>
      </c>
      <c r="N22" s="12">
        <v>55983847.280000001</v>
      </c>
      <c r="O22" s="12">
        <v>55983847.280000001</v>
      </c>
      <c r="P22" s="143">
        <v>55593701.07</v>
      </c>
      <c r="Q22" s="143">
        <v>55203554.859999999</v>
      </c>
      <c r="R22" s="143">
        <v>55010723.329999998</v>
      </c>
      <c r="S22" s="143">
        <v>54836232.799999997</v>
      </c>
      <c r="T22" s="143">
        <v>54609860.969999999</v>
      </c>
      <c r="U22" s="143">
        <v>54369089.140000001</v>
      </c>
      <c r="V22" s="143">
        <v>53970291.039999999</v>
      </c>
      <c r="W22" s="143">
        <v>53684202.609999999</v>
      </c>
      <c r="X22" s="163">
        <v>56389731.920000002</v>
      </c>
      <c r="Y22" s="165">
        <v>55953145.229999997</v>
      </c>
      <c r="Z22" s="165">
        <v>55516558.539999999</v>
      </c>
      <c r="AA22" s="166">
        <v>55079971.850000001</v>
      </c>
      <c r="AB22" s="166">
        <v>55079971.850000001</v>
      </c>
      <c r="AC22" s="163">
        <v>6977431.75</v>
      </c>
      <c r="AD22" s="165">
        <v>6879106.4500000002</v>
      </c>
      <c r="AE22" s="165">
        <v>6565342.2300000004</v>
      </c>
      <c r="AF22" s="165">
        <v>6467016.7300000004</v>
      </c>
      <c r="AG22" s="165">
        <v>6368691</v>
      </c>
      <c r="AH22" s="165">
        <v>6270366</v>
      </c>
      <c r="AI22" s="165">
        <v>6172040.2300000004</v>
      </c>
      <c r="AJ22" s="165">
        <v>6106214.7300000004</v>
      </c>
      <c r="AK22" s="165">
        <v>6117277</v>
      </c>
      <c r="AL22" s="165">
        <v>7114777.7300000004</v>
      </c>
      <c r="AM22" s="165">
        <v>6315749.7300000004</v>
      </c>
      <c r="AN22" s="181">
        <v>6465276.7300000004</v>
      </c>
      <c r="AO22" s="181">
        <v>53236684</v>
      </c>
      <c r="AP22" s="163">
        <v>52874529.640000001</v>
      </c>
      <c r="AQ22" s="165">
        <v>52683377.409999996</v>
      </c>
      <c r="AR22" s="165">
        <v>52319443.93</v>
      </c>
      <c r="AS22" s="163">
        <v>51955510.450000003</v>
      </c>
      <c r="AT22" s="209">
        <v>51591576.969999999</v>
      </c>
      <c r="AU22" s="163">
        <v>51227643.490000002</v>
      </c>
      <c r="AV22" s="163">
        <v>56363710.009999998</v>
      </c>
      <c r="AW22" s="244">
        <v>55988318.200000003</v>
      </c>
      <c r="AX22" s="246">
        <v>57169298.390000001</v>
      </c>
    </row>
    <row r="23" spans="1:50">
      <c r="A23" s="15">
        <v>6.3</v>
      </c>
      <c r="B23" s="8" t="s">
        <v>27</v>
      </c>
      <c r="C23" s="10"/>
      <c r="D23" s="11">
        <v>0</v>
      </c>
      <c r="E23" s="11">
        <v>0</v>
      </c>
      <c r="F23" s="11">
        <v>0</v>
      </c>
      <c r="G23" s="11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/>
      <c r="P23" s="143">
        <v>0</v>
      </c>
      <c r="Q23" s="143">
        <v>0</v>
      </c>
      <c r="R23" s="143">
        <v>0</v>
      </c>
      <c r="S23" s="143">
        <v>0</v>
      </c>
      <c r="T23" s="143">
        <v>0</v>
      </c>
      <c r="U23" s="143">
        <v>0</v>
      </c>
      <c r="V23" s="143">
        <v>0</v>
      </c>
      <c r="W23" s="143">
        <v>0</v>
      </c>
      <c r="X23" s="162">
        <v>0</v>
      </c>
      <c r="Y23" s="164">
        <v>0</v>
      </c>
      <c r="Z23" s="164">
        <v>0</v>
      </c>
      <c r="AA23" s="167">
        <v>0</v>
      </c>
      <c r="AB23" s="170"/>
      <c r="AC23" s="162">
        <v>0</v>
      </c>
      <c r="AD23" s="164">
        <v>0</v>
      </c>
      <c r="AE23" s="164">
        <v>0</v>
      </c>
      <c r="AF23" s="164">
        <v>0</v>
      </c>
      <c r="AG23" s="164">
        <v>0</v>
      </c>
      <c r="AH23" s="164">
        <v>0</v>
      </c>
      <c r="AI23" s="164">
        <v>0</v>
      </c>
      <c r="AJ23" s="164">
        <v>0</v>
      </c>
      <c r="AK23" s="164">
        <v>0</v>
      </c>
      <c r="AL23" s="164">
        <v>0</v>
      </c>
      <c r="AM23" s="164">
        <v>0</v>
      </c>
      <c r="AN23" s="180">
        <v>0</v>
      </c>
      <c r="AO23" s="180"/>
      <c r="AP23" s="162">
        <v>0</v>
      </c>
      <c r="AQ23" s="164">
        <v>0</v>
      </c>
      <c r="AR23" s="164">
        <v>0</v>
      </c>
      <c r="AS23" s="162">
        <v>0</v>
      </c>
      <c r="AT23" s="208">
        <v>0</v>
      </c>
      <c r="AU23" s="162">
        <v>0</v>
      </c>
      <c r="AV23" s="162">
        <v>0</v>
      </c>
      <c r="AW23" s="243">
        <v>0</v>
      </c>
      <c r="AX23" s="245">
        <v>0</v>
      </c>
    </row>
    <row r="24" spans="1:50" ht="14.25">
      <c r="A24" s="15">
        <v>6.4</v>
      </c>
      <c r="B24" s="8" t="s">
        <v>28</v>
      </c>
      <c r="C24" s="10"/>
      <c r="D24" s="11">
        <v>10540759.890000001</v>
      </c>
      <c r="E24" s="11">
        <v>10362102.939999999</v>
      </c>
      <c r="F24" s="11">
        <v>10183445.99</v>
      </c>
      <c r="G24" s="11">
        <v>10004789.039999999</v>
      </c>
      <c r="H24" s="12">
        <v>9826132.0899999999</v>
      </c>
      <c r="I24" s="12">
        <v>9647475.1400000006</v>
      </c>
      <c r="J24" s="12">
        <v>9726228.2699999996</v>
      </c>
      <c r="K24" s="12">
        <v>9540180.3499999996</v>
      </c>
      <c r="L24" s="12">
        <v>10042465.76</v>
      </c>
      <c r="M24" s="12">
        <v>9844751.1699999999</v>
      </c>
      <c r="N24" s="12">
        <v>9647036.5800000001</v>
      </c>
      <c r="O24" s="12">
        <v>9647036.5800000001</v>
      </c>
      <c r="P24" s="143">
        <v>9486252.6600000001</v>
      </c>
      <c r="Q24" s="143">
        <v>11044588.74</v>
      </c>
      <c r="R24" s="143">
        <v>10855152.82</v>
      </c>
      <c r="S24" s="143">
        <v>10665716.9</v>
      </c>
      <c r="T24" s="143">
        <v>10476280.98</v>
      </c>
      <c r="U24" s="143">
        <v>10286845.060000001</v>
      </c>
      <c r="V24" s="143">
        <v>10097409.140000001</v>
      </c>
      <c r="W24" s="143">
        <v>9907973.2200000007</v>
      </c>
      <c r="X24" s="163">
        <v>9718537.3000000007</v>
      </c>
      <c r="Y24" s="165">
        <v>9529101.3800000008</v>
      </c>
      <c r="Z24" s="165">
        <v>9339665.4600000009</v>
      </c>
      <c r="AA24" s="166">
        <v>9150229.5399999991</v>
      </c>
      <c r="AB24" s="166">
        <v>9150229.5399999991</v>
      </c>
      <c r="AC24" s="163">
        <v>915280.2</v>
      </c>
      <c r="AD24" s="165">
        <v>899767</v>
      </c>
      <c r="AE24" s="165">
        <v>812280</v>
      </c>
      <c r="AF24" s="165">
        <v>796767</v>
      </c>
      <c r="AG24" s="165">
        <v>781254</v>
      </c>
      <c r="AH24" s="165">
        <v>765741</v>
      </c>
      <c r="AI24" s="165">
        <v>750228</v>
      </c>
      <c r="AJ24" s="165">
        <v>734715</v>
      </c>
      <c r="AK24" s="165">
        <v>719202</v>
      </c>
      <c r="AL24" s="165">
        <v>703689</v>
      </c>
      <c r="AM24" s="165">
        <v>688176</v>
      </c>
      <c r="AN24" s="181">
        <v>672663</v>
      </c>
      <c r="AO24" s="181"/>
      <c r="AP24" s="163">
        <v>7312589.2800000003</v>
      </c>
      <c r="AQ24" s="165">
        <v>7188647.0999999996</v>
      </c>
      <c r="AR24" s="165">
        <v>7064704.9199999999</v>
      </c>
      <c r="AS24" s="163">
        <v>6940762.7400000002</v>
      </c>
      <c r="AT24" s="209">
        <v>6816820.5599999996</v>
      </c>
      <c r="AU24" s="163">
        <v>6692878.3799999999</v>
      </c>
      <c r="AV24" s="163">
        <v>15918936.199999999</v>
      </c>
      <c r="AW24" s="244">
        <v>15751660.689999999</v>
      </c>
      <c r="AX24" s="246">
        <v>15471885.18</v>
      </c>
    </row>
    <row r="25" spans="1:50">
      <c r="A25" s="15">
        <v>6.5</v>
      </c>
      <c r="B25" s="8" t="s">
        <v>29</v>
      </c>
      <c r="C25" s="10"/>
      <c r="D25" s="11">
        <v>0</v>
      </c>
      <c r="E25" s="11">
        <v>0</v>
      </c>
      <c r="F25" s="11">
        <v>0</v>
      </c>
      <c r="G25" s="11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6"/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62">
        <v>0</v>
      </c>
      <c r="Y25" s="164">
        <v>0</v>
      </c>
      <c r="Z25" s="164">
        <v>0</v>
      </c>
      <c r="AA25" s="167">
        <v>0</v>
      </c>
      <c r="AB25" s="170"/>
      <c r="AC25" s="162">
        <v>0</v>
      </c>
      <c r="AD25" s="164">
        <v>0</v>
      </c>
      <c r="AE25" s="164">
        <v>0</v>
      </c>
      <c r="AF25" s="164">
        <v>0</v>
      </c>
      <c r="AG25" s="164">
        <v>0</v>
      </c>
      <c r="AH25" s="164">
        <v>0</v>
      </c>
      <c r="AI25" s="165">
        <v>473500</v>
      </c>
      <c r="AJ25" s="165">
        <v>470900</v>
      </c>
      <c r="AK25" s="165">
        <v>335700</v>
      </c>
      <c r="AL25" s="165">
        <v>91300</v>
      </c>
      <c r="AM25" s="165">
        <v>90000</v>
      </c>
      <c r="AN25" s="178">
        <v>74400</v>
      </c>
      <c r="AO25" s="178"/>
      <c r="AP25" s="162">
        <v>0</v>
      </c>
      <c r="AQ25" s="164">
        <v>0</v>
      </c>
      <c r="AR25" s="164">
        <v>0</v>
      </c>
      <c r="AS25" s="162">
        <v>0</v>
      </c>
      <c r="AT25" s="208">
        <v>0</v>
      </c>
      <c r="AU25" s="162">
        <v>0</v>
      </c>
      <c r="AV25" s="162">
        <v>0</v>
      </c>
      <c r="AW25" s="243">
        <v>0</v>
      </c>
      <c r="AX25" s="245">
        <v>0</v>
      </c>
    </row>
    <row r="26" spans="1:50">
      <c r="A26" s="15"/>
      <c r="B26" s="13" t="s">
        <v>30</v>
      </c>
      <c r="C26" s="17">
        <f t="shared" ref="C26:O26" si="21">C4+C7+C8+C13+C16+C20</f>
        <v>0</v>
      </c>
      <c r="D26" s="17">
        <f t="shared" si="21"/>
        <v>417591700.41999996</v>
      </c>
      <c r="E26" s="17">
        <f t="shared" si="21"/>
        <v>417414363.51999998</v>
      </c>
      <c r="F26" s="17">
        <f t="shared" si="21"/>
        <v>404244003.12</v>
      </c>
      <c r="G26" s="17">
        <f t="shared" si="21"/>
        <v>414180726.76999998</v>
      </c>
      <c r="H26" s="17">
        <f t="shared" si="21"/>
        <v>414019753.83000004</v>
      </c>
      <c r="I26" s="17">
        <f t="shared" si="21"/>
        <v>414337567.44</v>
      </c>
      <c r="J26" s="17">
        <f t="shared" si="21"/>
        <v>405512065.63999999</v>
      </c>
      <c r="K26" s="17">
        <f t="shared" si="21"/>
        <v>395272578.56</v>
      </c>
      <c r="L26" s="17">
        <f t="shared" si="21"/>
        <v>468799213.2899999</v>
      </c>
      <c r="M26" s="17">
        <f t="shared" si="21"/>
        <v>406537798.13999999</v>
      </c>
      <c r="N26" s="17">
        <f t="shared" si="21"/>
        <v>392978893.46000004</v>
      </c>
      <c r="O26" s="17">
        <f t="shared" si="21"/>
        <v>395271644.47000003</v>
      </c>
      <c r="P26" s="17">
        <f t="shared" ref="P26:AB26" si="22">P4+P7+P8+P13+P16+P20</f>
        <v>397998946.29000002</v>
      </c>
      <c r="Q26" s="17">
        <f t="shared" si="22"/>
        <v>404108947.79000002</v>
      </c>
      <c r="R26" s="17">
        <f t="shared" si="22"/>
        <v>389365667.31</v>
      </c>
      <c r="S26" s="17">
        <f t="shared" si="22"/>
        <v>411678328.18000001</v>
      </c>
      <c r="T26" s="17">
        <f t="shared" si="22"/>
        <v>392273037.38</v>
      </c>
      <c r="U26" s="17">
        <f t="shared" si="22"/>
        <v>395741367.20999998</v>
      </c>
      <c r="V26" s="17">
        <f t="shared" si="22"/>
        <v>406514985.54000002</v>
      </c>
      <c r="W26" s="17">
        <f t="shared" si="22"/>
        <v>400443439.53999996</v>
      </c>
      <c r="X26" s="17">
        <f t="shared" si="22"/>
        <v>394383111.79999995</v>
      </c>
      <c r="Y26" s="17">
        <f t="shared" si="22"/>
        <v>461393510.94</v>
      </c>
      <c r="Z26" s="17">
        <f t="shared" si="22"/>
        <v>400017978.25999999</v>
      </c>
      <c r="AA26" s="17">
        <f t="shared" si="22"/>
        <v>390333250.97000003</v>
      </c>
      <c r="AB26" s="172">
        <f t="shared" si="22"/>
        <v>389857907.79999995</v>
      </c>
      <c r="AC26" s="172">
        <f t="shared" ref="AC26:AN26" si="23">AC4+AC7+AC8+AC13+AC16+AC20</f>
        <v>431713426.55000001</v>
      </c>
      <c r="AD26" s="172">
        <f t="shared" si="23"/>
        <v>438844056.62</v>
      </c>
      <c r="AE26" s="172">
        <f t="shared" si="23"/>
        <v>439478077.35000002</v>
      </c>
      <c r="AF26" s="172">
        <f t="shared" si="23"/>
        <v>425832791.95000005</v>
      </c>
      <c r="AG26" s="172">
        <f t="shared" si="23"/>
        <v>431319703</v>
      </c>
      <c r="AH26" s="172">
        <f t="shared" si="23"/>
        <v>440487079</v>
      </c>
      <c r="AI26" s="172">
        <f t="shared" si="23"/>
        <v>434397043.17000008</v>
      </c>
      <c r="AJ26" s="172">
        <f t="shared" si="23"/>
        <v>445715710.93000001</v>
      </c>
      <c r="AK26" s="172">
        <f t="shared" si="23"/>
        <v>445078654</v>
      </c>
      <c r="AL26" s="172">
        <f t="shared" si="23"/>
        <v>448802925.59000003</v>
      </c>
      <c r="AM26" s="172">
        <f t="shared" si="23"/>
        <v>448387214.07000005</v>
      </c>
      <c r="AN26" s="200">
        <f t="shared" si="23"/>
        <v>453443496.04000002</v>
      </c>
      <c r="AO26" s="188">
        <f t="shared" ref="AO26:AX26" si="24">AO4+AO7+AO8+AO13+AO16+AO20</f>
        <v>138197896</v>
      </c>
      <c r="AP26" s="188">
        <f t="shared" si="24"/>
        <v>405245620.36000001</v>
      </c>
      <c r="AQ26" s="188">
        <f t="shared" si="24"/>
        <v>411061398.48000002</v>
      </c>
      <c r="AR26" s="188">
        <f t="shared" si="24"/>
        <v>397729426.84000003</v>
      </c>
      <c r="AS26" s="188">
        <f t="shared" si="24"/>
        <v>401604121.82999998</v>
      </c>
      <c r="AT26" s="188">
        <f t="shared" si="24"/>
        <v>397106634.92999995</v>
      </c>
      <c r="AU26" s="188">
        <f t="shared" si="24"/>
        <v>410936682.87</v>
      </c>
      <c r="AV26" s="188">
        <f t="shared" si="24"/>
        <v>421829884.10999995</v>
      </c>
      <c r="AW26" s="188">
        <f t="shared" si="24"/>
        <v>421806711.81999999</v>
      </c>
      <c r="AX26" s="188">
        <f t="shared" si="24"/>
        <v>421885316.42000002</v>
      </c>
    </row>
    <row r="27" spans="1:50" ht="15" customHeight="1">
      <c r="A27" s="15">
        <v>7</v>
      </c>
      <c r="B27" s="8" t="s">
        <v>31</v>
      </c>
      <c r="C27" s="10"/>
      <c r="D27" s="11">
        <v>59630574.439999998</v>
      </c>
      <c r="E27" s="11">
        <v>58215785.729999997</v>
      </c>
      <c r="F27" s="11">
        <v>49872823.520000003</v>
      </c>
      <c r="G27" s="11">
        <v>55465019.210000001</v>
      </c>
      <c r="H27" s="12">
        <v>53901543.880000003</v>
      </c>
      <c r="I27" s="12">
        <v>55761278.630000003</v>
      </c>
      <c r="J27" s="12">
        <v>50262043.850000001</v>
      </c>
      <c r="K27" s="12">
        <v>55289577.840000004</v>
      </c>
      <c r="L27" s="12">
        <v>122568922.08</v>
      </c>
      <c r="M27" s="12">
        <v>66576679.109999999</v>
      </c>
      <c r="N27" s="12">
        <v>59169382.560000002</v>
      </c>
      <c r="O27" s="12">
        <v>59169382.560000002</v>
      </c>
      <c r="P27" s="143">
        <v>60234819.57</v>
      </c>
      <c r="Q27" s="143">
        <v>67496601.719999999</v>
      </c>
      <c r="R27" s="143">
        <v>53350485.859999999</v>
      </c>
      <c r="S27" s="143">
        <v>63129250.369999997</v>
      </c>
      <c r="T27" s="143">
        <v>50746612.310000002</v>
      </c>
      <c r="U27" s="143">
        <v>52127298.140000001</v>
      </c>
      <c r="V27" s="143">
        <v>59765850.350000001</v>
      </c>
      <c r="W27" s="143">
        <v>54341050.82</v>
      </c>
      <c r="X27" s="159">
        <v>50600951.299999997</v>
      </c>
      <c r="Y27" s="161">
        <v>121545125.81999999</v>
      </c>
      <c r="Z27" s="161">
        <v>64046008.939999998</v>
      </c>
      <c r="AA27" s="166">
        <v>51498067.090000004</v>
      </c>
      <c r="AB27" s="166">
        <v>51498067.090000004</v>
      </c>
      <c r="AC27" s="159">
        <v>4796073.58</v>
      </c>
      <c r="AD27" s="161">
        <v>12045479.449999999</v>
      </c>
      <c r="AE27" s="161">
        <v>11884977.029999999</v>
      </c>
      <c r="AF27" s="161">
        <v>14850075.15</v>
      </c>
      <c r="AG27" s="161">
        <v>8255800</v>
      </c>
      <c r="AH27" s="161">
        <v>18089489</v>
      </c>
      <c r="AI27" s="161">
        <v>10059812.77</v>
      </c>
      <c r="AJ27" s="161">
        <v>15845535.060000001</v>
      </c>
      <c r="AK27" s="161">
        <v>9427938</v>
      </c>
      <c r="AL27" s="161">
        <v>12242542.85</v>
      </c>
      <c r="AM27" s="161">
        <v>12450431.119999999</v>
      </c>
      <c r="AN27" s="179">
        <v>5374149.7300000004</v>
      </c>
      <c r="AO27" s="179">
        <v>55901331</v>
      </c>
      <c r="AP27" s="159">
        <v>58281030.399999999</v>
      </c>
      <c r="AQ27" s="161">
        <v>65788963.719999999</v>
      </c>
      <c r="AR27" s="161">
        <v>55613516.950000003</v>
      </c>
      <c r="AS27" s="159">
        <v>59602930.880000003</v>
      </c>
      <c r="AT27" s="207">
        <v>56839921.979999997</v>
      </c>
      <c r="AU27" s="159">
        <v>58477195.170000002</v>
      </c>
      <c r="AV27" s="159">
        <v>63167258.369999997</v>
      </c>
      <c r="AW27" s="240">
        <v>62771252.439999998</v>
      </c>
      <c r="AX27" s="242">
        <v>64411686.68</v>
      </c>
    </row>
    <row r="28" spans="1:50" ht="14.25">
      <c r="A28" s="15">
        <v>8</v>
      </c>
      <c r="B28" s="8" t="s">
        <v>32</v>
      </c>
      <c r="C28" s="10"/>
      <c r="D28" s="11">
        <v>20345998.789999999</v>
      </c>
      <c r="E28" s="11">
        <v>21480874.789999999</v>
      </c>
      <c r="F28" s="11">
        <v>21124179.789999999</v>
      </c>
      <c r="G28" s="11">
        <v>18516429.789999999</v>
      </c>
      <c r="H28" s="12">
        <v>20682591.539999999</v>
      </c>
      <c r="I28" s="12">
        <v>20527833.530000001</v>
      </c>
      <c r="J28" s="12">
        <v>21739977.530000001</v>
      </c>
      <c r="K28" s="12">
        <v>21752977.530000001</v>
      </c>
      <c r="L28" s="12">
        <v>19608177.530000001</v>
      </c>
      <c r="M28" s="12">
        <v>18407035.030000001</v>
      </c>
      <c r="N28" s="12">
        <v>16835433.170000002</v>
      </c>
      <c r="O28" s="12">
        <v>16835433.170000002</v>
      </c>
      <c r="P28" s="143">
        <v>18842815.18</v>
      </c>
      <c r="Q28" s="143">
        <v>16998236.48</v>
      </c>
      <c r="R28" s="143">
        <v>16918836.989999998</v>
      </c>
      <c r="S28" s="143">
        <v>17650466.989999998</v>
      </c>
      <c r="T28" s="143">
        <v>17978510.989999998</v>
      </c>
      <c r="U28" s="143">
        <v>17090558.989999998</v>
      </c>
      <c r="V28" s="143">
        <v>19883251.98</v>
      </c>
      <c r="W28" s="143">
        <v>21390001.98</v>
      </c>
      <c r="X28" s="163">
        <v>22409160.379999999</v>
      </c>
      <c r="Y28" s="165">
        <v>21580907.379999999</v>
      </c>
      <c r="Z28" s="165">
        <v>21672292.379999999</v>
      </c>
      <c r="AA28" s="166">
        <v>21063922.379999999</v>
      </c>
      <c r="AB28" s="166">
        <v>21063922.379999999</v>
      </c>
      <c r="AC28" s="163">
        <v>21328690</v>
      </c>
      <c r="AD28" s="165">
        <v>21290324.859999999</v>
      </c>
      <c r="AE28" s="165">
        <v>20547398</v>
      </c>
      <c r="AF28" s="165">
        <v>15715130</v>
      </c>
      <c r="AG28" s="165">
        <v>22545221</v>
      </c>
      <c r="AH28" s="165">
        <v>19886971</v>
      </c>
      <c r="AI28" s="165">
        <v>21043065</v>
      </c>
      <c r="AJ28" s="165">
        <v>21028004</v>
      </c>
      <c r="AK28" s="165">
        <v>24723621</v>
      </c>
      <c r="AL28" s="165">
        <v>21281583</v>
      </c>
      <c r="AM28" s="165">
        <v>18662705</v>
      </c>
      <c r="AN28" s="181">
        <v>25266564</v>
      </c>
      <c r="AO28" s="179">
        <v>24478057</v>
      </c>
      <c r="AP28" s="163">
        <v>24061298.530000001</v>
      </c>
      <c r="AQ28" s="165">
        <v>21850755.530000001</v>
      </c>
      <c r="AR28" s="165">
        <v>23473843.530000001</v>
      </c>
      <c r="AS28" s="163">
        <v>25191892.530000001</v>
      </c>
      <c r="AT28" s="209">
        <v>24724233.530000001</v>
      </c>
      <c r="AU28" s="163">
        <v>24991461.530000001</v>
      </c>
      <c r="AV28" s="163">
        <v>24330052.530000001</v>
      </c>
      <c r="AW28" s="244">
        <v>25088038.780000001</v>
      </c>
      <c r="AX28" s="246">
        <v>24470524.43</v>
      </c>
    </row>
    <row r="29" spans="1:50" ht="15" customHeight="1">
      <c r="A29" s="15">
        <v>9</v>
      </c>
      <c r="B29" s="8" t="s">
        <v>33</v>
      </c>
      <c r="C29" s="10"/>
      <c r="D29" s="11">
        <v>100435380.84999999</v>
      </c>
      <c r="E29" s="11">
        <v>100298416.84999999</v>
      </c>
      <c r="F29" s="11">
        <v>100380822.95</v>
      </c>
      <c r="G29" s="11">
        <v>100498192.51000001</v>
      </c>
      <c r="H29" s="12">
        <v>100615495.70999999</v>
      </c>
      <c r="I29" s="12">
        <v>100808753.38</v>
      </c>
      <c r="J29" s="12">
        <v>101327998.94</v>
      </c>
      <c r="K29" s="12">
        <v>99983310.439999998</v>
      </c>
      <c r="L29" s="12">
        <v>102682132.98</v>
      </c>
      <c r="M29" s="12">
        <v>102888116.98</v>
      </c>
      <c r="N29" s="12">
        <v>102657310.63</v>
      </c>
      <c r="O29" s="12">
        <v>102657310.63</v>
      </c>
      <c r="P29" s="143">
        <v>102999555.88</v>
      </c>
      <c r="Q29" s="143">
        <v>103508847.43000001</v>
      </c>
      <c r="R29" s="143">
        <v>104075269.3</v>
      </c>
      <c r="S29" s="143">
        <v>105055038.3</v>
      </c>
      <c r="T29" s="143">
        <v>105408793.25</v>
      </c>
      <c r="U29" s="143">
        <v>103108787.17</v>
      </c>
      <c r="V29" s="143">
        <v>104140583.95999999</v>
      </c>
      <c r="W29" s="143">
        <v>104780118.20999999</v>
      </c>
      <c r="X29" s="163">
        <v>105152831.95999999</v>
      </c>
      <c r="Y29" s="165">
        <v>106868996.72</v>
      </c>
      <c r="Z29" s="165">
        <v>107102394.31999999</v>
      </c>
      <c r="AA29" s="166">
        <v>108489126.67</v>
      </c>
      <c r="AB29" s="166">
        <v>108489126.67</v>
      </c>
      <c r="AC29" s="163">
        <v>260780246.77000001</v>
      </c>
      <c r="AD29" s="165">
        <v>257574780.31999999</v>
      </c>
      <c r="AE29" s="165">
        <v>260928300.34999999</v>
      </c>
      <c r="AF29" s="165">
        <v>261007681.93000001</v>
      </c>
      <c r="AG29" s="165">
        <v>259991196</v>
      </c>
      <c r="AH29" s="165">
        <v>261577229</v>
      </c>
      <c r="AI29" s="165">
        <v>263389749.16999999</v>
      </c>
      <c r="AJ29" s="165">
        <v>264275560.56999999</v>
      </c>
      <c r="AK29" s="165">
        <v>262780561</v>
      </c>
      <c r="AL29" s="165">
        <v>268105720.86000001</v>
      </c>
      <c r="AM29" s="165">
        <v>270945728.74000001</v>
      </c>
      <c r="AN29" s="178">
        <v>271641427.06999999</v>
      </c>
      <c r="AO29" s="189">
        <f>142125456-AO28</f>
        <v>117647399</v>
      </c>
      <c r="AP29" s="163">
        <v>118331765.43000001</v>
      </c>
      <c r="AQ29" s="165">
        <v>118888596.93000001</v>
      </c>
      <c r="AR29" s="165">
        <v>118941436.3</v>
      </c>
      <c r="AS29" s="163">
        <v>118902652.48</v>
      </c>
      <c r="AT29" s="209">
        <v>119191621.27</v>
      </c>
      <c r="AU29" s="163">
        <v>119696276.42</v>
      </c>
      <c r="AV29" s="163">
        <v>120265003</v>
      </c>
      <c r="AW29" s="244">
        <v>120805971.3</v>
      </c>
      <c r="AX29" s="246">
        <v>120818672.05</v>
      </c>
    </row>
    <row r="30" spans="1:50">
      <c r="A30" s="15"/>
      <c r="B30" s="13" t="s">
        <v>34</v>
      </c>
      <c r="C30" s="14">
        <f t="shared" ref="C30:O30" si="25">SUM(C27:C29)</f>
        <v>0</v>
      </c>
      <c r="D30" s="14">
        <f t="shared" si="25"/>
        <v>180411954.07999998</v>
      </c>
      <c r="E30" s="14">
        <f t="shared" si="25"/>
        <v>179995077.37</v>
      </c>
      <c r="F30" s="14">
        <f t="shared" si="25"/>
        <v>171377826.25999999</v>
      </c>
      <c r="G30" s="14">
        <f t="shared" si="25"/>
        <v>174479641.50999999</v>
      </c>
      <c r="H30" s="14">
        <f t="shared" si="25"/>
        <v>175199631.13</v>
      </c>
      <c r="I30" s="14">
        <f t="shared" si="25"/>
        <v>177097865.53999999</v>
      </c>
      <c r="J30" s="14">
        <f t="shared" si="25"/>
        <v>173330020.31999999</v>
      </c>
      <c r="K30" s="14">
        <f t="shared" si="25"/>
        <v>177025865.81</v>
      </c>
      <c r="L30" s="14">
        <f t="shared" si="25"/>
        <v>244859232.59000003</v>
      </c>
      <c r="M30" s="14">
        <f t="shared" si="25"/>
        <v>187871831.12</v>
      </c>
      <c r="N30" s="14">
        <f t="shared" si="25"/>
        <v>178662126.36000001</v>
      </c>
      <c r="O30" s="14">
        <f t="shared" si="25"/>
        <v>178662126.36000001</v>
      </c>
      <c r="P30" s="14">
        <f t="shared" ref="P30:W30" si="26">SUM(P27:P29)</f>
        <v>182077190.63</v>
      </c>
      <c r="Q30" s="14">
        <f t="shared" si="26"/>
        <v>188003685.63</v>
      </c>
      <c r="R30" s="14">
        <f t="shared" si="26"/>
        <v>174344592.14999998</v>
      </c>
      <c r="S30" s="14">
        <f t="shared" si="26"/>
        <v>185834755.66</v>
      </c>
      <c r="T30" s="14">
        <f t="shared" si="26"/>
        <v>174133916.55000001</v>
      </c>
      <c r="U30" s="14">
        <f t="shared" si="26"/>
        <v>172326644.30000001</v>
      </c>
      <c r="V30" s="14">
        <f t="shared" si="26"/>
        <v>183789686.28999999</v>
      </c>
      <c r="W30" s="14">
        <f t="shared" si="26"/>
        <v>180511171.00999999</v>
      </c>
      <c r="X30" s="14">
        <f t="shared" ref="X30:AB30" si="27">SUM(X27:X29)</f>
        <v>178162943.63999999</v>
      </c>
      <c r="Y30" s="14">
        <f t="shared" si="27"/>
        <v>249995029.91999999</v>
      </c>
      <c r="Z30" s="14">
        <f t="shared" si="27"/>
        <v>192820695.63999999</v>
      </c>
      <c r="AA30" s="14">
        <f t="shared" si="27"/>
        <v>181051116.13999999</v>
      </c>
      <c r="AB30" s="171">
        <f t="shared" si="27"/>
        <v>181051116.13999999</v>
      </c>
      <c r="AC30" s="171">
        <f t="shared" ref="AC30:AN30" si="28">SUM(AC27:AC29)</f>
        <v>286905010.35000002</v>
      </c>
      <c r="AD30" s="171">
        <f t="shared" si="28"/>
        <v>290910584.63</v>
      </c>
      <c r="AE30" s="171">
        <f t="shared" si="28"/>
        <v>293360675.38</v>
      </c>
      <c r="AF30" s="171">
        <f t="shared" si="28"/>
        <v>291572887.07999998</v>
      </c>
      <c r="AG30" s="171">
        <f t="shared" si="28"/>
        <v>290792217</v>
      </c>
      <c r="AH30" s="171">
        <f t="shared" si="28"/>
        <v>299553689</v>
      </c>
      <c r="AI30" s="171">
        <f t="shared" si="28"/>
        <v>294492626.94</v>
      </c>
      <c r="AJ30" s="171">
        <f t="shared" si="28"/>
        <v>301149099.63</v>
      </c>
      <c r="AK30" s="171">
        <f t="shared" si="28"/>
        <v>296932120</v>
      </c>
      <c r="AL30" s="171">
        <f t="shared" si="28"/>
        <v>301629846.71000004</v>
      </c>
      <c r="AM30" s="171">
        <f t="shared" si="28"/>
        <v>302058864.86000001</v>
      </c>
      <c r="AN30" s="199">
        <f t="shared" si="28"/>
        <v>302282140.80000001</v>
      </c>
      <c r="AO30" s="183">
        <f t="shared" ref="AO30:AV30" si="29">SUM(AO27:AO29)</f>
        <v>198026787</v>
      </c>
      <c r="AP30" s="183">
        <f t="shared" si="29"/>
        <v>200674094.36000001</v>
      </c>
      <c r="AQ30" s="183">
        <f t="shared" si="29"/>
        <v>206528316.18000001</v>
      </c>
      <c r="AR30" s="183">
        <f t="shared" si="29"/>
        <v>198028796.78</v>
      </c>
      <c r="AS30" s="183">
        <f t="shared" si="29"/>
        <v>203697475.88999999</v>
      </c>
      <c r="AT30" s="183">
        <f t="shared" si="29"/>
        <v>200755776.77999997</v>
      </c>
      <c r="AU30" s="183">
        <f t="shared" si="29"/>
        <v>203164933.12</v>
      </c>
      <c r="AV30" s="183">
        <f t="shared" si="29"/>
        <v>207762313.90000001</v>
      </c>
      <c r="AW30" s="183">
        <f t="shared" ref="AW30:AX30" si="30">SUM(AW27:AW29)</f>
        <v>208665262.51999998</v>
      </c>
      <c r="AX30" s="183">
        <f t="shared" si="30"/>
        <v>209700883.16</v>
      </c>
    </row>
    <row r="31" spans="1:50">
      <c r="A31" s="15">
        <v>10</v>
      </c>
      <c r="B31" s="13" t="s">
        <v>35</v>
      </c>
      <c r="C31" s="18">
        <f t="shared" ref="C31" si="31">SUM(C32:C37)</f>
        <v>0</v>
      </c>
      <c r="D31" s="18">
        <f t="shared" ref="D31:O31" si="32">SUM(D32:D37)</f>
        <v>66860975.5</v>
      </c>
      <c r="E31" s="18">
        <f t="shared" si="32"/>
        <v>67260168.859999999</v>
      </c>
      <c r="F31" s="18">
        <f t="shared" si="32"/>
        <v>69784792.260000005</v>
      </c>
      <c r="G31" s="18">
        <f t="shared" si="32"/>
        <v>67455040.310000002</v>
      </c>
      <c r="H31" s="18">
        <f t="shared" si="32"/>
        <v>66708258.060000002</v>
      </c>
      <c r="I31" s="18">
        <f t="shared" si="32"/>
        <v>65393208.850000001</v>
      </c>
      <c r="J31" s="18">
        <f t="shared" si="32"/>
        <v>62636745.240000002</v>
      </c>
      <c r="K31" s="18">
        <f t="shared" si="32"/>
        <v>48120913.769999996</v>
      </c>
      <c r="L31" s="18">
        <f t="shared" si="32"/>
        <v>48975574.219999999</v>
      </c>
      <c r="M31" s="18">
        <f t="shared" si="32"/>
        <v>44562266.799999997</v>
      </c>
      <c r="N31" s="18">
        <f t="shared" si="32"/>
        <v>42889389.420000002</v>
      </c>
      <c r="O31" s="18">
        <f t="shared" si="32"/>
        <v>49252717</v>
      </c>
      <c r="P31" s="18">
        <f t="shared" ref="P31:W31" si="33">SUM(P32:P37)</f>
        <v>43741726.549999997</v>
      </c>
      <c r="Q31" s="18">
        <f t="shared" si="33"/>
        <v>42907823.780000001</v>
      </c>
      <c r="R31" s="18">
        <f t="shared" si="33"/>
        <v>40891872.329999998</v>
      </c>
      <c r="S31" s="18">
        <f t="shared" si="33"/>
        <v>39840185.490000002</v>
      </c>
      <c r="T31" s="18">
        <f t="shared" si="33"/>
        <v>36082977.950000003</v>
      </c>
      <c r="U31" s="18">
        <f t="shared" si="33"/>
        <v>39943288.789999999</v>
      </c>
      <c r="V31" s="18">
        <f t="shared" si="33"/>
        <v>37147672.990000002</v>
      </c>
      <c r="W31" s="18">
        <f t="shared" si="33"/>
        <v>37327963.469999999</v>
      </c>
      <c r="X31" s="18">
        <f t="shared" ref="X31:AB31" si="34">SUM(X32:X37)</f>
        <v>33400207.629999999</v>
      </c>
      <c r="Y31" s="18">
        <f t="shared" si="34"/>
        <v>28330103.620000001</v>
      </c>
      <c r="Z31" s="18">
        <f t="shared" si="34"/>
        <v>25497793.359999999</v>
      </c>
      <c r="AA31" s="18">
        <f t="shared" si="34"/>
        <v>24384372.120000001</v>
      </c>
      <c r="AB31" s="173">
        <f t="shared" si="34"/>
        <v>33913239.100000001</v>
      </c>
      <c r="AC31" s="173">
        <f t="shared" ref="AC31:AN31" si="35">SUM(AC32:AC37)</f>
        <v>37703463.18</v>
      </c>
      <c r="AD31" s="173">
        <f t="shared" si="35"/>
        <v>36642207.259999998</v>
      </c>
      <c r="AE31" s="173">
        <f t="shared" si="35"/>
        <v>38122765.129999995</v>
      </c>
      <c r="AF31" s="173">
        <f t="shared" si="35"/>
        <v>21676920.98</v>
      </c>
      <c r="AG31" s="173">
        <f t="shared" si="35"/>
        <v>22210259</v>
      </c>
      <c r="AH31" s="173">
        <f t="shared" si="35"/>
        <v>18398139</v>
      </c>
      <c r="AI31" s="173">
        <f t="shared" si="35"/>
        <v>15418469.710000001</v>
      </c>
      <c r="AJ31" s="173">
        <f t="shared" si="35"/>
        <v>14783859.51</v>
      </c>
      <c r="AK31" s="173">
        <f t="shared" si="35"/>
        <v>14232421</v>
      </c>
      <c r="AL31" s="173">
        <f t="shared" si="35"/>
        <v>13233458.51</v>
      </c>
      <c r="AM31" s="173">
        <f t="shared" si="35"/>
        <v>11991619.75</v>
      </c>
      <c r="AN31" s="201">
        <f t="shared" si="35"/>
        <v>29195516.990000002</v>
      </c>
      <c r="AO31" s="187">
        <f t="shared" ref="AO31:AV31" si="36">SUM(AO32:AO37)</f>
        <v>11669698</v>
      </c>
      <c r="AP31" s="187">
        <f t="shared" si="36"/>
        <v>7390938.5800000001</v>
      </c>
      <c r="AQ31" s="187">
        <f t="shared" si="36"/>
        <v>18191870.949999999</v>
      </c>
      <c r="AR31" s="187">
        <f t="shared" si="36"/>
        <v>11624166.82</v>
      </c>
      <c r="AS31" s="187">
        <f t="shared" si="36"/>
        <v>9151042.5999999996</v>
      </c>
      <c r="AT31" s="187">
        <f t="shared" si="36"/>
        <v>6960767</v>
      </c>
      <c r="AU31" s="187">
        <f t="shared" si="36"/>
        <v>4964854.59</v>
      </c>
      <c r="AV31" s="187">
        <f t="shared" si="36"/>
        <v>11004900</v>
      </c>
      <c r="AW31" s="187">
        <f t="shared" ref="AW31:AX31" si="37">SUM(AW32:AW37)</f>
        <v>9984537.620000001</v>
      </c>
      <c r="AX31" s="187">
        <f t="shared" si="37"/>
        <v>9551126.5</v>
      </c>
    </row>
    <row r="32" spans="1:50" s="136" customFormat="1">
      <c r="A32" s="133">
        <v>10.1</v>
      </c>
      <c r="B32" s="134" t="s">
        <v>36</v>
      </c>
      <c r="C32" s="135"/>
      <c r="D32" s="142">
        <v>-3701795.99</v>
      </c>
      <c r="E32" s="142">
        <v>-4151238.54</v>
      </c>
      <c r="F32" s="142">
        <v>-7424.39</v>
      </c>
      <c r="G32" s="142">
        <v>-1238840.45</v>
      </c>
      <c r="H32" s="142">
        <v>-1241645.1499999999</v>
      </c>
      <c r="I32" s="142">
        <v>-1019087.5</v>
      </c>
      <c r="J32" s="142">
        <v>-2408623.7599999998</v>
      </c>
      <c r="K32" s="142">
        <v>-2440459.65</v>
      </c>
      <c r="L32" s="142">
        <v>-2950682.45</v>
      </c>
      <c r="M32" s="142">
        <v>-3956976.17</v>
      </c>
      <c r="N32" s="142">
        <v>-5041092.5199999996</v>
      </c>
      <c r="O32" s="142"/>
      <c r="P32" s="143">
        <v>-5044593.4400000004</v>
      </c>
      <c r="Q32" s="143">
        <v>-5035516.6100000003</v>
      </c>
      <c r="R32" s="143">
        <v>-5044384.8600000003</v>
      </c>
      <c r="S32" s="143">
        <v>-6221489.6600000001</v>
      </c>
      <c r="T32" s="143">
        <v>-2013231.12</v>
      </c>
      <c r="U32" s="143">
        <v>-2718192.63</v>
      </c>
      <c r="V32" s="143">
        <v>-2292509.48</v>
      </c>
      <c r="W32" s="143">
        <v>-3187583.79</v>
      </c>
      <c r="X32" s="159">
        <v>-4758929.9400000004</v>
      </c>
      <c r="Y32" s="161">
        <v>-6397614.04</v>
      </c>
      <c r="Z32" s="161">
        <v>-6336912.25</v>
      </c>
      <c r="AA32" s="166">
        <v>-6300581.1600000001</v>
      </c>
      <c r="AB32" s="170"/>
      <c r="AC32" s="159">
        <v>131097</v>
      </c>
      <c r="AD32" s="161">
        <v>760479.11</v>
      </c>
      <c r="AE32" s="161">
        <v>131097</v>
      </c>
      <c r="AF32" s="160">
        <v>0</v>
      </c>
      <c r="AG32" s="161">
        <v>2162355</v>
      </c>
      <c r="AH32" s="161">
        <v>-252783</v>
      </c>
      <c r="AI32" s="160">
        <v>0</v>
      </c>
      <c r="AJ32" s="160">
        <v>0</v>
      </c>
      <c r="AK32" s="161">
        <v>-566566</v>
      </c>
      <c r="AL32" s="160">
        <v>0</v>
      </c>
      <c r="AM32" s="160">
        <v>0</v>
      </c>
      <c r="AN32" s="179">
        <v>47679.85</v>
      </c>
      <c r="AO32" s="179"/>
      <c r="AP32" s="159">
        <v>-6721891.0899999999</v>
      </c>
      <c r="AQ32" s="161">
        <v>-1457581.29</v>
      </c>
      <c r="AR32" s="161">
        <v>-742096.15</v>
      </c>
      <c r="AS32" s="159">
        <v>-1451423.02</v>
      </c>
      <c r="AT32" s="210">
        <v>-951671.07</v>
      </c>
      <c r="AU32" s="210">
        <v>-4526858.34</v>
      </c>
      <c r="AV32" s="210">
        <v>-4526566.2699999996</v>
      </c>
      <c r="AW32" s="210">
        <v>-4518108.63</v>
      </c>
      <c r="AX32" s="210">
        <v>-5968797.8700000001</v>
      </c>
    </row>
    <row r="33" spans="1:50" ht="14.25">
      <c r="A33" s="15">
        <v>10.199999999999999</v>
      </c>
      <c r="B33" s="8" t="s">
        <v>37</v>
      </c>
      <c r="C33" s="10"/>
      <c r="D33" s="19">
        <v>0</v>
      </c>
      <c r="E33" s="19">
        <v>0</v>
      </c>
      <c r="F33" s="19">
        <v>40256.79</v>
      </c>
      <c r="G33" s="19">
        <v>39362.9</v>
      </c>
      <c r="H33" s="12">
        <v>39362.9</v>
      </c>
      <c r="I33" s="12">
        <v>39362.9</v>
      </c>
      <c r="J33" s="12">
        <v>39362.9</v>
      </c>
      <c r="K33" s="12">
        <v>39362.9</v>
      </c>
      <c r="L33" s="12">
        <v>39362.9</v>
      </c>
      <c r="M33" s="12">
        <v>39362.9</v>
      </c>
      <c r="N33" s="12">
        <v>39362.9</v>
      </c>
      <c r="O33" s="12"/>
      <c r="P33" s="143">
        <v>39362.9</v>
      </c>
      <c r="Q33" s="143">
        <v>39362.9</v>
      </c>
      <c r="R33" s="143">
        <v>39362.9</v>
      </c>
      <c r="S33" s="143">
        <v>39362.9</v>
      </c>
      <c r="T33" s="143">
        <v>39362.9</v>
      </c>
      <c r="U33" s="143">
        <v>39362.9</v>
      </c>
      <c r="V33" s="143">
        <v>39362.9</v>
      </c>
      <c r="W33" s="143">
        <v>39362.9</v>
      </c>
      <c r="X33" s="163">
        <v>39362.9</v>
      </c>
      <c r="Y33" s="165">
        <v>39362.9</v>
      </c>
      <c r="Z33" s="165">
        <v>39362.9</v>
      </c>
      <c r="AA33" s="166">
        <v>39362.9</v>
      </c>
      <c r="AB33" s="170">
        <v>5325175</v>
      </c>
      <c r="AC33" s="162">
        <v>0</v>
      </c>
      <c r="AD33" s="164">
        <v>0</v>
      </c>
      <c r="AE33" s="165">
        <v>17548031.129999999</v>
      </c>
      <c r="AF33" s="164">
        <v>0</v>
      </c>
      <c r="AG33" s="164">
        <v>0</v>
      </c>
      <c r="AH33" s="164">
        <v>0</v>
      </c>
      <c r="AI33" s="164">
        <v>0</v>
      </c>
      <c r="AJ33" s="164">
        <v>0</v>
      </c>
      <c r="AK33" s="164">
        <v>0</v>
      </c>
      <c r="AL33" s="164">
        <v>0</v>
      </c>
      <c r="AM33" s="164">
        <v>0</v>
      </c>
      <c r="AN33" s="180">
        <v>0</v>
      </c>
      <c r="AO33" s="180"/>
      <c r="AP33" s="163">
        <v>-102260.77</v>
      </c>
      <c r="AQ33" s="165">
        <v>5930312.2800000003</v>
      </c>
      <c r="AR33" s="164">
        <v>0</v>
      </c>
      <c r="AS33" s="162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s="15">
        <v>10.3</v>
      </c>
      <c r="B34" s="8" t="s">
        <v>38</v>
      </c>
      <c r="C34" s="10"/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12"/>
      <c r="P34" s="143">
        <v>0</v>
      </c>
      <c r="Q34" s="143">
        <v>0</v>
      </c>
      <c r="R34" s="143">
        <v>0</v>
      </c>
      <c r="S34" s="143">
        <v>0</v>
      </c>
      <c r="T34" s="143">
        <v>0</v>
      </c>
      <c r="U34" s="143">
        <v>0</v>
      </c>
      <c r="V34" s="143">
        <v>0</v>
      </c>
      <c r="W34" s="143">
        <v>0</v>
      </c>
      <c r="X34" s="162">
        <v>0</v>
      </c>
      <c r="Y34" s="164">
        <v>0</v>
      </c>
      <c r="Z34" s="164">
        <v>0</v>
      </c>
      <c r="AA34" s="167">
        <v>0</v>
      </c>
      <c r="AB34" s="170"/>
      <c r="AC34" s="162">
        <v>0</v>
      </c>
      <c r="AD34" s="164">
        <v>0</v>
      </c>
      <c r="AE34" s="164">
        <v>0</v>
      </c>
      <c r="AF34" s="164">
        <v>0</v>
      </c>
      <c r="AG34" s="164">
        <v>0</v>
      </c>
      <c r="AH34" s="164">
        <v>0</v>
      </c>
      <c r="AI34" s="164">
        <v>0</v>
      </c>
      <c r="AJ34" s="164">
        <v>0</v>
      </c>
      <c r="AK34" s="164">
        <v>0</v>
      </c>
      <c r="AL34" s="164">
        <v>0</v>
      </c>
      <c r="AM34" s="164">
        <v>0</v>
      </c>
      <c r="AN34" s="180">
        <v>0</v>
      </c>
      <c r="AO34" s="180"/>
      <c r="AP34" s="162">
        <v>0</v>
      </c>
      <c r="AQ34" s="164">
        <v>0</v>
      </c>
      <c r="AR34" s="164">
        <v>0</v>
      </c>
      <c r="AS34" s="162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s="15">
        <v>10.4</v>
      </c>
      <c r="B35" s="8" t="s">
        <v>39</v>
      </c>
      <c r="C35" s="10"/>
      <c r="D35" s="11">
        <v>0</v>
      </c>
      <c r="E35" s="11">
        <v>0</v>
      </c>
      <c r="F35" s="11">
        <v>0</v>
      </c>
      <c r="G35" s="11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/>
      <c r="P35" s="143">
        <v>0</v>
      </c>
      <c r="Q35" s="143">
        <v>0</v>
      </c>
      <c r="R35" s="143">
        <v>0</v>
      </c>
      <c r="S35" s="143">
        <v>0</v>
      </c>
      <c r="T35" s="143">
        <v>0</v>
      </c>
      <c r="U35" s="143">
        <v>0</v>
      </c>
      <c r="V35" s="143">
        <v>0</v>
      </c>
      <c r="W35" s="143">
        <v>0</v>
      </c>
      <c r="X35" s="162">
        <v>0</v>
      </c>
      <c r="Y35" s="164">
        <v>0</v>
      </c>
      <c r="Z35" s="164">
        <v>0</v>
      </c>
      <c r="AA35" s="167">
        <v>0</v>
      </c>
      <c r="AB35" s="170"/>
      <c r="AC35" s="162">
        <v>0</v>
      </c>
      <c r="AD35" s="164">
        <v>0</v>
      </c>
      <c r="AE35" s="164">
        <v>0</v>
      </c>
      <c r="AF35" s="164">
        <v>0</v>
      </c>
      <c r="AG35" s="164">
        <v>0</v>
      </c>
      <c r="AH35" s="164">
        <v>0</v>
      </c>
      <c r="AI35" s="164">
        <v>0</v>
      </c>
      <c r="AJ35" s="164">
        <v>0</v>
      </c>
      <c r="AK35" s="164">
        <v>0</v>
      </c>
      <c r="AL35" s="164">
        <v>0</v>
      </c>
      <c r="AM35" s="164">
        <v>0</v>
      </c>
      <c r="AN35" s="180">
        <v>0</v>
      </c>
      <c r="AO35" s="180">
        <v>3147642</v>
      </c>
      <c r="AP35" s="162">
        <v>0</v>
      </c>
      <c r="AQ35" s="164">
        <v>0</v>
      </c>
      <c r="AR35" s="164">
        <v>0</v>
      </c>
      <c r="AS35" s="162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ht="14.25">
      <c r="A36" s="15">
        <v>10.5</v>
      </c>
      <c r="B36" s="8" t="s">
        <v>40</v>
      </c>
      <c r="C36" s="10"/>
      <c r="D36" s="11">
        <v>8562771.4900000002</v>
      </c>
      <c r="E36" s="11">
        <v>9411407.4000000004</v>
      </c>
      <c r="F36" s="11">
        <v>9131029.8599999994</v>
      </c>
      <c r="G36" s="11">
        <v>8734347.8599999994</v>
      </c>
      <c r="H36" s="12">
        <v>8698720.3100000005</v>
      </c>
      <c r="I36" s="12">
        <v>7877133.4500000002</v>
      </c>
      <c r="J36" s="12">
        <v>7965606.0999999996</v>
      </c>
      <c r="K36" s="12">
        <v>-5778839.4800000004</v>
      </c>
      <c r="L36" s="12">
        <v>4333603.7699999996</v>
      </c>
      <c r="M36" s="12">
        <v>1682250.07</v>
      </c>
      <c r="N36" s="12">
        <v>1857339.04</v>
      </c>
      <c r="O36" s="12">
        <f>3127425+91512</f>
        <v>3218937</v>
      </c>
      <c r="P36" s="143">
        <v>3485297.09</v>
      </c>
      <c r="Q36" s="143">
        <v>3422797.49</v>
      </c>
      <c r="R36" s="143">
        <v>2204654.29</v>
      </c>
      <c r="S36" s="143">
        <v>3127562.25</v>
      </c>
      <c r="T36" s="143">
        <v>-4031773.83</v>
      </c>
      <c r="U36" s="143">
        <v>1348358.52</v>
      </c>
      <c r="V36" s="143">
        <v>-1049250.43</v>
      </c>
      <c r="W36" s="143">
        <v>858724.36</v>
      </c>
      <c r="X36" s="163">
        <v>-656055.32999999996</v>
      </c>
      <c r="Y36" s="165">
        <v>4763274.76</v>
      </c>
      <c r="Z36" s="165">
        <v>2730222.71</v>
      </c>
      <c r="AA36" s="166">
        <v>2923968.28</v>
      </c>
      <c r="AB36" s="170">
        <f>291512+574930</f>
        <v>866442</v>
      </c>
      <c r="AC36" s="163">
        <v>13962061.18</v>
      </c>
      <c r="AD36" s="165">
        <v>13854757.15</v>
      </c>
      <c r="AE36" s="164">
        <v>0</v>
      </c>
      <c r="AF36" s="165">
        <v>2816617.98</v>
      </c>
      <c r="AG36" s="165">
        <v>2770935</v>
      </c>
      <c r="AH36" s="165">
        <v>2957269</v>
      </c>
      <c r="AI36" s="165">
        <v>613705.71</v>
      </c>
      <c r="AJ36" s="165">
        <v>1709997.51</v>
      </c>
      <c r="AK36" s="165">
        <v>2792038</v>
      </c>
      <c r="AL36" s="165">
        <v>2692075.51</v>
      </c>
      <c r="AM36" s="165">
        <v>2517146.75</v>
      </c>
      <c r="AN36" s="181">
        <v>20740274.140000001</v>
      </c>
      <c r="AO36" s="181"/>
      <c r="AP36" s="163">
        <v>6218746.8799999999</v>
      </c>
      <c r="AQ36" s="165">
        <v>5722796.4000000004</v>
      </c>
      <c r="AR36" s="165">
        <v>4369919.41</v>
      </c>
      <c r="AS36" s="163">
        <v>2606122.06</v>
      </c>
      <c r="AT36" s="211">
        <v>-83905.49</v>
      </c>
      <c r="AU36" s="211">
        <v>1495369.37</v>
      </c>
      <c r="AV36" s="211">
        <v>7535122.71</v>
      </c>
      <c r="AW36" s="211">
        <v>6506302.6900000004</v>
      </c>
      <c r="AX36" s="211">
        <v>7523580.8099999996</v>
      </c>
    </row>
    <row r="37" spans="1:50" ht="14.25">
      <c r="A37" s="15">
        <v>10.6</v>
      </c>
      <c r="B37" s="8" t="s">
        <v>41</v>
      </c>
      <c r="C37" s="10"/>
      <c r="D37" s="11">
        <v>62000000</v>
      </c>
      <c r="E37" s="11">
        <v>62000000</v>
      </c>
      <c r="F37" s="11">
        <v>60620930</v>
      </c>
      <c r="G37" s="11">
        <v>59920170</v>
      </c>
      <c r="H37" s="12">
        <v>59211820</v>
      </c>
      <c r="I37" s="12">
        <v>58495800</v>
      </c>
      <c r="J37" s="12">
        <v>57040400</v>
      </c>
      <c r="K37" s="12">
        <v>56300850</v>
      </c>
      <c r="L37" s="12">
        <v>47553290</v>
      </c>
      <c r="M37" s="12">
        <v>46797630</v>
      </c>
      <c r="N37" s="12">
        <v>46033780</v>
      </c>
      <c r="O37" s="12">
        <v>46033780</v>
      </c>
      <c r="P37" s="143">
        <v>45261660</v>
      </c>
      <c r="Q37" s="143">
        <v>44481180</v>
      </c>
      <c r="R37" s="143">
        <v>43692240</v>
      </c>
      <c r="S37" s="143">
        <v>42894750</v>
      </c>
      <c r="T37" s="143">
        <v>42088620</v>
      </c>
      <c r="U37" s="143">
        <v>41273760</v>
      </c>
      <c r="V37" s="143">
        <v>40450070</v>
      </c>
      <c r="W37" s="143">
        <v>39617460</v>
      </c>
      <c r="X37" s="163">
        <v>38775830</v>
      </c>
      <c r="Y37" s="165">
        <v>29925080</v>
      </c>
      <c r="Z37" s="165">
        <v>29065120</v>
      </c>
      <c r="AA37" s="166">
        <v>27721622.100000001</v>
      </c>
      <c r="AB37" s="166">
        <v>27721622.100000001</v>
      </c>
      <c r="AC37" s="163">
        <v>23610305</v>
      </c>
      <c r="AD37" s="165">
        <v>22026971</v>
      </c>
      <c r="AE37" s="165">
        <v>20443637</v>
      </c>
      <c r="AF37" s="165">
        <v>18860303</v>
      </c>
      <c r="AG37" s="165">
        <v>17276969</v>
      </c>
      <c r="AH37" s="165">
        <v>15693653</v>
      </c>
      <c r="AI37" s="165">
        <v>14804764</v>
      </c>
      <c r="AJ37" s="165">
        <v>13073862</v>
      </c>
      <c r="AK37" s="165">
        <v>12006949</v>
      </c>
      <c r="AL37" s="165">
        <v>10541383</v>
      </c>
      <c r="AM37" s="165">
        <v>9474473</v>
      </c>
      <c r="AN37" s="178">
        <v>8407563</v>
      </c>
      <c r="AO37" s="178">
        <v>8522056</v>
      </c>
      <c r="AP37" s="163">
        <v>7996343.5599999996</v>
      </c>
      <c r="AQ37" s="165">
        <v>7996343.5599999996</v>
      </c>
      <c r="AR37" s="165">
        <v>7996343.5599999996</v>
      </c>
      <c r="AS37" s="163">
        <v>7996343.5599999996</v>
      </c>
      <c r="AT37" s="211">
        <v>7996343.5599999996</v>
      </c>
      <c r="AU37" s="211">
        <v>7996343.5599999996</v>
      </c>
      <c r="AV37" s="211">
        <v>7996343.5599999996</v>
      </c>
      <c r="AW37" s="211">
        <v>7996343.5599999996</v>
      </c>
      <c r="AX37" s="211">
        <v>7996343.5599999996</v>
      </c>
    </row>
    <row r="38" spans="1:50">
      <c r="A38" s="15"/>
      <c r="B38" s="13" t="s">
        <v>42</v>
      </c>
      <c r="C38" s="14">
        <f t="shared" ref="C38:O38" si="38">C30+C31</f>
        <v>0</v>
      </c>
      <c r="D38" s="14">
        <f t="shared" si="38"/>
        <v>247272929.57999998</v>
      </c>
      <c r="E38" s="14">
        <f t="shared" si="38"/>
        <v>247255246.23000002</v>
      </c>
      <c r="F38" s="14">
        <f t="shared" si="38"/>
        <v>241162618.51999998</v>
      </c>
      <c r="G38" s="14">
        <f t="shared" si="38"/>
        <v>241934681.81999999</v>
      </c>
      <c r="H38" s="14">
        <f t="shared" si="38"/>
        <v>241907889.19</v>
      </c>
      <c r="I38" s="14">
        <f t="shared" si="38"/>
        <v>242491074.38999999</v>
      </c>
      <c r="J38" s="14">
        <f t="shared" si="38"/>
        <v>235966765.56</v>
      </c>
      <c r="K38" s="14">
        <f t="shared" si="38"/>
        <v>225146779.57999998</v>
      </c>
      <c r="L38" s="14">
        <f t="shared" si="38"/>
        <v>293834806.81000006</v>
      </c>
      <c r="M38" s="14">
        <f t="shared" si="38"/>
        <v>232434097.92000002</v>
      </c>
      <c r="N38" s="14">
        <f t="shared" si="38"/>
        <v>221551515.78000003</v>
      </c>
      <c r="O38" s="14">
        <f t="shared" si="38"/>
        <v>227914843.36000001</v>
      </c>
      <c r="P38" s="14">
        <f t="shared" ref="P38:AB38" si="39">P30+P31</f>
        <v>225818917.18000001</v>
      </c>
      <c r="Q38" s="14">
        <f t="shared" si="39"/>
        <v>230911509.41</v>
      </c>
      <c r="R38" s="14">
        <f t="shared" si="39"/>
        <v>215236464.47999996</v>
      </c>
      <c r="S38" s="14">
        <f t="shared" si="39"/>
        <v>225674941.15000001</v>
      </c>
      <c r="T38" s="14">
        <f t="shared" si="39"/>
        <v>210216894.5</v>
      </c>
      <c r="U38" s="14">
        <f t="shared" si="39"/>
        <v>212269933.09</v>
      </c>
      <c r="V38" s="14">
        <f t="shared" si="39"/>
        <v>220937359.28</v>
      </c>
      <c r="W38" s="14">
        <f t="shared" si="39"/>
        <v>217839134.47999999</v>
      </c>
      <c r="X38" s="14">
        <f t="shared" si="39"/>
        <v>211563151.26999998</v>
      </c>
      <c r="Y38" s="14">
        <f t="shared" si="39"/>
        <v>278325133.53999996</v>
      </c>
      <c r="Z38" s="14">
        <f t="shared" si="39"/>
        <v>218318489</v>
      </c>
      <c r="AA38" s="14">
        <f t="shared" si="39"/>
        <v>205435488.25999999</v>
      </c>
      <c r="AB38" s="171">
        <f t="shared" si="39"/>
        <v>214964355.23999998</v>
      </c>
      <c r="AC38" s="171">
        <f t="shared" ref="AC38:AN38" si="40">AC30+AC31</f>
        <v>324608473.53000003</v>
      </c>
      <c r="AD38" s="171">
        <f t="shared" si="40"/>
        <v>327552791.88999999</v>
      </c>
      <c r="AE38" s="171">
        <f t="shared" si="40"/>
        <v>331483440.50999999</v>
      </c>
      <c r="AF38" s="171">
        <f t="shared" si="40"/>
        <v>313249808.06</v>
      </c>
      <c r="AG38" s="171">
        <f t="shared" si="40"/>
        <v>313002476</v>
      </c>
      <c r="AH38" s="171">
        <f t="shared" si="40"/>
        <v>317951828</v>
      </c>
      <c r="AI38" s="171">
        <f t="shared" si="40"/>
        <v>309911096.64999998</v>
      </c>
      <c r="AJ38" s="171">
        <f t="shared" si="40"/>
        <v>315932959.13999999</v>
      </c>
      <c r="AK38" s="171">
        <f t="shared" si="40"/>
        <v>311164541</v>
      </c>
      <c r="AL38" s="171">
        <f t="shared" si="40"/>
        <v>314863305.22000003</v>
      </c>
      <c r="AM38" s="171">
        <f t="shared" si="40"/>
        <v>314050484.61000001</v>
      </c>
      <c r="AN38" s="199">
        <f t="shared" si="40"/>
        <v>331477657.79000002</v>
      </c>
      <c r="AO38" s="183">
        <f t="shared" ref="AO38:AX38" si="41">AO30+AO31</f>
        <v>209696485</v>
      </c>
      <c r="AP38" s="183">
        <f t="shared" si="41"/>
        <v>208065032.94000003</v>
      </c>
      <c r="AQ38" s="183">
        <f t="shared" si="41"/>
        <v>224720187.13</v>
      </c>
      <c r="AR38" s="183">
        <f t="shared" si="41"/>
        <v>209652963.59999999</v>
      </c>
      <c r="AS38" s="183">
        <f t="shared" si="41"/>
        <v>212848518.48999998</v>
      </c>
      <c r="AT38" s="183">
        <f t="shared" si="41"/>
        <v>207716543.77999997</v>
      </c>
      <c r="AU38" s="183">
        <f t="shared" si="41"/>
        <v>208129787.71000001</v>
      </c>
      <c r="AV38" s="183">
        <f t="shared" si="41"/>
        <v>218767213.90000001</v>
      </c>
      <c r="AW38" s="183">
        <f t="shared" si="41"/>
        <v>218649800.13999999</v>
      </c>
      <c r="AX38" s="183">
        <f t="shared" si="41"/>
        <v>219252009.66</v>
      </c>
    </row>
    <row r="39" spans="1:50" s="136" customFormat="1">
      <c r="A39" s="133">
        <v>11</v>
      </c>
      <c r="B39" s="134" t="s">
        <v>43</v>
      </c>
      <c r="C39" s="135"/>
      <c r="D39" s="141">
        <v>114085882.16</v>
      </c>
      <c r="E39" s="141">
        <v>114218762.16</v>
      </c>
      <c r="F39" s="141">
        <v>114924459.16</v>
      </c>
      <c r="G39" s="141">
        <v>115957259.16</v>
      </c>
      <c r="H39" s="141">
        <v>116933264.16</v>
      </c>
      <c r="I39" s="141">
        <v>117572377.66</v>
      </c>
      <c r="J39" s="141">
        <v>118109400.36</v>
      </c>
      <c r="K39" s="141">
        <v>118353452.31</v>
      </c>
      <c r="L39" s="141">
        <v>118387842.31</v>
      </c>
      <c r="M39" s="141">
        <v>118598816.66</v>
      </c>
      <c r="N39" s="141">
        <v>118844476.36</v>
      </c>
      <c r="O39" s="141">
        <f>100653830+18194250</f>
        <v>118848080</v>
      </c>
      <c r="P39" s="143">
        <v>119077836.81</v>
      </c>
      <c r="Q39" s="143">
        <v>119340670.56</v>
      </c>
      <c r="R39" s="143">
        <v>119731068.26000001</v>
      </c>
      <c r="S39" s="143">
        <v>120158087.41</v>
      </c>
      <c r="T39" s="143">
        <v>120470415.66</v>
      </c>
      <c r="U39" s="143">
        <v>123272354.84</v>
      </c>
      <c r="V39" s="143">
        <v>123585244.44</v>
      </c>
      <c r="W39" s="143">
        <v>123857296.44</v>
      </c>
      <c r="X39" s="159">
        <v>124072011.34</v>
      </c>
      <c r="Y39" s="161">
        <v>124307390.04000001</v>
      </c>
      <c r="Z39" s="161">
        <v>124605927.23999999</v>
      </c>
      <c r="AA39" s="166">
        <v>125122050.09</v>
      </c>
      <c r="AB39" s="170">
        <f>106930847+18191203</f>
        <v>125122050</v>
      </c>
      <c r="AC39" s="159">
        <v>63616039.369999997</v>
      </c>
      <c r="AD39" s="161">
        <v>64821976.710000001</v>
      </c>
      <c r="AE39" s="161">
        <v>65855396.740000002</v>
      </c>
      <c r="AF39" s="161">
        <v>66988398.219999999</v>
      </c>
      <c r="AG39" s="161">
        <v>68073149</v>
      </c>
      <c r="AH39" s="161">
        <v>69154603</v>
      </c>
      <c r="AI39" s="161">
        <v>70271601.719999999</v>
      </c>
      <c r="AJ39" s="161">
        <v>71243913.989999995</v>
      </c>
      <c r="AK39" s="161">
        <v>72393800</v>
      </c>
      <c r="AL39" s="161">
        <v>71895602</v>
      </c>
      <c r="AM39" s="161">
        <v>68582359.930000007</v>
      </c>
      <c r="AN39" s="166">
        <v>67256355.379999995</v>
      </c>
      <c r="AO39" s="166">
        <v>134853474</v>
      </c>
      <c r="AP39" s="159">
        <v>135387911.83000001</v>
      </c>
      <c r="AQ39" s="161">
        <v>135963711.13</v>
      </c>
      <c r="AR39" s="161">
        <v>134634197.13</v>
      </c>
      <c r="AS39" s="159">
        <v>137069905.68000001</v>
      </c>
      <c r="AT39" s="207">
        <v>137655429.18000001</v>
      </c>
      <c r="AU39" s="159">
        <v>138399600.94999999</v>
      </c>
      <c r="AV39" s="159">
        <v>138941892.72999999</v>
      </c>
      <c r="AW39" s="240">
        <v>139571307.88</v>
      </c>
      <c r="AX39" s="242">
        <v>140068714.38</v>
      </c>
    </row>
    <row r="40" spans="1:50">
      <c r="A40" s="15">
        <v>12</v>
      </c>
      <c r="B40" s="8" t="s">
        <v>44</v>
      </c>
      <c r="C40" s="10"/>
      <c r="D40" s="20">
        <v>0</v>
      </c>
      <c r="E40" s="20">
        <v>0</v>
      </c>
      <c r="F40" s="20">
        <v>0</v>
      </c>
      <c r="G40" s="20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/>
      <c r="P40" s="143">
        <v>0</v>
      </c>
      <c r="Q40" s="143">
        <v>0</v>
      </c>
      <c r="R40" s="143">
        <v>0</v>
      </c>
      <c r="S40" s="143">
        <v>0</v>
      </c>
      <c r="T40" s="143">
        <v>0</v>
      </c>
      <c r="U40" s="143">
        <v>0</v>
      </c>
      <c r="V40" s="143">
        <v>0</v>
      </c>
      <c r="W40" s="143">
        <v>0</v>
      </c>
      <c r="X40" s="162">
        <v>0</v>
      </c>
      <c r="Y40" s="164">
        <v>0</v>
      </c>
      <c r="Z40" s="164">
        <v>0</v>
      </c>
      <c r="AA40" s="167">
        <v>0</v>
      </c>
      <c r="AB40" s="170"/>
      <c r="AC40" s="162">
        <v>0</v>
      </c>
      <c r="AD40" s="164">
        <v>0</v>
      </c>
      <c r="AE40" s="164">
        <v>0</v>
      </c>
      <c r="AF40" s="164">
        <v>0</v>
      </c>
      <c r="AG40" s="164">
        <v>0</v>
      </c>
      <c r="AH40" s="164">
        <v>0</v>
      </c>
      <c r="AI40" s="164">
        <v>0</v>
      </c>
      <c r="AJ40" s="164">
        <v>0</v>
      </c>
      <c r="AK40" s="164">
        <v>0</v>
      </c>
      <c r="AL40" s="164">
        <v>0</v>
      </c>
      <c r="AM40" s="164">
        <v>0</v>
      </c>
      <c r="AN40" s="167">
        <v>0</v>
      </c>
      <c r="AO40" s="167"/>
      <c r="AP40" s="162">
        <v>0</v>
      </c>
      <c r="AQ40" s="164">
        <v>0</v>
      </c>
      <c r="AR40" s="164">
        <v>0</v>
      </c>
      <c r="AS40" s="162">
        <v>0</v>
      </c>
      <c r="AT40" s="208">
        <v>0</v>
      </c>
      <c r="AU40" s="162">
        <v>0</v>
      </c>
      <c r="AV40" s="162">
        <v>0</v>
      </c>
      <c r="AW40" s="243">
        <v>0</v>
      </c>
      <c r="AX40" s="245">
        <v>0</v>
      </c>
    </row>
    <row r="41" spans="1:50">
      <c r="A41" s="15">
        <v>13</v>
      </c>
      <c r="B41" s="13" t="s">
        <v>45</v>
      </c>
      <c r="C41" s="9">
        <f t="shared" ref="C41:O41" si="42">SUM(C42+C43)</f>
        <v>0</v>
      </c>
      <c r="D41" s="9">
        <f t="shared" si="42"/>
        <v>29865292.68</v>
      </c>
      <c r="E41" s="9">
        <f t="shared" si="42"/>
        <v>29572759.129999999</v>
      </c>
      <c r="F41" s="9">
        <f t="shared" si="42"/>
        <v>21739939.440000001</v>
      </c>
      <c r="G41" s="9">
        <f t="shared" si="42"/>
        <v>29871799.789999999</v>
      </c>
      <c r="H41" s="9">
        <f t="shared" si="42"/>
        <v>28761614.48</v>
      </c>
      <c r="I41" s="9">
        <f t="shared" si="42"/>
        <v>27857129.390000001</v>
      </c>
      <c r="J41" s="9">
        <f t="shared" si="42"/>
        <v>25018913.719999999</v>
      </c>
      <c r="K41" s="9">
        <f t="shared" si="42"/>
        <v>25355360.649999999</v>
      </c>
      <c r="L41" s="9">
        <f t="shared" si="42"/>
        <v>30159578.170000002</v>
      </c>
      <c r="M41" s="9">
        <f t="shared" si="42"/>
        <v>29087897.560000002</v>
      </c>
      <c r="N41" s="9">
        <f t="shared" si="42"/>
        <v>26165915.57</v>
      </c>
      <c r="O41" s="9">
        <f t="shared" si="42"/>
        <v>21835937</v>
      </c>
      <c r="P41" s="9">
        <f t="shared" ref="P41:AB41" si="43">SUM(P42+P43)</f>
        <v>26685206.300000001</v>
      </c>
      <c r="Q41" s="9">
        <f t="shared" si="43"/>
        <v>27439781.82</v>
      </c>
      <c r="R41" s="9">
        <f t="shared" si="43"/>
        <v>27981148.57</v>
      </c>
      <c r="S41" s="9">
        <f t="shared" si="43"/>
        <v>39428313.620000005</v>
      </c>
      <c r="T41" s="9">
        <f t="shared" si="43"/>
        <v>34909339.219999999</v>
      </c>
      <c r="U41" s="9">
        <f t="shared" si="43"/>
        <v>33522691.280000001</v>
      </c>
      <c r="V41" s="9">
        <f t="shared" si="43"/>
        <v>35315993.82</v>
      </c>
      <c r="W41" s="9">
        <f t="shared" si="43"/>
        <v>32070620.620000001</v>
      </c>
      <c r="X41" s="9">
        <f t="shared" si="43"/>
        <v>32071561.170000002</v>
      </c>
      <c r="Y41" s="9">
        <f t="shared" si="43"/>
        <v>32084599.359999999</v>
      </c>
      <c r="Z41" s="9">
        <f t="shared" si="43"/>
        <v>30416720.41</v>
      </c>
      <c r="AA41" s="9">
        <f t="shared" si="43"/>
        <v>33099324.620000001</v>
      </c>
      <c r="AB41" s="169">
        <f t="shared" si="43"/>
        <v>23095111</v>
      </c>
      <c r="AC41" s="169">
        <f t="shared" ref="AC41:AN41" si="44">SUM(AC42+AC43)</f>
        <v>63616039.369999997</v>
      </c>
      <c r="AD41" s="169">
        <f t="shared" si="44"/>
        <v>64821976.710000001</v>
      </c>
      <c r="AE41" s="169">
        <f t="shared" si="44"/>
        <v>65855396.740000002</v>
      </c>
      <c r="AF41" s="169">
        <f t="shared" si="44"/>
        <v>66988398.219999999</v>
      </c>
      <c r="AG41" s="169">
        <f t="shared" si="44"/>
        <v>68073149</v>
      </c>
      <c r="AH41" s="169">
        <f t="shared" si="44"/>
        <v>69154603</v>
      </c>
      <c r="AI41" s="169">
        <f t="shared" si="44"/>
        <v>70271601.719999999</v>
      </c>
      <c r="AJ41" s="169">
        <f t="shared" si="44"/>
        <v>71243913.989999995</v>
      </c>
      <c r="AK41" s="169">
        <f t="shared" si="44"/>
        <v>72393800</v>
      </c>
      <c r="AL41" s="169">
        <f t="shared" si="44"/>
        <v>71895602</v>
      </c>
      <c r="AM41" s="169">
        <f t="shared" si="44"/>
        <v>68582359.930000007</v>
      </c>
      <c r="AN41" s="198">
        <f t="shared" si="44"/>
        <v>67256355.379999995</v>
      </c>
      <c r="AO41" s="184">
        <f t="shared" ref="AO41:AX41" si="45">SUM(AO42+AO43)</f>
        <v>22923816</v>
      </c>
      <c r="AP41" s="184">
        <f t="shared" si="45"/>
        <v>34622993.589999996</v>
      </c>
      <c r="AQ41" s="184">
        <f t="shared" si="45"/>
        <v>22835671.220000003</v>
      </c>
      <c r="AR41" s="184">
        <f t="shared" si="45"/>
        <v>23900437.109999999</v>
      </c>
      <c r="AS41" s="184">
        <f t="shared" si="45"/>
        <v>24143868.66</v>
      </c>
      <c r="AT41" s="184">
        <f t="shared" si="45"/>
        <v>24192832.969999999</v>
      </c>
      <c r="AU41" s="184">
        <f t="shared" si="45"/>
        <v>36865465.210000001</v>
      </c>
      <c r="AV41" s="184">
        <f t="shared" si="45"/>
        <v>36578948.480000004</v>
      </c>
      <c r="AW41" s="184">
        <f t="shared" si="45"/>
        <v>36043774.799999997</v>
      </c>
      <c r="AX41" s="184">
        <f t="shared" si="45"/>
        <v>35022763.380000003</v>
      </c>
    </row>
    <row r="42" spans="1:50">
      <c r="A42" s="15">
        <v>13.1</v>
      </c>
      <c r="B42" s="8" t="s">
        <v>46</v>
      </c>
      <c r="C42" s="10"/>
      <c r="D42" s="21">
        <v>28316897.84</v>
      </c>
      <c r="E42" s="21">
        <v>28316897.84</v>
      </c>
      <c r="F42" s="21">
        <v>20821521.300000001</v>
      </c>
      <c r="G42" s="21">
        <v>20821521.300000001</v>
      </c>
      <c r="H42" s="21">
        <v>20798329.300000001</v>
      </c>
      <c r="I42" s="21">
        <v>20798329.300000001</v>
      </c>
      <c r="J42" s="21">
        <v>20798329.300000001</v>
      </c>
      <c r="K42" s="21">
        <v>20798329.300000001</v>
      </c>
      <c r="L42" s="21">
        <v>20798329.300000001</v>
      </c>
      <c r="M42" s="21">
        <v>20798329.300000001</v>
      </c>
      <c r="N42" s="21">
        <v>20798329.300000001</v>
      </c>
      <c r="O42" s="21">
        <v>20821521</v>
      </c>
      <c r="P42" s="143">
        <v>26165915.57</v>
      </c>
      <c r="Q42" s="143">
        <v>26165915.57</v>
      </c>
      <c r="R42" s="143">
        <v>26165915.57</v>
      </c>
      <c r="S42" s="143">
        <v>26165915.57</v>
      </c>
      <c r="T42" s="143">
        <v>21697951.57</v>
      </c>
      <c r="U42" s="143">
        <v>21697951.57</v>
      </c>
      <c r="V42" s="143">
        <v>21697951.57</v>
      </c>
      <c r="W42" s="143">
        <v>21697951.57</v>
      </c>
      <c r="X42" s="159">
        <v>21697951.57</v>
      </c>
      <c r="Y42" s="161">
        <v>21697951.57</v>
      </c>
      <c r="Z42" s="161">
        <v>21697951.57</v>
      </c>
      <c r="AA42" s="166">
        <v>21697951.57</v>
      </c>
      <c r="AB42" s="170">
        <v>21835936</v>
      </c>
      <c r="AC42" s="159">
        <v>63616039.369999997</v>
      </c>
      <c r="AD42" s="161">
        <v>64821976.710000001</v>
      </c>
      <c r="AE42" s="161">
        <v>65855396.740000002</v>
      </c>
      <c r="AF42" s="161">
        <v>66988398.219999999</v>
      </c>
      <c r="AG42" s="161">
        <v>68073149</v>
      </c>
      <c r="AH42" s="161">
        <v>69154603</v>
      </c>
      <c r="AI42" s="161">
        <v>70271601.719999999</v>
      </c>
      <c r="AJ42" s="161">
        <v>71243913.989999995</v>
      </c>
      <c r="AK42" s="161">
        <v>72393800</v>
      </c>
      <c r="AL42" s="161">
        <v>71895602</v>
      </c>
      <c r="AM42" s="161">
        <v>68582359.930000007</v>
      </c>
      <c r="AN42" s="179">
        <v>67256355.379999995</v>
      </c>
      <c r="AO42" s="179">
        <v>22601817</v>
      </c>
      <c r="AP42" s="159">
        <v>34778512.93</v>
      </c>
      <c r="AQ42" s="161">
        <v>22923814.300000001</v>
      </c>
      <c r="AR42" s="161">
        <v>22923814.300000001</v>
      </c>
      <c r="AS42" s="159">
        <v>22923814.300000001</v>
      </c>
      <c r="AT42" s="207">
        <v>22923814.300000001</v>
      </c>
      <c r="AU42" s="159">
        <v>22923814.300000001</v>
      </c>
      <c r="AV42" s="159">
        <v>22923814.300000001</v>
      </c>
      <c r="AW42" s="240">
        <v>22923814.300000001</v>
      </c>
      <c r="AX42" s="242">
        <v>22923814.300000001</v>
      </c>
    </row>
    <row r="43" spans="1:50" s="136" customFormat="1">
      <c r="A43" s="133">
        <v>13.2</v>
      </c>
      <c r="B43" s="134" t="s">
        <v>47</v>
      </c>
      <c r="C43" s="135"/>
      <c r="D43" s="132">
        <v>1548394.84</v>
      </c>
      <c r="E43" s="132">
        <v>1255861.29</v>
      </c>
      <c r="F43" s="132">
        <v>918418.14</v>
      </c>
      <c r="G43" s="132">
        <v>9050278.4900000002</v>
      </c>
      <c r="H43" s="132">
        <v>7963285.1799999997</v>
      </c>
      <c r="I43" s="132">
        <v>7058800.0899999999</v>
      </c>
      <c r="J43" s="132">
        <v>4220584.42</v>
      </c>
      <c r="K43" s="132">
        <v>4557031.3499999996</v>
      </c>
      <c r="L43" s="132">
        <v>9361248.8699999992</v>
      </c>
      <c r="M43" s="132">
        <v>8289568.2599999998</v>
      </c>
      <c r="N43" s="132">
        <v>5367586.2699999996</v>
      </c>
      <c r="O43" s="132">
        <f>1297010+-259402+-23192</f>
        <v>1014416</v>
      </c>
      <c r="P43" s="143">
        <v>519290.73</v>
      </c>
      <c r="Q43" s="143">
        <v>1273866.25</v>
      </c>
      <c r="R43" s="143">
        <v>1815233</v>
      </c>
      <c r="S43" s="143">
        <v>13262398.050000001</v>
      </c>
      <c r="T43" s="143">
        <v>13211387.65</v>
      </c>
      <c r="U43" s="143">
        <v>11824739.710000001</v>
      </c>
      <c r="V43" s="143">
        <v>13618042.25</v>
      </c>
      <c r="W43" s="143">
        <v>10372669.050000001</v>
      </c>
      <c r="X43" s="163">
        <v>10373609.6</v>
      </c>
      <c r="Y43" s="165">
        <v>10386647.789999999</v>
      </c>
      <c r="Z43" s="165">
        <v>8718768.8399999999</v>
      </c>
      <c r="AA43" s="166">
        <v>11401373.050000001</v>
      </c>
      <c r="AB43" s="170">
        <f>23095111-21835936</f>
        <v>1259175</v>
      </c>
      <c r="AC43" s="162">
        <v>0</v>
      </c>
      <c r="AD43" s="164">
        <v>0</v>
      </c>
      <c r="AE43" s="164">
        <v>0</v>
      </c>
      <c r="AF43" s="164">
        <v>0</v>
      </c>
      <c r="AG43" s="164">
        <v>0</v>
      </c>
      <c r="AH43" s="164">
        <v>0</v>
      </c>
      <c r="AI43" s="164">
        <v>0</v>
      </c>
      <c r="AJ43" s="164">
        <v>0</v>
      </c>
      <c r="AK43" s="164">
        <v>0</v>
      </c>
      <c r="AL43" s="164">
        <v>0</v>
      </c>
      <c r="AM43" s="164">
        <v>0</v>
      </c>
      <c r="AN43" s="186">
        <v>0</v>
      </c>
      <c r="AO43" s="186">
        <f>22923816-22601817</f>
        <v>321999</v>
      </c>
      <c r="AP43" s="163">
        <v>-155519.34</v>
      </c>
      <c r="AQ43" s="165">
        <v>-88143.08</v>
      </c>
      <c r="AR43" s="165">
        <v>976622.81</v>
      </c>
      <c r="AS43" s="163">
        <v>1220054.3600000001</v>
      </c>
      <c r="AT43" s="209">
        <v>1269018.67</v>
      </c>
      <c r="AU43" s="163">
        <v>13941650.91</v>
      </c>
      <c r="AV43" s="163">
        <v>13655134.18</v>
      </c>
      <c r="AW43" s="244">
        <v>13119960.5</v>
      </c>
      <c r="AX43" s="246">
        <v>12098949.08</v>
      </c>
    </row>
    <row r="44" spans="1:50">
      <c r="A44" s="15">
        <v>14</v>
      </c>
      <c r="B44" s="13" t="s">
        <v>48</v>
      </c>
      <c r="C44" s="22">
        <f t="shared" ref="C44:O44" si="46">SUM(C45:C49)</f>
        <v>0</v>
      </c>
      <c r="D44" s="22">
        <f t="shared" si="46"/>
        <v>26367596</v>
      </c>
      <c r="E44" s="22">
        <f t="shared" si="46"/>
        <v>26367596</v>
      </c>
      <c r="F44" s="22">
        <f t="shared" si="46"/>
        <v>26416986</v>
      </c>
      <c r="G44" s="22">
        <f t="shared" si="46"/>
        <v>26416986</v>
      </c>
      <c r="H44" s="22">
        <f t="shared" si="46"/>
        <v>26416986</v>
      </c>
      <c r="I44" s="22">
        <f t="shared" si="46"/>
        <v>26416986</v>
      </c>
      <c r="J44" s="22">
        <f t="shared" si="46"/>
        <v>26416986</v>
      </c>
      <c r="K44" s="22">
        <f t="shared" si="46"/>
        <v>26416986</v>
      </c>
      <c r="L44" s="22">
        <f t="shared" si="46"/>
        <v>26416986</v>
      </c>
      <c r="M44" s="22">
        <f t="shared" si="46"/>
        <v>26416986</v>
      </c>
      <c r="N44" s="22">
        <f t="shared" si="46"/>
        <v>26416986</v>
      </c>
      <c r="O44" s="22">
        <f t="shared" si="46"/>
        <v>26676388</v>
      </c>
      <c r="P44" s="22">
        <f t="shared" ref="P44:AB44" si="47">SUM(P45:P49)</f>
        <v>26416986</v>
      </c>
      <c r="Q44" s="22">
        <f t="shared" si="47"/>
        <v>26416986</v>
      </c>
      <c r="R44" s="22">
        <f t="shared" si="47"/>
        <v>26416986</v>
      </c>
      <c r="S44" s="22">
        <f t="shared" si="47"/>
        <v>26416986</v>
      </c>
      <c r="T44" s="22">
        <f t="shared" si="47"/>
        <v>26676388</v>
      </c>
      <c r="U44" s="22">
        <f t="shared" si="47"/>
        <v>26676388</v>
      </c>
      <c r="V44" s="22">
        <f t="shared" si="47"/>
        <v>26676388</v>
      </c>
      <c r="W44" s="22">
        <f t="shared" si="47"/>
        <v>26676388</v>
      </c>
      <c r="X44" s="22">
        <f t="shared" si="47"/>
        <v>26676388</v>
      </c>
      <c r="Y44" s="22">
        <f t="shared" si="47"/>
        <v>26676388</v>
      </c>
      <c r="Z44" s="22">
        <f t="shared" si="47"/>
        <v>26676388</v>
      </c>
      <c r="AA44" s="22">
        <f t="shared" si="47"/>
        <v>26676388</v>
      </c>
      <c r="AB44" s="174">
        <f t="shared" si="47"/>
        <v>26676388</v>
      </c>
      <c r="AC44" s="174">
        <f t="shared" ref="AC44:AN44" si="48">SUM(AC45:AC49)</f>
        <v>25150093</v>
      </c>
      <c r="AD44" s="174">
        <f t="shared" si="48"/>
        <v>25549006</v>
      </c>
      <c r="AE44" s="174">
        <f t="shared" si="48"/>
        <v>19468929</v>
      </c>
      <c r="AF44" s="174">
        <f t="shared" si="48"/>
        <v>19468929</v>
      </c>
      <c r="AG44" s="174">
        <f t="shared" si="48"/>
        <v>19468929</v>
      </c>
      <c r="AH44" s="174">
        <f t="shared" si="48"/>
        <v>19468929</v>
      </c>
      <c r="AI44" s="174">
        <f t="shared" si="48"/>
        <v>19468929</v>
      </c>
      <c r="AJ44" s="174">
        <f t="shared" si="48"/>
        <v>19468929</v>
      </c>
      <c r="AK44" s="174">
        <f t="shared" si="48"/>
        <v>19468929</v>
      </c>
      <c r="AL44" s="174">
        <f t="shared" si="48"/>
        <v>19468929</v>
      </c>
      <c r="AM44" s="174">
        <f t="shared" si="48"/>
        <v>19468929</v>
      </c>
      <c r="AN44" s="202">
        <f t="shared" si="48"/>
        <v>30292094.919999998</v>
      </c>
      <c r="AO44" s="185">
        <f t="shared" ref="AO44:AX44" si="49">SUM(AO45:AO49)</f>
        <v>57416832</v>
      </c>
      <c r="AP44" s="185">
        <f t="shared" si="49"/>
        <v>27169682</v>
      </c>
      <c r="AQ44" s="185">
        <f t="shared" si="49"/>
        <v>27541829</v>
      </c>
      <c r="AR44" s="185">
        <f t="shared" si="49"/>
        <v>27541829</v>
      </c>
      <c r="AS44" s="185">
        <f t="shared" si="49"/>
        <v>27541829</v>
      </c>
      <c r="AT44" s="185">
        <f t="shared" si="49"/>
        <v>27541829</v>
      </c>
      <c r="AU44" s="185">
        <f t="shared" si="49"/>
        <v>27541829</v>
      </c>
      <c r="AV44" s="185">
        <f t="shared" si="49"/>
        <v>27541829</v>
      </c>
      <c r="AW44" s="185">
        <f t="shared" si="49"/>
        <v>27541829</v>
      </c>
      <c r="AX44" s="185">
        <f t="shared" si="49"/>
        <v>27541829</v>
      </c>
    </row>
    <row r="45" spans="1:50" s="136" customFormat="1">
      <c r="A45" s="133"/>
      <c r="B45" s="134" t="s">
        <v>49</v>
      </c>
      <c r="C45" s="135"/>
      <c r="D45" s="132">
        <v>8613865</v>
      </c>
      <c r="E45" s="132">
        <v>8613865</v>
      </c>
      <c r="F45" s="132">
        <v>8663255</v>
      </c>
      <c r="G45" s="132">
        <v>8663255</v>
      </c>
      <c r="H45" s="132">
        <v>8663255</v>
      </c>
      <c r="I45" s="132">
        <v>8663255</v>
      </c>
      <c r="J45" s="132">
        <v>8663255</v>
      </c>
      <c r="K45" s="132">
        <v>8663255</v>
      </c>
      <c r="L45" s="132">
        <v>8663255</v>
      </c>
      <c r="M45" s="132">
        <v>8663255</v>
      </c>
      <c r="N45" s="132">
        <v>8663255</v>
      </c>
      <c r="O45" s="138">
        <v>8922657</v>
      </c>
      <c r="P45" s="143">
        <v>8663255</v>
      </c>
      <c r="Q45" s="143">
        <v>8663255</v>
      </c>
      <c r="R45" s="143">
        <v>8663255</v>
      </c>
      <c r="S45" s="143">
        <v>8663255</v>
      </c>
      <c r="T45" s="143">
        <v>8922657</v>
      </c>
      <c r="U45" s="143">
        <v>8922657</v>
      </c>
      <c r="V45" s="143">
        <v>8922657</v>
      </c>
      <c r="W45" s="143">
        <v>8922657</v>
      </c>
      <c r="X45" s="159">
        <v>8922657</v>
      </c>
      <c r="Y45" s="161">
        <v>8922657</v>
      </c>
      <c r="Z45" s="161">
        <v>8922657</v>
      </c>
      <c r="AA45" s="166">
        <v>8922657</v>
      </c>
      <c r="AB45" s="170">
        <v>8922657</v>
      </c>
      <c r="AC45" s="159">
        <v>12464483</v>
      </c>
      <c r="AD45" s="161">
        <v>12863396</v>
      </c>
      <c r="AE45" s="161">
        <v>12964793</v>
      </c>
      <c r="AF45" s="161">
        <v>12964793</v>
      </c>
      <c r="AG45" s="161">
        <v>12964793</v>
      </c>
      <c r="AH45" s="161">
        <v>12964793</v>
      </c>
      <c r="AI45" s="161">
        <v>12964793</v>
      </c>
      <c r="AJ45" s="161">
        <v>12964793</v>
      </c>
      <c r="AK45" s="161">
        <v>12964793</v>
      </c>
      <c r="AL45" s="161">
        <v>12964793</v>
      </c>
      <c r="AM45" s="161">
        <v>12964793</v>
      </c>
      <c r="AN45" s="179">
        <v>16572514.970000001</v>
      </c>
      <c r="AO45" s="179">
        <v>9788098</v>
      </c>
      <c r="AP45" s="159">
        <v>9415951</v>
      </c>
      <c r="AQ45" s="161">
        <v>9788098</v>
      </c>
      <c r="AR45" s="161">
        <v>9788098</v>
      </c>
      <c r="AS45" s="159">
        <v>9788098</v>
      </c>
      <c r="AT45" s="207">
        <v>9788098</v>
      </c>
      <c r="AU45" s="159">
        <v>9788098</v>
      </c>
      <c r="AV45" s="159">
        <v>9788098</v>
      </c>
      <c r="AW45" s="240">
        <v>9788098</v>
      </c>
      <c r="AX45" s="242">
        <v>9788098</v>
      </c>
    </row>
    <row r="46" spans="1:50" ht="14.25">
      <c r="A46" s="15"/>
      <c r="B46" s="8" t="s">
        <v>50</v>
      </c>
      <c r="C46" s="10"/>
      <c r="D46" s="11">
        <v>1711249</v>
      </c>
      <c r="E46" s="11">
        <v>1711249</v>
      </c>
      <c r="F46" s="11">
        <v>1711249</v>
      </c>
      <c r="G46" s="11">
        <v>1711249</v>
      </c>
      <c r="H46" s="12">
        <v>1711249</v>
      </c>
      <c r="I46" s="12">
        <v>1711249</v>
      </c>
      <c r="J46" s="12">
        <v>1711249</v>
      </c>
      <c r="K46" s="12">
        <v>1711249</v>
      </c>
      <c r="L46" s="12">
        <v>1711249</v>
      </c>
      <c r="M46" s="12">
        <v>1711249</v>
      </c>
      <c r="N46" s="12">
        <v>1711249</v>
      </c>
      <c r="O46" s="12">
        <v>1711249</v>
      </c>
      <c r="P46" s="143">
        <v>1711249</v>
      </c>
      <c r="Q46" s="143">
        <v>1711249</v>
      </c>
      <c r="R46" s="143">
        <v>1711249</v>
      </c>
      <c r="S46" s="143">
        <v>1711249</v>
      </c>
      <c r="T46" s="143">
        <v>1711249</v>
      </c>
      <c r="U46" s="143">
        <v>1711249</v>
      </c>
      <c r="V46" s="143">
        <v>1711249</v>
      </c>
      <c r="W46" s="143">
        <v>1711249</v>
      </c>
      <c r="X46" s="163">
        <v>1711249</v>
      </c>
      <c r="Y46" s="165">
        <v>1711249</v>
      </c>
      <c r="Z46" s="165">
        <v>1711249</v>
      </c>
      <c r="AA46" s="166">
        <v>1711249</v>
      </c>
      <c r="AB46" s="170">
        <v>1711249</v>
      </c>
      <c r="AC46" s="163">
        <v>500310</v>
      </c>
      <c r="AD46" s="165">
        <v>500310</v>
      </c>
      <c r="AE46" s="165">
        <v>500310</v>
      </c>
      <c r="AF46" s="165">
        <v>500310</v>
      </c>
      <c r="AG46" s="165">
        <v>500310</v>
      </c>
      <c r="AH46" s="165">
        <v>500310</v>
      </c>
      <c r="AI46" s="165">
        <v>500310</v>
      </c>
      <c r="AJ46" s="165">
        <v>500310</v>
      </c>
      <c r="AK46" s="165">
        <v>500310</v>
      </c>
      <c r="AL46" s="165">
        <v>500310</v>
      </c>
      <c r="AM46" s="165">
        <v>500310</v>
      </c>
      <c r="AN46" s="181">
        <v>500310</v>
      </c>
      <c r="AO46" s="181">
        <f>1711249</f>
        <v>1711249</v>
      </c>
      <c r="AP46" s="163">
        <v>1711249</v>
      </c>
      <c r="AQ46" s="165">
        <v>1711249</v>
      </c>
      <c r="AR46" s="165">
        <v>1711249</v>
      </c>
      <c r="AS46" s="163">
        <v>1711249</v>
      </c>
      <c r="AT46" s="209">
        <v>1711249</v>
      </c>
      <c r="AU46" s="163">
        <v>1711249</v>
      </c>
      <c r="AV46" s="163">
        <v>1711249</v>
      </c>
      <c r="AW46" s="244">
        <v>1711249</v>
      </c>
      <c r="AX46" s="246">
        <v>1711249</v>
      </c>
    </row>
    <row r="47" spans="1:50" s="136" customFormat="1">
      <c r="A47" s="133"/>
      <c r="B47" s="134" t="s">
        <v>51</v>
      </c>
      <c r="C47" s="135"/>
      <c r="D47" s="132">
        <v>16042482</v>
      </c>
      <c r="E47" s="132">
        <v>16042482</v>
      </c>
      <c r="F47" s="132">
        <v>16042482</v>
      </c>
      <c r="G47" s="132">
        <v>16042482</v>
      </c>
      <c r="H47" s="132">
        <v>16042482</v>
      </c>
      <c r="I47" s="132">
        <v>16042482</v>
      </c>
      <c r="J47" s="132">
        <v>16042482</v>
      </c>
      <c r="K47" s="132">
        <v>16042482</v>
      </c>
      <c r="L47" s="132">
        <v>16042482</v>
      </c>
      <c r="M47" s="132">
        <v>16042482</v>
      </c>
      <c r="N47" s="132">
        <v>16042482</v>
      </c>
      <c r="O47" s="132">
        <v>16042482</v>
      </c>
      <c r="P47" s="143">
        <v>16042482</v>
      </c>
      <c r="Q47" s="143">
        <v>16042482</v>
      </c>
      <c r="R47" s="143">
        <v>16042482</v>
      </c>
      <c r="S47" s="143">
        <v>16042482</v>
      </c>
      <c r="T47" s="143">
        <v>16042482</v>
      </c>
      <c r="U47" s="143">
        <v>16042482</v>
      </c>
      <c r="V47" s="143">
        <v>16042482</v>
      </c>
      <c r="W47" s="143">
        <v>16042482</v>
      </c>
      <c r="X47" s="163">
        <v>16042482</v>
      </c>
      <c r="Y47" s="165">
        <v>16042482</v>
      </c>
      <c r="Z47" s="165">
        <v>16042482</v>
      </c>
      <c r="AA47" s="166">
        <v>16042482</v>
      </c>
      <c r="AB47" s="170">
        <v>16042482</v>
      </c>
      <c r="AC47" s="163">
        <v>6534712</v>
      </c>
      <c r="AD47" s="165">
        <v>6534712</v>
      </c>
      <c r="AE47" s="165">
        <v>6003826</v>
      </c>
      <c r="AF47" s="165">
        <v>6003826</v>
      </c>
      <c r="AG47" s="165">
        <v>6003826</v>
      </c>
      <c r="AH47" s="165">
        <v>6003826</v>
      </c>
      <c r="AI47" s="165">
        <v>6003826</v>
      </c>
      <c r="AJ47" s="165">
        <v>6003826</v>
      </c>
      <c r="AK47" s="165">
        <v>6003826</v>
      </c>
      <c r="AL47" s="165">
        <v>6003826</v>
      </c>
      <c r="AM47" s="165">
        <v>6003826</v>
      </c>
      <c r="AN47" s="181">
        <v>6003826</v>
      </c>
      <c r="AO47" s="181">
        <v>1166587</v>
      </c>
      <c r="AP47" s="163">
        <v>16042482</v>
      </c>
      <c r="AQ47" s="165">
        <v>16042482</v>
      </c>
      <c r="AR47" s="165">
        <v>16042482</v>
      </c>
      <c r="AS47" s="163">
        <v>16042482</v>
      </c>
      <c r="AT47" s="209">
        <v>16042482</v>
      </c>
      <c r="AU47" s="163">
        <v>16042482</v>
      </c>
      <c r="AV47" s="163">
        <v>16042482</v>
      </c>
      <c r="AW47" s="244">
        <v>16042482</v>
      </c>
      <c r="AX47" s="246">
        <v>16042482</v>
      </c>
    </row>
    <row r="48" spans="1:50" s="136" customFormat="1">
      <c r="A48" s="133"/>
      <c r="B48" s="134" t="s">
        <v>52</v>
      </c>
      <c r="C48" s="139"/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2">
        <v>0</v>
      </c>
      <c r="K48" s="132">
        <v>0</v>
      </c>
      <c r="L48" s="132">
        <v>0</v>
      </c>
      <c r="M48" s="132">
        <v>0</v>
      </c>
      <c r="N48" s="132">
        <v>0</v>
      </c>
      <c r="O48" s="137"/>
      <c r="P48" s="144">
        <v>0</v>
      </c>
      <c r="Q48" s="144">
        <v>0</v>
      </c>
      <c r="R48" s="144">
        <v>0</v>
      </c>
      <c r="S48" s="144">
        <v>0</v>
      </c>
      <c r="T48" s="144">
        <v>0</v>
      </c>
      <c r="U48" s="144">
        <v>0</v>
      </c>
      <c r="V48" s="144">
        <v>0</v>
      </c>
      <c r="W48" s="144">
        <v>0</v>
      </c>
      <c r="X48" s="162">
        <v>0</v>
      </c>
      <c r="Y48" s="164">
        <v>0</v>
      </c>
      <c r="Z48" s="164">
        <v>0</v>
      </c>
      <c r="AA48" s="167">
        <v>0</v>
      </c>
      <c r="AB48" s="170"/>
      <c r="AC48" s="162">
        <v>5650588</v>
      </c>
      <c r="AD48" s="164">
        <v>5650588</v>
      </c>
      <c r="AE48" s="164">
        <v>0</v>
      </c>
      <c r="AF48" s="164">
        <v>0</v>
      </c>
      <c r="AG48" s="164">
        <v>0</v>
      </c>
      <c r="AH48" s="164">
        <v>0</v>
      </c>
      <c r="AI48" s="164">
        <v>0</v>
      </c>
      <c r="AJ48" s="164">
        <v>0</v>
      </c>
      <c r="AK48" s="164">
        <v>0</v>
      </c>
      <c r="AL48" s="164">
        <v>0</v>
      </c>
      <c r="AM48" s="164">
        <v>0</v>
      </c>
      <c r="AN48" s="180">
        <v>7215443.9500000002</v>
      </c>
      <c r="AO48" s="181">
        <v>16042482</v>
      </c>
      <c r="AP48" s="162">
        <v>0</v>
      </c>
      <c r="AQ48" s="164">
        <v>0</v>
      </c>
      <c r="AR48" s="164">
        <v>0</v>
      </c>
      <c r="AS48" s="162">
        <v>0</v>
      </c>
      <c r="AT48" s="208">
        <v>0</v>
      </c>
      <c r="AU48" s="162">
        <v>0</v>
      </c>
      <c r="AV48" s="162">
        <v>0</v>
      </c>
      <c r="AW48" s="243">
        <v>0</v>
      </c>
      <c r="AX48" s="245">
        <v>0</v>
      </c>
    </row>
    <row r="49" spans="1:50">
      <c r="A49" s="15"/>
      <c r="B49" s="8" t="s">
        <v>53</v>
      </c>
      <c r="C49" s="23"/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12"/>
      <c r="P49" s="144">
        <v>0</v>
      </c>
      <c r="Q49" s="144">
        <v>0</v>
      </c>
      <c r="R49" s="144">
        <v>0</v>
      </c>
      <c r="S49" s="144">
        <v>0</v>
      </c>
      <c r="T49" s="144">
        <v>0</v>
      </c>
      <c r="U49" s="144">
        <v>0</v>
      </c>
      <c r="V49" s="144">
        <v>0</v>
      </c>
      <c r="W49" s="144">
        <v>0</v>
      </c>
      <c r="X49" s="162">
        <v>0</v>
      </c>
      <c r="Y49" s="164">
        <v>0</v>
      </c>
      <c r="Z49" s="164">
        <v>0</v>
      </c>
      <c r="AA49" s="167">
        <v>0</v>
      </c>
      <c r="AB49" s="170"/>
      <c r="AC49" s="162">
        <v>0</v>
      </c>
      <c r="AD49" s="164">
        <v>0</v>
      </c>
      <c r="AE49" s="164">
        <v>0</v>
      </c>
      <c r="AF49" s="164">
        <v>0</v>
      </c>
      <c r="AG49" s="164">
        <v>0</v>
      </c>
      <c r="AH49" s="164">
        <v>0</v>
      </c>
      <c r="AI49" s="164">
        <v>0</v>
      </c>
      <c r="AJ49" s="164">
        <v>0</v>
      </c>
      <c r="AK49" s="164">
        <v>0</v>
      </c>
      <c r="AL49" s="164">
        <v>0</v>
      </c>
      <c r="AM49" s="164">
        <v>0</v>
      </c>
      <c r="AN49" s="186">
        <v>0</v>
      </c>
      <c r="AO49" s="178">
        <f>SUM(AO45:AO48)</f>
        <v>28708416</v>
      </c>
      <c r="AP49" s="162">
        <v>0</v>
      </c>
      <c r="AQ49" s="164">
        <v>0</v>
      </c>
      <c r="AR49" s="164">
        <v>0</v>
      </c>
      <c r="AS49" s="162">
        <v>0</v>
      </c>
      <c r="AT49" s="208">
        <v>0</v>
      </c>
      <c r="AU49" s="162">
        <v>0</v>
      </c>
      <c r="AV49" s="162">
        <v>0</v>
      </c>
      <c r="AW49" s="243">
        <v>0</v>
      </c>
      <c r="AX49" s="245">
        <v>0</v>
      </c>
    </row>
    <row r="50" spans="1:50">
      <c r="A50" s="15"/>
      <c r="B50" s="13" t="s">
        <v>54</v>
      </c>
      <c r="C50" s="9">
        <f t="shared" ref="C50" si="50">SUM(C39+C40+C41+C44)</f>
        <v>0</v>
      </c>
      <c r="D50" s="9">
        <f t="shared" ref="D50:O50" si="51">SUM(D39+D40+D41+D44)</f>
        <v>170318770.84</v>
      </c>
      <c r="E50" s="9">
        <f t="shared" si="51"/>
        <v>170159117.28999999</v>
      </c>
      <c r="F50" s="9">
        <f t="shared" si="51"/>
        <v>163081384.59999999</v>
      </c>
      <c r="G50" s="9">
        <f t="shared" si="51"/>
        <v>172246044.94999999</v>
      </c>
      <c r="H50" s="9">
        <f t="shared" si="51"/>
        <v>172111864.63999999</v>
      </c>
      <c r="I50" s="9">
        <f t="shared" si="51"/>
        <v>171846493.05000001</v>
      </c>
      <c r="J50" s="9">
        <f t="shared" si="51"/>
        <v>169545300.07999998</v>
      </c>
      <c r="K50" s="9">
        <f t="shared" si="51"/>
        <v>170125798.96000001</v>
      </c>
      <c r="L50" s="9">
        <f t="shared" si="51"/>
        <v>174964406.48000002</v>
      </c>
      <c r="M50" s="9">
        <f t="shared" si="51"/>
        <v>174103700.22</v>
      </c>
      <c r="N50" s="9">
        <f t="shared" si="51"/>
        <v>171427377.93000001</v>
      </c>
      <c r="O50" s="9">
        <f t="shared" si="51"/>
        <v>167360405</v>
      </c>
      <c r="P50" s="9">
        <f t="shared" ref="P50:W50" si="52">SUM(P39+P40+P41+P44)</f>
        <v>172180029.11000001</v>
      </c>
      <c r="Q50" s="9">
        <f t="shared" si="52"/>
        <v>173197438.38</v>
      </c>
      <c r="R50" s="9">
        <f t="shared" si="52"/>
        <v>174129202.83000001</v>
      </c>
      <c r="S50" s="9">
        <f t="shared" si="52"/>
        <v>186003387.03</v>
      </c>
      <c r="T50" s="9">
        <f t="shared" si="52"/>
        <v>182056142.88</v>
      </c>
      <c r="U50" s="9">
        <f t="shared" si="52"/>
        <v>183471434.12</v>
      </c>
      <c r="V50" s="9">
        <f t="shared" si="52"/>
        <v>185577626.25999999</v>
      </c>
      <c r="W50" s="9">
        <f t="shared" si="52"/>
        <v>182604305.06</v>
      </c>
      <c r="X50" s="9">
        <f t="shared" ref="X50:AB50" si="53">SUM(X39+X40+X41+X44)</f>
        <v>182819960.50999999</v>
      </c>
      <c r="Y50" s="9">
        <f t="shared" si="53"/>
        <v>183068377.40000001</v>
      </c>
      <c r="Z50" s="9">
        <f t="shared" si="53"/>
        <v>181699035.65000001</v>
      </c>
      <c r="AA50" s="9">
        <f t="shared" si="53"/>
        <v>184897762.71000001</v>
      </c>
      <c r="AB50" s="169">
        <f t="shared" si="53"/>
        <v>174893549</v>
      </c>
      <c r="AC50" s="169">
        <f t="shared" ref="AC50:AN50" si="54">SUM(AC39+AC40+AC41+AC44)</f>
        <v>152382171.74000001</v>
      </c>
      <c r="AD50" s="169">
        <f t="shared" si="54"/>
        <v>155192959.42000002</v>
      </c>
      <c r="AE50" s="169">
        <f t="shared" si="54"/>
        <v>151179722.48000002</v>
      </c>
      <c r="AF50" s="169">
        <f t="shared" si="54"/>
        <v>153445725.44</v>
      </c>
      <c r="AG50" s="169">
        <f t="shared" si="54"/>
        <v>155615227</v>
      </c>
      <c r="AH50" s="169">
        <f t="shared" si="54"/>
        <v>157778135</v>
      </c>
      <c r="AI50" s="169">
        <f t="shared" si="54"/>
        <v>160012132.44</v>
      </c>
      <c r="AJ50" s="169">
        <f t="shared" si="54"/>
        <v>161956756.97999999</v>
      </c>
      <c r="AK50" s="169">
        <f t="shared" si="54"/>
        <v>164256529</v>
      </c>
      <c r="AL50" s="169">
        <f t="shared" si="54"/>
        <v>163260133</v>
      </c>
      <c r="AM50" s="169">
        <f t="shared" si="54"/>
        <v>156633648.86000001</v>
      </c>
      <c r="AN50" s="198">
        <f t="shared" si="54"/>
        <v>164804805.67999998</v>
      </c>
      <c r="AO50" s="184">
        <f>SUM(AO39+AO40+AO41+AO44)</f>
        <v>215194122</v>
      </c>
      <c r="AP50" s="184">
        <f t="shared" ref="AP50:AV50" si="55">SUM(AP39+AP40+AP41+AP44)</f>
        <v>197180587.42000002</v>
      </c>
      <c r="AQ50" s="184">
        <f t="shared" si="55"/>
        <v>186341211.34999999</v>
      </c>
      <c r="AR50" s="184">
        <f t="shared" si="55"/>
        <v>186076463.24000001</v>
      </c>
      <c r="AS50" s="184">
        <f t="shared" si="55"/>
        <v>188755603.34</v>
      </c>
      <c r="AT50" s="184">
        <f t="shared" si="55"/>
        <v>189390091.15000001</v>
      </c>
      <c r="AU50" s="184">
        <f t="shared" si="55"/>
        <v>202806895.16</v>
      </c>
      <c r="AV50" s="184">
        <f t="shared" si="55"/>
        <v>203062670.20999998</v>
      </c>
      <c r="AW50" s="184">
        <f t="shared" ref="AW50:AX50" si="56">SUM(AW39+AW40+AW41+AW44)</f>
        <v>203156911.68000001</v>
      </c>
      <c r="AX50" s="184">
        <f t="shared" si="56"/>
        <v>202633306.75999999</v>
      </c>
    </row>
    <row r="51" spans="1:50">
      <c r="A51" s="15"/>
      <c r="B51" s="13" t="s">
        <v>55</v>
      </c>
      <c r="C51" s="9">
        <f t="shared" ref="C51" si="57">SUM(C38+C50)</f>
        <v>0</v>
      </c>
      <c r="D51" s="9">
        <f t="shared" ref="D51:O51" si="58">SUM(D38+D50)</f>
        <v>417591700.41999996</v>
      </c>
      <c r="E51" s="9">
        <f t="shared" si="58"/>
        <v>417414363.51999998</v>
      </c>
      <c r="F51" s="9">
        <f t="shared" si="58"/>
        <v>404244003.12</v>
      </c>
      <c r="G51" s="9">
        <f t="shared" si="58"/>
        <v>414180726.76999998</v>
      </c>
      <c r="H51" s="9">
        <f t="shared" si="58"/>
        <v>414019753.82999998</v>
      </c>
      <c r="I51" s="9">
        <f t="shared" si="58"/>
        <v>414337567.44</v>
      </c>
      <c r="J51" s="9">
        <f t="shared" si="58"/>
        <v>405512065.63999999</v>
      </c>
      <c r="K51" s="9">
        <f t="shared" si="58"/>
        <v>395272578.53999996</v>
      </c>
      <c r="L51" s="9">
        <f t="shared" si="58"/>
        <v>468799213.29000008</v>
      </c>
      <c r="M51" s="9">
        <f t="shared" si="58"/>
        <v>406537798.13999999</v>
      </c>
      <c r="N51" s="9">
        <f t="shared" si="58"/>
        <v>392978893.71000004</v>
      </c>
      <c r="O51" s="9">
        <f t="shared" si="58"/>
        <v>395275248.36000001</v>
      </c>
      <c r="P51" s="9">
        <f t="shared" ref="P51:W51" si="59">SUM(P38+P50)</f>
        <v>397998946.29000002</v>
      </c>
      <c r="Q51" s="9">
        <f t="shared" si="59"/>
        <v>404108947.78999996</v>
      </c>
      <c r="R51" s="9">
        <f t="shared" si="59"/>
        <v>389365667.30999994</v>
      </c>
      <c r="S51" s="9">
        <f t="shared" si="59"/>
        <v>411678328.18000001</v>
      </c>
      <c r="T51" s="9">
        <f t="shared" si="59"/>
        <v>392273037.38</v>
      </c>
      <c r="U51" s="9">
        <f t="shared" si="59"/>
        <v>395741367.21000004</v>
      </c>
      <c r="V51" s="9">
        <f t="shared" si="59"/>
        <v>406514985.53999996</v>
      </c>
      <c r="W51" s="9">
        <f t="shared" si="59"/>
        <v>400443439.53999996</v>
      </c>
      <c r="X51" s="9">
        <f t="shared" ref="X51:AB51" si="60">SUM(X38+X50)</f>
        <v>394383111.77999997</v>
      </c>
      <c r="Y51" s="9">
        <f t="shared" si="60"/>
        <v>461393510.93999994</v>
      </c>
      <c r="Z51" s="9">
        <f t="shared" si="60"/>
        <v>400017524.64999998</v>
      </c>
      <c r="AA51" s="9">
        <f t="shared" si="60"/>
        <v>390333250.97000003</v>
      </c>
      <c r="AB51" s="169">
        <f t="shared" si="60"/>
        <v>389857904.24000001</v>
      </c>
      <c r="AC51" s="169">
        <f t="shared" ref="AC51:AN51" si="61">SUM(AC38+AC50)</f>
        <v>476990645.27000004</v>
      </c>
      <c r="AD51" s="169">
        <f t="shared" si="61"/>
        <v>482745751.31</v>
      </c>
      <c r="AE51" s="169">
        <f t="shared" si="61"/>
        <v>482663162.99000001</v>
      </c>
      <c r="AF51" s="169">
        <f t="shared" si="61"/>
        <v>466695533.5</v>
      </c>
      <c r="AG51" s="169">
        <f t="shared" si="61"/>
        <v>468617703</v>
      </c>
      <c r="AH51" s="169">
        <f t="shared" si="61"/>
        <v>475729963</v>
      </c>
      <c r="AI51" s="169">
        <f t="shared" si="61"/>
        <v>469923229.08999997</v>
      </c>
      <c r="AJ51" s="169">
        <f t="shared" si="61"/>
        <v>477889716.12</v>
      </c>
      <c r="AK51" s="169">
        <f t="shared" si="61"/>
        <v>475421070</v>
      </c>
      <c r="AL51" s="169">
        <f t="shared" si="61"/>
        <v>478123438.22000003</v>
      </c>
      <c r="AM51" s="169">
        <f t="shared" si="61"/>
        <v>470684133.47000003</v>
      </c>
      <c r="AN51" s="198">
        <f t="shared" si="61"/>
        <v>496282463.47000003</v>
      </c>
      <c r="AO51" s="184">
        <f t="shared" ref="AO51:AV51" si="62">SUM(AO38+AO50)</f>
        <v>424890607</v>
      </c>
      <c r="AP51" s="184">
        <f t="shared" si="62"/>
        <v>405245620.36000001</v>
      </c>
      <c r="AQ51" s="184">
        <f t="shared" si="62"/>
        <v>411061398.48000002</v>
      </c>
      <c r="AR51" s="184">
        <f t="shared" si="62"/>
        <v>395729426.84000003</v>
      </c>
      <c r="AS51" s="184">
        <f t="shared" si="62"/>
        <v>401604121.82999998</v>
      </c>
      <c r="AT51" s="184">
        <f t="shared" si="62"/>
        <v>397106634.92999995</v>
      </c>
      <c r="AU51" s="184">
        <f t="shared" si="62"/>
        <v>410936682.87</v>
      </c>
      <c r="AV51" s="184">
        <f t="shared" si="62"/>
        <v>421829884.11000001</v>
      </c>
      <c r="AW51" s="184">
        <f t="shared" ref="AW51:AX51" si="63">SUM(AW38+AW50)</f>
        <v>421806711.81999999</v>
      </c>
      <c r="AX51" s="184">
        <f t="shared" si="63"/>
        <v>421885316.41999996</v>
      </c>
    </row>
    <row r="52" spans="1:50" s="136" customFormat="1">
      <c r="D52" s="131"/>
      <c r="E52" s="131"/>
      <c r="F52" s="131"/>
      <c r="G52" s="131"/>
      <c r="O52" s="140"/>
      <c r="P52" s="140"/>
      <c r="Q52" s="140"/>
      <c r="R52" s="140"/>
      <c r="S52" s="140"/>
      <c r="T52" s="140"/>
      <c r="U52" s="140"/>
      <c r="V52" s="140"/>
      <c r="W52" s="140"/>
      <c r="AB52" s="140"/>
      <c r="AN52" s="195"/>
      <c r="AO52" s="195"/>
      <c r="AP52" s="197">
        <f>AP51-AP26</f>
        <v>0</v>
      </c>
      <c r="AQ52" s="197">
        <f t="shared" ref="AQ52:AV52" si="64">AQ51-AQ26</f>
        <v>0</v>
      </c>
      <c r="AR52" s="197">
        <f t="shared" si="64"/>
        <v>-2000000</v>
      </c>
      <c r="AS52" s="197">
        <f t="shared" si="64"/>
        <v>0</v>
      </c>
      <c r="AT52" s="197">
        <f t="shared" si="64"/>
        <v>0</v>
      </c>
      <c r="AU52" s="197">
        <f t="shared" si="64"/>
        <v>0</v>
      </c>
      <c r="AV52" s="197">
        <f t="shared" si="64"/>
        <v>0</v>
      </c>
      <c r="AW52" s="197">
        <f t="shared" ref="AW52:AX52" si="65">AW51-AW26</f>
        <v>0</v>
      </c>
      <c r="AX52" s="197">
        <f t="shared" si="6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2"/>
  <sheetViews>
    <sheetView topLeftCell="A19" workbookViewId="0">
      <pane xSplit="2" topLeftCell="AS1" activePane="topRight" state="frozen"/>
      <selection pane="topRight" activeCell="AV13" sqref="AV13:AX13"/>
    </sheetView>
  </sheetViews>
  <sheetFormatPr defaultRowHeight="14.45"/>
  <cols>
    <col min="1" max="1" width="9" customWidth="1"/>
    <col min="2" max="2" width="45.7109375" customWidth="1"/>
    <col min="3" max="3" width="5.28515625" bestFit="1" customWidth="1"/>
    <col min="4" max="4" width="14.140625" customWidth="1"/>
    <col min="5" max="12" width="15.28515625" customWidth="1"/>
    <col min="13" max="15" width="16.42578125" customWidth="1"/>
    <col min="16" max="16" width="16.42578125" bestFit="1" customWidth="1"/>
    <col min="17" max="23" width="15.28515625" bestFit="1" customWidth="1"/>
    <col min="24" max="26" width="15.140625" bestFit="1" customWidth="1"/>
    <col min="27" max="28" width="16.28515625" bestFit="1" customWidth="1"/>
    <col min="29" max="29" width="15.42578125" bestFit="1" customWidth="1"/>
    <col min="30" max="30" width="16.28515625" customWidth="1"/>
    <col min="31" max="31" width="16.5703125" customWidth="1"/>
    <col min="32" max="32" width="17.28515625" customWidth="1"/>
    <col min="33" max="33" width="15.7109375" customWidth="1"/>
    <col min="34" max="34" width="18" customWidth="1"/>
    <col min="35" max="35" width="18.28515625" customWidth="1"/>
    <col min="36" max="36" width="17" customWidth="1"/>
    <col min="37" max="37" width="19.28515625" customWidth="1"/>
    <col min="38" max="41" width="15.42578125" bestFit="1" customWidth="1"/>
    <col min="42" max="42" width="13.5703125" bestFit="1" customWidth="1"/>
    <col min="43" max="43" width="14.28515625" bestFit="1" customWidth="1"/>
    <col min="44" max="44" width="14.7109375" bestFit="1" customWidth="1"/>
    <col min="45" max="45" width="14.42578125" customWidth="1"/>
    <col min="46" max="46" width="15.28515625" customWidth="1"/>
    <col min="47" max="47" width="16" customWidth="1"/>
    <col min="48" max="48" width="16.140625" customWidth="1"/>
    <col min="49" max="50" width="15.7109375" customWidth="1"/>
  </cols>
  <sheetData>
    <row r="1" spans="1:50">
      <c r="A1" s="24" t="s">
        <v>56</v>
      </c>
      <c r="B1" s="24"/>
      <c r="C1" s="3"/>
      <c r="D1" s="3"/>
      <c r="E1" s="3"/>
      <c r="F1" s="3"/>
      <c r="G1" s="3"/>
    </row>
    <row r="2" spans="1:50">
      <c r="A2" s="25" t="s">
        <v>57</v>
      </c>
      <c r="B2" s="26"/>
      <c r="C2" s="3"/>
      <c r="D2" s="3"/>
      <c r="E2" s="3"/>
      <c r="F2" s="3"/>
      <c r="G2" s="3"/>
    </row>
    <row r="3" spans="1:50" ht="15">
      <c r="A3" s="27" t="s">
        <v>2</v>
      </c>
      <c r="B3" s="27"/>
      <c r="C3" s="28"/>
      <c r="D3" s="29">
        <v>44216</v>
      </c>
      <c r="E3" s="29">
        <v>44247</v>
      </c>
      <c r="F3" s="29">
        <v>44275</v>
      </c>
      <c r="G3" s="29">
        <v>44306</v>
      </c>
      <c r="H3" s="29">
        <v>44336</v>
      </c>
      <c r="I3" s="29">
        <v>44367</v>
      </c>
      <c r="J3" s="29">
        <v>44428</v>
      </c>
      <c r="K3" s="29">
        <v>44459</v>
      </c>
      <c r="L3" s="29">
        <v>44489</v>
      </c>
      <c r="M3" s="29">
        <v>44520</v>
      </c>
      <c r="N3" s="29">
        <v>44550</v>
      </c>
      <c r="O3" s="29" t="s">
        <v>3</v>
      </c>
      <c r="P3" s="29">
        <v>44197</v>
      </c>
      <c r="Q3" s="29">
        <v>44229</v>
      </c>
      <c r="R3" s="29">
        <v>44258</v>
      </c>
      <c r="S3" s="29">
        <v>44290</v>
      </c>
      <c r="T3" s="29">
        <v>44321</v>
      </c>
      <c r="U3" s="29">
        <v>44353</v>
      </c>
      <c r="V3" s="29">
        <v>44384</v>
      </c>
      <c r="W3" s="29">
        <v>44416</v>
      </c>
      <c r="X3" s="29">
        <v>44448</v>
      </c>
      <c r="Y3" s="29">
        <v>44479</v>
      </c>
      <c r="Z3" s="29">
        <v>44511</v>
      </c>
      <c r="AA3" s="29">
        <v>44542</v>
      </c>
      <c r="AB3" s="29" t="s">
        <v>4</v>
      </c>
      <c r="AC3" s="177">
        <v>44562</v>
      </c>
      <c r="AD3" s="177">
        <v>44593</v>
      </c>
      <c r="AE3" s="177">
        <v>44621</v>
      </c>
      <c r="AF3" s="177">
        <v>44652</v>
      </c>
      <c r="AG3" s="177">
        <v>44682</v>
      </c>
      <c r="AH3" s="177">
        <v>44713</v>
      </c>
      <c r="AI3" s="177">
        <v>44743</v>
      </c>
      <c r="AJ3" s="177">
        <v>44774</v>
      </c>
      <c r="AK3" s="177">
        <v>44805</v>
      </c>
      <c r="AL3" s="177">
        <v>44835</v>
      </c>
      <c r="AM3" s="177">
        <v>44866</v>
      </c>
      <c r="AN3" s="177">
        <v>44896</v>
      </c>
      <c r="AO3" s="194" t="s">
        <v>5</v>
      </c>
      <c r="AP3" s="194">
        <v>44927</v>
      </c>
      <c r="AQ3" s="194">
        <v>44958</v>
      </c>
      <c r="AR3" s="194">
        <v>44986</v>
      </c>
      <c r="AS3" s="190">
        <v>45017</v>
      </c>
      <c r="AT3" s="190">
        <v>45047</v>
      </c>
      <c r="AU3" s="190">
        <v>45078</v>
      </c>
      <c r="AV3" s="190">
        <v>45108</v>
      </c>
      <c r="AW3" s="190">
        <v>45139</v>
      </c>
      <c r="AX3" s="190">
        <v>45170</v>
      </c>
    </row>
    <row r="4" spans="1:50" ht="15">
      <c r="A4" s="30">
        <v>1</v>
      </c>
      <c r="B4" s="25" t="s">
        <v>58</v>
      </c>
      <c r="C4" s="31">
        <f t="shared" ref="C4:O4" si="0">C5+C8</f>
        <v>0</v>
      </c>
      <c r="D4" s="31">
        <f t="shared" si="0"/>
        <v>6946463.7000000002</v>
      </c>
      <c r="E4" s="31">
        <f t="shared" si="0"/>
        <v>14316592.17</v>
      </c>
      <c r="F4" s="31">
        <f t="shared" si="0"/>
        <v>22150806.07</v>
      </c>
      <c r="G4" s="31">
        <f t="shared" si="0"/>
        <v>36822711.93</v>
      </c>
      <c r="H4" s="31">
        <f t="shared" si="0"/>
        <v>42641103.210000001</v>
      </c>
      <c r="I4" s="31">
        <f t="shared" si="0"/>
        <v>48381577.009999998</v>
      </c>
      <c r="J4" s="31">
        <f t="shared" si="0"/>
        <v>60431756.809999995</v>
      </c>
      <c r="K4" s="31">
        <f t="shared" si="0"/>
        <v>66455546</v>
      </c>
      <c r="L4" s="31">
        <f t="shared" si="0"/>
        <v>92420401.210000008</v>
      </c>
      <c r="M4" s="31">
        <f t="shared" si="0"/>
        <v>100951147.42999999</v>
      </c>
      <c r="N4" s="31">
        <f t="shared" si="0"/>
        <v>109185756.34</v>
      </c>
      <c r="O4" s="31">
        <f t="shared" si="0"/>
        <v>109323741.66</v>
      </c>
      <c r="P4" s="31">
        <f t="shared" ref="P4:U4" si="1">P5+P8</f>
        <v>6084565.2200000007</v>
      </c>
      <c r="Q4" s="31">
        <f t="shared" si="1"/>
        <v>12804515.050000001</v>
      </c>
      <c r="R4" s="31">
        <f t="shared" si="1"/>
        <v>20076151.73</v>
      </c>
      <c r="S4" s="31">
        <f t="shared" si="1"/>
        <v>37543672.689999998</v>
      </c>
      <c r="T4" s="31">
        <f t="shared" si="1"/>
        <v>44404002.93</v>
      </c>
      <c r="U4" s="31">
        <f t="shared" si="1"/>
        <v>50119774.109999999</v>
      </c>
      <c r="V4" s="31">
        <f t="shared" ref="V4:AB4" si="2">V5+V8</f>
        <v>57216379.170000002</v>
      </c>
      <c r="W4" s="31">
        <f t="shared" si="2"/>
        <v>63481414.379999995</v>
      </c>
      <c r="X4" s="31">
        <f t="shared" si="2"/>
        <v>69586972.269999996</v>
      </c>
      <c r="Y4" s="31">
        <f t="shared" si="2"/>
        <v>85187929.450000003</v>
      </c>
      <c r="Z4" s="31">
        <f t="shared" si="2"/>
        <v>92818572</v>
      </c>
      <c r="AA4" s="31">
        <f t="shared" si="2"/>
        <v>108522397.11000001</v>
      </c>
      <c r="AB4" s="31">
        <f t="shared" si="2"/>
        <v>108713057.34999999</v>
      </c>
      <c r="AC4" s="31">
        <f t="shared" ref="AC4:AN4" si="3">AC5+AC8</f>
        <v>6084565.2200000007</v>
      </c>
      <c r="AD4" s="31">
        <f t="shared" si="3"/>
        <v>12804515.050000001</v>
      </c>
      <c r="AE4" s="31">
        <f t="shared" si="3"/>
        <v>20076151.73</v>
      </c>
      <c r="AF4" s="31">
        <f t="shared" si="3"/>
        <v>37543672.689999998</v>
      </c>
      <c r="AG4" s="31">
        <f t="shared" si="3"/>
        <v>44404002.93</v>
      </c>
      <c r="AH4" s="31">
        <f t="shared" si="3"/>
        <v>50119774.109999999</v>
      </c>
      <c r="AI4" s="31">
        <f t="shared" si="3"/>
        <v>57216379.170000002</v>
      </c>
      <c r="AJ4" s="31">
        <f t="shared" si="3"/>
        <v>63481414.379999995</v>
      </c>
      <c r="AK4" s="31">
        <f t="shared" si="3"/>
        <v>69586972.269999996</v>
      </c>
      <c r="AL4" s="31">
        <f t="shared" si="3"/>
        <v>85187929.450000003</v>
      </c>
      <c r="AM4" s="31">
        <f t="shared" si="3"/>
        <v>92818572</v>
      </c>
      <c r="AN4" s="31">
        <f t="shared" si="3"/>
        <v>108522397.11000001</v>
      </c>
      <c r="AO4" s="31">
        <f t="shared" ref="AO4:AV4" si="4">AO5+AO8</f>
        <v>118076730</v>
      </c>
      <c r="AP4" s="31">
        <f t="shared" si="4"/>
        <v>7065234.6500000004</v>
      </c>
      <c r="AQ4" s="31">
        <f t="shared" si="4"/>
        <v>14415571.640000001</v>
      </c>
      <c r="AR4" s="31">
        <f t="shared" si="4"/>
        <v>31340744.729999997</v>
      </c>
      <c r="AS4" s="31">
        <f t="shared" si="4"/>
        <v>28562388.719999999</v>
      </c>
      <c r="AT4" s="31">
        <f t="shared" si="4"/>
        <v>35625620.650000006</v>
      </c>
      <c r="AU4" s="31">
        <f t="shared" si="4"/>
        <v>56760140.020000003</v>
      </c>
      <c r="AV4" s="31">
        <f t="shared" si="4"/>
        <v>63130839.590000004</v>
      </c>
      <c r="AW4" s="31">
        <f t="shared" ref="AW4:AX4" si="5">AW5+AW8</f>
        <v>68826095.680000007</v>
      </c>
      <c r="AX4" s="31">
        <f t="shared" si="5"/>
        <v>74683233.890000001</v>
      </c>
    </row>
    <row r="5" spans="1:50">
      <c r="A5" s="24">
        <v>2</v>
      </c>
      <c r="B5" s="25" t="s">
        <v>59</v>
      </c>
      <c r="C5" s="147"/>
      <c r="D5" s="148">
        <v>4536098.5</v>
      </c>
      <c r="E5" s="148">
        <v>6207544</v>
      </c>
      <c r="F5" s="148">
        <v>8367483.54</v>
      </c>
      <c r="G5" s="148">
        <v>9162697.5399999991</v>
      </c>
      <c r="H5" s="146">
        <v>10103613.140000001</v>
      </c>
      <c r="I5" s="146">
        <v>11515869.640000001</v>
      </c>
      <c r="J5" s="146">
        <v>14253399.640000001</v>
      </c>
      <c r="K5" s="146">
        <v>16122606.640000001</v>
      </c>
      <c r="L5" s="146">
        <v>18709552.140000001</v>
      </c>
      <c r="M5" s="146">
        <v>20723322.739999998</v>
      </c>
      <c r="N5" s="146">
        <v>23173761.940000001</v>
      </c>
      <c r="O5" s="146">
        <v>28723281</v>
      </c>
      <c r="P5" s="146">
        <f>SUM(P6:P7)</f>
        <v>2418946.7000000002</v>
      </c>
      <c r="Q5" s="146">
        <f t="shared" ref="Q5:AB5" si="6">SUM(Q6:Q7)</f>
        <v>4463160.7</v>
      </c>
      <c r="R5" s="146">
        <f t="shared" si="6"/>
        <v>7526031.7999999998</v>
      </c>
      <c r="S5" s="146">
        <f t="shared" si="6"/>
        <v>9380059.6999999993</v>
      </c>
      <c r="T5" s="146">
        <f t="shared" si="6"/>
        <v>12392584.199999999</v>
      </c>
      <c r="U5" s="146">
        <f t="shared" si="6"/>
        <v>14279704.449999999</v>
      </c>
      <c r="V5" s="146">
        <f t="shared" si="6"/>
        <v>17445543.449999999</v>
      </c>
      <c r="W5" s="146">
        <f t="shared" si="6"/>
        <v>20248364.449999999</v>
      </c>
      <c r="X5" s="146">
        <f t="shared" si="6"/>
        <v>22169232.550000001</v>
      </c>
      <c r="Y5" s="146">
        <f t="shared" si="6"/>
        <v>24158123.949999999</v>
      </c>
      <c r="Z5" s="146">
        <f t="shared" si="6"/>
        <v>27974519.550000001</v>
      </c>
      <c r="AA5" s="146">
        <f t="shared" si="6"/>
        <v>38827169.350000001</v>
      </c>
      <c r="AB5" s="146">
        <f t="shared" si="6"/>
        <v>35075458.350000001</v>
      </c>
      <c r="AC5" s="146">
        <f t="shared" ref="AC5:AN5" si="7">SUM(AC6:AC7)</f>
        <v>2418946.7000000002</v>
      </c>
      <c r="AD5" s="146">
        <f t="shared" si="7"/>
        <v>4463160.7</v>
      </c>
      <c r="AE5" s="146">
        <f t="shared" si="7"/>
        <v>7526031.7999999998</v>
      </c>
      <c r="AF5" s="146">
        <f t="shared" si="7"/>
        <v>9380059.6999999993</v>
      </c>
      <c r="AG5" s="146">
        <f t="shared" si="7"/>
        <v>12392584.199999999</v>
      </c>
      <c r="AH5" s="146">
        <f t="shared" si="7"/>
        <v>14279704.449999999</v>
      </c>
      <c r="AI5" s="146">
        <f t="shared" si="7"/>
        <v>17445543.449999999</v>
      </c>
      <c r="AJ5" s="146">
        <f t="shared" si="7"/>
        <v>20248364.449999999</v>
      </c>
      <c r="AK5" s="146">
        <f t="shared" si="7"/>
        <v>22169232.550000001</v>
      </c>
      <c r="AL5" s="146">
        <f t="shared" si="7"/>
        <v>24158123.949999999</v>
      </c>
      <c r="AM5" s="146">
        <f t="shared" si="7"/>
        <v>27974519.550000001</v>
      </c>
      <c r="AN5" s="146">
        <f t="shared" si="7"/>
        <v>38827169.350000001</v>
      </c>
      <c r="AO5" s="146">
        <f t="shared" ref="AO5:AV5" si="8">SUM(AO6:AO7)</f>
        <v>33277753</v>
      </c>
      <c r="AP5" s="146">
        <f t="shared" si="8"/>
        <v>3761772</v>
      </c>
      <c r="AQ5" s="146">
        <f t="shared" si="8"/>
        <v>6837554.2999999998</v>
      </c>
      <c r="AR5" s="146">
        <f t="shared" si="8"/>
        <v>11648958.189999999</v>
      </c>
      <c r="AS5" s="146">
        <f t="shared" si="8"/>
        <v>13811347.84</v>
      </c>
      <c r="AT5" s="146">
        <f t="shared" si="8"/>
        <v>16309468.23</v>
      </c>
      <c r="AU5" s="146">
        <f t="shared" si="8"/>
        <v>19178871.740000002</v>
      </c>
      <c r="AV5" s="146">
        <f t="shared" si="8"/>
        <v>21807783.540000003</v>
      </c>
      <c r="AW5" s="146">
        <f t="shared" ref="AW5:AX5" si="9">SUM(AW6:AW7)</f>
        <v>24000324.240000002</v>
      </c>
      <c r="AX5" s="146">
        <f t="shared" si="9"/>
        <v>26140636.940000001</v>
      </c>
    </row>
    <row r="6" spans="1:50" ht="14.25">
      <c r="A6" s="30">
        <v>2.1</v>
      </c>
      <c r="B6" s="35" t="s">
        <v>60</v>
      </c>
      <c r="C6" s="36"/>
      <c r="D6" s="37">
        <v>3434593.2</v>
      </c>
      <c r="E6" s="37">
        <v>4547619.2</v>
      </c>
      <c r="F6" s="37">
        <v>6319984.7400000002</v>
      </c>
      <c r="G6" s="37">
        <v>6933096.7400000002</v>
      </c>
      <c r="H6" s="34">
        <v>7701931.2400000002</v>
      </c>
      <c r="I6" s="34">
        <v>8847278.2400000002</v>
      </c>
      <c r="J6" s="34">
        <v>11007267.24</v>
      </c>
      <c r="K6" s="34">
        <v>12475504.24</v>
      </c>
      <c r="L6" s="34">
        <v>14871343.24</v>
      </c>
      <c r="M6" s="34">
        <v>16632499.84</v>
      </c>
      <c r="N6" s="34">
        <v>18723281.039999999</v>
      </c>
      <c r="O6" s="34"/>
      <c r="P6" s="145">
        <v>2114530.2000000002</v>
      </c>
      <c r="Q6" s="145">
        <v>3780943.2</v>
      </c>
      <c r="R6" s="145">
        <v>6564890.2999999998</v>
      </c>
      <c r="S6" s="145">
        <v>8076078.2000000002</v>
      </c>
      <c r="T6" s="145">
        <v>10743485.199999999</v>
      </c>
      <c r="U6" s="145">
        <v>12393264.949999999</v>
      </c>
      <c r="V6" s="145">
        <v>15183382.449999999</v>
      </c>
      <c r="W6" s="145">
        <v>17706598.449999999</v>
      </c>
      <c r="X6" s="151">
        <v>19421846.050000001</v>
      </c>
      <c r="Y6" s="153">
        <v>21159667.449999999</v>
      </c>
      <c r="Z6" s="153">
        <v>24631411.050000001</v>
      </c>
      <c r="AA6" s="153">
        <v>35075458.350000001</v>
      </c>
      <c r="AB6" s="153">
        <v>35075458.350000001</v>
      </c>
      <c r="AC6" s="151">
        <v>2114530.2000000002</v>
      </c>
      <c r="AD6" s="153">
        <v>3780943.2</v>
      </c>
      <c r="AE6" s="153">
        <v>6564890.2999999998</v>
      </c>
      <c r="AF6" s="153">
        <v>8076078.2000000002</v>
      </c>
      <c r="AG6" s="153">
        <v>10743485.199999999</v>
      </c>
      <c r="AH6" s="153">
        <v>12393264.949999999</v>
      </c>
      <c r="AI6" s="153">
        <v>15183382.449999999</v>
      </c>
      <c r="AJ6" s="153">
        <v>17706598.449999999</v>
      </c>
      <c r="AK6" s="153">
        <v>19421846.050000001</v>
      </c>
      <c r="AL6" s="153">
        <v>21159667.449999999</v>
      </c>
      <c r="AM6" s="153">
        <v>24631411.050000001</v>
      </c>
      <c r="AN6" s="153">
        <v>35075458.350000001</v>
      </c>
      <c r="AO6" s="153">
        <v>33277753</v>
      </c>
      <c r="AP6" s="151">
        <v>3141524</v>
      </c>
      <c r="AQ6" s="153">
        <v>5855497</v>
      </c>
      <c r="AR6" s="153">
        <v>11648958.189999999</v>
      </c>
      <c r="AS6" s="151">
        <v>12343589.439999999</v>
      </c>
      <c r="AT6" s="213">
        <v>14546816.83</v>
      </c>
      <c r="AU6" s="151">
        <v>17096683.440000001</v>
      </c>
      <c r="AV6" s="151">
        <v>19501383.440000001</v>
      </c>
      <c r="AW6" s="248">
        <v>21399955.440000001</v>
      </c>
      <c r="AX6" s="250">
        <v>23300521.640000001</v>
      </c>
    </row>
    <row r="7" spans="1:50" ht="14.25">
      <c r="A7" s="30">
        <v>2.2000000000000002</v>
      </c>
      <c r="B7" s="35" t="s">
        <v>61</v>
      </c>
      <c r="C7" s="36"/>
      <c r="D7" s="37">
        <v>1101505.3</v>
      </c>
      <c r="E7" s="37">
        <v>1659924.8</v>
      </c>
      <c r="F7" s="37">
        <v>2047498.8</v>
      </c>
      <c r="G7" s="37">
        <v>2229600.7999999998</v>
      </c>
      <c r="H7" s="34">
        <v>2401681.9</v>
      </c>
      <c r="I7" s="34">
        <v>2668591.4</v>
      </c>
      <c r="J7" s="34">
        <v>3246132.4</v>
      </c>
      <c r="K7" s="34">
        <v>3647102.4</v>
      </c>
      <c r="L7" s="34">
        <v>3838208.9</v>
      </c>
      <c r="M7" s="34">
        <v>4090822.9</v>
      </c>
      <c r="N7" s="34">
        <v>4450480.9000000004</v>
      </c>
      <c r="O7" s="34"/>
      <c r="P7" s="145">
        <v>304416.5</v>
      </c>
      <c r="Q7" s="145">
        <v>682217.5</v>
      </c>
      <c r="R7" s="145">
        <v>961141.5</v>
      </c>
      <c r="S7" s="145">
        <v>1303981.5</v>
      </c>
      <c r="T7" s="145">
        <v>1649099</v>
      </c>
      <c r="U7" s="145">
        <v>1886439.5</v>
      </c>
      <c r="V7" s="145">
        <v>2262161</v>
      </c>
      <c r="W7" s="145">
        <v>2541766</v>
      </c>
      <c r="X7" s="155">
        <v>2747386.5</v>
      </c>
      <c r="Y7" s="157">
        <v>2998456.5</v>
      </c>
      <c r="Z7" s="157">
        <v>3343108.5</v>
      </c>
      <c r="AA7" s="157">
        <v>3751711</v>
      </c>
      <c r="AC7" s="155">
        <v>304416.5</v>
      </c>
      <c r="AD7" s="157">
        <v>682217.5</v>
      </c>
      <c r="AE7" s="157">
        <v>961141.5</v>
      </c>
      <c r="AF7" s="157">
        <v>1303981.5</v>
      </c>
      <c r="AG7" s="157">
        <v>1649099</v>
      </c>
      <c r="AH7" s="157">
        <v>1886439.5</v>
      </c>
      <c r="AI7" s="157">
        <v>2262161</v>
      </c>
      <c r="AJ7" s="157">
        <v>2541766</v>
      </c>
      <c r="AK7" s="157">
        <v>2747386.5</v>
      </c>
      <c r="AL7" s="157">
        <v>2998456.5</v>
      </c>
      <c r="AM7" s="157">
        <v>3343108.5</v>
      </c>
      <c r="AN7" s="157">
        <v>3751711</v>
      </c>
      <c r="AO7" s="157"/>
      <c r="AP7" s="155">
        <v>620248</v>
      </c>
      <c r="AQ7" s="157">
        <v>982057.3</v>
      </c>
      <c r="AR7" s="156">
        <v>0</v>
      </c>
      <c r="AS7" s="155">
        <v>1467758.4</v>
      </c>
      <c r="AT7" s="215">
        <v>1762651.4</v>
      </c>
      <c r="AU7" s="155">
        <v>2082188.3</v>
      </c>
      <c r="AV7" s="155">
        <v>2306400.1</v>
      </c>
      <c r="AW7" s="252">
        <v>2600368.7999999998</v>
      </c>
      <c r="AX7" s="254">
        <v>2840115.3</v>
      </c>
    </row>
    <row r="8" spans="1:50" ht="15">
      <c r="A8" s="30">
        <v>3</v>
      </c>
      <c r="B8" s="25" t="s">
        <v>62</v>
      </c>
      <c r="C8" s="38">
        <f t="shared" ref="C8:O8" si="10">C9+C10+C11+C12</f>
        <v>0</v>
      </c>
      <c r="D8" s="38">
        <f t="shared" si="10"/>
        <v>2410365.2000000002</v>
      </c>
      <c r="E8" s="38">
        <f t="shared" si="10"/>
        <v>8109048.1699999999</v>
      </c>
      <c r="F8" s="38">
        <f t="shared" si="10"/>
        <v>13783322.529999999</v>
      </c>
      <c r="G8" s="38">
        <f t="shared" si="10"/>
        <v>27660014.390000001</v>
      </c>
      <c r="H8" s="38">
        <f t="shared" si="10"/>
        <v>32537490.07</v>
      </c>
      <c r="I8" s="38">
        <f t="shared" si="10"/>
        <v>36865707.369999997</v>
      </c>
      <c r="J8" s="38">
        <f t="shared" si="10"/>
        <v>46178357.169999994</v>
      </c>
      <c r="K8" s="38">
        <f t="shared" si="10"/>
        <v>50332939.359999999</v>
      </c>
      <c r="L8" s="38">
        <f t="shared" si="10"/>
        <v>73710849.070000008</v>
      </c>
      <c r="M8" s="38">
        <f t="shared" si="10"/>
        <v>80227824.689999998</v>
      </c>
      <c r="N8" s="38">
        <f t="shared" si="10"/>
        <v>86011994.400000006</v>
      </c>
      <c r="O8" s="38">
        <f t="shared" si="10"/>
        <v>80600460.659999996</v>
      </c>
      <c r="P8" s="38">
        <f t="shared" ref="P8:U8" si="11">P9+P10+P11+P12</f>
        <v>3665618.52</v>
      </c>
      <c r="Q8" s="38">
        <f t="shared" si="11"/>
        <v>8341354.3499999996</v>
      </c>
      <c r="R8" s="38">
        <f t="shared" si="11"/>
        <v>12550119.93</v>
      </c>
      <c r="S8" s="38">
        <f t="shared" si="11"/>
        <v>28163612.990000002</v>
      </c>
      <c r="T8" s="38">
        <f t="shared" si="11"/>
        <v>32011418.73</v>
      </c>
      <c r="U8" s="38">
        <f t="shared" si="11"/>
        <v>35840069.659999996</v>
      </c>
      <c r="V8" s="38">
        <f t="shared" ref="V8:AB8" si="12">V9+V10+V11+V12</f>
        <v>39770835.719999999</v>
      </c>
      <c r="W8" s="38">
        <f t="shared" si="12"/>
        <v>43233049.93</v>
      </c>
      <c r="X8" s="38">
        <f t="shared" si="12"/>
        <v>47417739.719999999</v>
      </c>
      <c r="Y8" s="38">
        <f t="shared" si="12"/>
        <v>61029805.5</v>
      </c>
      <c r="Z8" s="38">
        <f t="shared" si="12"/>
        <v>64844052.450000003</v>
      </c>
      <c r="AA8" s="38">
        <f t="shared" si="12"/>
        <v>69695227.760000005</v>
      </c>
      <c r="AB8" s="38">
        <f t="shared" si="12"/>
        <v>73637599</v>
      </c>
      <c r="AC8" s="38">
        <f t="shared" ref="AC8:AN8" si="13">AC9+AC10+AC11+AC12</f>
        <v>3665618.52</v>
      </c>
      <c r="AD8" s="38">
        <f t="shared" si="13"/>
        <v>8341354.3499999996</v>
      </c>
      <c r="AE8" s="38">
        <f t="shared" si="13"/>
        <v>12550119.93</v>
      </c>
      <c r="AF8" s="38">
        <f t="shared" si="13"/>
        <v>28163612.990000002</v>
      </c>
      <c r="AG8" s="38">
        <f t="shared" si="13"/>
        <v>32011418.73</v>
      </c>
      <c r="AH8" s="38">
        <f t="shared" si="13"/>
        <v>35840069.659999996</v>
      </c>
      <c r="AI8" s="38">
        <f t="shared" si="13"/>
        <v>39770835.719999999</v>
      </c>
      <c r="AJ8" s="38">
        <f t="shared" si="13"/>
        <v>43233049.93</v>
      </c>
      <c r="AK8" s="38">
        <f t="shared" si="13"/>
        <v>47417739.719999999</v>
      </c>
      <c r="AL8" s="38">
        <f t="shared" si="13"/>
        <v>61029805.5</v>
      </c>
      <c r="AM8" s="38">
        <f t="shared" si="13"/>
        <v>64844052.450000003</v>
      </c>
      <c r="AN8" s="38">
        <f t="shared" si="13"/>
        <v>69695227.760000005</v>
      </c>
      <c r="AO8" s="38">
        <f t="shared" ref="AO8:AX8" si="14">AO9+AO10+AO11+AO12</f>
        <v>84798977</v>
      </c>
      <c r="AP8" s="38">
        <f t="shared" si="14"/>
        <v>3303462.65</v>
      </c>
      <c r="AQ8" s="38">
        <f t="shared" si="14"/>
        <v>7578017.3400000008</v>
      </c>
      <c r="AR8" s="38">
        <f t="shared" si="14"/>
        <v>19691786.539999999</v>
      </c>
      <c r="AS8" s="38">
        <f t="shared" si="14"/>
        <v>14751040.879999999</v>
      </c>
      <c r="AT8" s="38">
        <f t="shared" si="14"/>
        <v>19316152.420000002</v>
      </c>
      <c r="AU8" s="38">
        <f t="shared" si="14"/>
        <v>37581268.280000001</v>
      </c>
      <c r="AV8" s="38">
        <f t="shared" si="14"/>
        <v>41323056.049999997</v>
      </c>
      <c r="AW8" s="38">
        <f t="shared" si="14"/>
        <v>44825771.439999998</v>
      </c>
      <c r="AX8" s="38">
        <f t="shared" si="14"/>
        <v>48542596.950000003</v>
      </c>
    </row>
    <row r="9" spans="1:50" ht="14.25">
      <c r="A9" s="30">
        <v>3.1</v>
      </c>
      <c r="B9" s="35" t="s">
        <v>63</v>
      </c>
      <c r="C9" s="36"/>
      <c r="D9" s="37">
        <v>0</v>
      </c>
      <c r="E9" s="37">
        <v>0</v>
      </c>
      <c r="F9" s="37">
        <v>0</v>
      </c>
      <c r="G9" s="37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/>
      <c r="P9" s="145">
        <v>0</v>
      </c>
      <c r="Q9" s="145">
        <v>0</v>
      </c>
      <c r="R9" s="145">
        <v>0</v>
      </c>
      <c r="S9" s="145">
        <v>0</v>
      </c>
      <c r="T9" s="145">
        <v>0</v>
      </c>
      <c r="U9" s="145">
        <v>0</v>
      </c>
      <c r="V9" s="145">
        <v>0</v>
      </c>
      <c r="W9" s="145">
        <v>0</v>
      </c>
      <c r="X9" s="150">
        <v>0</v>
      </c>
      <c r="Y9" s="152">
        <v>0</v>
      </c>
      <c r="Z9" s="152">
        <v>0</v>
      </c>
      <c r="AA9" s="152">
        <v>0</v>
      </c>
      <c r="AC9" s="150">
        <v>0</v>
      </c>
      <c r="AD9" s="152">
        <v>0</v>
      </c>
      <c r="AE9" s="152">
        <v>0</v>
      </c>
      <c r="AF9" s="152">
        <v>0</v>
      </c>
      <c r="AG9" s="152">
        <v>0</v>
      </c>
      <c r="AH9" s="152">
        <v>0</v>
      </c>
      <c r="AI9" s="152">
        <v>0</v>
      </c>
      <c r="AJ9" s="152">
        <v>0</v>
      </c>
      <c r="AK9" s="152">
        <v>0</v>
      </c>
      <c r="AL9" s="152">
        <v>0</v>
      </c>
      <c r="AM9" s="152">
        <v>0</v>
      </c>
      <c r="AN9" s="152">
        <v>0</v>
      </c>
      <c r="AO9" s="152"/>
      <c r="AP9" s="150">
        <v>0</v>
      </c>
      <c r="AQ9" s="152">
        <v>0</v>
      </c>
      <c r="AR9" s="152">
        <v>0</v>
      </c>
      <c r="AS9" s="150">
        <v>0</v>
      </c>
      <c r="AT9" s="212">
        <v>0</v>
      </c>
      <c r="AU9" s="150">
        <v>0</v>
      </c>
      <c r="AV9" s="150">
        <v>0</v>
      </c>
      <c r="AW9" s="247">
        <v>0</v>
      </c>
      <c r="AX9" s="249">
        <v>0</v>
      </c>
    </row>
    <row r="10" spans="1:50" ht="14.25">
      <c r="A10" s="30">
        <v>3.2</v>
      </c>
      <c r="B10" s="35" t="s">
        <v>64</v>
      </c>
      <c r="C10" s="36"/>
      <c r="D10" s="37">
        <v>0</v>
      </c>
      <c r="E10" s="37">
        <v>87985.24</v>
      </c>
      <c r="F10" s="37">
        <v>329417.02</v>
      </c>
      <c r="G10" s="37">
        <v>563386.26</v>
      </c>
      <c r="H10" s="34">
        <v>805002.85</v>
      </c>
      <c r="I10" s="34">
        <v>805002.85</v>
      </c>
      <c r="J10" s="34">
        <v>1519866.6</v>
      </c>
      <c r="K10" s="34">
        <v>1753848.53</v>
      </c>
      <c r="L10" s="34">
        <v>1753848.53</v>
      </c>
      <c r="M10" s="34">
        <v>2388412.11</v>
      </c>
      <c r="N10" s="34">
        <v>2854410.66</v>
      </c>
      <c r="O10" s="34">
        <v>2854410.66</v>
      </c>
      <c r="P10" s="145">
        <v>0</v>
      </c>
      <c r="Q10" s="145">
        <v>891626.04</v>
      </c>
      <c r="R10" s="145">
        <v>1371555.35</v>
      </c>
      <c r="S10" s="145">
        <v>1789498.68</v>
      </c>
      <c r="T10" s="145">
        <v>2208277.63</v>
      </c>
      <c r="U10" s="145">
        <v>2208277.63</v>
      </c>
      <c r="V10" s="145">
        <v>2983331.64</v>
      </c>
      <c r="W10" s="145">
        <v>2983331.64</v>
      </c>
      <c r="X10" s="155">
        <v>3295271.36</v>
      </c>
      <c r="Y10" s="157">
        <v>3945398.03</v>
      </c>
      <c r="Z10" s="157">
        <v>4249280.04</v>
      </c>
      <c r="AA10" s="157">
        <v>4563380.28</v>
      </c>
      <c r="AB10" s="157">
        <v>4563380</v>
      </c>
      <c r="AC10" s="154">
        <v>0</v>
      </c>
      <c r="AD10" s="157">
        <v>891626.04</v>
      </c>
      <c r="AE10" s="157">
        <v>1371555.35</v>
      </c>
      <c r="AF10" s="157">
        <v>1789498.68</v>
      </c>
      <c r="AG10" s="157">
        <v>2208277.63</v>
      </c>
      <c r="AH10" s="157">
        <v>2208277.63</v>
      </c>
      <c r="AI10" s="157">
        <v>2983331.64</v>
      </c>
      <c r="AJ10" s="157">
        <v>2983331.64</v>
      </c>
      <c r="AK10" s="157">
        <v>3295271.36</v>
      </c>
      <c r="AL10" s="157">
        <v>3945398.03</v>
      </c>
      <c r="AM10" s="157">
        <v>4249280.04</v>
      </c>
      <c r="AN10" s="157">
        <v>4563380.28</v>
      </c>
      <c r="AO10" s="157">
        <f>3733144</f>
        <v>3733144</v>
      </c>
      <c r="AP10" s="155">
        <v>129319.48</v>
      </c>
      <c r="AQ10" s="157">
        <v>241177.36</v>
      </c>
      <c r="AR10" s="157">
        <v>241177.36</v>
      </c>
      <c r="AS10" s="155">
        <v>241177.36</v>
      </c>
      <c r="AT10" s="215">
        <v>241177.36</v>
      </c>
      <c r="AU10" s="155">
        <v>605503.51</v>
      </c>
      <c r="AV10" s="155">
        <v>693223.92</v>
      </c>
      <c r="AW10" s="252">
        <v>785268.34</v>
      </c>
      <c r="AX10" s="254">
        <v>876749.59</v>
      </c>
    </row>
    <row r="11" spans="1:50" ht="15">
      <c r="A11" s="30">
        <v>3.3</v>
      </c>
      <c r="B11" s="35" t="s">
        <v>65</v>
      </c>
      <c r="C11" s="36"/>
      <c r="D11" s="37">
        <v>0</v>
      </c>
      <c r="E11" s="37">
        <v>0</v>
      </c>
      <c r="F11" s="37">
        <v>0</v>
      </c>
      <c r="G11" s="37">
        <v>9433834.6999999993</v>
      </c>
      <c r="H11" s="34">
        <v>9433834.6999999993</v>
      </c>
      <c r="I11" s="34">
        <v>9433834.6999999993</v>
      </c>
      <c r="J11" s="34">
        <v>9433834.6999999993</v>
      </c>
      <c r="K11" s="34">
        <v>9433834.6999999993</v>
      </c>
      <c r="L11" s="34">
        <v>9433834.6999999993</v>
      </c>
      <c r="M11" s="34">
        <v>9781019.6999999993</v>
      </c>
      <c r="N11" s="34">
        <v>9781019.6999999993</v>
      </c>
      <c r="O11" s="34"/>
      <c r="P11" s="145">
        <v>0</v>
      </c>
      <c r="Q11" s="145">
        <v>0</v>
      </c>
      <c r="R11" s="145">
        <v>0</v>
      </c>
      <c r="S11" s="145">
        <v>9284889.5999999996</v>
      </c>
      <c r="T11" s="145">
        <v>9284889.5999999996</v>
      </c>
      <c r="U11" s="145">
        <v>9284889.5999999996</v>
      </c>
      <c r="V11" s="145">
        <v>9284889.5999999996</v>
      </c>
      <c r="W11" s="145">
        <v>9284889.5999999996</v>
      </c>
      <c r="X11" s="155">
        <v>9284889.5999999996</v>
      </c>
      <c r="Y11" s="157">
        <v>9284889.5999999996</v>
      </c>
      <c r="Z11" s="157">
        <v>9284889.5999999996</v>
      </c>
      <c r="AA11" s="157">
        <v>9548750.5999999996</v>
      </c>
      <c r="AB11" s="175"/>
      <c r="AC11" s="154">
        <v>0</v>
      </c>
      <c r="AD11" s="156">
        <v>0</v>
      </c>
      <c r="AE11" s="156">
        <v>0</v>
      </c>
      <c r="AF11" s="157">
        <v>9284889.5999999996</v>
      </c>
      <c r="AG11" s="157">
        <v>9284889.5999999996</v>
      </c>
      <c r="AH11" s="157">
        <v>9284889.5999999996</v>
      </c>
      <c r="AI11" s="157">
        <v>9284889.5999999996</v>
      </c>
      <c r="AJ11" s="157">
        <v>9284889.5999999996</v>
      </c>
      <c r="AK11" s="157">
        <v>9284889.5999999996</v>
      </c>
      <c r="AL11" s="157">
        <v>9284889.5999999996</v>
      </c>
      <c r="AM11" s="157">
        <v>9284889.5999999996</v>
      </c>
      <c r="AN11" s="157">
        <v>9548750.5999999996</v>
      </c>
      <c r="AO11" s="157"/>
      <c r="AP11" s="154">
        <v>0</v>
      </c>
      <c r="AQ11" s="156">
        <v>0</v>
      </c>
      <c r="AR11" s="157">
        <v>9244687</v>
      </c>
      <c r="AS11" s="154">
        <v>0</v>
      </c>
      <c r="AT11" s="215">
        <v>504018.05</v>
      </c>
      <c r="AU11" s="155">
        <v>13914339.65</v>
      </c>
      <c r="AV11" s="155">
        <v>13914339.65</v>
      </c>
      <c r="AW11" s="252">
        <v>13914339.65</v>
      </c>
      <c r="AX11" s="254">
        <v>13914339.65</v>
      </c>
    </row>
    <row r="12" spans="1:50" ht="14.25">
      <c r="A12" s="30">
        <v>3.4</v>
      </c>
      <c r="B12" s="35" t="s">
        <v>66</v>
      </c>
      <c r="C12" s="32"/>
      <c r="D12" s="33">
        <v>2410365.2000000002</v>
      </c>
      <c r="E12" s="33">
        <v>8021062.9299999997</v>
      </c>
      <c r="F12" s="33">
        <v>13453905.51</v>
      </c>
      <c r="G12" s="33">
        <v>17662793.43</v>
      </c>
      <c r="H12" s="34">
        <v>22298652.52</v>
      </c>
      <c r="I12" s="34">
        <v>26626869.82</v>
      </c>
      <c r="J12" s="34">
        <v>35224655.869999997</v>
      </c>
      <c r="K12" s="34">
        <v>39145256.130000003</v>
      </c>
      <c r="L12" s="34">
        <v>62523165.840000004</v>
      </c>
      <c r="M12" s="34">
        <v>68058392.879999995</v>
      </c>
      <c r="N12" s="34">
        <v>73376564.040000007</v>
      </c>
      <c r="O12" s="34">
        <v>77746050</v>
      </c>
      <c r="P12" s="149">
        <v>3665618.52</v>
      </c>
      <c r="Q12" s="149">
        <v>7449728.3099999996</v>
      </c>
      <c r="R12" s="149">
        <v>11178564.58</v>
      </c>
      <c r="S12" s="149">
        <v>17089224.710000001</v>
      </c>
      <c r="T12" s="149">
        <v>20518251.5</v>
      </c>
      <c r="U12" s="149">
        <v>24346902.43</v>
      </c>
      <c r="V12" s="149">
        <v>27502614.48</v>
      </c>
      <c r="W12" s="149">
        <v>30964828.690000001</v>
      </c>
      <c r="X12" s="155">
        <v>34837578.759999998</v>
      </c>
      <c r="Y12" s="157">
        <v>47799517.869999997</v>
      </c>
      <c r="Z12" s="157">
        <v>51309882.810000002</v>
      </c>
      <c r="AA12" s="157">
        <v>55583096.880000003</v>
      </c>
      <c r="AB12" s="16">
        <f>68883561+190658</f>
        <v>69074219</v>
      </c>
      <c r="AC12" s="191">
        <v>3665618.52</v>
      </c>
      <c r="AD12" s="192">
        <v>7449728.3099999996</v>
      </c>
      <c r="AE12" s="192">
        <v>11178564.58</v>
      </c>
      <c r="AF12" s="192">
        <v>17089224.710000001</v>
      </c>
      <c r="AG12" s="192">
        <v>20518251.5</v>
      </c>
      <c r="AH12" s="192">
        <v>24346902.43</v>
      </c>
      <c r="AI12" s="192">
        <v>27502614.48</v>
      </c>
      <c r="AJ12" s="192">
        <v>30964828.690000001</v>
      </c>
      <c r="AK12" s="192">
        <v>34837578.759999998</v>
      </c>
      <c r="AL12" s="192">
        <v>47799517.869999997</v>
      </c>
      <c r="AM12" s="192">
        <v>51309882.810000002</v>
      </c>
      <c r="AN12" s="192">
        <v>55583096.880000003</v>
      </c>
      <c r="AO12" s="192">
        <f>81065833</f>
        <v>81065833</v>
      </c>
      <c r="AP12" s="203">
        <v>3174143.17</v>
      </c>
      <c r="AQ12" s="204">
        <v>7336839.9800000004</v>
      </c>
      <c r="AR12" s="204">
        <v>10205922.18</v>
      </c>
      <c r="AS12" s="191">
        <v>14509863.52</v>
      </c>
      <c r="AT12" s="216">
        <v>18570957.010000002</v>
      </c>
      <c r="AU12" s="191">
        <v>23061425.120000001</v>
      </c>
      <c r="AV12" s="203">
        <v>26715492.48</v>
      </c>
      <c r="AW12" s="191">
        <v>30126163.449999999</v>
      </c>
      <c r="AX12" s="192">
        <v>33751507.710000001</v>
      </c>
    </row>
    <row r="13" spans="1:50" ht="15">
      <c r="A13" s="30">
        <v>4</v>
      </c>
      <c r="B13" s="25" t="s">
        <v>67</v>
      </c>
      <c r="C13" s="38">
        <f t="shared" ref="C13:O13" si="15">C14+C15+C16+C17+C18+C19</f>
        <v>0</v>
      </c>
      <c r="D13" s="38">
        <f t="shared" si="15"/>
        <v>637662.03</v>
      </c>
      <c r="E13" s="38">
        <f t="shared" si="15"/>
        <v>1172662.1600000001</v>
      </c>
      <c r="F13" s="38">
        <f t="shared" si="15"/>
        <v>2311382.38</v>
      </c>
      <c r="G13" s="38">
        <f t="shared" si="15"/>
        <v>3198685.41</v>
      </c>
      <c r="H13" s="38">
        <f t="shared" si="15"/>
        <v>3936982.54</v>
      </c>
      <c r="I13" s="38">
        <f t="shared" si="15"/>
        <v>4851738.87</v>
      </c>
      <c r="J13" s="38">
        <f t="shared" si="15"/>
        <v>6610216.0300000003</v>
      </c>
      <c r="K13" s="38">
        <f t="shared" si="15"/>
        <v>7394833.0599999996</v>
      </c>
      <c r="L13" s="38">
        <f t="shared" si="15"/>
        <v>19803854.789999999</v>
      </c>
      <c r="M13" s="38">
        <f t="shared" si="15"/>
        <v>20547795.049999997</v>
      </c>
      <c r="N13" s="38">
        <f t="shared" si="15"/>
        <v>21429497.699999999</v>
      </c>
      <c r="O13" s="38">
        <f t="shared" si="15"/>
        <v>20088452.100000001</v>
      </c>
      <c r="P13" s="38">
        <f t="shared" ref="P13:U13" si="16">P14+P15+P16+P17+P18+P19</f>
        <v>708711.73</v>
      </c>
      <c r="Q13" s="38">
        <f t="shared" si="16"/>
        <v>1344149.28</v>
      </c>
      <c r="R13" s="38">
        <f t="shared" si="16"/>
        <v>2053823.27</v>
      </c>
      <c r="S13" s="38">
        <f t="shared" si="16"/>
        <v>2699603.8</v>
      </c>
      <c r="T13" s="38">
        <f t="shared" si="16"/>
        <v>3279395.15</v>
      </c>
      <c r="U13" s="38">
        <f t="shared" si="16"/>
        <v>3955128.28</v>
      </c>
      <c r="V13" s="38">
        <f t="shared" ref="V13:AA13" si="17">V14+V15+V16+V17+V18+V19</f>
        <v>4600388.43</v>
      </c>
      <c r="W13" s="38">
        <f t="shared" si="17"/>
        <v>5247007.96</v>
      </c>
      <c r="X13" s="38">
        <f t="shared" si="17"/>
        <v>5873356.3099999996</v>
      </c>
      <c r="Y13" s="38">
        <f t="shared" si="17"/>
        <v>13959993.359999999</v>
      </c>
      <c r="Z13" s="38">
        <f t="shared" si="17"/>
        <v>14590798.43</v>
      </c>
      <c r="AA13" s="38">
        <f t="shared" si="17"/>
        <v>16181683.560000001</v>
      </c>
      <c r="AB13" s="38">
        <f>AB14+AB15+AB16+AB17+AB18+AB19</f>
        <v>19198926.449999999</v>
      </c>
      <c r="AC13" s="38">
        <f t="shared" ref="AC13:AM13" si="18">AC14+AC15+AC16+AC17+AC18+AC19</f>
        <v>708711.73</v>
      </c>
      <c r="AD13" s="38">
        <f t="shared" si="18"/>
        <v>1344149.28</v>
      </c>
      <c r="AE13" s="38">
        <f t="shared" si="18"/>
        <v>2053823.27</v>
      </c>
      <c r="AF13" s="38">
        <f t="shared" si="18"/>
        <v>2699603.8</v>
      </c>
      <c r="AG13" s="38">
        <f t="shared" si="18"/>
        <v>3279395.15</v>
      </c>
      <c r="AH13" s="38">
        <f t="shared" si="18"/>
        <v>3955128.28</v>
      </c>
      <c r="AI13" s="38">
        <f t="shared" si="18"/>
        <v>4600388.43</v>
      </c>
      <c r="AJ13" s="38">
        <f t="shared" si="18"/>
        <v>5247007.96</v>
      </c>
      <c r="AK13" s="38">
        <f t="shared" si="18"/>
        <v>5873356.3099999996</v>
      </c>
      <c r="AL13" s="38">
        <f t="shared" si="18"/>
        <v>13959993.359999999</v>
      </c>
      <c r="AM13" s="38">
        <f t="shared" si="18"/>
        <v>14590798.43</v>
      </c>
      <c r="AN13" s="38">
        <f>AN14+AN15+AN16+AN17+AN18+AN19</f>
        <v>16181683.560000001</v>
      </c>
      <c r="AO13" s="38">
        <f>AO14+AO15+AO16+AO17+AO18+AO19</f>
        <v>9965297</v>
      </c>
      <c r="AP13" s="38">
        <f t="shared" ref="AP13:AX13" si="19">AP14+AP15+AP16+AP17+AP18+AP19</f>
        <v>566011.36</v>
      </c>
      <c r="AQ13" s="38">
        <f t="shared" si="19"/>
        <v>1070987.92</v>
      </c>
      <c r="AR13" s="38">
        <f t="shared" si="19"/>
        <v>1525179.89</v>
      </c>
      <c r="AS13" s="38">
        <f t="shared" si="19"/>
        <v>1951904.4</v>
      </c>
      <c r="AT13" s="38">
        <f t="shared" si="19"/>
        <v>2843559.4899999998</v>
      </c>
      <c r="AU13" s="38">
        <f t="shared" si="19"/>
        <v>3348997.5</v>
      </c>
      <c r="AV13" s="38">
        <f t="shared" si="19"/>
        <v>3243463.6799999997</v>
      </c>
      <c r="AW13" s="38">
        <f t="shared" si="19"/>
        <v>3593163.1899999995</v>
      </c>
      <c r="AX13" s="38">
        <f t="shared" si="19"/>
        <v>4049773.4400000004</v>
      </c>
    </row>
    <row r="14" spans="1:50" ht="14.25">
      <c r="A14" s="30">
        <v>4.2</v>
      </c>
      <c r="B14" s="35" t="s">
        <v>68</v>
      </c>
      <c r="C14" s="36"/>
      <c r="D14" s="37">
        <v>165958</v>
      </c>
      <c r="E14" s="37">
        <v>263501</v>
      </c>
      <c r="F14" s="37">
        <v>371471</v>
      </c>
      <c r="G14" s="37">
        <v>494306</v>
      </c>
      <c r="H14" s="34">
        <v>540204</v>
      </c>
      <c r="I14" s="34">
        <v>743308.3</v>
      </c>
      <c r="J14" s="34">
        <v>1010942.3</v>
      </c>
      <c r="K14" s="34">
        <v>1078087.3</v>
      </c>
      <c r="L14" s="34">
        <v>1168495.3</v>
      </c>
      <c r="M14" s="34">
        <v>1296990.3</v>
      </c>
      <c r="N14" s="34">
        <v>1575034.6</v>
      </c>
      <c r="O14" s="34">
        <v>1575034.6</v>
      </c>
      <c r="P14" s="145">
        <v>166887.20000000001</v>
      </c>
      <c r="Q14" s="145">
        <v>269079.40000000002</v>
      </c>
      <c r="R14" s="145">
        <v>373124.4</v>
      </c>
      <c r="S14" s="145">
        <v>460552.4</v>
      </c>
      <c r="T14" s="145">
        <v>506596.4</v>
      </c>
      <c r="U14" s="145">
        <v>659313</v>
      </c>
      <c r="V14" s="145">
        <v>792119.8</v>
      </c>
      <c r="W14" s="145">
        <v>982294.8</v>
      </c>
      <c r="X14" s="151">
        <v>1083273.8</v>
      </c>
      <c r="Y14" s="153">
        <v>1173399.8</v>
      </c>
      <c r="Z14" s="153">
        <v>1370658.4</v>
      </c>
      <c r="AA14" s="153">
        <v>1542549</v>
      </c>
      <c r="AB14" s="153">
        <f>10732109-4933693</f>
        <v>5798416</v>
      </c>
      <c r="AC14" s="151">
        <v>166887.20000000001</v>
      </c>
      <c r="AD14" s="153">
        <v>269079.40000000002</v>
      </c>
      <c r="AE14" s="153">
        <v>373124.4</v>
      </c>
      <c r="AF14" s="153">
        <v>460552.4</v>
      </c>
      <c r="AG14" s="153">
        <v>506596.4</v>
      </c>
      <c r="AH14" s="153">
        <v>659313</v>
      </c>
      <c r="AI14" s="153">
        <v>792119.8</v>
      </c>
      <c r="AJ14" s="153">
        <v>982294.8</v>
      </c>
      <c r="AK14" s="153">
        <v>1083273.8</v>
      </c>
      <c r="AL14" s="153">
        <v>1173399.8</v>
      </c>
      <c r="AM14" s="153">
        <v>1370658.4</v>
      </c>
      <c r="AN14" s="153">
        <v>1542549</v>
      </c>
      <c r="AO14" s="153">
        <v>9965297</v>
      </c>
      <c r="AP14" s="151">
        <v>294397</v>
      </c>
      <c r="AQ14" s="153">
        <v>499451</v>
      </c>
      <c r="AR14" s="153">
        <v>652985</v>
      </c>
      <c r="AS14" s="151">
        <v>731995</v>
      </c>
      <c r="AT14" s="213">
        <v>776580</v>
      </c>
      <c r="AU14" s="151">
        <v>952508</v>
      </c>
      <c r="AV14" s="151">
        <v>1189159</v>
      </c>
      <c r="AW14" s="248">
        <v>1394874</v>
      </c>
      <c r="AX14" s="250">
        <v>1582992</v>
      </c>
    </row>
    <row r="15" spans="1:50" ht="14.25">
      <c r="A15" s="30">
        <v>4.3</v>
      </c>
      <c r="B15" s="35" t="s">
        <v>69</v>
      </c>
      <c r="C15" s="36"/>
      <c r="D15" s="37">
        <v>339726.03</v>
      </c>
      <c r="E15" s="37">
        <v>668493.16</v>
      </c>
      <c r="F15" s="37">
        <v>1628871.38</v>
      </c>
      <c r="G15" s="37">
        <v>2278657.41</v>
      </c>
      <c r="H15" s="34">
        <v>2909894.54</v>
      </c>
      <c r="I15" s="34">
        <v>3544410.57</v>
      </c>
      <c r="J15" s="34">
        <v>4779143.7300000004</v>
      </c>
      <c r="K15" s="34">
        <v>5390139.7599999998</v>
      </c>
      <c r="L15" s="34">
        <v>5982166.8899999997</v>
      </c>
      <c r="M15" s="34">
        <v>6494861.1500000004</v>
      </c>
      <c r="N15" s="34">
        <v>6988406.5</v>
      </c>
      <c r="O15" s="34">
        <v>6988406.5</v>
      </c>
      <c r="P15" s="145">
        <v>493494.53</v>
      </c>
      <c r="Q15" s="145">
        <v>970409.88</v>
      </c>
      <c r="R15" s="145">
        <v>1422426.87</v>
      </c>
      <c r="S15" s="145">
        <v>1890551.4</v>
      </c>
      <c r="T15" s="145">
        <v>2341816.75</v>
      </c>
      <c r="U15" s="145">
        <v>2792571.28</v>
      </c>
      <c r="V15" s="145">
        <v>3226276.63</v>
      </c>
      <c r="W15" s="145">
        <v>3659281.16</v>
      </c>
      <c r="X15" s="155">
        <v>4075046.51</v>
      </c>
      <c r="Y15" s="157">
        <v>4481691.8600000003</v>
      </c>
      <c r="Z15" s="157">
        <v>4807894.33</v>
      </c>
      <c r="AA15" s="157">
        <v>4933692.45</v>
      </c>
      <c r="AB15" s="157">
        <v>4933692.45</v>
      </c>
      <c r="AC15" s="155">
        <v>493494.53</v>
      </c>
      <c r="AD15" s="157">
        <v>970409.88</v>
      </c>
      <c r="AE15" s="157">
        <v>1422426.87</v>
      </c>
      <c r="AF15" s="157">
        <v>1890551.4</v>
      </c>
      <c r="AG15" s="157">
        <v>2341816.75</v>
      </c>
      <c r="AH15" s="157">
        <v>2792571.28</v>
      </c>
      <c r="AI15" s="157">
        <v>3226276.63</v>
      </c>
      <c r="AJ15" s="157">
        <v>3659281.16</v>
      </c>
      <c r="AK15" s="157">
        <v>4075046.51</v>
      </c>
      <c r="AL15" s="157">
        <v>4481691.8600000003</v>
      </c>
      <c r="AM15" s="157">
        <v>4807894.33</v>
      </c>
      <c r="AN15" s="157">
        <v>4933692.45</v>
      </c>
      <c r="AO15" s="157"/>
      <c r="AP15" s="155">
        <v>84931.51</v>
      </c>
      <c r="AQ15" s="157">
        <v>169863.02</v>
      </c>
      <c r="AR15" s="157">
        <v>246575.35</v>
      </c>
      <c r="AS15" s="155">
        <v>331506.86</v>
      </c>
      <c r="AT15" s="215">
        <v>413698.65</v>
      </c>
      <c r="AU15" s="155">
        <v>498630.16</v>
      </c>
      <c r="AV15" s="155">
        <v>580821.93999999994</v>
      </c>
      <c r="AW15" s="252">
        <v>665753.44999999995</v>
      </c>
      <c r="AX15" s="254">
        <v>750684.95</v>
      </c>
    </row>
    <row r="16" spans="1:50" ht="14.25">
      <c r="A16" s="30">
        <v>4.4000000000000004</v>
      </c>
      <c r="B16" s="35" t="s">
        <v>70</v>
      </c>
      <c r="C16" s="36"/>
      <c r="D16" s="37">
        <v>0</v>
      </c>
      <c r="E16" s="37">
        <v>0</v>
      </c>
      <c r="F16" s="37">
        <v>0</v>
      </c>
      <c r="G16" s="37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/>
      <c r="P16" s="145">
        <v>0</v>
      </c>
      <c r="Q16" s="145">
        <v>0</v>
      </c>
      <c r="R16" s="145">
        <v>0</v>
      </c>
      <c r="S16" s="145">
        <v>0</v>
      </c>
      <c r="T16" s="145">
        <v>0</v>
      </c>
      <c r="U16" s="145">
        <v>0</v>
      </c>
      <c r="V16" s="145">
        <v>0</v>
      </c>
      <c r="W16" s="145">
        <v>0</v>
      </c>
      <c r="X16" s="154">
        <v>0</v>
      </c>
      <c r="Y16" s="156">
        <v>0</v>
      </c>
      <c r="Z16" s="156">
        <v>0</v>
      </c>
      <c r="AA16" s="156">
        <v>0</v>
      </c>
      <c r="AC16" s="154">
        <v>0</v>
      </c>
      <c r="AD16" s="156">
        <v>0</v>
      </c>
      <c r="AE16" s="156">
        <v>0</v>
      </c>
      <c r="AF16" s="156">
        <v>0</v>
      </c>
      <c r="AG16" s="156">
        <v>0</v>
      </c>
      <c r="AH16" s="156">
        <v>0</v>
      </c>
      <c r="AI16" s="156">
        <v>0</v>
      </c>
      <c r="AJ16" s="156">
        <v>0</v>
      </c>
      <c r="AK16" s="156">
        <v>0</v>
      </c>
      <c r="AL16" s="156">
        <v>0</v>
      </c>
      <c r="AM16" s="156">
        <v>0</v>
      </c>
      <c r="AN16" s="156">
        <v>0</v>
      </c>
      <c r="AO16" s="156"/>
      <c r="AP16" s="154">
        <v>0</v>
      </c>
      <c r="AQ16" s="156">
        <v>0</v>
      </c>
      <c r="AR16" s="156">
        <v>0</v>
      </c>
      <c r="AS16" s="154">
        <v>0</v>
      </c>
      <c r="AT16" s="214">
        <v>0</v>
      </c>
      <c r="AU16" s="154">
        <v>0</v>
      </c>
      <c r="AV16" s="154">
        <v>0</v>
      </c>
      <c r="AW16" s="251">
        <v>0</v>
      </c>
      <c r="AX16" s="253">
        <v>0</v>
      </c>
    </row>
    <row r="17" spans="1:50" ht="15">
      <c r="A17" s="30">
        <v>4.5</v>
      </c>
      <c r="B17" s="35" t="s">
        <v>71</v>
      </c>
      <c r="C17" s="36"/>
      <c r="D17" s="37">
        <v>76700</v>
      </c>
      <c r="E17" s="37">
        <v>147968</v>
      </c>
      <c r="F17" s="37">
        <v>214340</v>
      </c>
      <c r="G17" s="37">
        <v>269522</v>
      </c>
      <c r="H17" s="34">
        <v>328884</v>
      </c>
      <c r="I17" s="34">
        <v>405720</v>
      </c>
      <c r="J17" s="34">
        <v>562230</v>
      </c>
      <c r="K17" s="34">
        <v>619106</v>
      </c>
      <c r="L17" s="34">
        <v>770640.5</v>
      </c>
      <c r="M17" s="34">
        <v>842796.5</v>
      </c>
      <c r="N17" s="34">
        <v>925129.5</v>
      </c>
      <c r="O17" s="130">
        <v>11525011</v>
      </c>
      <c r="P17" s="145">
        <v>48330</v>
      </c>
      <c r="Q17" s="145">
        <v>96660</v>
      </c>
      <c r="R17" s="145">
        <v>148372</v>
      </c>
      <c r="S17" s="145">
        <v>232800</v>
      </c>
      <c r="T17" s="145">
        <v>302802</v>
      </c>
      <c r="U17" s="145">
        <v>367564</v>
      </c>
      <c r="V17" s="145">
        <v>428912</v>
      </c>
      <c r="W17" s="145">
        <v>428912</v>
      </c>
      <c r="X17" s="154">
        <v>0</v>
      </c>
      <c r="Y17" s="157">
        <v>549190</v>
      </c>
      <c r="Z17" s="157">
        <v>624034</v>
      </c>
      <c r="AA17" s="157">
        <v>755654.71</v>
      </c>
      <c r="AB17" s="175"/>
      <c r="AC17" s="155">
        <v>48330</v>
      </c>
      <c r="AD17" s="157">
        <v>96660</v>
      </c>
      <c r="AE17" s="157">
        <v>148372</v>
      </c>
      <c r="AF17" s="157">
        <v>232800</v>
      </c>
      <c r="AG17" s="157">
        <v>302802</v>
      </c>
      <c r="AH17" s="157">
        <v>367564</v>
      </c>
      <c r="AI17" s="157">
        <v>428912</v>
      </c>
      <c r="AJ17" s="157">
        <v>428912</v>
      </c>
      <c r="AK17" s="156">
        <v>0</v>
      </c>
      <c r="AL17" s="157">
        <v>549190</v>
      </c>
      <c r="AM17" s="157">
        <v>624034</v>
      </c>
      <c r="AN17" s="157">
        <v>755654.71</v>
      </c>
      <c r="AO17" s="157"/>
      <c r="AP17" s="155">
        <v>75378.05</v>
      </c>
      <c r="AQ17" s="157">
        <v>174990.1</v>
      </c>
      <c r="AR17" s="157">
        <v>252964.74</v>
      </c>
      <c r="AS17" s="155">
        <v>319747.74</v>
      </c>
      <c r="AT17" s="215">
        <v>418036.44</v>
      </c>
      <c r="AU17" s="155">
        <v>523114.94</v>
      </c>
      <c r="AV17" s="155">
        <v>605927.93999999994</v>
      </c>
      <c r="AW17" s="252">
        <v>645650.93999999994</v>
      </c>
      <c r="AX17" s="254">
        <v>709541.69</v>
      </c>
    </row>
    <row r="18" spans="1:50" ht="14.25">
      <c r="A18" s="30">
        <v>4.5999999999999996</v>
      </c>
      <c r="B18" s="35" t="s">
        <v>72</v>
      </c>
      <c r="C18" s="36"/>
      <c r="D18" s="37">
        <v>0</v>
      </c>
      <c r="E18" s="37">
        <v>0</v>
      </c>
      <c r="F18" s="37">
        <v>0</v>
      </c>
      <c r="G18" s="37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/>
      <c r="P18" s="145">
        <v>0</v>
      </c>
      <c r="Q18" s="145">
        <v>0</v>
      </c>
      <c r="R18" s="145">
        <v>0</v>
      </c>
      <c r="S18" s="145">
        <v>0</v>
      </c>
      <c r="T18" s="145">
        <v>0</v>
      </c>
      <c r="U18" s="145">
        <v>0</v>
      </c>
      <c r="V18" s="145">
        <v>0</v>
      </c>
      <c r="W18" s="145">
        <v>0</v>
      </c>
      <c r="X18" s="155">
        <v>483766</v>
      </c>
      <c r="Y18" s="156">
        <v>0</v>
      </c>
      <c r="Z18" s="156">
        <v>0</v>
      </c>
      <c r="AA18" s="156">
        <v>0</v>
      </c>
      <c r="AC18" s="154">
        <v>0</v>
      </c>
      <c r="AD18" s="156">
        <v>0</v>
      </c>
      <c r="AE18" s="156">
        <v>0</v>
      </c>
      <c r="AF18" s="156">
        <v>0</v>
      </c>
      <c r="AG18" s="156">
        <v>0</v>
      </c>
      <c r="AH18" s="156">
        <v>0</v>
      </c>
      <c r="AI18" s="156">
        <v>0</v>
      </c>
      <c r="AJ18" s="156">
        <v>0</v>
      </c>
      <c r="AK18" s="157">
        <v>483766</v>
      </c>
      <c r="AL18" s="156">
        <v>0</v>
      </c>
      <c r="AM18" s="156">
        <v>0</v>
      </c>
      <c r="AN18" s="156">
        <v>0</v>
      </c>
      <c r="AO18" s="156"/>
      <c r="AP18" s="154">
        <v>0</v>
      </c>
      <c r="AQ18" s="156">
        <v>0</v>
      </c>
      <c r="AR18" s="156">
        <v>0</v>
      </c>
      <c r="AS18" s="154">
        <v>0</v>
      </c>
      <c r="AT18" s="214">
        <v>0</v>
      </c>
      <c r="AU18" s="154">
        <v>0</v>
      </c>
      <c r="AV18" s="154">
        <v>0</v>
      </c>
      <c r="AW18" s="251">
        <v>0</v>
      </c>
      <c r="AX18" s="253">
        <v>0</v>
      </c>
    </row>
    <row r="19" spans="1:50" ht="14.25">
      <c r="A19" s="30">
        <v>4.7</v>
      </c>
      <c r="B19" s="35" t="s">
        <v>73</v>
      </c>
      <c r="C19" s="36"/>
      <c r="D19" s="37">
        <v>55278</v>
      </c>
      <c r="E19" s="37">
        <v>92700</v>
      </c>
      <c r="F19" s="37">
        <v>96700</v>
      </c>
      <c r="G19" s="37">
        <v>156200</v>
      </c>
      <c r="H19" s="34">
        <v>158000</v>
      </c>
      <c r="I19" s="34">
        <v>158300</v>
      </c>
      <c r="J19" s="34">
        <v>257900</v>
      </c>
      <c r="K19" s="34">
        <v>307500</v>
      </c>
      <c r="L19" s="34">
        <v>11882552.1</v>
      </c>
      <c r="M19" s="34">
        <v>11913147.1</v>
      </c>
      <c r="N19" s="34">
        <v>11940927.1</v>
      </c>
      <c r="O19" s="34"/>
      <c r="P19" s="145">
        <v>0</v>
      </c>
      <c r="Q19" s="145">
        <v>8000</v>
      </c>
      <c r="R19" s="145">
        <v>109900</v>
      </c>
      <c r="S19" s="145">
        <v>115700</v>
      </c>
      <c r="T19" s="145">
        <v>128180</v>
      </c>
      <c r="U19" s="145">
        <v>135680</v>
      </c>
      <c r="V19" s="145">
        <v>153080</v>
      </c>
      <c r="W19" s="145">
        <v>176520</v>
      </c>
      <c r="X19" s="155">
        <v>231270</v>
      </c>
      <c r="Y19" s="157">
        <v>7755711.7000000002</v>
      </c>
      <c r="Z19" s="157">
        <v>7788211.7000000002</v>
      </c>
      <c r="AA19" s="157">
        <v>8949787.4000000004</v>
      </c>
      <c r="AB19" s="16">
        <f>4249021+3267421+1179323-228947</f>
        <v>8466818</v>
      </c>
      <c r="AC19" s="154">
        <v>0</v>
      </c>
      <c r="AD19" s="157">
        <v>8000</v>
      </c>
      <c r="AE19" s="157">
        <v>109900</v>
      </c>
      <c r="AF19" s="157">
        <v>115700</v>
      </c>
      <c r="AG19" s="157">
        <v>128180</v>
      </c>
      <c r="AH19" s="157">
        <v>135680</v>
      </c>
      <c r="AI19" s="157">
        <v>153080</v>
      </c>
      <c r="AJ19" s="157">
        <v>176520</v>
      </c>
      <c r="AK19" s="157">
        <v>231270</v>
      </c>
      <c r="AL19" s="157">
        <v>7755711.7000000002</v>
      </c>
      <c r="AM19" s="157">
        <v>7788211.7000000002</v>
      </c>
      <c r="AN19" s="157">
        <v>8949787.4000000004</v>
      </c>
      <c r="AO19" s="157"/>
      <c r="AP19" s="155">
        <v>111304.8</v>
      </c>
      <c r="AQ19" s="157">
        <v>226683.8</v>
      </c>
      <c r="AR19" s="157">
        <v>372654.8</v>
      </c>
      <c r="AS19" s="155">
        <v>568654.80000000005</v>
      </c>
      <c r="AT19" s="215">
        <v>1235244.3999999999</v>
      </c>
      <c r="AU19" s="155">
        <v>1374744.4</v>
      </c>
      <c r="AV19" s="155">
        <v>867554.8</v>
      </c>
      <c r="AW19" s="252">
        <v>886884.8</v>
      </c>
      <c r="AX19" s="254">
        <v>1006554.8</v>
      </c>
    </row>
    <row r="20" spans="1:50" ht="15">
      <c r="A20" s="30">
        <v>5</v>
      </c>
      <c r="B20" s="25" t="s">
        <v>74</v>
      </c>
      <c r="C20" s="38">
        <f t="shared" ref="C20" si="20">C4-C13</f>
        <v>0</v>
      </c>
      <c r="D20" s="38">
        <f t="shared" ref="D20:O20" si="21">D4-D13</f>
        <v>6308801.6699999999</v>
      </c>
      <c r="E20" s="38">
        <f t="shared" si="21"/>
        <v>13143930.01</v>
      </c>
      <c r="F20" s="38">
        <f t="shared" si="21"/>
        <v>19839423.690000001</v>
      </c>
      <c r="G20" s="38">
        <f t="shared" si="21"/>
        <v>33624026.519999996</v>
      </c>
      <c r="H20" s="38">
        <f t="shared" si="21"/>
        <v>38704120.670000002</v>
      </c>
      <c r="I20" s="38">
        <f t="shared" si="21"/>
        <v>43529838.140000001</v>
      </c>
      <c r="J20" s="38">
        <f t="shared" si="21"/>
        <v>53821540.779999994</v>
      </c>
      <c r="K20" s="38">
        <f t="shared" si="21"/>
        <v>59060712.939999998</v>
      </c>
      <c r="L20" s="38">
        <f t="shared" si="21"/>
        <v>72616546.420000017</v>
      </c>
      <c r="M20" s="38">
        <f t="shared" si="21"/>
        <v>80403352.379999995</v>
      </c>
      <c r="N20" s="38">
        <f t="shared" si="21"/>
        <v>87756258.640000001</v>
      </c>
      <c r="O20" s="38">
        <f t="shared" si="21"/>
        <v>89235289.560000002</v>
      </c>
      <c r="P20" s="38">
        <f t="shared" ref="P20:U20" si="22">P4-P13</f>
        <v>5375853.4900000002</v>
      </c>
      <c r="Q20" s="38">
        <f t="shared" si="22"/>
        <v>11460365.770000001</v>
      </c>
      <c r="R20" s="38">
        <f t="shared" si="22"/>
        <v>18022328.460000001</v>
      </c>
      <c r="S20" s="38">
        <f t="shared" si="22"/>
        <v>34844068.890000001</v>
      </c>
      <c r="T20" s="38">
        <f t="shared" si="22"/>
        <v>41124607.780000001</v>
      </c>
      <c r="U20" s="38">
        <f t="shared" si="22"/>
        <v>46164645.829999998</v>
      </c>
      <c r="V20" s="38">
        <f t="shared" ref="V20:AA20" si="23">V4-V13</f>
        <v>52615990.740000002</v>
      </c>
      <c r="W20" s="38">
        <f t="shared" si="23"/>
        <v>58234406.419999994</v>
      </c>
      <c r="X20" s="38">
        <f t="shared" si="23"/>
        <v>63713615.959999993</v>
      </c>
      <c r="Y20" s="38">
        <f t="shared" si="23"/>
        <v>71227936.090000004</v>
      </c>
      <c r="Z20" s="38">
        <f t="shared" si="23"/>
        <v>78227773.569999993</v>
      </c>
      <c r="AA20" s="38">
        <f t="shared" si="23"/>
        <v>92340713.550000012</v>
      </c>
      <c r="AB20" s="38">
        <f>AB4-AB13</f>
        <v>89514130.899999991</v>
      </c>
      <c r="AC20" s="38">
        <f t="shared" ref="AC20:AM20" si="24">AC4-AC13</f>
        <v>5375853.4900000002</v>
      </c>
      <c r="AD20" s="38">
        <f t="shared" si="24"/>
        <v>11460365.770000001</v>
      </c>
      <c r="AE20" s="38">
        <f t="shared" si="24"/>
        <v>18022328.460000001</v>
      </c>
      <c r="AF20" s="38">
        <f t="shared" si="24"/>
        <v>34844068.890000001</v>
      </c>
      <c r="AG20" s="38">
        <f t="shared" si="24"/>
        <v>41124607.780000001</v>
      </c>
      <c r="AH20" s="38">
        <f t="shared" si="24"/>
        <v>46164645.829999998</v>
      </c>
      <c r="AI20" s="38">
        <f t="shared" si="24"/>
        <v>52615990.740000002</v>
      </c>
      <c r="AJ20" s="38">
        <f t="shared" si="24"/>
        <v>58234406.419999994</v>
      </c>
      <c r="AK20" s="38">
        <f t="shared" si="24"/>
        <v>63713615.959999993</v>
      </c>
      <c r="AL20" s="38">
        <f t="shared" si="24"/>
        <v>71227936.090000004</v>
      </c>
      <c r="AM20" s="38">
        <f t="shared" si="24"/>
        <v>78227773.569999993</v>
      </c>
      <c r="AN20" s="38">
        <f>AN4-AN13</f>
        <v>92340713.550000012</v>
      </c>
      <c r="AO20" s="38">
        <f>AO4-AO13</f>
        <v>108111433</v>
      </c>
      <c r="AP20" s="38">
        <f t="shared" ref="AP20:AV20" si="25">AP4-AP13</f>
        <v>6499223.29</v>
      </c>
      <c r="AQ20" s="38">
        <f t="shared" si="25"/>
        <v>13344583.720000001</v>
      </c>
      <c r="AR20" s="38">
        <f t="shared" si="25"/>
        <v>29815564.839999996</v>
      </c>
      <c r="AS20" s="38">
        <f t="shared" si="25"/>
        <v>26610484.32</v>
      </c>
      <c r="AT20" s="38">
        <f t="shared" si="25"/>
        <v>32782061.160000008</v>
      </c>
      <c r="AU20" s="38">
        <f t="shared" si="25"/>
        <v>53411142.520000003</v>
      </c>
      <c r="AV20" s="38">
        <f t="shared" si="25"/>
        <v>59887375.910000004</v>
      </c>
      <c r="AW20" s="38">
        <f t="shared" ref="AW20:AX20" si="26">AW4-AW13</f>
        <v>65232932.49000001</v>
      </c>
      <c r="AX20" s="38">
        <f t="shared" si="26"/>
        <v>70633460.450000003</v>
      </c>
    </row>
    <row r="21" spans="1:50" ht="15">
      <c r="A21" s="30">
        <v>6</v>
      </c>
      <c r="B21" s="25" t="s">
        <v>19</v>
      </c>
      <c r="C21" s="38">
        <f t="shared" ref="C21" si="27">C22-C23</f>
        <v>0</v>
      </c>
      <c r="D21" s="38">
        <f t="shared" ref="D21:O21" si="28">D22-D23</f>
        <v>0</v>
      </c>
      <c r="E21" s="38">
        <f t="shared" si="28"/>
        <v>0</v>
      </c>
      <c r="F21" s="38">
        <f t="shared" si="28"/>
        <v>0</v>
      </c>
      <c r="G21" s="38">
        <f t="shared" si="28"/>
        <v>0</v>
      </c>
      <c r="H21" s="38">
        <f t="shared" si="28"/>
        <v>0</v>
      </c>
      <c r="I21" s="38">
        <f t="shared" si="28"/>
        <v>0</v>
      </c>
      <c r="J21" s="38">
        <f t="shared" si="28"/>
        <v>0</v>
      </c>
      <c r="K21" s="38">
        <f t="shared" si="28"/>
        <v>0</v>
      </c>
      <c r="L21" s="38">
        <f t="shared" si="28"/>
        <v>0</v>
      </c>
      <c r="M21" s="38">
        <f t="shared" si="28"/>
        <v>0</v>
      </c>
      <c r="N21" s="38">
        <f t="shared" si="28"/>
        <v>3462215.3</v>
      </c>
      <c r="O21" s="38">
        <f t="shared" si="28"/>
        <v>3462215.3</v>
      </c>
      <c r="P21" s="38">
        <f t="shared" ref="P21:U21" si="29">P22-P23</f>
        <v>0</v>
      </c>
      <c r="Q21" s="38">
        <f t="shared" si="29"/>
        <v>0</v>
      </c>
      <c r="R21" s="38">
        <f t="shared" si="29"/>
        <v>0</v>
      </c>
      <c r="S21" s="38">
        <f t="shared" si="29"/>
        <v>0</v>
      </c>
      <c r="T21" s="38">
        <f t="shared" si="29"/>
        <v>0</v>
      </c>
      <c r="U21" s="38">
        <f t="shared" si="29"/>
        <v>0</v>
      </c>
      <c r="V21" s="38">
        <f t="shared" ref="V21:W21" si="30">V22-V23</f>
        <v>0</v>
      </c>
      <c r="W21" s="38">
        <f t="shared" si="30"/>
        <v>0</v>
      </c>
      <c r="X21" s="38">
        <f t="shared" ref="X21:AB21" si="31">X22-X23</f>
        <v>0</v>
      </c>
      <c r="Y21" s="38">
        <f t="shared" si="31"/>
        <v>0</v>
      </c>
      <c r="Z21" s="38">
        <f t="shared" si="31"/>
        <v>0</v>
      </c>
      <c r="AA21" s="38">
        <f t="shared" si="31"/>
        <v>-190658.9</v>
      </c>
      <c r="AB21" s="38">
        <f t="shared" si="31"/>
        <v>0</v>
      </c>
      <c r="AC21" s="38">
        <f t="shared" ref="AC21:AN21" si="32">AC22-AC23</f>
        <v>0</v>
      </c>
      <c r="AD21" s="38">
        <f t="shared" si="32"/>
        <v>0</v>
      </c>
      <c r="AE21" s="38">
        <f t="shared" si="32"/>
        <v>0</v>
      </c>
      <c r="AF21" s="38">
        <f t="shared" si="32"/>
        <v>0</v>
      </c>
      <c r="AG21" s="38">
        <f t="shared" si="32"/>
        <v>0</v>
      </c>
      <c r="AH21" s="38">
        <f t="shared" si="32"/>
        <v>0</v>
      </c>
      <c r="AI21" s="38">
        <f t="shared" si="32"/>
        <v>0</v>
      </c>
      <c r="AJ21" s="38">
        <f t="shared" si="32"/>
        <v>0</v>
      </c>
      <c r="AK21" s="38">
        <f t="shared" si="32"/>
        <v>0</v>
      </c>
      <c r="AL21" s="38">
        <f t="shared" si="32"/>
        <v>0</v>
      </c>
      <c r="AM21" s="38">
        <f t="shared" si="32"/>
        <v>0</v>
      </c>
      <c r="AN21" s="38">
        <f t="shared" si="32"/>
        <v>-190658.9</v>
      </c>
      <c r="AO21" s="38">
        <f t="shared" ref="AO21:AV21" si="33">AO22-AO23</f>
        <v>186215</v>
      </c>
      <c r="AP21" s="38">
        <f t="shared" si="33"/>
        <v>0</v>
      </c>
      <c r="AQ21" s="38">
        <f t="shared" si="33"/>
        <v>0</v>
      </c>
      <c r="AR21" s="38">
        <f t="shared" si="33"/>
        <v>0</v>
      </c>
      <c r="AS21" s="38">
        <f t="shared" si="33"/>
        <v>0</v>
      </c>
      <c r="AT21" s="38">
        <f t="shared" si="33"/>
        <v>0</v>
      </c>
      <c r="AU21" s="38">
        <f t="shared" si="33"/>
        <v>0</v>
      </c>
      <c r="AV21" s="38">
        <f t="shared" si="33"/>
        <v>0</v>
      </c>
      <c r="AW21" s="38">
        <f t="shared" ref="AW21:AX21" si="34">AW22-AW23</f>
        <v>0</v>
      </c>
      <c r="AX21" s="38">
        <f t="shared" si="34"/>
        <v>0</v>
      </c>
    </row>
    <row r="22" spans="1:50" ht="14.25">
      <c r="A22" s="30">
        <v>6.1</v>
      </c>
      <c r="B22" s="35" t="s">
        <v>75</v>
      </c>
      <c r="C22" s="36"/>
      <c r="D22" s="37">
        <v>0</v>
      </c>
      <c r="E22" s="37">
        <v>0</v>
      </c>
      <c r="F22" s="37">
        <v>0</v>
      </c>
      <c r="G22" s="37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3462215.3</v>
      </c>
      <c r="O22" s="34">
        <v>3462215.3</v>
      </c>
      <c r="P22" s="145">
        <v>0</v>
      </c>
      <c r="Q22" s="145">
        <v>0</v>
      </c>
      <c r="R22" s="145">
        <v>0</v>
      </c>
      <c r="S22" s="145">
        <v>0</v>
      </c>
      <c r="T22" s="145">
        <v>0</v>
      </c>
      <c r="U22" s="145">
        <v>0</v>
      </c>
      <c r="V22" s="145">
        <v>0</v>
      </c>
      <c r="W22" s="145">
        <v>0</v>
      </c>
      <c r="X22" s="145">
        <v>0</v>
      </c>
      <c r="Y22" s="145">
        <v>0</v>
      </c>
      <c r="Z22" s="145">
        <v>0</v>
      </c>
      <c r="AA22" s="151">
        <v>-190658.9</v>
      </c>
      <c r="AB22" s="151"/>
      <c r="AC22" s="150">
        <v>0</v>
      </c>
      <c r="AD22" s="152">
        <v>0</v>
      </c>
      <c r="AE22" s="152">
        <v>0</v>
      </c>
      <c r="AF22" s="152">
        <v>0</v>
      </c>
      <c r="AG22" s="152">
        <v>0</v>
      </c>
      <c r="AH22" s="152">
        <v>0</v>
      </c>
      <c r="AI22" s="152">
        <v>0</v>
      </c>
      <c r="AJ22" s="152">
        <v>0</v>
      </c>
      <c r="AK22" s="152">
        <v>0</v>
      </c>
      <c r="AL22" s="152">
        <v>0</v>
      </c>
      <c r="AM22" s="152">
        <v>0</v>
      </c>
      <c r="AN22" s="153">
        <v>-190658.9</v>
      </c>
      <c r="AO22" s="153">
        <v>186215</v>
      </c>
      <c r="AP22" s="150">
        <v>0</v>
      </c>
      <c r="AQ22" s="152">
        <v>0</v>
      </c>
      <c r="AR22" s="152">
        <v>0</v>
      </c>
      <c r="AS22" s="150">
        <v>0</v>
      </c>
      <c r="AT22" s="212">
        <v>0</v>
      </c>
      <c r="AU22" s="150">
        <v>0</v>
      </c>
      <c r="AV22" s="150">
        <v>0</v>
      </c>
      <c r="AW22" s="247">
        <v>0</v>
      </c>
      <c r="AX22" s="249">
        <v>0</v>
      </c>
    </row>
    <row r="23" spans="1:50" ht="14.25">
      <c r="A23" s="30">
        <v>6.2</v>
      </c>
      <c r="B23" s="35" t="s">
        <v>76</v>
      </c>
      <c r="C23" s="36"/>
      <c r="D23" s="37">
        <v>0</v>
      </c>
      <c r="E23" s="37">
        <v>0</v>
      </c>
      <c r="F23" s="37">
        <v>0</v>
      </c>
      <c r="G23" s="37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/>
      <c r="P23" s="145">
        <v>0</v>
      </c>
      <c r="Q23" s="145">
        <v>0</v>
      </c>
      <c r="R23" s="145">
        <v>0</v>
      </c>
      <c r="S23" s="145">
        <v>0</v>
      </c>
      <c r="T23" s="145">
        <v>0</v>
      </c>
      <c r="U23" s="145">
        <v>0</v>
      </c>
      <c r="V23" s="145">
        <v>0</v>
      </c>
      <c r="W23" s="145">
        <v>0</v>
      </c>
      <c r="X23" s="145">
        <v>0</v>
      </c>
      <c r="Y23" s="145">
        <v>0</v>
      </c>
      <c r="Z23" s="145">
        <v>0</v>
      </c>
      <c r="AA23" s="145">
        <v>0</v>
      </c>
      <c r="AC23" s="154">
        <v>0</v>
      </c>
      <c r="AD23" s="156">
        <v>0</v>
      </c>
      <c r="AE23" s="156">
        <v>0</v>
      </c>
      <c r="AF23" s="156">
        <v>0</v>
      </c>
      <c r="AG23" s="156">
        <v>0</v>
      </c>
      <c r="AH23" s="156">
        <v>0</v>
      </c>
      <c r="AI23" s="156">
        <v>0</v>
      </c>
      <c r="AJ23" s="156">
        <v>0</v>
      </c>
      <c r="AK23" s="156">
        <v>0</v>
      </c>
      <c r="AL23" s="156">
        <v>0</v>
      </c>
      <c r="AM23" s="156">
        <v>0</v>
      </c>
      <c r="AN23" s="156">
        <v>0</v>
      </c>
      <c r="AO23" s="156"/>
      <c r="AP23" s="154">
        <v>0</v>
      </c>
      <c r="AQ23" s="156">
        <v>0</v>
      </c>
      <c r="AR23" s="156">
        <v>0</v>
      </c>
      <c r="AS23" s="154">
        <v>0</v>
      </c>
      <c r="AT23" s="214">
        <v>0</v>
      </c>
      <c r="AU23" s="154">
        <v>0</v>
      </c>
      <c r="AV23" s="154">
        <v>0</v>
      </c>
      <c r="AW23" s="251">
        <v>0</v>
      </c>
      <c r="AX23" s="253">
        <v>0</v>
      </c>
    </row>
    <row r="24" spans="1:50" ht="15">
      <c r="A24" s="30">
        <v>7</v>
      </c>
      <c r="B24" s="25" t="s">
        <v>77</v>
      </c>
      <c r="C24" s="38">
        <f t="shared" ref="C24:O24" si="35">C25+C26+C27+C28+C29</f>
        <v>0</v>
      </c>
      <c r="D24" s="38">
        <f t="shared" si="35"/>
        <v>4760406.78</v>
      </c>
      <c r="E24" s="38">
        <f t="shared" si="35"/>
        <v>11888068.720000001</v>
      </c>
      <c r="F24" s="38">
        <f t="shared" si="35"/>
        <v>18921005.5</v>
      </c>
      <c r="G24" s="38">
        <f t="shared" si="35"/>
        <v>24573747.98</v>
      </c>
      <c r="H24" s="38">
        <f t="shared" si="35"/>
        <v>30740835.440000001</v>
      </c>
      <c r="I24" s="38">
        <f t="shared" si="35"/>
        <v>36471038</v>
      </c>
      <c r="J24" s="38">
        <f t="shared" si="35"/>
        <v>49600956.310000002</v>
      </c>
      <c r="K24" s="38">
        <f t="shared" si="35"/>
        <v>54505681.539999999</v>
      </c>
      <c r="L24" s="38">
        <f t="shared" si="35"/>
        <v>63255297.530000001</v>
      </c>
      <c r="M24" s="38">
        <f t="shared" si="35"/>
        <v>72113784.099999994</v>
      </c>
      <c r="N24" s="38">
        <f t="shared" si="35"/>
        <v>78926457.090000004</v>
      </c>
      <c r="O24" s="38">
        <f t="shared" si="35"/>
        <v>80267502</v>
      </c>
      <c r="P24" s="38">
        <f t="shared" ref="P24:U24" si="36">P25+P26+P27+P28+P29</f>
        <v>4856562.76</v>
      </c>
      <c r="Q24" s="38">
        <f t="shared" si="36"/>
        <v>10186499.52</v>
      </c>
      <c r="R24" s="38">
        <f t="shared" si="36"/>
        <v>16207095.460000001</v>
      </c>
      <c r="S24" s="38">
        <f t="shared" si="36"/>
        <v>21581670.84</v>
      </c>
      <c r="T24" s="38">
        <f t="shared" si="36"/>
        <v>27913220.130000003</v>
      </c>
      <c r="U24" s="38">
        <f t="shared" si="36"/>
        <v>34339906.120000005</v>
      </c>
      <c r="V24" s="38">
        <f t="shared" ref="V24:AB24" si="37">V25+V26+V27+V28+V29</f>
        <v>38997948.480000004</v>
      </c>
      <c r="W24" s="38">
        <f t="shared" si="37"/>
        <v>47861737.410000004</v>
      </c>
      <c r="X24" s="38">
        <f t="shared" si="37"/>
        <v>53340006.350000001</v>
      </c>
      <c r="Y24" s="38">
        <f t="shared" si="37"/>
        <v>60841288.300000004</v>
      </c>
      <c r="Z24" s="38">
        <f t="shared" si="37"/>
        <v>69509004.680000007</v>
      </c>
      <c r="AA24" s="38">
        <f t="shared" si="37"/>
        <v>81129999.469999999</v>
      </c>
      <c r="AB24" s="38">
        <f t="shared" si="37"/>
        <v>82368629</v>
      </c>
      <c r="AC24" s="38">
        <f t="shared" ref="AC24:AN24" si="38">AC25+AC26+AC27+AC28+AC29</f>
        <v>4856562.76</v>
      </c>
      <c r="AD24" s="38">
        <f t="shared" si="38"/>
        <v>10186499.52</v>
      </c>
      <c r="AE24" s="38">
        <f t="shared" si="38"/>
        <v>16207095.460000001</v>
      </c>
      <c r="AF24" s="38">
        <f t="shared" si="38"/>
        <v>21581670.84</v>
      </c>
      <c r="AG24" s="38">
        <f t="shared" si="38"/>
        <v>27913220.130000003</v>
      </c>
      <c r="AH24" s="38">
        <f t="shared" si="38"/>
        <v>34339906.120000005</v>
      </c>
      <c r="AI24" s="38">
        <f t="shared" si="38"/>
        <v>38997948.480000004</v>
      </c>
      <c r="AJ24" s="38">
        <f t="shared" si="38"/>
        <v>47861737.410000004</v>
      </c>
      <c r="AK24" s="38">
        <f t="shared" si="38"/>
        <v>53340006.350000001</v>
      </c>
      <c r="AL24" s="38">
        <f t="shared" si="38"/>
        <v>60841288.300000004</v>
      </c>
      <c r="AM24" s="38">
        <f t="shared" si="38"/>
        <v>69509004.680000007</v>
      </c>
      <c r="AN24" s="38">
        <f t="shared" si="38"/>
        <v>81129999.469999999</v>
      </c>
      <c r="AO24" s="38">
        <f t="shared" ref="AO24:AX24" si="39">AO25+AO26+AO27+AO28+AO29</f>
        <v>100761567</v>
      </c>
      <c r="AP24" s="38">
        <f t="shared" si="39"/>
        <v>6654742.6799999997</v>
      </c>
      <c r="AQ24" s="38">
        <f t="shared" si="39"/>
        <v>13432726.75</v>
      </c>
      <c r="AR24" s="38">
        <f t="shared" si="39"/>
        <v>19594255.080000002</v>
      </c>
      <c r="AS24" s="38">
        <f t="shared" si="39"/>
        <v>25390429.950000003</v>
      </c>
      <c r="AT24" s="38">
        <f t="shared" si="39"/>
        <v>31513042.080000002</v>
      </c>
      <c r="AU24" s="38">
        <f t="shared" si="39"/>
        <v>39469491.609999999</v>
      </c>
      <c r="AV24" s="38">
        <f t="shared" si="39"/>
        <v>46232241.719999999</v>
      </c>
      <c r="AW24" s="38">
        <f t="shared" si="39"/>
        <v>52113302</v>
      </c>
      <c r="AX24" s="38">
        <f t="shared" si="39"/>
        <v>58534511.380000003</v>
      </c>
    </row>
    <row r="25" spans="1:50" ht="14.25">
      <c r="A25" s="30">
        <v>7.1</v>
      </c>
      <c r="B25" s="35" t="s">
        <v>78</v>
      </c>
      <c r="C25" s="36"/>
      <c r="D25" s="37">
        <v>2891667.5</v>
      </c>
      <c r="E25" s="37">
        <v>5705647.2999999998</v>
      </c>
      <c r="F25" s="37">
        <v>8564470</v>
      </c>
      <c r="G25" s="37">
        <v>11563692.199999999</v>
      </c>
      <c r="H25" s="34">
        <v>14564615.699999999</v>
      </c>
      <c r="I25" s="34">
        <v>17463134.300000001</v>
      </c>
      <c r="J25" s="34">
        <v>23265055.899999999</v>
      </c>
      <c r="K25" s="34">
        <v>25362995.899999999</v>
      </c>
      <c r="L25" s="34">
        <v>27457035.899999999</v>
      </c>
      <c r="M25" s="34">
        <v>29699568.899999999</v>
      </c>
      <c r="N25" s="34">
        <v>32365066.199999999</v>
      </c>
      <c r="O25" s="34">
        <v>32365066</v>
      </c>
      <c r="P25" s="145">
        <v>2180448.7999999998</v>
      </c>
      <c r="Q25" s="145">
        <v>4377469.5999999996</v>
      </c>
      <c r="R25" s="145">
        <v>6606592.7000000002</v>
      </c>
      <c r="S25" s="145">
        <v>8802439.5</v>
      </c>
      <c r="T25" s="145">
        <v>11016428.300000001</v>
      </c>
      <c r="U25" s="145">
        <v>13256867.1</v>
      </c>
      <c r="V25" s="145">
        <v>15481158</v>
      </c>
      <c r="W25" s="145">
        <v>17588213.100000001</v>
      </c>
      <c r="X25" s="151">
        <v>19759432.100000001</v>
      </c>
      <c r="Y25" s="153">
        <v>22163313.199999999</v>
      </c>
      <c r="Z25" s="153">
        <v>24342995.199999999</v>
      </c>
      <c r="AA25" s="153">
        <v>27317216.699999999</v>
      </c>
      <c r="AB25" s="175">
        <v>30351767</v>
      </c>
      <c r="AC25" s="151">
        <v>2180448.7999999998</v>
      </c>
      <c r="AD25" s="153">
        <v>4377469.5999999996</v>
      </c>
      <c r="AE25" s="153">
        <v>6606592.7000000002</v>
      </c>
      <c r="AF25" s="153">
        <v>8802439.5</v>
      </c>
      <c r="AG25" s="153">
        <v>11016428.300000001</v>
      </c>
      <c r="AH25" s="153">
        <v>13256867.1</v>
      </c>
      <c r="AI25" s="153">
        <v>15481158</v>
      </c>
      <c r="AJ25" s="153">
        <v>17588213.100000001</v>
      </c>
      <c r="AK25" s="153">
        <v>19759432.100000001</v>
      </c>
      <c r="AL25" s="153">
        <v>22163313.199999999</v>
      </c>
      <c r="AM25" s="153">
        <v>24342995.199999999</v>
      </c>
      <c r="AN25" s="153">
        <v>27317216.699999999</v>
      </c>
      <c r="AO25" s="153">
        <v>34303158</v>
      </c>
      <c r="AP25" s="151">
        <v>2480800.2999999998</v>
      </c>
      <c r="AQ25" s="153">
        <v>4960962.5</v>
      </c>
      <c r="AR25" s="153">
        <v>7431064.7999999998</v>
      </c>
      <c r="AS25" s="151">
        <v>9916411</v>
      </c>
      <c r="AT25" s="213">
        <v>12396997.300000001</v>
      </c>
      <c r="AU25" s="151">
        <v>14852827.9</v>
      </c>
      <c r="AV25" s="151">
        <v>17354257.5</v>
      </c>
      <c r="AW25" s="248">
        <v>19871007.100000001</v>
      </c>
      <c r="AX25" s="250">
        <v>22525759.699999999</v>
      </c>
    </row>
    <row r="26" spans="1:50" ht="14.25">
      <c r="A26" s="30">
        <v>7.2</v>
      </c>
      <c r="B26" s="35" t="s">
        <v>79</v>
      </c>
      <c r="C26" s="36"/>
      <c r="D26" s="37">
        <v>152000</v>
      </c>
      <c r="E26" s="37">
        <v>557650</v>
      </c>
      <c r="F26" s="37">
        <v>1082350</v>
      </c>
      <c r="G26" s="37">
        <v>1338350</v>
      </c>
      <c r="H26" s="34">
        <v>1347350</v>
      </c>
      <c r="I26" s="34">
        <v>1421350</v>
      </c>
      <c r="J26" s="34">
        <v>1843850</v>
      </c>
      <c r="K26" s="34">
        <v>1888850</v>
      </c>
      <c r="L26" s="34">
        <v>2846100</v>
      </c>
      <c r="M26" s="34">
        <v>4582860</v>
      </c>
      <c r="N26" s="34">
        <v>5133860</v>
      </c>
      <c r="O26" s="34">
        <v>5025260</v>
      </c>
      <c r="P26" s="145">
        <v>179650</v>
      </c>
      <c r="Q26" s="145">
        <v>456650</v>
      </c>
      <c r="R26" s="145">
        <v>807150</v>
      </c>
      <c r="S26" s="145">
        <v>1042250</v>
      </c>
      <c r="T26" s="145">
        <v>1363390</v>
      </c>
      <c r="U26" s="145">
        <v>1893380</v>
      </c>
      <c r="V26" s="145">
        <v>2162880</v>
      </c>
      <c r="W26" s="145">
        <v>2628730</v>
      </c>
      <c r="X26" s="155">
        <v>2719730</v>
      </c>
      <c r="Y26" s="157">
        <v>3722030</v>
      </c>
      <c r="Z26" s="157">
        <v>5180030</v>
      </c>
      <c r="AA26" s="157">
        <v>6652530</v>
      </c>
      <c r="AB26" s="175">
        <v>6652530</v>
      </c>
      <c r="AC26" s="155">
        <v>179650</v>
      </c>
      <c r="AD26" s="157">
        <v>456650</v>
      </c>
      <c r="AE26" s="157">
        <v>807150</v>
      </c>
      <c r="AF26" s="157">
        <v>1042250</v>
      </c>
      <c r="AG26" s="157">
        <v>1363390</v>
      </c>
      <c r="AH26" s="157">
        <v>1893380</v>
      </c>
      <c r="AI26" s="157">
        <v>2162880</v>
      </c>
      <c r="AJ26" s="157">
        <v>2628730</v>
      </c>
      <c r="AK26" s="157">
        <v>2719730</v>
      </c>
      <c r="AL26" s="157">
        <v>3722030</v>
      </c>
      <c r="AM26" s="157">
        <v>5180030</v>
      </c>
      <c r="AN26" s="157">
        <v>6652530</v>
      </c>
      <c r="AO26" s="157">
        <v>6595647</v>
      </c>
      <c r="AP26" s="155">
        <v>316500</v>
      </c>
      <c r="AQ26" s="157">
        <v>758000</v>
      </c>
      <c r="AR26" s="157">
        <v>1145000</v>
      </c>
      <c r="AS26" s="155">
        <v>1614100</v>
      </c>
      <c r="AT26" s="215">
        <v>1847600</v>
      </c>
      <c r="AU26" s="155">
        <v>2314650</v>
      </c>
      <c r="AV26" s="155">
        <v>3033050</v>
      </c>
      <c r="AW26" s="252">
        <v>3137050</v>
      </c>
      <c r="AX26" s="254">
        <v>3295050</v>
      </c>
    </row>
    <row r="27" spans="1:50" ht="14.25">
      <c r="A27" s="30">
        <v>7.3</v>
      </c>
      <c r="B27" s="35" t="s">
        <v>80</v>
      </c>
      <c r="C27" s="36"/>
      <c r="D27" s="37">
        <v>81800</v>
      </c>
      <c r="E27" s="37">
        <v>437900</v>
      </c>
      <c r="F27" s="37">
        <v>629450</v>
      </c>
      <c r="G27" s="37">
        <v>703350</v>
      </c>
      <c r="H27" s="34">
        <v>916300</v>
      </c>
      <c r="I27" s="34">
        <v>988000</v>
      </c>
      <c r="J27" s="34">
        <v>1744742</v>
      </c>
      <c r="K27" s="34">
        <v>2185292</v>
      </c>
      <c r="L27" s="34">
        <v>2530312</v>
      </c>
      <c r="M27" s="34">
        <v>3536712</v>
      </c>
      <c r="N27" s="34">
        <v>4111772.6</v>
      </c>
      <c r="O27" s="34">
        <v>4111773</v>
      </c>
      <c r="P27" s="145">
        <v>152800</v>
      </c>
      <c r="Q27" s="145">
        <v>442400</v>
      </c>
      <c r="R27" s="145">
        <v>715700</v>
      </c>
      <c r="S27" s="145">
        <v>910400</v>
      </c>
      <c r="T27" s="145">
        <v>1358100</v>
      </c>
      <c r="U27" s="145">
        <v>1674700</v>
      </c>
      <c r="V27" s="145">
        <v>1858450</v>
      </c>
      <c r="W27" s="145">
        <v>2473350</v>
      </c>
      <c r="X27" s="155">
        <v>2804800</v>
      </c>
      <c r="Y27" s="157">
        <v>3312000</v>
      </c>
      <c r="Z27" s="157">
        <v>4811890</v>
      </c>
      <c r="AA27" s="157">
        <v>5538965</v>
      </c>
      <c r="AB27" s="175">
        <v>5538965</v>
      </c>
      <c r="AC27" s="155">
        <v>152800</v>
      </c>
      <c r="AD27" s="157">
        <v>442400</v>
      </c>
      <c r="AE27" s="157">
        <v>715700</v>
      </c>
      <c r="AF27" s="157">
        <v>910400</v>
      </c>
      <c r="AG27" s="157">
        <v>1358100</v>
      </c>
      <c r="AH27" s="157">
        <v>1674700</v>
      </c>
      <c r="AI27" s="157">
        <v>1858450</v>
      </c>
      <c r="AJ27" s="157">
        <v>2473350</v>
      </c>
      <c r="AK27" s="157">
        <v>2804800</v>
      </c>
      <c r="AL27" s="157">
        <v>3312000</v>
      </c>
      <c r="AM27" s="157">
        <v>4811890</v>
      </c>
      <c r="AN27" s="157">
        <v>5538965</v>
      </c>
      <c r="AO27" s="157">
        <v>7048890</v>
      </c>
      <c r="AP27" s="155">
        <v>251225</v>
      </c>
      <c r="AQ27" s="157">
        <v>435425</v>
      </c>
      <c r="AR27" s="157">
        <v>808715</v>
      </c>
      <c r="AS27" s="155">
        <v>1132575</v>
      </c>
      <c r="AT27" s="215">
        <v>1461925</v>
      </c>
      <c r="AU27" s="155">
        <v>2084565</v>
      </c>
      <c r="AV27" s="155">
        <v>2431015</v>
      </c>
      <c r="AW27" s="252">
        <v>2968755</v>
      </c>
      <c r="AX27" s="254">
        <v>3378855</v>
      </c>
    </row>
    <row r="28" spans="1:50" ht="14.25">
      <c r="A28" s="30">
        <v>7.4</v>
      </c>
      <c r="B28" s="35" t="s">
        <v>81</v>
      </c>
      <c r="C28" s="36"/>
      <c r="D28" s="37">
        <v>633748.12</v>
      </c>
      <c r="E28" s="37">
        <v>1267496.24</v>
      </c>
      <c r="F28" s="37">
        <v>1901244.36</v>
      </c>
      <c r="G28" s="37">
        <v>2534992.48</v>
      </c>
      <c r="H28" s="34">
        <v>3161765.28</v>
      </c>
      <c r="I28" s="34">
        <v>3788538.08</v>
      </c>
      <c r="J28" s="34">
        <v>5075501.25</v>
      </c>
      <c r="K28" s="34">
        <v>5722678.3200000003</v>
      </c>
      <c r="L28" s="34">
        <v>6382297.0599999996</v>
      </c>
      <c r="M28" s="34">
        <v>7041915.7999999998</v>
      </c>
      <c r="N28" s="34">
        <v>7701534.54</v>
      </c>
      <c r="O28" s="34">
        <v>7701534</v>
      </c>
      <c r="P28" s="145">
        <v>550930.13</v>
      </c>
      <c r="Q28" s="145">
        <v>1101860.26</v>
      </c>
      <c r="R28" s="145">
        <v>1684786.71</v>
      </c>
      <c r="S28" s="145">
        <v>2267713.16</v>
      </c>
      <c r="T28" s="145">
        <v>2852920.91</v>
      </c>
      <c r="U28" s="145">
        <v>3438128.66</v>
      </c>
      <c r="V28" s="145">
        <v>4026362.68</v>
      </c>
      <c r="W28" s="145">
        <v>4616507.03</v>
      </c>
      <c r="X28" s="155">
        <v>5242529.6399999997</v>
      </c>
      <c r="Y28" s="157">
        <v>5868552.25</v>
      </c>
      <c r="Z28" s="157">
        <v>6494574.8600000003</v>
      </c>
      <c r="AA28" s="157">
        <v>7120597.4699999997</v>
      </c>
      <c r="AB28" s="175">
        <v>7120598</v>
      </c>
      <c r="AC28" s="155">
        <v>550930.13</v>
      </c>
      <c r="AD28" s="157">
        <v>1101860.26</v>
      </c>
      <c r="AE28" s="157">
        <v>1684786.71</v>
      </c>
      <c r="AF28" s="157">
        <v>2267713.16</v>
      </c>
      <c r="AG28" s="157">
        <v>2852920.91</v>
      </c>
      <c r="AH28" s="157">
        <v>3438128.66</v>
      </c>
      <c r="AI28" s="157">
        <v>4026362.68</v>
      </c>
      <c r="AJ28" s="157">
        <v>4616507.03</v>
      </c>
      <c r="AK28" s="157">
        <v>5242529.6399999997</v>
      </c>
      <c r="AL28" s="157">
        <v>5868552.25</v>
      </c>
      <c r="AM28" s="157">
        <v>6494574.8600000003</v>
      </c>
      <c r="AN28" s="157">
        <v>7120597.4699999997</v>
      </c>
      <c r="AO28" s="157">
        <v>6601506</v>
      </c>
      <c r="AP28" s="155">
        <v>486094.41</v>
      </c>
      <c r="AQ28" s="157">
        <v>972188.82</v>
      </c>
      <c r="AR28" s="157">
        <v>1460064.48</v>
      </c>
      <c r="AS28" s="155">
        <v>1947940.14</v>
      </c>
      <c r="AT28" s="215">
        <v>2435815.7999999998</v>
      </c>
      <c r="AU28" s="155">
        <v>2923691.46</v>
      </c>
      <c r="AV28" s="155">
        <v>3411567.12</v>
      </c>
      <c r="AW28" s="252">
        <v>3954234.44</v>
      </c>
      <c r="AX28" s="254">
        <v>4609401.76</v>
      </c>
    </row>
    <row r="29" spans="1:50" ht="14.25">
      <c r="A29" s="30">
        <v>7.5</v>
      </c>
      <c r="B29" s="35" t="s">
        <v>82</v>
      </c>
      <c r="C29" s="36"/>
      <c r="D29" s="37">
        <v>1001191.16</v>
      </c>
      <c r="E29" s="37">
        <v>3919375.18</v>
      </c>
      <c r="F29" s="37">
        <v>6743491.1399999997</v>
      </c>
      <c r="G29" s="37">
        <v>8433363.3000000007</v>
      </c>
      <c r="H29" s="34">
        <v>10750804.460000001</v>
      </c>
      <c r="I29" s="34">
        <v>12810015.619999999</v>
      </c>
      <c r="J29" s="34">
        <v>17671807.16</v>
      </c>
      <c r="K29" s="34">
        <v>19345865.32</v>
      </c>
      <c r="L29" s="34">
        <v>24039552.57</v>
      </c>
      <c r="M29" s="34">
        <v>27252727.399999999</v>
      </c>
      <c r="N29" s="34">
        <v>29614223.75</v>
      </c>
      <c r="O29" s="34">
        <v>31063869</v>
      </c>
      <c r="P29" s="145">
        <v>1792733.83</v>
      </c>
      <c r="Q29" s="145">
        <v>3808119.66</v>
      </c>
      <c r="R29" s="145">
        <v>6392866.0499999998</v>
      </c>
      <c r="S29" s="145">
        <v>8558868.1799999997</v>
      </c>
      <c r="T29" s="145">
        <v>11322380.92</v>
      </c>
      <c r="U29" s="145">
        <v>14076830.359999999</v>
      </c>
      <c r="V29" s="145">
        <v>15469097.800000001</v>
      </c>
      <c r="W29" s="145">
        <v>20554937.280000001</v>
      </c>
      <c r="X29" s="155">
        <v>22813514.609999999</v>
      </c>
      <c r="Y29" s="157">
        <v>25775392.850000001</v>
      </c>
      <c r="Z29" s="157">
        <v>28679514.620000001</v>
      </c>
      <c r="AA29" s="157">
        <v>34500690.299999997</v>
      </c>
      <c r="AB29" s="175">
        <v>32704769</v>
      </c>
      <c r="AC29" s="155">
        <v>1792733.83</v>
      </c>
      <c r="AD29" s="157">
        <v>3808119.66</v>
      </c>
      <c r="AE29" s="157">
        <v>6392866.0499999998</v>
      </c>
      <c r="AF29" s="157">
        <v>8558868.1799999997</v>
      </c>
      <c r="AG29" s="157">
        <v>11322380.92</v>
      </c>
      <c r="AH29" s="157">
        <v>14076830.359999999</v>
      </c>
      <c r="AI29" s="157">
        <v>15469097.800000001</v>
      </c>
      <c r="AJ29" s="157">
        <v>20554937.280000001</v>
      </c>
      <c r="AK29" s="157">
        <v>22813514.609999999</v>
      </c>
      <c r="AL29" s="157">
        <v>25775392.850000001</v>
      </c>
      <c r="AM29" s="157">
        <v>28679514.620000001</v>
      </c>
      <c r="AN29" s="157">
        <v>34500690.299999997</v>
      </c>
      <c r="AO29" s="157">
        <f>34507108+6942391+4413187+349680</f>
        <v>46212366</v>
      </c>
      <c r="AP29" s="155">
        <v>3120122.97</v>
      </c>
      <c r="AQ29" s="157">
        <v>6306150.4299999997</v>
      </c>
      <c r="AR29" s="157">
        <v>8749410.8000000007</v>
      </c>
      <c r="AS29" s="155">
        <v>10779403.810000001</v>
      </c>
      <c r="AT29" s="215">
        <v>13370703.98</v>
      </c>
      <c r="AU29" s="155">
        <v>17293757.25</v>
      </c>
      <c r="AV29" s="155">
        <v>20002352.100000001</v>
      </c>
      <c r="AW29" s="252">
        <v>22182255.460000001</v>
      </c>
      <c r="AX29" s="254">
        <v>24725444.920000002</v>
      </c>
    </row>
    <row r="30" spans="1:50" ht="15">
      <c r="A30" s="30">
        <v>8</v>
      </c>
      <c r="B30" s="25" t="s">
        <v>83</v>
      </c>
      <c r="C30" s="39">
        <f t="shared" ref="C30:O30" si="40">C20-C21-C24</f>
        <v>0</v>
      </c>
      <c r="D30" s="39">
        <f t="shared" si="40"/>
        <v>1548394.8899999997</v>
      </c>
      <c r="E30" s="39">
        <f t="shared" si="40"/>
        <v>1255861.2899999991</v>
      </c>
      <c r="F30" s="39">
        <f t="shared" si="40"/>
        <v>918418.19000000134</v>
      </c>
      <c r="G30" s="39">
        <f t="shared" si="40"/>
        <v>9050278.5399999954</v>
      </c>
      <c r="H30" s="39">
        <f t="shared" si="40"/>
        <v>7963285.2300000004</v>
      </c>
      <c r="I30" s="39">
        <f t="shared" si="40"/>
        <v>7058800.1400000006</v>
      </c>
      <c r="J30" s="39">
        <f t="shared" si="40"/>
        <v>4220584.4699999914</v>
      </c>
      <c r="K30" s="39">
        <f t="shared" si="40"/>
        <v>4555031.3999999985</v>
      </c>
      <c r="L30" s="39">
        <f t="shared" si="40"/>
        <v>9361248.8900000155</v>
      </c>
      <c r="M30" s="39">
        <f t="shared" si="40"/>
        <v>8289568.2800000012</v>
      </c>
      <c r="N30" s="39">
        <f t="shared" si="40"/>
        <v>5367586.25</v>
      </c>
      <c r="O30" s="39">
        <f t="shared" si="40"/>
        <v>5505572.2600000054</v>
      </c>
      <c r="P30" s="39">
        <f t="shared" ref="P30:U30" si="41">P20-P21-P24</f>
        <v>519290.73000000045</v>
      </c>
      <c r="Q30" s="39">
        <f t="shared" si="41"/>
        <v>1273866.2500000019</v>
      </c>
      <c r="R30" s="39">
        <f t="shared" si="41"/>
        <v>1815233</v>
      </c>
      <c r="S30" s="39">
        <f t="shared" si="41"/>
        <v>13262398.050000001</v>
      </c>
      <c r="T30" s="39">
        <f t="shared" si="41"/>
        <v>13211387.649999999</v>
      </c>
      <c r="U30" s="39">
        <f t="shared" si="41"/>
        <v>11824739.709999993</v>
      </c>
      <c r="V30" s="39">
        <f t="shared" ref="V30:AB30" si="42">V20-V21-V24</f>
        <v>13618042.259999998</v>
      </c>
      <c r="W30" s="39">
        <f t="shared" si="42"/>
        <v>10372669.00999999</v>
      </c>
      <c r="X30" s="39">
        <f t="shared" si="42"/>
        <v>10373609.609999992</v>
      </c>
      <c r="Y30" s="39">
        <f t="shared" si="42"/>
        <v>10386647.789999999</v>
      </c>
      <c r="Z30" s="39">
        <f t="shared" si="42"/>
        <v>8718768.8899999857</v>
      </c>
      <c r="AA30" s="39">
        <f t="shared" si="42"/>
        <v>11401372.980000019</v>
      </c>
      <c r="AB30" s="39">
        <f>AB20-AB21-AB24</f>
        <v>7145501.8999999911</v>
      </c>
      <c r="AC30" s="39">
        <f t="shared" ref="AC30:AM30" si="43">AC20-AC21-AC24</f>
        <v>519290.73000000045</v>
      </c>
      <c r="AD30" s="39">
        <f t="shared" si="43"/>
        <v>1273866.2500000019</v>
      </c>
      <c r="AE30" s="39">
        <f t="shared" si="43"/>
        <v>1815233</v>
      </c>
      <c r="AF30" s="39">
        <f t="shared" si="43"/>
        <v>13262398.050000001</v>
      </c>
      <c r="AG30" s="39">
        <f t="shared" si="43"/>
        <v>13211387.649999999</v>
      </c>
      <c r="AH30" s="39">
        <f t="shared" si="43"/>
        <v>11824739.709999993</v>
      </c>
      <c r="AI30" s="39">
        <f t="shared" si="43"/>
        <v>13618042.259999998</v>
      </c>
      <c r="AJ30" s="39">
        <f t="shared" si="43"/>
        <v>10372669.00999999</v>
      </c>
      <c r="AK30" s="39">
        <f t="shared" si="43"/>
        <v>10373609.609999992</v>
      </c>
      <c r="AL30" s="39">
        <f t="shared" si="43"/>
        <v>10386647.789999999</v>
      </c>
      <c r="AM30" s="39">
        <f t="shared" si="43"/>
        <v>8718768.8899999857</v>
      </c>
      <c r="AN30" s="39">
        <f>AN20-AN21-AN24</f>
        <v>11401372.980000019</v>
      </c>
      <c r="AO30" s="39">
        <f>AO20-AO21-AO24</f>
        <v>7163651</v>
      </c>
      <c r="AP30" s="39">
        <f t="shared" ref="AP30:AX30" si="44">AP20-AP21-AP24</f>
        <v>-155519.38999999966</v>
      </c>
      <c r="AQ30" s="39">
        <f t="shared" si="44"/>
        <v>-88143.029999999329</v>
      </c>
      <c r="AR30" s="39">
        <f t="shared" si="44"/>
        <v>10221309.759999994</v>
      </c>
      <c r="AS30" s="39">
        <f t="shared" si="44"/>
        <v>1220054.3699999973</v>
      </c>
      <c r="AT30" s="39">
        <f t="shared" si="44"/>
        <v>1269019.0800000057</v>
      </c>
      <c r="AU30" s="39">
        <f t="shared" si="44"/>
        <v>13941650.910000004</v>
      </c>
      <c r="AV30" s="39">
        <f t="shared" si="44"/>
        <v>13655134.190000005</v>
      </c>
      <c r="AW30" s="39">
        <f t="shared" si="44"/>
        <v>13119630.49000001</v>
      </c>
      <c r="AX30" s="39">
        <f t="shared" si="44"/>
        <v>12098949.07</v>
      </c>
    </row>
    <row r="31" spans="1:50" ht="14.25">
      <c r="A31" s="30">
        <v>9</v>
      </c>
      <c r="B31" s="25" t="s">
        <v>84</v>
      </c>
      <c r="C31" s="32">
        <v>0</v>
      </c>
      <c r="D31" s="33">
        <v>0</v>
      </c>
      <c r="E31" s="33">
        <v>0</v>
      </c>
      <c r="F31" s="33">
        <v>0</v>
      </c>
      <c r="G31" s="33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/>
      <c r="P31" s="145">
        <v>0</v>
      </c>
      <c r="Q31" s="145">
        <v>0</v>
      </c>
      <c r="R31" s="145">
        <v>0</v>
      </c>
      <c r="S31" s="145">
        <v>0</v>
      </c>
      <c r="T31" s="145">
        <v>0</v>
      </c>
      <c r="U31" s="145">
        <v>0</v>
      </c>
      <c r="V31" s="145">
        <v>0</v>
      </c>
      <c r="W31" s="145">
        <v>0</v>
      </c>
    </row>
    <row r="32" spans="1:50" ht="14.25">
      <c r="A32" s="30">
        <v>9.1</v>
      </c>
      <c r="B32" s="35" t="s">
        <v>85</v>
      </c>
      <c r="C32" s="36">
        <v>0</v>
      </c>
      <c r="D32" s="37">
        <v>0</v>
      </c>
      <c r="E32" s="37">
        <v>0</v>
      </c>
      <c r="F32" s="37">
        <v>0</v>
      </c>
      <c r="G32" s="37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/>
      <c r="P32" s="145">
        <v>0</v>
      </c>
      <c r="Q32" s="145">
        <v>0</v>
      </c>
      <c r="R32" s="145">
        <v>0</v>
      </c>
      <c r="S32" s="145">
        <v>0</v>
      </c>
      <c r="T32" s="145">
        <v>0</v>
      </c>
      <c r="U32" s="145">
        <v>0</v>
      </c>
      <c r="V32" s="145">
        <v>0</v>
      </c>
      <c r="W32" s="145">
        <v>0</v>
      </c>
      <c r="AC32" s="150">
        <v>0</v>
      </c>
      <c r="AD32" s="152">
        <v>0</v>
      </c>
      <c r="AE32" s="152">
        <v>0</v>
      </c>
      <c r="AF32" s="152">
        <v>0</v>
      </c>
      <c r="AG32" s="152">
        <v>0</v>
      </c>
      <c r="AH32" s="152">
        <v>0</v>
      </c>
      <c r="AI32" s="152">
        <v>0</v>
      </c>
      <c r="AJ32" s="152">
        <v>0</v>
      </c>
      <c r="AK32" s="152">
        <v>0</v>
      </c>
      <c r="AL32" s="152">
        <v>0</v>
      </c>
      <c r="AM32" s="152">
        <v>0</v>
      </c>
      <c r="AN32" s="152">
        <v>0</v>
      </c>
      <c r="AO32" s="152">
        <v>0</v>
      </c>
      <c r="AP32" s="150">
        <v>0</v>
      </c>
      <c r="AQ32" s="152">
        <v>0</v>
      </c>
      <c r="AR32" s="152">
        <v>0</v>
      </c>
      <c r="AS32" s="150">
        <v>0</v>
      </c>
      <c r="AT32" s="214">
        <v>0</v>
      </c>
      <c r="AU32" s="150">
        <v>0</v>
      </c>
      <c r="AV32" s="150">
        <v>0</v>
      </c>
      <c r="AW32" s="247">
        <v>0</v>
      </c>
      <c r="AX32" s="249">
        <v>0</v>
      </c>
    </row>
    <row r="33" spans="1:50" ht="14.25">
      <c r="A33" s="30">
        <v>9.1999999999999993</v>
      </c>
      <c r="B33" s="35" t="s">
        <v>86</v>
      </c>
      <c r="C33" s="36">
        <v>0</v>
      </c>
      <c r="D33" s="37">
        <v>0</v>
      </c>
      <c r="E33" s="37">
        <v>0</v>
      </c>
      <c r="F33" s="37">
        <v>0</v>
      </c>
      <c r="G33" s="37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/>
      <c r="P33" s="34"/>
      <c r="Q33" s="34"/>
      <c r="R33" s="34"/>
      <c r="S33" s="34"/>
      <c r="T33" s="34"/>
      <c r="U33" s="34"/>
      <c r="V33" s="34"/>
      <c r="W33" s="34"/>
      <c r="AC33" s="154">
        <v>0</v>
      </c>
      <c r="AD33" s="156">
        <v>0</v>
      </c>
      <c r="AE33" s="156">
        <v>0</v>
      </c>
      <c r="AF33" s="156">
        <v>0</v>
      </c>
      <c r="AG33" s="156">
        <v>0</v>
      </c>
      <c r="AH33" s="156">
        <v>0</v>
      </c>
      <c r="AI33" s="156">
        <v>0</v>
      </c>
      <c r="AJ33" s="156">
        <v>0</v>
      </c>
      <c r="AK33" s="156">
        <v>0</v>
      </c>
      <c r="AL33" s="156">
        <v>0</v>
      </c>
      <c r="AM33" s="156">
        <v>0</v>
      </c>
      <c r="AN33" s="156">
        <v>0</v>
      </c>
      <c r="AO33" s="156">
        <v>0</v>
      </c>
      <c r="AP33" s="154">
        <v>0</v>
      </c>
      <c r="AQ33" s="156">
        <v>0</v>
      </c>
      <c r="AR33" s="156">
        <v>0</v>
      </c>
      <c r="AS33" s="154">
        <v>0</v>
      </c>
      <c r="AT33" s="212">
        <v>0</v>
      </c>
      <c r="AU33" s="154">
        <v>0</v>
      </c>
      <c r="AV33" s="154">
        <v>0</v>
      </c>
      <c r="AW33" s="251">
        <v>0</v>
      </c>
      <c r="AX33" s="253">
        <v>0</v>
      </c>
    </row>
    <row r="34" spans="1:50" ht="15">
      <c r="A34" s="30">
        <v>10</v>
      </c>
      <c r="B34" s="35" t="s">
        <v>87</v>
      </c>
      <c r="C34" s="40">
        <f t="shared" ref="C34:O34" si="45">C30+C31</f>
        <v>0</v>
      </c>
      <c r="D34" s="40">
        <f t="shared" si="45"/>
        <v>1548394.8899999997</v>
      </c>
      <c r="E34" s="40">
        <f t="shared" si="45"/>
        <v>1255861.2899999991</v>
      </c>
      <c r="F34" s="40">
        <f t="shared" si="45"/>
        <v>918418.19000000134</v>
      </c>
      <c r="G34" s="40">
        <f t="shared" si="45"/>
        <v>9050278.5399999954</v>
      </c>
      <c r="H34" s="40">
        <f t="shared" si="45"/>
        <v>7963285.2300000004</v>
      </c>
      <c r="I34" s="40">
        <f t="shared" si="45"/>
        <v>7058800.1400000006</v>
      </c>
      <c r="J34" s="40">
        <f t="shared" si="45"/>
        <v>4220584.4699999914</v>
      </c>
      <c r="K34" s="40">
        <f t="shared" si="45"/>
        <v>4555031.3999999985</v>
      </c>
      <c r="L34" s="40">
        <f t="shared" si="45"/>
        <v>9361248.8900000155</v>
      </c>
      <c r="M34" s="40">
        <f t="shared" si="45"/>
        <v>8289568.2800000012</v>
      </c>
      <c r="N34" s="40">
        <f t="shared" si="45"/>
        <v>5367586.25</v>
      </c>
      <c r="O34" s="40">
        <f t="shared" si="45"/>
        <v>5505572.2600000054</v>
      </c>
      <c r="P34" s="40">
        <f t="shared" ref="P34:U34" si="46">P30+P31</f>
        <v>519290.73000000045</v>
      </c>
      <c r="Q34" s="40">
        <f t="shared" si="46"/>
        <v>1273866.2500000019</v>
      </c>
      <c r="R34" s="40">
        <f t="shared" si="46"/>
        <v>1815233</v>
      </c>
      <c r="S34" s="40">
        <f t="shared" si="46"/>
        <v>13262398.050000001</v>
      </c>
      <c r="T34" s="40">
        <f t="shared" si="46"/>
        <v>13211387.649999999</v>
      </c>
      <c r="U34" s="40">
        <f t="shared" si="46"/>
        <v>11824739.709999993</v>
      </c>
      <c r="V34" s="40">
        <f t="shared" ref="V34:AB34" si="47">V30+V31</f>
        <v>13618042.259999998</v>
      </c>
      <c r="W34" s="40">
        <f t="shared" si="47"/>
        <v>10372669.00999999</v>
      </c>
      <c r="X34" s="40">
        <f t="shared" si="47"/>
        <v>10373609.609999992</v>
      </c>
      <c r="Y34" s="40">
        <f t="shared" si="47"/>
        <v>10386647.789999999</v>
      </c>
      <c r="Z34" s="40">
        <f t="shared" si="47"/>
        <v>8718768.8899999857</v>
      </c>
      <c r="AA34" s="40">
        <f t="shared" si="47"/>
        <v>11401372.980000019</v>
      </c>
      <c r="AB34" s="40">
        <f t="shared" si="47"/>
        <v>7145501.8999999911</v>
      </c>
      <c r="AC34" s="40">
        <f t="shared" ref="AC34:AN34" si="48">AC30+AC31</f>
        <v>519290.73000000045</v>
      </c>
      <c r="AD34" s="40">
        <f t="shared" si="48"/>
        <v>1273866.2500000019</v>
      </c>
      <c r="AE34" s="40">
        <f t="shared" si="48"/>
        <v>1815233</v>
      </c>
      <c r="AF34" s="40">
        <f t="shared" si="48"/>
        <v>13262398.050000001</v>
      </c>
      <c r="AG34" s="40">
        <f t="shared" si="48"/>
        <v>13211387.649999999</v>
      </c>
      <c r="AH34" s="40">
        <f t="shared" si="48"/>
        <v>11824739.709999993</v>
      </c>
      <c r="AI34" s="40">
        <f t="shared" si="48"/>
        <v>13618042.259999998</v>
      </c>
      <c r="AJ34" s="40">
        <f t="shared" si="48"/>
        <v>10372669.00999999</v>
      </c>
      <c r="AK34" s="40">
        <f t="shared" si="48"/>
        <v>10373609.609999992</v>
      </c>
      <c r="AL34" s="40">
        <f t="shared" si="48"/>
        <v>10386647.789999999</v>
      </c>
      <c r="AM34" s="40">
        <f t="shared" si="48"/>
        <v>8718768.8899999857</v>
      </c>
      <c r="AN34" s="40">
        <f t="shared" si="48"/>
        <v>11401372.980000019</v>
      </c>
      <c r="AO34" s="40">
        <f t="shared" ref="AO34:AS34" si="49">AO30+AO31</f>
        <v>7163651</v>
      </c>
      <c r="AP34" s="40">
        <f t="shared" si="49"/>
        <v>-155519.38999999966</v>
      </c>
      <c r="AQ34" s="40">
        <f t="shared" si="49"/>
        <v>-88143.029999999329</v>
      </c>
      <c r="AR34" s="40">
        <f t="shared" si="49"/>
        <v>10221309.759999994</v>
      </c>
      <c r="AS34" s="40">
        <f t="shared" si="49"/>
        <v>1220054.3699999973</v>
      </c>
      <c r="AT34" s="40">
        <f>AT30+AT33</f>
        <v>1269019.0800000057</v>
      </c>
      <c r="AU34" s="40">
        <f>AU30+AU33</f>
        <v>13941650.910000004</v>
      </c>
      <c r="AV34" s="40">
        <f>AV30+AV33</f>
        <v>13655134.190000005</v>
      </c>
      <c r="AW34" s="40">
        <f t="shared" ref="AW34:AX34" si="50">AW30+AW33</f>
        <v>13119630.49000001</v>
      </c>
      <c r="AX34" s="40">
        <f t="shared" si="50"/>
        <v>12098949.07</v>
      </c>
    </row>
    <row r="35" spans="1:50" ht="14.25">
      <c r="A35" s="30">
        <v>11</v>
      </c>
      <c r="B35" s="35" t="s">
        <v>88</v>
      </c>
      <c r="C35" s="36">
        <v>0</v>
      </c>
      <c r="D35" s="37">
        <v>0</v>
      </c>
      <c r="E35" s="37">
        <v>0</v>
      </c>
      <c r="F35" s="37">
        <v>0</v>
      </c>
      <c r="G35" s="37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4208562</v>
      </c>
      <c r="P35" s="145">
        <v>0</v>
      </c>
      <c r="Q35" s="145">
        <v>0</v>
      </c>
      <c r="R35" s="145">
        <v>0</v>
      </c>
      <c r="S35" s="145">
        <v>0</v>
      </c>
      <c r="T35" s="145">
        <v>0</v>
      </c>
      <c r="U35" s="145">
        <v>0</v>
      </c>
      <c r="V35" s="145">
        <v>0</v>
      </c>
      <c r="W35" s="145">
        <v>0</v>
      </c>
      <c r="AB35">
        <v>4679034</v>
      </c>
      <c r="AC35">
        <v>4679035</v>
      </c>
      <c r="AD35">
        <v>4679036</v>
      </c>
      <c r="AE35">
        <v>4679037</v>
      </c>
      <c r="AF35">
        <v>4679038</v>
      </c>
      <c r="AG35">
        <v>4679039</v>
      </c>
      <c r="AH35">
        <v>4679040</v>
      </c>
      <c r="AI35">
        <v>4679041</v>
      </c>
      <c r="AJ35">
        <v>4679042</v>
      </c>
      <c r="AK35">
        <v>4679043</v>
      </c>
      <c r="AL35">
        <v>4679044</v>
      </c>
      <c r="AM35">
        <v>4679045</v>
      </c>
      <c r="AN35">
        <v>4679046</v>
      </c>
      <c r="AO35">
        <v>5302920</v>
      </c>
      <c r="AP35" s="150">
        <v>0</v>
      </c>
      <c r="AQ35" s="152">
        <v>0</v>
      </c>
      <c r="AR35" s="152">
        <v>0</v>
      </c>
      <c r="AS35" s="150">
        <v>0</v>
      </c>
      <c r="AT35" s="212">
        <v>0</v>
      </c>
      <c r="AU35" s="150">
        <v>0</v>
      </c>
      <c r="AV35" s="150">
        <v>0</v>
      </c>
      <c r="AW35" s="247">
        <v>0</v>
      </c>
      <c r="AX35" s="249">
        <v>0</v>
      </c>
    </row>
    <row r="36" spans="1:50" ht="15">
      <c r="A36" s="30">
        <v>12</v>
      </c>
      <c r="B36" s="25" t="s">
        <v>89</v>
      </c>
      <c r="C36" s="38">
        <f t="shared" ref="C36:O36" si="51">C34-C35</f>
        <v>0</v>
      </c>
      <c r="D36" s="38">
        <f t="shared" si="51"/>
        <v>1548394.8899999997</v>
      </c>
      <c r="E36" s="38">
        <f t="shared" si="51"/>
        <v>1255861.2899999991</v>
      </c>
      <c r="F36" s="38">
        <f t="shared" si="51"/>
        <v>918418.19000000134</v>
      </c>
      <c r="G36" s="38">
        <f t="shared" si="51"/>
        <v>9050278.5399999954</v>
      </c>
      <c r="H36" s="38">
        <f t="shared" si="51"/>
        <v>7963285.2300000004</v>
      </c>
      <c r="I36" s="38">
        <f t="shared" si="51"/>
        <v>7058800.1400000006</v>
      </c>
      <c r="J36" s="38">
        <f t="shared" si="51"/>
        <v>4220584.4699999914</v>
      </c>
      <c r="K36" s="38">
        <f t="shared" si="51"/>
        <v>4555031.3999999985</v>
      </c>
      <c r="L36" s="38">
        <f t="shared" si="51"/>
        <v>9361248.8900000155</v>
      </c>
      <c r="M36" s="38">
        <f t="shared" si="51"/>
        <v>8289568.2800000012</v>
      </c>
      <c r="N36" s="38">
        <f t="shared" si="51"/>
        <v>5367586.25</v>
      </c>
      <c r="O36" s="38">
        <f t="shared" si="51"/>
        <v>1297010.2600000054</v>
      </c>
      <c r="P36" s="38">
        <f t="shared" ref="P36:U36" si="52">P34-P35</f>
        <v>519290.73000000045</v>
      </c>
      <c r="Q36" s="38">
        <f t="shared" si="52"/>
        <v>1273866.2500000019</v>
      </c>
      <c r="R36" s="38">
        <f t="shared" si="52"/>
        <v>1815233</v>
      </c>
      <c r="S36" s="38">
        <f t="shared" si="52"/>
        <v>13262398.050000001</v>
      </c>
      <c r="T36" s="38">
        <f t="shared" si="52"/>
        <v>13211387.649999999</v>
      </c>
      <c r="U36" s="38">
        <f t="shared" si="52"/>
        <v>11824739.709999993</v>
      </c>
      <c r="V36" s="38">
        <f t="shared" ref="V36:AB36" si="53">V34-V35</f>
        <v>13618042.259999998</v>
      </c>
      <c r="W36" s="38">
        <f t="shared" si="53"/>
        <v>10372669.00999999</v>
      </c>
      <c r="X36" s="38">
        <f t="shared" si="53"/>
        <v>10373609.609999992</v>
      </c>
      <c r="Y36" s="38">
        <f t="shared" si="53"/>
        <v>10386647.789999999</v>
      </c>
      <c r="Z36" s="38">
        <f t="shared" si="53"/>
        <v>8718768.8899999857</v>
      </c>
      <c r="AA36" s="38">
        <f t="shared" si="53"/>
        <v>11401372.980000019</v>
      </c>
      <c r="AB36" s="38">
        <f t="shared" si="53"/>
        <v>2466467.8999999911</v>
      </c>
      <c r="AC36" s="38">
        <f t="shared" ref="AC36:AN36" si="54">AC34-AC35</f>
        <v>-4159744.2699999996</v>
      </c>
      <c r="AD36" s="38">
        <f t="shared" si="54"/>
        <v>-3405169.7499999981</v>
      </c>
      <c r="AE36" s="38">
        <f t="shared" si="54"/>
        <v>-2863804</v>
      </c>
      <c r="AF36" s="38">
        <f t="shared" si="54"/>
        <v>8583360.0500000007</v>
      </c>
      <c r="AG36" s="38">
        <f t="shared" si="54"/>
        <v>8532348.6499999985</v>
      </c>
      <c r="AH36" s="38">
        <f t="shared" si="54"/>
        <v>7145699.7099999934</v>
      </c>
      <c r="AI36" s="38">
        <f t="shared" si="54"/>
        <v>8939001.2599999979</v>
      </c>
      <c r="AJ36" s="38">
        <f t="shared" si="54"/>
        <v>5693627.0099999905</v>
      </c>
      <c r="AK36" s="38">
        <f t="shared" si="54"/>
        <v>5694566.609999992</v>
      </c>
      <c r="AL36" s="38">
        <f t="shared" si="54"/>
        <v>5707603.7899999991</v>
      </c>
      <c r="AM36" s="38">
        <f t="shared" si="54"/>
        <v>4039723.8899999857</v>
      </c>
      <c r="AN36" s="38">
        <f t="shared" si="54"/>
        <v>6722326.9800000191</v>
      </c>
      <c r="AO36" s="38">
        <f t="shared" ref="AO36:AX36" si="55">AO34-AO35</f>
        <v>1860731</v>
      </c>
      <c r="AP36" s="38">
        <f t="shared" si="55"/>
        <v>-155519.38999999966</v>
      </c>
      <c r="AQ36" s="38">
        <f t="shared" si="55"/>
        <v>-88143.029999999329</v>
      </c>
      <c r="AR36" s="38">
        <f t="shared" si="55"/>
        <v>10221309.759999994</v>
      </c>
      <c r="AS36" s="38">
        <f t="shared" si="55"/>
        <v>1220054.3699999973</v>
      </c>
      <c r="AT36" s="38">
        <f t="shared" si="55"/>
        <v>1269019.0800000057</v>
      </c>
      <c r="AU36" s="38">
        <f t="shared" si="55"/>
        <v>13941650.910000004</v>
      </c>
      <c r="AV36" s="38">
        <f t="shared" si="55"/>
        <v>13655134.190000005</v>
      </c>
      <c r="AW36" s="38">
        <f t="shared" si="55"/>
        <v>13119630.49000001</v>
      </c>
      <c r="AX36" s="38">
        <f t="shared" si="55"/>
        <v>12098949.07</v>
      </c>
    </row>
    <row r="37" spans="1:50" ht="14.25">
      <c r="A37" s="30">
        <v>13</v>
      </c>
      <c r="B37" s="35" t="s">
        <v>90</v>
      </c>
      <c r="C37" s="36">
        <v>0</v>
      </c>
      <c r="D37" s="37">
        <v>0</v>
      </c>
      <c r="E37" s="37">
        <v>0</v>
      </c>
      <c r="F37" s="37">
        <v>0</v>
      </c>
      <c r="G37" s="37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/>
      <c r="P37" s="145">
        <v>0</v>
      </c>
      <c r="Q37" s="145">
        <v>0</v>
      </c>
      <c r="R37" s="145">
        <v>0</v>
      </c>
      <c r="S37" s="145">
        <v>0</v>
      </c>
      <c r="T37" s="145">
        <v>0</v>
      </c>
      <c r="U37" s="145">
        <v>0</v>
      </c>
      <c r="V37" s="145">
        <v>0</v>
      </c>
      <c r="W37" s="145">
        <v>0</v>
      </c>
      <c r="AP37" s="150">
        <v>0</v>
      </c>
      <c r="AQ37" s="152">
        <v>0</v>
      </c>
      <c r="AR37" s="152">
        <v>0</v>
      </c>
      <c r="AS37" s="150">
        <v>0</v>
      </c>
      <c r="AT37" s="212">
        <v>0</v>
      </c>
      <c r="AU37" s="150">
        <v>0</v>
      </c>
      <c r="AV37" s="150">
        <v>0</v>
      </c>
      <c r="AW37" s="247">
        <v>0</v>
      </c>
      <c r="AX37" s="249">
        <v>0</v>
      </c>
    </row>
    <row r="38" spans="1:50" ht="15">
      <c r="A38" s="30">
        <v>14</v>
      </c>
      <c r="B38" s="25" t="s">
        <v>91</v>
      </c>
      <c r="C38" s="38">
        <f t="shared" ref="C38:O38" si="56">C36-C37</f>
        <v>0</v>
      </c>
      <c r="D38" s="38">
        <f t="shared" si="56"/>
        <v>1548394.8899999997</v>
      </c>
      <c r="E38" s="38">
        <f t="shared" si="56"/>
        <v>1255861.2899999991</v>
      </c>
      <c r="F38" s="38">
        <f t="shared" si="56"/>
        <v>918418.19000000134</v>
      </c>
      <c r="G38" s="38">
        <f t="shared" si="56"/>
        <v>9050278.5399999954</v>
      </c>
      <c r="H38" s="38">
        <f t="shared" si="56"/>
        <v>7963285.2300000004</v>
      </c>
      <c r="I38" s="38">
        <f t="shared" si="56"/>
        <v>7058800.1400000006</v>
      </c>
      <c r="J38" s="38">
        <f t="shared" si="56"/>
        <v>4220584.4699999914</v>
      </c>
      <c r="K38" s="38">
        <f t="shared" si="56"/>
        <v>4555031.3999999985</v>
      </c>
      <c r="L38" s="38">
        <f t="shared" si="56"/>
        <v>9361248.8900000155</v>
      </c>
      <c r="M38" s="38">
        <f t="shared" si="56"/>
        <v>8289568.2800000012</v>
      </c>
      <c r="N38" s="38">
        <f t="shared" si="56"/>
        <v>5367586.25</v>
      </c>
      <c r="O38" s="38">
        <f t="shared" si="56"/>
        <v>1297010.2600000054</v>
      </c>
      <c r="P38" s="38">
        <f t="shared" ref="P38:U38" si="57">P36-P37</f>
        <v>519290.73000000045</v>
      </c>
      <c r="Q38" s="38">
        <f t="shared" si="57"/>
        <v>1273866.2500000019</v>
      </c>
      <c r="R38" s="38">
        <f t="shared" si="57"/>
        <v>1815233</v>
      </c>
      <c r="S38" s="38">
        <f t="shared" si="57"/>
        <v>13262398.050000001</v>
      </c>
      <c r="T38" s="38">
        <f t="shared" si="57"/>
        <v>13211387.649999999</v>
      </c>
      <c r="U38" s="38">
        <f t="shared" si="57"/>
        <v>11824739.709999993</v>
      </c>
      <c r="V38" s="38">
        <f t="shared" ref="V38:AB38" si="58">V36-V37</f>
        <v>13618042.259999998</v>
      </c>
      <c r="W38" s="38">
        <f t="shared" si="58"/>
        <v>10372669.00999999</v>
      </c>
      <c r="X38" s="38">
        <f t="shared" si="58"/>
        <v>10373609.609999992</v>
      </c>
      <c r="Y38" s="38">
        <f t="shared" si="58"/>
        <v>10386647.789999999</v>
      </c>
      <c r="Z38" s="38">
        <f t="shared" si="58"/>
        <v>8718768.8899999857</v>
      </c>
      <c r="AA38" s="38">
        <f t="shared" si="58"/>
        <v>11401372.980000019</v>
      </c>
      <c r="AB38" s="38">
        <f t="shared" si="58"/>
        <v>2466467.8999999911</v>
      </c>
      <c r="AC38" s="38">
        <f t="shared" ref="AC38:AN38" si="59">AC36-AC37</f>
        <v>-4159744.2699999996</v>
      </c>
      <c r="AD38" s="38">
        <f t="shared" si="59"/>
        <v>-3405169.7499999981</v>
      </c>
      <c r="AE38" s="38">
        <f t="shared" si="59"/>
        <v>-2863804</v>
      </c>
      <c r="AF38" s="38">
        <f t="shared" si="59"/>
        <v>8583360.0500000007</v>
      </c>
      <c r="AG38" s="38">
        <f t="shared" si="59"/>
        <v>8532348.6499999985</v>
      </c>
      <c r="AH38" s="38">
        <f t="shared" si="59"/>
        <v>7145699.7099999934</v>
      </c>
      <c r="AI38" s="38">
        <f t="shared" si="59"/>
        <v>8939001.2599999979</v>
      </c>
      <c r="AJ38" s="38">
        <f t="shared" si="59"/>
        <v>5693627.0099999905</v>
      </c>
      <c r="AK38" s="38">
        <f t="shared" si="59"/>
        <v>5694566.609999992</v>
      </c>
      <c r="AL38" s="38">
        <f t="shared" si="59"/>
        <v>5707603.7899999991</v>
      </c>
      <c r="AM38" s="38">
        <f t="shared" si="59"/>
        <v>4039723.8899999857</v>
      </c>
      <c r="AN38" s="38">
        <f t="shared" si="59"/>
        <v>6722326.9800000191</v>
      </c>
      <c r="AO38" s="38">
        <f t="shared" ref="AO38:AX38" si="60">AO36-AO37</f>
        <v>1860731</v>
      </c>
      <c r="AP38" s="38">
        <f t="shared" si="60"/>
        <v>-155519.38999999966</v>
      </c>
      <c r="AQ38" s="38">
        <f t="shared" si="60"/>
        <v>-88143.029999999329</v>
      </c>
      <c r="AR38" s="38">
        <f t="shared" si="60"/>
        <v>10221309.759999994</v>
      </c>
      <c r="AS38" s="38">
        <f t="shared" si="60"/>
        <v>1220054.3699999973</v>
      </c>
      <c r="AT38" s="38">
        <f t="shared" si="60"/>
        <v>1269019.0800000057</v>
      </c>
      <c r="AU38" s="38">
        <f t="shared" si="60"/>
        <v>13941650.910000004</v>
      </c>
      <c r="AV38" s="38">
        <f t="shared" si="60"/>
        <v>13655134.190000005</v>
      </c>
      <c r="AW38" s="38">
        <f t="shared" si="60"/>
        <v>13119630.49000001</v>
      </c>
      <c r="AX38" s="38">
        <f t="shared" si="60"/>
        <v>12098949.07</v>
      </c>
    </row>
    <row r="41" spans="1:50">
      <c r="AO41">
        <f>27012101-26825886</f>
        <v>186215</v>
      </c>
    </row>
    <row r="42" spans="1:50">
      <c r="AO42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4"/>
  <sheetViews>
    <sheetView workbookViewId="0">
      <selection activeCell="J32" sqref="J32"/>
    </sheetView>
  </sheetViews>
  <sheetFormatPr defaultRowHeight="14.45"/>
  <cols>
    <col min="1" max="1" width="64.5703125" customWidth="1"/>
    <col min="2" max="2" width="18.85546875" bestFit="1" customWidth="1"/>
    <col min="3" max="3" width="16.7109375" bestFit="1" customWidth="1"/>
    <col min="4" max="4" width="21.85546875" bestFit="1" customWidth="1"/>
    <col min="5" max="6" width="16.7109375" bestFit="1" customWidth="1"/>
  </cols>
  <sheetData>
    <row r="1" spans="1:6">
      <c r="A1" s="219" t="s">
        <v>92</v>
      </c>
      <c r="B1" s="220"/>
      <c r="C1" s="220"/>
      <c r="D1" s="220"/>
      <c r="E1" s="220"/>
      <c r="F1" s="221"/>
    </row>
    <row r="2" spans="1:6">
      <c r="A2" s="222" t="s">
        <v>93</v>
      </c>
      <c r="B2" s="223"/>
      <c r="C2" s="223"/>
      <c r="D2" s="223"/>
      <c r="E2" s="223"/>
      <c r="F2" s="224"/>
    </row>
    <row r="3" spans="1:6">
      <c r="A3" s="115"/>
      <c r="B3" s="217" t="s">
        <v>94</v>
      </c>
      <c r="C3" s="124" t="s">
        <v>95</v>
      </c>
      <c r="D3" s="227" t="s">
        <v>96</v>
      </c>
      <c r="E3" s="228"/>
      <c r="F3" s="229" t="s">
        <v>97</v>
      </c>
    </row>
    <row r="4" spans="1:6" ht="28.9">
      <c r="A4" s="116"/>
      <c r="B4" s="218"/>
      <c r="C4" s="87">
        <v>2019</v>
      </c>
      <c r="D4" s="88" t="s">
        <v>98</v>
      </c>
      <c r="E4" s="89" t="s">
        <v>99</v>
      </c>
      <c r="F4" s="230"/>
    </row>
    <row r="5" spans="1:6">
      <c r="A5" s="231" t="s">
        <v>100</v>
      </c>
      <c r="B5" s="232"/>
      <c r="C5" s="232"/>
      <c r="D5" s="232"/>
      <c r="E5" s="232"/>
      <c r="F5" s="233"/>
    </row>
    <row r="6" spans="1:6">
      <c r="A6" s="105" t="s">
        <v>101</v>
      </c>
      <c r="B6" s="106" t="s">
        <v>102</v>
      </c>
      <c r="C6" s="104">
        <v>105761017</v>
      </c>
      <c r="D6" s="104">
        <v>130907778.785</v>
      </c>
      <c r="E6" s="104">
        <v>131804080.295</v>
      </c>
      <c r="F6" s="104">
        <v>151314319</v>
      </c>
    </row>
    <row r="7" spans="1:6">
      <c r="A7" s="105" t="s">
        <v>103</v>
      </c>
      <c r="B7" s="107" t="s">
        <v>104</v>
      </c>
      <c r="C7" s="121">
        <v>0.25651420556853727</v>
      </c>
      <c r="D7" s="121">
        <v>0.3311835575893079</v>
      </c>
      <c r="E7" s="121">
        <v>0.33539735209320065</v>
      </c>
      <c r="F7" s="121">
        <v>0.38281096379380047</v>
      </c>
    </row>
    <row r="8" spans="1:6">
      <c r="A8" s="105" t="s">
        <v>105</v>
      </c>
      <c r="B8" s="107" t="s">
        <v>106</v>
      </c>
      <c r="C8" s="123">
        <v>7.5663262294189432E-2</v>
      </c>
      <c r="D8" s="123">
        <v>7.892281603153159E-2</v>
      </c>
      <c r="E8" s="123">
        <v>7.9383461858048468E-2</v>
      </c>
      <c r="F8" s="121">
        <v>8.2144728803263206E-2</v>
      </c>
    </row>
    <row r="9" spans="1:6">
      <c r="A9" s="231" t="s">
        <v>107</v>
      </c>
      <c r="B9" s="232"/>
      <c r="C9" s="232"/>
      <c r="D9" s="232"/>
      <c r="E9" s="232"/>
      <c r="F9" s="233"/>
    </row>
    <row r="10" spans="1:6">
      <c r="A10" s="105" t="s">
        <v>108</v>
      </c>
      <c r="B10" s="106" t="s">
        <v>109</v>
      </c>
      <c r="C10" s="123">
        <v>0</v>
      </c>
      <c r="D10" s="123">
        <v>0.35335718145587069</v>
      </c>
      <c r="E10" s="123">
        <v>0.17684351531900533</v>
      </c>
      <c r="F10" s="123">
        <v>0.17709617409355341</v>
      </c>
    </row>
    <row r="11" spans="1:6">
      <c r="A11" s="105" t="s">
        <v>110</v>
      </c>
      <c r="B11" s="106" t="s">
        <v>111</v>
      </c>
      <c r="C11" s="121">
        <v>0.39367662294890632</v>
      </c>
      <c r="D11" s="121">
        <v>0.40733915200130599</v>
      </c>
      <c r="E11" s="121">
        <v>0.38470900347575127</v>
      </c>
      <c r="F11" s="121">
        <v>0.38827796106719964</v>
      </c>
    </row>
    <row r="12" spans="1:6">
      <c r="A12" s="105" t="s">
        <v>112</v>
      </c>
      <c r="B12" s="106" t="s">
        <v>109</v>
      </c>
      <c r="C12" s="108">
        <v>0.10766462415295863</v>
      </c>
      <c r="D12" s="108">
        <v>0.11804502355847001</v>
      </c>
      <c r="E12" s="108">
        <v>0.11696391913467429</v>
      </c>
      <c r="F12" s="108">
        <v>0.11696391657177527</v>
      </c>
    </row>
    <row r="13" spans="1:6">
      <c r="A13" s="109" t="s">
        <v>113</v>
      </c>
      <c r="B13" s="106" t="s">
        <v>114</v>
      </c>
      <c r="C13" s="122">
        <v>0.19758719793702437</v>
      </c>
      <c r="D13" s="122">
        <v>0.15963163300112823</v>
      </c>
      <c r="E13" s="122">
        <v>0.1585460970041967</v>
      </c>
      <c r="F13" s="122">
        <v>0.13810340051161979</v>
      </c>
    </row>
    <row r="14" spans="1:6">
      <c r="A14" s="231" t="s">
        <v>115</v>
      </c>
      <c r="B14" s="232"/>
      <c r="C14" s="232"/>
      <c r="D14" s="232"/>
      <c r="E14" s="232"/>
      <c r="F14" s="233"/>
    </row>
    <row r="15" spans="1:6">
      <c r="A15" s="105" t="s">
        <v>116</v>
      </c>
      <c r="B15" s="106"/>
      <c r="C15" s="123">
        <v>0.21113871483914851</v>
      </c>
      <c r="D15" s="123">
        <v>9.5884023521107642E-2</v>
      </c>
      <c r="E15" s="123">
        <v>0.15807556163137784</v>
      </c>
      <c r="F15" s="123">
        <v>0.71974145331489214</v>
      </c>
    </row>
    <row r="16" spans="1:6">
      <c r="A16" s="105" t="s">
        <v>117</v>
      </c>
      <c r="B16" s="106"/>
      <c r="C16" s="123">
        <v>0.94538921146195243</v>
      </c>
      <c r="D16" s="123">
        <v>0.93145746782367878</v>
      </c>
      <c r="E16" s="123">
        <v>0.91913046311183344</v>
      </c>
      <c r="F16" s="123">
        <v>0.94963974933861806</v>
      </c>
    </row>
    <row r="17" spans="1:8">
      <c r="A17" s="105" t="s">
        <v>118</v>
      </c>
      <c r="B17" s="106"/>
      <c r="C17" s="122">
        <v>1.1817920907791087E-3</v>
      </c>
      <c r="D17" s="122">
        <v>1.10323461832497E-2</v>
      </c>
      <c r="E17" s="122">
        <v>1.3320391190628399E-2</v>
      </c>
      <c r="F17" s="122">
        <v>3.2121204218350614E-3</v>
      </c>
    </row>
    <row r="18" spans="1:8">
      <c r="A18" s="109" t="s">
        <v>119</v>
      </c>
      <c r="B18" s="110"/>
      <c r="C18" s="122">
        <v>0.76738298314190045</v>
      </c>
      <c r="D18" s="122">
        <v>0.82018258551363044</v>
      </c>
      <c r="E18" s="122">
        <v>0.7228640413885693</v>
      </c>
      <c r="F18" s="122">
        <v>0.73421839817940371</v>
      </c>
    </row>
    <row r="19" spans="1:8">
      <c r="A19" s="231" t="s">
        <v>120</v>
      </c>
      <c r="B19" s="232"/>
      <c r="C19" s="232"/>
      <c r="D19" s="232"/>
      <c r="E19" s="232"/>
      <c r="F19" s="233"/>
    </row>
    <row r="20" spans="1:8">
      <c r="A20" s="105" t="s">
        <v>121</v>
      </c>
      <c r="B20" s="111" t="s">
        <v>122</v>
      </c>
      <c r="C20" s="121">
        <v>0.82348453180143166</v>
      </c>
      <c r="D20" s="121">
        <v>0.99869763245836374</v>
      </c>
      <c r="E20" s="121">
        <v>1.3905577499913888</v>
      </c>
      <c r="F20" s="121">
        <v>1.3905577547756549</v>
      </c>
      <c r="H20" s="91"/>
    </row>
    <row r="21" spans="1:8">
      <c r="A21" s="105" t="s">
        <v>123</v>
      </c>
      <c r="B21" s="106" t="s">
        <v>124</v>
      </c>
      <c r="C21" s="121">
        <v>0.15037564119915101</v>
      </c>
      <c r="D21" s="121">
        <v>0.14243550667012403</v>
      </c>
      <c r="E21" s="121">
        <v>0.1171405914314979</v>
      </c>
      <c r="F21" s="121">
        <v>0.11646112413770819</v>
      </c>
      <c r="H21" s="92"/>
    </row>
    <row r="22" spans="1:8">
      <c r="A22" s="105" t="s">
        <v>125</v>
      </c>
      <c r="B22" s="106"/>
      <c r="C22" s="121">
        <v>0.17216880674580229</v>
      </c>
      <c r="D22" s="121">
        <v>0.17398863070781087</v>
      </c>
      <c r="E22" s="121">
        <v>0.25781697324238784</v>
      </c>
      <c r="F22" s="121">
        <v>0.25632152100442601</v>
      </c>
    </row>
    <row r="23" spans="1:8">
      <c r="A23" s="231" t="s">
        <v>126</v>
      </c>
      <c r="B23" s="232"/>
      <c r="C23" s="232"/>
      <c r="D23" s="232"/>
      <c r="E23" s="232"/>
      <c r="F23" s="233"/>
    </row>
    <row r="24" spans="1:8">
      <c r="A24" s="112" t="s">
        <v>127</v>
      </c>
      <c r="B24" s="110" t="s">
        <v>128</v>
      </c>
      <c r="C24" s="122">
        <v>0.44059964152168213</v>
      </c>
      <c r="D24" s="122">
        <v>0.42539494177048331</v>
      </c>
      <c r="E24" s="122">
        <v>0.37304616721081446</v>
      </c>
      <c r="F24" s="122">
        <v>0.37035320196153509</v>
      </c>
    </row>
    <row r="25" spans="1:8">
      <c r="A25" s="112" t="s">
        <v>129</v>
      </c>
      <c r="B25" s="113" t="s">
        <v>130</v>
      </c>
      <c r="C25" s="122">
        <v>0.93593770758500583</v>
      </c>
      <c r="D25" s="122">
        <v>0.94984399466499625</v>
      </c>
      <c r="E25" s="122">
        <v>0.82053915391450061</v>
      </c>
      <c r="F25" s="122">
        <v>0.81936850454807642</v>
      </c>
    </row>
    <row r="26" spans="1:8">
      <c r="A26" s="112" t="s">
        <v>131</v>
      </c>
      <c r="B26" s="113"/>
      <c r="C26" s="122">
        <v>0.10766462415295863</v>
      </c>
      <c r="D26" s="122">
        <v>0.29809867737994145</v>
      </c>
      <c r="E26" s="122">
        <v>0.11696391633609569</v>
      </c>
      <c r="F26" s="122">
        <v>0.11696391657177527</v>
      </c>
    </row>
    <row r="27" spans="1:8">
      <c r="A27" s="112" t="s">
        <v>132</v>
      </c>
      <c r="B27" s="114"/>
      <c r="C27" s="122">
        <v>3.8593323402518878E-2</v>
      </c>
      <c r="D27" s="122">
        <v>1.6222683656831289E-2</v>
      </c>
      <c r="E27" s="122">
        <v>1.442527535455638E-2</v>
      </c>
      <c r="F27" s="122">
        <v>0</v>
      </c>
    </row>
    <row r="28" spans="1:8">
      <c r="A28" s="231" t="s">
        <v>133</v>
      </c>
      <c r="B28" s="232"/>
      <c r="C28" s="232">
        <v>2015</v>
      </c>
      <c r="D28" s="232">
        <v>2016</v>
      </c>
      <c r="E28" s="232">
        <v>2017</v>
      </c>
      <c r="F28" s="233"/>
    </row>
    <row r="29" spans="1:8">
      <c r="A29" s="128" t="s">
        <v>30</v>
      </c>
      <c r="B29" s="117"/>
      <c r="C29" s="125">
        <v>412300818.83999997</v>
      </c>
      <c r="D29" s="125">
        <v>395272578.56</v>
      </c>
      <c r="E29" s="125">
        <v>392978893.45999998</v>
      </c>
      <c r="F29" s="125">
        <v>395271644</v>
      </c>
    </row>
    <row r="30" spans="1:8">
      <c r="A30" s="128" t="s">
        <v>134</v>
      </c>
      <c r="B30" s="117"/>
      <c r="C30" s="125">
        <v>398952576.92000002</v>
      </c>
      <c r="D30" s="125">
        <v>412879665.33499998</v>
      </c>
      <c r="E30" s="125">
        <v>402960106.29000002</v>
      </c>
      <c r="F30" s="125">
        <v>403786231.41999996</v>
      </c>
    </row>
    <row r="31" spans="1:8">
      <c r="A31" s="128" t="s">
        <v>135</v>
      </c>
      <c r="B31" s="117"/>
      <c r="C31" s="126">
        <v>194093679</v>
      </c>
      <c r="D31" s="126">
        <v>177025865.81</v>
      </c>
      <c r="E31" s="126">
        <v>178662126.36000001</v>
      </c>
      <c r="F31" s="126">
        <v>178662126</v>
      </c>
    </row>
    <row r="32" spans="1:8">
      <c r="A32" s="128" t="s">
        <v>136</v>
      </c>
      <c r="B32" s="117"/>
      <c r="C32" s="127">
        <v>181659592.97999999</v>
      </c>
      <c r="D32" s="127">
        <v>168146955.53999999</v>
      </c>
      <c r="E32" s="127">
        <v>146599270</v>
      </c>
      <c r="F32" s="127">
        <v>146390119</v>
      </c>
    </row>
    <row r="33" spans="1:6">
      <c r="A33" s="128" t="s">
        <v>137</v>
      </c>
      <c r="B33" s="117"/>
      <c r="C33" s="125">
        <v>105761017</v>
      </c>
      <c r="D33" s="125">
        <v>130907778.785</v>
      </c>
      <c r="E33" s="125">
        <v>131804080.295</v>
      </c>
      <c r="F33" s="125">
        <v>151314319</v>
      </c>
    </row>
    <row r="34" spans="1:6">
      <c r="A34" s="128" t="s">
        <v>138</v>
      </c>
      <c r="B34" s="117"/>
      <c r="C34" s="125">
        <v>31196025</v>
      </c>
      <c r="D34" s="125">
        <v>31196025</v>
      </c>
      <c r="E34" s="125">
        <v>31196025</v>
      </c>
      <c r="F34" s="125">
        <v>32469482</v>
      </c>
    </row>
    <row r="35" spans="1:6">
      <c r="A35" s="128" t="s">
        <v>139</v>
      </c>
      <c r="B35" s="117"/>
      <c r="C35" s="126">
        <v>0</v>
      </c>
      <c r="D35" s="126">
        <v>59415934.280000001</v>
      </c>
      <c r="E35" s="126">
        <v>25925130.25</v>
      </c>
      <c r="F35" s="126">
        <v>25925130</v>
      </c>
    </row>
    <row r="36" spans="1:6">
      <c r="A36" s="128" t="s">
        <v>110</v>
      </c>
      <c r="B36" s="117"/>
      <c r="C36" s="127">
        <v>162313194</v>
      </c>
      <c r="D36" s="127">
        <v>161009996.96000001</v>
      </c>
      <c r="E36" s="127">
        <v>151182518.49000001</v>
      </c>
      <c r="F36" s="127">
        <v>153475268</v>
      </c>
    </row>
    <row r="37" spans="1:6">
      <c r="A37" s="128" t="s">
        <v>140</v>
      </c>
      <c r="B37" s="117"/>
      <c r="C37" s="125">
        <v>70993240</v>
      </c>
      <c r="D37" s="125">
        <v>66863240.100000001</v>
      </c>
      <c r="E37" s="125">
        <v>65630883.859999999</v>
      </c>
      <c r="F37" s="125">
        <v>65630483</v>
      </c>
    </row>
    <row r="38" spans="1:6">
      <c r="A38" s="128" t="s">
        <v>141</v>
      </c>
      <c r="B38" s="117"/>
      <c r="C38" s="125">
        <v>20897023</v>
      </c>
      <c r="D38" s="125">
        <v>20897022.5</v>
      </c>
      <c r="E38" s="125">
        <v>20897022.5</v>
      </c>
      <c r="F38" s="125">
        <v>20897022</v>
      </c>
    </row>
    <row r="39" spans="1:6">
      <c r="A39" s="128" t="s">
        <v>10</v>
      </c>
      <c r="B39" s="117"/>
      <c r="C39" s="125">
        <v>20897023</v>
      </c>
      <c r="D39" s="125">
        <v>52771176.460000001</v>
      </c>
      <c r="E39" s="125">
        <v>20897022</v>
      </c>
      <c r="F39" s="125">
        <v>20897022</v>
      </c>
    </row>
    <row r="40" spans="1:6">
      <c r="A40" s="128" t="s">
        <v>142</v>
      </c>
      <c r="B40" s="117"/>
      <c r="C40" s="125">
        <v>70985340</v>
      </c>
      <c r="D40" s="125">
        <v>68772934.700000003</v>
      </c>
      <c r="E40" s="125">
        <v>101316628.86</v>
      </c>
      <c r="F40" s="125">
        <v>101316629</v>
      </c>
    </row>
    <row r="41" spans="1:6">
      <c r="A41" s="128" t="s">
        <v>143</v>
      </c>
      <c r="B41" s="117"/>
      <c r="C41" s="125">
        <v>86201182</v>
      </c>
      <c r="D41" s="125">
        <v>68862619.140000001</v>
      </c>
      <c r="E41" s="125">
        <v>72860425.150000006</v>
      </c>
      <c r="F41" s="125">
        <v>72860425</v>
      </c>
    </row>
    <row r="42" spans="1:6">
      <c r="A42" s="128" t="s">
        <v>144</v>
      </c>
      <c r="B42" s="117"/>
      <c r="C42" s="125">
        <v>62000000</v>
      </c>
      <c r="D42" s="125">
        <v>56300850</v>
      </c>
      <c r="E42" s="125">
        <v>46033780</v>
      </c>
      <c r="F42" s="125">
        <v>46033780</v>
      </c>
    </row>
    <row r="43" spans="1:6">
      <c r="A43" s="128" t="s">
        <v>145</v>
      </c>
      <c r="B43" s="117"/>
      <c r="C43" s="125">
        <v>179303965.99000001</v>
      </c>
      <c r="D43" s="125">
        <v>190910777.84999999</v>
      </c>
      <c r="E43" s="125">
        <v>164129431.49000001</v>
      </c>
      <c r="F43" s="125">
        <v>164024855.99000001</v>
      </c>
    </row>
    <row r="44" spans="1:6">
      <c r="A44" s="128" t="s">
        <v>146</v>
      </c>
      <c r="B44" s="117"/>
      <c r="C44" s="125">
        <v>118207156</v>
      </c>
      <c r="D44" s="125">
        <v>66455546</v>
      </c>
      <c r="E44" s="125">
        <v>109185756.34</v>
      </c>
      <c r="F44" s="125">
        <v>109323741</v>
      </c>
    </row>
    <row r="45" spans="1:6">
      <c r="A45" s="128" t="s">
        <v>147</v>
      </c>
      <c r="B45" s="117"/>
      <c r="C45" s="125">
        <v>100585269</v>
      </c>
      <c r="D45" s="125">
        <v>59060712.939999998</v>
      </c>
      <c r="E45" s="125">
        <v>87756258.640000001</v>
      </c>
      <c r="F45" s="125">
        <v>85274585</v>
      </c>
    </row>
    <row r="46" spans="1:6">
      <c r="A46" s="128" t="s">
        <v>148</v>
      </c>
      <c r="B46" s="117"/>
      <c r="C46" s="125">
        <v>4562007</v>
      </c>
      <c r="D46" s="125">
        <v>1078087.3</v>
      </c>
      <c r="E46" s="125">
        <v>1575034.6</v>
      </c>
      <c r="F46" s="125">
        <v>0</v>
      </c>
    </row>
    <row r="47" spans="1:6">
      <c r="A47" s="128" t="s">
        <v>77</v>
      </c>
      <c r="B47" s="117"/>
      <c r="C47" s="125">
        <v>90710160</v>
      </c>
      <c r="D47" s="125">
        <v>54505681.539999999</v>
      </c>
      <c r="E47" s="125">
        <v>78926457.090000004</v>
      </c>
      <c r="F47" s="125">
        <v>80267502</v>
      </c>
    </row>
    <row r="48" spans="1:6">
      <c r="A48" s="128" t="s">
        <v>149</v>
      </c>
      <c r="B48" s="117"/>
      <c r="C48" s="125">
        <v>38355373</v>
      </c>
      <c r="D48" s="125">
        <v>16122606.640000001</v>
      </c>
      <c r="E48" s="125">
        <v>23173761.940000001</v>
      </c>
      <c r="F48" s="125">
        <v>105363037</v>
      </c>
    </row>
    <row r="49" spans="1:6">
      <c r="A49" s="128" t="s">
        <v>150</v>
      </c>
      <c r="B49" s="117"/>
      <c r="C49" s="125">
        <v>111751770</v>
      </c>
      <c r="D49" s="125">
        <v>61900514.600000001</v>
      </c>
      <c r="E49" s="125">
        <v>100355954.79000001</v>
      </c>
      <c r="F49" s="125">
        <v>103818170</v>
      </c>
    </row>
    <row r="50" spans="1:6">
      <c r="A50" s="128" t="s">
        <v>151</v>
      </c>
      <c r="B50" s="117"/>
      <c r="C50" s="125">
        <v>471479</v>
      </c>
      <c r="D50" s="125">
        <v>4555031.4000000004</v>
      </c>
      <c r="E50" s="125">
        <v>5367586.25</v>
      </c>
      <c r="F50" s="125">
        <v>1297010</v>
      </c>
    </row>
    <row r="51" spans="1:6">
      <c r="A51" s="234" t="s">
        <v>152</v>
      </c>
      <c r="B51" s="235"/>
      <c r="C51" s="235"/>
      <c r="D51" s="235"/>
      <c r="E51" s="235"/>
      <c r="F51" s="235"/>
    </row>
    <row r="52" spans="1:6">
      <c r="A52" s="94">
        <v>1</v>
      </c>
      <c r="B52" s="90"/>
      <c r="C52" s="95"/>
      <c r="D52" s="95"/>
      <c r="E52" s="95"/>
      <c r="F52" s="96"/>
    </row>
    <row r="53" spans="1:6">
      <c r="A53" s="94">
        <v>2</v>
      </c>
      <c r="B53" s="90"/>
      <c r="C53" s="95"/>
      <c r="D53" s="95"/>
      <c r="E53" s="95"/>
      <c r="F53" s="96"/>
    </row>
    <row r="54" spans="1:6">
      <c r="A54" s="94">
        <v>3</v>
      </c>
      <c r="B54" s="90"/>
      <c r="C54" s="95"/>
      <c r="D54" s="95"/>
      <c r="E54" s="95"/>
      <c r="F54" s="96"/>
    </row>
    <row r="55" spans="1:6">
      <c r="A55" s="93">
        <v>4</v>
      </c>
      <c r="B55" s="95"/>
      <c r="C55" s="95"/>
      <c r="D55" s="95"/>
      <c r="E55" s="96"/>
      <c r="F55" s="96"/>
    </row>
    <row r="56" spans="1:6">
      <c r="A56" s="118" t="s">
        <v>153</v>
      </c>
      <c r="B56" s="90"/>
      <c r="C56" s="225"/>
      <c r="D56" s="226"/>
      <c r="E56" s="226"/>
      <c r="F56" s="226"/>
    </row>
    <row r="57" spans="1:6">
      <c r="A57" s="118"/>
      <c r="B57" s="90"/>
      <c r="C57" s="97"/>
      <c r="D57" s="97"/>
      <c r="E57" s="98"/>
      <c r="F57" s="98"/>
    </row>
    <row r="58" spans="1:6">
      <c r="A58" s="119" t="s">
        <v>154</v>
      </c>
      <c r="B58" s="99"/>
      <c r="C58" s="225"/>
      <c r="D58" s="226"/>
      <c r="E58" s="226"/>
      <c r="F58" s="226"/>
    </row>
    <row r="59" spans="1:6">
      <c r="A59" s="116"/>
      <c r="B59" s="90"/>
      <c r="C59" s="95"/>
      <c r="D59" s="95"/>
      <c r="E59" s="95"/>
      <c r="F59" s="96"/>
    </row>
    <row r="60" spans="1:6">
      <c r="A60" s="118" t="s">
        <v>155</v>
      </c>
      <c r="B60" s="90"/>
      <c r="C60" s="225"/>
      <c r="D60" s="226"/>
      <c r="E60" s="226"/>
      <c r="F60" s="226"/>
    </row>
    <row r="61" spans="1:6" ht="15" thickBot="1">
      <c r="A61" s="120"/>
      <c r="B61" s="100"/>
      <c r="C61" s="101"/>
      <c r="D61" s="101"/>
      <c r="E61" s="101"/>
      <c r="F61" s="102"/>
    </row>
    <row r="62" spans="1:6">
      <c r="A62" s="129" t="s">
        <v>156</v>
      </c>
    </row>
    <row r="63" spans="1:6">
      <c r="A63" s="103"/>
    </row>
    <row r="64" spans="1:6">
      <c r="A64" s="103"/>
    </row>
  </sheetData>
  <mergeCells count="15">
    <mergeCell ref="C58:F58"/>
    <mergeCell ref="C60:F60"/>
    <mergeCell ref="A9:F9"/>
    <mergeCell ref="A5:F5"/>
    <mergeCell ref="A28:F28"/>
    <mergeCell ref="A19:F19"/>
    <mergeCell ref="A23:F23"/>
    <mergeCell ref="A51:F51"/>
    <mergeCell ref="A14:F14"/>
    <mergeCell ref="B3:B4"/>
    <mergeCell ref="A1:F1"/>
    <mergeCell ref="A2:F2"/>
    <mergeCell ref="C56:F56"/>
    <mergeCell ref="D3:E3"/>
    <mergeCell ref="F3:F4"/>
  </mergeCells>
  <pageMargins left="0.7" right="0.7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49"/>
  <sheetViews>
    <sheetView topLeftCell="AP1" workbookViewId="0">
      <selection activeCell="AV1" sqref="AV1:AW1048576"/>
    </sheetView>
  </sheetViews>
  <sheetFormatPr defaultColWidth="9.140625" defaultRowHeight="13.15"/>
  <cols>
    <col min="1" max="1" width="29.85546875" style="42" bestFit="1" customWidth="1"/>
    <col min="2" max="6" width="18.140625" style="42" hidden="1" customWidth="1"/>
    <col min="7" max="13" width="16.42578125" style="42" hidden="1" customWidth="1"/>
    <col min="14" max="14" width="16.28515625" style="42" bestFit="1" customWidth="1"/>
    <col min="15" max="26" width="16.28515625" style="42" hidden="1" customWidth="1"/>
    <col min="27" max="27" width="16.28515625" style="42" bestFit="1" customWidth="1"/>
    <col min="28" max="29" width="15.42578125" style="42" hidden="1" customWidth="1"/>
    <col min="30" max="30" width="15.42578125" style="42" bestFit="1" customWidth="1"/>
    <col min="31" max="32" width="15.42578125" style="42" hidden="1" customWidth="1"/>
    <col min="33" max="33" width="15.42578125" style="42" customWidth="1"/>
    <col min="34" max="34" width="19.7109375" style="42" hidden="1" customWidth="1"/>
    <col min="35" max="35" width="16.42578125" style="42" hidden="1" customWidth="1"/>
    <col min="36" max="36" width="16.42578125" style="42" customWidth="1"/>
    <col min="37" max="37" width="20.7109375" style="42" hidden="1" customWidth="1"/>
    <col min="38" max="38" width="19.140625" style="42" hidden="1" customWidth="1"/>
    <col min="39" max="39" width="21" style="42" customWidth="1"/>
    <col min="40" max="43" width="15.42578125" style="42" bestFit="1" customWidth="1"/>
    <col min="44" max="44" width="17.28515625" style="42" customWidth="1"/>
    <col min="45" max="46" width="15.42578125" style="42" bestFit="1" customWidth="1"/>
    <col min="47" max="47" width="16.42578125" style="42" customWidth="1"/>
    <col min="48" max="49" width="15.140625" style="42" customWidth="1"/>
    <col min="50" max="16384" width="9.140625" style="42"/>
  </cols>
  <sheetData>
    <row r="1" spans="1:50">
      <c r="A1" s="41" t="s">
        <v>157</v>
      </c>
    </row>
    <row r="2" spans="1:50" ht="13.9" thickBot="1">
      <c r="A2" s="43"/>
    </row>
    <row r="3" spans="1:50" ht="12.75">
      <c r="A3" s="44" t="s">
        <v>158</v>
      </c>
      <c r="B3" s="45"/>
      <c r="C3" s="46">
        <v>44216</v>
      </c>
      <c r="D3" s="46">
        <v>44247</v>
      </c>
      <c r="E3" s="46">
        <v>44275</v>
      </c>
      <c r="F3" s="46">
        <v>44306</v>
      </c>
      <c r="G3" s="46">
        <v>44336</v>
      </c>
      <c r="H3" s="46">
        <v>44397</v>
      </c>
      <c r="I3" s="46">
        <v>44428</v>
      </c>
      <c r="J3" s="46">
        <v>44459</v>
      </c>
      <c r="K3" s="46">
        <v>44489</v>
      </c>
      <c r="L3" s="46">
        <v>44520</v>
      </c>
      <c r="M3" s="46">
        <v>44550</v>
      </c>
      <c r="N3" s="42" t="s">
        <v>159</v>
      </c>
      <c r="O3" s="6">
        <v>44197</v>
      </c>
      <c r="P3" s="6">
        <v>44229</v>
      </c>
      <c r="Q3" s="6">
        <v>44258</v>
      </c>
      <c r="R3" s="6">
        <v>44290</v>
      </c>
      <c r="S3" s="6">
        <v>44321</v>
      </c>
      <c r="T3" s="6">
        <v>44353</v>
      </c>
      <c r="U3" s="6">
        <v>44384</v>
      </c>
      <c r="V3" s="6">
        <v>44416</v>
      </c>
      <c r="W3" s="6">
        <v>44448</v>
      </c>
      <c r="X3" s="6">
        <v>44479</v>
      </c>
      <c r="Y3" s="6">
        <v>44511</v>
      </c>
      <c r="Z3" s="6">
        <v>44542</v>
      </c>
      <c r="AA3" s="177" t="s">
        <v>4</v>
      </c>
      <c r="AB3" s="177">
        <v>44562</v>
      </c>
      <c r="AC3" s="177">
        <v>44593</v>
      </c>
      <c r="AD3" s="177">
        <v>44621</v>
      </c>
      <c r="AE3" s="177">
        <v>44652</v>
      </c>
      <c r="AF3" s="177">
        <v>44682</v>
      </c>
      <c r="AG3" s="177">
        <v>44713</v>
      </c>
      <c r="AH3" s="177">
        <v>44743</v>
      </c>
      <c r="AI3" s="177">
        <v>44774</v>
      </c>
      <c r="AJ3" s="177">
        <v>44805</v>
      </c>
      <c r="AK3" s="177">
        <v>44835</v>
      </c>
      <c r="AL3" s="177">
        <v>44866</v>
      </c>
      <c r="AM3" s="177">
        <v>44896</v>
      </c>
      <c r="AN3" s="177" t="s">
        <v>5</v>
      </c>
      <c r="AO3" s="205">
        <v>44927</v>
      </c>
      <c r="AP3" s="205">
        <v>44958</v>
      </c>
      <c r="AQ3" s="205">
        <v>44986</v>
      </c>
      <c r="AR3" s="205">
        <v>45017</v>
      </c>
      <c r="AS3" s="205">
        <v>45047</v>
      </c>
      <c r="AT3" s="205">
        <v>45078</v>
      </c>
      <c r="AU3" s="205">
        <v>45108</v>
      </c>
      <c r="AV3" s="205">
        <v>45139</v>
      </c>
      <c r="AW3" s="205">
        <v>45170</v>
      </c>
      <c r="AX3" s="205">
        <v>45200</v>
      </c>
    </row>
    <row r="4" spans="1:50">
      <c r="A4" s="47" t="s">
        <v>160</v>
      </c>
    </row>
    <row r="5" spans="1:50">
      <c r="A5" s="48" t="s">
        <v>30</v>
      </c>
      <c r="B5" s="49">
        <f>'[1]Balance Sheet'!C26</f>
        <v>0</v>
      </c>
      <c r="C5" s="49">
        <f>'Balance Sheet'!D26</f>
        <v>417591700.41999996</v>
      </c>
      <c r="D5" s="49">
        <f>'Balance Sheet'!E26</f>
        <v>417414363.51999998</v>
      </c>
      <c r="E5" s="49">
        <f>'Balance Sheet'!F26</f>
        <v>404244003.12</v>
      </c>
      <c r="F5" s="49">
        <f>'Balance Sheet'!G26</f>
        <v>414180726.76999998</v>
      </c>
      <c r="G5" s="49">
        <f>'Balance Sheet'!H26</f>
        <v>414019753.83000004</v>
      </c>
      <c r="H5" s="49">
        <f>'Balance Sheet'!I26</f>
        <v>414337567.44</v>
      </c>
      <c r="I5" s="49">
        <f>'Balance Sheet'!J26</f>
        <v>405512065.63999999</v>
      </c>
      <c r="J5" s="49">
        <f>'Balance Sheet'!K26</f>
        <v>395272578.56</v>
      </c>
      <c r="K5" s="49">
        <f>'Balance Sheet'!L26</f>
        <v>468799213.2899999</v>
      </c>
      <c r="L5" s="49">
        <f>'Balance Sheet'!M26</f>
        <v>406537798.13999999</v>
      </c>
      <c r="M5" s="49">
        <f>'Balance Sheet'!N26</f>
        <v>392978893.46000004</v>
      </c>
      <c r="N5" s="49">
        <f>'Balance Sheet'!O26</f>
        <v>395271644.47000003</v>
      </c>
      <c r="O5" s="49">
        <f>'Balance Sheet'!P26</f>
        <v>397998946.29000002</v>
      </c>
      <c r="P5" s="49">
        <f>'Balance Sheet'!Q26</f>
        <v>404108947.79000002</v>
      </c>
      <c r="Q5" s="49">
        <f>'Balance Sheet'!R26</f>
        <v>389365667.31</v>
      </c>
      <c r="R5" s="49">
        <f>'Balance Sheet'!S26</f>
        <v>411678328.18000001</v>
      </c>
      <c r="S5" s="49">
        <f>'Balance Sheet'!T26</f>
        <v>392273037.38</v>
      </c>
      <c r="T5" s="49">
        <f>'Balance Sheet'!U26</f>
        <v>395741367.20999998</v>
      </c>
      <c r="U5" s="49">
        <f>'Balance Sheet'!V26</f>
        <v>406514985.54000002</v>
      </c>
      <c r="V5" s="49">
        <f>'Balance Sheet'!W26</f>
        <v>400443439.53999996</v>
      </c>
      <c r="W5" s="49">
        <f>'Balance Sheet'!X26</f>
        <v>394383111.79999995</v>
      </c>
      <c r="X5" s="49">
        <f>'Balance Sheet'!Y26</f>
        <v>461393510.94</v>
      </c>
      <c r="Y5" s="49">
        <f>'Balance Sheet'!Z26</f>
        <v>400017978.25999999</v>
      </c>
      <c r="Z5" s="49">
        <f>'Balance Sheet'!AA26</f>
        <v>390333250.97000003</v>
      </c>
      <c r="AA5" s="49">
        <f>'Balance Sheet'!AB26</f>
        <v>389857907.79999995</v>
      </c>
      <c r="AB5" s="49">
        <f>'Balance Sheet'!AC26</f>
        <v>431713426.55000001</v>
      </c>
      <c r="AC5" s="49">
        <f>'Balance Sheet'!AD26</f>
        <v>438844056.62</v>
      </c>
      <c r="AD5" s="49">
        <f>'Balance Sheet'!AE26</f>
        <v>439478077.35000002</v>
      </c>
      <c r="AE5" s="49">
        <f>'Balance Sheet'!AF26</f>
        <v>425832791.95000005</v>
      </c>
      <c r="AF5" s="49">
        <f>'Balance Sheet'!AG26</f>
        <v>431319703</v>
      </c>
      <c r="AG5" s="49">
        <f>'Balance Sheet'!AH26</f>
        <v>440487079</v>
      </c>
      <c r="AH5" s="49">
        <f>'Balance Sheet'!AI26</f>
        <v>434397043.17000008</v>
      </c>
      <c r="AI5" s="49">
        <f>'Balance Sheet'!AJ26</f>
        <v>445715710.93000001</v>
      </c>
      <c r="AJ5" s="49">
        <f>'Balance Sheet'!AK26</f>
        <v>445078654</v>
      </c>
      <c r="AK5" s="49">
        <f>'Balance Sheet'!AL26</f>
        <v>448802925.59000003</v>
      </c>
      <c r="AL5" s="49">
        <f>'Balance Sheet'!AM26</f>
        <v>448387214.07000005</v>
      </c>
      <c r="AM5" s="49">
        <f>'Balance Sheet'!AN26</f>
        <v>453443496.04000002</v>
      </c>
      <c r="AN5" s="49">
        <f>'Balance Sheet'!AO26</f>
        <v>138197896</v>
      </c>
      <c r="AO5" s="49">
        <f>'Balance Sheet'!AP26</f>
        <v>405245620.36000001</v>
      </c>
      <c r="AP5" s="49">
        <f>'Balance Sheet'!AQ26</f>
        <v>411061398.48000002</v>
      </c>
      <c r="AQ5" s="49">
        <f>'Balance Sheet'!AR26</f>
        <v>397729426.84000003</v>
      </c>
      <c r="AR5" s="49">
        <f>'Balance Sheet'!AS26</f>
        <v>401604121.82999998</v>
      </c>
      <c r="AS5" s="49">
        <f>'Balance Sheet'!AT26</f>
        <v>397106634.92999995</v>
      </c>
      <c r="AT5" s="49">
        <f>'Balance Sheet'!AU26</f>
        <v>410936682.87</v>
      </c>
      <c r="AU5" s="49">
        <f>'Balance Sheet'!AV26</f>
        <v>421829884.10999995</v>
      </c>
      <c r="AV5" s="49">
        <f>'Balance Sheet'!AW26</f>
        <v>421806711.81999999</v>
      </c>
      <c r="AW5" s="49">
        <f>'Balance Sheet'!AX26</f>
        <v>421885316.42000002</v>
      </c>
    </row>
    <row r="6" spans="1:50" ht="12.75">
      <c r="A6" s="50" t="s">
        <v>135</v>
      </c>
      <c r="B6" s="51" t="e">
        <f t="shared" ref="B6:C6" si="0">B7+B8</f>
        <v>#REF!</v>
      </c>
      <c r="C6" s="51">
        <f t="shared" si="0"/>
        <v>160065955.28999999</v>
      </c>
      <c r="D6" s="51">
        <f t="shared" ref="D6:N6" si="1">D7+D8</f>
        <v>158514202.57999998</v>
      </c>
      <c r="E6" s="51">
        <f t="shared" si="1"/>
        <v>150253646.47</v>
      </c>
      <c r="F6" s="51">
        <f t="shared" si="1"/>
        <v>155963211.72</v>
      </c>
      <c r="G6" s="51">
        <f t="shared" si="1"/>
        <v>154517039.59</v>
      </c>
      <c r="H6" s="51">
        <f t="shared" si="1"/>
        <v>156570032.00999999</v>
      </c>
      <c r="I6" s="51">
        <f t="shared" si="1"/>
        <v>151590042.78999999</v>
      </c>
      <c r="J6" s="51">
        <f t="shared" si="1"/>
        <v>155272888.28</v>
      </c>
      <c r="K6" s="51">
        <f t="shared" si="1"/>
        <v>225251055.06</v>
      </c>
      <c r="L6" s="51">
        <f t="shared" si="1"/>
        <v>169464796.09</v>
      </c>
      <c r="M6" s="51">
        <f t="shared" si="1"/>
        <v>161826693.19</v>
      </c>
      <c r="N6" s="51">
        <f t="shared" si="1"/>
        <v>161826693.19</v>
      </c>
      <c r="O6" s="51">
        <f t="shared" ref="O6:AE6" si="2">O7+O8</f>
        <v>163234375.44999999</v>
      </c>
      <c r="P6" s="51">
        <f t="shared" si="2"/>
        <v>171005449.15000001</v>
      </c>
      <c r="Q6" s="51">
        <f t="shared" si="2"/>
        <v>157425755.16</v>
      </c>
      <c r="R6" s="51">
        <f t="shared" si="2"/>
        <v>168184288.66999999</v>
      </c>
      <c r="S6" s="51">
        <f t="shared" si="2"/>
        <v>156155405.56</v>
      </c>
      <c r="T6" s="51">
        <f t="shared" si="2"/>
        <v>155236085.31</v>
      </c>
      <c r="U6" s="51">
        <f t="shared" si="2"/>
        <v>163906434.31</v>
      </c>
      <c r="V6" s="51">
        <f t="shared" si="2"/>
        <v>159121169.03</v>
      </c>
      <c r="W6" s="51">
        <f t="shared" si="2"/>
        <v>155753783.25999999</v>
      </c>
      <c r="X6" s="51">
        <f t="shared" si="2"/>
        <v>228414122.53999999</v>
      </c>
      <c r="Y6" s="51">
        <f t="shared" si="2"/>
        <v>171148403.25999999</v>
      </c>
      <c r="Z6" s="51">
        <f t="shared" si="2"/>
        <v>159987193.75999999</v>
      </c>
      <c r="AA6" s="51">
        <f t="shared" si="2"/>
        <v>159987193.75999999</v>
      </c>
      <c r="AB6" s="51">
        <f t="shared" si="2"/>
        <v>265576320.35000002</v>
      </c>
      <c r="AC6" s="51">
        <f t="shared" si="2"/>
        <v>269620259.76999998</v>
      </c>
      <c r="AD6" s="51">
        <f t="shared" si="2"/>
        <v>272813277.38</v>
      </c>
      <c r="AE6" s="51">
        <f t="shared" si="2"/>
        <v>275857757.07999998</v>
      </c>
      <c r="AF6" s="51">
        <f t="shared" ref="AF6:AL6" si="3">AF7+AF8</f>
        <v>268246996</v>
      </c>
      <c r="AG6" s="51">
        <f t="shared" si="3"/>
        <v>279666718</v>
      </c>
      <c r="AH6" s="51">
        <f t="shared" si="3"/>
        <v>273449561.94</v>
      </c>
      <c r="AI6" s="51">
        <f t="shared" si="3"/>
        <v>280121095.63</v>
      </c>
      <c r="AJ6" s="51">
        <f t="shared" si="3"/>
        <v>272208499</v>
      </c>
      <c r="AK6" s="51">
        <f t="shared" si="3"/>
        <v>280348263.71000004</v>
      </c>
      <c r="AL6" s="51">
        <f t="shared" si="3"/>
        <v>283396159.86000001</v>
      </c>
      <c r="AM6" s="51">
        <f t="shared" ref="AM6:AN6" si="4">AM7+AM8</f>
        <v>277015576.80000001</v>
      </c>
      <c r="AN6" s="51">
        <f t="shared" si="4"/>
        <v>173548730</v>
      </c>
      <c r="AO6" s="51">
        <f t="shared" ref="AO6:AQ6" si="5">AO7+AO8</f>
        <v>176612795.83000001</v>
      </c>
      <c r="AP6" s="51">
        <f t="shared" si="5"/>
        <v>184677560.65000001</v>
      </c>
      <c r="AQ6" s="51">
        <f t="shared" si="5"/>
        <v>174554953.25</v>
      </c>
      <c r="AR6" s="51">
        <f t="shared" ref="AR6:AS6" si="6">AR7+AR8</f>
        <v>178505583.36000001</v>
      </c>
      <c r="AS6" s="51">
        <f t="shared" si="6"/>
        <v>176031543.25</v>
      </c>
      <c r="AT6" s="51">
        <f t="shared" ref="AT6:AU6" si="7">AT7+AT8</f>
        <v>178173471.59</v>
      </c>
      <c r="AU6" s="51">
        <f t="shared" si="7"/>
        <v>183432261.37</v>
      </c>
      <c r="AV6" s="51">
        <f t="shared" ref="AV6:AW6" si="8">AV7+AV8</f>
        <v>183577223.74000001</v>
      </c>
      <c r="AW6" s="51">
        <f t="shared" si="8"/>
        <v>185230358.72999999</v>
      </c>
    </row>
    <row r="7" spans="1:50">
      <c r="A7" s="52" t="s">
        <v>161</v>
      </c>
      <c r="B7" s="49" t="e">
        <f>'[1]Balance Sheet'!C29</f>
        <v>#REF!</v>
      </c>
      <c r="C7" s="49">
        <f>'Balance Sheet'!D29</f>
        <v>100435380.84999999</v>
      </c>
      <c r="D7" s="49">
        <f>'Balance Sheet'!E29</f>
        <v>100298416.84999999</v>
      </c>
      <c r="E7" s="49">
        <f>'Balance Sheet'!F29</f>
        <v>100380822.95</v>
      </c>
      <c r="F7" s="49">
        <f>'Balance Sheet'!G29</f>
        <v>100498192.51000001</v>
      </c>
      <c r="G7" s="49">
        <f>'Balance Sheet'!H29</f>
        <v>100615495.70999999</v>
      </c>
      <c r="H7" s="49">
        <f>'Balance Sheet'!I29</f>
        <v>100808753.38</v>
      </c>
      <c r="I7" s="49">
        <f>'Balance Sheet'!J29</f>
        <v>101327998.94</v>
      </c>
      <c r="J7" s="49">
        <f>'Balance Sheet'!K29</f>
        <v>99983310.439999998</v>
      </c>
      <c r="K7" s="49">
        <f>'Balance Sheet'!L29</f>
        <v>102682132.98</v>
      </c>
      <c r="L7" s="49">
        <f>'Balance Sheet'!M29</f>
        <v>102888116.98</v>
      </c>
      <c r="M7" s="49">
        <f>'Balance Sheet'!N29</f>
        <v>102657310.63</v>
      </c>
      <c r="N7" s="49">
        <f>'Balance Sheet'!O29</f>
        <v>102657310.63</v>
      </c>
      <c r="O7" s="49">
        <f>'Balance Sheet'!P29</f>
        <v>102999555.88</v>
      </c>
      <c r="P7" s="49">
        <f>'Balance Sheet'!Q29</f>
        <v>103508847.43000001</v>
      </c>
      <c r="Q7" s="49">
        <f>'Balance Sheet'!R29</f>
        <v>104075269.3</v>
      </c>
      <c r="R7" s="49">
        <f>'Balance Sheet'!S29</f>
        <v>105055038.3</v>
      </c>
      <c r="S7" s="49">
        <f>'Balance Sheet'!T29</f>
        <v>105408793.25</v>
      </c>
      <c r="T7" s="49">
        <f>'Balance Sheet'!U29</f>
        <v>103108787.17</v>
      </c>
      <c r="U7" s="49">
        <f>'Balance Sheet'!V29</f>
        <v>104140583.95999999</v>
      </c>
      <c r="V7" s="49">
        <f>'Balance Sheet'!W29</f>
        <v>104780118.20999999</v>
      </c>
      <c r="W7" s="49">
        <f>'Balance Sheet'!X29</f>
        <v>105152831.95999999</v>
      </c>
      <c r="X7" s="49">
        <f>'Balance Sheet'!Y29</f>
        <v>106868996.72</v>
      </c>
      <c r="Y7" s="49">
        <f>'Balance Sheet'!Z29</f>
        <v>107102394.31999999</v>
      </c>
      <c r="Z7" s="49">
        <f>'Balance Sheet'!AA29</f>
        <v>108489126.67</v>
      </c>
      <c r="AA7" s="49">
        <f>'Balance Sheet'!AB29</f>
        <v>108489126.67</v>
      </c>
      <c r="AB7" s="49">
        <f>'Balance Sheet'!AC29</f>
        <v>260780246.77000001</v>
      </c>
      <c r="AC7" s="49">
        <f>'Balance Sheet'!AD29</f>
        <v>257574780.31999999</v>
      </c>
      <c r="AD7" s="49">
        <f>'Balance Sheet'!AE29</f>
        <v>260928300.34999999</v>
      </c>
      <c r="AE7" s="49">
        <f>'Balance Sheet'!AF29</f>
        <v>261007681.93000001</v>
      </c>
      <c r="AF7" s="49">
        <f>'Balance Sheet'!AG29</f>
        <v>259991196</v>
      </c>
      <c r="AG7" s="49">
        <f>'Balance Sheet'!AH29</f>
        <v>261577229</v>
      </c>
      <c r="AH7" s="49">
        <f>'Balance Sheet'!AI29</f>
        <v>263389749.16999999</v>
      </c>
      <c r="AI7" s="49">
        <f>'Balance Sheet'!AJ29</f>
        <v>264275560.56999999</v>
      </c>
      <c r="AJ7" s="49">
        <f>'Balance Sheet'!AK29</f>
        <v>262780561</v>
      </c>
      <c r="AK7" s="49">
        <f>'Balance Sheet'!AL29</f>
        <v>268105720.86000001</v>
      </c>
      <c r="AL7" s="49">
        <f>'Balance Sheet'!AM29</f>
        <v>270945728.74000001</v>
      </c>
      <c r="AM7" s="49">
        <f>'Balance Sheet'!AN29</f>
        <v>271641427.06999999</v>
      </c>
      <c r="AN7" s="49">
        <f>'Balance Sheet'!AO29</f>
        <v>117647399</v>
      </c>
      <c r="AO7" s="49">
        <f>'Balance Sheet'!AP29</f>
        <v>118331765.43000001</v>
      </c>
      <c r="AP7" s="49">
        <f>'Balance Sheet'!AQ29</f>
        <v>118888596.93000001</v>
      </c>
      <c r="AQ7" s="49">
        <f>'Balance Sheet'!AR29</f>
        <v>118941436.3</v>
      </c>
      <c r="AR7" s="49">
        <f>'Balance Sheet'!AS29</f>
        <v>118902652.48</v>
      </c>
      <c r="AS7" s="49">
        <f>'Balance Sheet'!AT29</f>
        <v>119191621.27</v>
      </c>
      <c r="AT7" s="49">
        <f>'Balance Sheet'!AU29</f>
        <v>119696276.42</v>
      </c>
      <c r="AU7" s="49">
        <f>'Balance Sheet'!AV29</f>
        <v>120265003</v>
      </c>
      <c r="AV7" s="49">
        <f>'Balance Sheet'!AW29</f>
        <v>120805971.3</v>
      </c>
      <c r="AW7" s="49">
        <f>'Balance Sheet'!AX29</f>
        <v>120818672.05</v>
      </c>
    </row>
    <row r="8" spans="1:50">
      <c r="A8" s="52" t="s">
        <v>162</v>
      </c>
      <c r="B8" s="49" t="e">
        <f>'[1]Balance Sheet'!C27</f>
        <v>#REF!</v>
      </c>
      <c r="C8" s="49">
        <f>'Balance Sheet'!D27</f>
        <v>59630574.439999998</v>
      </c>
      <c r="D8" s="49">
        <f>'Balance Sheet'!E27</f>
        <v>58215785.729999997</v>
      </c>
      <c r="E8" s="49">
        <f>'Balance Sheet'!F27</f>
        <v>49872823.520000003</v>
      </c>
      <c r="F8" s="49">
        <f>'Balance Sheet'!G27</f>
        <v>55465019.210000001</v>
      </c>
      <c r="G8" s="49">
        <f>'Balance Sheet'!H27</f>
        <v>53901543.880000003</v>
      </c>
      <c r="H8" s="49">
        <f>'Balance Sheet'!I27</f>
        <v>55761278.630000003</v>
      </c>
      <c r="I8" s="49">
        <f>'Balance Sheet'!J27</f>
        <v>50262043.850000001</v>
      </c>
      <c r="J8" s="49">
        <f>'Balance Sheet'!K27</f>
        <v>55289577.840000004</v>
      </c>
      <c r="K8" s="49">
        <f>'Balance Sheet'!L27</f>
        <v>122568922.08</v>
      </c>
      <c r="L8" s="49">
        <f>'Balance Sheet'!M27</f>
        <v>66576679.109999999</v>
      </c>
      <c r="M8" s="49">
        <f>'Balance Sheet'!N27</f>
        <v>59169382.560000002</v>
      </c>
      <c r="N8" s="49">
        <f>'Balance Sheet'!O27</f>
        <v>59169382.560000002</v>
      </c>
      <c r="O8" s="49">
        <f>'Balance Sheet'!P27</f>
        <v>60234819.57</v>
      </c>
      <c r="P8" s="49">
        <f>'Balance Sheet'!Q27</f>
        <v>67496601.719999999</v>
      </c>
      <c r="Q8" s="49">
        <f>'Balance Sheet'!R27</f>
        <v>53350485.859999999</v>
      </c>
      <c r="R8" s="49">
        <f>'Balance Sheet'!S27</f>
        <v>63129250.369999997</v>
      </c>
      <c r="S8" s="49">
        <f>'Balance Sheet'!T27</f>
        <v>50746612.310000002</v>
      </c>
      <c r="T8" s="49">
        <f>'Balance Sheet'!U27</f>
        <v>52127298.140000001</v>
      </c>
      <c r="U8" s="49">
        <f>'Balance Sheet'!V27</f>
        <v>59765850.350000001</v>
      </c>
      <c r="V8" s="49">
        <f>'Balance Sheet'!W27</f>
        <v>54341050.82</v>
      </c>
      <c r="W8" s="49">
        <f>'Balance Sheet'!X27</f>
        <v>50600951.299999997</v>
      </c>
      <c r="X8" s="49">
        <f>'Balance Sheet'!Y27</f>
        <v>121545125.81999999</v>
      </c>
      <c r="Y8" s="49">
        <f>'Balance Sheet'!Z27</f>
        <v>64046008.939999998</v>
      </c>
      <c r="Z8" s="49">
        <f>'Balance Sheet'!AA27</f>
        <v>51498067.090000004</v>
      </c>
      <c r="AA8" s="49">
        <f>'Balance Sheet'!AB27</f>
        <v>51498067.090000004</v>
      </c>
      <c r="AB8" s="49">
        <f>'Balance Sheet'!AC27</f>
        <v>4796073.58</v>
      </c>
      <c r="AC8" s="49">
        <f>'Balance Sheet'!AD27</f>
        <v>12045479.449999999</v>
      </c>
      <c r="AD8" s="49">
        <f>'Balance Sheet'!AE27</f>
        <v>11884977.029999999</v>
      </c>
      <c r="AE8" s="49">
        <f>'Balance Sheet'!AF27</f>
        <v>14850075.15</v>
      </c>
      <c r="AF8" s="49">
        <f>'Balance Sheet'!AG27</f>
        <v>8255800</v>
      </c>
      <c r="AG8" s="49">
        <f>'Balance Sheet'!AH27</f>
        <v>18089489</v>
      </c>
      <c r="AH8" s="49">
        <f>'Balance Sheet'!AI27</f>
        <v>10059812.77</v>
      </c>
      <c r="AI8" s="49">
        <f>'Balance Sheet'!AJ27</f>
        <v>15845535.060000001</v>
      </c>
      <c r="AJ8" s="49">
        <f>'Balance Sheet'!AK27</f>
        <v>9427938</v>
      </c>
      <c r="AK8" s="49">
        <f>'Balance Sheet'!AL27</f>
        <v>12242542.85</v>
      </c>
      <c r="AL8" s="49">
        <f>'Balance Sheet'!AM27</f>
        <v>12450431.119999999</v>
      </c>
      <c r="AM8" s="49">
        <f>'Balance Sheet'!AN27</f>
        <v>5374149.7300000004</v>
      </c>
      <c r="AN8" s="49">
        <f>'Balance Sheet'!AO27</f>
        <v>55901331</v>
      </c>
      <c r="AO8" s="49">
        <f>'Balance Sheet'!AP27</f>
        <v>58281030.399999999</v>
      </c>
      <c r="AP8" s="49">
        <f>'Balance Sheet'!AQ27</f>
        <v>65788963.719999999</v>
      </c>
      <c r="AQ8" s="49">
        <f>'Balance Sheet'!AR27</f>
        <v>55613516.950000003</v>
      </c>
      <c r="AR8" s="49">
        <f>'Balance Sheet'!AS27</f>
        <v>59602930.880000003</v>
      </c>
      <c r="AS8" s="49">
        <f>'Balance Sheet'!AT27</f>
        <v>56839921.979999997</v>
      </c>
      <c r="AT8" s="49">
        <f>'Balance Sheet'!AU27</f>
        <v>58477195.170000002</v>
      </c>
      <c r="AU8" s="49">
        <f>'Balance Sheet'!AV27</f>
        <v>63167258.369999997</v>
      </c>
      <c r="AV8" s="49">
        <f>'Balance Sheet'!AW27</f>
        <v>62771252.439999998</v>
      </c>
      <c r="AW8" s="49">
        <f>'Balance Sheet'!AX27</f>
        <v>64411686.68</v>
      </c>
    </row>
    <row r="9" spans="1:50">
      <c r="A9" s="52" t="s">
        <v>163</v>
      </c>
      <c r="B9" s="49" t="e">
        <f>'[1]Balance Sheet'!C28</f>
        <v>#REF!</v>
      </c>
      <c r="C9" s="49">
        <f>'Balance Sheet'!D28</f>
        <v>20345998.789999999</v>
      </c>
      <c r="D9" s="49">
        <f>'Balance Sheet'!E28</f>
        <v>21480874.789999999</v>
      </c>
      <c r="E9" s="49">
        <f>'Balance Sheet'!F28</f>
        <v>21124179.789999999</v>
      </c>
      <c r="F9" s="49">
        <f>'Balance Sheet'!G28</f>
        <v>18516429.789999999</v>
      </c>
      <c r="G9" s="49">
        <f>'Balance Sheet'!H28</f>
        <v>20682591.539999999</v>
      </c>
      <c r="H9" s="49">
        <f>'Balance Sheet'!I28</f>
        <v>20527833.530000001</v>
      </c>
      <c r="I9" s="49">
        <f>'Balance Sheet'!J28</f>
        <v>21739977.530000001</v>
      </c>
      <c r="J9" s="49">
        <f>'Balance Sheet'!K28</f>
        <v>21752977.530000001</v>
      </c>
      <c r="K9" s="49">
        <f>'Balance Sheet'!L28</f>
        <v>19608177.530000001</v>
      </c>
      <c r="L9" s="49">
        <f>'Balance Sheet'!M28</f>
        <v>18407035.030000001</v>
      </c>
      <c r="M9" s="49">
        <f>'Balance Sheet'!N28</f>
        <v>16835433.170000002</v>
      </c>
      <c r="N9" s="49">
        <f>'Balance Sheet'!O28</f>
        <v>16835433.170000002</v>
      </c>
      <c r="O9" s="49">
        <f>'Balance Sheet'!P28</f>
        <v>18842815.18</v>
      </c>
      <c r="P9" s="49">
        <f>'Balance Sheet'!Q28</f>
        <v>16998236.48</v>
      </c>
      <c r="Q9" s="49">
        <f>'Balance Sheet'!R28</f>
        <v>16918836.989999998</v>
      </c>
      <c r="R9" s="49">
        <f>'Balance Sheet'!S28</f>
        <v>17650466.989999998</v>
      </c>
      <c r="S9" s="49">
        <f>'Balance Sheet'!T28</f>
        <v>17978510.989999998</v>
      </c>
      <c r="T9" s="49">
        <f>'Balance Sheet'!U28</f>
        <v>17090558.989999998</v>
      </c>
      <c r="U9" s="49">
        <f>'Balance Sheet'!V28</f>
        <v>19883251.98</v>
      </c>
      <c r="V9" s="49">
        <f>'Balance Sheet'!W28</f>
        <v>21390001.98</v>
      </c>
      <c r="W9" s="49">
        <f>'Balance Sheet'!X28</f>
        <v>22409160.379999999</v>
      </c>
      <c r="X9" s="49">
        <f>'Balance Sheet'!Y28</f>
        <v>21580907.379999999</v>
      </c>
      <c r="Y9" s="49">
        <f>'Balance Sheet'!Z28</f>
        <v>21672292.379999999</v>
      </c>
      <c r="Z9" s="49">
        <f>'Balance Sheet'!AA28</f>
        <v>21063922.379999999</v>
      </c>
      <c r="AA9" s="49">
        <f>'Balance Sheet'!AB28</f>
        <v>21063922.379999999</v>
      </c>
      <c r="AB9" s="49">
        <f>'Balance Sheet'!AC28</f>
        <v>21328690</v>
      </c>
      <c r="AC9" s="49">
        <f>'Balance Sheet'!AD28</f>
        <v>21290324.859999999</v>
      </c>
      <c r="AD9" s="49">
        <f>'Balance Sheet'!AE28</f>
        <v>20547398</v>
      </c>
      <c r="AE9" s="49">
        <f>'Balance Sheet'!AF28</f>
        <v>15715130</v>
      </c>
      <c r="AF9" s="49">
        <f>'Balance Sheet'!AG28</f>
        <v>22545221</v>
      </c>
      <c r="AG9" s="49">
        <f>'Balance Sheet'!AH28</f>
        <v>19886971</v>
      </c>
      <c r="AH9" s="49">
        <f>'Balance Sheet'!AI28</f>
        <v>21043065</v>
      </c>
      <c r="AI9" s="49">
        <f>'Balance Sheet'!AJ28</f>
        <v>21028004</v>
      </c>
      <c r="AJ9" s="49">
        <f>'Balance Sheet'!AK28</f>
        <v>24723621</v>
      </c>
      <c r="AK9" s="49">
        <f>'Balance Sheet'!AL28</f>
        <v>21281583</v>
      </c>
      <c r="AL9" s="49">
        <f>'Balance Sheet'!AM28</f>
        <v>18662705</v>
      </c>
      <c r="AM9" s="49">
        <f>'Balance Sheet'!AN28</f>
        <v>25266564</v>
      </c>
      <c r="AN9" s="49">
        <f>'Balance Sheet'!AO28</f>
        <v>24478057</v>
      </c>
      <c r="AO9" s="49">
        <f>'Balance Sheet'!AP28</f>
        <v>24061298.530000001</v>
      </c>
      <c r="AP9" s="49">
        <f>'Balance Sheet'!AQ28</f>
        <v>21850755.530000001</v>
      </c>
      <c r="AQ9" s="49">
        <f>'Balance Sheet'!AR28</f>
        <v>23473843.530000001</v>
      </c>
      <c r="AR9" s="49">
        <f>'Balance Sheet'!AS28</f>
        <v>25191892.530000001</v>
      </c>
      <c r="AS9" s="49">
        <f>'Balance Sheet'!AT28</f>
        <v>24724233.530000001</v>
      </c>
      <c r="AT9" s="49">
        <f>'Balance Sheet'!AU28</f>
        <v>24991461.530000001</v>
      </c>
      <c r="AU9" s="49">
        <f>'Balance Sheet'!AV28</f>
        <v>24330052.530000001</v>
      </c>
      <c r="AV9" s="49">
        <f>'Balance Sheet'!AW28</f>
        <v>25088038.780000001</v>
      </c>
      <c r="AW9" s="49">
        <f>'Balance Sheet'!AX28</f>
        <v>24470524.43</v>
      </c>
    </row>
    <row r="10" spans="1:50">
      <c r="A10" s="48" t="s">
        <v>144</v>
      </c>
      <c r="B10" s="49" t="e">
        <f>'[1]Balance Sheet'!C37</f>
        <v>#REF!</v>
      </c>
      <c r="C10" s="49">
        <f>'Balance Sheet'!D37</f>
        <v>62000000</v>
      </c>
      <c r="D10" s="49">
        <f>'Balance Sheet'!E37</f>
        <v>62000000</v>
      </c>
      <c r="E10" s="49">
        <f>'Balance Sheet'!F37</f>
        <v>60620930</v>
      </c>
      <c r="F10" s="49">
        <f>'Balance Sheet'!G37</f>
        <v>59920170</v>
      </c>
      <c r="G10" s="49">
        <f>'Balance Sheet'!H37</f>
        <v>59211820</v>
      </c>
      <c r="H10" s="49">
        <f>'Balance Sheet'!I37</f>
        <v>58495800</v>
      </c>
      <c r="I10" s="49">
        <f>'Balance Sheet'!J37</f>
        <v>57040400</v>
      </c>
      <c r="J10" s="49">
        <f>'Balance Sheet'!K37</f>
        <v>56300850</v>
      </c>
      <c r="K10" s="49">
        <f>'Balance Sheet'!L37</f>
        <v>47553290</v>
      </c>
      <c r="L10" s="49">
        <f>'Balance Sheet'!M37</f>
        <v>46797630</v>
      </c>
      <c r="M10" s="49">
        <f>'Balance Sheet'!N37</f>
        <v>46033780</v>
      </c>
      <c r="N10" s="49">
        <f>'Balance Sheet'!O37</f>
        <v>46033780</v>
      </c>
      <c r="O10" s="49">
        <f>'Balance Sheet'!P37</f>
        <v>45261660</v>
      </c>
      <c r="P10" s="49">
        <f>'Balance Sheet'!Q37</f>
        <v>44481180</v>
      </c>
      <c r="Q10" s="49">
        <f>'Balance Sheet'!R37</f>
        <v>43692240</v>
      </c>
      <c r="R10" s="49">
        <f>'Balance Sheet'!S37</f>
        <v>42894750</v>
      </c>
      <c r="S10" s="49">
        <f>'Balance Sheet'!T37</f>
        <v>42088620</v>
      </c>
      <c r="T10" s="49">
        <f>'Balance Sheet'!U37</f>
        <v>41273760</v>
      </c>
      <c r="U10" s="49">
        <f>'Balance Sheet'!V37</f>
        <v>40450070</v>
      </c>
      <c r="V10" s="49">
        <f>'Balance Sheet'!W37</f>
        <v>39617460</v>
      </c>
      <c r="W10" s="49">
        <f>'Balance Sheet'!X37</f>
        <v>38775830</v>
      </c>
      <c r="X10" s="49">
        <f>'Balance Sheet'!Y37</f>
        <v>29925080</v>
      </c>
      <c r="Y10" s="49">
        <f>'Balance Sheet'!Z37</f>
        <v>29065120</v>
      </c>
      <c r="Z10" s="49">
        <f>'Balance Sheet'!AA37</f>
        <v>27721622.100000001</v>
      </c>
      <c r="AA10" s="49">
        <f>'Balance Sheet'!AB37</f>
        <v>27721622.100000001</v>
      </c>
      <c r="AB10" s="49">
        <f>'Balance Sheet'!AC37</f>
        <v>23610305</v>
      </c>
      <c r="AC10" s="49">
        <f>'Balance Sheet'!AD37</f>
        <v>22026971</v>
      </c>
      <c r="AD10" s="49">
        <f>'Balance Sheet'!AE37</f>
        <v>20443637</v>
      </c>
      <c r="AE10" s="49">
        <f>'Balance Sheet'!AF37</f>
        <v>18860303</v>
      </c>
      <c r="AF10" s="49">
        <f>'Balance Sheet'!AG37</f>
        <v>17276969</v>
      </c>
      <c r="AG10" s="49">
        <f>'Balance Sheet'!AH37</f>
        <v>15693653</v>
      </c>
      <c r="AH10" s="49">
        <f>'Balance Sheet'!AI37</f>
        <v>14804764</v>
      </c>
      <c r="AI10" s="49">
        <f>'Balance Sheet'!AJ37</f>
        <v>13073862</v>
      </c>
      <c r="AJ10" s="49">
        <f>'Balance Sheet'!AK37</f>
        <v>12006949</v>
      </c>
      <c r="AK10" s="49">
        <f>'Balance Sheet'!AL37</f>
        <v>10541383</v>
      </c>
      <c r="AL10" s="49">
        <f>'Balance Sheet'!AM37</f>
        <v>9474473</v>
      </c>
      <c r="AM10" s="49">
        <f>'Balance Sheet'!AN37</f>
        <v>8407563</v>
      </c>
      <c r="AN10" s="49">
        <f>'Balance Sheet'!AO37</f>
        <v>8522056</v>
      </c>
      <c r="AO10" s="49">
        <f>'Balance Sheet'!AP37</f>
        <v>7996343.5599999996</v>
      </c>
      <c r="AP10" s="49">
        <f>'Balance Sheet'!AQ37</f>
        <v>7996343.5599999996</v>
      </c>
      <c r="AQ10" s="49">
        <f>'Balance Sheet'!AR37</f>
        <v>7996343.5599999996</v>
      </c>
      <c r="AR10" s="49">
        <f>'Balance Sheet'!AS37</f>
        <v>7996343.5599999996</v>
      </c>
      <c r="AS10" s="49">
        <f>'Balance Sheet'!AT37</f>
        <v>7996343.5599999996</v>
      </c>
      <c r="AT10" s="49">
        <f>'Balance Sheet'!AU37</f>
        <v>7996343.5599999996</v>
      </c>
      <c r="AU10" s="49">
        <f>'Balance Sheet'!AV37</f>
        <v>7996343.5599999996</v>
      </c>
      <c r="AV10" s="49">
        <f>'Balance Sheet'!AW37</f>
        <v>7996343.5599999996</v>
      </c>
      <c r="AW10" s="49">
        <f>'Balance Sheet'!AX37</f>
        <v>7996343.5599999996</v>
      </c>
    </row>
    <row r="11" spans="1:50">
      <c r="A11" s="48"/>
      <c r="B11" s="49"/>
      <c r="C11" s="49"/>
      <c r="D11" s="49"/>
      <c r="E11" s="49"/>
      <c r="F11" s="49"/>
      <c r="G11" s="49"/>
      <c r="H11" s="49"/>
    </row>
    <row r="12" spans="1:50">
      <c r="A12" s="53" t="s">
        <v>164</v>
      </c>
      <c r="B12" s="51"/>
      <c r="C12" s="51"/>
      <c r="D12" s="51"/>
      <c r="E12" s="51"/>
      <c r="F12" s="51"/>
      <c r="G12" s="51"/>
      <c r="H12" s="51"/>
    </row>
    <row r="13" spans="1:50" ht="12.75">
      <c r="A13" s="53" t="s">
        <v>137</v>
      </c>
      <c r="B13" s="51" t="e">
        <f t="shared" ref="B13:N13" si="9">B15-B28</f>
        <v>#REF!</v>
      </c>
      <c r="C13" s="51">
        <f>C15</f>
        <v>154276288.84</v>
      </c>
      <c r="D13" s="51">
        <f t="shared" ref="D13:AB13" si="10">D15</f>
        <v>154116635.28999999</v>
      </c>
      <c r="E13" s="51">
        <f t="shared" si="10"/>
        <v>147038902.59999999</v>
      </c>
      <c r="F13" s="51">
        <f t="shared" si="10"/>
        <v>156203562.94999999</v>
      </c>
      <c r="G13" s="51">
        <f t="shared" si="10"/>
        <v>156069382.63999999</v>
      </c>
      <c r="H13" s="51">
        <f t="shared" si="10"/>
        <v>155804011.05000001</v>
      </c>
      <c r="I13" s="51">
        <f t="shared" si="10"/>
        <v>153502818.07999998</v>
      </c>
      <c r="J13" s="51">
        <f t="shared" si="10"/>
        <v>154083316.96000001</v>
      </c>
      <c r="K13" s="51">
        <f t="shared" si="10"/>
        <v>158921924.48000002</v>
      </c>
      <c r="L13" s="51">
        <f t="shared" si="10"/>
        <v>158061218.22</v>
      </c>
      <c r="M13" s="51">
        <f t="shared" si="10"/>
        <v>155384895.93000001</v>
      </c>
      <c r="N13" s="51">
        <f t="shared" si="10"/>
        <v>151317923</v>
      </c>
      <c r="O13" s="51">
        <f t="shared" si="10"/>
        <v>156137547.11000001</v>
      </c>
      <c r="P13" s="51">
        <f t="shared" si="10"/>
        <v>157154956.38</v>
      </c>
      <c r="Q13" s="51">
        <f t="shared" si="10"/>
        <v>158086720.83000001</v>
      </c>
      <c r="R13" s="51">
        <f t="shared" si="10"/>
        <v>169960905.03</v>
      </c>
      <c r="S13" s="51">
        <f t="shared" si="10"/>
        <v>166013660.88</v>
      </c>
      <c r="T13" s="51">
        <f t="shared" si="10"/>
        <v>167428952.12</v>
      </c>
      <c r="U13" s="51">
        <f t="shared" si="10"/>
        <v>169535144.25999999</v>
      </c>
      <c r="V13" s="51">
        <f t="shared" si="10"/>
        <v>166561823.06</v>
      </c>
      <c r="W13" s="51">
        <f>W15-5000000</f>
        <v>161777478.50999999</v>
      </c>
      <c r="X13" s="51">
        <f t="shared" si="10"/>
        <v>167025895.40000001</v>
      </c>
      <c r="Y13" s="51">
        <f t="shared" si="10"/>
        <v>165656553.65000001</v>
      </c>
      <c r="Z13" s="51">
        <f>Z15-5000000</f>
        <v>163855280.71000001</v>
      </c>
      <c r="AA13" s="51">
        <f>AA15-5000000</f>
        <v>153851067</v>
      </c>
      <c r="AB13" s="51">
        <f t="shared" si="10"/>
        <v>140196871.74000001</v>
      </c>
      <c r="AC13" s="51">
        <f t="shared" ref="O13:AE13" si="11">AC15-AC28</f>
        <v>143007659.42000002</v>
      </c>
      <c r="AD13" s="51">
        <f t="shared" si="11"/>
        <v>145175896.48000002</v>
      </c>
      <c r="AE13" s="51">
        <f t="shared" si="11"/>
        <v>147441899.44</v>
      </c>
      <c r="AF13" s="51">
        <f t="shared" ref="AF13:AL13" si="12">AF15-AF28</f>
        <v>149611401</v>
      </c>
      <c r="AG13" s="51">
        <f t="shared" si="12"/>
        <v>151774309</v>
      </c>
      <c r="AH13" s="51">
        <f t="shared" si="12"/>
        <v>154008306.44</v>
      </c>
      <c r="AI13" s="51">
        <f t="shared" si="12"/>
        <v>155952930.97999999</v>
      </c>
      <c r="AJ13" s="51">
        <f t="shared" si="12"/>
        <v>158252703</v>
      </c>
      <c r="AK13" s="51">
        <f t="shared" si="12"/>
        <v>157256307</v>
      </c>
      <c r="AL13" s="51">
        <f t="shared" si="12"/>
        <v>150629822.86000001</v>
      </c>
      <c r="AM13" s="51">
        <f t="shared" ref="AM13:AN13" si="13">AM15-AM28</f>
        <v>151585535.72999999</v>
      </c>
      <c r="AN13" s="51">
        <f t="shared" si="13"/>
        <v>169276637</v>
      </c>
      <c r="AO13" s="51">
        <f t="shared" ref="AO13:AQ13" si="14">AO15-AO28</f>
        <v>164737545.92000002</v>
      </c>
      <c r="AP13" s="51">
        <f t="shared" si="14"/>
        <v>153786311.97</v>
      </c>
      <c r="AQ13" s="51">
        <f t="shared" si="14"/>
        <v>159521563.86000001</v>
      </c>
      <c r="AR13" s="51">
        <f t="shared" ref="AR13:AS13" si="15">AR15-AR28</f>
        <v>162200703.96000001</v>
      </c>
      <c r="AS13" s="51">
        <f t="shared" si="15"/>
        <v>162835191.77000001</v>
      </c>
      <c r="AT13" s="51">
        <f t="shared" ref="AT13:AU13" si="16">AT15-AT28</f>
        <v>175887669.63</v>
      </c>
      <c r="AU13" s="51">
        <f t="shared" si="16"/>
        <v>176055724.26999998</v>
      </c>
      <c r="AV13" s="51">
        <f t="shared" ref="AV13:AW13" si="17">AV15-AV28</f>
        <v>176057921.31999999</v>
      </c>
      <c r="AW13" s="51">
        <f t="shared" si="17"/>
        <v>175442835.14999998</v>
      </c>
    </row>
    <row r="14" spans="1:50" ht="12.75">
      <c r="A14" s="53" t="s">
        <v>138</v>
      </c>
      <c r="B14" s="51" t="e">
        <f t="shared" ref="B14:N14" si="18">B13-B16</f>
        <v>#REF!</v>
      </c>
      <c r="C14" s="51">
        <f t="shared" si="18"/>
        <v>40190406.680000007</v>
      </c>
      <c r="D14" s="51">
        <f t="shared" ref="D14:AB14" si="19">D13-D16</f>
        <v>39897873.129999995</v>
      </c>
      <c r="E14" s="51">
        <f t="shared" si="19"/>
        <v>32114443.439999998</v>
      </c>
      <c r="F14" s="51">
        <f t="shared" si="19"/>
        <v>40246303.789999992</v>
      </c>
      <c r="G14" s="51">
        <f t="shared" si="19"/>
        <v>39136118.479999989</v>
      </c>
      <c r="H14" s="51">
        <f t="shared" si="19"/>
        <v>38231633.390000015</v>
      </c>
      <c r="I14" s="51">
        <f t="shared" si="19"/>
        <v>35393417.719999984</v>
      </c>
      <c r="J14" s="51">
        <f t="shared" si="19"/>
        <v>35729864.650000006</v>
      </c>
      <c r="K14" s="51">
        <f t="shared" si="19"/>
        <v>40534082.170000017</v>
      </c>
      <c r="L14" s="51">
        <f t="shared" si="19"/>
        <v>39462401.560000002</v>
      </c>
      <c r="M14" s="51">
        <f t="shared" si="19"/>
        <v>36540419.570000008</v>
      </c>
      <c r="N14" s="51">
        <f t="shared" si="19"/>
        <v>32469843</v>
      </c>
      <c r="O14" s="51">
        <f t="shared" si="19"/>
        <v>37059710.300000012</v>
      </c>
      <c r="P14" s="51">
        <f t="shared" si="19"/>
        <v>37814285.819999993</v>
      </c>
      <c r="Q14" s="51">
        <f t="shared" si="19"/>
        <v>38355652.570000008</v>
      </c>
      <c r="R14" s="51">
        <f t="shared" si="19"/>
        <v>49802817.620000005</v>
      </c>
      <c r="S14" s="51">
        <f t="shared" si="19"/>
        <v>45543245.219999999</v>
      </c>
      <c r="T14" s="51">
        <f t="shared" si="19"/>
        <v>44156597.280000001</v>
      </c>
      <c r="U14" s="51">
        <f t="shared" si="19"/>
        <v>45949899.819999993</v>
      </c>
      <c r="V14" s="51">
        <f t="shared" si="19"/>
        <v>42704526.620000005</v>
      </c>
      <c r="W14" s="51">
        <f t="shared" si="19"/>
        <v>37705467.169999987</v>
      </c>
      <c r="X14" s="51">
        <f t="shared" si="19"/>
        <v>42718505.359999999</v>
      </c>
      <c r="Y14" s="51">
        <f t="shared" si="19"/>
        <v>41050626.410000011</v>
      </c>
      <c r="Z14" s="51">
        <f t="shared" si="19"/>
        <v>38733230.620000005</v>
      </c>
      <c r="AA14" s="51">
        <f t="shared" si="19"/>
        <v>28729017</v>
      </c>
      <c r="AB14" s="51">
        <f t="shared" si="19"/>
        <v>76580832.370000005</v>
      </c>
      <c r="AC14" s="51">
        <f t="shared" ref="O14:AE14" si="20">AC13-AC16</f>
        <v>78185682.710000008</v>
      </c>
      <c r="AD14" s="51">
        <f t="shared" si="20"/>
        <v>79320499.74000001</v>
      </c>
      <c r="AE14" s="51">
        <f t="shared" si="20"/>
        <v>80453501.219999999</v>
      </c>
      <c r="AF14" s="51">
        <f t="shared" ref="AF14:AL14" si="21">AF13-AF16</f>
        <v>81538252</v>
      </c>
      <c r="AG14" s="51">
        <f t="shared" si="21"/>
        <v>82619706</v>
      </c>
      <c r="AH14" s="51">
        <f t="shared" si="21"/>
        <v>83736704.719999999</v>
      </c>
      <c r="AI14" s="51">
        <f t="shared" si="21"/>
        <v>84709016.989999995</v>
      </c>
      <c r="AJ14" s="51">
        <f t="shared" si="21"/>
        <v>85858903</v>
      </c>
      <c r="AK14" s="51">
        <f t="shared" si="21"/>
        <v>85360705</v>
      </c>
      <c r="AL14" s="51">
        <f t="shared" si="21"/>
        <v>82047462.930000007</v>
      </c>
      <c r="AM14" s="51">
        <f t="shared" ref="AM14:AN14" si="22">AM13-AM16</f>
        <v>84329180.349999994</v>
      </c>
      <c r="AN14" s="51">
        <f t="shared" si="22"/>
        <v>34423163</v>
      </c>
      <c r="AO14" s="51">
        <f t="shared" ref="AO14:AQ14" si="23">AO13-AO16</f>
        <v>29349634.090000004</v>
      </c>
      <c r="AP14" s="51">
        <f t="shared" si="23"/>
        <v>17822600.840000004</v>
      </c>
      <c r="AQ14" s="51">
        <f t="shared" si="23"/>
        <v>24887366.730000019</v>
      </c>
      <c r="AR14" s="51">
        <f t="shared" ref="AR14:AS14" si="24">AR13-AR16</f>
        <v>25130798.280000001</v>
      </c>
      <c r="AS14" s="51">
        <f t="shared" si="24"/>
        <v>25179762.590000004</v>
      </c>
      <c r="AT14" s="51">
        <f t="shared" ref="AT14:AU14" si="25">AT13-AT16</f>
        <v>37488068.680000007</v>
      </c>
      <c r="AU14" s="51">
        <f t="shared" si="25"/>
        <v>37113831.539999992</v>
      </c>
      <c r="AV14" s="51">
        <f t="shared" ref="AV14:AW14" si="26">AV13-AV16</f>
        <v>36486613.439999998</v>
      </c>
      <c r="AW14" s="51">
        <f t="shared" si="26"/>
        <v>35374120.769999981</v>
      </c>
    </row>
    <row r="15" spans="1:50" ht="12.75">
      <c r="A15" s="53" t="s">
        <v>165</v>
      </c>
      <c r="B15" s="51" t="e">
        <f t="shared" ref="B15:N15" si="27">B16+B17+B18+B19+B20+B21</f>
        <v>#REF!</v>
      </c>
      <c r="C15" s="51">
        <f t="shared" si="27"/>
        <v>154276288.84</v>
      </c>
      <c r="D15" s="51">
        <f t="shared" si="27"/>
        <v>154116635.28999999</v>
      </c>
      <c r="E15" s="51">
        <f t="shared" si="27"/>
        <v>147038902.59999999</v>
      </c>
      <c r="F15" s="51">
        <f t="shared" si="27"/>
        <v>156203562.94999999</v>
      </c>
      <c r="G15" s="51">
        <f t="shared" si="27"/>
        <v>156069382.63999999</v>
      </c>
      <c r="H15" s="51">
        <f t="shared" si="27"/>
        <v>155804011.05000001</v>
      </c>
      <c r="I15" s="51">
        <f t="shared" si="27"/>
        <v>153502818.07999998</v>
      </c>
      <c r="J15" s="51">
        <f t="shared" si="27"/>
        <v>154083316.96000001</v>
      </c>
      <c r="K15" s="51">
        <f t="shared" si="27"/>
        <v>158921924.48000002</v>
      </c>
      <c r="L15" s="51">
        <f t="shared" si="27"/>
        <v>158061218.22</v>
      </c>
      <c r="M15" s="51">
        <f t="shared" si="27"/>
        <v>155384895.93000001</v>
      </c>
      <c r="N15" s="51">
        <f t="shared" si="27"/>
        <v>151317923</v>
      </c>
      <c r="O15" s="51">
        <f t="shared" ref="O15:AE15" si="28">O16+O17+O18+O19+O20+O21</f>
        <v>156137547.11000001</v>
      </c>
      <c r="P15" s="51">
        <f t="shared" si="28"/>
        <v>157154956.38</v>
      </c>
      <c r="Q15" s="51">
        <f t="shared" si="28"/>
        <v>158086720.83000001</v>
      </c>
      <c r="R15" s="51">
        <f t="shared" si="28"/>
        <v>169960905.03</v>
      </c>
      <c r="S15" s="51">
        <f t="shared" si="28"/>
        <v>166013660.88</v>
      </c>
      <c r="T15" s="51">
        <f t="shared" si="28"/>
        <v>167428952.12</v>
      </c>
      <c r="U15" s="51">
        <f t="shared" si="28"/>
        <v>169535144.25999999</v>
      </c>
      <c r="V15" s="51">
        <f t="shared" si="28"/>
        <v>166561823.06</v>
      </c>
      <c r="W15" s="51">
        <f t="shared" si="28"/>
        <v>166777478.50999999</v>
      </c>
      <c r="X15" s="51">
        <f t="shared" si="28"/>
        <v>167025895.40000001</v>
      </c>
      <c r="Y15" s="51">
        <f t="shared" si="28"/>
        <v>165656553.65000001</v>
      </c>
      <c r="Z15" s="51">
        <f t="shared" si="28"/>
        <v>168855280.71000001</v>
      </c>
      <c r="AA15" s="51">
        <f t="shared" si="28"/>
        <v>158851067</v>
      </c>
      <c r="AB15" s="51">
        <f t="shared" si="28"/>
        <v>140196871.74000001</v>
      </c>
      <c r="AC15" s="51">
        <f t="shared" si="28"/>
        <v>143007659.42000002</v>
      </c>
      <c r="AD15" s="51">
        <f t="shared" si="28"/>
        <v>145175896.48000002</v>
      </c>
      <c r="AE15" s="51">
        <f t="shared" si="28"/>
        <v>147441899.44</v>
      </c>
      <c r="AF15" s="51">
        <f t="shared" ref="AF15:AL15" si="29">AF16+AF17+AF18+AF19+AF20+AF21</f>
        <v>149611401</v>
      </c>
      <c r="AG15" s="51">
        <f t="shared" si="29"/>
        <v>151774309</v>
      </c>
      <c r="AH15" s="51">
        <f t="shared" si="29"/>
        <v>154008306.44</v>
      </c>
      <c r="AI15" s="51">
        <f t="shared" si="29"/>
        <v>155952930.97999999</v>
      </c>
      <c r="AJ15" s="51">
        <f t="shared" si="29"/>
        <v>158252703</v>
      </c>
      <c r="AK15" s="51">
        <f t="shared" si="29"/>
        <v>157256307</v>
      </c>
      <c r="AL15" s="51">
        <f t="shared" si="29"/>
        <v>150629822.86000001</v>
      </c>
      <c r="AM15" s="51">
        <f t="shared" ref="AM15:AN15" si="30">AM16+AM17+AM18+AM19+AM20+AM21</f>
        <v>151585535.72999999</v>
      </c>
      <c r="AN15" s="51">
        <f t="shared" si="30"/>
        <v>169276637</v>
      </c>
      <c r="AO15" s="51">
        <f t="shared" ref="AO15:AQ15" si="31">AO16+AO17+AO18+AO19+AO20+AO21</f>
        <v>181138105.42000002</v>
      </c>
      <c r="AP15" s="51">
        <f t="shared" si="31"/>
        <v>170298729.34999999</v>
      </c>
      <c r="AQ15" s="51">
        <f t="shared" si="31"/>
        <v>170033981.24000001</v>
      </c>
      <c r="AR15" s="51">
        <f t="shared" ref="AR15:AS15" si="32">AR16+AR17+AR18+AR19+AR20+AR21</f>
        <v>172713121.34</v>
      </c>
      <c r="AS15" s="51">
        <f t="shared" si="32"/>
        <v>173347609.15000001</v>
      </c>
      <c r="AT15" s="51">
        <f t="shared" ref="AT15:AU15" si="33">AT16+AT17+AT18+AT19+AT20+AT21</f>
        <v>186764413.16</v>
      </c>
      <c r="AU15" s="51">
        <f t="shared" si="33"/>
        <v>187020188.20999998</v>
      </c>
      <c r="AV15" s="51">
        <f t="shared" ref="AV15:AW15" si="34">AV16+AV17+AV18+AV19+AV20+AV21</f>
        <v>187114429.68000001</v>
      </c>
      <c r="AW15" s="51">
        <f t="shared" si="34"/>
        <v>186590824.75999999</v>
      </c>
    </row>
    <row r="16" spans="1:50">
      <c r="A16" s="54" t="s">
        <v>166</v>
      </c>
      <c r="B16" s="49" t="e">
        <f>'[1]Balance Sheet'!C39</f>
        <v>#REF!</v>
      </c>
      <c r="C16" s="49">
        <f>'Balance Sheet'!D39</f>
        <v>114085882.16</v>
      </c>
      <c r="D16" s="49">
        <f>'Balance Sheet'!E39</f>
        <v>114218762.16</v>
      </c>
      <c r="E16" s="49">
        <f>'Balance Sheet'!F39</f>
        <v>114924459.16</v>
      </c>
      <c r="F16" s="49">
        <f>'Balance Sheet'!G39</f>
        <v>115957259.16</v>
      </c>
      <c r="G16" s="49">
        <f>'Balance Sheet'!H39</f>
        <v>116933264.16</v>
      </c>
      <c r="H16" s="49">
        <f>'Balance Sheet'!I39</f>
        <v>117572377.66</v>
      </c>
      <c r="I16" s="49">
        <f>'Balance Sheet'!J39</f>
        <v>118109400.36</v>
      </c>
      <c r="J16" s="49">
        <f>'Balance Sheet'!K39</f>
        <v>118353452.31</v>
      </c>
      <c r="K16" s="49">
        <f>'Balance Sheet'!L39</f>
        <v>118387842.31</v>
      </c>
      <c r="L16" s="49">
        <f>'Balance Sheet'!M39</f>
        <v>118598816.66</v>
      </c>
      <c r="M16" s="49">
        <f>'Balance Sheet'!N39</f>
        <v>118844476.36</v>
      </c>
      <c r="N16" s="49">
        <f>'Balance Sheet'!O39</f>
        <v>118848080</v>
      </c>
      <c r="O16" s="49">
        <f>'Balance Sheet'!P39</f>
        <v>119077836.81</v>
      </c>
      <c r="P16" s="49">
        <f>'Balance Sheet'!Q39</f>
        <v>119340670.56</v>
      </c>
      <c r="Q16" s="49">
        <f>'Balance Sheet'!R39</f>
        <v>119731068.26000001</v>
      </c>
      <c r="R16" s="49">
        <f>'Balance Sheet'!S39</f>
        <v>120158087.41</v>
      </c>
      <c r="S16" s="49">
        <f>'Balance Sheet'!T39</f>
        <v>120470415.66</v>
      </c>
      <c r="T16" s="49">
        <f>'Balance Sheet'!U39</f>
        <v>123272354.84</v>
      </c>
      <c r="U16" s="49">
        <f>'Balance Sheet'!V39</f>
        <v>123585244.44</v>
      </c>
      <c r="V16" s="49">
        <f>'Balance Sheet'!W39</f>
        <v>123857296.44</v>
      </c>
      <c r="W16" s="49">
        <f>'Balance Sheet'!X39</f>
        <v>124072011.34</v>
      </c>
      <c r="X16" s="49">
        <f>'Balance Sheet'!Y39</f>
        <v>124307390.04000001</v>
      </c>
      <c r="Y16" s="49">
        <f>'Balance Sheet'!Z39</f>
        <v>124605927.23999999</v>
      </c>
      <c r="Z16" s="49">
        <f>'Balance Sheet'!AA39</f>
        <v>125122050.09</v>
      </c>
      <c r="AA16" s="49">
        <f>'Balance Sheet'!AB39</f>
        <v>125122050</v>
      </c>
      <c r="AB16" s="49">
        <f>'Balance Sheet'!AC39</f>
        <v>63616039.369999997</v>
      </c>
      <c r="AC16" s="49">
        <f>'Balance Sheet'!AD39</f>
        <v>64821976.710000001</v>
      </c>
      <c r="AD16" s="49">
        <f>'Balance Sheet'!AE39</f>
        <v>65855396.740000002</v>
      </c>
      <c r="AE16" s="49">
        <f>'Balance Sheet'!AF39</f>
        <v>66988398.219999999</v>
      </c>
      <c r="AF16" s="49">
        <f>'Balance Sheet'!AG39</f>
        <v>68073149</v>
      </c>
      <c r="AG16" s="49">
        <f>'Balance Sheet'!AH39</f>
        <v>69154603</v>
      </c>
      <c r="AH16" s="49">
        <f>'Balance Sheet'!AI39</f>
        <v>70271601.719999999</v>
      </c>
      <c r="AI16" s="49">
        <f>'Balance Sheet'!AJ39</f>
        <v>71243913.989999995</v>
      </c>
      <c r="AJ16" s="49">
        <f>'Balance Sheet'!AK39</f>
        <v>72393800</v>
      </c>
      <c r="AK16" s="49">
        <f>'Balance Sheet'!AL39</f>
        <v>71895602</v>
      </c>
      <c r="AL16" s="49">
        <f>'Balance Sheet'!AM39</f>
        <v>68582359.930000007</v>
      </c>
      <c r="AM16" s="49">
        <f>'Balance Sheet'!AN39</f>
        <v>67256355.379999995</v>
      </c>
      <c r="AN16" s="49">
        <f>'Balance Sheet'!AO39</f>
        <v>134853474</v>
      </c>
      <c r="AO16" s="49">
        <f>'Balance Sheet'!AP39</f>
        <v>135387911.83000001</v>
      </c>
      <c r="AP16" s="49">
        <f>'Balance Sheet'!AQ39</f>
        <v>135963711.13</v>
      </c>
      <c r="AQ16" s="49">
        <f>'Balance Sheet'!AR39</f>
        <v>134634197.13</v>
      </c>
      <c r="AR16" s="49">
        <f>'Balance Sheet'!AS39</f>
        <v>137069905.68000001</v>
      </c>
      <c r="AS16" s="49">
        <f>'Balance Sheet'!AT39</f>
        <v>137655429.18000001</v>
      </c>
      <c r="AT16" s="49">
        <f>'Balance Sheet'!AU39</f>
        <v>138399600.94999999</v>
      </c>
      <c r="AU16" s="49">
        <f>'Balance Sheet'!AV39</f>
        <v>138941892.72999999</v>
      </c>
      <c r="AV16" s="49">
        <f>'Balance Sheet'!AW39</f>
        <v>139571307.88</v>
      </c>
      <c r="AW16" s="49">
        <f>'Balance Sheet'!AX39</f>
        <v>140068714.38</v>
      </c>
    </row>
    <row r="17" spans="1:49">
      <c r="A17" s="48" t="s">
        <v>167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</row>
    <row r="18" spans="1:49">
      <c r="A18" s="48" t="s">
        <v>45</v>
      </c>
      <c r="B18" s="49">
        <f>'[1]Balance Sheet'!C41</f>
        <v>0</v>
      </c>
      <c r="C18" s="49">
        <f>'Balance Sheet'!D41</f>
        <v>29865292.68</v>
      </c>
      <c r="D18" s="49">
        <f>'Balance Sheet'!E41</f>
        <v>29572759.129999999</v>
      </c>
      <c r="E18" s="49">
        <f>'Balance Sheet'!F41</f>
        <v>21739939.440000001</v>
      </c>
      <c r="F18" s="49">
        <f>'Balance Sheet'!G41</f>
        <v>29871799.789999999</v>
      </c>
      <c r="G18" s="49">
        <f>'Balance Sheet'!H41</f>
        <v>28761614.48</v>
      </c>
      <c r="H18" s="49">
        <f>'Balance Sheet'!I41</f>
        <v>27857129.390000001</v>
      </c>
      <c r="I18" s="49">
        <f>'Balance Sheet'!J41</f>
        <v>25018913.719999999</v>
      </c>
      <c r="J18" s="49">
        <f>'Balance Sheet'!K41</f>
        <v>25355360.649999999</v>
      </c>
      <c r="K18" s="49">
        <f>'Balance Sheet'!L41</f>
        <v>30159578.170000002</v>
      </c>
      <c r="L18" s="49">
        <f>'Balance Sheet'!M41</f>
        <v>29087897.560000002</v>
      </c>
      <c r="M18" s="49">
        <f>'Balance Sheet'!N41</f>
        <v>26165915.57</v>
      </c>
      <c r="N18" s="49">
        <f>'Balance Sheet'!O41</f>
        <v>21835937</v>
      </c>
      <c r="O18" s="49">
        <f>'Balance Sheet'!P41</f>
        <v>26685206.300000001</v>
      </c>
      <c r="P18" s="49">
        <f>'Balance Sheet'!Q41</f>
        <v>27439781.82</v>
      </c>
      <c r="Q18" s="49">
        <f>'Balance Sheet'!R41</f>
        <v>27981148.57</v>
      </c>
      <c r="R18" s="49">
        <f>'Balance Sheet'!S41</f>
        <v>39428313.620000005</v>
      </c>
      <c r="S18" s="49">
        <f>'Balance Sheet'!T41</f>
        <v>34909339.219999999</v>
      </c>
      <c r="T18" s="49">
        <f>'Balance Sheet'!U41</f>
        <v>33522691.280000001</v>
      </c>
      <c r="U18" s="49">
        <f>'Balance Sheet'!V41</f>
        <v>35315993.82</v>
      </c>
      <c r="V18" s="49">
        <f>'Balance Sheet'!W41</f>
        <v>32070620.620000001</v>
      </c>
      <c r="W18" s="49">
        <f>'Balance Sheet'!X41</f>
        <v>32071561.170000002</v>
      </c>
      <c r="X18" s="49">
        <f>'Balance Sheet'!Y41</f>
        <v>32084599.359999999</v>
      </c>
      <c r="Y18" s="49">
        <f>'Balance Sheet'!Z41</f>
        <v>30416720.41</v>
      </c>
      <c r="Z18" s="49">
        <f>'Balance Sheet'!AA41</f>
        <v>33099324.620000001</v>
      </c>
      <c r="AA18" s="49">
        <f>'Balance Sheet'!AB41</f>
        <v>23095111</v>
      </c>
      <c r="AB18" s="49">
        <f>'Balance Sheet'!AC41</f>
        <v>63616039.369999997</v>
      </c>
      <c r="AC18" s="49">
        <f>'Balance Sheet'!AD41</f>
        <v>64821976.710000001</v>
      </c>
      <c r="AD18" s="49">
        <f>'Balance Sheet'!AE41</f>
        <v>65855396.740000002</v>
      </c>
      <c r="AE18" s="49">
        <f>'Balance Sheet'!AF41</f>
        <v>66988398.219999999</v>
      </c>
      <c r="AF18" s="49">
        <f>'Balance Sheet'!AG41</f>
        <v>68073149</v>
      </c>
      <c r="AG18" s="49">
        <f>'Balance Sheet'!AH41</f>
        <v>69154603</v>
      </c>
      <c r="AH18" s="49">
        <f>'Balance Sheet'!AI41</f>
        <v>70271601.719999999</v>
      </c>
      <c r="AI18" s="49">
        <f>'Balance Sheet'!AJ41</f>
        <v>71243913.989999995</v>
      </c>
      <c r="AJ18" s="49">
        <f>'Balance Sheet'!AK41</f>
        <v>72393800</v>
      </c>
      <c r="AK18" s="49">
        <f>'Balance Sheet'!AL41</f>
        <v>71895602</v>
      </c>
      <c r="AL18" s="49">
        <f>'Balance Sheet'!AM41</f>
        <v>68582359.930000007</v>
      </c>
      <c r="AM18" s="49">
        <f>'Balance Sheet'!AN41</f>
        <v>67256355.379999995</v>
      </c>
      <c r="AN18" s="49">
        <f>'Balance Sheet'!AO41</f>
        <v>22923816</v>
      </c>
      <c r="AO18" s="49">
        <f>'Balance Sheet'!AP41</f>
        <v>34622993.589999996</v>
      </c>
      <c r="AP18" s="49">
        <f>'Balance Sheet'!AQ41</f>
        <v>22835671.220000003</v>
      </c>
      <c r="AQ18" s="49">
        <f>'Balance Sheet'!AR41</f>
        <v>23900437.109999999</v>
      </c>
      <c r="AR18" s="49">
        <f>'Balance Sheet'!AS41</f>
        <v>24143868.66</v>
      </c>
      <c r="AS18" s="49">
        <f>'Balance Sheet'!AT41</f>
        <v>24192832.969999999</v>
      </c>
      <c r="AT18" s="49">
        <f>'Balance Sheet'!AU41</f>
        <v>36865465.210000001</v>
      </c>
      <c r="AU18" s="49">
        <f>'Balance Sheet'!AV41</f>
        <v>36578948.480000004</v>
      </c>
      <c r="AV18" s="49">
        <f>'Balance Sheet'!AW41</f>
        <v>36043774.799999997</v>
      </c>
      <c r="AW18" s="49">
        <f>'Balance Sheet'!AX41</f>
        <v>35022763.380000003</v>
      </c>
    </row>
    <row r="19" spans="1:49">
      <c r="A19" s="48" t="s">
        <v>168</v>
      </c>
      <c r="B19" s="49" t="e">
        <f>'[1]Balance Sheet'!C42</f>
        <v>#REF!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</row>
    <row r="20" spans="1:49">
      <c r="A20" s="48" t="s">
        <v>169</v>
      </c>
      <c r="B20" s="49" t="e">
        <f>'[1]Balance Sheet'!C45</f>
        <v>#REF!</v>
      </c>
      <c r="C20" s="49">
        <f>'Balance Sheet'!D45</f>
        <v>8613865</v>
      </c>
      <c r="D20" s="49">
        <f>'Balance Sheet'!E45</f>
        <v>8613865</v>
      </c>
      <c r="E20" s="49">
        <f>'Balance Sheet'!F45</f>
        <v>8663255</v>
      </c>
      <c r="F20" s="49">
        <f>'Balance Sheet'!G45</f>
        <v>8663255</v>
      </c>
      <c r="G20" s="49">
        <f>'Balance Sheet'!H45</f>
        <v>8663255</v>
      </c>
      <c r="H20" s="49">
        <f>'Balance Sheet'!I45</f>
        <v>8663255</v>
      </c>
      <c r="I20" s="49">
        <f>'Balance Sheet'!J45</f>
        <v>8663255</v>
      </c>
      <c r="J20" s="49">
        <f>'Balance Sheet'!K45</f>
        <v>8663255</v>
      </c>
      <c r="K20" s="49">
        <f>'Balance Sheet'!L45</f>
        <v>8663255</v>
      </c>
      <c r="L20" s="49">
        <f>'Balance Sheet'!M45</f>
        <v>8663255</v>
      </c>
      <c r="M20" s="49">
        <f>'Balance Sheet'!N45</f>
        <v>8663255</v>
      </c>
      <c r="N20" s="49">
        <f>'Balance Sheet'!O45</f>
        <v>8922657</v>
      </c>
      <c r="O20" s="49">
        <f>'Balance Sheet'!P45</f>
        <v>8663255</v>
      </c>
      <c r="P20" s="49">
        <f>'Balance Sheet'!Q45</f>
        <v>8663255</v>
      </c>
      <c r="Q20" s="49">
        <f>'Balance Sheet'!R45</f>
        <v>8663255</v>
      </c>
      <c r="R20" s="49">
        <f>'Balance Sheet'!S45</f>
        <v>8663255</v>
      </c>
      <c r="S20" s="49">
        <f>'Balance Sheet'!T45</f>
        <v>8922657</v>
      </c>
      <c r="T20" s="49">
        <f>'Balance Sheet'!U45</f>
        <v>8922657</v>
      </c>
      <c r="U20" s="49">
        <f>'Balance Sheet'!V45</f>
        <v>8922657</v>
      </c>
      <c r="V20" s="49">
        <f>'Balance Sheet'!W45</f>
        <v>8922657</v>
      </c>
      <c r="W20" s="49">
        <f>'Balance Sheet'!X45</f>
        <v>8922657</v>
      </c>
      <c r="X20" s="49">
        <f>'Balance Sheet'!Y45</f>
        <v>8922657</v>
      </c>
      <c r="Y20" s="49">
        <f>'Balance Sheet'!Z45</f>
        <v>8922657</v>
      </c>
      <c r="Z20" s="49">
        <f>'Balance Sheet'!AA45</f>
        <v>8922657</v>
      </c>
      <c r="AA20" s="49">
        <f>'Balance Sheet'!AB45</f>
        <v>8922657</v>
      </c>
      <c r="AB20" s="49">
        <f>'Balance Sheet'!AC45</f>
        <v>12464483</v>
      </c>
      <c r="AC20" s="49">
        <f>'Balance Sheet'!AD45</f>
        <v>12863396</v>
      </c>
      <c r="AD20" s="49">
        <f>'Balance Sheet'!AE45</f>
        <v>12964793</v>
      </c>
      <c r="AE20" s="49">
        <f>'Balance Sheet'!AF45</f>
        <v>12964793</v>
      </c>
      <c r="AF20" s="49">
        <f>'Balance Sheet'!AG45</f>
        <v>12964793</v>
      </c>
      <c r="AG20" s="49">
        <f>'Balance Sheet'!AH45</f>
        <v>12964793</v>
      </c>
      <c r="AH20" s="49">
        <f>'Balance Sheet'!AI45</f>
        <v>12964793</v>
      </c>
      <c r="AI20" s="49">
        <f>'Balance Sheet'!AJ45</f>
        <v>12964793</v>
      </c>
      <c r="AJ20" s="49">
        <f>'Balance Sheet'!AK45</f>
        <v>12964793</v>
      </c>
      <c r="AK20" s="49">
        <f>'Balance Sheet'!AL45</f>
        <v>12964793</v>
      </c>
      <c r="AL20" s="49">
        <f>'Balance Sheet'!AM45</f>
        <v>12964793</v>
      </c>
      <c r="AM20" s="49">
        <f>'Balance Sheet'!AN45</f>
        <v>16572514.970000001</v>
      </c>
      <c r="AN20" s="49">
        <f>'Balance Sheet'!AO45</f>
        <v>9788098</v>
      </c>
      <c r="AO20" s="49">
        <f>'Balance Sheet'!AP45</f>
        <v>9415951</v>
      </c>
      <c r="AP20" s="49">
        <f>'Balance Sheet'!AQ45</f>
        <v>9788098</v>
      </c>
      <c r="AQ20" s="49">
        <f>'Balance Sheet'!AR45</f>
        <v>9788098</v>
      </c>
      <c r="AR20" s="49">
        <f>'Balance Sheet'!AS45</f>
        <v>9788098</v>
      </c>
      <c r="AS20" s="49">
        <f>'Balance Sheet'!AT45</f>
        <v>9788098</v>
      </c>
      <c r="AT20" s="49">
        <f>'Balance Sheet'!AU45</f>
        <v>9788098</v>
      </c>
      <c r="AU20" s="49">
        <f>'Balance Sheet'!AV45</f>
        <v>9788098</v>
      </c>
      <c r="AV20" s="49">
        <f>'Balance Sheet'!AW45</f>
        <v>9788098</v>
      </c>
      <c r="AW20" s="49">
        <f>'Balance Sheet'!AX45</f>
        <v>9788098</v>
      </c>
    </row>
    <row r="21" spans="1:49">
      <c r="A21" s="48" t="s">
        <v>170</v>
      </c>
      <c r="B21" s="49" t="e">
        <f>'[1]Balance Sheet'!C46</f>
        <v>#REF!</v>
      </c>
      <c r="C21" s="49">
        <f>'Balance Sheet'!D46</f>
        <v>1711249</v>
      </c>
      <c r="D21" s="49">
        <f>'Balance Sheet'!E46</f>
        <v>1711249</v>
      </c>
      <c r="E21" s="49">
        <f>'Balance Sheet'!F46</f>
        <v>1711249</v>
      </c>
      <c r="F21" s="49">
        <f>'Balance Sheet'!G46</f>
        <v>1711249</v>
      </c>
      <c r="G21" s="49">
        <f>'Balance Sheet'!H46</f>
        <v>1711249</v>
      </c>
      <c r="H21" s="49">
        <f>'Balance Sheet'!I46</f>
        <v>1711249</v>
      </c>
      <c r="I21" s="49">
        <f>'Balance Sheet'!J46</f>
        <v>1711249</v>
      </c>
      <c r="J21" s="49">
        <f>'Balance Sheet'!K46</f>
        <v>1711249</v>
      </c>
      <c r="K21" s="49">
        <f>'Balance Sheet'!L46</f>
        <v>1711249</v>
      </c>
      <c r="L21" s="49">
        <f>'Balance Sheet'!M46</f>
        <v>1711249</v>
      </c>
      <c r="M21" s="49">
        <f>'Balance Sheet'!N46</f>
        <v>1711249</v>
      </c>
      <c r="N21" s="49">
        <f>'Balance Sheet'!O46</f>
        <v>1711249</v>
      </c>
      <c r="O21" s="49">
        <f>'Balance Sheet'!P46</f>
        <v>1711249</v>
      </c>
      <c r="P21" s="49">
        <f>'Balance Sheet'!Q46</f>
        <v>1711249</v>
      </c>
      <c r="Q21" s="49">
        <f>'Balance Sheet'!R46</f>
        <v>1711249</v>
      </c>
      <c r="R21" s="49">
        <f>'Balance Sheet'!S46</f>
        <v>1711249</v>
      </c>
      <c r="S21" s="49">
        <f>'Balance Sheet'!T46</f>
        <v>1711249</v>
      </c>
      <c r="T21" s="49">
        <f>'Balance Sheet'!U46</f>
        <v>1711249</v>
      </c>
      <c r="U21" s="49">
        <f>'Balance Sheet'!V46</f>
        <v>1711249</v>
      </c>
      <c r="V21" s="49">
        <f>'Balance Sheet'!W46</f>
        <v>1711249</v>
      </c>
      <c r="W21" s="49">
        <f>'Balance Sheet'!X46</f>
        <v>1711249</v>
      </c>
      <c r="X21" s="49">
        <f>'Balance Sheet'!Y46</f>
        <v>1711249</v>
      </c>
      <c r="Y21" s="49">
        <f>'Balance Sheet'!Z46</f>
        <v>1711249</v>
      </c>
      <c r="Z21" s="49">
        <f>'Balance Sheet'!AA46</f>
        <v>1711249</v>
      </c>
      <c r="AA21" s="49">
        <f>'Balance Sheet'!AB46</f>
        <v>1711249</v>
      </c>
      <c r="AB21" s="49">
        <f>'Balance Sheet'!AC46</f>
        <v>500310</v>
      </c>
      <c r="AC21" s="49">
        <f>'Balance Sheet'!AD46</f>
        <v>500310</v>
      </c>
      <c r="AD21" s="49">
        <f>'Balance Sheet'!AE46</f>
        <v>500310</v>
      </c>
      <c r="AE21" s="49">
        <f>'Balance Sheet'!AF46</f>
        <v>500310</v>
      </c>
      <c r="AF21" s="49">
        <f>'Balance Sheet'!AG46</f>
        <v>500310</v>
      </c>
      <c r="AG21" s="49">
        <f>'Balance Sheet'!AH46</f>
        <v>500310</v>
      </c>
      <c r="AH21" s="49">
        <f>'Balance Sheet'!AI46</f>
        <v>500310</v>
      </c>
      <c r="AI21" s="49">
        <f>'Balance Sheet'!AJ46</f>
        <v>500310</v>
      </c>
      <c r="AJ21" s="49">
        <f>'Balance Sheet'!AK46</f>
        <v>500310</v>
      </c>
      <c r="AK21" s="49">
        <f>'Balance Sheet'!AL46</f>
        <v>500310</v>
      </c>
      <c r="AL21" s="49">
        <f>'Balance Sheet'!AM46</f>
        <v>500310</v>
      </c>
      <c r="AM21" s="49">
        <f>'Balance Sheet'!AN46</f>
        <v>500310</v>
      </c>
      <c r="AN21" s="49">
        <f>'Balance Sheet'!AO46</f>
        <v>1711249</v>
      </c>
      <c r="AO21" s="49">
        <f>'Balance Sheet'!AP46</f>
        <v>1711249</v>
      </c>
      <c r="AP21" s="49">
        <f>'Balance Sheet'!AQ46</f>
        <v>1711249</v>
      </c>
      <c r="AQ21" s="49">
        <f>'Balance Sheet'!AR46</f>
        <v>1711249</v>
      </c>
      <c r="AR21" s="49">
        <f>'Balance Sheet'!AS46</f>
        <v>1711249</v>
      </c>
      <c r="AS21" s="49">
        <f>'Balance Sheet'!AT46</f>
        <v>1711249</v>
      </c>
      <c r="AT21" s="49">
        <f>'Balance Sheet'!AU46</f>
        <v>1711249</v>
      </c>
      <c r="AU21" s="49">
        <f>'Balance Sheet'!AV46</f>
        <v>1711249</v>
      </c>
      <c r="AV21" s="49">
        <f>'Balance Sheet'!AW46</f>
        <v>1711249</v>
      </c>
      <c r="AW21" s="49">
        <f>'Balance Sheet'!AX46</f>
        <v>1711249</v>
      </c>
    </row>
    <row r="22" spans="1:49">
      <c r="A22" s="50" t="s">
        <v>171</v>
      </c>
      <c r="B22" s="49"/>
      <c r="C22" s="49"/>
      <c r="D22" s="49"/>
      <c r="E22" s="49"/>
      <c r="F22" s="49"/>
      <c r="G22" s="49"/>
      <c r="H22" s="49"/>
    </row>
    <row r="23" spans="1:49">
      <c r="A23" s="48" t="s">
        <v>52</v>
      </c>
      <c r="B23" s="49"/>
      <c r="C23" s="49"/>
      <c r="D23" s="49"/>
      <c r="E23" s="49"/>
      <c r="F23" s="49"/>
      <c r="G23" s="49"/>
      <c r="H23" s="49"/>
    </row>
    <row r="24" spans="1:49">
      <c r="A24" s="48" t="s">
        <v>172</v>
      </c>
      <c r="B24" s="49"/>
      <c r="C24" s="49"/>
      <c r="D24" s="49"/>
      <c r="E24" s="49"/>
      <c r="F24" s="49"/>
      <c r="G24" s="49"/>
      <c r="H24" s="49"/>
    </row>
    <row r="25" spans="1:49" ht="12.75">
      <c r="A25" s="50" t="s">
        <v>173</v>
      </c>
      <c r="B25" s="55" t="e">
        <f t="shared" ref="B25:N25" si="35">B26+B27+B29</f>
        <v>#REF!</v>
      </c>
      <c r="C25" s="55">
        <f t="shared" si="35"/>
        <v>20897022.5</v>
      </c>
      <c r="D25" s="55">
        <f t="shared" si="35"/>
        <v>20897022.5</v>
      </c>
      <c r="E25" s="55">
        <f t="shared" si="35"/>
        <v>20897022.5</v>
      </c>
      <c r="F25" s="55">
        <f t="shared" si="35"/>
        <v>20897022.5</v>
      </c>
      <c r="G25" s="55">
        <f t="shared" si="35"/>
        <v>20897022.5</v>
      </c>
      <c r="H25" s="55">
        <f t="shared" si="35"/>
        <v>20897022.5</v>
      </c>
      <c r="I25" s="55">
        <f t="shared" si="35"/>
        <v>20897022.5</v>
      </c>
      <c r="J25" s="55">
        <f t="shared" si="35"/>
        <v>20897022.5</v>
      </c>
      <c r="K25" s="55">
        <f t="shared" si="35"/>
        <v>20897022.5</v>
      </c>
      <c r="L25" s="55">
        <f t="shared" si="35"/>
        <v>20897022.5</v>
      </c>
      <c r="M25" s="55">
        <f t="shared" si="35"/>
        <v>20897022.5</v>
      </c>
      <c r="N25" s="55">
        <f t="shared" si="35"/>
        <v>20897023</v>
      </c>
      <c r="O25" s="55">
        <f t="shared" ref="O25:AE25" si="36">O26+O27+O29</f>
        <v>20897022.5</v>
      </c>
      <c r="P25" s="55">
        <f t="shared" si="36"/>
        <v>20897022.5</v>
      </c>
      <c r="Q25" s="55">
        <f t="shared" si="36"/>
        <v>20897022.5</v>
      </c>
      <c r="R25" s="55">
        <f t="shared" si="36"/>
        <v>20897022.5</v>
      </c>
      <c r="S25" s="55">
        <f t="shared" si="36"/>
        <v>21097022.5</v>
      </c>
      <c r="T25" s="55">
        <f t="shared" si="36"/>
        <v>26097022.5</v>
      </c>
      <c r="U25" s="55">
        <f t="shared" si="36"/>
        <v>26097022.5</v>
      </c>
      <c r="V25" s="55">
        <f t="shared" si="36"/>
        <v>26097022.5</v>
      </c>
      <c r="W25" s="55">
        <f t="shared" si="36"/>
        <v>26097022.5</v>
      </c>
      <c r="X25" s="55">
        <f t="shared" si="36"/>
        <v>26097022.5</v>
      </c>
      <c r="Y25" s="55">
        <f t="shared" si="36"/>
        <v>26097022.5</v>
      </c>
      <c r="Z25" s="55">
        <f t="shared" si="36"/>
        <v>26097022.5</v>
      </c>
      <c r="AA25" s="55">
        <f t="shared" si="36"/>
        <v>26097023</v>
      </c>
      <c r="AB25" s="55">
        <f t="shared" si="36"/>
        <v>39234850.530000001</v>
      </c>
      <c r="AC25" s="55">
        <f t="shared" si="36"/>
        <v>39737491.530000001</v>
      </c>
      <c r="AD25" s="55">
        <f t="shared" si="36"/>
        <v>41467780.629999995</v>
      </c>
      <c r="AE25" s="55">
        <f t="shared" si="36"/>
        <v>41454273.530000001</v>
      </c>
      <c r="AF25" s="55">
        <f t="shared" ref="AF25:AL25" si="37">AF26+AF27+AF29</f>
        <v>42254273</v>
      </c>
      <c r="AG25" s="55">
        <f t="shared" si="37"/>
        <v>43141077</v>
      </c>
      <c r="AH25" s="55">
        <f t="shared" si="37"/>
        <v>43941076.359999999</v>
      </c>
      <c r="AI25" s="55">
        <f t="shared" si="37"/>
        <v>44832703.359999999</v>
      </c>
      <c r="AJ25" s="55">
        <f t="shared" si="37"/>
        <v>58225213</v>
      </c>
      <c r="AK25" s="55">
        <f t="shared" si="37"/>
        <v>46234117.43</v>
      </c>
      <c r="AL25" s="55">
        <f t="shared" si="37"/>
        <v>47034117.43</v>
      </c>
      <c r="AM25" s="55">
        <f t="shared" ref="AM25:AN25" si="38">AM26+AM27+AM29</f>
        <v>47484117.43</v>
      </c>
      <c r="AN25" s="55">
        <f t="shared" si="38"/>
        <v>13208023</v>
      </c>
      <c r="AO25" s="55">
        <f t="shared" ref="AO25:AQ25" si="39">AO26+AO27+AO29</f>
        <v>26147022.5</v>
      </c>
      <c r="AP25" s="55">
        <f t="shared" si="39"/>
        <v>26147022.5</v>
      </c>
      <c r="AQ25" s="55">
        <f t="shared" si="39"/>
        <v>26147022.5</v>
      </c>
      <c r="AR25" s="55">
        <f t="shared" ref="AR25:AS25" si="40">AR26+AR27+AR29</f>
        <v>26147022.5</v>
      </c>
      <c r="AS25" s="55">
        <f t="shared" si="40"/>
        <v>26347022.5</v>
      </c>
      <c r="AT25" s="55">
        <f t="shared" ref="AT25:AU25" si="41">AT26+AT27+AT29</f>
        <v>26347022.5</v>
      </c>
      <c r="AU25" s="55">
        <f t="shared" si="41"/>
        <v>28847022.5</v>
      </c>
      <c r="AV25" s="55">
        <f t="shared" ref="AV25:AW25" si="42">AV26+AV27+AV29</f>
        <v>28847022.5</v>
      </c>
      <c r="AW25" s="55">
        <f t="shared" si="42"/>
        <v>28847022.5</v>
      </c>
    </row>
    <row r="26" spans="1:49">
      <c r="A26" s="48" t="s">
        <v>174</v>
      </c>
      <c r="B26" s="49" t="e">
        <f>'[1]Balance Sheet'!C9</f>
        <v>#REF!</v>
      </c>
      <c r="C26" s="49">
        <f>'Balance Sheet'!D9</f>
        <v>0</v>
      </c>
      <c r="D26" s="49">
        <f>'Balance Sheet'!E9</f>
        <v>0</v>
      </c>
      <c r="E26" s="49">
        <f>'Balance Sheet'!F9</f>
        <v>0</v>
      </c>
      <c r="F26" s="49">
        <f>'Balance Sheet'!G9</f>
        <v>0</v>
      </c>
      <c r="G26" s="49">
        <f>'Balance Sheet'!H9</f>
        <v>0</v>
      </c>
      <c r="H26" s="49">
        <f>'Balance Sheet'!I9</f>
        <v>0</v>
      </c>
      <c r="I26" s="49">
        <f>'Balance Sheet'!J9</f>
        <v>0</v>
      </c>
      <c r="J26" s="49">
        <f>'Balance Sheet'!K9</f>
        <v>0</v>
      </c>
      <c r="K26" s="49">
        <f>'Balance Sheet'!L9</f>
        <v>0</v>
      </c>
      <c r="L26" s="49">
        <f>'Balance Sheet'!M9</f>
        <v>0</v>
      </c>
      <c r="M26" s="49">
        <f>'Balance Sheet'!N9</f>
        <v>0</v>
      </c>
      <c r="N26" s="49">
        <f>'Balance Sheet'!O9</f>
        <v>0</v>
      </c>
      <c r="O26" s="49">
        <f>'Balance Sheet'!P9</f>
        <v>0</v>
      </c>
      <c r="P26" s="49">
        <f>'Balance Sheet'!Q9</f>
        <v>0</v>
      </c>
      <c r="Q26" s="49">
        <f>'Balance Sheet'!R9</f>
        <v>0</v>
      </c>
      <c r="R26" s="49">
        <f>'Balance Sheet'!S9</f>
        <v>0</v>
      </c>
      <c r="S26" s="49">
        <f>'Balance Sheet'!T9</f>
        <v>0</v>
      </c>
      <c r="T26" s="49">
        <f>'Balance Sheet'!U9</f>
        <v>0</v>
      </c>
      <c r="U26" s="49">
        <f>'Balance Sheet'!V9</f>
        <v>0</v>
      </c>
      <c r="V26" s="49">
        <f>'Balance Sheet'!W9</f>
        <v>0</v>
      </c>
      <c r="W26" s="49">
        <f>'Balance Sheet'!X9</f>
        <v>0</v>
      </c>
      <c r="X26" s="49">
        <f>'Balance Sheet'!Y9</f>
        <v>0</v>
      </c>
      <c r="Y26" s="49">
        <f>'Balance Sheet'!Z9</f>
        <v>0</v>
      </c>
      <c r="Z26" s="49">
        <f>'Balance Sheet'!AA9</f>
        <v>0</v>
      </c>
      <c r="AA26" s="49">
        <f>'Balance Sheet'!AB9</f>
        <v>0</v>
      </c>
      <c r="AB26" s="49">
        <f>'Balance Sheet'!AC9</f>
        <v>0</v>
      </c>
      <c r="AC26" s="49">
        <f>'Balance Sheet'!AD9</f>
        <v>0</v>
      </c>
      <c r="AD26" s="49">
        <f>'Balance Sheet'!AE9</f>
        <v>0</v>
      </c>
      <c r="AE26" s="49">
        <f>'Balance Sheet'!AF9</f>
        <v>0</v>
      </c>
      <c r="AF26" s="49">
        <f>'Balance Sheet'!AG9</f>
        <v>0</v>
      </c>
      <c r="AG26" s="49">
        <f>'Balance Sheet'!AH9</f>
        <v>0</v>
      </c>
      <c r="AH26" s="49">
        <f>'Balance Sheet'!AI9</f>
        <v>0</v>
      </c>
      <c r="AI26" s="49">
        <f>'Balance Sheet'!AJ9</f>
        <v>0</v>
      </c>
      <c r="AJ26" s="49">
        <f>'Balance Sheet'!AK9</f>
        <v>0</v>
      </c>
      <c r="AK26" s="49">
        <f>'Balance Sheet'!AL9</f>
        <v>0</v>
      </c>
      <c r="AL26" s="49">
        <f>'Balance Sheet'!AM9</f>
        <v>0</v>
      </c>
      <c r="AM26" s="49">
        <f>'Balance Sheet'!AN9</f>
        <v>0</v>
      </c>
      <c r="AN26" s="49">
        <f>'Balance Sheet'!AO9</f>
        <v>0</v>
      </c>
      <c r="AO26" s="49">
        <f>'Balance Sheet'!AP9</f>
        <v>0</v>
      </c>
      <c r="AP26" s="49">
        <f>'Balance Sheet'!AQ9</f>
        <v>0</v>
      </c>
      <c r="AQ26" s="49">
        <f>'Balance Sheet'!AR9</f>
        <v>0</v>
      </c>
      <c r="AR26" s="49">
        <f>'Balance Sheet'!AS9</f>
        <v>0</v>
      </c>
      <c r="AS26" s="49">
        <f>'Balance Sheet'!AT9</f>
        <v>0</v>
      </c>
      <c r="AT26" s="49">
        <f>'Balance Sheet'!AU9</f>
        <v>0</v>
      </c>
      <c r="AU26" s="49">
        <f>'Balance Sheet'!AV9</f>
        <v>0</v>
      </c>
      <c r="AV26" s="49">
        <f>'Balance Sheet'!AW9</f>
        <v>0</v>
      </c>
      <c r="AW26" s="49">
        <f>'Balance Sheet'!AX9</f>
        <v>0</v>
      </c>
    </row>
    <row r="27" spans="1:49">
      <c r="A27" s="48" t="s">
        <v>175</v>
      </c>
      <c r="B27" s="49" t="e">
        <f>'[1]Balance Sheet'!C12</f>
        <v>#REF!</v>
      </c>
      <c r="C27" s="49">
        <f>'Balance Sheet'!D12</f>
        <v>20897022.5</v>
      </c>
      <c r="D27" s="49">
        <f>'Balance Sheet'!E12</f>
        <v>20897022.5</v>
      </c>
      <c r="E27" s="49">
        <f>'Balance Sheet'!F12</f>
        <v>20897022.5</v>
      </c>
      <c r="F27" s="49">
        <f>'Balance Sheet'!G12</f>
        <v>20897022.5</v>
      </c>
      <c r="G27" s="49">
        <f>'Balance Sheet'!H12</f>
        <v>20897022.5</v>
      </c>
      <c r="H27" s="49">
        <f>'Balance Sheet'!I12</f>
        <v>20897022.5</v>
      </c>
      <c r="I27" s="49">
        <f>'Balance Sheet'!J12</f>
        <v>20897022.5</v>
      </c>
      <c r="J27" s="49">
        <f>'Balance Sheet'!K12</f>
        <v>20897022.5</v>
      </c>
      <c r="K27" s="49">
        <f>'Balance Sheet'!L12</f>
        <v>20897022.5</v>
      </c>
      <c r="L27" s="49">
        <f>'Balance Sheet'!M12</f>
        <v>20897022.5</v>
      </c>
      <c r="M27" s="49">
        <f>'Balance Sheet'!N12</f>
        <v>20897022.5</v>
      </c>
      <c r="N27" s="49">
        <f>'Balance Sheet'!O12</f>
        <v>0</v>
      </c>
      <c r="O27" s="49">
        <f>'Balance Sheet'!P12</f>
        <v>20897022.5</v>
      </c>
      <c r="P27" s="49">
        <f>'Balance Sheet'!Q12</f>
        <v>20897022.5</v>
      </c>
      <c r="Q27" s="49">
        <f>'Balance Sheet'!R12</f>
        <v>20897022.5</v>
      </c>
      <c r="R27" s="49">
        <f>'Balance Sheet'!S12</f>
        <v>20897022.5</v>
      </c>
      <c r="S27" s="49">
        <f>'Balance Sheet'!T12</f>
        <v>21097022.5</v>
      </c>
      <c r="T27" s="49">
        <f>'Balance Sheet'!U12</f>
        <v>26097022.5</v>
      </c>
      <c r="U27" s="49">
        <f>'Balance Sheet'!V12</f>
        <v>26097022.5</v>
      </c>
      <c r="V27" s="49">
        <f>'Balance Sheet'!W12</f>
        <v>26097022.5</v>
      </c>
      <c r="W27" s="49">
        <f>'Balance Sheet'!X12</f>
        <v>26097022.5</v>
      </c>
      <c r="X27" s="49">
        <f>'Balance Sheet'!Y12</f>
        <v>26097022.5</v>
      </c>
      <c r="Y27" s="49">
        <f>'Balance Sheet'!Z12</f>
        <v>26097022.5</v>
      </c>
      <c r="Z27" s="49">
        <f>'Balance Sheet'!AA12</f>
        <v>26097022.5</v>
      </c>
      <c r="AA27" s="49">
        <f>'Balance Sheet'!AB12</f>
        <v>26097023</v>
      </c>
      <c r="AB27" s="49">
        <f>'Balance Sheet'!AC12</f>
        <v>14269632</v>
      </c>
      <c r="AC27" s="49">
        <f>'Balance Sheet'!AD12</f>
        <v>14022273</v>
      </c>
      <c r="AD27" s="49">
        <f>'Balance Sheet'!AE12</f>
        <v>14239055</v>
      </c>
      <c r="AE27" s="49">
        <f>'Balance Sheet'!AF12</f>
        <v>14239055</v>
      </c>
      <c r="AF27" s="49">
        <f>'Balance Sheet'!AG12</f>
        <v>14289055</v>
      </c>
      <c r="AG27" s="49">
        <f>'Balance Sheet'!AH12</f>
        <v>14339055</v>
      </c>
      <c r="AH27" s="49">
        <f>'Balance Sheet'!AI12</f>
        <v>14389055</v>
      </c>
      <c r="AI27" s="49">
        <f>'Balance Sheet'!AJ12</f>
        <v>14439055</v>
      </c>
      <c r="AJ27" s="49">
        <f>'Balance Sheet'!AK12</f>
        <v>14489055</v>
      </c>
      <c r="AK27" s="49">
        <f>'Balance Sheet'!AL12</f>
        <v>14539055</v>
      </c>
      <c r="AL27" s="49">
        <f>'Balance Sheet'!AM12</f>
        <v>14589055</v>
      </c>
      <c r="AM27" s="49">
        <f>'Balance Sheet'!AN12</f>
        <v>14589055</v>
      </c>
      <c r="AN27" s="49">
        <f>'Balance Sheet'!AO12</f>
        <v>13208023</v>
      </c>
      <c r="AO27" s="49">
        <f>'Balance Sheet'!AP12</f>
        <v>26147022.5</v>
      </c>
      <c r="AP27" s="49">
        <f>'Balance Sheet'!AQ12</f>
        <v>26147022.5</v>
      </c>
      <c r="AQ27" s="49">
        <f>'Balance Sheet'!AR12</f>
        <v>26147022.5</v>
      </c>
      <c r="AR27" s="49">
        <f>'Balance Sheet'!AS12</f>
        <v>26147022.5</v>
      </c>
      <c r="AS27" s="49">
        <f>'Balance Sheet'!AT12</f>
        <v>26347022.5</v>
      </c>
      <c r="AT27" s="49">
        <f>'Balance Sheet'!AU12</f>
        <v>26347022.5</v>
      </c>
      <c r="AU27" s="49">
        <f>'Balance Sheet'!AV12</f>
        <v>28847022.5</v>
      </c>
      <c r="AV27" s="49">
        <f>'Balance Sheet'!AW12</f>
        <v>28847022.5</v>
      </c>
      <c r="AW27" s="49">
        <f>'Balance Sheet'!AX12</f>
        <v>28847022.5</v>
      </c>
    </row>
    <row r="28" spans="1:49">
      <c r="A28" s="48" t="s">
        <v>176</v>
      </c>
      <c r="B28" s="49" t="e">
        <f>'[1]Balance Sheet'!C10</f>
        <v>#REF!</v>
      </c>
      <c r="C28" s="49">
        <f>'Balance Sheet'!D10</f>
        <v>120305.43</v>
      </c>
      <c r="D28" s="49">
        <f>'Balance Sheet'!E10</f>
        <v>30208290.670000002</v>
      </c>
      <c r="E28" s="49">
        <f>'Balance Sheet'!F10</f>
        <v>30449722.449999999</v>
      </c>
      <c r="F28" s="49">
        <f>'Balance Sheet'!G10</f>
        <v>30683691.690000001</v>
      </c>
      <c r="G28" s="49">
        <f>'Balance Sheet'!H10</f>
        <v>30925308.280000001</v>
      </c>
      <c r="H28" s="49">
        <f>'Balance Sheet'!I10</f>
        <v>30925308.280000001</v>
      </c>
      <c r="I28" s="49">
        <f>'Balance Sheet'!J10</f>
        <v>31640172.030000001</v>
      </c>
      <c r="J28" s="49">
        <f>'Balance Sheet'!K10</f>
        <v>31874153.960000001</v>
      </c>
      <c r="K28" s="49">
        <f>'Balance Sheet'!L10</f>
        <v>31874153.960000001</v>
      </c>
      <c r="L28" s="49">
        <f>'Balance Sheet'!M10</f>
        <v>62508717.539999999</v>
      </c>
      <c r="M28" s="49">
        <f>'Balance Sheet'!N10</f>
        <v>62974716.090000004</v>
      </c>
      <c r="N28" s="49">
        <f>'Balance Sheet'!O10</f>
        <v>0</v>
      </c>
      <c r="O28" s="49">
        <f>'Balance Sheet'!P10</f>
        <v>62974716.090000004</v>
      </c>
      <c r="P28" s="49">
        <f>'Balance Sheet'!Q10</f>
        <v>63866342.130000003</v>
      </c>
      <c r="Q28" s="49">
        <f>'Balance Sheet'!R10</f>
        <v>64346271.439999998</v>
      </c>
      <c r="R28" s="49">
        <f>'Balance Sheet'!S10</f>
        <v>54764214.770000003</v>
      </c>
      <c r="S28" s="49">
        <f>'Balance Sheet'!T10</f>
        <v>55182993.719999999</v>
      </c>
      <c r="T28" s="49">
        <f>'Balance Sheet'!U10</f>
        <v>55182993.719999999</v>
      </c>
      <c r="U28" s="49">
        <f>'Balance Sheet'!V10</f>
        <v>45958047.729999997</v>
      </c>
      <c r="V28" s="49">
        <f>'Balance Sheet'!W10</f>
        <v>45958047.729999997</v>
      </c>
      <c r="W28" s="49">
        <f>'Balance Sheet'!X10</f>
        <v>41269987.450000003</v>
      </c>
      <c r="X28" s="49">
        <f>'Balance Sheet'!Y10</f>
        <v>41920114.119999997</v>
      </c>
      <c r="Y28" s="49">
        <f>'Balance Sheet'!Z10</f>
        <v>42223996.130000003</v>
      </c>
      <c r="Z28" s="49">
        <f>'Balance Sheet'!AA10</f>
        <v>32538096.370000001</v>
      </c>
      <c r="AA28" s="49">
        <f>'Balance Sheet'!AB10</f>
        <v>0</v>
      </c>
      <c r="AB28" s="49">
        <f>'Balance Sheet'!AC10</f>
        <v>0</v>
      </c>
      <c r="AC28" s="49">
        <f>'Balance Sheet'!AD10</f>
        <v>0</v>
      </c>
      <c r="AD28" s="49">
        <f>'Balance Sheet'!AE10</f>
        <v>0</v>
      </c>
      <c r="AE28" s="49">
        <f>'Balance Sheet'!AF10</f>
        <v>0</v>
      </c>
      <c r="AF28" s="49">
        <f>'Balance Sheet'!AG10</f>
        <v>0</v>
      </c>
      <c r="AG28" s="49">
        <f>'Balance Sheet'!AH10</f>
        <v>0</v>
      </c>
      <c r="AH28" s="49">
        <f>'Balance Sheet'!AI10</f>
        <v>0</v>
      </c>
      <c r="AI28" s="49">
        <f>'Balance Sheet'!AJ10</f>
        <v>0</v>
      </c>
      <c r="AJ28" s="49">
        <f>'Balance Sheet'!AK10</f>
        <v>0</v>
      </c>
      <c r="AK28" s="49">
        <f>'Balance Sheet'!AL10</f>
        <v>0</v>
      </c>
      <c r="AL28" s="49">
        <f>'Balance Sheet'!AM10</f>
        <v>0</v>
      </c>
      <c r="AM28" s="49">
        <f>'Balance Sheet'!AN10</f>
        <v>0</v>
      </c>
      <c r="AN28" s="49">
        <f>'Balance Sheet'!AO10</f>
        <v>0</v>
      </c>
      <c r="AO28" s="49">
        <f>'Balance Sheet'!AP10</f>
        <v>16400559.5</v>
      </c>
      <c r="AP28" s="49">
        <f>'Balance Sheet'!AQ10</f>
        <v>16512417.380000001</v>
      </c>
      <c r="AQ28" s="49">
        <f>'Balance Sheet'!AR10</f>
        <v>10512417.380000001</v>
      </c>
      <c r="AR28" s="49">
        <f>'Balance Sheet'!AS10</f>
        <v>10512417.380000001</v>
      </c>
      <c r="AS28" s="49">
        <f>'Balance Sheet'!AT10</f>
        <v>10512417.380000001</v>
      </c>
      <c r="AT28" s="49">
        <f>'Balance Sheet'!AU10</f>
        <v>10876743.529999999</v>
      </c>
      <c r="AU28" s="49">
        <f>'Balance Sheet'!AV10</f>
        <v>10964463.939999999</v>
      </c>
      <c r="AV28" s="49">
        <f>'Balance Sheet'!AW10</f>
        <v>11056508.359999999</v>
      </c>
      <c r="AW28" s="49">
        <f>'Balance Sheet'!AX10</f>
        <v>11147989.609999999</v>
      </c>
    </row>
    <row r="29" spans="1:49">
      <c r="A29" s="48" t="s">
        <v>177</v>
      </c>
      <c r="B29" s="49" t="e">
        <f>'[1]Balance Sheet'!C11</f>
        <v>#REF!</v>
      </c>
      <c r="C29" s="49">
        <f>'Balance Sheet'!D11</f>
        <v>0</v>
      </c>
      <c r="D29" s="49">
        <f>'Balance Sheet'!E11</f>
        <v>0</v>
      </c>
      <c r="E29" s="49">
        <f>'Balance Sheet'!F11</f>
        <v>0</v>
      </c>
      <c r="F29" s="49">
        <f>'Balance Sheet'!G11</f>
        <v>0</v>
      </c>
      <c r="G29" s="49">
        <f>'Balance Sheet'!H11</f>
        <v>0</v>
      </c>
      <c r="H29" s="49">
        <f>'Balance Sheet'!I11</f>
        <v>0</v>
      </c>
      <c r="I29" s="49">
        <f>'Balance Sheet'!J11</f>
        <v>0</v>
      </c>
      <c r="J29" s="49">
        <f>'Balance Sheet'!K11</f>
        <v>0</v>
      </c>
      <c r="K29" s="49">
        <f>'Balance Sheet'!L11</f>
        <v>0</v>
      </c>
      <c r="L29" s="49">
        <f>'Balance Sheet'!M11</f>
        <v>0</v>
      </c>
      <c r="M29" s="49">
        <f>'Balance Sheet'!N11</f>
        <v>0</v>
      </c>
      <c r="N29" s="49">
        <f>'Balance Sheet'!O11</f>
        <v>20897023</v>
      </c>
      <c r="O29" s="49">
        <f>'Balance Sheet'!P11</f>
        <v>0</v>
      </c>
      <c r="P29" s="49">
        <f>'Balance Sheet'!Q11</f>
        <v>0</v>
      </c>
      <c r="Q29" s="49">
        <f>'Balance Sheet'!R11</f>
        <v>0</v>
      </c>
      <c r="R29" s="49">
        <f>'Balance Sheet'!S11</f>
        <v>0</v>
      </c>
      <c r="S29" s="49">
        <f>'Balance Sheet'!T11</f>
        <v>0</v>
      </c>
      <c r="T29" s="49">
        <f>'Balance Sheet'!U11</f>
        <v>0</v>
      </c>
      <c r="U29" s="49">
        <f>'Balance Sheet'!V11</f>
        <v>0</v>
      </c>
      <c r="V29" s="49">
        <f>'Balance Sheet'!W11</f>
        <v>0</v>
      </c>
      <c r="W29" s="49">
        <f>'Balance Sheet'!X11</f>
        <v>0</v>
      </c>
      <c r="X29" s="49">
        <f>'Balance Sheet'!Y11</f>
        <v>0</v>
      </c>
      <c r="Y29" s="49">
        <f>'Balance Sheet'!Z11</f>
        <v>0</v>
      </c>
      <c r="Z29" s="49">
        <f>'Balance Sheet'!AA11</f>
        <v>0</v>
      </c>
      <c r="AA29" s="49">
        <f>'Balance Sheet'!AB11</f>
        <v>0</v>
      </c>
      <c r="AB29" s="49">
        <f>'Balance Sheet'!AC11</f>
        <v>24965218.530000001</v>
      </c>
      <c r="AC29" s="49">
        <f>'Balance Sheet'!AD11</f>
        <v>25715218.530000001</v>
      </c>
      <c r="AD29" s="49">
        <f>'Balance Sheet'!AE11</f>
        <v>27228725.629999999</v>
      </c>
      <c r="AE29" s="49">
        <f>'Balance Sheet'!AF11</f>
        <v>27215218.530000001</v>
      </c>
      <c r="AF29" s="49">
        <f>'Balance Sheet'!AG11</f>
        <v>27965218</v>
      </c>
      <c r="AG29" s="49">
        <f>'Balance Sheet'!AH11</f>
        <v>28802022</v>
      </c>
      <c r="AH29" s="49">
        <f>'Balance Sheet'!AI11</f>
        <v>29552021.359999999</v>
      </c>
      <c r="AI29" s="49">
        <f>'Balance Sheet'!AJ11</f>
        <v>30393648.359999999</v>
      </c>
      <c r="AJ29" s="49">
        <f>'Balance Sheet'!AK11</f>
        <v>43736158</v>
      </c>
      <c r="AK29" s="49">
        <f>'Balance Sheet'!AL11</f>
        <v>31695062.43</v>
      </c>
      <c r="AL29" s="49">
        <f>'Balance Sheet'!AM11</f>
        <v>32445062.43</v>
      </c>
      <c r="AM29" s="49">
        <f>'Balance Sheet'!AN11</f>
        <v>32895062.43</v>
      </c>
      <c r="AN29" s="49">
        <f>'Balance Sheet'!AO11</f>
        <v>0</v>
      </c>
      <c r="AO29" s="49">
        <f>'Balance Sheet'!AP11</f>
        <v>0</v>
      </c>
      <c r="AP29" s="49">
        <f>'Balance Sheet'!AQ11</f>
        <v>0</v>
      </c>
      <c r="AQ29" s="49">
        <f>'Balance Sheet'!AR11</f>
        <v>0</v>
      </c>
      <c r="AR29" s="49">
        <f>'Balance Sheet'!AS11</f>
        <v>0</v>
      </c>
      <c r="AS29" s="49">
        <f>'Balance Sheet'!AT11</f>
        <v>0</v>
      </c>
      <c r="AT29" s="49">
        <f>'Balance Sheet'!AU11</f>
        <v>0</v>
      </c>
      <c r="AU29" s="49">
        <f>'Balance Sheet'!AV11</f>
        <v>0</v>
      </c>
      <c r="AV29" s="49">
        <f>'Balance Sheet'!AW11</f>
        <v>0</v>
      </c>
      <c r="AW29" s="49">
        <f>'Balance Sheet'!AX11</f>
        <v>0</v>
      </c>
    </row>
    <row r="30" spans="1:49">
      <c r="A30" s="50" t="s">
        <v>178</v>
      </c>
      <c r="B30" s="55" t="e">
        <f t="shared" ref="B30:H30" si="43">B31-B32</f>
        <v>#REF!</v>
      </c>
      <c r="C30" s="55">
        <f t="shared" si="43"/>
        <v>166362370.32999998</v>
      </c>
      <c r="D30" s="55">
        <f t="shared" si="43"/>
        <v>165731913.43000001</v>
      </c>
      <c r="E30" s="55">
        <f t="shared" si="43"/>
        <v>163245645.94</v>
      </c>
      <c r="F30" s="55">
        <f t="shared" si="43"/>
        <v>159798641.20999998</v>
      </c>
      <c r="G30" s="55">
        <f t="shared" si="43"/>
        <v>155588398.00999999</v>
      </c>
      <c r="H30" s="55">
        <f t="shared" si="43"/>
        <v>151990954.31</v>
      </c>
    </row>
    <row r="31" spans="1:49">
      <c r="A31" s="48" t="s">
        <v>179</v>
      </c>
      <c r="B31" s="49" t="e">
        <f>'[1]Balance Sheet'!C14</f>
        <v>#REF!</v>
      </c>
      <c r="C31" s="49">
        <f>'Balance Sheet'!D14</f>
        <v>189916701.47</v>
      </c>
      <c r="D31" s="49">
        <f>'Balance Sheet'!E14</f>
        <v>189286244.56999999</v>
      </c>
      <c r="E31" s="49">
        <f>'Balance Sheet'!F14</f>
        <v>186799977.08000001</v>
      </c>
      <c r="F31" s="49">
        <f>'Balance Sheet'!G14</f>
        <v>183352972.34999999</v>
      </c>
      <c r="G31" s="49">
        <f>'Balance Sheet'!H14</f>
        <v>179142729.15000001</v>
      </c>
      <c r="H31" s="49">
        <f>'Balance Sheet'!I14</f>
        <v>175545285.44999999</v>
      </c>
      <c r="I31" s="49">
        <f>'Balance Sheet'!J14</f>
        <v>173231632.81999999</v>
      </c>
      <c r="J31" s="49">
        <f>'Balance Sheet'!K14</f>
        <v>168146955.53999999</v>
      </c>
      <c r="K31" s="49">
        <f>'Balance Sheet'!L14</f>
        <v>141939233.34999999</v>
      </c>
      <c r="L31" s="49">
        <f>'Balance Sheet'!M14</f>
        <v>143018521.19</v>
      </c>
      <c r="M31" s="49">
        <f>'Balance Sheet'!N14</f>
        <v>146599270</v>
      </c>
      <c r="N31" s="49">
        <f>'Balance Sheet'!O14</f>
        <v>146599270</v>
      </c>
      <c r="O31" s="49">
        <f>'Balance Sheet'!P14</f>
        <v>148637680.13999999</v>
      </c>
      <c r="P31" s="49">
        <f>'Balance Sheet'!Q14</f>
        <v>149670375.63</v>
      </c>
      <c r="Q31" s="49">
        <f>'Balance Sheet'!R14</f>
        <v>156492438.13</v>
      </c>
      <c r="R31" s="49">
        <f>'Balance Sheet'!S14</f>
        <v>157760769.16999999</v>
      </c>
      <c r="S31" s="49">
        <f>'Balance Sheet'!T14</f>
        <v>161278685.08000001</v>
      </c>
      <c r="T31" s="49">
        <f>'Balance Sheet'!U14</f>
        <v>164841175.21000001</v>
      </c>
      <c r="U31" s="49">
        <f>'Balance Sheet'!V14</f>
        <v>169180351.43000001</v>
      </c>
      <c r="V31" s="49">
        <f>'Balance Sheet'!W14</f>
        <v>171571693.27000001</v>
      </c>
      <c r="W31" s="49">
        <f>'Balance Sheet'!X14</f>
        <v>170004855.84999999</v>
      </c>
      <c r="X31" s="49">
        <f>'Balance Sheet'!Y14</f>
        <v>162391467.03999999</v>
      </c>
      <c r="Y31" s="49">
        <f>'Balance Sheet'!Z14</f>
        <v>168795958.59999999</v>
      </c>
      <c r="Z31" s="49">
        <f>'Balance Sheet'!AA14</f>
        <v>174987267.88</v>
      </c>
      <c r="AA31" s="49">
        <f>'Balance Sheet'!AB14</f>
        <v>174987267.88</v>
      </c>
      <c r="AB31" s="49">
        <f>'Balance Sheet'!AC14</f>
        <v>328605761.27999997</v>
      </c>
      <c r="AC31" s="49">
        <f>'Balance Sheet'!AD14</f>
        <v>332716532.94</v>
      </c>
      <c r="AD31" s="49">
        <f>'Balance Sheet'!AE14</f>
        <v>334727641.41000003</v>
      </c>
      <c r="AE31" s="49">
        <f>'Balance Sheet'!AF14</f>
        <v>334500159.76999998</v>
      </c>
      <c r="AF31" s="49">
        <f>'Balance Sheet'!AG14</f>
        <v>333608688</v>
      </c>
      <c r="AG31" s="49">
        <f>'Balance Sheet'!AH14</f>
        <v>339341459</v>
      </c>
      <c r="AH31" s="49">
        <f>'Balance Sheet'!AI14</f>
        <v>342520294.05000001</v>
      </c>
      <c r="AI31" s="49">
        <f>'Balance Sheet'!AJ14</f>
        <v>338049287.12</v>
      </c>
      <c r="AJ31" s="49">
        <f>'Balance Sheet'!AK14</f>
        <v>336629735</v>
      </c>
      <c r="AK31" s="49">
        <f>'Balance Sheet'!AL14</f>
        <v>355849252.25999999</v>
      </c>
      <c r="AL31" s="49">
        <f>'Balance Sheet'!AM14</f>
        <v>360774024.47000003</v>
      </c>
      <c r="AM31" s="49">
        <f>'Balance Sheet'!AN14</f>
        <v>362796441.39999998</v>
      </c>
      <c r="AN31" s="49">
        <f>'Balance Sheet'!AO14</f>
        <v>0</v>
      </c>
      <c r="AO31" s="49">
        <f>'Balance Sheet'!AP14</f>
        <v>221324889.46000001</v>
      </c>
      <c r="AP31" s="49">
        <f>'Balance Sheet'!AQ14</f>
        <v>223980017.55000001</v>
      </c>
      <c r="AQ31" s="49">
        <f>'Balance Sheet'!AR14</f>
        <v>233799329</v>
      </c>
      <c r="AR31" s="49">
        <f>'Balance Sheet'!AS14</f>
        <v>233414002.5</v>
      </c>
      <c r="AS31" s="49">
        <f>'Balance Sheet'!AT14</f>
        <v>232376009.09999999</v>
      </c>
      <c r="AT31" s="49">
        <f>'Balance Sheet'!AU14</f>
        <v>230950569.62</v>
      </c>
      <c r="AU31" s="49">
        <f>'Balance Sheet'!AV14</f>
        <v>228888635.08000001</v>
      </c>
      <c r="AV31" s="49">
        <f>'Balance Sheet'!AW14</f>
        <v>230772846.46000001</v>
      </c>
      <c r="AW31" s="49">
        <f>'Balance Sheet'!AX14</f>
        <v>228557178.44999999</v>
      </c>
    </row>
    <row r="32" spans="1:49">
      <c r="A32" s="48" t="s">
        <v>180</v>
      </c>
      <c r="B32" s="49" t="e">
        <f>'[1]Balance Sheet'!C15</f>
        <v>#REF!</v>
      </c>
      <c r="C32" s="49">
        <f>'Balance Sheet'!D15</f>
        <v>23554331.140000001</v>
      </c>
      <c r="D32" s="49">
        <f>'Balance Sheet'!E15</f>
        <v>23554331.140000001</v>
      </c>
      <c r="E32" s="49">
        <f>'Balance Sheet'!F15</f>
        <v>23554331.140000001</v>
      </c>
      <c r="F32" s="49">
        <f>'Balance Sheet'!G15</f>
        <v>23554331.140000001</v>
      </c>
      <c r="G32" s="49">
        <f>'Balance Sheet'!H15</f>
        <v>23554331.140000001</v>
      </c>
      <c r="H32" s="49">
        <f>'Balance Sheet'!I15</f>
        <v>23554331.140000001</v>
      </c>
      <c r="I32" s="49">
        <f>'Balance Sheet'!J15</f>
        <v>23554331.140000001</v>
      </c>
      <c r="J32" s="49">
        <f>'Balance Sheet'!K15</f>
        <v>23554331.140000001</v>
      </c>
      <c r="K32" s="49">
        <f>'Balance Sheet'!L15</f>
        <v>23554331.140000001</v>
      </c>
      <c r="L32" s="49">
        <f>'Balance Sheet'!M15</f>
        <v>23554331.140000001</v>
      </c>
      <c r="M32" s="49">
        <f>'Balance Sheet'!N15</f>
        <v>27016546.390000001</v>
      </c>
      <c r="N32" s="49">
        <f>'Balance Sheet'!O15</f>
        <v>27016546.390000001</v>
      </c>
      <c r="O32" s="49">
        <f>'Balance Sheet'!P15</f>
        <v>27016546.390000001</v>
      </c>
      <c r="P32" s="49">
        <f>'Balance Sheet'!Q15</f>
        <v>27016546.390000001</v>
      </c>
      <c r="Q32" s="49">
        <f>'Balance Sheet'!R15</f>
        <v>27016546.390000001</v>
      </c>
      <c r="R32" s="49">
        <f>'Balance Sheet'!S15</f>
        <v>27016546.390000001</v>
      </c>
      <c r="S32" s="49">
        <f>'Balance Sheet'!T15</f>
        <v>27016546.390000001</v>
      </c>
      <c r="T32" s="49">
        <f>'Balance Sheet'!U15</f>
        <v>27016546.390000001</v>
      </c>
      <c r="U32" s="49">
        <f>'Balance Sheet'!V15</f>
        <v>27016546.390000001</v>
      </c>
      <c r="V32" s="49">
        <f>'Balance Sheet'!W15</f>
        <v>27016546.390000001</v>
      </c>
      <c r="W32" s="49">
        <f>'Balance Sheet'!X15</f>
        <v>27016546.390000001</v>
      </c>
      <c r="X32" s="49">
        <f>'Balance Sheet'!Y15</f>
        <v>27016546.390000001</v>
      </c>
      <c r="Y32" s="49">
        <f>'Balance Sheet'!Z15</f>
        <v>27016546.390000001</v>
      </c>
      <c r="Z32" s="49">
        <f>'Balance Sheet'!AA15</f>
        <v>26825887.469999999</v>
      </c>
      <c r="AA32" s="49">
        <f>'Balance Sheet'!AB15</f>
        <v>26825887.469999999</v>
      </c>
      <c r="AB32" s="49">
        <f>'Balance Sheet'!AC15</f>
        <v>36776544.259999998</v>
      </c>
      <c r="AC32" s="49">
        <f>'Balance Sheet'!AD15</f>
        <v>36496592.259999998</v>
      </c>
      <c r="AD32" s="49">
        <f>'Balance Sheet'!AE15</f>
        <v>37192544.259999998</v>
      </c>
      <c r="AE32" s="49">
        <f>'Balance Sheet'!AF15</f>
        <v>37400544.259999998</v>
      </c>
      <c r="AF32" s="49">
        <f>'Balance Sheet'!AG15</f>
        <v>37608544</v>
      </c>
      <c r="AG32" s="49">
        <f>'Balance Sheet'!AH15</f>
        <v>37816544</v>
      </c>
      <c r="AH32" s="49">
        <f>'Balance Sheet'!AI15</f>
        <v>38024544.259999998</v>
      </c>
      <c r="AI32" s="49">
        <f>'Balance Sheet'!AJ15</f>
        <v>38232544.259999998</v>
      </c>
      <c r="AJ32" s="49">
        <f>'Balance Sheet'!AK15</f>
        <v>38440544</v>
      </c>
      <c r="AK32" s="49">
        <f>'Balance Sheet'!AL15</f>
        <v>38648544.259999998</v>
      </c>
      <c r="AL32" s="49">
        <f>'Balance Sheet'!AM15</f>
        <v>38856544.259999998</v>
      </c>
      <c r="AM32" s="49">
        <f>'Balance Sheet'!AN15</f>
        <v>39068544.259999998</v>
      </c>
      <c r="AN32" s="49">
        <f>'Balance Sheet'!AO15</f>
        <v>0</v>
      </c>
      <c r="AO32" s="49">
        <f>'Balance Sheet'!AP15</f>
        <v>27012102.030000001</v>
      </c>
      <c r="AP32" s="49">
        <f>'Balance Sheet'!AQ15</f>
        <v>27012102.030000001</v>
      </c>
      <c r="AQ32" s="49">
        <f>'Balance Sheet'!AR15</f>
        <v>27012102.030000001</v>
      </c>
      <c r="AR32" s="49">
        <f>'Balance Sheet'!AS15</f>
        <v>27012102.030000001</v>
      </c>
      <c r="AS32" s="49">
        <f>'Balance Sheet'!AT15</f>
        <v>27012102.030000001</v>
      </c>
      <c r="AT32" s="49">
        <f>'Balance Sheet'!AU15</f>
        <v>27012102.030000001</v>
      </c>
      <c r="AU32" s="49">
        <f>'Balance Sheet'!AV15</f>
        <v>27012102.030000001</v>
      </c>
      <c r="AV32" s="49">
        <f>'Balance Sheet'!AW15</f>
        <v>27012102.030000001</v>
      </c>
      <c r="AW32" s="49">
        <f>'Balance Sheet'!AX15</f>
        <v>27012102.030000001</v>
      </c>
    </row>
    <row r="33" spans="1:49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</row>
    <row r="34" spans="1:49">
      <c r="A34" s="48" t="s">
        <v>110</v>
      </c>
      <c r="B34" s="49" t="e">
        <f>'[1]Balance Sheet'!C7+'[1]Balance Sheet'!C16+'[1]Balance Sheet'!C20</f>
        <v>#REF!</v>
      </c>
      <c r="C34" s="49">
        <f>'Balance Sheet'!D7+'Balance Sheet'!D16+'Balance Sheet'!D20</f>
        <v>159458235.84</v>
      </c>
      <c r="D34" s="49">
        <f>'Balance Sheet'!E7+'Balance Sheet'!E16+'Balance Sheet'!E20</f>
        <v>155738213.43000001</v>
      </c>
      <c r="E34" s="49">
        <f>'Balance Sheet'!F7+'Balance Sheet'!F16+'Balance Sheet'!F20</f>
        <v>154441916.56999999</v>
      </c>
      <c r="F34" s="49">
        <f>'Balance Sheet'!G7+'Balance Sheet'!G16+'Balance Sheet'!G20</f>
        <v>155048836.84</v>
      </c>
      <c r="G34" s="49">
        <f>'Balance Sheet'!H7+'Balance Sheet'!H16+'Balance Sheet'!H20</f>
        <v>155438842.81</v>
      </c>
      <c r="H34" s="49">
        <f>'Balance Sheet'!I7+'Balance Sheet'!I16+'Balance Sheet'!I20</f>
        <v>156095926.59999999</v>
      </c>
      <c r="I34" s="49">
        <f>'Balance Sheet'!J7+'Balance Sheet'!J16+'Balance Sheet'!J20</f>
        <v>161188296.31999999</v>
      </c>
      <c r="J34" s="49">
        <f>'Balance Sheet'!K7+'Balance Sheet'!K16+'Balance Sheet'!K20</f>
        <v>161009996.96000001</v>
      </c>
      <c r="K34" s="49">
        <f>'Balance Sheet'!L7+'Balance Sheet'!L16+'Balance Sheet'!L20</f>
        <v>148392703.85999998</v>
      </c>
      <c r="L34" s="49">
        <f>'Balance Sheet'!M7+'Balance Sheet'!M16+'Balance Sheet'!M20</f>
        <v>150315526.68000001</v>
      </c>
      <c r="M34" s="49">
        <f>'Balance Sheet'!N7+'Balance Sheet'!N16+'Balance Sheet'!N20</f>
        <v>151182518.49000001</v>
      </c>
      <c r="N34" s="49">
        <f>'Balance Sheet'!O7+'Balance Sheet'!O16+'Balance Sheet'!O20</f>
        <v>153475268.86000001</v>
      </c>
      <c r="O34" s="49">
        <f>'Balance Sheet'!P7+'Balance Sheet'!P16+'Balance Sheet'!P20</f>
        <v>148907262.06</v>
      </c>
      <c r="P34" s="49">
        <f>'Balance Sheet'!Q7+'Balance Sheet'!Q16+'Balance Sheet'!Q20</f>
        <v>146012524.83000001</v>
      </c>
      <c r="Q34" s="49">
        <f>'Balance Sheet'!R7+'Balance Sheet'!R16+'Balance Sheet'!R20</f>
        <v>147789892.19</v>
      </c>
      <c r="R34" s="49">
        <f>'Balance Sheet'!S7+'Balance Sheet'!S16+'Balance Sheet'!S20</f>
        <v>147912489.93000001</v>
      </c>
      <c r="S34" s="49">
        <f>'Balance Sheet'!T7+'Balance Sheet'!T16+'Balance Sheet'!T20</f>
        <v>145100062.84</v>
      </c>
      <c r="T34" s="49">
        <f>'Balance Sheet'!U7+'Balance Sheet'!U16+'Balance Sheet'!U20</f>
        <v>148277945.31</v>
      </c>
      <c r="U34" s="49">
        <f>'Balance Sheet'!V7+'Balance Sheet'!V16+'Balance Sheet'!V20</f>
        <v>145461023.66999999</v>
      </c>
      <c r="V34" s="49">
        <f>'Balance Sheet'!W7+'Balance Sheet'!W16+'Balance Sheet'!W20</f>
        <v>140276452.49000001</v>
      </c>
      <c r="W34" s="49">
        <f>'Balance Sheet'!X7+'Balance Sheet'!X16+'Balance Sheet'!X20</f>
        <v>152890788.90000001</v>
      </c>
      <c r="X34" s="49">
        <f>'Balance Sheet'!Y7+'Balance Sheet'!Y16+'Balance Sheet'!Y20</f>
        <v>146668123.50999999</v>
      </c>
      <c r="Y34" s="49">
        <f>'Balance Sheet'!Z7+'Balance Sheet'!Z16+'Balance Sheet'!Z20</f>
        <v>148070681.56999999</v>
      </c>
      <c r="Z34" s="49">
        <f>'Balance Sheet'!AA7+'Balance Sheet'!AA16+'Balance Sheet'!AA20</f>
        <v>154543586.38</v>
      </c>
      <c r="AA34" s="49">
        <f>'Balance Sheet'!AB7+'Balance Sheet'!AB16+'Balance Sheet'!AB20</f>
        <v>154068243.38999999</v>
      </c>
      <c r="AB34" s="49">
        <f>'Balance Sheet'!AC7+'Balance Sheet'!AC16+'Balance Sheet'!AC20</f>
        <v>34542016.560000002</v>
      </c>
      <c r="AC34" s="49">
        <f>'Balance Sheet'!AD7+'Balance Sheet'!AD16+'Balance Sheet'!AD20</f>
        <v>33316436.699999999</v>
      </c>
      <c r="AD34" s="49">
        <f>'Balance Sheet'!AE7+'Balance Sheet'!AE16+'Balance Sheet'!AE20</f>
        <v>32412308.93</v>
      </c>
      <c r="AE34" s="49">
        <f>'Balance Sheet'!AF7+'Balance Sheet'!AF16+'Balance Sheet'!AF20</f>
        <v>32292857.629999999</v>
      </c>
      <c r="AF34" s="49">
        <f>'Balance Sheet'!AG7+'Balance Sheet'!AG16+'Balance Sheet'!AG20</f>
        <v>24807935</v>
      </c>
      <c r="AG34" s="49">
        <f>'Balance Sheet'!AH7+'Balance Sheet'!AH16+'Balance Sheet'!AH20</f>
        <v>33815438</v>
      </c>
      <c r="AH34" s="49">
        <f>'Balance Sheet'!AI7+'Balance Sheet'!AI16+'Balance Sheet'!AI20</f>
        <v>30022466.580000002</v>
      </c>
      <c r="AI34" s="49">
        <f>'Balance Sheet'!AJ7+'Balance Sheet'!AJ16+'Balance Sheet'!AJ20</f>
        <v>30394276.550000001</v>
      </c>
      <c r="AJ34" s="49">
        <f>'Balance Sheet'!AK7+'Balance Sheet'!AK16+'Balance Sheet'!AK20</f>
        <v>37724008</v>
      </c>
      <c r="AK34" s="49">
        <f>'Balance Sheet'!AL7+'Balance Sheet'!AL16+'Balance Sheet'!AL20</f>
        <v>19731781.530000001</v>
      </c>
      <c r="AL34" s="49">
        <f>'Balance Sheet'!AM7+'Balance Sheet'!AM16+'Balance Sheet'!AM20</f>
        <v>28936200.18</v>
      </c>
      <c r="AM34" s="49">
        <f>'Balance Sheet'!AN7+'Balance Sheet'!AN16+'Balance Sheet'!AN20</f>
        <v>29628195.66</v>
      </c>
      <c r="AN34" s="49">
        <f>'Balance Sheet'!AO7+'Balance Sheet'!AO16+'Balance Sheet'!AO20</f>
        <v>76668638</v>
      </c>
      <c r="AO34" s="49">
        <f>'Balance Sheet'!AP7+'Balance Sheet'!AP16+'Balance Sheet'!AP20</f>
        <v>133048216.81</v>
      </c>
      <c r="AP34" s="49">
        <f>'Balance Sheet'!AQ7+'Balance Sheet'!AQ16+'Balance Sheet'!AQ20</f>
        <v>137136467.49000001</v>
      </c>
      <c r="AQ34" s="49">
        <f>'Balance Sheet'!AR7+'Balance Sheet'!AR16+'Balance Sheet'!AR20</f>
        <v>130465187.56</v>
      </c>
      <c r="AR34" s="49">
        <f>'Balance Sheet'!AS7+'Balance Sheet'!AS16+'Balance Sheet'!AS20</f>
        <v>134383220.83000001</v>
      </c>
      <c r="AS34" s="49">
        <f>'Balance Sheet'!AT7+'Balance Sheet'!AT16+'Balance Sheet'!AT20</f>
        <v>131395773</v>
      </c>
      <c r="AT34" s="49">
        <f>'Balance Sheet'!AU7+'Balance Sheet'!AU16+'Balance Sheet'!AU20</f>
        <v>130858943.61</v>
      </c>
      <c r="AU34" s="49">
        <f>'Balance Sheet'!AV7+'Balance Sheet'!AV16+'Balance Sheet'!AV20</f>
        <v>139289558.26999998</v>
      </c>
      <c r="AV34" s="49">
        <f>'Balance Sheet'!AW7+'Balance Sheet'!AW16+'Balance Sheet'!AW20</f>
        <v>144148518.75999999</v>
      </c>
      <c r="AW34" s="49">
        <f>'Balance Sheet'!AX7+'Balance Sheet'!AX16+'Balance Sheet'!AX20</f>
        <v>144568447.80000001</v>
      </c>
    </row>
    <row r="35" spans="1:49">
      <c r="A35" s="48" t="s">
        <v>140</v>
      </c>
      <c r="B35" s="49">
        <f>'[1]Balance Sheet'!C20</f>
        <v>0</v>
      </c>
      <c r="C35" s="49">
        <f>'Balance Sheet'!D20</f>
        <v>70696431.969999999</v>
      </c>
      <c r="D35" s="49">
        <f>'Balance Sheet'!E20</f>
        <v>70062683.849999994</v>
      </c>
      <c r="E35" s="49">
        <f>'Balance Sheet'!F20</f>
        <v>69428935.730000004</v>
      </c>
      <c r="F35" s="49">
        <f>'Balance Sheet'!G20</f>
        <v>68795187.609999999</v>
      </c>
      <c r="G35" s="49">
        <f>'Balance Sheet'!H20</f>
        <v>68199895.120000005</v>
      </c>
      <c r="H35" s="49">
        <f>'Balance Sheet'!I20</f>
        <v>67573122.319999993</v>
      </c>
      <c r="I35" s="49">
        <f>'Balance Sheet'!J20</f>
        <v>67510417.150000006</v>
      </c>
      <c r="J35" s="49">
        <f>'Balance Sheet'!K20</f>
        <v>66863240.100000001</v>
      </c>
      <c r="K35" s="49">
        <f>'Balance Sheet'!L20</f>
        <v>66950121.339999996</v>
      </c>
      <c r="L35" s="49">
        <f>'Balance Sheet'!M20</f>
        <v>66290502.600000001</v>
      </c>
      <c r="M35" s="49">
        <f>'Balance Sheet'!N20</f>
        <v>65630883.859999999</v>
      </c>
      <c r="N35" s="49">
        <f>'Balance Sheet'!O20</f>
        <v>65630883.859999999</v>
      </c>
      <c r="O35" s="49">
        <f>'Balance Sheet'!P20</f>
        <v>65079953.730000004</v>
      </c>
      <c r="P35" s="49">
        <f>'Balance Sheet'!Q20</f>
        <v>66248143.600000001</v>
      </c>
      <c r="Q35" s="49">
        <f>'Balance Sheet'!R20</f>
        <v>65865876.149999999</v>
      </c>
      <c r="R35" s="49">
        <f>'Balance Sheet'!S20</f>
        <v>65501949.699999996</v>
      </c>
      <c r="S35" s="49">
        <f>'Balance Sheet'!T20</f>
        <v>65086141.950000003</v>
      </c>
      <c r="T35" s="49">
        <f>'Balance Sheet'!U20</f>
        <v>64655934.200000003</v>
      </c>
      <c r="U35" s="49">
        <f>'Balance Sheet'!V20</f>
        <v>64067700.18</v>
      </c>
      <c r="V35" s="49">
        <f>'Balance Sheet'!W20</f>
        <v>63592175.829999998</v>
      </c>
      <c r="W35" s="49">
        <f>'Balance Sheet'!X20</f>
        <v>66108269.219999999</v>
      </c>
      <c r="X35" s="49">
        <f>'Balance Sheet'!Y20</f>
        <v>65482246.609999999</v>
      </c>
      <c r="Y35" s="49">
        <f>'Balance Sheet'!Z20</f>
        <v>64856224</v>
      </c>
      <c r="Z35" s="49">
        <f>'Balance Sheet'!AA20</f>
        <v>64230201.390000001</v>
      </c>
      <c r="AA35" s="49">
        <f>'Balance Sheet'!AB20</f>
        <v>64230201.390000001</v>
      </c>
      <c r="AB35" s="49">
        <f>'Balance Sheet'!AC20</f>
        <v>7892711.9500000002</v>
      </c>
      <c r="AC35" s="49">
        <f>'Balance Sheet'!AD20</f>
        <v>7778873.4500000002</v>
      </c>
      <c r="AD35" s="49">
        <f>'Balance Sheet'!AE20</f>
        <v>7377622.2300000004</v>
      </c>
      <c r="AE35" s="49">
        <f>'Balance Sheet'!AF20</f>
        <v>7263783.7300000004</v>
      </c>
      <c r="AF35" s="49">
        <f>'Balance Sheet'!AG20</f>
        <v>7149945</v>
      </c>
      <c r="AG35" s="49">
        <f>'Balance Sheet'!AH20</f>
        <v>7036107</v>
      </c>
      <c r="AH35" s="49">
        <f>'Balance Sheet'!AI20</f>
        <v>7395768.2300000004</v>
      </c>
      <c r="AI35" s="49">
        <f>'Balance Sheet'!AJ20</f>
        <v>7311829.7300000004</v>
      </c>
      <c r="AJ35" s="49">
        <f>'Balance Sheet'!AK20</f>
        <v>7172179</v>
      </c>
      <c r="AK35" s="49">
        <f>'Balance Sheet'!AL20</f>
        <v>7909766.7300000004</v>
      </c>
      <c r="AL35" s="49">
        <f>'Balance Sheet'!AM20</f>
        <v>7093925.7300000004</v>
      </c>
      <c r="AM35" s="49">
        <f>'Balance Sheet'!AN20</f>
        <v>7212339.7300000004</v>
      </c>
      <c r="AN35" s="49">
        <f>'Balance Sheet'!AO20</f>
        <v>53236684</v>
      </c>
      <c r="AO35" s="49">
        <f>'Balance Sheet'!AP20</f>
        <v>60187118.920000002</v>
      </c>
      <c r="AP35" s="49">
        <f>'Balance Sheet'!AQ20</f>
        <v>59872024.509999998</v>
      </c>
      <c r="AQ35" s="49">
        <f>'Balance Sheet'!AR20</f>
        <v>59384148.850000001</v>
      </c>
      <c r="AR35" s="49">
        <f>'Balance Sheet'!AS20</f>
        <v>58896273.190000005</v>
      </c>
      <c r="AS35" s="49">
        <f>'Balance Sheet'!AT20</f>
        <v>58408397.530000001</v>
      </c>
      <c r="AT35" s="49">
        <f>'Balance Sheet'!AU20</f>
        <v>57920521.870000005</v>
      </c>
      <c r="AU35" s="49">
        <f>'Balance Sheet'!AV20</f>
        <v>72282646.209999993</v>
      </c>
      <c r="AV35" s="49">
        <f>'Balance Sheet'!AW20</f>
        <v>71739978.890000001</v>
      </c>
      <c r="AW35" s="49">
        <f>'Balance Sheet'!AX20</f>
        <v>72641183.569999993</v>
      </c>
    </row>
    <row r="36" spans="1:49">
      <c r="A36" s="48"/>
      <c r="B36" s="49"/>
      <c r="C36" s="49"/>
      <c r="D36" s="49"/>
      <c r="E36" s="49"/>
      <c r="F36" s="49"/>
      <c r="G36" s="49"/>
      <c r="H36" s="49"/>
    </row>
    <row r="37" spans="1:49">
      <c r="A37" s="48"/>
      <c r="B37" s="49"/>
      <c r="C37" s="49"/>
      <c r="D37" s="49"/>
      <c r="E37" s="49"/>
      <c r="F37" s="49"/>
      <c r="G37" s="49"/>
      <c r="H37" s="49"/>
    </row>
    <row r="38" spans="1:49">
      <c r="A38" s="50" t="s">
        <v>181</v>
      </c>
      <c r="B38" s="55" t="e">
        <f t="shared" ref="B38:H38" si="44">B39+B41+B42</f>
        <v>#REF!</v>
      </c>
      <c r="C38" s="55">
        <f t="shared" si="44"/>
        <v>6946463.7000000002</v>
      </c>
      <c r="D38" s="55">
        <f t="shared" si="44"/>
        <v>14316592.170000002</v>
      </c>
      <c r="E38" s="55">
        <f t="shared" si="44"/>
        <v>22150806.07</v>
      </c>
      <c r="F38" s="55">
        <f t="shared" si="44"/>
        <v>36822711.93</v>
      </c>
      <c r="G38" s="55">
        <f t="shared" si="44"/>
        <v>42641103.210000001</v>
      </c>
      <c r="H38" s="55">
        <f t="shared" si="44"/>
        <v>48381577.009999998</v>
      </c>
    </row>
    <row r="39" spans="1:49" ht="12.75">
      <c r="A39" s="48" t="s">
        <v>182</v>
      </c>
      <c r="B39" s="56" t="e">
        <f>'[1]Income Statement'!C6</f>
        <v>#REF!</v>
      </c>
      <c r="C39" s="56">
        <f>'Income Statement'!D6</f>
        <v>3434593.2</v>
      </c>
      <c r="D39" s="56">
        <f>'Income Statement'!E6</f>
        <v>4547619.2</v>
      </c>
      <c r="E39" s="56">
        <f>'Income Statement'!F6</f>
        <v>6319984.7400000002</v>
      </c>
      <c r="F39" s="56">
        <f>'Income Statement'!G6</f>
        <v>6933096.7400000002</v>
      </c>
      <c r="G39" s="56">
        <f>'Income Statement'!H6</f>
        <v>7701931.2400000002</v>
      </c>
      <c r="H39" s="56">
        <f>'Income Statement'!I6</f>
        <v>8847278.2400000002</v>
      </c>
      <c r="I39" s="56">
        <f>'Income Statement'!J6</f>
        <v>11007267.24</v>
      </c>
      <c r="J39" s="56">
        <f>'Income Statement'!K6</f>
        <v>12475504.24</v>
      </c>
      <c r="K39" s="56">
        <f>'Income Statement'!L6</f>
        <v>14871343.24</v>
      </c>
      <c r="L39" s="56">
        <f>'Income Statement'!M6</f>
        <v>16632499.84</v>
      </c>
      <c r="M39" s="56">
        <f>'Income Statement'!N6</f>
        <v>18723281.039999999</v>
      </c>
      <c r="N39" s="56">
        <f>'Income Statement'!O6</f>
        <v>0</v>
      </c>
      <c r="O39" s="56">
        <f>'Income Statement'!P6</f>
        <v>2114530.2000000002</v>
      </c>
      <c r="P39" s="56">
        <f>'Income Statement'!Q6</f>
        <v>3780943.2</v>
      </c>
      <c r="Q39" s="56">
        <f>'Income Statement'!R6</f>
        <v>6564890.2999999998</v>
      </c>
      <c r="R39" s="56">
        <f>'Income Statement'!S6</f>
        <v>8076078.2000000002</v>
      </c>
      <c r="S39" s="56">
        <f>'Income Statement'!T6</f>
        <v>10743485.199999999</v>
      </c>
      <c r="T39" s="56">
        <f>'Income Statement'!U6</f>
        <v>12393264.949999999</v>
      </c>
      <c r="U39" s="56">
        <f>'Income Statement'!V6</f>
        <v>15183382.449999999</v>
      </c>
      <c r="V39" s="56">
        <f>'Income Statement'!W6</f>
        <v>17706598.449999999</v>
      </c>
      <c r="W39" s="56">
        <f>'Income Statement'!X6</f>
        <v>19421846.050000001</v>
      </c>
      <c r="X39" s="56">
        <f>'Income Statement'!Y6</f>
        <v>21159667.449999999</v>
      </c>
      <c r="Y39" s="56">
        <f>'Income Statement'!Z6</f>
        <v>24631411.050000001</v>
      </c>
      <c r="Z39" s="56">
        <f>'Income Statement'!AA6</f>
        <v>35075458.350000001</v>
      </c>
      <c r="AA39" s="56">
        <f>'Income Statement'!AB6</f>
        <v>35075458.350000001</v>
      </c>
      <c r="AB39" s="56">
        <f>'Income Statement'!AC6</f>
        <v>2114530.2000000002</v>
      </c>
      <c r="AC39" s="56">
        <f>'Income Statement'!AD6</f>
        <v>3780943.2</v>
      </c>
      <c r="AD39" s="56">
        <f>'Income Statement'!AE6</f>
        <v>6564890.2999999998</v>
      </c>
      <c r="AE39" s="56">
        <f>'Income Statement'!AF6</f>
        <v>8076078.2000000002</v>
      </c>
      <c r="AF39" s="56">
        <f>'Income Statement'!AG6</f>
        <v>10743485.199999999</v>
      </c>
      <c r="AG39" s="56">
        <f>'Income Statement'!AH6</f>
        <v>12393264.949999999</v>
      </c>
      <c r="AH39" s="56">
        <f>'Income Statement'!AI6</f>
        <v>15183382.449999999</v>
      </c>
      <c r="AI39" s="56">
        <f>'Income Statement'!AJ6</f>
        <v>17706598.449999999</v>
      </c>
      <c r="AJ39" s="56">
        <f>'Income Statement'!AK6</f>
        <v>19421846.050000001</v>
      </c>
      <c r="AK39" s="56">
        <f>'Income Statement'!AL6</f>
        <v>21159667.449999999</v>
      </c>
      <c r="AL39" s="56">
        <f>'Income Statement'!AM6</f>
        <v>24631411.050000001</v>
      </c>
      <c r="AM39" s="56">
        <f>'Income Statement'!AN6</f>
        <v>35075458.350000001</v>
      </c>
      <c r="AN39" s="56">
        <f>'Income Statement'!AO6</f>
        <v>33277753</v>
      </c>
      <c r="AO39" s="56">
        <f>'Income Statement'!AP6</f>
        <v>3141524</v>
      </c>
      <c r="AP39" s="56">
        <f>'Income Statement'!AQ6</f>
        <v>5855497</v>
      </c>
      <c r="AQ39" s="56">
        <f>'Income Statement'!AR6</f>
        <v>11648958.189999999</v>
      </c>
      <c r="AR39" s="56">
        <f>'Income Statement'!AS6</f>
        <v>12343589.439999999</v>
      </c>
      <c r="AS39" s="56">
        <f>'Income Statement'!AT6</f>
        <v>14546816.83</v>
      </c>
      <c r="AT39" s="56">
        <f>'Income Statement'!AU6</f>
        <v>17096683.440000001</v>
      </c>
      <c r="AU39" s="56">
        <f>'Income Statement'!AV6</f>
        <v>19501383.440000001</v>
      </c>
      <c r="AV39" s="56">
        <f>'Income Statement'!AW6</f>
        <v>21399955.440000001</v>
      </c>
      <c r="AW39" s="56">
        <f>'Income Statement'!AX6</f>
        <v>23300521.640000001</v>
      </c>
    </row>
    <row r="40" spans="1:49" ht="12.75">
      <c r="A40" s="48" t="s">
        <v>183</v>
      </c>
      <c r="B40" s="56" t="e">
        <f>'[1]Income Statement'!C6/'[1]Income Statement'!C14</f>
        <v>#REF!</v>
      </c>
      <c r="C40" s="56">
        <f>'Income Statement'!D6/'Income Statement'!D14</f>
        <v>20.695556707118669</v>
      </c>
      <c r="D40" s="56">
        <f>'Income Statement'!E6/'Income Statement'!E14</f>
        <v>17.258451391076317</v>
      </c>
      <c r="E40" s="56">
        <f>'Income Statement'!F6/'Income Statement'!F14</f>
        <v>17.013400076991207</v>
      </c>
      <c r="F40" s="56">
        <f>'Income Statement'!G6/'Income Statement'!G14</f>
        <v>14.025920664527641</v>
      </c>
      <c r="G40" s="56">
        <f>'Income Statement'!H6/'Income Statement'!H14</f>
        <v>14.257449482047523</v>
      </c>
      <c r="H40" s="56">
        <f>'Income Statement'!I6/'Income Statement'!I14</f>
        <v>11.902568880234487</v>
      </c>
      <c r="I40" s="56">
        <f>'Income Statement'!J6/'Income Statement'!J14</f>
        <v>10.888126097800042</v>
      </c>
      <c r="J40" s="56">
        <f>'Income Statement'!K6/'Income Statement'!K14</f>
        <v>11.571886840703902</v>
      </c>
      <c r="K40" s="56">
        <f>'Income Statement'!L6/'Income Statement'!L14</f>
        <v>12.726917463852871</v>
      </c>
      <c r="L40" s="56">
        <f>'Income Statement'!M6/'Income Statement'!M14</f>
        <v>12.823919993850378</v>
      </c>
      <c r="M40" s="56">
        <f>'Income Statement'!N6/'Income Statement'!N14</f>
        <v>11.88753633729697</v>
      </c>
      <c r="N40" s="56">
        <f>'Income Statement'!O6/'Income Statement'!O14</f>
        <v>0</v>
      </c>
      <c r="O40" s="56">
        <f>'Income Statement'!P6/'Income Statement'!P14</f>
        <v>12.670415705937904</v>
      </c>
      <c r="P40" s="56">
        <f>'Income Statement'!Q6/'Income Statement'!Q14</f>
        <v>14.051403414754157</v>
      </c>
      <c r="Q40" s="56">
        <f>'Income Statement'!R6/'Income Statement'!R14</f>
        <v>17.594374155107516</v>
      </c>
      <c r="R40" s="56">
        <f>'Income Statement'!S6/'Income Statement'!S14</f>
        <v>17.535633730276945</v>
      </c>
      <c r="S40" s="56">
        <f>'Income Statement'!T6/'Income Statement'!T14</f>
        <v>21.207188207417182</v>
      </c>
      <c r="T40" s="56">
        <f>'Income Statement'!U6/'Income Statement'!U14</f>
        <v>18.797240385067486</v>
      </c>
      <c r="U40" s="56">
        <f>'Income Statement'!V6/'Income Statement'!V14</f>
        <v>19.168038029096103</v>
      </c>
      <c r="V40" s="56">
        <f>'Income Statement'!W6/'Income Statement'!W14</f>
        <v>18.025747922110551</v>
      </c>
      <c r="W40" s="56">
        <f>'Income Statement'!X6/'Income Statement'!X14</f>
        <v>17.928843151195938</v>
      </c>
      <c r="X40" s="56">
        <f>'Income Statement'!Y6/'Income Statement'!Y14</f>
        <v>18.032785969453887</v>
      </c>
      <c r="Y40" s="56">
        <f>'Income Statement'!Z6/'Income Statement'!Z14</f>
        <v>17.970495821570132</v>
      </c>
      <c r="Z40" s="56">
        <f>'Income Statement'!AA6/'Income Statement'!AA14</f>
        <v>22.738634785669696</v>
      </c>
      <c r="AA40" s="56">
        <f>'Income Statement'!AB6/'Income Statement'!AB14</f>
        <v>6.0491448612862548</v>
      </c>
      <c r="AB40" s="56">
        <f>'Income Statement'!AC6/'Income Statement'!AC14</f>
        <v>12.670415705937904</v>
      </c>
      <c r="AC40" s="56">
        <f>'Income Statement'!AD6/'Income Statement'!AD14</f>
        <v>14.051403414754157</v>
      </c>
      <c r="AD40" s="56">
        <f>'Income Statement'!AE6/'Income Statement'!AE14</f>
        <v>17.594374155107516</v>
      </c>
      <c r="AE40" s="56">
        <f>'Income Statement'!AF6/'Income Statement'!AF14</f>
        <v>17.535633730276945</v>
      </c>
      <c r="AF40" s="56">
        <f>'Income Statement'!AG6/'Income Statement'!AG14</f>
        <v>21.207188207417182</v>
      </c>
      <c r="AG40" s="56">
        <f>'Income Statement'!AH6/'Income Statement'!AH14</f>
        <v>18.797240385067486</v>
      </c>
      <c r="AH40" s="56">
        <f>'Income Statement'!AI6/'Income Statement'!AI14</f>
        <v>19.168038029096103</v>
      </c>
      <c r="AI40" s="56">
        <f>'Income Statement'!AJ6/'Income Statement'!AJ14</f>
        <v>18.025747922110551</v>
      </c>
      <c r="AJ40" s="56">
        <f>'Income Statement'!AK6/'Income Statement'!AK14</f>
        <v>17.928843151195938</v>
      </c>
      <c r="AK40" s="56">
        <f>'Income Statement'!AL6/'Income Statement'!AL14</f>
        <v>18.032785969453887</v>
      </c>
      <c r="AL40" s="56">
        <f>'Income Statement'!AM6/'Income Statement'!AM14</f>
        <v>17.970495821570132</v>
      </c>
      <c r="AM40" s="56">
        <f>'Income Statement'!AN6/'Income Statement'!AN14</f>
        <v>22.738634785669696</v>
      </c>
      <c r="AN40" s="56">
        <f>'Income Statement'!AO6/'Income Statement'!AO14</f>
        <v>3.3393638945231636</v>
      </c>
      <c r="AO40" s="56">
        <f>'Income Statement'!AP6/'Income Statement'!AP14</f>
        <v>10.671046240280981</v>
      </c>
      <c r="AP40" s="56">
        <f>'Income Statement'!AQ6/'Income Statement'!AQ14</f>
        <v>11.723866805752717</v>
      </c>
      <c r="AQ40" s="56">
        <f>'Income Statement'!AR6/'Income Statement'!AR14</f>
        <v>17.839549438348506</v>
      </c>
      <c r="AR40" s="56">
        <f>'Income Statement'!AS6/'Income Statement'!AS14</f>
        <v>16.862942287857155</v>
      </c>
      <c r="AS40" s="56">
        <f>'Income Statement'!AT6/'Income Statement'!AT14</f>
        <v>18.731897331891112</v>
      </c>
      <c r="AT40" s="56">
        <f>'Income Statement'!AU6/'Income Statement'!AU14</f>
        <v>17.94912319896526</v>
      </c>
      <c r="AU40" s="56">
        <f>'Income Statement'!AV6/'Income Statement'!AV14</f>
        <v>16.399306938769332</v>
      </c>
      <c r="AV40" s="56">
        <f>'Income Statement'!AW6/'Income Statement'!AW14</f>
        <v>15.341855565448924</v>
      </c>
      <c r="AW40" s="56">
        <f>'Income Statement'!AX6/'Income Statement'!AX14</f>
        <v>14.719292100023248</v>
      </c>
    </row>
    <row r="41" spans="1:49">
      <c r="A41" s="48" t="s">
        <v>184</v>
      </c>
      <c r="B41" s="49">
        <f>'[1]Income Statement'!C8</f>
        <v>0</v>
      </c>
      <c r="C41" s="49">
        <f>'Income Statement'!D8</f>
        <v>2410365.2000000002</v>
      </c>
      <c r="D41" s="49">
        <f>'Income Statement'!E8</f>
        <v>8109048.1699999999</v>
      </c>
      <c r="E41" s="49">
        <f>'Income Statement'!F8</f>
        <v>13783322.529999999</v>
      </c>
      <c r="F41" s="49">
        <f>'Income Statement'!G8</f>
        <v>27660014.390000001</v>
      </c>
      <c r="G41" s="49">
        <f>'Income Statement'!H8</f>
        <v>32537490.07</v>
      </c>
      <c r="H41" s="49">
        <f>'Income Statement'!I8</f>
        <v>36865707.369999997</v>
      </c>
      <c r="I41" s="49">
        <f>'Income Statement'!J8</f>
        <v>46178357.169999994</v>
      </c>
      <c r="J41" s="49">
        <f>'Income Statement'!K8</f>
        <v>50332939.359999999</v>
      </c>
      <c r="K41" s="49">
        <f>'Income Statement'!L8</f>
        <v>73710849.070000008</v>
      </c>
      <c r="L41" s="49">
        <f>'Income Statement'!M8</f>
        <v>80227824.689999998</v>
      </c>
      <c r="M41" s="49">
        <f>'Income Statement'!N8</f>
        <v>86011994.400000006</v>
      </c>
      <c r="N41" s="49">
        <f>'Income Statement'!O8</f>
        <v>80600460.659999996</v>
      </c>
      <c r="O41" s="49">
        <f>'Income Statement'!P8</f>
        <v>3665618.52</v>
      </c>
      <c r="P41" s="49">
        <f>'Income Statement'!Q8</f>
        <v>8341354.3499999996</v>
      </c>
      <c r="Q41" s="49">
        <f>'Income Statement'!R8</f>
        <v>12550119.93</v>
      </c>
      <c r="R41" s="49">
        <f>'Income Statement'!S8</f>
        <v>28163612.990000002</v>
      </c>
      <c r="S41" s="49">
        <f>'Income Statement'!T8</f>
        <v>32011418.73</v>
      </c>
      <c r="T41" s="49">
        <f>'Income Statement'!U8</f>
        <v>35840069.659999996</v>
      </c>
      <c r="U41" s="49">
        <f>'Income Statement'!V8</f>
        <v>39770835.719999999</v>
      </c>
      <c r="V41" s="49">
        <f>'Income Statement'!W8</f>
        <v>43233049.93</v>
      </c>
      <c r="W41" s="49">
        <f>'Income Statement'!X8</f>
        <v>47417739.719999999</v>
      </c>
      <c r="X41" s="49">
        <f>'Income Statement'!Y8</f>
        <v>61029805.5</v>
      </c>
      <c r="Y41" s="49">
        <f>'Income Statement'!Z8</f>
        <v>64844052.450000003</v>
      </c>
      <c r="Z41" s="49">
        <f>'Income Statement'!AA8</f>
        <v>69695227.760000005</v>
      </c>
      <c r="AA41" s="49">
        <f>'Income Statement'!AB8</f>
        <v>73637599</v>
      </c>
      <c r="AB41" s="49">
        <f>'Income Statement'!AC8</f>
        <v>3665618.52</v>
      </c>
      <c r="AC41" s="49">
        <f>'Income Statement'!AD8</f>
        <v>8341354.3499999996</v>
      </c>
      <c r="AD41" s="49">
        <f>'Income Statement'!AE8</f>
        <v>12550119.93</v>
      </c>
      <c r="AE41" s="49">
        <f>'Income Statement'!AF8</f>
        <v>28163612.990000002</v>
      </c>
      <c r="AF41" s="49">
        <f>'Income Statement'!AG8</f>
        <v>32011418.73</v>
      </c>
      <c r="AG41" s="49">
        <f>'Income Statement'!AH8</f>
        <v>35840069.659999996</v>
      </c>
      <c r="AH41" s="49">
        <f>'Income Statement'!AI8</f>
        <v>39770835.719999999</v>
      </c>
      <c r="AI41" s="49">
        <f>'Income Statement'!AJ8</f>
        <v>43233049.93</v>
      </c>
      <c r="AJ41" s="49">
        <f>'Income Statement'!AK8</f>
        <v>47417739.719999999</v>
      </c>
      <c r="AK41" s="49">
        <f>'Income Statement'!AL8</f>
        <v>61029805.5</v>
      </c>
      <c r="AL41" s="49">
        <f>'Income Statement'!AM8</f>
        <v>64844052.450000003</v>
      </c>
      <c r="AM41" s="49">
        <f>'Income Statement'!AN8</f>
        <v>69695227.760000005</v>
      </c>
      <c r="AN41" s="49">
        <f>'Income Statement'!AO8</f>
        <v>84798977</v>
      </c>
      <c r="AO41" s="49">
        <f>'Income Statement'!AP8</f>
        <v>3303462.65</v>
      </c>
      <c r="AP41" s="49">
        <f>'Income Statement'!AQ8</f>
        <v>7578017.3400000008</v>
      </c>
      <c r="AQ41" s="49">
        <f>'Income Statement'!AR8</f>
        <v>19691786.539999999</v>
      </c>
      <c r="AR41" s="49">
        <f>'Income Statement'!AS8</f>
        <v>14751040.879999999</v>
      </c>
      <c r="AS41" s="49">
        <f>'Income Statement'!AT8</f>
        <v>19316152.420000002</v>
      </c>
      <c r="AT41" s="49">
        <f>'Income Statement'!AU8</f>
        <v>37581268.280000001</v>
      </c>
      <c r="AU41" s="49">
        <f>'Income Statement'!AV8</f>
        <v>41323056.049999997</v>
      </c>
      <c r="AV41" s="49">
        <f>'Income Statement'!AW8</f>
        <v>44825771.439999998</v>
      </c>
      <c r="AW41" s="49">
        <f>'Income Statement'!AX8</f>
        <v>48542596.950000003</v>
      </c>
    </row>
    <row r="42" spans="1:49">
      <c r="A42" s="48" t="s">
        <v>185</v>
      </c>
      <c r="B42" s="49" t="e">
        <f>'[1]Income Statement'!C7</f>
        <v>#REF!</v>
      </c>
      <c r="C42" s="49">
        <f>'Income Statement'!D7</f>
        <v>1101505.3</v>
      </c>
      <c r="D42" s="49">
        <f>'Income Statement'!E7</f>
        <v>1659924.8</v>
      </c>
      <c r="E42" s="49">
        <f>'Income Statement'!F7</f>
        <v>2047498.8</v>
      </c>
      <c r="F42" s="49">
        <f>'Income Statement'!G7</f>
        <v>2229600.7999999998</v>
      </c>
      <c r="G42" s="49">
        <f>'Income Statement'!H7</f>
        <v>2401681.9</v>
      </c>
      <c r="H42" s="49">
        <f>'Income Statement'!I7</f>
        <v>2668591.4</v>
      </c>
      <c r="I42" s="49">
        <f>'Income Statement'!J7</f>
        <v>3246132.4</v>
      </c>
      <c r="J42" s="49">
        <f>'Income Statement'!K7</f>
        <v>3647102.4</v>
      </c>
      <c r="K42" s="49">
        <f>'Income Statement'!L7</f>
        <v>3838208.9</v>
      </c>
      <c r="L42" s="49">
        <f>'Income Statement'!M7</f>
        <v>4090822.9</v>
      </c>
      <c r="M42" s="49">
        <f>'Income Statement'!N7</f>
        <v>4450480.9000000004</v>
      </c>
      <c r="N42" s="49">
        <f>'Income Statement'!O7</f>
        <v>0</v>
      </c>
      <c r="O42" s="49">
        <f>'Income Statement'!P7</f>
        <v>304416.5</v>
      </c>
      <c r="P42" s="49">
        <f>'Income Statement'!Q7</f>
        <v>682217.5</v>
      </c>
      <c r="Q42" s="49">
        <f>'Income Statement'!R7</f>
        <v>961141.5</v>
      </c>
      <c r="R42" s="49">
        <f>'Income Statement'!S7</f>
        <v>1303981.5</v>
      </c>
      <c r="S42" s="49">
        <f>'Income Statement'!T7</f>
        <v>1649099</v>
      </c>
      <c r="T42" s="49">
        <f>'Income Statement'!U7</f>
        <v>1886439.5</v>
      </c>
      <c r="U42" s="49">
        <f>'Income Statement'!V7</f>
        <v>2262161</v>
      </c>
      <c r="V42" s="49">
        <f>'Income Statement'!W7</f>
        <v>2541766</v>
      </c>
      <c r="W42" s="49">
        <f>'Income Statement'!X7</f>
        <v>2747386.5</v>
      </c>
      <c r="X42" s="49">
        <f>'Income Statement'!Y7</f>
        <v>2998456.5</v>
      </c>
      <c r="Y42" s="49">
        <f>'Income Statement'!Z7</f>
        <v>3343108.5</v>
      </c>
      <c r="Z42" s="49">
        <f>'Income Statement'!AA7</f>
        <v>3751711</v>
      </c>
      <c r="AA42" s="49">
        <f>'Income Statement'!AB7</f>
        <v>0</v>
      </c>
      <c r="AB42" s="49">
        <f>'Income Statement'!AC7</f>
        <v>304416.5</v>
      </c>
      <c r="AC42" s="49">
        <f>'Income Statement'!AD7</f>
        <v>682217.5</v>
      </c>
      <c r="AD42" s="49">
        <f>'Income Statement'!AE7</f>
        <v>961141.5</v>
      </c>
      <c r="AE42" s="49">
        <f>'Income Statement'!AF7</f>
        <v>1303981.5</v>
      </c>
      <c r="AF42" s="49">
        <f>'Income Statement'!AG7</f>
        <v>1649099</v>
      </c>
      <c r="AG42" s="49">
        <f>'Income Statement'!AH7</f>
        <v>1886439.5</v>
      </c>
      <c r="AH42" s="49">
        <f>'Income Statement'!AI7</f>
        <v>2262161</v>
      </c>
      <c r="AI42" s="49">
        <f>'Income Statement'!AJ7</f>
        <v>2541766</v>
      </c>
      <c r="AJ42" s="49">
        <f>'Income Statement'!AK7</f>
        <v>2747386.5</v>
      </c>
      <c r="AK42" s="49">
        <f>'Income Statement'!AL7</f>
        <v>2998456.5</v>
      </c>
      <c r="AL42" s="49">
        <f>'Income Statement'!AM7</f>
        <v>3343108.5</v>
      </c>
      <c r="AM42" s="49">
        <f>'Income Statement'!AN7</f>
        <v>3751711</v>
      </c>
      <c r="AN42" s="49">
        <f>'Income Statement'!AO7</f>
        <v>0</v>
      </c>
      <c r="AO42" s="49">
        <f>'Income Statement'!AP7</f>
        <v>620248</v>
      </c>
      <c r="AP42" s="49">
        <f>'Income Statement'!AQ7</f>
        <v>982057.3</v>
      </c>
      <c r="AQ42" s="49">
        <f>'Income Statement'!AR7</f>
        <v>0</v>
      </c>
      <c r="AR42" s="49">
        <f>'Income Statement'!AS7</f>
        <v>1467758.4</v>
      </c>
      <c r="AS42" s="49">
        <f>'Income Statement'!AT7</f>
        <v>1762651.4</v>
      </c>
      <c r="AT42" s="49">
        <f>'Income Statement'!AU7</f>
        <v>2082188.3</v>
      </c>
      <c r="AU42" s="49">
        <f>'Income Statement'!AV7</f>
        <v>2306400.1</v>
      </c>
      <c r="AV42" s="49">
        <f>'Income Statement'!AW7</f>
        <v>2600368.7999999998</v>
      </c>
      <c r="AW42" s="49">
        <f>'Income Statement'!AX7</f>
        <v>2840115.3</v>
      </c>
    </row>
    <row r="43" spans="1:49">
      <c r="A43" s="48"/>
      <c r="B43" s="49"/>
      <c r="C43" s="49"/>
      <c r="D43" s="49"/>
      <c r="E43" s="49"/>
      <c r="F43" s="49"/>
      <c r="G43" s="49"/>
      <c r="H43" s="49"/>
    </row>
    <row r="44" spans="1:49">
      <c r="A44" s="50" t="s">
        <v>186</v>
      </c>
      <c r="B44" s="55" t="e">
        <f t="shared" ref="B44:H44" si="45">B45+B46+B47+B48</f>
        <v>#REF!</v>
      </c>
      <c r="C44" s="55">
        <f t="shared" si="45"/>
        <v>2054078.9199999997</v>
      </c>
      <c r="D44" s="55">
        <f t="shared" si="45"/>
        <v>2187855.4499999993</v>
      </c>
      <c r="E44" s="55">
        <f t="shared" si="45"/>
        <v>2918760.5700000012</v>
      </c>
      <c r="F44" s="55">
        <f t="shared" si="45"/>
        <v>11823241.949999996</v>
      </c>
      <c r="G44" s="55">
        <f t="shared" si="45"/>
        <v>11413383.77</v>
      </c>
      <c r="H44" s="55">
        <f t="shared" si="45"/>
        <v>11346519.010000002</v>
      </c>
    </row>
    <row r="45" spans="1:49">
      <c r="A45" s="48" t="s">
        <v>187</v>
      </c>
      <c r="B45" s="49" t="e">
        <f>'[1]Income Statement'!C14</f>
        <v>#REF!</v>
      </c>
      <c r="C45" s="49">
        <f>'Income Statement'!D14</f>
        <v>165958</v>
      </c>
      <c r="D45" s="49">
        <f>'Income Statement'!E14</f>
        <v>263501</v>
      </c>
      <c r="E45" s="49">
        <f>'Income Statement'!F14</f>
        <v>371471</v>
      </c>
      <c r="F45" s="49">
        <f>'Income Statement'!G14</f>
        <v>494306</v>
      </c>
      <c r="G45" s="49">
        <f>'Income Statement'!H14</f>
        <v>540204</v>
      </c>
      <c r="H45" s="49">
        <f>'Income Statement'!I14</f>
        <v>743308.3</v>
      </c>
      <c r="I45" s="49">
        <f>'Income Statement'!J14</f>
        <v>1010942.3</v>
      </c>
      <c r="J45" s="49">
        <f>'Income Statement'!K14</f>
        <v>1078087.3</v>
      </c>
      <c r="K45" s="49">
        <f>'Income Statement'!L14</f>
        <v>1168495.3</v>
      </c>
      <c r="L45" s="49">
        <f>'Income Statement'!M14</f>
        <v>1296990.3</v>
      </c>
      <c r="M45" s="49">
        <f>'Income Statement'!N14</f>
        <v>1575034.6</v>
      </c>
      <c r="N45" s="49">
        <f>'Income Statement'!O14</f>
        <v>1575034.6</v>
      </c>
      <c r="O45" s="49">
        <f>'Income Statement'!P14</f>
        <v>166887.20000000001</v>
      </c>
      <c r="P45" s="49">
        <f>'Income Statement'!Q14</f>
        <v>269079.40000000002</v>
      </c>
      <c r="Q45" s="49">
        <f>'Income Statement'!R14</f>
        <v>373124.4</v>
      </c>
      <c r="R45" s="49">
        <f>'Income Statement'!S14</f>
        <v>460552.4</v>
      </c>
      <c r="S45" s="49">
        <f>'Income Statement'!T14</f>
        <v>506596.4</v>
      </c>
      <c r="T45" s="49">
        <f>'Income Statement'!U14</f>
        <v>659313</v>
      </c>
      <c r="U45" s="49">
        <f>'Income Statement'!V14</f>
        <v>792119.8</v>
      </c>
      <c r="V45" s="49">
        <f>'Income Statement'!W14</f>
        <v>982294.8</v>
      </c>
      <c r="W45" s="49">
        <f>'Income Statement'!X14</f>
        <v>1083273.8</v>
      </c>
      <c r="X45" s="49">
        <f>'Income Statement'!Y14</f>
        <v>1173399.8</v>
      </c>
      <c r="Y45" s="49">
        <f>'Income Statement'!Z14</f>
        <v>1370658.4</v>
      </c>
      <c r="Z45" s="49">
        <f>'Income Statement'!AA14</f>
        <v>1542549</v>
      </c>
      <c r="AA45" s="49">
        <f>'Income Statement'!AB14</f>
        <v>5798416</v>
      </c>
      <c r="AB45" s="49">
        <f>'Income Statement'!AC14</f>
        <v>166887.20000000001</v>
      </c>
      <c r="AC45" s="49">
        <f>'Income Statement'!AD14</f>
        <v>269079.40000000002</v>
      </c>
      <c r="AD45" s="49">
        <f>'Income Statement'!AE14</f>
        <v>373124.4</v>
      </c>
      <c r="AE45" s="49">
        <f>'Income Statement'!AF14</f>
        <v>460552.4</v>
      </c>
      <c r="AF45" s="49">
        <f>'Income Statement'!AG14</f>
        <v>506596.4</v>
      </c>
      <c r="AG45" s="49">
        <f>'Income Statement'!AH14</f>
        <v>659313</v>
      </c>
      <c r="AH45" s="49">
        <f>'Income Statement'!AI14</f>
        <v>792119.8</v>
      </c>
      <c r="AI45" s="49">
        <f>'Income Statement'!AJ14</f>
        <v>982294.8</v>
      </c>
      <c r="AJ45" s="49">
        <f>'Income Statement'!AK14</f>
        <v>1083273.8</v>
      </c>
      <c r="AK45" s="49">
        <f>'Income Statement'!AL14</f>
        <v>1173399.8</v>
      </c>
      <c r="AL45" s="49">
        <f>'Income Statement'!AM14</f>
        <v>1370658.4</v>
      </c>
      <c r="AM45" s="49">
        <f>'Income Statement'!AN14</f>
        <v>1542549</v>
      </c>
      <c r="AN45" s="49">
        <f>'Income Statement'!AO14</f>
        <v>9965297</v>
      </c>
      <c r="AO45" s="49">
        <f>'Income Statement'!AP14</f>
        <v>294397</v>
      </c>
      <c r="AP45" s="49">
        <f>'Income Statement'!AQ14</f>
        <v>499451</v>
      </c>
      <c r="AQ45" s="49">
        <f>'Income Statement'!AR14</f>
        <v>652985</v>
      </c>
      <c r="AR45" s="49">
        <f>'Income Statement'!AS14</f>
        <v>731995</v>
      </c>
      <c r="AS45" s="49">
        <f>'Income Statement'!AT14</f>
        <v>776580</v>
      </c>
      <c r="AT45" s="49">
        <f>'Income Statement'!AU14</f>
        <v>952508</v>
      </c>
      <c r="AU45" s="49">
        <f>'Income Statement'!AV14</f>
        <v>1189159</v>
      </c>
      <c r="AV45" s="49">
        <f>'Income Statement'!AW14</f>
        <v>1394874</v>
      </c>
      <c r="AW45" s="49">
        <f>'Income Statement'!AX14</f>
        <v>1582992</v>
      </c>
    </row>
    <row r="46" spans="1:49">
      <c r="A46" s="48" t="s">
        <v>188</v>
      </c>
      <c r="B46" s="49" t="e">
        <f>'[1]Income Statement'!C16</f>
        <v>#REF!</v>
      </c>
      <c r="C46" s="49">
        <f>'Income Statement'!D16</f>
        <v>0</v>
      </c>
      <c r="D46" s="49">
        <f>'Income Statement'!E16</f>
        <v>0</v>
      </c>
      <c r="E46" s="49">
        <f>'Income Statement'!F16</f>
        <v>0</v>
      </c>
      <c r="F46" s="49">
        <f>'Income Statement'!G16</f>
        <v>0</v>
      </c>
      <c r="G46" s="49">
        <f>'Income Statement'!H16</f>
        <v>0</v>
      </c>
      <c r="H46" s="49">
        <f>'Income Statement'!I16</f>
        <v>0</v>
      </c>
      <c r="I46" s="49">
        <f>'Income Statement'!J16</f>
        <v>0</v>
      </c>
      <c r="J46" s="49">
        <f>'Income Statement'!K16</f>
        <v>0</v>
      </c>
      <c r="K46" s="49">
        <f>'Income Statement'!L16</f>
        <v>0</v>
      </c>
      <c r="L46" s="49">
        <f>'Income Statement'!M16</f>
        <v>0</v>
      </c>
      <c r="M46" s="49">
        <f>'Income Statement'!N16</f>
        <v>0</v>
      </c>
      <c r="N46" s="49">
        <f>'Income Statement'!O16</f>
        <v>0</v>
      </c>
      <c r="O46" s="49">
        <f>'Income Statement'!P16</f>
        <v>0</v>
      </c>
      <c r="P46" s="49">
        <f>'Income Statement'!Q16</f>
        <v>0</v>
      </c>
      <c r="Q46" s="49">
        <f>'Income Statement'!R16</f>
        <v>0</v>
      </c>
      <c r="R46" s="49">
        <f>'Income Statement'!S16</f>
        <v>0</v>
      </c>
      <c r="S46" s="49">
        <f>'Income Statement'!T16</f>
        <v>0</v>
      </c>
      <c r="T46" s="49">
        <f>'Income Statement'!U16</f>
        <v>0</v>
      </c>
      <c r="U46" s="49">
        <f>'Income Statement'!V16</f>
        <v>0</v>
      </c>
      <c r="V46" s="49">
        <f>'Income Statement'!W16</f>
        <v>0</v>
      </c>
      <c r="W46" s="49">
        <f>'Income Statement'!X16</f>
        <v>0</v>
      </c>
      <c r="X46" s="49">
        <f>'Income Statement'!Y16</f>
        <v>0</v>
      </c>
      <c r="Y46" s="49">
        <f>'Income Statement'!Z16</f>
        <v>0</v>
      </c>
      <c r="Z46" s="49">
        <f>'Income Statement'!AA16</f>
        <v>0</v>
      </c>
      <c r="AA46" s="49">
        <f>'Income Statement'!AB16</f>
        <v>0</v>
      </c>
      <c r="AB46" s="49">
        <f>'Income Statement'!AC16</f>
        <v>0</v>
      </c>
      <c r="AC46" s="49">
        <f>'Income Statement'!AD16</f>
        <v>0</v>
      </c>
      <c r="AD46" s="49">
        <f>'Income Statement'!AE16</f>
        <v>0</v>
      </c>
      <c r="AE46" s="49">
        <f>'Income Statement'!AF16</f>
        <v>0</v>
      </c>
      <c r="AF46" s="49">
        <f>'Income Statement'!AG16</f>
        <v>0</v>
      </c>
      <c r="AG46" s="49">
        <f>'Income Statement'!AH16</f>
        <v>0</v>
      </c>
      <c r="AH46" s="49">
        <f>'Income Statement'!AI16</f>
        <v>0</v>
      </c>
      <c r="AI46" s="49">
        <f>'Income Statement'!AJ16</f>
        <v>0</v>
      </c>
      <c r="AJ46" s="49">
        <f>'Income Statement'!AK16</f>
        <v>0</v>
      </c>
      <c r="AK46" s="49">
        <f>'Income Statement'!AL16</f>
        <v>0</v>
      </c>
      <c r="AL46" s="49">
        <f>'Income Statement'!AM16</f>
        <v>0</v>
      </c>
      <c r="AM46" s="49">
        <f>'Income Statement'!AN16</f>
        <v>0</v>
      </c>
      <c r="AN46" s="49">
        <f>'Income Statement'!AO16</f>
        <v>0</v>
      </c>
      <c r="AO46" s="49">
        <f>'Income Statement'!AP16</f>
        <v>0</v>
      </c>
      <c r="AP46" s="49">
        <f>'Income Statement'!AQ16</f>
        <v>0</v>
      </c>
      <c r="AQ46" s="49">
        <f>'Income Statement'!AR16</f>
        <v>0</v>
      </c>
      <c r="AR46" s="49">
        <f>'Income Statement'!AS16</f>
        <v>0</v>
      </c>
      <c r="AS46" s="49">
        <f>'Income Statement'!AT16</f>
        <v>0</v>
      </c>
      <c r="AT46" s="49">
        <f>'Income Statement'!AU16</f>
        <v>0</v>
      </c>
      <c r="AU46" s="49">
        <f>'Income Statement'!AV16</f>
        <v>0</v>
      </c>
      <c r="AV46" s="49">
        <f>'Income Statement'!AW16</f>
        <v>0</v>
      </c>
      <c r="AW46" s="49">
        <f>'Income Statement'!AX16</f>
        <v>0</v>
      </c>
    </row>
    <row r="47" spans="1:49">
      <c r="A47" s="48" t="s">
        <v>189</v>
      </c>
      <c r="B47" s="49" t="e">
        <f>'[1]Income Statement'!C15</f>
        <v>#REF!</v>
      </c>
      <c r="C47" s="49">
        <f>'Income Statement'!D15</f>
        <v>339726.03</v>
      </c>
      <c r="D47" s="49">
        <f>'Income Statement'!E15</f>
        <v>668493.16</v>
      </c>
      <c r="E47" s="49">
        <f>'Income Statement'!F15</f>
        <v>1628871.38</v>
      </c>
      <c r="F47" s="49">
        <f>'Income Statement'!G15</f>
        <v>2278657.41</v>
      </c>
      <c r="G47" s="49">
        <f>'Income Statement'!H15</f>
        <v>2909894.54</v>
      </c>
      <c r="H47" s="49">
        <f>'Income Statement'!I15</f>
        <v>3544410.57</v>
      </c>
      <c r="I47" s="49">
        <f>'Income Statement'!J15</f>
        <v>4779143.7300000004</v>
      </c>
      <c r="J47" s="49">
        <f>'Income Statement'!K15</f>
        <v>5390139.7599999998</v>
      </c>
      <c r="K47" s="49">
        <f>'Income Statement'!L15</f>
        <v>5982166.8899999997</v>
      </c>
      <c r="L47" s="49">
        <f>'Income Statement'!M15</f>
        <v>6494861.1500000004</v>
      </c>
      <c r="M47" s="49">
        <f>'Income Statement'!N15</f>
        <v>6988406.5</v>
      </c>
      <c r="N47" s="49">
        <f>'Income Statement'!O15</f>
        <v>6988406.5</v>
      </c>
      <c r="O47" s="49">
        <f>'Income Statement'!P15</f>
        <v>493494.53</v>
      </c>
      <c r="P47" s="49">
        <f>'Income Statement'!Q15</f>
        <v>970409.88</v>
      </c>
      <c r="Q47" s="49">
        <f>'Income Statement'!R15</f>
        <v>1422426.87</v>
      </c>
      <c r="R47" s="49">
        <f>'Income Statement'!S15</f>
        <v>1890551.4</v>
      </c>
      <c r="S47" s="49">
        <f>'Income Statement'!T15</f>
        <v>2341816.75</v>
      </c>
      <c r="T47" s="49">
        <f>'Income Statement'!U15</f>
        <v>2792571.28</v>
      </c>
      <c r="U47" s="49">
        <f>'Income Statement'!V15</f>
        <v>3226276.63</v>
      </c>
      <c r="V47" s="49">
        <f>'Income Statement'!W15</f>
        <v>3659281.16</v>
      </c>
      <c r="W47" s="49">
        <f>'Income Statement'!X15</f>
        <v>4075046.51</v>
      </c>
      <c r="X47" s="49">
        <f>'Income Statement'!Y15</f>
        <v>4481691.8600000003</v>
      </c>
      <c r="Y47" s="49">
        <f>'Income Statement'!Z15</f>
        <v>4807894.33</v>
      </c>
      <c r="Z47" s="49">
        <f>'Income Statement'!AA15</f>
        <v>4933692.45</v>
      </c>
      <c r="AA47" s="49">
        <f>'Income Statement'!AB15</f>
        <v>4933692.45</v>
      </c>
      <c r="AB47" s="49">
        <f>'Income Statement'!AC15</f>
        <v>493494.53</v>
      </c>
      <c r="AC47" s="49">
        <f>'Income Statement'!AD15</f>
        <v>970409.88</v>
      </c>
      <c r="AD47" s="49">
        <f>'Income Statement'!AE15</f>
        <v>1422426.87</v>
      </c>
      <c r="AE47" s="49">
        <f>'Income Statement'!AF15</f>
        <v>1890551.4</v>
      </c>
      <c r="AF47" s="49">
        <f>'Income Statement'!AG15</f>
        <v>2341816.75</v>
      </c>
      <c r="AG47" s="49">
        <f>'Income Statement'!AH15</f>
        <v>2792571.28</v>
      </c>
      <c r="AH47" s="49">
        <f>'Income Statement'!AI15</f>
        <v>3226276.63</v>
      </c>
      <c r="AI47" s="49">
        <f>'Income Statement'!AJ15</f>
        <v>3659281.16</v>
      </c>
      <c r="AJ47" s="49">
        <f>'Income Statement'!AK15</f>
        <v>4075046.51</v>
      </c>
      <c r="AK47" s="49">
        <f>'Income Statement'!AL15</f>
        <v>4481691.8600000003</v>
      </c>
      <c r="AL47" s="49">
        <f>'Income Statement'!AM15</f>
        <v>4807894.33</v>
      </c>
      <c r="AM47" s="49">
        <f>'Income Statement'!AN15</f>
        <v>4933692.45</v>
      </c>
      <c r="AN47" s="49">
        <f>'Income Statement'!AO15</f>
        <v>0</v>
      </c>
      <c r="AO47" s="49">
        <f>'Income Statement'!AP15</f>
        <v>84931.51</v>
      </c>
      <c r="AP47" s="49">
        <f>'Income Statement'!AQ15</f>
        <v>169863.02</v>
      </c>
      <c r="AQ47" s="49">
        <f>'Income Statement'!AR15</f>
        <v>246575.35</v>
      </c>
      <c r="AR47" s="49">
        <f>'Income Statement'!AS15</f>
        <v>331506.86</v>
      </c>
      <c r="AS47" s="49">
        <f>'Income Statement'!AT15</f>
        <v>413698.65</v>
      </c>
      <c r="AT47" s="49">
        <f>'Income Statement'!AU15</f>
        <v>498630.16</v>
      </c>
      <c r="AU47" s="49">
        <f>'Income Statement'!AV15</f>
        <v>580821.93999999994</v>
      </c>
      <c r="AV47" s="49">
        <f>'Income Statement'!AW15</f>
        <v>665753.44999999995</v>
      </c>
      <c r="AW47" s="49">
        <f>'Income Statement'!AX15</f>
        <v>750684.95</v>
      </c>
    </row>
    <row r="48" spans="1:49" ht="13.9" thickBot="1">
      <c r="A48" s="57" t="s">
        <v>190</v>
      </c>
      <c r="B48" s="49">
        <f>'[1]Income Statement'!C30</f>
        <v>0</v>
      </c>
      <c r="C48" s="49">
        <f>'Income Statement'!D30</f>
        <v>1548394.8899999997</v>
      </c>
      <c r="D48" s="49">
        <f>'Income Statement'!E30</f>
        <v>1255861.2899999991</v>
      </c>
      <c r="E48" s="49">
        <f>'Income Statement'!F30</f>
        <v>918418.19000000134</v>
      </c>
      <c r="F48" s="49">
        <f>'Income Statement'!G30</f>
        <v>9050278.5399999954</v>
      </c>
      <c r="G48" s="49">
        <f>'Income Statement'!H30</f>
        <v>7963285.2300000004</v>
      </c>
      <c r="H48" s="49">
        <f>'Income Statement'!I30</f>
        <v>7058800.1400000006</v>
      </c>
      <c r="I48" s="49">
        <f>'Income Statement'!J30</f>
        <v>4220584.4699999914</v>
      </c>
      <c r="J48" s="49">
        <f>'Income Statement'!K30</f>
        <v>4555031.3999999985</v>
      </c>
      <c r="K48" s="49">
        <f>'Income Statement'!L30</f>
        <v>9361248.8900000155</v>
      </c>
      <c r="L48" s="49">
        <f>'Income Statement'!M30</f>
        <v>8289568.2800000012</v>
      </c>
      <c r="M48" s="49">
        <f>'Income Statement'!N30</f>
        <v>5367586.25</v>
      </c>
      <c r="N48" s="49">
        <f>'Income Statement'!O30</f>
        <v>5505572.2600000054</v>
      </c>
      <c r="O48" s="49">
        <f>'Income Statement'!P30</f>
        <v>519290.73000000045</v>
      </c>
      <c r="P48" s="49">
        <f>'Income Statement'!Q30</f>
        <v>1273866.2500000019</v>
      </c>
      <c r="Q48" s="49">
        <f>'Income Statement'!R30</f>
        <v>1815233</v>
      </c>
      <c r="R48" s="49">
        <f>'Income Statement'!S30</f>
        <v>13262398.050000001</v>
      </c>
      <c r="S48" s="49">
        <f>'Income Statement'!T30</f>
        <v>13211387.649999999</v>
      </c>
      <c r="T48" s="49">
        <f>'Income Statement'!U30</f>
        <v>11824739.709999993</v>
      </c>
      <c r="U48" s="49">
        <f>'Income Statement'!V30</f>
        <v>13618042.259999998</v>
      </c>
      <c r="V48" s="49">
        <f>'Income Statement'!W30</f>
        <v>10372669.00999999</v>
      </c>
      <c r="W48" s="49">
        <f>'Income Statement'!X30</f>
        <v>10373609.609999992</v>
      </c>
      <c r="X48" s="49">
        <f>'Income Statement'!Y30</f>
        <v>10386647.789999999</v>
      </c>
      <c r="Y48" s="49">
        <f>'Income Statement'!Z30</f>
        <v>8718768.8899999857</v>
      </c>
      <c r="Z48" s="49">
        <f>'Income Statement'!AA30</f>
        <v>11401372.980000019</v>
      </c>
      <c r="AA48" s="49">
        <f>'Income Statement'!AB30</f>
        <v>7145501.8999999911</v>
      </c>
      <c r="AB48" s="49">
        <f>'Income Statement'!AC30</f>
        <v>519290.73000000045</v>
      </c>
      <c r="AC48" s="49">
        <f>'Income Statement'!AD30</f>
        <v>1273866.2500000019</v>
      </c>
      <c r="AD48" s="49">
        <f>'Income Statement'!AE30</f>
        <v>1815233</v>
      </c>
      <c r="AE48" s="49">
        <f>'Income Statement'!AF30</f>
        <v>13262398.050000001</v>
      </c>
      <c r="AF48" s="49">
        <f>'Income Statement'!AG30</f>
        <v>13211387.649999999</v>
      </c>
      <c r="AG48" s="49">
        <f>'Income Statement'!AH30</f>
        <v>11824739.709999993</v>
      </c>
      <c r="AH48" s="49">
        <f>'Income Statement'!AI30</f>
        <v>13618042.259999998</v>
      </c>
      <c r="AI48" s="49">
        <f>'Income Statement'!AJ30</f>
        <v>10372669.00999999</v>
      </c>
      <c r="AJ48" s="49">
        <f>'Income Statement'!AK30</f>
        <v>10373609.609999992</v>
      </c>
      <c r="AK48" s="49">
        <f>'Income Statement'!AL30</f>
        <v>10386647.789999999</v>
      </c>
      <c r="AL48" s="49">
        <f>'Income Statement'!AM30</f>
        <v>8718768.8899999857</v>
      </c>
      <c r="AM48" s="49">
        <f>'Income Statement'!AN30</f>
        <v>11401372.980000019</v>
      </c>
      <c r="AN48" s="49">
        <f>'Income Statement'!AO30</f>
        <v>7163651</v>
      </c>
      <c r="AO48" s="49">
        <f>'Income Statement'!AP30</f>
        <v>-155519.38999999966</v>
      </c>
      <c r="AP48" s="49">
        <f>'Income Statement'!AQ30</f>
        <v>-88143.029999999329</v>
      </c>
      <c r="AQ48" s="49">
        <f>'Income Statement'!AR30</f>
        <v>10221309.759999994</v>
      </c>
      <c r="AR48" s="49">
        <f>'Income Statement'!AS30</f>
        <v>1220054.3699999973</v>
      </c>
      <c r="AS48" s="49">
        <f>'Income Statement'!AT30</f>
        <v>1269019.0800000057</v>
      </c>
      <c r="AT48" s="49">
        <f>'Income Statement'!AU30</f>
        <v>13941650.910000004</v>
      </c>
      <c r="AU48" s="49">
        <f>'Income Statement'!AV30</f>
        <v>13655134.190000005</v>
      </c>
      <c r="AV48" s="49">
        <f>'Income Statement'!AW30</f>
        <v>13119630.49000001</v>
      </c>
      <c r="AW48" s="49">
        <f>'Income Statement'!AX30</f>
        <v>12098949.07</v>
      </c>
    </row>
    <row r="49" spans="1:49" ht="12.75">
      <c r="A49" s="58" t="s">
        <v>191</v>
      </c>
      <c r="B49" s="56" t="e">
        <f t="shared" ref="B49:C49" si="46">B38-B44</f>
        <v>#REF!</v>
      </c>
      <c r="C49" s="56">
        <f t="shared" si="46"/>
        <v>4892384.78</v>
      </c>
      <c r="D49" s="56">
        <f t="shared" ref="D49:N49" si="47">D38-D44</f>
        <v>12128736.720000003</v>
      </c>
      <c r="E49" s="56">
        <f t="shared" si="47"/>
        <v>19232045.5</v>
      </c>
      <c r="F49" s="56">
        <f t="shared" si="47"/>
        <v>24999469.980000004</v>
      </c>
      <c r="G49" s="56">
        <f t="shared" si="47"/>
        <v>31227719.440000001</v>
      </c>
      <c r="H49" s="56">
        <f t="shared" si="47"/>
        <v>37035058</v>
      </c>
      <c r="I49" s="56">
        <f t="shared" si="47"/>
        <v>0</v>
      </c>
      <c r="J49" s="56">
        <f t="shared" si="47"/>
        <v>0</v>
      </c>
      <c r="K49" s="56">
        <f t="shared" si="47"/>
        <v>0</v>
      </c>
      <c r="L49" s="56">
        <f t="shared" si="47"/>
        <v>0</v>
      </c>
      <c r="M49" s="56">
        <f t="shared" si="47"/>
        <v>0</v>
      </c>
      <c r="N49" s="56">
        <f t="shared" si="47"/>
        <v>0</v>
      </c>
      <c r="O49" s="56">
        <f t="shared" ref="O49:AE49" si="48">O38-O44</f>
        <v>0</v>
      </c>
      <c r="P49" s="56">
        <f t="shared" si="48"/>
        <v>0</v>
      </c>
      <c r="Q49" s="56">
        <f t="shared" si="48"/>
        <v>0</v>
      </c>
      <c r="R49" s="56">
        <f t="shared" si="48"/>
        <v>0</v>
      </c>
      <c r="S49" s="56">
        <f t="shared" si="48"/>
        <v>0</v>
      </c>
      <c r="T49" s="56">
        <f t="shared" si="48"/>
        <v>0</v>
      </c>
      <c r="U49" s="56">
        <f t="shared" si="48"/>
        <v>0</v>
      </c>
      <c r="V49" s="56">
        <f t="shared" si="48"/>
        <v>0</v>
      </c>
      <c r="W49" s="56">
        <f t="shared" si="48"/>
        <v>0</v>
      </c>
      <c r="X49" s="56">
        <f t="shared" si="48"/>
        <v>0</v>
      </c>
      <c r="Y49" s="56">
        <f t="shared" si="48"/>
        <v>0</v>
      </c>
      <c r="Z49" s="56">
        <f t="shared" si="48"/>
        <v>0</v>
      </c>
      <c r="AA49" s="56">
        <f t="shared" si="48"/>
        <v>0</v>
      </c>
      <c r="AB49" s="56">
        <f t="shared" si="48"/>
        <v>0</v>
      </c>
      <c r="AC49" s="56">
        <f t="shared" si="48"/>
        <v>0</v>
      </c>
      <c r="AD49" s="56">
        <f t="shared" si="48"/>
        <v>0</v>
      </c>
      <c r="AE49" s="56">
        <f t="shared" si="48"/>
        <v>0</v>
      </c>
      <c r="AF49" s="56">
        <f t="shared" ref="AF49:AL49" si="49">AF38-AF44</f>
        <v>0</v>
      </c>
      <c r="AG49" s="56">
        <f t="shared" si="49"/>
        <v>0</v>
      </c>
      <c r="AH49" s="56">
        <f t="shared" si="49"/>
        <v>0</v>
      </c>
      <c r="AI49" s="56">
        <f t="shared" si="49"/>
        <v>0</v>
      </c>
      <c r="AJ49" s="56">
        <f t="shared" si="49"/>
        <v>0</v>
      </c>
      <c r="AK49" s="56">
        <f t="shared" si="49"/>
        <v>0</v>
      </c>
      <c r="AL49" s="56">
        <f t="shared" si="49"/>
        <v>0</v>
      </c>
      <c r="AM49" s="56">
        <f t="shared" ref="AM49:AN49" si="50">AM38-AM44</f>
        <v>0</v>
      </c>
      <c r="AN49" s="56">
        <f t="shared" si="50"/>
        <v>0</v>
      </c>
      <c r="AO49" s="56">
        <f t="shared" ref="AO49:AQ49" si="51">AO38-AO44</f>
        <v>0</v>
      </c>
      <c r="AP49" s="56">
        <f t="shared" si="51"/>
        <v>0</v>
      </c>
      <c r="AQ49" s="56">
        <f t="shared" si="51"/>
        <v>0</v>
      </c>
      <c r="AR49" s="56">
        <f t="shared" ref="AR49:AS49" si="52">AR38-AR44</f>
        <v>0</v>
      </c>
      <c r="AS49" s="56">
        <f t="shared" si="52"/>
        <v>0</v>
      </c>
      <c r="AT49" s="56">
        <f t="shared" ref="AT49:AU49" si="53">AT38-AT44</f>
        <v>0</v>
      </c>
      <c r="AU49" s="56">
        <f t="shared" si="53"/>
        <v>0</v>
      </c>
      <c r="AV49" s="56">
        <f t="shared" ref="AV49:AW49" si="54">AV38-AV44</f>
        <v>0</v>
      </c>
      <c r="AW49" s="56">
        <f t="shared" si="5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21"/>
  <sheetViews>
    <sheetView tabSelected="1" topLeftCell="AP1" workbookViewId="0">
      <selection activeCell="AZ12" sqref="AZ12"/>
    </sheetView>
  </sheetViews>
  <sheetFormatPr defaultRowHeight="15"/>
  <cols>
    <col min="4" max="4" width="7.5703125" bestFit="1" customWidth="1"/>
    <col min="5" max="15" width="12.28515625" bestFit="1" customWidth="1"/>
    <col min="16" max="16" width="12" bestFit="1" customWidth="1"/>
    <col min="17" max="19" width="11" bestFit="1" customWidth="1"/>
    <col min="20" max="22" width="12" bestFit="1" customWidth="1"/>
    <col min="23" max="23" width="12" customWidth="1"/>
    <col min="24" max="41" width="12" bestFit="1" customWidth="1"/>
    <col min="42" max="42" width="13" bestFit="1" customWidth="1"/>
    <col min="43" max="45" width="12" bestFit="1" customWidth="1"/>
    <col min="46" max="46" width="12.7109375" customWidth="1"/>
    <col min="47" max="47" width="12" bestFit="1" customWidth="1"/>
    <col min="48" max="49" width="14.42578125" customWidth="1"/>
    <col min="50" max="51" width="12.7109375" customWidth="1"/>
  </cols>
  <sheetData>
    <row r="1" spans="1:51">
      <c r="A1" s="59" t="s">
        <v>192</v>
      </c>
      <c r="B1" s="59"/>
      <c r="C1" s="59"/>
      <c r="D1" s="42"/>
      <c r="E1" s="42"/>
      <c r="F1" s="42"/>
      <c r="G1" s="42"/>
      <c r="H1" s="42"/>
      <c r="I1" s="60"/>
    </row>
    <row r="2" spans="1:51">
      <c r="A2" s="61"/>
      <c r="B2" s="61"/>
      <c r="C2" s="61" t="s">
        <v>193</v>
      </c>
      <c r="D2" s="45"/>
      <c r="E2" s="46">
        <v>44216</v>
      </c>
      <c r="F2" s="46">
        <v>44247</v>
      </c>
      <c r="G2" s="46">
        <v>44275</v>
      </c>
      <c r="H2" s="46">
        <v>44306</v>
      </c>
      <c r="I2" s="46">
        <v>44336</v>
      </c>
      <c r="J2" s="46">
        <v>44367</v>
      </c>
      <c r="K2" s="46">
        <v>44428</v>
      </c>
      <c r="L2" s="46">
        <v>44459</v>
      </c>
      <c r="M2" s="46">
        <v>44489</v>
      </c>
      <c r="N2" s="46">
        <v>44520</v>
      </c>
      <c r="O2" s="46">
        <v>44550</v>
      </c>
      <c r="P2" s="46" t="s">
        <v>3</v>
      </c>
      <c r="Q2" s="46">
        <v>44217</v>
      </c>
      <c r="R2" s="46">
        <v>44248</v>
      </c>
      <c r="S2" s="46">
        <v>44276</v>
      </c>
      <c r="T2" s="46">
        <v>44307</v>
      </c>
      <c r="U2" s="46">
        <v>44337</v>
      </c>
      <c r="V2" s="46">
        <v>44368</v>
      </c>
      <c r="W2" s="46">
        <v>44398</v>
      </c>
      <c r="X2" s="46">
        <v>44429</v>
      </c>
      <c r="Y2" s="46">
        <v>44460</v>
      </c>
      <c r="Z2" s="46">
        <v>44490</v>
      </c>
      <c r="AA2" s="46">
        <v>44521</v>
      </c>
      <c r="AB2" s="46">
        <v>44551</v>
      </c>
      <c r="AC2" s="176" t="s">
        <v>194</v>
      </c>
      <c r="AD2" s="190">
        <v>44562</v>
      </c>
      <c r="AE2" s="190">
        <v>44593</v>
      </c>
      <c r="AF2" s="190">
        <v>44621</v>
      </c>
      <c r="AG2" s="190">
        <v>44652</v>
      </c>
      <c r="AH2" s="190">
        <v>44682</v>
      </c>
      <c r="AI2" s="190">
        <v>44713</v>
      </c>
      <c r="AJ2" s="190">
        <v>44743</v>
      </c>
      <c r="AK2" s="190">
        <v>44774</v>
      </c>
      <c r="AL2" s="190">
        <v>44805</v>
      </c>
      <c r="AM2" s="190">
        <v>44835</v>
      </c>
      <c r="AN2" s="190">
        <v>44866</v>
      </c>
      <c r="AO2" s="190">
        <v>44896</v>
      </c>
      <c r="AP2" s="190" t="s">
        <v>195</v>
      </c>
      <c r="AQ2" s="190">
        <v>44927</v>
      </c>
      <c r="AR2" s="190">
        <v>44958</v>
      </c>
      <c r="AS2" s="190">
        <v>44986</v>
      </c>
      <c r="AT2" s="190">
        <v>45017</v>
      </c>
      <c r="AU2" s="190">
        <v>45047</v>
      </c>
      <c r="AV2" s="190">
        <v>45078</v>
      </c>
      <c r="AW2" s="190">
        <v>45108</v>
      </c>
      <c r="AX2" s="190">
        <v>45139</v>
      </c>
      <c r="AY2" s="190">
        <v>45170</v>
      </c>
    </row>
    <row r="3" spans="1:51">
      <c r="A3" s="236" t="s">
        <v>196</v>
      </c>
      <c r="B3" s="62" t="s">
        <v>137</v>
      </c>
      <c r="C3" s="63" t="s">
        <v>197</v>
      </c>
      <c r="D3" s="64">
        <f>[2]Financials!B14</f>
        <v>0</v>
      </c>
      <c r="E3" s="64">
        <f>Financials!C13</f>
        <v>154276288.84</v>
      </c>
      <c r="F3" s="64">
        <f>Financials!D13</f>
        <v>154116635.28999999</v>
      </c>
      <c r="G3" s="64">
        <f>Financials!E13</f>
        <v>147038902.59999999</v>
      </c>
      <c r="H3" s="64">
        <f>Financials!F13</f>
        <v>156203562.94999999</v>
      </c>
      <c r="I3" s="64">
        <f>Financials!G13</f>
        <v>156069382.63999999</v>
      </c>
      <c r="J3" s="64">
        <f>Financials!H13</f>
        <v>155804011.05000001</v>
      </c>
      <c r="K3" s="64">
        <f>Financials!I13</f>
        <v>153502818.07999998</v>
      </c>
      <c r="L3" s="64">
        <f>Financials!J13</f>
        <v>154083316.96000001</v>
      </c>
      <c r="M3" s="64">
        <f>Financials!K13</f>
        <v>158921924.48000002</v>
      </c>
      <c r="N3" s="64">
        <f>Financials!L13</f>
        <v>158061218.22</v>
      </c>
      <c r="O3" s="64">
        <f>Financials!M13</f>
        <v>155384895.93000001</v>
      </c>
      <c r="P3" s="64">
        <f>Financials!N13</f>
        <v>151317923</v>
      </c>
      <c r="Q3" s="64">
        <f>Financials!O13</f>
        <v>156137547.11000001</v>
      </c>
      <c r="R3" s="64">
        <f>Financials!P13</f>
        <v>157154956.38</v>
      </c>
      <c r="S3" s="64">
        <f>Financials!Q13</f>
        <v>158086720.83000001</v>
      </c>
      <c r="T3" s="64">
        <f>Financials!R13</f>
        <v>169960905.03</v>
      </c>
      <c r="U3" s="64">
        <f>Financials!S13</f>
        <v>166013660.88</v>
      </c>
      <c r="V3" s="64">
        <f>Financials!T13</f>
        <v>167428952.12</v>
      </c>
      <c r="W3" s="64">
        <f>Financials!U13</f>
        <v>169535144.25999999</v>
      </c>
      <c r="X3" s="64">
        <f>Financials!V13</f>
        <v>166561823.06</v>
      </c>
      <c r="Y3" s="64">
        <f>Financials!W13</f>
        <v>161777478.50999999</v>
      </c>
      <c r="Z3" s="64">
        <f>Financials!X13</f>
        <v>167025895.40000001</v>
      </c>
      <c r="AA3" s="64">
        <f>Financials!Y13</f>
        <v>165656553.65000001</v>
      </c>
      <c r="AB3" s="64">
        <f>Financials!Z13</f>
        <v>163855280.71000001</v>
      </c>
      <c r="AC3" s="64">
        <f>Financials!AA13</f>
        <v>153851067</v>
      </c>
      <c r="AD3" s="64">
        <f>Financials!AB13</f>
        <v>140196871.74000001</v>
      </c>
      <c r="AE3" s="64">
        <f>Financials!AC13</f>
        <v>143007659.42000002</v>
      </c>
      <c r="AF3" s="64">
        <f>Financials!AD13</f>
        <v>145175896.48000002</v>
      </c>
      <c r="AG3" s="64">
        <f>Financials!AE13</f>
        <v>147441899.44</v>
      </c>
      <c r="AH3" s="64">
        <f>Financials!AF13</f>
        <v>149611401</v>
      </c>
      <c r="AI3" s="64">
        <f>Financials!AG13</f>
        <v>151774309</v>
      </c>
      <c r="AJ3" s="64">
        <f>Financials!AH13</f>
        <v>154008306.44</v>
      </c>
      <c r="AK3" s="64">
        <f>Financials!AI13</f>
        <v>155952930.97999999</v>
      </c>
      <c r="AL3" s="64">
        <f>Financials!AJ13</f>
        <v>158252703</v>
      </c>
      <c r="AM3" s="64">
        <f>Financials!AK13</f>
        <v>157256307</v>
      </c>
      <c r="AN3" s="64">
        <f>Financials!AL13</f>
        <v>150629822.86000001</v>
      </c>
      <c r="AO3" s="64">
        <f>Financials!AM13</f>
        <v>151585535.72999999</v>
      </c>
      <c r="AP3" s="64">
        <f>Financials!AN13</f>
        <v>169276637</v>
      </c>
      <c r="AQ3" s="64">
        <f>Financials!AO13</f>
        <v>164737545.92000002</v>
      </c>
      <c r="AR3" s="64">
        <f>Financials!AP13</f>
        <v>153786311.97</v>
      </c>
      <c r="AS3" s="64">
        <f>Financials!AQ13</f>
        <v>159521563.86000001</v>
      </c>
      <c r="AT3" s="64">
        <f>Financials!AR13</f>
        <v>162200703.96000001</v>
      </c>
      <c r="AU3" s="64">
        <f>Financials!AS13</f>
        <v>162835191.77000001</v>
      </c>
      <c r="AV3" s="64">
        <f>Financials!AT13</f>
        <v>175887669.63</v>
      </c>
      <c r="AW3" s="64">
        <f>Financials!AU13</f>
        <v>176055724.26999998</v>
      </c>
      <c r="AX3" s="64">
        <f>Financials!AV13</f>
        <v>176057921.31999999</v>
      </c>
      <c r="AY3" s="64">
        <f>Financials!AW13</f>
        <v>175442835.14999998</v>
      </c>
    </row>
    <row r="4" spans="1:51">
      <c r="A4" s="237"/>
      <c r="B4" s="65" t="s">
        <v>198</v>
      </c>
      <c r="C4" s="66">
        <v>0.1</v>
      </c>
      <c r="D4" s="67" t="e">
        <f>[2]Financials!B13/[2]Financials!B5</f>
        <v>#DIV/0!</v>
      </c>
      <c r="E4" s="67">
        <f>Financials!C13/Financials!C5</f>
        <v>0.36944290005005848</v>
      </c>
      <c r="F4" s="67">
        <f>Financials!D13/Financials!D5</f>
        <v>0.36921737429051277</v>
      </c>
      <c r="G4" s="67">
        <f>Financials!E13/Financials!E5</f>
        <v>0.36373799355126474</v>
      </c>
      <c r="H4" s="67">
        <f>Financials!F13/Financials!F5</f>
        <v>0.37713865676019709</v>
      </c>
      <c r="I4" s="67">
        <f>Financials!G13/Financials!G5</f>
        <v>0.37696119858107874</v>
      </c>
      <c r="J4" s="67">
        <f>Financials!H13/Financials!H5</f>
        <v>0.37603158220153887</v>
      </c>
      <c r="K4" s="67">
        <f>Financials!I13/Financials!I5</f>
        <v>0.37854069234101317</v>
      </c>
      <c r="L4" s="67">
        <f>Financials!J13/Financials!J5</f>
        <v>0.38981534596033479</v>
      </c>
      <c r="M4" s="67">
        <f>Financials!K13/Financials!K5</f>
        <v>0.33899784806526684</v>
      </c>
      <c r="N4" s="67">
        <f>Financials!L13/Financials!L5</f>
        <v>0.38879833300412631</v>
      </c>
      <c r="O4" s="67">
        <f>Financials!M13/Financials!M5</f>
        <v>0.3954026501573833</v>
      </c>
      <c r="P4" s="67">
        <f>Financials!N13/Financials!N5</f>
        <v>0.38282008111888377</v>
      </c>
      <c r="Q4" s="67">
        <f>Financials!O13/Financials!O5</f>
        <v>0.39230643338495458</v>
      </c>
      <c r="R4" s="67">
        <f>Financials!P13/Financials!P5</f>
        <v>0.38889254306159887</v>
      </c>
      <c r="S4" s="67">
        <f>Financials!Q13/Financials!Q5</f>
        <v>0.40601094062085508</v>
      </c>
      <c r="T4" s="67">
        <f>Financials!R13/Financials!R5</f>
        <v>0.41284880304820715</v>
      </c>
      <c r="U4" s="67">
        <f>Financials!S13/Financials!S5</f>
        <v>0.4232094614220972</v>
      </c>
      <c r="V4" s="67">
        <f>Financials!T13/Financials!T5</f>
        <v>0.42307670107975826</v>
      </c>
      <c r="W4" s="67">
        <f>Financials!U13/Financials!U5</f>
        <v>0.41704525119730962</v>
      </c>
      <c r="X4" s="67">
        <f>Financials!V13/Financials!V5</f>
        <v>0.41594344322717336</v>
      </c>
      <c r="Y4" s="67">
        <f>Financials!W13/Financials!W5</f>
        <v>0.41020386945990928</v>
      </c>
      <c r="Z4" s="67">
        <f>Financials!X13/Financials!X5</f>
        <v>0.36200313060258926</v>
      </c>
      <c r="AA4" s="67">
        <f>Financials!Y13/Financials!Y5</f>
        <v>0.41412277110787277</v>
      </c>
      <c r="AB4" s="67">
        <f>Financials!Z13/Financials!Z5</f>
        <v>0.41978304513594589</v>
      </c>
      <c r="AC4" s="67">
        <f>Financials!AA13/Financials!AA5</f>
        <v>0.39463369582059821</v>
      </c>
      <c r="AD4" s="67">
        <f>Financials!AB13/Financials!AB5</f>
        <v>0.32474522013450224</v>
      </c>
      <c r="AE4" s="67">
        <f>Financials!AC13/Financials!AC5</f>
        <v>0.32587352446208917</v>
      </c>
      <c r="AF4" s="67">
        <f>Financials!AD13/Financials!AD5</f>
        <v>0.33033706107797967</v>
      </c>
      <c r="AG4" s="67">
        <f>Financials!AE13/Financials!AE5</f>
        <v>0.34624364827524173</v>
      </c>
      <c r="AH4" s="67">
        <f>Financials!AF13/Financials!AF5</f>
        <v>0.34686892335173475</v>
      </c>
      <c r="AI4" s="67">
        <f>Financials!AG13/Financials!AG5</f>
        <v>0.34456018402301419</v>
      </c>
      <c r="AJ4" s="67">
        <f>Financials!AH13/Financials!AH5</f>
        <v>0.35453350537593159</v>
      </c>
      <c r="AK4" s="67">
        <f>Financials!AI13/Financials!AI5</f>
        <v>0.34989327761096695</v>
      </c>
      <c r="AL4" s="67">
        <f>Financials!AJ13/Financials!AJ5</f>
        <v>0.35556120604247177</v>
      </c>
      <c r="AM4" s="67">
        <f>Financials!AK13/Financials!AK5</f>
        <v>0.35039055682016679</v>
      </c>
      <c r="AN4" s="67">
        <f>Financials!AL13/Financials!AL5</f>
        <v>0.33593692713210244</v>
      </c>
      <c r="AO4" s="67">
        <f>Financials!AM13/Financials!AM5</f>
        <v>0.33429862166691665</v>
      </c>
      <c r="AP4" s="67">
        <f>Financials!AN13/Financials!AN5</f>
        <v>1.2248857753955964</v>
      </c>
      <c r="AQ4" s="67">
        <f>Financials!AO13/Financials!AO5</f>
        <v>0.40651283479302108</v>
      </c>
      <c r="AR4" s="67">
        <f>Financials!AP13/Financials!AP5</f>
        <v>0.37412005247552427</v>
      </c>
      <c r="AS4" s="67">
        <f>Financials!AQ13/Financials!AQ5</f>
        <v>0.40108061685909124</v>
      </c>
      <c r="AT4" s="67">
        <f>Financials!AR13/Financials!AR5</f>
        <v>0.40388206978776969</v>
      </c>
      <c r="AU4" s="67">
        <f>Financials!AS13/Financials!AS5</f>
        <v>0.41005406973042346</v>
      </c>
      <c r="AV4" s="67">
        <f>Financials!AT13/Financials!AT5</f>
        <v>0.42801647300404705</v>
      </c>
      <c r="AW4" s="67">
        <f>Financials!AU13/Financials!AU5</f>
        <v>0.41736190559721037</v>
      </c>
      <c r="AX4" s="67">
        <f>Financials!AV13/Financials!AV5</f>
        <v>0.4173900423735557</v>
      </c>
      <c r="AY4" s="67">
        <f>Financials!AW13/Financials!AW5</f>
        <v>0.41585432894123564</v>
      </c>
    </row>
    <row r="5" spans="1:51">
      <c r="A5" s="237"/>
      <c r="B5" s="65" t="s">
        <v>199</v>
      </c>
      <c r="C5" s="66">
        <v>0.08</v>
      </c>
      <c r="D5" s="67" t="e">
        <f>[2]Financials!B13/[2]Financials!B6</f>
        <v>#DIV/0!</v>
      </c>
      <c r="E5" s="67">
        <f>Financials!C13/Financials!C6</f>
        <v>0.96382949491345271</v>
      </c>
      <c r="F5" s="67">
        <f>Financials!D13/Financials!D6</f>
        <v>0.97225758185434141</v>
      </c>
      <c r="G5" s="67">
        <f>Financials!E13/Financials!E6</f>
        <v>0.97860455339669994</v>
      </c>
      <c r="H5" s="67">
        <f>Financials!F13/Financials!F6</f>
        <v>1.0015410764330213</v>
      </c>
      <c r="I5" s="67">
        <f>Financials!G13/Financials!G6</f>
        <v>1.010046419826053</v>
      </c>
      <c r="J5" s="67">
        <f>Financials!H13/Financials!H6</f>
        <v>0.99510748672548621</v>
      </c>
      <c r="K5" s="67">
        <f>Financials!I13/Financials!I6</f>
        <v>1.0126180800189482</v>
      </c>
      <c r="L5" s="67">
        <f>Financials!J13/Financials!J6</f>
        <v>0.9923388343375511</v>
      </c>
      <c r="M5" s="67">
        <f>Financials!K13/Financials!K6</f>
        <v>0.70553243108081365</v>
      </c>
      <c r="N5" s="67">
        <f>Financials!L13/Financials!L6</f>
        <v>0.93270827845599424</v>
      </c>
      <c r="O5" s="67">
        <f>Financials!M13/Financials!M6</f>
        <v>0.96019323429888848</v>
      </c>
      <c r="P5" s="67">
        <f>Financials!N13/Financials!N6</f>
        <v>0.93506157740205631</v>
      </c>
      <c r="Q5" s="67">
        <f>Financials!O13/Financials!O6</f>
        <v>0.95652368981450364</v>
      </c>
      <c r="R5" s="67">
        <f>Financials!P13/Financials!P6</f>
        <v>0.91900554725685468</v>
      </c>
      <c r="S5" s="67">
        <f>Financials!Q13/Financials!Q6</f>
        <v>1.0041985866247123</v>
      </c>
      <c r="T5" s="67">
        <f>Financials!R13/Financials!R6</f>
        <v>1.0105635096717385</v>
      </c>
      <c r="U5" s="67">
        <f>Financials!S13/Financials!S6</f>
        <v>1.0631310538667977</v>
      </c>
      <c r="V5" s="67">
        <f>Financials!T13/Financials!T6</f>
        <v>1.0785440239983595</v>
      </c>
      <c r="W5" s="67">
        <f>Financials!U13/Financials!U6</f>
        <v>1.0343409944441491</v>
      </c>
      <c r="X5" s="67">
        <f>Financials!V13/Financials!V6</f>
        <v>1.0467609311530206</v>
      </c>
      <c r="Y5" s="67">
        <f>Financials!W13/Financials!W6</f>
        <v>1.0386744714890466</v>
      </c>
      <c r="Z5" s="67">
        <f>Financials!X13/Financials!X6</f>
        <v>0.731241542959982</v>
      </c>
      <c r="AA5" s="67">
        <f>Financials!Y13/Financials!Y6</f>
        <v>0.96791176835195447</v>
      </c>
      <c r="AB5" s="67">
        <f>Financials!Z13/Financials!Z6</f>
        <v>1.0241774785787081</v>
      </c>
      <c r="AC5" s="67">
        <f>Financials!AA13/Financials!AA6</f>
        <v>0.96164613794523501</v>
      </c>
      <c r="AD5" s="67">
        <f>Financials!AB13/Financials!AB6</f>
        <v>0.52789673249194857</v>
      </c>
      <c r="AE5" s="67">
        <f>Financials!AC13/Financials!AC6</f>
        <v>0.53040398203752548</v>
      </c>
      <c r="AF5" s="67">
        <f>Financials!AD13/Financials!AD6</f>
        <v>0.53214380866729361</v>
      </c>
      <c r="AG5" s="67">
        <f>Financials!AE13/Financials!AE6</f>
        <v>0.53448523978697171</v>
      </c>
      <c r="AH5" s="67">
        <f>Financials!AF13/Financials!AF6</f>
        <v>0.55773747043191491</v>
      </c>
      <c r="AI5" s="67">
        <f>Financials!AG13/Financials!AG6</f>
        <v>0.54269707201984618</v>
      </c>
      <c r="AJ5" s="67">
        <f>Financials!AH13/Financials!AH6</f>
        <v>0.56320553358133496</v>
      </c>
      <c r="AK5" s="67">
        <f>Financials!AI13/Financials!AI6</f>
        <v>0.55673397474494946</v>
      </c>
      <c r="AL5" s="67">
        <f>Financials!AJ13/Financials!AJ6</f>
        <v>0.58136576771616522</v>
      </c>
      <c r="AM5" s="67">
        <f>Financials!AK13/Financials!AK6</f>
        <v>0.56093198123984189</v>
      </c>
      <c r="AN5" s="67">
        <f>Financials!AL13/Financials!AL6</f>
        <v>0.53151681001751172</v>
      </c>
      <c r="AO5" s="67">
        <f>Financials!AM13/Financials!AM6</f>
        <v>0.54720942945183859</v>
      </c>
      <c r="AP5" s="67">
        <f>Financials!AN13/Financials!AN6</f>
        <v>0.97538389938088277</v>
      </c>
      <c r="AQ5" s="67">
        <f>Financials!AO13/Financials!AO6</f>
        <v>0.93276110117507793</v>
      </c>
      <c r="AR5" s="67">
        <f>Financials!AP13/Financials!AP6</f>
        <v>0.83272873774554046</v>
      </c>
      <c r="AS5" s="67">
        <f>Financials!AQ13/Financials!AQ6</f>
        <v>0.91387589346451281</v>
      </c>
      <c r="AT5" s="67">
        <f>Financials!AR13/Financials!AR6</f>
        <v>0.90865899490035984</v>
      </c>
      <c r="AU5" s="67">
        <f>Financials!AS13/Financials!AS6</f>
        <v>0.92503416582982212</v>
      </c>
      <c r="AV5" s="67">
        <f>Financials!AT13/Financials!AT6</f>
        <v>0.98717091865808215</v>
      </c>
      <c r="AW5" s="67">
        <f>Financials!AU13/Financials!AU6</f>
        <v>0.95978604284269897</v>
      </c>
      <c r="AX5" s="67">
        <f>Financials!AV13/Financials!AV6</f>
        <v>0.95904011256511001</v>
      </c>
      <c r="AY5" s="67">
        <f>Financials!AW13/Financials!AW6</f>
        <v>0.94716026224261252</v>
      </c>
    </row>
    <row r="6" spans="1:51">
      <c r="A6" s="238"/>
      <c r="B6" s="68" t="s">
        <v>200</v>
      </c>
      <c r="C6" s="69">
        <v>0.08</v>
      </c>
      <c r="D6" s="70" t="e">
        <f>([2]Financials!B15-[2]Financials!B16)/[2]Financials!B5</f>
        <v>#DIV/0!</v>
      </c>
      <c r="E6" s="71">
        <f>(Financials!C15-Financials!C16)/Financials!C5</f>
        <v>9.6243308091558871E-2</v>
      </c>
      <c r="F6" s="71">
        <f>(Financials!D15-Financials!D16)/Financials!D5</f>
        <v>9.5583373781262637E-2</v>
      </c>
      <c r="G6" s="71">
        <f>(Financials!E15-Financials!E16)/Financials!E5</f>
        <v>7.9443215464267039E-2</v>
      </c>
      <c r="H6" s="71">
        <f>(Financials!F15-Financials!F16)/Financials!F5</f>
        <v>9.7170875390223788E-2</v>
      </c>
      <c r="I6" s="71">
        <f>(Financials!G15-Financials!G16)/Financials!G5</f>
        <v>9.4527176826614906E-2</v>
      </c>
      <c r="J6" s="71">
        <f>(Financials!H15-Financials!H16)/Financials!H5</f>
        <v>9.227170402678081E-2</v>
      </c>
      <c r="K6" s="71">
        <f>(Financials!I15-Financials!I16)/Financials!I5</f>
        <v>8.7280800545700837E-2</v>
      </c>
      <c r="L6" s="71">
        <f>(Financials!J15-Financials!J16)/Financials!J5</f>
        <v>9.0392975855208293E-2</v>
      </c>
      <c r="M6" s="71">
        <f>(Financials!K15-Financials!K16)/Financials!K5</f>
        <v>8.6463630955211465E-2</v>
      </c>
      <c r="N6" s="71">
        <f>(Financials!L15-Financials!L16)/Financials!L5</f>
        <v>9.7069452682011823E-2</v>
      </c>
      <c r="O6" s="71">
        <f>(Financials!M15-Financials!M16)/Financials!M5</f>
        <v>9.2983160617808938E-2</v>
      </c>
      <c r="P6" s="71">
        <f>(Financials!N15-Financials!N16)/Financials!N5</f>
        <v>8.2145642001558675E-2</v>
      </c>
      <c r="Q6" s="71">
        <f>(Financials!O15-Financials!O16)/Financials!O5</f>
        <v>9.3115096523387855E-2</v>
      </c>
      <c r="R6" s="71">
        <f>(Financials!P15-Financials!P16)/Financials!P5</f>
        <v>9.3574482888338889E-2</v>
      </c>
      <c r="S6" s="71">
        <f>(Financials!Q15-Financials!Q16)/Financials!Q5</f>
        <v>9.8508049862194219E-2</v>
      </c>
      <c r="T6" s="71">
        <f>(Financials!R15-Financials!R16)/Financials!R5</f>
        <v>0.12097507741098407</v>
      </c>
      <c r="U6" s="71">
        <f>(Financials!S15-Financials!S16)/Financials!S5</f>
        <v>0.11610088096848131</v>
      </c>
      <c r="V6" s="71">
        <f>(Financials!T15-Financials!T16)/Financials!T5</f>
        <v>0.11157943277779278</v>
      </c>
      <c r="W6" s="71">
        <f>(Financials!U15-Financials!U16)/Financials!U5</f>
        <v>0.11303371697100362</v>
      </c>
      <c r="X6" s="71">
        <f>(Financials!V15-Financials!V16)/Financials!V5</f>
        <v>0.10664309214069241</v>
      </c>
      <c r="Y6" s="71">
        <f>(Financials!W15-Financials!W16)/Financials!W5</f>
        <v>0.10828421880208916</v>
      </c>
      <c r="Z6" s="71">
        <f>(Financials!X15-Financials!X16)/Financials!X5</f>
        <v>9.2585839087700461E-2</v>
      </c>
      <c r="AA6" s="71">
        <f>(Financials!Y15-Financials!Y16)/Financials!Y5</f>
        <v>0.10262195361459055</v>
      </c>
      <c r="AB6" s="71">
        <f>(Financials!Z15-Financials!Z16)/Financials!Z5</f>
        <v>0.11204075110516584</v>
      </c>
      <c r="AC6" s="71">
        <f>(Financials!AA15-Financials!AA16)/Financials!AA5</f>
        <v>8.6516180190715122E-2</v>
      </c>
      <c r="AD6" s="71">
        <f>(Financials!AB15-Financials!AB16)/Financials!AB5</f>
        <v>0.17738811827556306</v>
      </c>
      <c r="AE6" s="71">
        <f>(Financials!AC15-Financials!AC16)/Financials!AC5</f>
        <v>0.17816279275191796</v>
      </c>
      <c r="AF6" s="71">
        <f>(Financials!AD15-Financials!AD16)/Financials!AD5</f>
        <v>0.18048795566389361</v>
      </c>
      <c r="AG6" s="71">
        <f>(Financials!AE15-Financials!AE16)/Financials!AE5</f>
        <v>0.18893214130265149</v>
      </c>
      <c r="AH6" s="71">
        <f>(Financials!AF15-Financials!AF16)/Financials!AF5</f>
        <v>0.18904365238329954</v>
      </c>
      <c r="AI6" s="71">
        <f>(Financials!AG15-Financials!AG16)/Financials!AG5</f>
        <v>0.18756442569794426</v>
      </c>
      <c r="AJ6" s="71">
        <f>(Financials!AH15-Financials!AH16)/Financials!AH5</f>
        <v>0.19276536531863517</v>
      </c>
      <c r="AK6" s="71">
        <f>(Financials!AI15-Financials!AI16)/Financials!AI5</f>
        <v>0.19005167399922238</v>
      </c>
      <c r="AL6" s="71">
        <f>(Financials!AJ15-Financials!AJ16)/Financials!AJ5</f>
        <v>0.19290725858984917</v>
      </c>
      <c r="AM6" s="71">
        <f>(Financials!AK15-Financials!AK16)/Financials!AK5</f>
        <v>0.19019640945473809</v>
      </c>
      <c r="AN6" s="71">
        <f>(Financials!AL15-Financials!AL16)/Financials!AL5</f>
        <v>0.18298350255186169</v>
      </c>
      <c r="AO6" s="71">
        <f>(Financials!AM15-Financials!AM16)/Financials!AM5</f>
        <v>0.18597505772265172</v>
      </c>
      <c r="AP6" s="71">
        <f>(Financials!AN15-Financials!AN16)/Financials!AN5</f>
        <v>0.24908601358156712</v>
      </c>
      <c r="AQ6" s="71">
        <f>(Financials!AO15-Financials!AO16)/Financials!AO5</f>
        <v>0.11289497354556925</v>
      </c>
      <c r="AR6" s="71">
        <f>(Financials!AP15-Financials!AP16)/Financials!AP5</f>
        <v>8.352771227598145E-2</v>
      </c>
      <c r="AS6" s="71">
        <f>(Financials!AQ15-Financials!AQ16)/Financials!AQ5</f>
        <v>8.9004689422291006E-2</v>
      </c>
      <c r="AT6" s="71">
        <f>(Financials!AR15-Financials!AR16)/Financials!AR5</f>
        <v>8.8752116132632369E-2</v>
      </c>
      <c r="AU6" s="71">
        <f>(Financials!AS15-Financials!AS16)/Financials!AS5</f>
        <v>8.988059334816112E-2</v>
      </c>
      <c r="AV6" s="71">
        <f>(Financials!AT15-Financials!AT16)/Financials!AT5</f>
        <v>0.11769407362764019</v>
      </c>
      <c r="AW6" s="71">
        <f>(Financials!AU15-Financials!AU16)/Financials!AU5</f>
        <v>0.11397555576565714</v>
      </c>
      <c r="AX6" s="71">
        <f>(Financials!AV15-Financials!AV16)/Financials!AV5</f>
        <v>0.11271305189730685</v>
      </c>
      <c r="AY6" s="71">
        <f>(Financials!AW15-Financials!AW16)/Financials!AW5</f>
        <v>0.11027193545102143</v>
      </c>
    </row>
    <row r="7" spans="1:51">
      <c r="A7" s="236" t="s">
        <v>201</v>
      </c>
      <c r="B7" s="62" t="s">
        <v>202</v>
      </c>
      <c r="C7" s="72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</row>
    <row r="8" spans="1:51">
      <c r="A8" s="237"/>
      <c r="B8" s="65" t="s">
        <v>203</v>
      </c>
      <c r="C8" s="74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67">
        <f>(268181+54459+25229611)/174710459</f>
        <v>0.14625484442233649</v>
      </c>
      <c r="AD8" s="67">
        <f t="shared" ref="AD8:AY8" si="0">(268181+54459+25229611)/174710459</f>
        <v>0.14625484442233649</v>
      </c>
      <c r="AE8" s="67">
        <f t="shared" si="0"/>
        <v>0.14625484442233649</v>
      </c>
      <c r="AF8" s="67">
        <f t="shared" si="0"/>
        <v>0.14625484442233649</v>
      </c>
      <c r="AG8" s="67">
        <f t="shared" si="0"/>
        <v>0.14625484442233649</v>
      </c>
      <c r="AH8" s="67">
        <f t="shared" si="0"/>
        <v>0.14625484442233649</v>
      </c>
      <c r="AI8" s="67">
        <f t="shared" si="0"/>
        <v>0.14625484442233649</v>
      </c>
      <c r="AJ8" s="67">
        <f t="shared" si="0"/>
        <v>0.14625484442233649</v>
      </c>
      <c r="AK8" s="67">
        <f t="shared" si="0"/>
        <v>0.14625484442233649</v>
      </c>
      <c r="AL8" s="67">
        <f t="shared" si="0"/>
        <v>0.14625484442233649</v>
      </c>
      <c r="AM8" s="67">
        <f t="shared" si="0"/>
        <v>0.14625484442233649</v>
      </c>
      <c r="AN8" s="67">
        <f t="shared" si="0"/>
        <v>0.14625484442233649</v>
      </c>
      <c r="AO8" s="67">
        <f t="shared" si="0"/>
        <v>0.14625484442233649</v>
      </c>
      <c r="AP8" s="67">
        <f t="shared" si="0"/>
        <v>0.14625484442233649</v>
      </c>
      <c r="AQ8" s="67">
        <f t="shared" si="0"/>
        <v>0.14625484442233649</v>
      </c>
      <c r="AR8" s="67">
        <f t="shared" si="0"/>
        <v>0.14625484442233649</v>
      </c>
      <c r="AS8" s="67">
        <f t="shared" si="0"/>
        <v>0.14625484442233649</v>
      </c>
      <c r="AT8" s="67">
        <f t="shared" si="0"/>
        <v>0.14625484442233649</v>
      </c>
      <c r="AU8" s="67">
        <f t="shared" si="0"/>
        <v>0.14625484442233649</v>
      </c>
      <c r="AV8" s="67">
        <f t="shared" si="0"/>
        <v>0.14625484442233649</v>
      </c>
      <c r="AW8" s="67">
        <f t="shared" si="0"/>
        <v>0.14625484442233649</v>
      </c>
      <c r="AX8" s="67">
        <f t="shared" si="0"/>
        <v>0.14625484442233649</v>
      </c>
      <c r="AY8" s="67">
        <f t="shared" si="0"/>
        <v>0.14625484442233649</v>
      </c>
    </row>
    <row r="9" spans="1:51">
      <c r="A9" s="237"/>
      <c r="B9" s="65" t="s">
        <v>204</v>
      </c>
      <c r="C9" s="76" t="s">
        <v>205</v>
      </c>
      <c r="D9" s="67" t="e">
        <f>('[1]Balance Sheet'!C7+'[1]Balance Sheet'!C20)/'[1]Balance Sheet'!C26</f>
        <v>#REF!</v>
      </c>
      <c r="E9" s="67">
        <f>('Balance Sheet'!D7+'Balance Sheet'!D20)/'Balance Sheet'!D26</f>
        <v>0.38185202359056025</v>
      </c>
      <c r="F9" s="67">
        <f>('Balance Sheet'!E7+'Balance Sheet'!E20)/'Balance Sheet'!E26</f>
        <v>0.37310219063062494</v>
      </c>
      <c r="G9" s="67">
        <f>('Balance Sheet'!F7+'Balance Sheet'!F20)/'Balance Sheet'!F26</f>
        <v>0.38205122494829896</v>
      </c>
      <c r="H9" s="67">
        <f>('Balance Sheet'!G7+'Balance Sheet'!G20)/'Balance Sheet'!G26</f>
        <v>0.37435068031569868</v>
      </c>
      <c r="I9" s="67">
        <f>('Balance Sheet'!H7+'Balance Sheet'!H20)/'Balance Sheet'!H26</f>
        <v>0.37543822818131639</v>
      </c>
      <c r="J9" s="67">
        <f>('Balance Sheet'!I7+'Balance Sheet'!I20)/'Balance Sheet'!I26</f>
        <v>0.37673611776128452</v>
      </c>
      <c r="K9" s="67">
        <f>('Balance Sheet'!J7+'Balance Sheet'!J20)/'Balance Sheet'!J26</f>
        <v>0.39749321901335866</v>
      </c>
      <c r="L9" s="67">
        <f>('Balance Sheet'!K7+'Balance Sheet'!K20)/'Balance Sheet'!K26</f>
        <v>0.40733915200130599</v>
      </c>
      <c r="M9" s="67">
        <f>('Balance Sheet'!L7+'Balance Sheet'!L20)/'Balance Sheet'!L26</f>
        <v>0.31653786877881135</v>
      </c>
      <c r="N9" s="67">
        <f>('Balance Sheet'!M7+'Balance Sheet'!M20)/'Balance Sheet'!M26</f>
        <v>0.36974551288398438</v>
      </c>
      <c r="O9" s="67">
        <f>('Balance Sheet'!N7+'Balance Sheet'!N20)/'Balance Sheet'!N26</f>
        <v>0.38470900347575121</v>
      </c>
      <c r="P9" s="67">
        <f>('Balance Sheet'!O7+'Balance Sheet'!O20)/'Balance Sheet'!O26</f>
        <v>0.3861679303221181</v>
      </c>
      <c r="Q9" s="67">
        <f>('Balance Sheet'!P7+'Balance Sheet'!P20)/'Balance Sheet'!P26</f>
        <v>0.37413983993691141</v>
      </c>
      <c r="R9" s="67">
        <f>('Balance Sheet'!Q7+'Balance Sheet'!Q20)/'Balance Sheet'!Q26</f>
        <v>0.36131970259138418</v>
      </c>
      <c r="S9" s="67">
        <f>('Balance Sheet'!R7+'Balance Sheet'!R20)/'Balance Sheet'!R26</f>
        <v>0.37956580304327292</v>
      </c>
      <c r="T9" s="67">
        <f>('Balance Sheet'!S7+'Balance Sheet'!S20)/'Balance Sheet'!S26</f>
        <v>0.35929141712149482</v>
      </c>
      <c r="U9" s="67">
        <f>('Balance Sheet'!T7+'Balance Sheet'!T20)/'Balance Sheet'!T26</f>
        <v>0.36989558040778542</v>
      </c>
      <c r="V9" s="67">
        <f>('Balance Sheet'!U7+'Balance Sheet'!U20)/'Balance Sheet'!U26</f>
        <v>0.3746839668427091</v>
      </c>
      <c r="W9" s="67">
        <f>('Balance Sheet'!V7+'Balance Sheet'!V20)/'Balance Sheet'!V26</f>
        <v>0.35782450547739281</v>
      </c>
      <c r="X9" s="67">
        <f>('Balance Sheet'!W7+'Balance Sheet'!W20)/'Balance Sheet'!W26</f>
        <v>0.35030278595933373</v>
      </c>
      <c r="Y9" s="67">
        <f>('Balance Sheet'!X7+'Balance Sheet'!X20)/'Balance Sheet'!X26</f>
        <v>0.38767073012379438</v>
      </c>
      <c r="Z9" s="67">
        <f>('Balance Sheet'!Y7+'Balance Sheet'!Y20)/'Balance Sheet'!Y26</f>
        <v>0.31788076778798224</v>
      </c>
      <c r="AA9" s="67">
        <f>('Balance Sheet'!Z7+'Balance Sheet'!Z20)/'Balance Sheet'!Z26</f>
        <v>0.37016006684019181</v>
      </c>
      <c r="AB9" s="67">
        <f>('Balance Sheet'!AA7+'Balance Sheet'!AA20)/'Balance Sheet'!AA26</f>
        <v>0.39592729032423069</v>
      </c>
      <c r="AC9" s="67">
        <f>('Balance Sheet'!AB7+'Balance Sheet'!AB20)/'Balance Sheet'!AB26</f>
        <v>0.39102962987275336</v>
      </c>
      <c r="AD9" s="67">
        <f>('Balance Sheet'!AC7+'Balance Sheet'!AC20)/'Balance Sheet'!AC26</f>
        <v>8.0011448418548153E-2</v>
      </c>
      <c r="AE9" s="67">
        <f>('Balance Sheet'!AD7+'Balance Sheet'!AD20)/'Balance Sheet'!AD26</f>
        <v>7.5918623477790603E-2</v>
      </c>
      <c r="AF9" s="67">
        <f>('Balance Sheet'!AE7+'Balance Sheet'!AE20)/'Balance Sheet'!AE26</f>
        <v>7.3751821991764249E-2</v>
      </c>
      <c r="AG9" s="67">
        <f>('Balance Sheet'!AF7+'Balance Sheet'!AF20)/'Balance Sheet'!AF26</f>
        <v>7.5834595739145721E-2</v>
      </c>
      <c r="AH9" s="67">
        <f>('Balance Sheet'!AG7+'Balance Sheet'!AG20)/'Balance Sheet'!AG26</f>
        <v>5.7516350000825257E-2</v>
      </c>
      <c r="AI9" s="67">
        <f>('Balance Sheet'!AH7+'Balance Sheet'!AH20)/'Balance Sheet'!AH26</f>
        <v>7.6768285863840283E-2</v>
      </c>
      <c r="AJ9" s="67">
        <f>('Balance Sheet'!AI7+'Balance Sheet'!AI20)/'Balance Sheet'!AI26</f>
        <v>6.9112962558197696E-2</v>
      </c>
      <c r="AK9" s="67">
        <f>('Balance Sheet'!AJ7+'Balance Sheet'!AJ20)/'Balance Sheet'!AJ26</f>
        <v>6.8192069080493883E-2</v>
      </c>
      <c r="AL9" s="67">
        <f>('Balance Sheet'!AK7+'Balance Sheet'!AK20)/'Balance Sheet'!AK26</f>
        <v>8.4758070648789194E-2</v>
      </c>
      <c r="AM9" s="67">
        <f>('Balance Sheet'!AL7+'Balance Sheet'!AL20)/'Balance Sheet'!AL26</f>
        <v>4.3965358523589029E-2</v>
      </c>
      <c r="AN9" s="67">
        <f>('Balance Sheet'!AM7+'Balance Sheet'!AM20)/'Balance Sheet'!AM26</f>
        <v>6.4533954742702848E-2</v>
      </c>
      <c r="AO9" s="67">
        <f>('Balance Sheet'!AN7+'Balance Sheet'!AN20)/'Balance Sheet'!AN26</f>
        <v>6.5340435839852426E-2</v>
      </c>
      <c r="AP9" s="67">
        <f>('Balance Sheet'!AO7+'Balance Sheet'!AO20)/'Balance Sheet'!AO26</f>
        <v>0.42439693872039846</v>
      </c>
      <c r="AQ9" s="67">
        <f>('Balance Sheet'!AP7+'Balance Sheet'!AP20)/'Balance Sheet'!AP26</f>
        <v>0.32831500237265143</v>
      </c>
      <c r="AR9" s="67">
        <f>('Balance Sheet'!AQ7+'Balance Sheet'!AQ20)/'Balance Sheet'!AQ26</f>
        <v>0.33361553285493506</v>
      </c>
      <c r="AS9" s="67">
        <f>('Balance Sheet'!AR7+'Balance Sheet'!AR20)/'Balance Sheet'!AR26</f>
        <v>0.32802498069242431</v>
      </c>
      <c r="AT9" s="67">
        <f>('Balance Sheet'!AS7+'Balance Sheet'!AS20)/'Balance Sheet'!AS26</f>
        <v>0.33461613944013446</v>
      </c>
      <c r="AU9" s="67">
        <f>('Balance Sheet'!AT7+'Balance Sheet'!AT20)/'Balance Sheet'!AT26</f>
        <v>0.33088284466252199</v>
      </c>
      <c r="AV9" s="67">
        <f>('Balance Sheet'!AU7+'Balance Sheet'!AU20)/'Balance Sheet'!AU26</f>
        <v>0.31844064807277689</v>
      </c>
      <c r="AW9" s="67">
        <f>('Balance Sheet'!AV7+'Balance Sheet'!AV20)/'Balance Sheet'!AV26</f>
        <v>0.33020315420250701</v>
      </c>
      <c r="AX9" s="67">
        <f>('Balance Sheet'!AW7+'Balance Sheet'!AW20)/'Balance Sheet'!AW26</f>
        <v>0.34174069477944513</v>
      </c>
      <c r="AY9" s="67">
        <f>('Balance Sheet'!AX7+'Balance Sheet'!AX20)/'Balance Sheet'!AX26</f>
        <v>0.34267238553540369</v>
      </c>
    </row>
    <row r="10" spans="1:51">
      <c r="A10" s="238"/>
      <c r="B10" s="68" t="s">
        <v>206</v>
      </c>
      <c r="C10" s="77" t="s">
        <v>207</v>
      </c>
      <c r="D10" s="71" t="e">
        <f>('[1]Balance Sheet'!C22+'[1]Balance Sheet'!C23)/'[1]Balance Sheet'!C26</f>
        <v>#REF!</v>
      </c>
      <c r="E10" s="71">
        <f>('Balance Sheet'!D22+'Balance Sheet'!D23)/'Balance Sheet'!D26</f>
        <v>0.1440538018823109</v>
      </c>
      <c r="F10" s="71">
        <f>('Balance Sheet'!E22+'Balance Sheet'!E23)/'Balance Sheet'!E26</f>
        <v>0.14302474022827799</v>
      </c>
      <c r="G10" s="71">
        <f>('Balance Sheet'!F22+'Balance Sheet'!F23)/'Balance Sheet'!F26</f>
        <v>0.14655873502819275</v>
      </c>
      <c r="H10" s="71">
        <f>('Balance Sheet'!G22+'Balance Sheet'!G23)/'Balance Sheet'!G26</f>
        <v>0.1419438297587591</v>
      </c>
      <c r="I10" s="71">
        <f>('Balance Sheet'!H22+'Balance Sheet'!H23)/'Balance Sheet'!H26</f>
        <v>0.14099270020330662</v>
      </c>
      <c r="J10" s="71">
        <f>('Balance Sheet'!I22+'Balance Sheet'!I23)/'Balance Sheet'!I26</f>
        <v>0.13980302953916479</v>
      </c>
      <c r="K10" s="71">
        <f>('Balance Sheet'!J22+'Balance Sheet'!J23)/'Balance Sheet'!J26</f>
        <v>0.14249684232897492</v>
      </c>
      <c r="L10" s="71">
        <f>('Balance Sheet'!K22+'Balance Sheet'!K23)/'Balance Sheet'!K26</f>
        <v>0.14502159486709423</v>
      </c>
      <c r="M10" s="71">
        <f>('Balance Sheet'!L22+'Balance Sheet'!L23)/'Balance Sheet'!L26</f>
        <v>0.12139025400794953</v>
      </c>
      <c r="N10" s="71">
        <f>('Balance Sheet'!M22+'Balance Sheet'!M23)/'Balance Sheet'!M26</f>
        <v>0.13884502668202503</v>
      </c>
      <c r="O10" s="71">
        <f>('Balance Sheet'!N22+'Balance Sheet'!N23)/'Balance Sheet'!N26</f>
        <v>0.1424601886047562</v>
      </c>
      <c r="P10" s="71">
        <f>('Balance Sheet'!O22+'Balance Sheet'!O23)/'Balance Sheet'!O26</f>
        <v>0.14163385626880962</v>
      </c>
      <c r="Q10" s="71">
        <f>('Balance Sheet'!P22+'Balance Sheet'!P23)/'Balance Sheet'!P26</f>
        <v>0.13968303581761726</v>
      </c>
      <c r="R10" s="71">
        <f>('Balance Sheet'!Q22+'Balance Sheet'!Q23)/'Balance Sheet'!Q26</f>
        <v>0.13660562371087903</v>
      </c>
      <c r="S10" s="71">
        <f>('Balance Sheet'!R22+'Balance Sheet'!R23)/'Balance Sheet'!R26</f>
        <v>0.14128293259662847</v>
      </c>
      <c r="T10" s="71">
        <f>('Balance Sheet'!S22+'Balance Sheet'!S23)/'Balance Sheet'!S26</f>
        <v>0.13320165052755387</v>
      </c>
      <c r="U10" s="71">
        <f>('Balance Sheet'!T22+'Balance Sheet'!T23)/'Balance Sheet'!T26</f>
        <v>0.13921390400609848</v>
      </c>
      <c r="V10" s="71">
        <f>('Balance Sheet'!U22+'Balance Sheet'!U23)/'Balance Sheet'!U26</f>
        <v>0.1373854078569175</v>
      </c>
      <c r="W10" s="71">
        <f>('Balance Sheet'!V22+'Balance Sheet'!V23)/'Balance Sheet'!V26</f>
        <v>0.13276334934690731</v>
      </c>
      <c r="X10" s="71">
        <f>('Balance Sheet'!W22+'Balance Sheet'!W23)/'Balance Sheet'!W26</f>
        <v>0.1340618856727144</v>
      </c>
      <c r="Y10" s="71">
        <f>('Balance Sheet'!X22+'Balance Sheet'!X23)/'Balance Sheet'!X26</f>
        <v>0.14298211620328313</v>
      </c>
      <c r="Z10" s="71">
        <f>('Balance Sheet'!Y22+'Balance Sheet'!Y23)/'Balance Sheet'!Y26</f>
        <v>0.12126990064512674</v>
      </c>
      <c r="AA10" s="71">
        <f>('Balance Sheet'!Z22+'Balance Sheet'!Z23)/'Balance Sheet'!Z26</f>
        <v>0.13878515856083812</v>
      </c>
      <c r="AB10" s="71">
        <f>('Balance Sheet'!AA22+'Balance Sheet'!AA23)/'Balance Sheet'!AA26</f>
        <v>0.14111011991195518</v>
      </c>
      <c r="AC10" s="71">
        <f>('Balance Sheet'!AB22+'Balance Sheet'!AB23)/'Balance Sheet'!AB26</f>
        <v>0.14128217165279727</v>
      </c>
      <c r="AD10" s="71">
        <f>('Balance Sheet'!AC22+'Balance Sheet'!AC23)/'Balance Sheet'!AC26</f>
        <v>1.6162183802712678E-2</v>
      </c>
      <c r="AE10" s="71">
        <f>('Balance Sheet'!AD22+'Balance Sheet'!AD23)/'Balance Sheet'!AD26</f>
        <v>1.5675514675949447E-2</v>
      </c>
      <c r="AF10" s="71">
        <f>('Balance Sheet'!AE22+'Balance Sheet'!AE23)/'Balance Sheet'!AE26</f>
        <v>1.4938952745011138E-2</v>
      </c>
      <c r="AG10" s="71">
        <f>('Balance Sheet'!AF22+'Balance Sheet'!AF23)/'Balance Sheet'!AF26</f>
        <v>1.5186751354647523E-2</v>
      </c>
      <c r="AH10" s="71">
        <f>('Balance Sheet'!AG22+'Balance Sheet'!AG23)/'Balance Sheet'!AG26</f>
        <v>1.4765592565568468E-2</v>
      </c>
      <c r="AI10" s="71">
        <f>('Balance Sheet'!AH22+'Balance Sheet'!AH23)/'Balance Sheet'!AH26</f>
        <v>1.4235073624032455E-2</v>
      </c>
      <c r="AJ10" s="71">
        <f>('Balance Sheet'!AI22+'Balance Sheet'!AI23)/'Balance Sheet'!AI26</f>
        <v>1.4208292452820839E-2</v>
      </c>
      <c r="AK10" s="71">
        <f>('Balance Sheet'!AJ22+'Balance Sheet'!AJ23)/'Balance Sheet'!AJ26</f>
        <v>1.3699796933922722E-2</v>
      </c>
      <c r="AL10" s="71">
        <f>('Balance Sheet'!AK22+'Balance Sheet'!AK23)/'Balance Sheet'!AK26</f>
        <v>1.3744260581861111E-2</v>
      </c>
      <c r="AM10" s="71">
        <f>('Balance Sheet'!AL22+'Balance Sheet'!AL23)/'Balance Sheet'!AL26</f>
        <v>1.585278821577835E-2</v>
      </c>
      <c r="AN10" s="71">
        <f>('Balance Sheet'!AM22+'Balance Sheet'!AM23)/'Balance Sheet'!AM26</f>
        <v>1.4085481324661538E-2</v>
      </c>
      <c r="AO10" s="71">
        <f>('Balance Sheet'!AN22+'Balance Sheet'!AN23)/'Balance Sheet'!AN26</f>
        <v>1.4258175023927729E-2</v>
      </c>
      <c r="AP10" s="71">
        <f>('Balance Sheet'!AO22+'Balance Sheet'!AO23)/'Balance Sheet'!AO26</f>
        <v>0.38522065487885576</v>
      </c>
      <c r="AQ10" s="71">
        <f>('Balance Sheet'!AP22+'Balance Sheet'!AP23)/'Balance Sheet'!AP26</f>
        <v>0.13047526483575295</v>
      </c>
      <c r="AR10" s="71">
        <f>('Balance Sheet'!AQ22+'Balance Sheet'!AQ23)/'Balance Sheet'!AQ26</f>
        <v>0.12816425381903934</v>
      </c>
      <c r="AS10" s="71">
        <f>('Balance Sheet'!AR22+'Balance Sheet'!AR23)/'Balance Sheet'!AR26</f>
        <v>0.13154531799591296</v>
      </c>
      <c r="AT10" s="71">
        <f>('Balance Sheet'!AS22+'Balance Sheet'!AS23)/'Balance Sheet'!AS26</f>
        <v>0.12936996316983246</v>
      </c>
      <c r="AU10" s="71">
        <f>('Balance Sheet'!AT22+'Balance Sheet'!AT23)/'Balance Sheet'!AT26</f>
        <v>0.12991869798170033</v>
      </c>
      <c r="AV10" s="71">
        <f>('Balance Sheet'!AU22+'Balance Sheet'!AU23)/'Balance Sheet'!AU26</f>
        <v>0.12466067310473203</v>
      </c>
      <c r="AW10" s="71">
        <f>('Balance Sheet'!AV22+'Balance Sheet'!AV23)/'Balance Sheet'!AV26</f>
        <v>0.13361715737356844</v>
      </c>
      <c r="AX10" s="71">
        <f>('Balance Sheet'!AW22+'Balance Sheet'!AW23)/'Balance Sheet'!AW26</f>
        <v>0.13273453605899999</v>
      </c>
      <c r="AY10" s="71">
        <f>('Balance Sheet'!AX22+'Balance Sheet'!AX23)/'Balance Sheet'!AX26</f>
        <v>0.13550909729478752</v>
      </c>
    </row>
    <row r="11" spans="1:51">
      <c r="A11" s="236" t="s">
        <v>208</v>
      </c>
      <c r="B11" s="62" t="s">
        <v>209</v>
      </c>
      <c r="C11" s="78" t="s">
        <v>207</v>
      </c>
      <c r="D11" s="79" t="e">
        <f>'[1]Balance Sheet'!C12/'[1]Balance Sheet'!C30</f>
        <v>#REF!</v>
      </c>
      <c r="E11" s="79">
        <f>'Balance Sheet'!D12/'Balance Sheet'!D30</f>
        <v>0.11582947818820057</v>
      </c>
      <c r="F11" s="79">
        <f>'Balance Sheet'!E12/'Balance Sheet'!E30</f>
        <v>0.11609774447911059</v>
      </c>
      <c r="G11" s="79">
        <f>'Balance Sheet'!F12/'Balance Sheet'!F30</f>
        <v>0.12193539243692354</v>
      </c>
      <c r="H11" s="79">
        <f>'Balance Sheet'!G12/'Balance Sheet'!G30</f>
        <v>0.11976768360566768</v>
      </c>
      <c r="I11" s="79">
        <f>'Balance Sheet'!H12/'Balance Sheet'!H30</f>
        <v>0.11927549370520185</v>
      </c>
      <c r="J11" s="79">
        <f>'Balance Sheet'!I12/'Balance Sheet'!I30</f>
        <v>0.11799703195903352</v>
      </c>
      <c r="K11" s="79">
        <f>'Balance Sheet'!J12/'Balance Sheet'!J30</f>
        <v>0.12056204955967896</v>
      </c>
      <c r="L11" s="79">
        <f>'Balance Sheet'!K12/'Balance Sheet'!K30</f>
        <v>0.11804502355847001</v>
      </c>
      <c r="M11" s="79">
        <f>'Balance Sheet'!L12/'Balance Sheet'!L30</f>
        <v>8.5343004137363399E-2</v>
      </c>
      <c r="N11" s="79">
        <f>'Balance Sheet'!M12/'Balance Sheet'!M30</f>
        <v>0.11123020612202568</v>
      </c>
      <c r="O11" s="79">
        <f>'Balance Sheet'!N12/'Balance Sheet'!N30</f>
        <v>0.11696391913467429</v>
      </c>
      <c r="P11" s="79">
        <f>'Balance Sheet'!O12/'Balance Sheet'!O30</f>
        <v>0</v>
      </c>
      <c r="Q11" s="79">
        <f>'Balance Sheet'!P12/'Balance Sheet'!P30</f>
        <v>0.11477012814013013</v>
      </c>
      <c r="R11" s="79">
        <f>'Balance Sheet'!Q12/'Balance Sheet'!Q30</f>
        <v>0.11115219592623472</v>
      </c>
      <c r="S11" s="79">
        <f>'Balance Sheet'!R12/'Balance Sheet'!R30</f>
        <v>0.11986045705404463</v>
      </c>
      <c r="T11" s="79">
        <f>'Balance Sheet'!S12/'Balance Sheet'!S30</f>
        <v>0.11244948462833737</v>
      </c>
      <c r="U11" s="79">
        <f>'Balance Sheet'!T12/'Balance Sheet'!T30</f>
        <v>0.12115401133783318</v>
      </c>
      <c r="V11" s="79">
        <f>'Balance Sheet'!U12/'Balance Sheet'!U30</f>
        <v>0.15143927746058941</v>
      </c>
      <c r="W11" s="79">
        <f>'Balance Sheet'!V12/'Balance Sheet'!V30</f>
        <v>0.14199394441982863</v>
      </c>
      <c r="X11" s="79">
        <f>'Balance Sheet'!W12/'Balance Sheet'!W30</f>
        <v>0.14457289459694586</v>
      </c>
      <c r="Y11" s="79">
        <f>'Balance Sheet'!X12/'Balance Sheet'!X30</f>
        <v>0.1464783976219669</v>
      </c>
      <c r="Z11" s="79">
        <f>'Balance Sheet'!Y12/'Balance Sheet'!Y30</f>
        <v>0.10439016530989122</v>
      </c>
      <c r="AA11" s="79">
        <f>'Balance Sheet'!Z12/'Balance Sheet'!Z30</f>
        <v>0.13534347240777334</v>
      </c>
      <c r="AB11" s="79">
        <f>'Balance Sheet'!AA12/'Balance Sheet'!AA30</f>
        <v>0.14414173773897179</v>
      </c>
      <c r="AC11" s="79">
        <f>'Balance Sheet'!AB12/'Balance Sheet'!AB30</f>
        <v>0.14414174050062281</v>
      </c>
      <c r="AD11" s="79">
        <f>'Balance Sheet'!AC12/'Balance Sheet'!AC30</f>
        <v>4.9736433611222916E-2</v>
      </c>
      <c r="AE11" s="79">
        <f>'Balance Sheet'!AD12/'Balance Sheet'!AD30</f>
        <v>4.8201315939859962E-2</v>
      </c>
      <c r="AF11" s="79">
        <f>'Balance Sheet'!AE12/'Balance Sheet'!AE30</f>
        <v>4.8537708680809623E-2</v>
      </c>
      <c r="AG11" s="79">
        <f>'Balance Sheet'!AF12/'Balance Sheet'!AF30</f>
        <v>4.8835319163585932E-2</v>
      </c>
      <c r="AH11" s="79">
        <f>'Balance Sheet'!AG12/'Balance Sheet'!AG30</f>
        <v>4.91383681015094E-2</v>
      </c>
      <c r="AI11" s="79">
        <f>'Balance Sheet'!AH12/'Balance Sheet'!AH30</f>
        <v>4.7868063477595833E-2</v>
      </c>
      <c r="AJ11" s="79">
        <f>'Balance Sheet'!AI12/'Balance Sheet'!AI30</f>
        <v>4.8860493213406082E-2</v>
      </c>
      <c r="AK11" s="79">
        <f>'Balance Sheet'!AJ12/'Balance Sheet'!AJ30</f>
        <v>4.7946532191994656E-2</v>
      </c>
      <c r="AL11" s="79">
        <f>'Balance Sheet'!AK12/'Balance Sheet'!AK30</f>
        <v>4.8795849367862257E-2</v>
      </c>
      <c r="AM11" s="79">
        <f>'Balance Sheet'!AL12/'Balance Sheet'!AL30</f>
        <v>4.8201645687863497E-2</v>
      </c>
      <c r="AN11" s="79">
        <f>'Balance Sheet'!AM12/'Balance Sheet'!AM30</f>
        <v>4.8298714910293458E-2</v>
      </c>
      <c r="AO11" s="79">
        <f>'Balance Sheet'!AN12/'Balance Sheet'!AN30</f>
        <v>4.8263039825606528E-2</v>
      </c>
      <c r="AP11" s="79">
        <f>'Balance Sheet'!AO12/'Balance Sheet'!AO30</f>
        <v>6.6698163415639319E-2</v>
      </c>
      <c r="AQ11" s="79">
        <f>'Balance Sheet'!AP12/'Balance Sheet'!AP30</f>
        <v>0.13029595366252633</v>
      </c>
      <c r="AR11" s="79">
        <f>'Balance Sheet'!AQ12/'Balance Sheet'!AQ30</f>
        <v>0.12660260337963308</v>
      </c>
      <c r="AS11" s="79">
        <f>'Balance Sheet'!AR12/'Balance Sheet'!AR30</f>
        <v>0.13203646603502833</v>
      </c>
      <c r="AT11" s="79">
        <f>'Balance Sheet'!AS12/'Balance Sheet'!AS30</f>
        <v>0.12836203485466766</v>
      </c>
      <c r="AU11" s="79">
        <f>'Balance Sheet'!AT12/'Balance Sheet'!AT30</f>
        <v>0.13123917489494025</v>
      </c>
      <c r="AV11" s="79">
        <f>'Balance Sheet'!AU12/'Balance Sheet'!AU30</f>
        <v>0.12968292359999967</v>
      </c>
      <c r="AW11" s="79">
        <f>'Balance Sheet'!AV12/'Balance Sheet'!AV30</f>
        <v>0.13884627081061787</v>
      </c>
      <c r="AX11" s="79">
        <f>'Balance Sheet'!AW12/'Balance Sheet'!AW30</f>
        <v>0.1382454470457683</v>
      </c>
      <c r="AY11" s="79">
        <f>'Balance Sheet'!AX12/'Balance Sheet'!AX30</f>
        <v>0.13756271344832613</v>
      </c>
    </row>
    <row r="12" spans="1:51">
      <c r="A12" s="237"/>
      <c r="B12" s="80" t="s">
        <v>210</v>
      </c>
      <c r="C12" s="81" t="s">
        <v>211</v>
      </c>
      <c r="D12" s="82" t="e">
        <f>'[1]Balance Sheet'!C12/[1]Financials!B13</f>
        <v>#REF!</v>
      </c>
      <c r="E12" s="83">
        <f>'Balance Sheet'!D12/Financials!C13</f>
        <v>0.13545193922620416</v>
      </c>
      <c r="F12" s="83">
        <f>'Balance Sheet'!E12/Financials!D13</f>
        <v>0.1355922575176797</v>
      </c>
      <c r="G12" s="83">
        <f>'Balance Sheet'!F12/Financials!E13</f>
        <v>0.14211900477010225</v>
      </c>
      <c r="H12" s="83">
        <f>'Balance Sheet'!G12/Financials!F13</f>
        <v>0.13378070323971442</v>
      </c>
      <c r="I12" s="83">
        <f>'Balance Sheet'!H12/Financials!G13</f>
        <v>0.13389572090640264</v>
      </c>
      <c r="J12" s="83">
        <f>'Balance Sheet'!I12/Financials!H13</f>
        <v>0.1341237774250485</v>
      </c>
      <c r="K12" s="83">
        <f>'Balance Sheet'!J12/Financials!I13</f>
        <v>0.1361344551284345</v>
      </c>
      <c r="L12" s="83">
        <f>'Balance Sheet'!K12/Financials!J13</f>
        <v>0.13562157741856545</v>
      </c>
      <c r="M12" s="83">
        <f>'Balance Sheet'!L12/Financials!K13</f>
        <v>0.13149238261728857</v>
      </c>
      <c r="N12" s="83">
        <f>'Balance Sheet'!M12/Financials!L13</f>
        <v>0.13220841098993777</v>
      </c>
      <c r="O12" s="83">
        <f>'Balance Sheet'!N12/Financials!M13</f>
        <v>0.13448554555401568</v>
      </c>
      <c r="P12" s="83">
        <f>'Balance Sheet'!O12/Financials!N13</f>
        <v>0</v>
      </c>
      <c r="Q12" s="83">
        <f>'Balance Sheet'!P12/Financials!O13</f>
        <v>0.13383726647939395</v>
      </c>
      <c r="R12" s="83">
        <f>'Balance Sheet'!Q12/Financials!P13</f>
        <v>0.1329708141655494</v>
      </c>
      <c r="S12" s="83">
        <f>'Balance Sheet'!R12/Financials!Q13</f>
        <v>0.132187083078735</v>
      </c>
      <c r="T12" s="83">
        <f>'Balance Sheet'!S12/Financials!R13</f>
        <v>0.12295193707230166</v>
      </c>
      <c r="U12" s="83">
        <f>'Balance Sheet'!T12/Financials!S13</f>
        <v>0.1270800390050407</v>
      </c>
      <c r="V12" s="83">
        <f>'Balance Sheet'!U12/Financials!T13</f>
        <v>0.15586923390224464</v>
      </c>
      <c r="W12" s="83">
        <f>'Balance Sheet'!V12/Financials!U13</f>
        <v>0.15393281796473696</v>
      </c>
      <c r="X12" s="83">
        <f>'Balance Sheet'!W12/Financials!V13</f>
        <v>0.15668069681609548</v>
      </c>
      <c r="Y12" s="83">
        <f>'Balance Sheet'!X12/Financials!W13</f>
        <v>0.16131431111646891</v>
      </c>
      <c r="Z12" s="83">
        <f>'Balance Sheet'!Y12/Financials!X13</f>
        <v>0.15624536804608563</v>
      </c>
      <c r="AA12" s="83">
        <f>'Balance Sheet'!Z12/Financials!Y13</f>
        <v>0.15753691553391796</v>
      </c>
      <c r="AB12" s="83">
        <f>'Balance Sheet'!AA12/Financials!Z13</f>
        <v>0.15926873022901183</v>
      </c>
      <c r="AC12" s="83">
        <f>'Balance Sheet'!AB12/Financials!AA13</f>
        <v>0.16962523243338962</v>
      </c>
      <c r="AD12" s="83">
        <f>'Balance Sheet'!AC12/Financials!AB13</f>
        <v>0.10178281314624145</v>
      </c>
      <c r="AE12" s="83">
        <f>'Balance Sheet'!AD12/Financials!AC13</f>
        <v>9.8052601216399929E-2</v>
      </c>
      <c r="AF12" s="83">
        <f>'Balance Sheet'!AE12/Financials!AD13</f>
        <v>9.8081398808249315E-2</v>
      </c>
      <c r="AG12" s="83">
        <f>'Balance Sheet'!AF12/Financials!AE13</f>
        <v>9.6574006805944884E-2</v>
      </c>
      <c r="AH12" s="83">
        <f>'Balance Sheet'!AG12/Financials!AF13</f>
        <v>9.5507794890577896E-2</v>
      </c>
      <c r="AI12" s="83">
        <f>'Balance Sheet'!AH12/Financials!AG13</f>
        <v>9.4476167241189679E-2</v>
      </c>
      <c r="AJ12" s="83">
        <f>'Balance Sheet'!AI12/Financials!AH13</f>
        <v>9.3430382637223683E-2</v>
      </c>
      <c r="AK12" s="83">
        <f>'Balance Sheet'!AJ12/Financials!AI13</f>
        <v>9.2585980329229725E-2</v>
      </c>
      <c r="AL12" s="83">
        <f>'Balance Sheet'!AK12/Financials!AJ13</f>
        <v>9.1556445642511392E-2</v>
      </c>
      <c r="AM12" s="83">
        <f>'Balance Sheet'!AL12/Financials!AK13</f>
        <v>9.245451122033535E-2</v>
      </c>
      <c r="AN12" s="83">
        <f>'Balance Sheet'!AM12/Financials!AL13</f>
        <v>9.6853695523226604E-2</v>
      </c>
      <c r="AO12" s="83">
        <f>'Balance Sheet'!AN12/Financials!AM13</f>
        <v>9.6243054653879542E-2</v>
      </c>
      <c r="AP12" s="83">
        <f>'Balance Sheet'!AO12/Financials!AN13</f>
        <v>7.8026260646943263E-2</v>
      </c>
      <c r="AQ12" s="83">
        <f>'Balance Sheet'!AP12/Financials!AO13</f>
        <v>0.15871926678267709</v>
      </c>
      <c r="AR12" s="83">
        <f>'Balance Sheet'!AQ12/Financials!AP13</f>
        <v>0.17002177999496246</v>
      </c>
      <c r="AS12" s="83">
        <f>'Balance Sheet'!AR12/Financials!AQ13</f>
        <v>0.16390901560460666</v>
      </c>
      <c r="AT12" s="83">
        <f>'Balance Sheet'!AS12/Financials!AR13</f>
        <v>0.16120165857262903</v>
      </c>
      <c r="AU12" s="83">
        <f>'Balance Sheet'!AT12/Financials!AS13</f>
        <v>0.1618017715557114</v>
      </c>
      <c r="AV12" s="83">
        <f>'Balance Sheet'!AU12/Financials!AT13</f>
        <v>0.14979459649118099</v>
      </c>
      <c r="AW12" s="83">
        <f>'Balance Sheet'!AV12/Financials!AU13</f>
        <v>0.1638516590108712</v>
      </c>
      <c r="AX12" s="83">
        <f>'Balance Sheet'!AW12/Financials!AV13</f>
        <v>0.16384961428442701</v>
      </c>
      <c r="AY12" s="83">
        <f>'Balance Sheet'!AX12/Financials!AW13</f>
        <v>0.16442405570644361</v>
      </c>
    </row>
    <row r="13" spans="1:51">
      <c r="A13" s="237"/>
      <c r="B13" s="84" t="s">
        <v>212</v>
      </c>
      <c r="C13" s="85"/>
      <c r="D13" s="67" t="e">
        <f>[1]Financials!B31/[1]Financials!B5</f>
        <v>#DIV/0!</v>
      </c>
      <c r="E13" s="67">
        <f>Financials!C31/Financials!C5</f>
        <v>0.45479041197176107</v>
      </c>
      <c r="F13" s="67">
        <f>Financials!D31/Financials!D5</f>
        <v>0.45347324172981063</v>
      </c>
      <c r="G13" s="67">
        <f>Financials!E31/Financials!E5</f>
        <v>0.4620970889815485</v>
      </c>
      <c r="H13" s="67">
        <f>Financials!F31/Financials!F5</f>
        <v>0.44268832540780756</v>
      </c>
      <c r="I13" s="67">
        <f>Financials!G31/Financials!G5</f>
        <v>0.43269126048405288</v>
      </c>
      <c r="J13" s="67">
        <f>Financials!H31/Financials!H5</f>
        <v>0.42367697077195543</v>
      </c>
      <c r="K13" s="67">
        <f>Financials!I31/Financials!I5</f>
        <v>0.42719230202582731</v>
      </c>
      <c r="L13" s="67">
        <f>Financials!J31/Financials!J5</f>
        <v>0.42539494177048331</v>
      </c>
      <c r="M13" s="67">
        <f>Financials!K31/Financials!K5</f>
        <v>0.30277191028944023</v>
      </c>
      <c r="N13" s="67">
        <f>Financials!L31/Financials!L5</f>
        <v>0.35179636886002053</v>
      </c>
      <c r="O13" s="67">
        <f>Financials!M31/Financials!M5</f>
        <v>0.37304616721081441</v>
      </c>
      <c r="P13" s="67">
        <f>Financials!N31/Financials!N5</f>
        <v>0.37088233383542507</v>
      </c>
      <c r="Q13" s="67">
        <f>Financials!O31/Financials!O5</f>
        <v>0.37346249663609876</v>
      </c>
      <c r="R13" s="67">
        <f>Financials!P31/Financials!P5</f>
        <v>0.37037134774797903</v>
      </c>
      <c r="S13" s="67">
        <f>Financials!Q31/Financials!Q5</f>
        <v>0.40191637647755396</v>
      </c>
      <c r="T13" s="67">
        <f>Financials!R31/Financials!R5</f>
        <v>0.38321368498421787</v>
      </c>
      <c r="U13" s="67">
        <f>Financials!S31/Financials!S5</f>
        <v>0.41113884899452635</v>
      </c>
      <c r="V13" s="67">
        <f>Financials!T31/Financials!T5</f>
        <v>0.41653764015660033</v>
      </c>
      <c r="W13" s="67">
        <f>Financials!U31/Financials!U5</f>
        <v>0.41617248428189396</v>
      </c>
      <c r="X13" s="67">
        <f>Financials!V31/Financials!V5</f>
        <v>0.42845424928696291</v>
      </c>
      <c r="Y13" s="67">
        <f>Financials!W31/Financials!W5</f>
        <v>0.43106525295690923</v>
      </c>
      <c r="Z13" s="67">
        <f>Financials!X31/Financials!X5</f>
        <v>0.35195871461035244</v>
      </c>
      <c r="AA13" s="67">
        <f>Financials!Y31/Financials!Y5</f>
        <v>0.42197093074223668</v>
      </c>
      <c r="AB13" s="67">
        <f>Financials!Z31/Financials!Z5</f>
        <v>0.44830223263108337</v>
      </c>
      <c r="AC13" s="67">
        <f>Financials!AA31/Financials!AA5</f>
        <v>0.44884883538073511</v>
      </c>
      <c r="AD13" s="67">
        <f>Financials!AB31/Financials!AB5</f>
        <v>0.76116641519821171</v>
      </c>
      <c r="AE13" s="67">
        <f>Financials!AC31/Financials!AC5</f>
        <v>0.75816574913330315</v>
      </c>
      <c r="AF13" s="67">
        <f>Financials!AD31/Financials!AD5</f>
        <v>0.7616480972802272</v>
      </c>
      <c r="AG13" s="67">
        <f>Financials!AE31/Financials!AE5</f>
        <v>0.78551996486281861</v>
      </c>
      <c r="AH13" s="67">
        <f>Financials!AF31/Financials!AF5</f>
        <v>0.77346034896996119</v>
      </c>
      <c r="AI13" s="67">
        <f>Financials!AG31/Financials!AG5</f>
        <v>0.77037778218234643</v>
      </c>
      <c r="AJ13" s="67">
        <f>Financials!AH31/Financials!AH5</f>
        <v>0.78849591505151118</v>
      </c>
      <c r="AK13" s="67">
        <f>Financials!AI31/Financials!AI5</f>
        <v>0.75844148821823987</v>
      </c>
      <c r="AL13" s="67">
        <f>Financials!AJ31/Financials!AJ5</f>
        <v>0.75633763150546418</v>
      </c>
      <c r="AM13" s="67">
        <f>Financials!AK31/Financials!AK5</f>
        <v>0.79288532219837382</v>
      </c>
      <c r="AN13" s="67">
        <f>Financials!AL31/Financials!AL5</f>
        <v>0.80460372898518406</v>
      </c>
      <c r="AO13" s="67">
        <f>Financials!AM31/Financials!AM5</f>
        <v>0.80009184069980854</v>
      </c>
      <c r="AP13" s="67">
        <f>Financials!AN31/Financials!AN5</f>
        <v>0</v>
      </c>
      <c r="AQ13" s="67">
        <f>Financials!AO31/Financials!AO5</f>
        <v>0.5461499849483531</v>
      </c>
      <c r="AR13" s="67">
        <f>Financials!AP31/Financials!AP5</f>
        <v>0.54488214748020825</v>
      </c>
      <c r="AS13" s="67">
        <f>Financials!AQ31/Financials!AQ5</f>
        <v>0.58783512916697911</v>
      </c>
      <c r="AT13" s="67">
        <f>Financials!AR31/Financials!AR5</f>
        <v>0.58120420038618215</v>
      </c>
      <c r="AU13" s="67">
        <f>Financials!AS31/Financials!AS5</f>
        <v>0.58517281923773978</v>
      </c>
      <c r="AV13" s="67">
        <f>Financials!AT31/Financials!AT5</f>
        <v>0.56201010824108233</v>
      </c>
      <c r="AW13" s="67">
        <f>Financials!AU31/Financials!AU5</f>
        <v>0.54260886604305414</v>
      </c>
      <c r="AX13" s="67">
        <f>Financials!AV31/Financials!AV5</f>
        <v>0.54710567658885201</v>
      </c>
      <c r="AY13" s="67">
        <f>Financials!AW31/Financials!AW5</f>
        <v>0.5417519158748445</v>
      </c>
    </row>
    <row r="14" spans="1:51">
      <c r="A14" s="237"/>
      <c r="B14" s="65" t="s">
        <v>213</v>
      </c>
      <c r="C14" s="74"/>
      <c r="D14" s="67" t="e">
        <f>'[1]Income Statement'!C38/[1]Financials!B5</f>
        <v>#DIV/0!</v>
      </c>
      <c r="E14" s="67">
        <f>'Income Statement'!D38/Financials!C5</f>
        <v>3.7079158624145911E-3</v>
      </c>
      <c r="F14" s="67">
        <f>'Income Statement'!E38/Financials!D5</f>
        <v>3.0086681239464004E-3</v>
      </c>
      <c r="G14" s="67">
        <f>'Income Statement'!F38/Financials!E5</f>
        <v>2.2719401720533838E-3</v>
      </c>
      <c r="H14" s="67">
        <f>'Income Statement'!G38/Financials!F5</f>
        <v>2.1851037373416302E-2</v>
      </c>
      <c r="I14" s="67">
        <f>'Income Statement'!H38/Financials!G5</f>
        <v>1.9234070732938487E-2</v>
      </c>
      <c r="J14" s="67">
        <f>'Income Statement'!I38/Financials!H5</f>
        <v>1.7036350779421377E-2</v>
      </c>
      <c r="K14" s="67">
        <f>'Income Statement'!J38/Financials!I5</f>
        <v>1.0408036721025422E-2</v>
      </c>
      <c r="L14" s="67">
        <f>'Income Statement'!K38/Financials!J5</f>
        <v>1.1523772826828087E-2</v>
      </c>
      <c r="M14" s="67">
        <f>'Income Statement'!L38/Financials!K5</f>
        <v>1.9968567831638261E-2</v>
      </c>
      <c r="N14" s="67">
        <f>'Income Statement'!M38/Financials!L5</f>
        <v>2.039064588317889E-2</v>
      </c>
      <c r="O14" s="67">
        <f>'Income Statement'!N38/Financials!M5</f>
        <v>1.3658713837633491E-2</v>
      </c>
      <c r="P14" s="67">
        <f>'Income Statement'!O38/Financials!N5</f>
        <v>3.281313694381244E-3</v>
      </c>
      <c r="Q14" s="67">
        <f>'Income Statement'!P38/Financials!O5</f>
        <v>1.3047540322421399E-3</v>
      </c>
      <c r="R14" s="67">
        <f>'Income Statement'!Q38/Financials!P5</f>
        <v>3.1522841970378283E-3</v>
      </c>
      <c r="S14" s="67">
        <f>'Income Statement'!R38/Financials!Q5</f>
        <v>4.6620263479850467E-3</v>
      </c>
      <c r="T14" s="67">
        <f>'Income Statement'!S38/Financials!R5</f>
        <v>3.2215438953592967E-2</v>
      </c>
      <c r="U14" s="67">
        <f>'Income Statement'!T38/Financials!S5</f>
        <v>3.3679061243258368E-2</v>
      </c>
      <c r="V14" s="67">
        <f>'Income Statement'!U38/Financials!T5</f>
        <v>2.987996881237134E-2</v>
      </c>
      <c r="W14" s="67">
        <f>'Income Statement'!V38/Financials!U5</f>
        <v>3.3499484015110235E-2</v>
      </c>
      <c r="X14" s="67">
        <f>'Income Statement'!W38/Financials!V5</f>
        <v>2.5902956537171271E-2</v>
      </c>
      <c r="Y14" s="67">
        <f>'Income Statement'!X38/Financials!W5</f>
        <v>2.6303381913728267E-2</v>
      </c>
      <c r="Z14" s="67">
        <f>'Income Statement'!Y38/Financials!X5</f>
        <v>2.2511473490035034E-2</v>
      </c>
      <c r="AA14" s="67">
        <f>'Income Statement'!Z38/Financials!Y5</f>
        <v>2.1795942592192797E-2</v>
      </c>
      <c r="AB14" s="67">
        <f>'Income Statement'!AA38/Financials!Z5</f>
        <v>2.9209330621121739E-2</v>
      </c>
      <c r="AC14" s="67">
        <f>'Income Statement'!AB38/Financials!AA5</f>
        <v>6.3265816869496659E-3</v>
      </c>
      <c r="AD14" s="67">
        <f>'Income Statement'!AC38/Financials!AB5</f>
        <v>-9.6354294635731651E-3</v>
      </c>
      <c r="AE14" s="67">
        <f>'Income Statement'!AD38/Financials!AC5</f>
        <v>-7.7594072396167208E-3</v>
      </c>
      <c r="AF14" s="67">
        <f>'Income Statement'!AE38/Financials!AD5</f>
        <v>-6.516375099455231E-3</v>
      </c>
      <c r="AG14" s="67">
        <f>'Income Statement'!AF38/Financials!AE5</f>
        <v>2.01566441388756E-2</v>
      </c>
      <c r="AH14" s="67">
        <f>'Income Statement'!AG38/Financials!AF5</f>
        <v>1.978195892896643E-2</v>
      </c>
      <c r="AI14" s="67">
        <f>'Income Statement'!AH38/Financials!AG5</f>
        <v>1.6222268599165864E-2</v>
      </c>
      <c r="AJ14" s="67">
        <f>'Income Statement'!AI38/Financials!AH5</f>
        <v>2.0577951439926686E-2</v>
      </c>
      <c r="AK14" s="67">
        <f>'Income Statement'!AJ38/Financials!AI5</f>
        <v>1.2774122316936184E-2</v>
      </c>
      <c r="AL14" s="67">
        <f>'Income Statement'!AK38/Financials!AJ5</f>
        <v>1.2794517460727272E-2</v>
      </c>
      <c r="AM14" s="67">
        <f>'Income Statement'!AL38/Financials!AK5</f>
        <v>1.2717394349639624E-2</v>
      </c>
      <c r="AN14" s="67">
        <f>'Income Statement'!AM38/Financials!AL5</f>
        <v>9.0094538007261804E-3</v>
      </c>
      <c r="AO14" s="67">
        <f>'Income Statement'!AN38/Financials!AM5</f>
        <v>1.4825059877817756E-2</v>
      </c>
      <c r="AP14" s="67">
        <f>'Income Statement'!AO38/Financials!AN5</f>
        <v>1.3464249846466549E-2</v>
      </c>
      <c r="AQ14" s="67">
        <f>'Income Statement'!AP38/Financials!AO5</f>
        <v>-3.8376575140243094E-4</v>
      </c>
      <c r="AR14" s="67">
        <f>'Income Statement'!AQ38/Financials!AP5</f>
        <v>-2.1442789404680111E-4</v>
      </c>
      <c r="AS14" s="67">
        <f>'Income Statement'!AR38/Financials!AQ5</f>
        <v>2.5699153922829697E-2</v>
      </c>
      <c r="AT14" s="67">
        <f>'Income Statement'!AS38/Financials!AR5</f>
        <v>3.0379528089516205E-3</v>
      </c>
      <c r="AU14" s="67">
        <f>'Income Statement'!AT38/Financials!AS5</f>
        <v>3.1956632510653019E-3</v>
      </c>
      <c r="AV14" s="67">
        <f>'Income Statement'!AU38/Financials!AT5</f>
        <v>3.3926518344945249E-2</v>
      </c>
      <c r="AW14" s="67">
        <f>'Income Statement'!AV38/Financials!AU5</f>
        <v>3.2371187306490537E-2</v>
      </c>
      <c r="AX14" s="67">
        <f>'Income Statement'!AW38/Financials!AV5</f>
        <v>3.1103418040437973E-2</v>
      </c>
      <c r="AY14" s="67">
        <f>'Income Statement'!AX38/Financials!AW5</f>
        <v>2.8678289096829145E-2</v>
      </c>
    </row>
    <row r="15" spans="1:51">
      <c r="A15" s="237"/>
      <c r="B15" s="65" t="s">
        <v>214</v>
      </c>
      <c r="C15" s="74"/>
      <c r="D15" s="67" t="e">
        <f>'[1]Income Statement'!C24/('[1]Income Statement'!C20-'[1]Income Statement'!C22)</f>
        <v>#REF!</v>
      </c>
      <c r="E15" s="67">
        <f>'Income Statement'!D24/('Income Statement'!D20-'Income Statement'!D22)</f>
        <v>0.7545659269393391</v>
      </c>
      <c r="F15" s="67">
        <f>'Income Statement'!E24/('Income Statement'!E20-'Income Statement'!E22)</f>
        <v>0.90445313623516477</v>
      </c>
      <c r="G15" s="67">
        <f>'Income Statement'!F24/('Income Statement'!F20-'Income Statement'!F22)</f>
        <v>0.95370741588310715</v>
      </c>
      <c r="H15" s="67">
        <f>'Income Statement'!G24/('Income Statement'!G20-'Income Statement'!G22)</f>
        <v>0.73083894236709646</v>
      </c>
      <c r="I15" s="67">
        <f>'Income Statement'!H24/('Income Statement'!H20-'Income Statement'!H22)</f>
        <v>0.79425226326941378</v>
      </c>
      <c r="J15" s="67">
        <f>'Income Statement'!I24/('Income Statement'!I20-'Income Statement'!I22)</f>
        <v>0.8378399635372501</v>
      </c>
      <c r="K15" s="67">
        <f>'Income Statement'!J24/('Income Statement'!J20-'Income Statement'!J22)</f>
        <v>0.92158187207512365</v>
      </c>
      <c r="L15" s="67">
        <f>'Income Statement'!K24/('Income Statement'!K20-'Income Statement'!K22)</f>
        <v>0.92287544167258073</v>
      </c>
      <c r="M15" s="67">
        <f>'Income Statement'!L24/('Income Statement'!L20-'Income Statement'!L22)</f>
        <v>0.87108655875953711</v>
      </c>
      <c r="N15" s="67">
        <f>'Income Statement'!M24/('Income Statement'!M20-'Income Statement'!M22)</f>
        <v>0.89690021579172363</v>
      </c>
      <c r="O15" s="67">
        <f>'Income Statement'!N24/('Income Statement'!N20-'Income Statement'!N22)</f>
        <v>0.93632306581439162</v>
      </c>
      <c r="P15" s="67">
        <f>'Income Statement'!O24/('Income Statement'!O20-'Income Statement'!O22)</f>
        <v>0.93581234778514277</v>
      </c>
      <c r="Q15" s="67">
        <f>'Income Statement'!P24/('Income Statement'!P20-'Income Statement'!P22)</f>
        <v>0.90340310967068405</v>
      </c>
      <c r="R15" s="67">
        <f>'Income Statement'!Q24/('Income Statement'!Q20-'Income Statement'!Q22)</f>
        <v>0.8888459342777153</v>
      </c>
      <c r="S15" s="67">
        <f>'Income Statement'!R24/('Income Statement'!R20-'Income Statement'!R22)</f>
        <v>0.89927866401786793</v>
      </c>
      <c r="T15" s="67">
        <f>'Income Statement'!S24/('Income Statement'!S20-'Income Statement'!S22)</f>
        <v>0.61937860667569122</v>
      </c>
      <c r="U15" s="67">
        <f>'Income Statement'!T24/('Income Statement'!T20-'Income Statement'!T22)</f>
        <v>0.67874738840852722</v>
      </c>
      <c r="V15" s="67">
        <f>'Income Statement'!U24/('Income Statement'!U20-'Income Statement'!U22)</f>
        <v>0.74385724189146252</v>
      </c>
      <c r="W15" s="67">
        <f>'Income Statement'!V24/('Income Statement'!V20-'Income Statement'!V22)</f>
        <v>0.74118054096342956</v>
      </c>
      <c r="X15" s="67">
        <f>'Income Statement'!W24/('Income Statement'!W20-'Income Statement'!W22)</f>
        <v>0.82188074632048436</v>
      </c>
      <c r="Y15" s="67">
        <f>'Income Statement'!X24/('Income Statement'!X20-'Income Statement'!X22)</f>
        <v>0.83718378789688153</v>
      </c>
      <c r="Z15" s="67">
        <f>'Income Statement'!Y24/('Income Statement'!Y20-'Income Statement'!Y22)</f>
        <v>0.8541773304104171</v>
      </c>
      <c r="AA15" s="67">
        <f>'Income Statement'!Z24/('Income Statement'!Z20-'Income Statement'!Z22)</f>
        <v>0.88854637563987127</v>
      </c>
      <c r="AB15" s="67">
        <f>'Income Statement'!AA24/('Income Statement'!AA20-'Income Statement'!AA22)</f>
        <v>0.8767837039685018</v>
      </c>
      <c r="AC15" s="67">
        <f>'Income Statement'!AB24/('Income Statement'!AB20-'Income Statement'!AB22)</f>
        <v>0.92017459335015461</v>
      </c>
      <c r="AD15" s="67">
        <f>'Income Statement'!AC24/('Income Statement'!AC20-'Income Statement'!AC22)</f>
        <v>0.90340310967068405</v>
      </c>
      <c r="AE15" s="67">
        <f>'Income Statement'!AD24/('Income Statement'!AD20-'Income Statement'!AD22)</f>
        <v>0.8888459342777153</v>
      </c>
      <c r="AF15" s="67">
        <f>'Income Statement'!AE24/('Income Statement'!AE20-'Income Statement'!AE22)</f>
        <v>0.89927866401786793</v>
      </c>
      <c r="AG15" s="67">
        <f>'Income Statement'!AF24/('Income Statement'!AF20-'Income Statement'!AF22)</f>
        <v>0.61937860667569122</v>
      </c>
      <c r="AH15" s="67">
        <f>'Income Statement'!AG24/('Income Statement'!AG20-'Income Statement'!AG22)</f>
        <v>0.67874738840852722</v>
      </c>
      <c r="AI15" s="67">
        <f>'Income Statement'!AH24/('Income Statement'!AH20-'Income Statement'!AH22)</f>
        <v>0.74385724189146252</v>
      </c>
      <c r="AJ15" s="67">
        <f>'Income Statement'!AI24/('Income Statement'!AI20-'Income Statement'!AI22)</f>
        <v>0.74118054096342956</v>
      </c>
      <c r="AK15" s="67">
        <f>'Income Statement'!AJ24/('Income Statement'!AJ20-'Income Statement'!AJ22)</f>
        <v>0.82188074632048436</v>
      </c>
      <c r="AL15" s="67">
        <f>'Income Statement'!AK24/('Income Statement'!AK20-'Income Statement'!AK22)</f>
        <v>0.83718378789688153</v>
      </c>
      <c r="AM15" s="67">
        <f>'Income Statement'!AL24/('Income Statement'!AL20-'Income Statement'!AL22)</f>
        <v>0.8541773304104171</v>
      </c>
      <c r="AN15" s="67">
        <f>'Income Statement'!AM24/('Income Statement'!AM20-'Income Statement'!AM22)</f>
        <v>0.88854637563987127</v>
      </c>
      <c r="AO15" s="67">
        <f>'Income Statement'!AN24/('Income Statement'!AN20-'Income Statement'!AN22)</f>
        <v>0.8767837039685018</v>
      </c>
      <c r="AP15" s="67">
        <f>'Income Statement'!AO24/('Income Statement'!AO20-'Income Statement'!AO22)</f>
        <v>0.93362393764171037</v>
      </c>
      <c r="AQ15" s="67">
        <f>'Income Statement'!AP24/('Income Statement'!AP20-'Income Statement'!AP22)</f>
        <v>1.0239289193586083</v>
      </c>
      <c r="AR15" s="67">
        <f>'Income Statement'!AQ24/('Income Statement'!AQ20-'Income Statement'!AQ22)</f>
        <v>1.0066051539597969</v>
      </c>
      <c r="AS15" s="67">
        <f>'Income Statement'!AR24/('Income Statement'!AR20-'Income Statement'!AR22)</f>
        <v>0.65718208543588352</v>
      </c>
      <c r="AT15" s="67">
        <f>'Income Statement'!AS24/('Income Statement'!AS20-'Income Statement'!AS22)</f>
        <v>0.95415136547954427</v>
      </c>
      <c r="AU15" s="67">
        <f>'Income Statement'!AT24/('Income Statement'!AT20-'Income Statement'!AT22)</f>
        <v>0.96128922236444247</v>
      </c>
      <c r="AV15" s="67">
        <f>'Income Statement'!AU24/('Income Statement'!AU20-'Income Statement'!AU22)</f>
        <v>0.73897486082085773</v>
      </c>
      <c r="AW15" s="67">
        <f>'Income Statement'!AV24/('Income Statement'!AV20-'Income Statement'!AV22)</f>
        <v>0.77198643315878079</v>
      </c>
      <c r="AX15" s="67">
        <f>'Income Statement'!AW24/('Income Statement'!AW20-'Income Statement'!AW22)</f>
        <v>0.79888025895491965</v>
      </c>
      <c r="AY15" s="67">
        <f>'Income Statement'!AX24/('Income Statement'!AX20-'Income Statement'!AX22)</f>
        <v>0.82870796655128343</v>
      </c>
    </row>
    <row r="16" spans="1:51">
      <c r="A16" s="238"/>
      <c r="B16" s="68" t="s">
        <v>215</v>
      </c>
      <c r="C16" s="68"/>
      <c r="D16" s="71" t="e">
        <f>'[1]Income Statement'!C24/'[1]Income Statement'!C4</f>
        <v>#DIV/0!</v>
      </c>
      <c r="E16" s="71">
        <f>'Income Statement'!D24/'Income Statement'!D4</f>
        <v>0.68529930992081622</v>
      </c>
      <c r="F16" s="71">
        <f>'Income Statement'!E24/'Income Statement'!E4</f>
        <v>0.83037000557374963</v>
      </c>
      <c r="G16" s="71">
        <f>'Income Statement'!F24/'Income Statement'!F4</f>
        <v>0.85419038206585685</v>
      </c>
      <c r="H16" s="71">
        <f>'Income Statement'!G24/'Income Statement'!G4</f>
        <v>0.66735301915607714</v>
      </c>
      <c r="I16" s="71">
        <f>'Income Statement'!H24/'Income Statement'!H4</f>
        <v>0.72092026532725351</v>
      </c>
      <c r="J16" s="71">
        <f>'Income Statement'!I24/'Income Statement'!I4</f>
        <v>0.75382077753401455</v>
      </c>
      <c r="K16" s="71">
        <f>'Income Statement'!J24/'Income Statement'!J4</f>
        <v>0.82077634224580809</v>
      </c>
      <c r="L16" s="71">
        <f>'Income Statement'!K24/'Income Statement'!K4</f>
        <v>0.82018258551363044</v>
      </c>
      <c r="M16" s="71">
        <f>'Income Statement'!L24/'Income Statement'!L4</f>
        <v>0.68443002520914931</v>
      </c>
      <c r="N16" s="71">
        <f>'Income Statement'!M24/'Income Statement'!M4</f>
        <v>0.71434338227808691</v>
      </c>
      <c r="O16" s="71">
        <f>'Income Statement'!N24/'Income Statement'!N4</f>
        <v>0.7228640413885693</v>
      </c>
      <c r="P16" s="71">
        <f>'Income Statement'!O24/'Income Statement'!O4</f>
        <v>0.73421839374684283</v>
      </c>
      <c r="Q16" s="71">
        <f>'Income Statement'!P24/'Income Statement'!P4</f>
        <v>0.79817745137096241</v>
      </c>
      <c r="R16" s="71">
        <f>'Income Statement'!Q24/'Income Statement'!Q4</f>
        <v>0.79553965770847357</v>
      </c>
      <c r="S16" s="71">
        <f>'Income Statement'!R24/'Income Statement'!R4</f>
        <v>0.80728098083566335</v>
      </c>
      <c r="T16" s="71">
        <f>'Income Statement'!S24/'Income Statement'!S4</f>
        <v>0.57484175877519883</v>
      </c>
      <c r="U16" s="71">
        <f>'Income Statement'!T24/'Income Statement'!T4</f>
        <v>0.62861945518748308</v>
      </c>
      <c r="V16" s="71">
        <f>'Income Statement'!U24/'Income Statement'!U4</f>
        <v>0.68515684138226063</v>
      </c>
      <c r="W16" s="71">
        <f>'Income Statement'!V24/'Income Statement'!V4</f>
        <v>0.68158714420096711</v>
      </c>
      <c r="X16" s="71">
        <f>'Income Statement'!W24/'Income Statement'!W4</f>
        <v>0.7539488191535787</v>
      </c>
      <c r="Y16" s="71">
        <f>'Income Statement'!X24/'Income Statement'!X4</f>
        <v>0.76652287935504404</v>
      </c>
      <c r="Z16" s="71">
        <f>'Income Statement'!Y24/'Income Statement'!Y4</f>
        <v>0.71420081099294752</v>
      </c>
      <c r="AA16" s="71">
        <f>'Income Statement'!Z24/'Income Statement'!Z4</f>
        <v>0.74886957623092942</v>
      </c>
      <c r="AB16" s="71">
        <f>'Income Statement'!AA24/'Income Statement'!AA4</f>
        <v>0.74758760984394168</v>
      </c>
      <c r="AC16" s="71">
        <f>'Income Statement'!AB24/'Income Statement'!AB4</f>
        <v>0.7576700628960833</v>
      </c>
      <c r="AD16" s="71">
        <f>'Income Statement'!AC24/'Income Statement'!AC4</f>
        <v>0.79817745137096241</v>
      </c>
      <c r="AE16" s="71">
        <f>'Income Statement'!AD24/'Income Statement'!AD4</f>
        <v>0.79553965770847357</v>
      </c>
      <c r="AF16" s="71">
        <f>'Income Statement'!AE24/'Income Statement'!AE4</f>
        <v>0.80728098083566335</v>
      </c>
      <c r="AG16" s="71">
        <f>'Income Statement'!AF24/'Income Statement'!AF4</f>
        <v>0.57484175877519883</v>
      </c>
      <c r="AH16" s="71">
        <f>'Income Statement'!AG24/'Income Statement'!AG4</f>
        <v>0.62861945518748308</v>
      </c>
      <c r="AI16" s="71">
        <f>'Income Statement'!AH24/'Income Statement'!AH4</f>
        <v>0.68515684138226063</v>
      </c>
      <c r="AJ16" s="71">
        <f>'Income Statement'!AI24/'Income Statement'!AI4</f>
        <v>0.68158714420096711</v>
      </c>
      <c r="AK16" s="71">
        <f>'Income Statement'!AJ24/'Income Statement'!AJ4</f>
        <v>0.7539488191535787</v>
      </c>
      <c r="AL16" s="71">
        <f>'Income Statement'!AK24/'Income Statement'!AK4</f>
        <v>0.76652287935504404</v>
      </c>
      <c r="AM16" s="71">
        <f>'Income Statement'!AL24/'Income Statement'!AL4</f>
        <v>0.71420081099294752</v>
      </c>
      <c r="AN16" s="71">
        <f>'Income Statement'!AM24/'Income Statement'!AM4</f>
        <v>0.74886957623092942</v>
      </c>
      <c r="AO16" s="71">
        <f>'Income Statement'!AN24/'Income Statement'!AN4</f>
        <v>0.74758760984394168</v>
      </c>
      <c r="AP16" s="71">
        <f>'Income Statement'!AO24/'Income Statement'!AO4</f>
        <v>0.85335668594480896</v>
      </c>
      <c r="AQ16" s="71">
        <f>'Income Statement'!AP24/'Income Statement'!AP4</f>
        <v>0.94189974001783494</v>
      </c>
      <c r="AR16" s="71">
        <f>'Income Statement'!AQ24/'Income Statement'!AQ4</f>
        <v>0.93182060936988276</v>
      </c>
      <c r="AS16" s="71">
        <f>'Income Statement'!AR24/'Income Statement'!AR4</f>
        <v>0.62520068520401129</v>
      </c>
      <c r="AT16" s="71">
        <f>'Income Statement'!AS24/'Income Statement'!AS4</f>
        <v>0.88894630623877324</v>
      </c>
      <c r="AU16" s="71">
        <f>'Income Statement'!AT24/'Income Statement'!AT4</f>
        <v>0.88456120918134784</v>
      </c>
      <c r="AV16" s="71">
        <f>'Income Statement'!AU24/'Income Statement'!AU4</f>
        <v>0.69537340105384748</v>
      </c>
      <c r="AW16" s="71">
        <f>'Income Statement'!AV24/'Income Statement'!AV4</f>
        <v>0.73232420193130521</v>
      </c>
      <c r="AX16" s="71">
        <f>'Income Statement'!AW24/'Income Statement'!AW4</f>
        <v>0.75717359070163659</v>
      </c>
      <c r="AY16" s="71">
        <f>'Income Statement'!AX24/'Income Statement'!AX4</f>
        <v>0.7837704439287505</v>
      </c>
    </row>
    <row r="17" spans="1:51">
      <c r="A17" s="236" t="s">
        <v>216</v>
      </c>
      <c r="B17" s="62" t="s">
        <v>217</v>
      </c>
      <c r="C17" s="63" t="s">
        <v>218</v>
      </c>
      <c r="D17" s="86" t="e">
        <f>'[1]Balance Sheet'!C5/'[1]Balance Sheet'!C28</f>
        <v>#REF!</v>
      </c>
      <c r="E17" s="86">
        <f>'Balance Sheet'!D5/'Balance Sheet'!D28</f>
        <v>0.40471195761827727</v>
      </c>
      <c r="F17" s="86">
        <f>'Balance Sheet'!E5/'Balance Sheet'!E28</f>
        <v>1.3458101349512126</v>
      </c>
      <c r="G17" s="86">
        <f>'Balance Sheet'!F5/'Balance Sheet'!F28</f>
        <v>0.9397511381434801</v>
      </c>
      <c r="H17" s="86">
        <f>'Balance Sheet'!G5/'Balance Sheet'!G28</f>
        <v>0.65920958513244798</v>
      </c>
      <c r="I17" s="86">
        <f>'Balance Sheet'!H5/'Balance Sheet'!H28</f>
        <v>0.27293262979557925</v>
      </c>
      <c r="J17" s="86">
        <f>'Balance Sheet'!I5/'Balance Sheet'!I28</f>
        <v>0.71887610928029577</v>
      </c>
      <c r="K17" s="86">
        <f>'Balance Sheet'!J5/'Balance Sheet'!J28</f>
        <v>1.3084291398529335</v>
      </c>
      <c r="L17" s="86">
        <f>'Balance Sheet'!K5/'Balance Sheet'!K28</f>
        <v>0.60151650420980318</v>
      </c>
      <c r="M17" s="86">
        <f>'Balance Sheet'!L5/'Balance Sheet'!L28</f>
        <v>2.3646518540063424</v>
      </c>
      <c r="N17" s="86">
        <f>'Balance Sheet'!M5/'Balance Sheet'!M28</f>
        <v>0.9737522621534338</v>
      </c>
      <c r="O17" s="86">
        <f>'Balance Sheet'!N5/'Balance Sheet'!N28</f>
        <v>1.1324452900905073</v>
      </c>
      <c r="P17" s="86">
        <f>'Balance Sheet'!O5/'Balance Sheet'!O28</f>
        <v>1.1324452900905073</v>
      </c>
      <c r="Q17" s="86">
        <f>'Balance Sheet'!P5/'Balance Sheet'!P28</f>
        <v>0.79614186397809805</v>
      </c>
      <c r="R17" s="86">
        <f>'Balance Sheet'!Q5/'Balance Sheet'!Q28</f>
        <v>1.716633901071601</v>
      </c>
      <c r="S17" s="86">
        <f>'Balance Sheet'!R5/'Balance Sheet'!R28</f>
        <v>0.58334983106897353</v>
      </c>
      <c r="T17" s="86">
        <f>'Balance Sheet'!S5/'Balance Sheet'!S28</f>
        <v>0.85930477128979355</v>
      </c>
      <c r="U17" s="86">
        <f>'Balance Sheet'!T5/'Balance Sheet'!T28</f>
        <v>1.0278390001418023</v>
      </c>
      <c r="V17" s="86">
        <f>'Balance Sheet'!U5/'Balance Sheet'!U28</f>
        <v>0.78644154868570515</v>
      </c>
      <c r="W17" s="86">
        <f>'Balance Sheet'!V5/'Balance Sheet'!V28</f>
        <v>0.6056461559765437</v>
      </c>
      <c r="X17" s="86">
        <f>'Balance Sheet'!W5/'Balance Sheet'!W28</f>
        <v>0.98429303791957856</v>
      </c>
      <c r="Y17" s="86">
        <f>'Balance Sheet'!X5/'Balance Sheet'!X28</f>
        <v>0.66659017681589727</v>
      </c>
      <c r="Z17" s="86">
        <f>'Balance Sheet'!Y5/'Balance Sheet'!Y28</f>
        <v>2.5638302507741915</v>
      </c>
      <c r="AA17" s="86">
        <f>'Balance Sheet'!Z5/'Balance Sheet'!Z28</f>
        <v>0.70354939443651043</v>
      </c>
      <c r="AB17" s="86">
        <f>'Balance Sheet'!AA5/'Balance Sheet'!AA28</f>
        <v>0.63160454828831369</v>
      </c>
      <c r="AC17" s="86">
        <f>'Balance Sheet'!AB5/'Balance Sheet'!AB28</f>
        <v>0.66894203015953202</v>
      </c>
      <c r="AD17" s="86">
        <f>'Balance Sheet'!AC5/'Balance Sheet'!AC28</f>
        <v>0.4447106685877098</v>
      </c>
      <c r="AE17" s="86">
        <f>'Balance Sheet'!AD5/'Balance Sheet'!AD28</f>
        <v>0.57592414209878806</v>
      </c>
      <c r="AF17" s="86">
        <f>'Balance Sheet'!AE5/'Balance Sheet'!AE28</f>
        <v>0.48151746464442846</v>
      </c>
      <c r="AG17" s="86">
        <f>'Balance Sheet'!AF5/'Balance Sheet'!AF28</f>
        <v>0.66436758652330585</v>
      </c>
      <c r="AH17" s="86">
        <f>'Balance Sheet'!AG5/'Balance Sheet'!AG28</f>
        <v>0.6053488675050025</v>
      </c>
      <c r="AI17" s="86">
        <f>'Balance Sheet'!AH5/'Balance Sheet'!AH28</f>
        <v>0.41934737069813194</v>
      </c>
      <c r="AJ17" s="86">
        <f>'Balance Sheet'!AI5/'Balance Sheet'!AI28</f>
        <v>0.44950861435822209</v>
      </c>
      <c r="AK17" s="86">
        <f>'Balance Sheet'!AJ5/'Balance Sheet'!AJ28</f>
        <v>0.49403290916246734</v>
      </c>
      <c r="AL17" s="86">
        <f>'Balance Sheet'!AK5/'Balance Sheet'!AK28</f>
        <v>0.5056407392752057</v>
      </c>
      <c r="AM17" s="86">
        <f>'Balance Sheet'!AL5/'Balance Sheet'!AL28</f>
        <v>0.11394412295363555</v>
      </c>
      <c r="AN17" s="86">
        <f>'Balance Sheet'!AM5/'Balance Sheet'!AM28</f>
        <v>0.15474269726708964</v>
      </c>
      <c r="AO17" s="86">
        <f>'Balance Sheet'!AN5/'Balance Sheet'!AN28</f>
        <v>0.11763753512349365</v>
      </c>
      <c r="AP17" s="86">
        <f>'Balance Sheet'!AO5/'Balance Sheet'!AO28</f>
        <v>0.27368675544795079</v>
      </c>
      <c r="AQ17" s="86">
        <f>'Balance Sheet'!AP5/'Balance Sheet'!AP28</f>
        <v>0.68790934036094187</v>
      </c>
      <c r="AR17" s="86">
        <f>'Balance Sheet'!AQ5/'Balance Sheet'!AQ28</f>
        <v>0.77429098397862117</v>
      </c>
      <c r="AS17" s="86">
        <f>'Balance Sheet'!AR5/'Balance Sheet'!AR28</f>
        <v>0.43688047877176933</v>
      </c>
      <c r="AT17" s="86">
        <f>'Balance Sheet'!AS5/'Balance Sheet'!AS28</f>
        <v>0.42616262304291436</v>
      </c>
      <c r="AU17" s="86">
        <f>'Balance Sheet'!AT5/'Balance Sheet'!AT28</f>
        <v>0.27163058429500281</v>
      </c>
      <c r="AV17" s="86">
        <f>'Balance Sheet'!AU5/'Balance Sheet'!AU28</f>
        <v>0.47548203556384799</v>
      </c>
      <c r="AW17" s="86">
        <f>'Balance Sheet'!AV5/'Balance Sheet'!AV28</f>
        <v>1.1917208959679957</v>
      </c>
      <c r="AX17" s="86">
        <f>'Balance Sheet'!AW5/'Balance Sheet'!AW28</f>
        <v>0.62884353529367432</v>
      </c>
      <c r="AY17" s="86">
        <f>'Balance Sheet'!AX5/'Balance Sheet'!AX28</f>
        <v>0.87972720247908476</v>
      </c>
    </row>
    <row r="18" spans="1:51">
      <c r="A18" s="238"/>
      <c r="B18" s="68" t="s">
        <v>219</v>
      </c>
      <c r="C18" s="68"/>
      <c r="D18" s="71" t="e">
        <f>'[1]Balance Sheet'!C5/'[1]Balance Sheet'!C30</f>
        <v>#REF!</v>
      </c>
      <c r="E18" s="71">
        <f>'Balance Sheet'!D5/'Balance Sheet'!D30</f>
        <v>4.5641482250941542E-2</v>
      </c>
      <c r="F18" s="71">
        <f>'Balance Sheet'!E5/'Balance Sheet'!E30</f>
        <v>0.16061094237912935</v>
      </c>
      <c r="G18" s="71">
        <f>'Balance Sheet'!F5/'Balance Sheet'!F30</f>
        <v>0.11583454191957727</v>
      </c>
      <c r="H18" s="71">
        <f>'Balance Sheet'!G5/'Balance Sheet'!G30</f>
        <v>6.99577778494027E-2</v>
      </c>
      <c r="I18" s="71">
        <f>'Balance Sheet'!H5/'Balance Sheet'!H30</f>
        <v>3.222012548537493E-2</v>
      </c>
      <c r="J18" s="71">
        <f>'Balance Sheet'!I5/'Balance Sheet'!I30</f>
        <v>8.332663442895609E-2</v>
      </c>
      <c r="K18" s="71">
        <f>'Balance Sheet'!J5/'Balance Sheet'!J30</f>
        <v>0.16411017576461795</v>
      </c>
      <c r="L18" s="71">
        <f>'Balance Sheet'!K5/'Balance Sheet'!K30</f>
        <v>7.3914481028686238E-2</v>
      </c>
      <c r="M18" s="71">
        <f>'Balance Sheet'!L5/'Balance Sheet'!L30</f>
        <v>0.18935987366928306</v>
      </c>
      <c r="N18" s="71">
        <f>'Balance Sheet'!M5/'Balance Sheet'!M30</f>
        <v>9.5404893288932771E-2</v>
      </c>
      <c r="O18" s="71">
        <f>'Balance Sheet'!N5/'Balance Sheet'!N30</f>
        <v>0.10671095989076081</v>
      </c>
      <c r="P18" s="71">
        <f>'Balance Sheet'!O5/'Balance Sheet'!O30</f>
        <v>0.10671095989076081</v>
      </c>
      <c r="Q18" s="71">
        <f>'Balance Sheet'!P5/'Balance Sheet'!P30</f>
        <v>8.2391176775594779E-2</v>
      </c>
      <c r="R18" s="71">
        <f>'Balance Sheet'!Q5/'Balance Sheet'!Q30</f>
        <v>0.15520838808142892</v>
      </c>
      <c r="S18" s="71">
        <f>'Balance Sheet'!R5/'Balance Sheet'!R30</f>
        <v>5.6609732359857431E-2</v>
      </c>
      <c r="T18" s="71">
        <f>'Balance Sheet'!S5/'Balance Sheet'!S30</f>
        <v>8.1616221067653871E-2</v>
      </c>
      <c r="U18" s="71">
        <f>'Balance Sheet'!T5/'Balance Sheet'!T30</f>
        <v>0.10611956088803655</v>
      </c>
      <c r="V18" s="71">
        <f>'Balance Sheet'!U5/'Balance Sheet'!U30</f>
        <v>7.7995632855249644E-2</v>
      </c>
      <c r="W18" s="71">
        <f>'Balance Sheet'!V5/'Balance Sheet'!V30</f>
        <v>6.5521713285906072E-2</v>
      </c>
      <c r="X18" s="71">
        <f>'Balance Sheet'!W5/'Balance Sheet'!W30</f>
        <v>0.11663560716047677</v>
      </c>
      <c r="Y18" s="71">
        <f>'Balance Sheet'!X5/'Balance Sheet'!X30</f>
        <v>8.3843058914560273E-2</v>
      </c>
      <c r="Z18" s="71">
        <f>'Balance Sheet'!Y5/'Balance Sheet'!Y30</f>
        <v>0.22132353270265367</v>
      </c>
      <c r="AA18" s="71">
        <f>'Balance Sheet'!Z5/'Balance Sheet'!Z30</f>
        <v>7.9076201490671072E-2</v>
      </c>
      <c r="AB18" s="71">
        <f>'Balance Sheet'!AA5/'Balance Sheet'!AA30</f>
        <v>7.3482392506834734E-2</v>
      </c>
      <c r="AC18" s="71">
        <f>'Balance Sheet'!AB5/'Balance Sheet'!AB30</f>
        <v>7.7826324965068513E-2</v>
      </c>
      <c r="AD18" s="71">
        <f>'Balance Sheet'!AC5/'Balance Sheet'!AC30</f>
        <v>3.3060056979935554E-2</v>
      </c>
      <c r="AE18" s="71">
        <f>'Balance Sheet'!AD5/'Balance Sheet'!AD30</f>
        <v>4.2149075103592941E-2</v>
      </c>
      <c r="AF18" s="71">
        <f>'Balance Sheet'!AE5/'Balance Sheet'!AE30</f>
        <v>3.372616652584419E-2</v>
      </c>
      <c r="AG18" s="71">
        <f>'Balance Sheet'!AF5/'Balance Sheet'!AF30</f>
        <v>3.5807935005751634E-2</v>
      </c>
      <c r="AH18" s="71">
        <f>'Balance Sheet'!AG5/'Balance Sheet'!AG30</f>
        <v>4.6932906735946099E-2</v>
      </c>
      <c r="AI18" s="71">
        <f>'Balance Sheet'!AH5/'Balance Sheet'!AH30</f>
        <v>2.7839914199821455E-2</v>
      </c>
      <c r="AJ18" s="71">
        <f>'Balance Sheet'!AI5/'Balance Sheet'!AI30</f>
        <v>3.2119782041019271E-2</v>
      </c>
      <c r="AK18" s="71">
        <f>'Balance Sheet'!AJ5/'Balance Sheet'!AJ30</f>
        <v>3.4496287728449551E-2</v>
      </c>
      <c r="AL18" s="71">
        <f>'Balance Sheet'!AK5/'Balance Sheet'!AK30</f>
        <v>4.2101440558198956E-2</v>
      </c>
      <c r="AM18" s="71">
        <f>'Balance Sheet'!AL5/'Balance Sheet'!AL30</f>
        <v>8.0393612782338961E-3</v>
      </c>
      <c r="AN18" s="71">
        <f>'Balance Sheet'!AM5/'Balance Sheet'!AM30</f>
        <v>9.560776543798867E-3</v>
      </c>
      <c r="AO18" s="71">
        <f>'Balance Sheet'!AN5/'Balance Sheet'!AN30</f>
        <v>9.8328545051775684E-3</v>
      </c>
      <c r="AP18" s="71">
        <f>'Balance Sheet'!AO5/'Balance Sheet'!AO30</f>
        <v>3.3830372655594319E-2</v>
      </c>
      <c r="AQ18" s="71">
        <f>'Balance Sheet'!AP5/'Balance Sheet'!AP30</f>
        <v>8.2481956890292446E-2</v>
      </c>
      <c r="AR18" s="71">
        <f>'Balance Sheet'!AQ5/'Balance Sheet'!AQ30</f>
        <v>8.1920209843062697E-2</v>
      </c>
      <c r="AS18" s="71">
        <f>'Balance Sheet'!AR5/'Balance Sheet'!AR30</f>
        <v>5.1786730853054068E-2</v>
      </c>
      <c r="AT18" s="71">
        <f>'Balance Sheet'!AS5/'Balance Sheet'!AS30</f>
        <v>5.27048406127405E-2</v>
      </c>
      <c r="AU18" s="71">
        <f>'Balance Sheet'!AT5/'Balance Sheet'!AT30</f>
        <v>3.3452875467487216E-2</v>
      </c>
      <c r="AV18" s="71">
        <f>'Balance Sheet'!AU5/'Balance Sheet'!AU30</f>
        <v>5.8489380118473863E-2</v>
      </c>
      <c r="AW18" s="71">
        <f>'Balance Sheet'!AV5/'Balance Sheet'!AV30</f>
        <v>0.13955674374109867</v>
      </c>
      <c r="AX18" s="71">
        <f>'Balance Sheet'!AW5/'Balance Sheet'!AW30</f>
        <v>7.5606503974219821E-2</v>
      </c>
      <c r="AY18" s="71">
        <f>'Balance Sheet'!AX5/'Balance Sheet'!AX30</f>
        <v>0.10265758386708743</v>
      </c>
    </row>
    <row r="21" spans="1:51">
      <c r="AP21" t="s">
        <v>220</v>
      </c>
    </row>
  </sheetData>
  <mergeCells count="4">
    <mergeCell ref="A3:A6"/>
    <mergeCell ref="A7:A10"/>
    <mergeCell ref="A11:A16"/>
    <mergeCell ref="A17:A18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D709EA4A-B902-408F-ADD5-D8AA39E1C19A}"/>
</file>

<file path=customXml/itemProps2.xml><?xml version="1.0" encoding="utf-8"?>
<ds:datastoreItem xmlns:ds="http://schemas.openxmlformats.org/officeDocument/2006/customXml" ds:itemID="{0F7E440D-0254-4A7F-8E96-7E6B3BD1EEA0}"/>
</file>

<file path=customXml/itemProps3.xml><?xml version="1.0" encoding="utf-8"?>
<ds:datastoreItem xmlns:ds="http://schemas.openxmlformats.org/officeDocument/2006/customXml" ds:itemID="{34E67F22-A92B-44AF-B2AF-CD6053184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Enock Langat</cp:lastModifiedBy>
  <cp:revision/>
  <dcterms:created xsi:type="dcterms:W3CDTF">2021-02-26T12:11:36Z</dcterms:created>
  <dcterms:modified xsi:type="dcterms:W3CDTF">2023-10-18T06:47:12Z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2022-02-01T11:35:44Z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ea57ef6a-dde4-4930-aeb3-a28879a1e489</vt:lpwstr>
  </property>
  <property fmtid="{D5CDD505-2E9C-101B-9397-08002B2CF9AE}" pid="9" name="MSIP_Label_7a02b3b2-3762-4506-88a3-8b8c11cc60e6_ContentBits">
    <vt:lpwstr>0</vt:lpwstr>
  </property>
  <property fmtid="{D5CDD505-2E9C-101B-9397-08002B2CF9AE}" pid="10" name="MediaServiceImageTags">
    <vt:lpwstr/>
  </property>
</Properties>
</file>
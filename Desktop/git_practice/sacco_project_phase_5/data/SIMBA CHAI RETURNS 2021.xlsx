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/>
  <mc:AlternateContent xmlns:mc="http://schemas.openxmlformats.org/markup-compatibility/2006">
    <mc:Choice Requires="x15">
      <x15ac:absPath xmlns:x15ac="http://schemas.microsoft.com/office/spreadsheetml/2010/11/ac" url="C:\Users\ioreta\Downloads\"/>
    </mc:Choice>
  </mc:AlternateContent>
  <xr:revisionPtr revIDLastSave="2" documentId="13_ncr:1_{72E607FF-0E17-499B-8A9B-E685F22CD0D6}" xr6:coauthVersionLast="47" xr6:coauthVersionMax="47" xr10:uidLastSave="{D57578F7-4011-47F8-96D3-62438F82B8B3}"/>
  <bookViews>
    <workbookView xWindow="-108" yWindow="-108" windowWidth="23256" windowHeight="12576" firstSheet="4" xr2:uid="{00000000-000D-0000-FFFF-FFFF00000000}"/>
  </bookViews>
  <sheets>
    <sheet name="Balance Sheet" sheetId="1" r:id="rId1"/>
    <sheet name="Income Stat." sheetId="2" r:id="rId2"/>
    <sheet name="Form 4" sheetId="5" r:id="rId3"/>
    <sheet name="Financials" sheetId="3" r:id="rId4"/>
    <sheet name="CAE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" i="1" l="1"/>
  <c r="AD8" i="1"/>
  <c r="D3" i="4"/>
  <c r="E3" i="4"/>
  <c r="F3" i="4"/>
  <c r="G3" i="4"/>
  <c r="H3" i="4"/>
  <c r="I3" i="4"/>
  <c r="J3" i="4"/>
  <c r="K3" i="4"/>
  <c r="L3" i="4"/>
  <c r="M3" i="4"/>
  <c r="N3" i="4"/>
  <c r="O3" i="4"/>
  <c r="P3" i="4"/>
  <c r="D4" i="4"/>
  <c r="E4" i="4"/>
  <c r="F4" i="4"/>
  <c r="G4" i="4"/>
  <c r="H4" i="4"/>
  <c r="I4" i="4"/>
  <c r="J4" i="4"/>
  <c r="K4" i="4"/>
  <c r="L4" i="4"/>
  <c r="M4" i="4"/>
  <c r="N4" i="4"/>
  <c r="O4" i="4"/>
  <c r="P4" i="4"/>
  <c r="D5" i="4"/>
  <c r="E5" i="4"/>
  <c r="F5" i="4"/>
  <c r="G5" i="4"/>
  <c r="H5" i="4"/>
  <c r="I5" i="4"/>
  <c r="J5" i="4"/>
  <c r="K5" i="4"/>
  <c r="L5" i="4"/>
  <c r="M5" i="4"/>
  <c r="N5" i="4"/>
  <c r="O5" i="4"/>
  <c r="P5" i="4"/>
  <c r="D6" i="4"/>
  <c r="E6" i="4"/>
  <c r="F6" i="4"/>
  <c r="G6" i="4"/>
  <c r="H6" i="4"/>
  <c r="I6" i="4"/>
  <c r="J6" i="4"/>
  <c r="K6" i="4"/>
  <c r="L6" i="4"/>
  <c r="M6" i="4"/>
  <c r="N6" i="4"/>
  <c r="O6" i="4"/>
  <c r="P6" i="4"/>
  <c r="D8" i="4"/>
  <c r="E8" i="4"/>
  <c r="F8" i="4"/>
  <c r="G8" i="4"/>
  <c r="H8" i="4"/>
  <c r="I8" i="4"/>
  <c r="J8" i="4"/>
  <c r="K8" i="4"/>
  <c r="L8" i="4"/>
  <c r="M8" i="4"/>
  <c r="N8" i="4"/>
  <c r="O8" i="4"/>
  <c r="P8" i="4"/>
  <c r="D9" i="4"/>
  <c r="E9" i="4"/>
  <c r="F9" i="4"/>
  <c r="G9" i="4"/>
  <c r="H9" i="4"/>
  <c r="I9" i="4"/>
  <c r="J9" i="4"/>
  <c r="K9" i="4"/>
  <c r="L9" i="4"/>
  <c r="M9" i="4"/>
  <c r="N9" i="4"/>
  <c r="O9" i="4"/>
  <c r="P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AA5" i="3"/>
  <c r="AA6" i="3"/>
  <c r="AA7" i="3"/>
  <c r="AA8" i="3"/>
  <c r="AA9" i="3"/>
  <c r="AA10" i="3"/>
  <c r="AA16" i="3"/>
  <c r="AA15" i="3" s="1"/>
  <c r="AA18" i="3"/>
  <c r="AA19" i="3"/>
  <c r="AA20" i="3"/>
  <c r="AA21" i="3"/>
  <c r="AA25" i="3"/>
  <c r="AA26" i="3"/>
  <c r="AA27" i="3"/>
  <c r="AA28" i="3"/>
  <c r="AA29" i="3"/>
  <c r="AA31" i="3"/>
  <c r="AA30" i="3" s="1"/>
  <c r="AA32" i="3"/>
  <c r="AA34" i="3"/>
  <c r="AA35" i="3"/>
  <c r="AA39" i="3"/>
  <c r="AA38" i="3" s="1"/>
  <c r="AA40" i="3"/>
  <c r="AA41" i="3"/>
  <c r="AA42" i="3"/>
  <c r="AA45" i="3"/>
  <c r="AA44" i="3" s="1"/>
  <c r="AA46" i="3"/>
  <c r="AA47" i="3"/>
  <c r="AA48" i="3"/>
  <c r="L5" i="3"/>
  <c r="M5" i="3"/>
  <c r="L7" i="3"/>
  <c r="M7" i="3"/>
  <c r="M6" i="3" s="1"/>
  <c r="L8" i="3"/>
  <c r="M8" i="3"/>
  <c r="L9" i="3"/>
  <c r="M9" i="3"/>
  <c r="L10" i="3"/>
  <c r="M10" i="3"/>
  <c r="L16" i="3"/>
  <c r="M16" i="3"/>
  <c r="L18" i="3"/>
  <c r="M18" i="3"/>
  <c r="L19" i="3"/>
  <c r="M19" i="3"/>
  <c r="L20" i="3"/>
  <c r="M20" i="3"/>
  <c r="L21" i="3"/>
  <c r="M21" i="3"/>
  <c r="L26" i="3"/>
  <c r="M26" i="3"/>
  <c r="L27" i="3"/>
  <c r="M27" i="3"/>
  <c r="L28" i="3"/>
  <c r="M28" i="3"/>
  <c r="L29" i="3"/>
  <c r="M29" i="3"/>
  <c r="L31" i="3"/>
  <c r="M31" i="3"/>
  <c r="L32" i="3"/>
  <c r="M32" i="3"/>
  <c r="L34" i="3"/>
  <c r="M34" i="3"/>
  <c r="L35" i="3"/>
  <c r="M35" i="3"/>
  <c r="L39" i="3"/>
  <c r="L38" i="3" s="1"/>
  <c r="M39" i="3"/>
  <c r="M38" i="3" s="1"/>
  <c r="L40" i="3"/>
  <c r="M40" i="3"/>
  <c r="L41" i="3"/>
  <c r="M41" i="3"/>
  <c r="L42" i="3"/>
  <c r="M42" i="3"/>
  <c r="L45" i="3"/>
  <c r="M45" i="3"/>
  <c r="L46" i="3"/>
  <c r="M46" i="3"/>
  <c r="L47" i="3"/>
  <c r="M47" i="3"/>
  <c r="L48" i="3"/>
  <c r="M48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C6" i="3" s="1"/>
  <c r="D8" i="3"/>
  <c r="E8" i="3"/>
  <c r="E6" i="3" s="1"/>
  <c r="F8" i="3"/>
  <c r="G8" i="3"/>
  <c r="H8" i="3"/>
  <c r="H6" i="3" s="1"/>
  <c r="I8" i="3"/>
  <c r="J8" i="3"/>
  <c r="K8" i="3"/>
  <c r="K6" i="3" s="1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6" i="3"/>
  <c r="D16" i="3"/>
  <c r="E16" i="3"/>
  <c r="F16" i="3"/>
  <c r="G16" i="3"/>
  <c r="H16" i="3"/>
  <c r="I16" i="3"/>
  <c r="J16" i="3"/>
  <c r="K16" i="3"/>
  <c r="C18" i="3"/>
  <c r="D18" i="3"/>
  <c r="E18" i="3"/>
  <c r="F18" i="3"/>
  <c r="G18" i="3"/>
  <c r="H18" i="3"/>
  <c r="I18" i="3"/>
  <c r="J18" i="3"/>
  <c r="K18" i="3"/>
  <c r="C19" i="3"/>
  <c r="D19" i="3"/>
  <c r="E19" i="3"/>
  <c r="F19" i="3"/>
  <c r="G19" i="3"/>
  <c r="H19" i="3"/>
  <c r="I19" i="3"/>
  <c r="J19" i="3"/>
  <c r="K19" i="3"/>
  <c r="C20" i="3"/>
  <c r="D20" i="3"/>
  <c r="E20" i="3"/>
  <c r="F20" i="3"/>
  <c r="G20" i="3"/>
  <c r="H20" i="3"/>
  <c r="I20" i="3"/>
  <c r="J20" i="3"/>
  <c r="K20" i="3"/>
  <c r="C21" i="3"/>
  <c r="D21" i="3"/>
  <c r="E21" i="3"/>
  <c r="F21" i="3"/>
  <c r="G21" i="3"/>
  <c r="H21" i="3"/>
  <c r="I21" i="3"/>
  <c r="J21" i="3"/>
  <c r="K21" i="3"/>
  <c r="C26" i="3"/>
  <c r="C25" i="3" s="1"/>
  <c r="D26" i="3"/>
  <c r="E26" i="3"/>
  <c r="F26" i="3"/>
  <c r="G26" i="3"/>
  <c r="H26" i="3"/>
  <c r="I26" i="3"/>
  <c r="J26" i="3"/>
  <c r="K26" i="3"/>
  <c r="K25" i="3" s="1"/>
  <c r="C27" i="3"/>
  <c r="D27" i="3"/>
  <c r="E27" i="3"/>
  <c r="F27" i="3"/>
  <c r="G27" i="3"/>
  <c r="H27" i="3"/>
  <c r="I27" i="3"/>
  <c r="J27" i="3"/>
  <c r="K27" i="3"/>
  <c r="C28" i="3"/>
  <c r="D28" i="3"/>
  <c r="E28" i="3"/>
  <c r="F28" i="3"/>
  <c r="G28" i="3"/>
  <c r="H28" i="3"/>
  <c r="I28" i="3"/>
  <c r="J28" i="3"/>
  <c r="K28" i="3"/>
  <c r="C29" i="3"/>
  <c r="D29" i="3"/>
  <c r="E29" i="3"/>
  <c r="F29" i="3"/>
  <c r="G29" i="3"/>
  <c r="H29" i="3"/>
  <c r="I29" i="3"/>
  <c r="J29" i="3"/>
  <c r="K29" i="3"/>
  <c r="C31" i="3"/>
  <c r="D31" i="3"/>
  <c r="E31" i="3"/>
  <c r="F31" i="3"/>
  <c r="G31" i="3"/>
  <c r="H31" i="3"/>
  <c r="I31" i="3"/>
  <c r="J31" i="3"/>
  <c r="K31" i="3"/>
  <c r="C32" i="3"/>
  <c r="D32" i="3"/>
  <c r="E32" i="3"/>
  <c r="F32" i="3"/>
  <c r="G32" i="3"/>
  <c r="H32" i="3"/>
  <c r="I32" i="3"/>
  <c r="J32" i="3"/>
  <c r="K32" i="3"/>
  <c r="C34" i="3"/>
  <c r="D34" i="3"/>
  <c r="E34" i="3"/>
  <c r="F34" i="3"/>
  <c r="G34" i="3"/>
  <c r="H34" i="3"/>
  <c r="I34" i="3"/>
  <c r="J34" i="3"/>
  <c r="K34" i="3"/>
  <c r="C35" i="3"/>
  <c r="D35" i="3"/>
  <c r="E35" i="3"/>
  <c r="F35" i="3"/>
  <c r="G35" i="3"/>
  <c r="H35" i="3"/>
  <c r="I35" i="3"/>
  <c r="J35" i="3"/>
  <c r="K35" i="3"/>
  <c r="C39" i="3"/>
  <c r="C38" i="3" s="1"/>
  <c r="D39" i="3"/>
  <c r="E39" i="3"/>
  <c r="F39" i="3"/>
  <c r="G39" i="3"/>
  <c r="H39" i="3"/>
  <c r="I39" i="3"/>
  <c r="J39" i="3"/>
  <c r="K39" i="3"/>
  <c r="K38" i="3" s="1"/>
  <c r="C40" i="3"/>
  <c r="D40" i="3"/>
  <c r="E40" i="3"/>
  <c r="F40" i="3"/>
  <c r="G40" i="3"/>
  <c r="H40" i="3"/>
  <c r="I40" i="3"/>
  <c r="J40" i="3"/>
  <c r="K40" i="3"/>
  <c r="C41" i="3"/>
  <c r="D41" i="3"/>
  <c r="E41" i="3"/>
  <c r="F41" i="3"/>
  <c r="G41" i="3"/>
  <c r="H41" i="3"/>
  <c r="I41" i="3"/>
  <c r="J41" i="3"/>
  <c r="K41" i="3"/>
  <c r="C42" i="3"/>
  <c r="D42" i="3"/>
  <c r="E42" i="3"/>
  <c r="F42" i="3"/>
  <c r="G42" i="3"/>
  <c r="H42" i="3"/>
  <c r="I42" i="3"/>
  <c r="J42" i="3"/>
  <c r="K42" i="3"/>
  <c r="C45" i="3"/>
  <c r="D45" i="3"/>
  <c r="E45" i="3"/>
  <c r="F45" i="3"/>
  <c r="G45" i="3"/>
  <c r="H45" i="3"/>
  <c r="I45" i="3"/>
  <c r="J45" i="3"/>
  <c r="K45" i="3"/>
  <c r="C46" i="3"/>
  <c r="D46" i="3"/>
  <c r="E46" i="3"/>
  <c r="F46" i="3"/>
  <c r="G46" i="3"/>
  <c r="H46" i="3"/>
  <c r="I46" i="3"/>
  <c r="J46" i="3"/>
  <c r="K46" i="3"/>
  <c r="C47" i="3"/>
  <c r="D47" i="3"/>
  <c r="E47" i="3"/>
  <c r="F47" i="3"/>
  <c r="G47" i="3"/>
  <c r="H47" i="3"/>
  <c r="I47" i="3"/>
  <c r="J47" i="3"/>
  <c r="K47" i="3"/>
  <c r="C48" i="3"/>
  <c r="D48" i="3"/>
  <c r="E48" i="3"/>
  <c r="F48" i="3"/>
  <c r="G48" i="3"/>
  <c r="H48" i="3"/>
  <c r="I48" i="3"/>
  <c r="J48" i="3"/>
  <c r="K48" i="3"/>
  <c r="P34" i="2"/>
  <c r="Q34" i="2"/>
  <c r="R34" i="2"/>
  <c r="S34" i="2"/>
  <c r="T34" i="2"/>
  <c r="U34" i="2"/>
  <c r="V34" i="2"/>
  <c r="W34" i="2"/>
  <c r="W36" i="2" s="1"/>
  <c r="W38" i="2" s="1"/>
  <c r="X34" i="2"/>
  <c r="Y34" i="2"/>
  <c r="Z34" i="2"/>
  <c r="AA34" i="2"/>
  <c r="AB34" i="2"/>
  <c r="O34" i="2"/>
  <c r="X36" i="2"/>
  <c r="X38" i="2" s="1"/>
  <c r="AB17" i="2"/>
  <c r="AB13" i="2" s="1"/>
  <c r="AB14" i="2"/>
  <c r="AB15" i="2"/>
  <c r="Y36" i="2"/>
  <c r="Y38" i="2" s="1"/>
  <c r="Z36" i="2"/>
  <c r="Z38" i="2" s="1"/>
  <c r="AA36" i="2"/>
  <c r="AA38" i="2" s="1"/>
  <c r="AB36" i="2"/>
  <c r="AB38" i="2" s="1"/>
  <c r="AB31" i="2"/>
  <c r="AB24" i="2"/>
  <c r="AA24" i="2"/>
  <c r="AA30" i="2" s="1"/>
  <c r="Z48" i="3" s="1"/>
  <c r="AB21" i="2"/>
  <c r="AB8" i="2"/>
  <c r="AB5" i="2"/>
  <c r="X30" i="2"/>
  <c r="W48" i="3" s="1"/>
  <c r="Y30" i="2"/>
  <c r="Z30" i="2"/>
  <c r="X31" i="2"/>
  <c r="Y31" i="2"/>
  <c r="Z31" i="2"/>
  <c r="AA31" i="2"/>
  <c r="X24" i="2"/>
  <c r="Y15" i="4" s="1"/>
  <c r="Y24" i="2"/>
  <c r="Z24" i="2"/>
  <c r="X20" i="2"/>
  <c r="Y20" i="2"/>
  <c r="Z20" i="2"/>
  <c r="AA20" i="2"/>
  <c r="X21" i="2"/>
  <c r="Y21" i="2"/>
  <c r="Z21" i="2"/>
  <c r="AA21" i="2"/>
  <c r="X13" i="2"/>
  <c r="Y13" i="2"/>
  <c r="Z13" i="2"/>
  <c r="AA13" i="2"/>
  <c r="X8" i="2"/>
  <c r="Y8" i="2"/>
  <c r="Z8" i="2"/>
  <c r="AA8" i="2"/>
  <c r="X5" i="2"/>
  <c r="X4" i="2" s="1"/>
  <c r="Y16" i="4" s="1"/>
  <c r="Y5" i="2"/>
  <c r="Y4" i="2" s="1"/>
  <c r="Z16" i="4" s="1"/>
  <c r="Z5" i="2"/>
  <c r="Z4" i="2" s="1"/>
  <c r="AA5" i="2"/>
  <c r="AA4" i="2" s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P26" i="1"/>
  <c r="Q26" i="1"/>
  <c r="R26" i="1"/>
  <c r="S26" i="1"/>
  <c r="T26" i="1"/>
  <c r="U26" i="1"/>
  <c r="V26" i="1"/>
  <c r="W26" i="1"/>
  <c r="X26" i="1"/>
  <c r="Y9" i="4" s="1"/>
  <c r="Y26" i="1"/>
  <c r="Z26" i="1"/>
  <c r="AA26" i="1"/>
  <c r="AB26" i="1"/>
  <c r="AD34" i="1"/>
  <c r="AB28" i="1"/>
  <c r="AB30" i="1" s="1"/>
  <c r="AB6" i="1"/>
  <c r="L16" i="1"/>
  <c r="M16" i="1"/>
  <c r="N16" i="1"/>
  <c r="O16" i="1"/>
  <c r="P16" i="1"/>
  <c r="Q16" i="1"/>
  <c r="R16" i="1"/>
  <c r="AB16" i="1"/>
  <c r="T16" i="1"/>
  <c r="U16" i="1"/>
  <c r="V16" i="1"/>
  <c r="W16" i="1"/>
  <c r="X16" i="1"/>
  <c r="Y16" i="1"/>
  <c r="Z16" i="1"/>
  <c r="AA16" i="1"/>
  <c r="S16" i="1"/>
  <c r="AB44" i="1"/>
  <c r="AB41" i="1"/>
  <c r="AB31" i="1"/>
  <c r="AB20" i="1"/>
  <c r="AB13" i="1"/>
  <c r="AB8" i="1"/>
  <c r="AB4" i="1"/>
  <c r="AC18" i="4" s="1"/>
  <c r="W4" i="1"/>
  <c r="X17" i="4" s="1"/>
  <c r="X4" i="1"/>
  <c r="Y17" i="4" s="1"/>
  <c r="Y4" i="1"/>
  <c r="Z18" i="4" s="1"/>
  <c r="Z4" i="1"/>
  <c r="AA18" i="4" s="1"/>
  <c r="AA4" i="1"/>
  <c r="AB17" i="4" s="1"/>
  <c r="W50" i="1"/>
  <c r="W44" i="1"/>
  <c r="X44" i="1"/>
  <c r="Y44" i="1"/>
  <c r="Z44" i="1"/>
  <c r="AA44" i="1"/>
  <c r="AA50" i="1" s="1"/>
  <c r="W41" i="1"/>
  <c r="V18" i="3" s="1"/>
  <c r="X41" i="1"/>
  <c r="X50" i="1" s="1"/>
  <c r="Y41" i="1"/>
  <c r="Y50" i="1" s="1"/>
  <c r="Z41" i="1"/>
  <c r="Z18" i="3" s="1"/>
  <c r="AA41" i="1"/>
  <c r="W38" i="1"/>
  <c r="AA38" i="1"/>
  <c r="W30" i="1"/>
  <c r="X30" i="1"/>
  <c r="Y30" i="1"/>
  <c r="Z30" i="1"/>
  <c r="AA30" i="1"/>
  <c r="W31" i="1"/>
  <c r="X31" i="1"/>
  <c r="Y31" i="1"/>
  <c r="Y38" i="1" s="1"/>
  <c r="Z31" i="1"/>
  <c r="Z38" i="1" s="1"/>
  <c r="Y10" i="3" s="1"/>
  <c r="AA31" i="1"/>
  <c r="W20" i="1"/>
  <c r="X20" i="1"/>
  <c r="Y20" i="1"/>
  <c r="Z9" i="4" s="1"/>
  <c r="Z20" i="1"/>
  <c r="AA9" i="4" s="1"/>
  <c r="AA20" i="1"/>
  <c r="AB10" i="4" s="1"/>
  <c r="W13" i="1"/>
  <c r="V31" i="3" s="1"/>
  <c r="X13" i="1"/>
  <c r="W31" i="3" s="1"/>
  <c r="Y13" i="1"/>
  <c r="X31" i="3" s="1"/>
  <c r="Z13" i="1"/>
  <c r="AA13" i="1"/>
  <c r="W8" i="1"/>
  <c r="X8" i="1"/>
  <c r="Y8" i="1"/>
  <c r="X26" i="3" s="1"/>
  <c r="Z8" i="1"/>
  <c r="Y26" i="3" s="1"/>
  <c r="AA8" i="1"/>
  <c r="W30" i="2"/>
  <c r="V48" i="3" s="1"/>
  <c r="W31" i="2"/>
  <c r="W24" i="2"/>
  <c r="X15" i="4" s="1"/>
  <c r="W20" i="2"/>
  <c r="W21" i="2"/>
  <c r="W13" i="2"/>
  <c r="W8" i="2"/>
  <c r="V41" i="3" s="1"/>
  <c r="W41" i="3"/>
  <c r="X41" i="3"/>
  <c r="Y41" i="3"/>
  <c r="Z41" i="3"/>
  <c r="AC16" i="4"/>
  <c r="W5" i="2"/>
  <c r="Q8" i="4"/>
  <c r="R8" i="4"/>
  <c r="S8" i="4"/>
  <c r="T8" i="4"/>
  <c r="U8" i="4"/>
  <c r="V8" i="4"/>
  <c r="W8" i="4"/>
  <c r="X8" i="4"/>
  <c r="Y8" i="4"/>
  <c r="Z8" i="4"/>
  <c r="AA8" i="4"/>
  <c r="AB8" i="4"/>
  <c r="AC8" i="4"/>
  <c r="Y10" i="4"/>
  <c r="AC10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C13" i="4"/>
  <c r="AC14" i="4"/>
  <c r="Z15" i="4"/>
  <c r="AA15" i="4"/>
  <c r="AB15" i="4"/>
  <c r="AC15" i="4"/>
  <c r="Z17" i="4"/>
  <c r="AA17" i="4"/>
  <c r="Y19" i="4"/>
  <c r="AC19" i="4"/>
  <c r="O16" i="3"/>
  <c r="P16" i="3"/>
  <c r="Q16" i="3"/>
  <c r="R16" i="3"/>
  <c r="S16" i="3"/>
  <c r="T16" i="3"/>
  <c r="U16" i="3"/>
  <c r="V16" i="3"/>
  <c r="N16" i="3"/>
  <c r="O19" i="3"/>
  <c r="P19" i="3"/>
  <c r="Q19" i="3"/>
  <c r="R19" i="3"/>
  <c r="S19" i="3"/>
  <c r="T19" i="3"/>
  <c r="U19" i="3"/>
  <c r="V19" i="3"/>
  <c r="O20" i="3"/>
  <c r="P20" i="3"/>
  <c r="Q20" i="3"/>
  <c r="R20" i="3"/>
  <c r="S20" i="3"/>
  <c r="T20" i="3"/>
  <c r="U20" i="3"/>
  <c r="V20" i="3"/>
  <c r="O21" i="3"/>
  <c r="P21" i="3"/>
  <c r="Q21" i="3"/>
  <c r="R21" i="3"/>
  <c r="S21" i="3"/>
  <c r="T21" i="3"/>
  <c r="U21" i="3"/>
  <c r="V21" i="3"/>
  <c r="N21" i="3"/>
  <c r="N20" i="3"/>
  <c r="N19" i="3"/>
  <c r="W5" i="3"/>
  <c r="X5" i="3"/>
  <c r="Y5" i="3"/>
  <c r="Z5" i="3"/>
  <c r="P7" i="3"/>
  <c r="Q7" i="3"/>
  <c r="R7" i="3"/>
  <c r="S7" i="3"/>
  <c r="T7" i="3"/>
  <c r="U7" i="3"/>
  <c r="V7" i="3"/>
  <c r="W7" i="3"/>
  <c r="X7" i="3"/>
  <c r="Y7" i="3"/>
  <c r="Z7" i="3"/>
  <c r="P8" i="3"/>
  <c r="Q8" i="3"/>
  <c r="R8" i="3"/>
  <c r="S8" i="3"/>
  <c r="T8" i="3"/>
  <c r="U8" i="3"/>
  <c r="V8" i="3"/>
  <c r="W8" i="3"/>
  <c r="X8" i="3"/>
  <c r="Y8" i="3"/>
  <c r="Z8" i="3"/>
  <c r="P9" i="3"/>
  <c r="Q9" i="3"/>
  <c r="R9" i="3"/>
  <c r="S9" i="3"/>
  <c r="T9" i="3"/>
  <c r="U9" i="3"/>
  <c r="V9" i="3"/>
  <c r="W9" i="3"/>
  <c r="X9" i="3"/>
  <c r="Y9" i="3"/>
  <c r="Z9" i="3"/>
  <c r="V10" i="3"/>
  <c r="W16" i="3"/>
  <c r="X16" i="3"/>
  <c r="Y16" i="3"/>
  <c r="Z16" i="3"/>
  <c r="X18" i="3"/>
  <c r="W19" i="3"/>
  <c r="X19" i="3"/>
  <c r="Y19" i="3"/>
  <c r="Z19" i="3"/>
  <c r="W20" i="3"/>
  <c r="X20" i="3"/>
  <c r="Y20" i="3"/>
  <c r="Z20" i="3"/>
  <c r="W21" i="3"/>
  <c r="X21" i="3"/>
  <c r="Y21" i="3"/>
  <c r="Z21" i="3"/>
  <c r="V26" i="3"/>
  <c r="W26" i="3"/>
  <c r="Z26" i="3"/>
  <c r="P27" i="3"/>
  <c r="Q27" i="3"/>
  <c r="R27" i="3"/>
  <c r="S27" i="3"/>
  <c r="T27" i="3"/>
  <c r="U27" i="3"/>
  <c r="V27" i="3"/>
  <c r="W27" i="3"/>
  <c r="X27" i="3"/>
  <c r="Y27" i="3"/>
  <c r="Z27" i="3"/>
  <c r="P28" i="3"/>
  <c r="Q28" i="3"/>
  <c r="R28" i="3"/>
  <c r="S28" i="3"/>
  <c r="T28" i="3"/>
  <c r="U28" i="3"/>
  <c r="V28" i="3"/>
  <c r="W28" i="3"/>
  <c r="X28" i="3"/>
  <c r="Y28" i="3"/>
  <c r="Z28" i="3"/>
  <c r="P29" i="3"/>
  <c r="Q29" i="3"/>
  <c r="R29" i="3"/>
  <c r="S29" i="3"/>
  <c r="T29" i="3"/>
  <c r="U29" i="3"/>
  <c r="V29" i="3"/>
  <c r="W29" i="3"/>
  <c r="X29" i="3"/>
  <c r="Y29" i="3"/>
  <c r="Z29" i="3"/>
  <c r="Y31" i="3"/>
  <c r="Z31" i="3"/>
  <c r="P32" i="3"/>
  <c r="Q32" i="3"/>
  <c r="R32" i="3"/>
  <c r="S32" i="3"/>
  <c r="T32" i="3"/>
  <c r="U32" i="3"/>
  <c r="V32" i="3"/>
  <c r="W32" i="3"/>
  <c r="X32" i="3"/>
  <c r="Y32" i="3"/>
  <c r="Z32" i="3"/>
  <c r="P34" i="3"/>
  <c r="Q34" i="3"/>
  <c r="R34" i="3"/>
  <c r="S34" i="3"/>
  <c r="T34" i="3"/>
  <c r="U34" i="3"/>
  <c r="V34" i="3"/>
  <c r="W34" i="3"/>
  <c r="X34" i="3"/>
  <c r="Y34" i="3"/>
  <c r="Z34" i="3"/>
  <c r="P35" i="3"/>
  <c r="Q35" i="3"/>
  <c r="R35" i="3"/>
  <c r="S35" i="3"/>
  <c r="T35" i="3"/>
  <c r="U35" i="3"/>
  <c r="V35" i="3"/>
  <c r="W35" i="3"/>
  <c r="X35" i="3"/>
  <c r="Y35" i="3"/>
  <c r="Z35" i="3"/>
  <c r="P39" i="3"/>
  <c r="Q39" i="3"/>
  <c r="R39" i="3"/>
  <c r="S39" i="3"/>
  <c r="T39" i="3"/>
  <c r="U39" i="3"/>
  <c r="V39" i="3"/>
  <c r="W39" i="3"/>
  <c r="X39" i="3"/>
  <c r="Y39" i="3"/>
  <c r="Z39" i="3"/>
  <c r="P40" i="3"/>
  <c r="Q40" i="3"/>
  <c r="R40" i="3"/>
  <c r="S40" i="3"/>
  <c r="T40" i="3"/>
  <c r="U40" i="3"/>
  <c r="V40" i="3"/>
  <c r="W40" i="3"/>
  <c r="X40" i="3"/>
  <c r="Y40" i="3"/>
  <c r="Z40" i="3"/>
  <c r="P42" i="3"/>
  <c r="Q42" i="3"/>
  <c r="R42" i="3"/>
  <c r="S42" i="3"/>
  <c r="T42" i="3"/>
  <c r="U42" i="3"/>
  <c r="V42" i="3"/>
  <c r="W42" i="3"/>
  <c r="X42" i="3"/>
  <c r="Y42" i="3"/>
  <c r="Z42" i="3"/>
  <c r="P45" i="3"/>
  <c r="Q45" i="3"/>
  <c r="R45" i="3"/>
  <c r="S45" i="3"/>
  <c r="T45" i="3"/>
  <c r="U45" i="3"/>
  <c r="V45" i="3"/>
  <c r="W45" i="3"/>
  <c r="X45" i="3"/>
  <c r="Y45" i="3"/>
  <c r="Z45" i="3"/>
  <c r="P46" i="3"/>
  <c r="Q46" i="3"/>
  <c r="R46" i="3"/>
  <c r="S46" i="3"/>
  <c r="T46" i="3"/>
  <c r="U46" i="3"/>
  <c r="V46" i="3"/>
  <c r="W46" i="3"/>
  <c r="X46" i="3"/>
  <c r="Y46" i="3"/>
  <c r="Z46" i="3"/>
  <c r="P47" i="3"/>
  <c r="Q47" i="3"/>
  <c r="R47" i="3"/>
  <c r="S47" i="3"/>
  <c r="T47" i="3"/>
  <c r="U47" i="3"/>
  <c r="V47" i="3"/>
  <c r="W47" i="3"/>
  <c r="X47" i="3"/>
  <c r="Y47" i="3"/>
  <c r="Z47" i="3"/>
  <c r="X48" i="3"/>
  <c r="Y48" i="3"/>
  <c r="V5" i="2"/>
  <c r="V8" i="2"/>
  <c r="U41" i="3" s="1"/>
  <c r="V13" i="2"/>
  <c r="V21" i="2"/>
  <c r="V24" i="2"/>
  <c r="V31" i="2"/>
  <c r="V36" i="2"/>
  <c r="V38" i="2" s="1"/>
  <c r="V4" i="1"/>
  <c r="V8" i="1"/>
  <c r="U26" i="3" s="1"/>
  <c r="V13" i="1"/>
  <c r="U31" i="3" s="1"/>
  <c r="V20" i="1"/>
  <c r="V30" i="1"/>
  <c r="V31" i="1"/>
  <c r="V38" i="1"/>
  <c r="U10" i="3" s="1"/>
  <c r="V41" i="1"/>
  <c r="V44" i="1"/>
  <c r="E48" i="5"/>
  <c r="D44" i="5"/>
  <c r="E44" i="5"/>
  <c r="G33" i="5"/>
  <c r="G34" i="5"/>
  <c r="G35" i="5"/>
  <c r="G36" i="5"/>
  <c r="G32" i="5"/>
  <c r="D37" i="5"/>
  <c r="E37" i="5"/>
  <c r="P36" i="2"/>
  <c r="Q36" i="2"/>
  <c r="R36" i="2"/>
  <c r="S36" i="2"/>
  <c r="T36" i="2"/>
  <c r="U36" i="2"/>
  <c r="Q31" i="2"/>
  <c r="R31" i="2"/>
  <c r="S31" i="2"/>
  <c r="T31" i="2"/>
  <c r="U31" i="2"/>
  <c r="P31" i="2"/>
  <c r="P5" i="2"/>
  <c r="Q5" i="2"/>
  <c r="R5" i="2"/>
  <c r="S5" i="2"/>
  <c r="T5" i="2"/>
  <c r="U5" i="2"/>
  <c r="P41" i="1"/>
  <c r="O18" i="3" s="1"/>
  <c r="Q41" i="1"/>
  <c r="P18" i="3" s="1"/>
  <c r="R41" i="1"/>
  <c r="Q18" i="3" s="1"/>
  <c r="S41" i="1"/>
  <c r="R18" i="3" s="1"/>
  <c r="R15" i="3" s="1"/>
  <c r="T41" i="1"/>
  <c r="S18" i="3" s="1"/>
  <c r="U41" i="1"/>
  <c r="T18" i="3" s="1"/>
  <c r="AA13" i="3" l="1"/>
  <c r="AC6" i="4"/>
  <c r="Q15" i="3"/>
  <c r="I38" i="3"/>
  <c r="E30" i="3"/>
  <c r="J6" i="3"/>
  <c r="M44" i="3"/>
  <c r="M30" i="3"/>
  <c r="D44" i="3"/>
  <c r="F30" i="3"/>
  <c r="P15" i="3"/>
  <c r="F38" i="3"/>
  <c r="D15" i="3"/>
  <c r="D13" i="3" s="1"/>
  <c r="D14" i="3" s="1"/>
  <c r="E15" i="3"/>
  <c r="E13" i="3" s="1"/>
  <c r="E14" i="3" s="1"/>
  <c r="L44" i="3"/>
  <c r="L30" i="3"/>
  <c r="G6" i="3"/>
  <c r="F6" i="3"/>
  <c r="I15" i="3"/>
  <c r="I13" i="3" s="1"/>
  <c r="I14" i="3" s="1"/>
  <c r="E25" i="3"/>
  <c r="E44" i="3"/>
  <c r="J38" i="3"/>
  <c r="G30" i="3"/>
  <c r="D25" i="3"/>
  <c r="K15" i="3"/>
  <c r="K13" i="3" s="1"/>
  <c r="K14" i="3" s="1"/>
  <c r="C15" i="3"/>
  <c r="C13" i="3" s="1"/>
  <c r="C14" i="3" s="1"/>
  <c r="M25" i="3"/>
  <c r="F44" i="3"/>
  <c r="J15" i="3"/>
  <c r="J13" i="3" s="1"/>
  <c r="J14" i="3" s="1"/>
  <c r="L25" i="3"/>
  <c r="K44" i="3"/>
  <c r="C44" i="3"/>
  <c r="H38" i="3"/>
  <c r="J25" i="3"/>
  <c r="M15" i="3"/>
  <c r="M13" i="3" s="1"/>
  <c r="M14" i="3" s="1"/>
  <c r="H30" i="3"/>
  <c r="I6" i="3"/>
  <c r="I44" i="3"/>
  <c r="J44" i="3"/>
  <c r="D38" i="3"/>
  <c r="G38" i="3"/>
  <c r="K30" i="3"/>
  <c r="C30" i="3"/>
  <c r="D30" i="3"/>
  <c r="H25" i="3"/>
  <c r="I25" i="3"/>
  <c r="H15" i="3"/>
  <c r="H13" i="3" s="1"/>
  <c r="H14" i="3" s="1"/>
  <c r="L15" i="3"/>
  <c r="L13" i="3" s="1"/>
  <c r="L14" i="3" s="1"/>
  <c r="L6" i="3"/>
  <c r="F15" i="3"/>
  <c r="F13" i="3" s="1"/>
  <c r="F14" i="3" s="1"/>
  <c r="G15" i="3"/>
  <c r="G13" i="3" s="1"/>
  <c r="G14" i="3" s="1"/>
  <c r="D6" i="3"/>
  <c r="G44" i="3"/>
  <c r="H44" i="3"/>
  <c r="E38" i="3"/>
  <c r="I30" i="3"/>
  <c r="J30" i="3"/>
  <c r="F25" i="3"/>
  <c r="G25" i="3"/>
  <c r="T6" i="3"/>
  <c r="S6" i="3"/>
  <c r="Y14" i="4"/>
  <c r="AA14" i="4"/>
  <c r="Z14" i="4"/>
  <c r="AB4" i="2"/>
  <c r="V5" i="3"/>
  <c r="X14" i="4" s="1"/>
  <c r="AC9" i="4"/>
  <c r="AB50" i="1"/>
  <c r="W51" i="1"/>
  <c r="AB38" i="1"/>
  <c r="Z10" i="4"/>
  <c r="AA10" i="4"/>
  <c r="AC17" i="4"/>
  <c r="AA51" i="1"/>
  <c r="Y18" i="3"/>
  <c r="Y15" i="3" s="1"/>
  <c r="Z50" i="1"/>
  <c r="Z51" i="1" s="1"/>
  <c r="Y51" i="1"/>
  <c r="X10" i="3"/>
  <c r="Z10" i="3"/>
  <c r="X38" i="1"/>
  <c r="W10" i="3" s="1"/>
  <c r="AA19" i="4"/>
  <c r="Y25" i="3"/>
  <c r="AB18" i="4"/>
  <c r="V25" i="3"/>
  <c r="Y18" i="4"/>
  <c r="X18" i="4"/>
  <c r="W18" i="3"/>
  <c r="W15" i="3" s="1"/>
  <c r="X9" i="4"/>
  <c r="AB19" i="4"/>
  <c r="X10" i="4"/>
  <c r="AB9" i="4"/>
  <c r="Z19" i="4"/>
  <c r="X19" i="4"/>
  <c r="V30" i="3"/>
  <c r="AB14" i="4"/>
  <c r="AB16" i="4"/>
  <c r="AA16" i="4"/>
  <c r="W4" i="2"/>
  <c r="X16" i="4" s="1"/>
  <c r="R13" i="3"/>
  <c r="Q13" i="3"/>
  <c r="P13" i="3"/>
  <c r="G44" i="5"/>
  <c r="G37" i="5"/>
  <c r="E49" i="5"/>
  <c r="V50" i="1"/>
  <c r="V51" i="1" s="1"/>
  <c r="U18" i="3"/>
  <c r="U15" i="3" s="1"/>
  <c r="W10" i="4"/>
  <c r="W19" i="4"/>
  <c r="U30" i="3"/>
  <c r="W17" i="4"/>
  <c r="W18" i="4"/>
  <c r="V4" i="2"/>
  <c r="V20" i="2" s="1"/>
  <c r="V30" i="2" s="1"/>
  <c r="U48" i="3" s="1"/>
  <c r="U44" i="3" s="1"/>
  <c r="W44" i="3"/>
  <c r="Z44" i="3"/>
  <c r="Y44" i="3"/>
  <c r="X44" i="3"/>
  <c r="V44" i="3"/>
  <c r="Z38" i="3"/>
  <c r="Y38" i="3"/>
  <c r="X38" i="3"/>
  <c r="W38" i="3"/>
  <c r="V38" i="3"/>
  <c r="U38" i="3"/>
  <c r="AB13" i="4"/>
  <c r="Z30" i="3"/>
  <c r="Y30" i="3"/>
  <c r="AA13" i="4"/>
  <c r="X30" i="3"/>
  <c r="Z13" i="4"/>
  <c r="Y13" i="4"/>
  <c r="W30" i="3"/>
  <c r="U25" i="3"/>
  <c r="Z25" i="3"/>
  <c r="X25" i="3"/>
  <c r="W25" i="3"/>
  <c r="X15" i="3"/>
  <c r="Z15" i="3"/>
  <c r="Z6" i="3"/>
  <c r="Y6" i="3"/>
  <c r="X6" i="3"/>
  <c r="W6" i="3"/>
  <c r="V6" i="3"/>
  <c r="U6" i="3"/>
  <c r="R6" i="3"/>
  <c r="Q6" i="3"/>
  <c r="P6" i="3"/>
  <c r="S15" i="3"/>
  <c r="V15" i="3"/>
  <c r="T15" i="3"/>
  <c r="U44" i="1"/>
  <c r="U50" i="1" s="1"/>
  <c r="Q44" i="1"/>
  <c r="Q50" i="1" s="1"/>
  <c r="R44" i="1"/>
  <c r="R50" i="1" s="1"/>
  <c r="S44" i="1"/>
  <c r="S50" i="1" s="1"/>
  <c r="T44" i="1"/>
  <c r="T50" i="1" s="1"/>
  <c r="P31" i="1"/>
  <c r="Q31" i="1"/>
  <c r="R31" i="1"/>
  <c r="S31" i="1"/>
  <c r="T31" i="1"/>
  <c r="U31" i="1"/>
  <c r="P30" i="1"/>
  <c r="Q30" i="1"/>
  <c r="R30" i="1"/>
  <c r="S30" i="1"/>
  <c r="T30" i="1"/>
  <c r="U30" i="1"/>
  <c r="P20" i="1"/>
  <c r="Q20" i="1"/>
  <c r="R20" i="1"/>
  <c r="S20" i="1"/>
  <c r="T20" i="1"/>
  <c r="U20" i="1"/>
  <c r="P13" i="1"/>
  <c r="O31" i="3" s="1"/>
  <c r="Q13" i="1"/>
  <c r="R13" i="1"/>
  <c r="Q31" i="3" s="1"/>
  <c r="S13" i="1"/>
  <c r="R31" i="3" s="1"/>
  <c r="T13" i="1"/>
  <c r="S31" i="3" s="1"/>
  <c r="U13" i="1"/>
  <c r="T31" i="3" s="1"/>
  <c r="P8" i="1"/>
  <c r="O26" i="3" s="1"/>
  <c r="Q8" i="1"/>
  <c r="P26" i="3" s="1"/>
  <c r="P25" i="3" s="1"/>
  <c r="R8" i="1"/>
  <c r="Q26" i="3" s="1"/>
  <c r="Q25" i="3" s="1"/>
  <c r="S8" i="1"/>
  <c r="R26" i="3" s="1"/>
  <c r="R25" i="3" s="1"/>
  <c r="T8" i="1"/>
  <c r="S26" i="3" s="1"/>
  <c r="S25" i="3" s="1"/>
  <c r="U8" i="1"/>
  <c r="T26" i="3" s="1"/>
  <c r="T25" i="3" s="1"/>
  <c r="T4" i="1"/>
  <c r="U4" i="1"/>
  <c r="P4" i="1"/>
  <c r="Q4" i="1"/>
  <c r="R4" i="1"/>
  <c r="S4" i="1"/>
  <c r="P38" i="2"/>
  <c r="Q38" i="2"/>
  <c r="R38" i="2"/>
  <c r="S38" i="2"/>
  <c r="T38" i="2"/>
  <c r="U38" i="2"/>
  <c r="P24" i="2"/>
  <c r="Q24" i="2"/>
  <c r="R24" i="2"/>
  <c r="S24" i="2"/>
  <c r="T24" i="2"/>
  <c r="U24" i="2"/>
  <c r="P21" i="2"/>
  <c r="Q21" i="2"/>
  <c r="R21" i="2"/>
  <c r="S21" i="2"/>
  <c r="T21" i="2"/>
  <c r="U21" i="2"/>
  <c r="P13" i="2"/>
  <c r="Q13" i="2"/>
  <c r="R13" i="2"/>
  <c r="S13" i="2"/>
  <c r="T13" i="2"/>
  <c r="U13" i="2"/>
  <c r="P8" i="2"/>
  <c r="O41" i="3" s="1"/>
  <c r="Q8" i="2"/>
  <c r="P41" i="3" s="1"/>
  <c r="P38" i="3" s="1"/>
  <c r="R8" i="2"/>
  <c r="S8" i="2"/>
  <c r="T8" i="2"/>
  <c r="S41" i="3" s="1"/>
  <c r="S38" i="3" s="1"/>
  <c r="U8" i="2"/>
  <c r="N7" i="3"/>
  <c r="O7" i="3"/>
  <c r="N8" i="3"/>
  <c r="O8" i="3"/>
  <c r="N9" i="3"/>
  <c r="O9" i="3"/>
  <c r="N27" i="3"/>
  <c r="O27" i="3"/>
  <c r="N28" i="3"/>
  <c r="O28" i="3"/>
  <c r="N29" i="3"/>
  <c r="O29" i="3"/>
  <c r="N32" i="3"/>
  <c r="O32" i="3"/>
  <c r="N34" i="3"/>
  <c r="O34" i="3"/>
  <c r="N35" i="3"/>
  <c r="O35" i="3"/>
  <c r="N39" i="3"/>
  <c r="O39" i="3"/>
  <c r="O40" i="3"/>
  <c r="N42" i="3"/>
  <c r="O42" i="3"/>
  <c r="O45" i="3"/>
  <c r="N46" i="3"/>
  <c r="O46" i="3"/>
  <c r="O47" i="3"/>
  <c r="O24" i="2"/>
  <c r="O21" i="2"/>
  <c r="O17" i="2"/>
  <c r="O15" i="2"/>
  <c r="N47" i="3" s="1"/>
  <c r="O14" i="2"/>
  <c r="O12" i="2"/>
  <c r="O8" i="2"/>
  <c r="N41" i="3" s="1"/>
  <c r="O5" i="2"/>
  <c r="O44" i="1"/>
  <c r="O41" i="1"/>
  <c r="O30" i="1"/>
  <c r="O31" i="1"/>
  <c r="O20" i="1"/>
  <c r="O13" i="1"/>
  <c r="N31" i="3" s="1"/>
  <c r="O8" i="1"/>
  <c r="N26" i="3" s="1"/>
  <c r="O4" i="1"/>
  <c r="N31" i="1"/>
  <c r="N30" i="1"/>
  <c r="N20" i="1"/>
  <c r="N13" i="1"/>
  <c r="N8" i="1"/>
  <c r="N4" i="1"/>
  <c r="N41" i="1"/>
  <c r="N44" i="1"/>
  <c r="I30" i="1"/>
  <c r="J30" i="1"/>
  <c r="K30" i="1"/>
  <c r="L30" i="1"/>
  <c r="M30" i="1"/>
  <c r="I31" i="1"/>
  <c r="J31" i="1"/>
  <c r="K31" i="1"/>
  <c r="L31" i="1"/>
  <c r="M31" i="1"/>
  <c r="G20" i="1"/>
  <c r="H20" i="1"/>
  <c r="I20" i="1"/>
  <c r="J20" i="1"/>
  <c r="K20" i="1"/>
  <c r="L20" i="1"/>
  <c r="M20" i="1"/>
  <c r="G13" i="1"/>
  <c r="H13" i="1"/>
  <c r="I13" i="1"/>
  <c r="J13" i="1"/>
  <c r="K13" i="1"/>
  <c r="L13" i="1"/>
  <c r="M13" i="1"/>
  <c r="G8" i="1"/>
  <c r="H8" i="1"/>
  <c r="I8" i="1"/>
  <c r="J8" i="1"/>
  <c r="K8" i="1"/>
  <c r="L8" i="1"/>
  <c r="M8" i="1"/>
  <c r="G4" i="1"/>
  <c r="H4" i="1"/>
  <c r="I4" i="1"/>
  <c r="J4" i="1"/>
  <c r="J26" i="1" s="1"/>
  <c r="K4" i="1"/>
  <c r="K26" i="1" s="1"/>
  <c r="L4" i="1"/>
  <c r="M4" i="1"/>
  <c r="I44" i="1"/>
  <c r="J44" i="1"/>
  <c r="K44" i="1"/>
  <c r="L44" i="1"/>
  <c r="M44" i="1"/>
  <c r="P44" i="1"/>
  <c r="P50" i="1" s="1"/>
  <c r="I41" i="1"/>
  <c r="J41" i="1"/>
  <c r="K41" i="1"/>
  <c r="L41" i="1"/>
  <c r="M41" i="1"/>
  <c r="I38" i="1"/>
  <c r="J38" i="1"/>
  <c r="G30" i="1"/>
  <c r="H30" i="1"/>
  <c r="G31" i="1"/>
  <c r="H31" i="1"/>
  <c r="G41" i="1"/>
  <c r="H41" i="1"/>
  <c r="G44" i="1"/>
  <c r="H44" i="1"/>
  <c r="B16" i="3"/>
  <c r="B19" i="3"/>
  <c r="B20" i="3"/>
  <c r="B21" i="3"/>
  <c r="B7" i="3"/>
  <c r="B8" i="3"/>
  <c r="B9" i="3"/>
  <c r="B27" i="3"/>
  <c r="B28" i="3"/>
  <c r="B29" i="3"/>
  <c r="B32" i="3"/>
  <c r="B34" i="3"/>
  <c r="B35" i="3"/>
  <c r="C4" i="1"/>
  <c r="D4" i="1"/>
  <c r="E4" i="1"/>
  <c r="F4" i="1"/>
  <c r="C8" i="1"/>
  <c r="B26" i="3" s="1"/>
  <c r="D8" i="1"/>
  <c r="E8" i="1"/>
  <c r="F8" i="1"/>
  <c r="C13" i="1"/>
  <c r="B31" i="3" s="1"/>
  <c r="D13" i="1"/>
  <c r="E13" i="1"/>
  <c r="F13" i="1"/>
  <c r="C20" i="1"/>
  <c r="D20" i="1"/>
  <c r="E20" i="1"/>
  <c r="F20" i="1"/>
  <c r="D26" i="1"/>
  <c r="C30" i="1"/>
  <c r="D30" i="1"/>
  <c r="E30" i="1"/>
  <c r="F30" i="1"/>
  <c r="C31" i="1"/>
  <c r="D31" i="1"/>
  <c r="E31" i="1"/>
  <c r="E38" i="1" s="1"/>
  <c r="F31" i="1"/>
  <c r="D38" i="1"/>
  <c r="C41" i="1"/>
  <c r="B18" i="3" s="1"/>
  <c r="D41" i="1"/>
  <c r="E41" i="1"/>
  <c r="F41" i="1"/>
  <c r="C44" i="1"/>
  <c r="D44" i="1"/>
  <c r="E44" i="1"/>
  <c r="F44" i="1"/>
  <c r="AC3" i="4" l="1"/>
  <c r="AA14" i="3"/>
  <c r="AC5" i="4"/>
  <c r="AC4" i="4"/>
  <c r="AC12" i="4"/>
  <c r="AB20" i="2"/>
  <c r="X13" i="4"/>
  <c r="AB51" i="1"/>
  <c r="X51" i="1"/>
  <c r="O4" i="2"/>
  <c r="C38" i="1"/>
  <c r="M38" i="1"/>
  <c r="L38" i="1"/>
  <c r="K38" i="1"/>
  <c r="O26" i="1"/>
  <c r="N5" i="3" s="1"/>
  <c r="O50" i="1"/>
  <c r="N18" i="3"/>
  <c r="O13" i="2"/>
  <c r="N40" i="3"/>
  <c r="N45" i="3"/>
  <c r="U4" i="2"/>
  <c r="U20" i="2" s="1"/>
  <c r="V16" i="4" s="1"/>
  <c r="T41" i="3"/>
  <c r="T38" i="3" s="1"/>
  <c r="S4" i="2"/>
  <c r="S20" i="2" s="1"/>
  <c r="R41" i="3"/>
  <c r="R38" i="3" s="1"/>
  <c r="R4" i="2"/>
  <c r="R20" i="2" s="1"/>
  <c r="S16" i="4" s="1"/>
  <c r="Q41" i="3"/>
  <c r="Q38" i="3" s="1"/>
  <c r="S15" i="4"/>
  <c r="T17" i="4"/>
  <c r="T18" i="4"/>
  <c r="S17" i="4"/>
  <c r="S18" i="4"/>
  <c r="R17" i="4"/>
  <c r="R18" i="4"/>
  <c r="Q17" i="4"/>
  <c r="Q18" i="4"/>
  <c r="V17" i="4"/>
  <c r="V18" i="4"/>
  <c r="U17" i="4"/>
  <c r="U18" i="4"/>
  <c r="T30" i="3"/>
  <c r="S30" i="3"/>
  <c r="R30" i="3"/>
  <c r="Q30" i="3"/>
  <c r="P5" i="3"/>
  <c r="R4" i="4" s="1"/>
  <c r="P31" i="3"/>
  <c r="V10" i="4"/>
  <c r="V19" i="4"/>
  <c r="U10" i="4"/>
  <c r="U19" i="4"/>
  <c r="T10" i="4"/>
  <c r="T19" i="4"/>
  <c r="S10" i="4"/>
  <c r="S19" i="4"/>
  <c r="R9" i="4"/>
  <c r="R10" i="4"/>
  <c r="R19" i="4"/>
  <c r="Q10" i="4"/>
  <c r="Q19" i="4"/>
  <c r="S38" i="1"/>
  <c r="R10" i="3" s="1"/>
  <c r="U5" i="3"/>
  <c r="W6" i="4" s="1"/>
  <c r="W9" i="4"/>
  <c r="W16" i="4"/>
  <c r="W15" i="4"/>
  <c r="T13" i="3"/>
  <c r="V13" i="3"/>
  <c r="X6" i="4"/>
  <c r="S13" i="3"/>
  <c r="U13" i="3"/>
  <c r="Y13" i="3"/>
  <c r="AA6" i="4"/>
  <c r="Z13" i="3"/>
  <c r="AB6" i="4"/>
  <c r="W13" i="3"/>
  <c r="Y6" i="4"/>
  <c r="X13" i="3"/>
  <c r="Z6" i="4"/>
  <c r="P14" i="3"/>
  <c r="R3" i="4"/>
  <c r="R5" i="4"/>
  <c r="R12" i="4"/>
  <c r="Q14" i="3"/>
  <c r="S3" i="4"/>
  <c r="S5" i="4"/>
  <c r="S12" i="4"/>
  <c r="R14" i="3"/>
  <c r="T3" i="4"/>
  <c r="T5" i="4"/>
  <c r="T12" i="4"/>
  <c r="R30" i="2"/>
  <c r="Q48" i="3" s="1"/>
  <c r="Q44" i="3" s="1"/>
  <c r="O38" i="1"/>
  <c r="O51" i="1" s="1"/>
  <c r="T38" i="1"/>
  <c r="R38" i="1"/>
  <c r="U38" i="1"/>
  <c r="M50" i="1"/>
  <c r="M51" i="1" s="1"/>
  <c r="I26" i="1"/>
  <c r="N26" i="1"/>
  <c r="O15" i="3"/>
  <c r="H26" i="1"/>
  <c r="G26" i="1"/>
  <c r="C50" i="1"/>
  <c r="C51" i="1" s="1"/>
  <c r="E26" i="1"/>
  <c r="M26" i="1"/>
  <c r="C26" i="1"/>
  <c r="B5" i="3" s="1"/>
  <c r="L26" i="1"/>
  <c r="B30" i="3"/>
  <c r="Q38" i="1"/>
  <c r="P38" i="1"/>
  <c r="O10" i="3" s="1"/>
  <c r="Q4" i="2"/>
  <c r="Q20" i="2" s="1"/>
  <c r="P4" i="2"/>
  <c r="P20" i="2" s="1"/>
  <c r="T4" i="2"/>
  <c r="T20" i="2" s="1"/>
  <c r="O38" i="3"/>
  <c r="N38" i="3"/>
  <c r="O30" i="3"/>
  <c r="N30" i="3"/>
  <c r="O25" i="3"/>
  <c r="N25" i="3"/>
  <c r="N15" i="3"/>
  <c r="N13" i="3" s="1"/>
  <c r="N14" i="3" s="1"/>
  <c r="O6" i="3"/>
  <c r="N6" i="3"/>
  <c r="N50" i="1"/>
  <c r="N38" i="1"/>
  <c r="H38" i="1"/>
  <c r="G38" i="1"/>
  <c r="L50" i="1"/>
  <c r="L51" i="1" s="1"/>
  <c r="K50" i="1"/>
  <c r="K51" i="1" s="1"/>
  <c r="J50" i="1"/>
  <c r="J51" i="1" s="1"/>
  <c r="I50" i="1"/>
  <c r="I51" i="1" s="1"/>
  <c r="H50" i="1"/>
  <c r="H51" i="1" s="1"/>
  <c r="G50" i="1"/>
  <c r="G51" i="1" s="1"/>
  <c r="D50" i="1"/>
  <c r="D51" i="1" s="1"/>
  <c r="E50" i="1"/>
  <c r="E51" i="1" s="1"/>
  <c r="B15" i="3"/>
  <c r="B13" i="3" s="1"/>
  <c r="B14" i="3" s="1"/>
  <c r="F50" i="1"/>
  <c r="B10" i="3"/>
  <c r="F38" i="1"/>
  <c r="F26" i="1"/>
  <c r="B25" i="3"/>
  <c r="B6" i="3"/>
  <c r="AB30" i="2" l="1"/>
  <c r="N10" i="3"/>
  <c r="S51" i="1"/>
  <c r="V15" i="4"/>
  <c r="U30" i="2"/>
  <c r="T48" i="3" s="1"/>
  <c r="T44" i="3" s="1"/>
  <c r="O20" i="2"/>
  <c r="T30" i="2"/>
  <c r="S48" i="3" s="1"/>
  <c r="S44" i="3" s="1"/>
  <c r="U16" i="4"/>
  <c r="U15" i="4"/>
  <c r="P30" i="2"/>
  <c r="O48" i="3" s="1"/>
  <c r="O44" i="3" s="1"/>
  <c r="Q16" i="4"/>
  <c r="Q15" i="4"/>
  <c r="Q30" i="2"/>
  <c r="P48" i="3" s="1"/>
  <c r="P44" i="3" s="1"/>
  <c r="R16" i="4"/>
  <c r="R15" i="4"/>
  <c r="Q51" i="1"/>
  <c r="P10" i="3"/>
  <c r="O13" i="3"/>
  <c r="O5" i="3"/>
  <c r="Q9" i="4"/>
  <c r="R5" i="3"/>
  <c r="T9" i="4"/>
  <c r="Q5" i="3"/>
  <c r="S9" i="4"/>
  <c r="S5" i="3"/>
  <c r="U4" i="4" s="1"/>
  <c r="U9" i="4"/>
  <c r="T5" i="3"/>
  <c r="V4" i="4" s="1"/>
  <c r="V9" i="4"/>
  <c r="U51" i="1"/>
  <c r="T10" i="3"/>
  <c r="R51" i="1"/>
  <c r="Q10" i="3"/>
  <c r="T51" i="1"/>
  <c r="S10" i="3"/>
  <c r="S30" i="2"/>
  <c r="R48" i="3" s="1"/>
  <c r="R44" i="3" s="1"/>
  <c r="T16" i="4"/>
  <c r="T15" i="4"/>
  <c r="X14" i="3"/>
  <c r="Z3" i="4"/>
  <c r="Z4" i="4"/>
  <c r="Z5" i="4"/>
  <c r="Z12" i="4"/>
  <c r="W14" i="3"/>
  <c r="Y3" i="4"/>
  <c r="Y4" i="4"/>
  <c r="Y5" i="4"/>
  <c r="Y12" i="4"/>
  <c r="Z14" i="3"/>
  <c r="AB3" i="4"/>
  <c r="AB4" i="4"/>
  <c r="AB5" i="4"/>
  <c r="AB12" i="4"/>
  <c r="Y14" i="3"/>
  <c r="AA3" i="4"/>
  <c r="AA4" i="4"/>
  <c r="AA5" i="4"/>
  <c r="AA12" i="4"/>
  <c r="U14" i="3"/>
  <c r="W3" i="4"/>
  <c r="W4" i="4"/>
  <c r="W5" i="4"/>
  <c r="W12" i="4"/>
  <c r="S14" i="3"/>
  <c r="U3" i="4"/>
  <c r="U5" i="4"/>
  <c r="U12" i="4"/>
  <c r="V14" i="3"/>
  <c r="X3" i="4"/>
  <c r="X4" i="4"/>
  <c r="X5" i="4"/>
  <c r="X12" i="4"/>
  <c r="T14" i="3"/>
  <c r="V3" i="4"/>
  <c r="V5" i="4"/>
  <c r="V12" i="4"/>
  <c r="W13" i="4"/>
  <c r="W14" i="4"/>
  <c r="P30" i="3"/>
  <c r="R13" i="4"/>
  <c r="R6" i="4"/>
  <c r="R14" i="4"/>
  <c r="N51" i="1"/>
  <c r="P51" i="1"/>
  <c r="F51" i="1"/>
  <c r="O30" i="2" l="1"/>
  <c r="N48" i="3" s="1"/>
  <c r="N44" i="3" s="1"/>
  <c r="V14" i="4"/>
  <c r="V13" i="4"/>
  <c r="V6" i="4"/>
  <c r="U14" i="4"/>
  <c r="U13" i="4"/>
  <c r="U6" i="4"/>
  <c r="S6" i="4"/>
  <c r="S14" i="4"/>
  <c r="S13" i="4"/>
  <c r="S4" i="4"/>
  <c r="T6" i="4"/>
  <c r="T14" i="4"/>
  <c r="T13" i="4"/>
  <c r="T4" i="4"/>
  <c r="Q14" i="4"/>
  <c r="Q13" i="4"/>
  <c r="Q6" i="4"/>
  <c r="O14" i="3"/>
  <c r="Q3" i="4"/>
  <c r="Q4" i="4"/>
  <c r="Q5" i="4"/>
  <c r="Q12" i="4"/>
  <c r="Q1" i="1"/>
  <c r="B47" i="3" l="1"/>
  <c r="B46" i="3"/>
  <c r="B45" i="3"/>
  <c r="B42" i="3"/>
  <c r="B40" i="3"/>
  <c r="B39" i="3"/>
  <c r="B41" i="3" l="1"/>
  <c r="B38" i="3" s="1"/>
  <c r="B48" i="3" l="1"/>
  <c r="B44" i="3" s="1"/>
  <c r="O36" i="2" l="1"/>
  <c r="O38" i="2" s="1"/>
</calcChain>
</file>

<file path=xl/sharedStrings.xml><?xml version="1.0" encoding="utf-8"?>
<sst xmlns="http://schemas.openxmlformats.org/spreadsheetml/2006/main" count="222" uniqueCount="175">
  <si>
    <t>SIMBA CHAI SACCO SOCIETY</t>
  </si>
  <si>
    <t xml:space="preserve"> STATEMENT OF FINANCIAL POSITION</t>
  </si>
  <si>
    <t>FINANCIAL YEAR  2020</t>
  </si>
  <si>
    <t>AUDITED 2021</t>
  </si>
  <si>
    <t>AUDITED 2022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</si>
  <si>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</si>
  <si>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</si>
  <si>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</si>
  <si>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</si>
  <si>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</si>
  <si>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</si>
  <si>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</si>
  <si>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</si>
  <si>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</si>
  <si>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</si>
  <si>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</si>
  <si>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</si>
  <si>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</si>
  <si>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</si>
  <si>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</si>
  <si>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</si>
  <si>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</si>
  <si>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</si>
  <si>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</si>
  <si>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</si>
  <si>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</si>
  <si>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</si>
  <si>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</si>
  <si>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</si>
  <si>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</si>
  <si>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</si>
  <si>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</si>
  <si>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</si>
  <si>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</si>
  <si>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</si>
  <si>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</si>
  <si>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</si>
  <si>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</si>
  <si>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</si>
  <si>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</si>
  <si>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</si>
  <si>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</si>
  <si>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</si>
  <si>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</si>
  <si>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</si>
  <si>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</si>
  <si>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</si>
  <si>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</si>
  <si>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</si>
  <si>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</si>
  <si>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</si>
  <si>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</si>
  <si>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</si>
  <si>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</si>
  <si>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</si>
  <si>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STATEMENT OF COMPREHENSIVE INCOME</t>
  </si>
  <si>
    <t>Aud-21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</si>
  <si>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</si>
  <si>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</si>
  <si>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</si>
  <si>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</si>
  <si>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</si>
  <si>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</si>
  <si>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</si>
  <si>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</si>
  <si>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</si>
  <si>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</si>
  <si>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</si>
  <si>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</si>
  <si>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</si>
  <si>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</si>
  <si>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</si>
  <si>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</si>
  <si>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</si>
  <si>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</si>
  <si>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</si>
  <si>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</si>
  <si>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</si>
  <si>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</si>
  <si>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</si>
  <si>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</si>
  <si>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</si>
  <si>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</si>
  <si>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</si>
  <si>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</si>
  <si>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</si>
  <si>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</si>
  <si>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</si>
  <si>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</si>
  <si>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</si>
  <si>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</si>
  <si>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FORM 4</t>
  </si>
  <si>
    <t>Asili Dec 2020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</si>
  <si>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</si>
  <si>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</si>
  <si>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</si>
  <si>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</si>
  <si>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</si>
  <si>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</si>
  <si>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</si>
  <si>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</si>
  <si>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</si>
  <si>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</si>
  <si>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</si>
  <si>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 xml:space="preserve">  -   </t>
  </si>
  <si>
    <t>NPL</t>
  </si>
  <si>
    <t>PAR</t>
  </si>
  <si>
    <t>SIMBA CHAI SACCO FINANCIALS</t>
  </si>
  <si>
    <t>Year/month</t>
  </si>
  <si>
    <t>Membership</t>
  </si>
  <si>
    <t>Total Deposits</t>
  </si>
  <si>
    <t>Deposits-Members(BOSA)</t>
  </si>
  <si>
    <t>Deposits-Customers(FOSA)</t>
  </si>
  <si>
    <t>Deposits-Term</t>
  </si>
  <si>
    <t>External Borrowing</t>
  </si>
  <si>
    <t>Share capital and Reserves</t>
  </si>
  <si>
    <t>Core Capital</t>
  </si>
  <si>
    <t>Institutional Capital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</si>
  <si>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</si>
  <si>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</si>
  <si>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</si>
  <si>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</si>
  <si>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</si>
  <si>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</si>
  <si>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</si>
  <si>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</si>
  <si>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</si>
  <si>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</si>
  <si>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</si>
  <si>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</si>
  <si>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</si>
  <si>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</si>
  <si>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</si>
  <si>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</si>
  <si>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</si>
  <si>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</si>
  <si>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</si>
  <si>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</si>
  <si>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</si>
  <si>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</si>
  <si>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</si>
  <si>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</si>
  <si>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</si>
  <si>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</si>
  <si>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</si>
  <si>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</si>
  <si>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</si>
  <si>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SIMBA CHAI SACCO CAELS 2020</t>
  </si>
  <si>
    <t>Regulatory Stds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</si>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</sst>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\-??_);_(@_)"/>
    <numFmt numFmtId="165" formatCode="0.0"/>
    <numFmt numFmtId="166" formatCode="_(* #,##0_);_(* \(#,##0\);_(* &quot;-&quot;??_);_(@_)"/>
    <numFmt numFmtId="167" formatCode="[$-10409]#,##0.00;\-\ #,##0.00"/>
    <numFmt numFmtId="168" formatCode="_(* #,##0.00_);_(* \(#,##0.00\);_(* \-??_);_(@_)"/>
    <numFmt numFmtId="169" formatCode="0.0%"/>
    <numFmt numFmtId="170" formatCode="_(* #,##0.0_);_(* \(#,##0.0\);_(* \-??_);_(@_)"/>
    <numFmt numFmtId="171" formatCode="#,##0.00_);\-#,##0.00"/>
    <numFmt numFmtId="172" formatCode="[$-10409]0.00;\-\ 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i/>
      <sz val="10"/>
      <name val="Cambria"/>
      <family val="1"/>
    </font>
    <font>
      <b/>
      <sz val="10"/>
      <color indexed="8"/>
      <name val="Cambria"/>
      <family val="1"/>
    </font>
    <font>
      <b/>
      <sz val="11"/>
      <color theme="1"/>
      <name val="Cambria"/>
      <family val="1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charset val="1"/>
    </font>
    <font>
      <sz val="10"/>
      <color rgb="FF000000"/>
      <name val="Arial"/>
      <charset val="1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5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166" fontId="4" fillId="5" borderId="1" xfId="1" applyNumberFormat="1" applyFont="1" applyFill="1" applyBorder="1"/>
    <xf numFmtId="167" fontId="5" fillId="0" borderId="3" xfId="0" applyNumberFormat="1" applyFont="1" applyBorder="1" applyAlignment="1" applyProtection="1">
      <alignment vertical="top" wrapText="1" readingOrder="1"/>
      <protection locked="0"/>
    </xf>
    <xf numFmtId="0" fontId="4" fillId="0" borderId="5" xfId="0" applyFont="1" applyBorder="1"/>
    <xf numFmtId="0" fontId="3" fillId="0" borderId="4" xfId="0" applyFont="1" applyBorder="1" applyAlignment="1">
      <alignment horizontal="right"/>
    </xf>
    <xf numFmtId="164" fontId="4" fillId="5" borderId="1" xfId="5" applyNumberFormat="1" applyFont="1" applyFill="1" applyBorder="1" applyAlignment="1" applyProtection="1"/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17" fontId="8" fillId="6" borderId="1" xfId="0" applyNumberFormat="1" applyFont="1" applyFill="1" applyBorder="1"/>
    <xf numFmtId="0" fontId="8" fillId="0" borderId="0" xfId="0" applyFont="1"/>
    <xf numFmtId="9" fontId="7" fillId="0" borderId="1" xfId="2" applyFont="1" applyBorder="1"/>
    <xf numFmtId="169" fontId="7" fillId="0" borderId="1" xfId="2" applyNumberFormat="1" applyFont="1" applyBorder="1"/>
    <xf numFmtId="9" fontId="7" fillId="0" borderId="1" xfId="2" applyFont="1" applyBorder="1" applyAlignme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 applyAlignment="1">
      <alignment wrapText="1"/>
    </xf>
    <xf numFmtId="0" fontId="3" fillId="0" borderId="1" xfId="0" applyFont="1" applyBorder="1"/>
    <xf numFmtId="0" fontId="4" fillId="0" borderId="6" xfId="0" applyFont="1" applyBorder="1" applyAlignment="1">
      <alignment wrapText="1"/>
    </xf>
    <xf numFmtId="43" fontId="4" fillId="7" borderId="1" xfId="1" applyFont="1" applyFill="1" applyBorder="1" applyAlignment="1" applyProtection="1"/>
    <xf numFmtId="0" fontId="3" fillId="0" borderId="6" xfId="0" applyFont="1" applyBorder="1" applyAlignment="1">
      <alignment wrapText="1"/>
    </xf>
    <xf numFmtId="43" fontId="4" fillId="9" borderId="1" xfId="1" applyFont="1" applyFill="1" applyBorder="1" applyAlignment="1"/>
    <xf numFmtId="0" fontId="3" fillId="0" borderId="6" xfId="0" applyFont="1" applyBorder="1"/>
    <xf numFmtId="43" fontId="4" fillId="5" borderId="1" xfId="1" applyFont="1" applyFill="1" applyBorder="1" applyAlignment="1" applyProtection="1"/>
    <xf numFmtId="43" fontId="3" fillId="9" borderId="1" xfId="1" applyFont="1" applyFill="1" applyBorder="1" applyAlignment="1"/>
    <xf numFmtId="0" fontId="8" fillId="0" borderId="0" xfId="161" applyFont="1"/>
    <xf numFmtId="0" fontId="8" fillId="0" borderId="2" xfId="161" applyFont="1" applyBorder="1"/>
    <xf numFmtId="43" fontId="8" fillId="0" borderId="8" xfId="162" applyFont="1" applyFill="1" applyBorder="1"/>
    <xf numFmtId="3" fontId="3" fillId="0" borderId="9" xfId="161" applyNumberFormat="1" applyFont="1" applyBorder="1"/>
    <xf numFmtId="0" fontId="3" fillId="0" borderId="9" xfId="161" applyFont="1" applyBorder="1"/>
    <xf numFmtId="43" fontId="7" fillId="2" borderId="1" xfId="1" applyFont="1" applyFill="1" applyBorder="1"/>
    <xf numFmtId="0" fontId="4" fillId="0" borderId="9" xfId="161" applyFont="1" applyBorder="1"/>
    <xf numFmtId="43" fontId="8" fillId="2" borderId="1" xfId="1" applyFont="1" applyFill="1" applyBorder="1"/>
    <xf numFmtId="0" fontId="7" fillId="0" borderId="9" xfId="161" applyFont="1" applyBorder="1"/>
    <xf numFmtId="0" fontId="8" fillId="0" borderId="9" xfId="161" applyFont="1" applyBorder="1"/>
    <xf numFmtId="9" fontId="3" fillId="0" borderId="9" xfId="163" applyFont="1" applyFill="1" applyBorder="1"/>
    <xf numFmtId="43" fontId="4" fillId="2" borderId="1" xfId="1" applyFont="1" applyFill="1" applyBorder="1"/>
    <xf numFmtId="43" fontId="3" fillId="2" borderId="1" xfId="1" applyFont="1" applyFill="1" applyBorder="1"/>
    <xf numFmtId="0" fontId="3" fillId="0" borderId="10" xfId="161" applyFont="1" applyBorder="1"/>
    <xf numFmtId="0" fontId="3" fillId="0" borderId="0" xfId="161" applyFont="1"/>
    <xf numFmtId="0" fontId="8" fillId="6" borderId="2" xfId="0" applyFont="1" applyFill="1" applyBorder="1"/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 wrapText="1"/>
    </xf>
    <xf numFmtId="166" fontId="7" fillId="0" borderId="12" xfId="1" applyNumberFormat="1" applyFont="1" applyBorder="1"/>
    <xf numFmtId="0" fontId="7" fillId="0" borderId="15" xfId="0" applyFont="1" applyBorder="1" applyAlignment="1">
      <alignment horizontal="left" vertical="top" wrapText="1"/>
    </xf>
    <xf numFmtId="9" fontId="7" fillId="0" borderId="15" xfId="0" applyNumberFormat="1" applyFont="1" applyBorder="1" applyAlignment="1">
      <alignment horizontal="center" vertical="center" wrapText="1"/>
    </xf>
    <xf numFmtId="169" fontId="7" fillId="0" borderId="15" xfId="2" applyNumberFormat="1" applyFont="1" applyBorder="1"/>
    <xf numFmtId="0" fontId="7" fillId="0" borderId="12" xfId="0" applyFont="1" applyBorder="1"/>
    <xf numFmtId="0" fontId="7" fillId="0" borderId="15" xfId="0" applyFont="1" applyBorder="1" applyAlignment="1">
      <alignment horizontal="center" vertical="center" wrapText="1"/>
    </xf>
    <xf numFmtId="9" fontId="7" fillId="0" borderId="15" xfId="2" applyFont="1" applyBorder="1"/>
    <xf numFmtId="0" fontId="7" fillId="0" borderId="12" xfId="0" applyFont="1" applyBorder="1" applyAlignment="1">
      <alignment horizontal="center" vertical="center"/>
    </xf>
    <xf numFmtId="9" fontId="7" fillId="0" borderId="12" xfId="2" applyFont="1" applyBorder="1" applyAlignment="1"/>
    <xf numFmtId="0" fontId="7" fillId="0" borderId="15" xfId="0" applyFont="1" applyBorder="1" applyAlignment="1">
      <alignment horizontal="left" vertical="top"/>
    </xf>
    <xf numFmtId="9" fontId="7" fillId="0" borderId="12" xfId="2" applyFont="1" applyBorder="1"/>
    <xf numFmtId="0" fontId="4" fillId="0" borderId="1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7" fontId="5" fillId="8" borderId="3" xfId="0" applyNumberFormat="1" applyFont="1" applyFill="1" applyBorder="1" applyAlignment="1" applyProtection="1">
      <alignment vertical="top" wrapText="1" readingOrder="1"/>
      <protection locked="0"/>
    </xf>
    <xf numFmtId="43" fontId="7" fillId="0" borderId="0" xfId="1" applyFont="1"/>
    <xf numFmtId="43" fontId="5" fillId="8" borderId="3" xfId="1" applyFont="1" applyFill="1" applyBorder="1" applyAlignment="1" applyProtection="1">
      <alignment vertical="top" wrapText="1" readingOrder="1"/>
      <protection locked="0"/>
    </xf>
    <xf numFmtId="43" fontId="5" fillId="0" borderId="3" xfId="1" applyFont="1" applyBorder="1" applyAlignment="1" applyProtection="1">
      <alignment vertical="top" wrapText="1" readingOrder="1"/>
      <protection locked="0"/>
    </xf>
    <xf numFmtId="0" fontId="12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9" fillId="0" borderId="1" xfId="0" applyFont="1" applyBorder="1"/>
    <xf numFmtId="4" fontId="9" fillId="0" borderId="1" xfId="0" applyNumberFormat="1" applyFont="1" applyBorder="1"/>
    <xf numFmtId="9" fontId="9" fillId="0" borderId="1" xfId="0" applyNumberFormat="1" applyFont="1" applyBorder="1"/>
    <xf numFmtId="4" fontId="12" fillId="0" borderId="1" xfId="0" applyNumberFormat="1" applyFont="1" applyBorder="1"/>
    <xf numFmtId="0" fontId="12" fillId="0" borderId="1" xfId="0" applyFont="1" applyBorder="1"/>
    <xf numFmtId="164" fontId="4" fillId="4" borderId="1" xfId="5" applyNumberFormat="1" applyFont="1" applyFill="1" applyBorder="1" applyAlignment="1" applyProtection="1"/>
    <xf numFmtId="43" fontId="5" fillId="8" borderId="16" xfId="1" applyFont="1" applyFill="1" applyBorder="1" applyAlignment="1" applyProtection="1">
      <alignment vertical="top" wrapText="1" readingOrder="1"/>
      <protection locked="0"/>
    </xf>
    <xf numFmtId="43" fontId="5" fillId="0" borderId="16" xfId="1" applyFont="1" applyBorder="1" applyAlignment="1" applyProtection="1">
      <alignment vertical="top" wrapText="1" readingOrder="1"/>
      <protection locked="0"/>
    </xf>
    <xf numFmtId="43" fontId="4" fillId="9" borderId="6" xfId="1" applyFont="1" applyFill="1" applyBorder="1" applyAlignment="1"/>
    <xf numFmtId="43" fontId="4" fillId="5" borderId="6" xfId="1" applyFont="1" applyFill="1" applyBorder="1" applyAlignment="1" applyProtection="1"/>
    <xf numFmtId="43" fontId="3" fillId="9" borderId="6" xfId="1" applyFont="1" applyFill="1" applyBorder="1" applyAlignment="1"/>
    <xf numFmtId="43" fontId="7" fillId="0" borderId="1" xfId="1" applyFont="1" applyBorder="1"/>
    <xf numFmtId="43" fontId="7" fillId="9" borderId="1" xfId="1" applyFont="1" applyFill="1" applyBorder="1"/>
    <xf numFmtId="43" fontId="8" fillId="9" borderId="1" xfId="1" applyFont="1" applyFill="1" applyBorder="1"/>
    <xf numFmtId="43" fontId="8" fillId="11" borderId="1" xfId="1" applyFont="1" applyFill="1" applyBorder="1"/>
    <xf numFmtId="43" fontId="8" fillId="0" borderId="1" xfId="1" applyFont="1" applyBorder="1"/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9" fontId="7" fillId="0" borderId="2" xfId="2" applyFont="1" applyBorder="1"/>
    <xf numFmtId="0" fontId="7" fillId="0" borderId="1" xfId="0" applyFont="1" applyBorder="1"/>
    <xf numFmtId="9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13" fillId="0" borderId="17" xfId="0" applyFont="1" applyBorder="1" applyAlignment="1">
      <alignment wrapText="1" readingOrder="1"/>
    </xf>
    <xf numFmtId="4" fontId="13" fillId="0" borderId="17" xfId="0" applyNumberFormat="1" applyFont="1" applyBorder="1" applyAlignment="1">
      <alignment wrapText="1" readingOrder="1"/>
    </xf>
    <xf numFmtId="0" fontId="13" fillId="0" borderId="18" xfId="0" applyFont="1" applyBorder="1" applyAlignment="1">
      <alignment wrapText="1" readingOrder="1"/>
    </xf>
    <xf numFmtId="4" fontId="13" fillId="0" borderId="18" xfId="0" applyNumberFormat="1" applyFont="1" applyBorder="1" applyAlignment="1">
      <alignment wrapText="1" readingOrder="1"/>
    </xf>
    <xf numFmtId="0" fontId="13" fillId="12" borderId="17" xfId="0" applyFont="1" applyFill="1" applyBorder="1" applyAlignment="1">
      <alignment wrapText="1" readingOrder="1"/>
    </xf>
    <xf numFmtId="0" fontId="13" fillId="12" borderId="18" xfId="0" applyFont="1" applyFill="1" applyBorder="1" applyAlignment="1">
      <alignment wrapText="1" readingOrder="1"/>
    </xf>
    <xf numFmtId="4" fontId="13" fillId="0" borderId="19" xfId="0" applyNumberFormat="1" applyFont="1" applyBorder="1" applyAlignment="1">
      <alignment wrapText="1" readingOrder="1"/>
    </xf>
    <xf numFmtId="0" fontId="13" fillId="0" borderId="19" xfId="0" applyFont="1" applyBorder="1" applyAlignment="1">
      <alignment wrapText="1" readingOrder="1"/>
    </xf>
    <xf numFmtId="43" fontId="13" fillId="12" borderId="20" xfId="0" applyNumberFormat="1" applyFont="1" applyFill="1" applyBorder="1" applyAlignment="1">
      <alignment wrapText="1" readingOrder="1"/>
    </xf>
    <xf numFmtId="43" fontId="13" fillId="0" borderId="20" xfId="0" applyNumberFormat="1" applyFont="1" applyBorder="1" applyAlignment="1">
      <alignment wrapText="1" readingOrder="1"/>
    </xf>
    <xf numFmtId="43" fontId="7" fillId="0" borderId="0" xfId="0" applyNumberFormat="1" applyFont="1"/>
    <xf numFmtId="167" fontId="14" fillId="0" borderId="3" xfId="161" applyNumberFormat="1" applyFont="1" applyBorder="1" applyAlignment="1" applyProtection="1">
      <alignment vertical="top" wrapText="1" readingOrder="1"/>
      <protection locked="0"/>
    </xf>
    <xf numFmtId="172" fontId="14" fillId="0" borderId="3" xfId="161" applyNumberFormat="1" applyFont="1" applyBorder="1" applyAlignment="1" applyProtection="1">
      <alignment vertical="top" wrapText="1" readingOrder="1"/>
      <protection locked="0"/>
    </xf>
    <xf numFmtId="167" fontId="15" fillId="0" borderId="3" xfId="0" applyNumberFormat="1" applyFont="1" applyBorder="1" applyAlignment="1" applyProtection="1">
      <alignment vertical="top" wrapText="1" readingOrder="1"/>
      <protection locked="0"/>
    </xf>
    <xf numFmtId="167" fontId="14" fillId="0" borderId="3" xfId="0" applyNumberFormat="1" applyFont="1" applyBorder="1" applyAlignment="1" applyProtection="1">
      <alignment vertical="top" wrapText="1" readingOrder="1"/>
      <protection locked="0"/>
    </xf>
    <xf numFmtId="16" fontId="9" fillId="0" borderId="0" xfId="0" applyNumberFormat="1" applyFont="1"/>
    <xf numFmtId="167" fontId="16" fillId="0" borderId="3" xfId="0" applyNumberFormat="1" applyFont="1" applyBorder="1" applyAlignment="1" applyProtection="1">
      <alignment vertical="top" wrapText="1" readingOrder="1"/>
      <protection locked="0"/>
    </xf>
    <xf numFmtId="172" fontId="16" fillId="0" borderId="3" xfId="0" applyNumberFormat="1" applyFont="1" applyBorder="1" applyAlignment="1" applyProtection="1">
      <alignment vertical="top" wrapText="1" readingOrder="1"/>
      <protection locked="0"/>
    </xf>
    <xf numFmtId="16" fontId="8" fillId="0" borderId="0" xfId="0" applyNumberFormat="1" applyFont="1"/>
    <xf numFmtId="16" fontId="8" fillId="0" borderId="0" xfId="1" applyNumberFormat="1" applyFont="1"/>
    <xf numFmtId="16" fontId="8" fillId="0" borderId="1" xfId="1" applyNumberFormat="1" applyFont="1" applyBorder="1"/>
    <xf numFmtId="16" fontId="8" fillId="0" borderId="1" xfId="0" applyNumberFormat="1" applyFont="1" applyBorder="1"/>
    <xf numFmtId="4" fontId="17" fillId="0" borderId="23" xfId="0" applyNumberFormat="1" applyFont="1" applyBorder="1" applyAlignment="1">
      <alignment wrapText="1" readingOrder="1"/>
    </xf>
    <xf numFmtId="4" fontId="17" fillId="0" borderId="24" xfId="0" applyNumberFormat="1" applyFont="1" applyBorder="1" applyAlignment="1">
      <alignment wrapText="1" readingOrder="1"/>
    </xf>
    <xf numFmtId="164" fontId="4" fillId="4" borderId="6" xfId="5" applyNumberFormat="1" applyFont="1" applyFill="1" applyBorder="1" applyAlignment="1" applyProtection="1"/>
    <xf numFmtId="167" fontId="16" fillId="0" borderId="16" xfId="0" applyNumberFormat="1" applyFont="1" applyBorder="1" applyAlignment="1" applyProtection="1">
      <alignment vertical="top" wrapText="1" readingOrder="1"/>
      <protection locked="0"/>
    </xf>
    <xf numFmtId="0" fontId="17" fillId="0" borderId="24" xfId="0" applyFont="1" applyBorder="1" applyAlignment="1">
      <alignment wrapText="1" readingOrder="1"/>
    </xf>
    <xf numFmtId="164" fontId="4" fillId="5" borderId="6" xfId="5" applyNumberFormat="1" applyFont="1" applyFill="1" applyBorder="1" applyAlignment="1" applyProtection="1"/>
    <xf numFmtId="166" fontId="4" fillId="5" borderId="6" xfId="1" applyNumberFormat="1" applyFont="1" applyFill="1" applyBorder="1"/>
    <xf numFmtId="167" fontId="16" fillId="0" borderId="1" xfId="0" applyNumberFormat="1" applyFont="1" applyBorder="1" applyAlignment="1" applyProtection="1">
      <alignment vertical="top" wrapText="1" readingOrder="1"/>
      <protection locked="0"/>
    </xf>
    <xf numFmtId="167" fontId="19" fillId="0" borderId="3" xfId="0" applyNumberFormat="1" applyFont="1" applyBorder="1" applyAlignment="1" applyProtection="1">
      <alignment vertical="top" wrapText="1" readingOrder="1"/>
      <protection locked="0"/>
    </xf>
    <xf numFmtId="167" fontId="19" fillId="0" borderId="3" xfId="161" applyNumberFormat="1" applyFont="1" applyBorder="1" applyAlignment="1" applyProtection="1">
      <alignment vertical="top" wrapText="1" readingOrder="1"/>
      <protection locked="0"/>
    </xf>
    <xf numFmtId="4" fontId="20" fillId="0" borderId="24" xfId="0" applyNumberFormat="1" applyFont="1" applyBorder="1" applyAlignment="1">
      <alignment wrapText="1" readingOrder="1"/>
    </xf>
    <xf numFmtId="17" fontId="4" fillId="0" borderId="0" xfId="0" applyNumberFormat="1" applyFont="1"/>
    <xf numFmtId="172" fontId="14" fillId="0" borderId="3" xfId="0" applyNumberFormat="1" applyFont="1" applyBorder="1" applyAlignment="1" applyProtection="1">
      <alignment vertical="top" wrapText="1" readingOrder="1"/>
      <protection locked="0"/>
    </xf>
    <xf numFmtId="43" fontId="14" fillId="0" borderId="3" xfId="1" applyFont="1" applyBorder="1" applyAlignment="1" applyProtection="1">
      <alignment vertical="top" wrapText="1" readingOrder="1"/>
      <protection locked="0"/>
    </xf>
    <xf numFmtId="0" fontId="8" fillId="0" borderId="1" xfId="0" applyFont="1" applyBorder="1"/>
    <xf numFmtId="3" fontId="7" fillId="0" borderId="1" xfId="0" applyNumberFormat="1" applyFont="1" applyBorder="1"/>
    <xf numFmtId="3" fontId="0" fillId="0" borderId="0" xfId="0" applyNumberFormat="1"/>
    <xf numFmtId="3" fontId="18" fillId="0" borderId="0" xfId="0" applyNumberFormat="1" applyFont="1"/>
    <xf numFmtId="3" fontId="0" fillId="0" borderId="1" xfId="0" applyNumberFormat="1" applyBorder="1"/>
    <xf numFmtId="167" fontId="14" fillId="0" borderId="25" xfId="161" applyNumberFormat="1" applyFont="1" applyBorder="1" applyAlignment="1" applyProtection="1">
      <alignment vertical="top" wrapText="1" readingOrder="1"/>
      <protection locked="0"/>
    </xf>
    <xf numFmtId="43" fontId="13" fillId="0" borderId="1" xfId="0" applyNumberFormat="1" applyFont="1" applyBorder="1" applyAlignment="1">
      <alignment wrapText="1" readingOrder="1"/>
    </xf>
    <xf numFmtId="3" fontId="7" fillId="0" borderId="0" xfId="0" applyNumberFormat="1" applyFont="1"/>
    <xf numFmtId="167" fontId="14" fillId="0" borderId="25" xfId="0" applyNumberFormat="1" applyFont="1" applyBorder="1" applyAlignment="1" applyProtection="1">
      <alignment vertical="top" wrapText="1" readingOrder="1"/>
      <protection locked="0"/>
    </xf>
    <xf numFmtId="164" fontId="4" fillId="4" borderId="26" xfId="5" applyNumberFormat="1" applyFont="1" applyFill="1" applyBorder="1" applyAlignment="1" applyProtection="1"/>
    <xf numFmtId="166" fontId="4" fillId="5" borderId="26" xfId="1" applyNumberFormat="1" applyFont="1" applyFill="1" applyBorder="1"/>
    <xf numFmtId="172" fontId="14" fillId="0" borderId="25" xfId="161" applyNumberFormat="1" applyFont="1" applyBorder="1" applyAlignment="1" applyProtection="1">
      <alignment vertical="top" wrapText="1" readingOrder="1"/>
      <protection locked="0"/>
    </xf>
    <xf numFmtId="167" fontId="14" fillId="0" borderId="1" xfId="0" applyNumberFormat="1" applyFont="1" applyBorder="1" applyAlignment="1" applyProtection="1">
      <alignment vertical="top" wrapText="1" readingOrder="1"/>
      <protection locked="0"/>
    </xf>
    <xf numFmtId="43" fontId="9" fillId="0" borderId="1" xfId="0" applyNumberFormat="1" applyFont="1" applyBorder="1"/>
    <xf numFmtId="43" fontId="7" fillId="0" borderId="1" xfId="0" applyNumberFormat="1" applyFont="1" applyBorder="1"/>
    <xf numFmtId="172" fontId="14" fillId="0" borderId="1" xfId="0" applyNumberFormat="1" applyFont="1" applyBorder="1" applyAlignment="1" applyProtection="1">
      <alignment vertical="top" wrapText="1" readingOrder="1"/>
      <protection locked="0"/>
    </xf>
    <xf numFmtId="164" fontId="7" fillId="0" borderId="0" xfId="0" applyNumberFormat="1" applyFont="1"/>
    <xf numFmtId="167" fontId="15" fillId="8" borderId="3" xfId="0" applyNumberFormat="1" applyFont="1" applyFill="1" applyBorder="1" applyAlignment="1" applyProtection="1">
      <alignment vertical="top" wrapText="1" readingOrder="1"/>
      <protection locked="0"/>
    </xf>
    <xf numFmtId="17" fontId="11" fillId="3" borderId="3" xfId="0" applyNumberFormat="1" applyFont="1" applyFill="1" applyBorder="1" applyAlignment="1" applyProtection="1">
      <alignment vertical="top" wrapText="1" readingOrder="1"/>
      <protection locked="0"/>
    </xf>
    <xf numFmtId="167" fontId="21" fillId="8" borderId="3" xfId="0" applyNumberFormat="1" applyFont="1" applyFill="1" applyBorder="1" applyAlignment="1" applyProtection="1">
      <alignment vertical="top" wrapText="1" readingOrder="1"/>
      <protection locked="0"/>
    </xf>
    <xf numFmtId="0" fontId="22" fillId="0" borderId="0" xfId="0" applyFont="1"/>
    <xf numFmtId="0" fontId="23" fillId="10" borderId="1" xfId="0" applyFont="1" applyFill="1" applyBorder="1"/>
    <xf numFmtId="16" fontId="23" fillId="0" borderId="0" xfId="0" applyNumberFormat="1" applyFont="1"/>
    <xf numFmtId="0" fontId="23" fillId="0" borderId="0" xfId="0" applyFont="1"/>
    <xf numFmtId="170" fontId="24" fillId="5" borderId="1" xfId="5" applyNumberFormat="1" applyFont="1" applyFill="1" applyBorder="1" applyAlignment="1" applyProtection="1"/>
    <xf numFmtId="171" fontId="25" fillId="5" borderId="1" xfId="0" applyNumberFormat="1" applyFont="1" applyFill="1" applyBorder="1" applyAlignment="1">
      <alignment horizontal="right" vertical="center"/>
    </xf>
    <xf numFmtId="170" fontId="26" fillId="5" borderId="1" xfId="5" applyNumberFormat="1" applyFont="1" applyFill="1" applyBorder="1" applyAlignment="1" applyProtection="1"/>
    <xf numFmtId="171" fontId="27" fillId="0" borderId="1" xfId="0" applyNumberFormat="1" applyFont="1" applyBorder="1" applyAlignment="1" applyProtection="1">
      <alignment horizontal="right" vertical="center"/>
      <protection locked="0"/>
    </xf>
    <xf numFmtId="167" fontId="27" fillId="0" borderId="3" xfId="161" applyNumberFormat="1" applyFont="1" applyBorder="1" applyAlignment="1" applyProtection="1">
      <alignment vertical="top" wrapText="1" readingOrder="1"/>
      <protection locked="0"/>
    </xf>
    <xf numFmtId="167" fontId="27" fillId="0" borderId="3" xfId="0" applyNumberFormat="1" applyFont="1" applyBorder="1" applyAlignment="1" applyProtection="1">
      <alignment vertical="top" wrapText="1" readingOrder="1"/>
      <protection locked="0"/>
    </xf>
    <xf numFmtId="4" fontId="28" fillId="0" borderId="21" xfId="0" applyNumberFormat="1" applyFont="1" applyBorder="1" applyAlignment="1">
      <alignment wrapText="1" readingOrder="1"/>
    </xf>
    <xf numFmtId="170" fontId="29" fillId="0" borderId="1" xfId="5" applyNumberFormat="1" applyFont="1" applyBorder="1" applyAlignment="1" applyProtection="1">
      <alignment horizontal="right" vertical="center"/>
      <protection locked="0"/>
    </xf>
    <xf numFmtId="4" fontId="28" fillId="0" borderId="22" xfId="0" applyNumberFormat="1" applyFont="1" applyBorder="1" applyAlignment="1">
      <alignment wrapText="1" readingOrder="1"/>
    </xf>
    <xf numFmtId="0" fontId="28" fillId="0" borderId="21" xfId="0" applyFont="1" applyBorder="1" applyAlignment="1">
      <alignment wrapText="1" readingOrder="1"/>
    </xf>
    <xf numFmtId="0" fontId="28" fillId="0" borderId="22" xfId="0" applyFont="1" applyBorder="1" applyAlignment="1">
      <alignment wrapText="1" readingOrder="1"/>
    </xf>
    <xf numFmtId="167" fontId="27" fillId="8" borderId="3" xfId="161" applyNumberFormat="1" applyFont="1" applyFill="1" applyBorder="1" applyAlignment="1" applyProtection="1">
      <alignment vertical="top" wrapText="1" readingOrder="1"/>
      <protection locked="0"/>
    </xf>
    <xf numFmtId="167" fontId="27" fillId="8" borderId="3" xfId="0" applyNumberFormat="1" applyFont="1" applyFill="1" applyBorder="1" applyAlignment="1" applyProtection="1">
      <alignment vertical="top" wrapText="1" readingOrder="1"/>
      <protection locked="0"/>
    </xf>
    <xf numFmtId="4" fontId="28" fillId="13" borderId="22" xfId="0" applyNumberFormat="1" applyFont="1" applyFill="1" applyBorder="1" applyAlignment="1">
      <alignment wrapText="1" readingOrder="1"/>
    </xf>
    <xf numFmtId="170" fontId="29" fillId="0" borderId="1" xfId="5" applyNumberFormat="1" applyFont="1" applyFill="1" applyBorder="1" applyAlignment="1" applyProtection="1">
      <protection locked="0"/>
    </xf>
    <xf numFmtId="170" fontId="29" fillId="0" borderId="1" xfId="5" applyNumberFormat="1" applyFont="1" applyFill="1" applyBorder="1" applyAlignment="1" applyProtection="1"/>
    <xf numFmtId="171" fontId="30" fillId="5" borderId="1" xfId="0" applyNumberFormat="1" applyFont="1" applyFill="1" applyBorder="1" applyAlignment="1">
      <alignment horizontal="right" vertical="center"/>
    </xf>
    <xf numFmtId="3" fontId="22" fillId="0" borderId="0" xfId="0" applyNumberFormat="1" applyFont="1"/>
    <xf numFmtId="167" fontId="27" fillId="0" borderId="16" xfId="0" applyNumberFormat="1" applyFont="1" applyBorder="1" applyAlignment="1" applyProtection="1">
      <alignment vertical="top" wrapText="1" readingOrder="1"/>
      <protection locked="0"/>
    </xf>
    <xf numFmtId="170" fontId="26" fillId="5" borderId="6" xfId="5" applyNumberFormat="1" applyFont="1" applyFill="1" applyBorder="1" applyAlignment="1" applyProtection="1"/>
    <xf numFmtId="167" fontId="27" fillId="8" borderId="16" xfId="0" applyNumberFormat="1" applyFont="1" applyFill="1" applyBorder="1" applyAlignment="1" applyProtection="1">
      <alignment vertical="top" wrapText="1" readingOrder="1"/>
      <protection locked="0"/>
    </xf>
    <xf numFmtId="167" fontId="27" fillId="0" borderId="1" xfId="0" applyNumberFormat="1" applyFont="1" applyBorder="1" applyAlignment="1" applyProtection="1">
      <alignment vertical="top" wrapText="1" readingOrder="1"/>
      <protection locked="0"/>
    </xf>
    <xf numFmtId="3" fontId="22" fillId="0" borderId="1" xfId="0" applyNumberFormat="1" applyFont="1" applyBorder="1"/>
    <xf numFmtId="43" fontId="22" fillId="0" borderId="1" xfId="1" applyFont="1" applyBorder="1"/>
    <xf numFmtId="17" fontId="8" fillId="0" borderId="0" xfId="0" applyNumberFormat="1" applyFont="1"/>
    <xf numFmtId="0" fontId="8" fillId="14" borderId="9" xfId="161" applyFont="1" applyFill="1" applyBorder="1"/>
    <xf numFmtId="43" fontId="8" fillId="14" borderId="1" xfId="1" applyFont="1" applyFill="1" applyBorder="1"/>
    <xf numFmtId="0" fontId="7" fillId="14" borderId="0" xfId="0" applyFont="1" applyFill="1"/>
    <xf numFmtId="0" fontId="8" fillId="15" borderId="9" xfId="161" applyFont="1" applyFill="1" applyBorder="1"/>
    <xf numFmtId="43" fontId="8" fillId="15" borderId="1" xfId="1" applyFont="1" applyFill="1" applyBorder="1"/>
    <xf numFmtId="0" fontId="7" fillId="15" borderId="0" xfId="0" applyFont="1" applyFill="1"/>
    <xf numFmtId="17" fontId="8" fillId="0" borderId="1" xfId="0" applyNumberFormat="1" applyFont="1" applyBorder="1"/>
  </cellXfs>
  <cellStyles count="164">
    <cellStyle name="Comma" xfId="1" builtinId="3"/>
    <cellStyle name="Comma 10" xfId="5" xr:uid="{00000000-0005-0000-0000-000001000000}"/>
    <cellStyle name="Comma 10 10 2" xfId="3" xr:uid="{00000000-0005-0000-0000-000002000000}"/>
    <cellStyle name="Comma 18" xfId="4" xr:uid="{00000000-0005-0000-0000-000003000000}"/>
    <cellStyle name="Comma 369" xfId="162" xr:uid="{00000000-0005-0000-0000-000004000000}"/>
    <cellStyle name="Comma 375" xfId="37" xr:uid="{00000000-0005-0000-0000-000005000000}"/>
    <cellStyle name="Comma 376" xfId="57" xr:uid="{00000000-0005-0000-0000-000006000000}"/>
    <cellStyle name="Comma 380" xfId="86" xr:uid="{00000000-0005-0000-0000-000007000000}"/>
    <cellStyle name="Comma 398" xfId="6" xr:uid="{00000000-0005-0000-0000-000008000000}"/>
    <cellStyle name="Comma 399" xfId="13" xr:uid="{00000000-0005-0000-0000-000009000000}"/>
    <cellStyle name="Comma 400" xfId="19" xr:uid="{00000000-0005-0000-0000-00000A000000}"/>
    <cellStyle name="Comma 401" xfId="27" xr:uid="{00000000-0005-0000-0000-00000B000000}"/>
    <cellStyle name="Comma 402" xfId="35" xr:uid="{00000000-0005-0000-0000-00000C000000}"/>
    <cellStyle name="Comma 403" xfId="44" xr:uid="{00000000-0005-0000-0000-00000D000000}"/>
    <cellStyle name="Comma 404" xfId="52" xr:uid="{00000000-0005-0000-0000-00000E000000}"/>
    <cellStyle name="Comma 405" xfId="64" xr:uid="{00000000-0005-0000-0000-00000F000000}"/>
    <cellStyle name="Comma 406" xfId="74" xr:uid="{00000000-0005-0000-0000-000010000000}"/>
    <cellStyle name="Comma 407" xfId="84" xr:uid="{00000000-0005-0000-0000-000011000000}"/>
    <cellStyle name="Comma 408" xfId="93" xr:uid="{00000000-0005-0000-0000-000012000000}"/>
    <cellStyle name="Comma 409" xfId="102" xr:uid="{00000000-0005-0000-0000-000013000000}"/>
    <cellStyle name="Comma 410" xfId="111" xr:uid="{00000000-0005-0000-0000-000014000000}"/>
    <cellStyle name="Comma 412" xfId="121" xr:uid="{00000000-0005-0000-0000-000015000000}"/>
    <cellStyle name="Comma 413" xfId="133" xr:uid="{00000000-0005-0000-0000-000016000000}"/>
    <cellStyle name="Comma 414" xfId="151" xr:uid="{00000000-0005-0000-0000-000017000000}"/>
    <cellStyle name="Comma 415" xfId="142" xr:uid="{00000000-0005-0000-0000-000018000000}"/>
    <cellStyle name="Comma 416" xfId="110" xr:uid="{00000000-0005-0000-0000-000019000000}"/>
    <cellStyle name="Comma 417" xfId="119" xr:uid="{00000000-0005-0000-0000-00001A000000}"/>
    <cellStyle name="Comma 418" xfId="125" xr:uid="{00000000-0005-0000-0000-00001B000000}"/>
    <cellStyle name="Comma 419" xfId="132" xr:uid="{00000000-0005-0000-0000-00001C000000}"/>
    <cellStyle name="Comma 420" xfId="141" xr:uid="{00000000-0005-0000-0000-00001D000000}"/>
    <cellStyle name="Comma 421" xfId="150" xr:uid="{00000000-0005-0000-0000-00001E000000}"/>
    <cellStyle name="Comma 422" xfId="159" xr:uid="{00000000-0005-0000-0000-00001F000000}"/>
    <cellStyle name="Comma 426" xfId="28" xr:uid="{00000000-0005-0000-0000-000020000000}"/>
    <cellStyle name="Comma 431" xfId="76" xr:uid="{00000000-0005-0000-0000-000021000000}"/>
    <cellStyle name="Comma 435" xfId="112" xr:uid="{00000000-0005-0000-0000-000022000000}"/>
    <cellStyle name="Comma 436" xfId="120" xr:uid="{00000000-0005-0000-0000-000023000000}"/>
    <cellStyle name="Comma 437" xfId="134" xr:uid="{00000000-0005-0000-0000-000024000000}"/>
    <cellStyle name="Comma 438" xfId="143" xr:uid="{00000000-0005-0000-0000-000025000000}"/>
    <cellStyle name="Comma 439" xfId="152" xr:uid="{00000000-0005-0000-0000-000026000000}"/>
    <cellStyle name="Comma 440" xfId="160" xr:uid="{00000000-0005-0000-0000-000027000000}"/>
    <cellStyle name="Comma 441" xfId="14" xr:uid="{00000000-0005-0000-0000-000028000000}"/>
    <cellStyle name="Comma 442" xfId="20" xr:uid="{00000000-0005-0000-0000-000029000000}"/>
    <cellStyle name="Comma 443" xfId="36" xr:uid="{00000000-0005-0000-0000-00002A000000}"/>
    <cellStyle name="Comma 444" xfId="45" xr:uid="{00000000-0005-0000-0000-00002B000000}"/>
    <cellStyle name="Comma 445" xfId="53" xr:uid="{00000000-0005-0000-0000-00002C000000}"/>
    <cellStyle name="Comma 446" xfId="65" xr:uid="{00000000-0005-0000-0000-00002D000000}"/>
    <cellStyle name="Comma 447" xfId="75" xr:uid="{00000000-0005-0000-0000-00002E000000}"/>
    <cellStyle name="Comma 448" xfId="85" xr:uid="{00000000-0005-0000-0000-00002F000000}"/>
    <cellStyle name="Comma 449" xfId="94" xr:uid="{00000000-0005-0000-0000-000030000000}"/>
    <cellStyle name="Comma 450" xfId="103" xr:uid="{00000000-0005-0000-0000-000031000000}"/>
    <cellStyle name="Normal" xfId="0" builtinId="0"/>
    <cellStyle name="Normal 385" xfId="161" xr:uid="{00000000-0005-0000-0000-000033000000}"/>
    <cellStyle name="Normal 392" xfId="54" xr:uid="{00000000-0005-0000-0000-000034000000}"/>
    <cellStyle name="Normal 393" xfId="66" xr:uid="{00000000-0005-0000-0000-000035000000}"/>
    <cellStyle name="Normal 394" xfId="67" xr:uid="{00000000-0005-0000-0000-000036000000}"/>
    <cellStyle name="Normal 395" xfId="77" xr:uid="{00000000-0005-0000-0000-000037000000}"/>
    <cellStyle name="Normal 398" xfId="95" xr:uid="{00000000-0005-0000-0000-000038000000}"/>
    <cellStyle name="Normal 417" xfId="104" xr:uid="{00000000-0005-0000-0000-000039000000}"/>
    <cellStyle name="Normal 418" xfId="113" xr:uid="{00000000-0005-0000-0000-00003A000000}"/>
    <cellStyle name="Normal 419" xfId="122" xr:uid="{00000000-0005-0000-0000-00003B000000}"/>
    <cellStyle name="Normal 420" xfId="126" xr:uid="{00000000-0005-0000-0000-00003C000000}"/>
    <cellStyle name="Normal 421" xfId="135" xr:uid="{00000000-0005-0000-0000-00003D000000}"/>
    <cellStyle name="Normal 422" xfId="144" xr:uid="{00000000-0005-0000-0000-00003E000000}"/>
    <cellStyle name="Normal 423" xfId="153" xr:uid="{00000000-0005-0000-0000-00003F000000}"/>
    <cellStyle name="Normal 424" xfId="16" xr:uid="{00000000-0005-0000-0000-000040000000}"/>
    <cellStyle name="Normal 425" xfId="7" xr:uid="{00000000-0005-0000-0000-000041000000}"/>
    <cellStyle name="Normal 426" xfId="21" xr:uid="{00000000-0005-0000-0000-000042000000}"/>
    <cellStyle name="Normal 427" xfId="29" xr:uid="{00000000-0005-0000-0000-000043000000}"/>
    <cellStyle name="Normal 428" xfId="38" xr:uid="{00000000-0005-0000-0000-000044000000}"/>
    <cellStyle name="Normal 429" xfId="46" xr:uid="{00000000-0005-0000-0000-000045000000}"/>
    <cellStyle name="Normal 430" xfId="58" xr:uid="{00000000-0005-0000-0000-000046000000}"/>
    <cellStyle name="Normal 431" xfId="68" xr:uid="{00000000-0005-0000-0000-000047000000}"/>
    <cellStyle name="Normal 432" xfId="78" xr:uid="{00000000-0005-0000-0000-000048000000}"/>
    <cellStyle name="Normal 433" xfId="87" xr:uid="{00000000-0005-0000-0000-000049000000}"/>
    <cellStyle name="Normal 434" xfId="96" xr:uid="{00000000-0005-0000-0000-00004A000000}"/>
    <cellStyle name="Normal 435" xfId="105" xr:uid="{00000000-0005-0000-0000-00004B000000}"/>
    <cellStyle name="Normal 436" xfId="114" xr:uid="{00000000-0005-0000-0000-00004C000000}"/>
    <cellStyle name="Normal 437" xfId="123" xr:uid="{00000000-0005-0000-0000-00004D000000}"/>
    <cellStyle name="Normal 438" xfId="127" xr:uid="{00000000-0005-0000-0000-00004E000000}"/>
    <cellStyle name="Normal 439" xfId="136" xr:uid="{00000000-0005-0000-0000-00004F000000}"/>
    <cellStyle name="Normal 440" xfId="145" xr:uid="{00000000-0005-0000-0000-000050000000}"/>
    <cellStyle name="Normal 441" xfId="154" xr:uid="{00000000-0005-0000-0000-000051000000}"/>
    <cellStyle name="Normal 442" xfId="8" xr:uid="{00000000-0005-0000-0000-000052000000}"/>
    <cellStyle name="Normal 443" xfId="22" xr:uid="{00000000-0005-0000-0000-000053000000}"/>
    <cellStyle name="Normal 444" xfId="30" xr:uid="{00000000-0005-0000-0000-000054000000}"/>
    <cellStyle name="Normal 445" xfId="39" xr:uid="{00000000-0005-0000-0000-000055000000}"/>
    <cellStyle name="Normal 446" xfId="47" xr:uid="{00000000-0005-0000-0000-000056000000}"/>
    <cellStyle name="Normal 447" xfId="59" xr:uid="{00000000-0005-0000-0000-000057000000}"/>
    <cellStyle name="Normal 448" xfId="69" xr:uid="{00000000-0005-0000-0000-000058000000}"/>
    <cellStyle name="Normal 449" xfId="79" xr:uid="{00000000-0005-0000-0000-000059000000}"/>
    <cellStyle name="Normal 450" xfId="88" xr:uid="{00000000-0005-0000-0000-00005A000000}"/>
    <cellStyle name="Normal 451" xfId="97" xr:uid="{00000000-0005-0000-0000-00005B000000}"/>
    <cellStyle name="Normal 452" xfId="106" xr:uid="{00000000-0005-0000-0000-00005C000000}"/>
    <cellStyle name="Normal 453" xfId="115" xr:uid="{00000000-0005-0000-0000-00005D000000}"/>
    <cellStyle name="Normal 454" xfId="124" xr:uid="{00000000-0005-0000-0000-00005E000000}"/>
    <cellStyle name="Normal 455" xfId="128" xr:uid="{00000000-0005-0000-0000-00005F000000}"/>
    <cellStyle name="Normal 456" xfId="137" xr:uid="{00000000-0005-0000-0000-000060000000}"/>
    <cellStyle name="Normal 457" xfId="146" xr:uid="{00000000-0005-0000-0000-000061000000}"/>
    <cellStyle name="Normal 458" xfId="155" xr:uid="{00000000-0005-0000-0000-000062000000}"/>
    <cellStyle name="Normal 459" xfId="107" xr:uid="{00000000-0005-0000-0000-000063000000}"/>
    <cellStyle name="Normal 460" xfId="116" xr:uid="{00000000-0005-0000-0000-000064000000}"/>
    <cellStyle name="Normal 461" xfId="129" xr:uid="{00000000-0005-0000-0000-000065000000}"/>
    <cellStyle name="Normal 462" xfId="138" xr:uid="{00000000-0005-0000-0000-000066000000}"/>
    <cellStyle name="Normal 463" xfId="147" xr:uid="{00000000-0005-0000-0000-000067000000}"/>
    <cellStyle name="Normal 464" xfId="156" xr:uid="{00000000-0005-0000-0000-000068000000}"/>
    <cellStyle name="Normal 465" xfId="9" xr:uid="{00000000-0005-0000-0000-000069000000}"/>
    <cellStyle name="Normal 466" xfId="23" xr:uid="{00000000-0005-0000-0000-00006A000000}"/>
    <cellStyle name="Normal 467" xfId="31" xr:uid="{00000000-0005-0000-0000-00006B000000}"/>
    <cellStyle name="Normal 468" xfId="40" xr:uid="{00000000-0005-0000-0000-00006C000000}"/>
    <cellStyle name="Normal 469" xfId="48" xr:uid="{00000000-0005-0000-0000-00006D000000}"/>
    <cellStyle name="Normal 470" xfId="60" xr:uid="{00000000-0005-0000-0000-00006E000000}"/>
    <cellStyle name="Normal 471" xfId="70" xr:uid="{00000000-0005-0000-0000-00006F000000}"/>
    <cellStyle name="Normal 472" xfId="80" xr:uid="{00000000-0005-0000-0000-000070000000}"/>
    <cellStyle name="Normal 473" xfId="89" xr:uid="{00000000-0005-0000-0000-000071000000}"/>
    <cellStyle name="Normal 474" xfId="98" xr:uid="{00000000-0005-0000-0000-000072000000}"/>
    <cellStyle name="Normal 477" xfId="117" xr:uid="{00000000-0005-0000-0000-000073000000}"/>
    <cellStyle name="Normal 478" xfId="130" xr:uid="{00000000-0005-0000-0000-000074000000}"/>
    <cellStyle name="Normal 479" xfId="139" xr:uid="{00000000-0005-0000-0000-000075000000}"/>
    <cellStyle name="Normal 480" xfId="148" xr:uid="{00000000-0005-0000-0000-000076000000}"/>
    <cellStyle name="Normal 481" xfId="157" xr:uid="{00000000-0005-0000-0000-000077000000}"/>
    <cellStyle name="Normal 485" xfId="10" xr:uid="{00000000-0005-0000-0000-000078000000}"/>
    <cellStyle name="Normal 486" xfId="24" xr:uid="{00000000-0005-0000-0000-000079000000}"/>
    <cellStyle name="Normal 487" xfId="32" xr:uid="{00000000-0005-0000-0000-00007A000000}"/>
    <cellStyle name="Normal 488" xfId="41" xr:uid="{00000000-0005-0000-0000-00007B000000}"/>
    <cellStyle name="Normal 489" xfId="49" xr:uid="{00000000-0005-0000-0000-00007C000000}"/>
    <cellStyle name="Normal 490" xfId="61" xr:uid="{00000000-0005-0000-0000-00007D000000}"/>
    <cellStyle name="Normal 491" xfId="71" xr:uid="{00000000-0005-0000-0000-00007E000000}"/>
    <cellStyle name="Normal 492" xfId="81" xr:uid="{00000000-0005-0000-0000-00007F000000}"/>
    <cellStyle name="Normal 493" xfId="90" xr:uid="{00000000-0005-0000-0000-000080000000}"/>
    <cellStyle name="Normal 494" xfId="99" xr:uid="{00000000-0005-0000-0000-000081000000}"/>
    <cellStyle name="Normal 495" xfId="108" xr:uid="{00000000-0005-0000-0000-000082000000}"/>
    <cellStyle name="Normal 496" xfId="11" xr:uid="{00000000-0005-0000-0000-000083000000}"/>
    <cellStyle name="Normal 497" xfId="25" xr:uid="{00000000-0005-0000-0000-000084000000}"/>
    <cellStyle name="Normal 498" xfId="33" xr:uid="{00000000-0005-0000-0000-000085000000}"/>
    <cellStyle name="Normal 499" xfId="42" xr:uid="{00000000-0005-0000-0000-000086000000}"/>
    <cellStyle name="Normal 500" xfId="50" xr:uid="{00000000-0005-0000-0000-000087000000}"/>
    <cellStyle name="Normal 501" xfId="62" xr:uid="{00000000-0005-0000-0000-000088000000}"/>
    <cellStyle name="Normal 502" xfId="72" xr:uid="{00000000-0005-0000-0000-000089000000}"/>
    <cellStyle name="Normal 503" xfId="82" xr:uid="{00000000-0005-0000-0000-00008A000000}"/>
    <cellStyle name="Normal 504" xfId="91" xr:uid="{00000000-0005-0000-0000-00008B000000}"/>
    <cellStyle name="Normal 505" xfId="100" xr:uid="{00000000-0005-0000-0000-00008C000000}"/>
    <cellStyle name="Normal 506" xfId="109" xr:uid="{00000000-0005-0000-0000-00008D000000}"/>
    <cellStyle name="Normal 507" xfId="118" xr:uid="{00000000-0005-0000-0000-00008E000000}"/>
    <cellStyle name="Normal 508" xfId="131" xr:uid="{00000000-0005-0000-0000-00008F000000}"/>
    <cellStyle name="Normal 509" xfId="140" xr:uid="{00000000-0005-0000-0000-000090000000}"/>
    <cellStyle name="Normal 510" xfId="149" xr:uid="{00000000-0005-0000-0000-000091000000}"/>
    <cellStyle name="Normal 511" xfId="158" xr:uid="{00000000-0005-0000-0000-000092000000}"/>
    <cellStyle name="Normal 513" xfId="12" xr:uid="{00000000-0005-0000-0000-000093000000}"/>
    <cellStyle name="Normal 514" xfId="26" xr:uid="{00000000-0005-0000-0000-000094000000}"/>
    <cellStyle name="Normal 515" xfId="34" xr:uid="{00000000-0005-0000-0000-000095000000}"/>
    <cellStyle name="Normal 516" xfId="43" xr:uid="{00000000-0005-0000-0000-000096000000}"/>
    <cellStyle name="Normal 517" xfId="51" xr:uid="{00000000-0005-0000-0000-000097000000}"/>
    <cellStyle name="Normal 518" xfId="63" xr:uid="{00000000-0005-0000-0000-000098000000}"/>
    <cellStyle name="Normal 519" xfId="73" xr:uid="{00000000-0005-0000-0000-000099000000}"/>
    <cellStyle name="Normal 520" xfId="83" xr:uid="{00000000-0005-0000-0000-00009A000000}"/>
    <cellStyle name="Normal 521" xfId="92" xr:uid="{00000000-0005-0000-0000-00009B000000}"/>
    <cellStyle name="Normal 522" xfId="101" xr:uid="{00000000-0005-0000-0000-00009C000000}"/>
    <cellStyle name="Normal 527" xfId="17" xr:uid="{00000000-0005-0000-0000-00009D000000}"/>
    <cellStyle name="Normal 532" xfId="55" xr:uid="{00000000-0005-0000-0000-00009E000000}"/>
    <cellStyle name="Normal 569" xfId="18" xr:uid="{00000000-0005-0000-0000-00009F000000}"/>
    <cellStyle name="Normal 573" xfId="56" xr:uid="{00000000-0005-0000-0000-0000A0000000}"/>
    <cellStyle name="Normal 579" xfId="15" xr:uid="{00000000-0005-0000-0000-0000A1000000}"/>
    <cellStyle name="Per cent" xfId="2" builtinId="5"/>
    <cellStyle name="Percent 2 2" xfId="163" xr:uid="{00000000-0005-0000-0000-0000A3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"/>
  <sheetViews>
    <sheetView tabSelected="1" workbookViewId="0">
      <pane xSplit="2" topLeftCell="O29" activePane="topRight" state="frozen"/>
      <selection pane="topRight" activeCell="AD29" sqref="AD29"/>
      <selection activeCell="A31" sqref="A31"/>
    </sheetView>
  </sheetViews>
  <sheetFormatPr defaultColWidth="9.140625" defaultRowHeight="13.15"/>
  <cols>
    <col min="1" max="1" width="5.42578125" style="17" bestFit="1" customWidth="1"/>
    <col min="2" max="2" width="47.28515625" style="17" bestFit="1" customWidth="1"/>
    <col min="3" max="7" width="15.42578125" style="17" hidden="1" customWidth="1"/>
    <col min="8" max="10" width="18.7109375" style="17" hidden="1" customWidth="1"/>
    <col min="11" max="11" width="20.5703125" style="17" hidden="1" customWidth="1"/>
    <col min="12" max="12" width="18.7109375" style="17" hidden="1" customWidth="1"/>
    <col min="13" max="13" width="14.85546875" style="17" hidden="1" customWidth="1"/>
    <col min="14" max="14" width="18.7109375" style="17" hidden="1" customWidth="1"/>
    <col min="15" max="15" width="16.42578125" style="17" bestFit="1" customWidth="1"/>
    <col min="16" max="16" width="15.28515625" style="17" hidden="1" customWidth="1"/>
    <col min="17" max="17" width="15.28515625" style="71" hidden="1" customWidth="1"/>
    <col min="18" max="18" width="15.28515625" style="71" bestFit="1" customWidth="1"/>
    <col min="19" max="20" width="15.28515625" style="71" hidden="1" customWidth="1"/>
    <col min="21" max="21" width="15.28515625" style="71" bestFit="1" customWidth="1"/>
    <col min="22" max="22" width="15.28515625" style="71" hidden="1" customWidth="1"/>
    <col min="23" max="23" width="15.28515625" style="17" hidden="1" customWidth="1"/>
    <col min="24" max="24" width="15.28515625" style="17" bestFit="1" customWidth="1"/>
    <col min="25" max="26" width="15.28515625" style="17" hidden="1" customWidth="1"/>
    <col min="27" max="27" width="15.28515625" style="17" bestFit="1" customWidth="1"/>
    <col min="28" max="28" width="15.85546875" style="17" customWidth="1"/>
    <col min="29" max="29" width="9.140625" style="17"/>
    <col min="30" max="30" width="14.5703125" style="17" customWidth="1"/>
    <col min="31" max="16384" width="9.140625" style="17"/>
  </cols>
  <sheetData>
    <row r="1" spans="1:30">
      <c r="A1" s="1"/>
      <c r="B1" s="2" t="s">
        <v>0</v>
      </c>
      <c r="C1" s="3"/>
      <c r="D1" s="3"/>
      <c r="E1" s="3"/>
      <c r="F1" s="3"/>
      <c r="G1" s="3"/>
      <c r="Q1" s="71">
        <f>+V:V</f>
        <v>0</v>
      </c>
    </row>
    <row r="2" spans="1:30">
      <c r="A2" s="1"/>
      <c r="B2" s="4" t="s">
        <v>1</v>
      </c>
      <c r="C2" s="3"/>
      <c r="D2" s="3"/>
      <c r="E2" s="3"/>
      <c r="F2" s="3"/>
      <c r="G2" s="3"/>
    </row>
    <row r="3" spans="1:30">
      <c r="A3" s="5"/>
      <c r="B3" s="4" t="s">
        <v>2</v>
      </c>
      <c r="C3" s="132">
        <v>44197</v>
      </c>
      <c r="D3" s="132">
        <v>44228</v>
      </c>
      <c r="E3" s="132">
        <v>44256</v>
      </c>
      <c r="F3" s="132">
        <v>44287</v>
      </c>
      <c r="G3" s="132">
        <v>44317</v>
      </c>
      <c r="H3" s="132">
        <v>44348</v>
      </c>
      <c r="I3" s="132">
        <v>44378</v>
      </c>
      <c r="J3" s="132">
        <v>44409</v>
      </c>
      <c r="K3" s="132">
        <v>44440</v>
      </c>
      <c r="L3" s="132">
        <v>44470</v>
      </c>
      <c r="M3" s="132">
        <v>44501</v>
      </c>
      <c r="N3" s="132">
        <v>44531</v>
      </c>
      <c r="O3" s="66" t="s">
        <v>3</v>
      </c>
      <c r="P3" s="117">
        <v>44583</v>
      </c>
      <c r="Q3" s="118">
        <v>44614</v>
      </c>
      <c r="R3" s="120">
        <v>44642</v>
      </c>
      <c r="S3" s="119">
        <v>44673</v>
      </c>
      <c r="T3" s="120">
        <v>44703</v>
      </c>
      <c r="U3" s="119">
        <v>44734</v>
      </c>
      <c r="V3" s="120">
        <v>44764</v>
      </c>
      <c r="W3" s="119">
        <v>44795</v>
      </c>
      <c r="X3" s="119">
        <v>44826</v>
      </c>
      <c r="Y3" s="119">
        <v>44856</v>
      </c>
      <c r="Z3" s="119">
        <v>44887</v>
      </c>
      <c r="AA3" s="119">
        <v>44917</v>
      </c>
      <c r="AB3" s="135" t="s">
        <v>4</v>
      </c>
    </row>
    <row r="4" spans="1:30" ht="12.75" customHeight="1">
      <c r="A4" s="6">
        <v>1</v>
      </c>
      <c r="B4" s="7" t="s">
        <v>5</v>
      </c>
      <c r="C4" s="8">
        <f t="shared" ref="C4:AB4" si="0">C5+C6</f>
        <v>241185835.47</v>
      </c>
      <c r="D4" s="8">
        <f t="shared" si="0"/>
        <v>174160797.22</v>
      </c>
      <c r="E4" s="8">
        <f t="shared" si="0"/>
        <v>165167930.72999999</v>
      </c>
      <c r="F4" s="8">
        <f t="shared" si="0"/>
        <v>156981677.56999999</v>
      </c>
      <c r="G4" s="8">
        <f t="shared" si="0"/>
        <v>143809312.59</v>
      </c>
      <c r="H4" s="8">
        <f t="shared" si="0"/>
        <v>131985549.48999999</v>
      </c>
      <c r="I4" s="8">
        <f t="shared" si="0"/>
        <v>121230491.61</v>
      </c>
      <c r="J4" s="8">
        <f t="shared" si="0"/>
        <v>200613368.28999999</v>
      </c>
      <c r="K4" s="8">
        <f t="shared" si="0"/>
        <v>190112821.65000001</v>
      </c>
      <c r="L4" s="8">
        <f t="shared" si="0"/>
        <v>198999646.84999999</v>
      </c>
      <c r="M4" s="8">
        <f t="shared" si="0"/>
        <v>205062678.88</v>
      </c>
      <c r="N4" s="8">
        <f t="shared" si="0"/>
        <v>177710898</v>
      </c>
      <c r="O4" s="8">
        <f t="shared" si="0"/>
        <v>177710898</v>
      </c>
      <c r="P4" s="8">
        <f t="shared" si="0"/>
        <v>187690419.46000001</v>
      </c>
      <c r="Q4" s="8">
        <f t="shared" si="0"/>
        <v>163150231.5</v>
      </c>
      <c r="R4" s="8">
        <f t="shared" si="0"/>
        <v>148089995.22999999</v>
      </c>
      <c r="S4" s="8">
        <f t="shared" si="0"/>
        <v>208738008.47999999</v>
      </c>
      <c r="T4" s="8">
        <f t="shared" si="0"/>
        <v>197621496.85999998</v>
      </c>
      <c r="U4" s="8">
        <f t="shared" si="0"/>
        <v>193760990.25</v>
      </c>
      <c r="V4" s="8">
        <f t="shared" si="0"/>
        <v>57966126.049999997</v>
      </c>
      <c r="W4" s="8">
        <f t="shared" si="0"/>
        <v>56750107.219999999</v>
      </c>
      <c r="X4" s="8">
        <f t="shared" si="0"/>
        <v>77302354.359999999</v>
      </c>
      <c r="Y4" s="8">
        <f t="shared" si="0"/>
        <v>75853358.420000002</v>
      </c>
      <c r="Z4" s="8">
        <f t="shared" si="0"/>
        <v>108028640.00999999</v>
      </c>
      <c r="AA4" s="8">
        <f t="shared" si="0"/>
        <v>105494627.69</v>
      </c>
      <c r="AB4" s="8">
        <f t="shared" si="0"/>
        <v>105994628</v>
      </c>
    </row>
    <row r="5" spans="1:30">
      <c r="A5" s="6">
        <v>1.1000000000000001</v>
      </c>
      <c r="B5" s="7" t="s">
        <v>6</v>
      </c>
      <c r="C5" s="9">
        <v>6244027.4100000001</v>
      </c>
      <c r="D5" s="9">
        <v>5576721.4100000001</v>
      </c>
      <c r="E5" s="9">
        <v>4095435.41</v>
      </c>
      <c r="F5" s="9">
        <v>3363769.41</v>
      </c>
      <c r="G5" s="9">
        <v>3289419.41</v>
      </c>
      <c r="H5" s="9">
        <v>3676026.41</v>
      </c>
      <c r="I5" s="100">
        <v>2613188.41</v>
      </c>
      <c r="J5" s="102">
        <v>7392361.4100000001</v>
      </c>
      <c r="K5" s="102">
        <v>8112707.4100000001</v>
      </c>
      <c r="L5" s="102">
        <v>3154227.41</v>
      </c>
      <c r="M5" s="102">
        <v>4546023.41</v>
      </c>
      <c r="N5" s="105">
        <v>6578073.4100000001</v>
      </c>
      <c r="O5" s="108">
        <v>19850692</v>
      </c>
      <c r="P5" s="110">
        <v>7697796.4100000001</v>
      </c>
      <c r="Q5" s="110">
        <v>5394118.4100000001</v>
      </c>
      <c r="R5" s="110">
        <v>3393886.41</v>
      </c>
      <c r="S5" s="110">
        <v>3053092.41</v>
      </c>
      <c r="T5" s="110">
        <v>2871618.41</v>
      </c>
      <c r="U5" s="110">
        <v>6433966.4100000001</v>
      </c>
      <c r="V5" s="115">
        <v>3164756.41</v>
      </c>
      <c r="W5" s="121">
        <v>2710930.41</v>
      </c>
      <c r="X5" s="113">
        <v>4970923.41</v>
      </c>
      <c r="Y5" s="113">
        <v>5875359.4100000001</v>
      </c>
      <c r="Z5" s="113">
        <v>8792944.4100000001</v>
      </c>
      <c r="AA5" s="113">
        <v>4280126.41</v>
      </c>
      <c r="AB5" s="136">
        <v>13433244</v>
      </c>
    </row>
    <row r="6" spans="1:30">
      <c r="A6" s="6">
        <v>1.2</v>
      </c>
      <c r="B6" s="7" t="s">
        <v>7</v>
      </c>
      <c r="C6" s="9">
        <v>234941808.06</v>
      </c>
      <c r="D6" s="9">
        <v>168584075.81</v>
      </c>
      <c r="E6" s="9">
        <v>161072495.31999999</v>
      </c>
      <c r="F6" s="9">
        <v>153617908.16</v>
      </c>
      <c r="G6" s="9">
        <v>140519893.18000001</v>
      </c>
      <c r="H6" s="9">
        <v>128309523.08</v>
      </c>
      <c r="I6" s="100">
        <v>118617303.2</v>
      </c>
      <c r="J6" s="102">
        <v>193221006.88</v>
      </c>
      <c r="K6" s="102">
        <v>182000114.24000001</v>
      </c>
      <c r="L6" s="102">
        <v>195845419.44</v>
      </c>
      <c r="M6" s="102">
        <v>200516655.47</v>
      </c>
      <c r="N6" s="105">
        <v>171132824.59</v>
      </c>
      <c r="O6" s="108">
        <v>157860206</v>
      </c>
      <c r="P6" s="110">
        <v>179992623.05000001</v>
      </c>
      <c r="Q6" s="110">
        <v>157756113.09</v>
      </c>
      <c r="R6" s="110">
        <v>144696108.81999999</v>
      </c>
      <c r="S6" s="110">
        <v>205684916.06999999</v>
      </c>
      <c r="T6" s="110">
        <v>194749878.44999999</v>
      </c>
      <c r="U6" s="110">
        <v>187327023.84</v>
      </c>
      <c r="V6" s="115">
        <v>54801369.640000001</v>
      </c>
      <c r="W6" s="122">
        <v>54039176.810000002</v>
      </c>
      <c r="X6" s="113">
        <v>72331430.950000003</v>
      </c>
      <c r="Y6" s="113">
        <v>69977999.010000005</v>
      </c>
      <c r="Z6" s="113">
        <v>99235695.599999994</v>
      </c>
      <c r="AA6" s="113">
        <v>101214501.28</v>
      </c>
      <c r="AB6" s="88">
        <f>105994628-13433244</f>
        <v>92561384</v>
      </c>
    </row>
    <row r="7" spans="1:30" ht="14.45">
      <c r="A7" s="6">
        <v>2</v>
      </c>
      <c r="B7" s="10" t="s">
        <v>8</v>
      </c>
      <c r="C7" s="9">
        <v>180586682.34</v>
      </c>
      <c r="D7" s="9">
        <v>175865401.44999999</v>
      </c>
      <c r="E7" s="9">
        <v>182344281.21000001</v>
      </c>
      <c r="F7" s="9">
        <v>175303772.31999999</v>
      </c>
      <c r="G7" s="9">
        <v>179827983.90000001</v>
      </c>
      <c r="H7" s="9">
        <v>182106664.97</v>
      </c>
      <c r="I7" s="100">
        <v>183399924.47</v>
      </c>
      <c r="J7" s="102">
        <v>178731745.81999999</v>
      </c>
      <c r="K7" s="102">
        <v>188571932.37</v>
      </c>
      <c r="L7" s="102">
        <v>188759393.59999999</v>
      </c>
      <c r="M7" s="102">
        <v>294297725.74000001</v>
      </c>
      <c r="N7" s="105">
        <v>178062927.93000001</v>
      </c>
      <c r="O7" s="107">
        <v>178062928</v>
      </c>
      <c r="P7" s="110">
        <v>186832293.75999999</v>
      </c>
      <c r="Q7" s="110">
        <v>177152957.08000001</v>
      </c>
      <c r="R7" s="110">
        <v>177084371.91</v>
      </c>
      <c r="S7" s="130">
        <v>172019328.06</v>
      </c>
      <c r="T7" s="130">
        <v>171401532.16</v>
      </c>
      <c r="U7" s="130">
        <v>177343964.27000001</v>
      </c>
      <c r="V7" s="129">
        <v>171902589.90000001</v>
      </c>
      <c r="W7" s="131">
        <v>177997828.62</v>
      </c>
      <c r="X7" s="129">
        <v>170621341.31999999</v>
      </c>
      <c r="Y7" s="129">
        <v>176340007.41999999</v>
      </c>
      <c r="Z7" s="129">
        <v>171533780.75</v>
      </c>
      <c r="AA7" s="129">
        <v>172012351.97</v>
      </c>
      <c r="AB7" s="138">
        <v>172015235</v>
      </c>
    </row>
    <row r="8" spans="1:30">
      <c r="A8" s="6">
        <v>3</v>
      </c>
      <c r="B8" s="10" t="s">
        <v>9</v>
      </c>
      <c r="C8" s="82">
        <f t="shared" ref="C8:AB8" si="1">SUM(C9:C12)</f>
        <v>21355306</v>
      </c>
      <c r="D8" s="82">
        <f t="shared" si="1"/>
        <v>21455306</v>
      </c>
      <c r="E8" s="82">
        <f t="shared" si="1"/>
        <v>21555306</v>
      </c>
      <c r="F8" s="82">
        <f t="shared" si="1"/>
        <v>21655306</v>
      </c>
      <c r="G8" s="82">
        <f t="shared" si="1"/>
        <v>22055306</v>
      </c>
      <c r="H8" s="82">
        <f t="shared" si="1"/>
        <v>22155306</v>
      </c>
      <c r="I8" s="82">
        <f t="shared" si="1"/>
        <v>22255306</v>
      </c>
      <c r="J8" s="82">
        <f t="shared" si="1"/>
        <v>22355306</v>
      </c>
      <c r="K8" s="82">
        <f t="shared" si="1"/>
        <v>22455306</v>
      </c>
      <c r="L8" s="82">
        <f t="shared" si="1"/>
        <v>22555306</v>
      </c>
      <c r="M8" s="82">
        <f t="shared" si="1"/>
        <v>22655306</v>
      </c>
      <c r="N8" s="82">
        <f t="shared" si="1"/>
        <v>22755306</v>
      </c>
      <c r="O8" s="82">
        <f t="shared" si="1"/>
        <v>22755306</v>
      </c>
      <c r="P8" s="82">
        <f t="shared" si="1"/>
        <v>22855306</v>
      </c>
      <c r="Q8" s="82">
        <f t="shared" si="1"/>
        <v>22955306</v>
      </c>
      <c r="R8" s="82">
        <f t="shared" si="1"/>
        <v>23055306</v>
      </c>
      <c r="S8" s="82">
        <f t="shared" si="1"/>
        <v>23155306</v>
      </c>
      <c r="T8" s="82">
        <f t="shared" si="1"/>
        <v>23255306</v>
      </c>
      <c r="U8" s="82">
        <f t="shared" si="1"/>
        <v>23355306</v>
      </c>
      <c r="V8" s="82">
        <f t="shared" si="1"/>
        <v>23455306</v>
      </c>
      <c r="W8" s="123">
        <f t="shared" si="1"/>
        <v>23555306</v>
      </c>
      <c r="X8" s="82">
        <f t="shared" si="1"/>
        <v>23655306</v>
      </c>
      <c r="Y8" s="82">
        <f t="shared" si="1"/>
        <v>23755306</v>
      </c>
      <c r="Z8" s="82">
        <f t="shared" si="1"/>
        <v>23855306</v>
      </c>
      <c r="AA8" s="82">
        <f t="shared" si="1"/>
        <v>23955306</v>
      </c>
      <c r="AB8" s="82">
        <f t="shared" si="1"/>
        <v>29582479</v>
      </c>
      <c r="AD8" s="151">
        <f>AB7+AB20</f>
        <v>339937582</v>
      </c>
    </row>
    <row r="9" spans="1:30">
      <c r="A9" s="6">
        <v>3.1</v>
      </c>
      <c r="B9" s="7" t="s">
        <v>10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9">
        <v>0</v>
      </c>
      <c r="J9" s="101">
        <v>0</v>
      </c>
      <c r="K9" s="101">
        <v>0</v>
      </c>
      <c r="L9" s="101">
        <v>0</v>
      </c>
      <c r="M9" s="101">
        <v>0</v>
      </c>
      <c r="N9" s="106">
        <v>0</v>
      </c>
      <c r="O9" s="128">
        <v>0</v>
      </c>
      <c r="P9" s="14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5">
        <v>0</v>
      </c>
      <c r="W9" s="124">
        <v>0</v>
      </c>
      <c r="X9" s="128">
        <v>0</v>
      </c>
      <c r="Y9" s="128">
        <v>0</v>
      </c>
      <c r="Z9" s="128">
        <v>0</v>
      </c>
      <c r="AA9" s="128">
        <v>0</v>
      </c>
      <c r="AB9" s="128">
        <v>0</v>
      </c>
      <c r="AD9" s="17">
        <f>AD8/AB51</f>
        <v>0.17384798646642355</v>
      </c>
    </row>
    <row r="10" spans="1:30" ht="14.45">
      <c r="A10" s="6">
        <v>3.2</v>
      </c>
      <c r="B10" s="7" t="s">
        <v>11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9">
        <v>0</v>
      </c>
      <c r="J10" s="101">
        <v>0</v>
      </c>
      <c r="K10" s="101">
        <v>0</v>
      </c>
      <c r="L10" s="101">
        <v>0</v>
      </c>
      <c r="M10" s="101">
        <v>0</v>
      </c>
      <c r="N10" s="106">
        <v>0</v>
      </c>
      <c r="O10" s="141">
        <v>22443306</v>
      </c>
      <c r="P10" s="140">
        <v>0</v>
      </c>
      <c r="Q10" s="110">
        <v>0</v>
      </c>
      <c r="R10" s="110">
        <v>0</v>
      </c>
      <c r="S10" s="110">
        <v>0</v>
      </c>
      <c r="T10" s="110">
        <v>0</v>
      </c>
      <c r="U10" s="110">
        <v>0</v>
      </c>
      <c r="V10" s="115">
        <v>0</v>
      </c>
      <c r="W10" s="124">
        <v>0</v>
      </c>
      <c r="X10" s="128">
        <v>0</v>
      </c>
      <c r="Y10" s="128">
        <v>0</v>
      </c>
      <c r="Z10" s="128">
        <v>0</v>
      </c>
      <c r="AA10" s="128">
        <v>0</v>
      </c>
      <c r="AB10" s="139">
        <v>2342400</v>
      </c>
    </row>
    <row r="11" spans="1:30" ht="14.45">
      <c r="A11" s="6" t="s">
        <v>12</v>
      </c>
      <c r="B11" s="7" t="s">
        <v>13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9">
        <v>0</v>
      </c>
      <c r="J11" s="101">
        <v>0</v>
      </c>
      <c r="K11" s="101">
        <v>0</v>
      </c>
      <c r="L11" s="101">
        <v>0</v>
      </c>
      <c r="M11" s="101">
        <v>0</v>
      </c>
      <c r="N11" s="106">
        <v>0</v>
      </c>
      <c r="O11" s="141">
        <v>312000</v>
      </c>
      <c r="P11" s="140">
        <v>0</v>
      </c>
      <c r="Q11" s="110">
        <v>0</v>
      </c>
      <c r="R11" s="110">
        <v>0</v>
      </c>
      <c r="S11" s="110">
        <v>0</v>
      </c>
      <c r="T11" s="110">
        <v>0</v>
      </c>
      <c r="U11" s="110">
        <v>0</v>
      </c>
      <c r="V11" s="115">
        <v>0</v>
      </c>
      <c r="W11" s="124">
        <v>0</v>
      </c>
      <c r="X11" s="128">
        <v>0</v>
      </c>
      <c r="Y11" s="128">
        <v>0</v>
      </c>
      <c r="Z11" s="128">
        <v>0</v>
      </c>
      <c r="AA11" s="128">
        <v>0</v>
      </c>
      <c r="AB11" s="139">
        <v>27240079</v>
      </c>
    </row>
    <row r="12" spans="1:30">
      <c r="A12" s="6" t="s">
        <v>14</v>
      </c>
      <c r="B12" s="7" t="s">
        <v>15</v>
      </c>
      <c r="C12" s="9">
        <v>21355306</v>
      </c>
      <c r="D12" s="9">
        <v>21455306</v>
      </c>
      <c r="E12" s="9">
        <v>21555306</v>
      </c>
      <c r="F12" s="9">
        <v>21655306</v>
      </c>
      <c r="G12" s="9">
        <v>22055306</v>
      </c>
      <c r="H12" s="9">
        <v>22155306</v>
      </c>
      <c r="I12" s="100">
        <v>22255306</v>
      </c>
      <c r="J12" s="102">
        <v>22355306</v>
      </c>
      <c r="K12" s="102">
        <v>22455306</v>
      </c>
      <c r="L12" s="102">
        <v>22555306</v>
      </c>
      <c r="M12" s="102">
        <v>22655306</v>
      </c>
      <c r="N12" s="105">
        <v>22755306</v>
      </c>
      <c r="O12" s="128">
        <v>0</v>
      </c>
      <c r="P12" s="140">
        <v>22855306</v>
      </c>
      <c r="Q12" s="110">
        <v>22955306</v>
      </c>
      <c r="R12" s="110">
        <v>23055306</v>
      </c>
      <c r="S12" s="110">
        <v>23155306</v>
      </c>
      <c r="T12" s="110">
        <v>23255306</v>
      </c>
      <c r="U12" s="110">
        <v>23355306</v>
      </c>
      <c r="V12" s="115">
        <v>23455306</v>
      </c>
      <c r="W12" s="122">
        <v>23555306</v>
      </c>
      <c r="X12" s="113">
        <v>23655306</v>
      </c>
      <c r="Y12" s="113">
        <v>23755306</v>
      </c>
      <c r="Z12" s="113">
        <v>23855306</v>
      </c>
      <c r="AA12" s="113">
        <v>23955306</v>
      </c>
      <c r="AB12" s="128">
        <v>0</v>
      </c>
    </row>
    <row r="13" spans="1:30">
      <c r="A13" s="6">
        <v>4</v>
      </c>
      <c r="B13" s="10" t="s">
        <v>16</v>
      </c>
      <c r="C13" s="82">
        <f t="shared" ref="C13:AB13" si="2">C14-C15</f>
        <v>990584516.24000001</v>
      </c>
      <c r="D13" s="82">
        <f t="shared" si="2"/>
        <v>1004320605.16</v>
      </c>
      <c r="E13" s="82">
        <f t="shared" si="2"/>
        <v>1010371667.28</v>
      </c>
      <c r="F13" s="82">
        <f t="shared" si="2"/>
        <v>1030176636.95</v>
      </c>
      <c r="G13" s="82">
        <f t="shared" si="2"/>
        <v>1059509073.71</v>
      </c>
      <c r="H13" s="82">
        <f t="shared" si="2"/>
        <v>1082780101.6500001</v>
      </c>
      <c r="I13" s="82">
        <f t="shared" si="2"/>
        <v>1111040260.77</v>
      </c>
      <c r="J13" s="82">
        <f t="shared" si="2"/>
        <v>1137075662.27</v>
      </c>
      <c r="K13" s="82">
        <f t="shared" si="2"/>
        <v>1143163944.05</v>
      </c>
      <c r="L13" s="82">
        <f t="shared" si="2"/>
        <v>1137294769.8399999</v>
      </c>
      <c r="M13" s="82">
        <f t="shared" si="2"/>
        <v>1134223685.55</v>
      </c>
      <c r="N13" s="82">
        <f t="shared" si="2"/>
        <v>1191616145.5699999</v>
      </c>
      <c r="O13" s="82">
        <f t="shared" si="2"/>
        <v>1191616146</v>
      </c>
      <c r="P13" s="82">
        <f t="shared" si="2"/>
        <v>1189123095.3699999</v>
      </c>
      <c r="Q13" s="82">
        <f t="shared" si="2"/>
        <v>1192907130.28</v>
      </c>
      <c r="R13" s="82">
        <f t="shared" si="2"/>
        <v>1200464639.8099999</v>
      </c>
      <c r="S13" s="82">
        <f t="shared" si="2"/>
        <v>1234914929.02</v>
      </c>
      <c r="T13" s="82">
        <f t="shared" si="2"/>
        <v>1346730320.8099999</v>
      </c>
      <c r="U13" s="82">
        <f t="shared" si="2"/>
        <v>1413686948.97</v>
      </c>
      <c r="V13" s="82">
        <f t="shared" si="2"/>
        <v>1447201016.6300001</v>
      </c>
      <c r="W13" s="123">
        <f t="shared" si="2"/>
        <v>1459944898.3900001</v>
      </c>
      <c r="X13" s="82">
        <f t="shared" si="2"/>
        <v>1468928064.3199999</v>
      </c>
      <c r="Y13" s="82">
        <f t="shared" si="2"/>
        <v>1482999759.1900001</v>
      </c>
      <c r="Z13" s="82">
        <f t="shared" si="2"/>
        <v>1484823725.46</v>
      </c>
      <c r="AA13" s="82">
        <f t="shared" si="2"/>
        <v>1479857871.1600001</v>
      </c>
      <c r="AB13" s="82">
        <f t="shared" si="2"/>
        <v>1479857871</v>
      </c>
    </row>
    <row r="14" spans="1:30" ht="14.45">
      <c r="A14" s="11">
        <v>4.0999999999999996</v>
      </c>
      <c r="B14" s="7" t="s">
        <v>17</v>
      </c>
      <c r="C14" s="9">
        <v>1016584516.24</v>
      </c>
      <c r="D14" s="9">
        <v>1030320605.16</v>
      </c>
      <c r="E14" s="9">
        <v>1036371667.28</v>
      </c>
      <c r="F14" s="9">
        <v>1056176636.95</v>
      </c>
      <c r="G14" s="9">
        <v>1085509073.71</v>
      </c>
      <c r="H14" s="9">
        <v>1108780101.6500001</v>
      </c>
      <c r="I14" s="100">
        <v>1137040260.77</v>
      </c>
      <c r="J14" s="102">
        <v>1163075662.27</v>
      </c>
      <c r="K14" s="102">
        <v>1170163944.05</v>
      </c>
      <c r="L14" s="102">
        <v>1171294769.8399999</v>
      </c>
      <c r="M14" s="102">
        <v>1168223685.55</v>
      </c>
      <c r="N14" s="105">
        <v>1221616145.5699999</v>
      </c>
      <c r="O14" s="108">
        <v>1221616146</v>
      </c>
      <c r="P14" s="110">
        <v>1220123095.3699999</v>
      </c>
      <c r="Q14" s="110">
        <v>1222907130.28</v>
      </c>
      <c r="R14" s="110">
        <v>1230464639.8099999</v>
      </c>
      <c r="S14" s="110">
        <v>1266914929.02</v>
      </c>
      <c r="T14" s="110">
        <v>1378730320.8099999</v>
      </c>
      <c r="U14" s="110">
        <v>1446686948.97</v>
      </c>
      <c r="V14" s="115">
        <v>1480201016.6300001</v>
      </c>
      <c r="W14" s="121">
        <v>1492944898.3900001</v>
      </c>
      <c r="X14" s="113">
        <v>1502928064.3199999</v>
      </c>
      <c r="Y14" s="113">
        <v>1516999759.1900001</v>
      </c>
      <c r="Z14" s="113">
        <v>1520823725.46</v>
      </c>
      <c r="AA14" s="113">
        <v>1515857871.1600001</v>
      </c>
      <c r="AB14" s="137">
        <v>1515857871</v>
      </c>
    </row>
    <row r="15" spans="1:30">
      <c r="A15" s="11">
        <v>4.2</v>
      </c>
      <c r="B15" s="7" t="s">
        <v>18</v>
      </c>
      <c r="C15" s="9">
        <v>26000000</v>
      </c>
      <c r="D15" s="9">
        <v>26000000</v>
      </c>
      <c r="E15" s="9">
        <v>26000000</v>
      </c>
      <c r="F15" s="9">
        <v>26000000</v>
      </c>
      <c r="G15" s="9">
        <v>26000000</v>
      </c>
      <c r="H15" s="9">
        <v>26000000</v>
      </c>
      <c r="I15" s="100">
        <v>26000000</v>
      </c>
      <c r="J15" s="102">
        <v>26000000</v>
      </c>
      <c r="K15" s="102">
        <v>27000000</v>
      </c>
      <c r="L15" s="102">
        <v>34000000</v>
      </c>
      <c r="M15" s="102">
        <v>34000000</v>
      </c>
      <c r="N15" s="105">
        <v>30000000</v>
      </c>
      <c r="O15" s="108">
        <v>30000000</v>
      </c>
      <c r="P15" s="110">
        <v>31000000</v>
      </c>
      <c r="Q15" s="110">
        <v>30000000</v>
      </c>
      <c r="R15" s="110">
        <v>30000000</v>
      </c>
      <c r="S15" s="110">
        <v>32000000</v>
      </c>
      <c r="T15" s="110">
        <v>32000000</v>
      </c>
      <c r="U15" s="110">
        <v>33000000</v>
      </c>
      <c r="V15" s="115">
        <v>33000000</v>
      </c>
      <c r="W15" s="122">
        <v>33000000</v>
      </c>
      <c r="X15" s="113">
        <v>34000000</v>
      </c>
      <c r="Y15" s="113">
        <v>34000000</v>
      </c>
      <c r="Z15" s="113">
        <v>36000000</v>
      </c>
      <c r="AA15" s="113">
        <v>36000000</v>
      </c>
      <c r="AB15" s="136">
        <v>36000000</v>
      </c>
    </row>
    <row r="16" spans="1:30">
      <c r="A16" s="6">
        <v>5</v>
      </c>
      <c r="B16" s="10" t="s">
        <v>19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70">
        <v>0</v>
      </c>
      <c r="I16" s="103">
        <v>0</v>
      </c>
      <c r="J16" s="104">
        <v>0</v>
      </c>
      <c r="K16" s="104">
        <v>0</v>
      </c>
      <c r="L16" s="82">
        <f t="shared" ref="L16:R16" si="3">L17+L18+L19</f>
        <v>0</v>
      </c>
      <c r="M16" s="82">
        <f t="shared" si="3"/>
        <v>0</v>
      </c>
      <c r="N16" s="82">
        <f t="shared" si="3"/>
        <v>0</v>
      </c>
      <c r="O16" s="82">
        <f t="shared" si="3"/>
        <v>0</v>
      </c>
      <c r="P16" s="82">
        <f t="shared" si="3"/>
        <v>0</v>
      </c>
      <c r="Q16" s="82">
        <f t="shared" si="3"/>
        <v>0</v>
      </c>
      <c r="R16" s="82">
        <f t="shared" si="3"/>
        <v>0</v>
      </c>
      <c r="S16" s="82">
        <f>S17+S18+S19</f>
        <v>0</v>
      </c>
      <c r="T16" s="82">
        <f t="shared" ref="T16:AB16" si="4">T17+T18+T19</f>
        <v>0</v>
      </c>
      <c r="U16" s="82">
        <f t="shared" si="4"/>
        <v>0</v>
      </c>
      <c r="V16" s="82">
        <f t="shared" si="4"/>
        <v>0</v>
      </c>
      <c r="W16" s="82">
        <f t="shared" si="4"/>
        <v>0</v>
      </c>
      <c r="X16" s="82">
        <f t="shared" si="4"/>
        <v>0</v>
      </c>
      <c r="Y16" s="82">
        <f t="shared" si="4"/>
        <v>0</v>
      </c>
      <c r="Z16" s="82">
        <f t="shared" si="4"/>
        <v>0</v>
      </c>
      <c r="AA16" s="82">
        <f t="shared" si="4"/>
        <v>0</v>
      </c>
      <c r="AB16" s="82">
        <f t="shared" si="4"/>
        <v>0</v>
      </c>
    </row>
    <row r="17" spans="1:30">
      <c r="A17" s="11">
        <v>5.0999999999999996</v>
      </c>
      <c r="B17" s="7" t="s">
        <v>20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9">
        <v>0</v>
      </c>
      <c r="J17" s="101">
        <v>0</v>
      </c>
      <c r="K17" s="101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10">
        <v>0</v>
      </c>
      <c r="U17" s="110">
        <v>0</v>
      </c>
      <c r="V17" s="115">
        <v>0</v>
      </c>
      <c r="W17" s="124">
        <v>0</v>
      </c>
      <c r="X17" s="128">
        <v>0</v>
      </c>
      <c r="Y17" s="128">
        <v>0</v>
      </c>
      <c r="Z17" s="128">
        <v>0</v>
      </c>
      <c r="AA17" s="128">
        <v>0</v>
      </c>
      <c r="AB17" s="128">
        <v>0</v>
      </c>
    </row>
    <row r="18" spans="1:30">
      <c r="A18" s="11">
        <v>5.2</v>
      </c>
      <c r="B18" s="7" t="s">
        <v>21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9">
        <v>0</v>
      </c>
      <c r="J18" s="101">
        <v>0</v>
      </c>
      <c r="K18" s="101">
        <v>0</v>
      </c>
      <c r="L18" s="110">
        <v>0</v>
      </c>
      <c r="M18" s="110">
        <v>0</v>
      </c>
      <c r="N18" s="110">
        <v>0</v>
      </c>
      <c r="O18" s="110">
        <v>0</v>
      </c>
      <c r="P18" s="110">
        <v>0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5">
        <v>0</v>
      </c>
      <c r="W18" s="124">
        <v>0</v>
      </c>
      <c r="X18" s="128">
        <v>0</v>
      </c>
      <c r="Y18" s="128">
        <v>0</v>
      </c>
      <c r="Z18" s="128">
        <v>0</v>
      </c>
      <c r="AA18" s="128">
        <v>0</v>
      </c>
      <c r="AB18" s="128">
        <v>0</v>
      </c>
    </row>
    <row r="19" spans="1:30">
      <c r="A19" s="11">
        <v>5.3</v>
      </c>
      <c r="B19" s="7" t="s">
        <v>22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9">
        <v>0</v>
      </c>
      <c r="J19" s="101">
        <v>0</v>
      </c>
      <c r="K19" s="101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5">
        <v>0</v>
      </c>
      <c r="W19" s="124">
        <v>0</v>
      </c>
      <c r="X19" s="128">
        <v>0</v>
      </c>
      <c r="Y19" s="128">
        <v>0</v>
      </c>
      <c r="Z19" s="128">
        <v>0</v>
      </c>
      <c r="AA19" s="128">
        <v>0</v>
      </c>
      <c r="AB19" s="128">
        <v>0</v>
      </c>
    </row>
    <row r="20" spans="1:30">
      <c r="A20" s="6">
        <v>6</v>
      </c>
      <c r="B20" s="10" t="s">
        <v>23</v>
      </c>
      <c r="C20" s="82">
        <f t="shared" ref="C20:AB20" si="5">SUM(C21:C25)</f>
        <v>51933970.469999999</v>
      </c>
      <c r="D20" s="82">
        <f t="shared" si="5"/>
        <v>83938770.469999999</v>
      </c>
      <c r="E20" s="82">
        <f t="shared" si="5"/>
        <v>84101770.469999999</v>
      </c>
      <c r="F20" s="82">
        <f t="shared" si="5"/>
        <v>85972062.469999999</v>
      </c>
      <c r="G20" s="82">
        <f t="shared" si="5"/>
        <v>86228257.469999999</v>
      </c>
      <c r="H20" s="82">
        <f t="shared" si="5"/>
        <v>88041326.469999999</v>
      </c>
      <c r="I20" s="82">
        <f t="shared" si="5"/>
        <v>88321376.469999999</v>
      </c>
      <c r="J20" s="82">
        <f t="shared" si="5"/>
        <v>88475948.469999999</v>
      </c>
      <c r="K20" s="82">
        <f t="shared" si="5"/>
        <v>88561129.469999999</v>
      </c>
      <c r="L20" s="82">
        <f t="shared" si="5"/>
        <v>88661029.469999999</v>
      </c>
      <c r="M20" s="82">
        <f t="shared" si="5"/>
        <v>88801239.469999999</v>
      </c>
      <c r="N20" s="82">
        <f t="shared" si="5"/>
        <v>94034240.799999997</v>
      </c>
      <c r="O20" s="82">
        <f t="shared" si="5"/>
        <v>94034241</v>
      </c>
      <c r="P20" s="82">
        <f t="shared" si="5"/>
        <v>94404381.799999997</v>
      </c>
      <c r="Q20" s="82">
        <f t="shared" si="5"/>
        <v>101968007.8</v>
      </c>
      <c r="R20" s="82">
        <f t="shared" si="5"/>
        <v>114874230.8</v>
      </c>
      <c r="S20" s="82">
        <f t="shared" si="5"/>
        <v>129936065.8</v>
      </c>
      <c r="T20" s="82">
        <f t="shared" si="5"/>
        <v>137372651.80000001</v>
      </c>
      <c r="U20" s="82">
        <f t="shared" si="5"/>
        <v>143978545.79999998</v>
      </c>
      <c r="V20" s="82">
        <f t="shared" si="5"/>
        <v>170093893.79999998</v>
      </c>
      <c r="W20" s="123">
        <f t="shared" si="5"/>
        <v>170093893.79999998</v>
      </c>
      <c r="X20" s="82">
        <f t="shared" si="5"/>
        <v>170939931.04999998</v>
      </c>
      <c r="Y20" s="82">
        <f t="shared" si="5"/>
        <v>171290181.04999998</v>
      </c>
      <c r="Z20" s="82">
        <f t="shared" si="5"/>
        <v>171328081.04999998</v>
      </c>
      <c r="AA20" s="82">
        <f t="shared" si="5"/>
        <v>167922346.67000002</v>
      </c>
      <c r="AB20" s="82">
        <f t="shared" si="5"/>
        <v>167922347</v>
      </c>
    </row>
    <row r="21" spans="1:30">
      <c r="A21" s="11">
        <v>6.1</v>
      </c>
      <c r="B21" s="7" t="s">
        <v>24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9">
        <v>0</v>
      </c>
      <c r="J21" s="101">
        <v>0</v>
      </c>
      <c r="K21" s="101">
        <v>0</v>
      </c>
      <c r="L21" s="101">
        <v>0</v>
      </c>
      <c r="M21" s="101">
        <v>0</v>
      </c>
      <c r="N21" s="106">
        <v>0</v>
      </c>
      <c r="O21" s="113">
        <v>0</v>
      </c>
      <c r="P21" s="113">
        <v>0</v>
      </c>
      <c r="Q21" s="113">
        <v>0</v>
      </c>
      <c r="R21" s="113">
        <v>0</v>
      </c>
      <c r="S21" s="113">
        <v>0</v>
      </c>
      <c r="T21" s="113">
        <v>0</v>
      </c>
      <c r="U21" s="113">
        <v>0</v>
      </c>
      <c r="V21" s="113">
        <v>0</v>
      </c>
      <c r="W21" s="113">
        <v>0</v>
      </c>
      <c r="X21" s="113">
        <v>0</v>
      </c>
      <c r="Y21" s="113">
        <v>0</v>
      </c>
      <c r="Z21" s="113">
        <v>0</v>
      </c>
      <c r="AA21" s="113">
        <v>0</v>
      </c>
      <c r="AB21" s="113">
        <v>0</v>
      </c>
    </row>
    <row r="22" spans="1:30" ht="14.45">
      <c r="A22" s="11">
        <v>6.2</v>
      </c>
      <c r="B22" s="7" t="s">
        <v>25</v>
      </c>
      <c r="C22" s="9">
        <v>47172682.740000002</v>
      </c>
      <c r="D22" s="9">
        <v>79177482.739999995</v>
      </c>
      <c r="E22" s="9">
        <v>79340482.739999995</v>
      </c>
      <c r="F22" s="9">
        <v>81210774.739999995</v>
      </c>
      <c r="G22" s="9">
        <v>81466969.739999995</v>
      </c>
      <c r="H22" s="9">
        <v>83280038.739999995</v>
      </c>
      <c r="I22" s="100">
        <v>83560088.739999995</v>
      </c>
      <c r="J22" s="102">
        <v>83714660.739999995</v>
      </c>
      <c r="K22" s="102">
        <v>83799841.739999995</v>
      </c>
      <c r="L22" s="102">
        <v>83899741.739999995</v>
      </c>
      <c r="M22" s="102">
        <v>84039951.739999995</v>
      </c>
      <c r="N22" s="105">
        <v>90701339.390000001</v>
      </c>
      <c r="O22" s="108">
        <v>90701340</v>
      </c>
      <c r="P22" s="110">
        <v>91071480.390000001</v>
      </c>
      <c r="Q22" s="110">
        <v>98635106.390000001</v>
      </c>
      <c r="R22" s="110">
        <v>111541329.39</v>
      </c>
      <c r="S22" s="110">
        <v>126603164.39</v>
      </c>
      <c r="T22" s="110">
        <v>134039750.39</v>
      </c>
      <c r="U22" s="110">
        <v>140645644.38999999</v>
      </c>
      <c r="V22" s="115">
        <v>166760992.38999999</v>
      </c>
      <c r="W22" s="122">
        <v>166760992.38999999</v>
      </c>
      <c r="X22" s="113">
        <v>167607029.63999999</v>
      </c>
      <c r="Y22" s="113">
        <v>167957279.63999999</v>
      </c>
      <c r="Z22" s="113">
        <v>167995179.63999999</v>
      </c>
      <c r="AA22" s="113">
        <v>165589315.68000001</v>
      </c>
      <c r="AB22" s="137">
        <v>165589316</v>
      </c>
    </row>
    <row r="23" spans="1:30">
      <c r="A23" s="11">
        <v>6.3</v>
      </c>
      <c r="B23" s="7" t="s">
        <v>26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9">
        <v>0</v>
      </c>
      <c r="J23" s="101">
        <v>0</v>
      </c>
      <c r="K23" s="101">
        <v>0</v>
      </c>
      <c r="L23" s="101">
        <v>0</v>
      </c>
      <c r="M23" s="101">
        <v>0</v>
      </c>
      <c r="N23" s="106">
        <v>0</v>
      </c>
      <c r="O23" s="113">
        <v>0</v>
      </c>
      <c r="P23" s="113">
        <v>0</v>
      </c>
      <c r="Q23" s="113">
        <v>0</v>
      </c>
      <c r="R23" s="113">
        <v>0</v>
      </c>
      <c r="S23" s="113">
        <v>0</v>
      </c>
      <c r="T23" s="113">
        <v>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  <c r="Z23" s="113">
        <v>0</v>
      </c>
      <c r="AA23" s="113">
        <v>0</v>
      </c>
      <c r="AB23" s="113">
        <v>0</v>
      </c>
    </row>
    <row r="24" spans="1:30" ht="14.45">
      <c r="A24" s="11">
        <v>6.4</v>
      </c>
      <c r="B24" s="7" t="s">
        <v>27</v>
      </c>
      <c r="C24" s="9">
        <v>4761287.7300000004</v>
      </c>
      <c r="D24" s="9">
        <v>4761287.7300000004</v>
      </c>
      <c r="E24" s="9">
        <v>4761287.7300000004</v>
      </c>
      <c r="F24" s="9">
        <v>4761287.7300000004</v>
      </c>
      <c r="G24" s="9">
        <v>4761287.7300000004</v>
      </c>
      <c r="H24" s="9">
        <v>4761287.7300000004</v>
      </c>
      <c r="I24" s="100">
        <v>4761287.7300000004</v>
      </c>
      <c r="J24" s="102">
        <v>4761287.7300000004</v>
      </c>
      <c r="K24" s="102">
        <v>4761287.7300000004</v>
      </c>
      <c r="L24" s="102">
        <v>4761287.7300000004</v>
      </c>
      <c r="M24" s="102">
        <v>4761287.7300000004</v>
      </c>
      <c r="N24" s="105">
        <v>3332901.41</v>
      </c>
      <c r="O24" s="108">
        <v>3332901</v>
      </c>
      <c r="P24" s="110">
        <v>3332901.41</v>
      </c>
      <c r="Q24" s="110">
        <v>3332901.41</v>
      </c>
      <c r="R24" s="110">
        <v>3332901.41</v>
      </c>
      <c r="S24" s="110">
        <v>3332901.41</v>
      </c>
      <c r="T24" s="110">
        <v>3332901.41</v>
      </c>
      <c r="U24" s="110">
        <v>3332901.41</v>
      </c>
      <c r="V24" s="115">
        <v>3332901.41</v>
      </c>
      <c r="W24" s="122">
        <v>3332901.41</v>
      </c>
      <c r="X24" s="113">
        <v>3332901.41</v>
      </c>
      <c r="Y24" s="113">
        <v>3332901.41</v>
      </c>
      <c r="Z24" s="113">
        <v>3332901.41</v>
      </c>
      <c r="AA24" s="113">
        <v>2333030.9900000002</v>
      </c>
      <c r="AB24" s="137">
        <v>2333031</v>
      </c>
    </row>
    <row r="25" spans="1:30">
      <c r="A25" s="11">
        <v>6.5</v>
      </c>
      <c r="B25" s="7" t="s">
        <v>28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9">
        <v>0</v>
      </c>
      <c r="J25" s="101">
        <v>0</v>
      </c>
      <c r="K25" s="101">
        <v>0</v>
      </c>
      <c r="L25" s="101">
        <v>0</v>
      </c>
      <c r="M25" s="101">
        <v>0</v>
      </c>
      <c r="N25" s="106">
        <v>0</v>
      </c>
      <c r="O25" s="108"/>
      <c r="P25" s="110">
        <v>0</v>
      </c>
      <c r="Q25" s="110">
        <v>0</v>
      </c>
      <c r="R25" s="110">
        <v>0</v>
      </c>
      <c r="S25" s="110">
        <v>0</v>
      </c>
      <c r="T25" s="110">
        <v>0</v>
      </c>
      <c r="U25" s="110">
        <v>0</v>
      </c>
      <c r="V25" s="115">
        <v>0</v>
      </c>
      <c r="W25" s="125">
        <v>0</v>
      </c>
      <c r="X25" s="113">
        <v>0</v>
      </c>
      <c r="Y25" s="113">
        <v>0</v>
      </c>
      <c r="Z25" s="113">
        <v>0</v>
      </c>
      <c r="AA25" s="113">
        <v>0</v>
      </c>
      <c r="AB25" s="113">
        <v>0</v>
      </c>
    </row>
    <row r="26" spans="1:30">
      <c r="A26" s="11"/>
      <c r="B26" s="10" t="s">
        <v>29</v>
      </c>
      <c r="C26" s="82">
        <f t="shared" ref="C26:AB26" si="6">C4+C7+C8+C13+C16+C20</f>
        <v>1485646310.52</v>
      </c>
      <c r="D26" s="82">
        <f t="shared" si="6"/>
        <v>1459740880.3</v>
      </c>
      <c r="E26" s="82">
        <f t="shared" si="6"/>
        <v>1463540955.6900001</v>
      </c>
      <c r="F26" s="82">
        <f t="shared" si="6"/>
        <v>1470089455.3100002</v>
      </c>
      <c r="G26" s="82">
        <f t="shared" si="6"/>
        <v>1491429933.6700001</v>
      </c>
      <c r="H26" s="82">
        <f t="shared" si="6"/>
        <v>1507068948.5800002</v>
      </c>
      <c r="I26" s="82">
        <f t="shared" si="6"/>
        <v>1526247359.3199999</v>
      </c>
      <c r="J26" s="82">
        <f t="shared" si="6"/>
        <v>1627252030.8500001</v>
      </c>
      <c r="K26" s="82">
        <f t="shared" si="6"/>
        <v>1632865133.54</v>
      </c>
      <c r="L26" s="82">
        <f t="shared" si="6"/>
        <v>1636270145.76</v>
      </c>
      <c r="M26" s="82">
        <f t="shared" si="6"/>
        <v>1745040635.6400001</v>
      </c>
      <c r="N26" s="82">
        <f t="shared" si="6"/>
        <v>1664179518.3</v>
      </c>
      <c r="O26" s="82">
        <f t="shared" si="6"/>
        <v>1664179519</v>
      </c>
      <c r="P26" s="82">
        <f t="shared" si="6"/>
        <v>1680905496.3899999</v>
      </c>
      <c r="Q26" s="82">
        <f t="shared" si="6"/>
        <v>1658133632.6600001</v>
      </c>
      <c r="R26" s="82">
        <f t="shared" si="6"/>
        <v>1663568543.7499998</v>
      </c>
      <c r="S26" s="82">
        <f t="shared" si="6"/>
        <v>1768763637.3599999</v>
      </c>
      <c r="T26" s="82">
        <f t="shared" si="6"/>
        <v>1876381307.6299999</v>
      </c>
      <c r="U26" s="82">
        <f t="shared" si="6"/>
        <v>1952125755.29</v>
      </c>
      <c r="V26" s="82">
        <f t="shared" si="6"/>
        <v>1870618932.3800001</v>
      </c>
      <c r="W26" s="82">
        <f t="shared" si="6"/>
        <v>1888342034.03</v>
      </c>
      <c r="X26" s="82">
        <f t="shared" si="6"/>
        <v>1911446997.05</v>
      </c>
      <c r="Y26" s="82">
        <f t="shared" si="6"/>
        <v>1930238612.0799999</v>
      </c>
      <c r="Z26" s="82">
        <f t="shared" si="6"/>
        <v>1959569533.27</v>
      </c>
      <c r="AA26" s="82">
        <f t="shared" si="6"/>
        <v>1949242503.4900002</v>
      </c>
      <c r="AB26" s="82">
        <f t="shared" si="6"/>
        <v>1955372560</v>
      </c>
    </row>
    <row r="27" spans="1:30">
      <c r="A27" s="11">
        <v>7</v>
      </c>
      <c r="B27" s="7" t="s">
        <v>30</v>
      </c>
      <c r="C27" s="9">
        <v>120704761.54000001</v>
      </c>
      <c r="D27" s="9">
        <v>86709346.689999998</v>
      </c>
      <c r="E27" s="9">
        <v>87280070.170000002</v>
      </c>
      <c r="F27" s="9">
        <v>81031983.430000007</v>
      </c>
      <c r="G27" s="9">
        <v>90181262.670000002</v>
      </c>
      <c r="H27" s="9">
        <v>91115967.599999994</v>
      </c>
      <c r="I27" s="100">
        <v>87486012.829999998</v>
      </c>
      <c r="J27" s="102">
        <v>81908706.480000004</v>
      </c>
      <c r="K27" s="102">
        <v>82594689.829999998</v>
      </c>
      <c r="L27" s="102">
        <v>81332570.010000005</v>
      </c>
      <c r="M27" s="102">
        <v>180530557.77000001</v>
      </c>
      <c r="N27" s="105">
        <v>95430623.930000007</v>
      </c>
      <c r="O27" s="108">
        <v>95430624</v>
      </c>
      <c r="P27" s="110">
        <v>129583610.91</v>
      </c>
      <c r="Q27" s="110">
        <v>94588989.459999993</v>
      </c>
      <c r="R27" s="110">
        <v>95665496.549999997</v>
      </c>
      <c r="S27" s="110">
        <v>92522738.739999995</v>
      </c>
      <c r="T27" s="110">
        <v>96194010.689999998</v>
      </c>
      <c r="U27" s="110">
        <v>91992513.469999999</v>
      </c>
      <c r="V27" s="115">
        <v>85716855.480000004</v>
      </c>
      <c r="W27" s="121">
        <v>86317250.430000007</v>
      </c>
      <c r="X27" s="113">
        <v>79682907.299999997</v>
      </c>
      <c r="Y27" s="113">
        <v>88808629.129999995</v>
      </c>
      <c r="Z27" s="113">
        <v>80809320.980000004</v>
      </c>
      <c r="AA27" s="113">
        <v>87055767.530000001</v>
      </c>
      <c r="AB27" s="136">
        <v>87058531</v>
      </c>
    </row>
    <row r="28" spans="1:30" ht="14.45">
      <c r="A28" s="11">
        <v>8</v>
      </c>
      <c r="B28" s="7" t="s">
        <v>31</v>
      </c>
      <c r="C28" s="9">
        <v>5511362.4500000002</v>
      </c>
      <c r="D28" s="9">
        <v>6907659.4299999997</v>
      </c>
      <c r="E28" s="9">
        <v>8662909.6600000001</v>
      </c>
      <c r="F28" s="9">
        <v>10119314.27</v>
      </c>
      <c r="G28" s="9">
        <v>11742283.49</v>
      </c>
      <c r="H28" s="9">
        <v>16908758.309999999</v>
      </c>
      <c r="I28" s="100">
        <v>19268496.710000001</v>
      </c>
      <c r="J28" s="102">
        <v>20940362.690000001</v>
      </c>
      <c r="K28" s="102">
        <v>21940930.379999999</v>
      </c>
      <c r="L28" s="102">
        <v>23580272.27</v>
      </c>
      <c r="M28" s="102">
        <v>25070441.190000001</v>
      </c>
      <c r="N28" s="105">
        <v>8612678.3399999999</v>
      </c>
      <c r="O28" s="108">
        <v>8612678</v>
      </c>
      <c r="P28" s="110">
        <v>9440409.0199999996</v>
      </c>
      <c r="Q28" s="110">
        <v>10982877.220000001</v>
      </c>
      <c r="R28" s="110">
        <v>11762674.539999999</v>
      </c>
      <c r="S28" s="110">
        <v>13986970.699999999</v>
      </c>
      <c r="T28" s="110">
        <v>20782851.02</v>
      </c>
      <c r="U28" s="110">
        <v>22346370.949999999</v>
      </c>
      <c r="V28" s="115">
        <v>24115325.07</v>
      </c>
      <c r="W28" s="122">
        <v>24963773.359999999</v>
      </c>
      <c r="X28" s="113">
        <v>27175216.75</v>
      </c>
      <c r="Y28" s="113">
        <v>30314100.68</v>
      </c>
      <c r="Z28" s="113">
        <v>35202519.039999999</v>
      </c>
      <c r="AA28" s="113">
        <v>17802865.309999999</v>
      </c>
      <c r="AB28" s="136">
        <f>4615537+13187328</f>
        <v>17802865</v>
      </c>
      <c r="AD28" s="137">
        <v>-1906832</v>
      </c>
    </row>
    <row r="29" spans="1:30">
      <c r="A29" s="11">
        <v>9</v>
      </c>
      <c r="B29" s="7" t="s">
        <v>32</v>
      </c>
      <c r="C29" s="9">
        <v>654011128.02999997</v>
      </c>
      <c r="D29" s="9">
        <v>663056582.25999999</v>
      </c>
      <c r="E29" s="9">
        <v>662529831.36000001</v>
      </c>
      <c r="F29" s="9">
        <v>669214641.92999995</v>
      </c>
      <c r="G29" s="9">
        <v>676303417.33000004</v>
      </c>
      <c r="H29" s="9">
        <v>683741534.55999994</v>
      </c>
      <c r="I29" s="100">
        <v>690346869.88</v>
      </c>
      <c r="J29" s="102">
        <v>693956179.19000006</v>
      </c>
      <c r="K29" s="102">
        <v>701846211.88</v>
      </c>
      <c r="L29" s="102">
        <v>708654144.44000006</v>
      </c>
      <c r="M29" s="102">
        <v>713358479.91999996</v>
      </c>
      <c r="N29" s="105">
        <v>735268885.94000006</v>
      </c>
      <c r="O29" s="108">
        <v>735268886</v>
      </c>
      <c r="P29" s="110">
        <v>741781745.46000004</v>
      </c>
      <c r="Q29" s="110">
        <v>751392994.25</v>
      </c>
      <c r="R29" s="110">
        <v>756268778.03999996</v>
      </c>
      <c r="S29" s="110">
        <v>759746245.83000004</v>
      </c>
      <c r="T29" s="110">
        <v>788933678.39999998</v>
      </c>
      <c r="U29" s="110">
        <v>809034849.75999999</v>
      </c>
      <c r="V29" s="115">
        <v>820493050.76999998</v>
      </c>
      <c r="W29" s="122">
        <v>827294088.49000001</v>
      </c>
      <c r="X29" s="113">
        <v>833918705.26999998</v>
      </c>
      <c r="Y29" s="113">
        <v>836069526.13</v>
      </c>
      <c r="Z29" s="113">
        <v>840242780.83000004</v>
      </c>
      <c r="AA29" s="113">
        <v>846911036.73000002</v>
      </c>
      <c r="AB29" s="136">
        <v>846911037</v>
      </c>
      <c r="AD29" s="142">
        <v>77169655</v>
      </c>
    </row>
    <row r="30" spans="1:30">
      <c r="A30" s="11"/>
      <c r="B30" s="10" t="s">
        <v>33</v>
      </c>
      <c r="C30" s="82">
        <f t="shared" ref="C30:F30" si="7">SUM(C27:C29)</f>
        <v>780227252.01999998</v>
      </c>
      <c r="D30" s="82">
        <f t="shared" si="7"/>
        <v>756673588.38</v>
      </c>
      <c r="E30" s="82">
        <f t="shared" si="7"/>
        <v>758472811.19000006</v>
      </c>
      <c r="F30" s="82">
        <f t="shared" si="7"/>
        <v>760365939.63</v>
      </c>
      <c r="G30" s="82">
        <f t="shared" ref="G30:H30" si="8">SUM(G27:G29)</f>
        <v>778226963.49000001</v>
      </c>
      <c r="H30" s="82">
        <f t="shared" si="8"/>
        <v>791766260.46999991</v>
      </c>
      <c r="I30" s="82">
        <f t="shared" ref="I30:M30" si="9">SUM(I27:I29)</f>
        <v>797101379.41999996</v>
      </c>
      <c r="J30" s="82">
        <f t="shared" si="9"/>
        <v>796805248.36000001</v>
      </c>
      <c r="K30" s="82">
        <f t="shared" si="9"/>
        <v>806381832.09000003</v>
      </c>
      <c r="L30" s="82">
        <f t="shared" si="9"/>
        <v>813566986.72000003</v>
      </c>
      <c r="M30" s="82">
        <f t="shared" si="9"/>
        <v>918959478.88</v>
      </c>
      <c r="N30" s="82">
        <f t="shared" ref="N30:U30" si="10">SUM(N27:N29)</f>
        <v>839312188.21000004</v>
      </c>
      <c r="O30" s="82">
        <f t="shared" si="10"/>
        <v>839312188</v>
      </c>
      <c r="P30" s="82">
        <f t="shared" si="10"/>
        <v>880805765.3900001</v>
      </c>
      <c r="Q30" s="82">
        <f t="shared" si="10"/>
        <v>856964860.92999995</v>
      </c>
      <c r="R30" s="82">
        <f t="shared" si="10"/>
        <v>863696949.13</v>
      </c>
      <c r="S30" s="82">
        <f t="shared" si="10"/>
        <v>866255955.26999998</v>
      </c>
      <c r="T30" s="82">
        <f t="shared" si="10"/>
        <v>905910540.11000001</v>
      </c>
      <c r="U30" s="82">
        <f t="shared" si="10"/>
        <v>923373734.17999995</v>
      </c>
      <c r="V30" s="82">
        <f t="shared" ref="V30:AA30" si="11">SUM(V27:V29)</f>
        <v>930325231.31999993</v>
      </c>
      <c r="W30" s="123">
        <f t="shared" si="11"/>
        <v>938575112.27999997</v>
      </c>
      <c r="X30" s="82">
        <f t="shared" si="11"/>
        <v>940776829.31999993</v>
      </c>
      <c r="Y30" s="82">
        <f t="shared" si="11"/>
        <v>955192255.94000006</v>
      </c>
      <c r="Z30" s="82">
        <f t="shared" si="11"/>
        <v>956254620.85000002</v>
      </c>
      <c r="AA30" s="82">
        <f t="shared" si="11"/>
        <v>951769669.57000005</v>
      </c>
      <c r="AB30" s="82">
        <f t="shared" ref="AB30" si="12">SUM(AB27:AB29)</f>
        <v>951772433</v>
      </c>
      <c r="AD30" s="142">
        <v>-15433931</v>
      </c>
    </row>
    <row r="31" spans="1:30">
      <c r="A31" s="11">
        <v>10</v>
      </c>
      <c r="B31" s="10" t="s">
        <v>34</v>
      </c>
      <c r="C31" s="12">
        <f t="shared" ref="C31:F31" si="13">SUM(C32:C37)</f>
        <v>327042684.76999998</v>
      </c>
      <c r="D31" s="12">
        <f t="shared" si="13"/>
        <v>327080486.73000002</v>
      </c>
      <c r="E31" s="12">
        <f t="shared" si="13"/>
        <v>324334330.94999999</v>
      </c>
      <c r="F31" s="12">
        <f t="shared" si="13"/>
        <v>325321548.59000003</v>
      </c>
      <c r="G31" s="12">
        <f t="shared" ref="G31:H31" si="14">SUM(G32:G37)</f>
        <v>325735943.5</v>
      </c>
      <c r="H31" s="12">
        <f t="shared" si="14"/>
        <v>324457310.35000002</v>
      </c>
      <c r="I31" s="12">
        <f t="shared" ref="I31:N31" si="15">SUM(I32:I37)</f>
        <v>331058400.45999998</v>
      </c>
      <c r="J31" s="12">
        <f t="shared" si="15"/>
        <v>409167517.10000002</v>
      </c>
      <c r="K31" s="12">
        <f t="shared" si="15"/>
        <v>402327454.87</v>
      </c>
      <c r="L31" s="12">
        <f t="shared" si="15"/>
        <v>402841554.15999997</v>
      </c>
      <c r="M31" s="12">
        <f t="shared" si="15"/>
        <v>397062974.74000001</v>
      </c>
      <c r="N31" s="12">
        <f t="shared" si="15"/>
        <v>390060612.37</v>
      </c>
      <c r="O31" s="12">
        <f t="shared" ref="O31:U31" si="16">SUM(O32:O37)</f>
        <v>388038624</v>
      </c>
      <c r="P31" s="12">
        <f t="shared" si="16"/>
        <v>365296311.72000003</v>
      </c>
      <c r="Q31" s="12">
        <f t="shared" si="16"/>
        <v>356915678.34000003</v>
      </c>
      <c r="R31" s="12">
        <f t="shared" si="16"/>
        <v>358371543.86000001</v>
      </c>
      <c r="S31" s="12">
        <f t="shared" si="16"/>
        <v>456589646.38999999</v>
      </c>
      <c r="T31" s="12">
        <f t="shared" si="16"/>
        <v>499866780.38</v>
      </c>
      <c r="U31" s="12">
        <f t="shared" si="16"/>
        <v>553326918.27999997</v>
      </c>
      <c r="V31" s="12">
        <f t="shared" ref="V31:AA31" si="17">SUM(V32:V37)</f>
        <v>461942150.25999999</v>
      </c>
      <c r="W31" s="126">
        <f t="shared" si="17"/>
        <v>461589525.91999996</v>
      </c>
      <c r="X31" s="12">
        <f t="shared" si="17"/>
        <v>484624969.03999996</v>
      </c>
      <c r="Y31" s="12">
        <f t="shared" si="17"/>
        <v>485833193.87</v>
      </c>
      <c r="Z31" s="12">
        <f t="shared" si="17"/>
        <v>513604907.65000004</v>
      </c>
      <c r="AA31" s="12">
        <f t="shared" si="17"/>
        <v>494661746.77999997</v>
      </c>
      <c r="AB31" s="12">
        <f t="shared" ref="AB31" si="18">SUM(AB32:AB37)</f>
        <v>492332790</v>
      </c>
      <c r="AD31" s="142">
        <v>-5502760</v>
      </c>
    </row>
    <row r="32" spans="1:30">
      <c r="A32" s="11">
        <v>10.1</v>
      </c>
      <c r="B32" s="7" t="s">
        <v>35</v>
      </c>
      <c r="C32" s="12">
        <v>4194575.7699999996</v>
      </c>
      <c r="D32" s="12">
        <v>1427864.03</v>
      </c>
      <c r="E32" s="12">
        <v>699782.73</v>
      </c>
      <c r="F32" s="12">
        <v>644385.65</v>
      </c>
      <c r="G32" s="12">
        <v>455692.83</v>
      </c>
      <c r="H32" s="12">
        <v>471140.53</v>
      </c>
      <c r="I32" s="100">
        <v>482187.77</v>
      </c>
      <c r="J32" s="102">
        <v>511544.89</v>
      </c>
      <c r="K32" s="102">
        <v>474208.63</v>
      </c>
      <c r="L32" s="102">
        <v>488728.33</v>
      </c>
      <c r="M32" s="102">
        <v>696224.77</v>
      </c>
      <c r="N32" s="17">
        <v>882732</v>
      </c>
      <c r="O32" s="141">
        <v>341135</v>
      </c>
      <c r="P32" s="140">
        <v>4830872.3899999997</v>
      </c>
      <c r="Q32" s="110">
        <v>5351802.58</v>
      </c>
      <c r="R32" s="110">
        <v>812517.74</v>
      </c>
      <c r="S32" s="110">
        <v>834412.02</v>
      </c>
      <c r="T32" s="110">
        <v>679023.77</v>
      </c>
      <c r="U32" s="110">
        <v>558080.24</v>
      </c>
      <c r="V32" s="115">
        <v>528631.66</v>
      </c>
      <c r="W32" s="121">
        <v>542210.31000000006</v>
      </c>
      <c r="X32" s="113">
        <v>533672.47</v>
      </c>
      <c r="Y32" s="113">
        <v>546946.1</v>
      </c>
      <c r="Z32" s="113">
        <v>560860.18999999994</v>
      </c>
      <c r="AA32" s="113">
        <v>783371.48</v>
      </c>
      <c r="AB32" s="136">
        <v>223472</v>
      </c>
      <c r="AD32" s="142">
        <v>-1482094</v>
      </c>
    </row>
    <row r="33" spans="1:30">
      <c r="A33" s="11">
        <v>10.199999999999999</v>
      </c>
      <c r="B33" s="7" t="s">
        <v>36</v>
      </c>
      <c r="C33" s="9">
        <v>695374.76</v>
      </c>
      <c r="D33" s="9">
        <v>11745454.25</v>
      </c>
      <c r="E33" s="9">
        <v>17257756.989999998</v>
      </c>
      <c r="F33" s="9">
        <v>23001665.940000001</v>
      </c>
      <c r="G33" s="9">
        <v>28873820.260000002</v>
      </c>
      <c r="H33" s="9">
        <v>34881587.93</v>
      </c>
      <c r="I33" s="100">
        <v>40871063.630000003</v>
      </c>
      <c r="J33" s="102">
        <v>46958256.490000002</v>
      </c>
      <c r="K33" s="102">
        <v>53332977.100000001</v>
      </c>
      <c r="L33" s="102">
        <v>59749023.25</v>
      </c>
      <c r="M33" s="102">
        <v>59749023.25</v>
      </c>
      <c r="N33" s="105">
        <v>74221399.799999997</v>
      </c>
      <c r="O33" s="141">
        <v>73526889</v>
      </c>
      <c r="P33" s="140">
        <v>6983085.2800000003</v>
      </c>
      <c r="Q33" s="110">
        <v>6983085.2800000003</v>
      </c>
      <c r="R33" s="110">
        <v>19708289.280000001</v>
      </c>
      <c r="S33" s="110">
        <v>19708289.280000001</v>
      </c>
      <c r="T33" s="110">
        <v>33673807.329999998</v>
      </c>
      <c r="U33" s="110">
        <v>41253313.219999999</v>
      </c>
      <c r="V33" s="115">
        <v>48663665.359999999</v>
      </c>
      <c r="W33" s="122">
        <v>55950343.299999997</v>
      </c>
      <c r="X33" s="113">
        <v>63345473.630000003</v>
      </c>
      <c r="Y33" s="113">
        <v>70697616.989999995</v>
      </c>
      <c r="Z33" s="113">
        <v>77822142.489999995</v>
      </c>
      <c r="AA33" s="113">
        <v>85491128.75</v>
      </c>
      <c r="AB33" s="136">
        <v>84691104</v>
      </c>
      <c r="AD33" s="142">
        <v>-846911</v>
      </c>
    </row>
    <row r="34" spans="1:30">
      <c r="A34" s="11">
        <v>10.3</v>
      </c>
      <c r="B34" s="7" t="s">
        <v>37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9">
        <v>0</v>
      </c>
      <c r="J34" s="101">
        <v>0</v>
      </c>
      <c r="K34" s="101">
        <v>0</v>
      </c>
      <c r="L34" s="101">
        <v>0</v>
      </c>
      <c r="M34" s="101">
        <v>0</v>
      </c>
      <c r="N34" s="106">
        <v>0</v>
      </c>
      <c r="O34" s="147">
        <v>0</v>
      </c>
      <c r="P34" s="143">
        <v>0</v>
      </c>
      <c r="Q34" s="113">
        <v>0</v>
      </c>
      <c r="R34" s="113">
        <v>0</v>
      </c>
      <c r="S34" s="113">
        <v>0</v>
      </c>
      <c r="T34" s="113">
        <v>0</v>
      </c>
      <c r="U34" s="113">
        <v>0</v>
      </c>
      <c r="V34" s="113">
        <v>0</v>
      </c>
      <c r="W34" s="113">
        <v>0</v>
      </c>
      <c r="X34" s="113">
        <v>0</v>
      </c>
      <c r="Y34" s="113">
        <v>0</v>
      </c>
      <c r="Z34" s="113">
        <v>0</v>
      </c>
      <c r="AA34" s="113">
        <v>0</v>
      </c>
      <c r="AB34" s="113">
        <v>0</v>
      </c>
      <c r="AD34" s="142">
        <f>SUM(AD28:AD33)</f>
        <v>51997127</v>
      </c>
    </row>
    <row r="35" spans="1:30">
      <c r="A35" s="11">
        <v>10.4</v>
      </c>
      <c r="B35" s="7" t="s">
        <v>38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9">
        <v>0</v>
      </c>
      <c r="J35" s="101">
        <v>0</v>
      </c>
      <c r="K35" s="101">
        <v>0</v>
      </c>
      <c r="L35" s="101">
        <v>0</v>
      </c>
      <c r="M35" s="101">
        <v>0</v>
      </c>
      <c r="O35" s="147">
        <v>0</v>
      </c>
      <c r="P35" s="143">
        <v>0</v>
      </c>
      <c r="Q35" s="113">
        <v>0</v>
      </c>
      <c r="R35" s="113">
        <v>0</v>
      </c>
      <c r="S35" s="113">
        <v>0</v>
      </c>
      <c r="T35" s="113">
        <v>0</v>
      </c>
      <c r="U35" s="113">
        <v>0</v>
      </c>
      <c r="V35" s="113">
        <v>0</v>
      </c>
      <c r="W35" s="113">
        <v>0</v>
      </c>
      <c r="X35" s="113">
        <v>0</v>
      </c>
      <c r="Y35" s="113">
        <v>0</v>
      </c>
      <c r="Z35" s="113">
        <v>0</v>
      </c>
      <c r="AA35" s="113">
        <v>0</v>
      </c>
      <c r="AB35" s="113">
        <v>0</v>
      </c>
    </row>
    <row r="36" spans="1:30">
      <c r="A36" s="11">
        <v>10.5</v>
      </c>
      <c r="B36" s="7" t="s">
        <v>39</v>
      </c>
      <c r="C36" s="9">
        <v>79531180.760000005</v>
      </c>
      <c r="D36" s="9">
        <v>80969130.25</v>
      </c>
      <c r="E36" s="9">
        <v>84404404.700000003</v>
      </c>
      <c r="F36" s="9">
        <v>88865284.140000001</v>
      </c>
      <c r="G36" s="9">
        <v>94628473.219999999</v>
      </c>
      <c r="H36" s="9">
        <v>98432310.650000006</v>
      </c>
      <c r="I36" s="100">
        <v>103813558.05</v>
      </c>
      <c r="J36" s="102">
        <v>86163971.959999993</v>
      </c>
      <c r="K36" s="102">
        <v>88273115.930000007</v>
      </c>
      <c r="L36" s="102">
        <v>91826636.819999993</v>
      </c>
      <c r="M36" s="102">
        <v>95409793.409999996</v>
      </c>
      <c r="N36" s="105">
        <v>83612079.329999998</v>
      </c>
      <c r="O36" s="141">
        <v>82826199</v>
      </c>
      <c r="P36" s="140">
        <v>81825902.260000005</v>
      </c>
      <c r="Q36" s="110">
        <v>82672409.140000001</v>
      </c>
      <c r="R36" s="110">
        <v>87401260.769999996</v>
      </c>
      <c r="S36" s="110">
        <v>95903690.200000003</v>
      </c>
      <c r="T36" s="110">
        <v>84652745.469999999</v>
      </c>
      <c r="U36" s="110">
        <v>93296143.299999997</v>
      </c>
      <c r="V36" s="115">
        <v>91528700</v>
      </c>
      <c r="W36" s="122">
        <v>93548797.719999999</v>
      </c>
      <c r="X36" s="113">
        <v>98737071.5</v>
      </c>
      <c r="Y36" s="113">
        <v>102232568.14</v>
      </c>
      <c r="Z36" s="113">
        <v>105457347.06</v>
      </c>
      <c r="AA36" s="113">
        <v>92075974.040000007</v>
      </c>
      <c r="AB36" s="136">
        <v>91106941</v>
      </c>
    </row>
    <row r="37" spans="1:30" ht="14.45">
      <c r="A37" s="11">
        <v>10.6</v>
      </c>
      <c r="B37" s="7" t="s">
        <v>40</v>
      </c>
      <c r="C37" s="17">
        <v>242621553.47999999</v>
      </c>
      <c r="D37" s="17">
        <v>232938038.19999999</v>
      </c>
      <c r="E37" s="17">
        <v>221972386.53</v>
      </c>
      <c r="F37" s="17">
        <v>212810212.86000001</v>
      </c>
      <c r="G37" s="17">
        <v>201777957.19</v>
      </c>
      <c r="H37" s="17">
        <v>190672271.24000001</v>
      </c>
      <c r="I37" s="100">
        <v>185891591.00999999</v>
      </c>
      <c r="J37" s="102">
        <v>275533743.75999999</v>
      </c>
      <c r="K37" s="102">
        <v>260247153.21000001</v>
      </c>
      <c r="L37" s="102">
        <v>250777165.75999999</v>
      </c>
      <c r="M37" s="102">
        <v>241207933.31</v>
      </c>
      <c r="N37" s="105">
        <v>231344401.24000001</v>
      </c>
      <c r="O37" s="141">
        <v>231344401</v>
      </c>
      <c r="P37" s="140">
        <v>271656451.79000002</v>
      </c>
      <c r="Q37" s="110">
        <v>261908381.34</v>
      </c>
      <c r="R37" s="110">
        <v>250449476.06999999</v>
      </c>
      <c r="S37" s="110">
        <v>340143254.88999999</v>
      </c>
      <c r="T37" s="110">
        <v>380861203.81</v>
      </c>
      <c r="U37" s="110">
        <v>418219381.51999998</v>
      </c>
      <c r="V37" s="115">
        <v>321221153.24000001</v>
      </c>
      <c r="W37" s="122">
        <v>311548174.58999997</v>
      </c>
      <c r="X37" s="113">
        <v>322008751.44</v>
      </c>
      <c r="Y37" s="113">
        <v>312356062.63999999</v>
      </c>
      <c r="Z37" s="113">
        <v>329764557.91000003</v>
      </c>
      <c r="AA37" s="113">
        <v>316311272.50999999</v>
      </c>
      <c r="AB37" s="137">
        <v>316311273</v>
      </c>
    </row>
    <row r="38" spans="1:30">
      <c r="A38" s="11"/>
      <c r="B38" s="10" t="s">
        <v>41</v>
      </c>
      <c r="C38" s="82">
        <f t="shared" ref="C38:AB38" si="19">C30+C31</f>
        <v>1107269936.79</v>
      </c>
      <c r="D38" s="82">
        <f t="shared" si="19"/>
        <v>1083754075.1100001</v>
      </c>
      <c r="E38" s="82">
        <f t="shared" si="19"/>
        <v>1082807142.1400001</v>
      </c>
      <c r="F38" s="82">
        <f t="shared" si="19"/>
        <v>1085687488.22</v>
      </c>
      <c r="G38" s="82">
        <f t="shared" si="19"/>
        <v>1103962906.99</v>
      </c>
      <c r="H38" s="82">
        <f t="shared" si="19"/>
        <v>1116223570.8199999</v>
      </c>
      <c r="I38" s="82">
        <f t="shared" si="19"/>
        <v>1128159779.8799999</v>
      </c>
      <c r="J38" s="82">
        <f t="shared" si="19"/>
        <v>1205972765.46</v>
      </c>
      <c r="K38" s="82">
        <f t="shared" si="19"/>
        <v>1208709286.96</v>
      </c>
      <c r="L38" s="82">
        <f t="shared" si="19"/>
        <v>1216408540.8800001</v>
      </c>
      <c r="M38" s="82">
        <f t="shared" si="19"/>
        <v>1316022453.6199999</v>
      </c>
      <c r="N38" s="123">
        <f t="shared" si="19"/>
        <v>1229372800.5799999</v>
      </c>
      <c r="O38" s="82">
        <f t="shared" si="19"/>
        <v>1227350812</v>
      </c>
      <c r="P38" s="144">
        <f t="shared" si="19"/>
        <v>1246102077.1100001</v>
      </c>
      <c r="Q38" s="82">
        <f t="shared" si="19"/>
        <v>1213880539.27</v>
      </c>
      <c r="R38" s="82">
        <f t="shared" si="19"/>
        <v>1222068492.99</v>
      </c>
      <c r="S38" s="82">
        <f t="shared" si="19"/>
        <v>1322845601.6599998</v>
      </c>
      <c r="T38" s="82">
        <f t="shared" si="19"/>
        <v>1405777320.49</v>
      </c>
      <c r="U38" s="82">
        <f t="shared" si="19"/>
        <v>1476700652.46</v>
      </c>
      <c r="V38" s="82">
        <f t="shared" si="19"/>
        <v>1392267381.5799999</v>
      </c>
      <c r="W38" s="123">
        <f t="shared" si="19"/>
        <v>1400164638.1999998</v>
      </c>
      <c r="X38" s="82">
        <f t="shared" si="19"/>
        <v>1425401798.3599999</v>
      </c>
      <c r="Y38" s="82">
        <f t="shared" si="19"/>
        <v>1441025449.8099999</v>
      </c>
      <c r="Z38" s="82">
        <f t="shared" si="19"/>
        <v>1469859528.5</v>
      </c>
      <c r="AA38" s="82">
        <f t="shared" si="19"/>
        <v>1446431416.3499999</v>
      </c>
      <c r="AB38" s="82">
        <f t="shared" si="19"/>
        <v>1444105223</v>
      </c>
    </row>
    <row r="39" spans="1:30" ht="13.9">
      <c r="A39" s="11">
        <v>11</v>
      </c>
      <c r="B39" s="7" t="s">
        <v>42</v>
      </c>
      <c r="C39" s="82">
        <v>52419678.140000001</v>
      </c>
      <c r="D39" s="82">
        <v>52552739.939999998</v>
      </c>
      <c r="E39" s="82">
        <v>52687971.039999999</v>
      </c>
      <c r="F39" s="82">
        <v>52830179.659999996</v>
      </c>
      <c r="G39" s="82">
        <v>52966729.659999996</v>
      </c>
      <c r="H39" s="82">
        <v>53104215.659999996</v>
      </c>
      <c r="I39" s="100">
        <v>53227742.659999996</v>
      </c>
      <c r="J39" s="102">
        <v>53340708.189999998</v>
      </c>
      <c r="K39" s="102">
        <v>53462507.759999998</v>
      </c>
      <c r="L39" s="102">
        <v>53560807.759999998</v>
      </c>
      <c r="M39" s="102">
        <v>53898893.920000002</v>
      </c>
      <c r="N39" s="105">
        <v>54051793.920000002</v>
      </c>
      <c r="O39" s="148">
        <v>54051794</v>
      </c>
      <c r="P39" s="140">
        <v>54227889.030000001</v>
      </c>
      <c r="Q39" s="110">
        <v>54303660.780000001</v>
      </c>
      <c r="R39" s="110">
        <v>54377670.780000001</v>
      </c>
      <c r="S39" s="110">
        <v>54452923.390000001</v>
      </c>
      <c r="T39" s="110">
        <v>54525402.840000004</v>
      </c>
      <c r="U39" s="110">
        <v>54592524.159999996</v>
      </c>
      <c r="V39" s="115">
        <v>54661644.93</v>
      </c>
      <c r="W39" s="121">
        <v>54731544.93</v>
      </c>
      <c r="X39" s="113">
        <v>54822146.340000004</v>
      </c>
      <c r="Y39" s="113">
        <v>54894146.630000003</v>
      </c>
      <c r="Z39" s="113">
        <v>54968650.710000001</v>
      </c>
      <c r="AA39" s="113">
        <v>55027597.939999998</v>
      </c>
      <c r="AB39" s="136">
        <v>55027598</v>
      </c>
    </row>
    <row r="40" spans="1:30">
      <c r="A40" s="11">
        <v>12</v>
      </c>
      <c r="B40" s="7" t="s">
        <v>43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9">
        <v>0</v>
      </c>
      <c r="J40" s="101">
        <v>0</v>
      </c>
      <c r="K40" s="101">
        <v>0</v>
      </c>
      <c r="L40" s="101">
        <v>0</v>
      </c>
      <c r="M40" s="101">
        <v>0</v>
      </c>
      <c r="N40" s="106">
        <v>0</v>
      </c>
      <c r="O40" s="147">
        <v>0</v>
      </c>
      <c r="P40" s="143">
        <v>0</v>
      </c>
      <c r="Q40" s="113">
        <v>0</v>
      </c>
      <c r="R40" s="113">
        <v>0</v>
      </c>
      <c r="S40" s="113">
        <v>0</v>
      </c>
      <c r="T40" s="113">
        <v>0</v>
      </c>
      <c r="U40" s="113">
        <v>0</v>
      </c>
      <c r="V40" s="113">
        <v>0</v>
      </c>
      <c r="W40" s="113">
        <v>0</v>
      </c>
      <c r="X40" s="113">
        <v>0</v>
      </c>
      <c r="Y40" s="113">
        <v>0</v>
      </c>
      <c r="Z40" s="113">
        <v>0</v>
      </c>
      <c r="AA40" s="113">
        <v>0</v>
      </c>
      <c r="AB40" s="113">
        <v>0</v>
      </c>
    </row>
    <row r="41" spans="1:30">
      <c r="A41" s="11">
        <v>13</v>
      </c>
      <c r="B41" s="10" t="s">
        <v>44</v>
      </c>
      <c r="C41" s="8">
        <f t="shared" ref="C41:AB41" si="20">SUM(C42+C43)</f>
        <v>219539180.63999999</v>
      </c>
      <c r="D41" s="8">
        <f t="shared" si="20"/>
        <v>217016550.29999998</v>
      </c>
      <c r="E41" s="8">
        <f t="shared" si="20"/>
        <v>221628327.55999997</v>
      </c>
      <c r="F41" s="8">
        <f t="shared" si="20"/>
        <v>225154272.47999999</v>
      </c>
      <c r="G41" s="8">
        <f t="shared" si="20"/>
        <v>228082782.06999999</v>
      </c>
      <c r="H41" s="8">
        <f t="shared" si="20"/>
        <v>231323647.14999998</v>
      </c>
      <c r="I41" s="8">
        <f t="shared" si="20"/>
        <v>238442321.82999998</v>
      </c>
      <c r="J41" s="8">
        <f t="shared" si="20"/>
        <v>261521042.25</v>
      </c>
      <c r="K41" s="8">
        <f t="shared" si="20"/>
        <v>264275823.86999997</v>
      </c>
      <c r="L41" s="8">
        <f t="shared" si="20"/>
        <v>259883281.71999997</v>
      </c>
      <c r="M41" s="8">
        <f t="shared" si="20"/>
        <v>268701772.69999999</v>
      </c>
      <c r="N41" s="127">
        <f t="shared" si="20"/>
        <v>255646597.59</v>
      </c>
      <c r="O41" s="8">
        <f t="shared" si="20"/>
        <v>255646597</v>
      </c>
      <c r="P41" s="145">
        <f t="shared" si="20"/>
        <v>260872383.69</v>
      </c>
      <c r="Q41" s="8">
        <f t="shared" si="20"/>
        <v>270246286.05000001</v>
      </c>
      <c r="R41" s="8">
        <f t="shared" si="20"/>
        <v>267419233.42000002</v>
      </c>
      <c r="S41" s="8">
        <f t="shared" si="20"/>
        <v>271761965.75</v>
      </c>
      <c r="T41" s="8">
        <f t="shared" si="20"/>
        <v>296375437.74000001</v>
      </c>
      <c r="U41" s="8">
        <f t="shared" si="20"/>
        <v>301129432.11000001</v>
      </c>
      <c r="V41" s="8">
        <f t="shared" si="20"/>
        <v>303986759.31</v>
      </c>
      <c r="W41" s="127">
        <f t="shared" si="20"/>
        <v>313742704.34000003</v>
      </c>
      <c r="X41" s="8">
        <f t="shared" si="20"/>
        <v>311519905.79000002</v>
      </c>
      <c r="Y41" s="8">
        <f t="shared" si="20"/>
        <v>314615869.08000004</v>
      </c>
      <c r="Z41" s="8">
        <f t="shared" si="20"/>
        <v>315038207.5</v>
      </c>
      <c r="AA41" s="8">
        <f t="shared" si="20"/>
        <v>307625032.75999999</v>
      </c>
      <c r="AB41" s="8">
        <f t="shared" si="20"/>
        <v>307643722</v>
      </c>
    </row>
    <row r="42" spans="1:30">
      <c r="A42" s="11">
        <v>13.1</v>
      </c>
      <c r="B42" s="7" t="s">
        <v>45</v>
      </c>
      <c r="C42" s="9">
        <v>209931240.13999999</v>
      </c>
      <c r="D42" s="9">
        <v>209931240.13999999</v>
      </c>
      <c r="E42" s="9">
        <v>209931240.13999999</v>
      </c>
      <c r="F42" s="9">
        <v>209931240.13999999</v>
      </c>
      <c r="G42" s="9">
        <v>209931240.13999999</v>
      </c>
      <c r="H42" s="9">
        <v>209931240.13999999</v>
      </c>
      <c r="I42" s="100">
        <v>209931240.13999999</v>
      </c>
      <c r="J42" s="102">
        <v>209931240.13999999</v>
      </c>
      <c r="K42" s="102">
        <v>209931240.13999999</v>
      </c>
      <c r="L42" s="102">
        <v>209931240.13999999</v>
      </c>
      <c r="M42" s="102">
        <v>209931240.13999999</v>
      </c>
      <c r="N42" s="105">
        <v>189218439.71000001</v>
      </c>
      <c r="O42" s="149">
        <v>209931240</v>
      </c>
      <c r="P42" s="140">
        <v>255646597.74000001</v>
      </c>
      <c r="Q42" s="110">
        <v>255646597.74000001</v>
      </c>
      <c r="R42" s="110">
        <v>255646597.74000001</v>
      </c>
      <c r="S42" s="110">
        <v>255646597.74000001</v>
      </c>
      <c r="T42" s="110">
        <v>255646597.74000001</v>
      </c>
      <c r="U42" s="110">
        <v>255646597.74000001</v>
      </c>
      <c r="V42" s="115">
        <v>255646597.74000001</v>
      </c>
      <c r="W42" s="121">
        <v>255646597.74000001</v>
      </c>
      <c r="X42" s="113">
        <v>255646597.74000001</v>
      </c>
      <c r="Y42" s="113">
        <v>255646597.74000001</v>
      </c>
      <c r="Z42" s="113">
        <v>255646597.74000001</v>
      </c>
      <c r="AA42" s="113">
        <v>232862282.50999999</v>
      </c>
      <c r="AB42" s="136">
        <v>255646597</v>
      </c>
    </row>
    <row r="43" spans="1:30">
      <c r="A43" s="11">
        <v>13.2</v>
      </c>
      <c r="B43" s="7" t="s">
        <v>46</v>
      </c>
      <c r="C43" s="8">
        <v>9607940.5</v>
      </c>
      <c r="D43" s="8">
        <v>7085310.1600000001</v>
      </c>
      <c r="E43" s="8">
        <v>11697087.42</v>
      </c>
      <c r="F43" s="8">
        <v>15223032.34</v>
      </c>
      <c r="G43" s="8">
        <v>18151541.93</v>
      </c>
      <c r="H43" s="8">
        <v>21392407.010000002</v>
      </c>
      <c r="I43" s="100">
        <v>28511081.690000001</v>
      </c>
      <c r="J43" s="102">
        <v>51589802.109999999</v>
      </c>
      <c r="K43" s="102">
        <v>54344583.729999997</v>
      </c>
      <c r="L43" s="102">
        <v>49952041.579999998</v>
      </c>
      <c r="M43" s="102">
        <v>58770532.560000002</v>
      </c>
      <c r="N43" s="105">
        <v>66428157.880000003</v>
      </c>
      <c r="O43" s="149">
        <v>45715357</v>
      </c>
      <c r="P43" s="140">
        <v>5225785.95</v>
      </c>
      <c r="Q43" s="110">
        <v>14599688.310000001</v>
      </c>
      <c r="R43" s="110">
        <v>11772635.68</v>
      </c>
      <c r="S43" s="110">
        <v>16115368.01</v>
      </c>
      <c r="T43" s="110">
        <v>40728840</v>
      </c>
      <c r="U43" s="110">
        <v>45482834.369999997</v>
      </c>
      <c r="V43" s="115">
        <v>48340161.57</v>
      </c>
      <c r="W43" s="122">
        <v>58096106.600000001</v>
      </c>
      <c r="X43" s="113">
        <v>55873308.049999997</v>
      </c>
      <c r="Y43" s="113">
        <v>58969271.340000004</v>
      </c>
      <c r="Z43" s="113">
        <v>59391609.759999998</v>
      </c>
      <c r="AA43" s="113">
        <v>74762750.25</v>
      </c>
      <c r="AB43" s="136">
        <v>51997125</v>
      </c>
    </row>
    <row r="44" spans="1:30">
      <c r="A44" s="11">
        <v>14</v>
      </c>
      <c r="B44" s="10" t="s">
        <v>47</v>
      </c>
      <c r="C44" s="8">
        <f t="shared" ref="C44:AB44" si="21">SUM(C45:C49)</f>
        <v>106417514.95</v>
      </c>
      <c r="D44" s="8">
        <f t="shared" si="21"/>
        <v>106417514.95</v>
      </c>
      <c r="E44" s="8">
        <f t="shared" si="21"/>
        <v>106417514.95</v>
      </c>
      <c r="F44" s="8">
        <f t="shared" si="21"/>
        <v>106417514.95</v>
      </c>
      <c r="G44" s="8">
        <f t="shared" si="21"/>
        <v>106417514.95</v>
      </c>
      <c r="H44" s="8">
        <f t="shared" si="21"/>
        <v>106417514.95</v>
      </c>
      <c r="I44" s="8">
        <f t="shared" si="21"/>
        <v>106417514.95</v>
      </c>
      <c r="J44" s="8">
        <f t="shared" si="21"/>
        <v>106417514.95</v>
      </c>
      <c r="K44" s="8">
        <f t="shared" si="21"/>
        <v>106417514.95</v>
      </c>
      <c r="L44" s="8">
        <f t="shared" si="21"/>
        <v>106417514.95</v>
      </c>
      <c r="M44" s="8">
        <f t="shared" si="21"/>
        <v>106417514.95</v>
      </c>
      <c r="N44" s="127">
        <f t="shared" si="21"/>
        <v>125108325.94</v>
      </c>
      <c r="O44" s="8">
        <f t="shared" si="21"/>
        <v>127130315</v>
      </c>
      <c r="P44" s="145">
        <f t="shared" si="21"/>
        <v>119703146.56</v>
      </c>
      <c r="Q44" s="8">
        <f t="shared" si="21"/>
        <v>119703146.56</v>
      </c>
      <c r="R44" s="8">
        <f t="shared" si="21"/>
        <v>119703146.56</v>
      </c>
      <c r="S44" s="8">
        <f t="shared" si="21"/>
        <v>119703146.56</v>
      </c>
      <c r="T44" s="8">
        <f t="shared" si="21"/>
        <v>119703146.56</v>
      </c>
      <c r="U44" s="8">
        <f t="shared" si="21"/>
        <v>119703146.56</v>
      </c>
      <c r="V44" s="8">
        <f t="shared" si="21"/>
        <v>119703146.56</v>
      </c>
      <c r="W44" s="127">
        <f t="shared" si="21"/>
        <v>119703146.56</v>
      </c>
      <c r="X44" s="8">
        <f t="shared" si="21"/>
        <v>119703146.56</v>
      </c>
      <c r="Y44" s="8">
        <f t="shared" si="21"/>
        <v>119703146.56</v>
      </c>
      <c r="Z44" s="8">
        <f t="shared" si="21"/>
        <v>119703146.56</v>
      </c>
      <c r="AA44" s="8">
        <f t="shared" si="21"/>
        <v>140158456.44</v>
      </c>
      <c r="AB44" s="8">
        <f t="shared" si="21"/>
        <v>148596015</v>
      </c>
    </row>
    <row r="45" spans="1:30">
      <c r="A45" s="11"/>
      <c r="B45" s="7" t="s">
        <v>48</v>
      </c>
      <c r="C45" s="9">
        <v>77497514.950000003</v>
      </c>
      <c r="D45" s="9">
        <v>77497514.950000003</v>
      </c>
      <c r="E45" s="9">
        <v>77497514.950000003</v>
      </c>
      <c r="F45" s="9">
        <v>77497514.950000003</v>
      </c>
      <c r="G45" s="9">
        <v>77497514.950000003</v>
      </c>
      <c r="H45" s="9">
        <v>77497514.950000003</v>
      </c>
      <c r="I45" s="100">
        <v>77497514.950000003</v>
      </c>
      <c r="J45" s="102">
        <v>77497514.950000003</v>
      </c>
      <c r="K45" s="102">
        <v>77497514.950000003</v>
      </c>
      <c r="L45" s="102">
        <v>77497514.950000003</v>
      </c>
      <c r="M45" s="102">
        <v>77497514.950000003</v>
      </c>
      <c r="N45" s="105">
        <v>90783146.560000002</v>
      </c>
      <c r="O45" s="149">
        <v>90783146</v>
      </c>
      <c r="P45" s="140">
        <v>90783146.560000002</v>
      </c>
      <c r="Q45" s="110">
        <v>90783146.560000002</v>
      </c>
      <c r="R45" s="110">
        <v>90783146.560000002</v>
      </c>
      <c r="S45" s="110">
        <v>90783146.560000002</v>
      </c>
      <c r="T45" s="110">
        <v>90783146.560000002</v>
      </c>
      <c r="U45" s="110">
        <v>90783146.560000002</v>
      </c>
      <c r="V45" s="115">
        <v>90783146.560000002</v>
      </c>
      <c r="W45" s="121">
        <v>90783146.560000002</v>
      </c>
      <c r="X45" s="113">
        <v>90783146.560000002</v>
      </c>
      <c r="Y45" s="113">
        <v>90783146.560000002</v>
      </c>
      <c r="Z45" s="113">
        <v>90783146.560000002</v>
      </c>
      <c r="AA45" s="113">
        <v>105735696.65000001</v>
      </c>
      <c r="AB45" s="136">
        <v>106217077</v>
      </c>
    </row>
    <row r="46" spans="1:30">
      <c r="A46" s="11"/>
      <c r="B46" s="7" t="s">
        <v>49</v>
      </c>
      <c r="C46" s="9">
        <v>28920000</v>
      </c>
      <c r="D46" s="9">
        <v>28920000</v>
      </c>
      <c r="E46" s="9">
        <v>28920000</v>
      </c>
      <c r="F46" s="9">
        <v>28920000</v>
      </c>
      <c r="G46" s="9">
        <v>28920000</v>
      </c>
      <c r="H46" s="9">
        <v>28920000</v>
      </c>
      <c r="I46" s="100">
        <v>28920000</v>
      </c>
      <c r="J46" s="102">
        <v>28920000</v>
      </c>
      <c r="K46" s="102">
        <v>28920000</v>
      </c>
      <c r="L46" s="102">
        <v>28920000</v>
      </c>
      <c r="M46" s="102">
        <v>28920000</v>
      </c>
      <c r="N46" s="105">
        <v>28920000</v>
      </c>
      <c r="O46" s="149">
        <v>28920000</v>
      </c>
      <c r="P46" s="140">
        <v>28920000</v>
      </c>
      <c r="Q46" s="110">
        <v>28920000</v>
      </c>
      <c r="R46" s="110">
        <v>28920000</v>
      </c>
      <c r="S46" s="110">
        <v>28920000</v>
      </c>
      <c r="T46" s="110">
        <v>28920000</v>
      </c>
      <c r="U46" s="110">
        <v>28920000</v>
      </c>
      <c r="V46" s="115">
        <v>28920000</v>
      </c>
      <c r="W46" s="122">
        <v>28920000</v>
      </c>
      <c r="X46" s="113">
        <v>28920000</v>
      </c>
      <c r="Y46" s="113">
        <v>28920000</v>
      </c>
      <c r="Z46" s="113">
        <v>28920000</v>
      </c>
      <c r="AA46" s="113">
        <v>28920000</v>
      </c>
      <c r="AB46" s="136">
        <v>28920000</v>
      </c>
    </row>
    <row r="47" spans="1:30">
      <c r="A47" s="11"/>
      <c r="B47" s="7" t="s">
        <v>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106">
        <v>0</v>
      </c>
      <c r="O47" s="150">
        <v>0</v>
      </c>
      <c r="P47" s="140">
        <v>0</v>
      </c>
      <c r="Q47" s="110">
        <v>0</v>
      </c>
      <c r="R47" s="110">
        <v>0</v>
      </c>
      <c r="S47" s="110">
        <v>0</v>
      </c>
      <c r="T47" s="110">
        <v>0</v>
      </c>
      <c r="U47" s="110">
        <v>0</v>
      </c>
      <c r="V47" s="115">
        <v>0</v>
      </c>
      <c r="W47" s="125">
        <v>0</v>
      </c>
      <c r="X47" s="113">
        <v>0</v>
      </c>
      <c r="Y47" s="113">
        <v>0</v>
      </c>
      <c r="Z47" s="113">
        <v>0</v>
      </c>
      <c r="AA47" s="113">
        <v>0</v>
      </c>
      <c r="AB47" s="136">
        <v>5627173</v>
      </c>
    </row>
    <row r="48" spans="1:30">
      <c r="A48" s="11"/>
      <c r="B48" s="7" t="s">
        <v>51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9">
        <v>0</v>
      </c>
      <c r="J48" s="101">
        <v>0</v>
      </c>
      <c r="K48" s="101">
        <v>0</v>
      </c>
      <c r="L48" s="101">
        <v>0</v>
      </c>
      <c r="M48" s="101">
        <v>0</v>
      </c>
      <c r="N48" s="106">
        <v>5405179.3799999999</v>
      </c>
      <c r="O48" s="149">
        <v>7427169</v>
      </c>
      <c r="P48" s="146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6">
        <v>0</v>
      </c>
      <c r="W48" s="125">
        <v>0</v>
      </c>
      <c r="X48" s="133">
        <v>0</v>
      </c>
      <c r="Y48" s="133">
        <v>0</v>
      </c>
      <c r="Z48" s="133">
        <v>0</v>
      </c>
      <c r="AA48" s="134">
        <v>5502759.79</v>
      </c>
      <c r="AB48" s="136">
        <v>7831765</v>
      </c>
    </row>
    <row r="49" spans="1:28">
      <c r="A49" s="11"/>
      <c r="B49" s="7" t="s">
        <v>52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9">
        <v>0</v>
      </c>
      <c r="J49" s="101">
        <v>0</v>
      </c>
      <c r="K49" s="101">
        <v>0</v>
      </c>
      <c r="L49" s="101">
        <v>0</v>
      </c>
      <c r="M49" s="101">
        <v>0</v>
      </c>
      <c r="N49" s="106">
        <v>0</v>
      </c>
      <c r="O49" s="150">
        <v>0</v>
      </c>
      <c r="P49" s="146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6">
        <v>0</v>
      </c>
      <c r="W49" s="125">
        <v>0</v>
      </c>
      <c r="X49" s="133">
        <v>0</v>
      </c>
      <c r="Y49" s="133">
        <v>0</v>
      </c>
      <c r="Z49" s="133">
        <v>0</v>
      </c>
      <c r="AA49" s="133">
        <v>0</v>
      </c>
      <c r="AB49" s="133">
        <v>0</v>
      </c>
    </row>
    <row r="50" spans="1:28">
      <c r="A50" s="11"/>
      <c r="B50" s="10" t="s">
        <v>53</v>
      </c>
      <c r="C50" s="8">
        <f t="shared" ref="C50:F50" si="22">SUM(C39+C40+C41+C44)</f>
        <v>378376373.72999996</v>
      </c>
      <c r="D50" s="8">
        <f t="shared" si="22"/>
        <v>375986805.19</v>
      </c>
      <c r="E50" s="8">
        <f t="shared" si="22"/>
        <v>380733813.54999995</v>
      </c>
      <c r="F50" s="8">
        <f t="shared" si="22"/>
        <v>384401967.08999997</v>
      </c>
      <c r="G50" s="8">
        <f t="shared" ref="G50:H50" si="23">SUM(G39+G40+G41+G44)</f>
        <v>387467026.68000001</v>
      </c>
      <c r="H50" s="8">
        <f t="shared" si="23"/>
        <v>390845377.75999993</v>
      </c>
      <c r="I50" s="8">
        <f t="shared" ref="I50:U50" si="24">SUM(I39+I40+I41+I44)</f>
        <v>398087579.44</v>
      </c>
      <c r="J50" s="8">
        <f t="shared" si="24"/>
        <v>421279265.38999999</v>
      </c>
      <c r="K50" s="8">
        <f t="shared" si="24"/>
        <v>424155846.57999998</v>
      </c>
      <c r="L50" s="8">
        <f t="shared" si="24"/>
        <v>419861604.42999995</v>
      </c>
      <c r="M50" s="8">
        <f t="shared" si="24"/>
        <v>429018181.56999999</v>
      </c>
      <c r="N50" s="8">
        <f t="shared" ref="N50:O50" si="25">SUM(N39+N40+N41+N44)</f>
        <v>434806717.44999999</v>
      </c>
      <c r="O50" s="8">
        <f t="shared" si="25"/>
        <v>436828706</v>
      </c>
      <c r="P50" s="8">
        <f t="shared" si="24"/>
        <v>434803419.28000003</v>
      </c>
      <c r="Q50" s="8">
        <f t="shared" si="24"/>
        <v>444253093.39000005</v>
      </c>
      <c r="R50" s="8">
        <f t="shared" si="24"/>
        <v>441500050.76000005</v>
      </c>
      <c r="S50" s="8">
        <f t="shared" si="24"/>
        <v>445918035.69999999</v>
      </c>
      <c r="T50" s="8">
        <f t="shared" si="24"/>
        <v>470603987.14000005</v>
      </c>
      <c r="U50" s="8">
        <f t="shared" si="24"/>
        <v>475425102.82999998</v>
      </c>
      <c r="V50" s="8">
        <f t="shared" ref="V50:AA50" si="26">SUM(V39+V40+V41+V44)</f>
        <v>478351550.80000001</v>
      </c>
      <c r="W50" s="127">
        <f t="shared" si="26"/>
        <v>488177395.83000004</v>
      </c>
      <c r="X50" s="8">
        <f t="shared" si="26"/>
        <v>486045198.69</v>
      </c>
      <c r="Y50" s="8">
        <f t="shared" si="26"/>
        <v>489213162.27000004</v>
      </c>
      <c r="Z50" s="8">
        <f t="shared" si="26"/>
        <v>489710004.76999998</v>
      </c>
      <c r="AA50" s="8">
        <f t="shared" si="26"/>
        <v>502811087.13999999</v>
      </c>
      <c r="AB50" s="8">
        <f t="shared" ref="AB50" si="27">SUM(AB39+AB40+AB41+AB44)</f>
        <v>511267335</v>
      </c>
    </row>
    <row r="51" spans="1:28">
      <c r="A51" s="11"/>
      <c r="B51" s="10" t="s">
        <v>54</v>
      </c>
      <c r="C51" s="8">
        <f t="shared" ref="C51:F51" si="28">SUM(C38+C50)</f>
        <v>1485646310.52</v>
      </c>
      <c r="D51" s="8">
        <f t="shared" si="28"/>
        <v>1459740880.3000002</v>
      </c>
      <c r="E51" s="8">
        <f t="shared" si="28"/>
        <v>1463540955.6900001</v>
      </c>
      <c r="F51" s="8">
        <f t="shared" si="28"/>
        <v>1470089455.3099999</v>
      </c>
      <c r="G51" s="8">
        <f t="shared" ref="G51:H51" si="29">SUM(G38+G50)</f>
        <v>1491429933.6700001</v>
      </c>
      <c r="H51" s="8">
        <f t="shared" si="29"/>
        <v>1507068948.5799999</v>
      </c>
      <c r="I51" s="8">
        <f t="shared" ref="I51:U51" si="30">SUM(I38+I50)</f>
        <v>1526247359.3199999</v>
      </c>
      <c r="J51" s="8">
        <f t="shared" si="30"/>
        <v>1627252030.8499999</v>
      </c>
      <c r="K51" s="8">
        <f t="shared" si="30"/>
        <v>1632865133.54</v>
      </c>
      <c r="L51" s="8">
        <f t="shared" si="30"/>
        <v>1636270145.3099999</v>
      </c>
      <c r="M51" s="8">
        <f t="shared" si="30"/>
        <v>1745040635.1899998</v>
      </c>
      <c r="N51" s="8">
        <f t="shared" ref="N51:O51" si="31">SUM(N38+N50)</f>
        <v>1664179518.03</v>
      </c>
      <c r="O51" s="8">
        <f t="shared" si="31"/>
        <v>1664179518</v>
      </c>
      <c r="P51" s="8">
        <f t="shared" si="30"/>
        <v>1680905496.3900001</v>
      </c>
      <c r="Q51" s="8">
        <f t="shared" si="30"/>
        <v>1658133632.6600001</v>
      </c>
      <c r="R51" s="8">
        <f t="shared" si="30"/>
        <v>1663568543.75</v>
      </c>
      <c r="S51" s="8">
        <f t="shared" si="30"/>
        <v>1768763637.3599999</v>
      </c>
      <c r="T51" s="8">
        <f t="shared" si="30"/>
        <v>1876381307.6300001</v>
      </c>
      <c r="U51" s="8">
        <f t="shared" si="30"/>
        <v>1952125755.29</v>
      </c>
      <c r="V51" s="8">
        <f t="shared" ref="V51:AA51" si="32">SUM(V38+V50)</f>
        <v>1870618932.3799999</v>
      </c>
      <c r="W51" s="127">
        <f t="shared" si="32"/>
        <v>1888342034.0299997</v>
      </c>
      <c r="X51" s="8">
        <f t="shared" si="32"/>
        <v>1911446997.05</v>
      </c>
      <c r="Y51" s="8">
        <f t="shared" si="32"/>
        <v>1930238612.0799999</v>
      </c>
      <c r="Z51" s="8">
        <f t="shared" si="32"/>
        <v>1959569533.27</v>
      </c>
      <c r="AA51" s="8">
        <f t="shared" si="32"/>
        <v>1949242503.4899998</v>
      </c>
      <c r="AB51" s="8">
        <f t="shared" ref="AB51" si="33">SUM(AB38+AB50)</f>
        <v>1955372558</v>
      </c>
    </row>
    <row r="52" spans="1:28">
      <c r="A52" s="1"/>
      <c r="B52" s="3"/>
      <c r="C52" s="3"/>
      <c r="D52" s="3"/>
      <c r="E52" s="3"/>
      <c r="F52" s="3"/>
      <c r="G52" s="3"/>
      <c r="O52" s="151">
        <f t="shared" ref="O52:AA52" si="34">O26-O51</f>
        <v>1</v>
      </c>
      <c r="P52" s="151">
        <f t="shared" si="34"/>
        <v>0</v>
      </c>
      <c r="Q52" s="151">
        <f t="shared" si="34"/>
        <v>0</v>
      </c>
      <c r="R52" s="151">
        <f t="shared" si="34"/>
        <v>0</v>
      </c>
      <c r="S52" s="151">
        <f t="shared" si="34"/>
        <v>0</v>
      </c>
      <c r="T52" s="151">
        <f t="shared" si="34"/>
        <v>0</v>
      </c>
      <c r="U52" s="151">
        <f t="shared" si="34"/>
        <v>0</v>
      </c>
      <c r="V52" s="151">
        <f t="shared" si="34"/>
        <v>0</v>
      </c>
      <c r="W52" s="151">
        <f t="shared" si="34"/>
        <v>0</v>
      </c>
      <c r="X52" s="151">
        <f t="shared" si="34"/>
        <v>0</v>
      </c>
      <c r="Y52" s="151">
        <f t="shared" si="34"/>
        <v>0</v>
      </c>
      <c r="Z52" s="151">
        <f t="shared" si="34"/>
        <v>0</v>
      </c>
      <c r="AA52" s="151">
        <f t="shared" si="34"/>
        <v>0</v>
      </c>
      <c r="AB52" s="151">
        <f>AB26-AB51</f>
        <v>2</v>
      </c>
    </row>
    <row r="53" spans="1:28">
      <c r="A53" s="1"/>
      <c r="B53" s="3"/>
      <c r="C53" s="3"/>
      <c r="D53" s="3"/>
      <c r="E53" s="3"/>
      <c r="F53" s="3"/>
      <c r="G53" s="3"/>
    </row>
    <row r="56" spans="1:28">
      <c r="O56" s="10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"/>
  <sheetViews>
    <sheetView workbookViewId="0">
      <pane xSplit="2" ySplit="2" topLeftCell="L13" activePane="bottomRight" state="frozen"/>
      <selection pane="bottomRight" activeCell="AC32" sqref="AC32"/>
      <selection pane="bottomLeft"/>
      <selection pane="topRight"/>
    </sheetView>
  </sheetViews>
  <sheetFormatPr defaultColWidth="9.140625" defaultRowHeight="13.9"/>
  <cols>
    <col min="1" max="1" width="9.28515625" style="17" bestFit="1" customWidth="1"/>
    <col min="2" max="2" width="68.28515625" style="17" bestFit="1" customWidth="1"/>
    <col min="3" max="6" width="17.140625" style="17" hidden="1" customWidth="1"/>
    <col min="7" max="7" width="19" style="17" hidden="1" customWidth="1"/>
    <col min="8" max="14" width="16.7109375" style="17" hidden="1" customWidth="1"/>
    <col min="15" max="15" width="18" style="155" bestFit="1" customWidth="1"/>
    <col min="16" max="17" width="16.5703125" style="155" hidden="1" customWidth="1"/>
    <col min="18" max="18" width="16.5703125" style="155" bestFit="1" customWidth="1"/>
    <col min="19" max="19" width="16.5703125" style="155" hidden="1" customWidth="1"/>
    <col min="20" max="20" width="18" style="155" hidden="1" customWidth="1"/>
    <col min="21" max="21" width="18" style="155" bestFit="1" customWidth="1"/>
    <col min="22" max="22" width="17.5703125" style="155" hidden="1" customWidth="1"/>
    <col min="23" max="23" width="19.140625" style="155" hidden="1" customWidth="1"/>
    <col min="24" max="24" width="15.28515625" style="155" bestFit="1" customWidth="1"/>
    <col min="25" max="26" width="15.28515625" style="155" hidden="1" customWidth="1"/>
    <col min="27" max="28" width="15.28515625" style="155" bestFit="1" customWidth="1"/>
    <col min="29" max="16384" width="9.140625" style="17"/>
  </cols>
  <sheetData>
    <row r="1" spans="1:28">
      <c r="A1" s="66" t="s">
        <v>0</v>
      </c>
      <c r="B1" s="66"/>
      <c r="C1" s="3"/>
      <c r="D1" s="3"/>
      <c r="E1" s="3"/>
      <c r="F1" s="3"/>
      <c r="G1" s="3"/>
    </row>
    <row r="2" spans="1:28">
      <c r="A2" s="27" t="s">
        <v>55</v>
      </c>
      <c r="B2" s="28"/>
      <c r="C2" s="3"/>
      <c r="D2" s="3"/>
      <c r="E2" s="3"/>
      <c r="F2" s="3"/>
      <c r="G2" s="3"/>
    </row>
    <row r="3" spans="1:28">
      <c r="A3" s="19" t="s">
        <v>2</v>
      </c>
      <c r="B3" s="19"/>
      <c r="C3" s="153">
        <v>44197</v>
      </c>
      <c r="D3" s="153">
        <v>44228</v>
      </c>
      <c r="E3" s="153">
        <v>44256</v>
      </c>
      <c r="F3" s="153">
        <v>44287</v>
      </c>
      <c r="G3" s="153">
        <v>44317</v>
      </c>
      <c r="H3" s="153">
        <v>44348</v>
      </c>
      <c r="I3" s="153">
        <v>44378</v>
      </c>
      <c r="J3" s="153">
        <v>44409</v>
      </c>
      <c r="K3" s="153">
        <v>44440</v>
      </c>
      <c r="L3" s="153">
        <v>44470</v>
      </c>
      <c r="M3" s="153">
        <v>44501</v>
      </c>
      <c r="N3" s="153">
        <v>44531</v>
      </c>
      <c r="O3" s="156" t="s">
        <v>56</v>
      </c>
      <c r="P3" s="157">
        <v>44583</v>
      </c>
      <c r="Q3" s="157">
        <v>44614</v>
      </c>
      <c r="R3" s="157">
        <v>44642</v>
      </c>
      <c r="S3" s="157">
        <v>44673</v>
      </c>
      <c r="T3" s="157">
        <v>44703</v>
      </c>
      <c r="U3" s="157">
        <v>44734</v>
      </c>
      <c r="V3" s="157">
        <v>44764</v>
      </c>
      <c r="W3" s="157">
        <v>44795</v>
      </c>
      <c r="X3" s="157">
        <v>44826</v>
      </c>
      <c r="Y3" s="157">
        <v>44856</v>
      </c>
      <c r="Z3" s="157">
        <v>44887</v>
      </c>
      <c r="AA3" s="157">
        <v>44917</v>
      </c>
      <c r="AB3" s="158" t="s">
        <v>4</v>
      </c>
    </row>
    <row r="4" spans="1:28" ht="12.75" customHeight="1">
      <c r="A4" s="29">
        <v>1</v>
      </c>
      <c r="B4" s="30" t="s">
        <v>57</v>
      </c>
      <c r="C4" s="31">
        <v>14471109.369999999</v>
      </c>
      <c r="D4" s="31">
        <v>28615378.16</v>
      </c>
      <c r="E4" s="31">
        <v>44269173.979999997</v>
      </c>
      <c r="F4" s="31">
        <v>58902229.950000003</v>
      </c>
      <c r="G4" s="31">
        <v>73068773.030000001</v>
      </c>
      <c r="H4" s="31">
        <v>87808119.269999996</v>
      </c>
      <c r="I4" s="31">
        <v>104235289.84999999</v>
      </c>
      <c r="J4" s="31">
        <v>147890427.12</v>
      </c>
      <c r="K4" s="31">
        <v>165930636.38</v>
      </c>
      <c r="L4" s="31">
        <v>180483098.02000001</v>
      </c>
      <c r="M4" s="31">
        <v>195248948.13999999</v>
      </c>
      <c r="N4" s="31">
        <v>228560741.63</v>
      </c>
      <c r="O4" s="161">
        <f>O5+O8</f>
        <v>226923792</v>
      </c>
      <c r="P4" s="161">
        <f t="shared" ref="P4:U4" si="0">P5+P8</f>
        <v>21341697.469999999</v>
      </c>
      <c r="Q4" s="161">
        <f t="shared" si="0"/>
        <v>36191424.379999995</v>
      </c>
      <c r="R4" s="161">
        <f t="shared" si="0"/>
        <v>51638520.390000001</v>
      </c>
      <c r="S4" s="161">
        <f t="shared" si="0"/>
        <v>68934120.340000004</v>
      </c>
      <c r="T4" s="161">
        <f t="shared" si="0"/>
        <v>117745657.88</v>
      </c>
      <c r="U4" s="161">
        <f t="shared" si="0"/>
        <v>142471746.83000001</v>
      </c>
      <c r="V4" s="161">
        <f t="shared" ref="V4:AA4" si="1">V5+V8</f>
        <v>169186493.65000001</v>
      </c>
      <c r="W4" s="161">
        <f t="shared" si="1"/>
        <v>186928756.94</v>
      </c>
      <c r="X4" s="161">
        <f t="shared" ref="X4:AA4" si="2">X5+X8</f>
        <v>204243782.97999999</v>
      </c>
      <c r="Y4" s="161">
        <f t="shared" si="2"/>
        <v>222482764.69999999</v>
      </c>
      <c r="Z4" s="161">
        <f t="shared" si="2"/>
        <v>239802800</v>
      </c>
      <c r="AA4" s="161">
        <f t="shared" si="2"/>
        <v>274907943.22000003</v>
      </c>
      <c r="AB4" s="159">
        <f t="shared" ref="AB4" si="3">AB5+AB8</f>
        <v>273371575</v>
      </c>
    </row>
    <row r="5" spans="1:28" ht="14.45">
      <c r="A5" s="66">
        <v>2</v>
      </c>
      <c r="B5" s="30" t="s">
        <v>58</v>
      </c>
      <c r="C5" s="72">
        <v>12658619.300000001</v>
      </c>
      <c r="D5" s="72">
        <v>25469317.550000001</v>
      </c>
      <c r="E5" s="72">
        <v>39204637.979999997</v>
      </c>
      <c r="F5" s="72">
        <v>51495041.299999997</v>
      </c>
      <c r="G5" s="83">
        <v>64385950.82</v>
      </c>
      <c r="H5" s="88">
        <v>77857553.769999996</v>
      </c>
      <c r="I5" s="88">
        <v>92499583.730000004</v>
      </c>
      <c r="J5" s="88">
        <v>134906932.58000001</v>
      </c>
      <c r="K5" s="88">
        <v>151739454.66</v>
      </c>
      <c r="L5" s="88">
        <v>163919081.03999999</v>
      </c>
      <c r="M5" s="88">
        <v>177036213.34999999</v>
      </c>
      <c r="N5" s="152">
        <v>207366236.83000001</v>
      </c>
      <c r="O5" s="161">
        <f t="shared" ref="O5:U5" si="4">SUM(O6:O7)</f>
        <v>222413357</v>
      </c>
      <c r="P5" s="161">
        <f t="shared" si="4"/>
        <v>19326186.41</v>
      </c>
      <c r="Q5" s="161">
        <f t="shared" si="4"/>
        <v>32878481.719999999</v>
      </c>
      <c r="R5" s="161">
        <f t="shared" si="4"/>
        <v>47185955.68</v>
      </c>
      <c r="S5" s="161">
        <f t="shared" si="4"/>
        <v>62646035.170000002</v>
      </c>
      <c r="T5" s="161">
        <f t="shared" si="4"/>
        <v>110097493.22</v>
      </c>
      <c r="U5" s="161">
        <f t="shared" si="4"/>
        <v>132218523.03</v>
      </c>
      <c r="V5" s="161">
        <f t="shared" ref="V5:AA5" si="5">SUM(V6:V7)</f>
        <v>157644982.03999999</v>
      </c>
      <c r="W5" s="161">
        <f t="shared" si="5"/>
        <v>174106416.44</v>
      </c>
      <c r="X5" s="161">
        <f t="shared" ref="X5:AA5" si="6">SUM(X6:X7)</f>
        <v>190185622.75</v>
      </c>
      <c r="Y5" s="161">
        <f t="shared" si="6"/>
        <v>207030134.31</v>
      </c>
      <c r="Z5" s="161">
        <f t="shared" si="6"/>
        <v>223092453.5</v>
      </c>
      <c r="AA5" s="161">
        <f t="shared" si="6"/>
        <v>255622714.19</v>
      </c>
      <c r="AB5" s="159">
        <f t="shared" ref="AB5" si="7">SUM(AB6:AB7)</f>
        <v>269894583</v>
      </c>
    </row>
    <row r="6" spans="1:28" ht="14.45">
      <c r="A6" s="29">
        <v>2.1</v>
      </c>
      <c r="B6" s="32" t="s">
        <v>59</v>
      </c>
      <c r="C6" s="73">
        <v>12527019.300000001</v>
      </c>
      <c r="D6" s="73">
        <v>25218827.550000001</v>
      </c>
      <c r="E6" s="73">
        <v>38820697.979999997</v>
      </c>
      <c r="F6" s="73">
        <v>50965201.299999997</v>
      </c>
      <c r="G6" s="84">
        <v>63692310.82</v>
      </c>
      <c r="H6" s="88">
        <v>77005163.769999996</v>
      </c>
      <c r="I6" s="88">
        <v>91456393.730000004</v>
      </c>
      <c r="J6" s="88">
        <v>133687292.58</v>
      </c>
      <c r="K6" s="88">
        <v>150378114.66</v>
      </c>
      <c r="L6" s="88">
        <v>162436091.03999999</v>
      </c>
      <c r="M6" s="88">
        <v>175415623.34999999</v>
      </c>
      <c r="N6" s="112">
        <v>205562496.83000001</v>
      </c>
      <c r="O6" s="162">
        <v>207366237</v>
      </c>
      <c r="P6" s="163">
        <v>19225236.41</v>
      </c>
      <c r="Q6" s="163">
        <v>32660531.719999999</v>
      </c>
      <c r="R6" s="163">
        <v>46828325.68</v>
      </c>
      <c r="S6" s="163">
        <v>62106905.170000002</v>
      </c>
      <c r="T6" s="163">
        <v>109239163.22</v>
      </c>
      <c r="U6" s="163">
        <v>131163578.03</v>
      </c>
      <c r="V6" s="164">
        <v>156424887.03999999</v>
      </c>
      <c r="W6" s="165">
        <v>172702571.44</v>
      </c>
      <c r="X6" s="164">
        <v>188621427.75</v>
      </c>
      <c r="Y6" s="164">
        <v>205314289.31</v>
      </c>
      <c r="Z6" s="164">
        <v>221244758.5</v>
      </c>
      <c r="AA6" s="177">
        <v>253651119.19</v>
      </c>
      <c r="AB6" s="139">
        <v>255622714</v>
      </c>
    </row>
    <row r="7" spans="1:28" ht="14.45">
      <c r="A7" s="29">
        <v>2.2000000000000002</v>
      </c>
      <c r="B7" s="32" t="s">
        <v>60</v>
      </c>
      <c r="C7" s="73">
        <v>131600</v>
      </c>
      <c r="D7" s="73">
        <v>250490</v>
      </c>
      <c r="E7" s="73">
        <v>383940</v>
      </c>
      <c r="F7" s="73">
        <v>529840</v>
      </c>
      <c r="G7" s="84">
        <v>693640</v>
      </c>
      <c r="H7" s="88">
        <v>852390</v>
      </c>
      <c r="I7" s="88">
        <v>1043190</v>
      </c>
      <c r="J7" s="88">
        <v>1219640</v>
      </c>
      <c r="K7" s="88">
        <v>1361340</v>
      </c>
      <c r="L7" s="88">
        <v>1482990</v>
      </c>
      <c r="M7" s="88">
        <v>1620590</v>
      </c>
      <c r="N7" s="112">
        <v>1803740</v>
      </c>
      <c r="O7" s="166">
        <v>15047120</v>
      </c>
      <c r="P7" s="163">
        <v>100950</v>
      </c>
      <c r="Q7" s="163">
        <v>217950</v>
      </c>
      <c r="R7" s="163">
        <v>357630</v>
      </c>
      <c r="S7" s="163">
        <v>539130</v>
      </c>
      <c r="T7" s="163">
        <v>858330</v>
      </c>
      <c r="U7" s="163">
        <v>1054945</v>
      </c>
      <c r="V7" s="164">
        <v>1220095</v>
      </c>
      <c r="W7" s="167">
        <v>1403845</v>
      </c>
      <c r="X7" s="164">
        <v>1564195</v>
      </c>
      <c r="Y7" s="164">
        <v>1715845</v>
      </c>
      <c r="Z7" s="164">
        <v>1847695</v>
      </c>
      <c r="AA7" s="177">
        <v>1971595</v>
      </c>
      <c r="AB7" s="139">
        <v>14271869</v>
      </c>
    </row>
    <row r="8" spans="1:28" ht="14.45">
      <c r="A8" s="29">
        <v>3</v>
      </c>
      <c r="B8" s="30" t="s">
        <v>61</v>
      </c>
      <c r="C8" s="33">
        <v>0</v>
      </c>
      <c r="D8" s="33">
        <v>0</v>
      </c>
      <c r="E8" s="33">
        <v>693880</v>
      </c>
      <c r="F8" s="33">
        <v>1826143.8</v>
      </c>
      <c r="G8" s="85">
        <v>1826143.8</v>
      </c>
      <c r="H8" s="89">
        <v>1826143.8</v>
      </c>
      <c r="I8" s="89">
        <v>2322505.0499999998</v>
      </c>
      <c r="J8" s="89">
        <v>2322505.0499999998</v>
      </c>
      <c r="K8" s="89">
        <v>2322505.0499999998</v>
      </c>
      <c r="L8" s="89">
        <v>2848681.41</v>
      </c>
      <c r="M8" s="89">
        <v>2848681.41</v>
      </c>
      <c r="N8" s="89">
        <v>4005306.65</v>
      </c>
      <c r="O8" s="161">
        <f t="shared" ref="O8:AB8" si="8">SUM(O9:O12)</f>
        <v>4510435</v>
      </c>
      <c r="P8" s="161">
        <f t="shared" si="8"/>
        <v>2015511.06</v>
      </c>
      <c r="Q8" s="161">
        <f t="shared" si="8"/>
        <v>3312942.66</v>
      </c>
      <c r="R8" s="161">
        <f t="shared" si="8"/>
        <v>4452564.71</v>
      </c>
      <c r="S8" s="161">
        <f t="shared" si="8"/>
        <v>6288085.1699999999</v>
      </c>
      <c r="T8" s="161">
        <f t="shared" si="8"/>
        <v>7648164.6600000001</v>
      </c>
      <c r="U8" s="161">
        <f t="shared" si="8"/>
        <v>10253223.800000001</v>
      </c>
      <c r="V8" s="161">
        <f t="shared" si="8"/>
        <v>11541511.610000001</v>
      </c>
      <c r="W8" s="161">
        <f t="shared" si="8"/>
        <v>12822340.5</v>
      </c>
      <c r="X8" s="161">
        <f t="shared" si="8"/>
        <v>14058160.23</v>
      </c>
      <c r="Y8" s="161">
        <f t="shared" si="8"/>
        <v>15452630.390000001</v>
      </c>
      <c r="Z8" s="161">
        <f t="shared" si="8"/>
        <v>16710346.5</v>
      </c>
      <c r="AA8" s="178">
        <f t="shared" si="8"/>
        <v>19285229.030000001</v>
      </c>
      <c r="AB8" s="159">
        <f t="shared" si="8"/>
        <v>3476992</v>
      </c>
    </row>
    <row r="9" spans="1:28">
      <c r="A9" s="29">
        <v>3.1</v>
      </c>
      <c r="B9" s="32" t="s">
        <v>62</v>
      </c>
      <c r="C9" s="73">
        <v>0</v>
      </c>
      <c r="D9" s="73">
        <v>0</v>
      </c>
      <c r="E9" s="73">
        <v>0</v>
      </c>
      <c r="F9" s="73">
        <v>0</v>
      </c>
      <c r="G9" s="84">
        <v>0</v>
      </c>
      <c r="H9" s="88">
        <v>0</v>
      </c>
      <c r="I9" s="88">
        <v>0</v>
      </c>
      <c r="J9" s="88">
        <v>0</v>
      </c>
      <c r="K9" s="88">
        <v>0</v>
      </c>
      <c r="L9" s="88">
        <v>0</v>
      </c>
      <c r="M9" s="88">
        <v>0</v>
      </c>
      <c r="N9" s="112">
        <v>0</v>
      </c>
      <c r="O9" s="162"/>
      <c r="P9" s="163">
        <v>0</v>
      </c>
      <c r="Q9" s="163">
        <v>0</v>
      </c>
      <c r="R9" s="163">
        <v>0</v>
      </c>
      <c r="S9" s="163">
        <v>0</v>
      </c>
      <c r="T9" s="163">
        <v>0</v>
      </c>
      <c r="U9" s="163">
        <v>0</v>
      </c>
      <c r="V9" s="164">
        <v>0</v>
      </c>
      <c r="W9" s="168">
        <v>0</v>
      </c>
      <c r="X9" s="164">
        <v>0</v>
      </c>
      <c r="Y9" s="164">
        <v>0</v>
      </c>
      <c r="Z9" s="164">
        <v>0</v>
      </c>
      <c r="AA9" s="177">
        <v>0</v>
      </c>
      <c r="AB9" s="180">
        <v>0</v>
      </c>
    </row>
    <row r="10" spans="1:28">
      <c r="A10" s="29">
        <v>3.2</v>
      </c>
      <c r="B10" s="32" t="s">
        <v>63</v>
      </c>
      <c r="C10" s="73">
        <v>0</v>
      </c>
      <c r="D10" s="73">
        <v>0</v>
      </c>
      <c r="E10" s="73">
        <v>0</v>
      </c>
      <c r="F10" s="73">
        <v>0</v>
      </c>
      <c r="G10" s="84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112">
        <v>0</v>
      </c>
      <c r="O10" s="162"/>
      <c r="P10" s="163">
        <v>0</v>
      </c>
      <c r="Q10" s="163">
        <v>0</v>
      </c>
      <c r="R10" s="163">
        <v>0</v>
      </c>
      <c r="S10" s="163">
        <v>0</v>
      </c>
      <c r="T10" s="163">
        <v>0</v>
      </c>
      <c r="U10" s="163">
        <v>0</v>
      </c>
      <c r="V10" s="164">
        <v>0</v>
      </c>
      <c r="W10" s="169">
        <v>0</v>
      </c>
      <c r="X10" s="164">
        <v>0</v>
      </c>
      <c r="Y10" s="164">
        <v>0</v>
      </c>
      <c r="Z10" s="164">
        <v>0</v>
      </c>
      <c r="AA10" s="177">
        <v>0</v>
      </c>
      <c r="AB10" s="180">
        <v>0</v>
      </c>
    </row>
    <row r="11" spans="1:28">
      <c r="A11" s="29">
        <v>3.3</v>
      </c>
      <c r="B11" s="32" t="s">
        <v>64</v>
      </c>
      <c r="C11" s="73">
        <v>0</v>
      </c>
      <c r="D11" s="73">
        <v>0</v>
      </c>
      <c r="E11" s="73">
        <v>693880</v>
      </c>
      <c r="F11" s="73">
        <v>1826143.8</v>
      </c>
      <c r="G11" s="84">
        <v>1826143.8</v>
      </c>
      <c r="H11" s="88">
        <v>1826143.8</v>
      </c>
      <c r="I11" s="88">
        <v>2322505.0499999998</v>
      </c>
      <c r="J11" s="88">
        <v>2322505.0499999998</v>
      </c>
      <c r="K11" s="88">
        <v>2322505.0499999998</v>
      </c>
      <c r="L11" s="88">
        <v>2848681.41</v>
      </c>
      <c r="M11" s="88">
        <v>2848681.41</v>
      </c>
      <c r="N11" s="112">
        <v>4005306.65</v>
      </c>
      <c r="O11" s="162">
        <v>4005307</v>
      </c>
      <c r="P11" s="163">
        <v>0</v>
      </c>
      <c r="Q11" s="163">
        <v>0</v>
      </c>
      <c r="R11" s="163">
        <v>0</v>
      </c>
      <c r="S11" s="163">
        <v>607129.9</v>
      </c>
      <c r="T11" s="163">
        <v>607129.9</v>
      </c>
      <c r="U11" s="163">
        <v>1891091.22</v>
      </c>
      <c r="V11" s="164">
        <v>1891091.22</v>
      </c>
      <c r="W11" s="167">
        <v>1891091.22</v>
      </c>
      <c r="X11" s="164">
        <v>1891091.22</v>
      </c>
      <c r="Y11" s="164">
        <v>2082924.09</v>
      </c>
      <c r="Z11" s="164">
        <v>2082925.55</v>
      </c>
      <c r="AA11" s="177">
        <v>3222122.62</v>
      </c>
      <c r="AB11" s="181">
        <v>3222123</v>
      </c>
    </row>
    <row r="12" spans="1:28">
      <c r="A12" s="29">
        <v>3.4</v>
      </c>
      <c r="B12" s="34" t="s">
        <v>65</v>
      </c>
      <c r="C12" s="72">
        <v>1812490.07</v>
      </c>
      <c r="D12" s="72">
        <v>3146060.61</v>
      </c>
      <c r="E12" s="72">
        <v>4370656</v>
      </c>
      <c r="F12" s="72">
        <v>5581044.8499999996</v>
      </c>
      <c r="G12" s="83">
        <v>6856678.4100000001</v>
      </c>
      <c r="H12" s="88">
        <v>8124421.7000000002</v>
      </c>
      <c r="I12" s="88">
        <v>9413201.0700000003</v>
      </c>
      <c r="J12" s="88">
        <v>10660989.49</v>
      </c>
      <c r="K12" s="88">
        <v>11868676.67</v>
      </c>
      <c r="L12" s="88">
        <v>13715335.57</v>
      </c>
      <c r="M12" s="88">
        <v>15364053.380000001</v>
      </c>
      <c r="N12" s="152">
        <v>17189198.149999999</v>
      </c>
      <c r="O12" s="162">
        <f>448000+57128</f>
        <v>505128</v>
      </c>
      <c r="P12" s="170">
        <v>2015511.06</v>
      </c>
      <c r="Q12" s="170">
        <v>3312942.66</v>
      </c>
      <c r="R12" s="170">
        <v>4452564.71</v>
      </c>
      <c r="S12" s="170">
        <v>5680955.2699999996</v>
      </c>
      <c r="T12" s="170">
        <v>7041034.7599999998</v>
      </c>
      <c r="U12" s="170">
        <v>8362132.5800000001</v>
      </c>
      <c r="V12" s="171">
        <v>9650420.3900000006</v>
      </c>
      <c r="W12" s="172">
        <v>10931249.279999999</v>
      </c>
      <c r="X12" s="171">
        <v>12167069.01</v>
      </c>
      <c r="Y12" s="171">
        <v>13369706.300000001</v>
      </c>
      <c r="Z12" s="171">
        <v>14627420.949999999</v>
      </c>
      <c r="AA12" s="179">
        <v>16063106.41</v>
      </c>
      <c r="AB12" s="181">
        <v>254869</v>
      </c>
    </row>
    <row r="13" spans="1:28" ht="14.45">
      <c r="A13" s="29">
        <v>4</v>
      </c>
      <c r="B13" s="30" t="s">
        <v>66</v>
      </c>
      <c r="C13" s="33">
        <v>1047077.55</v>
      </c>
      <c r="D13" s="33">
        <v>14817643.380000001</v>
      </c>
      <c r="E13" s="33">
        <v>23256208.890000001</v>
      </c>
      <c r="F13" s="33">
        <v>31669318.379999999</v>
      </c>
      <c r="G13" s="85">
        <v>40445389.380000003</v>
      </c>
      <c r="H13" s="90">
        <v>48899147.700000003</v>
      </c>
      <c r="I13" s="90">
        <v>55643982.43</v>
      </c>
      <c r="J13" s="90">
        <v>73769323.349999994</v>
      </c>
      <c r="K13" s="90">
        <v>84833581.329999998</v>
      </c>
      <c r="L13" s="90">
        <v>94133791.609999999</v>
      </c>
      <c r="M13" s="90">
        <v>97037734.280000001</v>
      </c>
      <c r="N13" s="90">
        <v>118621693.53</v>
      </c>
      <c r="O13" s="161">
        <f>O14+O15+O16+O17+O19</f>
        <v>107621694</v>
      </c>
      <c r="P13" s="161">
        <f t="shared" ref="P13:AB13" si="9">P14+P15+P16+P17+P19</f>
        <v>11104590.75</v>
      </c>
      <c r="Q13" s="161">
        <f t="shared" si="9"/>
        <v>14237452.809999999</v>
      </c>
      <c r="R13" s="161">
        <f t="shared" si="9"/>
        <v>30175295.930000003</v>
      </c>
      <c r="S13" s="161">
        <f t="shared" si="9"/>
        <v>37138923.880000003</v>
      </c>
      <c r="T13" s="161">
        <f t="shared" si="9"/>
        <v>58015312.310000002</v>
      </c>
      <c r="U13" s="161">
        <f t="shared" si="9"/>
        <v>71546740.079999998</v>
      </c>
      <c r="V13" s="161">
        <f t="shared" si="9"/>
        <v>92081584.25</v>
      </c>
      <c r="W13" s="161">
        <f t="shared" si="9"/>
        <v>96069870.24000001</v>
      </c>
      <c r="X13" s="161">
        <f t="shared" si="9"/>
        <v>110880047.17</v>
      </c>
      <c r="Y13" s="161">
        <f t="shared" si="9"/>
        <v>122119347.96000001</v>
      </c>
      <c r="Z13" s="161">
        <f t="shared" si="9"/>
        <v>133886218.16999999</v>
      </c>
      <c r="AA13" s="178">
        <f t="shared" si="9"/>
        <v>145283723.28999999</v>
      </c>
      <c r="AB13" s="159">
        <f t="shared" si="9"/>
        <v>145053723</v>
      </c>
    </row>
    <row r="14" spans="1:28">
      <c r="A14" s="29">
        <v>4.2</v>
      </c>
      <c r="B14" s="32" t="s">
        <v>67</v>
      </c>
      <c r="C14" s="73">
        <v>0</v>
      </c>
      <c r="D14" s="73">
        <v>11050943.039999999</v>
      </c>
      <c r="E14" s="73">
        <v>16563245.779999999</v>
      </c>
      <c r="F14" s="73">
        <v>22307154.73</v>
      </c>
      <c r="G14" s="84">
        <v>28179309.050000001</v>
      </c>
      <c r="H14" s="88">
        <v>34187076.719999999</v>
      </c>
      <c r="I14" s="88">
        <v>40176552.420000002</v>
      </c>
      <c r="J14" s="88">
        <v>46263745.280000001</v>
      </c>
      <c r="K14" s="88">
        <v>52638465.890000001</v>
      </c>
      <c r="L14" s="88">
        <v>59054512.039999999</v>
      </c>
      <c r="M14" s="88">
        <v>59054512.039999999</v>
      </c>
      <c r="N14" s="112">
        <v>73526888.590000004</v>
      </c>
      <c r="O14" s="162">
        <f>73526889+798119</f>
        <v>74325008</v>
      </c>
      <c r="P14" s="163">
        <v>6181514.5499999998</v>
      </c>
      <c r="Q14" s="163">
        <v>6181514.5499999998</v>
      </c>
      <c r="R14" s="163">
        <v>18906718.550000001</v>
      </c>
      <c r="S14" s="163">
        <v>18906718.550000001</v>
      </c>
      <c r="T14" s="163">
        <v>32872236.600000001</v>
      </c>
      <c r="U14" s="163">
        <v>40451742.490000002</v>
      </c>
      <c r="V14" s="164">
        <v>47862094.630000003</v>
      </c>
      <c r="W14" s="165">
        <v>55148772.57</v>
      </c>
      <c r="X14" s="164">
        <v>62543902.899999999</v>
      </c>
      <c r="Y14" s="164">
        <v>69896046.260000005</v>
      </c>
      <c r="Z14" s="164">
        <v>77022117.409999996</v>
      </c>
      <c r="AA14" s="177">
        <v>84691103.670000002</v>
      </c>
      <c r="AB14" s="181">
        <f>84961104+1275438</f>
        <v>86236542</v>
      </c>
    </row>
    <row r="15" spans="1:28">
      <c r="A15" s="29">
        <v>4.3</v>
      </c>
      <c r="B15" s="32" t="s">
        <v>68</v>
      </c>
      <c r="C15" s="73">
        <v>997467.57</v>
      </c>
      <c r="D15" s="73">
        <v>3722875.26</v>
      </c>
      <c r="E15" s="73">
        <v>6603350.04</v>
      </c>
      <c r="F15" s="73">
        <v>9235824.2799999993</v>
      </c>
      <c r="G15" s="84">
        <v>12096451.130000001</v>
      </c>
      <c r="H15" s="88">
        <v>14515106.300000001</v>
      </c>
      <c r="I15" s="88">
        <v>15225388.24</v>
      </c>
      <c r="J15" s="88">
        <v>22178096.27</v>
      </c>
      <c r="K15" s="88">
        <v>24825074.670000002</v>
      </c>
      <c r="L15" s="88">
        <v>27686911.41</v>
      </c>
      <c r="M15" s="88">
        <v>30548780.079999998</v>
      </c>
      <c r="N15" s="112">
        <v>33016364.670000002</v>
      </c>
      <c r="O15" s="162">
        <f>32208666+807699</f>
        <v>33016365</v>
      </c>
      <c r="P15" s="163">
        <v>3873593.89</v>
      </c>
      <c r="Q15" s="163">
        <v>6480099.6399999997</v>
      </c>
      <c r="R15" s="163">
        <v>9648057.6500000004</v>
      </c>
      <c r="S15" s="163">
        <v>15944922.34</v>
      </c>
      <c r="T15" s="163">
        <v>19953390.879999999</v>
      </c>
      <c r="U15" s="163">
        <v>23859115.32</v>
      </c>
      <c r="V15" s="164">
        <v>34960644.689999998</v>
      </c>
      <c r="W15" s="167">
        <v>31589215.91</v>
      </c>
      <c r="X15" s="164">
        <v>36942232.240000002</v>
      </c>
      <c r="Y15" s="164">
        <v>40795311.969999999</v>
      </c>
      <c r="Z15" s="164">
        <v>45348796.259999998</v>
      </c>
      <c r="AA15" s="177">
        <v>47381758.25</v>
      </c>
      <c r="AB15" s="182">
        <f>934908+45946850</f>
        <v>46881758</v>
      </c>
    </row>
    <row r="16" spans="1:28">
      <c r="A16" s="29">
        <v>4.4000000000000004</v>
      </c>
      <c r="B16" s="32" t="s">
        <v>69</v>
      </c>
      <c r="C16" s="73">
        <v>0</v>
      </c>
      <c r="D16" s="73">
        <v>0</v>
      </c>
      <c r="E16" s="73">
        <v>0</v>
      </c>
      <c r="F16" s="73">
        <v>0</v>
      </c>
      <c r="G16" s="84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112">
        <v>0</v>
      </c>
      <c r="O16" s="173"/>
      <c r="P16" s="163">
        <v>0</v>
      </c>
      <c r="Q16" s="163">
        <v>0</v>
      </c>
      <c r="R16" s="163">
        <v>0</v>
      </c>
      <c r="S16" s="163">
        <v>0</v>
      </c>
      <c r="T16" s="163">
        <v>0</v>
      </c>
      <c r="U16" s="163">
        <v>0</v>
      </c>
      <c r="V16" s="164">
        <v>0</v>
      </c>
      <c r="W16" s="169">
        <v>0</v>
      </c>
      <c r="X16" s="164">
        <v>0</v>
      </c>
      <c r="Y16" s="164">
        <v>0</v>
      </c>
      <c r="Z16" s="164">
        <v>0</v>
      </c>
      <c r="AA16" s="177">
        <v>0</v>
      </c>
      <c r="AB16" s="180">
        <v>0</v>
      </c>
    </row>
    <row r="17" spans="1:28">
      <c r="A17" s="29">
        <v>4.5</v>
      </c>
      <c r="B17" s="32" t="s">
        <v>70</v>
      </c>
      <c r="C17" s="73">
        <v>49609.98</v>
      </c>
      <c r="D17" s="73">
        <v>43825.08</v>
      </c>
      <c r="E17" s="73">
        <v>89613.07</v>
      </c>
      <c r="F17" s="73">
        <v>126339.37</v>
      </c>
      <c r="G17" s="84">
        <v>169629.2</v>
      </c>
      <c r="H17" s="88">
        <v>196964.68</v>
      </c>
      <c r="I17" s="88">
        <v>242041.77</v>
      </c>
      <c r="J17" s="88">
        <v>5327481.8</v>
      </c>
      <c r="K17" s="88">
        <v>7370040.7699999996</v>
      </c>
      <c r="L17" s="88">
        <v>7392368.1600000001</v>
      </c>
      <c r="M17" s="88">
        <v>7434442.1600000001</v>
      </c>
      <c r="N17" s="112">
        <v>12078440.27</v>
      </c>
      <c r="O17" s="162">
        <f>280321</f>
        <v>280321</v>
      </c>
      <c r="P17" s="163">
        <v>1049482.31</v>
      </c>
      <c r="Q17" s="163">
        <v>1575838.62</v>
      </c>
      <c r="R17" s="163">
        <v>1620519.73</v>
      </c>
      <c r="S17" s="163">
        <v>2287282.9900000002</v>
      </c>
      <c r="T17" s="163">
        <v>5189684.83</v>
      </c>
      <c r="U17" s="163">
        <v>7235882.2699999996</v>
      </c>
      <c r="V17" s="164">
        <v>9258844.9299999997</v>
      </c>
      <c r="W17" s="167">
        <v>9331881.7599999998</v>
      </c>
      <c r="X17" s="164">
        <v>11393912.029999999</v>
      </c>
      <c r="Y17" s="164">
        <v>11427989.73</v>
      </c>
      <c r="Z17" s="164">
        <v>11515304.5</v>
      </c>
      <c r="AA17" s="177">
        <v>13210861.369999999</v>
      </c>
      <c r="AB17" s="181">
        <f>11500000+435423</f>
        <v>11935423</v>
      </c>
    </row>
    <row r="18" spans="1:28">
      <c r="A18" s="29">
        <v>4.5999999999999996</v>
      </c>
      <c r="B18" s="32" t="s">
        <v>71</v>
      </c>
      <c r="C18" s="73">
        <v>0</v>
      </c>
      <c r="D18" s="73">
        <v>0</v>
      </c>
      <c r="E18" s="73">
        <v>0</v>
      </c>
      <c r="F18" s="73">
        <v>0</v>
      </c>
      <c r="G18" s="84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112">
        <v>0</v>
      </c>
      <c r="O18" s="174"/>
      <c r="P18" s="163">
        <v>0</v>
      </c>
      <c r="Q18" s="163">
        <v>0</v>
      </c>
      <c r="R18" s="163">
        <v>0</v>
      </c>
      <c r="S18" s="163">
        <v>0</v>
      </c>
      <c r="T18" s="163">
        <v>0</v>
      </c>
      <c r="U18" s="163">
        <v>0</v>
      </c>
      <c r="V18" s="164">
        <v>0</v>
      </c>
      <c r="W18" s="169">
        <v>0</v>
      </c>
      <c r="X18" s="164">
        <v>0</v>
      </c>
      <c r="Y18" s="164">
        <v>0</v>
      </c>
      <c r="Z18" s="164">
        <v>0</v>
      </c>
      <c r="AA18" s="177">
        <v>0</v>
      </c>
      <c r="AB18" s="180">
        <v>0</v>
      </c>
    </row>
    <row r="19" spans="1:28">
      <c r="A19" s="29">
        <v>4.7</v>
      </c>
      <c r="B19" s="32" t="s">
        <v>72</v>
      </c>
      <c r="C19" s="73">
        <v>0</v>
      </c>
      <c r="D19" s="73">
        <v>0</v>
      </c>
      <c r="E19" s="73">
        <v>0</v>
      </c>
      <c r="F19" s="73">
        <v>0</v>
      </c>
      <c r="G19" s="84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112">
        <v>0</v>
      </c>
      <c r="O19" s="166"/>
      <c r="P19" s="163">
        <v>0</v>
      </c>
      <c r="Q19" s="163">
        <v>0</v>
      </c>
      <c r="R19" s="163">
        <v>0</v>
      </c>
      <c r="S19" s="163">
        <v>0</v>
      </c>
      <c r="T19" s="163">
        <v>0</v>
      </c>
      <c r="U19" s="163">
        <v>0</v>
      </c>
      <c r="V19" s="164">
        <v>0</v>
      </c>
      <c r="W19" s="169">
        <v>0</v>
      </c>
      <c r="X19" s="164">
        <v>0</v>
      </c>
      <c r="Y19" s="164">
        <v>0</v>
      </c>
      <c r="Z19" s="164">
        <v>0</v>
      </c>
      <c r="AA19" s="177">
        <v>0</v>
      </c>
      <c r="AB19" s="180">
        <v>0</v>
      </c>
    </row>
    <row r="20" spans="1:28" ht="14.45">
      <c r="A20" s="29">
        <v>5</v>
      </c>
      <c r="B20" s="30" t="s">
        <v>73</v>
      </c>
      <c r="C20" s="33">
        <v>13424031.82</v>
      </c>
      <c r="D20" s="33">
        <v>13797734.779999999</v>
      </c>
      <c r="E20" s="33">
        <v>21012965.09</v>
      </c>
      <c r="F20" s="33">
        <v>27232911.57</v>
      </c>
      <c r="G20" s="85">
        <v>32623383.649999999</v>
      </c>
      <c r="H20" s="90">
        <v>38908971.57</v>
      </c>
      <c r="I20" s="90">
        <v>48591307.420000002</v>
      </c>
      <c r="J20" s="90">
        <v>74121103.769999996</v>
      </c>
      <c r="K20" s="90">
        <v>81097055.049999997</v>
      </c>
      <c r="L20" s="90">
        <v>86349306.409999996</v>
      </c>
      <c r="M20" s="90">
        <v>98211213.859999999</v>
      </c>
      <c r="N20" s="90">
        <v>109939048.09999999</v>
      </c>
      <c r="O20" s="161">
        <f>O4-O13</f>
        <v>119302098</v>
      </c>
      <c r="P20" s="161">
        <f t="shared" ref="P20:U20" si="10">P4-P13</f>
        <v>10237106.719999999</v>
      </c>
      <c r="Q20" s="161">
        <f t="shared" si="10"/>
        <v>21953971.569999997</v>
      </c>
      <c r="R20" s="161">
        <f t="shared" si="10"/>
        <v>21463224.459999997</v>
      </c>
      <c r="S20" s="161">
        <f t="shared" si="10"/>
        <v>31795196.460000001</v>
      </c>
      <c r="T20" s="161">
        <f t="shared" si="10"/>
        <v>59730345.569999993</v>
      </c>
      <c r="U20" s="161">
        <f t="shared" si="10"/>
        <v>70925006.750000015</v>
      </c>
      <c r="V20" s="161">
        <f t="shared" ref="V20:AA20" si="11">V4-V13</f>
        <v>77104909.400000006</v>
      </c>
      <c r="W20" s="161">
        <f t="shared" si="11"/>
        <v>90858886.699999988</v>
      </c>
      <c r="X20" s="161">
        <f t="shared" ref="X20:AA20" si="12">X4-X13</f>
        <v>93363735.809999987</v>
      </c>
      <c r="Y20" s="161">
        <f t="shared" si="12"/>
        <v>100363416.73999998</v>
      </c>
      <c r="Z20" s="161">
        <f t="shared" si="12"/>
        <v>105916581.83000001</v>
      </c>
      <c r="AA20" s="178">
        <f t="shared" si="12"/>
        <v>129624219.93000004</v>
      </c>
      <c r="AB20" s="159">
        <f t="shared" ref="AB20" si="13">AB4-AB13</f>
        <v>128317852</v>
      </c>
    </row>
    <row r="21" spans="1:28" ht="14.45">
      <c r="A21" s="29">
        <v>6</v>
      </c>
      <c r="B21" s="30" t="s">
        <v>18</v>
      </c>
      <c r="C21" s="33">
        <v>0</v>
      </c>
      <c r="D21" s="33">
        <v>0</v>
      </c>
      <c r="E21" s="33">
        <v>0</v>
      </c>
      <c r="F21" s="33">
        <v>0</v>
      </c>
      <c r="G21" s="85">
        <v>0</v>
      </c>
      <c r="H21" s="90">
        <v>0</v>
      </c>
      <c r="I21" s="90">
        <v>0</v>
      </c>
      <c r="J21" s="90">
        <v>0</v>
      </c>
      <c r="K21" s="90">
        <v>1000000</v>
      </c>
      <c r="L21" s="90">
        <v>8000000</v>
      </c>
      <c r="M21" s="90">
        <v>8000000</v>
      </c>
      <c r="N21" s="90">
        <v>4000000</v>
      </c>
      <c r="O21" s="161">
        <f t="shared" ref="O21" si="14">O22-O23</f>
        <v>15000000</v>
      </c>
      <c r="P21" s="161">
        <f t="shared" ref="P21:U21" si="15">P22-P23</f>
        <v>0</v>
      </c>
      <c r="Q21" s="161">
        <f t="shared" si="15"/>
        <v>0</v>
      </c>
      <c r="R21" s="161">
        <f t="shared" si="15"/>
        <v>0</v>
      </c>
      <c r="S21" s="161">
        <f t="shared" si="15"/>
        <v>2000000</v>
      </c>
      <c r="T21" s="161">
        <f t="shared" si="15"/>
        <v>2000000</v>
      </c>
      <c r="U21" s="161">
        <f t="shared" si="15"/>
        <v>3000000</v>
      </c>
      <c r="V21" s="161">
        <f t="shared" ref="V21:AA21" si="16">V22-V23</f>
        <v>3000000</v>
      </c>
      <c r="W21" s="161">
        <f t="shared" si="16"/>
        <v>3000000</v>
      </c>
      <c r="X21" s="161">
        <f t="shared" ref="X21:AA21" si="17">X22-X23</f>
        <v>4000000</v>
      </c>
      <c r="Y21" s="161">
        <f t="shared" si="17"/>
        <v>4000000</v>
      </c>
      <c r="Z21" s="161">
        <f t="shared" si="17"/>
        <v>6000000</v>
      </c>
      <c r="AA21" s="178">
        <f t="shared" si="17"/>
        <v>6000000</v>
      </c>
      <c r="AB21" s="159">
        <f t="shared" ref="AB21" si="18">AB22-AB23</f>
        <v>6000000</v>
      </c>
    </row>
    <row r="22" spans="1:28">
      <c r="A22" s="29">
        <v>6.1</v>
      </c>
      <c r="B22" s="32" t="s">
        <v>74</v>
      </c>
      <c r="C22" s="73">
        <v>0</v>
      </c>
      <c r="D22" s="73">
        <v>0</v>
      </c>
      <c r="E22" s="73">
        <v>0</v>
      </c>
      <c r="F22" s="73">
        <v>0</v>
      </c>
      <c r="G22" s="84">
        <v>0</v>
      </c>
      <c r="H22" s="88">
        <v>0</v>
      </c>
      <c r="I22" s="88">
        <v>0</v>
      </c>
      <c r="J22" s="88">
        <v>0</v>
      </c>
      <c r="K22" s="88">
        <v>1000000</v>
      </c>
      <c r="L22" s="88">
        <v>8000000</v>
      </c>
      <c r="M22" s="88">
        <v>8000000</v>
      </c>
      <c r="N22" s="112">
        <v>4000000</v>
      </c>
      <c r="O22" s="173">
        <v>15000000</v>
      </c>
      <c r="P22" s="163">
        <v>0</v>
      </c>
      <c r="Q22" s="163">
        <v>0</v>
      </c>
      <c r="R22" s="163">
        <v>0</v>
      </c>
      <c r="S22" s="163">
        <v>2000000</v>
      </c>
      <c r="T22" s="163">
        <v>2000000</v>
      </c>
      <c r="U22" s="163">
        <v>3000000</v>
      </c>
      <c r="V22" s="164">
        <v>3000000</v>
      </c>
      <c r="W22" s="165">
        <v>3000000</v>
      </c>
      <c r="X22" s="164">
        <v>4000000</v>
      </c>
      <c r="Y22" s="164">
        <v>4000000</v>
      </c>
      <c r="Z22" s="164">
        <v>6000000</v>
      </c>
      <c r="AA22" s="177">
        <v>6000000</v>
      </c>
      <c r="AB22" s="180">
        <v>6000000</v>
      </c>
    </row>
    <row r="23" spans="1:28">
      <c r="A23" s="29">
        <v>6.2</v>
      </c>
      <c r="B23" s="32" t="s">
        <v>75</v>
      </c>
      <c r="C23" s="73">
        <v>0</v>
      </c>
      <c r="D23" s="73">
        <v>0</v>
      </c>
      <c r="E23" s="73">
        <v>0</v>
      </c>
      <c r="F23" s="73">
        <v>0</v>
      </c>
      <c r="G23" s="84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112">
        <v>0</v>
      </c>
      <c r="O23" s="163">
        <v>0</v>
      </c>
      <c r="P23" s="163">
        <v>0</v>
      </c>
      <c r="Q23" s="163">
        <v>0</v>
      </c>
      <c r="R23" s="163">
        <v>0</v>
      </c>
      <c r="S23" s="163">
        <v>0</v>
      </c>
      <c r="T23" s="163">
        <v>0</v>
      </c>
      <c r="U23" s="163">
        <v>0</v>
      </c>
      <c r="V23" s="164">
        <v>0</v>
      </c>
      <c r="W23" s="169">
        <v>0</v>
      </c>
      <c r="X23" s="164">
        <v>0</v>
      </c>
      <c r="Y23" s="164">
        <v>0</v>
      </c>
      <c r="Z23" s="164">
        <v>0</v>
      </c>
      <c r="AA23" s="177">
        <v>0</v>
      </c>
      <c r="AB23" s="180">
        <v>0</v>
      </c>
    </row>
    <row r="24" spans="1:28" ht="14.45">
      <c r="A24" s="29">
        <v>7</v>
      </c>
      <c r="B24" s="30" t="s">
        <v>76</v>
      </c>
      <c r="C24" s="33">
        <v>3816091.35</v>
      </c>
      <c r="D24" s="33">
        <v>6712424.6699999999</v>
      </c>
      <c r="E24" s="33">
        <v>9315877.6500000004</v>
      </c>
      <c r="F24" s="33">
        <v>12009879.220000001</v>
      </c>
      <c r="G24" s="85">
        <v>14471841.76</v>
      </c>
      <c r="H24" s="90">
        <v>17516564.600000001</v>
      </c>
      <c r="I24" s="90">
        <v>20080225.73</v>
      </c>
      <c r="J24" s="90">
        <v>22531301.670000002</v>
      </c>
      <c r="K24" s="90">
        <v>25752471.280000001</v>
      </c>
      <c r="L24" s="90">
        <v>28397264.84</v>
      </c>
      <c r="M24" s="90">
        <v>31440681.34</v>
      </c>
      <c r="N24" s="90">
        <v>39510890.240000002</v>
      </c>
      <c r="O24" s="161">
        <f t="shared" ref="O24:AB24" si="19">SUM(O25:O29)</f>
        <v>36040806</v>
      </c>
      <c r="P24" s="161">
        <f t="shared" si="19"/>
        <v>5011320.8100000005</v>
      </c>
      <c r="Q24" s="161">
        <f t="shared" si="19"/>
        <v>7354283.2799999993</v>
      </c>
      <c r="R24" s="161">
        <f t="shared" si="19"/>
        <v>9690588.75</v>
      </c>
      <c r="S24" s="161">
        <f t="shared" si="19"/>
        <v>13679828.41</v>
      </c>
      <c r="T24" s="161">
        <f t="shared" si="19"/>
        <v>17001505.609999999</v>
      </c>
      <c r="U24" s="161">
        <f t="shared" si="19"/>
        <v>22442172.41</v>
      </c>
      <c r="V24" s="161">
        <f t="shared" si="19"/>
        <v>25764747.810000002</v>
      </c>
      <c r="W24" s="161">
        <f t="shared" si="19"/>
        <v>29762780.080000002</v>
      </c>
      <c r="X24" s="161">
        <f t="shared" si="19"/>
        <v>33490427.810000002</v>
      </c>
      <c r="Y24" s="161">
        <f t="shared" si="19"/>
        <v>37394145.399999999</v>
      </c>
      <c r="Z24" s="161">
        <f t="shared" si="19"/>
        <v>40524972.07</v>
      </c>
      <c r="AA24" s="161">
        <f t="shared" si="19"/>
        <v>48861469.640000001</v>
      </c>
      <c r="AB24" s="159">
        <f t="shared" si="19"/>
        <v>43394725</v>
      </c>
    </row>
    <row r="25" spans="1:28">
      <c r="A25" s="29">
        <v>7.1</v>
      </c>
      <c r="B25" s="32" t="s">
        <v>77</v>
      </c>
      <c r="C25" s="73">
        <v>1372035.5</v>
      </c>
      <c r="D25" s="73">
        <v>2913996</v>
      </c>
      <c r="E25" s="73">
        <v>4594108.3</v>
      </c>
      <c r="F25" s="73">
        <v>6147810</v>
      </c>
      <c r="G25" s="84">
        <v>7712261.5</v>
      </c>
      <c r="H25" s="88">
        <v>9360889.3000000007</v>
      </c>
      <c r="I25" s="88">
        <v>11126255.4</v>
      </c>
      <c r="J25" s="88">
        <v>12680514.800000001</v>
      </c>
      <c r="K25" s="88">
        <v>14284456</v>
      </c>
      <c r="L25" s="88">
        <v>15911631.9</v>
      </c>
      <c r="M25" s="88">
        <v>17499122.899999999</v>
      </c>
      <c r="N25" s="112">
        <v>19452626.100000001</v>
      </c>
      <c r="O25" s="173">
        <v>19452626</v>
      </c>
      <c r="P25" s="163">
        <v>1491867.5</v>
      </c>
      <c r="Q25" s="163">
        <v>3025935.8</v>
      </c>
      <c r="R25" s="163">
        <v>4496632.5999999996</v>
      </c>
      <c r="S25" s="163">
        <v>7257734.5999999996</v>
      </c>
      <c r="T25" s="163">
        <v>9214647.3000000007</v>
      </c>
      <c r="U25" s="163">
        <v>11303491.6</v>
      </c>
      <c r="V25" s="164">
        <v>13507557</v>
      </c>
      <c r="W25" s="165">
        <v>15648345.1</v>
      </c>
      <c r="X25" s="164">
        <v>17444718.5</v>
      </c>
      <c r="Y25" s="164">
        <v>19577952</v>
      </c>
      <c r="Z25" s="164">
        <v>21512063.800000001</v>
      </c>
      <c r="AA25" s="177">
        <v>23343643.5</v>
      </c>
      <c r="AB25" s="181">
        <v>23366094</v>
      </c>
    </row>
    <row r="26" spans="1:28">
      <c r="A26" s="29">
        <v>7.2</v>
      </c>
      <c r="B26" s="32" t="s">
        <v>78</v>
      </c>
      <c r="C26" s="73">
        <v>689225</v>
      </c>
      <c r="D26" s="73">
        <v>857415</v>
      </c>
      <c r="E26" s="73">
        <v>953184</v>
      </c>
      <c r="F26" s="73">
        <v>1035764</v>
      </c>
      <c r="G26" s="84">
        <v>1147568</v>
      </c>
      <c r="H26" s="88">
        <v>1257511</v>
      </c>
      <c r="I26" s="88">
        <v>1523887</v>
      </c>
      <c r="J26" s="88">
        <v>1533079</v>
      </c>
      <c r="K26" s="88">
        <v>1914761</v>
      </c>
      <c r="L26" s="88">
        <v>2026458</v>
      </c>
      <c r="M26" s="88">
        <v>2294463</v>
      </c>
      <c r="N26" s="112">
        <v>3900354</v>
      </c>
      <c r="O26" s="162">
        <v>4174324</v>
      </c>
      <c r="P26" s="163">
        <v>914221</v>
      </c>
      <c r="Q26" s="163">
        <v>1000501</v>
      </c>
      <c r="R26" s="163">
        <v>1195840</v>
      </c>
      <c r="S26" s="163">
        <v>1288499</v>
      </c>
      <c r="T26" s="163">
        <v>1602696</v>
      </c>
      <c r="U26" s="163">
        <v>1780796</v>
      </c>
      <c r="V26" s="164">
        <v>2024126</v>
      </c>
      <c r="W26" s="167">
        <v>2309523</v>
      </c>
      <c r="X26" s="164">
        <v>2541783</v>
      </c>
      <c r="Y26" s="164">
        <v>3365331</v>
      </c>
      <c r="Z26" s="164">
        <v>3518357</v>
      </c>
      <c r="AA26" s="177">
        <v>4713207</v>
      </c>
      <c r="AB26" s="181">
        <v>4963207</v>
      </c>
    </row>
    <row r="27" spans="1:28">
      <c r="A27" s="29">
        <v>7.3</v>
      </c>
      <c r="B27" s="32" t="s">
        <v>79</v>
      </c>
      <c r="C27" s="73">
        <v>0</v>
      </c>
      <c r="D27" s="73">
        <v>250000</v>
      </c>
      <c r="E27" s="73">
        <v>250000</v>
      </c>
      <c r="F27" s="73">
        <v>250000</v>
      </c>
      <c r="G27" s="84">
        <v>250000</v>
      </c>
      <c r="H27" s="88">
        <v>269600</v>
      </c>
      <c r="I27" s="88">
        <v>269600</v>
      </c>
      <c r="J27" s="88">
        <v>269600</v>
      </c>
      <c r="K27" s="88">
        <v>269600</v>
      </c>
      <c r="L27" s="88">
        <v>269600</v>
      </c>
      <c r="M27" s="88">
        <v>269600</v>
      </c>
      <c r="N27" s="112">
        <v>269600</v>
      </c>
      <c r="O27" s="162">
        <v>19600</v>
      </c>
      <c r="P27" s="163">
        <v>250000</v>
      </c>
      <c r="Q27" s="163">
        <v>250000</v>
      </c>
      <c r="R27" s="163">
        <v>250000</v>
      </c>
      <c r="S27" s="163">
        <v>250000</v>
      </c>
      <c r="T27" s="163">
        <v>339940</v>
      </c>
      <c r="U27" s="163">
        <v>429940</v>
      </c>
      <c r="V27" s="164">
        <v>429940</v>
      </c>
      <c r="W27" s="167">
        <v>429940</v>
      </c>
      <c r="X27" s="164">
        <v>429940</v>
      </c>
      <c r="Y27" s="164">
        <v>429940</v>
      </c>
      <c r="Z27" s="164">
        <v>462940</v>
      </c>
      <c r="AA27" s="177">
        <v>489440</v>
      </c>
      <c r="AB27" s="181">
        <v>239440</v>
      </c>
    </row>
    <row r="28" spans="1:28">
      <c r="A28" s="29">
        <v>7.4</v>
      </c>
      <c r="B28" s="34" t="s">
        <v>80</v>
      </c>
      <c r="C28" s="73">
        <v>0</v>
      </c>
      <c r="D28" s="73">
        <v>0</v>
      </c>
      <c r="E28" s="73">
        <v>0</v>
      </c>
      <c r="F28" s="73">
        <v>0</v>
      </c>
      <c r="G28" s="84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112">
        <v>2653502.67</v>
      </c>
      <c r="O28" s="162">
        <v>2653503</v>
      </c>
      <c r="P28" s="163">
        <v>0</v>
      </c>
      <c r="Q28" s="163">
        <v>0</v>
      </c>
      <c r="R28" s="163">
        <v>0</v>
      </c>
      <c r="S28" s="163">
        <v>0</v>
      </c>
      <c r="T28" s="163">
        <v>0</v>
      </c>
      <c r="U28" s="163">
        <v>0</v>
      </c>
      <c r="V28" s="164">
        <v>0</v>
      </c>
      <c r="W28" s="169">
        <v>0</v>
      </c>
      <c r="X28" s="164">
        <v>0</v>
      </c>
      <c r="Y28" s="164">
        <v>0</v>
      </c>
      <c r="Z28" s="164">
        <v>0</v>
      </c>
      <c r="AA28" s="177">
        <v>3512334.38</v>
      </c>
      <c r="AB28" s="181">
        <v>3512334</v>
      </c>
    </row>
    <row r="29" spans="1:28">
      <c r="A29" s="29">
        <v>7.5</v>
      </c>
      <c r="B29" s="32" t="s">
        <v>81</v>
      </c>
      <c r="C29" s="73">
        <v>1754830.85</v>
      </c>
      <c r="D29" s="73">
        <v>2691013.67</v>
      </c>
      <c r="E29" s="73">
        <v>3518585.35</v>
      </c>
      <c r="F29" s="73">
        <v>4576305.22</v>
      </c>
      <c r="G29" s="84">
        <v>5362012.26</v>
      </c>
      <c r="H29" s="88">
        <v>6628564.2999999998</v>
      </c>
      <c r="I29" s="88">
        <v>7160483.3300000001</v>
      </c>
      <c r="J29" s="88">
        <v>8048107.8700000001</v>
      </c>
      <c r="K29" s="88">
        <v>9283654.2799999993</v>
      </c>
      <c r="L29" s="88">
        <v>10189574.939999999</v>
      </c>
      <c r="M29" s="88">
        <v>11377495.439999999</v>
      </c>
      <c r="N29" s="112">
        <v>13234807.470000001</v>
      </c>
      <c r="O29" s="173">
        <v>9740753</v>
      </c>
      <c r="P29" s="163">
        <v>2355232.31</v>
      </c>
      <c r="Q29" s="163">
        <v>3077846.48</v>
      </c>
      <c r="R29" s="163">
        <v>3748116.15</v>
      </c>
      <c r="S29" s="163">
        <v>4883594.8099999996</v>
      </c>
      <c r="T29" s="163">
        <v>5844222.3099999996</v>
      </c>
      <c r="U29" s="163">
        <v>8927944.8100000005</v>
      </c>
      <c r="V29" s="164">
        <v>9803124.8100000005</v>
      </c>
      <c r="W29" s="167">
        <v>11374971.98</v>
      </c>
      <c r="X29" s="164">
        <v>13073986.310000001</v>
      </c>
      <c r="Y29" s="164">
        <v>14020922.4</v>
      </c>
      <c r="Z29" s="164">
        <v>15031611.27</v>
      </c>
      <c r="AA29" s="177">
        <v>16802844.760000002</v>
      </c>
      <c r="AB29" s="181">
        <v>11313650</v>
      </c>
    </row>
    <row r="30" spans="1:28" ht="14.45">
      <c r="A30" s="29">
        <v>8</v>
      </c>
      <c r="B30" s="30" t="s">
        <v>82</v>
      </c>
      <c r="C30" s="35">
        <v>9607940.4700000007</v>
      </c>
      <c r="D30" s="35">
        <v>7085310.1100000003</v>
      </c>
      <c r="E30" s="35">
        <v>11697087.439999999</v>
      </c>
      <c r="F30" s="35">
        <v>15223032.35</v>
      </c>
      <c r="G30" s="86">
        <v>18151541.890000001</v>
      </c>
      <c r="H30" s="91">
        <v>21392406.969999999</v>
      </c>
      <c r="I30" s="91">
        <v>28511081.690000001</v>
      </c>
      <c r="J30" s="92">
        <v>51589802.100000001</v>
      </c>
      <c r="K30" s="92">
        <v>54344583.770000003</v>
      </c>
      <c r="L30" s="92">
        <v>49952041.57</v>
      </c>
      <c r="M30" s="92">
        <v>58770532.520000003</v>
      </c>
      <c r="N30" s="154">
        <v>66428157.859999999</v>
      </c>
      <c r="O30" s="161">
        <f>O20-O21-O24</f>
        <v>68261292</v>
      </c>
      <c r="P30" s="161">
        <f t="shared" ref="P30:U30" si="20">P20-P21-P24</f>
        <v>5225785.9099999983</v>
      </c>
      <c r="Q30" s="161">
        <f t="shared" si="20"/>
        <v>14599688.289999997</v>
      </c>
      <c r="R30" s="161">
        <f t="shared" si="20"/>
        <v>11772635.709999997</v>
      </c>
      <c r="S30" s="161">
        <f t="shared" si="20"/>
        <v>16115368.050000001</v>
      </c>
      <c r="T30" s="161">
        <f t="shared" si="20"/>
        <v>40728839.959999993</v>
      </c>
      <c r="U30" s="161">
        <f t="shared" si="20"/>
        <v>45482834.340000018</v>
      </c>
      <c r="V30" s="161">
        <f t="shared" ref="V30:AA30" si="21">V20-V21-V24</f>
        <v>48340161.590000004</v>
      </c>
      <c r="W30" s="161">
        <f t="shared" si="21"/>
        <v>58096106.61999999</v>
      </c>
      <c r="X30" s="161">
        <f t="shared" ref="X30:AA30" si="22">X20-X21-X24</f>
        <v>55873307.999999985</v>
      </c>
      <c r="Y30" s="161">
        <f t="shared" si="22"/>
        <v>58969271.339999981</v>
      </c>
      <c r="Z30" s="161">
        <f t="shared" si="22"/>
        <v>59391609.760000013</v>
      </c>
      <c r="AA30" s="161">
        <f t="shared" si="22"/>
        <v>74762750.290000036</v>
      </c>
      <c r="AB30" s="159">
        <f t="shared" ref="AB30" si="23">AB20-AB21-AB24</f>
        <v>78923127</v>
      </c>
    </row>
    <row r="31" spans="1:28" ht="14.45">
      <c r="A31" s="29">
        <v>9</v>
      </c>
      <c r="B31" s="30" t="s">
        <v>83</v>
      </c>
      <c r="C31" s="72">
        <v>0</v>
      </c>
      <c r="D31" s="72">
        <v>0</v>
      </c>
      <c r="E31" s="72">
        <v>0</v>
      </c>
      <c r="F31" s="72">
        <v>0</v>
      </c>
      <c r="G31" s="83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152">
        <v>0</v>
      </c>
      <c r="O31" s="161"/>
      <c r="P31" s="175">
        <f>P32+P33</f>
        <v>0</v>
      </c>
      <c r="Q31" s="175">
        <f t="shared" ref="Q31:U31" si="24">Q32+Q33</f>
        <v>0</v>
      </c>
      <c r="R31" s="175">
        <f t="shared" si="24"/>
        <v>0</v>
      </c>
      <c r="S31" s="175">
        <f t="shared" si="24"/>
        <v>0</v>
      </c>
      <c r="T31" s="175">
        <f t="shared" si="24"/>
        <v>0</v>
      </c>
      <c r="U31" s="175">
        <f t="shared" si="24"/>
        <v>0</v>
      </c>
      <c r="V31" s="175">
        <f t="shared" ref="V31:AA31" si="25">V32+V33</f>
        <v>0</v>
      </c>
      <c r="W31" s="175">
        <f t="shared" si="25"/>
        <v>0</v>
      </c>
      <c r="X31" s="175">
        <f t="shared" ref="X31:AA31" si="26">X32+X33</f>
        <v>0</v>
      </c>
      <c r="Y31" s="175">
        <f t="shared" si="26"/>
        <v>0</v>
      </c>
      <c r="Z31" s="175">
        <f t="shared" si="26"/>
        <v>0</v>
      </c>
      <c r="AA31" s="175">
        <f t="shared" si="26"/>
        <v>0</v>
      </c>
      <c r="AB31" s="160">
        <f t="shared" ref="AB31" si="27">AB32+AB33</f>
        <v>0</v>
      </c>
    </row>
    <row r="32" spans="1:28">
      <c r="A32" s="29">
        <v>9.1</v>
      </c>
      <c r="B32" s="32" t="s">
        <v>84</v>
      </c>
      <c r="C32" s="73">
        <v>0</v>
      </c>
      <c r="D32" s="73">
        <v>0</v>
      </c>
      <c r="E32" s="73">
        <v>0</v>
      </c>
      <c r="F32" s="73">
        <v>0</v>
      </c>
      <c r="G32" s="84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112">
        <v>0</v>
      </c>
      <c r="O32" s="163">
        <v>0</v>
      </c>
      <c r="P32" s="163">
        <v>0</v>
      </c>
      <c r="Q32" s="163">
        <v>0</v>
      </c>
      <c r="R32" s="163">
        <v>0</v>
      </c>
      <c r="S32" s="163">
        <v>0</v>
      </c>
      <c r="T32" s="163">
        <v>0</v>
      </c>
      <c r="U32" s="163">
        <v>0</v>
      </c>
      <c r="V32" s="164">
        <v>0</v>
      </c>
      <c r="W32" s="168">
        <v>0</v>
      </c>
      <c r="X32" s="164">
        <v>0</v>
      </c>
      <c r="Y32" s="164">
        <v>0</v>
      </c>
      <c r="Z32" s="164">
        <v>0</v>
      </c>
      <c r="AA32" s="164">
        <v>0</v>
      </c>
      <c r="AB32" s="164">
        <v>0</v>
      </c>
    </row>
    <row r="33" spans="1:28">
      <c r="A33" s="29">
        <v>9.1999999999999993</v>
      </c>
      <c r="B33" s="32" t="s">
        <v>85</v>
      </c>
      <c r="C33" s="73">
        <v>0</v>
      </c>
      <c r="D33" s="73">
        <v>0</v>
      </c>
      <c r="E33" s="73">
        <v>0</v>
      </c>
      <c r="F33" s="73">
        <v>0</v>
      </c>
      <c r="G33" s="84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112">
        <v>0</v>
      </c>
      <c r="O33" s="163">
        <v>0</v>
      </c>
      <c r="P33" s="163">
        <v>0</v>
      </c>
      <c r="Q33" s="163">
        <v>0</v>
      </c>
      <c r="R33" s="163">
        <v>0</v>
      </c>
      <c r="S33" s="163">
        <v>0</v>
      </c>
      <c r="T33" s="163">
        <v>0</v>
      </c>
      <c r="U33" s="163">
        <v>0</v>
      </c>
      <c r="V33" s="164">
        <v>0</v>
      </c>
      <c r="W33" s="169">
        <v>0</v>
      </c>
      <c r="X33" s="164">
        <v>0</v>
      </c>
      <c r="Y33" s="164">
        <v>0</v>
      </c>
      <c r="Z33" s="164">
        <v>0</v>
      </c>
      <c r="AA33" s="164">
        <v>0</v>
      </c>
      <c r="AB33" s="164">
        <v>0</v>
      </c>
    </row>
    <row r="34" spans="1:28">
      <c r="A34" s="29">
        <v>10</v>
      </c>
      <c r="B34" s="32" t="s">
        <v>86</v>
      </c>
      <c r="C34" s="36">
        <v>9607940.4700000007</v>
      </c>
      <c r="D34" s="36">
        <v>7085310.1100000003</v>
      </c>
      <c r="E34" s="36">
        <v>11697087.439999999</v>
      </c>
      <c r="F34" s="36">
        <v>15223032.35</v>
      </c>
      <c r="G34" s="87">
        <v>18151541.890000001</v>
      </c>
      <c r="H34" s="90">
        <v>21392406.969999999</v>
      </c>
      <c r="I34" s="90">
        <v>28511081.690000001</v>
      </c>
      <c r="J34" s="90">
        <v>51589802.100000001</v>
      </c>
      <c r="K34" s="90">
        <v>54344583.770000003</v>
      </c>
      <c r="L34" s="90">
        <v>49952041.57</v>
      </c>
      <c r="M34" s="90">
        <v>58770532.520000003</v>
      </c>
      <c r="N34" s="90">
        <v>66428157.859999999</v>
      </c>
      <c r="O34" s="175">
        <f>O30+O31</f>
        <v>68261292</v>
      </c>
      <c r="P34" s="175">
        <f t="shared" ref="P34:AB34" si="28">P30+P31</f>
        <v>5225785.9099999983</v>
      </c>
      <c r="Q34" s="175">
        <f t="shared" si="28"/>
        <v>14599688.289999997</v>
      </c>
      <c r="R34" s="175">
        <f t="shared" si="28"/>
        <v>11772635.709999997</v>
      </c>
      <c r="S34" s="175">
        <f t="shared" si="28"/>
        <v>16115368.050000001</v>
      </c>
      <c r="T34" s="175">
        <f t="shared" si="28"/>
        <v>40728839.959999993</v>
      </c>
      <c r="U34" s="175">
        <f t="shared" si="28"/>
        <v>45482834.340000018</v>
      </c>
      <c r="V34" s="175">
        <f t="shared" si="28"/>
        <v>48340161.590000004</v>
      </c>
      <c r="W34" s="175">
        <f t="shared" si="28"/>
        <v>58096106.61999999</v>
      </c>
      <c r="X34" s="175">
        <f t="shared" si="28"/>
        <v>55873307.999999985</v>
      </c>
      <c r="Y34" s="175">
        <f t="shared" si="28"/>
        <v>58969271.339999981</v>
      </c>
      <c r="Z34" s="175">
        <f t="shared" si="28"/>
        <v>59391609.760000013</v>
      </c>
      <c r="AA34" s="175">
        <f t="shared" si="28"/>
        <v>74762750.290000036</v>
      </c>
      <c r="AB34" s="175">
        <f t="shared" si="28"/>
        <v>78923127</v>
      </c>
    </row>
    <row r="35" spans="1:28">
      <c r="A35" s="29">
        <v>11</v>
      </c>
      <c r="B35" s="32" t="s">
        <v>87</v>
      </c>
      <c r="C35" s="73">
        <v>0</v>
      </c>
      <c r="D35" s="73">
        <v>0</v>
      </c>
      <c r="E35" s="73">
        <v>0</v>
      </c>
      <c r="F35" s="73">
        <v>0</v>
      </c>
      <c r="G35" s="84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112">
        <v>0</v>
      </c>
      <c r="O35" s="173">
        <v>1833135</v>
      </c>
      <c r="P35" s="164">
        <v>0</v>
      </c>
      <c r="Q35" s="164">
        <v>0</v>
      </c>
      <c r="R35" s="164">
        <v>0</v>
      </c>
      <c r="S35" s="164">
        <v>0</v>
      </c>
      <c r="T35" s="164">
        <v>0</v>
      </c>
      <c r="U35" s="164">
        <v>0</v>
      </c>
      <c r="V35" s="164">
        <v>0</v>
      </c>
      <c r="W35" s="169">
        <v>0</v>
      </c>
      <c r="X35" s="164">
        <v>0</v>
      </c>
      <c r="Y35" s="164">
        <v>0</v>
      </c>
      <c r="Z35" s="164">
        <v>0</v>
      </c>
      <c r="AA35" s="164">
        <v>0</v>
      </c>
      <c r="AB35" s="176">
        <v>2023472</v>
      </c>
    </row>
    <row r="36" spans="1:28" ht="14.45">
      <c r="A36" s="29">
        <v>12</v>
      </c>
      <c r="B36" s="30" t="s">
        <v>88</v>
      </c>
      <c r="C36" s="33">
        <v>9607940.4700000007</v>
      </c>
      <c r="D36" s="33">
        <v>7085310.1100000003</v>
      </c>
      <c r="E36" s="33">
        <v>11697087.439999999</v>
      </c>
      <c r="F36" s="33">
        <v>15223032.35</v>
      </c>
      <c r="G36" s="85">
        <v>18151541.890000001</v>
      </c>
      <c r="H36" s="90">
        <v>21392406.969999999</v>
      </c>
      <c r="I36" s="90">
        <v>28511081.690000001</v>
      </c>
      <c r="J36" s="90">
        <v>51589802.100000001</v>
      </c>
      <c r="K36" s="90">
        <v>54344583.770000003</v>
      </c>
      <c r="L36" s="90">
        <v>49952041.57</v>
      </c>
      <c r="M36" s="90">
        <v>58770532.520000003</v>
      </c>
      <c r="N36" s="90">
        <v>66428157.859999999</v>
      </c>
      <c r="O36" s="161">
        <f>O34-O35</f>
        <v>66428157</v>
      </c>
      <c r="P36" s="161">
        <f t="shared" ref="P36:AB36" si="29">P34-P35</f>
        <v>5225785.9099999983</v>
      </c>
      <c r="Q36" s="161">
        <f t="shared" si="29"/>
        <v>14599688.289999997</v>
      </c>
      <c r="R36" s="161">
        <f t="shared" si="29"/>
        <v>11772635.709999997</v>
      </c>
      <c r="S36" s="161">
        <f t="shared" si="29"/>
        <v>16115368.050000001</v>
      </c>
      <c r="T36" s="161">
        <f t="shared" si="29"/>
        <v>40728839.959999993</v>
      </c>
      <c r="U36" s="161">
        <f t="shared" si="29"/>
        <v>45482834.340000018</v>
      </c>
      <c r="V36" s="161">
        <f t="shared" si="29"/>
        <v>48340161.590000004</v>
      </c>
      <c r="W36" s="161">
        <f t="shared" si="29"/>
        <v>58096106.61999999</v>
      </c>
      <c r="X36" s="161">
        <f t="shared" si="29"/>
        <v>55873307.999999985</v>
      </c>
      <c r="Y36" s="161">
        <f t="shared" si="29"/>
        <v>58969271.339999981</v>
      </c>
      <c r="Z36" s="161">
        <f t="shared" si="29"/>
        <v>59391609.760000013</v>
      </c>
      <c r="AA36" s="161">
        <f t="shared" si="29"/>
        <v>74762750.290000036</v>
      </c>
      <c r="AB36" s="159">
        <f t="shared" si="29"/>
        <v>76899655</v>
      </c>
    </row>
    <row r="37" spans="1:28">
      <c r="A37" s="29">
        <v>13</v>
      </c>
      <c r="B37" s="32" t="s">
        <v>89</v>
      </c>
      <c r="C37" s="73">
        <v>0</v>
      </c>
      <c r="D37" s="73">
        <v>0</v>
      </c>
      <c r="E37" s="73">
        <v>0</v>
      </c>
      <c r="F37" s="73">
        <v>0</v>
      </c>
      <c r="G37" s="84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112">
        <v>0</v>
      </c>
      <c r="O37" s="173"/>
      <c r="P37" s="164">
        <v>0</v>
      </c>
      <c r="Q37" s="164">
        <v>0</v>
      </c>
      <c r="R37" s="164">
        <v>0</v>
      </c>
      <c r="S37" s="164">
        <v>0</v>
      </c>
      <c r="T37" s="164">
        <v>0</v>
      </c>
      <c r="U37" s="164">
        <v>0</v>
      </c>
      <c r="V37" s="164">
        <v>0</v>
      </c>
      <c r="W37" s="168">
        <v>0</v>
      </c>
      <c r="X37" s="164">
        <v>0</v>
      </c>
      <c r="Y37" s="164">
        <v>0</v>
      </c>
      <c r="Z37" s="164">
        <v>0</v>
      </c>
      <c r="AA37" s="164">
        <v>0</v>
      </c>
    </row>
    <row r="38" spans="1:28" ht="14.45">
      <c r="A38" s="29">
        <v>14</v>
      </c>
      <c r="B38" s="30" t="s">
        <v>90</v>
      </c>
      <c r="C38" s="33">
        <v>9607940.4700000007</v>
      </c>
      <c r="D38" s="33">
        <v>7085310.1100000003</v>
      </c>
      <c r="E38" s="33">
        <v>11697087.439999999</v>
      </c>
      <c r="F38" s="33">
        <v>15223032.35</v>
      </c>
      <c r="G38" s="85">
        <v>18151541.890000001</v>
      </c>
      <c r="H38" s="90">
        <v>21392406.969999999</v>
      </c>
      <c r="I38" s="90">
        <v>28511081.690000001</v>
      </c>
      <c r="J38" s="90">
        <v>51589802.100000001</v>
      </c>
      <c r="K38" s="90">
        <v>54344583.770000003</v>
      </c>
      <c r="L38" s="90">
        <v>49952041.57</v>
      </c>
      <c r="M38" s="90">
        <v>58770532.520000003</v>
      </c>
      <c r="N38" s="90">
        <v>66428157.859999999</v>
      </c>
      <c r="O38" s="161">
        <f>O36-O37</f>
        <v>66428157</v>
      </c>
      <c r="P38" s="161">
        <f t="shared" ref="P38:AB38" si="30">P36-P37</f>
        <v>5225785.9099999983</v>
      </c>
      <c r="Q38" s="161">
        <f t="shared" si="30"/>
        <v>14599688.289999997</v>
      </c>
      <c r="R38" s="161">
        <f t="shared" si="30"/>
        <v>11772635.709999997</v>
      </c>
      <c r="S38" s="161">
        <f t="shared" si="30"/>
        <v>16115368.050000001</v>
      </c>
      <c r="T38" s="161">
        <f t="shared" si="30"/>
        <v>40728839.959999993</v>
      </c>
      <c r="U38" s="161">
        <f t="shared" si="30"/>
        <v>45482834.340000018</v>
      </c>
      <c r="V38" s="161">
        <f t="shared" si="30"/>
        <v>48340161.590000004</v>
      </c>
      <c r="W38" s="161">
        <f t="shared" si="30"/>
        <v>58096106.61999999</v>
      </c>
      <c r="X38" s="161">
        <f t="shared" si="30"/>
        <v>55873307.999999985</v>
      </c>
      <c r="Y38" s="161">
        <f t="shared" si="30"/>
        <v>58969271.339999981</v>
      </c>
      <c r="Z38" s="161">
        <f t="shared" si="30"/>
        <v>59391609.760000013</v>
      </c>
      <c r="AA38" s="161">
        <f t="shared" si="30"/>
        <v>74762750.290000036</v>
      </c>
      <c r="AB38" s="159">
        <f t="shared" si="30"/>
        <v>76899655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G49"/>
  <sheetViews>
    <sheetView topLeftCell="A24" workbookViewId="0">
      <selection activeCell="E31" sqref="E31"/>
    </sheetView>
  </sheetViews>
  <sheetFormatPr defaultColWidth="9.140625" defaultRowHeight="13.9"/>
  <cols>
    <col min="1" max="2" width="9.140625" style="18"/>
    <col min="3" max="3" width="18" style="18" bestFit="1" customWidth="1"/>
    <col min="4" max="4" width="12.85546875" style="18" bestFit="1" customWidth="1"/>
    <col min="5" max="5" width="41.28515625" style="18" bestFit="1" customWidth="1"/>
    <col min="6" max="6" width="23.7109375" style="18" bestFit="1" customWidth="1"/>
    <col min="7" max="7" width="40.140625" style="18" bestFit="1" customWidth="1"/>
    <col min="8" max="16384" width="9.140625" style="18"/>
  </cols>
  <sheetData>
    <row r="6" spans="3:7">
      <c r="C6" s="74" t="s">
        <v>91</v>
      </c>
    </row>
    <row r="7" spans="3:7">
      <c r="E7" s="74" t="s">
        <v>92</v>
      </c>
    </row>
    <row r="9" spans="3:7">
      <c r="C9" s="81" t="s">
        <v>93</v>
      </c>
      <c r="D9" s="81" t="s">
        <v>94</v>
      </c>
      <c r="E9" s="81" t="s">
        <v>95</v>
      </c>
      <c r="F9" s="81" t="s">
        <v>96</v>
      </c>
      <c r="G9" s="81" t="s">
        <v>97</v>
      </c>
    </row>
    <row r="10" spans="3:7">
      <c r="C10" s="77" t="s">
        <v>98</v>
      </c>
      <c r="D10" s="78">
        <v>5790</v>
      </c>
      <c r="E10" s="78">
        <v>1291907968</v>
      </c>
      <c r="F10" s="79">
        <v>0.01</v>
      </c>
      <c r="G10" s="78">
        <v>12919079.68</v>
      </c>
    </row>
    <row r="11" spans="3:7">
      <c r="C11" s="77" t="s">
        <v>99</v>
      </c>
      <c r="D11" s="77">
        <v>187</v>
      </c>
      <c r="E11" s="78">
        <v>33942581</v>
      </c>
      <c r="F11" s="79">
        <v>0.05</v>
      </c>
      <c r="G11" s="78">
        <v>1697129.05</v>
      </c>
    </row>
    <row r="12" spans="3:7">
      <c r="C12" s="77" t="s">
        <v>100</v>
      </c>
      <c r="D12" s="77">
        <v>100</v>
      </c>
      <c r="E12" s="78">
        <v>8995683</v>
      </c>
      <c r="F12" s="79">
        <v>0.25</v>
      </c>
      <c r="G12" s="78">
        <v>2248920.75</v>
      </c>
    </row>
    <row r="13" spans="3:7">
      <c r="C13" s="77" t="s">
        <v>101</v>
      </c>
      <c r="D13" s="77">
        <v>345</v>
      </c>
      <c r="E13" s="78">
        <v>18595817</v>
      </c>
      <c r="F13" s="79">
        <v>0.5</v>
      </c>
      <c r="G13" s="78">
        <v>9297908.5</v>
      </c>
    </row>
    <row r="14" spans="3:7">
      <c r="C14" s="77" t="s">
        <v>102</v>
      </c>
      <c r="D14" s="77">
        <v>90</v>
      </c>
      <c r="E14" s="78">
        <v>7930218</v>
      </c>
      <c r="F14" s="79">
        <v>1</v>
      </c>
      <c r="G14" s="78">
        <v>7930218</v>
      </c>
    </row>
    <row r="15" spans="3:7">
      <c r="C15" s="81" t="s">
        <v>103</v>
      </c>
      <c r="D15" s="80">
        <v>6512</v>
      </c>
      <c r="E15" s="80">
        <v>1361372267</v>
      </c>
      <c r="F15" s="81">
        <v>1.81</v>
      </c>
      <c r="G15" s="80">
        <v>34093255.979999997</v>
      </c>
    </row>
    <row r="16" spans="3:7">
      <c r="C16" s="77"/>
      <c r="D16" s="77"/>
      <c r="E16" s="77"/>
      <c r="F16" s="77"/>
      <c r="G16" s="77"/>
    </row>
    <row r="17" spans="3:7">
      <c r="C17" s="77" t="s">
        <v>98</v>
      </c>
      <c r="D17" s="77"/>
      <c r="E17" s="77"/>
      <c r="F17" s="79">
        <v>0.01</v>
      </c>
      <c r="G17" s="77" t="s">
        <v>104</v>
      </c>
    </row>
    <row r="18" spans="3:7">
      <c r="C18" s="77" t="s">
        <v>99</v>
      </c>
      <c r="D18" s="77"/>
      <c r="E18" s="77"/>
      <c r="F18" s="79">
        <v>0.05</v>
      </c>
      <c r="G18" s="77" t="s">
        <v>104</v>
      </c>
    </row>
    <row r="19" spans="3:7">
      <c r="C19" s="77" t="s">
        <v>100</v>
      </c>
      <c r="D19" s="77"/>
      <c r="E19" s="77"/>
      <c r="F19" s="79">
        <v>0.25</v>
      </c>
      <c r="G19" s="77" t="s">
        <v>104</v>
      </c>
    </row>
    <row r="20" spans="3:7">
      <c r="C20" s="77" t="s">
        <v>101</v>
      </c>
      <c r="D20" s="77"/>
      <c r="E20" s="77"/>
      <c r="F20" s="79">
        <v>0.5</v>
      </c>
      <c r="G20" s="77" t="s">
        <v>104</v>
      </c>
    </row>
    <row r="21" spans="3:7">
      <c r="C21" s="77" t="s">
        <v>102</v>
      </c>
      <c r="D21" s="77"/>
      <c r="E21" s="77"/>
      <c r="F21" s="79">
        <v>1</v>
      </c>
      <c r="G21" s="77" t="s">
        <v>104</v>
      </c>
    </row>
    <row r="22" spans="3:7">
      <c r="C22" s="77" t="s">
        <v>103</v>
      </c>
      <c r="D22" s="80">
        <v>6512</v>
      </c>
      <c r="E22" s="80">
        <v>1361372267</v>
      </c>
      <c r="F22" s="81">
        <v>3.62</v>
      </c>
      <c r="G22" s="80">
        <v>34093255.979999997</v>
      </c>
    </row>
    <row r="23" spans="3:7">
      <c r="C23" s="77"/>
    </row>
    <row r="26" spans="3:7">
      <c r="D26" s="74" t="s">
        <v>105</v>
      </c>
      <c r="E26" s="75">
        <v>35521718</v>
      </c>
    </row>
    <row r="27" spans="3:7">
      <c r="D27" s="74" t="s">
        <v>106</v>
      </c>
      <c r="E27" s="76">
        <v>0.03</v>
      </c>
    </row>
    <row r="28" spans="3:7">
      <c r="D28" s="74"/>
    </row>
    <row r="30" spans="3:7">
      <c r="E30" s="114">
        <v>44734</v>
      </c>
    </row>
    <row r="31" spans="3:7">
      <c r="C31" s="81" t="s">
        <v>93</v>
      </c>
      <c r="D31" s="81" t="s">
        <v>94</v>
      </c>
      <c r="E31" s="81" t="s">
        <v>95</v>
      </c>
      <c r="F31" s="81" t="s">
        <v>96</v>
      </c>
      <c r="G31" s="81" t="s">
        <v>97</v>
      </c>
    </row>
    <row r="32" spans="3:7">
      <c r="C32" s="77" t="s">
        <v>98</v>
      </c>
      <c r="D32" s="113">
        <v>0</v>
      </c>
      <c r="E32" s="113">
        <v>1409610099</v>
      </c>
      <c r="F32" s="79">
        <v>0.01</v>
      </c>
      <c r="G32" s="78">
        <f>PRODUCT(F32,(E32))</f>
        <v>14096100.99</v>
      </c>
    </row>
    <row r="33" spans="3:7">
      <c r="C33" s="77" t="s">
        <v>99</v>
      </c>
      <c r="D33" s="113">
        <v>0</v>
      </c>
      <c r="E33" s="113">
        <v>7309816</v>
      </c>
      <c r="F33" s="79">
        <v>0.05</v>
      </c>
      <c r="G33" s="78">
        <f t="shared" ref="G33:G36" si="0">PRODUCT(F33,(E33))</f>
        <v>365490.80000000005</v>
      </c>
    </row>
    <row r="34" spans="3:7">
      <c r="C34" s="77" t="s">
        <v>100</v>
      </c>
      <c r="D34" s="113">
        <v>0</v>
      </c>
      <c r="E34" s="113">
        <v>12853492</v>
      </c>
      <c r="F34" s="79">
        <v>0.25</v>
      </c>
      <c r="G34" s="78">
        <f t="shared" si="0"/>
        <v>3213373</v>
      </c>
    </row>
    <row r="35" spans="3:7">
      <c r="C35" s="77" t="s">
        <v>101</v>
      </c>
      <c r="D35" s="113">
        <v>0</v>
      </c>
      <c r="E35" s="113">
        <v>4231292</v>
      </c>
      <c r="F35" s="79">
        <v>0.5</v>
      </c>
      <c r="G35" s="78">
        <f t="shared" si="0"/>
        <v>2115646</v>
      </c>
    </row>
    <row r="36" spans="3:7">
      <c r="C36" s="77" t="s">
        <v>102</v>
      </c>
      <c r="D36" s="113">
        <v>0</v>
      </c>
      <c r="E36" s="113">
        <v>12682250</v>
      </c>
      <c r="F36" s="79">
        <v>1</v>
      </c>
      <c r="G36" s="78">
        <f t="shared" si="0"/>
        <v>12682250</v>
      </c>
    </row>
    <row r="37" spans="3:7">
      <c r="C37" s="81" t="s">
        <v>103</v>
      </c>
      <c r="D37" s="80">
        <f>SUM(D32:D36)</f>
        <v>0</v>
      </c>
      <c r="E37" s="80">
        <f>SUM(E32:E36)</f>
        <v>1446686949</v>
      </c>
      <c r="F37" s="81">
        <v>1.81</v>
      </c>
      <c r="G37" s="80">
        <f>SUM(G32:G36)</f>
        <v>32472860.789999999</v>
      </c>
    </row>
    <row r="38" spans="3:7">
      <c r="C38" s="77"/>
      <c r="D38" s="77"/>
      <c r="E38" s="77"/>
      <c r="F38" s="77"/>
      <c r="G38" s="77"/>
    </row>
    <row r="39" spans="3:7">
      <c r="C39" s="77" t="s">
        <v>98</v>
      </c>
      <c r="D39" s="77"/>
      <c r="E39" s="77"/>
      <c r="F39" s="79">
        <v>0.01</v>
      </c>
      <c r="G39" s="77" t="s">
        <v>104</v>
      </c>
    </row>
    <row r="40" spans="3:7">
      <c r="C40" s="77" t="s">
        <v>99</v>
      </c>
      <c r="D40" s="77"/>
      <c r="E40" s="77"/>
      <c r="F40" s="79">
        <v>0.05</v>
      </c>
      <c r="G40" s="77" t="s">
        <v>104</v>
      </c>
    </row>
    <row r="41" spans="3:7">
      <c r="C41" s="77" t="s">
        <v>100</v>
      </c>
      <c r="D41" s="77"/>
      <c r="E41" s="77"/>
      <c r="F41" s="79">
        <v>0.25</v>
      </c>
      <c r="G41" s="77" t="s">
        <v>104</v>
      </c>
    </row>
    <row r="42" spans="3:7">
      <c r="C42" s="77" t="s">
        <v>101</v>
      </c>
      <c r="D42" s="77"/>
      <c r="E42" s="77"/>
      <c r="F42" s="79">
        <v>0.5</v>
      </c>
      <c r="G42" s="77" t="s">
        <v>104</v>
      </c>
    </row>
    <row r="43" spans="3:7">
      <c r="C43" s="77" t="s">
        <v>102</v>
      </c>
      <c r="D43" s="77"/>
      <c r="E43" s="77"/>
      <c r="F43" s="79">
        <v>1</v>
      </c>
      <c r="G43" s="77" t="s">
        <v>104</v>
      </c>
    </row>
    <row r="44" spans="3:7">
      <c r="C44" s="77" t="s">
        <v>103</v>
      </c>
      <c r="D44" s="80">
        <f>SUM(D32:D36)</f>
        <v>0</v>
      </c>
      <c r="E44" s="80">
        <f>SUM(E32:E36)</f>
        <v>1446686949</v>
      </c>
      <c r="F44" s="81">
        <v>3.62</v>
      </c>
      <c r="G44" s="80">
        <f>SUM(G32:G36)</f>
        <v>32472860.789999999</v>
      </c>
    </row>
    <row r="45" spans="3:7">
      <c r="C45" s="77"/>
    </row>
    <row r="48" spans="3:7">
      <c r="D48" s="74" t="s">
        <v>105</v>
      </c>
      <c r="E48" s="75">
        <f>SUM(E34:E36)</f>
        <v>29767034</v>
      </c>
    </row>
    <row r="49" spans="4:5">
      <c r="D49" s="74" t="s">
        <v>106</v>
      </c>
      <c r="E49" s="76">
        <f>E48/E44</f>
        <v>2.0576002306909591E-2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9"/>
  <sheetViews>
    <sheetView workbookViewId="0">
      <selection activeCell="N5" sqref="N5"/>
    </sheetView>
  </sheetViews>
  <sheetFormatPr defaultColWidth="9.140625" defaultRowHeight="13.15"/>
  <cols>
    <col min="1" max="1" width="29.85546875" style="17" bestFit="1" customWidth="1"/>
    <col min="2" max="3" width="18.140625" style="17" hidden="1" customWidth="1"/>
    <col min="4" max="4" width="18.140625" style="17" bestFit="1" customWidth="1"/>
    <col min="5" max="6" width="18.140625" style="17" hidden="1" customWidth="1"/>
    <col min="7" max="7" width="18.140625" style="17" bestFit="1" customWidth="1"/>
    <col min="8" max="9" width="18.140625" style="17" hidden="1" customWidth="1"/>
    <col min="10" max="10" width="18.140625" style="17" customWidth="1"/>
    <col min="11" max="12" width="18.140625" style="17" hidden="1" customWidth="1"/>
    <col min="13" max="13" width="18.140625" style="17" customWidth="1"/>
    <col min="14" max="14" width="18.140625" style="17" bestFit="1" customWidth="1"/>
    <col min="15" max="16" width="16.28515625" style="17" hidden="1" customWidth="1"/>
    <col min="17" max="17" width="16.28515625" style="17" bestFit="1" customWidth="1"/>
    <col min="18" max="19" width="16.28515625" style="17" hidden="1" customWidth="1"/>
    <col min="20" max="20" width="16.28515625" style="17" bestFit="1" customWidth="1"/>
    <col min="21" max="22" width="16.28515625" style="17" hidden="1" customWidth="1"/>
    <col min="23" max="23" width="16.28515625" style="17" bestFit="1" customWidth="1"/>
    <col min="24" max="25" width="16.28515625" style="17" hidden="1" customWidth="1"/>
    <col min="26" max="27" width="16.28515625" style="17" bestFit="1" customWidth="1"/>
    <col min="28" max="16384" width="9.140625" style="17"/>
  </cols>
  <sheetData>
    <row r="1" spans="1:27">
      <c r="A1" s="37" t="s">
        <v>107</v>
      </c>
    </row>
    <row r="2" spans="1:27" ht="13.9" thickBot="1">
      <c r="A2" s="38"/>
    </row>
    <row r="3" spans="1:27">
      <c r="A3" s="39" t="s">
        <v>108</v>
      </c>
      <c r="D3" s="190">
        <v>44256</v>
      </c>
      <c r="E3" s="190">
        <v>44287</v>
      </c>
      <c r="F3" s="190">
        <v>44317</v>
      </c>
      <c r="G3" s="190">
        <v>44348</v>
      </c>
      <c r="H3" s="190">
        <v>44378</v>
      </c>
      <c r="I3" s="190">
        <v>44409</v>
      </c>
      <c r="J3" s="190">
        <v>44440</v>
      </c>
      <c r="K3" s="190">
        <v>44470</v>
      </c>
      <c r="L3" s="190">
        <v>44501</v>
      </c>
      <c r="M3" s="190">
        <v>44531</v>
      </c>
      <c r="N3" s="135" t="s">
        <v>3</v>
      </c>
      <c r="O3" s="120">
        <v>44583</v>
      </c>
      <c r="P3" s="119">
        <v>44614</v>
      </c>
      <c r="Q3" s="120">
        <v>44642</v>
      </c>
      <c r="R3" s="119">
        <v>44673</v>
      </c>
      <c r="S3" s="120">
        <v>44703</v>
      </c>
      <c r="T3" s="119">
        <v>44734</v>
      </c>
      <c r="U3" s="120">
        <v>44764</v>
      </c>
      <c r="V3" s="119">
        <v>44795</v>
      </c>
      <c r="W3" s="119">
        <v>44826</v>
      </c>
      <c r="X3" s="119">
        <v>44856</v>
      </c>
      <c r="Y3" s="119">
        <v>44887</v>
      </c>
      <c r="Z3" s="119">
        <v>44917</v>
      </c>
      <c r="AA3" s="135" t="s">
        <v>4</v>
      </c>
    </row>
    <row r="4" spans="1:27">
      <c r="A4" s="40" t="s">
        <v>109</v>
      </c>
      <c r="B4" s="183">
        <v>44197</v>
      </c>
      <c r="C4" s="183">
        <v>44228</v>
      </c>
      <c r="N4" s="142">
        <v>19469</v>
      </c>
      <c r="AA4" s="142">
        <v>20670</v>
      </c>
    </row>
    <row r="5" spans="1:27">
      <c r="A5" s="41" t="s">
        <v>29</v>
      </c>
      <c r="B5" s="42">
        <f>'Balance Sheet'!C26</f>
        <v>1485646310.52</v>
      </c>
      <c r="C5" s="42">
        <f>'Balance Sheet'!D26</f>
        <v>1459740880.3</v>
      </c>
      <c r="D5" s="42">
        <f>'Balance Sheet'!E26</f>
        <v>1463540955.6900001</v>
      </c>
      <c r="E5" s="42">
        <f>'Balance Sheet'!F26</f>
        <v>1470089455.3100002</v>
      </c>
      <c r="F5" s="42">
        <f>'Balance Sheet'!G26</f>
        <v>1491429933.6700001</v>
      </c>
      <c r="G5" s="42">
        <f>'Balance Sheet'!H26</f>
        <v>1507068948.5800002</v>
      </c>
      <c r="H5" s="42">
        <f>'Balance Sheet'!I26</f>
        <v>1526247359.3199999</v>
      </c>
      <c r="I5" s="42">
        <f>'Balance Sheet'!J26</f>
        <v>1627252030.8500001</v>
      </c>
      <c r="J5" s="42">
        <f>'Balance Sheet'!K26</f>
        <v>1632865133.54</v>
      </c>
      <c r="K5" s="42">
        <f>'Balance Sheet'!L26</f>
        <v>1636270145.76</v>
      </c>
      <c r="L5" s="42">
        <f>'Balance Sheet'!M26</f>
        <v>1745040635.6400001</v>
      </c>
      <c r="M5" s="42">
        <f>'Balance Sheet'!N26</f>
        <v>1664179518.3</v>
      </c>
      <c r="N5" s="42">
        <f>'Balance Sheet'!O26</f>
        <v>1664179519</v>
      </c>
      <c r="O5" s="42">
        <f>'Balance Sheet'!P26</f>
        <v>1680905496.3899999</v>
      </c>
      <c r="P5" s="42">
        <f>'Balance Sheet'!Q26</f>
        <v>1658133632.6600001</v>
      </c>
      <c r="Q5" s="42">
        <f>'Balance Sheet'!R26</f>
        <v>1663568543.7499998</v>
      </c>
      <c r="R5" s="42">
        <f>'Balance Sheet'!S26</f>
        <v>1768763637.3599999</v>
      </c>
      <c r="S5" s="42">
        <f>'Balance Sheet'!T26</f>
        <v>1876381307.6299999</v>
      </c>
      <c r="T5" s="42">
        <f>'Balance Sheet'!U26</f>
        <v>1952125755.29</v>
      </c>
      <c r="U5" s="42">
        <f>'Balance Sheet'!V26</f>
        <v>1870618932.3800001</v>
      </c>
      <c r="V5" s="42">
        <f>'Balance Sheet'!W26</f>
        <v>1888342034.03</v>
      </c>
      <c r="W5" s="42">
        <f>'Balance Sheet'!X26</f>
        <v>1911446997.05</v>
      </c>
      <c r="X5" s="42">
        <f>'Balance Sheet'!Y26</f>
        <v>1930238612.0799999</v>
      </c>
      <c r="Y5" s="42">
        <f>'Balance Sheet'!Z26</f>
        <v>1959569533.27</v>
      </c>
      <c r="Z5" s="42">
        <f>'Balance Sheet'!AA26</f>
        <v>1949242503.4900002</v>
      </c>
      <c r="AA5" s="42">
        <f>'Balance Sheet'!AB26</f>
        <v>1955372560</v>
      </c>
    </row>
    <row r="6" spans="1:27">
      <c r="A6" s="43" t="s">
        <v>110</v>
      </c>
      <c r="B6" s="44">
        <f t="shared" ref="B6" si="0">B7+B8</f>
        <v>774715889.56999993</v>
      </c>
      <c r="C6" s="44">
        <f t="shared" ref="C6:L6" si="1">C7+C8</f>
        <v>749765928.95000005</v>
      </c>
      <c r="D6" s="44">
        <f t="shared" si="1"/>
        <v>749809901.52999997</v>
      </c>
      <c r="E6" s="44">
        <f t="shared" si="1"/>
        <v>750246625.3599999</v>
      </c>
      <c r="F6" s="44">
        <f t="shared" si="1"/>
        <v>766484680</v>
      </c>
      <c r="G6" s="44">
        <f t="shared" si="1"/>
        <v>774857502.15999997</v>
      </c>
      <c r="H6" s="44">
        <f t="shared" si="1"/>
        <v>777832882.71000004</v>
      </c>
      <c r="I6" s="44">
        <f t="shared" si="1"/>
        <v>775864885.67000008</v>
      </c>
      <c r="J6" s="44">
        <f t="shared" si="1"/>
        <v>784440901.71000004</v>
      </c>
      <c r="K6" s="44">
        <f t="shared" si="1"/>
        <v>789986714.45000005</v>
      </c>
      <c r="L6" s="44">
        <f t="shared" si="1"/>
        <v>893889037.68999994</v>
      </c>
      <c r="M6" s="44">
        <f t="shared" ref="M6" si="2">M7+M8</f>
        <v>830699509.87000012</v>
      </c>
      <c r="N6" s="44">
        <f t="shared" ref="N6:O6" si="3">N7+N8</f>
        <v>830699510</v>
      </c>
      <c r="O6" s="44">
        <f t="shared" si="3"/>
        <v>871365356.37</v>
      </c>
      <c r="P6" s="44">
        <f t="shared" ref="P6:Z6" si="4">P7+P8</f>
        <v>845981983.71000004</v>
      </c>
      <c r="Q6" s="44">
        <f t="shared" si="4"/>
        <v>851934274.58999991</v>
      </c>
      <c r="R6" s="44">
        <f t="shared" si="4"/>
        <v>852268984.57000005</v>
      </c>
      <c r="S6" s="44">
        <f t="shared" si="4"/>
        <v>885127689.08999991</v>
      </c>
      <c r="T6" s="44">
        <f t="shared" si="4"/>
        <v>901027363.23000002</v>
      </c>
      <c r="U6" s="44">
        <f t="shared" si="4"/>
        <v>906209906.25</v>
      </c>
      <c r="V6" s="44">
        <f t="shared" si="4"/>
        <v>913611338.92000008</v>
      </c>
      <c r="W6" s="44">
        <f t="shared" si="4"/>
        <v>913601612.56999993</v>
      </c>
      <c r="X6" s="44">
        <f t="shared" si="4"/>
        <v>924878155.25999999</v>
      </c>
      <c r="Y6" s="44">
        <f t="shared" si="4"/>
        <v>921052101.81000006</v>
      </c>
      <c r="Z6" s="44">
        <f t="shared" si="4"/>
        <v>933966804.25999999</v>
      </c>
      <c r="AA6" s="44">
        <f t="shared" ref="AA6" si="5">AA7+AA8</f>
        <v>933969568</v>
      </c>
    </row>
    <row r="7" spans="1:27">
      <c r="A7" s="45" t="s">
        <v>111</v>
      </c>
      <c r="B7" s="42">
        <f>'Balance Sheet'!C29</f>
        <v>654011128.02999997</v>
      </c>
      <c r="C7" s="42">
        <f>'Balance Sheet'!D29</f>
        <v>663056582.25999999</v>
      </c>
      <c r="D7" s="42">
        <f>'Balance Sheet'!E29</f>
        <v>662529831.36000001</v>
      </c>
      <c r="E7" s="42">
        <f>'Balance Sheet'!F29</f>
        <v>669214641.92999995</v>
      </c>
      <c r="F7" s="42">
        <f>'Balance Sheet'!G29</f>
        <v>676303417.33000004</v>
      </c>
      <c r="G7" s="42">
        <f>'Balance Sheet'!H29</f>
        <v>683741534.55999994</v>
      </c>
      <c r="H7" s="42">
        <f>'Balance Sheet'!I29</f>
        <v>690346869.88</v>
      </c>
      <c r="I7" s="42">
        <f>'Balance Sheet'!J29</f>
        <v>693956179.19000006</v>
      </c>
      <c r="J7" s="42">
        <f>'Balance Sheet'!K29</f>
        <v>701846211.88</v>
      </c>
      <c r="K7" s="42">
        <f>'Balance Sheet'!L29</f>
        <v>708654144.44000006</v>
      </c>
      <c r="L7" s="42">
        <f>'Balance Sheet'!M29</f>
        <v>713358479.91999996</v>
      </c>
      <c r="M7" s="42">
        <f>'Balance Sheet'!N29</f>
        <v>735268885.94000006</v>
      </c>
      <c r="N7" s="42">
        <f>'Balance Sheet'!O29</f>
        <v>735268886</v>
      </c>
      <c r="O7" s="42">
        <f>'Balance Sheet'!P29</f>
        <v>741781745.46000004</v>
      </c>
      <c r="P7" s="42">
        <f>'Balance Sheet'!Q29</f>
        <v>751392994.25</v>
      </c>
      <c r="Q7" s="42">
        <f>'Balance Sheet'!R29</f>
        <v>756268778.03999996</v>
      </c>
      <c r="R7" s="42">
        <f>'Balance Sheet'!S29</f>
        <v>759746245.83000004</v>
      </c>
      <c r="S7" s="42">
        <f>'Balance Sheet'!T29</f>
        <v>788933678.39999998</v>
      </c>
      <c r="T7" s="42">
        <f>'Balance Sheet'!U29</f>
        <v>809034849.75999999</v>
      </c>
      <c r="U7" s="42">
        <f>'Balance Sheet'!V29</f>
        <v>820493050.76999998</v>
      </c>
      <c r="V7" s="42">
        <f>'Balance Sheet'!W29</f>
        <v>827294088.49000001</v>
      </c>
      <c r="W7" s="42">
        <f>'Balance Sheet'!X29</f>
        <v>833918705.26999998</v>
      </c>
      <c r="X7" s="42">
        <f>'Balance Sheet'!Y29</f>
        <v>836069526.13</v>
      </c>
      <c r="Y7" s="42">
        <f>'Balance Sheet'!Z29</f>
        <v>840242780.83000004</v>
      </c>
      <c r="Z7" s="42">
        <f>'Balance Sheet'!AA29</f>
        <v>846911036.73000002</v>
      </c>
      <c r="AA7" s="42">
        <f>'Balance Sheet'!AB29</f>
        <v>846911037</v>
      </c>
    </row>
    <row r="8" spans="1:27">
      <c r="A8" s="45" t="s">
        <v>112</v>
      </c>
      <c r="B8" s="42">
        <f>'Balance Sheet'!C27</f>
        <v>120704761.54000001</v>
      </c>
      <c r="C8" s="42">
        <f>'Balance Sheet'!D27</f>
        <v>86709346.689999998</v>
      </c>
      <c r="D8" s="42">
        <f>'Balance Sheet'!E27</f>
        <v>87280070.170000002</v>
      </c>
      <c r="E8" s="42">
        <f>'Balance Sheet'!F27</f>
        <v>81031983.430000007</v>
      </c>
      <c r="F8" s="42">
        <f>'Balance Sheet'!G27</f>
        <v>90181262.670000002</v>
      </c>
      <c r="G8" s="42">
        <f>'Balance Sheet'!H27</f>
        <v>91115967.599999994</v>
      </c>
      <c r="H8" s="42">
        <f>'Balance Sheet'!I27</f>
        <v>87486012.829999998</v>
      </c>
      <c r="I8" s="42">
        <f>'Balance Sheet'!J27</f>
        <v>81908706.480000004</v>
      </c>
      <c r="J8" s="42">
        <f>'Balance Sheet'!K27</f>
        <v>82594689.829999998</v>
      </c>
      <c r="K8" s="42">
        <f>'Balance Sheet'!L27</f>
        <v>81332570.010000005</v>
      </c>
      <c r="L8" s="42">
        <f>'Balance Sheet'!M27</f>
        <v>180530557.77000001</v>
      </c>
      <c r="M8" s="42">
        <f>'Balance Sheet'!N27</f>
        <v>95430623.930000007</v>
      </c>
      <c r="N8" s="42">
        <f>'Balance Sheet'!O27</f>
        <v>95430624</v>
      </c>
      <c r="O8" s="42">
        <f>'Balance Sheet'!P27</f>
        <v>129583610.91</v>
      </c>
      <c r="P8" s="42">
        <f>'Balance Sheet'!Q27</f>
        <v>94588989.459999993</v>
      </c>
      <c r="Q8" s="42">
        <f>'Balance Sheet'!R27</f>
        <v>95665496.549999997</v>
      </c>
      <c r="R8" s="42">
        <f>'Balance Sheet'!S27</f>
        <v>92522738.739999995</v>
      </c>
      <c r="S8" s="42">
        <f>'Balance Sheet'!T27</f>
        <v>96194010.689999998</v>
      </c>
      <c r="T8" s="42">
        <f>'Balance Sheet'!U27</f>
        <v>91992513.469999999</v>
      </c>
      <c r="U8" s="42">
        <f>'Balance Sheet'!V27</f>
        <v>85716855.480000004</v>
      </c>
      <c r="V8" s="42">
        <f>'Balance Sheet'!W27</f>
        <v>86317250.430000007</v>
      </c>
      <c r="W8" s="42">
        <f>'Balance Sheet'!X27</f>
        <v>79682907.299999997</v>
      </c>
      <c r="X8" s="42">
        <f>'Balance Sheet'!Y27</f>
        <v>88808629.129999995</v>
      </c>
      <c r="Y8" s="42">
        <f>'Balance Sheet'!Z27</f>
        <v>80809320.980000004</v>
      </c>
      <c r="Z8" s="42">
        <f>'Balance Sheet'!AA27</f>
        <v>87055767.530000001</v>
      </c>
      <c r="AA8" s="42">
        <f>'Balance Sheet'!AB27</f>
        <v>87058531</v>
      </c>
    </row>
    <row r="9" spans="1:27">
      <c r="A9" s="45" t="s">
        <v>113</v>
      </c>
      <c r="B9" s="42">
        <f>'Balance Sheet'!C28</f>
        <v>5511362.4500000002</v>
      </c>
      <c r="C9" s="42">
        <f>'Balance Sheet'!D28</f>
        <v>6907659.4299999997</v>
      </c>
      <c r="D9" s="42">
        <f>'Balance Sheet'!E28</f>
        <v>8662909.6600000001</v>
      </c>
      <c r="E9" s="42">
        <f>'Balance Sheet'!F28</f>
        <v>10119314.27</v>
      </c>
      <c r="F9" s="42">
        <f>'Balance Sheet'!G28</f>
        <v>11742283.49</v>
      </c>
      <c r="G9" s="42">
        <f>'Balance Sheet'!H28</f>
        <v>16908758.309999999</v>
      </c>
      <c r="H9" s="42">
        <f>'Balance Sheet'!I28</f>
        <v>19268496.710000001</v>
      </c>
      <c r="I9" s="42">
        <f>'Balance Sheet'!J28</f>
        <v>20940362.690000001</v>
      </c>
      <c r="J9" s="42">
        <f>'Balance Sheet'!K28</f>
        <v>21940930.379999999</v>
      </c>
      <c r="K9" s="42">
        <f>'Balance Sheet'!L28</f>
        <v>23580272.27</v>
      </c>
      <c r="L9" s="42">
        <f>'Balance Sheet'!M28</f>
        <v>25070441.190000001</v>
      </c>
      <c r="M9" s="42">
        <f>'Balance Sheet'!N28</f>
        <v>8612678.3399999999</v>
      </c>
      <c r="N9" s="42">
        <f>'Balance Sheet'!O28</f>
        <v>8612678</v>
      </c>
      <c r="O9" s="42">
        <f>'Balance Sheet'!P28</f>
        <v>9440409.0199999996</v>
      </c>
      <c r="P9" s="42">
        <f>'Balance Sheet'!Q28</f>
        <v>10982877.220000001</v>
      </c>
      <c r="Q9" s="42">
        <f>'Balance Sheet'!R28</f>
        <v>11762674.539999999</v>
      </c>
      <c r="R9" s="42">
        <f>'Balance Sheet'!S28</f>
        <v>13986970.699999999</v>
      </c>
      <c r="S9" s="42">
        <f>'Balance Sheet'!T28</f>
        <v>20782851.02</v>
      </c>
      <c r="T9" s="42">
        <f>'Balance Sheet'!U28</f>
        <v>22346370.949999999</v>
      </c>
      <c r="U9" s="42">
        <f>'Balance Sheet'!V28</f>
        <v>24115325.07</v>
      </c>
      <c r="V9" s="42">
        <f>'Balance Sheet'!W28</f>
        <v>24963773.359999999</v>
      </c>
      <c r="W9" s="42">
        <f>'Balance Sheet'!X28</f>
        <v>27175216.75</v>
      </c>
      <c r="X9" s="42">
        <f>'Balance Sheet'!Y28</f>
        <v>30314100.68</v>
      </c>
      <c r="Y9" s="42">
        <f>'Balance Sheet'!Z28</f>
        <v>35202519.039999999</v>
      </c>
      <c r="Z9" s="42">
        <f>'Balance Sheet'!AA28</f>
        <v>17802865.309999999</v>
      </c>
      <c r="AA9" s="42">
        <f>'Balance Sheet'!AB28</f>
        <v>17802865</v>
      </c>
    </row>
    <row r="10" spans="1:27">
      <c r="A10" s="41" t="s">
        <v>114</v>
      </c>
      <c r="B10" s="42">
        <f>'Balance Sheet'!C38</f>
        <v>1107269936.79</v>
      </c>
      <c r="C10" s="42">
        <f>'Balance Sheet'!D38</f>
        <v>1083754075.1100001</v>
      </c>
      <c r="D10" s="42">
        <f>'Balance Sheet'!E38</f>
        <v>1082807142.1400001</v>
      </c>
      <c r="E10" s="42">
        <f>'Balance Sheet'!F38</f>
        <v>1085687488.22</v>
      </c>
      <c r="F10" s="42">
        <f>'Balance Sheet'!G38</f>
        <v>1103962906.99</v>
      </c>
      <c r="G10" s="42">
        <f>'Balance Sheet'!H38</f>
        <v>1116223570.8199999</v>
      </c>
      <c r="H10" s="42">
        <f>'Balance Sheet'!I38</f>
        <v>1128159779.8799999</v>
      </c>
      <c r="I10" s="42">
        <f>'Balance Sheet'!J38</f>
        <v>1205972765.46</v>
      </c>
      <c r="J10" s="42">
        <f>'Balance Sheet'!K38</f>
        <v>1208709286.96</v>
      </c>
      <c r="K10" s="42">
        <f>'Balance Sheet'!L38</f>
        <v>1216408540.8800001</v>
      </c>
      <c r="L10" s="42">
        <f>'Balance Sheet'!M38</f>
        <v>1316022453.6199999</v>
      </c>
      <c r="M10" s="42">
        <f>'Balance Sheet'!N38</f>
        <v>1229372800.5799999</v>
      </c>
      <c r="N10" s="42">
        <f>'Balance Sheet'!O38</f>
        <v>1227350812</v>
      </c>
      <c r="O10" s="42">
        <f>'Balance Sheet'!P38</f>
        <v>1246102077.1100001</v>
      </c>
      <c r="P10" s="42">
        <f>'Balance Sheet'!Q38</f>
        <v>1213880539.27</v>
      </c>
      <c r="Q10" s="42">
        <f>'Balance Sheet'!R38</f>
        <v>1222068492.99</v>
      </c>
      <c r="R10" s="42">
        <f>'Balance Sheet'!S38</f>
        <v>1322845601.6599998</v>
      </c>
      <c r="S10" s="42">
        <f>'Balance Sheet'!T38</f>
        <v>1405777320.49</v>
      </c>
      <c r="T10" s="42">
        <f>'Balance Sheet'!U38</f>
        <v>1476700652.46</v>
      </c>
      <c r="U10" s="42">
        <f>'Balance Sheet'!V38</f>
        <v>1392267381.5799999</v>
      </c>
      <c r="V10" s="42">
        <f>'Balance Sheet'!W38</f>
        <v>1400164638.1999998</v>
      </c>
      <c r="W10" s="42">
        <f>'Balance Sheet'!X38</f>
        <v>1425401798.3599999</v>
      </c>
      <c r="X10" s="42">
        <f>'Balance Sheet'!Y38</f>
        <v>1441025449.8099999</v>
      </c>
      <c r="Y10" s="42">
        <f>'Balance Sheet'!Z38</f>
        <v>1469859528.5</v>
      </c>
      <c r="Z10" s="42">
        <f>'Balance Sheet'!AA38</f>
        <v>1446431416.3499999</v>
      </c>
      <c r="AA10" s="42">
        <f>'Balance Sheet'!AB38</f>
        <v>1444105223</v>
      </c>
    </row>
    <row r="11" spans="1:2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>
      <c r="A12" s="46" t="s">
        <v>115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s="186" customFormat="1">
      <c r="A13" s="184" t="s">
        <v>116</v>
      </c>
      <c r="B13" s="185">
        <f t="shared" ref="B13" si="6">B15-B28</f>
        <v>378376373.72999996</v>
      </c>
      <c r="C13" s="185">
        <f t="shared" ref="C13:L13" si="7">C15-C28</f>
        <v>375986805.19</v>
      </c>
      <c r="D13" s="185">
        <f t="shared" si="7"/>
        <v>380733813.54999995</v>
      </c>
      <c r="E13" s="185">
        <f t="shared" si="7"/>
        <v>384401967.08999997</v>
      </c>
      <c r="F13" s="185">
        <f t="shared" si="7"/>
        <v>387467026.68000001</v>
      </c>
      <c r="G13" s="185">
        <f t="shared" si="7"/>
        <v>390845377.75999993</v>
      </c>
      <c r="H13" s="185">
        <f t="shared" si="7"/>
        <v>398087579.44</v>
      </c>
      <c r="I13" s="185">
        <f t="shared" si="7"/>
        <v>421279265.38999999</v>
      </c>
      <c r="J13" s="185">
        <f t="shared" si="7"/>
        <v>424155846.57999998</v>
      </c>
      <c r="K13" s="185">
        <f t="shared" si="7"/>
        <v>419861604.42999995</v>
      </c>
      <c r="L13" s="185">
        <f t="shared" si="7"/>
        <v>429018181.56999999</v>
      </c>
      <c r="M13" s="185">
        <f t="shared" ref="M13" si="8">M15-M28</f>
        <v>434806717.44999999</v>
      </c>
      <c r="N13" s="185">
        <f t="shared" ref="N13:O13" si="9">N15-N28</f>
        <v>436828706</v>
      </c>
      <c r="O13" s="185">
        <f t="shared" si="9"/>
        <v>434803419.28000003</v>
      </c>
      <c r="P13" s="185">
        <f t="shared" ref="P13:Z13" si="10">P15-P28</f>
        <v>444253093.39000005</v>
      </c>
      <c r="Q13" s="185">
        <f t="shared" si="10"/>
        <v>441500050.76000005</v>
      </c>
      <c r="R13" s="185">
        <f t="shared" si="10"/>
        <v>445918035.69999999</v>
      </c>
      <c r="S13" s="185">
        <f t="shared" si="10"/>
        <v>470603987.14000005</v>
      </c>
      <c r="T13" s="185">
        <f t="shared" si="10"/>
        <v>475425102.82999998</v>
      </c>
      <c r="U13" s="185">
        <f t="shared" si="10"/>
        <v>478351550.80000001</v>
      </c>
      <c r="V13" s="185">
        <f t="shared" si="10"/>
        <v>488177395.83000004</v>
      </c>
      <c r="W13" s="185">
        <f t="shared" si="10"/>
        <v>488177395.83000004</v>
      </c>
      <c r="X13" s="185">
        <f t="shared" si="10"/>
        <v>486045198.69</v>
      </c>
      <c r="Y13" s="185">
        <f t="shared" si="10"/>
        <v>489213162.27000004</v>
      </c>
      <c r="Z13" s="185">
        <f t="shared" si="10"/>
        <v>489710004.76999998</v>
      </c>
      <c r="AA13" s="185">
        <f t="shared" ref="AA13" si="11">AA15-AA28</f>
        <v>502811087.13999999</v>
      </c>
    </row>
    <row r="14" spans="1:27" s="189" customFormat="1">
      <c r="A14" s="187" t="s">
        <v>117</v>
      </c>
      <c r="B14" s="188">
        <f t="shared" ref="B14" si="12">B13-B16</f>
        <v>325956695.58999997</v>
      </c>
      <c r="C14" s="188">
        <f t="shared" ref="C14:L14" si="13">C13-C16</f>
        <v>323434065.25</v>
      </c>
      <c r="D14" s="188">
        <f t="shared" si="13"/>
        <v>328045842.50999993</v>
      </c>
      <c r="E14" s="188">
        <f t="shared" si="13"/>
        <v>331571787.42999995</v>
      </c>
      <c r="F14" s="188">
        <f t="shared" si="13"/>
        <v>334500297.01999998</v>
      </c>
      <c r="G14" s="188">
        <f t="shared" si="13"/>
        <v>337741162.0999999</v>
      </c>
      <c r="H14" s="188">
        <f t="shared" si="13"/>
        <v>344859836.77999997</v>
      </c>
      <c r="I14" s="188">
        <f t="shared" si="13"/>
        <v>367938557.19999999</v>
      </c>
      <c r="J14" s="188">
        <f t="shared" si="13"/>
        <v>370693338.81999999</v>
      </c>
      <c r="K14" s="188">
        <f t="shared" si="13"/>
        <v>366300796.66999996</v>
      </c>
      <c r="L14" s="188">
        <f t="shared" si="13"/>
        <v>375119287.64999998</v>
      </c>
      <c r="M14" s="188">
        <f t="shared" ref="M14" si="14">M13-M16</f>
        <v>380754923.52999997</v>
      </c>
      <c r="N14" s="188">
        <f t="shared" ref="N14:O14" si="15">N13-N16</f>
        <v>382776912</v>
      </c>
      <c r="O14" s="188">
        <f t="shared" si="15"/>
        <v>380575530.25</v>
      </c>
      <c r="P14" s="188">
        <f t="shared" ref="P14:Z14" si="16">P13-P16</f>
        <v>389949432.61000001</v>
      </c>
      <c r="Q14" s="188">
        <f t="shared" si="16"/>
        <v>387122379.98000002</v>
      </c>
      <c r="R14" s="188">
        <f t="shared" si="16"/>
        <v>391465112.31</v>
      </c>
      <c r="S14" s="188">
        <f t="shared" si="16"/>
        <v>416078584.30000007</v>
      </c>
      <c r="T14" s="188">
        <f t="shared" si="16"/>
        <v>420832578.66999996</v>
      </c>
      <c r="U14" s="188">
        <f t="shared" si="16"/>
        <v>423689905.87</v>
      </c>
      <c r="V14" s="188">
        <f t="shared" si="16"/>
        <v>433445850.90000004</v>
      </c>
      <c r="W14" s="188">
        <f t="shared" si="16"/>
        <v>433445850.90000004</v>
      </c>
      <c r="X14" s="188">
        <f t="shared" si="16"/>
        <v>431223052.35000002</v>
      </c>
      <c r="Y14" s="188">
        <f t="shared" si="16"/>
        <v>434319015.64000005</v>
      </c>
      <c r="Z14" s="188">
        <f t="shared" si="16"/>
        <v>434741354.06</v>
      </c>
      <c r="AA14" s="188">
        <f t="shared" ref="AA14" si="17">AA13-AA16</f>
        <v>447783489.19999999</v>
      </c>
    </row>
    <row r="15" spans="1:27">
      <c r="A15" s="46" t="s">
        <v>118</v>
      </c>
      <c r="B15" s="44">
        <f t="shared" ref="B15" si="18">B16+B17+B18+B19+B20+B21</f>
        <v>378376373.72999996</v>
      </c>
      <c r="C15" s="44">
        <f t="shared" ref="C15:L15" si="19">C16+C17+C18+C19+C20+C21</f>
        <v>375986805.19</v>
      </c>
      <c r="D15" s="44">
        <f t="shared" si="19"/>
        <v>380733813.54999995</v>
      </c>
      <c r="E15" s="44">
        <f t="shared" si="19"/>
        <v>384401967.08999997</v>
      </c>
      <c r="F15" s="44">
        <f t="shared" si="19"/>
        <v>387467026.68000001</v>
      </c>
      <c r="G15" s="44">
        <f t="shared" si="19"/>
        <v>390845377.75999993</v>
      </c>
      <c r="H15" s="44">
        <f t="shared" si="19"/>
        <v>398087579.44</v>
      </c>
      <c r="I15" s="44">
        <f t="shared" si="19"/>
        <v>421279265.38999999</v>
      </c>
      <c r="J15" s="44">
        <f t="shared" si="19"/>
        <v>424155846.57999998</v>
      </c>
      <c r="K15" s="44">
        <f t="shared" si="19"/>
        <v>419861604.42999995</v>
      </c>
      <c r="L15" s="44">
        <f t="shared" si="19"/>
        <v>429018181.56999999</v>
      </c>
      <c r="M15" s="44">
        <f t="shared" ref="M15" si="20">M16+M17+M18+M19+M20+M21</f>
        <v>434806717.44999999</v>
      </c>
      <c r="N15" s="44">
        <f t="shared" ref="N15:O15" si="21">N16+N17+N18+N19+N20+N21</f>
        <v>436828706</v>
      </c>
      <c r="O15" s="44">
        <f t="shared" si="21"/>
        <v>434803419.28000003</v>
      </c>
      <c r="P15" s="44">
        <f t="shared" ref="P15:Z15" si="22">P16+P17+P18+P19+P20+P21</f>
        <v>444253093.39000005</v>
      </c>
      <c r="Q15" s="44">
        <f t="shared" si="22"/>
        <v>441500050.76000005</v>
      </c>
      <c r="R15" s="44">
        <f t="shared" si="22"/>
        <v>445918035.69999999</v>
      </c>
      <c r="S15" s="44">
        <f t="shared" si="22"/>
        <v>470603987.14000005</v>
      </c>
      <c r="T15" s="44">
        <f t="shared" si="22"/>
        <v>475425102.82999998</v>
      </c>
      <c r="U15" s="44">
        <f t="shared" si="22"/>
        <v>478351550.80000001</v>
      </c>
      <c r="V15" s="44">
        <f t="shared" si="22"/>
        <v>488177395.83000004</v>
      </c>
      <c r="W15" s="44">
        <f t="shared" si="22"/>
        <v>488177395.83000004</v>
      </c>
      <c r="X15" s="44">
        <f t="shared" si="22"/>
        <v>486045198.69</v>
      </c>
      <c r="Y15" s="44">
        <f t="shared" si="22"/>
        <v>489213162.27000004</v>
      </c>
      <c r="Z15" s="44">
        <f t="shared" si="22"/>
        <v>489710004.76999998</v>
      </c>
      <c r="AA15" s="44">
        <f t="shared" ref="AA15" si="23">AA16+AA17+AA18+AA19+AA20+AA21</f>
        <v>502811087.13999999</v>
      </c>
    </row>
    <row r="16" spans="1:27">
      <c r="A16" s="47" t="s">
        <v>119</v>
      </c>
      <c r="B16" s="42">
        <f>'Balance Sheet'!C39</f>
        <v>52419678.140000001</v>
      </c>
      <c r="C16" s="42">
        <f>'Balance Sheet'!D39</f>
        <v>52552739.939999998</v>
      </c>
      <c r="D16" s="42">
        <f>'Balance Sheet'!E39</f>
        <v>52687971.039999999</v>
      </c>
      <c r="E16" s="42">
        <f>'Balance Sheet'!F39</f>
        <v>52830179.659999996</v>
      </c>
      <c r="F16" s="42">
        <f>'Balance Sheet'!G39</f>
        <v>52966729.659999996</v>
      </c>
      <c r="G16" s="42">
        <f>'Balance Sheet'!H39</f>
        <v>53104215.659999996</v>
      </c>
      <c r="H16" s="42">
        <f>'Balance Sheet'!I39</f>
        <v>53227742.659999996</v>
      </c>
      <c r="I16" s="42">
        <f>'Balance Sheet'!J39</f>
        <v>53340708.189999998</v>
      </c>
      <c r="J16" s="42">
        <f>'Balance Sheet'!K39</f>
        <v>53462507.759999998</v>
      </c>
      <c r="K16" s="42">
        <f>'Balance Sheet'!L39</f>
        <v>53560807.759999998</v>
      </c>
      <c r="L16" s="42">
        <f>'Balance Sheet'!M39</f>
        <v>53898893.920000002</v>
      </c>
      <c r="M16" s="42">
        <f>'Balance Sheet'!N39</f>
        <v>54051793.920000002</v>
      </c>
      <c r="N16" s="42">
        <f>'Balance Sheet'!O39</f>
        <v>54051794</v>
      </c>
      <c r="O16" s="42">
        <f>'Balance Sheet'!P39</f>
        <v>54227889.030000001</v>
      </c>
      <c r="P16" s="42">
        <f>'Balance Sheet'!Q39</f>
        <v>54303660.780000001</v>
      </c>
      <c r="Q16" s="42">
        <f>'Balance Sheet'!R39</f>
        <v>54377670.780000001</v>
      </c>
      <c r="R16" s="42">
        <f>'Balance Sheet'!S39</f>
        <v>54452923.390000001</v>
      </c>
      <c r="S16" s="42">
        <f>'Balance Sheet'!T39</f>
        <v>54525402.840000004</v>
      </c>
      <c r="T16" s="42">
        <f>'Balance Sheet'!U39</f>
        <v>54592524.159999996</v>
      </c>
      <c r="U16" s="42">
        <f>'Balance Sheet'!V39</f>
        <v>54661644.93</v>
      </c>
      <c r="V16" s="42">
        <f>'Balance Sheet'!W39</f>
        <v>54731544.93</v>
      </c>
      <c r="W16" s="42">
        <f>'Balance Sheet'!W39</f>
        <v>54731544.93</v>
      </c>
      <c r="X16" s="42">
        <f>'Balance Sheet'!X39</f>
        <v>54822146.340000004</v>
      </c>
      <c r="Y16" s="42">
        <f>'Balance Sheet'!Y39</f>
        <v>54894146.630000003</v>
      </c>
      <c r="Z16" s="42">
        <f>'Balance Sheet'!Z39</f>
        <v>54968650.710000001</v>
      </c>
      <c r="AA16" s="42">
        <f>'Balance Sheet'!AA39</f>
        <v>55027597.939999998</v>
      </c>
    </row>
    <row r="17" spans="1:27">
      <c r="A17" s="41" t="s">
        <v>120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>
      <c r="A18" s="41" t="s">
        <v>44</v>
      </c>
      <c r="B18" s="42">
        <f>'Balance Sheet'!C41</f>
        <v>219539180.63999999</v>
      </c>
      <c r="C18" s="42">
        <f>'Balance Sheet'!D41</f>
        <v>217016550.29999998</v>
      </c>
      <c r="D18" s="42">
        <f>'Balance Sheet'!E41</f>
        <v>221628327.55999997</v>
      </c>
      <c r="E18" s="42">
        <f>'Balance Sheet'!F41</f>
        <v>225154272.47999999</v>
      </c>
      <c r="F18" s="42">
        <f>'Balance Sheet'!G41</f>
        <v>228082782.06999999</v>
      </c>
      <c r="G18" s="42">
        <f>'Balance Sheet'!H41</f>
        <v>231323647.14999998</v>
      </c>
      <c r="H18" s="42">
        <f>'Balance Sheet'!I41</f>
        <v>238442321.82999998</v>
      </c>
      <c r="I18" s="42">
        <f>'Balance Sheet'!J41</f>
        <v>261521042.25</v>
      </c>
      <c r="J18" s="42">
        <f>'Balance Sheet'!K41</f>
        <v>264275823.86999997</v>
      </c>
      <c r="K18" s="42">
        <f>'Balance Sheet'!L41</f>
        <v>259883281.71999997</v>
      </c>
      <c r="L18" s="42">
        <f>'Balance Sheet'!M41</f>
        <v>268701772.69999999</v>
      </c>
      <c r="M18" s="42">
        <f>'Balance Sheet'!N41</f>
        <v>255646597.59</v>
      </c>
      <c r="N18" s="42">
        <f>'Balance Sheet'!O41</f>
        <v>255646597</v>
      </c>
      <c r="O18" s="42">
        <f>'Balance Sheet'!P41</f>
        <v>260872383.69</v>
      </c>
      <c r="P18" s="42">
        <f>'Balance Sheet'!Q41</f>
        <v>270246286.05000001</v>
      </c>
      <c r="Q18" s="42">
        <f>'Balance Sheet'!R41</f>
        <v>267419233.42000002</v>
      </c>
      <c r="R18" s="42">
        <f>'Balance Sheet'!S41</f>
        <v>271761965.75</v>
      </c>
      <c r="S18" s="42">
        <f>'Balance Sheet'!T41</f>
        <v>296375437.74000001</v>
      </c>
      <c r="T18" s="42">
        <f>'Balance Sheet'!U41</f>
        <v>301129432.11000001</v>
      </c>
      <c r="U18" s="42">
        <f>'Balance Sheet'!V41</f>
        <v>303986759.31</v>
      </c>
      <c r="V18" s="42">
        <f>'Balance Sheet'!W41</f>
        <v>313742704.34000003</v>
      </c>
      <c r="W18" s="42">
        <f>'Balance Sheet'!W41</f>
        <v>313742704.34000003</v>
      </c>
      <c r="X18" s="42">
        <f>'Balance Sheet'!X41</f>
        <v>311519905.79000002</v>
      </c>
      <c r="Y18" s="42">
        <f>'Balance Sheet'!Y41</f>
        <v>314615869.08000004</v>
      </c>
      <c r="Z18" s="42">
        <f>'Balance Sheet'!Z41</f>
        <v>315038207.5</v>
      </c>
      <c r="AA18" s="42">
        <f>'Balance Sheet'!AA41</f>
        <v>307625032.75999999</v>
      </c>
    </row>
    <row r="19" spans="1:27">
      <c r="A19" s="41" t="s">
        <v>121</v>
      </c>
      <c r="B19" s="42">
        <f>'Balance Sheet'!C48</f>
        <v>0</v>
      </c>
      <c r="C19" s="42">
        <f>'Balance Sheet'!D48</f>
        <v>0</v>
      </c>
      <c r="D19" s="42">
        <f>'Balance Sheet'!E48</f>
        <v>0</v>
      </c>
      <c r="E19" s="42">
        <f>'Balance Sheet'!F48</f>
        <v>0</v>
      </c>
      <c r="F19" s="42">
        <f>'Balance Sheet'!G48</f>
        <v>0</v>
      </c>
      <c r="G19" s="42">
        <f>'Balance Sheet'!H48</f>
        <v>0</v>
      </c>
      <c r="H19" s="42">
        <f>'Balance Sheet'!I48</f>
        <v>0</v>
      </c>
      <c r="I19" s="42">
        <f>'Balance Sheet'!J48</f>
        <v>0</v>
      </c>
      <c r="J19" s="42">
        <f>'Balance Sheet'!K48</f>
        <v>0</v>
      </c>
      <c r="K19" s="42">
        <f>'Balance Sheet'!L48</f>
        <v>0</v>
      </c>
      <c r="L19" s="42">
        <f>'Balance Sheet'!M48</f>
        <v>0</v>
      </c>
      <c r="M19" s="42">
        <f>'Balance Sheet'!N48</f>
        <v>5405179.3799999999</v>
      </c>
      <c r="N19" s="42">
        <f>'Balance Sheet'!O48</f>
        <v>7427169</v>
      </c>
      <c r="O19" s="42">
        <f>'Balance Sheet'!P48</f>
        <v>0</v>
      </c>
      <c r="P19" s="42">
        <f>'Balance Sheet'!Q48</f>
        <v>0</v>
      </c>
      <c r="Q19" s="42">
        <f>'Balance Sheet'!R48</f>
        <v>0</v>
      </c>
      <c r="R19" s="42">
        <f>'Balance Sheet'!S48</f>
        <v>0</v>
      </c>
      <c r="S19" s="42">
        <f>'Balance Sheet'!T48</f>
        <v>0</v>
      </c>
      <c r="T19" s="42">
        <f>'Balance Sheet'!U48</f>
        <v>0</v>
      </c>
      <c r="U19" s="42">
        <f>'Balance Sheet'!V48</f>
        <v>0</v>
      </c>
      <c r="V19" s="42">
        <f>'Balance Sheet'!W48</f>
        <v>0</v>
      </c>
      <c r="W19" s="42">
        <f>'Balance Sheet'!W48</f>
        <v>0</v>
      </c>
      <c r="X19" s="42">
        <f>'Balance Sheet'!X48</f>
        <v>0</v>
      </c>
      <c r="Y19" s="42">
        <f>'Balance Sheet'!Y48</f>
        <v>0</v>
      </c>
      <c r="Z19" s="42">
        <f>'Balance Sheet'!Z48</f>
        <v>0</v>
      </c>
      <c r="AA19" s="42">
        <f>'Balance Sheet'!AA48</f>
        <v>5502759.79</v>
      </c>
    </row>
    <row r="20" spans="1:27">
      <c r="A20" s="41" t="s">
        <v>122</v>
      </c>
      <c r="B20" s="42">
        <f>'Balance Sheet'!C45</f>
        <v>77497514.950000003</v>
      </c>
      <c r="C20" s="42">
        <f>'Balance Sheet'!D45</f>
        <v>77497514.950000003</v>
      </c>
      <c r="D20" s="42">
        <f>'Balance Sheet'!E45</f>
        <v>77497514.950000003</v>
      </c>
      <c r="E20" s="42">
        <f>'Balance Sheet'!F45</f>
        <v>77497514.950000003</v>
      </c>
      <c r="F20" s="42">
        <f>'Balance Sheet'!G45</f>
        <v>77497514.950000003</v>
      </c>
      <c r="G20" s="42">
        <f>'Balance Sheet'!H45</f>
        <v>77497514.950000003</v>
      </c>
      <c r="H20" s="42">
        <f>'Balance Sheet'!I45</f>
        <v>77497514.950000003</v>
      </c>
      <c r="I20" s="42">
        <f>'Balance Sheet'!J45</f>
        <v>77497514.950000003</v>
      </c>
      <c r="J20" s="42">
        <f>'Balance Sheet'!K45</f>
        <v>77497514.950000003</v>
      </c>
      <c r="K20" s="42">
        <f>'Balance Sheet'!L45</f>
        <v>77497514.950000003</v>
      </c>
      <c r="L20" s="42">
        <f>'Balance Sheet'!M45</f>
        <v>77497514.950000003</v>
      </c>
      <c r="M20" s="42">
        <f>'Balance Sheet'!N45</f>
        <v>90783146.560000002</v>
      </c>
      <c r="N20" s="42">
        <f>'Balance Sheet'!O45</f>
        <v>90783146</v>
      </c>
      <c r="O20" s="42">
        <f>'Balance Sheet'!P45</f>
        <v>90783146.560000002</v>
      </c>
      <c r="P20" s="42">
        <f>'Balance Sheet'!Q45</f>
        <v>90783146.560000002</v>
      </c>
      <c r="Q20" s="42">
        <f>'Balance Sheet'!R45</f>
        <v>90783146.560000002</v>
      </c>
      <c r="R20" s="42">
        <f>'Balance Sheet'!S45</f>
        <v>90783146.560000002</v>
      </c>
      <c r="S20" s="42">
        <f>'Balance Sheet'!T45</f>
        <v>90783146.560000002</v>
      </c>
      <c r="T20" s="42">
        <f>'Balance Sheet'!U45</f>
        <v>90783146.560000002</v>
      </c>
      <c r="U20" s="42">
        <f>'Balance Sheet'!V45</f>
        <v>90783146.560000002</v>
      </c>
      <c r="V20" s="42">
        <f>'Balance Sheet'!W45</f>
        <v>90783146.560000002</v>
      </c>
      <c r="W20" s="42">
        <f>'Balance Sheet'!W45</f>
        <v>90783146.560000002</v>
      </c>
      <c r="X20" s="42">
        <f>'Balance Sheet'!X45</f>
        <v>90783146.560000002</v>
      </c>
      <c r="Y20" s="42">
        <f>'Balance Sheet'!Y45</f>
        <v>90783146.560000002</v>
      </c>
      <c r="Z20" s="42">
        <f>'Balance Sheet'!Z45</f>
        <v>90783146.560000002</v>
      </c>
      <c r="AA20" s="42">
        <f>'Balance Sheet'!AA45</f>
        <v>105735696.65000001</v>
      </c>
    </row>
    <row r="21" spans="1:27">
      <c r="A21" s="41" t="s">
        <v>123</v>
      </c>
      <c r="B21" s="42">
        <f>'Balance Sheet'!C46</f>
        <v>28920000</v>
      </c>
      <c r="C21" s="42">
        <f>'Balance Sheet'!D46</f>
        <v>28920000</v>
      </c>
      <c r="D21" s="42">
        <f>'Balance Sheet'!E46</f>
        <v>28920000</v>
      </c>
      <c r="E21" s="42">
        <f>'Balance Sheet'!F46</f>
        <v>28920000</v>
      </c>
      <c r="F21" s="42">
        <f>'Balance Sheet'!G46</f>
        <v>28920000</v>
      </c>
      <c r="G21" s="42">
        <f>'Balance Sheet'!H46</f>
        <v>28920000</v>
      </c>
      <c r="H21" s="42">
        <f>'Balance Sheet'!I46</f>
        <v>28920000</v>
      </c>
      <c r="I21" s="42">
        <f>'Balance Sheet'!J46</f>
        <v>28920000</v>
      </c>
      <c r="J21" s="42">
        <f>'Balance Sheet'!K46</f>
        <v>28920000</v>
      </c>
      <c r="K21" s="42">
        <f>'Balance Sheet'!L46</f>
        <v>28920000</v>
      </c>
      <c r="L21" s="42">
        <f>'Balance Sheet'!M46</f>
        <v>28920000</v>
      </c>
      <c r="M21" s="42">
        <f>'Balance Sheet'!N46</f>
        <v>28920000</v>
      </c>
      <c r="N21" s="42">
        <f>'Balance Sheet'!O46</f>
        <v>28920000</v>
      </c>
      <c r="O21" s="42">
        <f>'Balance Sheet'!P46</f>
        <v>28920000</v>
      </c>
      <c r="P21" s="42">
        <f>'Balance Sheet'!Q46</f>
        <v>28920000</v>
      </c>
      <c r="Q21" s="42">
        <f>'Balance Sheet'!R46</f>
        <v>28920000</v>
      </c>
      <c r="R21" s="42">
        <f>'Balance Sheet'!S46</f>
        <v>28920000</v>
      </c>
      <c r="S21" s="42">
        <f>'Balance Sheet'!T46</f>
        <v>28920000</v>
      </c>
      <c r="T21" s="42">
        <f>'Balance Sheet'!U46</f>
        <v>28920000</v>
      </c>
      <c r="U21" s="42">
        <f>'Balance Sheet'!V46</f>
        <v>28920000</v>
      </c>
      <c r="V21" s="42">
        <f>'Balance Sheet'!W46</f>
        <v>28920000</v>
      </c>
      <c r="W21" s="42">
        <f>'Balance Sheet'!W46</f>
        <v>28920000</v>
      </c>
      <c r="X21" s="42">
        <f>'Balance Sheet'!X46</f>
        <v>28920000</v>
      </c>
      <c r="Y21" s="42">
        <f>'Balance Sheet'!Y46</f>
        <v>28920000</v>
      </c>
      <c r="Z21" s="42">
        <f>'Balance Sheet'!Z46</f>
        <v>28920000</v>
      </c>
      <c r="AA21" s="42">
        <f>'Balance Sheet'!AA46</f>
        <v>28920000</v>
      </c>
    </row>
    <row r="22" spans="1:27">
      <c r="A22" s="43" t="s">
        <v>124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>
      <c r="A23" s="41" t="s">
        <v>51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>
      <c r="A24" s="41" t="s">
        <v>125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>
      <c r="A25" s="43" t="s">
        <v>126</v>
      </c>
      <c r="B25" s="48">
        <f t="shared" ref="B25" si="24">B26+B27+B29</f>
        <v>21355306</v>
      </c>
      <c r="C25" s="48">
        <f t="shared" ref="C25:L25" si="25">C26+C27+C29</f>
        <v>21455306</v>
      </c>
      <c r="D25" s="48">
        <f t="shared" si="25"/>
        <v>21555306</v>
      </c>
      <c r="E25" s="48">
        <f t="shared" si="25"/>
        <v>21655306</v>
      </c>
      <c r="F25" s="48">
        <f t="shared" si="25"/>
        <v>22055306</v>
      </c>
      <c r="G25" s="48">
        <f t="shared" si="25"/>
        <v>22155306</v>
      </c>
      <c r="H25" s="48">
        <f t="shared" si="25"/>
        <v>22255306</v>
      </c>
      <c r="I25" s="48">
        <f t="shared" si="25"/>
        <v>22355306</v>
      </c>
      <c r="J25" s="48">
        <f t="shared" si="25"/>
        <v>22455306</v>
      </c>
      <c r="K25" s="48">
        <f t="shared" si="25"/>
        <v>22555306</v>
      </c>
      <c r="L25" s="48">
        <f t="shared" si="25"/>
        <v>22655306</v>
      </c>
      <c r="M25" s="48">
        <f t="shared" ref="M25" si="26">M26+M27+M29</f>
        <v>22755306</v>
      </c>
      <c r="N25" s="48">
        <f t="shared" ref="N25:O25" si="27">N26+N27+N29</f>
        <v>45510612</v>
      </c>
      <c r="O25" s="48">
        <f t="shared" si="27"/>
        <v>22855306</v>
      </c>
      <c r="P25" s="48">
        <f t="shared" ref="P25:Z25" si="28">P26+P27+P29</f>
        <v>22955306</v>
      </c>
      <c r="Q25" s="48">
        <f t="shared" si="28"/>
        <v>23055306</v>
      </c>
      <c r="R25" s="48">
        <f t="shared" si="28"/>
        <v>23155306</v>
      </c>
      <c r="S25" s="48">
        <f t="shared" si="28"/>
        <v>23255306</v>
      </c>
      <c r="T25" s="48">
        <f t="shared" si="28"/>
        <v>23355306</v>
      </c>
      <c r="U25" s="48">
        <f t="shared" si="28"/>
        <v>23455306</v>
      </c>
      <c r="V25" s="48">
        <f t="shared" si="28"/>
        <v>23555306</v>
      </c>
      <c r="W25" s="48">
        <f t="shared" si="28"/>
        <v>23655306</v>
      </c>
      <c r="X25" s="48">
        <f t="shared" si="28"/>
        <v>23755306</v>
      </c>
      <c r="Y25" s="48">
        <f t="shared" si="28"/>
        <v>23855306</v>
      </c>
      <c r="Z25" s="48">
        <f t="shared" si="28"/>
        <v>23955306</v>
      </c>
      <c r="AA25" s="48">
        <f t="shared" ref="AA25" si="29">AA26+AA27+AA29</f>
        <v>59164958</v>
      </c>
    </row>
    <row r="26" spans="1:27">
      <c r="A26" s="41" t="s">
        <v>127</v>
      </c>
      <c r="B26" s="42">
        <f>'Balance Sheet'!C8</f>
        <v>21355306</v>
      </c>
      <c r="C26" s="42">
        <f>'Balance Sheet'!D8</f>
        <v>21455306</v>
      </c>
      <c r="D26" s="42">
        <f>'Balance Sheet'!E8</f>
        <v>21555306</v>
      </c>
      <c r="E26" s="42">
        <f>'Balance Sheet'!F8</f>
        <v>21655306</v>
      </c>
      <c r="F26" s="42">
        <f>'Balance Sheet'!G8</f>
        <v>22055306</v>
      </c>
      <c r="G26" s="42">
        <f>'Balance Sheet'!H8</f>
        <v>22155306</v>
      </c>
      <c r="H26" s="42">
        <f>'Balance Sheet'!I8</f>
        <v>22255306</v>
      </c>
      <c r="I26" s="42">
        <f>'Balance Sheet'!J8</f>
        <v>22355306</v>
      </c>
      <c r="J26" s="42">
        <f>'Balance Sheet'!K8</f>
        <v>22455306</v>
      </c>
      <c r="K26" s="42">
        <f>'Balance Sheet'!L8</f>
        <v>22555306</v>
      </c>
      <c r="L26" s="42">
        <f>'Balance Sheet'!M8</f>
        <v>22655306</v>
      </c>
      <c r="M26" s="42">
        <f>'Balance Sheet'!N8</f>
        <v>22755306</v>
      </c>
      <c r="N26" s="42">
        <f>'Balance Sheet'!O8</f>
        <v>22755306</v>
      </c>
      <c r="O26" s="42">
        <f>'Balance Sheet'!P8</f>
        <v>22855306</v>
      </c>
      <c r="P26" s="42">
        <f>'Balance Sheet'!Q8</f>
        <v>22955306</v>
      </c>
      <c r="Q26" s="42">
        <f>'Balance Sheet'!R8</f>
        <v>23055306</v>
      </c>
      <c r="R26" s="42">
        <f>'Balance Sheet'!S8</f>
        <v>23155306</v>
      </c>
      <c r="S26" s="42">
        <f>'Balance Sheet'!T8</f>
        <v>23255306</v>
      </c>
      <c r="T26" s="42">
        <f>'Balance Sheet'!U8</f>
        <v>23355306</v>
      </c>
      <c r="U26" s="42">
        <f>'Balance Sheet'!V8</f>
        <v>23455306</v>
      </c>
      <c r="V26" s="42">
        <f>'Balance Sheet'!W8</f>
        <v>23555306</v>
      </c>
      <c r="W26" s="42">
        <f>'Balance Sheet'!X8</f>
        <v>23655306</v>
      </c>
      <c r="X26" s="42">
        <f>'Balance Sheet'!Y8</f>
        <v>23755306</v>
      </c>
      <c r="Y26" s="42">
        <f>'Balance Sheet'!Z8</f>
        <v>23855306</v>
      </c>
      <c r="Z26" s="42">
        <f>'Balance Sheet'!AA8</f>
        <v>23955306</v>
      </c>
      <c r="AA26" s="42">
        <f>'Balance Sheet'!AB8</f>
        <v>29582479</v>
      </c>
    </row>
    <row r="27" spans="1:27">
      <c r="A27" s="41" t="s">
        <v>128</v>
      </c>
      <c r="B27" s="42">
        <f>'Balance Sheet'!C11</f>
        <v>0</v>
      </c>
      <c r="C27" s="42">
        <f>'Balance Sheet'!D11</f>
        <v>0</v>
      </c>
      <c r="D27" s="42">
        <f>'Balance Sheet'!E11</f>
        <v>0</v>
      </c>
      <c r="E27" s="42">
        <f>'Balance Sheet'!F11</f>
        <v>0</v>
      </c>
      <c r="F27" s="42">
        <f>'Balance Sheet'!G11</f>
        <v>0</v>
      </c>
      <c r="G27" s="42">
        <f>'Balance Sheet'!H11</f>
        <v>0</v>
      </c>
      <c r="H27" s="42">
        <f>'Balance Sheet'!I11</f>
        <v>0</v>
      </c>
      <c r="I27" s="42">
        <f>'Balance Sheet'!J11</f>
        <v>0</v>
      </c>
      <c r="J27" s="42">
        <f>'Balance Sheet'!K11</f>
        <v>0</v>
      </c>
      <c r="K27" s="42">
        <f>'Balance Sheet'!L11</f>
        <v>0</v>
      </c>
      <c r="L27" s="42">
        <f>'Balance Sheet'!M11</f>
        <v>0</v>
      </c>
      <c r="M27" s="42">
        <f>'Balance Sheet'!N11</f>
        <v>0</v>
      </c>
      <c r="N27" s="42">
        <f>'Balance Sheet'!O11</f>
        <v>312000</v>
      </c>
      <c r="O27" s="42">
        <f>'Balance Sheet'!P11</f>
        <v>0</v>
      </c>
      <c r="P27" s="42">
        <f>'Balance Sheet'!Q11</f>
        <v>0</v>
      </c>
      <c r="Q27" s="42">
        <f>'Balance Sheet'!R11</f>
        <v>0</v>
      </c>
      <c r="R27" s="42">
        <f>'Balance Sheet'!S11</f>
        <v>0</v>
      </c>
      <c r="S27" s="42">
        <f>'Balance Sheet'!T11</f>
        <v>0</v>
      </c>
      <c r="T27" s="42">
        <f>'Balance Sheet'!U11</f>
        <v>0</v>
      </c>
      <c r="U27" s="42">
        <f>'Balance Sheet'!V11</f>
        <v>0</v>
      </c>
      <c r="V27" s="42">
        <f>'Balance Sheet'!W11</f>
        <v>0</v>
      </c>
      <c r="W27" s="42">
        <f>'Balance Sheet'!X11</f>
        <v>0</v>
      </c>
      <c r="X27" s="42">
        <f>'Balance Sheet'!Y11</f>
        <v>0</v>
      </c>
      <c r="Y27" s="42">
        <f>'Balance Sheet'!Z11</f>
        <v>0</v>
      </c>
      <c r="Z27" s="42">
        <f>'Balance Sheet'!AA11</f>
        <v>0</v>
      </c>
      <c r="AA27" s="42">
        <f>'Balance Sheet'!AB11</f>
        <v>27240079</v>
      </c>
    </row>
    <row r="28" spans="1:27">
      <c r="A28" s="41" t="s">
        <v>129</v>
      </c>
      <c r="B28" s="42">
        <f>'Balance Sheet'!C9</f>
        <v>0</v>
      </c>
      <c r="C28" s="42">
        <f>'Balance Sheet'!D9</f>
        <v>0</v>
      </c>
      <c r="D28" s="42">
        <f>'Balance Sheet'!E9</f>
        <v>0</v>
      </c>
      <c r="E28" s="42">
        <f>'Balance Sheet'!F9</f>
        <v>0</v>
      </c>
      <c r="F28" s="42">
        <f>'Balance Sheet'!G9</f>
        <v>0</v>
      </c>
      <c r="G28" s="42">
        <f>'Balance Sheet'!H9</f>
        <v>0</v>
      </c>
      <c r="H28" s="42">
        <f>'Balance Sheet'!I9</f>
        <v>0</v>
      </c>
      <c r="I28" s="42">
        <f>'Balance Sheet'!J9</f>
        <v>0</v>
      </c>
      <c r="J28" s="42">
        <f>'Balance Sheet'!K9</f>
        <v>0</v>
      </c>
      <c r="K28" s="42">
        <f>'Balance Sheet'!L9</f>
        <v>0</v>
      </c>
      <c r="L28" s="42">
        <f>'Balance Sheet'!M9</f>
        <v>0</v>
      </c>
      <c r="M28" s="42">
        <f>'Balance Sheet'!N9</f>
        <v>0</v>
      </c>
      <c r="N28" s="42">
        <f>'Balance Sheet'!O9</f>
        <v>0</v>
      </c>
      <c r="O28" s="42">
        <f>'Balance Sheet'!P9</f>
        <v>0</v>
      </c>
      <c r="P28" s="42">
        <f>'Balance Sheet'!Q9</f>
        <v>0</v>
      </c>
      <c r="Q28" s="42">
        <f>'Balance Sheet'!R9</f>
        <v>0</v>
      </c>
      <c r="R28" s="42">
        <f>'Balance Sheet'!S9</f>
        <v>0</v>
      </c>
      <c r="S28" s="42">
        <f>'Balance Sheet'!T9</f>
        <v>0</v>
      </c>
      <c r="T28" s="42">
        <f>'Balance Sheet'!U9</f>
        <v>0</v>
      </c>
      <c r="U28" s="42">
        <f>'Balance Sheet'!V9</f>
        <v>0</v>
      </c>
      <c r="V28" s="42">
        <f>'Balance Sheet'!W9</f>
        <v>0</v>
      </c>
      <c r="W28" s="42">
        <f>'Balance Sheet'!X9</f>
        <v>0</v>
      </c>
      <c r="X28" s="42">
        <f>'Balance Sheet'!Y9</f>
        <v>0</v>
      </c>
      <c r="Y28" s="42">
        <f>'Balance Sheet'!Z9</f>
        <v>0</v>
      </c>
      <c r="Z28" s="42">
        <f>'Balance Sheet'!AA9</f>
        <v>0</v>
      </c>
      <c r="AA28" s="42">
        <f>'Balance Sheet'!AB9</f>
        <v>0</v>
      </c>
    </row>
    <row r="29" spans="1:27">
      <c r="A29" s="41" t="s">
        <v>130</v>
      </c>
      <c r="B29" s="42">
        <f>'Balance Sheet'!C10</f>
        <v>0</v>
      </c>
      <c r="C29" s="42">
        <f>'Balance Sheet'!D10</f>
        <v>0</v>
      </c>
      <c r="D29" s="42">
        <f>'Balance Sheet'!E10</f>
        <v>0</v>
      </c>
      <c r="E29" s="42">
        <f>'Balance Sheet'!F10</f>
        <v>0</v>
      </c>
      <c r="F29" s="42">
        <f>'Balance Sheet'!G10</f>
        <v>0</v>
      </c>
      <c r="G29" s="42">
        <f>'Balance Sheet'!H10</f>
        <v>0</v>
      </c>
      <c r="H29" s="42">
        <f>'Balance Sheet'!I10</f>
        <v>0</v>
      </c>
      <c r="I29" s="42">
        <f>'Balance Sheet'!J10</f>
        <v>0</v>
      </c>
      <c r="J29" s="42">
        <f>'Balance Sheet'!K10</f>
        <v>0</v>
      </c>
      <c r="K29" s="42">
        <f>'Balance Sheet'!L10</f>
        <v>0</v>
      </c>
      <c r="L29" s="42">
        <f>'Balance Sheet'!M10</f>
        <v>0</v>
      </c>
      <c r="M29" s="42">
        <f>'Balance Sheet'!N10</f>
        <v>0</v>
      </c>
      <c r="N29" s="42">
        <f>'Balance Sheet'!O10</f>
        <v>22443306</v>
      </c>
      <c r="O29" s="42">
        <f>'Balance Sheet'!P10</f>
        <v>0</v>
      </c>
      <c r="P29" s="42">
        <f>'Balance Sheet'!Q10</f>
        <v>0</v>
      </c>
      <c r="Q29" s="42">
        <f>'Balance Sheet'!R10</f>
        <v>0</v>
      </c>
      <c r="R29" s="42">
        <f>'Balance Sheet'!S10</f>
        <v>0</v>
      </c>
      <c r="S29" s="42">
        <f>'Balance Sheet'!T10</f>
        <v>0</v>
      </c>
      <c r="T29" s="42">
        <f>'Balance Sheet'!U10</f>
        <v>0</v>
      </c>
      <c r="U29" s="42">
        <f>'Balance Sheet'!V10</f>
        <v>0</v>
      </c>
      <c r="V29" s="42">
        <f>'Balance Sheet'!W10</f>
        <v>0</v>
      </c>
      <c r="W29" s="42">
        <f>'Balance Sheet'!X10</f>
        <v>0</v>
      </c>
      <c r="X29" s="42">
        <f>'Balance Sheet'!Y10</f>
        <v>0</v>
      </c>
      <c r="Y29" s="42">
        <f>'Balance Sheet'!Z10</f>
        <v>0</v>
      </c>
      <c r="Z29" s="42">
        <f>'Balance Sheet'!AA10</f>
        <v>0</v>
      </c>
      <c r="AA29" s="42">
        <f>'Balance Sheet'!AB10</f>
        <v>2342400</v>
      </c>
    </row>
    <row r="30" spans="1:27">
      <c r="A30" s="43" t="s">
        <v>131</v>
      </c>
      <c r="B30" s="48">
        <f t="shared" ref="B30" si="30">B31-B32</f>
        <v>-26000000</v>
      </c>
      <c r="C30" s="48">
        <f t="shared" ref="C30:L30" si="31">C31-C32</f>
        <v>-26000000</v>
      </c>
      <c r="D30" s="48">
        <f t="shared" si="31"/>
        <v>-26000000</v>
      </c>
      <c r="E30" s="48">
        <f t="shared" si="31"/>
        <v>-26000000</v>
      </c>
      <c r="F30" s="48">
        <f t="shared" si="31"/>
        <v>-26000000</v>
      </c>
      <c r="G30" s="48">
        <f t="shared" si="31"/>
        <v>-26000000</v>
      </c>
      <c r="H30" s="48">
        <f t="shared" si="31"/>
        <v>-26000000</v>
      </c>
      <c r="I30" s="48">
        <f t="shared" si="31"/>
        <v>-26000000</v>
      </c>
      <c r="J30" s="48">
        <f t="shared" si="31"/>
        <v>-27000000</v>
      </c>
      <c r="K30" s="48">
        <f t="shared" si="31"/>
        <v>-34000000</v>
      </c>
      <c r="L30" s="48">
        <f t="shared" si="31"/>
        <v>-34000000</v>
      </c>
      <c r="M30" s="48">
        <f t="shared" ref="M30" si="32">M31-M32</f>
        <v>-30000000</v>
      </c>
      <c r="N30" s="48">
        <f t="shared" ref="N30:O30" si="33">N31-N32</f>
        <v>-30000000</v>
      </c>
      <c r="O30" s="48">
        <f t="shared" si="33"/>
        <v>-31000000</v>
      </c>
      <c r="P30" s="48">
        <f t="shared" ref="P30:Z30" si="34">P31-P32</f>
        <v>-30000000</v>
      </c>
      <c r="Q30" s="48">
        <f t="shared" si="34"/>
        <v>-30000000</v>
      </c>
      <c r="R30" s="48">
        <f t="shared" si="34"/>
        <v>-32000000</v>
      </c>
      <c r="S30" s="48">
        <f t="shared" si="34"/>
        <v>-32000000</v>
      </c>
      <c r="T30" s="48">
        <f t="shared" si="34"/>
        <v>-33000000</v>
      </c>
      <c r="U30" s="48">
        <f t="shared" si="34"/>
        <v>-33000000</v>
      </c>
      <c r="V30" s="48">
        <f t="shared" si="34"/>
        <v>-33000000</v>
      </c>
      <c r="W30" s="48">
        <f t="shared" si="34"/>
        <v>-34000000</v>
      </c>
      <c r="X30" s="48">
        <f t="shared" si="34"/>
        <v>-34000000</v>
      </c>
      <c r="Y30" s="48">
        <f t="shared" si="34"/>
        <v>-36000000</v>
      </c>
      <c r="Z30" s="48">
        <f t="shared" si="34"/>
        <v>-36000000</v>
      </c>
      <c r="AA30" s="48">
        <f t="shared" ref="AA30" si="35">AA31-AA32</f>
        <v>-36000000</v>
      </c>
    </row>
    <row r="31" spans="1:27">
      <c r="A31" s="41" t="s">
        <v>132</v>
      </c>
      <c r="B31" s="42">
        <f>'Balance Sheet'!C13</f>
        <v>990584516.24000001</v>
      </c>
      <c r="C31" s="42">
        <f>'Balance Sheet'!D13</f>
        <v>1004320605.16</v>
      </c>
      <c r="D31" s="42">
        <f>'Balance Sheet'!E13</f>
        <v>1010371667.28</v>
      </c>
      <c r="E31" s="42">
        <f>'Balance Sheet'!F13</f>
        <v>1030176636.95</v>
      </c>
      <c r="F31" s="42">
        <f>'Balance Sheet'!G13</f>
        <v>1059509073.71</v>
      </c>
      <c r="G31" s="42">
        <f>'Balance Sheet'!H13</f>
        <v>1082780101.6500001</v>
      </c>
      <c r="H31" s="42">
        <f>'Balance Sheet'!I13</f>
        <v>1111040260.77</v>
      </c>
      <c r="I31" s="42">
        <f>'Balance Sheet'!J13</f>
        <v>1137075662.27</v>
      </c>
      <c r="J31" s="42">
        <f>'Balance Sheet'!K13</f>
        <v>1143163944.05</v>
      </c>
      <c r="K31" s="42">
        <f>'Balance Sheet'!L13</f>
        <v>1137294769.8399999</v>
      </c>
      <c r="L31" s="42">
        <f>'Balance Sheet'!M13</f>
        <v>1134223685.55</v>
      </c>
      <c r="M31" s="42">
        <f>'Balance Sheet'!N13</f>
        <v>1191616145.5699999</v>
      </c>
      <c r="N31" s="42">
        <f>'Balance Sheet'!O13</f>
        <v>1191616146</v>
      </c>
      <c r="O31" s="42">
        <f>'Balance Sheet'!P13</f>
        <v>1189123095.3699999</v>
      </c>
      <c r="P31" s="42">
        <f>'Balance Sheet'!Q13</f>
        <v>1192907130.28</v>
      </c>
      <c r="Q31" s="42">
        <f>'Balance Sheet'!R13</f>
        <v>1200464639.8099999</v>
      </c>
      <c r="R31" s="42">
        <f>'Balance Sheet'!S13</f>
        <v>1234914929.02</v>
      </c>
      <c r="S31" s="42">
        <f>'Balance Sheet'!T13</f>
        <v>1346730320.8099999</v>
      </c>
      <c r="T31" s="42">
        <f>'Balance Sheet'!U13</f>
        <v>1413686948.97</v>
      </c>
      <c r="U31" s="42">
        <f>'Balance Sheet'!V13</f>
        <v>1447201016.6300001</v>
      </c>
      <c r="V31" s="42">
        <f>'Balance Sheet'!W13</f>
        <v>1459944898.3900001</v>
      </c>
      <c r="W31" s="42">
        <f>'Balance Sheet'!X13</f>
        <v>1468928064.3199999</v>
      </c>
      <c r="X31" s="42">
        <f>'Balance Sheet'!Y13</f>
        <v>1482999759.1900001</v>
      </c>
      <c r="Y31" s="42">
        <f>'Balance Sheet'!Z13</f>
        <v>1484823725.46</v>
      </c>
      <c r="Z31" s="42">
        <f>'Balance Sheet'!AA13</f>
        <v>1479857871.1600001</v>
      </c>
      <c r="AA31" s="42">
        <f>'Balance Sheet'!AB13</f>
        <v>1479857871</v>
      </c>
    </row>
    <row r="32" spans="1:27">
      <c r="A32" s="41" t="s">
        <v>133</v>
      </c>
      <c r="B32" s="42">
        <f>'Balance Sheet'!C14</f>
        <v>1016584516.24</v>
      </c>
      <c r="C32" s="42">
        <f>'Balance Sheet'!D14</f>
        <v>1030320605.16</v>
      </c>
      <c r="D32" s="42">
        <f>'Balance Sheet'!E14</f>
        <v>1036371667.28</v>
      </c>
      <c r="E32" s="42">
        <f>'Balance Sheet'!F14</f>
        <v>1056176636.95</v>
      </c>
      <c r="F32" s="42">
        <f>'Balance Sheet'!G14</f>
        <v>1085509073.71</v>
      </c>
      <c r="G32" s="42">
        <f>'Balance Sheet'!H14</f>
        <v>1108780101.6500001</v>
      </c>
      <c r="H32" s="42">
        <f>'Balance Sheet'!I14</f>
        <v>1137040260.77</v>
      </c>
      <c r="I32" s="42">
        <f>'Balance Sheet'!J14</f>
        <v>1163075662.27</v>
      </c>
      <c r="J32" s="42">
        <f>'Balance Sheet'!K14</f>
        <v>1170163944.05</v>
      </c>
      <c r="K32" s="42">
        <f>'Balance Sheet'!L14</f>
        <v>1171294769.8399999</v>
      </c>
      <c r="L32" s="42">
        <f>'Balance Sheet'!M14</f>
        <v>1168223685.55</v>
      </c>
      <c r="M32" s="42">
        <f>'Balance Sheet'!N14</f>
        <v>1221616145.5699999</v>
      </c>
      <c r="N32" s="42">
        <f>'Balance Sheet'!O14</f>
        <v>1221616146</v>
      </c>
      <c r="O32" s="42">
        <f>'Balance Sheet'!P14</f>
        <v>1220123095.3699999</v>
      </c>
      <c r="P32" s="42">
        <f>'Balance Sheet'!Q14</f>
        <v>1222907130.28</v>
      </c>
      <c r="Q32" s="42">
        <f>'Balance Sheet'!R14</f>
        <v>1230464639.8099999</v>
      </c>
      <c r="R32" s="42">
        <f>'Balance Sheet'!S14</f>
        <v>1266914929.02</v>
      </c>
      <c r="S32" s="42">
        <f>'Balance Sheet'!T14</f>
        <v>1378730320.8099999</v>
      </c>
      <c r="T32" s="42">
        <f>'Balance Sheet'!U14</f>
        <v>1446686948.97</v>
      </c>
      <c r="U32" s="42">
        <f>'Balance Sheet'!V14</f>
        <v>1480201016.6300001</v>
      </c>
      <c r="V32" s="42">
        <f>'Balance Sheet'!W14</f>
        <v>1492944898.3900001</v>
      </c>
      <c r="W32" s="42">
        <f>'Balance Sheet'!X14</f>
        <v>1502928064.3199999</v>
      </c>
      <c r="X32" s="42">
        <f>'Balance Sheet'!Y14</f>
        <v>1516999759.1900001</v>
      </c>
      <c r="Y32" s="42">
        <f>'Balance Sheet'!Z14</f>
        <v>1520823725.46</v>
      </c>
      <c r="Z32" s="42">
        <f>'Balance Sheet'!AA14</f>
        <v>1515857871.1600001</v>
      </c>
      <c r="AA32" s="42">
        <f>'Balance Sheet'!AB14</f>
        <v>1515857871</v>
      </c>
    </row>
    <row r="33" spans="1:27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>
      <c r="A34" s="41" t="s">
        <v>134</v>
      </c>
      <c r="B34" s="42">
        <f>'Balance Sheet'!C6+'Balance Sheet'!C15+'Balance Sheet'!C19</f>
        <v>260941808.06</v>
      </c>
      <c r="C34" s="42">
        <f>'Balance Sheet'!D6+'Balance Sheet'!D15+'Balance Sheet'!D19</f>
        <v>194584075.81</v>
      </c>
      <c r="D34" s="42">
        <f>'Balance Sheet'!E6+'Balance Sheet'!E15+'Balance Sheet'!E19</f>
        <v>187072495.31999999</v>
      </c>
      <c r="E34" s="42">
        <f>'Balance Sheet'!F6+'Balance Sheet'!F15+'Balance Sheet'!F19</f>
        <v>179617908.16</v>
      </c>
      <c r="F34" s="42">
        <f>'Balance Sheet'!G6+'Balance Sheet'!G15+'Balance Sheet'!G19</f>
        <v>166519893.18000001</v>
      </c>
      <c r="G34" s="42">
        <f>'Balance Sheet'!H6+'Balance Sheet'!H15+'Balance Sheet'!H19</f>
        <v>154309523.07999998</v>
      </c>
      <c r="H34" s="42">
        <f>'Balance Sheet'!I6+'Balance Sheet'!I15+'Balance Sheet'!I19</f>
        <v>144617303.19999999</v>
      </c>
      <c r="I34" s="42">
        <f>'Balance Sheet'!J6+'Balance Sheet'!J15+'Balance Sheet'!J19</f>
        <v>219221006.88</v>
      </c>
      <c r="J34" s="42">
        <f>'Balance Sheet'!K6+'Balance Sheet'!K15+'Balance Sheet'!K19</f>
        <v>209000114.24000001</v>
      </c>
      <c r="K34" s="42">
        <f>'Balance Sheet'!L6+'Balance Sheet'!L15+'Balance Sheet'!L19</f>
        <v>229845419.44</v>
      </c>
      <c r="L34" s="42">
        <f>'Balance Sheet'!M6+'Balance Sheet'!M15+'Balance Sheet'!M19</f>
        <v>234516655.47</v>
      </c>
      <c r="M34" s="42">
        <f>'Balance Sheet'!N6+'Balance Sheet'!N15+'Balance Sheet'!N19</f>
        <v>201132824.59</v>
      </c>
      <c r="N34" s="42">
        <f>'Balance Sheet'!O6+'Balance Sheet'!O15+'Balance Sheet'!O19</f>
        <v>187860206</v>
      </c>
      <c r="O34" s="42">
        <f>'Balance Sheet'!P6+'Balance Sheet'!P15+'Balance Sheet'!P19</f>
        <v>210992623.05000001</v>
      </c>
      <c r="P34" s="42">
        <f>'Balance Sheet'!Q6+'Balance Sheet'!Q15+'Balance Sheet'!Q19</f>
        <v>187756113.09</v>
      </c>
      <c r="Q34" s="42">
        <f>'Balance Sheet'!R6+'Balance Sheet'!R15+'Balance Sheet'!R19</f>
        <v>174696108.81999999</v>
      </c>
      <c r="R34" s="42">
        <f>'Balance Sheet'!S6+'Balance Sheet'!S15+'Balance Sheet'!S19</f>
        <v>237684916.06999999</v>
      </c>
      <c r="S34" s="42">
        <f>'Balance Sheet'!T6+'Balance Sheet'!T15+'Balance Sheet'!T19</f>
        <v>226749878.44999999</v>
      </c>
      <c r="T34" s="42">
        <f>'Balance Sheet'!U6+'Balance Sheet'!U15+'Balance Sheet'!U19</f>
        <v>220327023.84</v>
      </c>
      <c r="U34" s="42">
        <f>'Balance Sheet'!V6+'Balance Sheet'!V15+'Balance Sheet'!V19</f>
        <v>87801369.640000001</v>
      </c>
      <c r="V34" s="42">
        <f>'Balance Sheet'!W6+'Balance Sheet'!W15+'Balance Sheet'!W19</f>
        <v>87039176.810000002</v>
      </c>
      <c r="W34" s="42">
        <f>'Balance Sheet'!X6+'Balance Sheet'!X15+'Balance Sheet'!X19</f>
        <v>106331430.95</v>
      </c>
      <c r="X34" s="42">
        <f>'Balance Sheet'!Y6+'Balance Sheet'!Y15+'Balance Sheet'!Y19</f>
        <v>103977999.01000001</v>
      </c>
      <c r="Y34" s="42">
        <f>'Balance Sheet'!Z6+'Balance Sheet'!Z15+'Balance Sheet'!Z19</f>
        <v>135235695.59999999</v>
      </c>
      <c r="Z34" s="42">
        <f>'Balance Sheet'!AA6+'Balance Sheet'!AA15+'Balance Sheet'!AA19</f>
        <v>137214501.28</v>
      </c>
      <c r="AA34" s="42">
        <f>'Balance Sheet'!AB6+'Balance Sheet'!AB15+'Balance Sheet'!AB19</f>
        <v>128561384</v>
      </c>
    </row>
    <row r="35" spans="1:27">
      <c r="A35" s="41" t="s">
        <v>135</v>
      </c>
      <c r="B35" s="42">
        <f>'Balance Sheet'!C19</f>
        <v>0</v>
      </c>
      <c r="C35" s="42">
        <f>'Balance Sheet'!D19</f>
        <v>0</v>
      </c>
      <c r="D35" s="42">
        <f>'Balance Sheet'!E19</f>
        <v>0</v>
      </c>
      <c r="E35" s="42">
        <f>'Balance Sheet'!F19</f>
        <v>0</v>
      </c>
      <c r="F35" s="42">
        <f>'Balance Sheet'!G19</f>
        <v>0</v>
      </c>
      <c r="G35" s="42">
        <f>'Balance Sheet'!H19</f>
        <v>0</v>
      </c>
      <c r="H35" s="42">
        <f>'Balance Sheet'!I19</f>
        <v>0</v>
      </c>
      <c r="I35" s="42">
        <f>'Balance Sheet'!J19</f>
        <v>0</v>
      </c>
      <c r="J35" s="42">
        <f>'Balance Sheet'!K19</f>
        <v>0</v>
      </c>
      <c r="K35" s="42">
        <f>'Balance Sheet'!L19</f>
        <v>0</v>
      </c>
      <c r="L35" s="42">
        <f>'Balance Sheet'!M19</f>
        <v>0</v>
      </c>
      <c r="M35" s="42">
        <f>'Balance Sheet'!N19</f>
        <v>0</v>
      </c>
      <c r="N35" s="42">
        <f>'Balance Sheet'!O19</f>
        <v>0</v>
      </c>
      <c r="O35" s="42">
        <f>'Balance Sheet'!P19</f>
        <v>0</v>
      </c>
      <c r="P35" s="42">
        <f>'Balance Sheet'!Q19</f>
        <v>0</v>
      </c>
      <c r="Q35" s="42">
        <f>'Balance Sheet'!R19</f>
        <v>0</v>
      </c>
      <c r="R35" s="42">
        <f>'Balance Sheet'!S19</f>
        <v>0</v>
      </c>
      <c r="S35" s="42">
        <f>'Balance Sheet'!T19</f>
        <v>0</v>
      </c>
      <c r="T35" s="42">
        <f>'Balance Sheet'!U19</f>
        <v>0</v>
      </c>
      <c r="U35" s="42">
        <f>'Balance Sheet'!V19</f>
        <v>0</v>
      </c>
      <c r="V35" s="42">
        <f>'Balance Sheet'!W19</f>
        <v>0</v>
      </c>
      <c r="W35" s="42">
        <f>'Balance Sheet'!X19</f>
        <v>0</v>
      </c>
      <c r="X35" s="42">
        <f>'Balance Sheet'!Y19</f>
        <v>0</v>
      </c>
      <c r="Y35" s="42">
        <f>'Balance Sheet'!Z19</f>
        <v>0</v>
      </c>
      <c r="Z35" s="42">
        <f>'Balance Sheet'!AA19</f>
        <v>0</v>
      </c>
      <c r="AA35" s="42">
        <f>'Balance Sheet'!AB19</f>
        <v>0</v>
      </c>
    </row>
    <row r="36" spans="1:27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>
      <c r="A38" s="43" t="s">
        <v>136</v>
      </c>
      <c r="B38" s="48">
        <f t="shared" ref="B38" si="36">B39+B41+B42</f>
        <v>12658619.300000001</v>
      </c>
      <c r="C38" s="48">
        <f t="shared" ref="C38:L38" si="37">C39+C41+C42</f>
        <v>25469317.550000001</v>
      </c>
      <c r="D38" s="48">
        <f t="shared" si="37"/>
        <v>39898517.979999997</v>
      </c>
      <c r="E38" s="48">
        <f t="shared" si="37"/>
        <v>53321185.099999994</v>
      </c>
      <c r="F38" s="48">
        <f t="shared" si="37"/>
        <v>66212094.619999997</v>
      </c>
      <c r="G38" s="48">
        <f t="shared" si="37"/>
        <v>79683697.569999993</v>
      </c>
      <c r="H38" s="48">
        <f t="shared" si="37"/>
        <v>94822088.780000001</v>
      </c>
      <c r="I38" s="48">
        <f t="shared" si="37"/>
        <v>137229437.63</v>
      </c>
      <c r="J38" s="48">
        <f t="shared" si="37"/>
        <v>154061959.71000001</v>
      </c>
      <c r="K38" s="48">
        <f t="shared" si="37"/>
        <v>166767762.44999999</v>
      </c>
      <c r="L38" s="48">
        <f t="shared" si="37"/>
        <v>179884894.75999999</v>
      </c>
      <c r="M38" s="48">
        <f t="shared" ref="M38" si="38">M39+M41+M42</f>
        <v>211371543.48000002</v>
      </c>
      <c r="N38" s="48">
        <f t="shared" ref="N38:O38" si="39">N39+N41+N42</f>
        <v>226923792</v>
      </c>
      <c r="O38" s="48">
        <f t="shared" si="39"/>
        <v>21341697.469999999</v>
      </c>
      <c r="P38" s="48">
        <f t="shared" ref="P38:Z38" si="40">P39+P41+P42</f>
        <v>36191424.379999995</v>
      </c>
      <c r="Q38" s="48">
        <f t="shared" si="40"/>
        <v>51638520.390000001</v>
      </c>
      <c r="R38" s="48">
        <f t="shared" si="40"/>
        <v>68934120.340000004</v>
      </c>
      <c r="S38" s="48">
        <f t="shared" si="40"/>
        <v>117745657.88</v>
      </c>
      <c r="T38" s="48">
        <f t="shared" si="40"/>
        <v>142471746.83000001</v>
      </c>
      <c r="U38" s="48">
        <f t="shared" si="40"/>
        <v>169186493.65000001</v>
      </c>
      <c r="V38" s="48">
        <f t="shared" si="40"/>
        <v>186928756.94</v>
      </c>
      <c r="W38" s="48">
        <f t="shared" si="40"/>
        <v>204243782.97999999</v>
      </c>
      <c r="X38" s="48">
        <f t="shared" si="40"/>
        <v>222482764.69999999</v>
      </c>
      <c r="Y38" s="48">
        <f t="shared" si="40"/>
        <v>239802800</v>
      </c>
      <c r="Z38" s="48">
        <f t="shared" si="40"/>
        <v>274907943.22000003</v>
      </c>
      <c r="AA38" s="48">
        <f t="shared" ref="AA38" si="41">AA39+AA41+AA42</f>
        <v>273371575</v>
      </c>
    </row>
    <row r="39" spans="1:27">
      <c r="A39" s="41" t="s">
        <v>137</v>
      </c>
      <c r="B39" s="49">
        <f>'Income Stat.'!C6</f>
        <v>12527019.300000001</v>
      </c>
      <c r="C39" s="49">
        <f>'Income Stat.'!D6</f>
        <v>25218827.550000001</v>
      </c>
      <c r="D39" s="49">
        <f>'Income Stat.'!E6</f>
        <v>38820697.979999997</v>
      </c>
      <c r="E39" s="49">
        <f>'Income Stat.'!F6</f>
        <v>50965201.299999997</v>
      </c>
      <c r="F39" s="49">
        <f>'Income Stat.'!G6</f>
        <v>63692310.82</v>
      </c>
      <c r="G39" s="49">
        <f>'Income Stat.'!H6</f>
        <v>77005163.769999996</v>
      </c>
      <c r="H39" s="49">
        <f>'Income Stat.'!I6</f>
        <v>91456393.730000004</v>
      </c>
      <c r="I39" s="49">
        <f>'Income Stat.'!J6</f>
        <v>133687292.58</v>
      </c>
      <c r="J39" s="49">
        <f>'Income Stat.'!K6</f>
        <v>150378114.66</v>
      </c>
      <c r="K39" s="49">
        <f>'Income Stat.'!L6</f>
        <v>162436091.03999999</v>
      </c>
      <c r="L39" s="49">
        <f>'Income Stat.'!M6</f>
        <v>175415623.34999999</v>
      </c>
      <c r="M39" s="49">
        <f>'Income Stat.'!N6</f>
        <v>205562496.83000001</v>
      </c>
      <c r="N39" s="49">
        <f>'Income Stat.'!O6</f>
        <v>207366237</v>
      </c>
      <c r="O39" s="49">
        <f>'Income Stat.'!P6</f>
        <v>19225236.41</v>
      </c>
      <c r="P39" s="49">
        <f>'Income Stat.'!Q6</f>
        <v>32660531.719999999</v>
      </c>
      <c r="Q39" s="49">
        <f>'Income Stat.'!R6</f>
        <v>46828325.68</v>
      </c>
      <c r="R39" s="49">
        <f>'Income Stat.'!S6</f>
        <v>62106905.170000002</v>
      </c>
      <c r="S39" s="49">
        <f>'Income Stat.'!T6</f>
        <v>109239163.22</v>
      </c>
      <c r="T39" s="49">
        <f>'Income Stat.'!U6</f>
        <v>131163578.03</v>
      </c>
      <c r="U39" s="49">
        <f>'Income Stat.'!V6</f>
        <v>156424887.03999999</v>
      </c>
      <c r="V39" s="49">
        <f>'Income Stat.'!W6</f>
        <v>172702571.44</v>
      </c>
      <c r="W39" s="49">
        <f>'Income Stat.'!X6</f>
        <v>188621427.75</v>
      </c>
      <c r="X39" s="49">
        <f>'Income Stat.'!Y6</f>
        <v>205314289.31</v>
      </c>
      <c r="Y39" s="49">
        <f>'Income Stat.'!Z6</f>
        <v>221244758.5</v>
      </c>
      <c r="Z39" s="49">
        <f>'Income Stat.'!AA6</f>
        <v>253651119.19</v>
      </c>
      <c r="AA39" s="49">
        <f>'Income Stat.'!AB6</f>
        <v>255622714</v>
      </c>
    </row>
    <row r="40" spans="1:27">
      <c r="A40" s="41" t="s">
        <v>138</v>
      </c>
      <c r="B40" s="49" t="e">
        <f>'Income Stat.'!C6/'Income Stat.'!C14</f>
        <v>#DIV/0!</v>
      </c>
      <c r="C40" s="49">
        <f>'Income Stat.'!D6/'Income Stat.'!D14</f>
        <v>2.2820520799643904</v>
      </c>
      <c r="D40" s="49">
        <f>'Income Stat.'!E6/'Income Stat.'!E14</f>
        <v>2.343785662280983</v>
      </c>
      <c r="E40" s="49">
        <f>'Income Stat.'!F6/'Income Stat.'!F14</f>
        <v>2.2847020122857233</v>
      </c>
      <c r="F40" s="49">
        <f>'Income Stat.'!G6/'Income Stat.'!G14</f>
        <v>2.2602509773035049</v>
      </c>
      <c r="G40" s="49">
        <f>'Income Stat.'!H6/'Income Stat.'!H14</f>
        <v>2.252464122647571</v>
      </c>
      <c r="H40" s="49">
        <f>'Income Stat.'!I6/'Income Stat.'!I14</f>
        <v>2.276362410938793</v>
      </c>
      <c r="I40" s="49">
        <f>'Income Stat.'!J6/'Income Stat.'!J14</f>
        <v>2.889677257448362</v>
      </c>
      <c r="J40" s="49">
        <f>'Income Stat.'!K6/'Income Stat.'!K14</f>
        <v>2.8568103594479584</v>
      </c>
      <c r="K40" s="49">
        <f>'Income Stat.'!L6/'Income Stat.'!L14</f>
        <v>2.7506127039027177</v>
      </c>
      <c r="L40" s="49">
        <f>'Income Stat.'!M6/'Income Stat.'!M14</f>
        <v>2.970401706666951</v>
      </c>
      <c r="M40" s="49">
        <f>'Income Stat.'!N6/'Income Stat.'!N14</f>
        <v>2.7957458934003832</v>
      </c>
      <c r="N40" s="49">
        <f>'Income Stat.'!O6/'Income Stat.'!O14</f>
        <v>2.7899927975789791</v>
      </c>
      <c r="O40" s="49">
        <f>'Income Stat.'!P6/'Income Stat.'!P14</f>
        <v>3.1101174727478398</v>
      </c>
      <c r="P40" s="49">
        <f>'Income Stat.'!Q6/'Income Stat.'!Q14</f>
        <v>5.2835808208200365</v>
      </c>
      <c r="Q40" s="49">
        <f>'Income Stat.'!R6/'Income Stat.'!R14</f>
        <v>2.4768087363314559</v>
      </c>
      <c r="R40" s="49">
        <f>'Income Stat.'!S6/'Income Stat.'!S14</f>
        <v>3.2849119219580278</v>
      </c>
      <c r="S40" s="49">
        <f>'Income Stat.'!T6/'Income Stat.'!T14</f>
        <v>3.3231436165800776</v>
      </c>
      <c r="T40" s="49">
        <f>'Income Stat.'!U6/'Income Stat.'!U14</f>
        <v>3.2424704093383543</v>
      </c>
      <c r="U40" s="49">
        <f>'Income Stat.'!V6/'Income Stat.'!V14</f>
        <v>3.2682415646295753</v>
      </c>
      <c r="V40" s="49">
        <f>'Income Stat.'!W6/'Income Stat.'!W14</f>
        <v>3.1315759787906372</v>
      </c>
      <c r="W40" s="49">
        <f>'Income Stat.'!X6/'Income Stat.'!X14</f>
        <v>3.0158243890149046</v>
      </c>
      <c r="X40" s="49">
        <f>'Income Stat.'!Y6/'Income Stat.'!Y14</f>
        <v>2.9374235067069443</v>
      </c>
      <c r="Y40" s="49">
        <f>'Income Stat.'!Z6/'Income Stat.'!Z14</f>
        <v>2.872483462409658</v>
      </c>
      <c r="Z40" s="49">
        <f>'Income Stat.'!AA6/'Income Stat.'!AA14</f>
        <v>2.9950149212643975</v>
      </c>
      <c r="AA40" s="49">
        <f>'Income Stat.'!AB6/'Income Stat.'!AB14</f>
        <v>2.9642041305413196</v>
      </c>
    </row>
    <row r="41" spans="1:27">
      <c r="A41" s="41" t="s">
        <v>139</v>
      </c>
      <c r="B41" s="42">
        <f>'Income Stat.'!C8</f>
        <v>0</v>
      </c>
      <c r="C41" s="42">
        <f>'Income Stat.'!D8</f>
        <v>0</v>
      </c>
      <c r="D41" s="42">
        <f>'Income Stat.'!E8</f>
        <v>693880</v>
      </c>
      <c r="E41" s="42">
        <f>'Income Stat.'!F8</f>
        <v>1826143.8</v>
      </c>
      <c r="F41" s="42">
        <f>'Income Stat.'!G8</f>
        <v>1826143.8</v>
      </c>
      <c r="G41" s="42">
        <f>'Income Stat.'!H8</f>
        <v>1826143.8</v>
      </c>
      <c r="H41" s="42">
        <f>'Income Stat.'!I8</f>
        <v>2322505.0499999998</v>
      </c>
      <c r="I41" s="42">
        <f>'Income Stat.'!J8</f>
        <v>2322505.0499999998</v>
      </c>
      <c r="J41" s="42">
        <f>'Income Stat.'!K8</f>
        <v>2322505.0499999998</v>
      </c>
      <c r="K41" s="42">
        <f>'Income Stat.'!L8</f>
        <v>2848681.41</v>
      </c>
      <c r="L41" s="42">
        <f>'Income Stat.'!M8</f>
        <v>2848681.41</v>
      </c>
      <c r="M41" s="42">
        <f>'Income Stat.'!N8</f>
        <v>4005306.65</v>
      </c>
      <c r="N41" s="42">
        <f>'Income Stat.'!O8</f>
        <v>4510435</v>
      </c>
      <c r="O41" s="42">
        <f>'Income Stat.'!P8</f>
        <v>2015511.06</v>
      </c>
      <c r="P41" s="42">
        <f>'Income Stat.'!Q8</f>
        <v>3312942.66</v>
      </c>
      <c r="Q41" s="42">
        <f>'Income Stat.'!R8</f>
        <v>4452564.71</v>
      </c>
      <c r="R41" s="42">
        <f>'Income Stat.'!S8</f>
        <v>6288085.1699999999</v>
      </c>
      <c r="S41" s="42">
        <f>'Income Stat.'!T8</f>
        <v>7648164.6600000001</v>
      </c>
      <c r="T41" s="42">
        <f>'Income Stat.'!U8</f>
        <v>10253223.800000001</v>
      </c>
      <c r="U41" s="42">
        <f>'Income Stat.'!V8</f>
        <v>11541511.610000001</v>
      </c>
      <c r="V41" s="42">
        <f>'Income Stat.'!W8</f>
        <v>12822340.5</v>
      </c>
      <c r="W41" s="42">
        <f>'Income Stat.'!X8</f>
        <v>14058160.23</v>
      </c>
      <c r="X41" s="42">
        <f>'Income Stat.'!Y8</f>
        <v>15452630.390000001</v>
      </c>
      <c r="Y41" s="42">
        <f>'Income Stat.'!Z8</f>
        <v>16710346.5</v>
      </c>
      <c r="Z41" s="42">
        <f>'Income Stat.'!AA8</f>
        <v>19285229.030000001</v>
      </c>
      <c r="AA41" s="42">
        <f>'Income Stat.'!AB8</f>
        <v>3476992</v>
      </c>
    </row>
    <row r="42" spans="1:27">
      <c r="A42" s="41" t="s">
        <v>140</v>
      </c>
      <c r="B42" s="42">
        <f>'Income Stat.'!C7</f>
        <v>131600</v>
      </c>
      <c r="C42" s="42">
        <f>'Income Stat.'!D7</f>
        <v>250490</v>
      </c>
      <c r="D42" s="42">
        <f>'Income Stat.'!E7</f>
        <v>383940</v>
      </c>
      <c r="E42" s="42">
        <f>'Income Stat.'!F7</f>
        <v>529840</v>
      </c>
      <c r="F42" s="42">
        <f>'Income Stat.'!G7</f>
        <v>693640</v>
      </c>
      <c r="G42" s="42">
        <f>'Income Stat.'!H7</f>
        <v>852390</v>
      </c>
      <c r="H42" s="42">
        <f>'Income Stat.'!I7</f>
        <v>1043190</v>
      </c>
      <c r="I42" s="42">
        <f>'Income Stat.'!J7</f>
        <v>1219640</v>
      </c>
      <c r="J42" s="42">
        <f>'Income Stat.'!K7</f>
        <v>1361340</v>
      </c>
      <c r="K42" s="42">
        <f>'Income Stat.'!L7</f>
        <v>1482990</v>
      </c>
      <c r="L42" s="42">
        <f>'Income Stat.'!M7</f>
        <v>1620590</v>
      </c>
      <c r="M42" s="42">
        <f>'Income Stat.'!N7</f>
        <v>1803740</v>
      </c>
      <c r="N42" s="42">
        <f>'Income Stat.'!O7</f>
        <v>15047120</v>
      </c>
      <c r="O42" s="42">
        <f>'Income Stat.'!P7</f>
        <v>100950</v>
      </c>
      <c r="P42" s="42">
        <f>'Income Stat.'!Q7</f>
        <v>217950</v>
      </c>
      <c r="Q42" s="42">
        <f>'Income Stat.'!R7</f>
        <v>357630</v>
      </c>
      <c r="R42" s="42">
        <f>'Income Stat.'!S7</f>
        <v>539130</v>
      </c>
      <c r="S42" s="42">
        <f>'Income Stat.'!T7</f>
        <v>858330</v>
      </c>
      <c r="T42" s="42">
        <f>'Income Stat.'!U7</f>
        <v>1054945</v>
      </c>
      <c r="U42" s="42">
        <f>'Income Stat.'!V7</f>
        <v>1220095</v>
      </c>
      <c r="V42" s="42">
        <f>'Income Stat.'!W7</f>
        <v>1403845</v>
      </c>
      <c r="W42" s="42">
        <f>'Income Stat.'!X7</f>
        <v>1564195</v>
      </c>
      <c r="X42" s="42">
        <f>'Income Stat.'!Y7</f>
        <v>1715845</v>
      </c>
      <c r="Y42" s="42">
        <f>'Income Stat.'!Z7</f>
        <v>1847695</v>
      </c>
      <c r="Z42" s="42">
        <f>'Income Stat.'!AA7</f>
        <v>1971595</v>
      </c>
      <c r="AA42" s="42">
        <f>'Income Stat.'!AB7</f>
        <v>14271869</v>
      </c>
    </row>
    <row r="43" spans="1:27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>
      <c r="A44" s="43" t="s">
        <v>141</v>
      </c>
      <c r="B44" s="48">
        <f t="shared" ref="B44" si="42">B45+B46+B47+B48</f>
        <v>10605408.040000001</v>
      </c>
      <c r="C44" s="48">
        <f t="shared" ref="C44:L44" si="43">C45+C46+C47+C48</f>
        <v>21859128.41</v>
      </c>
      <c r="D44" s="48">
        <f t="shared" si="43"/>
        <v>34863683.259999998</v>
      </c>
      <c r="E44" s="48">
        <f t="shared" si="43"/>
        <v>46766011.359999999</v>
      </c>
      <c r="F44" s="48">
        <f t="shared" si="43"/>
        <v>58427302.07</v>
      </c>
      <c r="G44" s="48">
        <f t="shared" si="43"/>
        <v>70094589.989999995</v>
      </c>
      <c r="H44" s="48">
        <f t="shared" si="43"/>
        <v>83913022.350000009</v>
      </c>
      <c r="I44" s="48">
        <f t="shared" si="43"/>
        <v>120031643.65000001</v>
      </c>
      <c r="J44" s="48">
        <f t="shared" si="43"/>
        <v>131808124.33000001</v>
      </c>
      <c r="K44" s="48">
        <f t="shared" si="43"/>
        <v>136693465.02000001</v>
      </c>
      <c r="L44" s="48">
        <f t="shared" si="43"/>
        <v>148373824.64000002</v>
      </c>
      <c r="M44" s="48">
        <f t="shared" ref="M44" si="44">M45+M46+M47+M48</f>
        <v>172971411.12</v>
      </c>
      <c r="N44" s="48">
        <f t="shared" ref="N44:O44" si="45">N45+N46+N47+N48</f>
        <v>175602665</v>
      </c>
      <c r="O44" s="48">
        <f t="shared" si="45"/>
        <v>15280894.349999998</v>
      </c>
      <c r="P44" s="48">
        <f t="shared" ref="P44:Z44" si="46">P45+P46+P47+P48</f>
        <v>27261302.479999997</v>
      </c>
      <c r="Q44" s="48">
        <f t="shared" si="46"/>
        <v>40327411.909999996</v>
      </c>
      <c r="R44" s="48">
        <f t="shared" si="46"/>
        <v>50967008.939999998</v>
      </c>
      <c r="S44" s="48">
        <f t="shared" si="46"/>
        <v>93554467.439999998</v>
      </c>
      <c r="T44" s="48">
        <f t="shared" si="46"/>
        <v>109793692.15000002</v>
      </c>
      <c r="U44" s="48">
        <f t="shared" si="46"/>
        <v>131162900.91</v>
      </c>
      <c r="V44" s="48">
        <f t="shared" si="46"/>
        <v>144834095.09999999</v>
      </c>
      <c r="W44" s="48">
        <f t="shared" si="46"/>
        <v>155359443.13999999</v>
      </c>
      <c r="X44" s="48">
        <f t="shared" si="46"/>
        <v>169660629.56999999</v>
      </c>
      <c r="Y44" s="48">
        <f t="shared" si="46"/>
        <v>181762523.43000001</v>
      </c>
      <c r="Z44" s="48">
        <f t="shared" si="46"/>
        <v>206835612.21000004</v>
      </c>
      <c r="AA44" s="48">
        <f t="shared" ref="AA44" si="47">AA45+AA46+AA47+AA48</f>
        <v>212041427</v>
      </c>
    </row>
    <row r="45" spans="1:27">
      <c r="A45" s="41" t="s">
        <v>142</v>
      </c>
      <c r="B45" s="42">
        <f>'Income Stat.'!C14</f>
        <v>0</v>
      </c>
      <c r="C45" s="42">
        <f>'Income Stat.'!D14</f>
        <v>11050943.039999999</v>
      </c>
      <c r="D45" s="42">
        <f>'Income Stat.'!E14</f>
        <v>16563245.779999999</v>
      </c>
      <c r="E45" s="42">
        <f>'Income Stat.'!F14</f>
        <v>22307154.73</v>
      </c>
      <c r="F45" s="42">
        <f>'Income Stat.'!G14</f>
        <v>28179309.050000001</v>
      </c>
      <c r="G45" s="42">
        <f>'Income Stat.'!H14</f>
        <v>34187076.719999999</v>
      </c>
      <c r="H45" s="42">
        <f>'Income Stat.'!I14</f>
        <v>40176552.420000002</v>
      </c>
      <c r="I45" s="42">
        <f>'Income Stat.'!J14</f>
        <v>46263745.280000001</v>
      </c>
      <c r="J45" s="42">
        <f>'Income Stat.'!K14</f>
        <v>52638465.890000001</v>
      </c>
      <c r="K45" s="42">
        <f>'Income Stat.'!L14</f>
        <v>59054512.039999999</v>
      </c>
      <c r="L45" s="42">
        <f>'Income Stat.'!M14</f>
        <v>59054512.039999999</v>
      </c>
      <c r="M45" s="42">
        <f>'Income Stat.'!N14</f>
        <v>73526888.590000004</v>
      </c>
      <c r="N45" s="42">
        <f>'Income Stat.'!O14</f>
        <v>74325008</v>
      </c>
      <c r="O45" s="42">
        <f>'Income Stat.'!P14</f>
        <v>6181514.5499999998</v>
      </c>
      <c r="P45" s="42">
        <f>'Income Stat.'!Q14</f>
        <v>6181514.5499999998</v>
      </c>
      <c r="Q45" s="42">
        <f>'Income Stat.'!R14</f>
        <v>18906718.550000001</v>
      </c>
      <c r="R45" s="42">
        <f>'Income Stat.'!S14</f>
        <v>18906718.550000001</v>
      </c>
      <c r="S45" s="42">
        <f>'Income Stat.'!T14</f>
        <v>32872236.600000001</v>
      </c>
      <c r="T45" s="42">
        <f>'Income Stat.'!U14</f>
        <v>40451742.490000002</v>
      </c>
      <c r="U45" s="42">
        <f>'Income Stat.'!V14</f>
        <v>47862094.630000003</v>
      </c>
      <c r="V45" s="42">
        <f>'Income Stat.'!W14</f>
        <v>55148772.57</v>
      </c>
      <c r="W45" s="42">
        <f>'Income Stat.'!X14</f>
        <v>62543902.899999999</v>
      </c>
      <c r="X45" s="42">
        <f>'Income Stat.'!Y14</f>
        <v>69896046.260000005</v>
      </c>
      <c r="Y45" s="42">
        <f>'Income Stat.'!Z14</f>
        <v>77022117.409999996</v>
      </c>
      <c r="Z45" s="42">
        <f>'Income Stat.'!AA14</f>
        <v>84691103.670000002</v>
      </c>
      <c r="AA45" s="42">
        <f>'Income Stat.'!AB14</f>
        <v>86236542</v>
      </c>
    </row>
    <row r="46" spans="1:27">
      <c r="A46" s="41" t="s">
        <v>143</v>
      </c>
      <c r="B46" s="42">
        <f>'Income Stat.'!C16</f>
        <v>0</v>
      </c>
      <c r="C46" s="42">
        <f>'Income Stat.'!D16</f>
        <v>0</v>
      </c>
      <c r="D46" s="42">
        <f>'Income Stat.'!E16</f>
        <v>0</v>
      </c>
      <c r="E46" s="42">
        <f>'Income Stat.'!F16</f>
        <v>0</v>
      </c>
      <c r="F46" s="42">
        <f>'Income Stat.'!G16</f>
        <v>0</v>
      </c>
      <c r="G46" s="42">
        <f>'Income Stat.'!H16</f>
        <v>0</v>
      </c>
      <c r="H46" s="42">
        <f>'Income Stat.'!I16</f>
        <v>0</v>
      </c>
      <c r="I46" s="42">
        <f>'Income Stat.'!J16</f>
        <v>0</v>
      </c>
      <c r="J46" s="42">
        <f>'Income Stat.'!K16</f>
        <v>0</v>
      </c>
      <c r="K46" s="42">
        <f>'Income Stat.'!L16</f>
        <v>0</v>
      </c>
      <c r="L46" s="42">
        <f>'Income Stat.'!M16</f>
        <v>0</v>
      </c>
      <c r="M46" s="42">
        <f>'Income Stat.'!N16</f>
        <v>0</v>
      </c>
      <c r="N46" s="42">
        <f>'Income Stat.'!O16</f>
        <v>0</v>
      </c>
      <c r="O46" s="42">
        <f>'Income Stat.'!P16</f>
        <v>0</v>
      </c>
      <c r="P46" s="42">
        <f>'Income Stat.'!Q16</f>
        <v>0</v>
      </c>
      <c r="Q46" s="42">
        <f>'Income Stat.'!R16</f>
        <v>0</v>
      </c>
      <c r="R46" s="42">
        <f>'Income Stat.'!S16</f>
        <v>0</v>
      </c>
      <c r="S46" s="42">
        <f>'Income Stat.'!T16</f>
        <v>0</v>
      </c>
      <c r="T46" s="42">
        <f>'Income Stat.'!U16</f>
        <v>0</v>
      </c>
      <c r="U46" s="42">
        <f>'Income Stat.'!V16</f>
        <v>0</v>
      </c>
      <c r="V46" s="42">
        <f>'Income Stat.'!W16</f>
        <v>0</v>
      </c>
      <c r="W46" s="42">
        <f>'Income Stat.'!X16</f>
        <v>0</v>
      </c>
      <c r="X46" s="42">
        <f>'Income Stat.'!Y16</f>
        <v>0</v>
      </c>
      <c r="Y46" s="42">
        <f>'Income Stat.'!Z16</f>
        <v>0</v>
      </c>
      <c r="Z46" s="42">
        <f>'Income Stat.'!AA16</f>
        <v>0</v>
      </c>
      <c r="AA46" s="42">
        <f>'Income Stat.'!AB16</f>
        <v>0</v>
      </c>
    </row>
    <row r="47" spans="1:27">
      <c r="A47" s="41" t="s">
        <v>144</v>
      </c>
      <c r="B47" s="42">
        <f>'Income Stat.'!C15</f>
        <v>997467.57</v>
      </c>
      <c r="C47" s="42">
        <f>'Income Stat.'!D15</f>
        <v>3722875.26</v>
      </c>
      <c r="D47" s="42">
        <f>'Income Stat.'!E15</f>
        <v>6603350.04</v>
      </c>
      <c r="E47" s="42">
        <f>'Income Stat.'!F15</f>
        <v>9235824.2799999993</v>
      </c>
      <c r="F47" s="42">
        <f>'Income Stat.'!G15</f>
        <v>12096451.130000001</v>
      </c>
      <c r="G47" s="42">
        <f>'Income Stat.'!H15</f>
        <v>14515106.300000001</v>
      </c>
      <c r="H47" s="42">
        <f>'Income Stat.'!I15</f>
        <v>15225388.24</v>
      </c>
      <c r="I47" s="42">
        <f>'Income Stat.'!J15</f>
        <v>22178096.27</v>
      </c>
      <c r="J47" s="42">
        <f>'Income Stat.'!K15</f>
        <v>24825074.670000002</v>
      </c>
      <c r="K47" s="42">
        <f>'Income Stat.'!L15</f>
        <v>27686911.41</v>
      </c>
      <c r="L47" s="42">
        <f>'Income Stat.'!M15</f>
        <v>30548780.079999998</v>
      </c>
      <c r="M47" s="42">
        <f>'Income Stat.'!N15</f>
        <v>33016364.670000002</v>
      </c>
      <c r="N47" s="42">
        <f>'Income Stat.'!O15</f>
        <v>33016365</v>
      </c>
      <c r="O47" s="42">
        <f>'Income Stat.'!P15</f>
        <v>3873593.89</v>
      </c>
      <c r="P47" s="42">
        <f>'Income Stat.'!Q15</f>
        <v>6480099.6399999997</v>
      </c>
      <c r="Q47" s="42">
        <f>'Income Stat.'!R15</f>
        <v>9648057.6500000004</v>
      </c>
      <c r="R47" s="42">
        <f>'Income Stat.'!S15</f>
        <v>15944922.34</v>
      </c>
      <c r="S47" s="42">
        <f>'Income Stat.'!T15</f>
        <v>19953390.879999999</v>
      </c>
      <c r="T47" s="42">
        <f>'Income Stat.'!U15</f>
        <v>23859115.32</v>
      </c>
      <c r="U47" s="42">
        <f>'Income Stat.'!V15</f>
        <v>34960644.689999998</v>
      </c>
      <c r="V47" s="42">
        <f>'Income Stat.'!W15</f>
        <v>31589215.91</v>
      </c>
      <c r="W47" s="42">
        <f>'Income Stat.'!X15</f>
        <v>36942232.240000002</v>
      </c>
      <c r="X47" s="42">
        <f>'Income Stat.'!Y15</f>
        <v>40795311.969999999</v>
      </c>
      <c r="Y47" s="42">
        <f>'Income Stat.'!Z15</f>
        <v>45348796.259999998</v>
      </c>
      <c r="Z47" s="42">
        <f>'Income Stat.'!AA15</f>
        <v>47381758.25</v>
      </c>
      <c r="AA47" s="42">
        <f>'Income Stat.'!AB15</f>
        <v>46881758</v>
      </c>
    </row>
    <row r="48" spans="1:27" ht="13.9" thickBot="1">
      <c r="A48" s="50" t="s">
        <v>145</v>
      </c>
      <c r="B48" s="42">
        <f>'Income Stat.'!C30</f>
        <v>9607940.4700000007</v>
      </c>
      <c r="C48" s="42">
        <f>'Income Stat.'!D30</f>
        <v>7085310.1100000003</v>
      </c>
      <c r="D48" s="42">
        <f>'Income Stat.'!E30</f>
        <v>11697087.439999999</v>
      </c>
      <c r="E48" s="42">
        <f>'Income Stat.'!F30</f>
        <v>15223032.35</v>
      </c>
      <c r="F48" s="42">
        <f>'Income Stat.'!G30</f>
        <v>18151541.890000001</v>
      </c>
      <c r="G48" s="42">
        <f>'Income Stat.'!H30</f>
        <v>21392406.969999999</v>
      </c>
      <c r="H48" s="42">
        <f>'Income Stat.'!I30</f>
        <v>28511081.690000001</v>
      </c>
      <c r="I48" s="42">
        <f>'Income Stat.'!J30</f>
        <v>51589802.100000001</v>
      </c>
      <c r="J48" s="42">
        <f>'Income Stat.'!K30</f>
        <v>54344583.770000003</v>
      </c>
      <c r="K48" s="42">
        <f>'Income Stat.'!L30</f>
        <v>49952041.57</v>
      </c>
      <c r="L48" s="42">
        <f>'Income Stat.'!M30</f>
        <v>58770532.520000003</v>
      </c>
      <c r="M48" s="42">
        <f>'Income Stat.'!N30</f>
        <v>66428157.859999999</v>
      </c>
      <c r="N48" s="42">
        <f>'Income Stat.'!O30</f>
        <v>68261292</v>
      </c>
      <c r="O48" s="42">
        <f>'Income Stat.'!P30</f>
        <v>5225785.9099999983</v>
      </c>
      <c r="P48" s="42">
        <f>'Income Stat.'!Q30</f>
        <v>14599688.289999997</v>
      </c>
      <c r="Q48" s="42">
        <f>'Income Stat.'!R30</f>
        <v>11772635.709999997</v>
      </c>
      <c r="R48" s="42">
        <f>'Income Stat.'!S30</f>
        <v>16115368.050000001</v>
      </c>
      <c r="S48" s="42">
        <f>'Income Stat.'!T30</f>
        <v>40728839.959999993</v>
      </c>
      <c r="T48" s="42">
        <f>'Income Stat.'!U30</f>
        <v>45482834.340000018</v>
      </c>
      <c r="U48" s="42">
        <f>'Income Stat.'!V30</f>
        <v>48340161.590000004</v>
      </c>
      <c r="V48" s="42">
        <f>'Income Stat.'!W30</f>
        <v>58096106.61999999</v>
      </c>
      <c r="W48" s="42">
        <f>'Income Stat.'!X30</f>
        <v>55873307.999999985</v>
      </c>
      <c r="X48" s="42">
        <f>'Income Stat.'!Y30</f>
        <v>58969271.339999981</v>
      </c>
      <c r="Y48" s="42">
        <f>'Income Stat.'!Z30</f>
        <v>59391609.760000013</v>
      </c>
      <c r="Z48" s="42">
        <f>'Income Stat.'!AA30</f>
        <v>74762750.290000036</v>
      </c>
      <c r="AA48" s="42">
        <f>'Income Stat.'!AB30</f>
        <v>78923127</v>
      </c>
    </row>
    <row r="49" spans="1:27">
      <c r="A49" s="51" t="s">
        <v>146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9"/>
  <sheetViews>
    <sheetView workbookViewId="0">
      <selection activeCell="I5" sqref="I5"/>
    </sheetView>
  </sheetViews>
  <sheetFormatPr defaultColWidth="9.140625" defaultRowHeight="13.9"/>
  <cols>
    <col min="1" max="1" width="26.28515625" style="18" bestFit="1" customWidth="1"/>
    <col min="2" max="2" width="36.42578125" style="18" customWidth="1"/>
    <col min="3" max="3" width="14.5703125" style="18" bestFit="1" customWidth="1"/>
    <col min="4" max="5" width="12" style="18" hidden="1" customWidth="1"/>
    <col min="6" max="6" width="12" style="18" bestFit="1" customWidth="1"/>
    <col min="7" max="8" width="12.28515625" style="18" hidden="1" customWidth="1"/>
    <col min="9" max="9" width="14" style="18" bestFit="1" customWidth="1"/>
    <col min="10" max="11" width="14" style="18" hidden="1" customWidth="1"/>
    <col min="12" max="12" width="14" style="18" customWidth="1"/>
    <col min="13" max="14" width="14" style="18" hidden="1" customWidth="1"/>
    <col min="15" max="15" width="14" style="18" customWidth="1"/>
    <col min="16" max="16" width="14.140625" style="18" bestFit="1" customWidth="1"/>
    <col min="17" max="18" width="12" style="18" hidden="1" customWidth="1"/>
    <col min="19" max="19" width="12" style="18" bestFit="1" customWidth="1"/>
    <col min="20" max="21" width="12" style="18" hidden="1" customWidth="1"/>
    <col min="22" max="22" width="12" style="18" bestFit="1" customWidth="1"/>
    <col min="23" max="24" width="12" style="18" hidden="1" customWidth="1"/>
    <col min="25" max="25" width="12" style="18" bestFit="1" customWidth="1"/>
    <col min="26" max="27" width="12" style="18" hidden="1" customWidth="1"/>
    <col min="28" max="28" width="12" style="18" bestFit="1" customWidth="1"/>
    <col min="29" max="29" width="15.28515625" style="18" customWidth="1"/>
    <col min="30" max="16384" width="9.140625" style="18"/>
  </cols>
  <sheetData>
    <row r="1" spans="1:29">
      <c r="A1" s="16" t="s">
        <v>147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 ht="14.45" thickBot="1">
      <c r="A2" s="52"/>
      <c r="B2" s="52"/>
      <c r="C2" s="52" t="s">
        <v>148</v>
      </c>
      <c r="D2" s="183">
        <v>44197</v>
      </c>
      <c r="E2" s="183">
        <v>44228</v>
      </c>
      <c r="F2" s="183">
        <v>44256</v>
      </c>
      <c r="G2" s="183">
        <v>44287</v>
      </c>
      <c r="H2" s="183">
        <v>44317</v>
      </c>
      <c r="I2" s="183">
        <v>44348</v>
      </c>
      <c r="J2" s="183">
        <v>44378</v>
      </c>
      <c r="K2" s="183">
        <v>44409</v>
      </c>
      <c r="L2" s="183">
        <v>44440</v>
      </c>
      <c r="M2" s="183">
        <v>44470</v>
      </c>
      <c r="N2" s="183">
        <v>44501</v>
      </c>
      <c r="O2" s="183">
        <v>44531</v>
      </c>
      <c r="P2" s="20" t="s">
        <v>3</v>
      </c>
      <c r="Q2" s="117">
        <v>44583</v>
      </c>
      <c r="R2" s="118">
        <v>44614</v>
      </c>
      <c r="S2" s="117">
        <v>44642</v>
      </c>
      <c r="T2" s="118">
        <v>44673</v>
      </c>
      <c r="U2" s="117">
        <v>44703</v>
      </c>
      <c r="V2" s="118">
        <v>44734</v>
      </c>
      <c r="W2" s="117">
        <v>44764</v>
      </c>
      <c r="X2" s="118">
        <v>44795</v>
      </c>
      <c r="Y2" s="118">
        <v>44826</v>
      </c>
      <c r="Z2" s="118">
        <v>44856</v>
      </c>
      <c r="AA2" s="118">
        <v>44887</v>
      </c>
      <c r="AB2" s="118">
        <v>44917</v>
      </c>
      <c r="AC2" s="74" t="s">
        <v>4</v>
      </c>
    </row>
    <row r="3" spans="1:29">
      <c r="A3" s="67" t="s">
        <v>149</v>
      </c>
      <c r="B3" s="53" t="s">
        <v>116</v>
      </c>
      <c r="C3" s="54" t="s">
        <v>150</v>
      </c>
      <c r="D3" s="55">
        <f>Financials!B13</f>
        <v>378376373.72999996</v>
      </c>
      <c r="E3" s="55">
        <f>Financials!C13</f>
        <v>375986805.19</v>
      </c>
      <c r="F3" s="55">
        <f>Financials!D13</f>
        <v>380733813.54999995</v>
      </c>
      <c r="G3" s="55">
        <f>Financials!E13</f>
        <v>384401967.08999997</v>
      </c>
      <c r="H3" s="55">
        <f>Financials!F13</f>
        <v>387467026.68000001</v>
      </c>
      <c r="I3" s="55">
        <f>Financials!G13</f>
        <v>390845377.75999993</v>
      </c>
      <c r="J3" s="55">
        <f>Financials!H13</f>
        <v>398087579.44</v>
      </c>
      <c r="K3" s="55">
        <f>Financials!I13</f>
        <v>421279265.38999999</v>
      </c>
      <c r="L3" s="55">
        <f>Financials!J13</f>
        <v>424155846.57999998</v>
      </c>
      <c r="M3" s="55">
        <f>Financials!K13</f>
        <v>419861604.42999995</v>
      </c>
      <c r="N3" s="55">
        <f>Financials!L13</f>
        <v>429018181.56999999</v>
      </c>
      <c r="O3" s="55">
        <f>Financials!M13</f>
        <v>434806717.44999999</v>
      </c>
      <c r="P3" s="55">
        <f>Financials!N13</f>
        <v>436828706</v>
      </c>
      <c r="Q3" s="55">
        <f>Financials!O13</f>
        <v>434803419.28000003</v>
      </c>
      <c r="R3" s="55">
        <f>Financials!P13</f>
        <v>444253093.39000005</v>
      </c>
      <c r="S3" s="55">
        <f>Financials!Q13</f>
        <v>441500050.76000005</v>
      </c>
      <c r="T3" s="55">
        <f>Financials!R13</f>
        <v>445918035.69999999</v>
      </c>
      <c r="U3" s="55">
        <f>Financials!S13</f>
        <v>470603987.14000005</v>
      </c>
      <c r="V3" s="55">
        <f>Financials!T13</f>
        <v>475425102.82999998</v>
      </c>
      <c r="W3" s="55">
        <f>Financials!U13</f>
        <v>478351550.80000001</v>
      </c>
      <c r="X3" s="55">
        <f>Financials!V13</f>
        <v>488177395.83000004</v>
      </c>
      <c r="Y3" s="55">
        <f>Financials!W13</f>
        <v>488177395.83000004</v>
      </c>
      <c r="Z3" s="55">
        <f>Financials!X13</f>
        <v>486045198.69</v>
      </c>
      <c r="AA3" s="55">
        <f>Financials!Y13</f>
        <v>489213162.27000004</v>
      </c>
      <c r="AB3" s="55">
        <f>Financials!Z13</f>
        <v>489710004.76999998</v>
      </c>
      <c r="AC3" s="55">
        <f>Financials!AA13</f>
        <v>502811087.13999999</v>
      </c>
    </row>
    <row r="4" spans="1:29">
      <c r="A4" s="68"/>
      <c r="B4" s="15" t="s">
        <v>151</v>
      </c>
      <c r="C4" s="14">
        <v>0.1</v>
      </c>
      <c r="D4" s="21">
        <f>Financials!B13/Financials!B5</f>
        <v>0.25468805801938293</v>
      </c>
      <c r="E4" s="21">
        <f>Financials!C13/Financials!C5</f>
        <v>0.25757092252751645</v>
      </c>
      <c r="F4" s="21">
        <f>Financials!D13/Financials!D5</f>
        <v>0.26014565022575636</v>
      </c>
      <c r="G4" s="21">
        <f>Financials!E13/Financials!E5</f>
        <v>0.26148202458124598</v>
      </c>
      <c r="H4" s="21">
        <f>Financials!F13/Financials!F5</f>
        <v>0.25979566182271124</v>
      </c>
      <c r="I4" s="21">
        <f>Financials!G13/Financials!G5</f>
        <v>0.25934140447141762</v>
      </c>
      <c r="J4" s="21">
        <f>Financials!H13/Financials!H5</f>
        <v>0.26082769415395607</v>
      </c>
      <c r="K4" s="21">
        <f>Financials!I13/Financials!I5</f>
        <v>0.25888999208680874</v>
      </c>
      <c r="L4" s="21">
        <f>Financials!J13/Financials!J5</f>
        <v>0.25976171446593604</v>
      </c>
      <c r="M4" s="21">
        <f>Financials!K13/Financials!K5</f>
        <v>0.25659675177596447</v>
      </c>
      <c r="N4" s="21">
        <f>Financials!L13/Financials!L5</f>
        <v>0.24584996636061485</v>
      </c>
      <c r="O4" s="21">
        <f>Financials!M13/Financials!M5</f>
        <v>0.26127392668199984</v>
      </c>
      <c r="P4" s="21">
        <f>Financials!N13/Financials!N5</f>
        <v>0.26248893284210645</v>
      </c>
      <c r="Q4" s="21">
        <f>Financials!O13/Financials!O5</f>
        <v>0.25867213844788212</v>
      </c>
      <c r="R4" s="21">
        <f>Financials!P13/Financials!P5</f>
        <v>0.26792357662833444</v>
      </c>
      <c r="S4" s="21">
        <f>Financials!Q13/Financials!Q5</f>
        <v>0.26539336321229962</v>
      </c>
      <c r="T4" s="21">
        <f>Financials!R13/Financials!R5</f>
        <v>0.25210719300265749</v>
      </c>
      <c r="U4" s="21">
        <f>Financials!S13/Financials!S5</f>
        <v>0.25080402646645722</v>
      </c>
      <c r="V4" s="21">
        <f>Financials!T13/Financials!T5</f>
        <v>0.24354225210218219</v>
      </c>
      <c r="W4" s="21">
        <f>Financials!U13/Financials!U5</f>
        <v>0.25571833071922906</v>
      </c>
      <c r="X4" s="21">
        <f>Financials!V13/Financials!V5</f>
        <v>0.25852170159457688</v>
      </c>
      <c r="Y4" s="21">
        <f>Financials!W13/Financials!W5</f>
        <v>0.25539677353513884</v>
      </c>
      <c r="Z4" s="21">
        <f>Financials!X13/Financials!X5</f>
        <v>0.25180575896067275</v>
      </c>
      <c r="AA4" s="21">
        <f>Financials!Y13/Financials!Y5</f>
        <v>0.2496533825230654</v>
      </c>
      <c r="AB4" s="21">
        <f>Financials!Z13/Financials!Z5</f>
        <v>0.2512309288829912</v>
      </c>
      <c r="AC4" s="21">
        <f>Financials!AA13/Financials!AA5</f>
        <v>0.25714336869900639</v>
      </c>
    </row>
    <row r="5" spans="1:29">
      <c r="A5" s="68"/>
      <c r="B5" s="15" t="s">
        <v>152</v>
      </c>
      <c r="C5" s="14">
        <v>0.08</v>
      </c>
      <c r="D5" s="21">
        <f>Financials!B13/Financials!B6</f>
        <v>0.48840662599551798</v>
      </c>
      <c r="E5" s="21">
        <f>Financials!C13/Financials!C6</f>
        <v>0.50147224710056626</v>
      </c>
      <c r="F5" s="21">
        <f>Financials!D13/Financials!D6</f>
        <v>0.50777378742679458</v>
      </c>
      <c r="G5" s="21">
        <f>Financials!E13/Financials!E6</f>
        <v>0.51236747237023261</v>
      </c>
      <c r="H5" s="21">
        <f>Financials!F13/Financials!F6</f>
        <v>0.5055117692371881</v>
      </c>
      <c r="I5" s="21">
        <f>Financials!G13/Financials!G6</f>
        <v>0.50440936129607794</v>
      </c>
      <c r="J5" s="21">
        <f>Financials!H13/Financials!H6</f>
        <v>0.51179062789560581</v>
      </c>
      <c r="K5" s="21">
        <f>Financials!I13/Financials!I6</f>
        <v>0.54298019303477463</v>
      </c>
      <c r="L5" s="21">
        <f>Financials!J13/Financials!J6</f>
        <v>0.54071102826915851</v>
      </c>
      <c r="M5" s="21">
        <f>Financials!K13/Financials!K6</f>
        <v>0.53147932332294168</v>
      </c>
      <c r="N5" s="21">
        <f>Financials!L13/Financials!L6</f>
        <v>0.47994567947569255</v>
      </c>
      <c r="O5" s="21">
        <f>Financials!M13/Financials!M6</f>
        <v>0.52342238352595738</v>
      </c>
      <c r="P5" s="21">
        <f>Financials!N13/Financials!N6</f>
        <v>0.52585646282613074</v>
      </c>
      <c r="Q5" s="21">
        <f>Financials!O13/Financials!O6</f>
        <v>0.4989909411722967</v>
      </c>
      <c r="R5" s="21">
        <f>Financials!P13/Financials!P6</f>
        <v>0.52513304295412588</v>
      </c>
      <c r="S5" s="21">
        <f>Financials!Q13/Financials!Q6</f>
        <v>0.51823252559298127</v>
      </c>
      <c r="T5" s="21">
        <f>Financials!R13/Financials!R6</f>
        <v>0.5232127928778042</v>
      </c>
      <c r="U5" s="21">
        <f>Financials!S13/Financials!S6</f>
        <v>0.53167920622145282</v>
      </c>
      <c r="V5" s="21">
        <f>Financials!T13/Financials!T6</f>
        <v>0.52764779653938321</v>
      </c>
      <c r="W5" s="21">
        <f>Financials!U13/Financials!U6</f>
        <v>0.52785954722065809</v>
      </c>
      <c r="X5" s="21">
        <f>Financials!V13/Financials!V6</f>
        <v>0.53433815347244396</v>
      </c>
      <c r="Y5" s="21">
        <f>Financials!W13/Financials!W6</f>
        <v>0.53434384212253783</v>
      </c>
      <c r="Z5" s="21">
        <f>Financials!X13/Financials!X6</f>
        <v>0.52552349293336253</v>
      </c>
      <c r="AA5" s="21">
        <f>Financials!Y13/Financials!Y6</f>
        <v>0.53114602453935633</v>
      </c>
      <c r="AB5" s="21">
        <f>Financials!Z13/Financials!Z6</f>
        <v>0.52433341585197635</v>
      </c>
      <c r="AC5" s="21">
        <f>Financials!AA13/Financials!AA6</f>
        <v>0.53835917610968664</v>
      </c>
    </row>
    <row r="6" spans="1:29" ht="14.45" thickBot="1">
      <c r="A6" s="69"/>
      <c r="B6" s="56" t="s">
        <v>153</v>
      </c>
      <c r="C6" s="57">
        <v>0.08</v>
      </c>
      <c r="D6" s="58">
        <f>(Financials!B15-Financials!B16)/Financials!B5</f>
        <v>0.21940396801167966</v>
      </c>
      <c r="E6" s="58">
        <f>(Financials!C15-Financials!C16)/Financials!C5</f>
        <v>0.22156950566701206</v>
      </c>
      <c r="F6" s="58">
        <f>(Financials!D15-Financials!D16)/Financials!D5</f>
        <v>0.22414531088768858</v>
      </c>
      <c r="G6" s="58">
        <f>(Financials!E15-Financials!E16)/Financials!E5</f>
        <v>0.2255453137442448</v>
      </c>
      <c r="H6" s="58">
        <f>(Financials!F15-Financials!F16)/Financials!F5</f>
        <v>0.22428160349235213</v>
      </c>
      <c r="I6" s="58">
        <f>(Financials!G15-Financials!G16)/Financials!G5</f>
        <v>0.22410465189282047</v>
      </c>
      <c r="J6" s="58">
        <f>(Financials!H15-Financials!H16)/Financials!H5</f>
        <v>0.22595278194856167</v>
      </c>
      <c r="K6" s="58">
        <f>(Financials!I15-Financials!I16)/Financials!I5</f>
        <v>0.22611036902980919</v>
      </c>
      <c r="L6" s="58">
        <f>(Financials!J15-Financials!J16)/Financials!J5</f>
        <v>0.2270201814012334</v>
      </c>
      <c r="M6" s="58">
        <f>(Financials!K15-Financials!K16)/Financials!K5</f>
        <v>0.22386327686731941</v>
      </c>
      <c r="N6" s="58">
        <f>(Financials!L15-Financials!L16)/Financials!L5</f>
        <v>0.21496306732847145</v>
      </c>
      <c r="O6" s="58">
        <f>(Financials!M15-Financials!M16)/Financials!M5</f>
        <v>0.22879438146129236</v>
      </c>
      <c r="P6" s="58">
        <f>(Financials!N15-Financials!N16)/Financials!N5</f>
        <v>0.23000938758698905</v>
      </c>
      <c r="Q6" s="61">
        <f>(Financials!O15-Financials!O16)/Financials!O5</f>
        <v>0.22641102136160768</v>
      </c>
      <c r="R6" s="61">
        <f>(Financials!P15-Financials!P16)/Financials!P5</f>
        <v>0.23517370670808838</v>
      </c>
      <c r="S6" s="61">
        <f>(Financials!Q15-Financials!Q16)/Financials!Q5</f>
        <v>0.2327059990611223</v>
      </c>
      <c r="T6" s="61">
        <f>(Financials!R15-Financials!R16)/Financials!R5</f>
        <v>0.22132132527005605</v>
      </c>
      <c r="U6" s="61">
        <f>(Financials!S15-Financials!S16)/Financials!S5</f>
        <v>0.22174521916631981</v>
      </c>
      <c r="V6" s="61">
        <f>(Financials!T15-Financials!T16)/Financials!T5</f>
        <v>0.21557657211867623</v>
      </c>
      <c r="W6" s="61">
        <f>(Financials!U15-Financials!U16)/Financials!U5</f>
        <v>0.22649717616774931</v>
      </c>
      <c r="X6" s="61">
        <f>(Financials!V15-Financials!V16)/Financials!V5</f>
        <v>0.22953778663442806</v>
      </c>
      <c r="Y6" s="61">
        <f>(Financials!W15-Financials!W16)/Financials!W5</f>
        <v>0.2267632069154685</v>
      </c>
      <c r="Z6" s="61">
        <f>(Financials!X15-Financials!X16)/Financials!X5</f>
        <v>0.22340401318846259</v>
      </c>
      <c r="AA6" s="61">
        <f>(Financials!Y15-Financials!Y16)/Financials!Y5</f>
        <v>0.22164001239355727</v>
      </c>
      <c r="AB6" s="61">
        <f>(Financials!Z15-Financials!Z16)/Financials!Z5</f>
        <v>0.22303092266950983</v>
      </c>
      <c r="AC6" s="61">
        <f>(Financials!AA15-Financials!AA16)/Financials!AA5</f>
        <v>0.22900162268821037</v>
      </c>
    </row>
    <row r="7" spans="1:29">
      <c r="A7" s="67" t="s">
        <v>154</v>
      </c>
      <c r="B7" s="53" t="s">
        <v>155</v>
      </c>
      <c r="C7" s="53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spans="1:29">
      <c r="A8" s="68"/>
      <c r="B8" s="15" t="s">
        <v>156</v>
      </c>
      <c r="C8" s="15"/>
      <c r="D8" s="22">
        <f t="shared" ref="D8:AC8" si="0">6.5%</f>
        <v>6.5000000000000002E-2</v>
      </c>
      <c r="E8" s="22">
        <f t="shared" si="0"/>
        <v>6.5000000000000002E-2</v>
      </c>
      <c r="F8" s="22">
        <f t="shared" si="0"/>
        <v>6.5000000000000002E-2</v>
      </c>
      <c r="G8" s="22">
        <f t="shared" si="0"/>
        <v>6.5000000000000002E-2</v>
      </c>
      <c r="H8" s="22">
        <f t="shared" si="0"/>
        <v>6.5000000000000002E-2</v>
      </c>
      <c r="I8" s="22">
        <f t="shared" si="0"/>
        <v>6.5000000000000002E-2</v>
      </c>
      <c r="J8" s="22">
        <f t="shared" si="0"/>
        <v>6.5000000000000002E-2</v>
      </c>
      <c r="K8" s="22">
        <f t="shared" si="0"/>
        <v>6.5000000000000002E-2</v>
      </c>
      <c r="L8" s="22">
        <f t="shared" si="0"/>
        <v>6.5000000000000002E-2</v>
      </c>
      <c r="M8" s="22">
        <f t="shared" si="0"/>
        <v>6.5000000000000002E-2</v>
      </c>
      <c r="N8" s="22">
        <f t="shared" si="0"/>
        <v>6.5000000000000002E-2</v>
      </c>
      <c r="O8" s="22">
        <f t="shared" si="0"/>
        <v>6.5000000000000002E-2</v>
      </c>
      <c r="P8" s="22">
        <f t="shared" si="0"/>
        <v>6.5000000000000002E-2</v>
      </c>
      <c r="Q8" s="22">
        <f t="shared" si="0"/>
        <v>6.5000000000000002E-2</v>
      </c>
      <c r="R8" s="22">
        <f t="shared" si="0"/>
        <v>6.5000000000000002E-2</v>
      </c>
      <c r="S8" s="22">
        <f t="shared" si="0"/>
        <v>6.5000000000000002E-2</v>
      </c>
      <c r="T8" s="22">
        <f t="shared" si="0"/>
        <v>6.5000000000000002E-2</v>
      </c>
      <c r="U8" s="22">
        <f t="shared" si="0"/>
        <v>6.5000000000000002E-2</v>
      </c>
      <c r="V8" s="22">
        <f t="shared" si="0"/>
        <v>6.5000000000000002E-2</v>
      </c>
      <c r="W8" s="22">
        <f t="shared" si="0"/>
        <v>6.5000000000000002E-2</v>
      </c>
      <c r="X8" s="22">
        <f t="shared" si="0"/>
        <v>6.5000000000000002E-2</v>
      </c>
      <c r="Y8" s="22">
        <f t="shared" si="0"/>
        <v>6.5000000000000002E-2</v>
      </c>
      <c r="Z8" s="22">
        <f t="shared" si="0"/>
        <v>6.5000000000000002E-2</v>
      </c>
      <c r="AA8" s="22">
        <f t="shared" si="0"/>
        <v>6.5000000000000002E-2</v>
      </c>
      <c r="AB8" s="22">
        <f t="shared" si="0"/>
        <v>6.5000000000000002E-2</v>
      </c>
      <c r="AC8" s="22">
        <f t="shared" si="0"/>
        <v>6.5000000000000002E-2</v>
      </c>
    </row>
    <row r="9" spans="1:29">
      <c r="A9" s="68"/>
      <c r="B9" s="15" t="s">
        <v>157</v>
      </c>
      <c r="C9" s="13" t="s">
        <v>158</v>
      </c>
      <c r="D9" s="21">
        <f>('Balance Sheet'!C7+'Balance Sheet'!C20)/'Balance Sheet'!C26</f>
        <v>0.15651144634055872</v>
      </c>
      <c r="E9" s="21">
        <f>('Balance Sheet'!D7+'Balance Sheet'!D20)/'Balance Sheet'!D26</f>
        <v>0.17797965065320778</v>
      </c>
      <c r="F9" s="21">
        <f>('Balance Sheet'!E7+'Balance Sheet'!E20)/'Balance Sheet'!E26</f>
        <v>0.18205575364604779</v>
      </c>
      <c r="G9" s="21">
        <f>('Balance Sheet'!F7+'Balance Sheet'!F20)/'Balance Sheet'!F26</f>
        <v>0.17772784768046943</v>
      </c>
      <c r="H9" s="21">
        <f>('Balance Sheet'!G7+'Balance Sheet'!G20)/'Balance Sheet'!G26</f>
        <v>0.17839003721435881</v>
      </c>
      <c r="I9" s="21">
        <f>('Balance Sheet'!H7+'Balance Sheet'!H20)/'Balance Sheet'!H26</f>
        <v>0.17925390321029472</v>
      </c>
      <c r="J9" s="21">
        <f>('Balance Sheet'!I7+'Balance Sheet'!I20)/'Balance Sheet'!I26</f>
        <v>0.17803228243491406</v>
      </c>
      <c r="K9" s="21">
        <f>('Balance Sheet'!J7+'Balance Sheet'!J20)/'Balance Sheet'!J26</f>
        <v>0.164207934127096</v>
      </c>
      <c r="L9" s="21">
        <f>('Balance Sheet'!K7+'Balance Sheet'!K20)/'Balance Sheet'!K26</f>
        <v>0.16972195446367597</v>
      </c>
      <c r="M9" s="21">
        <f>('Balance Sheet'!L7+'Balance Sheet'!L20)/'Balance Sheet'!L26</f>
        <v>0.16954438959169926</v>
      </c>
      <c r="N9" s="21">
        <f>('Balance Sheet'!M7+'Balance Sheet'!M20)/'Balance Sheet'!M26</f>
        <v>0.21953584196593626</v>
      </c>
      <c r="O9" s="21">
        <f>('Balance Sheet'!N7+'Balance Sheet'!N20)/'Balance Sheet'!N26</f>
        <v>0.16350229391595561</v>
      </c>
      <c r="P9" s="21">
        <f>('Balance Sheet'!O7+'Balance Sheet'!O20)/'Balance Sheet'!O26</f>
        <v>0.16350229400942412</v>
      </c>
      <c r="Q9" s="21">
        <f>('Balance Sheet'!P7+'Balance Sheet'!P20)/'Balance Sheet'!P26</f>
        <v>0.16731260392925035</v>
      </c>
      <c r="R9" s="21">
        <f>('Balance Sheet'!Q7+'Balance Sheet'!Q20)/'Balance Sheet'!Q26</f>
        <v>0.16833442093097795</v>
      </c>
      <c r="S9" s="21">
        <f>('Balance Sheet'!R7+'Balance Sheet'!R20)/'Balance Sheet'!R26</f>
        <v>0.17550139656516334</v>
      </c>
      <c r="T9" s="21">
        <f>('Balance Sheet'!S7+'Balance Sheet'!S20)/'Balance Sheet'!S26</f>
        <v>0.17071551420555489</v>
      </c>
      <c r="U9" s="21">
        <f>('Balance Sheet'!T7+'Balance Sheet'!T20)/'Balance Sheet'!T26</f>
        <v>0.16455833508062565</v>
      </c>
      <c r="V9" s="21">
        <f>('Balance Sheet'!U7+'Balance Sheet'!U20)/'Balance Sheet'!U26</f>
        <v>0.1646013373878496</v>
      </c>
      <c r="W9" s="21">
        <f>('Balance Sheet'!V7+'Balance Sheet'!V20)/'Balance Sheet'!V26</f>
        <v>0.18282530866127594</v>
      </c>
      <c r="X9" s="21">
        <f>('Balance Sheet'!W7+'Balance Sheet'!W20)/'Balance Sheet'!W26</f>
        <v>0.18433722077198111</v>
      </c>
      <c r="Y9" s="21">
        <f>('Balance Sheet'!X7+'Balance Sheet'!X20)/'Balance Sheet'!X26</f>
        <v>0.17869251561625457</v>
      </c>
      <c r="Z9" s="21">
        <f>('Balance Sheet'!Y7+'Balance Sheet'!Y20)/'Balance Sheet'!Y26</f>
        <v>0.18009700266818215</v>
      </c>
      <c r="AA9" s="21">
        <f>('Balance Sheet'!Z7+'Balance Sheet'!Z20)/'Balance Sheet'!Z26</f>
        <v>0.17496794881672545</v>
      </c>
      <c r="AB9" s="21">
        <f>('Balance Sheet'!AA7+'Balance Sheet'!AA20)/'Balance Sheet'!AA26</f>
        <v>0.17439323123283407</v>
      </c>
      <c r="AC9" s="21">
        <f>('Balance Sheet'!AB7+'Balance Sheet'!AB20)/'Balance Sheet'!AB26</f>
        <v>0.17384798628860784</v>
      </c>
    </row>
    <row r="10" spans="1:29" ht="14.45" thickBot="1">
      <c r="A10" s="69"/>
      <c r="B10" s="56" t="s">
        <v>159</v>
      </c>
      <c r="C10" s="60" t="s">
        <v>160</v>
      </c>
      <c r="D10" s="61">
        <f>('Balance Sheet'!C21+'Balance Sheet'!C22)/'Balance Sheet'!C26</f>
        <v>3.1752296899986113E-2</v>
      </c>
      <c r="E10" s="61">
        <f>('Balance Sheet'!D21+'Balance Sheet'!D22)/'Balance Sheet'!D26</f>
        <v>5.4240779174265341E-2</v>
      </c>
      <c r="F10" s="61">
        <f>('Balance Sheet'!E21+'Balance Sheet'!E22)/'Balance Sheet'!E26</f>
        <v>5.421131703321154E-2</v>
      </c>
      <c r="G10" s="61">
        <f>('Balance Sheet'!F21+'Balance Sheet'!F22)/'Balance Sheet'!F26</f>
        <v>5.5242063295308071E-2</v>
      </c>
      <c r="H10" s="61">
        <f>('Balance Sheet'!G21+'Balance Sheet'!G22)/'Balance Sheet'!G26</f>
        <v>5.4623397251744921E-2</v>
      </c>
      <c r="I10" s="61">
        <f>('Balance Sheet'!H21+'Balance Sheet'!H22)/'Balance Sheet'!H26</f>
        <v>5.5259607610168487E-2</v>
      </c>
      <c r="J10" s="61">
        <f>('Balance Sheet'!I21+'Balance Sheet'!I22)/'Balance Sheet'!I26</f>
        <v>5.4748719615953421E-2</v>
      </c>
      <c r="K10" s="61">
        <f>('Balance Sheet'!J21+'Balance Sheet'!J22)/'Balance Sheet'!J26</f>
        <v>5.1445417890350634E-2</v>
      </c>
      <c r="L10" s="61">
        <f>('Balance Sheet'!K21+'Balance Sheet'!K22)/'Balance Sheet'!K26</f>
        <v>5.1320736794914952E-2</v>
      </c>
      <c r="M10" s="61">
        <f>('Balance Sheet'!L21+'Balance Sheet'!L22)/'Balance Sheet'!L26</f>
        <v>5.1274993898413397E-2</v>
      </c>
      <c r="N10" s="61">
        <f>('Balance Sheet'!M21+'Balance Sheet'!M22)/'Balance Sheet'!M26</f>
        <v>4.8159309315555295E-2</v>
      </c>
      <c r="O10" s="61">
        <f>('Balance Sheet'!N21+'Balance Sheet'!N22)/'Balance Sheet'!N26</f>
        <v>5.4502136573975887E-2</v>
      </c>
      <c r="P10" s="61">
        <f>('Balance Sheet'!O21+'Balance Sheet'!O22)/'Balance Sheet'!O26</f>
        <v>5.4502136917597768E-2</v>
      </c>
      <c r="Q10" s="61">
        <f>('Balance Sheet'!P17+'Balance Sheet'!P18)/'Balance Sheet'!P20</f>
        <v>0</v>
      </c>
      <c r="R10" s="61">
        <f>('Balance Sheet'!Q17+'Balance Sheet'!Q18)/'Balance Sheet'!Q20</f>
        <v>0</v>
      </c>
      <c r="S10" s="61">
        <f>('Balance Sheet'!R17+'Balance Sheet'!R18)/'Balance Sheet'!R20</f>
        <v>0</v>
      </c>
      <c r="T10" s="61">
        <f>('Balance Sheet'!S17+'Balance Sheet'!S18)/'Balance Sheet'!S20</f>
        <v>0</v>
      </c>
      <c r="U10" s="61">
        <f>('Balance Sheet'!T17+'Balance Sheet'!T18)/'Balance Sheet'!T20</f>
        <v>0</v>
      </c>
      <c r="V10" s="61">
        <f>('Balance Sheet'!U17+'Balance Sheet'!U18)/'Balance Sheet'!U20</f>
        <v>0</v>
      </c>
      <c r="W10" s="61">
        <f>('Balance Sheet'!V17+'Balance Sheet'!V18)/'Balance Sheet'!V20</f>
        <v>0</v>
      </c>
      <c r="X10" s="61">
        <f>('Balance Sheet'!W17+'Balance Sheet'!W18)/'Balance Sheet'!W20</f>
        <v>0</v>
      </c>
      <c r="Y10" s="61">
        <f>('Balance Sheet'!X17+'Balance Sheet'!X18)/'Balance Sheet'!X20</f>
        <v>0</v>
      </c>
      <c r="Z10" s="61">
        <f>('Balance Sheet'!Y17+'Balance Sheet'!Y18)/'Balance Sheet'!Y20</f>
        <v>0</v>
      </c>
      <c r="AA10" s="61">
        <f>('Balance Sheet'!Z17+'Balance Sheet'!Z18)/'Balance Sheet'!Z20</f>
        <v>0</v>
      </c>
      <c r="AB10" s="61">
        <f>('Balance Sheet'!AA17+'Balance Sheet'!AA18)/'Balance Sheet'!AA20</f>
        <v>0</v>
      </c>
      <c r="AC10" s="61">
        <f>('Balance Sheet'!AB17+'Balance Sheet'!AB18)/'Balance Sheet'!AB20</f>
        <v>0</v>
      </c>
    </row>
    <row r="11" spans="1:29" ht="26.45">
      <c r="A11" s="67" t="s">
        <v>161</v>
      </c>
      <c r="B11" s="53" t="s">
        <v>162</v>
      </c>
      <c r="C11" s="62" t="s">
        <v>160</v>
      </c>
      <c r="D11" s="63">
        <f>'Balance Sheet'!C11/'Balance Sheet'!C29</f>
        <v>0</v>
      </c>
      <c r="E11" s="63">
        <f>'Balance Sheet'!D11/'Balance Sheet'!D29</f>
        <v>0</v>
      </c>
      <c r="F11" s="63">
        <f>'Balance Sheet'!E11/'Balance Sheet'!E29</f>
        <v>0</v>
      </c>
      <c r="G11" s="63">
        <f>'Balance Sheet'!F11/'Balance Sheet'!F29</f>
        <v>0</v>
      </c>
      <c r="H11" s="63">
        <f>'Balance Sheet'!G11/'Balance Sheet'!G29</f>
        <v>0</v>
      </c>
      <c r="I11" s="63">
        <f>'Balance Sheet'!H11/'Balance Sheet'!H29</f>
        <v>0</v>
      </c>
      <c r="J11" s="63">
        <f>'Balance Sheet'!I11/'Balance Sheet'!I29</f>
        <v>0</v>
      </c>
      <c r="K11" s="63">
        <f>'Balance Sheet'!J11/'Balance Sheet'!J29</f>
        <v>0</v>
      </c>
      <c r="L11" s="63">
        <f>'Balance Sheet'!K11/'Balance Sheet'!K29</f>
        <v>0</v>
      </c>
      <c r="M11" s="63">
        <f>'Balance Sheet'!L11/'Balance Sheet'!L29</f>
        <v>0</v>
      </c>
      <c r="N11" s="63">
        <f>'Balance Sheet'!M11/'Balance Sheet'!M29</f>
        <v>0</v>
      </c>
      <c r="O11" s="63">
        <f>'Balance Sheet'!N11/'Balance Sheet'!N29</f>
        <v>0</v>
      </c>
      <c r="P11" s="63">
        <f>'Balance Sheet'!O11/'Balance Sheet'!O29</f>
        <v>4.2433456105743609E-4</v>
      </c>
      <c r="Q11" s="63" t="e">
        <f>'Balance Sheet'!P9/'Balance Sheet'!P23</f>
        <v>#DIV/0!</v>
      </c>
      <c r="R11" s="63" t="e">
        <f>'Balance Sheet'!Q9/'Balance Sheet'!Q23</f>
        <v>#DIV/0!</v>
      </c>
      <c r="S11" s="63" t="e">
        <f>'Balance Sheet'!R9/'Balance Sheet'!R23</f>
        <v>#DIV/0!</v>
      </c>
      <c r="T11" s="63" t="e">
        <f>'Balance Sheet'!S9/'Balance Sheet'!S23</f>
        <v>#DIV/0!</v>
      </c>
      <c r="U11" s="63" t="e">
        <f>'Balance Sheet'!T9/'Balance Sheet'!T23</f>
        <v>#DIV/0!</v>
      </c>
      <c r="V11" s="63" t="e">
        <f>'Balance Sheet'!U9/'Balance Sheet'!U23</f>
        <v>#DIV/0!</v>
      </c>
      <c r="W11" s="63" t="e">
        <f>'Balance Sheet'!V9/'Balance Sheet'!V23</f>
        <v>#DIV/0!</v>
      </c>
      <c r="X11" s="63" t="e">
        <f>'Balance Sheet'!W9/'Balance Sheet'!W23</f>
        <v>#DIV/0!</v>
      </c>
      <c r="Y11" s="63" t="e">
        <f>'Balance Sheet'!X9/'Balance Sheet'!X23</f>
        <v>#DIV/0!</v>
      </c>
      <c r="Z11" s="63" t="e">
        <f>'Balance Sheet'!Y9/'Balance Sheet'!Y23</f>
        <v>#DIV/0!</v>
      </c>
      <c r="AA11" s="63" t="e">
        <f>'Balance Sheet'!Z9/'Balance Sheet'!Z23</f>
        <v>#DIV/0!</v>
      </c>
      <c r="AB11" s="63" t="e">
        <f>'Balance Sheet'!AA9/'Balance Sheet'!AA23</f>
        <v>#DIV/0!</v>
      </c>
      <c r="AC11" s="63" t="e">
        <f>'Balance Sheet'!AB9/'Balance Sheet'!AB23</f>
        <v>#DIV/0!</v>
      </c>
    </row>
    <row r="12" spans="1:29" ht="26.45">
      <c r="A12" s="68"/>
      <c r="B12" s="24" t="s">
        <v>163</v>
      </c>
      <c r="C12" s="25" t="s">
        <v>164</v>
      </c>
      <c r="D12" s="23">
        <f>'Balance Sheet'!C11/Financials!B13</f>
        <v>0</v>
      </c>
      <c r="E12" s="23">
        <f>'Balance Sheet'!D11/Financials!C13</f>
        <v>0</v>
      </c>
      <c r="F12" s="23">
        <f>'Balance Sheet'!E11/Financials!D13</f>
        <v>0</v>
      </c>
      <c r="G12" s="23">
        <f>'Balance Sheet'!F11/Financials!E13</f>
        <v>0</v>
      </c>
      <c r="H12" s="23">
        <f>'Balance Sheet'!G11/Financials!F13</f>
        <v>0</v>
      </c>
      <c r="I12" s="23">
        <f>'Balance Sheet'!H11/Financials!G13</f>
        <v>0</v>
      </c>
      <c r="J12" s="23">
        <f>'Balance Sheet'!I11/Financials!H13</f>
        <v>0</v>
      </c>
      <c r="K12" s="23">
        <f>'Balance Sheet'!J11/Financials!I13</f>
        <v>0</v>
      </c>
      <c r="L12" s="23">
        <f>'Balance Sheet'!K11/Financials!J13</f>
        <v>0</v>
      </c>
      <c r="M12" s="23">
        <f>'Balance Sheet'!L11/Financials!K13</f>
        <v>0</v>
      </c>
      <c r="N12" s="23">
        <f>'Balance Sheet'!M11/Financials!L13</f>
        <v>0</v>
      </c>
      <c r="O12" s="23">
        <f>'Balance Sheet'!N11/Financials!M13</f>
        <v>0</v>
      </c>
      <c r="P12" s="23">
        <f>'Balance Sheet'!O11/Financials!N13</f>
        <v>7.1423877532444035E-4</v>
      </c>
      <c r="Q12" s="23">
        <f>'Balance Sheet'!P9/Financials!O13</f>
        <v>0</v>
      </c>
      <c r="R12" s="23">
        <f>'Balance Sheet'!Q9/Financials!P13</f>
        <v>0</v>
      </c>
      <c r="S12" s="23">
        <f>'Balance Sheet'!R9/Financials!Q13</f>
        <v>0</v>
      </c>
      <c r="T12" s="23">
        <f>'Balance Sheet'!S9/Financials!R13</f>
        <v>0</v>
      </c>
      <c r="U12" s="23">
        <f>'Balance Sheet'!T9/Financials!S13</f>
        <v>0</v>
      </c>
      <c r="V12" s="23">
        <f>'Balance Sheet'!U9/Financials!T13</f>
        <v>0</v>
      </c>
      <c r="W12" s="23">
        <f>'Balance Sheet'!V9/Financials!U13</f>
        <v>0</v>
      </c>
      <c r="X12" s="23">
        <f>'Balance Sheet'!W9/Financials!V13</f>
        <v>0</v>
      </c>
      <c r="Y12" s="23">
        <f>'Balance Sheet'!X9/Financials!W13</f>
        <v>0</v>
      </c>
      <c r="Z12" s="23">
        <f>'Balance Sheet'!Y9/Financials!X13</f>
        <v>0</v>
      </c>
      <c r="AA12" s="23">
        <f>'Balance Sheet'!Z9/Financials!Y13</f>
        <v>0</v>
      </c>
      <c r="AB12" s="23">
        <f>'Balance Sheet'!AA9/Financials!Z13</f>
        <v>0</v>
      </c>
      <c r="AC12" s="23">
        <f>'Balance Sheet'!AB9/Financials!AA13</f>
        <v>0</v>
      </c>
    </row>
    <row r="13" spans="1:29">
      <c r="A13" s="68"/>
      <c r="B13" s="26" t="s">
        <v>165</v>
      </c>
      <c r="C13" s="26"/>
      <c r="D13" s="21">
        <f>Financials!B31/Financials!B5</f>
        <v>0.66677008465984045</v>
      </c>
      <c r="E13" s="21">
        <f>Financials!C31/Financials!C5</f>
        <v>0.68801293346912096</v>
      </c>
      <c r="F13" s="21">
        <f>Financials!D31/Financials!D5</f>
        <v>0.69036104753464234</v>
      </c>
      <c r="G13" s="21">
        <f>Financials!E31/Financials!E5</f>
        <v>0.70075778941817179</v>
      </c>
      <c r="H13" s="21">
        <f>Financials!F31/Financials!F5</f>
        <v>0.71039815534802819</v>
      </c>
      <c r="I13" s="21">
        <f>Financials!G31/Financials!G5</f>
        <v>0.7184675277599103</v>
      </c>
      <c r="J13" s="21">
        <f>Financials!H31/Financials!H5</f>
        <v>0.72795556630152647</v>
      </c>
      <c r="K13" s="21">
        <f>Financials!I31/Financials!I5</f>
        <v>0.69877046745859339</v>
      </c>
      <c r="L13" s="21">
        <f>Financials!J31/Financials!J5</f>
        <v>0.70009697712857444</v>
      </c>
      <c r="M13" s="21">
        <f>Financials!K31/Financials!K5</f>
        <v>0.69505318103311087</v>
      </c>
      <c r="N13" s="21">
        <f>Financials!L31/Financials!L5</f>
        <v>0.64996978430477592</v>
      </c>
      <c r="O13" s="21">
        <f>Financials!M31/Financials!M5</f>
        <v>0.71603822332056155</v>
      </c>
      <c r="P13" s="21">
        <f>Financials!N31/Financials!N5</f>
        <v>0.71603822327776168</v>
      </c>
      <c r="Q13" s="21">
        <f>Financials!O31/Financials!O5</f>
        <v>0.70743007142508763</v>
      </c>
      <c r="R13" s="21">
        <f>Financials!P31/Financials!P5</f>
        <v>0.71942761836772018</v>
      </c>
      <c r="S13" s="21">
        <f>Financials!Q31/Financials!Q5</f>
        <v>0.72162018470481804</v>
      </c>
      <c r="T13" s="21">
        <f>Financials!R31/Financials!R5</f>
        <v>0.69817973579737003</v>
      </c>
      <c r="U13" s="21">
        <f>Financials!S31/Financials!S5</f>
        <v>0.71772742317019456</v>
      </c>
      <c r="V13" s="21">
        <f>Financials!T31/Financials!T5</f>
        <v>0.72417821707392427</v>
      </c>
      <c r="W13" s="21">
        <f>Financials!U31/Financials!U5</f>
        <v>0.77364822496943153</v>
      </c>
      <c r="X13" s="21">
        <f>Financials!V31/Financials!V5</f>
        <v>0.77313583666527974</v>
      </c>
      <c r="Y13" s="21">
        <f>Financials!W31/Financials!W5</f>
        <v>0.76849008452080847</v>
      </c>
      <c r="Z13" s="21">
        <f>Financials!X31/Financials!X5</f>
        <v>0.76829867038663102</v>
      </c>
      <c r="AA13" s="21">
        <f>Financials!Y31/Financials!Y5</f>
        <v>0.75772954225422384</v>
      </c>
      <c r="AB13" s="21">
        <f>Financials!Z31/Financials!Z5</f>
        <v>0.75919638962848623</v>
      </c>
      <c r="AC13" s="21">
        <f>Financials!AA31/Financials!AA5</f>
        <v>0.75681632302337309</v>
      </c>
    </row>
    <row r="14" spans="1:29">
      <c r="A14" s="68"/>
      <c r="B14" s="15" t="s">
        <v>166</v>
      </c>
      <c r="C14" s="15"/>
      <c r="D14" s="21">
        <f>'Income Stat.'!C38/Financials!B5</f>
        <v>6.4671788984802629E-3</v>
      </c>
      <c r="E14" s="21">
        <f>'Income Stat.'!D38/Financials!C5</f>
        <v>4.8538135813144152E-3</v>
      </c>
      <c r="F14" s="21">
        <f>'Income Stat.'!E38/Financials!D5</f>
        <v>7.9923198558425699E-3</v>
      </c>
      <c r="G14" s="21">
        <f>'Income Stat.'!F38/Financials!E5</f>
        <v>1.0355174166452269E-2</v>
      </c>
      <c r="H14" s="21">
        <f>'Income Stat.'!G38/Financials!F5</f>
        <v>1.2170562947824195E-2</v>
      </c>
      <c r="I14" s="21">
        <f>'Income Stat.'!H38/Financials!G5</f>
        <v>1.419471019567916E-2</v>
      </c>
      <c r="J14" s="21">
        <f>'Income Stat.'!I38/Financials!H5</f>
        <v>1.8680511724326752E-2</v>
      </c>
      <c r="K14" s="21">
        <f>'Income Stat.'!J38/Financials!I5</f>
        <v>3.1703633562560007E-2</v>
      </c>
      <c r="L14" s="21">
        <f>'Income Stat.'!K38/Financials!J5</f>
        <v>3.3281734451750256E-2</v>
      </c>
      <c r="M14" s="21">
        <f>'Income Stat.'!L38/Financials!K5</f>
        <v>3.052799178634328E-2</v>
      </c>
      <c r="N14" s="21">
        <f>'Income Stat.'!M38/Financials!L5</f>
        <v>3.367860399333663E-2</v>
      </c>
      <c r="O14" s="21">
        <f>'Income Stat.'!N38/Financials!M5</f>
        <v>3.99164616133829E-2</v>
      </c>
      <c r="P14" s="21">
        <f>'Income Stat.'!O38/Financials!N5</f>
        <v>3.9916461079821761E-2</v>
      </c>
      <c r="Q14" s="21">
        <f>'Income Stat.'!P38/Financials!O5</f>
        <v>3.1089111917494278E-3</v>
      </c>
      <c r="R14" s="21">
        <f>'Income Stat.'!Q38/Financials!P5</f>
        <v>8.8048924419794703E-3</v>
      </c>
      <c r="S14" s="21">
        <f>'Income Stat.'!R38/Financials!Q5</f>
        <v>7.0767361851302134E-3</v>
      </c>
      <c r="T14" s="21">
        <f>'Income Stat.'!S38/Financials!R5</f>
        <v>9.1110919003588777E-3</v>
      </c>
      <c r="U14" s="21">
        <f>'Income Stat.'!T38/Financials!S5</f>
        <v>2.1706057182718022E-2</v>
      </c>
      <c r="V14" s="21">
        <f>'Income Stat.'!U38/Financials!T5</f>
        <v>2.3299131327347952E-2</v>
      </c>
      <c r="W14" s="21">
        <f>'Income Stat.'!V38/Financials!U5</f>
        <v>2.5841800675296553E-2</v>
      </c>
      <c r="X14" s="21">
        <f>'Income Stat.'!W38/Financials!V5</f>
        <v>3.0765669340111199E-2</v>
      </c>
      <c r="Y14" s="21">
        <f>'Income Stat.'!X38/Financials!W5</f>
        <v>2.9230895801050791E-2</v>
      </c>
      <c r="Z14" s="21">
        <f>'Income Stat.'!Y38/Financials!X5</f>
        <v>3.0550249575857082E-2</v>
      </c>
      <c r="AA14" s="21">
        <f>'Income Stat.'!Z38/Financials!Y5</f>
        <v>3.0308498244964659E-2</v>
      </c>
      <c r="AB14" s="21">
        <f>'Income Stat.'!AA38/Financials!Z5</f>
        <v>3.8354771228383266E-2</v>
      </c>
      <c r="AC14" s="21" t="e">
        <f>'Income Stat.'!#REF!/Financials!AA5</f>
        <v>#REF!</v>
      </c>
    </row>
    <row r="15" spans="1:29">
      <c r="A15" s="68"/>
      <c r="B15" s="15" t="s">
        <v>167</v>
      </c>
      <c r="C15" s="15"/>
      <c r="D15" s="21">
        <f>'Income Stat.'!C24/('Income Stat.'!C20-'Income Stat.'!C22)</f>
        <v>0.28427311564581798</v>
      </c>
      <c r="E15" s="21">
        <f>'Income Stat.'!D24/('Income Stat.'!D20-'Income Stat.'!D22)</f>
        <v>0.48648743993323812</v>
      </c>
      <c r="F15" s="21">
        <f>'Income Stat.'!E24/('Income Stat.'!E20-'Income Stat.'!E22)</f>
        <v>0.4433395101595346</v>
      </c>
      <c r="G15" s="21">
        <f>'Income Stat.'!F24/('Income Stat.'!F20-'Income Stat.'!F22)</f>
        <v>0.44100606683679694</v>
      </c>
      <c r="H15" s="21">
        <f>'Income Stat.'!G24/('Income Stat.'!G20-'Income Stat.'!G22)</f>
        <v>0.44360333419921022</v>
      </c>
      <c r="I15" s="21">
        <f>'Income Stat.'!H24/('Income Stat.'!H20-'Income Stat.'!H22)</f>
        <v>0.4501934616412685</v>
      </c>
      <c r="J15" s="21">
        <f>'Income Stat.'!I24/('Income Stat.'!I20-'Income Stat.'!I22)</f>
        <v>0.41324728220288748</v>
      </c>
      <c r="K15" s="21">
        <f>'Income Stat.'!J24/('Income Stat.'!J20-'Income Stat.'!J22)</f>
        <v>0.30397957564036426</v>
      </c>
      <c r="L15" s="21">
        <f>'Income Stat.'!K24/('Income Stat.'!K20-'Income Stat.'!K22)</f>
        <v>0.32151583181084759</v>
      </c>
      <c r="M15" s="21">
        <f>'Income Stat.'!L24/('Income Stat.'!L20-'Income Stat.'!L22)</f>
        <v>0.3624443679360454</v>
      </c>
      <c r="N15" s="21">
        <f>'Income Stat.'!M24/('Income Stat.'!M20-'Income Stat.'!M22)</f>
        <v>0.34852298283884325</v>
      </c>
      <c r="O15" s="21">
        <f>'Income Stat.'!N24/('Income Stat.'!N20-'Income Stat.'!N22)</f>
        <v>0.37295870548793431</v>
      </c>
      <c r="P15" s="21">
        <f>'Income Stat.'!O24/('Income Stat.'!O20-'Income Stat.'!O22)</f>
        <v>0.34554248371878388</v>
      </c>
      <c r="Q15" s="21">
        <f>'Income Stat.'!P24/('Income Stat.'!P20-'Income Stat.'!P22)</f>
        <v>0.48952511164209112</v>
      </c>
      <c r="R15" s="21">
        <f>'Income Stat.'!Q24/('Income Stat.'!Q20-'Income Stat.'!Q22)</f>
        <v>0.33498646277057198</v>
      </c>
      <c r="S15" s="21">
        <f>'Income Stat.'!R24/('Income Stat.'!R20-'Income Stat.'!R22)</f>
        <v>0.45149733992951036</v>
      </c>
      <c r="T15" s="21">
        <f>'Income Stat.'!S24/('Income Stat.'!S20-'Income Stat.'!S22)</f>
        <v>0.45912865278016024</v>
      </c>
      <c r="U15" s="21">
        <f>'Income Stat.'!T24/('Income Stat.'!T20-'Income Stat.'!T22)</f>
        <v>0.29449859414725138</v>
      </c>
      <c r="V15" s="21">
        <f>'Income Stat.'!U24/('Income Stat.'!U20-'Income Stat.'!U22)</f>
        <v>0.33039632211740627</v>
      </c>
      <c r="W15" s="21">
        <f>'Income Stat.'!V24/('Income Stat.'!V20-'Income Stat.'!V22)</f>
        <v>0.34767936454693243</v>
      </c>
      <c r="X15" s="21">
        <f>'Income Stat.'!W24/('Income Stat.'!W20-'Income Stat.'!W22)</f>
        <v>0.33875662665322626</v>
      </c>
      <c r="Y15" s="21">
        <f>'Income Stat.'!X24/('Income Stat.'!X20-'Income Stat.'!X22)</f>
        <v>0.3747653061551211</v>
      </c>
      <c r="Z15" s="21">
        <f>'Income Stat.'!Y24/('Income Stat.'!Y20-'Income Stat.'!Y22)</f>
        <v>0.38805333668163589</v>
      </c>
      <c r="AA15" s="21">
        <f>'Income Stat.'!Z24/('Income Stat.'!Z20-'Income Stat.'!Z22)</f>
        <v>0.4055880548330803</v>
      </c>
      <c r="AB15" s="21">
        <f>'Income Stat.'!AA24/('Income Stat.'!AA20-'Income Stat.'!AA22)</f>
        <v>0.39524188437886132</v>
      </c>
      <c r="AC15" s="21" t="e">
        <f>'Income Stat.'!#REF!/('Income Stat.'!#REF!-'Income Stat.'!#REF!)</f>
        <v>#REF!</v>
      </c>
    </row>
    <row r="16" spans="1:29" ht="14.45" thickBot="1">
      <c r="A16" s="69"/>
      <c r="B16" s="56" t="s">
        <v>168</v>
      </c>
      <c r="C16" s="64"/>
      <c r="D16" s="61">
        <f>'Income Stat.'!C24/'Income Stat.'!C4</f>
        <v>0.26370413300248591</v>
      </c>
      <c r="E16" s="61">
        <f>'Income Stat.'!D24/'Income Stat.'!D4</f>
        <v>0.23457403332110988</v>
      </c>
      <c r="F16" s="61">
        <f>'Income Stat.'!E24/'Income Stat.'!E4</f>
        <v>0.21043712390497152</v>
      </c>
      <c r="G16" s="61">
        <f>'Income Stat.'!F24/'Income Stat.'!F4</f>
        <v>0.20389515354842691</v>
      </c>
      <c r="H16" s="61">
        <f>'Income Stat.'!G24/'Income Stat.'!G4</f>
        <v>0.19805781813331208</v>
      </c>
      <c r="I16" s="61">
        <f>'Income Stat.'!H24/'Income Stat.'!H4</f>
        <v>0.19948684410536746</v>
      </c>
      <c r="J16" s="61">
        <f>'Income Stat.'!I24/'Income Stat.'!I4</f>
        <v>0.19264325698999341</v>
      </c>
      <c r="K16" s="61">
        <f>'Income Stat.'!J24/'Income Stat.'!J4</f>
        <v>0.15235131920822598</v>
      </c>
      <c r="L16" s="61">
        <f>'Income Stat.'!K24/'Income Stat.'!K4</f>
        <v>0.15520022005474576</v>
      </c>
      <c r="M16" s="61">
        <f>'Income Stat.'!L24/'Income Stat.'!L4</f>
        <v>0.15734030029146104</v>
      </c>
      <c r="N16" s="61">
        <f>'Income Stat.'!M24/'Income Stat.'!M4</f>
        <v>0.16102868486367458</v>
      </c>
      <c r="O16" s="61">
        <f>'Income Stat.'!N24/'Income Stat.'!N4</f>
        <v>0.17286822731771342</v>
      </c>
      <c r="P16" s="61">
        <f>'Income Stat.'!O24/'Income Stat.'!O4</f>
        <v>0.15882339036534346</v>
      </c>
      <c r="Q16" s="61">
        <f>'Income Stat.'!P20/'Income Stat.'!P4</f>
        <v>0.4796763113332615</v>
      </c>
      <c r="R16" s="61">
        <f>'Income Stat.'!Q20/'Income Stat.'!Q4</f>
        <v>0.60660700555715452</v>
      </c>
      <c r="S16" s="61">
        <f>'Income Stat.'!R20/'Income Stat.'!R4</f>
        <v>0.41564367642409122</v>
      </c>
      <c r="T16" s="61">
        <f>'Income Stat.'!S20/'Income Stat.'!S4</f>
        <v>0.46124033066902553</v>
      </c>
      <c r="U16" s="61">
        <f>'Income Stat.'!T20/'Income Stat.'!T4</f>
        <v>0.50728278770902901</v>
      </c>
      <c r="V16" s="61">
        <f>'Income Stat.'!U20/'Income Stat.'!U4</f>
        <v>0.49781804693269521</v>
      </c>
      <c r="W16" s="61">
        <f>'Income Stat.'!V20/'Income Stat.'!V4</f>
        <v>0.45573915350186706</v>
      </c>
      <c r="X16" s="61">
        <f>'Income Stat.'!W20/'Income Stat.'!W4</f>
        <v>0.48606157868563626</v>
      </c>
      <c r="Y16" s="61">
        <f>'Income Stat.'!X20/'Income Stat.'!X4</f>
        <v>0.45711910760653301</v>
      </c>
      <c r="Z16" s="61">
        <f>'Income Stat.'!Y20/'Income Stat.'!Y4</f>
        <v>0.45110647953036692</v>
      </c>
      <c r="AA16" s="61">
        <f>'Income Stat.'!Z20/'Income Stat.'!Z4</f>
        <v>0.4416820063402096</v>
      </c>
      <c r="AB16" s="61">
        <f>'Income Stat.'!AA20/'Income Stat.'!AA4</f>
        <v>0.47151864151944828</v>
      </c>
      <c r="AC16" s="61" t="e">
        <f>'Income Stat.'!#REF!/'Income Stat.'!#REF!</f>
        <v>#REF!</v>
      </c>
    </row>
    <row r="17" spans="1:29">
      <c r="A17" s="67" t="s">
        <v>169</v>
      </c>
      <c r="B17" s="53" t="s">
        <v>170</v>
      </c>
      <c r="C17" s="54" t="s">
        <v>171</v>
      </c>
      <c r="D17" s="65">
        <f>'Balance Sheet'!C4/'Balance Sheet'!C27</f>
        <v>1.99814682033131</v>
      </c>
      <c r="E17" s="65">
        <f>'Balance Sheet'!D4/'Balance Sheet'!D27</f>
        <v>2.0085585218702331</v>
      </c>
      <c r="F17" s="65">
        <f>'Balance Sheet'!E4/'Balance Sheet'!E27</f>
        <v>1.8923899855750996</v>
      </c>
      <c r="G17" s="65">
        <f>'Balance Sheet'!F4/'Balance Sheet'!F27</f>
        <v>1.9372804530399976</v>
      </c>
      <c r="H17" s="65">
        <f>'Balance Sheet'!G4/'Balance Sheet'!G27</f>
        <v>1.5946695392394421</v>
      </c>
      <c r="I17" s="65">
        <f>'Balance Sheet'!H4/'Balance Sheet'!H27</f>
        <v>1.4485446729756291</v>
      </c>
      <c r="J17" s="65">
        <f>'Balance Sheet'!I4/'Balance Sheet'!I27</f>
        <v>1.3857128435555885</v>
      </c>
      <c r="K17" s="65">
        <f>'Balance Sheet'!J4/'Balance Sheet'!J27</f>
        <v>2.4492313077729362</v>
      </c>
      <c r="L17" s="65">
        <f>'Balance Sheet'!K4/'Balance Sheet'!K27</f>
        <v>2.3017559850554381</v>
      </c>
      <c r="M17" s="65">
        <f>'Balance Sheet'!L4/'Balance Sheet'!L27</f>
        <v>2.4467399324223074</v>
      </c>
      <c r="N17" s="65">
        <f>'Balance Sheet'!M4/'Balance Sheet'!M27</f>
        <v>1.135889022961168</v>
      </c>
      <c r="O17" s="65">
        <f>'Balance Sheet'!N4/'Balance Sheet'!N27</f>
        <v>1.8621998964436612</v>
      </c>
      <c r="P17" s="65">
        <f>'Balance Sheet'!O4/'Balance Sheet'!O27</f>
        <v>1.8621998950777059</v>
      </c>
      <c r="Q17" s="65">
        <f>'Balance Sheet'!P4/'Balance Sheet'!P27</f>
        <v>1.4484117099527121</v>
      </c>
      <c r="R17" s="65">
        <f>'Balance Sheet'!Q4/'Balance Sheet'!Q27</f>
        <v>1.7248332224650031</v>
      </c>
      <c r="S17" s="65">
        <f>'Balance Sheet'!R4/'Balance Sheet'!R27</f>
        <v>1.5479979780651647</v>
      </c>
      <c r="T17" s="65">
        <f>'Balance Sheet'!S4/'Balance Sheet'!S27</f>
        <v>2.2560725214433921</v>
      </c>
      <c r="U17" s="65">
        <f>'Balance Sheet'!T4/'Balance Sheet'!T27</f>
        <v>2.0544054192403483</v>
      </c>
      <c r="V17" s="65">
        <f>'Balance Sheet'!U4/'Balance Sheet'!U27</f>
        <v>2.1062691184450362</v>
      </c>
      <c r="W17" s="65">
        <f>'Balance Sheet'!V4/'Balance Sheet'!V27</f>
        <v>0.67625119616672147</v>
      </c>
      <c r="X17" s="65">
        <f>'Balance Sheet'!W4/'Balance Sheet'!W27</f>
        <v>0.65745962640483047</v>
      </c>
      <c r="Y17" s="65">
        <f>'Balance Sheet'!X4/'Balance Sheet'!X27</f>
        <v>0.97012467264732949</v>
      </c>
      <c r="Z17" s="65">
        <f>'Balance Sheet'!Y4/'Balance Sheet'!Y27</f>
        <v>0.85412148755234374</v>
      </c>
      <c r="AA17" s="65">
        <f>'Balance Sheet'!Z4/'Balance Sheet'!Z27</f>
        <v>1.3368339035633856</v>
      </c>
      <c r="AB17" s="65">
        <f>'Balance Sheet'!AA4/'Balance Sheet'!AA27</f>
        <v>1.211805152985939</v>
      </c>
      <c r="AC17" s="65">
        <f>'Balance Sheet'!AB4/'Balance Sheet'!AB27</f>
        <v>1.2175099531601332</v>
      </c>
    </row>
    <row r="18" spans="1:29" ht="14.45" thickBot="1">
      <c r="A18" s="69"/>
      <c r="B18" s="93" t="s">
        <v>172</v>
      </c>
      <c r="C18" s="94"/>
      <c r="D18" s="95">
        <f>'Balance Sheet'!C4/'Balance Sheet'!C29</f>
        <v>0.36877940624113759</v>
      </c>
      <c r="E18" s="95">
        <f>'Balance Sheet'!D4/'Balance Sheet'!D29</f>
        <v>0.26266355222110965</v>
      </c>
      <c r="F18" s="95">
        <f>'Balance Sheet'!E4/'Balance Sheet'!E29</f>
        <v>0.24929885857509773</v>
      </c>
      <c r="G18" s="95">
        <f>'Balance Sheet'!F4/'Balance Sheet'!F29</f>
        <v>0.23457597567989302</v>
      </c>
      <c r="H18" s="95">
        <f>'Balance Sheet'!G4/'Balance Sheet'!G29</f>
        <v>0.21264022760338755</v>
      </c>
      <c r="I18" s="95">
        <f>'Balance Sheet'!H4/'Balance Sheet'!H29</f>
        <v>0.19303427219019989</v>
      </c>
      <c r="J18" s="95">
        <f>'Balance Sheet'!I4/'Balance Sheet'!I29</f>
        <v>0.17560808471699593</v>
      </c>
      <c r="K18" s="95">
        <f>'Balance Sheet'!J4/'Balance Sheet'!J29</f>
        <v>0.28908650762957405</v>
      </c>
      <c r="L18" s="95">
        <f>'Balance Sheet'!K4/'Balance Sheet'!K29</f>
        <v>0.27087532629228617</v>
      </c>
      <c r="M18" s="95">
        <f>'Balance Sheet'!L4/'Balance Sheet'!L29</f>
        <v>0.28081349472281086</v>
      </c>
      <c r="N18" s="95">
        <f>'Balance Sheet'!M4/'Balance Sheet'!M29</f>
        <v>0.28746091152234832</v>
      </c>
      <c r="O18" s="95">
        <f>'Balance Sheet'!N4/'Balance Sheet'!N29</f>
        <v>0.24169511507726399</v>
      </c>
      <c r="P18" s="95">
        <f>'Balance Sheet'!O4/'Balance Sheet'!O29</f>
        <v>0.24169511505754102</v>
      </c>
      <c r="Q18" s="95">
        <f>'Balance Sheet'!P4/'Balance Sheet'!P29</f>
        <v>0.25302647390386751</v>
      </c>
      <c r="R18" s="95">
        <f>'Balance Sheet'!Q4/'Balance Sheet'!Q29</f>
        <v>0.21713036020897131</v>
      </c>
      <c r="S18" s="95">
        <f>'Balance Sheet'!R4/'Balance Sheet'!R29</f>
        <v>0.19581661907794287</v>
      </c>
      <c r="T18" s="95">
        <f>'Balance Sheet'!S4/'Balance Sheet'!S29</f>
        <v>0.27474700878838826</v>
      </c>
      <c r="U18" s="95">
        <f>'Balance Sheet'!T4/'Balance Sheet'!T29</f>
        <v>0.2504919009932331</v>
      </c>
      <c r="V18" s="95">
        <f>'Balance Sheet'!U4/'Balance Sheet'!U29</f>
        <v>0.23949646953710232</v>
      </c>
      <c r="W18" s="95">
        <f>'Balance Sheet'!V4/'Balance Sheet'!V29</f>
        <v>7.0647918340808732E-2</v>
      </c>
      <c r="X18" s="95">
        <f>'Balance Sheet'!W4/'Balance Sheet'!W29</f>
        <v>6.859725943839616E-2</v>
      </c>
      <c r="Y18" s="95">
        <f>'Balance Sheet'!X4/'Balance Sheet'!X29</f>
        <v>9.2697710066320702E-2</v>
      </c>
      <c r="Z18" s="95">
        <f>'Balance Sheet'!Y4/'Balance Sheet'!Y29</f>
        <v>9.0726137060765932E-2</v>
      </c>
      <c r="AA18" s="95">
        <f>'Balance Sheet'!Z4/'Balance Sheet'!Z29</f>
        <v>0.12856836437593458</v>
      </c>
      <c r="AB18" s="95">
        <f>'Balance Sheet'!AA4/'Balance Sheet'!AA29</f>
        <v>0.12456400154770007</v>
      </c>
      <c r="AC18" s="95">
        <f>'Balance Sheet'!AB4/'Balance Sheet'!AB29</f>
        <v>0.1251543826556602</v>
      </c>
    </row>
    <row r="19" spans="1:29">
      <c r="A19" s="17"/>
      <c r="B19" s="96" t="s">
        <v>173</v>
      </c>
      <c r="C19" s="98" t="s">
        <v>174</v>
      </c>
      <c r="D19" s="97">
        <f>'Balance Sheet'!C38/'Balance Sheet'!C26</f>
        <v>0.74531194198061701</v>
      </c>
      <c r="E19" s="97">
        <f>'Balance Sheet'!D38/'Balance Sheet'!D26</f>
        <v>0.74242907747248366</v>
      </c>
      <c r="F19" s="97">
        <f>'Balance Sheet'!E38/'Balance Sheet'!E26</f>
        <v>0.73985434977424358</v>
      </c>
      <c r="G19" s="97">
        <f>'Balance Sheet'!F38/'Balance Sheet'!F26</f>
        <v>0.73851797541875386</v>
      </c>
      <c r="H19" s="97">
        <f>'Balance Sheet'!G38/'Balance Sheet'!G26</f>
        <v>0.7402043381772887</v>
      </c>
      <c r="I19" s="97">
        <f>'Balance Sheet'!H38/'Balance Sheet'!H26</f>
        <v>0.74065859552858215</v>
      </c>
      <c r="J19" s="97">
        <f>'Balance Sheet'!I38/'Balance Sheet'!I26</f>
        <v>0.73917230584604388</v>
      </c>
      <c r="K19" s="97">
        <f>'Balance Sheet'!J38/'Balance Sheet'!J26</f>
        <v>0.74111000791319115</v>
      </c>
      <c r="L19" s="97">
        <f>'Balance Sheet'!K38/'Balance Sheet'!K26</f>
        <v>0.74023828553406401</v>
      </c>
      <c r="M19" s="97">
        <f>'Balance Sheet'!L38/'Balance Sheet'!L26</f>
        <v>0.7434032479490198</v>
      </c>
      <c r="N19" s="97">
        <f>'Balance Sheet'!M38/'Balance Sheet'!M26</f>
        <v>0.75415003338151132</v>
      </c>
      <c r="O19" s="97">
        <f>'Balance Sheet'!N38/'Balance Sheet'!N26</f>
        <v>0.738726073155758</v>
      </c>
      <c r="P19" s="97">
        <f>'Balance Sheet'!O38/'Balance Sheet'!O26</f>
        <v>0.73751106655699683</v>
      </c>
      <c r="Q19" s="97">
        <f>'Balance Sheet'!P27/'Balance Sheet'!P20</f>
        <v>1.3726440281609895</v>
      </c>
      <c r="R19" s="97">
        <f>'Balance Sheet'!Q27/'Balance Sheet'!Q20</f>
        <v>0.92763398541164788</v>
      </c>
      <c r="S19" s="97">
        <f>'Balance Sheet'!R27/'Balance Sheet'!R20</f>
        <v>0.83278465399743939</v>
      </c>
      <c r="T19" s="97">
        <f>'Balance Sheet'!S27/'Balance Sheet'!S20</f>
        <v>0.71206356888173539</v>
      </c>
      <c r="U19" s="97">
        <f>'Balance Sheet'!T27/'Balance Sheet'!T20</f>
        <v>0.70024134665499693</v>
      </c>
      <c r="V19" s="97">
        <f>'Balance Sheet'!U27/'Balance Sheet'!U20</f>
        <v>0.63893209199227796</v>
      </c>
      <c r="W19" s="97">
        <f>'Balance Sheet'!V27/'Balance Sheet'!V20</f>
        <v>0.50393846342766258</v>
      </c>
      <c r="X19" s="97">
        <f>'Balance Sheet'!W27/'Balance Sheet'!W20</f>
        <v>0.50746824886902564</v>
      </c>
      <c r="Y19" s="97">
        <f>'Balance Sheet'!X27/'Balance Sheet'!X20</f>
        <v>0.46614566187401074</v>
      </c>
      <c r="Z19" s="97">
        <f>'Balance Sheet'!Y27/'Balance Sheet'!Y20</f>
        <v>0.51846888470551944</v>
      </c>
      <c r="AA19" s="97">
        <f>'Balance Sheet'!Z27/'Balance Sheet'!Z20</f>
        <v>0.47166419237729512</v>
      </c>
      <c r="AB19" s="97">
        <f>'Balance Sheet'!AA27/'Balance Sheet'!AA20</f>
        <v>0.51842872170600063</v>
      </c>
      <c r="AC19" s="97">
        <f>'Balance Sheet'!AB27/'Balance Sheet'!AB20</f>
        <v>0.51844517752005936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SharedWithUsers xmlns="6e3db4b3-2b3b-4352-9127-36718d9c05b9">
      <UserInfo>
        <DisplayName>Masphine Abongo</DisplayName>
        <AccountId>35</AccountId>
        <AccountType/>
      </UserInfo>
      <UserInfo>
        <DisplayName>Daniel Kimoli</DisplayName>
        <AccountId>38</AccountId>
        <AccountType/>
      </UserInfo>
    </SharedWithUsers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13B2B072-37C1-4EC8-9C32-54F2A078035B}"/>
</file>

<file path=customXml/itemProps2.xml><?xml version="1.0" encoding="utf-8"?>
<ds:datastoreItem xmlns:ds="http://schemas.openxmlformats.org/officeDocument/2006/customXml" ds:itemID="{2FACD1E6-9C41-4A00-8A25-AD9FEFC26661}"/>
</file>

<file path=customXml/itemProps3.xml><?xml version="1.0" encoding="utf-8"?>
<ds:datastoreItem xmlns:ds="http://schemas.openxmlformats.org/officeDocument/2006/customXml" ds:itemID="{3D56D8F1-8BBB-4CC5-B134-9697D40A2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Daniel Kimoli</cp:lastModifiedBy>
  <cp:revision/>
  <dcterms:created xsi:type="dcterms:W3CDTF">2020-12-13T08:25:54Z</dcterms:created>
  <dcterms:modified xsi:type="dcterms:W3CDTF">2023-01-26T07:24:08Z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2021-07-29T09:04:20Z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69f7c56b-bf4a-4f54-9ba8-2e87ace400e4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
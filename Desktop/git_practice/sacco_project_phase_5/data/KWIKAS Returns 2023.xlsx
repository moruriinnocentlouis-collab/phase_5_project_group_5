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3/KWIKAS_DT- 12444/Returns/"/>
    </mc:Choice>
  </mc:AlternateContent>
  <xr:revisionPtr revIDLastSave="294" documentId="13_ncr:1_{F55F1314-9DB9-4200-AF55-248158320BD2}" xr6:coauthVersionLast="47" xr6:coauthVersionMax="47" xr10:uidLastSave="{E4A16197-4B86-402B-9E82-717FBF403E92}"/>
  <bookViews>
    <workbookView xWindow="-108" yWindow="-108" windowWidth="23256" windowHeight="12456" firstSheet="3" activeTab="2" xr2:uid="{00000000-000D-0000-FFFF-FFFF00000000}"/>
  </bookViews>
  <sheets>
    <sheet name="Chart1" sheetId="9" r:id="rId1"/>
    <sheet name="SFP" sheetId="1" r:id="rId2"/>
    <sheet name="SCI" sheetId="2" r:id="rId3"/>
    <sheet name="Financials" sheetId="3" r:id="rId4"/>
    <sheet name="FORM 4" sheetId="4" r:id="rId5"/>
    <sheet name="CAEL" sheetId="5" r:id="rId6"/>
    <sheet name="Performance Tool" sheetId="6" r:id="rId7"/>
    <sheet name="Graphical Analysis" sheetId="7" r:id="rId8"/>
    <sheet name="Sectoral Lending" sheetId="8" r:id="rId9"/>
  </sheets>
  <externalReferences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2" i="1" l="1"/>
  <c r="AZ5" i="3"/>
  <c r="BB14" i="5" s="1"/>
  <c r="AZ7" i="3"/>
  <c r="AZ8" i="3"/>
  <c r="AZ9" i="3"/>
  <c r="AZ10" i="3"/>
  <c r="AZ16" i="3"/>
  <c r="AZ18" i="3"/>
  <c r="AZ19" i="3"/>
  <c r="AZ20" i="3"/>
  <c r="AZ21" i="3"/>
  <c r="AZ15" i="3" s="1"/>
  <c r="AZ26" i="3"/>
  <c r="AZ27" i="3"/>
  <c r="AZ28" i="3"/>
  <c r="AZ29" i="3"/>
  <c r="AZ31" i="3"/>
  <c r="AZ32" i="3"/>
  <c r="AZ34" i="3"/>
  <c r="AC37" i="6" s="1"/>
  <c r="AZ35" i="3"/>
  <c r="AZ39" i="3"/>
  <c r="AZ40" i="3"/>
  <c r="AZ41" i="3"/>
  <c r="AZ42" i="3"/>
  <c r="AZ45" i="3"/>
  <c r="AZ46" i="3"/>
  <c r="AZ47" i="3"/>
  <c r="AZ48" i="3"/>
  <c r="AY5" i="3"/>
  <c r="AB30" i="6" s="1"/>
  <c r="AT7" i="3"/>
  <c r="AU7" i="3"/>
  <c r="AV7" i="3"/>
  <c r="AW7" i="3"/>
  <c r="AX7" i="3"/>
  <c r="AY7" i="3"/>
  <c r="AT8" i="3"/>
  <c r="AU8" i="3"/>
  <c r="AV8" i="3"/>
  <c r="AW8" i="3"/>
  <c r="AX8" i="3"/>
  <c r="AY8" i="3"/>
  <c r="AT9" i="3"/>
  <c r="AU9" i="3"/>
  <c r="AV9" i="3"/>
  <c r="AW9" i="3"/>
  <c r="AX9" i="3"/>
  <c r="AY9" i="3"/>
  <c r="AT10" i="3"/>
  <c r="AU10" i="3"/>
  <c r="AV10" i="3"/>
  <c r="AW10" i="3"/>
  <c r="AX10" i="3"/>
  <c r="AY10" i="3"/>
  <c r="AT16" i="3"/>
  <c r="AU16" i="3"/>
  <c r="AV16" i="3"/>
  <c r="AW16" i="3"/>
  <c r="AX16" i="3"/>
  <c r="AY16" i="3"/>
  <c r="AT18" i="3"/>
  <c r="AU18" i="3"/>
  <c r="AV18" i="3"/>
  <c r="AW18" i="3"/>
  <c r="AX18" i="3"/>
  <c r="AY18" i="3"/>
  <c r="AT19" i="3"/>
  <c r="AU19" i="3"/>
  <c r="AV19" i="3"/>
  <c r="AW19" i="3"/>
  <c r="AX19" i="3"/>
  <c r="AY19" i="3"/>
  <c r="AT20" i="3"/>
  <c r="AU20" i="3"/>
  <c r="AV20" i="3"/>
  <c r="AW20" i="3"/>
  <c r="AX20" i="3"/>
  <c r="AY20" i="3"/>
  <c r="AT21" i="3"/>
  <c r="AU21" i="3"/>
  <c r="AV21" i="3"/>
  <c r="AW21" i="3"/>
  <c r="AX21" i="3"/>
  <c r="AY21" i="3"/>
  <c r="AT26" i="3"/>
  <c r="AU26" i="3"/>
  <c r="AV26" i="3"/>
  <c r="AW26" i="3"/>
  <c r="AX26" i="3"/>
  <c r="AY26" i="3"/>
  <c r="AT27" i="3"/>
  <c r="AU27" i="3"/>
  <c r="AV27" i="3"/>
  <c r="AW27" i="3"/>
  <c r="AX27" i="3"/>
  <c r="AY27" i="3"/>
  <c r="AT28" i="3"/>
  <c r="AU28" i="3"/>
  <c r="AV28" i="3"/>
  <c r="AW28" i="3"/>
  <c r="AX28" i="3"/>
  <c r="AY28" i="3"/>
  <c r="AT29" i="3"/>
  <c r="AU29" i="3"/>
  <c r="AU25" i="3" s="1"/>
  <c r="X40" i="6" s="1"/>
  <c r="AV29" i="3"/>
  <c r="AW29" i="3"/>
  <c r="AX29" i="3"/>
  <c r="AY29" i="3"/>
  <c r="AT31" i="3"/>
  <c r="AU31" i="3"/>
  <c r="AV31" i="3"/>
  <c r="AW31" i="3"/>
  <c r="AX31" i="3"/>
  <c r="AY31" i="3"/>
  <c r="BA13" i="5" s="1"/>
  <c r="AT32" i="3"/>
  <c r="AU32" i="3"/>
  <c r="AV32" i="3"/>
  <c r="AW32" i="3"/>
  <c r="AX32" i="3"/>
  <c r="AY32" i="3"/>
  <c r="AY34" i="3"/>
  <c r="AY35" i="3"/>
  <c r="AT39" i="3"/>
  <c r="AU39" i="3"/>
  <c r="AV39" i="3"/>
  <c r="AW39" i="3"/>
  <c r="AX39" i="3"/>
  <c r="AY39" i="3"/>
  <c r="AT40" i="3"/>
  <c r="AU40" i="3"/>
  <c r="AV40" i="3"/>
  <c r="AW40" i="3"/>
  <c r="AX40" i="3"/>
  <c r="AY40" i="3"/>
  <c r="AT42" i="3"/>
  <c r="AU42" i="3"/>
  <c r="AV42" i="3"/>
  <c r="AW42" i="3"/>
  <c r="AX42" i="3"/>
  <c r="AY42" i="3"/>
  <c r="AT45" i="3"/>
  <c r="AU45" i="3"/>
  <c r="AV45" i="3"/>
  <c r="AW45" i="3"/>
  <c r="AX45" i="3"/>
  <c r="AY45" i="3"/>
  <c r="AT46" i="3"/>
  <c r="AU46" i="3"/>
  <c r="AV46" i="3"/>
  <c r="AW46" i="3"/>
  <c r="AX46" i="3"/>
  <c r="AY46" i="3"/>
  <c r="AT47" i="3"/>
  <c r="AU47" i="3"/>
  <c r="AV47" i="3"/>
  <c r="AW47" i="3"/>
  <c r="AX47" i="3"/>
  <c r="AY47" i="3"/>
  <c r="AC30" i="6"/>
  <c r="U33" i="6"/>
  <c r="V33" i="6"/>
  <c r="W33" i="6"/>
  <c r="X33" i="6"/>
  <c r="Y33" i="6"/>
  <c r="Y44" i="6" s="1"/>
  <c r="Z33" i="6"/>
  <c r="AA33" i="6"/>
  <c r="AA11" i="6" s="1"/>
  <c r="AB33" i="6"/>
  <c r="AC33" i="6"/>
  <c r="AB37" i="6"/>
  <c r="AB38" i="6"/>
  <c r="AC38" i="6"/>
  <c r="W39" i="6"/>
  <c r="X39" i="6"/>
  <c r="Y39" i="6"/>
  <c r="Z39" i="6"/>
  <c r="AA39" i="6"/>
  <c r="AB39" i="6"/>
  <c r="AC39" i="6"/>
  <c r="AB41" i="6"/>
  <c r="AC41" i="6"/>
  <c r="U42" i="6"/>
  <c r="V42" i="6"/>
  <c r="W42" i="6"/>
  <c r="X42" i="6"/>
  <c r="Y42" i="6"/>
  <c r="Z42" i="6"/>
  <c r="AA42" i="6"/>
  <c r="AB42" i="6"/>
  <c r="AC42" i="6"/>
  <c r="U43" i="6"/>
  <c r="V43" i="6"/>
  <c r="W43" i="6"/>
  <c r="X43" i="6"/>
  <c r="Y43" i="6"/>
  <c r="Z43" i="6"/>
  <c r="AA43" i="6"/>
  <c r="AB43" i="6"/>
  <c r="AC43" i="6"/>
  <c r="X44" i="6"/>
  <c r="AC45" i="6"/>
  <c r="AC46" i="6"/>
  <c r="U47" i="6"/>
  <c r="V47" i="6"/>
  <c r="W47" i="6"/>
  <c r="X47" i="6"/>
  <c r="Y47" i="6"/>
  <c r="Z47" i="6"/>
  <c r="AA47" i="6"/>
  <c r="AB47" i="6"/>
  <c r="AC47" i="6"/>
  <c r="AC28" i="6" s="1"/>
  <c r="AC48" i="6"/>
  <c r="AC19" i="6" s="1"/>
  <c r="AC49" i="6"/>
  <c r="AC16" i="6" s="1"/>
  <c r="U50" i="6"/>
  <c r="V50" i="6"/>
  <c r="W50" i="6"/>
  <c r="X50" i="6"/>
  <c r="Y50" i="6"/>
  <c r="Z50" i="6"/>
  <c r="AA50" i="6"/>
  <c r="AB50" i="6"/>
  <c r="AC50" i="6"/>
  <c r="AC17" i="6" s="1"/>
  <c r="AC51" i="6"/>
  <c r="BC3" i="5"/>
  <c r="BD3" i="5"/>
  <c r="BE3" i="5"/>
  <c r="BF3" i="5"/>
  <c r="BG3" i="5"/>
  <c r="BC4" i="5"/>
  <c r="BD4" i="5"/>
  <c r="BE4" i="5"/>
  <c r="BF4" i="5"/>
  <c r="BG4" i="5"/>
  <c r="BC5" i="5"/>
  <c r="BD5" i="5"/>
  <c r="BE5" i="5"/>
  <c r="BF5" i="5"/>
  <c r="BG5" i="5"/>
  <c r="BC6" i="5"/>
  <c r="BD6" i="5"/>
  <c r="BE6" i="5"/>
  <c r="BF6" i="5"/>
  <c r="BG6" i="5"/>
  <c r="BA9" i="5"/>
  <c r="BB9" i="5"/>
  <c r="BC9" i="5"/>
  <c r="BD9" i="5"/>
  <c r="BE9" i="5"/>
  <c r="BF9" i="5"/>
  <c r="BG9" i="5"/>
  <c r="BA10" i="5"/>
  <c r="BB10" i="5"/>
  <c r="BC10" i="5"/>
  <c r="BD10" i="5"/>
  <c r="BE10" i="5"/>
  <c r="BF10" i="5"/>
  <c r="BG10" i="5"/>
  <c r="BA11" i="5"/>
  <c r="BB11" i="5"/>
  <c r="BC11" i="5"/>
  <c r="BD11" i="5"/>
  <c r="BE11" i="5"/>
  <c r="BF11" i="5"/>
  <c r="BG11" i="5"/>
  <c r="BC12" i="5"/>
  <c r="BD12" i="5"/>
  <c r="BE12" i="5"/>
  <c r="BF12" i="5"/>
  <c r="BG12" i="5"/>
  <c r="BB13" i="5"/>
  <c r="BC13" i="5"/>
  <c r="BD13" i="5"/>
  <c r="BE13" i="5"/>
  <c r="BF13" i="5"/>
  <c r="BG13" i="5"/>
  <c r="BC14" i="5"/>
  <c r="BD14" i="5"/>
  <c r="BE14" i="5"/>
  <c r="BF14" i="5"/>
  <c r="BG14" i="5"/>
  <c r="BB15" i="5"/>
  <c r="BC15" i="5"/>
  <c r="BD15" i="5"/>
  <c r="BE15" i="5"/>
  <c r="BF15" i="5"/>
  <c r="BG15" i="5"/>
  <c r="BB16" i="5"/>
  <c r="BC16" i="5"/>
  <c r="BD16" i="5"/>
  <c r="BE16" i="5"/>
  <c r="BF16" i="5"/>
  <c r="BG16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A18" i="5"/>
  <c r="BB18" i="5"/>
  <c r="BC18" i="5"/>
  <c r="BD18" i="5"/>
  <c r="BE18" i="5"/>
  <c r="BF18" i="5"/>
  <c r="BG18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R7" i="3"/>
  <c r="AS7" i="3"/>
  <c r="AR8" i="3"/>
  <c r="AS8" i="3"/>
  <c r="AS6" i="3" s="1"/>
  <c r="V32" i="6" s="1"/>
  <c r="AR9" i="3"/>
  <c r="AS9" i="3"/>
  <c r="AR10" i="3"/>
  <c r="AS10" i="3"/>
  <c r="AR16" i="3"/>
  <c r="AS16" i="3"/>
  <c r="AR18" i="3"/>
  <c r="AS18" i="3"/>
  <c r="AR19" i="3"/>
  <c r="AS19" i="3"/>
  <c r="AR20" i="3"/>
  <c r="AS20" i="3"/>
  <c r="AR21" i="3"/>
  <c r="AS21" i="3"/>
  <c r="AR26" i="3"/>
  <c r="AS26" i="3"/>
  <c r="AR27" i="3"/>
  <c r="AS27" i="3"/>
  <c r="AR28" i="3"/>
  <c r="U39" i="6" s="1"/>
  <c r="AS28" i="3"/>
  <c r="V39" i="6" s="1"/>
  <c r="AR29" i="3"/>
  <c r="AS29" i="3"/>
  <c r="AR31" i="3"/>
  <c r="AS31" i="3"/>
  <c r="AR32" i="3"/>
  <c r="AS32" i="3"/>
  <c r="AR39" i="3"/>
  <c r="AS39" i="3"/>
  <c r="AR40" i="3"/>
  <c r="AS40" i="3"/>
  <c r="AR42" i="3"/>
  <c r="AS42" i="3"/>
  <c r="AR45" i="3"/>
  <c r="AS45" i="3"/>
  <c r="AR46" i="3"/>
  <c r="AS46" i="3"/>
  <c r="AR47" i="3"/>
  <c r="AS47" i="3"/>
  <c r="R33" i="6"/>
  <c r="S33" i="6"/>
  <c r="T33" i="6"/>
  <c r="R42" i="6"/>
  <c r="S42" i="6"/>
  <c r="T42" i="6"/>
  <c r="R43" i="6"/>
  <c r="S43" i="6"/>
  <c r="T43" i="6"/>
  <c r="S44" i="6"/>
  <c r="T44" i="6"/>
  <c r="R47" i="6"/>
  <c r="S47" i="6"/>
  <c r="T47" i="6"/>
  <c r="S50" i="6"/>
  <c r="T50" i="6"/>
  <c r="AO7" i="3"/>
  <c r="AP7" i="3"/>
  <c r="AQ7" i="3"/>
  <c r="AO8" i="3"/>
  <c r="AP8" i="3"/>
  <c r="AQ8" i="3"/>
  <c r="AO9" i="3"/>
  <c r="AP9" i="3"/>
  <c r="AQ9" i="3"/>
  <c r="AO10" i="3"/>
  <c r="AP10" i="3"/>
  <c r="AQ10" i="3"/>
  <c r="AO16" i="3"/>
  <c r="AP16" i="3"/>
  <c r="AQ16" i="3"/>
  <c r="AO18" i="3"/>
  <c r="AP18" i="3"/>
  <c r="AQ18" i="3"/>
  <c r="AO19" i="3"/>
  <c r="AP19" i="3"/>
  <c r="AQ19" i="3"/>
  <c r="AO20" i="3"/>
  <c r="AP20" i="3"/>
  <c r="AQ20" i="3"/>
  <c r="AO21" i="3"/>
  <c r="AP21" i="3"/>
  <c r="AQ21" i="3"/>
  <c r="AO26" i="3"/>
  <c r="AP26" i="3"/>
  <c r="AQ26" i="3"/>
  <c r="AO27" i="3"/>
  <c r="AP27" i="3"/>
  <c r="AQ27" i="3"/>
  <c r="AO28" i="3"/>
  <c r="R39" i="6" s="1"/>
  <c r="AP28" i="3"/>
  <c r="S39" i="6" s="1"/>
  <c r="AQ28" i="3"/>
  <c r="T39" i="6" s="1"/>
  <c r="AO29" i="3"/>
  <c r="AP29" i="3"/>
  <c r="AQ29" i="3"/>
  <c r="AO31" i="3"/>
  <c r="AP31" i="3"/>
  <c r="AQ31" i="3"/>
  <c r="AO32" i="3"/>
  <c r="AP32" i="3"/>
  <c r="AQ32" i="3"/>
  <c r="AO39" i="3"/>
  <c r="AP39" i="3"/>
  <c r="AQ39" i="3"/>
  <c r="AO40" i="3"/>
  <c r="AP40" i="3"/>
  <c r="AQ40" i="3"/>
  <c r="AO42" i="3"/>
  <c r="AP42" i="3"/>
  <c r="AQ42" i="3"/>
  <c r="AO45" i="3"/>
  <c r="AP45" i="3"/>
  <c r="AQ45" i="3"/>
  <c r="AO46" i="3"/>
  <c r="AP46" i="3"/>
  <c r="AQ46" i="3"/>
  <c r="AO47" i="3"/>
  <c r="AP47" i="3"/>
  <c r="AQ47" i="3"/>
  <c r="BA36" i="2"/>
  <c r="AP24" i="2"/>
  <c r="AQ24" i="2"/>
  <c r="AR24" i="2"/>
  <c r="AS24" i="2"/>
  <c r="AT24" i="2"/>
  <c r="AU24" i="2"/>
  <c r="AV24" i="2"/>
  <c r="AW24" i="2"/>
  <c r="AX24" i="2"/>
  <c r="AY24" i="2"/>
  <c r="AZ24" i="2"/>
  <c r="AP21" i="2"/>
  <c r="AQ21" i="2"/>
  <c r="AR21" i="2"/>
  <c r="AS21" i="2"/>
  <c r="AT21" i="2"/>
  <c r="AU21" i="2"/>
  <c r="AV21" i="2"/>
  <c r="AW21" i="2"/>
  <c r="AX21" i="2"/>
  <c r="AY21" i="2"/>
  <c r="AZ21" i="2"/>
  <c r="AP13" i="2"/>
  <c r="AP40" i="2" s="1"/>
  <c r="R50" i="6" s="1"/>
  <c r="AQ13" i="2"/>
  <c r="AR13" i="2"/>
  <c r="AS13" i="2"/>
  <c r="AT13" i="2"/>
  <c r="AU13" i="2"/>
  <c r="AV13" i="2"/>
  <c r="AW13" i="2"/>
  <c r="AX13" i="2"/>
  <c r="AY13" i="2"/>
  <c r="AZ13" i="2"/>
  <c r="AP8" i="2"/>
  <c r="AQ8" i="2"/>
  <c r="AR8" i="2"/>
  <c r="AS8" i="2"/>
  <c r="AT8" i="2"/>
  <c r="AU8" i="2"/>
  <c r="AV8" i="2"/>
  <c r="AW8" i="2"/>
  <c r="AX8" i="2"/>
  <c r="AY8" i="2"/>
  <c r="AZ8" i="2"/>
  <c r="AP5" i="2"/>
  <c r="AP4" i="2" s="1"/>
  <c r="R45" i="6" s="1"/>
  <c r="AQ5" i="2"/>
  <c r="AQ4" i="2" s="1"/>
  <c r="AR5" i="2"/>
  <c r="AR4" i="2" s="1"/>
  <c r="AS5" i="2"/>
  <c r="AT5" i="2"/>
  <c r="AU5" i="2"/>
  <c r="AV5" i="2"/>
  <c r="AW5" i="2"/>
  <c r="AX5" i="2"/>
  <c r="AX4" i="2" s="1"/>
  <c r="AY5" i="2"/>
  <c r="AY4" i="2" s="1"/>
  <c r="AZ5" i="2"/>
  <c r="AP54" i="1"/>
  <c r="AQ54" i="1"/>
  <c r="AR54" i="1"/>
  <c r="AS54" i="1"/>
  <c r="AT54" i="1"/>
  <c r="AU54" i="1"/>
  <c r="AV54" i="1"/>
  <c r="AW54" i="1"/>
  <c r="AX54" i="1"/>
  <c r="AY54" i="1"/>
  <c r="AP44" i="1"/>
  <c r="AQ44" i="1"/>
  <c r="AR44" i="1"/>
  <c r="AS44" i="1"/>
  <c r="AT44" i="1"/>
  <c r="AU44" i="1"/>
  <c r="AV44" i="1"/>
  <c r="AW44" i="1"/>
  <c r="AX44" i="1"/>
  <c r="AY44" i="1"/>
  <c r="AP41" i="1"/>
  <c r="AQ41" i="1"/>
  <c r="AQ50" i="1" s="1"/>
  <c r="AR41" i="1"/>
  <c r="AR50" i="1" s="1"/>
  <c r="AS41" i="1"/>
  <c r="AS50" i="1" s="1"/>
  <c r="AT41" i="1"/>
  <c r="AT50" i="1" s="1"/>
  <c r="AU41" i="1"/>
  <c r="AU50" i="1" s="1"/>
  <c r="AV41" i="1"/>
  <c r="AV50" i="1" s="1"/>
  <c r="AW41" i="1"/>
  <c r="AX41" i="1"/>
  <c r="AX50" i="1" s="1"/>
  <c r="AY41" i="1"/>
  <c r="AY50" i="1" s="1"/>
  <c r="AP30" i="1"/>
  <c r="AQ30" i="1"/>
  <c r="AR30" i="1"/>
  <c r="AS30" i="1"/>
  <c r="AT30" i="1"/>
  <c r="AU30" i="1"/>
  <c r="AV30" i="1"/>
  <c r="AW30" i="1"/>
  <c r="AX30" i="1"/>
  <c r="AY30" i="1"/>
  <c r="AP31" i="1"/>
  <c r="AP38" i="1" s="1"/>
  <c r="AQ31" i="1"/>
  <c r="AQ38" i="1" s="1"/>
  <c r="AR31" i="1"/>
  <c r="AS31" i="1"/>
  <c r="AT31" i="1"/>
  <c r="AU31" i="1"/>
  <c r="AV31" i="1"/>
  <c r="AW31" i="1"/>
  <c r="AX31" i="1"/>
  <c r="AY31" i="1"/>
  <c r="AP20" i="1"/>
  <c r="AQ20" i="1"/>
  <c r="AR20" i="1"/>
  <c r="AS20" i="1"/>
  <c r="AT20" i="1"/>
  <c r="AU20" i="1"/>
  <c r="AT35" i="3" s="1"/>
  <c r="W38" i="6" s="1"/>
  <c r="AV20" i="1"/>
  <c r="AU35" i="3" s="1"/>
  <c r="X38" i="6" s="1"/>
  <c r="AW20" i="1"/>
  <c r="AV35" i="3" s="1"/>
  <c r="Y38" i="6" s="1"/>
  <c r="AX20" i="1"/>
  <c r="AW35" i="3" s="1"/>
  <c r="Z38" i="6" s="1"/>
  <c r="AY20" i="1"/>
  <c r="AX35" i="3" s="1"/>
  <c r="AA38" i="6" s="1"/>
  <c r="AP16" i="1"/>
  <c r="AO34" i="3" s="1"/>
  <c r="R37" i="6" s="1"/>
  <c r="AQ16" i="1"/>
  <c r="AP34" i="3" s="1"/>
  <c r="S37" i="6" s="1"/>
  <c r="AR16" i="1"/>
  <c r="AQ34" i="3" s="1"/>
  <c r="T37" i="6" s="1"/>
  <c r="AS16" i="1"/>
  <c r="AR34" i="3" s="1"/>
  <c r="U37" i="6" s="1"/>
  <c r="AT16" i="1"/>
  <c r="AS34" i="3" s="1"/>
  <c r="V37" i="6" s="1"/>
  <c r="AU16" i="1"/>
  <c r="AT34" i="3" s="1"/>
  <c r="W37" i="6" s="1"/>
  <c r="AV16" i="1"/>
  <c r="AU34" i="3" s="1"/>
  <c r="X37" i="6" s="1"/>
  <c r="AW16" i="1"/>
  <c r="AV34" i="3" s="1"/>
  <c r="Y37" i="6" s="1"/>
  <c r="AX16" i="1"/>
  <c r="AW34" i="3" s="1"/>
  <c r="Z37" i="6" s="1"/>
  <c r="AY16" i="1"/>
  <c r="AX34" i="3" s="1"/>
  <c r="AA37" i="6" s="1"/>
  <c r="AP13" i="1"/>
  <c r="AQ13" i="1"/>
  <c r="AR13" i="1"/>
  <c r="AS13" i="1"/>
  <c r="AT13" i="1"/>
  <c r="AU13" i="1"/>
  <c r="AV13" i="1"/>
  <c r="AW13" i="1"/>
  <c r="AX13" i="1"/>
  <c r="AY13" i="1"/>
  <c r="AP8" i="1"/>
  <c r="AQ8" i="1"/>
  <c r="AR8" i="1"/>
  <c r="AS8" i="1"/>
  <c r="AT8" i="1"/>
  <c r="AU8" i="1"/>
  <c r="AV8" i="1"/>
  <c r="AW8" i="1"/>
  <c r="AX8" i="1"/>
  <c r="AY8" i="1"/>
  <c r="AP4" i="1"/>
  <c r="R41" i="6" s="1"/>
  <c r="AQ4" i="1"/>
  <c r="S41" i="6" s="1"/>
  <c r="AR4" i="1"/>
  <c r="T41" i="6" s="1"/>
  <c r="AS4" i="1"/>
  <c r="AT4" i="1"/>
  <c r="AU4" i="1"/>
  <c r="AV4" i="1"/>
  <c r="AW4" i="1"/>
  <c r="AX4" i="1"/>
  <c r="AY4" i="1"/>
  <c r="AO33" i="1"/>
  <c r="AO43" i="1"/>
  <c r="AO46" i="1"/>
  <c r="AO6" i="1"/>
  <c r="AO18" i="2"/>
  <c r="AO29" i="2"/>
  <c r="AO24" i="2"/>
  <c r="AO21" i="2"/>
  <c r="AO13" i="2"/>
  <c r="AO40" i="2" s="1"/>
  <c r="AO8" i="2"/>
  <c r="AO5" i="2"/>
  <c r="AO4" i="2"/>
  <c r="AO20" i="2" s="1"/>
  <c r="AO30" i="2" s="1"/>
  <c r="AO34" i="2" s="1"/>
  <c r="AO36" i="2" s="1"/>
  <c r="AO38" i="2" s="1"/>
  <c r="AO54" i="1"/>
  <c r="AO44" i="1"/>
  <c r="AO41" i="1"/>
  <c r="AO30" i="1"/>
  <c r="AO31" i="1"/>
  <c r="AO20" i="1"/>
  <c r="AO16" i="1"/>
  <c r="AO13" i="1"/>
  <c r="AO8" i="1"/>
  <c r="AO4" i="1"/>
  <c r="Q33" i="6"/>
  <c r="R44" i="6" s="1"/>
  <c r="Q41" i="6"/>
  <c r="Q42" i="6"/>
  <c r="Q43" i="6"/>
  <c r="Q45" i="6"/>
  <c r="Q46" i="6"/>
  <c r="Q47" i="6"/>
  <c r="Q48" i="6"/>
  <c r="Q19" i="6" s="1"/>
  <c r="Q49" i="6"/>
  <c r="Q16" i="6" s="1"/>
  <c r="Q50" i="6"/>
  <c r="AN7" i="3"/>
  <c r="AN8" i="3"/>
  <c r="AN9" i="3"/>
  <c r="AN10" i="3"/>
  <c r="AN16" i="3"/>
  <c r="AN18" i="3"/>
  <c r="AN19" i="3"/>
  <c r="AN20" i="3"/>
  <c r="AN21" i="3"/>
  <c r="AN26" i="3"/>
  <c r="AN27" i="3"/>
  <c r="AN28" i="3"/>
  <c r="Q39" i="6" s="1"/>
  <c r="AN29" i="3"/>
  <c r="AN31" i="3"/>
  <c r="AN32" i="3"/>
  <c r="AN34" i="3"/>
  <c r="Q37" i="6" s="1"/>
  <c r="AN35" i="3"/>
  <c r="Q38" i="6" s="1"/>
  <c r="AN39" i="3"/>
  <c r="AN40" i="3"/>
  <c r="AN41" i="3"/>
  <c r="AN42" i="3"/>
  <c r="AN45" i="3"/>
  <c r="AN46" i="3"/>
  <c r="AN47" i="3"/>
  <c r="AN48" i="3"/>
  <c r="D8" i="6"/>
  <c r="AI16" i="1"/>
  <c r="AC19" i="3"/>
  <c r="AD19" i="3"/>
  <c r="AE19" i="3"/>
  <c r="AF19" i="3"/>
  <c r="AG19" i="3"/>
  <c r="AB19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H19" i="3"/>
  <c r="AI19" i="3"/>
  <c r="AJ19" i="3"/>
  <c r="AK19" i="3"/>
  <c r="AL19" i="3"/>
  <c r="AM19" i="3"/>
  <c r="AA19" i="3"/>
  <c r="AA18" i="3"/>
  <c r="AB16" i="3"/>
  <c r="AC16" i="3"/>
  <c r="AD16" i="3"/>
  <c r="AE16" i="3"/>
  <c r="AF16" i="3"/>
  <c r="AG16" i="3"/>
  <c r="AH16" i="3"/>
  <c r="H18" i="4"/>
  <c r="L18" i="4"/>
  <c r="D110" i="8"/>
  <c r="C2" i="7"/>
  <c r="C3" i="7"/>
  <c r="C4" i="7"/>
  <c r="B4" i="7"/>
  <c r="B3" i="7"/>
  <c r="B2" i="7"/>
  <c r="F33" i="6"/>
  <c r="G33" i="6"/>
  <c r="G44" i="6" s="1"/>
  <c r="H33" i="6"/>
  <c r="I33" i="6"/>
  <c r="H4" i="7" s="1"/>
  <c r="J33" i="6"/>
  <c r="I4" i="7" s="1"/>
  <c r="K33" i="6"/>
  <c r="J4" i="7" s="1"/>
  <c r="L33" i="6"/>
  <c r="M33" i="6"/>
  <c r="L4" i="7" s="1"/>
  <c r="N33" i="6"/>
  <c r="N44" i="6" s="1"/>
  <c r="O33" i="6"/>
  <c r="N4" i="7" s="1"/>
  <c r="P33" i="6"/>
  <c r="F42" i="6"/>
  <c r="G42" i="6"/>
  <c r="H42" i="6"/>
  <c r="I42" i="6"/>
  <c r="J42" i="6"/>
  <c r="K42" i="6"/>
  <c r="L42" i="6"/>
  <c r="M42" i="6"/>
  <c r="N42" i="6"/>
  <c r="O42" i="6"/>
  <c r="P42" i="6"/>
  <c r="F43" i="6"/>
  <c r="G43" i="6"/>
  <c r="H43" i="6"/>
  <c r="I43" i="6"/>
  <c r="J43" i="6"/>
  <c r="K43" i="6"/>
  <c r="L43" i="6"/>
  <c r="M43" i="6"/>
  <c r="N43" i="6"/>
  <c r="O43" i="6"/>
  <c r="P43" i="6"/>
  <c r="I44" i="6"/>
  <c r="F47" i="6"/>
  <c r="G47" i="6"/>
  <c r="H47" i="6"/>
  <c r="I47" i="6"/>
  <c r="J47" i="6"/>
  <c r="K47" i="6"/>
  <c r="L47" i="6"/>
  <c r="M47" i="6"/>
  <c r="N47" i="6"/>
  <c r="O47" i="6"/>
  <c r="P47" i="6"/>
  <c r="E47" i="6"/>
  <c r="E43" i="6"/>
  <c r="E42" i="6"/>
  <c r="E33" i="6"/>
  <c r="AB49" i="6" l="1"/>
  <c r="AB16" i="6" s="1"/>
  <c r="AY41" i="3"/>
  <c r="AA49" i="6"/>
  <c r="AA16" i="6" s="1"/>
  <c r="AX41" i="3"/>
  <c r="Z49" i="6"/>
  <c r="AW41" i="3"/>
  <c r="Y49" i="6"/>
  <c r="Y16" i="6" s="1"/>
  <c r="AV41" i="3"/>
  <c r="X49" i="6"/>
  <c r="X16" i="6" s="1"/>
  <c r="AU41" i="3"/>
  <c r="W49" i="6"/>
  <c r="W16" i="6" s="1"/>
  <c r="AT41" i="3"/>
  <c r="AY25" i="3"/>
  <c r="AB40" i="6" s="1"/>
  <c r="AX25" i="3"/>
  <c r="AA40" i="6" s="1"/>
  <c r="AW25" i="3"/>
  <c r="Z40" i="6" s="1"/>
  <c r="AV25" i="3"/>
  <c r="Y40" i="6" s="1"/>
  <c r="AT25" i="3"/>
  <c r="W40" i="6" s="1"/>
  <c r="AY15" i="3"/>
  <c r="AX15" i="3"/>
  <c r="AW15" i="3"/>
  <c r="AV15" i="3"/>
  <c r="AU15" i="3"/>
  <c r="AT15" i="3"/>
  <c r="AY6" i="3"/>
  <c r="AB32" i="6" s="1"/>
  <c r="AX6" i="3"/>
  <c r="AA32" i="6" s="1"/>
  <c r="AW6" i="3"/>
  <c r="Z32" i="6" s="1"/>
  <c r="AV6" i="3"/>
  <c r="Y32" i="6" s="1"/>
  <c r="AU6" i="3"/>
  <c r="X32" i="6" s="1"/>
  <c r="AT6" i="3"/>
  <c r="W32" i="6" s="1"/>
  <c r="AZ25" i="3"/>
  <c r="AC40" i="6" s="1"/>
  <c r="AZ6" i="3"/>
  <c r="AC32" i="6" s="1"/>
  <c r="BB6" i="5"/>
  <c r="AZ13" i="3"/>
  <c r="AC22" i="6"/>
  <c r="AC13" i="6"/>
  <c r="AT13" i="3"/>
  <c r="AX13" i="3"/>
  <c r="AY13" i="3"/>
  <c r="BA6" i="5"/>
  <c r="AB27" i="6"/>
  <c r="AW13" i="3"/>
  <c r="AU13" i="3"/>
  <c r="AC31" i="6"/>
  <c r="AC18" i="6" s="1"/>
  <c r="X27" i="6"/>
  <c r="AV13" i="3"/>
  <c r="X13" i="6"/>
  <c r="AB22" i="6"/>
  <c r="W13" i="6"/>
  <c r="AB12" i="6"/>
  <c r="AA13" i="6"/>
  <c r="W27" i="6"/>
  <c r="Z13" i="6"/>
  <c r="Y13" i="6"/>
  <c r="AW50" i="1"/>
  <c r="AP11" i="5"/>
  <c r="AP18" i="5"/>
  <c r="Q51" i="6"/>
  <c r="AP15" i="5"/>
  <c r="AP16" i="5"/>
  <c r="AY26" i="1"/>
  <c r="AA41" i="6"/>
  <c r="AX26" i="1"/>
  <c r="Z41" i="6"/>
  <c r="AW26" i="1"/>
  <c r="Y41" i="6"/>
  <c r="Y21" i="6" s="1"/>
  <c r="AV26" i="1"/>
  <c r="X41" i="6"/>
  <c r="AU26" i="1"/>
  <c r="W41" i="6"/>
  <c r="AT26" i="1"/>
  <c r="V41" i="6"/>
  <c r="V21" i="6" s="1"/>
  <c r="AS26" i="1"/>
  <c r="U41" i="6"/>
  <c r="AZ9" i="5"/>
  <c r="AY9" i="5"/>
  <c r="AW9" i="5"/>
  <c r="AV9" i="5"/>
  <c r="AU9" i="5"/>
  <c r="AS35" i="3"/>
  <c r="V38" i="6" s="1"/>
  <c r="AT9" i="5"/>
  <c r="AR35" i="3"/>
  <c r="U38" i="6" s="1"/>
  <c r="AQ35" i="3"/>
  <c r="T38" i="6" s="1"/>
  <c r="AP35" i="3"/>
  <c r="S38" i="6" s="1"/>
  <c r="AO35" i="3"/>
  <c r="R38" i="6" s="1"/>
  <c r="AZ11" i="5"/>
  <c r="AZ18" i="5"/>
  <c r="AY11" i="5"/>
  <c r="AY18" i="5"/>
  <c r="AX11" i="5"/>
  <c r="AX18" i="5"/>
  <c r="AW11" i="5"/>
  <c r="AW18" i="5"/>
  <c r="AV11" i="5"/>
  <c r="AV18" i="5"/>
  <c r="AU11" i="5"/>
  <c r="AU18" i="5"/>
  <c r="AT11" i="5"/>
  <c r="AT18" i="5"/>
  <c r="AS11" i="5"/>
  <c r="AS18" i="5"/>
  <c r="AR11" i="5"/>
  <c r="AR18" i="5"/>
  <c r="AQ11" i="5"/>
  <c r="AQ18" i="5"/>
  <c r="AY20" i="2"/>
  <c r="AA45" i="6"/>
  <c r="AX20" i="2"/>
  <c r="Z45" i="6"/>
  <c r="V49" i="6"/>
  <c r="V16" i="6" s="1"/>
  <c r="AS41" i="3"/>
  <c r="U49" i="6"/>
  <c r="U16" i="6" s="1"/>
  <c r="AR41" i="3"/>
  <c r="AB48" i="6"/>
  <c r="AA48" i="6"/>
  <c r="AA19" i="6" s="1"/>
  <c r="AZ15" i="5"/>
  <c r="AZ16" i="5"/>
  <c r="Z48" i="6"/>
  <c r="Z19" i="6" s="1"/>
  <c r="AY15" i="5"/>
  <c r="AY16" i="5"/>
  <c r="Y48" i="6"/>
  <c r="X48" i="6"/>
  <c r="W48" i="6"/>
  <c r="V48" i="6"/>
  <c r="U48" i="6"/>
  <c r="T48" i="6"/>
  <c r="AS16" i="5"/>
  <c r="S48" i="6"/>
  <c r="AR16" i="5"/>
  <c r="R48" i="6"/>
  <c r="AQ16" i="5"/>
  <c r="AS25" i="3"/>
  <c r="V40" i="6" s="1"/>
  <c r="V27" i="6" s="1"/>
  <c r="AR25" i="3"/>
  <c r="U40" i="6" s="1"/>
  <c r="AS15" i="3"/>
  <c r="AR15" i="3"/>
  <c r="AR6" i="3"/>
  <c r="U32" i="6" s="1"/>
  <c r="U13" i="6" s="1"/>
  <c r="AA17" i="6"/>
  <c r="Z17" i="6"/>
  <c r="AA28" i="6"/>
  <c r="Z28" i="6"/>
  <c r="X21" i="6"/>
  <c r="AC23" i="6"/>
  <c r="AC21" i="6"/>
  <c r="AB21" i="6"/>
  <c r="AC26" i="6"/>
  <c r="AC11" i="6"/>
  <c r="AB26" i="6"/>
  <c r="AB11" i="6"/>
  <c r="AB25" i="6"/>
  <c r="Z11" i="6"/>
  <c r="Y11" i="6"/>
  <c r="Y26" i="6"/>
  <c r="X26" i="6"/>
  <c r="W11" i="6"/>
  <c r="V11" i="6"/>
  <c r="U26" i="6"/>
  <c r="U11" i="6"/>
  <c r="AB13" i="6"/>
  <c r="AA27" i="6"/>
  <c r="AC12" i="6"/>
  <c r="AB44" i="6"/>
  <c r="AC25" i="6"/>
  <c r="V13" i="6"/>
  <c r="X11" i="6"/>
  <c r="AA44" i="6"/>
  <c r="AA26" i="6"/>
  <c r="Z44" i="6"/>
  <c r="Z26" i="6"/>
  <c r="AB23" i="6"/>
  <c r="Z16" i="6"/>
  <c r="W44" i="6"/>
  <c r="W26" i="6"/>
  <c r="V44" i="6"/>
  <c r="V26" i="6"/>
  <c r="AC44" i="6"/>
  <c r="U44" i="6"/>
  <c r="O4" i="7"/>
  <c r="Q44" i="6"/>
  <c r="T21" i="6"/>
  <c r="AY38" i="1"/>
  <c r="AY51" i="1" s="1"/>
  <c r="AX38" i="1"/>
  <c r="AX51" i="1" s="1"/>
  <c r="AW38" i="1"/>
  <c r="AW51" i="1" s="1"/>
  <c r="AW52" i="1" s="1"/>
  <c r="AV38" i="1"/>
  <c r="AV51" i="1" s="1"/>
  <c r="AV52" i="1" s="1"/>
  <c r="AU38" i="1"/>
  <c r="AU51" i="1" s="1"/>
  <c r="AU52" i="1" s="1"/>
  <c r="AT38" i="1"/>
  <c r="AT51" i="1" s="1"/>
  <c r="AT52" i="1" s="1"/>
  <c r="AS38" i="1"/>
  <c r="AS51" i="1" s="1"/>
  <c r="AS52" i="1" s="1"/>
  <c r="AR38" i="1"/>
  <c r="AP50" i="1"/>
  <c r="AR20" i="2"/>
  <c r="AS15" i="5" s="1"/>
  <c r="T45" i="6"/>
  <c r="AQ20" i="2"/>
  <c r="AR15" i="5" s="1"/>
  <c r="S45" i="6"/>
  <c r="AW4" i="2"/>
  <c r="AV4" i="2"/>
  <c r="AU4" i="2"/>
  <c r="T49" i="6"/>
  <c r="T16" i="6" s="1"/>
  <c r="AQ41" i="3"/>
  <c r="S49" i="6"/>
  <c r="S16" i="6" s="1"/>
  <c r="AP41" i="3"/>
  <c r="R49" i="6"/>
  <c r="R16" i="6" s="1"/>
  <c r="AO41" i="3"/>
  <c r="R17" i="6"/>
  <c r="T19" i="6"/>
  <c r="S19" i="6"/>
  <c r="R19" i="6"/>
  <c r="AQ25" i="3"/>
  <c r="T40" i="6" s="1"/>
  <c r="AP25" i="3"/>
  <c r="S40" i="6" s="1"/>
  <c r="AO25" i="3"/>
  <c r="R40" i="6" s="1"/>
  <c r="AQ15" i="3"/>
  <c r="AP15" i="3"/>
  <c r="AO15" i="3"/>
  <c r="AQ6" i="3"/>
  <c r="T32" i="6" s="1"/>
  <c r="T13" i="6" s="1"/>
  <c r="AP6" i="3"/>
  <c r="S32" i="6" s="1"/>
  <c r="S13" i="6" s="1"/>
  <c r="AO6" i="3"/>
  <c r="R32" i="6" s="1"/>
  <c r="T17" i="6"/>
  <c r="S17" i="6"/>
  <c r="T28" i="6"/>
  <c r="S28" i="6"/>
  <c r="R28" i="6"/>
  <c r="T26" i="6"/>
  <c r="T11" i="6"/>
  <c r="S26" i="6"/>
  <c r="R26" i="6"/>
  <c r="S21" i="6"/>
  <c r="S11" i="6"/>
  <c r="R21" i="6"/>
  <c r="R11" i="6"/>
  <c r="AR51" i="1"/>
  <c r="AQ51" i="1"/>
  <c r="AP51" i="1"/>
  <c r="AR26" i="1"/>
  <c r="AQ26" i="1"/>
  <c r="AP26" i="1"/>
  <c r="Q28" i="6"/>
  <c r="Q17" i="6"/>
  <c r="AP20" i="2"/>
  <c r="AQ15" i="5" s="1"/>
  <c r="AT4" i="2"/>
  <c r="AS4" i="2"/>
  <c r="AZ4" i="2"/>
  <c r="AO50" i="1"/>
  <c r="AO26" i="1"/>
  <c r="AO38" i="1"/>
  <c r="AO51" i="1" s="1"/>
  <c r="AO52" i="1" s="1"/>
  <c r="Q21" i="6"/>
  <c r="Q11" i="6"/>
  <c r="AN25" i="3"/>
  <c r="Q40" i="6" s="1"/>
  <c r="AN15" i="3"/>
  <c r="AN6" i="3"/>
  <c r="Q32" i="6" s="1"/>
  <c r="E44" i="6"/>
  <c r="D4" i="7"/>
  <c r="H44" i="6"/>
  <c r="G4" i="7"/>
  <c r="F44" i="6"/>
  <c r="P44" i="6"/>
  <c r="E4" i="7"/>
  <c r="M44" i="6"/>
  <c r="F4" i="7"/>
  <c r="M4" i="7"/>
  <c r="K4" i="7"/>
  <c r="O44" i="6"/>
  <c r="K44" i="6"/>
  <c r="J44" i="6"/>
  <c r="L44" i="6"/>
  <c r="AQ52" i="1" l="1"/>
  <c r="AR52" i="1"/>
  <c r="AV10" i="5"/>
  <c r="AT5" i="3"/>
  <c r="AW10" i="5"/>
  <c r="AU5" i="3"/>
  <c r="AX10" i="5"/>
  <c r="AV5" i="3"/>
  <c r="AY10" i="5"/>
  <c r="AW5" i="3"/>
  <c r="AZ10" i="5"/>
  <c r="AX5" i="3"/>
  <c r="AC27" i="6"/>
  <c r="Y27" i="6"/>
  <c r="Z27" i="6"/>
  <c r="AZ14" i="3"/>
  <c r="BB5" i="5"/>
  <c r="BB12" i="5"/>
  <c r="BB4" i="5"/>
  <c r="AC34" i="6"/>
  <c r="AY12" i="5"/>
  <c r="Z34" i="6"/>
  <c r="AY5" i="5"/>
  <c r="AW14" i="3"/>
  <c r="AY4" i="5"/>
  <c r="AX5" i="5"/>
  <c r="AV14" i="3"/>
  <c r="Y34" i="6"/>
  <c r="AX4" i="5"/>
  <c r="AX12" i="5"/>
  <c r="BA5" i="5"/>
  <c r="BA4" i="5"/>
  <c r="BA12" i="5"/>
  <c r="AY14" i="3"/>
  <c r="AB34" i="6"/>
  <c r="AZ4" i="5"/>
  <c r="AZ12" i="5"/>
  <c r="AZ5" i="5"/>
  <c r="AX14" i="3"/>
  <c r="AA34" i="6"/>
  <c r="AW5" i="5"/>
  <c r="AW4" i="5"/>
  <c r="AU14" i="3"/>
  <c r="X34" i="6"/>
  <c r="AW12" i="5"/>
  <c r="AV5" i="5"/>
  <c r="AV12" i="5"/>
  <c r="AT14" i="3"/>
  <c r="W34" i="6"/>
  <c r="AV4" i="5"/>
  <c r="AX9" i="5"/>
  <c r="AN13" i="3"/>
  <c r="AN5" i="3"/>
  <c r="AP10" i="5"/>
  <c r="AP9" i="5"/>
  <c r="AZ20" i="2"/>
  <c r="AB45" i="6"/>
  <c r="BA16" i="5"/>
  <c r="AS20" i="2"/>
  <c r="U45" i="6"/>
  <c r="AT16" i="5"/>
  <c r="AT20" i="2"/>
  <c r="V45" i="6"/>
  <c r="AU16" i="5"/>
  <c r="AO5" i="3"/>
  <c r="AQ10" i="5"/>
  <c r="AQ9" i="5"/>
  <c r="AP5" i="3"/>
  <c r="AR10" i="5"/>
  <c r="AR9" i="5"/>
  <c r="AQ5" i="3"/>
  <c r="AS10" i="5"/>
  <c r="AS9" i="5"/>
  <c r="AO13" i="3"/>
  <c r="AQ6" i="5"/>
  <c r="AP13" i="3"/>
  <c r="AR6" i="5"/>
  <c r="AQ13" i="3"/>
  <c r="AS6" i="5"/>
  <c r="AU20" i="2"/>
  <c r="W45" i="6"/>
  <c r="AV16" i="5"/>
  <c r="AV20" i="2"/>
  <c r="X45" i="6"/>
  <c r="AW16" i="5"/>
  <c r="AW20" i="2"/>
  <c r="Y45" i="6"/>
  <c r="Y19" i="6" s="1"/>
  <c r="AX16" i="5"/>
  <c r="AR13" i="3"/>
  <c r="AS13" i="3"/>
  <c r="U27" i="6"/>
  <c r="U19" i="6"/>
  <c r="V19" i="6"/>
  <c r="W19" i="6"/>
  <c r="AB19" i="6"/>
  <c r="AX30" i="2"/>
  <c r="Z46" i="6"/>
  <c r="AY30" i="2"/>
  <c r="AA46" i="6"/>
  <c r="U21" i="6"/>
  <c r="AT10" i="5"/>
  <c r="AR5" i="3"/>
  <c r="AU10" i="5"/>
  <c r="AS5" i="3"/>
  <c r="W21" i="6"/>
  <c r="Z21" i="6"/>
  <c r="AA21" i="6"/>
  <c r="AP30" i="2"/>
  <c r="R46" i="6"/>
  <c r="R13" i="6"/>
  <c r="AO14" i="3"/>
  <c r="R34" i="6"/>
  <c r="AP14" i="3"/>
  <c r="S34" i="6"/>
  <c r="AQ14" i="3"/>
  <c r="T34" i="6"/>
  <c r="R27" i="6"/>
  <c r="S27" i="6"/>
  <c r="T27" i="6"/>
  <c r="AQ30" i="2"/>
  <c r="S46" i="6"/>
  <c r="AR30" i="2"/>
  <c r="T46" i="6"/>
  <c r="AN14" i="3"/>
  <c r="Q34" i="6"/>
  <c r="Q13" i="6"/>
  <c r="Q8" i="6"/>
  <c r="Q26" i="6"/>
  <c r="Q27" i="6"/>
  <c r="E11" i="6"/>
  <c r="F11" i="6"/>
  <c r="G11" i="6"/>
  <c r="H11" i="6"/>
  <c r="I11" i="6"/>
  <c r="J11" i="6"/>
  <c r="K11" i="6"/>
  <c r="L11" i="6"/>
  <c r="M11" i="6"/>
  <c r="N11" i="6"/>
  <c r="O11" i="6"/>
  <c r="P11" i="6"/>
  <c r="D44" i="6"/>
  <c r="D36" i="6"/>
  <c r="D11" i="6" s="1"/>
  <c r="D31" i="6"/>
  <c r="D18" i="6" s="1"/>
  <c r="D28" i="6"/>
  <c r="C28" i="6"/>
  <c r="D27" i="6"/>
  <c r="C27" i="6"/>
  <c r="D26" i="6"/>
  <c r="C26" i="6"/>
  <c r="D25" i="6"/>
  <c r="C25" i="6"/>
  <c r="D23" i="6"/>
  <c r="C23" i="6"/>
  <c r="D22" i="6"/>
  <c r="C22" i="6"/>
  <c r="D21" i="6"/>
  <c r="C21" i="6"/>
  <c r="D19" i="6"/>
  <c r="C19" i="6"/>
  <c r="C18" i="6"/>
  <c r="D17" i="6"/>
  <c r="C17" i="6"/>
  <c r="D16" i="6"/>
  <c r="C16" i="6"/>
  <c r="D14" i="6"/>
  <c r="C14" i="6"/>
  <c r="D13" i="6"/>
  <c r="C13" i="6"/>
  <c r="D12" i="6"/>
  <c r="C12" i="6"/>
  <c r="C11" i="6"/>
  <c r="D9" i="6"/>
  <c r="C9" i="6"/>
  <c r="D7" i="6"/>
  <c r="C7" i="6"/>
  <c r="D6" i="6"/>
  <c r="C6" i="6"/>
  <c r="AY34" i="2" l="1"/>
  <c r="AY36" i="2" s="1"/>
  <c r="AY38" i="2" s="1"/>
  <c r="AX48" i="3"/>
  <c r="AX34" i="2"/>
  <c r="AX36" i="2" s="1"/>
  <c r="AX38" i="2" s="1"/>
  <c r="AW48" i="3"/>
  <c r="AA30" i="6"/>
  <c r="AZ13" i="5"/>
  <c r="AZ6" i="5"/>
  <c r="Z30" i="6"/>
  <c r="AY13" i="5"/>
  <c r="AY6" i="5"/>
  <c r="Y30" i="6"/>
  <c r="AX13" i="5"/>
  <c r="AX6" i="5"/>
  <c r="X30" i="6"/>
  <c r="AW13" i="5"/>
  <c r="AW6" i="5"/>
  <c r="W30" i="6"/>
  <c r="AV13" i="5"/>
  <c r="AV6" i="5"/>
  <c r="AC35" i="6"/>
  <c r="AC9" i="6" s="1"/>
  <c r="BB3" i="5"/>
  <c r="AC6" i="6"/>
  <c r="AC8" i="6"/>
  <c r="AC14" i="6"/>
  <c r="AC7" i="6"/>
  <c r="AB7" i="6"/>
  <c r="AB8" i="6"/>
  <c r="AB6" i="6"/>
  <c r="AB14" i="6"/>
  <c r="AX3" i="5"/>
  <c r="Y35" i="6"/>
  <c r="Y9" i="6" s="1"/>
  <c r="AW3" i="5"/>
  <c r="X35" i="6"/>
  <c r="X9" i="6" s="1"/>
  <c r="X6" i="6"/>
  <c r="X7" i="6"/>
  <c r="X8" i="6"/>
  <c r="X14" i="6"/>
  <c r="AA8" i="6"/>
  <c r="AA6" i="6"/>
  <c r="AA7" i="6"/>
  <c r="AA14" i="6"/>
  <c r="Z35" i="6"/>
  <c r="Z9" i="6" s="1"/>
  <c r="AY3" i="5"/>
  <c r="AZ3" i="5"/>
  <c r="AA35" i="6"/>
  <c r="AA9" i="6" s="1"/>
  <c r="Y7" i="6"/>
  <c r="Y8" i="6"/>
  <c r="Y6" i="6"/>
  <c r="Y14" i="6"/>
  <c r="BA3" i="5"/>
  <c r="AB35" i="6"/>
  <c r="AB9" i="6" s="1"/>
  <c r="Z7" i="6"/>
  <c r="Z8" i="6"/>
  <c r="Z6" i="6"/>
  <c r="Z14" i="6"/>
  <c r="W8" i="6"/>
  <c r="W14" i="6"/>
  <c r="W6" i="6"/>
  <c r="W7" i="6"/>
  <c r="AV3" i="5"/>
  <c r="W35" i="6"/>
  <c r="W9" i="6" s="1"/>
  <c r="Q35" i="6"/>
  <c r="AP3" i="5"/>
  <c r="T35" i="6"/>
  <c r="AS3" i="5"/>
  <c r="S35" i="6"/>
  <c r="AR3" i="5"/>
  <c r="R35" i="6"/>
  <c r="AQ3" i="5"/>
  <c r="V30" i="6"/>
  <c r="AU13" i="5"/>
  <c r="AU6" i="5"/>
  <c r="U30" i="6"/>
  <c r="AT13" i="5"/>
  <c r="AT6" i="5"/>
  <c r="AA51" i="6"/>
  <c r="AZ14" i="5"/>
  <c r="Z51" i="6"/>
  <c r="AY14" i="5"/>
  <c r="AS14" i="3"/>
  <c r="V34" i="6"/>
  <c r="AU4" i="5"/>
  <c r="AU5" i="5"/>
  <c r="AU12" i="5"/>
  <c r="AR14" i="3"/>
  <c r="U34" i="6"/>
  <c r="AT4" i="5"/>
  <c r="AT5" i="5"/>
  <c r="AT12" i="5"/>
  <c r="Y17" i="6"/>
  <c r="Y28" i="6"/>
  <c r="AW30" i="2"/>
  <c r="Y46" i="6"/>
  <c r="AX15" i="5"/>
  <c r="X17" i="6"/>
  <c r="X28" i="6"/>
  <c r="X19" i="6"/>
  <c r="AV30" i="2"/>
  <c r="X46" i="6"/>
  <c r="AW15" i="5"/>
  <c r="W17" i="6"/>
  <c r="W28" i="6"/>
  <c r="AU30" i="2"/>
  <c r="W46" i="6"/>
  <c r="AV15" i="5"/>
  <c r="AS4" i="5"/>
  <c r="AS5" i="5"/>
  <c r="AS12" i="5"/>
  <c r="AR4" i="5"/>
  <c r="AR5" i="5"/>
  <c r="AR12" i="5"/>
  <c r="AQ4" i="5"/>
  <c r="AQ5" i="5"/>
  <c r="AQ12" i="5"/>
  <c r="T30" i="6"/>
  <c r="AS13" i="5"/>
  <c r="S30" i="6"/>
  <c r="AR13" i="5"/>
  <c r="R30" i="6"/>
  <c r="AQ13" i="5"/>
  <c r="V17" i="6"/>
  <c r="V28" i="6"/>
  <c r="AT30" i="2"/>
  <c r="V46" i="6"/>
  <c r="AU15" i="5"/>
  <c r="U17" i="6"/>
  <c r="U28" i="6"/>
  <c r="AS30" i="2"/>
  <c r="U46" i="6"/>
  <c r="AT15" i="5"/>
  <c r="AB17" i="6"/>
  <c r="AB28" i="6"/>
  <c r="AZ30" i="2"/>
  <c r="AB46" i="6"/>
  <c r="BA15" i="5"/>
  <c r="Q30" i="6"/>
  <c r="AP13" i="5"/>
  <c r="AP14" i="5"/>
  <c r="AP6" i="5"/>
  <c r="AP4" i="5"/>
  <c r="AP5" i="5"/>
  <c r="AP12" i="5"/>
  <c r="AR34" i="2"/>
  <c r="AR36" i="2" s="1"/>
  <c r="AR38" i="2" s="1"/>
  <c r="AQ48" i="3"/>
  <c r="AQ34" i="2"/>
  <c r="AQ36" i="2" s="1"/>
  <c r="AQ38" i="2" s="1"/>
  <c r="AP48" i="3"/>
  <c r="T8" i="6"/>
  <c r="T7" i="6"/>
  <c r="T6" i="6"/>
  <c r="T14" i="6"/>
  <c r="S6" i="6"/>
  <c r="S8" i="6"/>
  <c r="S14" i="6"/>
  <c r="S7" i="6"/>
  <c r="R6" i="6"/>
  <c r="R14" i="6"/>
  <c r="R7" i="6"/>
  <c r="R8" i="6"/>
  <c r="AP34" i="2"/>
  <c r="AP36" i="2" s="1"/>
  <c r="AP38" i="2" s="1"/>
  <c r="AO48" i="3"/>
  <c r="Q14" i="6"/>
  <c r="Q6" i="6"/>
  <c r="Q7" i="6"/>
  <c r="T16" i="4"/>
  <c r="S16" i="4"/>
  <c r="V15" i="4"/>
  <c r="V14" i="4"/>
  <c r="V13" i="4"/>
  <c r="V12" i="4"/>
  <c r="V11" i="4"/>
  <c r="V16" i="4" s="1"/>
  <c r="T9" i="4"/>
  <c r="T17" i="4" s="1"/>
  <c r="S9" i="4"/>
  <c r="S17" i="4" s="1"/>
  <c r="V8" i="4"/>
  <c r="V7" i="4"/>
  <c r="V6" i="4"/>
  <c r="V5" i="4"/>
  <c r="V4" i="4"/>
  <c r="V9" i="4" s="1"/>
  <c r="V17" i="4" s="1"/>
  <c r="P16" i="4"/>
  <c r="O16" i="4"/>
  <c r="R15" i="4"/>
  <c r="R14" i="4"/>
  <c r="R13" i="4"/>
  <c r="R12" i="4"/>
  <c r="R11" i="4"/>
  <c r="P9" i="4"/>
  <c r="P17" i="4" s="1"/>
  <c r="O9" i="4"/>
  <c r="O17" i="4" s="1"/>
  <c r="R8" i="4"/>
  <c r="R7" i="4"/>
  <c r="R6" i="4"/>
  <c r="R5" i="4"/>
  <c r="R4" i="4"/>
  <c r="L16" i="4"/>
  <c r="K16" i="4"/>
  <c r="N15" i="4"/>
  <c r="N14" i="4"/>
  <c r="N13" i="4"/>
  <c r="N12" i="4"/>
  <c r="N11" i="4"/>
  <c r="N16" i="4" s="1"/>
  <c r="L9" i="4"/>
  <c r="L17" i="4" s="1"/>
  <c r="L19" i="4" s="1"/>
  <c r="K9" i="4"/>
  <c r="K17" i="4" s="1"/>
  <c r="N8" i="4"/>
  <c r="N7" i="4"/>
  <c r="N6" i="4"/>
  <c r="N5" i="4"/>
  <c r="N4" i="4"/>
  <c r="H16" i="4"/>
  <c r="G16" i="4"/>
  <c r="J15" i="4"/>
  <c r="J14" i="4"/>
  <c r="J13" i="4"/>
  <c r="J12" i="4"/>
  <c r="J11" i="4"/>
  <c r="J16" i="4" s="1"/>
  <c r="H9" i="4"/>
  <c r="G9" i="4"/>
  <c r="G17" i="4" s="1"/>
  <c r="J8" i="4"/>
  <c r="J7" i="4"/>
  <c r="J6" i="4"/>
  <c r="J5" i="4"/>
  <c r="J4" i="4"/>
  <c r="AB7" i="3"/>
  <c r="AC7" i="3"/>
  <c r="AD7" i="3"/>
  <c r="AE7" i="3"/>
  <c r="AF7" i="3"/>
  <c r="AG7" i="3"/>
  <c r="AH7" i="3"/>
  <c r="AI7" i="3"/>
  <c r="AJ7" i="3"/>
  <c r="AK7" i="3"/>
  <c r="AL7" i="3"/>
  <c r="AM7" i="3"/>
  <c r="AB8" i="3"/>
  <c r="AC8" i="3"/>
  <c r="AD8" i="3"/>
  <c r="AE8" i="3"/>
  <c r="AF8" i="3"/>
  <c r="AF6" i="3" s="1"/>
  <c r="I32" i="6" s="1"/>
  <c r="AG8" i="3"/>
  <c r="AH8" i="3"/>
  <c r="AI8" i="3"/>
  <c r="AJ8" i="3"/>
  <c r="AK8" i="3"/>
  <c r="AL8" i="3"/>
  <c r="AM8" i="3"/>
  <c r="AB9" i="3"/>
  <c r="AC9" i="3"/>
  <c r="AD9" i="3"/>
  <c r="AE9" i="3"/>
  <c r="AF9" i="3"/>
  <c r="AG9" i="3"/>
  <c r="AH9" i="3"/>
  <c r="AI9" i="3"/>
  <c r="AJ9" i="3"/>
  <c r="AK9" i="3"/>
  <c r="AL9" i="3"/>
  <c r="AM9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I16" i="3"/>
  <c r="AJ16" i="3"/>
  <c r="AK16" i="3"/>
  <c r="AL16" i="3"/>
  <c r="AM16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B28" i="3"/>
  <c r="E39" i="6" s="1"/>
  <c r="AC28" i="3"/>
  <c r="F39" i="6" s="1"/>
  <c r="AD28" i="3"/>
  <c r="G39" i="6" s="1"/>
  <c r="AE28" i="3"/>
  <c r="H39" i="6" s="1"/>
  <c r="AF28" i="3"/>
  <c r="I39" i="6" s="1"/>
  <c r="I13" i="6" s="1"/>
  <c r="AG28" i="3"/>
  <c r="J39" i="6" s="1"/>
  <c r="AH28" i="3"/>
  <c r="K39" i="6" s="1"/>
  <c r="AI28" i="3"/>
  <c r="L39" i="6" s="1"/>
  <c r="AJ28" i="3"/>
  <c r="M39" i="6" s="1"/>
  <c r="AK28" i="3"/>
  <c r="N39" i="6" s="1"/>
  <c r="AL28" i="3"/>
  <c r="O39" i="6" s="1"/>
  <c r="AM28" i="3"/>
  <c r="P39" i="6" s="1"/>
  <c r="AB29" i="3"/>
  <c r="AC29" i="3"/>
  <c r="AD29" i="3"/>
  <c r="AE29" i="3"/>
  <c r="AF29" i="3"/>
  <c r="AF25" i="3" s="1"/>
  <c r="I40" i="6" s="1"/>
  <c r="I27" i="6" s="1"/>
  <c r="AG29" i="3"/>
  <c r="AH29" i="3"/>
  <c r="AI29" i="3"/>
  <c r="AJ29" i="3"/>
  <c r="AK29" i="3"/>
  <c r="AL29" i="3"/>
  <c r="AM29" i="3"/>
  <c r="AM25" i="3" s="1"/>
  <c r="P40" i="6" s="1"/>
  <c r="AB31" i="3"/>
  <c r="AC31" i="3"/>
  <c r="AD31" i="3"/>
  <c r="AE31" i="3"/>
  <c r="AF31" i="3"/>
  <c r="AG31" i="3"/>
  <c r="AH31" i="3"/>
  <c r="AI31" i="3"/>
  <c r="AJ31" i="3"/>
  <c r="AK31" i="3"/>
  <c r="AL31" i="3"/>
  <c r="AM31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C24" i="2"/>
  <c r="AD24" i="2"/>
  <c r="AE24" i="2"/>
  <c r="AF24" i="2"/>
  <c r="AG24" i="2"/>
  <c r="AH24" i="2"/>
  <c r="AI24" i="2"/>
  <c r="AJ24" i="2"/>
  <c r="AK24" i="2"/>
  <c r="AL24" i="2"/>
  <c r="AM24" i="2"/>
  <c r="AN24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C13" i="2"/>
  <c r="AD13" i="2"/>
  <c r="AE13" i="2"/>
  <c r="AE40" i="2" s="1"/>
  <c r="G50" i="6" s="1"/>
  <c r="AF13" i="2"/>
  <c r="AF40" i="2" s="1"/>
  <c r="H50" i="6" s="1"/>
  <c r="AG13" i="2"/>
  <c r="AH13" i="2"/>
  <c r="AI13" i="2"/>
  <c r="AJ13" i="2"/>
  <c r="AJ40" i="2" s="1"/>
  <c r="L50" i="6" s="1"/>
  <c r="AK13" i="2"/>
  <c r="AL13" i="2"/>
  <c r="AM13" i="2"/>
  <c r="AN13" i="2"/>
  <c r="AC8" i="2"/>
  <c r="AD8" i="2"/>
  <c r="AE8" i="2"/>
  <c r="AF8" i="2"/>
  <c r="AG8" i="2"/>
  <c r="AH8" i="2"/>
  <c r="J49" i="6" s="1"/>
  <c r="J16" i="6" s="1"/>
  <c r="AI8" i="2"/>
  <c r="K49" i="6" s="1"/>
  <c r="K16" i="6" s="1"/>
  <c r="AJ8" i="2"/>
  <c r="AK8" i="2"/>
  <c r="M49" i="6" s="1"/>
  <c r="M16" i="6" s="1"/>
  <c r="AL8" i="2"/>
  <c r="AM8" i="2"/>
  <c r="AN8" i="2"/>
  <c r="AC5" i="2"/>
  <c r="AD5" i="2"/>
  <c r="AD4" i="2" s="1"/>
  <c r="AE5" i="2"/>
  <c r="AF5" i="2"/>
  <c r="AF4" i="2" s="1"/>
  <c r="H45" i="6" s="1"/>
  <c r="H28" i="6" s="1"/>
  <c r="AG5" i="2"/>
  <c r="AH5" i="2"/>
  <c r="AH4" i="2" s="1"/>
  <c r="J45" i="6" s="1"/>
  <c r="AI5" i="2"/>
  <c r="AJ5" i="2"/>
  <c r="AK5" i="2"/>
  <c r="AL5" i="2"/>
  <c r="AM5" i="2"/>
  <c r="AM4" i="2" s="1"/>
  <c r="AN5" i="2"/>
  <c r="AN4" i="2" s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C41" i="1"/>
  <c r="AD41" i="1"/>
  <c r="AE41" i="1"/>
  <c r="AF41" i="1"/>
  <c r="AG41" i="1"/>
  <c r="AG50" i="1" s="1"/>
  <c r="AH41" i="1"/>
  <c r="AI41" i="1"/>
  <c r="AJ41" i="1"/>
  <c r="AJ50" i="1" s="1"/>
  <c r="AK41" i="1"/>
  <c r="AK50" i="1" s="1"/>
  <c r="AL41" i="1"/>
  <c r="AM41" i="1"/>
  <c r="AM50" i="1" s="1"/>
  <c r="AN41" i="1"/>
  <c r="AN50" i="1" s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C16" i="1"/>
  <c r="AB34" i="3" s="1"/>
  <c r="E37" i="6" s="1"/>
  <c r="AD16" i="1"/>
  <c r="AE16" i="1"/>
  <c r="AF16" i="1"/>
  <c r="AE34" i="3" s="1"/>
  <c r="H37" i="6" s="1"/>
  <c r="AG16" i="1"/>
  <c r="AH16" i="1"/>
  <c r="AJ16" i="1"/>
  <c r="AI34" i="3" s="1"/>
  <c r="L37" i="6" s="1"/>
  <c r="AK16" i="1"/>
  <c r="AJ34" i="3" s="1"/>
  <c r="M37" i="6" s="1"/>
  <c r="AL16" i="1"/>
  <c r="AK34" i="3" s="1"/>
  <c r="N37" i="6" s="1"/>
  <c r="AM16" i="1"/>
  <c r="AL34" i="3" s="1"/>
  <c r="O37" i="6" s="1"/>
  <c r="AN16" i="1"/>
  <c r="AM34" i="3" s="1"/>
  <c r="P37" i="6" s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C8" i="1"/>
  <c r="AD8" i="1"/>
  <c r="AE8" i="1"/>
  <c r="AF8" i="1"/>
  <c r="AG8" i="1"/>
  <c r="AH8" i="1"/>
  <c r="AI8" i="1"/>
  <c r="AJ8" i="1"/>
  <c r="AK8" i="1"/>
  <c r="AL8" i="1"/>
  <c r="AM8" i="1"/>
  <c r="AN8" i="1"/>
  <c r="AC4" i="1"/>
  <c r="E41" i="6" s="1"/>
  <c r="AD4" i="1"/>
  <c r="F41" i="6" s="1"/>
  <c r="AE4" i="1"/>
  <c r="G41" i="6" s="1"/>
  <c r="AF4" i="1"/>
  <c r="H41" i="6" s="1"/>
  <c r="AG4" i="1"/>
  <c r="AH4" i="1"/>
  <c r="J41" i="6" s="1"/>
  <c r="AI4" i="1"/>
  <c r="K41" i="6" s="1"/>
  <c r="AJ4" i="1"/>
  <c r="L41" i="6" s="1"/>
  <c r="AK4" i="1"/>
  <c r="M41" i="6" s="1"/>
  <c r="AL4" i="1"/>
  <c r="N41" i="6" s="1"/>
  <c r="AM4" i="1"/>
  <c r="AN4" i="1"/>
  <c r="AN26" i="1" s="1"/>
  <c r="AO10" i="5" s="1"/>
  <c r="P54" i="1"/>
  <c r="Q54" i="1"/>
  <c r="R54" i="1"/>
  <c r="S54" i="1"/>
  <c r="T54" i="1"/>
  <c r="U54" i="1"/>
  <c r="V54" i="1"/>
  <c r="W54" i="1"/>
  <c r="X54" i="1"/>
  <c r="Y54" i="1"/>
  <c r="Z54" i="1"/>
  <c r="AA54" i="1"/>
  <c r="O54" i="1"/>
  <c r="AB36" i="1"/>
  <c r="AB33" i="1"/>
  <c r="AB54" i="1" s="1"/>
  <c r="AB30" i="1"/>
  <c r="AB31" i="1"/>
  <c r="AB38" i="1"/>
  <c r="V7" i="3"/>
  <c r="W7" i="3"/>
  <c r="X7" i="3"/>
  <c r="Y7" i="3"/>
  <c r="Z7" i="3"/>
  <c r="AA7" i="3"/>
  <c r="V8" i="3"/>
  <c r="W8" i="3"/>
  <c r="X8" i="3"/>
  <c r="Y8" i="3"/>
  <c r="Z8" i="3"/>
  <c r="AA8" i="3"/>
  <c r="V9" i="3"/>
  <c r="W9" i="3"/>
  <c r="X9" i="3"/>
  <c r="Y9" i="3"/>
  <c r="Z9" i="3"/>
  <c r="AA9" i="3"/>
  <c r="V10" i="3"/>
  <c r="W10" i="3"/>
  <c r="X10" i="3"/>
  <c r="Y10" i="3"/>
  <c r="Z10" i="3"/>
  <c r="AA10" i="3"/>
  <c r="V16" i="3"/>
  <c r="W16" i="3"/>
  <c r="X16" i="3"/>
  <c r="Y16" i="3"/>
  <c r="Z16" i="3"/>
  <c r="AA16" i="3"/>
  <c r="V20" i="3"/>
  <c r="W20" i="3"/>
  <c r="X20" i="3"/>
  <c r="Y20" i="3"/>
  <c r="Z20" i="3"/>
  <c r="AA20" i="3"/>
  <c r="V21" i="3"/>
  <c r="W21" i="3"/>
  <c r="X21" i="3"/>
  <c r="Y21" i="3"/>
  <c r="Z21" i="3"/>
  <c r="AA21" i="3"/>
  <c r="V26" i="3"/>
  <c r="W26" i="3"/>
  <c r="X26" i="3"/>
  <c r="Y26" i="3"/>
  <c r="Z26" i="3"/>
  <c r="AA26" i="3"/>
  <c r="V27" i="3"/>
  <c r="W27" i="3"/>
  <c r="X27" i="3"/>
  <c r="Y27" i="3"/>
  <c r="Z27" i="3"/>
  <c r="AA27" i="3"/>
  <c r="V28" i="3"/>
  <c r="W28" i="3"/>
  <c r="X28" i="3"/>
  <c r="Y28" i="3"/>
  <c r="Z28" i="3"/>
  <c r="AA28" i="3"/>
  <c r="V29" i="3"/>
  <c r="W29" i="3"/>
  <c r="X29" i="3"/>
  <c r="Y29" i="3"/>
  <c r="Z29" i="3"/>
  <c r="AA29" i="3"/>
  <c r="V31" i="3"/>
  <c r="W31" i="3"/>
  <c r="X31" i="3"/>
  <c r="Y31" i="3"/>
  <c r="Z31" i="3"/>
  <c r="AA31" i="3"/>
  <c r="V32" i="3"/>
  <c r="W32" i="3"/>
  <c r="X32" i="3"/>
  <c r="Y32" i="3"/>
  <c r="Z32" i="3"/>
  <c r="AA32" i="3"/>
  <c r="V39" i="3"/>
  <c r="W39" i="3"/>
  <c r="X39" i="3"/>
  <c r="Y39" i="3"/>
  <c r="Z39" i="3"/>
  <c r="AA39" i="3"/>
  <c r="V40" i="3"/>
  <c r="W40" i="3"/>
  <c r="X40" i="3"/>
  <c r="Y40" i="3"/>
  <c r="Z40" i="3"/>
  <c r="AA40" i="3"/>
  <c r="V42" i="3"/>
  <c r="W42" i="3"/>
  <c r="X42" i="3"/>
  <c r="Y42" i="3"/>
  <c r="Z42" i="3"/>
  <c r="AA42" i="3"/>
  <c r="V45" i="3"/>
  <c r="W45" i="3"/>
  <c r="X45" i="3"/>
  <c r="Y45" i="3"/>
  <c r="Z45" i="3"/>
  <c r="AA45" i="3"/>
  <c r="V46" i="3"/>
  <c r="W46" i="3"/>
  <c r="X46" i="3"/>
  <c r="Y46" i="3"/>
  <c r="Z46" i="3"/>
  <c r="AA46" i="3"/>
  <c r="V47" i="3"/>
  <c r="W47" i="3"/>
  <c r="X47" i="3"/>
  <c r="Y47" i="3"/>
  <c r="Z47" i="3"/>
  <c r="AA47" i="3"/>
  <c r="X24" i="2"/>
  <c r="Y24" i="2"/>
  <c r="Z24" i="2"/>
  <c r="AA24" i="2"/>
  <c r="AB24" i="2"/>
  <c r="X21" i="2"/>
  <c r="Y21" i="2"/>
  <c r="Z21" i="2"/>
  <c r="AA21" i="2"/>
  <c r="AB21" i="2"/>
  <c r="X13" i="2"/>
  <c r="Y13" i="2"/>
  <c r="Z13" i="2"/>
  <c r="AA13" i="2"/>
  <c r="AB13" i="2"/>
  <c r="X8" i="2"/>
  <c r="W41" i="3" s="1"/>
  <c r="Y8" i="2"/>
  <c r="X41" i="3" s="1"/>
  <c r="Z8" i="2"/>
  <c r="Y41" i="3" s="1"/>
  <c r="AA8" i="2"/>
  <c r="Z41" i="3" s="1"/>
  <c r="AB8" i="2"/>
  <c r="AA41" i="3" s="1"/>
  <c r="X5" i="2"/>
  <c r="X4" i="2" s="1"/>
  <c r="X20" i="2" s="1"/>
  <c r="X30" i="2" s="1"/>
  <c r="Y5" i="2"/>
  <c r="Y4" i="2" s="1"/>
  <c r="Y20" i="2" s="1"/>
  <c r="Y30" i="2" s="1"/>
  <c r="Z5" i="2"/>
  <c r="Z4" i="2" s="1"/>
  <c r="Z20" i="2" s="1"/>
  <c r="Z30" i="2" s="1"/>
  <c r="AA5" i="2"/>
  <c r="AA4" i="2" s="1"/>
  <c r="AA20" i="2" s="1"/>
  <c r="AA30" i="2" s="1"/>
  <c r="AB5" i="2"/>
  <c r="AB4" i="2" s="1"/>
  <c r="AB20" i="2" s="1"/>
  <c r="AB30" i="2" s="1"/>
  <c r="X44" i="1"/>
  <c r="Y44" i="1"/>
  <c r="Z44" i="1"/>
  <c r="AA44" i="1"/>
  <c r="AB44" i="1"/>
  <c r="X41" i="1"/>
  <c r="Y41" i="1"/>
  <c r="Z41" i="1"/>
  <c r="AA41" i="1"/>
  <c r="AB41" i="1"/>
  <c r="AB50" i="1" s="1"/>
  <c r="X30" i="1"/>
  <c r="Y30" i="1"/>
  <c r="Z30" i="1"/>
  <c r="AA30" i="1"/>
  <c r="X31" i="1"/>
  <c r="Y31" i="1"/>
  <c r="Z31" i="1"/>
  <c r="AA31" i="1"/>
  <c r="X20" i="1"/>
  <c r="Y20" i="1"/>
  <c r="Z20" i="1"/>
  <c r="AA20" i="1"/>
  <c r="AB20" i="1"/>
  <c r="X16" i="1"/>
  <c r="W34" i="3" s="1"/>
  <c r="Y16" i="1"/>
  <c r="X34" i="3" s="1"/>
  <c r="Z16" i="1"/>
  <c r="Y34" i="3" s="1"/>
  <c r="AA16" i="1"/>
  <c r="Z34" i="3" s="1"/>
  <c r="AB16" i="1"/>
  <c r="AA34" i="3" s="1"/>
  <c r="X13" i="1"/>
  <c r="Y13" i="1"/>
  <c r="Z13" i="1"/>
  <c r="AA13" i="1"/>
  <c r="AB13" i="1"/>
  <c r="X8" i="1"/>
  <c r="Y8" i="1"/>
  <c r="Z8" i="1"/>
  <c r="AA8" i="1"/>
  <c r="AB8" i="1"/>
  <c r="X4" i="1"/>
  <c r="X26" i="1" s="1"/>
  <c r="Y4" i="1"/>
  <c r="Y26" i="1" s="1"/>
  <c r="Z4" i="1"/>
  <c r="Z26" i="1" s="1"/>
  <c r="AA4" i="1"/>
  <c r="AA26" i="1" s="1"/>
  <c r="AB4" i="1"/>
  <c r="AB26" i="1" s="1"/>
  <c r="N30" i="2"/>
  <c r="N34" i="2" s="1"/>
  <c r="P24" i="2"/>
  <c r="Q24" i="2"/>
  <c r="R24" i="2"/>
  <c r="S24" i="2"/>
  <c r="T24" i="2"/>
  <c r="U24" i="2"/>
  <c r="V24" i="2"/>
  <c r="W24" i="2"/>
  <c r="O24" i="2"/>
  <c r="P21" i="2"/>
  <c r="Q21" i="2"/>
  <c r="R21" i="2"/>
  <c r="S21" i="2"/>
  <c r="T21" i="2"/>
  <c r="U21" i="2"/>
  <c r="V21" i="2"/>
  <c r="W21" i="2"/>
  <c r="P13" i="2"/>
  <c r="Q13" i="2"/>
  <c r="R13" i="2"/>
  <c r="S13" i="2"/>
  <c r="T13" i="2"/>
  <c r="U13" i="2"/>
  <c r="V13" i="2"/>
  <c r="W13" i="2"/>
  <c r="O13" i="2"/>
  <c r="P8" i="2"/>
  <c r="Q8" i="2"/>
  <c r="R8" i="2"/>
  <c r="S8" i="2"/>
  <c r="T8" i="2"/>
  <c r="U8" i="2"/>
  <c r="V8" i="2"/>
  <c r="W8" i="2"/>
  <c r="V41" i="3" s="1"/>
  <c r="O8" i="2"/>
  <c r="E5" i="2"/>
  <c r="F5" i="2"/>
  <c r="G5" i="2"/>
  <c r="H5" i="2"/>
  <c r="I5" i="2"/>
  <c r="J5" i="2"/>
  <c r="K5" i="2"/>
  <c r="L5" i="2"/>
  <c r="M5" i="2"/>
  <c r="N5" i="2"/>
  <c r="O5" i="2"/>
  <c r="P5" i="2"/>
  <c r="P4" i="2" s="1"/>
  <c r="P20" i="2" s="1"/>
  <c r="P30" i="2" s="1"/>
  <c r="P34" i="2" s="1"/>
  <c r="P36" i="2" s="1"/>
  <c r="P38" i="2" s="1"/>
  <c r="Q5" i="2"/>
  <c r="Q4" i="2" s="1"/>
  <c r="Q20" i="2" s="1"/>
  <c r="Q30" i="2" s="1"/>
  <c r="Q34" i="2" s="1"/>
  <c r="Q36" i="2" s="1"/>
  <c r="Q38" i="2" s="1"/>
  <c r="R5" i="2"/>
  <c r="R4" i="2" s="1"/>
  <c r="R20" i="2" s="1"/>
  <c r="R30" i="2" s="1"/>
  <c r="R34" i="2" s="1"/>
  <c r="R36" i="2" s="1"/>
  <c r="R38" i="2" s="1"/>
  <c r="S5" i="2"/>
  <c r="S4" i="2" s="1"/>
  <c r="S20" i="2" s="1"/>
  <c r="S30" i="2" s="1"/>
  <c r="S34" i="2" s="1"/>
  <c r="S36" i="2" s="1"/>
  <c r="S38" i="2" s="1"/>
  <c r="T5" i="2"/>
  <c r="T4" i="2" s="1"/>
  <c r="T20" i="2" s="1"/>
  <c r="T30" i="2" s="1"/>
  <c r="T34" i="2" s="1"/>
  <c r="T36" i="2" s="1"/>
  <c r="T38" i="2" s="1"/>
  <c r="U5" i="2"/>
  <c r="U4" i="2" s="1"/>
  <c r="U20" i="2" s="1"/>
  <c r="U30" i="2" s="1"/>
  <c r="U34" i="2" s="1"/>
  <c r="U36" i="2" s="1"/>
  <c r="U38" i="2" s="1"/>
  <c r="V5" i="2"/>
  <c r="V4" i="2" s="1"/>
  <c r="V20" i="2" s="1"/>
  <c r="V30" i="2" s="1"/>
  <c r="V34" i="2" s="1"/>
  <c r="V36" i="2" s="1"/>
  <c r="V38" i="2" s="1"/>
  <c r="W5" i="2"/>
  <c r="W4" i="2" s="1"/>
  <c r="W20" i="2" s="1"/>
  <c r="W30" i="2" s="1"/>
  <c r="D5" i="2"/>
  <c r="P44" i="1"/>
  <c r="Q44" i="1"/>
  <c r="R44" i="1"/>
  <c r="O44" i="1"/>
  <c r="P31" i="1"/>
  <c r="Q31" i="1"/>
  <c r="R31" i="1"/>
  <c r="S31" i="1"/>
  <c r="O31" i="1"/>
  <c r="S44" i="1"/>
  <c r="T44" i="1"/>
  <c r="U44" i="1"/>
  <c r="V44" i="1"/>
  <c r="W44" i="1"/>
  <c r="S41" i="1"/>
  <c r="T41" i="1"/>
  <c r="U41" i="1"/>
  <c r="V41" i="1"/>
  <c r="W41" i="1"/>
  <c r="W30" i="1"/>
  <c r="S30" i="1"/>
  <c r="T30" i="1"/>
  <c r="U30" i="1"/>
  <c r="V30" i="1"/>
  <c r="T31" i="1"/>
  <c r="U31" i="1"/>
  <c r="V31" i="1"/>
  <c r="W31" i="1"/>
  <c r="S20" i="1"/>
  <c r="T20" i="1"/>
  <c r="U20" i="1"/>
  <c r="V20" i="1"/>
  <c r="W20" i="1"/>
  <c r="R20" i="1"/>
  <c r="O16" i="1"/>
  <c r="P16" i="1"/>
  <c r="Q16" i="1"/>
  <c r="R16" i="1"/>
  <c r="S16" i="1"/>
  <c r="T16" i="1"/>
  <c r="U16" i="1"/>
  <c r="V16" i="1"/>
  <c r="W16" i="1"/>
  <c r="V34" i="3" s="1"/>
  <c r="S13" i="1"/>
  <c r="T13" i="1"/>
  <c r="U13" i="1"/>
  <c r="V13" i="1"/>
  <c r="W13" i="1"/>
  <c r="S8" i="1"/>
  <c r="T8" i="1"/>
  <c r="U8" i="1"/>
  <c r="V8" i="1"/>
  <c r="W8" i="1"/>
  <c r="U4" i="1"/>
  <c r="U26" i="1" s="1"/>
  <c r="V10" i="5" s="1"/>
  <c r="V4" i="1"/>
  <c r="V26" i="1" s="1"/>
  <c r="W10" i="5" s="1"/>
  <c r="W4" i="1"/>
  <c r="W26" i="1" s="1"/>
  <c r="M20" i="3"/>
  <c r="N20" i="3"/>
  <c r="O20" i="3"/>
  <c r="P20" i="3"/>
  <c r="Q20" i="3"/>
  <c r="T5" i="3"/>
  <c r="U5" i="3"/>
  <c r="O7" i="3"/>
  <c r="P7" i="3"/>
  <c r="Q7" i="3"/>
  <c r="R7" i="3"/>
  <c r="S7" i="3"/>
  <c r="T7" i="3"/>
  <c r="U7" i="3"/>
  <c r="O8" i="3"/>
  <c r="P8" i="3"/>
  <c r="Q8" i="3"/>
  <c r="R8" i="3"/>
  <c r="S8" i="3"/>
  <c r="T8" i="3"/>
  <c r="U8" i="3"/>
  <c r="U6" i="3" s="1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6" i="3"/>
  <c r="P16" i="3"/>
  <c r="Q16" i="3"/>
  <c r="R16" i="3"/>
  <c r="S16" i="3"/>
  <c r="T16" i="3"/>
  <c r="U16" i="3"/>
  <c r="R20" i="3"/>
  <c r="S20" i="3"/>
  <c r="T20" i="3"/>
  <c r="U20" i="3"/>
  <c r="O21" i="3"/>
  <c r="P21" i="3"/>
  <c r="Q21" i="3"/>
  <c r="R21" i="3"/>
  <c r="S21" i="3"/>
  <c r="T21" i="3"/>
  <c r="U21" i="3"/>
  <c r="O26" i="3"/>
  <c r="P26" i="3"/>
  <c r="Q26" i="3"/>
  <c r="R26" i="3"/>
  <c r="S26" i="3"/>
  <c r="T26" i="3"/>
  <c r="U26" i="3"/>
  <c r="O27" i="3"/>
  <c r="P27" i="3"/>
  <c r="Q27" i="3"/>
  <c r="R27" i="3"/>
  <c r="S27" i="3"/>
  <c r="T27" i="3"/>
  <c r="U27" i="3"/>
  <c r="O28" i="3"/>
  <c r="P28" i="3"/>
  <c r="Q28" i="3"/>
  <c r="R28" i="3"/>
  <c r="S28" i="3"/>
  <c r="T28" i="3"/>
  <c r="U28" i="3"/>
  <c r="O29" i="3"/>
  <c r="O25" i="3" s="1"/>
  <c r="P29" i="3"/>
  <c r="Q29" i="3"/>
  <c r="R29" i="3"/>
  <c r="S29" i="3"/>
  <c r="T29" i="3"/>
  <c r="U29" i="3"/>
  <c r="O31" i="3"/>
  <c r="P31" i="3"/>
  <c r="Q31" i="3"/>
  <c r="R31" i="3"/>
  <c r="S31" i="3"/>
  <c r="T31" i="3"/>
  <c r="V13" i="5" s="1"/>
  <c r="U31" i="3"/>
  <c r="W13" i="5" s="1"/>
  <c r="O32" i="3"/>
  <c r="P32" i="3"/>
  <c r="Q32" i="3"/>
  <c r="R32" i="3"/>
  <c r="S32" i="3"/>
  <c r="T32" i="3"/>
  <c r="U32" i="3"/>
  <c r="T34" i="3"/>
  <c r="U34" i="3"/>
  <c r="T35" i="3"/>
  <c r="U35" i="3"/>
  <c r="O39" i="3"/>
  <c r="P39" i="3"/>
  <c r="Q39" i="3"/>
  <c r="R39" i="3"/>
  <c r="S39" i="3"/>
  <c r="T39" i="3"/>
  <c r="U39" i="3"/>
  <c r="O40" i="3"/>
  <c r="P40" i="3"/>
  <c r="Q40" i="3"/>
  <c r="R40" i="3"/>
  <c r="S40" i="3"/>
  <c r="T40" i="3"/>
  <c r="U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U46" i="3"/>
  <c r="O47" i="3"/>
  <c r="P47" i="3"/>
  <c r="Q47" i="3"/>
  <c r="R47" i="3"/>
  <c r="S47" i="3"/>
  <c r="T47" i="3"/>
  <c r="U47" i="3"/>
  <c r="P48" i="3"/>
  <c r="Q48" i="3"/>
  <c r="R48" i="3"/>
  <c r="S48" i="3"/>
  <c r="T48" i="3"/>
  <c r="U48" i="3"/>
  <c r="O30" i="1"/>
  <c r="O38" i="1" s="1"/>
  <c r="P30" i="1"/>
  <c r="Q30" i="1"/>
  <c r="R30" i="1"/>
  <c r="N30" i="1"/>
  <c r="P41" i="1"/>
  <c r="Q41" i="1"/>
  <c r="R41" i="1"/>
  <c r="Q18" i="3" s="1"/>
  <c r="P20" i="1"/>
  <c r="O35" i="3" s="1"/>
  <c r="Q20" i="1"/>
  <c r="Q35" i="3"/>
  <c r="R35" i="3"/>
  <c r="S35" i="3"/>
  <c r="O34" i="3"/>
  <c r="P34" i="3"/>
  <c r="Q34" i="3"/>
  <c r="R34" i="3"/>
  <c r="S34" i="3"/>
  <c r="P13" i="1"/>
  <c r="Q13" i="1"/>
  <c r="R13" i="1"/>
  <c r="P8" i="1"/>
  <c r="Q8" i="1"/>
  <c r="R8" i="1"/>
  <c r="P4" i="1"/>
  <c r="Q4" i="1"/>
  <c r="R4" i="1"/>
  <c r="S4" i="1"/>
  <c r="S26" i="1" s="1"/>
  <c r="T10" i="5" s="1"/>
  <c r="T4" i="1"/>
  <c r="AZ34" i="2" l="1"/>
  <c r="AZ36" i="2" s="1"/>
  <c r="AZ38" i="2" s="1"/>
  <c r="AY48" i="3"/>
  <c r="AU34" i="2"/>
  <c r="AU36" i="2" s="1"/>
  <c r="AU38" i="2" s="1"/>
  <c r="AT48" i="3"/>
  <c r="AV34" i="2"/>
  <c r="AV36" i="2" s="1"/>
  <c r="AV38" i="2" s="1"/>
  <c r="AU48" i="3"/>
  <c r="AW34" i="2"/>
  <c r="AW36" i="2" s="1"/>
  <c r="AW38" i="2" s="1"/>
  <c r="AV48" i="3"/>
  <c r="W12" i="6"/>
  <c r="W22" i="6"/>
  <c r="W25" i="6"/>
  <c r="W23" i="6"/>
  <c r="X31" i="6"/>
  <c r="X12" i="6"/>
  <c r="X22" i="6"/>
  <c r="X25" i="6"/>
  <c r="X23" i="6"/>
  <c r="Y31" i="6"/>
  <c r="Y12" i="6"/>
  <c r="Y22" i="6"/>
  <c r="Y25" i="6"/>
  <c r="Y23" i="6"/>
  <c r="Z22" i="6"/>
  <c r="Z12" i="6"/>
  <c r="Z25" i="6"/>
  <c r="Z31" i="6"/>
  <c r="Z18" i="6" s="1"/>
  <c r="Z23" i="6"/>
  <c r="AA31" i="6"/>
  <c r="AA18" i="6" s="1"/>
  <c r="AA22" i="6"/>
  <c r="AB31" i="6"/>
  <c r="AA12" i="6"/>
  <c r="AA25" i="6"/>
  <c r="AA23" i="6"/>
  <c r="P35" i="3"/>
  <c r="R38" i="1"/>
  <c r="S11" i="5"/>
  <c r="S18" i="5"/>
  <c r="R11" i="5"/>
  <c r="R18" i="5"/>
  <c r="V5" i="3"/>
  <c r="X10" i="5"/>
  <c r="V35" i="3"/>
  <c r="X9" i="5"/>
  <c r="W9" i="5"/>
  <c r="V9" i="5"/>
  <c r="T9" i="5"/>
  <c r="W11" i="5"/>
  <c r="W18" i="5"/>
  <c r="V11" i="5"/>
  <c r="V18" i="5"/>
  <c r="U11" i="5"/>
  <c r="U18" i="5"/>
  <c r="T11" i="5"/>
  <c r="T18" i="5"/>
  <c r="X11" i="5"/>
  <c r="X18" i="5"/>
  <c r="W14" i="5"/>
  <c r="V14" i="5"/>
  <c r="X15" i="5"/>
  <c r="X16" i="5"/>
  <c r="W15" i="5"/>
  <c r="W16" i="5"/>
  <c r="V15" i="5"/>
  <c r="V16" i="5"/>
  <c r="U15" i="5"/>
  <c r="U16" i="5"/>
  <c r="T15" i="5"/>
  <c r="T16" i="5"/>
  <c r="S15" i="5"/>
  <c r="S16" i="5"/>
  <c r="R15" i="5"/>
  <c r="R16" i="5"/>
  <c r="AA5" i="3"/>
  <c r="AC10" i="5"/>
  <c r="Z5" i="3"/>
  <c r="AB10" i="5"/>
  <c r="Y5" i="3"/>
  <c r="AA10" i="5"/>
  <c r="X5" i="3"/>
  <c r="Z10" i="5"/>
  <c r="W5" i="3"/>
  <c r="Y10" i="5"/>
  <c r="AA35" i="3"/>
  <c r="AC9" i="5"/>
  <c r="Z35" i="3"/>
  <c r="AB9" i="5"/>
  <c r="Y35" i="3"/>
  <c r="AA9" i="5"/>
  <c r="X35" i="3"/>
  <c r="Z9" i="5"/>
  <c r="W35" i="3"/>
  <c r="Y9" i="5"/>
  <c r="AB11" i="5"/>
  <c r="AB18" i="5"/>
  <c r="AA11" i="5"/>
  <c r="AA18" i="5"/>
  <c r="Z11" i="5"/>
  <c r="Z18" i="5"/>
  <c r="Y11" i="5"/>
  <c r="Y18" i="5"/>
  <c r="AC15" i="5"/>
  <c r="AC16" i="5"/>
  <c r="AB15" i="5"/>
  <c r="AB16" i="5"/>
  <c r="AA15" i="5"/>
  <c r="AA16" i="5"/>
  <c r="Z15" i="5"/>
  <c r="Z16" i="5"/>
  <c r="Y15" i="5"/>
  <c r="Y16" i="5"/>
  <c r="AC13" i="5"/>
  <c r="AB13" i="5"/>
  <c r="AA13" i="5"/>
  <c r="Z13" i="5"/>
  <c r="Y13" i="5"/>
  <c r="X13" i="5"/>
  <c r="AC11" i="5"/>
  <c r="AC18" i="5"/>
  <c r="AM35" i="3"/>
  <c r="P38" i="6" s="1"/>
  <c r="AO9" i="5"/>
  <c r="AL35" i="3"/>
  <c r="O38" i="6" s="1"/>
  <c r="AK35" i="3"/>
  <c r="N38" i="6" s="1"/>
  <c r="AJ35" i="3"/>
  <c r="M38" i="6" s="1"/>
  <c r="AI35" i="3"/>
  <c r="L38" i="6" s="1"/>
  <c r="AH35" i="3"/>
  <c r="K38" i="6" s="1"/>
  <c r="AG35" i="3"/>
  <c r="J38" i="6" s="1"/>
  <c r="AF35" i="3"/>
  <c r="I38" i="6" s="1"/>
  <c r="AE35" i="3"/>
  <c r="H38" i="6" s="1"/>
  <c r="AB35" i="3"/>
  <c r="E38" i="6" s="1"/>
  <c r="AO11" i="5"/>
  <c r="AO18" i="5"/>
  <c r="AN11" i="5"/>
  <c r="AN18" i="5"/>
  <c r="AM11" i="5"/>
  <c r="AM18" i="5"/>
  <c r="AL11" i="5"/>
  <c r="AL18" i="5"/>
  <c r="AK11" i="5"/>
  <c r="AK18" i="5"/>
  <c r="AJ11" i="5"/>
  <c r="AJ18" i="5"/>
  <c r="AI11" i="5"/>
  <c r="AI18" i="5"/>
  <c r="AH11" i="5"/>
  <c r="AH18" i="5"/>
  <c r="AG11" i="5"/>
  <c r="AG18" i="5"/>
  <c r="AF11" i="5"/>
  <c r="AF18" i="5"/>
  <c r="AE11" i="5"/>
  <c r="AE18" i="5"/>
  <c r="AD11" i="5"/>
  <c r="AD18" i="5"/>
  <c r="AO16" i="5"/>
  <c r="AN16" i="5"/>
  <c r="M48" i="6"/>
  <c r="L48" i="6"/>
  <c r="J48" i="6"/>
  <c r="AI16" i="5"/>
  <c r="H48" i="6"/>
  <c r="AG16" i="5"/>
  <c r="G48" i="6"/>
  <c r="F48" i="6"/>
  <c r="AE16" i="5"/>
  <c r="R51" i="6"/>
  <c r="AQ14" i="5"/>
  <c r="S51" i="6"/>
  <c r="AR14" i="5"/>
  <c r="T51" i="6"/>
  <c r="AS14" i="5"/>
  <c r="Q12" i="6"/>
  <c r="Q22" i="6"/>
  <c r="Q23" i="6"/>
  <c r="Q25" i="6"/>
  <c r="AB51" i="6"/>
  <c r="AB18" i="6" s="1"/>
  <c r="BA14" i="5"/>
  <c r="AS34" i="2"/>
  <c r="AS36" i="2" s="1"/>
  <c r="AS38" i="2" s="1"/>
  <c r="AR48" i="3"/>
  <c r="AT34" i="2"/>
  <c r="AT36" i="2" s="1"/>
  <c r="AT38" i="2" s="1"/>
  <c r="AS48" i="3"/>
  <c r="R31" i="6"/>
  <c r="R23" i="6"/>
  <c r="R12" i="6"/>
  <c r="R22" i="6"/>
  <c r="R25" i="6"/>
  <c r="S31" i="6"/>
  <c r="S23" i="6"/>
  <c r="S12" i="6"/>
  <c r="S22" i="6"/>
  <c r="S25" i="6"/>
  <c r="T31" i="6"/>
  <c r="T23" i="6"/>
  <c r="T12" i="6"/>
  <c r="T22" i="6"/>
  <c r="T25" i="6"/>
  <c r="W51" i="6"/>
  <c r="AV14" i="5"/>
  <c r="X51" i="6"/>
  <c r="X18" i="6" s="1"/>
  <c r="AW14" i="5"/>
  <c r="Y51" i="6"/>
  <c r="Y18" i="6" s="1"/>
  <c r="AX14" i="5"/>
  <c r="U6" i="6"/>
  <c r="U14" i="6"/>
  <c r="U8" i="6"/>
  <c r="U7" i="6"/>
  <c r="U35" i="6"/>
  <c r="U9" i="6" s="1"/>
  <c r="AT3" i="5"/>
  <c r="V6" i="6"/>
  <c r="V8" i="6"/>
  <c r="V14" i="6"/>
  <c r="V7" i="6"/>
  <c r="V35" i="6"/>
  <c r="AU3" i="5"/>
  <c r="U12" i="6"/>
  <c r="U31" i="6"/>
  <c r="U22" i="6"/>
  <c r="U25" i="6"/>
  <c r="U23" i="6"/>
  <c r="V9" i="6"/>
  <c r="V25" i="6"/>
  <c r="V23" i="6"/>
  <c r="W31" i="6"/>
  <c r="W18" i="6" s="1"/>
  <c r="V22" i="6"/>
  <c r="V12" i="6"/>
  <c r="V31" i="6"/>
  <c r="R9" i="6"/>
  <c r="S9" i="6"/>
  <c r="T9" i="6"/>
  <c r="Q9" i="6"/>
  <c r="Q50" i="1"/>
  <c r="P18" i="3"/>
  <c r="P50" i="1"/>
  <c r="O18" i="3"/>
  <c r="Q15" i="3"/>
  <c r="P15" i="3"/>
  <c r="O15" i="3"/>
  <c r="W50" i="1"/>
  <c r="V18" i="3"/>
  <c r="V50" i="1"/>
  <c r="U18" i="3"/>
  <c r="U15" i="3" s="1"/>
  <c r="W6" i="5" s="1"/>
  <c r="U50" i="1"/>
  <c r="T18" i="3"/>
  <c r="T15" i="3" s="1"/>
  <c r="T50" i="1"/>
  <c r="S18" i="3"/>
  <c r="S15" i="3" s="1"/>
  <c r="S50" i="1"/>
  <c r="R18" i="3"/>
  <c r="R15" i="3" s="1"/>
  <c r="V48" i="3"/>
  <c r="W34" i="2"/>
  <c r="W36" i="2" s="1"/>
  <c r="W38" i="2" s="1"/>
  <c r="X14" i="5" s="1"/>
  <c r="O40" i="2"/>
  <c r="W40" i="2"/>
  <c r="V40" i="2"/>
  <c r="U40" i="2"/>
  <c r="T40" i="2"/>
  <c r="S40" i="2"/>
  <c r="R40" i="2"/>
  <c r="Q40" i="2"/>
  <c r="P40" i="2"/>
  <c r="AA50" i="1"/>
  <c r="Z18" i="3"/>
  <c r="Z50" i="1"/>
  <c r="Y18" i="3"/>
  <c r="Y50" i="1"/>
  <c r="X18" i="3"/>
  <c r="X50" i="1"/>
  <c r="W18" i="3"/>
  <c r="AA34" i="2"/>
  <c r="AA36" i="2" s="1"/>
  <c r="AA38" i="2" s="1"/>
  <c r="AB14" i="5" s="1"/>
  <c r="Z48" i="3"/>
  <c r="Z34" i="2"/>
  <c r="Z36" i="2" s="1"/>
  <c r="Z38" i="2" s="1"/>
  <c r="AA14" i="5" s="1"/>
  <c r="Y48" i="3"/>
  <c r="Y34" i="2"/>
  <c r="Y36" i="2" s="1"/>
  <c r="Y38" i="2" s="1"/>
  <c r="Z14" i="5" s="1"/>
  <c r="X48" i="3"/>
  <c r="X34" i="2"/>
  <c r="X36" i="2" s="1"/>
  <c r="X38" i="2" s="1"/>
  <c r="Y14" i="5" s="1"/>
  <c r="W48" i="3"/>
  <c r="AB40" i="2"/>
  <c r="AA40" i="2"/>
  <c r="Z40" i="2"/>
  <c r="Y40" i="2"/>
  <c r="X40" i="2"/>
  <c r="AA15" i="3"/>
  <c r="AC6" i="5" s="1"/>
  <c r="W15" i="3"/>
  <c r="Y6" i="5" s="1"/>
  <c r="Z15" i="3"/>
  <c r="AB6" i="5" s="1"/>
  <c r="Y15" i="3"/>
  <c r="AA6" i="5" s="1"/>
  <c r="X15" i="3"/>
  <c r="Z6" i="5" s="1"/>
  <c r="V15" i="3"/>
  <c r="X6" i="5" s="1"/>
  <c r="P41" i="6"/>
  <c r="AM5" i="3"/>
  <c r="O41" i="6"/>
  <c r="AM26" i="1"/>
  <c r="AG26" i="1"/>
  <c r="I41" i="6"/>
  <c r="H21" i="6"/>
  <c r="G21" i="6"/>
  <c r="F21" i="6"/>
  <c r="E21" i="6"/>
  <c r="AD34" i="3"/>
  <c r="G37" i="6" s="1"/>
  <c r="AD35" i="3"/>
  <c r="G38" i="6" s="1"/>
  <c r="AC34" i="3"/>
  <c r="F37" i="6" s="1"/>
  <c r="AC35" i="3"/>
  <c r="F38" i="6" s="1"/>
  <c r="AN38" i="1"/>
  <c r="AN51" i="1" s="1"/>
  <c r="AN52" i="1" s="1"/>
  <c r="AM38" i="1"/>
  <c r="AF38" i="1"/>
  <c r="AC38" i="1"/>
  <c r="AM51" i="1"/>
  <c r="AM52" i="1" s="1"/>
  <c r="AI50" i="1"/>
  <c r="AH50" i="1"/>
  <c r="AC50" i="1"/>
  <c r="P45" i="6"/>
  <c r="P28" i="6" s="1"/>
  <c r="AN20" i="2"/>
  <c r="AO15" i="5" s="1"/>
  <c r="O45" i="6"/>
  <c r="O28" i="6" s="1"/>
  <c r="AM20" i="2"/>
  <c r="AN15" i="5" s="1"/>
  <c r="AD20" i="2"/>
  <c r="F45" i="6"/>
  <c r="F28" i="6" s="1"/>
  <c r="P49" i="6"/>
  <c r="P16" i="6" s="1"/>
  <c r="AM41" i="3"/>
  <c r="O49" i="6"/>
  <c r="O16" i="6" s="1"/>
  <c r="AL41" i="3"/>
  <c r="AL4" i="2"/>
  <c r="AM16" i="5" s="1"/>
  <c r="N49" i="6"/>
  <c r="N16" i="6" s="1"/>
  <c r="AK41" i="3"/>
  <c r="L49" i="6"/>
  <c r="L16" i="6" s="1"/>
  <c r="AI41" i="3"/>
  <c r="AF41" i="3"/>
  <c r="I49" i="6"/>
  <c r="I16" i="6" s="1"/>
  <c r="AE41" i="3"/>
  <c r="H49" i="6"/>
  <c r="H16" i="6" s="1"/>
  <c r="AE4" i="2"/>
  <c r="G49" i="6"/>
  <c r="G16" i="6" s="1"/>
  <c r="AC41" i="3"/>
  <c r="F49" i="6"/>
  <c r="F16" i="6" s="1"/>
  <c r="AB41" i="3"/>
  <c r="E49" i="6"/>
  <c r="E16" i="6" s="1"/>
  <c r="H17" i="6"/>
  <c r="P48" i="6"/>
  <c r="AN40" i="2"/>
  <c r="P50" i="6" s="1"/>
  <c r="O48" i="6"/>
  <c r="O19" i="6" s="1"/>
  <c r="AM40" i="2"/>
  <c r="O50" i="6" s="1"/>
  <c r="O17" i="6" s="1"/>
  <c r="N48" i="6"/>
  <c r="AL40" i="2"/>
  <c r="N50" i="6" s="1"/>
  <c r="K48" i="6"/>
  <c r="AI40" i="2"/>
  <c r="K50" i="6" s="1"/>
  <c r="AG40" i="2"/>
  <c r="I50" i="6" s="1"/>
  <c r="I48" i="6"/>
  <c r="H19" i="6"/>
  <c r="F19" i="6"/>
  <c r="E48" i="6"/>
  <c r="AC40" i="2"/>
  <c r="E50" i="6" s="1"/>
  <c r="AL25" i="3"/>
  <c r="O40" i="6" s="1"/>
  <c r="AK25" i="3"/>
  <c r="N40" i="6" s="1"/>
  <c r="H3" i="7"/>
  <c r="I26" i="6"/>
  <c r="AM6" i="3"/>
  <c r="P32" i="6" s="1"/>
  <c r="AL6" i="3"/>
  <c r="O32" i="6" s="1"/>
  <c r="AD6" i="3"/>
  <c r="G32" i="6" s="1"/>
  <c r="AC6" i="3"/>
  <c r="F32" i="6" s="1"/>
  <c r="H17" i="4"/>
  <c r="H19" i="4"/>
  <c r="R9" i="4"/>
  <c r="R16" i="4"/>
  <c r="AL50" i="1"/>
  <c r="AL38" i="1"/>
  <c r="AL51" i="1"/>
  <c r="AL26" i="1"/>
  <c r="N21" i="6"/>
  <c r="AK40" i="2"/>
  <c r="M50" i="6" s="1"/>
  <c r="AJ41" i="3"/>
  <c r="AK4" i="2"/>
  <c r="AL16" i="5" s="1"/>
  <c r="M45" i="6"/>
  <c r="AK20" i="2"/>
  <c r="AL15" i="5" s="1"/>
  <c r="AK38" i="1"/>
  <c r="AK51" i="1" s="1"/>
  <c r="AK26" i="1"/>
  <c r="M21" i="6"/>
  <c r="AJ38" i="1"/>
  <c r="AJ51" i="1" s="1"/>
  <c r="AI6" i="3"/>
  <c r="L32" i="6" s="1"/>
  <c r="L13" i="6" s="1"/>
  <c r="AJ26" i="1"/>
  <c r="L21" i="6"/>
  <c r="AH41" i="3"/>
  <c r="AI38" i="1"/>
  <c r="AI51" i="1" s="1"/>
  <c r="AH34" i="3"/>
  <c r="K37" i="6" s="1"/>
  <c r="K21" i="6"/>
  <c r="AI26" i="1"/>
  <c r="J9" i="4"/>
  <c r="J17" i="4" s="1"/>
  <c r="N9" i="4"/>
  <c r="N17" i="4" s="1"/>
  <c r="AH40" i="2"/>
  <c r="J50" i="6" s="1"/>
  <c r="J17" i="6" s="1"/>
  <c r="AG41" i="3"/>
  <c r="J19" i="6"/>
  <c r="J28" i="6"/>
  <c r="AH20" i="2"/>
  <c r="AI15" i="5" s="1"/>
  <c r="AH38" i="1"/>
  <c r="AH51" i="1" s="1"/>
  <c r="AG34" i="3"/>
  <c r="J37" i="6" s="1"/>
  <c r="J21" i="6"/>
  <c r="AH26" i="1"/>
  <c r="AD30" i="2"/>
  <c r="AD40" i="2"/>
  <c r="F50" i="6" s="1"/>
  <c r="F17" i="6" s="1"/>
  <c r="AE20" i="2"/>
  <c r="AF15" i="5" s="1"/>
  <c r="AF20" i="2"/>
  <c r="AG15" i="5" s="1"/>
  <c r="AC4" i="2"/>
  <c r="AD16" i="5" s="1"/>
  <c r="AD41" i="3"/>
  <c r="AG4" i="2"/>
  <c r="AH16" i="5" s="1"/>
  <c r="AD34" i="2"/>
  <c r="AD36" i="2" s="1"/>
  <c r="AD38" i="2" s="1"/>
  <c r="AC48" i="3"/>
  <c r="AF50" i="1"/>
  <c r="AE50" i="1"/>
  <c r="AC51" i="1"/>
  <c r="AF51" i="1"/>
  <c r="AD50" i="1"/>
  <c r="AE15" i="3"/>
  <c r="AD15" i="3"/>
  <c r="AG38" i="1"/>
  <c r="AG51" i="1" s="1"/>
  <c r="AE38" i="1"/>
  <c r="AD38" i="1"/>
  <c r="AE6" i="3"/>
  <c r="H32" i="6" s="1"/>
  <c r="AE51" i="1"/>
  <c r="AF34" i="3"/>
  <c r="I37" i="6" s="1"/>
  <c r="AF26" i="1"/>
  <c r="AD25" i="3"/>
  <c r="G40" i="6" s="1"/>
  <c r="G27" i="6" s="1"/>
  <c r="AE26" i="1"/>
  <c r="AC25" i="3"/>
  <c r="F40" i="6" s="1"/>
  <c r="F27" i="6" s="1"/>
  <c r="AD26" i="1"/>
  <c r="AC26" i="1"/>
  <c r="AE25" i="3"/>
  <c r="H40" i="6" s="1"/>
  <c r="H27" i="6" s="1"/>
  <c r="AF5" i="3"/>
  <c r="AG52" i="1"/>
  <c r="AB15" i="3"/>
  <c r="AI25" i="3"/>
  <c r="L40" i="6" s="1"/>
  <c r="AI15" i="3"/>
  <c r="AJ15" i="3"/>
  <c r="AH25" i="3"/>
  <c r="K40" i="6" s="1"/>
  <c r="AL15" i="3"/>
  <c r="AH6" i="3"/>
  <c r="K32" i="6" s="1"/>
  <c r="K13" i="6" s="1"/>
  <c r="AG25" i="3"/>
  <c r="J40" i="6" s="1"/>
  <c r="AK15" i="3"/>
  <c r="AC15" i="3"/>
  <c r="AG15" i="3"/>
  <c r="AK6" i="3"/>
  <c r="N32" i="6" s="1"/>
  <c r="AG6" i="3"/>
  <c r="J32" i="6" s="1"/>
  <c r="AJ25" i="3"/>
  <c r="M40" i="6" s="1"/>
  <c r="AB25" i="3"/>
  <c r="E40" i="6" s="1"/>
  <c r="AF15" i="3"/>
  <c r="AH6" i="5" s="1"/>
  <c r="AJ6" i="3"/>
  <c r="M32" i="6" s="1"/>
  <c r="AB6" i="3"/>
  <c r="E32" i="6" s="1"/>
  <c r="AM15" i="3"/>
  <c r="AH15" i="3"/>
  <c r="AJ4" i="2"/>
  <c r="AK16" i="5" s="1"/>
  <c r="AI4" i="2"/>
  <c r="AJ16" i="5" s="1"/>
  <c r="AB34" i="2"/>
  <c r="AB36" i="2" s="1"/>
  <c r="AB38" i="2" s="1"/>
  <c r="AC14" i="5" s="1"/>
  <c r="AA48" i="3"/>
  <c r="AA25" i="3"/>
  <c r="Z25" i="3"/>
  <c r="Y25" i="3"/>
  <c r="X25" i="3"/>
  <c r="W25" i="3"/>
  <c r="V25" i="3"/>
  <c r="Z13" i="3"/>
  <c r="Y13" i="3"/>
  <c r="X13" i="3"/>
  <c r="W13" i="3"/>
  <c r="V13" i="3"/>
  <c r="AA6" i="3"/>
  <c r="Z6" i="3"/>
  <c r="Y6" i="3"/>
  <c r="X6" i="3"/>
  <c r="W6" i="3"/>
  <c r="V6" i="3"/>
  <c r="R50" i="1"/>
  <c r="AB51" i="1"/>
  <c r="AB52" i="1" s="1"/>
  <c r="AA38" i="1"/>
  <c r="AA51" i="1" s="1"/>
  <c r="AA52" i="1" s="1"/>
  <c r="Z38" i="1"/>
  <c r="Z51" i="1" s="1"/>
  <c r="Z52" i="1" s="1"/>
  <c r="Y38" i="1"/>
  <c r="Y51" i="1" s="1"/>
  <c r="Y52" i="1" s="1"/>
  <c r="X38" i="1"/>
  <c r="X51" i="1" s="1"/>
  <c r="X52" i="1" s="1"/>
  <c r="Q38" i="1"/>
  <c r="Q51" i="1" s="1"/>
  <c r="P38" i="1"/>
  <c r="P51" i="1" s="1"/>
  <c r="T26" i="1"/>
  <c r="W38" i="1"/>
  <c r="W51" i="1" s="1"/>
  <c r="W52" i="1" s="1"/>
  <c r="V38" i="1"/>
  <c r="V51" i="1" s="1"/>
  <c r="V52" i="1" s="1"/>
  <c r="U38" i="1"/>
  <c r="U51" i="1" s="1"/>
  <c r="U52" i="1" s="1"/>
  <c r="T38" i="1"/>
  <c r="S38" i="1"/>
  <c r="S51" i="1" s="1"/>
  <c r="R5" i="3"/>
  <c r="Q25" i="3"/>
  <c r="U25" i="3"/>
  <c r="T25" i="3"/>
  <c r="S25" i="3"/>
  <c r="R25" i="3"/>
  <c r="P25" i="3"/>
  <c r="R13" i="3"/>
  <c r="U13" i="3"/>
  <c r="S13" i="3"/>
  <c r="Q13" i="3"/>
  <c r="O13" i="3"/>
  <c r="O14" i="3" s="1"/>
  <c r="T6" i="3"/>
  <c r="S6" i="3"/>
  <c r="R6" i="3"/>
  <c r="Q6" i="3"/>
  <c r="P6" i="3"/>
  <c r="O6" i="3"/>
  <c r="P13" i="3"/>
  <c r="T51" i="1"/>
  <c r="T52" i="1" s="1"/>
  <c r="R51" i="1"/>
  <c r="R26" i="1"/>
  <c r="P26" i="1"/>
  <c r="O5" i="3" s="1"/>
  <c r="Q26" i="1"/>
  <c r="P5" i="3" l="1"/>
  <c r="R10" i="5"/>
  <c r="R9" i="5"/>
  <c r="Q5" i="3"/>
  <c r="S10" i="5"/>
  <c r="S9" i="5"/>
  <c r="P14" i="3"/>
  <c r="R3" i="5" s="1"/>
  <c r="R4" i="5"/>
  <c r="R5" i="5"/>
  <c r="R12" i="5"/>
  <c r="Q14" i="3"/>
  <c r="S3" i="5" s="1"/>
  <c r="S4" i="5"/>
  <c r="S5" i="5"/>
  <c r="S12" i="5"/>
  <c r="S14" i="3"/>
  <c r="U3" i="5" s="1"/>
  <c r="U5" i="5"/>
  <c r="U12" i="5"/>
  <c r="U14" i="3"/>
  <c r="W3" i="5" s="1"/>
  <c r="W4" i="5"/>
  <c r="W5" i="5"/>
  <c r="W12" i="5"/>
  <c r="R14" i="3"/>
  <c r="T3" i="5" s="1"/>
  <c r="T4" i="5"/>
  <c r="T5" i="5"/>
  <c r="T12" i="5"/>
  <c r="T13" i="5"/>
  <c r="T14" i="5"/>
  <c r="S5" i="3"/>
  <c r="U10" i="5"/>
  <c r="U9" i="5"/>
  <c r="V14" i="3"/>
  <c r="X3" i="5" s="1"/>
  <c r="X4" i="5"/>
  <c r="X5" i="5"/>
  <c r="X12" i="5"/>
  <c r="W14" i="3"/>
  <c r="Y3" i="5" s="1"/>
  <c r="Y4" i="5"/>
  <c r="Y5" i="5"/>
  <c r="Y12" i="5"/>
  <c r="X14" i="3"/>
  <c r="Z3" i="5" s="1"/>
  <c r="Z4" i="5"/>
  <c r="Z5" i="5"/>
  <c r="Z12" i="5"/>
  <c r="Y14" i="3"/>
  <c r="AA3" i="5" s="1"/>
  <c r="AA4" i="5"/>
  <c r="AA5" i="5"/>
  <c r="AA12" i="5"/>
  <c r="Z14" i="3"/>
  <c r="AB3" i="5" s="1"/>
  <c r="AB4" i="5"/>
  <c r="AB5" i="5"/>
  <c r="AB12" i="5"/>
  <c r="AH13" i="3"/>
  <c r="AM13" i="3"/>
  <c r="AO6" i="5"/>
  <c r="AG13" i="3"/>
  <c r="AK13" i="3"/>
  <c r="AL13" i="3"/>
  <c r="AJ13" i="3"/>
  <c r="AI13" i="3"/>
  <c r="I30" i="6"/>
  <c r="AH13" i="5"/>
  <c r="AC52" i="1"/>
  <c r="AD10" i="5"/>
  <c r="AD9" i="5"/>
  <c r="AC5" i="3"/>
  <c r="AE10" i="5"/>
  <c r="AE9" i="5"/>
  <c r="AD5" i="3"/>
  <c r="AF10" i="5"/>
  <c r="AF9" i="5"/>
  <c r="AE5" i="3"/>
  <c r="AG10" i="5"/>
  <c r="AG9" i="5"/>
  <c r="AF6" i="5"/>
  <c r="AG6" i="5"/>
  <c r="F51" i="6"/>
  <c r="AE14" i="5"/>
  <c r="AG5" i="3"/>
  <c r="AI10" i="5"/>
  <c r="AI9" i="5"/>
  <c r="AH5" i="3"/>
  <c r="AJ10" i="5"/>
  <c r="AJ9" i="5"/>
  <c r="AI5" i="3"/>
  <c r="AK10" i="5"/>
  <c r="AK9" i="5"/>
  <c r="AL10" i="5"/>
  <c r="AL9" i="5"/>
  <c r="AK5" i="3"/>
  <c r="AM10" i="5"/>
  <c r="AM9" i="5"/>
  <c r="G45" i="6"/>
  <c r="AF16" i="5"/>
  <c r="F46" i="6"/>
  <c r="AE15" i="5"/>
  <c r="AH10" i="5"/>
  <c r="AH9" i="5"/>
  <c r="AL5" i="3"/>
  <c r="AN10" i="5"/>
  <c r="AN9" i="5"/>
  <c r="P30" i="6"/>
  <c r="AO13" i="5"/>
  <c r="T6" i="5"/>
  <c r="U6" i="5"/>
  <c r="T13" i="3"/>
  <c r="V6" i="5"/>
  <c r="R6" i="5"/>
  <c r="S6" i="5"/>
  <c r="V51" i="6"/>
  <c r="V18" i="6" s="1"/>
  <c r="AU14" i="5"/>
  <c r="U51" i="6"/>
  <c r="U18" i="6" s="1"/>
  <c r="AT14" i="5"/>
  <c r="T18" i="6"/>
  <c r="S18" i="6"/>
  <c r="R18" i="6"/>
  <c r="P17" i="6"/>
  <c r="P19" i="6"/>
  <c r="D3" i="7"/>
  <c r="E26" i="6"/>
  <c r="E13" i="6"/>
  <c r="E27" i="6"/>
  <c r="H2" i="7"/>
  <c r="I22" i="6"/>
  <c r="I25" i="6"/>
  <c r="I12" i="6"/>
  <c r="G3" i="7"/>
  <c r="H26" i="6"/>
  <c r="H13" i="6"/>
  <c r="AD51" i="1"/>
  <c r="AG20" i="2"/>
  <c r="AH15" i="5" s="1"/>
  <c r="I45" i="6"/>
  <c r="I28" i="6" s="1"/>
  <c r="AC20" i="2"/>
  <c r="AD15" i="5" s="1"/>
  <c r="E45" i="6"/>
  <c r="E28" i="6" s="1"/>
  <c r="AF30" i="2"/>
  <c r="AE48" i="3" s="1"/>
  <c r="H46" i="6"/>
  <c r="AE30" i="2"/>
  <c r="AE34" i="2" s="1"/>
  <c r="AE36" i="2" s="1"/>
  <c r="AE38" i="2" s="1"/>
  <c r="G46" i="6"/>
  <c r="R17" i="4"/>
  <c r="E3" i="7"/>
  <c r="F26" i="6"/>
  <c r="F13" i="6"/>
  <c r="F3" i="7"/>
  <c r="G26" i="6"/>
  <c r="G13" i="6"/>
  <c r="N3" i="7"/>
  <c r="O26" i="6"/>
  <c r="O13" i="6"/>
  <c r="O3" i="7"/>
  <c r="P26" i="6"/>
  <c r="P27" i="6"/>
  <c r="P13" i="6"/>
  <c r="O27" i="6"/>
  <c r="E17" i="6"/>
  <c r="E19" i="6"/>
  <c r="N45" i="6"/>
  <c r="AL20" i="2"/>
  <c r="AM15" i="5" s="1"/>
  <c r="O46" i="6"/>
  <c r="AM30" i="2"/>
  <c r="P46" i="6"/>
  <c r="AN30" i="2"/>
  <c r="I21" i="6"/>
  <c r="I23" i="6"/>
  <c r="O21" i="6"/>
  <c r="O2" i="7"/>
  <c r="P22" i="6"/>
  <c r="P25" i="6"/>
  <c r="P21" i="6"/>
  <c r="P23" i="6"/>
  <c r="AA13" i="3"/>
  <c r="M3" i="7"/>
  <c r="N26" i="6"/>
  <c r="N27" i="6"/>
  <c r="N13" i="6"/>
  <c r="AL52" i="1"/>
  <c r="M28" i="6"/>
  <c r="M17" i="6"/>
  <c r="M19" i="6"/>
  <c r="M46" i="6"/>
  <c r="AK30" i="2"/>
  <c r="L3" i="7"/>
  <c r="M26" i="6"/>
  <c r="M13" i="6"/>
  <c r="M27" i="6"/>
  <c r="AK52" i="1"/>
  <c r="AJ5" i="3"/>
  <c r="L45" i="6"/>
  <c r="AJ20" i="2"/>
  <c r="AK15" i="5" s="1"/>
  <c r="K3" i="7"/>
  <c r="L26" i="6"/>
  <c r="L27" i="6"/>
  <c r="AJ52" i="1"/>
  <c r="K45" i="6"/>
  <c r="AI20" i="2"/>
  <c r="AJ15" i="5" s="1"/>
  <c r="J3" i="7"/>
  <c r="K26" i="6"/>
  <c r="K27" i="6"/>
  <c r="AI52" i="1"/>
  <c r="AL14" i="3"/>
  <c r="AN3" i="5" s="1"/>
  <c r="O34" i="6"/>
  <c r="O8" i="6" s="1"/>
  <c r="AJ14" i="3"/>
  <c r="M34" i="6"/>
  <c r="M8" i="6" s="1"/>
  <c r="AI14" i="3"/>
  <c r="L34" i="6"/>
  <c r="L8" i="6" s="1"/>
  <c r="AK14" i="3"/>
  <c r="AM3" i="5" s="1"/>
  <c r="N34" i="6"/>
  <c r="N8" i="6" s="1"/>
  <c r="AM14" i="3"/>
  <c r="AO3" i="5" s="1"/>
  <c r="P34" i="6"/>
  <c r="P8" i="6" s="1"/>
  <c r="AC13" i="3"/>
  <c r="AH14" i="3"/>
  <c r="K34" i="6"/>
  <c r="K8" i="6" s="1"/>
  <c r="AD13" i="3"/>
  <c r="AF13" i="3"/>
  <c r="AB13" i="3"/>
  <c r="AE13" i="3"/>
  <c r="J46" i="6"/>
  <c r="AH30" i="2"/>
  <c r="AG14" i="3"/>
  <c r="J34" i="6"/>
  <c r="AH52" i="1"/>
  <c r="I3" i="7"/>
  <c r="J13" i="6"/>
  <c r="J26" i="6"/>
  <c r="J27" i="6"/>
  <c r="AD48" i="3"/>
  <c r="AF34" i="2"/>
  <c r="AF36" i="2" s="1"/>
  <c r="AF38" i="2" s="1"/>
  <c r="AB5" i="3"/>
  <c r="AF52" i="1"/>
  <c r="AD52" i="1"/>
  <c r="AE52" i="1"/>
  <c r="Q52" i="1"/>
  <c r="P52" i="1"/>
  <c r="S52" i="1"/>
  <c r="R52" i="1"/>
  <c r="F4" i="4"/>
  <c r="D16" i="4"/>
  <c r="C16" i="4"/>
  <c r="F15" i="4"/>
  <c r="F14" i="4"/>
  <c r="F13" i="4"/>
  <c r="F12" i="4"/>
  <c r="F11" i="4"/>
  <c r="D9" i="4"/>
  <c r="D17" i="4" s="1"/>
  <c r="C9" i="4"/>
  <c r="F8" i="4"/>
  <c r="F7" i="4"/>
  <c r="F6" i="4"/>
  <c r="F5" i="4"/>
  <c r="N10" i="3"/>
  <c r="D30" i="1"/>
  <c r="E18" i="5" s="1"/>
  <c r="E30" i="1"/>
  <c r="F30" i="1"/>
  <c r="G30" i="1"/>
  <c r="H30" i="1"/>
  <c r="I18" i="5" s="1"/>
  <c r="I30" i="1"/>
  <c r="J30" i="1"/>
  <c r="K30" i="1"/>
  <c r="L30" i="1"/>
  <c r="M18" i="5" s="1"/>
  <c r="M30" i="1"/>
  <c r="D9" i="5"/>
  <c r="D44" i="1"/>
  <c r="E44" i="1"/>
  <c r="F44" i="1"/>
  <c r="G44" i="1"/>
  <c r="H44" i="1"/>
  <c r="I44" i="1"/>
  <c r="J44" i="1"/>
  <c r="K44" i="1"/>
  <c r="L44" i="1"/>
  <c r="M44" i="1"/>
  <c r="N44" i="1"/>
  <c r="D41" i="1"/>
  <c r="D50" i="1" s="1"/>
  <c r="E41" i="1"/>
  <c r="E50" i="1" s="1"/>
  <c r="F41" i="1"/>
  <c r="F50" i="1" s="1"/>
  <c r="G41" i="1"/>
  <c r="G50" i="1" s="1"/>
  <c r="H41" i="1"/>
  <c r="H50" i="1" s="1"/>
  <c r="I41" i="1"/>
  <c r="I50" i="1" s="1"/>
  <c r="J41" i="1"/>
  <c r="J50" i="1" s="1"/>
  <c r="K41" i="1"/>
  <c r="K50" i="1" s="1"/>
  <c r="L41" i="1"/>
  <c r="L50" i="1" s="1"/>
  <c r="M41" i="1"/>
  <c r="M50" i="1" s="1"/>
  <c r="N41" i="1"/>
  <c r="N50" i="1" s="1"/>
  <c r="O41" i="1"/>
  <c r="N18" i="3" s="1"/>
  <c r="G18" i="5"/>
  <c r="H11" i="5"/>
  <c r="K18" i="5"/>
  <c r="L11" i="5"/>
  <c r="O18" i="5"/>
  <c r="P11" i="5"/>
  <c r="D31" i="1"/>
  <c r="E31" i="1"/>
  <c r="E38" i="1" s="1"/>
  <c r="F31" i="1"/>
  <c r="G31" i="1"/>
  <c r="G38" i="1" s="1"/>
  <c r="H31" i="1"/>
  <c r="I31" i="1"/>
  <c r="I38" i="1" s="1"/>
  <c r="J31" i="1"/>
  <c r="K31" i="1"/>
  <c r="K38" i="1" s="1"/>
  <c r="L31" i="1"/>
  <c r="M31" i="1"/>
  <c r="M38" i="1" s="1"/>
  <c r="N31" i="1"/>
  <c r="D20" i="1"/>
  <c r="E20" i="1"/>
  <c r="D35" i="3" s="1"/>
  <c r="F20" i="1"/>
  <c r="G20" i="1"/>
  <c r="F35" i="3" s="1"/>
  <c r="H20" i="1"/>
  <c r="I20" i="1"/>
  <c r="J20" i="1"/>
  <c r="I35" i="3" s="1"/>
  <c r="K20" i="1"/>
  <c r="J35" i="3" s="1"/>
  <c r="L20" i="1"/>
  <c r="M20" i="1"/>
  <c r="L35" i="3" s="1"/>
  <c r="N20" i="1"/>
  <c r="M35" i="3" s="1"/>
  <c r="O20" i="1"/>
  <c r="N35" i="3" s="1"/>
  <c r="D16" i="1"/>
  <c r="C34" i="3" s="1"/>
  <c r="E16" i="1"/>
  <c r="F16" i="1"/>
  <c r="E34" i="3" s="1"/>
  <c r="G16" i="1"/>
  <c r="H16" i="1"/>
  <c r="G34" i="3" s="1"/>
  <c r="I16" i="1"/>
  <c r="J16" i="1"/>
  <c r="I34" i="3" s="1"/>
  <c r="K16" i="1"/>
  <c r="L16" i="1"/>
  <c r="K34" i="3" s="1"/>
  <c r="M16" i="1"/>
  <c r="N16" i="1"/>
  <c r="M34" i="3" s="1"/>
  <c r="D13" i="1"/>
  <c r="E13" i="1"/>
  <c r="F13" i="1"/>
  <c r="G13" i="1"/>
  <c r="H13" i="1"/>
  <c r="I13" i="1"/>
  <c r="J13" i="1"/>
  <c r="K13" i="1"/>
  <c r="L13" i="1"/>
  <c r="M13" i="1"/>
  <c r="N13" i="1"/>
  <c r="O13" i="1"/>
  <c r="D8" i="1"/>
  <c r="E8" i="1"/>
  <c r="F8" i="1"/>
  <c r="G8" i="1"/>
  <c r="H8" i="1"/>
  <c r="I8" i="1"/>
  <c r="J8" i="1"/>
  <c r="K8" i="1"/>
  <c r="L8" i="1"/>
  <c r="M8" i="1"/>
  <c r="N8" i="1"/>
  <c r="O8" i="1"/>
  <c r="D4" i="1"/>
  <c r="E4" i="1"/>
  <c r="F4" i="1"/>
  <c r="F26" i="1" s="1"/>
  <c r="G4" i="1"/>
  <c r="H4" i="1"/>
  <c r="I4" i="1"/>
  <c r="J4" i="1"/>
  <c r="J26" i="1" s="1"/>
  <c r="K4" i="1"/>
  <c r="L4" i="1"/>
  <c r="M4" i="1"/>
  <c r="N4" i="1"/>
  <c r="N26" i="1" s="1"/>
  <c r="O4" i="1"/>
  <c r="F11" i="5"/>
  <c r="J11" i="5"/>
  <c r="K11" i="5"/>
  <c r="Q11" i="5"/>
  <c r="F15" i="5"/>
  <c r="G15" i="5"/>
  <c r="H15" i="5"/>
  <c r="I15" i="5"/>
  <c r="J15" i="5"/>
  <c r="K15" i="5"/>
  <c r="L15" i="5"/>
  <c r="M15" i="5"/>
  <c r="N15" i="5"/>
  <c r="O15" i="5"/>
  <c r="F16" i="5"/>
  <c r="G16" i="5"/>
  <c r="H16" i="5"/>
  <c r="I16" i="5"/>
  <c r="J16" i="5"/>
  <c r="K16" i="5"/>
  <c r="L16" i="5"/>
  <c r="M16" i="5"/>
  <c r="N16" i="5"/>
  <c r="O16" i="5"/>
  <c r="F17" i="5"/>
  <c r="G17" i="5"/>
  <c r="H17" i="5"/>
  <c r="I17" i="5"/>
  <c r="J17" i="5"/>
  <c r="K17" i="5"/>
  <c r="L17" i="5"/>
  <c r="M17" i="5"/>
  <c r="N17" i="5"/>
  <c r="O17" i="5"/>
  <c r="P17" i="5"/>
  <c r="Q17" i="5"/>
  <c r="J18" i="5"/>
  <c r="Q18" i="5"/>
  <c r="E17" i="5"/>
  <c r="E16" i="5"/>
  <c r="E15" i="5"/>
  <c r="D18" i="5"/>
  <c r="D17" i="5"/>
  <c r="D16" i="5"/>
  <c r="D15" i="5"/>
  <c r="D14" i="5"/>
  <c r="D13" i="5"/>
  <c r="D12" i="5"/>
  <c r="D11" i="5"/>
  <c r="D10" i="5"/>
  <c r="P8" i="5"/>
  <c r="O8" i="5"/>
  <c r="N8" i="5"/>
  <c r="M8" i="5"/>
  <c r="L8" i="5"/>
  <c r="K8" i="5"/>
  <c r="J8" i="5"/>
  <c r="I8" i="5"/>
  <c r="H8" i="5"/>
  <c r="G8" i="5"/>
  <c r="F8" i="5"/>
  <c r="E8" i="5"/>
  <c r="D8" i="5"/>
  <c r="D45" i="3"/>
  <c r="E45" i="3"/>
  <c r="F45" i="3"/>
  <c r="G45" i="3"/>
  <c r="H45" i="3"/>
  <c r="I45" i="3"/>
  <c r="J45" i="3"/>
  <c r="K45" i="3"/>
  <c r="L45" i="3"/>
  <c r="M45" i="3"/>
  <c r="N45" i="3"/>
  <c r="D46" i="3"/>
  <c r="E46" i="3"/>
  <c r="F46" i="3"/>
  <c r="G46" i="3"/>
  <c r="H46" i="3"/>
  <c r="I46" i="3"/>
  <c r="J46" i="3"/>
  <c r="K46" i="3"/>
  <c r="L46" i="3"/>
  <c r="M46" i="3"/>
  <c r="N46" i="3"/>
  <c r="D47" i="3"/>
  <c r="E47" i="3"/>
  <c r="F47" i="3"/>
  <c r="G47" i="3"/>
  <c r="H47" i="3"/>
  <c r="I47" i="3"/>
  <c r="J47" i="3"/>
  <c r="K47" i="3"/>
  <c r="L47" i="3"/>
  <c r="M47" i="3"/>
  <c r="N47" i="3"/>
  <c r="D48" i="3"/>
  <c r="E48" i="3"/>
  <c r="F48" i="3"/>
  <c r="G48" i="3"/>
  <c r="H48" i="3"/>
  <c r="I48" i="3"/>
  <c r="J48" i="3"/>
  <c r="K48" i="3"/>
  <c r="L48" i="3"/>
  <c r="M48" i="3"/>
  <c r="D39" i="3"/>
  <c r="E39" i="3"/>
  <c r="F39" i="3"/>
  <c r="G39" i="3"/>
  <c r="H39" i="3"/>
  <c r="I39" i="3"/>
  <c r="J39" i="3"/>
  <c r="K39" i="3"/>
  <c r="L39" i="3"/>
  <c r="M39" i="3"/>
  <c r="N39" i="3"/>
  <c r="D40" i="3"/>
  <c r="E40" i="3"/>
  <c r="F40" i="3"/>
  <c r="G40" i="3"/>
  <c r="H40" i="3"/>
  <c r="I40" i="3"/>
  <c r="J40" i="3"/>
  <c r="K40" i="3"/>
  <c r="L40" i="3"/>
  <c r="M40" i="3"/>
  <c r="N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N42" i="3"/>
  <c r="L34" i="3"/>
  <c r="E35" i="3"/>
  <c r="G35" i="3"/>
  <c r="H35" i="3"/>
  <c r="K35" i="3"/>
  <c r="D31" i="3"/>
  <c r="E31" i="3"/>
  <c r="F31" i="3"/>
  <c r="G31" i="3"/>
  <c r="H31" i="3"/>
  <c r="I31" i="3"/>
  <c r="J31" i="3"/>
  <c r="K31" i="3"/>
  <c r="L31" i="3"/>
  <c r="M31" i="3"/>
  <c r="N31" i="3"/>
  <c r="D32" i="3"/>
  <c r="E32" i="3"/>
  <c r="F32" i="3"/>
  <c r="G32" i="3"/>
  <c r="H32" i="3"/>
  <c r="I32" i="3"/>
  <c r="J32" i="3"/>
  <c r="K32" i="3"/>
  <c r="L32" i="3"/>
  <c r="M32" i="3"/>
  <c r="N32" i="3"/>
  <c r="D26" i="3"/>
  <c r="E26" i="3"/>
  <c r="F26" i="3"/>
  <c r="G26" i="3"/>
  <c r="H26" i="3"/>
  <c r="I26" i="3"/>
  <c r="J26" i="3"/>
  <c r="K26" i="3"/>
  <c r="L26" i="3"/>
  <c r="M26" i="3"/>
  <c r="N26" i="3"/>
  <c r="D27" i="3"/>
  <c r="E27" i="3"/>
  <c r="F27" i="3"/>
  <c r="G27" i="3"/>
  <c r="H27" i="3"/>
  <c r="I27" i="3"/>
  <c r="J27" i="3"/>
  <c r="K27" i="3"/>
  <c r="L27" i="3"/>
  <c r="M27" i="3"/>
  <c r="N27" i="3"/>
  <c r="D28" i="3"/>
  <c r="E28" i="3"/>
  <c r="F28" i="3"/>
  <c r="G28" i="3"/>
  <c r="H28" i="3"/>
  <c r="I28" i="3"/>
  <c r="J28" i="3"/>
  <c r="K28" i="3"/>
  <c r="L28" i="3"/>
  <c r="M28" i="3"/>
  <c r="N28" i="3"/>
  <c r="D29" i="3"/>
  <c r="E29" i="3"/>
  <c r="F29" i="3"/>
  <c r="G29" i="3"/>
  <c r="H29" i="3"/>
  <c r="I29" i="3"/>
  <c r="J29" i="3"/>
  <c r="K29" i="3"/>
  <c r="L29" i="3"/>
  <c r="M29" i="3"/>
  <c r="N29" i="3"/>
  <c r="C27" i="3"/>
  <c r="C26" i="3"/>
  <c r="F25" i="3"/>
  <c r="C28" i="3"/>
  <c r="C29" i="3"/>
  <c r="D20" i="3"/>
  <c r="E20" i="3"/>
  <c r="F20" i="3"/>
  <c r="G20" i="3"/>
  <c r="H20" i="3"/>
  <c r="I20" i="3"/>
  <c r="J20" i="3"/>
  <c r="K20" i="3"/>
  <c r="L20" i="3"/>
  <c r="D21" i="3"/>
  <c r="E21" i="3"/>
  <c r="F21" i="3"/>
  <c r="G21" i="3"/>
  <c r="H21" i="3"/>
  <c r="I21" i="3"/>
  <c r="J21" i="3"/>
  <c r="K21" i="3"/>
  <c r="L21" i="3"/>
  <c r="M21" i="3"/>
  <c r="N21" i="3"/>
  <c r="D18" i="3"/>
  <c r="E18" i="3"/>
  <c r="F18" i="3"/>
  <c r="G18" i="3"/>
  <c r="H18" i="3"/>
  <c r="I18" i="3"/>
  <c r="J18" i="3"/>
  <c r="K18" i="3"/>
  <c r="L18" i="3"/>
  <c r="M18" i="3"/>
  <c r="D16" i="3"/>
  <c r="E16" i="3"/>
  <c r="F16" i="3"/>
  <c r="G16" i="3"/>
  <c r="H16" i="3"/>
  <c r="I16" i="3"/>
  <c r="J16" i="3"/>
  <c r="K16" i="3"/>
  <c r="L16" i="3"/>
  <c r="M16" i="3"/>
  <c r="N16" i="3"/>
  <c r="D7" i="3"/>
  <c r="E7" i="3"/>
  <c r="F7" i="3"/>
  <c r="G7" i="3"/>
  <c r="H7" i="3"/>
  <c r="I7" i="3"/>
  <c r="J7" i="3"/>
  <c r="K7" i="3"/>
  <c r="L7" i="3"/>
  <c r="M7" i="3"/>
  <c r="N7" i="3"/>
  <c r="D8" i="3"/>
  <c r="E8" i="3"/>
  <c r="F8" i="3"/>
  <c r="G8" i="3"/>
  <c r="H8" i="3"/>
  <c r="I8" i="3"/>
  <c r="I6" i="3" s="1"/>
  <c r="J8" i="3"/>
  <c r="K8" i="3"/>
  <c r="L8" i="3"/>
  <c r="M8" i="3"/>
  <c r="N8" i="3"/>
  <c r="D9" i="3"/>
  <c r="E9" i="3"/>
  <c r="F9" i="3"/>
  <c r="G9" i="3"/>
  <c r="H9" i="3"/>
  <c r="I9" i="3"/>
  <c r="J9" i="3"/>
  <c r="K9" i="3"/>
  <c r="L9" i="3"/>
  <c r="M9" i="3"/>
  <c r="N9" i="3"/>
  <c r="D10" i="3"/>
  <c r="E10" i="3"/>
  <c r="F10" i="3"/>
  <c r="G10" i="3"/>
  <c r="H10" i="3"/>
  <c r="I10" i="3"/>
  <c r="J10" i="3"/>
  <c r="K10" i="3"/>
  <c r="L10" i="3"/>
  <c r="M10" i="3"/>
  <c r="C48" i="3"/>
  <c r="C47" i="3"/>
  <c r="C46" i="3"/>
  <c r="C45" i="3"/>
  <c r="C42" i="3"/>
  <c r="C41" i="3"/>
  <c r="C40" i="3"/>
  <c r="C39" i="3"/>
  <c r="C38" i="3" s="1"/>
  <c r="C35" i="3"/>
  <c r="C32" i="3"/>
  <c r="C31" i="3"/>
  <c r="C21" i="3"/>
  <c r="C20" i="3"/>
  <c r="C18" i="3"/>
  <c r="C16" i="3"/>
  <c r="C10" i="3"/>
  <c r="C9" i="3"/>
  <c r="C8" i="3"/>
  <c r="C7" i="3"/>
  <c r="B48" i="3"/>
  <c r="B47" i="3"/>
  <c r="B46" i="3"/>
  <c r="E44" i="3"/>
  <c r="B45" i="3"/>
  <c r="B42" i="3"/>
  <c r="B41" i="3"/>
  <c r="B40" i="3"/>
  <c r="B39" i="3"/>
  <c r="B35" i="3"/>
  <c r="B34" i="3"/>
  <c r="B32" i="3"/>
  <c r="B31" i="3"/>
  <c r="B30" i="3" s="1"/>
  <c r="B29" i="3"/>
  <c r="B28" i="3"/>
  <c r="B27" i="3"/>
  <c r="B26" i="3"/>
  <c r="B21" i="3"/>
  <c r="B20" i="3"/>
  <c r="B19" i="3"/>
  <c r="B18" i="3"/>
  <c r="B16" i="3"/>
  <c r="B10" i="3"/>
  <c r="B9" i="3"/>
  <c r="B8" i="3"/>
  <c r="B7" i="3"/>
  <c r="B6" i="3" s="1"/>
  <c r="B5" i="3"/>
  <c r="Q16" i="5"/>
  <c r="C24" i="2"/>
  <c r="O21" i="2"/>
  <c r="C21" i="2"/>
  <c r="O48" i="3"/>
  <c r="C13" i="2"/>
  <c r="O4" i="2"/>
  <c r="O20" i="2" s="1"/>
  <c r="O30" i="2" s="1"/>
  <c r="O34" i="2" s="1"/>
  <c r="O36" i="2" s="1"/>
  <c r="O38" i="2" s="1"/>
  <c r="C8" i="2"/>
  <c r="C4" i="2" s="1"/>
  <c r="C20" i="2" s="1"/>
  <c r="C30" i="2" s="1"/>
  <c r="C34" i="2" s="1"/>
  <c r="C36" i="2" s="1"/>
  <c r="C38" i="2" s="1"/>
  <c r="G52" i="1"/>
  <c r="F52" i="1"/>
  <c r="E52" i="1"/>
  <c r="D52" i="1"/>
  <c r="C44" i="1"/>
  <c r="C41" i="1"/>
  <c r="C31" i="1"/>
  <c r="C30" i="1"/>
  <c r="C20" i="1"/>
  <c r="C16" i="1"/>
  <c r="C13" i="1"/>
  <c r="C8" i="1"/>
  <c r="C4" i="1"/>
  <c r="E30" i="6" l="1"/>
  <c r="AD13" i="5"/>
  <c r="AD6" i="5"/>
  <c r="H51" i="6"/>
  <c r="AG14" i="5"/>
  <c r="J35" i="6"/>
  <c r="AI3" i="5"/>
  <c r="H34" i="6"/>
  <c r="H8" i="6" s="1"/>
  <c r="AG4" i="5"/>
  <c r="AG5" i="5"/>
  <c r="AG12" i="5"/>
  <c r="E34" i="6"/>
  <c r="E8" i="6" s="1"/>
  <c r="AD4" i="5"/>
  <c r="AD5" i="5"/>
  <c r="AD12" i="5"/>
  <c r="I34" i="6"/>
  <c r="I8" i="6" s="1"/>
  <c r="AH4" i="5"/>
  <c r="AH5" i="5"/>
  <c r="AH12" i="5"/>
  <c r="G34" i="6"/>
  <c r="G8" i="6" s="1"/>
  <c r="AF4" i="5"/>
  <c r="AF5" i="5"/>
  <c r="AF12" i="5"/>
  <c r="K35" i="6"/>
  <c r="AJ3" i="5"/>
  <c r="F34" i="6"/>
  <c r="F8" i="6" s="1"/>
  <c r="AE4" i="5"/>
  <c r="AE5" i="5"/>
  <c r="AE12" i="5"/>
  <c r="L35" i="6"/>
  <c r="AK3" i="5"/>
  <c r="M35" i="6"/>
  <c r="AL3" i="5"/>
  <c r="M30" i="6"/>
  <c r="AL13" i="5"/>
  <c r="AL6" i="5"/>
  <c r="AA14" i="3"/>
  <c r="AC3" i="5" s="1"/>
  <c r="AC4" i="5"/>
  <c r="AC5" i="5"/>
  <c r="AC12" i="5"/>
  <c r="G51" i="6"/>
  <c r="AF14" i="5"/>
  <c r="T14" i="3"/>
  <c r="V3" i="5" s="1"/>
  <c r="V4" i="5"/>
  <c r="V5" i="5"/>
  <c r="V12" i="5"/>
  <c r="Q31" i="6"/>
  <c r="Q18" i="6" s="1"/>
  <c r="P12" i="6"/>
  <c r="O30" i="6"/>
  <c r="AN13" i="5"/>
  <c r="AN6" i="5"/>
  <c r="G28" i="6"/>
  <c r="G17" i="6"/>
  <c r="G19" i="6"/>
  <c r="N30" i="6"/>
  <c r="AM13" i="5"/>
  <c r="AM6" i="5"/>
  <c r="L30" i="6"/>
  <c r="AK13" i="5"/>
  <c r="AK6" i="5"/>
  <c r="K30" i="6"/>
  <c r="AJ13" i="5"/>
  <c r="AJ6" i="5"/>
  <c r="J30" i="6"/>
  <c r="AI13" i="5"/>
  <c r="AI6" i="5"/>
  <c r="H30" i="6"/>
  <c r="AG13" i="5"/>
  <c r="G30" i="6"/>
  <c r="AF13" i="5"/>
  <c r="F30" i="6"/>
  <c r="AE13" i="5"/>
  <c r="AE6" i="5"/>
  <c r="AK4" i="5"/>
  <c r="AK5" i="5"/>
  <c r="AK12" i="5"/>
  <c r="AL4" i="5"/>
  <c r="AL5" i="5"/>
  <c r="AL12" i="5"/>
  <c r="AN4" i="5"/>
  <c r="AN5" i="5"/>
  <c r="AN12" i="5"/>
  <c r="AM4" i="5"/>
  <c r="AM5" i="5"/>
  <c r="AM12" i="5"/>
  <c r="AI4" i="5"/>
  <c r="AI5" i="5"/>
  <c r="AI12" i="5"/>
  <c r="AO4" i="5"/>
  <c r="AO5" i="5"/>
  <c r="AO12" i="5"/>
  <c r="AJ4" i="5"/>
  <c r="AJ5" i="5"/>
  <c r="AJ12" i="5"/>
  <c r="U13" i="5"/>
  <c r="U14" i="5"/>
  <c r="U4" i="5"/>
  <c r="S13" i="5"/>
  <c r="S14" i="5"/>
  <c r="R13" i="5"/>
  <c r="R14" i="5"/>
  <c r="P35" i="6"/>
  <c r="P9" i="6" s="1"/>
  <c r="N35" i="6"/>
  <c r="N9" i="6" s="1"/>
  <c r="O35" i="6"/>
  <c r="O9" i="6" s="1"/>
  <c r="I19" i="6"/>
  <c r="I17" i="6"/>
  <c r="D2" i="7"/>
  <c r="E31" i="6"/>
  <c r="E22" i="6"/>
  <c r="E25" i="6"/>
  <c r="E23" i="6"/>
  <c r="E12" i="6"/>
  <c r="F31" i="6"/>
  <c r="F18" i="6" s="1"/>
  <c r="J7" i="6"/>
  <c r="J8" i="6"/>
  <c r="AM48" i="3"/>
  <c r="AN34" i="2"/>
  <c r="AN36" i="2" s="1"/>
  <c r="AN38" i="2" s="1"/>
  <c r="AL48" i="3"/>
  <c r="AM34" i="2"/>
  <c r="AM36" i="2" s="1"/>
  <c r="AM38" i="2" s="1"/>
  <c r="N46" i="6"/>
  <c r="AL30" i="2"/>
  <c r="N28" i="6"/>
  <c r="N17" i="6"/>
  <c r="N19" i="6"/>
  <c r="AC30" i="2"/>
  <c r="E46" i="6"/>
  <c r="AG30" i="2"/>
  <c r="I46" i="6"/>
  <c r="AK34" i="2"/>
  <c r="AK36" i="2" s="1"/>
  <c r="AK38" i="2" s="1"/>
  <c r="AJ48" i="3"/>
  <c r="L2" i="7"/>
  <c r="N31" i="6"/>
  <c r="M25" i="6"/>
  <c r="M22" i="6"/>
  <c r="M12" i="6"/>
  <c r="M23" i="6"/>
  <c r="M31" i="6"/>
  <c r="M9" i="6"/>
  <c r="L46" i="6"/>
  <c r="AJ30" i="2"/>
  <c r="L28" i="6"/>
  <c r="L17" i="6"/>
  <c r="L19" i="6"/>
  <c r="K46" i="6"/>
  <c r="AI30" i="2"/>
  <c r="K17" i="6"/>
  <c r="K19" i="6"/>
  <c r="K28" i="6"/>
  <c r="L14" i="6"/>
  <c r="L6" i="6"/>
  <c r="L7" i="6"/>
  <c r="AF14" i="3"/>
  <c r="N6" i="6"/>
  <c r="N14" i="6"/>
  <c r="N7" i="6"/>
  <c r="M6" i="6"/>
  <c r="M14" i="6"/>
  <c r="M7" i="6"/>
  <c r="AE14" i="3"/>
  <c r="P7" i="6"/>
  <c r="P6" i="6"/>
  <c r="P14" i="6"/>
  <c r="O14" i="6"/>
  <c r="O6" i="6"/>
  <c r="O7" i="6"/>
  <c r="I14" i="6"/>
  <c r="I7" i="6"/>
  <c r="I6" i="6"/>
  <c r="G14" i="6"/>
  <c r="G6" i="6"/>
  <c r="G7" i="6"/>
  <c r="AD14" i="3"/>
  <c r="H14" i="6"/>
  <c r="H7" i="6"/>
  <c r="H6" i="6"/>
  <c r="K7" i="6"/>
  <c r="K14" i="6"/>
  <c r="K6" i="6"/>
  <c r="E6" i="6"/>
  <c r="E14" i="6"/>
  <c r="E7" i="6"/>
  <c r="F14" i="6"/>
  <c r="F6" i="6"/>
  <c r="F7" i="6"/>
  <c r="AB14" i="3"/>
  <c r="AC14" i="3"/>
  <c r="AG48" i="3"/>
  <c r="AH34" i="2"/>
  <c r="AH36" i="2" s="1"/>
  <c r="AH38" i="2" s="1"/>
  <c r="J6" i="6"/>
  <c r="J14" i="6"/>
  <c r="C17" i="4"/>
  <c r="B25" i="3"/>
  <c r="C44" i="3"/>
  <c r="M15" i="3"/>
  <c r="M13" i="3" s="1"/>
  <c r="M14" i="3" s="1"/>
  <c r="J25" i="3"/>
  <c r="N15" i="3"/>
  <c r="O50" i="1"/>
  <c r="I25" i="3"/>
  <c r="M6" i="3"/>
  <c r="T46" i="3"/>
  <c r="B38" i="3"/>
  <c r="B44" i="3"/>
  <c r="M25" i="3"/>
  <c r="H38" i="3"/>
  <c r="I51" i="1"/>
  <c r="Q14" i="5"/>
  <c r="B15" i="3"/>
  <c r="I11" i="5"/>
  <c r="M26" i="1"/>
  <c r="N9" i="5" s="1"/>
  <c r="I26" i="1"/>
  <c r="E26" i="1"/>
  <c r="E51" i="1"/>
  <c r="Q13" i="5"/>
  <c r="F44" i="3"/>
  <c r="Q15" i="5"/>
  <c r="L26" i="1"/>
  <c r="M9" i="5" s="1"/>
  <c r="H26" i="1"/>
  <c r="D26" i="1"/>
  <c r="M51" i="1"/>
  <c r="B49" i="3"/>
  <c r="E38" i="3"/>
  <c r="E49" i="3" s="1"/>
  <c r="C26" i="1"/>
  <c r="Q9" i="5"/>
  <c r="D38" i="3"/>
  <c r="F38" i="3"/>
  <c r="F49" i="3" s="1"/>
  <c r="E11" i="5"/>
  <c r="K26" i="1"/>
  <c r="J5" i="3" s="1"/>
  <c r="L14" i="5" s="1"/>
  <c r="G26" i="1"/>
  <c r="F5" i="3" s="1"/>
  <c r="H14" i="5" s="1"/>
  <c r="H34" i="3"/>
  <c r="D34" i="3"/>
  <c r="G9" i="5"/>
  <c r="K51" i="1"/>
  <c r="G51" i="1"/>
  <c r="F16" i="4"/>
  <c r="F9" i="4"/>
  <c r="M11" i="5"/>
  <c r="L38" i="1"/>
  <c r="L51" i="1" s="1"/>
  <c r="H38" i="1"/>
  <c r="H51" i="1" s="1"/>
  <c r="D38" i="1"/>
  <c r="D51" i="1" s="1"/>
  <c r="P15" i="5"/>
  <c r="P16" i="5"/>
  <c r="N41" i="3"/>
  <c r="O26" i="1"/>
  <c r="O51" i="1"/>
  <c r="G38" i="3"/>
  <c r="H44" i="3"/>
  <c r="D44" i="3"/>
  <c r="G44" i="3"/>
  <c r="L6" i="3"/>
  <c r="H6" i="3"/>
  <c r="D6" i="3"/>
  <c r="F30" i="3"/>
  <c r="C6" i="3"/>
  <c r="N6" i="3"/>
  <c r="J6" i="3"/>
  <c r="E25" i="3"/>
  <c r="E30" i="3"/>
  <c r="E6" i="3"/>
  <c r="I5" i="3"/>
  <c r="K14" i="5" s="1"/>
  <c r="K9" i="5"/>
  <c r="K10" i="5"/>
  <c r="L5" i="3"/>
  <c r="N14" i="5" s="1"/>
  <c r="J10" i="5"/>
  <c r="H5" i="3"/>
  <c r="J14" i="5" s="1"/>
  <c r="J9" i="5"/>
  <c r="D5" i="3"/>
  <c r="F14" i="5" s="1"/>
  <c r="F9" i="5"/>
  <c r="F10" i="5"/>
  <c r="O9" i="5"/>
  <c r="M5" i="3"/>
  <c r="O14" i="5" s="1"/>
  <c r="O10" i="5"/>
  <c r="G10" i="5"/>
  <c r="E5" i="3"/>
  <c r="G14" i="5" s="1"/>
  <c r="K5" i="3"/>
  <c r="M14" i="5" s="1"/>
  <c r="I9" i="5"/>
  <c r="I10" i="5"/>
  <c r="G5" i="3"/>
  <c r="I14" i="5" s="1"/>
  <c r="E10" i="5"/>
  <c r="C5" i="3"/>
  <c r="E14" i="5" s="1"/>
  <c r="E9" i="5"/>
  <c r="N38" i="1"/>
  <c r="F38" i="1"/>
  <c r="F51" i="1" s="1"/>
  <c r="N18" i="5"/>
  <c r="F18" i="5"/>
  <c r="N11" i="5"/>
  <c r="Q10" i="5"/>
  <c r="O11" i="5"/>
  <c r="J38" i="1"/>
  <c r="J51" i="1" s="1"/>
  <c r="C15" i="3"/>
  <c r="C13" i="3" s="1"/>
  <c r="E12" i="5" s="1"/>
  <c r="D15" i="3"/>
  <c r="F6" i="5" s="1"/>
  <c r="G11" i="5"/>
  <c r="F6" i="3"/>
  <c r="E15" i="3"/>
  <c r="E13" i="3" s="1"/>
  <c r="P18" i="5"/>
  <c r="L18" i="5"/>
  <c r="H18" i="5"/>
  <c r="L10" i="5"/>
  <c r="F13" i="5"/>
  <c r="L9" i="5"/>
  <c r="N34" i="3"/>
  <c r="J34" i="3"/>
  <c r="F34" i="3"/>
  <c r="Q6" i="5"/>
  <c r="C50" i="1"/>
  <c r="L25" i="3"/>
  <c r="D25" i="3"/>
  <c r="J15" i="3"/>
  <c r="L6" i="5" s="1"/>
  <c r="O4" i="5"/>
  <c r="C38" i="1"/>
  <c r="N25" i="3"/>
  <c r="L13" i="5"/>
  <c r="H25" i="3"/>
  <c r="F15" i="3"/>
  <c r="I15" i="3"/>
  <c r="I13" i="3" s="1"/>
  <c r="K4" i="5" s="1"/>
  <c r="O13" i="5"/>
  <c r="K13" i="5"/>
  <c r="H30" i="3"/>
  <c r="L15" i="3"/>
  <c r="H15" i="3"/>
  <c r="K25" i="3"/>
  <c r="G25" i="3"/>
  <c r="G30" i="3"/>
  <c r="E6" i="5"/>
  <c r="C30" i="3"/>
  <c r="G12" i="5"/>
  <c r="D30" i="3"/>
  <c r="K6" i="3"/>
  <c r="G6" i="3"/>
  <c r="C25" i="3"/>
  <c r="K15" i="3"/>
  <c r="G15" i="3"/>
  <c r="C49" i="3"/>
  <c r="J51" i="6" l="1"/>
  <c r="AI14" i="5"/>
  <c r="F35" i="6"/>
  <c r="F9" i="6" s="1"/>
  <c r="AE3" i="5"/>
  <c r="E35" i="6"/>
  <c r="E9" i="6" s="1"/>
  <c r="AD3" i="5"/>
  <c r="G35" i="6"/>
  <c r="G9" i="6" s="1"/>
  <c r="AF3" i="5"/>
  <c r="H35" i="6"/>
  <c r="H9" i="6" s="1"/>
  <c r="AG3" i="5"/>
  <c r="I35" i="6"/>
  <c r="I9" i="6" s="1"/>
  <c r="AH3" i="5"/>
  <c r="M51" i="6"/>
  <c r="AL14" i="5"/>
  <c r="O51" i="6"/>
  <c r="AN14" i="5"/>
  <c r="P51" i="6"/>
  <c r="AO14" i="5"/>
  <c r="E2" i="7"/>
  <c r="F22" i="6"/>
  <c r="F25" i="6"/>
  <c r="F23" i="6"/>
  <c r="F12" i="6"/>
  <c r="F2" i="7"/>
  <c r="G31" i="6"/>
  <c r="G22" i="6"/>
  <c r="G25" i="6"/>
  <c r="G23" i="6"/>
  <c r="G12" i="6"/>
  <c r="I31" i="6"/>
  <c r="G2" i="7"/>
  <c r="H31" i="6"/>
  <c r="H22" i="6"/>
  <c r="H25" i="6"/>
  <c r="H23" i="6"/>
  <c r="H12" i="6"/>
  <c r="J31" i="6"/>
  <c r="I2" i="7"/>
  <c r="J25" i="6"/>
  <c r="J22" i="6"/>
  <c r="J12" i="6"/>
  <c r="J23" i="6"/>
  <c r="J2" i="7"/>
  <c r="K22" i="6"/>
  <c r="K25" i="6"/>
  <c r="K23" i="6"/>
  <c r="K12" i="6"/>
  <c r="K31" i="6"/>
  <c r="L23" i="6"/>
  <c r="K2" i="7"/>
  <c r="L25" i="6"/>
  <c r="L22" i="6"/>
  <c r="L12" i="6"/>
  <c r="L31" i="6"/>
  <c r="N12" i="6"/>
  <c r="N23" i="6"/>
  <c r="M2" i="7"/>
  <c r="N22" i="6"/>
  <c r="N25" i="6"/>
  <c r="O12" i="6"/>
  <c r="N2" i="7"/>
  <c r="O22" i="6"/>
  <c r="O25" i="6"/>
  <c r="O23" i="6"/>
  <c r="P31" i="6"/>
  <c r="O31" i="6"/>
  <c r="G18" i="6"/>
  <c r="L9" i="6"/>
  <c r="K9" i="6"/>
  <c r="J9" i="6"/>
  <c r="H18" i="6"/>
  <c r="AF48" i="3"/>
  <c r="AG34" i="2"/>
  <c r="AG36" i="2" s="1"/>
  <c r="AG38" i="2" s="1"/>
  <c r="AC34" i="2"/>
  <c r="AC36" i="2" s="1"/>
  <c r="AC38" i="2" s="1"/>
  <c r="AB48" i="3"/>
  <c r="AK48" i="3"/>
  <c r="AL34" i="2"/>
  <c r="AL36" i="2" s="1"/>
  <c r="AL38" i="2" s="1"/>
  <c r="M18" i="6"/>
  <c r="AJ34" i="2"/>
  <c r="AJ36" i="2" s="1"/>
  <c r="AJ38" i="2" s="1"/>
  <c r="AI48" i="3"/>
  <c r="AH48" i="3"/>
  <c r="AI34" i="2"/>
  <c r="AI36" i="2" s="1"/>
  <c r="AI38" i="2" s="1"/>
  <c r="F17" i="4"/>
  <c r="G6" i="5"/>
  <c r="H13" i="5"/>
  <c r="E5" i="5"/>
  <c r="G13" i="5"/>
  <c r="H49" i="3"/>
  <c r="N51" i="1"/>
  <c r="N52" i="1" s="1"/>
  <c r="E13" i="5"/>
  <c r="D49" i="3"/>
  <c r="D13" i="3"/>
  <c r="F4" i="5" s="1"/>
  <c r="N5" i="3"/>
  <c r="P6" i="5" s="1"/>
  <c r="E14" i="3"/>
  <c r="G3" i="5" s="1"/>
  <c r="G4" i="5"/>
  <c r="C14" i="3"/>
  <c r="E3" i="5" s="1"/>
  <c r="E4" i="5"/>
  <c r="M10" i="5"/>
  <c r="B13" i="3"/>
  <c r="D6" i="5"/>
  <c r="P10" i="5"/>
  <c r="J13" i="5"/>
  <c r="N10" i="5"/>
  <c r="G49" i="3"/>
  <c r="H6" i="5"/>
  <c r="M13" i="5"/>
  <c r="H9" i="5"/>
  <c r="H10" i="5"/>
  <c r="N48" i="3"/>
  <c r="O52" i="1"/>
  <c r="N13" i="5"/>
  <c r="N13" i="3"/>
  <c r="J6" i="5"/>
  <c r="I13" i="5"/>
  <c r="H13" i="3"/>
  <c r="J4" i="5" s="1"/>
  <c r="Q3" i="5"/>
  <c r="G5" i="5"/>
  <c r="P9" i="5"/>
  <c r="J13" i="3"/>
  <c r="L4" i="5" s="1"/>
  <c r="O6" i="5"/>
  <c r="C51" i="1"/>
  <c r="F13" i="3"/>
  <c r="K6" i="5"/>
  <c r="H14" i="3"/>
  <c r="J3" i="5" s="1"/>
  <c r="G13" i="3"/>
  <c r="I4" i="5" s="1"/>
  <c r="I6" i="5"/>
  <c r="O3" i="5"/>
  <c r="O12" i="5"/>
  <c r="O5" i="5"/>
  <c r="J14" i="3"/>
  <c r="L3" i="5" s="1"/>
  <c r="K13" i="3"/>
  <c r="M4" i="5" s="1"/>
  <c r="M6" i="5"/>
  <c r="L13" i="3"/>
  <c r="N4" i="5" s="1"/>
  <c r="N6" i="5"/>
  <c r="D14" i="3"/>
  <c r="F3" i="5" s="1"/>
  <c r="F12" i="5"/>
  <c r="F5" i="5"/>
  <c r="I14" i="3"/>
  <c r="K3" i="5" s="1"/>
  <c r="K12" i="5"/>
  <c r="K5" i="5"/>
  <c r="K51" i="6" l="1"/>
  <c r="K18" i="6" s="1"/>
  <c r="AJ14" i="5"/>
  <c r="L51" i="6"/>
  <c r="L18" i="6" s="1"/>
  <c r="AK14" i="5"/>
  <c r="N51" i="6"/>
  <c r="N18" i="6" s="1"/>
  <c r="AM14" i="5"/>
  <c r="E51" i="6"/>
  <c r="E18" i="6" s="1"/>
  <c r="AD14" i="5"/>
  <c r="I51" i="6"/>
  <c r="I18" i="6" s="1"/>
  <c r="AH14" i="5"/>
  <c r="P18" i="6"/>
  <c r="O18" i="6"/>
  <c r="J18" i="6"/>
  <c r="L12" i="5"/>
  <c r="P14" i="5"/>
  <c r="P13" i="5"/>
  <c r="Q12" i="5"/>
  <c r="H12" i="5"/>
  <c r="H4" i="5"/>
  <c r="J5" i="5"/>
  <c r="B14" i="3"/>
  <c r="D3" i="5" s="1"/>
  <c r="D5" i="5"/>
  <c r="D4" i="5"/>
  <c r="F14" i="3"/>
  <c r="H3" i="5" s="1"/>
  <c r="J12" i="5"/>
  <c r="Q5" i="5"/>
  <c r="Q4" i="5"/>
  <c r="P5" i="5"/>
  <c r="P4" i="5"/>
  <c r="N14" i="3"/>
  <c r="P3" i="5" s="1"/>
  <c r="P12" i="5"/>
  <c r="L5" i="5"/>
  <c r="H5" i="5"/>
  <c r="K14" i="3"/>
  <c r="M3" i="5" s="1"/>
  <c r="M12" i="5"/>
  <c r="M5" i="5"/>
  <c r="L14" i="3"/>
  <c r="N3" i="5" s="1"/>
  <c r="N12" i="5"/>
  <c r="N5" i="5"/>
  <c r="G14" i="3"/>
  <c r="I3" i="5" s="1"/>
  <c r="I12" i="5"/>
  <c r="I5" i="5"/>
</calcChain>
</file>

<file path=xl/sharedStrings.xml><?xml version="1.0" encoding="utf-8"?>
<sst xmlns="http://schemas.openxmlformats.org/spreadsheetml/2006/main" count="395" uniqueCount="345">
  <si>
    <t>FORM 6 SASRA2/006</t>
  </si>
  <si>
    <t xml:space="preserve"> STATEMENT OF FINANCIAL POSITION</t>
  </si>
  <si>
    <t>FINANCIAL YEAR  2020</t>
  </si>
  <si>
    <t>Aud-20</t>
  </si>
  <si>
    <t>Audited 2021</t>
  </si>
  <si>
    <t>Audit 2022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</si>
  <si>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</si>
  <si>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</si>
  <si>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</si>
  <si>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</si>
  <si>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</si>
  <si>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</si>
  <si>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</si>
  <si>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</si>
  <si>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</si>
  <si>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</si>
  <si>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</si>
  <si>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</si>
  <si>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</si>
  <si>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</si>
  <si>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</si>
  <si>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</si>
  <si>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</si>
  <si>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</si>
  <si>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</si>
  <si>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</si>
  <si>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</si>
  <si>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</si>
  <si>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</si>
  <si>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</si>
  <si>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</si>
  <si>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</si>
  <si>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</si>
  <si>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</si>
  <si>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</si>
  <si>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</si>
  <si>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</si>
  <si>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</si>
  <si>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</si>
  <si>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</si>
  <si>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</si>
  <si>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</si>
  <si>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</si>
  <si>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</si>
  <si>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</si>
  <si>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</si>
  <si>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</si>
  <si>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</si>
  <si>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</si>
  <si>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</si>
  <si>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</si>
  <si>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</si>
  <si>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</si>
  <si>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</si>
  <si>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</si>
  <si>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</si>
  <si>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Short term liabilities</t>
  </si>
  <si>
    <t>FORM  7 SASRA/007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</si>
  <si>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</si>
  <si>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</si>
  <si>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</si>
  <si>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</si>
  <si>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</si>
  <si>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</si>
  <si>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</si>
  <si>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</si>
  <si>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</si>
  <si>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</si>
  <si>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</si>
  <si>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</si>
  <si>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</si>
  <si>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</si>
  <si>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</si>
  <si>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</si>
  <si>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</si>
  <si>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</si>
  <si>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</si>
  <si>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</si>
  <si>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</si>
  <si>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</si>
  <si>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</si>
  <si>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</si>
  <si>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</si>
  <si>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</si>
  <si>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</si>
  <si>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</si>
  <si>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</si>
  <si>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</si>
  <si>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</si>
  <si>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2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</si>
  <si>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</si>
  <si>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</si>
  <si>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</si>
  <si>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Total expenses</t>
  </si>
  <si>
    <t>Nyala Vision SACCO FINANCIALS</t>
  </si>
  <si>
    <t>Year/month</t>
  </si>
  <si>
    <t>Aud- 21</t>
  </si>
  <si>
    <t>Membership</t>
  </si>
  <si>
    <t>Total Deposits</t>
  </si>
  <si>
    <t>Deposits-Members(BOSA)</t>
  </si>
  <si>
    <t>Deposits-Customers(FOSA)</t>
  </si>
  <si>
    <t>Deposits-Term</t>
  </si>
  <si>
    <t>External Borrowing</t>
  </si>
  <si>
    <t>Share capital and Reserves</t>
  </si>
  <si>
    <t>Core Capital</t>
  </si>
  <si>
    <t>Institutional Capital</t>
  </si>
  <si>
    <t>Total Capital</t>
  </si>
  <si>
    <t>Members Share Capital</t>
  </si>
  <si>
    <t>Entrance Fees</t>
  </si>
  <si>
    <t>Appropriation Account</t>
  </si>
  <si>
    <t>Statutory Reserves</t>
  </si>
  <si>
    <t>Capital Reserves</t>
  </si>
  <si>
    <t>Supplementary Capital &amp; reserves</t>
  </si>
  <si>
    <t>Benevolent  Fund</t>
  </si>
  <si>
    <t>Investments</t>
  </si>
  <si>
    <t>Govt bills</t>
  </si>
  <si>
    <t xml:space="preserve"> Investments in naccos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</si>
  <si>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</si>
  <si>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</si>
  <si>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</si>
  <si>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</si>
  <si>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</si>
  <si>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</si>
  <si>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Property and Equipment</t>
  </si>
  <si>
    <t>Turnover</t>
  </si>
  <si>
    <t>Loan Interest</t>
  </si>
  <si>
    <t>Yield on loans</t>
  </si>
  <si>
    <t>Income from investments</t>
  </si>
  <si>
    <t>Fees &amp; Commissions</t>
  </si>
  <si>
    <t>Finanacial and Operating costs</t>
  </si>
  <si>
    <t>Interest expense on deposits</t>
  </si>
  <si>
    <t>Dividend expense on share capital</t>
  </si>
  <si>
    <t>Interest expense on borrowed funds</t>
  </si>
  <si>
    <t>Operating expenses</t>
  </si>
  <si>
    <t>Net Surplus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</si>
  <si>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</si>
  <si>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</si>
  <si>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</si>
  <si>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</si>
  <si>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</si>
  <si>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</si>
  <si>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</si>
  <si>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</si>
  <si>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</si>
  <si>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</si>
  <si>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</si>
  <si>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</si>
  <si>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</si>
  <si>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NYALA SACCO CAELS 2020</t>
  </si>
  <si>
    <t>Regulatory Stds</t>
  </si>
  <si>
    <t>Audited 2022</t>
  </si>
  <si>
    <t>CAPITAL ADEQUACY</t>
  </si>
  <si>
    <t>10 M</t>
  </si>
  <si>
    <t>CCA</t>
  </si>
  <si>
    <t>CCD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</si>
  <si>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</si>
  <si>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</si>
  <si>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</si>
  <si>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</si>
  <si>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</si>
  <si>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</si>
  <si>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</si>
  <si>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</si>
  <si>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EARNINGS</t>
  </si>
  <si>
    <t>Non-Government Investment to Deposit ratio</t>
  </si>
  <si>
    <t>Non-Government Investment to Core Capital ratio</t>
  </si>
  <si>
    <t>Max 40%</t>
  </si>
  <si>
    <t>Gross loans/TA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</si>
  <si>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</si>
  <si>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</si>
  <si>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</si>
  <si>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</si>
  <si>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</si>
  <si>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</si>
  <si>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</si>
  <si>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>NYALA VISION SACCO SOCIETY LIMITED</t>
  </si>
  <si>
    <t>PERFORMANCE AND COMPLIANCE REPORT AS AT :  31st March , 2023</t>
  </si>
  <si>
    <t>Prudential Standard</t>
  </si>
  <si>
    <t>Audited</t>
  </si>
  <si>
    <t>A. CAPITAL  ADEQUACY</t>
  </si>
  <si>
    <t xml:space="preserve">Core Capital 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</si>
  <si>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10M</t>
    </r>
  </si>
  <si>
    <t>Core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</si>
  <si>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10%</t>
    </r>
  </si>
  <si>
    <t>Core Capital/Total Deposits</t>
  </si>
  <si>
    <t>Institutional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</si>
  <si>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</si>
  <si>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</si>
  <si>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</si>
  <si>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</si>
  <si>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</si>
  <si>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</si>
  <si>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</si>
  <si>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</si>
  <si>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</si>
  <si>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</si>
  <si>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</si>
  <si>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</si>
  <si>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</si>
  <si>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</si>
  <si>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</si>
  <si>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</si>
  <si>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</si>
  <si>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</si>
  <si>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</si>
  <si>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</si>
  <si>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</si>
  <si>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</si>
  <si>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</si>
  <si>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</si>
  <si>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</si>
  <si>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</si>
  <si>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</si>
  <si>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Average Assets</t>
  </si>
  <si>
    <t>Gross Loans</t>
  </si>
  <si>
    <t>Non-performing Loans</t>
  </si>
  <si>
    <t>Equity Investments</t>
  </si>
  <si>
    <t>Liquid Assets</t>
  </si>
  <si>
    <t>Short-term Liabilities)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</si>
  <si>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</si>
  <si>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</si>
  <si>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</si>
  <si>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</si>
  <si>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</si>
  <si>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</si>
  <si>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</si>
  <si>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</si>
  <si>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DISCLAIMER: This report is prepared based on information submitted by the Sacco as at the stated date and may change upon verification by the Authority.</t>
  </si>
  <si>
    <t>Accounts</t>
  </si>
  <si>
    <t>Audit 2020</t>
  </si>
  <si>
    <t>Audit 2021</t>
  </si>
  <si>
    <t>Assets</t>
  </si>
  <si>
    <t>Deposits</t>
  </si>
  <si>
    <t>FORM 4B:</t>
  </si>
  <si>
    <t>NYALA VISION</t>
  </si>
  <si>
    <t xml:space="preserve"> SECTORAL LENDING RETURN</t>
  </si>
  <si>
    <t>Sacco Society CS Number:</t>
  </si>
  <si>
    <t>Financial Year</t>
  </si>
  <si>
    <t>SASRA/GG/2/2019  : SECTORAL CLASSIFICATION OF CREDIT FINANCING BY DT-SACCOS</t>
  </si>
  <si>
    <t>LOANS &amp;</t>
  </si>
  <si>
    <t>Code</t>
  </si>
  <si>
    <t>ECONOMIC SECTORS</t>
  </si>
  <si>
    <t>ADVANCES</t>
  </si>
  <si>
    <t>Refinancing</t>
  </si>
  <si>
    <t>AGRICULTURE</t>
  </si>
  <si>
    <t>1100   Crop Farming</t>
  </si>
  <si>
    <t xml:space="preserve">           1110  Tea</t>
  </si>
  <si>
    <t xml:space="preserve">           1120   Coffee</t>
  </si>
  <si>
    <t xml:space="preserve">           1130   Sugarcane</t>
  </si>
  <si>
    <t xml:space="preserve">           1140   Others, cotton, sisal etc</t>
  </si>
  <si>
    <t xml:space="preserve">           1150   Cereals such as maize, wheat, sorghum. Millet etc</t>
  </si>
  <si>
    <t xml:space="preserve">           1160   Legumes such as beans, peas, snow peas, cow peas, french beans etc</t>
  </si>
  <si>
    <t xml:space="preserve">           1170   Horticulture crops such as vegetables, fruits, flowers</t>
  </si>
  <si>
    <t xml:space="preserve">           1180   Roots &amp; tubers such as Irish potatoes, sweet potatoes and cassava</t>
  </si>
  <si>
    <t>1200   Animal Production</t>
  </si>
  <si>
    <t xml:space="preserve">           1210   Dairy farming</t>
  </si>
  <si>
    <t xml:space="preserve">           1220   Beef Production</t>
  </si>
  <si>
    <t xml:space="preserve">           1230   Poultry Farming</t>
  </si>
  <si>
    <t xml:space="preserve">           1240   Bee keeping</t>
  </si>
  <si>
    <t xml:space="preserve">           1250   Rabbit Farming</t>
  </si>
  <si>
    <t xml:space="preserve">           1260   Sheep and Goat Rearing</t>
  </si>
  <si>
    <t xml:space="preserve">           1270   Pig Farming</t>
  </si>
  <si>
    <t xml:space="preserve">           1280   Others</t>
  </si>
  <si>
    <t>1300   Agricultural supporting services</t>
  </si>
  <si>
    <t xml:space="preserve">           1310   Agricultural machinery such as truck, tractors and other farm tools</t>
  </si>
  <si>
    <t xml:space="preserve">           1320   Water, Irrigation and supporting services</t>
  </si>
  <si>
    <t xml:space="preserve">           1330   Veterinary and related services</t>
  </si>
  <si>
    <t>1400   Agribusiness</t>
  </si>
  <si>
    <t xml:space="preserve">           1410   Agricultural equipment and accessories</t>
  </si>
  <si>
    <t xml:space="preserve">           1420   Dealers in agro-chemicals, seeds and other farm inputs</t>
  </si>
  <si>
    <t xml:space="preserve">           1430   Distribution of farm produce</t>
  </si>
  <si>
    <t>1500   Forestry and Logging</t>
  </si>
  <si>
    <t xml:space="preserve">           1510   Agro-forestry</t>
  </si>
  <si>
    <t>TRADE</t>
  </si>
  <si>
    <t>2100   Wholesale and Retail</t>
  </si>
  <si>
    <t xml:space="preserve">           2110   Wholesale</t>
  </si>
  <si>
    <t xml:space="preserve">           2120   Retail</t>
  </si>
  <si>
    <t>2200   Transport</t>
  </si>
  <si>
    <t xml:space="preserve">           2210   Public service transport</t>
  </si>
  <si>
    <t xml:space="preserve">           2220   Purchase of motorvehicle accessories</t>
  </si>
  <si>
    <t xml:space="preserve">           2230   Transportation of goods</t>
  </si>
  <si>
    <t>2300   Hospitality</t>
  </si>
  <si>
    <t xml:space="preserve">           2310   Accomodation, restaurants, conference facilities, event planning &amp; outside                               catering, theme parks (wedding and others)</t>
  </si>
  <si>
    <t xml:space="preserve">           2320   Schools and kindergartens</t>
  </si>
  <si>
    <t xml:space="preserve">           2330   Medical clinics and equipment</t>
  </si>
  <si>
    <t>2400   Foreign Trade</t>
  </si>
  <si>
    <t xml:space="preserve">           2410   Import</t>
  </si>
  <si>
    <t xml:space="preserve">           2420   Export</t>
  </si>
  <si>
    <t>MANUFACTURING AND SERVICING INDUSTRIES</t>
  </si>
  <si>
    <t>3100   Cottage Industry</t>
  </si>
  <si>
    <t xml:space="preserve">           3110   Jua kali Industry</t>
  </si>
  <si>
    <t xml:space="preserve">           3120   Small scale Agricultural Produce processing</t>
  </si>
  <si>
    <t xml:space="preserve">           3130   Dressmaking Industry</t>
  </si>
  <si>
    <t xml:space="preserve">           3140   Leather tanning</t>
  </si>
  <si>
    <t xml:space="preserve">           3150   Carving and handcrafts</t>
  </si>
  <si>
    <t>3200   Servicing Industry</t>
  </si>
  <si>
    <t xml:space="preserve">           3210   Motorvehicle repairs</t>
  </si>
  <si>
    <t xml:space="preserve">           3220   Professional services such as Barber shops</t>
  </si>
  <si>
    <t xml:space="preserve">           3230   Working capital for learning institutions, churches &amp; business enterprises</t>
  </si>
  <si>
    <t xml:space="preserve">           3240   Promotion of local tourism</t>
  </si>
  <si>
    <t>3300   Information, Communication and Technology</t>
  </si>
  <si>
    <t xml:space="preserve">           3310   Computer services and Internet</t>
  </si>
  <si>
    <t xml:space="preserve">           3320   Computer software and hardware</t>
  </si>
  <si>
    <t xml:space="preserve">           3330   Telecommunication Equipment</t>
  </si>
  <si>
    <t xml:space="preserve">EDUCATION </t>
  </si>
  <si>
    <t>4100   Education and related services</t>
  </si>
  <si>
    <t xml:space="preserve">            4110   School fees for primary and secondary schools including shopping and accomodation</t>
  </si>
  <si>
    <t xml:space="preserve">            4120   College fees, University fees, training fees, seminar fees</t>
  </si>
  <si>
    <t xml:space="preserve">            4130   Research and scientific activities etc</t>
  </si>
  <si>
    <t>HUMAN HEALTH</t>
  </si>
  <si>
    <t>5100   Human health and related services</t>
  </si>
  <si>
    <t xml:space="preserve">           5110   Medical Bills, purchase of medicine</t>
  </si>
  <si>
    <t xml:space="preserve">           5120   Maternity Bills and expenses</t>
  </si>
  <si>
    <t>LAND AND HOUSING</t>
  </si>
  <si>
    <t>6100   Land</t>
  </si>
  <si>
    <t xml:space="preserve">           6110   Purchase of plots</t>
  </si>
  <si>
    <t xml:space="preserve">           6120   Land purchase services such as surveying and valuation</t>
  </si>
  <si>
    <t>6200   Housing</t>
  </si>
  <si>
    <t xml:space="preserve">           6210   Construction of multiple residential buildings</t>
  </si>
  <si>
    <t xml:space="preserve">           6220   Construction of commercial buildings</t>
  </si>
  <si>
    <t xml:space="preserve">           6230   Construction of single residential dwelling units</t>
  </si>
  <si>
    <t xml:space="preserve">           6240   Renoivations of the buildings</t>
  </si>
  <si>
    <t>FINANCE, INVESTMENTS AND INSURANCE</t>
  </si>
  <si>
    <t>7100   Microfinance</t>
  </si>
  <si>
    <t xml:space="preserve">           7110   Payment to microfinance loans</t>
  </si>
  <si>
    <t>7200   Commercial Banks</t>
  </si>
  <si>
    <t xml:space="preserve">           7210   Payment to Commercial bank loans</t>
  </si>
  <si>
    <t>7300   Mortgage Finance</t>
  </si>
  <si>
    <t xml:space="preserve">           7310   Purchase of residential property/payments to mortgage loans in other financial institutions</t>
  </si>
  <si>
    <t>7400   Insurance</t>
  </si>
  <si>
    <t xml:space="preserve">           7410   Payment to insurance policies</t>
  </si>
  <si>
    <t>7500   Investments</t>
  </si>
  <si>
    <t xml:space="preserve">           7510   Buying of Sacco shares</t>
  </si>
  <si>
    <t xml:space="preserve">           7520   purchase of quote shares, unquoted shares, treasury bills &amp; bonds, commercial papers, unit trusts and other quoted public funds</t>
  </si>
  <si>
    <t xml:space="preserve">           7530   Paying personal debtsto non-registered institutions</t>
  </si>
  <si>
    <t>CONSUMPTION AND SOCIAL SERVICES</t>
  </si>
  <si>
    <t>8100   Utilities</t>
  </si>
  <si>
    <t xml:space="preserve">           8110   Expenses incurred relating to car and electronic repairs, bills like electricity, sewer, water, telephone, decoder, personal debts to family members and friends etc.</t>
  </si>
  <si>
    <t>8200   Utilities</t>
  </si>
  <si>
    <t xml:space="preserve">           8210   Household necessities like food, beverages and basic household products.</t>
  </si>
  <si>
    <t>8300   Consumer Durables</t>
  </si>
  <si>
    <t xml:space="preserve">           8310   Goods that do not wear out quickly like automobiles(cars), books, household(home appliances, consumer electronics, furniture, tools etc) sports equipment, jewellery, toys etc</t>
  </si>
  <si>
    <t>8400   Social and communal expenses</t>
  </si>
  <si>
    <t xml:space="preserve">           8410   Burial expenses, wedding expenses, rites of passage expenses.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</si>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</sst>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[$-10409]#,##0.00;\-\ #,##0.00"/>
    <numFmt numFmtId="167" formatCode="_(* #,##0.00_);_(* \(#,##0.00\);_(* \-??_);_(@_)"/>
    <numFmt numFmtId="168" formatCode="_(* #,##0_);_(* \(#,##0\);_(* \-??_);_(@_)"/>
    <numFmt numFmtId="169" formatCode="[$-10409]0.00;\-\ 0.00"/>
    <numFmt numFmtId="170" formatCode="0.0%"/>
    <numFmt numFmtId="171" formatCode="[$-10409]#,##0;\-\ #,##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mbria"/>
      <family val="1"/>
    </font>
    <font>
      <b/>
      <sz val="10"/>
      <name val="Cambria"/>
      <family val="1"/>
    </font>
    <font>
      <sz val="10"/>
      <color indexed="8"/>
      <name val="Cambria"/>
      <family val="1"/>
    </font>
    <font>
      <sz val="10"/>
      <name val="Arial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color rgb="FF000000"/>
      <name val="Cambria"/>
      <family val="1"/>
    </font>
    <font>
      <sz val="10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1"/>
      <name val="Cambria"/>
      <family val="1"/>
    </font>
    <font>
      <sz val="11"/>
      <name val="Cambria"/>
      <family val="1"/>
    </font>
    <font>
      <sz val="10"/>
      <color indexed="8"/>
      <name val="Arial"/>
      <family val="2"/>
    </font>
    <font>
      <sz val="7.5"/>
      <name val="Cambria"/>
      <family val="1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Book Antiqua"/>
      <family val="1"/>
    </font>
    <font>
      <sz val="11"/>
      <name val="Book Antiqua"/>
      <family val="1"/>
    </font>
    <font>
      <sz val="10"/>
      <name val="Arial"/>
    </font>
    <font>
      <sz val="10"/>
      <color rgb="FF000000"/>
      <name val="Arial"/>
      <charset val="1"/>
    </font>
    <font>
      <b/>
      <sz val="12"/>
      <name val="Cambria"/>
      <family val="1"/>
    </font>
    <font>
      <sz val="12"/>
      <name val="Cambria"/>
      <family val="1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indexed="8"/>
      <name val="Cambria"/>
      <family val="1"/>
    </font>
    <font>
      <b/>
      <sz val="12"/>
      <color theme="1"/>
      <name val="Calibri"/>
      <family val="2"/>
      <scheme val="minor"/>
    </font>
    <font>
      <sz val="12"/>
      <color indexed="8"/>
      <name val="Cambria"/>
      <family val="1"/>
    </font>
    <font>
      <sz val="12"/>
      <color rgb="FF000000"/>
      <name val="Arial"/>
      <family val="2"/>
    </font>
    <font>
      <sz val="12"/>
      <color indexed="8"/>
      <name val="Arial"/>
      <family val="2"/>
    </font>
    <font>
      <i/>
      <sz val="12"/>
      <name val="Cambria"/>
      <family val="1"/>
    </font>
    <font>
      <sz val="9"/>
      <color rgb="FF000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AA520"/>
        <bgColor rgb="FF000000"/>
      </patternFill>
    </fill>
  </fills>
  <borders count="68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9"/>
      </right>
      <top/>
      <bottom/>
      <diagonal/>
    </border>
    <border>
      <left style="thin">
        <color indexed="59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medium">
        <color indexed="64"/>
      </right>
      <top/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59"/>
      </bottom>
      <diagonal/>
    </border>
    <border>
      <left/>
      <right/>
      <top style="medium">
        <color indexed="64"/>
      </top>
      <bottom style="thin">
        <color indexed="59"/>
      </bottom>
      <diagonal/>
    </border>
    <border>
      <left/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8" fillId="0" borderId="0"/>
  </cellStyleXfs>
  <cellXfs count="369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" fontId="3" fillId="0" borderId="0" xfId="0" applyNumberFormat="1" applyFont="1"/>
    <xf numFmtId="164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165" fontId="3" fillId="2" borderId="3" xfId="1" applyNumberFormat="1" applyFont="1" applyFill="1" applyBorder="1"/>
    <xf numFmtId="166" fontId="4" fillId="0" borderId="3" xfId="0" applyNumberFormat="1" applyFont="1" applyBorder="1" applyAlignment="1" applyProtection="1">
      <alignment vertical="top" wrapText="1" readingOrder="1"/>
      <protection locked="0"/>
    </xf>
    <xf numFmtId="43" fontId="4" fillId="0" borderId="3" xfId="1" applyFont="1" applyBorder="1" applyAlignment="1" applyProtection="1">
      <alignment vertical="top" wrapText="1" readingOrder="1"/>
      <protection locked="0"/>
    </xf>
    <xf numFmtId="43" fontId="0" fillId="0" borderId="3" xfId="1" applyFont="1" applyBorder="1"/>
    <xf numFmtId="0" fontId="3" fillId="0" borderId="2" xfId="0" applyFont="1" applyBorder="1"/>
    <xf numFmtId="168" fontId="2" fillId="3" borderId="3" xfId="3" applyNumberFormat="1" applyFont="1" applyFill="1" applyBorder="1" applyAlignment="1" applyProtection="1"/>
    <xf numFmtId="0" fontId="2" fillId="0" borderId="1" xfId="0" applyFont="1" applyBorder="1" applyAlignment="1">
      <alignment horizontal="right"/>
    </xf>
    <xf numFmtId="168" fontId="3" fillId="2" borderId="3" xfId="3" applyNumberFormat="1" applyFont="1" applyFill="1" applyBorder="1" applyAlignment="1" applyProtection="1"/>
    <xf numFmtId="43" fontId="3" fillId="0" borderId="3" xfId="1" applyFont="1" applyFill="1" applyBorder="1" applyAlignment="1" applyProtection="1"/>
    <xf numFmtId="43" fontId="2" fillId="0" borderId="3" xfId="1" applyFont="1" applyFill="1" applyBorder="1" applyAlignment="1" applyProtection="1"/>
    <xf numFmtId="165" fontId="2" fillId="2" borderId="3" xfId="1" applyNumberFormat="1" applyFont="1" applyFill="1" applyBorder="1"/>
    <xf numFmtId="169" fontId="4" fillId="0" borderId="3" xfId="0" applyNumberFormat="1" applyFont="1" applyBorder="1" applyAlignment="1" applyProtection="1">
      <alignment vertical="top" wrapText="1" readingOrder="1"/>
      <protection locked="0"/>
    </xf>
    <xf numFmtId="0" fontId="6" fillId="0" borderId="0" xfId="4" applyFont="1"/>
    <xf numFmtId="0" fontId="7" fillId="0" borderId="0" xfId="0" applyFont="1"/>
    <xf numFmtId="0" fontId="6" fillId="0" borderId="9" xfId="4" applyFont="1" applyBorder="1"/>
    <xf numFmtId="43" fontId="6" fillId="0" borderId="10" xfId="5" applyFont="1" applyFill="1" applyBorder="1"/>
    <xf numFmtId="0" fontId="6" fillId="0" borderId="0" xfId="0" applyFont="1"/>
    <xf numFmtId="16" fontId="6" fillId="0" borderId="0" xfId="0" applyNumberFormat="1" applyFont="1"/>
    <xf numFmtId="3" fontId="2" fillId="0" borderId="11" xfId="4" applyNumberFormat="1" applyFont="1" applyBorder="1"/>
    <xf numFmtId="0" fontId="2" fillId="0" borderId="11" xfId="4" applyFont="1" applyBorder="1"/>
    <xf numFmtId="43" fontId="7" fillId="9" borderId="3" xfId="1" applyFont="1" applyFill="1" applyBorder="1"/>
    <xf numFmtId="0" fontId="3" fillId="0" borderId="11" xfId="4" applyFont="1" applyBorder="1"/>
    <xf numFmtId="43" fontId="6" fillId="9" borderId="3" xfId="1" applyFont="1" applyFill="1" applyBorder="1"/>
    <xf numFmtId="0" fontId="7" fillId="0" borderId="11" xfId="4" applyFont="1" applyBorder="1"/>
    <xf numFmtId="0" fontId="6" fillId="0" borderId="11" xfId="4" applyFont="1" applyBorder="1"/>
    <xf numFmtId="9" fontId="2" fillId="0" borderId="11" xfId="6" applyFont="1" applyFill="1" applyBorder="1"/>
    <xf numFmtId="43" fontId="3" fillId="9" borderId="3" xfId="1" applyFont="1" applyFill="1" applyBorder="1"/>
    <xf numFmtId="43" fontId="2" fillId="9" borderId="3" xfId="1" applyFont="1" applyFill="1" applyBorder="1"/>
    <xf numFmtId="0" fontId="2" fillId="0" borderId="12" xfId="4" applyFont="1" applyBorder="1"/>
    <xf numFmtId="0" fontId="2" fillId="0" borderId="0" xfId="4" applyFont="1"/>
    <xf numFmtId="0" fontId="6" fillId="0" borderId="3" xfId="0" applyFont="1" applyBorder="1" applyAlignment="1">
      <alignment horizontal="center"/>
    </xf>
    <xf numFmtId="0" fontId="8" fillId="0" borderId="0" xfId="0" applyFont="1"/>
    <xf numFmtId="0" fontId="6" fillId="4" borderId="9" xfId="0" applyFont="1" applyFill="1" applyBorder="1"/>
    <xf numFmtId="0" fontId="7" fillId="0" borderId="14" xfId="0" applyFont="1" applyBorder="1" applyAlignment="1">
      <alignment horizontal="left" vertical="top"/>
    </xf>
    <xf numFmtId="0" fontId="7" fillId="0" borderId="14" xfId="0" applyFont="1" applyBorder="1" applyAlignment="1">
      <alignment horizontal="center" vertical="center" wrapText="1"/>
    </xf>
    <xf numFmtId="165" fontId="7" fillId="0" borderId="14" xfId="1" applyNumberFormat="1" applyFont="1" applyBorder="1"/>
    <xf numFmtId="0" fontId="7" fillId="0" borderId="3" xfId="0" applyFont="1" applyBorder="1" applyAlignment="1">
      <alignment horizontal="left" vertical="top"/>
    </xf>
    <xf numFmtId="9" fontId="7" fillId="0" borderId="3" xfId="0" applyNumberFormat="1" applyFont="1" applyBorder="1" applyAlignment="1">
      <alignment horizontal="center" vertical="center" wrapText="1"/>
    </xf>
    <xf numFmtId="9" fontId="7" fillId="0" borderId="3" xfId="2" applyFont="1" applyBorder="1"/>
    <xf numFmtId="0" fontId="7" fillId="0" borderId="17" xfId="0" applyFont="1" applyBorder="1" applyAlignment="1">
      <alignment horizontal="left" vertical="top"/>
    </xf>
    <xf numFmtId="9" fontId="7" fillId="0" borderId="17" xfId="0" applyNumberFormat="1" applyFont="1" applyBorder="1" applyAlignment="1">
      <alignment horizontal="center" vertical="center" wrapText="1"/>
    </xf>
    <xf numFmtId="0" fontId="7" fillId="0" borderId="17" xfId="2" applyNumberFormat="1" applyFont="1" applyBorder="1"/>
    <xf numFmtId="9" fontId="7" fillId="0" borderId="17" xfId="2" applyFont="1" applyBorder="1"/>
    <xf numFmtId="0" fontId="7" fillId="0" borderId="14" xfId="0" applyFont="1" applyBorder="1" applyAlignment="1">
      <alignment horizontal="left" vertical="top" wrapText="1"/>
    </xf>
    <xf numFmtId="0" fontId="7" fillId="0" borderId="14" xfId="0" applyFont="1" applyBorder="1"/>
    <xf numFmtId="0" fontId="7" fillId="0" borderId="3" xfId="0" applyFont="1" applyBorder="1" applyAlignment="1">
      <alignment horizontal="left" vertical="top" wrapText="1"/>
    </xf>
    <xf numFmtId="170" fontId="7" fillId="0" borderId="3" xfId="2" applyNumberFormat="1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9" fontId="7" fillId="0" borderId="14" xfId="2" applyFont="1" applyBorder="1" applyAlignment="1"/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horizontal="center" vertical="center"/>
    </xf>
    <xf numFmtId="0" fontId="7" fillId="0" borderId="3" xfId="2" applyNumberFormat="1" applyFont="1" applyBorder="1" applyAlignment="1"/>
    <xf numFmtId="9" fontId="7" fillId="0" borderId="3" xfId="2" applyFont="1" applyBorder="1" applyAlignment="1"/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9" fontId="7" fillId="0" borderId="14" xfId="2" applyFont="1" applyBorder="1"/>
    <xf numFmtId="43" fontId="4" fillId="0" borderId="18" xfId="1" applyFont="1" applyFill="1" applyBorder="1" applyAlignment="1" applyProtection="1">
      <alignment vertical="top" wrapText="1" readingOrder="1"/>
      <protection locked="0"/>
    </xf>
    <xf numFmtId="168" fontId="3" fillId="3" borderId="3" xfId="3" applyNumberFormat="1" applyFont="1" applyFill="1" applyBorder="1" applyAlignment="1" applyProtection="1"/>
    <xf numFmtId="0" fontId="10" fillId="0" borderId="0" xfId="0" applyFont="1"/>
    <xf numFmtId="43" fontId="13" fillId="0" borderId="1" xfId="1" applyFont="1" applyBorder="1" applyAlignment="1" applyProtection="1">
      <alignment horizontal="center"/>
    </xf>
    <xf numFmtId="43" fontId="12" fillId="0" borderId="1" xfId="1" applyFont="1" applyBorder="1" applyAlignment="1" applyProtection="1"/>
    <xf numFmtId="43" fontId="13" fillId="0" borderId="1" xfId="1" applyFont="1" applyBorder="1" applyAlignment="1" applyProtection="1">
      <protection locked="0"/>
    </xf>
    <xf numFmtId="43" fontId="15" fillId="0" borderId="1" xfId="1" applyFont="1" applyFill="1" applyBorder="1" applyAlignment="1" applyProtection="1">
      <protection locked="0"/>
    </xf>
    <xf numFmtId="17" fontId="0" fillId="0" borderId="0" xfId="0" applyNumberFormat="1"/>
    <xf numFmtId="165" fontId="0" fillId="0" borderId="0" xfId="0" applyNumberFormat="1"/>
    <xf numFmtId="43" fontId="0" fillId="0" borderId="4" xfId="1" applyFont="1" applyBorder="1"/>
    <xf numFmtId="168" fontId="2" fillId="3" borderId="4" xfId="3" applyNumberFormat="1" applyFont="1" applyFill="1" applyBorder="1" applyAlignment="1" applyProtection="1"/>
    <xf numFmtId="168" fontId="3" fillId="3" borderId="4" xfId="3" applyNumberFormat="1" applyFont="1" applyFill="1" applyBorder="1" applyAlignment="1" applyProtection="1"/>
    <xf numFmtId="168" fontId="3" fillId="2" borderId="4" xfId="3" applyNumberFormat="1" applyFont="1" applyFill="1" applyBorder="1" applyAlignment="1" applyProtection="1"/>
    <xf numFmtId="43" fontId="4" fillId="0" borderId="20" xfId="1" applyFont="1" applyFill="1" applyBorder="1" applyAlignment="1" applyProtection="1">
      <alignment vertical="top" wrapText="1" readingOrder="1"/>
      <protection locked="0"/>
    </xf>
    <xf numFmtId="165" fontId="3" fillId="2" borderId="4" xfId="1" applyNumberFormat="1" applyFont="1" applyFill="1" applyBorder="1"/>
    <xf numFmtId="165" fontId="2" fillId="2" borderId="4" xfId="1" applyNumberFormat="1" applyFont="1" applyFill="1" applyBorder="1"/>
    <xf numFmtId="165" fontId="3" fillId="2" borderId="9" xfId="1" applyNumberFormat="1" applyFont="1" applyFill="1" applyBorder="1"/>
    <xf numFmtId="17" fontId="20" fillId="0" borderId="0" xfId="0" applyNumberFormat="1" applyFont="1"/>
    <xf numFmtId="17" fontId="20" fillId="0" borderId="19" xfId="0" applyNumberFormat="1" applyFont="1" applyBorder="1"/>
    <xf numFmtId="165" fontId="3" fillId="2" borderId="19" xfId="1" applyNumberFormat="1" applyFont="1" applyFill="1" applyBorder="1"/>
    <xf numFmtId="165" fontId="3" fillId="2" borderId="22" xfId="1" applyNumberFormat="1" applyFont="1" applyFill="1" applyBorder="1"/>
    <xf numFmtId="43" fontId="0" fillId="0" borderId="0" xfId="0" applyNumberFormat="1"/>
    <xf numFmtId="17" fontId="7" fillId="0" borderId="0" xfId="0" applyNumberFormat="1" applyFont="1"/>
    <xf numFmtId="17" fontId="20" fillId="0" borderId="21" xfId="0" applyNumberFormat="1" applyFont="1" applyBorder="1"/>
    <xf numFmtId="165" fontId="3" fillId="2" borderId="21" xfId="1" applyNumberFormat="1" applyFont="1" applyFill="1" applyBorder="1"/>
    <xf numFmtId="17" fontId="20" fillId="0" borderId="3" xfId="0" applyNumberFormat="1" applyFont="1" applyBorder="1"/>
    <xf numFmtId="165" fontId="19" fillId="2" borderId="3" xfId="1" applyNumberFormat="1" applyFont="1" applyFill="1" applyBorder="1"/>
    <xf numFmtId="165" fontId="18" fillId="2" borderId="3" xfId="1" applyNumberFormat="1" applyFont="1" applyFill="1" applyBorder="1"/>
    <xf numFmtId="165" fontId="16" fillId="0" borderId="3" xfId="0" applyNumberFormat="1" applyFont="1" applyBorder="1"/>
    <xf numFmtId="165" fontId="3" fillId="2" borderId="25" xfId="1" applyNumberFormat="1" applyFont="1" applyFill="1" applyBorder="1"/>
    <xf numFmtId="16" fontId="3" fillId="0" borderId="3" xfId="0" applyNumberFormat="1" applyFont="1" applyBorder="1"/>
    <xf numFmtId="17" fontId="6" fillId="0" borderId="0" xfId="0" applyNumberFormat="1" applyFont="1"/>
    <xf numFmtId="43" fontId="13" fillId="0" borderId="2" xfId="1" applyFont="1" applyBorder="1" applyAlignment="1"/>
    <xf numFmtId="43" fontId="12" fillId="0" borderId="2" xfId="1" applyFont="1" applyBorder="1" applyAlignment="1"/>
    <xf numFmtId="43" fontId="12" fillId="0" borderId="27" xfId="1" applyFont="1" applyBorder="1" applyAlignment="1">
      <alignment wrapText="1"/>
    </xf>
    <xf numFmtId="43" fontId="12" fillId="0" borderId="27" xfId="1" applyFont="1" applyBorder="1" applyAlignment="1">
      <alignment horizontal="center" wrapText="1"/>
    </xf>
    <xf numFmtId="43" fontId="13" fillId="0" borderId="28" xfId="1" applyFont="1" applyBorder="1" applyAlignment="1" applyProtection="1">
      <protection locked="0"/>
    </xf>
    <xf numFmtId="166" fontId="14" fillId="0" borderId="3" xfId="0" applyNumberFormat="1" applyFont="1" applyBorder="1" applyAlignment="1" applyProtection="1">
      <alignment vertical="top" wrapText="1" readingOrder="1"/>
      <protection locked="0"/>
    </xf>
    <xf numFmtId="43" fontId="13" fillId="0" borderId="3" xfId="1" applyFont="1" applyBorder="1" applyAlignment="1" applyProtection="1">
      <alignment horizontal="center"/>
    </xf>
    <xf numFmtId="43" fontId="12" fillId="0" borderId="3" xfId="1" applyFont="1" applyBorder="1" applyAlignment="1" applyProtection="1"/>
    <xf numFmtId="0" fontId="0" fillId="0" borderId="0" xfId="0" applyProtection="1">
      <protection locked="0"/>
    </xf>
    <xf numFmtId="0" fontId="20" fillId="0" borderId="11" xfId="0" applyFont="1" applyBorder="1" applyAlignment="1">
      <alignment horizontal="center"/>
    </xf>
    <xf numFmtId="0" fontId="20" fillId="0" borderId="4" xfId="0" applyFont="1" applyBorder="1" applyAlignment="1">
      <alignment horizontal="right"/>
    </xf>
    <xf numFmtId="0" fontId="0" fillId="0" borderId="11" xfId="0" applyBorder="1"/>
    <xf numFmtId="0" fontId="20" fillId="0" borderId="3" xfId="0" applyFont="1" applyBorder="1" applyAlignment="1" applyProtection="1">
      <alignment horizontal="right"/>
      <protection locked="0"/>
    </xf>
    <xf numFmtId="0" fontId="8" fillId="0" borderId="11" xfId="0" applyFont="1" applyBorder="1"/>
    <xf numFmtId="0" fontId="8" fillId="0" borderId="3" xfId="0" applyFont="1" applyBorder="1" applyAlignment="1">
      <alignment horizontal="center"/>
    </xf>
    <xf numFmtId="165" fontId="8" fillId="0" borderId="3" xfId="7" applyNumberFormat="1" applyFont="1" applyBorder="1" applyAlignment="1" applyProtection="1">
      <alignment horizontal="right"/>
    </xf>
    <xf numFmtId="9" fontId="8" fillId="0" borderId="3" xfId="0" applyNumberFormat="1" applyFont="1" applyBorder="1" applyAlignment="1">
      <alignment horizontal="center"/>
    </xf>
    <xf numFmtId="170" fontId="8" fillId="0" borderId="3" xfId="2" applyNumberFormat="1" applyFont="1" applyBorder="1" applyAlignment="1" applyProtection="1">
      <alignment horizontal="right"/>
    </xf>
    <xf numFmtId="170" fontId="8" fillId="0" borderId="3" xfId="2" applyNumberFormat="1" applyFont="1" applyFill="1" applyBorder="1" applyAlignment="1" applyProtection="1">
      <alignment horizontal="right"/>
    </xf>
    <xf numFmtId="170" fontId="0" fillId="9" borderId="3" xfId="2" applyNumberFormat="1" applyFont="1" applyFill="1" applyBorder="1" applyAlignment="1" applyProtection="1">
      <alignment horizontal="right"/>
    </xf>
    <xf numFmtId="0" fontId="8" fillId="9" borderId="11" xfId="0" applyFont="1" applyFill="1" applyBorder="1"/>
    <xf numFmtId="170" fontId="8" fillId="9" borderId="3" xfId="2" applyNumberFormat="1" applyFont="1" applyFill="1" applyBorder="1" applyAlignment="1" applyProtection="1">
      <alignment horizontal="right"/>
    </xf>
    <xf numFmtId="0" fontId="0" fillId="9" borderId="0" xfId="0" applyFill="1" applyProtection="1">
      <protection locked="0"/>
    </xf>
    <xf numFmtId="0" fontId="8" fillId="9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9" borderId="11" xfId="0" applyFont="1" applyFill="1" applyBorder="1" applyAlignment="1">
      <alignment horizontal="left"/>
    </xf>
    <xf numFmtId="9" fontId="8" fillId="9" borderId="3" xfId="0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3" fillId="0" borderId="11" xfId="0" applyFont="1" applyBorder="1"/>
    <xf numFmtId="43" fontId="23" fillId="0" borderId="3" xfId="1" applyFont="1" applyBorder="1" applyAlignment="1" applyProtection="1">
      <alignment horizontal="center"/>
    </xf>
    <xf numFmtId="43" fontId="23" fillId="0" borderId="3" xfId="1" applyFont="1" applyBorder="1" applyProtection="1">
      <protection locked="0"/>
    </xf>
    <xf numFmtId="43" fontId="13" fillId="0" borderId="3" xfId="1" applyFont="1" applyBorder="1" applyProtection="1">
      <protection locked="0"/>
    </xf>
    <xf numFmtId="43" fontId="2" fillId="0" borderId="3" xfId="1" applyFont="1" applyBorder="1" applyProtection="1"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8" fillId="9" borderId="11" xfId="0" applyFont="1" applyFill="1" applyBorder="1" applyAlignment="1" applyProtection="1">
      <alignment horizontal="left"/>
      <protection locked="0"/>
    </xf>
    <xf numFmtId="0" fontId="25" fillId="9" borderId="18" xfId="0" applyFont="1" applyFill="1" applyBorder="1"/>
    <xf numFmtId="0" fontId="0" fillId="0" borderId="0" xfId="0" applyAlignment="1" applyProtection="1">
      <alignment horizontal="center"/>
      <protection locked="0"/>
    </xf>
    <xf numFmtId="0" fontId="22" fillId="13" borderId="11" xfId="0" applyFont="1" applyFill="1" applyBorder="1" applyAlignment="1">
      <alignment horizontal="left"/>
    </xf>
    <xf numFmtId="0" fontId="22" fillId="13" borderId="3" xfId="0" applyFont="1" applyFill="1" applyBorder="1" applyAlignment="1">
      <alignment horizontal="left"/>
    </xf>
    <xf numFmtId="0" fontId="22" fillId="13" borderId="4" xfId="0" applyFont="1" applyFill="1" applyBorder="1" applyAlignment="1">
      <alignment horizontal="left"/>
    </xf>
    <xf numFmtId="0" fontId="24" fillId="14" borderId="33" xfId="0" applyFont="1" applyFill="1" applyBorder="1" applyAlignment="1">
      <alignment horizontal="left"/>
    </xf>
    <xf numFmtId="0" fontId="24" fillId="14" borderId="34" xfId="0" applyFont="1" applyFill="1" applyBorder="1" applyAlignment="1">
      <alignment horizontal="left"/>
    </xf>
    <xf numFmtId="165" fontId="8" fillId="0" borderId="4" xfId="7" applyNumberFormat="1" applyFont="1" applyBorder="1" applyAlignment="1" applyProtection="1">
      <alignment horizontal="right"/>
    </xf>
    <xf numFmtId="17" fontId="20" fillId="0" borderId="3" xfId="0" applyNumberFormat="1" applyFont="1" applyBorder="1" applyProtection="1">
      <protection locked="0"/>
    </xf>
    <xf numFmtId="43" fontId="0" fillId="0" borderId="3" xfId="1" applyFont="1" applyBorder="1" applyProtection="1">
      <protection locked="0"/>
    </xf>
    <xf numFmtId="0" fontId="20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7" fillId="0" borderId="0" xfId="0" applyFont="1"/>
    <xf numFmtId="0" fontId="26" fillId="0" borderId="0" xfId="0" applyFont="1"/>
    <xf numFmtId="0" fontId="26" fillId="15" borderId="0" xfId="0" applyFont="1" applyFill="1"/>
    <xf numFmtId="0" fontId="27" fillId="0" borderId="35" xfId="0" applyFont="1" applyBorder="1"/>
    <xf numFmtId="0" fontId="26" fillId="0" borderId="36" xfId="0" applyFont="1" applyBorder="1"/>
    <xf numFmtId="0" fontId="27" fillId="0" borderId="38" xfId="0" applyFont="1" applyBorder="1"/>
    <xf numFmtId="0" fontId="26" fillId="0" borderId="39" xfId="0" applyFont="1" applyBorder="1"/>
    <xf numFmtId="0" fontId="27" fillId="0" borderId="41" xfId="0" applyFont="1" applyBorder="1"/>
    <xf numFmtId="0" fontId="27" fillId="0" borderId="42" xfId="0" applyFont="1" applyBorder="1"/>
    <xf numFmtId="0" fontId="26" fillId="0" borderId="42" xfId="0" applyFont="1" applyBorder="1"/>
    <xf numFmtId="0" fontId="27" fillId="0" borderId="42" xfId="0" applyFont="1" applyBorder="1" applyAlignment="1">
      <alignment wrapText="1"/>
    </xf>
    <xf numFmtId="0" fontId="27" fillId="0" borderId="44" xfId="0" applyFont="1" applyBorder="1"/>
    <xf numFmtId="0" fontId="26" fillId="16" borderId="45" xfId="0" applyFont="1" applyFill="1" applyBorder="1"/>
    <xf numFmtId="43" fontId="27" fillId="0" borderId="0" xfId="0" applyNumberFormat="1" applyFont="1"/>
    <xf numFmtId="43" fontId="27" fillId="9" borderId="43" xfId="1" applyFont="1" applyFill="1" applyBorder="1" applyAlignment="1" applyProtection="1">
      <alignment horizontal="center"/>
    </xf>
    <xf numFmtId="43" fontId="27" fillId="9" borderId="43" xfId="1" applyFont="1" applyFill="1" applyBorder="1" applyAlignment="1" applyProtection="1">
      <alignment horizontal="center"/>
      <protection locked="0"/>
    </xf>
    <xf numFmtId="43" fontId="27" fillId="9" borderId="43" xfId="1" applyFont="1" applyFill="1" applyBorder="1" applyAlignment="1">
      <alignment horizontal="center"/>
    </xf>
    <xf numFmtId="1" fontId="27" fillId="0" borderId="0" xfId="0" applyNumberFormat="1" applyFont="1"/>
    <xf numFmtId="49" fontId="27" fillId="9" borderId="3" xfId="0" applyNumberFormat="1" applyFont="1" applyFill="1" applyBorder="1" applyAlignment="1">
      <alignment horizontal="center"/>
    </xf>
    <xf numFmtId="17" fontId="26" fillId="15" borderId="0" xfId="0" applyNumberFormat="1" applyFont="1" applyFill="1"/>
    <xf numFmtId="43" fontId="26" fillId="9" borderId="43" xfId="1" applyFont="1" applyFill="1" applyBorder="1" applyAlignment="1" applyProtection="1">
      <alignment horizontal="center"/>
      <protection locked="0"/>
    </xf>
    <xf numFmtId="43" fontId="26" fillId="0" borderId="37" xfId="0" applyNumberFormat="1" applyFont="1" applyBorder="1"/>
    <xf numFmtId="43" fontId="26" fillId="0" borderId="40" xfId="0" applyNumberFormat="1" applyFont="1" applyBorder="1"/>
    <xf numFmtId="43" fontId="12" fillId="0" borderId="47" xfId="1" applyFont="1" applyBorder="1" applyAlignment="1">
      <alignment wrapText="1"/>
    </xf>
    <xf numFmtId="43" fontId="12" fillId="0" borderId="47" xfId="1" applyFont="1" applyBorder="1" applyAlignment="1">
      <alignment horizontal="center" wrapText="1"/>
    </xf>
    <xf numFmtId="43" fontId="12" fillId="0" borderId="2" xfId="1" applyFont="1" applyFill="1" applyBorder="1" applyAlignment="1"/>
    <xf numFmtId="43" fontId="12" fillId="0" borderId="51" xfId="1" applyFont="1" applyBorder="1" applyAlignment="1">
      <alignment wrapText="1"/>
    </xf>
    <xf numFmtId="43" fontId="12" fillId="0" borderId="52" xfId="1" applyFont="1" applyBorder="1" applyAlignment="1">
      <alignment wrapText="1"/>
    </xf>
    <xf numFmtId="166" fontId="14" fillId="0" borderId="11" xfId="0" applyNumberFormat="1" applyFont="1" applyBorder="1" applyAlignment="1" applyProtection="1">
      <alignment vertical="top" wrapText="1" readingOrder="1"/>
      <protection locked="0"/>
    </xf>
    <xf numFmtId="43" fontId="13" fillId="0" borderId="53" xfId="1" applyFont="1" applyBorder="1" applyAlignment="1" applyProtection="1"/>
    <xf numFmtId="43" fontId="12" fillId="0" borderId="11" xfId="1" applyFont="1" applyBorder="1" applyAlignment="1" applyProtection="1"/>
    <xf numFmtId="43" fontId="12" fillId="0" borderId="53" xfId="1" applyFont="1" applyBorder="1" applyAlignment="1" applyProtection="1"/>
    <xf numFmtId="43" fontId="13" fillId="0" borderId="54" xfId="1" applyFont="1" applyBorder="1" applyAlignment="1" applyProtection="1">
      <protection locked="0"/>
    </xf>
    <xf numFmtId="43" fontId="13" fillId="0" borderId="55" xfId="1" applyFont="1" applyBorder="1" applyAlignment="1" applyProtection="1">
      <protection locked="0"/>
    </xf>
    <xf numFmtId="43" fontId="13" fillId="0" borderId="56" xfId="1" applyFont="1" applyBorder="1" applyAlignment="1" applyProtection="1">
      <protection locked="0"/>
    </xf>
    <xf numFmtId="43" fontId="13" fillId="0" borderId="57" xfId="1" applyFont="1" applyBorder="1" applyAlignment="1" applyProtection="1"/>
    <xf numFmtId="43" fontId="12" fillId="0" borderId="56" xfId="1" applyFont="1" applyBorder="1" applyAlignment="1" applyProtection="1"/>
    <xf numFmtId="43" fontId="12" fillId="0" borderId="57" xfId="1" applyFont="1" applyBorder="1" applyAlignment="1" applyProtection="1"/>
    <xf numFmtId="43" fontId="12" fillId="0" borderId="58" xfId="1" applyFont="1" applyBorder="1" applyAlignment="1" applyProtection="1"/>
    <xf numFmtId="43" fontId="12" fillId="0" borderId="59" xfId="1" applyFont="1" applyBorder="1" applyAlignment="1" applyProtection="1"/>
    <xf numFmtId="43" fontId="12" fillId="0" borderId="60" xfId="1" applyFont="1" applyBorder="1" applyAlignment="1" applyProtection="1"/>
    <xf numFmtId="43" fontId="12" fillId="0" borderId="64" xfId="1" applyFont="1" applyBorder="1" applyAlignment="1">
      <alignment wrapText="1"/>
    </xf>
    <xf numFmtId="43" fontId="12" fillId="0" borderId="65" xfId="1" applyFont="1" applyBorder="1" applyAlignment="1">
      <alignment wrapText="1"/>
    </xf>
    <xf numFmtId="171" fontId="14" fillId="0" borderId="11" xfId="0" applyNumberFormat="1" applyFont="1" applyBorder="1" applyAlignment="1" applyProtection="1">
      <alignment vertical="top" wrapText="1" readingOrder="1"/>
      <protection locked="0"/>
    </xf>
    <xf numFmtId="171" fontId="12" fillId="0" borderId="11" xfId="1" applyNumberFormat="1" applyFont="1" applyBorder="1" applyAlignment="1" applyProtection="1"/>
    <xf numFmtId="166" fontId="0" fillId="0" borderId="0" xfId="0" applyNumberFormat="1"/>
    <xf numFmtId="170" fontId="0" fillId="0" borderId="0" xfId="2" applyNumberFormat="1" applyFont="1"/>
    <xf numFmtId="171" fontId="13" fillId="0" borderId="54" xfId="1" applyNumberFormat="1" applyFont="1" applyBorder="1" applyAlignment="1" applyProtection="1">
      <protection locked="0"/>
    </xf>
    <xf numFmtId="171" fontId="13" fillId="0" borderId="56" xfId="1" applyNumberFormat="1" applyFont="1" applyBorder="1" applyAlignment="1" applyProtection="1">
      <protection locked="0"/>
    </xf>
    <xf numFmtId="171" fontId="12" fillId="0" borderId="56" xfId="1" applyNumberFormat="1" applyFont="1" applyBorder="1" applyAlignment="1" applyProtection="1"/>
    <xf numFmtId="171" fontId="12" fillId="0" borderId="58" xfId="1" applyNumberFormat="1" applyFont="1" applyBorder="1" applyAlignment="1" applyProtection="1"/>
    <xf numFmtId="0" fontId="20" fillId="0" borderId="0" xfId="0" applyFont="1" applyProtection="1">
      <protection locked="0"/>
    </xf>
    <xf numFmtId="165" fontId="19" fillId="2" borderId="19" xfId="1" applyNumberFormat="1" applyFont="1" applyFill="1" applyBorder="1"/>
    <xf numFmtId="165" fontId="18" fillId="2" borderId="19" xfId="1" applyNumberFormat="1" applyFont="1" applyFill="1" applyBorder="1"/>
    <xf numFmtId="165" fontId="16" fillId="0" borderId="19" xfId="0" applyNumberFormat="1" applyFont="1" applyBorder="1"/>
    <xf numFmtId="165" fontId="19" fillId="2" borderId="4" xfId="1" applyNumberFormat="1" applyFont="1" applyFill="1" applyBorder="1"/>
    <xf numFmtId="165" fontId="18" fillId="2" borderId="4" xfId="1" applyNumberFormat="1" applyFont="1" applyFill="1" applyBorder="1"/>
    <xf numFmtId="165" fontId="16" fillId="0" borderId="4" xfId="0" applyNumberFormat="1" applyFont="1" applyBorder="1"/>
    <xf numFmtId="16" fontId="3" fillId="0" borderId="9" xfId="0" applyNumberFormat="1" applyFont="1" applyBorder="1"/>
    <xf numFmtId="165" fontId="0" fillId="0" borderId="3" xfId="1" applyNumberFormat="1" applyFont="1" applyBorder="1"/>
    <xf numFmtId="165" fontId="16" fillId="0" borderId="26" xfId="1" applyNumberFormat="1" applyFont="1" applyBorder="1"/>
    <xf numFmtId="165" fontId="16" fillId="0" borderId="19" xfId="1" applyNumberFormat="1" applyFont="1" applyBorder="1"/>
    <xf numFmtId="165" fontId="17" fillId="0" borderId="19" xfId="1" applyNumberFormat="1" applyFont="1" applyBorder="1" applyAlignment="1">
      <alignment wrapText="1" readingOrder="1"/>
    </xf>
    <xf numFmtId="165" fontId="17" fillId="0" borderId="21" xfId="1" applyNumberFormat="1" applyFont="1" applyBorder="1" applyAlignment="1">
      <alignment wrapText="1" readingOrder="1"/>
    </xf>
    <xf numFmtId="165" fontId="0" fillId="0" borderId="19" xfId="1" applyNumberFormat="1" applyFont="1" applyBorder="1"/>
    <xf numFmtId="165" fontId="0" fillId="0" borderId="21" xfId="1" applyNumberFormat="1" applyFon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19" xfId="0" applyNumberFormat="1" applyBorder="1"/>
    <xf numFmtId="165" fontId="2" fillId="3" borderId="3" xfId="1" applyNumberFormat="1" applyFont="1" applyFill="1" applyBorder="1" applyAlignment="1" applyProtection="1"/>
    <xf numFmtId="165" fontId="18" fillId="3" borderId="26" xfId="1" applyNumberFormat="1" applyFont="1" applyFill="1" applyBorder="1" applyAlignment="1" applyProtection="1"/>
    <xf numFmtId="165" fontId="18" fillId="3" borderId="19" xfId="1" applyNumberFormat="1" applyFont="1" applyFill="1" applyBorder="1" applyAlignment="1" applyProtection="1"/>
    <xf numFmtId="165" fontId="18" fillId="3" borderId="21" xfId="1" applyNumberFormat="1" applyFont="1" applyFill="1" applyBorder="1" applyAlignment="1" applyProtection="1"/>
    <xf numFmtId="165" fontId="18" fillId="3" borderId="3" xfId="1" applyNumberFormat="1" applyFont="1" applyFill="1" applyBorder="1" applyAlignment="1" applyProtection="1"/>
    <xf numFmtId="165" fontId="18" fillId="3" borderId="3" xfId="3" applyNumberFormat="1" applyFont="1" applyFill="1" applyBorder="1" applyAlignment="1" applyProtection="1"/>
    <xf numFmtId="165" fontId="18" fillId="3" borderId="4" xfId="3" applyNumberFormat="1" applyFont="1" applyFill="1" applyBorder="1" applyAlignment="1" applyProtection="1"/>
    <xf numFmtId="165" fontId="18" fillId="3" borderId="19" xfId="3" applyNumberFormat="1" applyFont="1" applyFill="1" applyBorder="1" applyAlignment="1" applyProtection="1"/>
    <xf numFmtId="165" fontId="16" fillId="0" borderId="21" xfId="1" applyNumberFormat="1" applyFont="1" applyBorder="1"/>
    <xf numFmtId="165" fontId="3" fillId="3" borderId="3" xfId="1" applyNumberFormat="1" applyFont="1" applyFill="1" applyBorder="1" applyAlignment="1" applyProtection="1"/>
    <xf numFmtId="165" fontId="19" fillId="3" borderId="26" xfId="1" applyNumberFormat="1" applyFont="1" applyFill="1" applyBorder="1" applyAlignment="1" applyProtection="1"/>
    <xf numFmtId="165" fontId="19" fillId="3" borderId="19" xfId="1" applyNumberFormat="1" applyFont="1" applyFill="1" applyBorder="1" applyAlignment="1" applyProtection="1"/>
    <xf numFmtId="165" fontId="19" fillId="3" borderId="21" xfId="1" applyNumberFormat="1" applyFont="1" applyFill="1" applyBorder="1" applyAlignment="1" applyProtection="1"/>
    <xf numFmtId="165" fontId="19" fillId="3" borderId="3" xfId="1" applyNumberFormat="1" applyFont="1" applyFill="1" applyBorder="1" applyAlignment="1" applyProtection="1"/>
    <xf numFmtId="165" fontId="19" fillId="3" borderId="3" xfId="3" applyNumberFormat="1" applyFont="1" applyFill="1" applyBorder="1" applyAlignment="1" applyProtection="1"/>
    <xf numFmtId="165" fontId="19" fillId="3" borderId="4" xfId="3" applyNumberFormat="1" applyFont="1" applyFill="1" applyBorder="1" applyAlignment="1" applyProtection="1"/>
    <xf numFmtId="165" fontId="19" fillId="3" borderId="19" xfId="3" applyNumberFormat="1" applyFont="1" applyFill="1" applyBorder="1" applyAlignment="1" applyProtection="1"/>
    <xf numFmtId="165" fontId="17" fillId="0" borderId="26" xfId="1" applyNumberFormat="1" applyFont="1" applyBorder="1" applyAlignment="1">
      <alignment wrapText="1" readingOrder="1"/>
    </xf>
    <xf numFmtId="165" fontId="3" fillId="2" borderId="3" xfId="1" applyNumberFormat="1" applyFont="1" applyFill="1" applyBorder="1" applyAlignment="1" applyProtection="1"/>
    <xf numFmtId="165" fontId="19" fillId="2" borderId="26" xfId="1" applyNumberFormat="1" applyFont="1" applyFill="1" applyBorder="1" applyAlignment="1" applyProtection="1"/>
    <xf numFmtId="165" fontId="19" fillId="2" borderId="19" xfId="1" applyNumberFormat="1" applyFont="1" applyFill="1" applyBorder="1" applyAlignment="1" applyProtection="1"/>
    <xf numFmtId="165" fontId="19" fillId="2" borderId="21" xfId="1" applyNumberFormat="1" applyFont="1" applyFill="1" applyBorder="1" applyAlignment="1" applyProtection="1"/>
    <xf numFmtId="165" fontId="19" fillId="2" borderId="3" xfId="1" applyNumberFormat="1" applyFont="1" applyFill="1" applyBorder="1" applyAlignment="1" applyProtection="1"/>
    <xf numFmtId="165" fontId="19" fillId="2" borderId="3" xfId="3" applyNumberFormat="1" applyFont="1" applyFill="1" applyBorder="1" applyAlignment="1" applyProtection="1"/>
    <xf numFmtId="165" fontId="19" fillId="2" borderId="4" xfId="3" applyNumberFormat="1" applyFont="1" applyFill="1" applyBorder="1" applyAlignment="1" applyProtection="1"/>
    <xf numFmtId="165" fontId="19" fillId="2" borderId="19" xfId="3" applyNumberFormat="1" applyFont="1" applyFill="1" applyBorder="1" applyAlignment="1" applyProtection="1"/>
    <xf numFmtId="165" fontId="0" fillId="0" borderId="3" xfId="1" applyNumberFormat="1" applyFont="1" applyBorder="1" applyAlignment="1">
      <alignment horizontal="right" wrapText="1"/>
    </xf>
    <xf numFmtId="165" fontId="4" fillId="0" borderId="3" xfId="1" applyNumberFormat="1" applyFont="1" applyFill="1" applyBorder="1" applyAlignment="1" applyProtection="1">
      <alignment vertical="top" wrapText="1" readingOrder="1"/>
      <protection locked="0"/>
    </xf>
    <xf numFmtId="165" fontId="19" fillId="2" borderId="26" xfId="1" applyNumberFormat="1" applyFont="1" applyFill="1" applyBorder="1"/>
    <xf numFmtId="165" fontId="19" fillId="2" borderId="21" xfId="1" applyNumberFormat="1" applyFont="1" applyFill="1" applyBorder="1"/>
    <xf numFmtId="165" fontId="18" fillId="2" borderId="26" xfId="1" applyNumberFormat="1" applyFont="1" applyFill="1" applyBorder="1"/>
    <xf numFmtId="165" fontId="18" fillId="2" borderId="21" xfId="1" applyNumberFormat="1" applyFont="1" applyFill="1" applyBorder="1"/>
    <xf numFmtId="165" fontId="16" fillId="0" borderId="23" xfId="1" applyNumberFormat="1" applyFont="1" applyBorder="1"/>
    <xf numFmtId="165" fontId="16" fillId="0" borderId="24" xfId="1" applyNumberFormat="1" applyFont="1" applyBorder="1"/>
    <xf numFmtId="165" fontId="16" fillId="0" borderId="3" xfId="1" applyNumberFormat="1" applyFont="1" applyBorder="1"/>
    <xf numFmtId="165" fontId="0" fillId="0" borderId="0" xfId="1" applyNumberFormat="1" applyFont="1"/>
    <xf numFmtId="43" fontId="7" fillId="0" borderId="0" xfId="0" applyNumberFormat="1" applyFont="1"/>
    <xf numFmtId="4" fontId="0" fillId="0" borderId="0" xfId="0" applyNumberFormat="1"/>
    <xf numFmtId="0" fontId="29" fillId="0" borderId="66" xfId="0" applyFont="1" applyBorder="1" applyAlignment="1">
      <alignment wrapText="1" readingOrder="1"/>
    </xf>
    <xf numFmtId="4" fontId="29" fillId="0" borderId="66" xfId="0" applyNumberFormat="1" applyFont="1" applyBorder="1" applyAlignment="1">
      <alignment wrapText="1" readingOrder="1"/>
    </xf>
    <xf numFmtId="0" fontId="29" fillId="0" borderId="67" xfId="0" applyFont="1" applyBorder="1" applyAlignment="1">
      <alignment wrapText="1" readingOrder="1"/>
    </xf>
    <xf numFmtId="4" fontId="29" fillId="0" borderId="67" xfId="0" applyNumberFormat="1" applyFont="1" applyBorder="1" applyAlignment="1">
      <alignment wrapText="1" readingOrder="1"/>
    </xf>
    <xf numFmtId="0" fontId="31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2" fillId="0" borderId="0" xfId="0" applyFont="1"/>
    <xf numFmtId="17" fontId="33" fillId="4" borderId="3" xfId="0" applyNumberFormat="1" applyFont="1" applyFill="1" applyBorder="1" applyAlignment="1">
      <alignment wrapText="1"/>
    </xf>
    <xf numFmtId="0" fontId="34" fillId="5" borderId="6" xfId="0" applyFont="1" applyFill="1" applyBorder="1" applyAlignment="1" applyProtection="1">
      <alignment vertical="top" wrapText="1"/>
      <protection locked="0"/>
    </xf>
    <xf numFmtId="16" fontId="34" fillId="5" borderId="7" xfId="0" applyNumberFormat="1" applyFont="1" applyFill="1" applyBorder="1" applyAlignment="1" applyProtection="1">
      <alignment vertical="top" wrapText="1"/>
      <protection locked="0"/>
    </xf>
    <xf numFmtId="0" fontId="35" fillId="10" borderId="0" xfId="0" applyFont="1" applyFill="1" applyAlignment="1">
      <alignment wrapText="1"/>
    </xf>
    <xf numFmtId="17" fontId="35" fillId="10" borderId="19" xfId="0" applyNumberFormat="1" applyFont="1" applyFill="1" applyBorder="1"/>
    <xf numFmtId="17" fontId="35" fillId="10" borderId="21" xfId="0" applyNumberFormat="1" applyFont="1" applyFill="1" applyBorder="1"/>
    <xf numFmtId="17" fontId="35" fillId="0" borderId="19" xfId="0" applyNumberFormat="1" applyFont="1" applyBorder="1"/>
    <xf numFmtId="17" fontId="35" fillId="0" borderId="21" xfId="0" applyNumberFormat="1" applyFont="1" applyBorder="1"/>
    <xf numFmtId="17" fontId="35" fillId="0" borderId="3" xfId="0" applyNumberFormat="1" applyFont="1" applyBorder="1"/>
    <xf numFmtId="17" fontId="35" fillId="0" borderId="9" xfId="0" applyNumberFormat="1" applyFont="1" applyBorder="1"/>
    <xf numFmtId="0" fontId="31" fillId="0" borderId="3" xfId="0" applyFont="1" applyBorder="1" applyAlignment="1">
      <alignment wrapText="1"/>
    </xf>
    <xf numFmtId="0" fontId="30" fillId="0" borderId="4" xfId="0" applyFont="1" applyBorder="1" applyAlignment="1">
      <alignment wrapText="1"/>
    </xf>
    <xf numFmtId="43" fontId="30" fillId="6" borderId="4" xfId="1" applyFont="1" applyFill="1" applyBorder="1" applyAlignment="1" applyProtection="1">
      <alignment wrapText="1"/>
    </xf>
    <xf numFmtId="165" fontId="30" fillId="6" borderId="4" xfId="1" applyNumberFormat="1" applyFont="1" applyFill="1" applyBorder="1" applyAlignment="1" applyProtection="1">
      <alignment wrapText="1"/>
    </xf>
    <xf numFmtId="165" fontId="30" fillId="6" borderId="19" xfId="1" applyNumberFormat="1" applyFont="1" applyFill="1" applyBorder="1" applyAlignment="1" applyProtection="1">
      <alignment wrapText="1"/>
    </xf>
    <xf numFmtId="165" fontId="30" fillId="6" borderId="21" xfId="1" applyNumberFormat="1" applyFont="1" applyFill="1" applyBorder="1" applyAlignment="1" applyProtection="1">
      <alignment wrapText="1"/>
    </xf>
    <xf numFmtId="165" fontId="30" fillId="6" borderId="3" xfId="1" applyNumberFormat="1" applyFont="1" applyFill="1" applyBorder="1" applyAlignment="1" applyProtection="1">
      <alignment wrapText="1"/>
    </xf>
    <xf numFmtId="0" fontId="30" fillId="0" borderId="3" xfId="0" applyFont="1" applyBorder="1" applyAlignment="1">
      <alignment wrapText="1"/>
    </xf>
    <xf numFmtId="166" fontId="36" fillId="7" borderId="8" xfId="0" applyNumberFormat="1" applyFont="1" applyFill="1" applyBorder="1" applyAlignment="1" applyProtection="1">
      <alignment vertical="top" wrapText="1"/>
      <protection locked="0"/>
    </xf>
    <xf numFmtId="43" fontId="36" fillId="11" borderId="3" xfId="1" applyFont="1" applyFill="1" applyBorder="1" applyAlignment="1" applyProtection="1">
      <alignment vertical="top" wrapText="1"/>
      <protection locked="0"/>
    </xf>
    <xf numFmtId="165" fontId="36" fillId="11" borderId="4" xfId="1" applyNumberFormat="1" applyFont="1" applyFill="1" applyBorder="1" applyAlignment="1" applyProtection="1">
      <alignment vertical="top" wrapText="1"/>
      <protection locked="0"/>
    </xf>
    <xf numFmtId="165" fontId="36" fillId="11" borderId="19" xfId="1" applyNumberFormat="1" applyFont="1" applyFill="1" applyBorder="1" applyAlignment="1" applyProtection="1">
      <alignment vertical="top" wrapText="1"/>
      <protection locked="0"/>
    </xf>
    <xf numFmtId="165" fontId="36" fillId="11" borderId="21" xfId="1" applyNumberFormat="1" applyFont="1" applyFill="1" applyBorder="1" applyAlignment="1" applyProtection="1">
      <alignment vertical="top" wrapText="1"/>
      <protection locked="0"/>
    </xf>
    <xf numFmtId="165" fontId="36" fillId="11" borderId="3" xfId="1" applyNumberFormat="1" applyFont="1" applyFill="1" applyBorder="1" applyAlignment="1" applyProtection="1">
      <alignment vertical="top" wrapText="1"/>
      <protection locked="0"/>
    </xf>
    <xf numFmtId="0" fontId="31" fillId="0" borderId="4" xfId="0" applyFont="1" applyBorder="1" applyAlignment="1">
      <alignment wrapText="1"/>
    </xf>
    <xf numFmtId="166" fontId="36" fillId="0" borderId="8" xfId="0" applyNumberFormat="1" applyFont="1" applyBorder="1" applyAlignment="1" applyProtection="1">
      <alignment vertical="top" wrapText="1"/>
      <protection locked="0"/>
    </xf>
    <xf numFmtId="43" fontId="36" fillId="0" borderId="3" xfId="1" applyFont="1" applyBorder="1" applyAlignment="1" applyProtection="1">
      <alignment vertical="top" wrapText="1"/>
      <protection locked="0"/>
    </xf>
    <xf numFmtId="43" fontId="32" fillId="0" borderId="3" xfId="1" applyFont="1" applyBorder="1" applyAlignment="1">
      <alignment wrapText="1"/>
    </xf>
    <xf numFmtId="165" fontId="32" fillId="0" borderId="0" xfId="1" applyNumberFormat="1" applyFont="1" applyAlignment="1">
      <alignment wrapText="1"/>
    </xf>
    <xf numFmtId="165" fontId="37" fillId="0" borderId="19" xfId="0" applyNumberFormat="1" applyFont="1" applyBorder="1" applyAlignment="1">
      <alignment wrapText="1" readingOrder="1"/>
    </xf>
    <xf numFmtId="165" fontId="37" fillId="0" borderId="21" xfId="0" applyNumberFormat="1" applyFont="1" applyBorder="1" applyAlignment="1">
      <alignment wrapText="1" readingOrder="1"/>
    </xf>
    <xf numFmtId="165" fontId="32" fillId="0" borderId="19" xfId="0" applyNumberFormat="1" applyFont="1" applyBorder="1"/>
    <xf numFmtId="165" fontId="32" fillId="0" borderId="21" xfId="0" applyNumberFormat="1" applyFont="1" applyBorder="1"/>
    <xf numFmtId="165" fontId="32" fillId="0" borderId="3" xfId="1" applyNumberFormat="1" applyFont="1" applyBorder="1"/>
    <xf numFmtId="165" fontId="32" fillId="0" borderId="3" xfId="0" applyNumberFormat="1" applyFont="1" applyBorder="1"/>
    <xf numFmtId="165" fontId="32" fillId="0" borderId="4" xfId="0" applyNumberFormat="1" applyFont="1" applyBorder="1"/>
    <xf numFmtId="165" fontId="32" fillId="0" borderId="0" xfId="1" applyNumberFormat="1" applyFont="1"/>
    <xf numFmtId="4" fontId="37" fillId="0" borderId="66" xfId="0" applyNumberFormat="1" applyFont="1" applyBorder="1" applyAlignment="1">
      <alignment wrapText="1" readingOrder="1"/>
    </xf>
    <xf numFmtId="4" fontId="37" fillId="0" borderId="67" xfId="0" applyNumberFormat="1" applyFont="1" applyBorder="1" applyAlignment="1">
      <alignment wrapText="1" readingOrder="1"/>
    </xf>
    <xf numFmtId="43" fontId="30" fillId="8" borderId="4" xfId="1" applyFont="1" applyFill="1" applyBorder="1" applyAlignment="1">
      <alignment wrapText="1"/>
    </xf>
    <xf numFmtId="165" fontId="30" fillId="8" borderId="4" xfId="1" applyNumberFormat="1" applyFont="1" applyFill="1" applyBorder="1" applyAlignment="1">
      <alignment wrapText="1"/>
    </xf>
    <xf numFmtId="165" fontId="30" fillId="8" borderId="19" xfId="1" applyNumberFormat="1" applyFont="1" applyFill="1" applyBorder="1" applyAlignment="1">
      <alignment wrapText="1"/>
    </xf>
    <xf numFmtId="165" fontId="30" fillId="8" borderId="21" xfId="1" applyNumberFormat="1" applyFont="1" applyFill="1" applyBorder="1" applyAlignment="1">
      <alignment wrapText="1"/>
    </xf>
    <xf numFmtId="165" fontId="30" fillId="8" borderId="3" xfId="1" applyNumberFormat="1" applyFont="1" applyFill="1" applyBorder="1" applyAlignment="1">
      <alignment wrapText="1"/>
    </xf>
    <xf numFmtId="0" fontId="37" fillId="0" borderId="66" xfId="0" applyFont="1" applyBorder="1" applyAlignment="1">
      <alignment wrapText="1" readingOrder="1"/>
    </xf>
    <xf numFmtId="0" fontId="37" fillId="0" borderId="67" xfId="0" applyFont="1" applyBorder="1" applyAlignment="1">
      <alignment wrapText="1" readingOrder="1"/>
    </xf>
    <xf numFmtId="43" fontId="36" fillId="7" borderId="3" xfId="1" applyFont="1" applyFill="1" applyBorder="1" applyAlignment="1" applyProtection="1">
      <alignment vertical="top" wrapText="1"/>
      <protection locked="0"/>
    </xf>
    <xf numFmtId="165" fontId="37" fillId="12" borderId="19" xfId="0" applyNumberFormat="1" applyFont="1" applyFill="1" applyBorder="1" applyAlignment="1">
      <alignment wrapText="1" readingOrder="1"/>
    </xf>
    <xf numFmtId="165" fontId="37" fillId="12" borderId="21" xfId="0" applyNumberFormat="1" applyFont="1" applyFill="1" applyBorder="1" applyAlignment="1">
      <alignment wrapText="1" readingOrder="1"/>
    </xf>
    <xf numFmtId="165" fontId="38" fillId="7" borderId="6" xfId="8" applyNumberFormat="1" applyFont="1" applyFill="1" applyBorder="1" applyAlignment="1" applyProtection="1">
      <alignment vertical="top" wrapText="1" readingOrder="1"/>
      <protection locked="0"/>
    </xf>
    <xf numFmtId="4" fontId="37" fillId="17" borderId="67" xfId="0" applyNumberFormat="1" applyFont="1" applyFill="1" applyBorder="1" applyAlignment="1">
      <alignment wrapText="1" readingOrder="1"/>
    </xf>
    <xf numFmtId="43" fontId="30" fillId="2" borderId="4" xfId="1" applyFont="1" applyFill="1" applyBorder="1" applyAlignment="1" applyProtection="1">
      <alignment wrapText="1"/>
    </xf>
    <xf numFmtId="165" fontId="30" fillId="2" borderId="4" xfId="1" applyNumberFormat="1" applyFont="1" applyFill="1" applyBorder="1" applyAlignment="1" applyProtection="1">
      <alignment wrapText="1"/>
    </xf>
    <xf numFmtId="165" fontId="30" fillId="2" borderId="19" xfId="1" applyNumberFormat="1" applyFont="1" applyFill="1" applyBorder="1" applyAlignment="1" applyProtection="1">
      <alignment wrapText="1"/>
    </xf>
    <xf numFmtId="165" fontId="30" fillId="2" borderId="21" xfId="1" applyNumberFormat="1" applyFont="1" applyFill="1" applyBorder="1" applyAlignment="1" applyProtection="1">
      <alignment wrapText="1"/>
    </xf>
    <xf numFmtId="165" fontId="30" fillId="2" borderId="3" xfId="1" applyNumberFormat="1" applyFont="1" applyFill="1" applyBorder="1" applyAlignment="1" applyProtection="1">
      <alignment wrapText="1"/>
    </xf>
    <xf numFmtId="165" fontId="32" fillId="0" borderId="4" xfId="1" applyNumberFormat="1" applyFont="1" applyBorder="1" applyAlignment="1">
      <alignment wrapText="1"/>
    </xf>
    <xf numFmtId="165" fontId="32" fillId="0" borderId="19" xfId="1" applyNumberFormat="1" applyFont="1" applyBorder="1" applyAlignment="1">
      <alignment wrapText="1"/>
    </xf>
    <xf numFmtId="165" fontId="32" fillId="0" borderId="21" xfId="1" applyNumberFormat="1" applyFont="1" applyBorder="1" applyAlignment="1">
      <alignment wrapText="1"/>
    </xf>
    <xf numFmtId="43" fontId="31" fillId="8" borderId="4" xfId="1" applyFont="1" applyFill="1" applyBorder="1" applyAlignment="1">
      <alignment wrapText="1"/>
    </xf>
    <xf numFmtId="165" fontId="31" fillId="8" borderId="4" xfId="1" applyNumberFormat="1" applyFont="1" applyFill="1" applyBorder="1" applyAlignment="1">
      <alignment wrapText="1"/>
    </xf>
    <xf numFmtId="165" fontId="31" fillId="8" borderId="19" xfId="1" applyNumberFormat="1" applyFont="1" applyFill="1" applyBorder="1" applyAlignment="1">
      <alignment wrapText="1"/>
    </xf>
    <xf numFmtId="165" fontId="31" fillId="8" borderId="21" xfId="1" applyNumberFormat="1" applyFont="1" applyFill="1" applyBorder="1" applyAlignment="1">
      <alignment wrapText="1"/>
    </xf>
    <xf numFmtId="165" fontId="31" fillId="8" borderId="3" xfId="1" applyNumberFormat="1" applyFont="1" applyFill="1" applyBorder="1" applyAlignment="1">
      <alignment wrapText="1"/>
    </xf>
    <xf numFmtId="165" fontId="32" fillId="0" borderId="29" xfId="1" applyNumberFormat="1" applyFont="1" applyBorder="1"/>
    <xf numFmtId="165" fontId="30" fillId="8" borderId="29" xfId="1" applyNumberFormat="1" applyFont="1" applyFill="1" applyBorder="1" applyAlignment="1">
      <alignment wrapText="1"/>
    </xf>
    <xf numFmtId="43" fontId="30" fillId="8" borderId="29" xfId="1" applyFont="1" applyFill="1" applyBorder="1" applyAlignment="1">
      <alignment wrapText="1"/>
    </xf>
    <xf numFmtId="43" fontId="32" fillId="0" borderId="29" xfId="0" applyNumberFormat="1" applyFont="1" applyBorder="1"/>
    <xf numFmtId="165" fontId="32" fillId="0" borderId="0" xfId="0" applyNumberFormat="1" applyFont="1"/>
    <xf numFmtId="43" fontId="32" fillId="0" borderId="0" xfId="0" applyNumberFormat="1" applyFont="1"/>
    <xf numFmtId="0" fontId="30" fillId="0" borderId="4" xfId="0" applyFont="1" applyBorder="1" applyAlignment="1">
      <alignment horizontal="center" wrapText="1"/>
    </xf>
    <xf numFmtId="0" fontId="30" fillId="0" borderId="5" xfId="0" applyFont="1" applyBorder="1" applyAlignment="1">
      <alignment horizontal="center" wrapText="1"/>
    </xf>
    <xf numFmtId="0" fontId="30" fillId="0" borderId="29" xfId="0" applyFont="1" applyBorder="1" applyAlignment="1">
      <alignment horizontal="center" wrapText="1"/>
    </xf>
    <xf numFmtId="17" fontId="20" fillId="0" borderId="48" xfId="0" applyNumberFormat="1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17" fontId="11" fillId="0" borderId="48" xfId="0" applyNumberFormat="1" applyFont="1" applyBorder="1" applyAlignment="1">
      <alignment horizontal="center"/>
    </xf>
    <xf numFmtId="17" fontId="11" fillId="0" borderId="49" xfId="0" applyNumberFormat="1" applyFont="1" applyBorder="1" applyAlignment="1">
      <alignment horizontal="center"/>
    </xf>
    <xf numFmtId="17" fontId="11" fillId="0" borderId="50" xfId="0" applyNumberFormat="1" applyFont="1" applyBorder="1" applyAlignment="1">
      <alignment horizontal="center"/>
    </xf>
    <xf numFmtId="17" fontId="20" fillId="0" borderId="61" xfId="0" applyNumberFormat="1" applyFont="1" applyBorder="1" applyAlignment="1">
      <alignment horizontal="center"/>
    </xf>
    <xf numFmtId="0" fontId="20" fillId="0" borderId="62" xfId="0" applyFont="1" applyBorder="1" applyAlignment="1">
      <alignment horizontal="center"/>
    </xf>
    <xf numFmtId="0" fontId="20" fillId="0" borderId="6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0" fillId="0" borderId="10" xfId="0" applyFont="1" applyBorder="1" applyAlignment="1" applyProtection="1">
      <alignment horizontal="center"/>
      <protection locked="0"/>
    </xf>
    <xf numFmtId="0" fontId="20" fillId="0" borderId="14" xfId="0" applyFont="1" applyBorder="1" applyAlignment="1" applyProtection="1">
      <alignment horizontal="center"/>
      <protection locked="0"/>
    </xf>
    <xf numFmtId="0" fontId="20" fillId="0" borderId="30" xfId="0" applyFont="1" applyBorder="1" applyAlignment="1" applyProtection="1">
      <alignment horizontal="center"/>
      <protection locked="0"/>
    </xf>
    <xf numFmtId="0" fontId="20" fillId="0" borderId="11" xfId="0" applyFont="1" applyBorder="1" applyAlignment="1" applyProtection="1">
      <alignment horizontal="center"/>
      <protection locked="0"/>
    </xf>
    <xf numFmtId="0" fontId="20" fillId="0" borderId="3" xfId="0" applyFont="1" applyBorder="1" applyAlignment="1" applyProtection="1">
      <alignment horizontal="center"/>
      <protection locked="0"/>
    </xf>
    <xf numFmtId="0" fontId="20" fillId="0" borderId="4" xfId="0" applyFont="1" applyBorder="1" applyAlignment="1" applyProtection="1">
      <alignment horizontal="center"/>
      <protection locked="0"/>
    </xf>
    <xf numFmtId="0" fontId="20" fillId="0" borderId="9" xfId="0" applyFont="1" applyBorder="1" applyAlignment="1">
      <alignment horizontal="center" wrapText="1"/>
    </xf>
    <xf numFmtId="0" fontId="20" fillId="0" borderId="32" xfId="0" applyFont="1" applyBorder="1" applyAlignment="1">
      <alignment horizontal="center" wrapText="1"/>
    </xf>
    <xf numFmtId="17" fontId="20" fillId="0" borderId="31" xfId="0" applyNumberFormat="1" applyFont="1" applyBorder="1" applyAlignment="1" applyProtection="1">
      <alignment horizontal="center" wrapText="1"/>
      <protection locked="0"/>
    </xf>
    <xf numFmtId="17" fontId="20" fillId="0" borderId="33" xfId="0" applyNumberFormat="1" applyFont="1" applyBorder="1" applyAlignment="1" applyProtection="1">
      <alignment horizontal="center" wrapText="1"/>
      <protection locked="0"/>
    </xf>
    <xf numFmtId="0" fontId="26" fillId="0" borderId="0" xfId="0" applyFont="1" applyAlignment="1">
      <alignment horizontal="center"/>
    </xf>
    <xf numFmtId="0" fontId="26" fillId="0" borderId="46" xfId="0" applyFont="1" applyBorder="1" applyAlignment="1">
      <alignment horizontal="center"/>
    </xf>
    <xf numFmtId="0" fontId="29" fillId="0" borderId="66" xfId="0" applyFont="1" applyFill="1" applyBorder="1" applyAlignment="1">
      <alignment wrapText="1" readingOrder="1"/>
    </xf>
    <xf numFmtId="4" fontId="29" fillId="0" borderId="66" xfId="0" applyNumberFormat="1" applyFont="1" applyFill="1" applyBorder="1" applyAlignment="1">
      <alignment wrapText="1" readingOrder="1"/>
    </xf>
    <xf numFmtId="0" fontId="29" fillId="0" borderId="67" xfId="0" applyFont="1" applyFill="1" applyBorder="1" applyAlignment="1">
      <alignment wrapText="1" readingOrder="1"/>
    </xf>
    <xf numFmtId="4" fontId="29" fillId="0" borderId="67" xfId="0" applyNumberFormat="1" applyFont="1" applyFill="1" applyBorder="1" applyAlignment="1">
      <alignment wrapText="1" readingOrder="1"/>
    </xf>
    <xf numFmtId="0" fontId="40" fillId="0" borderId="66" xfId="0" applyFont="1" applyFill="1" applyBorder="1" applyAlignment="1">
      <alignment wrapText="1" readingOrder="1"/>
    </xf>
    <xf numFmtId="4" fontId="40" fillId="0" borderId="66" xfId="0" applyNumberFormat="1" applyFont="1" applyFill="1" applyBorder="1" applyAlignment="1">
      <alignment wrapText="1" readingOrder="1"/>
    </xf>
    <xf numFmtId="0" fontId="40" fillId="0" borderId="67" xfId="0" applyFont="1" applyFill="1" applyBorder="1" applyAlignment="1">
      <alignment wrapText="1" readingOrder="1"/>
    </xf>
    <xf numFmtId="4" fontId="40" fillId="0" borderId="67" xfId="0" applyNumberFormat="1" applyFont="1" applyFill="1" applyBorder="1" applyAlignment="1">
      <alignment wrapText="1" readingOrder="1"/>
    </xf>
  </cellXfs>
  <cellStyles count="9">
    <cellStyle name="Comma" xfId="1" builtinId="3"/>
    <cellStyle name="Comma 10" xfId="3" xr:uid="{00000000-0005-0000-0000-000001000000}"/>
    <cellStyle name="Comma 10 10 2" xfId="7" xr:uid="{1D9A458E-7827-40ED-B611-7A57EE9E3C1D}"/>
    <cellStyle name="Comma 369" xfId="5" xr:uid="{00000000-0005-0000-0000-000002000000}"/>
    <cellStyle name="Normal" xfId="0" builtinId="0"/>
    <cellStyle name="Normal 2" xfId="8" xr:uid="{088B3967-DFEF-4ACC-9648-D123420CF3B4}"/>
    <cellStyle name="Normal 385" xfId="4" xr:uid="{00000000-0005-0000-0000-000004000000}"/>
    <cellStyle name="Percent" xfId="2" builtinId="5"/>
    <cellStyle name="Percent 2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SFP!$AI$45:$AI$49</c:f>
            </c:numRef>
          </c:val>
          <c:extLst>
            <c:ext xmlns:c16="http://schemas.microsoft.com/office/drawing/2014/chart" uri="{C3380CC4-5D6E-409C-BE32-E72D297353CC}">
              <c16:uniqueId val="{00000000-C048-464A-B112-C9B8BD875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029535"/>
        <c:axId val="1098029951"/>
      </c:barChart>
      <c:catAx>
        <c:axId val="1098029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29951"/>
        <c:crosses val="autoZero"/>
        <c:auto val="1"/>
        <c:lblAlgn val="ctr"/>
        <c:lblOffset val="100"/>
        <c:noMultiLvlLbl val="0"/>
      </c:catAx>
      <c:valAx>
        <c:axId val="109802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2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'Graphical Analysis'!$A$2</c:f>
              <c:strCache>
                <c:ptCount val="1"/>
                <c:pt idx="0">
                  <c:v>Assets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'Graphical Analysis'!$B$1:$O$1</c:f>
              <c:strCache>
                <c:ptCount val="14"/>
                <c:pt idx="0">
                  <c:v>Audit 2020</c:v>
                </c:pt>
                <c:pt idx="1">
                  <c:v>Audit 2021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  <c:pt idx="13">
                  <c:v>Dec-22</c:v>
                </c:pt>
              </c:strCache>
            </c:strRef>
          </c:cat>
          <c:val>
            <c:numRef>
              <c:f>'Graphical Analysis'!$B$2:$O$2</c:f>
              <c:numCache>
                <c:formatCode>_(* #,##0.00_);_(* \(#,##0.00\);_(* "-"??_);_(@_)</c:formatCode>
                <c:ptCount val="14"/>
                <c:pt idx="0">
                  <c:v>615.46944791750002</c:v>
                </c:pt>
                <c:pt idx="1">
                  <c:v>700.60738800000001</c:v>
                </c:pt>
                <c:pt idx="2">
                  <c:v>708.30002883999998</c:v>
                </c:pt>
                <c:pt idx="3">
                  <c:v>702.76714993999997</c:v>
                </c:pt>
                <c:pt idx="4">
                  <c:v>698.65779019000001</c:v>
                </c:pt>
                <c:pt idx="5">
                  <c:v>705.31140268000001</c:v>
                </c:pt>
                <c:pt idx="6">
                  <c:v>709.12799203999998</c:v>
                </c:pt>
                <c:pt idx="7">
                  <c:v>705.90083271000003</c:v>
                </c:pt>
                <c:pt idx="8">
                  <c:v>700.39407628000004</c:v>
                </c:pt>
                <c:pt idx="9">
                  <c:v>691.01525030000005</c:v>
                </c:pt>
                <c:pt idx="10">
                  <c:v>685.40492404000008</c:v>
                </c:pt>
                <c:pt idx="11">
                  <c:v>689.05493371</c:v>
                </c:pt>
                <c:pt idx="12">
                  <c:v>728.25745540000003</c:v>
                </c:pt>
                <c:pt idx="13">
                  <c:v>756.72472534000008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B-474E-B5CB-AF2C7E6637EB}"/>
            </c:ext>
          </c:extLst>
        </c:ser>
        <c:ser>
          <c:idx val="1"/>
          <c:order val="1"/>
          <c:tx>
            <c:strRef>
              <c:f>'Graphical Analysis'!$A$3</c:f>
              <c:strCache>
                <c:ptCount val="1"/>
                <c:pt idx="0">
                  <c:v>Deposits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'Graphical Analysis'!$B$1:$O$1</c:f>
              <c:strCache>
                <c:ptCount val="14"/>
                <c:pt idx="0">
                  <c:v>Audit 2020</c:v>
                </c:pt>
                <c:pt idx="1">
                  <c:v>Audit 2021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  <c:pt idx="13">
                  <c:v>Dec-22</c:v>
                </c:pt>
              </c:strCache>
            </c:strRef>
          </c:cat>
          <c:val>
            <c:numRef>
              <c:f>'Graphical Analysis'!$B$3:$O$3</c:f>
              <c:numCache>
                <c:formatCode>_(* #,##0.00_);_(* \(#,##0.00\);_(* "-"??_);_(@_)</c:formatCode>
                <c:ptCount val="14"/>
                <c:pt idx="0">
                  <c:v>457.40676791000004</c:v>
                </c:pt>
                <c:pt idx="1">
                  <c:v>510.01612299999999</c:v>
                </c:pt>
                <c:pt idx="2">
                  <c:v>485.00703289999996</c:v>
                </c:pt>
                <c:pt idx="3">
                  <c:v>512.35348290000002</c:v>
                </c:pt>
                <c:pt idx="4">
                  <c:v>504.60907989999998</c:v>
                </c:pt>
                <c:pt idx="5">
                  <c:v>512.55376899999999</c:v>
                </c:pt>
                <c:pt idx="6">
                  <c:v>515.16393770000002</c:v>
                </c:pt>
                <c:pt idx="7">
                  <c:v>507.50766469999996</c:v>
                </c:pt>
                <c:pt idx="8">
                  <c:v>499.90313280000004</c:v>
                </c:pt>
                <c:pt idx="9">
                  <c:v>490.59373670000002</c:v>
                </c:pt>
                <c:pt idx="10">
                  <c:v>483.14216128999999</c:v>
                </c:pt>
                <c:pt idx="11">
                  <c:v>475.62372933</c:v>
                </c:pt>
                <c:pt idx="12">
                  <c:v>501.80239319999998</c:v>
                </c:pt>
                <c:pt idx="13">
                  <c:v>503.39433460000004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B-474E-B5CB-AF2C7E6637EB}"/>
            </c:ext>
          </c:extLst>
        </c:ser>
        <c:ser>
          <c:idx val="2"/>
          <c:order val="2"/>
          <c:tx>
            <c:strRef>
              <c:f>'Graphical Analysis'!$A$4</c:f>
              <c:strCache>
                <c:ptCount val="1"/>
                <c:pt idx="0">
                  <c:v>Gross Loans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'Graphical Analysis'!$B$1:$O$1</c:f>
              <c:strCache>
                <c:ptCount val="14"/>
                <c:pt idx="0">
                  <c:v>Audit 2020</c:v>
                </c:pt>
                <c:pt idx="1">
                  <c:v>Audit 2021</c:v>
                </c:pt>
                <c:pt idx="2">
                  <c:v>Jan-22</c:v>
                </c:pt>
                <c:pt idx="3">
                  <c:v>Feb-22</c:v>
                </c:pt>
                <c:pt idx="4">
                  <c:v>Mar-22</c:v>
                </c:pt>
                <c:pt idx="5">
                  <c:v>Apr-22</c:v>
                </c:pt>
                <c:pt idx="6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Aug-22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  <c:pt idx="13">
                  <c:v>Dec-22</c:v>
                </c:pt>
              </c:strCache>
            </c:strRef>
          </c:cat>
          <c:val>
            <c:numRef>
              <c:f>'Graphical Analysis'!$B$4:$O$4</c:f>
              <c:numCache>
                <c:formatCode>_(* #,##0.00_);_(* \(#,##0.00\);_(* "-"??_);_(@_)</c:formatCode>
                <c:ptCount val="14"/>
                <c:pt idx="0">
                  <c:v>443.35605500000003</c:v>
                </c:pt>
                <c:pt idx="1">
                  <c:v>495.28968975999999</c:v>
                </c:pt>
                <c:pt idx="2">
                  <c:v>497.40142968000004</c:v>
                </c:pt>
                <c:pt idx="3">
                  <c:v>497.24303995999998</c:v>
                </c:pt>
                <c:pt idx="4">
                  <c:v>501.83004579000004</c:v>
                </c:pt>
                <c:pt idx="5">
                  <c:v>514.34292921999997</c:v>
                </c:pt>
                <c:pt idx="6">
                  <c:v>523.64610451999999</c:v>
                </c:pt>
                <c:pt idx="7">
                  <c:v>518.46624929000006</c:v>
                </c:pt>
                <c:pt idx="8">
                  <c:v>519.53845492000005</c:v>
                </c:pt>
                <c:pt idx="9">
                  <c:v>511.03564355000003</c:v>
                </c:pt>
                <c:pt idx="10">
                  <c:v>512.36709456999995</c:v>
                </c:pt>
                <c:pt idx="11">
                  <c:v>509.72175963999996</c:v>
                </c:pt>
                <c:pt idx="12">
                  <c:v>553.78174053999999</c:v>
                </c:pt>
                <c:pt idx="13">
                  <c:v>560.82073007000008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8B-474E-B5CB-AF2C7E663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529792"/>
        <c:axId val="586534056"/>
      </c:lineChart>
      <c:catAx>
        <c:axId val="58652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34056"/>
        <c:crosses val="autoZero"/>
        <c:auto val="1"/>
        <c:lblAlgn val="ctr"/>
        <c:lblOffset val="100"/>
        <c:noMultiLvlLbl val="0"/>
      </c:catAx>
      <c:valAx>
        <c:axId val="5865340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2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C5544D-214F-49AD-87AE-C26A21380A6D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E33C1-4684-4C43-986F-90D2FD61A9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4</xdr:row>
      <xdr:rowOff>99060</xdr:rowOff>
    </xdr:from>
    <xdr:to>
      <xdr:col>21</xdr:col>
      <xdr:colOff>403860</xdr:colOff>
      <xdr:row>25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A3563-F65D-BCAF-6775-88AD6CD04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Acc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Financials"/>
      <sheetName val="FORM 4"/>
      <sheetName val="CAEL"/>
    </sheetNames>
    <sheetDataSet>
      <sheetData sheetId="0">
        <row r="16">
          <cell r="C16">
            <v>0</v>
          </cell>
        </row>
        <row r="20">
          <cell r="C20">
            <v>0</v>
          </cell>
        </row>
        <row r="26">
          <cell r="C26">
            <v>0</v>
          </cell>
        </row>
        <row r="30">
          <cell r="C30">
            <v>0</v>
          </cell>
        </row>
        <row r="41">
          <cell r="C41">
            <v>0</v>
          </cell>
        </row>
      </sheetData>
      <sheetData sheetId="1">
        <row r="4">
          <cell r="C4">
            <v>0</v>
          </cell>
        </row>
        <row r="8">
          <cell r="C8">
            <v>0</v>
          </cell>
        </row>
        <row r="20">
          <cell r="C20">
            <v>0</v>
          </cell>
        </row>
        <row r="24">
          <cell r="C24">
            <v>0</v>
          </cell>
        </row>
        <row r="30">
          <cell r="C30">
            <v>0</v>
          </cell>
        </row>
        <row r="38">
          <cell r="C38">
            <v>0</v>
          </cell>
        </row>
      </sheetData>
      <sheetData sheetId="2">
        <row r="5">
          <cell r="B5">
            <v>0</v>
          </cell>
        </row>
        <row r="13">
          <cell r="B13">
            <v>0</v>
          </cell>
        </row>
        <row r="31">
          <cell r="B31">
            <v>0</v>
          </cell>
        </row>
      </sheetData>
      <sheetData sheetId="3">
        <row r="22">
          <cell r="F22">
            <v>0.16358977696968297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4"/>
  <sheetViews>
    <sheetView zoomScale="85" zoomScaleNormal="85" workbookViewId="0">
      <pane xSplit="14" ySplit="4" topLeftCell="AW42" activePane="bottomRight" state="frozen"/>
      <selection pane="bottomRight" activeCell="AX53" sqref="AX53"/>
      <selection pane="bottomLeft" activeCell="A5" sqref="A5"/>
      <selection pane="topRight" activeCell="O1" sqref="O1"/>
    </sheetView>
  </sheetViews>
  <sheetFormatPr defaultRowHeight="14.45"/>
  <cols>
    <col min="1" max="1" width="5" bestFit="1" customWidth="1"/>
    <col min="2" max="2" width="47.28515625" bestFit="1" customWidth="1"/>
    <col min="3" max="3" width="14.7109375" hidden="1" customWidth="1"/>
    <col min="4" max="13" width="15.28515625" hidden="1" customWidth="1"/>
    <col min="14" max="14" width="16.85546875" hidden="1" customWidth="1"/>
    <col min="15" max="15" width="16.42578125" bestFit="1" customWidth="1"/>
    <col min="16" max="18" width="15.85546875" hidden="1" customWidth="1"/>
    <col min="19" max="19" width="15.28515625" hidden="1" customWidth="1"/>
    <col min="20" max="20" width="13.85546875" hidden="1" customWidth="1"/>
    <col min="21" max="21" width="15.5703125" hidden="1" customWidth="1"/>
    <col min="22" max="22" width="15.42578125" hidden="1" customWidth="1"/>
    <col min="23" max="23" width="16.5703125" hidden="1" customWidth="1"/>
    <col min="24" max="27" width="15.85546875" hidden="1" customWidth="1"/>
    <col min="28" max="28" width="15.85546875" bestFit="1" customWidth="1"/>
    <col min="29" max="29" width="16.42578125" hidden="1" customWidth="1"/>
    <col min="30" max="30" width="16.5703125" hidden="1" customWidth="1"/>
    <col min="31" max="31" width="16" customWidth="1"/>
    <col min="32" max="32" width="17.85546875" hidden="1" customWidth="1"/>
    <col min="33" max="33" width="15.42578125" hidden="1" customWidth="1"/>
    <col min="34" max="34" width="16" customWidth="1"/>
    <col min="35" max="35" width="15.5703125" hidden="1" customWidth="1"/>
    <col min="36" max="36" width="18" hidden="1" customWidth="1"/>
    <col min="37" max="37" width="16.42578125" customWidth="1"/>
    <col min="38" max="40" width="15.85546875" bestFit="1" customWidth="1"/>
    <col min="41" max="41" width="12.7109375" customWidth="1"/>
    <col min="42" max="44" width="16.28515625" style="254" bestFit="1" customWidth="1"/>
    <col min="45" max="45" width="15.28515625" customWidth="1"/>
    <col min="46" max="46" width="13.7109375" customWidth="1"/>
    <col min="47" max="47" width="15.140625" customWidth="1"/>
    <col min="48" max="48" width="19.85546875" customWidth="1"/>
    <col min="49" max="49" width="15.42578125" bestFit="1" customWidth="1"/>
    <col min="50" max="50" width="15.85546875" customWidth="1"/>
    <col min="51" max="51" width="9" bestFit="1" customWidth="1"/>
  </cols>
  <sheetData>
    <row r="1" spans="1:51">
      <c r="A1" s="1"/>
      <c r="B1" s="2" t="s">
        <v>0</v>
      </c>
      <c r="C1" s="3"/>
      <c r="D1" s="3"/>
      <c r="E1" s="3"/>
      <c r="F1" s="3"/>
      <c r="G1" s="3"/>
    </row>
    <row r="2" spans="1:51">
      <c r="A2" s="1"/>
      <c r="B2" s="4" t="s">
        <v>1</v>
      </c>
      <c r="C2" s="3"/>
      <c r="D2" s="3"/>
      <c r="E2" s="3"/>
      <c r="F2" s="3"/>
      <c r="G2" s="3"/>
    </row>
    <row r="3" spans="1:51">
      <c r="A3" s="5"/>
      <c r="B3" s="4" t="s">
        <v>2</v>
      </c>
      <c r="D3" s="6">
        <v>44216</v>
      </c>
      <c r="E3" s="6">
        <v>44247</v>
      </c>
      <c r="F3" s="6">
        <v>44275</v>
      </c>
      <c r="G3" s="6">
        <v>44306</v>
      </c>
      <c r="H3" s="6">
        <v>44336</v>
      </c>
      <c r="I3" s="6">
        <v>44367</v>
      </c>
      <c r="J3" s="6">
        <v>44428</v>
      </c>
      <c r="K3" s="6">
        <v>44459</v>
      </c>
      <c r="L3" s="6">
        <v>44489</v>
      </c>
      <c r="M3" s="6">
        <v>44520</v>
      </c>
      <c r="N3" s="6">
        <v>44550</v>
      </c>
      <c r="O3" s="97" t="s">
        <v>3</v>
      </c>
      <c r="P3" s="74">
        <v>44197</v>
      </c>
      <c r="Q3" s="74">
        <v>44228</v>
      </c>
      <c r="R3" s="84">
        <v>44256</v>
      </c>
      <c r="S3" s="84">
        <v>44287</v>
      </c>
      <c r="T3" s="84">
        <v>44317</v>
      </c>
      <c r="U3" s="84">
        <v>44348</v>
      </c>
      <c r="V3" s="84">
        <v>44378</v>
      </c>
      <c r="W3" s="84">
        <v>44409</v>
      </c>
      <c r="X3" s="85">
        <v>44440</v>
      </c>
      <c r="Y3" s="85">
        <v>44470</v>
      </c>
      <c r="Z3" s="85">
        <v>44501</v>
      </c>
      <c r="AA3" s="90">
        <v>44531</v>
      </c>
      <c r="AB3" s="92" t="s">
        <v>4</v>
      </c>
      <c r="AC3" s="92">
        <v>44562</v>
      </c>
      <c r="AD3" s="92">
        <v>44593</v>
      </c>
      <c r="AE3" s="92">
        <v>44621</v>
      </c>
      <c r="AF3" s="92">
        <v>44652</v>
      </c>
      <c r="AG3" s="92">
        <v>44682</v>
      </c>
      <c r="AH3" s="92">
        <v>44713</v>
      </c>
      <c r="AI3" s="92">
        <v>44743</v>
      </c>
      <c r="AJ3" s="92">
        <v>44774</v>
      </c>
      <c r="AK3" s="92">
        <v>44805</v>
      </c>
      <c r="AL3" s="92">
        <v>44835</v>
      </c>
      <c r="AM3" s="92">
        <v>44866</v>
      </c>
      <c r="AN3" s="92">
        <v>44896</v>
      </c>
      <c r="AO3" s="208" t="s">
        <v>5</v>
      </c>
      <c r="AP3" s="92">
        <v>44927</v>
      </c>
      <c r="AQ3" s="92">
        <v>44958</v>
      </c>
      <c r="AR3" s="92">
        <v>44986</v>
      </c>
      <c r="AS3" s="92">
        <v>45017</v>
      </c>
      <c r="AT3" s="92">
        <v>45047</v>
      </c>
      <c r="AU3" s="92">
        <v>45078</v>
      </c>
      <c r="AV3" s="92">
        <v>45108</v>
      </c>
      <c r="AW3" s="92">
        <v>45139</v>
      </c>
      <c r="AX3" s="92">
        <v>45170</v>
      </c>
      <c r="AY3" s="92">
        <v>45200</v>
      </c>
    </row>
    <row r="4" spans="1:51">
      <c r="A4" s="7">
        <v>1</v>
      </c>
      <c r="B4" s="8" t="s">
        <v>6</v>
      </c>
      <c r="C4" s="9">
        <f t="shared" ref="C4:AY4" si="0">C5+C6</f>
        <v>0</v>
      </c>
      <c r="D4" s="9">
        <f t="shared" si="0"/>
        <v>128525671.86</v>
      </c>
      <c r="E4" s="9">
        <f t="shared" si="0"/>
        <v>125837257.83</v>
      </c>
      <c r="F4" s="9">
        <f t="shared" si="0"/>
        <v>127325237</v>
      </c>
      <c r="G4" s="9">
        <f t="shared" si="0"/>
        <v>147244793</v>
      </c>
      <c r="H4" s="9">
        <f t="shared" si="0"/>
        <v>139850149</v>
      </c>
      <c r="I4" s="9">
        <f t="shared" si="0"/>
        <v>154080360.72</v>
      </c>
      <c r="J4" s="9">
        <f t="shared" si="0"/>
        <v>139307861.75999999</v>
      </c>
      <c r="K4" s="9">
        <f t="shared" si="0"/>
        <v>140640836.01999998</v>
      </c>
      <c r="L4" s="9">
        <f t="shared" si="0"/>
        <v>145687105.66999999</v>
      </c>
      <c r="M4" s="9">
        <f t="shared" si="0"/>
        <v>156957612.94999999</v>
      </c>
      <c r="N4" s="81">
        <f t="shared" si="0"/>
        <v>161538683.50999999</v>
      </c>
      <c r="O4" s="9">
        <f t="shared" si="0"/>
        <v>147279054.17000002</v>
      </c>
      <c r="P4" s="96">
        <f t="shared" si="0"/>
        <v>142336692.81999999</v>
      </c>
      <c r="Q4" s="83">
        <f t="shared" si="0"/>
        <v>150562469</v>
      </c>
      <c r="R4" s="83">
        <f t="shared" si="0"/>
        <v>145050373</v>
      </c>
      <c r="S4" s="83">
        <f t="shared" si="0"/>
        <v>154235821.65000001</v>
      </c>
      <c r="T4" s="83">
        <f t="shared" si="0"/>
        <v>151202058.35999998</v>
      </c>
      <c r="U4" s="83">
        <f t="shared" si="0"/>
        <v>145209260.71000001</v>
      </c>
      <c r="V4" s="83">
        <f t="shared" si="0"/>
        <v>136817704.44999999</v>
      </c>
      <c r="W4" s="87">
        <f t="shared" si="0"/>
        <v>133058667.83</v>
      </c>
      <c r="X4" s="86">
        <f t="shared" si="0"/>
        <v>156596713.21000001</v>
      </c>
      <c r="Y4" s="86">
        <f t="shared" si="0"/>
        <v>143656828.5</v>
      </c>
      <c r="Z4" s="86">
        <f t="shared" si="0"/>
        <v>153434126.16</v>
      </c>
      <c r="AA4" s="91">
        <f t="shared" si="0"/>
        <v>170621163.11000001</v>
      </c>
      <c r="AB4" s="9">
        <f t="shared" si="0"/>
        <v>168800183.84999999</v>
      </c>
      <c r="AC4" s="9">
        <f t="shared" si="0"/>
        <v>175949903.41</v>
      </c>
      <c r="AD4" s="9">
        <f t="shared" si="0"/>
        <v>170164282.81999999</v>
      </c>
      <c r="AE4" s="9">
        <f t="shared" si="0"/>
        <v>161896713.83000001</v>
      </c>
      <c r="AF4" s="9">
        <f t="shared" si="0"/>
        <v>160407133.56999999</v>
      </c>
      <c r="AG4" s="9">
        <f t="shared" si="0"/>
        <v>155215873.09999999</v>
      </c>
      <c r="AH4" s="9">
        <f t="shared" si="0"/>
        <v>157543186.28999999</v>
      </c>
      <c r="AI4" s="9">
        <f t="shared" si="0"/>
        <v>147638210.24000001</v>
      </c>
      <c r="AJ4" s="9">
        <f t="shared" si="0"/>
        <v>152467816.78</v>
      </c>
      <c r="AK4" s="9">
        <f t="shared" si="0"/>
        <v>147440985.75</v>
      </c>
      <c r="AL4" s="9">
        <f t="shared" si="0"/>
        <v>142789404.30000001</v>
      </c>
      <c r="AM4" s="9">
        <f t="shared" si="0"/>
        <v>135924943.68000001</v>
      </c>
      <c r="AN4" s="81">
        <f t="shared" si="0"/>
        <v>153432573</v>
      </c>
      <c r="AO4" s="86">
        <f t="shared" si="0"/>
        <v>155402040</v>
      </c>
      <c r="AP4" s="86">
        <f t="shared" si="0"/>
        <v>161197021.38999999</v>
      </c>
      <c r="AQ4" s="86">
        <f t="shared" si="0"/>
        <v>158573062.84999999</v>
      </c>
      <c r="AR4" s="86">
        <f t="shared" si="0"/>
        <v>165043918.93000001</v>
      </c>
      <c r="AS4" s="86">
        <f t="shared" si="0"/>
        <v>166320544.69</v>
      </c>
      <c r="AT4" s="86">
        <f t="shared" si="0"/>
        <v>158291962.84</v>
      </c>
      <c r="AU4" s="86">
        <f t="shared" si="0"/>
        <v>166569689.49000001</v>
      </c>
      <c r="AV4" s="86">
        <f t="shared" si="0"/>
        <v>166003757.41</v>
      </c>
      <c r="AW4" s="86">
        <f t="shared" si="0"/>
        <v>163294416.40000001</v>
      </c>
      <c r="AX4" s="86">
        <f t="shared" si="0"/>
        <v>170737851.40000001</v>
      </c>
      <c r="AY4" s="86">
        <f t="shared" si="0"/>
        <v>0</v>
      </c>
    </row>
    <row r="5" spans="1:51" ht="14.25">
      <c r="A5" s="7">
        <v>1.1000000000000001</v>
      </c>
      <c r="B5" s="8" t="s">
        <v>7</v>
      </c>
      <c r="C5" s="10"/>
      <c r="D5" s="11">
        <v>10705884</v>
      </c>
      <c r="E5" s="11">
        <v>10960609</v>
      </c>
      <c r="F5" s="11">
        <v>11410116</v>
      </c>
      <c r="G5" s="11">
        <v>11588982</v>
      </c>
      <c r="H5" s="12">
        <v>14203313</v>
      </c>
      <c r="I5" s="12">
        <v>17760827</v>
      </c>
      <c r="J5" s="12">
        <v>12584955</v>
      </c>
      <c r="K5" s="12">
        <v>14756527</v>
      </c>
      <c r="L5" s="12">
        <v>11026789</v>
      </c>
      <c r="M5" s="12">
        <v>11759528</v>
      </c>
      <c r="N5" s="76">
        <v>16508383</v>
      </c>
      <c r="O5" s="209">
        <v>16533373</v>
      </c>
      <c r="P5" s="210">
        <v>8933134</v>
      </c>
      <c r="Q5" s="211">
        <v>10034450</v>
      </c>
      <c r="R5" s="211">
        <v>14712626</v>
      </c>
      <c r="S5" s="212">
        <v>27006260.239999998</v>
      </c>
      <c r="T5" s="212">
        <v>20722983.260000002</v>
      </c>
      <c r="U5" s="212">
        <v>25362699.309999999</v>
      </c>
      <c r="V5" s="212">
        <v>16339040</v>
      </c>
      <c r="W5" s="213">
        <v>21435254.030000001</v>
      </c>
      <c r="X5" s="214">
        <v>29644947.010000002</v>
      </c>
      <c r="Y5" s="214">
        <v>12217784</v>
      </c>
      <c r="Z5" s="214">
        <v>25829398</v>
      </c>
      <c r="AA5" s="215">
        <v>21775011.920000002</v>
      </c>
      <c r="AB5" s="209">
        <v>16071959</v>
      </c>
      <c r="AC5" s="209">
        <v>20194785</v>
      </c>
      <c r="AD5" s="209">
        <v>14194174.6</v>
      </c>
      <c r="AE5" s="209">
        <v>19358855</v>
      </c>
      <c r="AF5" s="209">
        <v>15455971.970000001</v>
      </c>
      <c r="AG5" s="209">
        <v>9228481.1999999993</v>
      </c>
      <c r="AH5" s="209">
        <v>24850142.09</v>
      </c>
      <c r="AI5" s="209">
        <v>20439459.84</v>
      </c>
      <c r="AJ5" s="209">
        <v>20895079.43</v>
      </c>
      <c r="AK5" s="209">
        <v>10455875.75</v>
      </c>
      <c r="AL5" s="209">
        <v>17001665.43</v>
      </c>
      <c r="AM5" s="216">
        <v>23264769.379999999</v>
      </c>
      <c r="AN5" s="217">
        <v>16657635</v>
      </c>
      <c r="AO5" s="218">
        <v>16657635</v>
      </c>
      <c r="AP5" s="254">
        <v>15556685</v>
      </c>
      <c r="AQ5" s="254">
        <v>14976694</v>
      </c>
      <c r="AR5" s="254">
        <v>20373488</v>
      </c>
      <c r="AS5" s="256">
        <v>12844142</v>
      </c>
      <c r="AT5" s="256">
        <v>24824284</v>
      </c>
      <c r="AU5" s="258">
        <v>19475788</v>
      </c>
      <c r="AV5" s="258">
        <v>24804893</v>
      </c>
      <c r="AW5" s="254">
        <v>17851834</v>
      </c>
      <c r="AX5" s="362">
        <v>16008888</v>
      </c>
      <c r="AY5" s="254"/>
    </row>
    <row r="6" spans="1:51" ht="14.25">
      <c r="A6" s="7">
        <v>1.2</v>
      </c>
      <c r="B6" s="8" t="s">
        <v>8</v>
      </c>
      <c r="C6" s="10"/>
      <c r="D6" s="11">
        <v>117819787.86</v>
      </c>
      <c r="E6" s="11">
        <v>114876648.83</v>
      </c>
      <c r="F6" s="11">
        <v>115915121</v>
      </c>
      <c r="G6" s="11">
        <v>135655811</v>
      </c>
      <c r="H6" s="12">
        <v>125646836</v>
      </c>
      <c r="I6" s="12">
        <v>136319533.72</v>
      </c>
      <c r="J6" s="12">
        <v>126722906.76000001</v>
      </c>
      <c r="K6" s="12">
        <v>125884309.02</v>
      </c>
      <c r="L6" s="12">
        <v>134660316.66999999</v>
      </c>
      <c r="M6" s="12">
        <v>145198084.94999999</v>
      </c>
      <c r="N6" s="76">
        <v>145030300.50999999</v>
      </c>
      <c r="O6" s="209">
        <v>130745681.17000002</v>
      </c>
      <c r="P6" s="210">
        <v>133403558.81999999</v>
      </c>
      <c r="Q6" s="211">
        <v>140528019</v>
      </c>
      <c r="R6" s="211">
        <v>130337747</v>
      </c>
      <c r="S6" s="212">
        <v>127229561.41</v>
      </c>
      <c r="T6" s="212">
        <v>130479075.09999999</v>
      </c>
      <c r="U6" s="212">
        <v>119846561.40000001</v>
      </c>
      <c r="V6" s="212">
        <v>120478664.45</v>
      </c>
      <c r="W6" s="213">
        <v>111623413.8</v>
      </c>
      <c r="X6" s="214">
        <v>126951766.2</v>
      </c>
      <c r="Y6" s="214">
        <v>131439044.5</v>
      </c>
      <c r="Z6" s="214">
        <v>127604728.16</v>
      </c>
      <c r="AA6" s="215">
        <v>148846151.19</v>
      </c>
      <c r="AB6" s="209">
        <v>152728224.84999999</v>
      </c>
      <c r="AC6" s="209">
        <v>155755118.41</v>
      </c>
      <c r="AD6" s="209">
        <v>155970108.22</v>
      </c>
      <c r="AE6" s="209">
        <v>142537858.83000001</v>
      </c>
      <c r="AF6" s="209">
        <v>144951161.59999999</v>
      </c>
      <c r="AG6" s="209">
        <v>145987391.90000001</v>
      </c>
      <c r="AH6" s="209">
        <v>132693044.2</v>
      </c>
      <c r="AI6" s="209">
        <v>127198750.40000001</v>
      </c>
      <c r="AJ6" s="209">
        <v>131572737.34999999</v>
      </c>
      <c r="AK6" s="209">
        <v>136985110</v>
      </c>
      <c r="AL6" s="209">
        <v>125787738.87</v>
      </c>
      <c r="AM6" s="216">
        <v>112660174.3</v>
      </c>
      <c r="AN6" s="217">
        <v>136774938</v>
      </c>
      <c r="AO6" s="218">
        <f>47472220+91272185</f>
        <v>138744405</v>
      </c>
      <c r="AP6" s="254">
        <v>145640336.38999999</v>
      </c>
      <c r="AQ6" s="254">
        <v>143596368.84999999</v>
      </c>
      <c r="AR6" s="254">
        <v>144670430.93000001</v>
      </c>
      <c r="AS6" s="256">
        <v>153476402.69</v>
      </c>
      <c r="AT6" s="256">
        <v>133467678.84</v>
      </c>
      <c r="AU6" s="260">
        <v>147093901.49000001</v>
      </c>
      <c r="AV6" s="260">
        <v>141198864.41</v>
      </c>
      <c r="AW6" s="254">
        <v>145442582.40000001</v>
      </c>
      <c r="AX6" s="364">
        <v>154728963.40000001</v>
      </c>
      <c r="AY6" s="254"/>
    </row>
    <row r="7" spans="1:51" ht="14.25">
      <c r="A7" s="7">
        <v>2</v>
      </c>
      <c r="B7" s="13" t="s">
        <v>9</v>
      </c>
      <c r="C7" s="10"/>
      <c r="D7" s="11">
        <v>13581762.970000001</v>
      </c>
      <c r="E7" s="11">
        <v>16067702.050000001</v>
      </c>
      <c r="F7" s="11">
        <v>16067702.050000001</v>
      </c>
      <c r="G7" s="11">
        <v>13761848.859999999</v>
      </c>
      <c r="H7" s="12">
        <v>16198284</v>
      </c>
      <c r="I7" s="12">
        <v>16643349.960000001</v>
      </c>
      <c r="J7" s="12">
        <v>18209236.539999999</v>
      </c>
      <c r="K7" s="12">
        <v>14416003.91</v>
      </c>
      <c r="L7" s="12">
        <v>19477812.870000001</v>
      </c>
      <c r="M7" s="12">
        <v>14185515.25</v>
      </c>
      <c r="N7" s="76">
        <v>12551388.949999999</v>
      </c>
      <c r="O7" s="209">
        <v>13492228.65</v>
      </c>
      <c r="P7" s="210">
        <v>14288362.58</v>
      </c>
      <c r="Q7" s="211">
        <v>16393295.34</v>
      </c>
      <c r="R7" s="211">
        <v>14979518.34</v>
      </c>
      <c r="S7" s="212">
        <v>13075365</v>
      </c>
      <c r="T7" s="212">
        <v>15666318</v>
      </c>
      <c r="U7" s="212">
        <v>18420579</v>
      </c>
      <c r="V7" s="212">
        <v>19898243.960000001</v>
      </c>
      <c r="W7" s="213">
        <v>19898243.960000001</v>
      </c>
      <c r="X7" s="214">
        <v>19898243.960000001</v>
      </c>
      <c r="Y7" s="214">
        <v>19898243.960000001</v>
      </c>
      <c r="Z7" s="214">
        <v>19729589.949999999</v>
      </c>
      <c r="AA7" s="215">
        <v>20089411</v>
      </c>
      <c r="AB7" s="209">
        <v>20089411</v>
      </c>
      <c r="AC7" s="209">
        <v>20915947.27</v>
      </c>
      <c r="AD7" s="209">
        <v>21893555.260000002</v>
      </c>
      <c r="AE7" s="209">
        <v>23188638.16</v>
      </c>
      <c r="AF7" s="209">
        <v>23945990.27</v>
      </c>
      <c r="AG7" s="209">
        <v>26565602.98</v>
      </c>
      <c r="AH7" s="209">
        <v>28482327.809999999</v>
      </c>
      <c r="AI7" s="209">
        <v>34143112.329999998</v>
      </c>
      <c r="AJ7" s="209">
        <v>32822765.68</v>
      </c>
      <c r="AK7" s="209">
        <v>31746536.449999999</v>
      </c>
      <c r="AL7" s="209">
        <v>36860956.799999997</v>
      </c>
      <c r="AM7" s="216">
        <v>32814008.460000001</v>
      </c>
      <c r="AN7" s="217">
        <v>23235686</v>
      </c>
      <c r="AO7" s="218">
        <v>24165606.289999999</v>
      </c>
      <c r="AP7" s="254">
        <v>23500763.91</v>
      </c>
      <c r="AQ7" s="254">
        <v>21077983.670000002</v>
      </c>
      <c r="AR7" s="254">
        <v>22345394.460000001</v>
      </c>
      <c r="AS7" s="256">
        <v>23976993.440000001</v>
      </c>
      <c r="AT7" s="256">
        <v>24865065.359999999</v>
      </c>
      <c r="AU7" s="260">
        <v>26498903.02</v>
      </c>
      <c r="AV7" s="260">
        <v>27033554.350000001</v>
      </c>
      <c r="AW7" s="254">
        <v>27601775.489999998</v>
      </c>
      <c r="AX7" s="364">
        <v>27601775.489999998</v>
      </c>
      <c r="AY7" s="254"/>
    </row>
    <row r="8" spans="1:51">
      <c r="A8" s="7">
        <v>3</v>
      </c>
      <c r="B8" s="13" t="s">
        <v>10</v>
      </c>
      <c r="C8" s="14">
        <f t="shared" ref="C8:AY8" si="1">SUM(C9:C12)</f>
        <v>0</v>
      </c>
      <c r="D8" s="14">
        <f t="shared" si="1"/>
        <v>110000</v>
      </c>
      <c r="E8" s="14">
        <f t="shared" si="1"/>
        <v>110000</v>
      </c>
      <c r="F8" s="14">
        <f t="shared" si="1"/>
        <v>110000</v>
      </c>
      <c r="G8" s="14">
        <f t="shared" si="1"/>
        <v>110000</v>
      </c>
      <c r="H8" s="14">
        <f t="shared" si="1"/>
        <v>110000</v>
      </c>
      <c r="I8" s="14">
        <f t="shared" si="1"/>
        <v>110000</v>
      </c>
      <c r="J8" s="14">
        <f t="shared" si="1"/>
        <v>110000</v>
      </c>
      <c r="K8" s="14">
        <f t="shared" si="1"/>
        <v>110000</v>
      </c>
      <c r="L8" s="14">
        <f t="shared" si="1"/>
        <v>110000</v>
      </c>
      <c r="M8" s="14">
        <f t="shared" si="1"/>
        <v>110000</v>
      </c>
      <c r="N8" s="77">
        <f t="shared" si="1"/>
        <v>110000</v>
      </c>
      <c r="O8" s="228">
        <f t="shared" si="1"/>
        <v>110000</v>
      </c>
      <c r="P8" s="229">
        <f t="shared" si="1"/>
        <v>110000</v>
      </c>
      <c r="Q8" s="230">
        <f t="shared" si="1"/>
        <v>110000</v>
      </c>
      <c r="R8" s="230">
        <f t="shared" si="1"/>
        <v>110000</v>
      </c>
      <c r="S8" s="230">
        <f t="shared" si="1"/>
        <v>110000</v>
      </c>
      <c r="T8" s="230">
        <f t="shared" si="1"/>
        <v>110000</v>
      </c>
      <c r="U8" s="230">
        <f t="shared" si="1"/>
        <v>110000</v>
      </c>
      <c r="V8" s="230">
        <f t="shared" si="1"/>
        <v>110000</v>
      </c>
      <c r="W8" s="231">
        <f t="shared" si="1"/>
        <v>110000</v>
      </c>
      <c r="X8" s="230">
        <f t="shared" si="1"/>
        <v>110000</v>
      </c>
      <c r="Y8" s="230">
        <f t="shared" si="1"/>
        <v>110000</v>
      </c>
      <c r="Z8" s="230">
        <f t="shared" si="1"/>
        <v>110000</v>
      </c>
      <c r="AA8" s="231">
        <f t="shared" si="1"/>
        <v>110000</v>
      </c>
      <c r="AB8" s="232">
        <f t="shared" si="1"/>
        <v>110000</v>
      </c>
      <c r="AC8" s="232">
        <f t="shared" si="1"/>
        <v>110000</v>
      </c>
      <c r="AD8" s="232">
        <f t="shared" si="1"/>
        <v>110000</v>
      </c>
      <c r="AE8" s="232">
        <f t="shared" si="1"/>
        <v>110000</v>
      </c>
      <c r="AF8" s="232">
        <f t="shared" si="1"/>
        <v>110000</v>
      </c>
      <c r="AG8" s="232">
        <f t="shared" si="1"/>
        <v>110000</v>
      </c>
      <c r="AH8" s="232">
        <f t="shared" si="1"/>
        <v>110000</v>
      </c>
      <c r="AI8" s="232">
        <f t="shared" si="1"/>
        <v>110000</v>
      </c>
      <c r="AJ8" s="232">
        <f t="shared" si="1"/>
        <v>110000</v>
      </c>
      <c r="AK8" s="232">
        <f t="shared" si="1"/>
        <v>115067</v>
      </c>
      <c r="AL8" s="232">
        <f t="shared" si="1"/>
        <v>115067</v>
      </c>
      <c r="AM8" s="233">
        <f t="shared" si="1"/>
        <v>115067</v>
      </c>
      <c r="AN8" s="234">
        <f t="shared" si="1"/>
        <v>115067</v>
      </c>
      <c r="AO8" s="235">
        <f t="shared" si="1"/>
        <v>115067</v>
      </c>
      <c r="AP8" s="230">
        <f t="shared" si="1"/>
        <v>115067</v>
      </c>
      <c r="AQ8" s="230">
        <f t="shared" si="1"/>
        <v>115067</v>
      </c>
      <c r="AR8" s="230">
        <f t="shared" si="1"/>
        <v>115067</v>
      </c>
      <c r="AS8" s="235">
        <f t="shared" si="1"/>
        <v>115067</v>
      </c>
      <c r="AT8" s="235">
        <f t="shared" si="1"/>
        <v>115067</v>
      </c>
      <c r="AU8" s="235">
        <f t="shared" si="1"/>
        <v>115067</v>
      </c>
      <c r="AV8" s="235">
        <f t="shared" si="1"/>
        <v>115067</v>
      </c>
      <c r="AW8" s="230">
        <f t="shared" si="1"/>
        <v>115067</v>
      </c>
      <c r="AX8" s="230">
        <f t="shared" si="1"/>
        <v>115067</v>
      </c>
      <c r="AY8" s="230">
        <f t="shared" si="1"/>
        <v>0</v>
      </c>
    </row>
    <row r="9" spans="1:51" ht="14.25">
      <c r="A9" s="7">
        <v>3.1</v>
      </c>
      <c r="B9" s="8" t="s">
        <v>11</v>
      </c>
      <c r="C9" s="10"/>
      <c r="D9" s="11">
        <v>0</v>
      </c>
      <c r="E9" s="11">
        <v>0</v>
      </c>
      <c r="F9" s="11">
        <v>0</v>
      </c>
      <c r="G9" s="11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76">
        <v>0</v>
      </c>
      <c r="O9" s="209"/>
      <c r="P9" s="210">
        <v>0</v>
      </c>
      <c r="Q9" s="211">
        <v>0</v>
      </c>
      <c r="R9" s="211">
        <v>0</v>
      </c>
      <c r="S9" s="212">
        <v>0</v>
      </c>
      <c r="T9" s="212">
        <v>0</v>
      </c>
      <c r="U9" s="212">
        <v>0</v>
      </c>
      <c r="V9" s="212">
        <v>0</v>
      </c>
      <c r="W9" s="213">
        <v>0</v>
      </c>
      <c r="X9" s="214">
        <v>0</v>
      </c>
      <c r="Y9" s="214">
        <v>0</v>
      </c>
      <c r="Z9" s="214">
        <v>0</v>
      </c>
      <c r="AA9" s="215">
        <v>0</v>
      </c>
      <c r="AB9" s="209"/>
      <c r="AC9" s="209">
        <v>0</v>
      </c>
      <c r="AD9" s="209">
        <v>0</v>
      </c>
      <c r="AE9" s="209">
        <v>0</v>
      </c>
      <c r="AF9" s="209">
        <v>0</v>
      </c>
      <c r="AG9" s="209">
        <v>0</v>
      </c>
      <c r="AH9" s="209">
        <v>0</v>
      </c>
      <c r="AI9" s="209">
        <v>0</v>
      </c>
      <c r="AJ9" s="209">
        <v>0</v>
      </c>
      <c r="AK9" s="209">
        <v>0</v>
      </c>
      <c r="AL9" s="209">
        <v>0</v>
      </c>
      <c r="AM9" s="216">
        <v>0</v>
      </c>
      <c r="AN9" s="217">
        <v>0</v>
      </c>
      <c r="AO9" s="218"/>
      <c r="AP9" s="254">
        <v>0</v>
      </c>
      <c r="AQ9" s="254">
        <v>0</v>
      </c>
      <c r="AR9" s="254">
        <v>0</v>
      </c>
      <c r="AS9">
        <v>0</v>
      </c>
      <c r="AT9">
        <v>0</v>
      </c>
      <c r="AU9" s="257">
        <v>0</v>
      </c>
      <c r="AV9" s="257">
        <v>0</v>
      </c>
      <c r="AW9" s="254">
        <v>0</v>
      </c>
      <c r="AX9" s="361">
        <v>0</v>
      </c>
      <c r="AY9" s="254"/>
    </row>
    <row r="10" spans="1:51" ht="14.25">
      <c r="A10" s="7">
        <v>3.2</v>
      </c>
      <c r="B10" s="8" t="s">
        <v>12</v>
      </c>
      <c r="C10" s="10"/>
      <c r="D10" s="11">
        <v>0</v>
      </c>
      <c r="E10" s="11">
        <v>0</v>
      </c>
      <c r="F10" s="11">
        <v>0</v>
      </c>
      <c r="G10" s="11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76">
        <v>0</v>
      </c>
      <c r="O10" s="209"/>
      <c r="P10" s="210">
        <v>0</v>
      </c>
      <c r="Q10" s="211">
        <v>0</v>
      </c>
      <c r="R10" s="211">
        <v>0</v>
      </c>
      <c r="S10" s="212">
        <v>0</v>
      </c>
      <c r="T10" s="212">
        <v>0</v>
      </c>
      <c r="U10" s="212">
        <v>0</v>
      </c>
      <c r="V10" s="212">
        <v>0</v>
      </c>
      <c r="W10" s="213">
        <v>0</v>
      </c>
      <c r="X10" s="214">
        <v>0</v>
      </c>
      <c r="Y10" s="214">
        <v>0</v>
      </c>
      <c r="Z10" s="214">
        <v>0</v>
      </c>
      <c r="AA10" s="215">
        <v>0</v>
      </c>
      <c r="AB10" s="209"/>
      <c r="AC10" s="209">
        <v>0</v>
      </c>
      <c r="AD10" s="209">
        <v>0</v>
      </c>
      <c r="AE10" s="209">
        <v>0</v>
      </c>
      <c r="AF10" s="209">
        <v>0</v>
      </c>
      <c r="AG10" s="209">
        <v>0</v>
      </c>
      <c r="AH10" s="209">
        <v>0</v>
      </c>
      <c r="AI10" s="209">
        <v>0</v>
      </c>
      <c r="AJ10" s="209">
        <v>0</v>
      </c>
      <c r="AK10" s="209">
        <v>0</v>
      </c>
      <c r="AL10" s="209">
        <v>0</v>
      </c>
      <c r="AM10" s="216">
        <v>0</v>
      </c>
      <c r="AN10" s="217">
        <v>0</v>
      </c>
      <c r="AO10" s="218"/>
      <c r="AP10" s="254">
        <v>0</v>
      </c>
      <c r="AQ10" s="254">
        <v>0</v>
      </c>
      <c r="AR10" s="254">
        <v>0</v>
      </c>
      <c r="AS10">
        <v>0</v>
      </c>
      <c r="AT10">
        <v>0</v>
      </c>
      <c r="AU10" s="259">
        <v>0</v>
      </c>
      <c r="AV10" s="259">
        <v>0</v>
      </c>
      <c r="AW10" s="254">
        <v>0</v>
      </c>
      <c r="AX10" s="363">
        <v>0</v>
      </c>
      <c r="AY10" s="254"/>
    </row>
    <row r="11" spans="1:51" ht="14.25">
      <c r="A11" s="7" t="s">
        <v>13</v>
      </c>
      <c r="B11" s="8" t="s">
        <v>14</v>
      </c>
      <c r="C11" s="10"/>
      <c r="D11" s="11">
        <v>0</v>
      </c>
      <c r="E11" s="11">
        <v>0</v>
      </c>
      <c r="F11" s="11">
        <v>0</v>
      </c>
      <c r="G11" s="11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76">
        <v>0</v>
      </c>
      <c r="O11" s="209"/>
      <c r="P11" s="210">
        <v>0</v>
      </c>
      <c r="Q11" s="211">
        <v>0</v>
      </c>
      <c r="R11" s="211">
        <v>0</v>
      </c>
      <c r="S11" s="212">
        <v>0</v>
      </c>
      <c r="T11" s="212">
        <v>0</v>
      </c>
      <c r="U11" s="212">
        <v>0</v>
      </c>
      <c r="V11" s="212">
        <v>0</v>
      </c>
      <c r="W11" s="213">
        <v>0</v>
      </c>
      <c r="X11" s="214">
        <v>0</v>
      </c>
      <c r="Y11" s="214">
        <v>0</v>
      </c>
      <c r="Z11" s="214">
        <v>0</v>
      </c>
      <c r="AA11" s="215">
        <v>0</v>
      </c>
      <c r="AB11" s="209">
        <v>110000</v>
      </c>
      <c r="AC11" s="209">
        <v>110000</v>
      </c>
      <c r="AD11" s="209">
        <v>110000</v>
      </c>
      <c r="AE11" s="209">
        <v>110000</v>
      </c>
      <c r="AF11" s="209">
        <v>110000</v>
      </c>
      <c r="AG11" s="209">
        <v>110000</v>
      </c>
      <c r="AH11" s="209">
        <v>110000</v>
      </c>
      <c r="AI11" s="209">
        <v>0</v>
      </c>
      <c r="AJ11" s="209">
        <v>0</v>
      </c>
      <c r="AK11" s="209">
        <v>0</v>
      </c>
      <c r="AL11" s="209">
        <v>0</v>
      </c>
      <c r="AM11" s="216">
        <v>0</v>
      </c>
      <c r="AN11" s="217">
        <v>0</v>
      </c>
      <c r="AO11" s="218">
        <v>115067</v>
      </c>
      <c r="AP11" s="254">
        <v>0</v>
      </c>
      <c r="AQ11" s="254">
        <v>0</v>
      </c>
      <c r="AR11" s="254">
        <v>0</v>
      </c>
      <c r="AS11">
        <v>0</v>
      </c>
      <c r="AT11">
        <v>0</v>
      </c>
      <c r="AU11" s="259">
        <v>0</v>
      </c>
      <c r="AV11" s="260">
        <v>115067</v>
      </c>
      <c r="AW11" s="254">
        <v>115067</v>
      </c>
      <c r="AX11" s="364">
        <v>115067</v>
      </c>
      <c r="AY11" s="254"/>
    </row>
    <row r="12" spans="1:51" ht="14.25">
      <c r="A12" s="7" t="s">
        <v>15</v>
      </c>
      <c r="B12" s="8" t="s">
        <v>16</v>
      </c>
      <c r="C12" s="10"/>
      <c r="D12" s="11">
        <v>110000</v>
      </c>
      <c r="E12" s="11">
        <v>110000</v>
      </c>
      <c r="F12" s="11">
        <v>110000</v>
      </c>
      <c r="G12" s="11">
        <v>110000</v>
      </c>
      <c r="H12" s="12">
        <v>110000</v>
      </c>
      <c r="I12" s="12">
        <v>110000</v>
      </c>
      <c r="J12" s="12">
        <v>110000</v>
      </c>
      <c r="K12" s="12">
        <v>110000</v>
      </c>
      <c r="L12" s="12">
        <v>110000</v>
      </c>
      <c r="M12" s="12">
        <v>110000</v>
      </c>
      <c r="N12" s="76">
        <v>110000</v>
      </c>
      <c r="O12" s="209">
        <v>110000</v>
      </c>
      <c r="P12" s="210">
        <v>110000</v>
      </c>
      <c r="Q12" s="211">
        <v>110000</v>
      </c>
      <c r="R12" s="211">
        <v>110000</v>
      </c>
      <c r="S12" s="212">
        <v>110000</v>
      </c>
      <c r="T12" s="212">
        <v>110000</v>
      </c>
      <c r="U12" s="212">
        <v>110000</v>
      </c>
      <c r="V12" s="212">
        <v>110000</v>
      </c>
      <c r="W12" s="213">
        <v>110000</v>
      </c>
      <c r="X12" s="214">
        <v>110000</v>
      </c>
      <c r="Y12" s="214">
        <v>110000</v>
      </c>
      <c r="Z12" s="214">
        <v>110000</v>
      </c>
      <c r="AA12" s="215">
        <v>110000</v>
      </c>
      <c r="AB12" s="209"/>
      <c r="AC12" s="209"/>
      <c r="AD12" s="209"/>
      <c r="AE12" s="209"/>
      <c r="AF12" s="209"/>
      <c r="AG12" s="209"/>
      <c r="AH12" s="209"/>
      <c r="AI12" s="209">
        <v>110000</v>
      </c>
      <c r="AJ12" s="209">
        <v>110000</v>
      </c>
      <c r="AK12" s="209">
        <v>115067</v>
      </c>
      <c r="AL12" s="209">
        <v>115067</v>
      </c>
      <c r="AM12" s="216">
        <v>115067</v>
      </c>
      <c r="AN12" s="217">
        <v>115067</v>
      </c>
      <c r="AO12" s="218"/>
      <c r="AP12" s="254">
        <v>115067</v>
      </c>
      <c r="AQ12" s="254">
        <v>115067</v>
      </c>
      <c r="AR12" s="254">
        <v>115067</v>
      </c>
      <c r="AS12" s="256">
        <v>115067</v>
      </c>
      <c r="AT12" s="256">
        <v>115067</v>
      </c>
      <c r="AU12" s="260">
        <v>115067</v>
      </c>
      <c r="AV12" s="259">
        <v>0</v>
      </c>
      <c r="AW12" s="254">
        <v>0</v>
      </c>
      <c r="AX12" s="363">
        <v>0</v>
      </c>
      <c r="AY12" s="254"/>
    </row>
    <row r="13" spans="1:51">
      <c r="A13" s="7">
        <v>4</v>
      </c>
      <c r="B13" s="13" t="s">
        <v>17</v>
      </c>
      <c r="C13" s="14">
        <f t="shared" ref="C13:AY13" si="2">C14-C15</f>
        <v>0</v>
      </c>
      <c r="D13" s="14">
        <f t="shared" si="2"/>
        <v>359733421.38</v>
      </c>
      <c r="E13" s="14">
        <f t="shared" si="2"/>
        <v>368393117.5</v>
      </c>
      <c r="F13" s="14">
        <f t="shared" si="2"/>
        <v>367009867</v>
      </c>
      <c r="G13" s="14">
        <f t="shared" si="2"/>
        <v>364201591.12</v>
      </c>
      <c r="H13" s="14">
        <f t="shared" si="2"/>
        <v>373764060</v>
      </c>
      <c r="I13" s="14">
        <f t="shared" si="2"/>
        <v>357429286.64000005</v>
      </c>
      <c r="J13" s="14">
        <f t="shared" si="2"/>
        <v>378846597.06</v>
      </c>
      <c r="K13" s="14">
        <f t="shared" si="2"/>
        <v>390305884.92000002</v>
      </c>
      <c r="L13" s="14">
        <f t="shared" si="2"/>
        <v>402484750.86000001</v>
      </c>
      <c r="M13" s="14">
        <f t="shared" si="2"/>
        <v>405407864.17000002</v>
      </c>
      <c r="N13" s="77">
        <f t="shared" si="2"/>
        <v>424375826.15999997</v>
      </c>
      <c r="O13" s="228">
        <f t="shared" si="2"/>
        <v>424619127.66000003</v>
      </c>
      <c r="P13" s="229">
        <f t="shared" si="2"/>
        <v>424099133</v>
      </c>
      <c r="Q13" s="230">
        <f t="shared" si="2"/>
        <v>432506575.62</v>
      </c>
      <c r="R13" s="230">
        <f t="shared" si="2"/>
        <v>434834394.02999997</v>
      </c>
      <c r="S13" s="230">
        <f t="shared" si="2"/>
        <v>435385924.54000002</v>
      </c>
      <c r="T13" s="230">
        <f t="shared" si="2"/>
        <v>442330598</v>
      </c>
      <c r="U13" s="230">
        <f t="shared" si="2"/>
        <v>445152501.02000004</v>
      </c>
      <c r="V13" s="230">
        <f t="shared" si="2"/>
        <v>459341076.82999998</v>
      </c>
      <c r="W13" s="231">
        <f t="shared" si="2"/>
        <v>463605298.82999998</v>
      </c>
      <c r="X13" s="230">
        <f t="shared" si="2"/>
        <v>464742840.86000001</v>
      </c>
      <c r="Y13" s="230">
        <f t="shared" si="2"/>
        <v>475203736.13999999</v>
      </c>
      <c r="Z13" s="230">
        <f t="shared" si="2"/>
        <v>476458818.69999999</v>
      </c>
      <c r="AA13" s="231">
        <f t="shared" si="2"/>
        <v>476545488.24000001</v>
      </c>
      <c r="AB13" s="232">
        <f t="shared" si="2"/>
        <v>476545487.75999999</v>
      </c>
      <c r="AC13" s="232">
        <f t="shared" si="2"/>
        <v>475319745.80000001</v>
      </c>
      <c r="AD13" s="232">
        <f t="shared" si="2"/>
        <v>474594879.5</v>
      </c>
      <c r="AE13" s="232">
        <f t="shared" si="2"/>
        <v>477458005.84000003</v>
      </c>
      <c r="AF13" s="232">
        <f t="shared" si="2"/>
        <v>484843846.48000002</v>
      </c>
      <c r="AG13" s="232">
        <f t="shared" si="2"/>
        <v>491681395.59999996</v>
      </c>
      <c r="AH13" s="232">
        <f t="shared" si="2"/>
        <v>483820198.25</v>
      </c>
      <c r="AI13" s="232">
        <f t="shared" si="2"/>
        <v>482557633.35000002</v>
      </c>
      <c r="AJ13" s="232">
        <f t="shared" si="2"/>
        <v>469669547.48000002</v>
      </c>
      <c r="AK13" s="232">
        <f t="shared" si="2"/>
        <v>469941214.48000002</v>
      </c>
      <c r="AL13" s="232">
        <f t="shared" si="2"/>
        <v>473128385.25</v>
      </c>
      <c r="AM13" s="233">
        <f t="shared" si="2"/>
        <v>522293315.89999998</v>
      </c>
      <c r="AN13" s="234">
        <f t="shared" si="2"/>
        <v>539237818.34000003</v>
      </c>
      <c r="AO13" s="235">
        <f t="shared" si="2"/>
        <v>539237820</v>
      </c>
      <c r="AP13" s="230">
        <f t="shared" si="2"/>
        <v>540451915.69999993</v>
      </c>
      <c r="AQ13" s="230">
        <f t="shared" si="2"/>
        <v>536279550.75999999</v>
      </c>
      <c r="AR13" s="230">
        <f t="shared" si="2"/>
        <v>534974644.53999996</v>
      </c>
      <c r="AS13" s="235">
        <f t="shared" si="2"/>
        <v>533348601.61000007</v>
      </c>
      <c r="AT13" s="235">
        <f t="shared" si="2"/>
        <v>535433158.35999995</v>
      </c>
      <c r="AU13" s="235">
        <f t="shared" si="2"/>
        <v>535345738.06999999</v>
      </c>
      <c r="AV13" s="235">
        <f t="shared" si="2"/>
        <v>534901866.38</v>
      </c>
      <c r="AW13" s="230">
        <f t="shared" si="2"/>
        <v>542189585.08999991</v>
      </c>
      <c r="AX13" s="230">
        <f t="shared" si="2"/>
        <v>542637794.75</v>
      </c>
      <c r="AY13" s="230">
        <f t="shared" si="2"/>
        <v>0</v>
      </c>
    </row>
    <row r="14" spans="1:51" ht="14.25">
      <c r="A14" s="15">
        <v>4.0999999999999996</v>
      </c>
      <c r="B14" s="8" t="s">
        <v>18</v>
      </c>
      <c r="C14" s="10"/>
      <c r="D14" s="11">
        <v>376748738.13</v>
      </c>
      <c r="E14" s="11">
        <v>384779788.13999999</v>
      </c>
      <c r="F14" s="11">
        <v>382679093</v>
      </c>
      <c r="G14" s="11">
        <v>381920957.56999999</v>
      </c>
      <c r="H14" s="12">
        <v>394912319</v>
      </c>
      <c r="I14" s="12">
        <v>382619763.04000002</v>
      </c>
      <c r="J14" s="12">
        <v>411822844.13999999</v>
      </c>
      <c r="K14" s="12">
        <v>422079766.17000002</v>
      </c>
      <c r="L14" s="12">
        <v>432390467.73000002</v>
      </c>
      <c r="M14" s="12">
        <v>432893498.42000002</v>
      </c>
      <c r="N14" s="76">
        <v>443112754.13999999</v>
      </c>
      <c r="O14" s="209">
        <v>443356055</v>
      </c>
      <c r="P14" s="210">
        <v>444621203</v>
      </c>
      <c r="Q14" s="211">
        <v>454175144.31</v>
      </c>
      <c r="R14" s="211">
        <v>455922783.20999998</v>
      </c>
      <c r="S14" s="212">
        <v>456056799.06</v>
      </c>
      <c r="T14" s="212">
        <v>464207778.13</v>
      </c>
      <c r="U14" s="212">
        <v>467884013.67000002</v>
      </c>
      <c r="V14" s="212">
        <v>482876432.75999999</v>
      </c>
      <c r="W14" s="213">
        <v>488952626.64999998</v>
      </c>
      <c r="X14" s="214">
        <v>489834714.85000002</v>
      </c>
      <c r="Y14" s="214">
        <v>498347375.43000001</v>
      </c>
      <c r="Z14" s="214">
        <v>498529095.80000001</v>
      </c>
      <c r="AA14" s="215">
        <v>495289690.25999999</v>
      </c>
      <c r="AB14" s="209">
        <v>495289689.75999999</v>
      </c>
      <c r="AC14" s="209">
        <v>497401429.68000001</v>
      </c>
      <c r="AD14" s="209">
        <v>497243039.95999998</v>
      </c>
      <c r="AE14" s="209">
        <v>501830045.79000002</v>
      </c>
      <c r="AF14" s="209">
        <v>514342929.22000003</v>
      </c>
      <c r="AG14" s="209">
        <v>523646104.51999998</v>
      </c>
      <c r="AH14" s="209">
        <v>518466249.29000002</v>
      </c>
      <c r="AI14" s="209">
        <v>519538454.92000002</v>
      </c>
      <c r="AJ14" s="209">
        <v>511035643.55000001</v>
      </c>
      <c r="AK14" s="209">
        <v>512367094.56999999</v>
      </c>
      <c r="AL14" s="209">
        <v>509721759.63999999</v>
      </c>
      <c r="AM14" s="216">
        <v>553781740.53999996</v>
      </c>
      <c r="AN14" s="217">
        <v>560820730.07000005</v>
      </c>
      <c r="AO14" s="218">
        <v>560820732</v>
      </c>
      <c r="AP14" s="254">
        <v>564676307.40999997</v>
      </c>
      <c r="AQ14" s="254">
        <v>561252395.65999997</v>
      </c>
      <c r="AR14" s="254">
        <v>563430781.42999995</v>
      </c>
      <c r="AS14" s="256">
        <v>565823538.32000005</v>
      </c>
      <c r="AT14" s="256">
        <v>570722559.41999996</v>
      </c>
      <c r="AU14" s="258">
        <v>572426101.51999998</v>
      </c>
      <c r="AV14" s="258">
        <v>572349811.73000002</v>
      </c>
      <c r="AW14" s="254">
        <v>582687903.05999994</v>
      </c>
      <c r="AX14" s="362">
        <v>580409315.72000003</v>
      </c>
      <c r="AY14" s="254"/>
    </row>
    <row r="15" spans="1:51" ht="14.25">
      <c r="A15" s="15">
        <v>4.2</v>
      </c>
      <c r="B15" s="8" t="s">
        <v>19</v>
      </c>
      <c r="C15" s="10"/>
      <c r="D15" s="11">
        <v>17015316.75</v>
      </c>
      <c r="E15" s="11">
        <v>16386670.640000001</v>
      </c>
      <c r="F15" s="11">
        <v>15669226</v>
      </c>
      <c r="G15" s="11">
        <v>17719366.449999999</v>
      </c>
      <c r="H15" s="12">
        <v>21148259</v>
      </c>
      <c r="I15" s="12">
        <v>25190476.399999999</v>
      </c>
      <c r="J15" s="12">
        <v>32976247.079999998</v>
      </c>
      <c r="K15" s="12">
        <v>31773881.25</v>
      </c>
      <c r="L15" s="12">
        <v>29905716.870000001</v>
      </c>
      <c r="M15" s="12">
        <v>27485634.25</v>
      </c>
      <c r="N15" s="76">
        <v>18736927.98</v>
      </c>
      <c r="O15" s="209">
        <v>18736927.34</v>
      </c>
      <c r="P15" s="210">
        <v>20522070</v>
      </c>
      <c r="Q15" s="211">
        <v>21668568.690000001</v>
      </c>
      <c r="R15" s="211">
        <v>21088389.18</v>
      </c>
      <c r="S15" s="212">
        <v>20670874.52</v>
      </c>
      <c r="T15" s="212">
        <v>21877180.129999999</v>
      </c>
      <c r="U15" s="212">
        <v>22731512.649999999</v>
      </c>
      <c r="V15" s="212">
        <v>23535355.93</v>
      </c>
      <c r="W15" s="213">
        <v>25347327.82</v>
      </c>
      <c r="X15" s="214">
        <v>25091873.989999998</v>
      </c>
      <c r="Y15" s="214">
        <v>23143639.289999999</v>
      </c>
      <c r="Z15" s="214">
        <v>22070277.100000001</v>
      </c>
      <c r="AA15" s="215">
        <v>18744202.02</v>
      </c>
      <c r="AB15" s="209">
        <v>18744202</v>
      </c>
      <c r="AC15" s="209">
        <v>22081683.879999999</v>
      </c>
      <c r="AD15" s="209">
        <v>22648160.460000001</v>
      </c>
      <c r="AE15" s="209">
        <v>24372039.949999999</v>
      </c>
      <c r="AF15" s="209">
        <v>29499082.739999998</v>
      </c>
      <c r="AG15" s="209">
        <v>31964708.920000002</v>
      </c>
      <c r="AH15" s="209">
        <v>34646051.039999999</v>
      </c>
      <c r="AI15" s="209">
        <v>36980821.57</v>
      </c>
      <c r="AJ15" s="209">
        <v>41366096.07</v>
      </c>
      <c r="AK15" s="209">
        <v>42425880.090000004</v>
      </c>
      <c r="AL15" s="209">
        <v>36593374.390000001</v>
      </c>
      <c r="AM15" s="216">
        <v>31488424.640000001</v>
      </c>
      <c r="AN15" s="217">
        <v>21582911.73</v>
      </c>
      <c r="AO15" s="218">
        <v>21582912</v>
      </c>
      <c r="AP15" s="254">
        <v>24224391.710000001</v>
      </c>
      <c r="AQ15" s="254">
        <v>24972844.899999999</v>
      </c>
      <c r="AR15" s="254">
        <v>28456136.890000001</v>
      </c>
      <c r="AS15" s="256">
        <v>32474936.710000001</v>
      </c>
      <c r="AT15" s="256">
        <v>35289401.060000002</v>
      </c>
      <c r="AU15" s="260">
        <v>37080363.450000003</v>
      </c>
      <c r="AV15" s="260">
        <v>37447945.350000001</v>
      </c>
      <c r="AW15" s="254">
        <v>40498317.969999999</v>
      </c>
      <c r="AX15" s="364">
        <v>37771520.969999999</v>
      </c>
      <c r="AY15" s="254"/>
    </row>
    <row r="16" spans="1:51">
      <c r="A16" s="7">
        <v>5</v>
      </c>
      <c r="B16" s="13" t="s">
        <v>20</v>
      </c>
      <c r="C16" s="14">
        <f t="shared" ref="C16:N16" si="3">SUM(C17:C19)</f>
        <v>0</v>
      </c>
      <c r="D16" s="14">
        <f t="shared" si="3"/>
        <v>0</v>
      </c>
      <c r="E16" s="14">
        <f t="shared" si="3"/>
        <v>0</v>
      </c>
      <c r="F16" s="14">
        <f t="shared" si="3"/>
        <v>0</v>
      </c>
      <c r="G16" s="14">
        <f t="shared" si="3"/>
        <v>0</v>
      </c>
      <c r="H16" s="14">
        <f t="shared" si="3"/>
        <v>0</v>
      </c>
      <c r="I16" s="14">
        <f t="shared" si="3"/>
        <v>0</v>
      </c>
      <c r="J16" s="14">
        <f t="shared" si="3"/>
        <v>0</v>
      </c>
      <c r="K16" s="14">
        <f t="shared" si="3"/>
        <v>0</v>
      </c>
      <c r="L16" s="14">
        <f t="shared" si="3"/>
        <v>0</v>
      </c>
      <c r="M16" s="14">
        <f t="shared" si="3"/>
        <v>0</v>
      </c>
      <c r="N16" s="77">
        <f t="shared" si="3"/>
        <v>0</v>
      </c>
      <c r="O16" s="219">
        <f t="shared" ref="O16:AY16" si="4">SUM(O17:O19)</f>
        <v>0</v>
      </c>
      <c r="P16" s="220">
        <f t="shared" si="4"/>
        <v>0</v>
      </c>
      <c r="Q16" s="221">
        <f t="shared" si="4"/>
        <v>0</v>
      </c>
      <c r="R16" s="221">
        <f t="shared" si="4"/>
        <v>0</v>
      </c>
      <c r="S16" s="221">
        <f t="shared" si="4"/>
        <v>0</v>
      </c>
      <c r="T16" s="221">
        <f t="shared" si="4"/>
        <v>0</v>
      </c>
      <c r="U16" s="221">
        <f t="shared" si="4"/>
        <v>0</v>
      </c>
      <c r="V16" s="221">
        <f t="shared" si="4"/>
        <v>0</v>
      </c>
      <c r="W16" s="222">
        <f t="shared" si="4"/>
        <v>0</v>
      </c>
      <c r="X16" s="221">
        <f t="shared" si="4"/>
        <v>0</v>
      </c>
      <c r="Y16" s="221">
        <f t="shared" si="4"/>
        <v>0</v>
      </c>
      <c r="Z16" s="221">
        <f t="shared" si="4"/>
        <v>0</v>
      </c>
      <c r="AA16" s="222">
        <f t="shared" si="4"/>
        <v>0</v>
      </c>
      <c r="AB16" s="223">
        <f t="shared" si="4"/>
        <v>0</v>
      </c>
      <c r="AC16" s="223">
        <f t="shared" si="4"/>
        <v>0</v>
      </c>
      <c r="AD16" s="223">
        <f t="shared" si="4"/>
        <v>0</v>
      </c>
      <c r="AE16" s="223">
        <f t="shared" si="4"/>
        <v>0</v>
      </c>
      <c r="AF16" s="223">
        <f t="shared" si="4"/>
        <v>0</v>
      </c>
      <c r="AG16" s="223">
        <f t="shared" si="4"/>
        <v>0</v>
      </c>
      <c r="AH16" s="223">
        <f t="shared" si="4"/>
        <v>0</v>
      </c>
      <c r="AI16" s="223">
        <f t="shared" si="4"/>
        <v>0</v>
      </c>
      <c r="AJ16" s="223">
        <f t="shared" si="4"/>
        <v>0</v>
      </c>
      <c r="AK16" s="223">
        <f t="shared" si="4"/>
        <v>0</v>
      </c>
      <c r="AL16" s="223">
        <f t="shared" si="4"/>
        <v>0</v>
      </c>
      <c r="AM16" s="224">
        <f t="shared" si="4"/>
        <v>0</v>
      </c>
      <c r="AN16" s="225">
        <f t="shared" si="4"/>
        <v>0</v>
      </c>
      <c r="AO16" s="226">
        <f t="shared" si="4"/>
        <v>0</v>
      </c>
      <c r="AP16" s="221">
        <f t="shared" si="4"/>
        <v>0</v>
      </c>
      <c r="AQ16" s="221">
        <f t="shared" si="4"/>
        <v>0</v>
      </c>
      <c r="AR16" s="221">
        <f t="shared" si="4"/>
        <v>0</v>
      </c>
      <c r="AS16" s="226">
        <f t="shared" si="4"/>
        <v>0</v>
      </c>
      <c r="AT16" s="226">
        <f t="shared" si="4"/>
        <v>0</v>
      </c>
      <c r="AU16" s="226">
        <f t="shared" si="4"/>
        <v>0</v>
      </c>
      <c r="AV16" s="226">
        <f t="shared" si="4"/>
        <v>0</v>
      </c>
      <c r="AW16" s="221">
        <f t="shared" si="4"/>
        <v>0</v>
      </c>
      <c r="AX16" s="221">
        <f t="shared" si="4"/>
        <v>0</v>
      </c>
      <c r="AY16" s="221">
        <f t="shared" si="4"/>
        <v>0</v>
      </c>
    </row>
    <row r="17" spans="1:51" ht="14.25">
      <c r="A17" s="15">
        <v>5.0999999999999996</v>
      </c>
      <c r="B17" s="8" t="s">
        <v>21</v>
      </c>
      <c r="C17" s="10">
        <v>0</v>
      </c>
      <c r="D17" s="11">
        <v>0</v>
      </c>
      <c r="E17" s="11">
        <v>0</v>
      </c>
      <c r="F17" s="11">
        <v>0</v>
      </c>
      <c r="G17" s="11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76">
        <v>0</v>
      </c>
      <c r="O17" s="209">
        <v>0</v>
      </c>
      <c r="P17" s="210">
        <v>0</v>
      </c>
      <c r="Q17" s="211">
        <v>0</v>
      </c>
      <c r="R17" s="211">
        <v>0</v>
      </c>
      <c r="S17" s="211">
        <v>0</v>
      </c>
      <c r="T17" s="211">
        <v>0</v>
      </c>
      <c r="U17" s="211">
        <v>0</v>
      </c>
      <c r="V17" s="211">
        <v>0</v>
      </c>
      <c r="W17" s="227">
        <v>0</v>
      </c>
      <c r="X17" s="214">
        <v>0</v>
      </c>
      <c r="Y17" s="214">
        <v>0</v>
      </c>
      <c r="Z17" s="214">
        <v>0</v>
      </c>
      <c r="AA17" s="215">
        <v>0</v>
      </c>
      <c r="AB17" s="209"/>
      <c r="AC17" s="209">
        <v>0</v>
      </c>
      <c r="AD17" s="209">
        <v>0</v>
      </c>
      <c r="AE17" s="209">
        <v>0</v>
      </c>
      <c r="AF17" s="209">
        <v>0</v>
      </c>
      <c r="AG17" s="209">
        <v>0</v>
      </c>
      <c r="AH17" s="209">
        <v>0</v>
      </c>
      <c r="AI17" s="209">
        <v>0</v>
      </c>
      <c r="AJ17" s="209">
        <v>0</v>
      </c>
      <c r="AK17" s="209">
        <v>0</v>
      </c>
      <c r="AL17" s="209">
        <v>0</v>
      </c>
      <c r="AM17" s="216">
        <v>0</v>
      </c>
      <c r="AN17" s="217">
        <v>0</v>
      </c>
      <c r="AO17" s="218"/>
      <c r="AP17" s="254">
        <v>0</v>
      </c>
      <c r="AQ17" s="254">
        <v>0</v>
      </c>
      <c r="AR17" s="254">
        <v>0</v>
      </c>
      <c r="AS17">
        <v>0</v>
      </c>
      <c r="AT17">
        <v>0</v>
      </c>
      <c r="AU17" s="257">
        <v>0</v>
      </c>
      <c r="AV17" s="257">
        <v>0</v>
      </c>
      <c r="AW17" s="254">
        <v>0</v>
      </c>
      <c r="AX17" s="361">
        <v>0</v>
      </c>
      <c r="AY17" s="254"/>
    </row>
    <row r="18" spans="1:51" ht="14.25">
      <c r="A18" s="15">
        <v>5.2</v>
      </c>
      <c r="B18" s="8" t="s">
        <v>22</v>
      </c>
      <c r="C18" s="10">
        <v>0</v>
      </c>
      <c r="D18" s="11">
        <v>0</v>
      </c>
      <c r="E18" s="11">
        <v>0</v>
      </c>
      <c r="F18" s="11">
        <v>0</v>
      </c>
      <c r="G18" s="11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76">
        <v>0</v>
      </c>
      <c r="O18" s="209">
        <v>0</v>
      </c>
      <c r="P18" s="210">
        <v>0</v>
      </c>
      <c r="Q18" s="211">
        <v>0</v>
      </c>
      <c r="R18" s="211">
        <v>0</v>
      </c>
      <c r="S18" s="211">
        <v>0</v>
      </c>
      <c r="T18" s="211">
        <v>0</v>
      </c>
      <c r="U18" s="211">
        <v>0</v>
      </c>
      <c r="V18" s="211">
        <v>0</v>
      </c>
      <c r="W18" s="227">
        <v>0</v>
      </c>
      <c r="X18" s="214">
        <v>0</v>
      </c>
      <c r="Y18" s="214">
        <v>0</v>
      </c>
      <c r="Z18" s="214">
        <v>0</v>
      </c>
      <c r="AA18" s="215">
        <v>0</v>
      </c>
      <c r="AB18" s="209"/>
      <c r="AC18" s="209">
        <v>0</v>
      </c>
      <c r="AD18" s="209">
        <v>0</v>
      </c>
      <c r="AE18" s="209">
        <v>0</v>
      </c>
      <c r="AF18" s="209">
        <v>0</v>
      </c>
      <c r="AG18" s="209">
        <v>0</v>
      </c>
      <c r="AH18" s="209">
        <v>0</v>
      </c>
      <c r="AI18" s="209">
        <v>0</v>
      </c>
      <c r="AJ18" s="209">
        <v>0</v>
      </c>
      <c r="AK18" s="209">
        <v>0</v>
      </c>
      <c r="AL18" s="209">
        <v>0</v>
      </c>
      <c r="AM18" s="216">
        <v>0</v>
      </c>
      <c r="AN18" s="217">
        <v>0</v>
      </c>
      <c r="AO18" s="218"/>
      <c r="AP18" s="254">
        <v>0</v>
      </c>
      <c r="AQ18" s="254">
        <v>0</v>
      </c>
      <c r="AR18" s="254">
        <v>0</v>
      </c>
      <c r="AS18">
        <v>0</v>
      </c>
      <c r="AT18">
        <v>0</v>
      </c>
      <c r="AU18" s="259">
        <v>0</v>
      </c>
      <c r="AV18" s="259">
        <v>0</v>
      </c>
      <c r="AW18" s="254">
        <v>0</v>
      </c>
      <c r="AX18" s="363">
        <v>0</v>
      </c>
      <c r="AY18" s="254"/>
    </row>
    <row r="19" spans="1:51" ht="14.25">
      <c r="A19" s="15">
        <v>5.3</v>
      </c>
      <c r="B19" s="8" t="s">
        <v>23</v>
      </c>
      <c r="C19" s="10">
        <v>0</v>
      </c>
      <c r="D19" s="11">
        <v>0</v>
      </c>
      <c r="E19" s="11">
        <v>0</v>
      </c>
      <c r="F19" s="11">
        <v>0</v>
      </c>
      <c r="G19" s="11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76">
        <v>0</v>
      </c>
      <c r="O19" s="209">
        <v>0</v>
      </c>
      <c r="P19" s="210">
        <v>0</v>
      </c>
      <c r="Q19" s="211">
        <v>0</v>
      </c>
      <c r="R19" s="211">
        <v>0</v>
      </c>
      <c r="S19" s="211">
        <v>0</v>
      </c>
      <c r="T19" s="211">
        <v>0</v>
      </c>
      <c r="U19" s="211">
        <v>0</v>
      </c>
      <c r="V19" s="211">
        <v>0</v>
      </c>
      <c r="W19" s="227">
        <v>0</v>
      </c>
      <c r="X19" s="214">
        <v>0</v>
      </c>
      <c r="Y19" s="214">
        <v>0</v>
      </c>
      <c r="Z19" s="214">
        <v>0</v>
      </c>
      <c r="AA19" s="215">
        <v>0</v>
      </c>
      <c r="AB19" s="209"/>
      <c r="AC19" s="209">
        <v>0</v>
      </c>
      <c r="AD19" s="209">
        <v>0</v>
      </c>
      <c r="AE19" s="209">
        <v>0</v>
      </c>
      <c r="AF19" s="209">
        <v>0</v>
      </c>
      <c r="AG19" s="209">
        <v>0</v>
      </c>
      <c r="AH19" s="209">
        <v>0</v>
      </c>
      <c r="AI19" s="209">
        <v>0</v>
      </c>
      <c r="AJ19" s="209">
        <v>0</v>
      </c>
      <c r="AK19" s="209">
        <v>0</v>
      </c>
      <c r="AL19" s="209">
        <v>0</v>
      </c>
      <c r="AM19" s="216">
        <v>0</v>
      </c>
      <c r="AN19" s="217">
        <v>0</v>
      </c>
      <c r="AO19" s="218"/>
      <c r="AP19" s="254">
        <v>0</v>
      </c>
      <c r="AQ19" s="254">
        <v>0</v>
      </c>
      <c r="AR19" s="254">
        <v>0</v>
      </c>
      <c r="AS19">
        <v>0</v>
      </c>
      <c r="AT19">
        <v>0</v>
      </c>
      <c r="AU19" s="259">
        <v>0</v>
      </c>
      <c r="AV19" s="259">
        <v>0</v>
      </c>
      <c r="AW19" s="254">
        <v>0</v>
      </c>
      <c r="AX19" s="363">
        <v>0</v>
      </c>
      <c r="AY19" s="254"/>
    </row>
    <row r="20" spans="1:51">
      <c r="A20" s="7">
        <v>6</v>
      </c>
      <c r="B20" s="13" t="s">
        <v>24</v>
      </c>
      <c r="C20" s="14">
        <f t="shared" ref="C20:Q20" si="5">SUM(C21:C25)</f>
        <v>0</v>
      </c>
      <c r="D20" s="14">
        <f t="shared" si="5"/>
        <v>26908963.399999999</v>
      </c>
      <c r="E20" s="14">
        <f t="shared" si="5"/>
        <v>26908963.399999999</v>
      </c>
      <c r="F20" s="14">
        <f t="shared" si="5"/>
        <v>27794212.75</v>
      </c>
      <c r="G20" s="14">
        <f t="shared" si="5"/>
        <v>27794212.75</v>
      </c>
      <c r="H20" s="14">
        <f t="shared" si="5"/>
        <v>27899222.75</v>
      </c>
      <c r="I20" s="14">
        <f t="shared" si="5"/>
        <v>26884218.260000002</v>
      </c>
      <c r="J20" s="14">
        <f t="shared" si="5"/>
        <v>32145040.260000002</v>
      </c>
      <c r="K20" s="14">
        <f t="shared" si="5"/>
        <v>32361040.260000002</v>
      </c>
      <c r="L20" s="14">
        <f t="shared" si="5"/>
        <v>32123112.260000002</v>
      </c>
      <c r="M20" s="14">
        <f t="shared" si="5"/>
        <v>31723012.260000002</v>
      </c>
      <c r="N20" s="77">
        <f t="shared" si="5"/>
        <v>34927390.140000001</v>
      </c>
      <c r="O20" s="228">
        <f t="shared" si="5"/>
        <v>29969037.4375</v>
      </c>
      <c r="P20" s="229">
        <f t="shared" si="5"/>
        <v>32582074.359999999</v>
      </c>
      <c r="Q20" s="230">
        <f t="shared" si="5"/>
        <v>31226879.609999999</v>
      </c>
      <c r="R20" s="230">
        <f>SUM(R21:R25)</f>
        <v>31411679.609999999</v>
      </c>
      <c r="S20" s="230">
        <f t="shared" ref="S20:AY20" si="6">SUM(S21:S25)</f>
        <v>31411680.359999999</v>
      </c>
      <c r="T20" s="230">
        <f t="shared" si="6"/>
        <v>31411680.359999999</v>
      </c>
      <c r="U20" s="230">
        <f t="shared" si="6"/>
        <v>32980310.359999999</v>
      </c>
      <c r="V20" s="230">
        <f t="shared" si="6"/>
        <v>33162010.359999999</v>
      </c>
      <c r="W20" s="231">
        <f t="shared" si="6"/>
        <v>33162010.359999999</v>
      </c>
      <c r="X20" s="230">
        <f t="shared" si="6"/>
        <v>33918810.359999999</v>
      </c>
      <c r="Y20" s="230">
        <f t="shared" si="6"/>
        <v>33918810.310000002</v>
      </c>
      <c r="Z20" s="230">
        <f t="shared" si="6"/>
        <v>39342590.310000002</v>
      </c>
      <c r="AA20" s="231">
        <f t="shared" si="6"/>
        <v>36004432.359999999</v>
      </c>
      <c r="AB20" s="232">
        <f t="shared" si="6"/>
        <v>35062305</v>
      </c>
      <c r="AC20" s="232">
        <f t="shared" si="6"/>
        <v>36004432.359999999</v>
      </c>
      <c r="AD20" s="232">
        <f t="shared" si="6"/>
        <v>36004432.359999999</v>
      </c>
      <c r="AE20" s="232">
        <f t="shared" si="6"/>
        <v>36004432.359999999</v>
      </c>
      <c r="AF20" s="232">
        <f t="shared" si="6"/>
        <v>36004432.359999999</v>
      </c>
      <c r="AG20" s="232">
        <f t="shared" si="6"/>
        <v>35555120.359999999</v>
      </c>
      <c r="AH20" s="232">
        <f t="shared" si="6"/>
        <v>35945120.359999999</v>
      </c>
      <c r="AI20" s="232">
        <f t="shared" si="6"/>
        <v>35945120.359999999</v>
      </c>
      <c r="AJ20" s="232">
        <f t="shared" si="6"/>
        <v>35945120.359999999</v>
      </c>
      <c r="AK20" s="232">
        <f t="shared" si="6"/>
        <v>36161120.359999999</v>
      </c>
      <c r="AL20" s="232">
        <f t="shared" si="6"/>
        <v>36161120.359999999</v>
      </c>
      <c r="AM20" s="233">
        <f t="shared" si="6"/>
        <v>37110120.359999999</v>
      </c>
      <c r="AN20" s="234">
        <f t="shared" si="6"/>
        <v>40703581</v>
      </c>
      <c r="AO20" s="235">
        <f t="shared" si="6"/>
        <v>39769354</v>
      </c>
      <c r="AP20" s="230">
        <f t="shared" si="6"/>
        <v>40928358.130000003</v>
      </c>
      <c r="AQ20" s="230">
        <f t="shared" si="6"/>
        <v>41295758.130000003</v>
      </c>
      <c r="AR20" s="230">
        <f t="shared" si="6"/>
        <v>42690266.130000003</v>
      </c>
      <c r="AS20" s="235">
        <f t="shared" si="6"/>
        <v>42915471.129999995</v>
      </c>
      <c r="AT20" s="235">
        <f t="shared" si="6"/>
        <v>43219976.129999995</v>
      </c>
      <c r="AU20" s="235">
        <f t="shared" si="6"/>
        <v>44087281.129999995</v>
      </c>
      <c r="AV20" s="235">
        <f t="shared" si="6"/>
        <v>47336541.129999995</v>
      </c>
      <c r="AW20" s="230">
        <f t="shared" si="6"/>
        <v>48950819.129999995</v>
      </c>
      <c r="AX20" s="230">
        <f t="shared" si="6"/>
        <v>50619353.129999995</v>
      </c>
      <c r="AY20" s="230">
        <f t="shared" si="6"/>
        <v>0</v>
      </c>
    </row>
    <row r="21" spans="1:51" ht="14.25">
      <c r="A21" s="15">
        <v>6.1</v>
      </c>
      <c r="B21" s="8" t="s">
        <v>25</v>
      </c>
      <c r="C21" s="10"/>
      <c r="D21" s="11">
        <v>0</v>
      </c>
      <c r="E21" s="11">
        <v>0</v>
      </c>
      <c r="F21" s="11">
        <v>0</v>
      </c>
      <c r="G21" s="11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76">
        <v>0</v>
      </c>
      <c r="O21" s="209"/>
      <c r="P21" s="210">
        <v>0</v>
      </c>
      <c r="Q21" s="211">
        <v>0</v>
      </c>
      <c r="R21" s="211">
        <v>0</v>
      </c>
      <c r="S21" s="211">
        <v>0</v>
      </c>
      <c r="T21" s="211">
        <v>0</v>
      </c>
      <c r="U21" s="211">
        <v>0</v>
      </c>
      <c r="V21" s="211">
        <v>0</v>
      </c>
      <c r="W21" s="227">
        <v>0</v>
      </c>
      <c r="X21" s="214">
        <v>0</v>
      </c>
      <c r="Y21" s="214">
        <v>0</v>
      </c>
      <c r="Z21" s="214">
        <v>0</v>
      </c>
      <c r="AA21" s="215">
        <v>0</v>
      </c>
      <c r="AB21" s="209">
        <v>6180980</v>
      </c>
      <c r="AC21" s="209">
        <v>0</v>
      </c>
      <c r="AD21" s="209">
        <v>0</v>
      </c>
      <c r="AE21" s="209">
        <v>0</v>
      </c>
      <c r="AF21" s="209">
        <v>0</v>
      </c>
      <c r="AG21" s="209">
        <v>0</v>
      </c>
      <c r="AH21" s="209">
        <v>0</v>
      </c>
      <c r="AI21" s="209">
        <v>0</v>
      </c>
      <c r="AJ21" s="209">
        <v>0</v>
      </c>
      <c r="AK21" s="209">
        <v>0</v>
      </c>
      <c r="AL21" s="209">
        <v>0</v>
      </c>
      <c r="AM21" s="216">
        <v>0</v>
      </c>
      <c r="AN21" s="217">
        <v>0</v>
      </c>
      <c r="AO21" s="218">
        <v>6251090</v>
      </c>
      <c r="AP21" s="254">
        <v>0</v>
      </c>
      <c r="AQ21" s="254">
        <v>0</v>
      </c>
      <c r="AR21" s="254">
        <v>0</v>
      </c>
      <c r="AS21">
        <v>0</v>
      </c>
      <c r="AT21">
        <v>0</v>
      </c>
      <c r="AU21" s="257">
        <v>0</v>
      </c>
      <c r="AV21" s="258">
        <v>6351090</v>
      </c>
      <c r="AW21" s="254">
        <v>6351090</v>
      </c>
      <c r="AX21" s="362">
        <v>6351090</v>
      </c>
      <c r="AY21" s="254"/>
    </row>
    <row r="22" spans="1:51" ht="14.25">
      <c r="A22" s="15">
        <v>6.2</v>
      </c>
      <c r="B22" s="8" t="s">
        <v>26</v>
      </c>
      <c r="C22" s="10"/>
      <c r="D22" s="11">
        <v>24129087.649999999</v>
      </c>
      <c r="E22" s="11">
        <v>24129087.649999999</v>
      </c>
      <c r="F22" s="11">
        <v>24737942</v>
      </c>
      <c r="G22" s="11">
        <v>24737942</v>
      </c>
      <c r="H22" s="12">
        <v>24842952</v>
      </c>
      <c r="I22" s="12">
        <v>24437942.510000002</v>
      </c>
      <c r="J22" s="12">
        <v>29413164.510000002</v>
      </c>
      <c r="K22" s="12">
        <v>29413164.510000002</v>
      </c>
      <c r="L22" s="12">
        <v>28968836.510000002</v>
      </c>
      <c r="M22" s="12">
        <v>28968836.510000002</v>
      </c>
      <c r="N22" s="76">
        <v>31962614.390000001</v>
      </c>
      <c r="O22" s="209">
        <v>15335937.737500001</v>
      </c>
      <c r="P22" s="210">
        <v>30194240.359999999</v>
      </c>
      <c r="Q22" s="211">
        <v>28747245.609999999</v>
      </c>
      <c r="R22" s="211">
        <v>28747245.609999999</v>
      </c>
      <c r="S22" s="212">
        <v>28747245.609999999</v>
      </c>
      <c r="T22" s="212">
        <v>28747245.609999999</v>
      </c>
      <c r="U22" s="212">
        <v>30315875.609999999</v>
      </c>
      <c r="V22" s="212">
        <v>30497575.609999999</v>
      </c>
      <c r="W22" s="213">
        <v>30497575.609999999</v>
      </c>
      <c r="X22" s="214">
        <v>30497575.609999999</v>
      </c>
      <c r="Y22" s="214">
        <v>30497575.609999999</v>
      </c>
      <c r="Z22" s="214">
        <v>36678555.609999999</v>
      </c>
      <c r="AA22" s="215">
        <v>33884921.609999999</v>
      </c>
      <c r="AB22" s="209">
        <v>14714892</v>
      </c>
      <c r="AC22" s="209">
        <v>33884921.609999999</v>
      </c>
      <c r="AD22" s="209">
        <v>33884921.609999999</v>
      </c>
      <c r="AE22" s="209">
        <v>33884921.609999999</v>
      </c>
      <c r="AF22" s="209">
        <v>33884921.609999999</v>
      </c>
      <c r="AG22" s="209">
        <v>33884921.609999999</v>
      </c>
      <c r="AH22" s="209">
        <v>33884921.609999999</v>
      </c>
      <c r="AI22" s="209">
        <v>33884921.609999999</v>
      </c>
      <c r="AJ22" s="209">
        <v>33884921.609999999</v>
      </c>
      <c r="AK22" s="209">
        <v>33884921.609999999</v>
      </c>
      <c r="AL22" s="209">
        <v>33884921.609999999</v>
      </c>
      <c r="AM22" s="216">
        <v>34341921.609999999</v>
      </c>
      <c r="AN22" s="217">
        <v>21642868</v>
      </c>
      <c r="AO22" s="218">
        <v>15391778</v>
      </c>
      <c r="AP22" s="254">
        <v>34207546.380000003</v>
      </c>
      <c r="AQ22" s="254">
        <v>34574946.380000003</v>
      </c>
      <c r="AR22" s="254">
        <v>35523846.380000003</v>
      </c>
      <c r="AS22" s="256">
        <v>23408163.829999998</v>
      </c>
      <c r="AT22" s="256">
        <v>23512668.829999998</v>
      </c>
      <c r="AU22" s="260">
        <v>24182668.829999998</v>
      </c>
      <c r="AV22" s="260">
        <v>20685338.829999998</v>
      </c>
      <c r="AW22" s="254">
        <v>21704616.829999998</v>
      </c>
      <c r="AX22" s="364">
        <v>21719616.829999998</v>
      </c>
      <c r="AY22" s="254"/>
    </row>
    <row r="23" spans="1:51" ht="14.25">
      <c r="A23" s="15">
        <v>6.3</v>
      </c>
      <c r="B23" s="8" t="s">
        <v>27</v>
      </c>
      <c r="C23" s="10"/>
      <c r="D23" s="11">
        <v>712740</v>
      </c>
      <c r="E23" s="11">
        <v>712740</v>
      </c>
      <c r="F23" s="11">
        <v>989135</v>
      </c>
      <c r="G23" s="11">
        <v>989135</v>
      </c>
      <c r="H23" s="12">
        <v>989135</v>
      </c>
      <c r="I23" s="12">
        <v>379140</v>
      </c>
      <c r="J23" s="12">
        <v>664740</v>
      </c>
      <c r="K23" s="12">
        <v>880740</v>
      </c>
      <c r="L23" s="12">
        <v>1087140</v>
      </c>
      <c r="M23" s="12">
        <v>687040</v>
      </c>
      <c r="N23" s="76">
        <v>897640</v>
      </c>
      <c r="O23" s="209"/>
      <c r="P23" s="210">
        <v>940840</v>
      </c>
      <c r="Q23" s="211">
        <v>1032640</v>
      </c>
      <c r="R23" s="211">
        <v>1217440</v>
      </c>
      <c r="S23" s="212">
        <v>1217440</v>
      </c>
      <c r="T23" s="212">
        <v>1217440</v>
      </c>
      <c r="U23" s="212">
        <v>1217440</v>
      </c>
      <c r="V23" s="212">
        <v>1217440</v>
      </c>
      <c r="W23" s="213">
        <v>1217440</v>
      </c>
      <c r="X23" s="214">
        <v>1974240</v>
      </c>
      <c r="Y23" s="214">
        <v>1974240</v>
      </c>
      <c r="Z23" s="214">
        <v>1217040</v>
      </c>
      <c r="AA23" s="215">
        <v>942440</v>
      </c>
      <c r="AB23" s="209"/>
      <c r="AC23" s="209">
        <v>942440</v>
      </c>
      <c r="AD23" s="209">
        <v>942440</v>
      </c>
      <c r="AE23" s="209">
        <v>942440</v>
      </c>
      <c r="AF23" s="209">
        <v>942440</v>
      </c>
      <c r="AG23" s="209">
        <v>493128</v>
      </c>
      <c r="AH23" s="209">
        <v>883128</v>
      </c>
      <c r="AI23" s="209">
        <v>883128</v>
      </c>
      <c r="AJ23" s="209">
        <v>883128</v>
      </c>
      <c r="AK23" s="209">
        <v>1099128</v>
      </c>
      <c r="AL23" s="209">
        <v>1099128</v>
      </c>
      <c r="AM23" s="216">
        <v>1591128</v>
      </c>
      <c r="AN23" s="217">
        <v>934227</v>
      </c>
      <c r="AO23" s="218"/>
      <c r="AP23" s="254">
        <v>934227</v>
      </c>
      <c r="AQ23" s="254">
        <v>934227</v>
      </c>
      <c r="AR23" s="254">
        <v>1379835</v>
      </c>
      <c r="AS23" s="256">
        <v>1379835</v>
      </c>
      <c r="AT23" s="256">
        <v>1379835</v>
      </c>
      <c r="AU23" s="260">
        <v>1379835</v>
      </c>
      <c r="AV23" s="260">
        <v>1769835</v>
      </c>
      <c r="AW23" s="254">
        <v>1769835</v>
      </c>
      <c r="AX23" s="364">
        <v>1985835</v>
      </c>
      <c r="AY23" s="254"/>
    </row>
    <row r="24" spans="1:51" ht="14.25">
      <c r="A24" s="15">
        <v>6.4</v>
      </c>
      <c r="B24" s="8" t="s">
        <v>28</v>
      </c>
      <c r="C24" s="10"/>
      <c r="D24" s="11">
        <v>0</v>
      </c>
      <c r="E24" s="11">
        <v>0</v>
      </c>
      <c r="F24" s="11">
        <v>0</v>
      </c>
      <c r="G24" s="11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76">
        <v>0</v>
      </c>
      <c r="O24" s="209">
        <v>14633099.699999999</v>
      </c>
      <c r="P24" s="210">
        <v>0</v>
      </c>
      <c r="Q24" s="211">
        <v>0</v>
      </c>
      <c r="R24" s="211">
        <v>0</v>
      </c>
      <c r="S24" s="212">
        <v>1446994.75</v>
      </c>
      <c r="T24" s="212">
        <v>1446994.75</v>
      </c>
      <c r="U24" s="212">
        <v>1446994.75</v>
      </c>
      <c r="V24" s="212">
        <v>1446994.75</v>
      </c>
      <c r="W24" s="213">
        <v>1446994.75</v>
      </c>
      <c r="X24" s="214">
        <v>1446994.75</v>
      </c>
      <c r="Y24" s="214">
        <v>1446994.7</v>
      </c>
      <c r="Z24" s="214">
        <v>1446994.7</v>
      </c>
      <c r="AA24" s="215">
        <v>1177070.75</v>
      </c>
      <c r="AB24" s="209">
        <v>14166433</v>
      </c>
      <c r="AC24" s="209">
        <v>1177070.75</v>
      </c>
      <c r="AD24" s="209">
        <v>1177070.75</v>
      </c>
      <c r="AE24" s="209">
        <v>1177070.75</v>
      </c>
      <c r="AF24" s="209">
        <v>1177070.75</v>
      </c>
      <c r="AG24" s="209">
        <v>1177070.75</v>
      </c>
      <c r="AH24" s="209">
        <v>1177070.75</v>
      </c>
      <c r="AI24" s="209">
        <v>1177070.75</v>
      </c>
      <c r="AJ24" s="209">
        <v>1177070.75</v>
      </c>
      <c r="AK24" s="209">
        <v>1177070.75</v>
      </c>
      <c r="AL24" s="209">
        <v>1177070.75</v>
      </c>
      <c r="AM24" s="216">
        <v>1177070.75</v>
      </c>
      <c r="AN24" s="217">
        <v>18126486</v>
      </c>
      <c r="AO24" s="218">
        <v>18126486</v>
      </c>
      <c r="AP24" s="254">
        <v>5786584.75</v>
      </c>
      <c r="AQ24" s="254">
        <v>5786584.75</v>
      </c>
      <c r="AR24" s="254">
        <v>5786584.75</v>
      </c>
      <c r="AS24" s="256">
        <v>18127472.300000001</v>
      </c>
      <c r="AT24" s="256">
        <v>18327472.300000001</v>
      </c>
      <c r="AU24" s="260">
        <v>18524777.300000001</v>
      </c>
      <c r="AV24" s="260">
        <v>18530277.300000001</v>
      </c>
      <c r="AW24" s="254">
        <v>19125277.300000001</v>
      </c>
      <c r="AX24" s="364">
        <v>20562811.300000001</v>
      </c>
      <c r="AY24" s="254"/>
    </row>
    <row r="25" spans="1:51" ht="14.25">
      <c r="A25" s="15">
        <v>6.5</v>
      </c>
      <c r="B25" s="8" t="s">
        <v>29</v>
      </c>
      <c r="C25" s="10"/>
      <c r="D25" s="11">
        <v>2067135.75</v>
      </c>
      <c r="E25" s="11">
        <v>2067135.75</v>
      </c>
      <c r="F25" s="11">
        <v>2067135.75</v>
      </c>
      <c r="G25" s="11">
        <v>2067135.75</v>
      </c>
      <c r="H25" s="12">
        <v>2067135.75</v>
      </c>
      <c r="I25" s="12">
        <v>2067135.75</v>
      </c>
      <c r="J25" s="12">
        <v>2067135.75</v>
      </c>
      <c r="K25" s="12">
        <v>2067135.75</v>
      </c>
      <c r="L25" s="12">
        <v>2067135.75</v>
      </c>
      <c r="M25" s="12">
        <v>2067135.75</v>
      </c>
      <c r="N25" s="76">
        <v>2067135.75</v>
      </c>
      <c r="O25" s="209"/>
      <c r="P25" s="210">
        <v>1446994</v>
      </c>
      <c r="Q25" s="211">
        <v>1446994</v>
      </c>
      <c r="R25" s="211">
        <v>1446994</v>
      </c>
      <c r="S25" s="212">
        <v>0</v>
      </c>
      <c r="T25" s="212">
        <v>0</v>
      </c>
      <c r="U25" s="212">
        <v>0</v>
      </c>
      <c r="V25" s="212">
        <v>0</v>
      </c>
      <c r="W25" s="213">
        <v>0</v>
      </c>
      <c r="X25" s="214">
        <v>0</v>
      </c>
      <c r="Y25" s="214">
        <v>0</v>
      </c>
      <c r="Z25" s="214">
        <v>0</v>
      </c>
      <c r="AA25" s="215">
        <v>0</v>
      </c>
      <c r="AB25" s="209"/>
      <c r="AC25" s="209">
        <v>0</v>
      </c>
      <c r="AD25" s="209">
        <v>0</v>
      </c>
      <c r="AE25" s="209">
        <v>0</v>
      </c>
      <c r="AF25" s="209">
        <v>0</v>
      </c>
      <c r="AG25" s="209">
        <v>0</v>
      </c>
      <c r="AH25" s="209">
        <v>0</v>
      </c>
      <c r="AI25" s="209">
        <v>0</v>
      </c>
      <c r="AJ25" s="209">
        <v>0</v>
      </c>
      <c r="AK25" s="209">
        <v>0</v>
      </c>
      <c r="AL25" s="209">
        <v>0</v>
      </c>
      <c r="AM25" s="216">
        <v>0</v>
      </c>
      <c r="AN25" s="217">
        <v>0</v>
      </c>
      <c r="AO25" s="218"/>
      <c r="AP25" s="254">
        <v>0</v>
      </c>
      <c r="AQ25" s="254">
        <v>0</v>
      </c>
      <c r="AR25" s="254">
        <v>0</v>
      </c>
      <c r="AS25">
        <v>0</v>
      </c>
      <c r="AT25">
        <v>0</v>
      </c>
      <c r="AU25" s="259">
        <v>0</v>
      </c>
      <c r="AV25" s="259">
        <v>0</v>
      </c>
      <c r="AW25" s="254">
        <v>0</v>
      </c>
      <c r="AX25" s="363">
        <v>0</v>
      </c>
      <c r="AY25" s="254"/>
    </row>
    <row r="26" spans="1:51">
      <c r="A26" s="15"/>
      <c r="B26" s="13" t="s">
        <v>30</v>
      </c>
      <c r="C26" s="68">
        <f t="shared" ref="C26:AY26" si="7">C4+C7+C8+C13+C16+C20</f>
        <v>0</v>
      </c>
      <c r="D26" s="68">
        <f t="shared" si="7"/>
        <v>528859819.61000001</v>
      </c>
      <c r="E26" s="68">
        <f t="shared" si="7"/>
        <v>537317040.77999997</v>
      </c>
      <c r="F26" s="68">
        <f t="shared" si="7"/>
        <v>538307018.79999995</v>
      </c>
      <c r="G26" s="68">
        <f t="shared" si="7"/>
        <v>553112445.73000002</v>
      </c>
      <c r="H26" s="68">
        <f t="shared" si="7"/>
        <v>557821715.75</v>
      </c>
      <c r="I26" s="68">
        <f t="shared" si="7"/>
        <v>555147215.58000004</v>
      </c>
      <c r="J26" s="68">
        <f t="shared" si="7"/>
        <v>568618735.62</v>
      </c>
      <c r="K26" s="68">
        <f t="shared" si="7"/>
        <v>577833765.11000001</v>
      </c>
      <c r="L26" s="68">
        <f t="shared" si="7"/>
        <v>599882781.65999997</v>
      </c>
      <c r="M26" s="68">
        <f t="shared" si="7"/>
        <v>608384004.63</v>
      </c>
      <c r="N26" s="78">
        <f t="shared" si="7"/>
        <v>633503288.75999987</v>
      </c>
      <c r="O26" s="228">
        <f t="shared" si="7"/>
        <v>615469447.91750002</v>
      </c>
      <c r="P26" s="229">
        <f t="shared" si="7"/>
        <v>613416262.75999999</v>
      </c>
      <c r="Q26" s="230">
        <f t="shared" si="7"/>
        <v>630799219.57000005</v>
      </c>
      <c r="R26" s="230">
        <f t="shared" si="7"/>
        <v>626385964.98000002</v>
      </c>
      <c r="S26" s="230">
        <f t="shared" si="7"/>
        <v>634218791.55000007</v>
      </c>
      <c r="T26" s="230">
        <f t="shared" si="7"/>
        <v>640720654.72000003</v>
      </c>
      <c r="U26" s="230">
        <f t="shared" si="7"/>
        <v>641872651.09000003</v>
      </c>
      <c r="V26" s="230">
        <f t="shared" si="7"/>
        <v>649329035.60000002</v>
      </c>
      <c r="W26" s="231">
        <f t="shared" si="7"/>
        <v>649834220.98000002</v>
      </c>
      <c r="X26" s="230">
        <f t="shared" si="7"/>
        <v>675266608.38999999</v>
      </c>
      <c r="Y26" s="230">
        <f t="shared" si="7"/>
        <v>672787618.91000009</v>
      </c>
      <c r="Z26" s="230">
        <f t="shared" si="7"/>
        <v>689075125.11999989</v>
      </c>
      <c r="AA26" s="231">
        <f t="shared" si="7"/>
        <v>703370494.71000004</v>
      </c>
      <c r="AB26" s="232">
        <f t="shared" si="7"/>
        <v>700607387.61000001</v>
      </c>
      <c r="AC26" s="232">
        <f t="shared" si="7"/>
        <v>708300028.84000003</v>
      </c>
      <c r="AD26" s="232">
        <f t="shared" si="7"/>
        <v>702767149.93999994</v>
      </c>
      <c r="AE26" s="232">
        <f t="shared" si="7"/>
        <v>698657790.19000006</v>
      </c>
      <c r="AF26" s="232">
        <f t="shared" si="7"/>
        <v>705311402.68000007</v>
      </c>
      <c r="AG26" s="232">
        <f t="shared" si="7"/>
        <v>709127992.03999996</v>
      </c>
      <c r="AH26" s="232">
        <f t="shared" si="7"/>
        <v>705900832.71000004</v>
      </c>
      <c r="AI26" s="232">
        <f t="shared" si="7"/>
        <v>700394076.28000009</v>
      </c>
      <c r="AJ26" s="232">
        <f t="shared" si="7"/>
        <v>691015250.30000007</v>
      </c>
      <c r="AK26" s="232">
        <f t="shared" si="7"/>
        <v>685404924.04000008</v>
      </c>
      <c r="AL26" s="232">
        <f t="shared" si="7"/>
        <v>689054933.71000004</v>
      </c>
      <c r="AM26" s="233">
        <f t="shared" si="7"/>
        <v>728257455.39999998</v>
      </c>
      <c r="AN26" s="233">
        <f t="shared" si="7"/>
        <v>756724725.34000003</v>
      </c>
      <c r="AO26" s="233">
        <f t="shared" si="7"/>
        <v>758689887.28999996</v>
      </c>
      <c r="AP26" s="232">
        <f t="shared" si="7"/>
        <v>766193126.12999988</v>
      </c>
      <c r="AQ26" s="232">
        <f t="shared" si="7"/>
        <v>757341422.40999997</v>
      </c>
      <c r="AR26" s="232">
        <f t="shared" si="7"/>
        <v>765169291.05999994</v>
      </c>
      <c r="AS26" s="233">
        <f t="shared" si="7"/>
        <v>766676677.87</v>
      </c>
      <c r="AT26" s="233">
        <f t="shared" si="7"/>
        <v>761925229.68999994</v>
      </c>
      <c r="AU26" s="233">
        <f t="shared" si="7"/>
        <v>772616678.71000004</v>
      </c>
      <c r="AV26" s="233">
        <f t="shared" si="7"/>
        <v>775390786.26999998</v>
      </c>
      <c r="AW26" s="232">
        <f t="shared" si="7"/>
        <v>782151663.1099999</v>
      </c>
      <c r="AX26" s="232">
        <f t="shared" si="7"/>
        <v>791711841.76999998</v>
      </c>
      <c r="AY26" s="232">
        <f t="shared" si="7"/>
        <v>0</v>
      </c>
    </row>
    <row r="27" spans="1:51" ht="14.25">
      <c r="A27" s="15">
        <v>7</v>
      </c>
      <c r="B27" s="8" t="s">
        <v>31</v>
      </c>
      <c r="C27" s="10"/>
      <c r="D27" s="11">
        <v>18835436.699999999</v>
      </c>
      <c r="E27" s="11">
        <v>19818618.699999999</v>
      </c>
      <c r="F27" s="11">
        <v>20149867</v>
      </c>
      <c r="G27" s="11">
        <v>20897319.370000001</v>
      </c>
      <c r="H27" s="12">
        <v>23417410</v>
      </c>
      <c r="I27" s="12">
        <v>22588237.699999999</v>
      </c>
      <c r="J27" s="12">
        <v>31824080.600000001</v>
      </c>
      <c r="K27" s="12">
        <v>30402672.010000002</v>
      </c>
      <c r="L27" s="12">
        <v>37005537.700000003</v>
      </c>
      <c r="M27" s="12">
        <v>37424266.700000003</v>
      </c>
      <c r="N27" s="76">
        <v>196590351.33000001</v>
      </c>
      <c r="O27" s="209">
        <v>218332234.53</v>
      </c>
      <c r="P27" s="236">
        <v>174362944</v>
      </c>
      <c r="Q27" s="212">
        <v>185399401.91999999</v>
      </c>
      <c r="R27" s="211">
        <v>199734750.5</v>
      </c>
      <c r="S27" s="212">
        <v>201288060.56999999</v>
      </c>
      <c r="T27" s="212">
        <v>201313744.90000001</v>
      </c>
      <c r="U27" s="212">
        <v>192583080</v>
      </c>
      <c r="V27" s="212">
        <v>184518907.5</v>
      </c>
      <c r="W27" s="213">
        <v>187419868.5</v>
      </c>
      <c r="X27" s="214">
        <v>205479557.69999999</v>
      </c>
      <c r="Y27" s="214">
        <v>192507556</v>
      </c>
      <c r="Z27" s="214">
        <v>199905977.19999999</v>
      </c>
      <c r="AA27" s="215">
        <v>201623345</v>
      </c>
      <c r="AB27" s="209">
        <v>233858544</v>
      </c>
      <c r="AC27" s="209">
        <v>204169694.90000001</v>
      </c>
      <c r="AD27" s="209">
        <v>225424264.80000001</v>
      </c>
      <c r="AE27" s="209">
        <v>213690979.40000001</v>
      </c>
      <c r="AF27" s="209">
        <v>216777919.69999999</v>
      </c>
      <c r="AG27" s="209">
        <v>215055883.09999999</v>
      </c>
      <c r="AH27" s="209">
        <v>209865045</v>
      </c>
      <c r="AI27" s="209">
        <v>201419454.69999999</v>
      </c>
      <c r="AJ27" s="209">
        <v>188877541.09999999</v>
      </c>
      <c r="AK27" s="209">
        <v>179205306.19999999</v>
      </c>
      <c r="AL27" s="209">
        <v>171202213.19999999</v>
      </c>
      <c r="AM27" s="216">
        <v>195323295.69999999</v>
      </c>
      <c r="AN27" s="217">
        <v>200215442.43000001</v>
      </c>
      <c r="AO27" s="218">
        <v>232980325</v>
      </c>
      <c r="AP27" s="254">
        <v>196860606.69999999</v>
      </c>
      <c r="AQ27" s="254">
        <v>216294255.52000001</v>
      </c>
      <c r="AR27" s="254">
        <v>216240365.5</v>
      </c>
      <c r="AS27" s="256">
        <v>209104204.18000001</v>
      </c>
      <c r="AT27" s="256">
        <v>197930290.30000001</v>
      </c>
      <c r="AU27" s="258">
        <v>200926074.62</v>
      </c>
      <c r="AV27" s="258">
        <v>194514302.50999999</v>
      </c>
      <c r="AW27" s="254">
        <v>198247700.59</v>
      </c>
      <c r="AX27" s="362">
        <v>189891322.19999999</v>
      </c>
      <c r="AY27" s="254"/>
    </row>
    <row r="28" spans="1:51" ht="14.25">
      <c r="A28" s="15">
        <v>8</v>
      </c>
      <c r="B28" s="8" t="s">
        <v>32</v>
      </c>
      <c r="C28" s="10"/>
      <c r="D28" s="11">
        <v>202465892.90000001</v>
      </c>
      <c r="E28" s="11">
        <v>205071518.63999999</v>
      </c>
      <c r="F28" s="11">
        <v>209058011</v>
      </c>
      <c r="G28" s="11">
        <v>212663233.94999999</v>
      </c>
      <c r="H28" s="12">
        <v>216104793.83000001</v>
      </c>
      <c r="I28" s="12">
        <v>220528984.75</v>
      </c>
      <c r="J28" s="12">
        <v>227552107.06999999</v>
      </c>
      <c r="K28" s="12">
        <v>230535657.56</v>
      </c>
      <c r="L28" s="12">
        <v>234433939.74000001</v>
      </c>
      <c r="M28" s="12">
        <v>236857261.05000001</v>
      </c>
      <c r="N28" s="76">
        <v>30529981.199999999</v>
      </c>
      <c r="O28" s="209"/>
      <c r="P28" s="236">
        <v>30922064</v>
      </c>
      <c r="Q28" s="212">
        <v>30534231.199999999</v>
      </c>
      <c r="R28" s="211">
        <v>31624778.199999999</v>
      </c>
      <c r="S28" s="212">
        <v>31925106.199999999</v>
      </c>
      <c r="T28" s="212">
        <v>31601459.699999999</v>
      </c>
      <c r="U28" s="212">
        <v>34433245.700000003</v>
      </c>
      <c r="V28" s="212">
        <v>34525847.700000003</v>
      </c>
      <c r="W28" s="213">
        <v>31795618.079999998</v>
      </c>
      <c r="X28" s="214">
        <v>30053407.199999999</v>
      </c>
      <c r="Y28" s="214">
        <v>32344276.079999998</v>
      </c>
      <c r="Z28" s="214">
        <v>31710190.699999999</v>
      </c>
      <c r="AA28" s="215">
        <v>29845100.690000001</v>
      </c>
      <c r="AB28" s="209"/>
      <c r="AC28" s="209">
        <v>30274557.699999999</v>
      </c>
      <c r="AD28" s="209">
        <v>30810757.699999999</v>
      </c>
      <c r="AE28" s="209">
        <v>32578717.699999999</v>
      </c>
      <c r="AF28" s="209">
        <v>33843706.700000003</v>
      </c>
      <c r="AG28" s="209">
        <v>33476310.699999999</v>
      </c>
      <c r="AH28" s="209">
        <v>32001300.699999999</v>
      </c>
      <c r="AI28" s="209">
        <v>33131372.699999999</v>
      </c>
      <c r="AJ28" s="209">
        <v>33711200.700000003</v>
      </c>
      <c r="AK28" s="209">
        <v>34054042.310000002</v>
      </c>
      <c r="AL28" s="209">
        <v>32648487.699999999</v>
      </c>
      <c r="AM28" s="216">
        <v>31423386.699999999</v>
      </c>
      <c r="AN28" s="217">
        <v>32764882.699999999</v>
      </c>
      <c r="AO28" s="218">
        <v>0</v>
      </c>
      <c r="AP28" s="254">
        <v>35170428.200000003</v>
      </c>
      <c r="AQ28" s="254">
        <v>35733541.200000003</v>
      </c>
      <c r="AR28" s="254">
        <v>35474133.530000001</v>
      </c>
      <c r="AS28" s="256">
        <v>35021385.479999997</v>
      </c>
      <c r="AT28" s="256">
        <v>34571196.32</v>
      </c>
      <c r="AU28" s="260">
        <v>34164646.32</v>
      </c>
      <c r="AV28" s="260">
        <v>36092718.479999997</v>
      </c>
      <c r="AW28" s="254">
        <v>38159501.549999997</v>
      </c>
      <c r="AX28" s="364">
        <v>38146654</v>
      </c>
      <c r="AY28" s="254"/>
    </row>
    <row r="29" spans="1:51" ht="14.25">
      <c r="A29" s="15">
        <v>9</v>
      </c>
      <c r="B29" s="8" t="s">
        <v>33</v>
      </c>
      <c r="C29" s="10"/>
      <c r="D29" s="11">
        <v>383811008.33999997</v>
      </c>
      <c r="E29" s="11">
        <v>392368988.01999998</v>
      </c>
      <c r="F29" s="11">
        <v>413115060</v>
      </c>
      <c r="G29" s="11">
        <v>422864802.82999998</v>
      </c>
      <c r="H29" s="12">
        <v>430835101.02999997</v>
      </c>
      <c r="I29" s="12">
        <v>432651660.57999998</v>
      </c>
      <c r="J29" s="12">
        <v>444949020.33999997</v>
      </c>
      <c r="K29" s="12">
        <v>446569528.56999999</v>
      </c>
      <c r="L29" s="12">
        <v>465815813.41000003</v>
      </c>
      <c r="M29" s="12">
        <v>467850324.16000003</v>
      </c>
      <c r="N29" s="76">
        <v>238941257.63</v>
      </c>
      <c r="O29" s="209">
        <v>239074533.38</v>
      </c>
      <c r="P29" s="236">
        <v>243479912</v>
      </c>
      <c r="Q29" s="212">
        <v>248927126.41999999</v>
      </c>
      <c r="R29" s="211">
        <v>252317966.09999999</v>
      </c>
      <c r="S29" s="212">
        <v>256665931.15000001</v>
      </c>
      <c r="T29" s="212">
        <v>260620730</v>
      </c>
      <c r="U29" s="212">
        <v>265037849.09999999</v>
      </c>
      <c r="V29" s="212">
        <v>263984168.40000001</v>
      </c>
      <c r="W29" s="213">
        <v>267994348.30000001</v>
      </c>
      <c r="X29" s="214">
        <v>271254765.10000002</v>
      </c>
      <c r="Y29" s="214">
        <v>273369713</v>
      </c>
      <c r="Z29" s="214">
        <v>276381572.80000001</v>
      </c>
      <c r="AA29" s="215">
        <v>276049008.5</v>
      </c>
      <c r="AB29" s="209">
        <v>276157579</v>
      </c>
      <c r="AC29" s="209">
        <v>280837338</v>
      </c>
      <c r="AD29" s="209">
        <v>286929218.10000002</v>
      </c>
      <c r="AE29" s="209">
        <v>290918100.5</v>
      </c>
      <c r="AF29" s="209">
        <v>295775849.30000001</v>
      </c>
      <c r="AG29" s="209">
        <v>300108054.60000002</v>
      </c>
      <c r="AH29" s="209">
        <v>297642619.69999999</v>
      </c>
      <c r="AI29" s="209">
        <v>298483678.10000002</v>
      </c>
      <c r="AJ29" s="209">
        <v>301716195.60000002</v>
      </c>
      <c r="AK29" s="209">
        <v>303936855.08999997</v>
      </c>
      <c r="AL29" s="209">
        <v>304421516.13</v>
      </c>
      <c r="AM29" s="216">
        <v>306479097.5</v>
      </c>
      <c r="AN29" s="217">
        <v>303178892.17000002</v>
      </c>
      <c r="AO29" s="218">
        <v>303178892</v>
      </c>
      <c r="AP29" s="254">
        <v>309459331.80000001</v>
      </c>
      <c r="AQ29" s="254">
        <v>314045204.05000001</v>
      </c>
      <c r="AR29" s="254">
        <v>320307065</v>
      </c>
      <c r="AS29" s="256">
        <v>324402763.81</v>
      </c>
      <c r="AT29" s="256">
        <v>325571306.44999999</v>
      </c>
      <c r="AU29" s="260">
        <v>328836777.86000001</v>
      </c>
      <c r="AV29" s="260">
        <v>329978496.18000001</v>
      </c>
      <c r="AW29" s="254">
        <v>333575150.89999998</v>
      </c>
      <c r="AX29" s="364">
        <v>335923591.49000001</v>
      </c>
      <c r="AY29" s="254"/>
    </row>
    <row r="30" spans="1:51">
      <c r="A30" s="15"/>
      <c r="B30" s="13" t="s">
        <v>34</v>
      </c>
      <c r="C30" s="14">
        <f t="shared" ref="C30" si="8">SUM(C27:C29)</f>
        <v>0</v>
      </c>
      <c r="D30" s="14">
        <f t="shared" ref="D30:M30" si="9">SUM(D27+D29)</f>
        <v>402646445.03999996</v>
      </c>
      <c r="E30" s="14">
        <f t="shared" si="9"/>
        <v>412187606.71999997</v>
      </c>
      <c r="F30" s="14">
        <f t="shared" si="9"/>
        <v>433264927</v>
      </c>
      <c r="G30" s="14">
        <f t="shared" si="9"/>
        <v>443762122.19999999</v>
      </c>
      <c r="H30" s="14">
        <f t="shared" si="9"/>
        <v>454252511.02999997</v>
      </c>
      <c r="I30" s="14">
        <f t="shared" si="9"/>
        <v>455239898.27999997</v>
      </c>
      <c r="J30" s="14">
        <f t="shared" si="9"/>
        <v>476773100.94</v>
      </c>
      <c r="K30" s="14">
        <f t="shared" si="9"/>
        <v>476972200.57999998</v>
      </c>
      <c r="L30" s="14">
        <f t="shared" si="9"/>
        <v>502821351.11000001</v>
      </c>
      <c r="M30" s="14">
        <f t="shared" si="9"/>
        <v>505274590.86000001</v>
      </c>
      <c r="N30" s="77">
        <f>SUM(N27:N29)</f>
        <v>466061590.15999997</v>
      </c>
      <c r="O30" s="228">
        <f t="shared" ref="O30:R30" si="10">SUM(O27:O29)</f>
        <v>457406767.90999997</v>
      </c>
      <c r="P30" s="229">
        <f t="shared" si="10"/>
        <v>448764920</v>
      </c>
      <c r="Q30" s="230">
        <f t="shared" si="10"/>
        <v>464860759.53999996</v>
      </c>
      <c r="R30" s="230">
        <f t="shared" si="10"/>
        <v>483677494.79999995</v>
      </c>
      <c r="S30" s="230">
        <f t="shared" ref="S30:V30" si="11">SUM(S27:S29)</f>
        <v>489879097.91999996</v>
      </c>
      <c r="T30" s="230">
        <f t="shared" si="11"/>
        <v>493535934.60000002</v>
      </c>
      <c r="U30" s="230">
        <f t="shared" si="11"/>
        <v>492054174.79999995</v>
      </c>
      <c r="V30" s="230">
        <f t="shared" si="11"/>
        <v>483028923.60000002</v>
      </c>
      <c r="W30" s="231">
        <f>SUM(W27:W29)</f>
        <v>487209834.88</v>
      </c>
      <c r="X30" s="230">
        <f t="shared" ref="X30:AB30" si="12">SUM(X27:X29)</f>
        <v>506787730</v>
      </c>
      <c r="Y30" s="230">
        <f t="shared" si="12"/>
        <v>498221545.07999998</v>
      </c>
      <c r="Z30" s="230">
        <f t="shared" si="12"/>
        <v>507997740.69999999</v>
      </c>
      <c r="AA30" s="231">
        <f t="shared" si="12"/>
        <v>507517454.19</v>
      </c>
      <c r="AB30" s="232">
        <f t="shared" si="12"/>
        <v>510016123</v>
      </c>
      <c r="AC30" s="232">
        <f t="shared" ref="AC30:AN30" si="13">SUM(AC27:AC29)</f>
        <v>515281590.60000002</v>
      </c>
      <c r="AD30" s="232">
        <f t="shared" si="13"/>
        <v>543164240.60000002</v>
      </c>
      <c r="AE30" s="232">
        <f t="shared" si="13"/>
        <v>537187797.60000002</v>
      </c>
      <c r="AF30" s="232">
        <f t="shared" si="13"/>
        <v>546397475.70000005</v>
      </c>
      <c r="AG30" s="232">
        <f t="shared" si="13"/>
        <v>548640248.39999998</v>
      </c>
      <c r="AH30" s="232">
        <f t="shared" si="13"/>
        <v>539508965.39999998</v>
      </c>
      <c r="AI30" s="232">
        <f t="shared" si="13"/>
        <v>533034505.5</v>
      </c>
      <c r="AJ30" s="232">
        <f t="shared" si="13"/>
        <v>524304937.40000004</v>
      </c>
      <c r="AK30" s="232">
        <f t="shared" si="13"/>
        <v>517196203.59999996</v>
      </c>
      <c r="AL30" s="232">
        <f t="shared" si="13"/>
        <v>508272217.02999997</v>
      </c>
      <c r="AM30" s="233">
        <f t="shared" si="13"/>
        <v>533225779.89999998</v>
      </c>
      <c r="AN30" s="234">
        <f t="shared" si="13"/>
        <v>536159217.30000001</v>
      </c>
      <c r="AO30" s="235">
        <f t="shared" ref="AO30:AY30" si="14">SUM(AO27:AO29)</f>
        <v>536159217</v>
      </c>
      <c r="AP30" s="230">
        <f t="shared" si="14"/>
        <v>541490366.70000005</v>
      </c>
      <c r="AQ30" s="230">
        <f t="shared" si="14"/>
        <v>566073000.76999998</v>
      </c>
      <c r="AR30" s="230">
        <f t="shared" si="14"/>
        <v>572021564.02999997</v>
      </c>
      <c r="AS30" s="235">
        <f t="shared" si="14"/>
        <v>568528353.47000003</v>
      </c>
      <c r="AT30" s="235">
        <f t="shared" si="14"/>
        <v>558072793.06999993</v>
      </c>
      <c r="AU30" s="235">
        <f t="shared" si="14"/>
        <v>563927498.79999995</v>
      </c>
      <c r="AV30" s="235">
        <f t="shared" si="14"/>
        <v>560585517.16999996</v>
      </c>
      <c r="AW30" s="230">
        <f t="shared" si="14"/>
        <v>569982353.03999996</v>
      </c>
      <c r="AX30" s="230">
        <f t="shared" si="14"/>
        <v>563961567.69000006</v>
      </c>
      <c r="AY30" s="230">
        <f t="shared" si="14"/>
        <v>0</v>
      </c>
    </row>
    <row r="31" spans="1:51">
      <c r="A31" s="15">
        <v>10</v>
      </c>
      <c r="B31" s="13" t="s">
        <v>35</v>
      </c>
      <c r="C31" s="16">
        <f t="shared" ref="C31" si="15">SUM(C32:C37)</f>
        <v>0</v>
      </c>
      <c r="D31" s="16">
        <f t="shared" ref="D31:N31" si="16">SUM(D32:D37)</f>
        <v>3139111.09</v>
      </c>
      <c r="E31" s="16">
        <f t="shared" si="16"/>
        <v>1749796</v>
      </c>
      <c r="F31" s="16">
        <f t="shared" si="16"/>
        <v>13569692.800000001</v>
      </c>
      <c r="G31" s="16">
        <f t="shared" si="16"/>
        <v>17121085.989999998</v>
      </c>
      <c r="H31" s="16">
        <f t="shared" si="16"/>
        <v>1697768.26</v>
      </c>
      <c r="I31" s="16">
        <f t="shared" si="16"/>
        <v>274312</v>
      </c>
      <c r="J31" s="16">
        <f t="shared" si="16"/>
        <v>1175412.8899999999</v>
      </c>
      <c r="K31" s="16">
        <f t="shared" si="16"/>
        <v>4854601.7</v>
      </c>
      <c r="L31" s="16">
        <f t="shared" si="16"/>
        <v>1536446.81</v>
      </c>
      <c r="M31" s="16">
        <f t="shared" si="16"/>
        <v>2884554.53</v>
      </c>
      <c r="N31" s="79">
        <f t="shared" si="16"/>
        <v>3122438</v>
      </c>
      <c r="O31" s="237">
        <f>SUM(O32:O37)</f>
        <v>30630124</v>
      </c>
      <c r="P31" s="238">
        <f t="shared" ref="P31:S31" si="17">SUM(P32:P37)</f>
        <v>2383904</v>
      </c>
      <c r="Q31" s="239">
        <f t="shared" si="17"/>
        <v>36852380.979999997</v>
      </c>
      <c r="R31" s="239">
        <f t="shared" si="17"/>
        <v>5745912.4900000002</v>
      </c>
      <c r="S31" s="239">
        <f t="shared" si="17"/>
        <v>2074460.95</v>
      </c>
      <c r="T31" s="239">
        <f t="shared" ref="T31:W31" si="18">SUM(T32:T37)</f>
        <v>1431456.74</v>
      </c>
      <c r="U31" s="239">
        <f t="shared" si="18"/>
        <v>740690.94</v>
      </c>
      <c r="V31" s="239">
        <f t="shared" si="18"/>
        <v>779427.89</v>
      </c>
      <c r="W31" s="240">
        <f t="shared" si="18"/>
        <v>1004561.47</v>
      </c>
      <c r="X31" s="239">
        <f t="shared" ref="X31:AB31" si="19">SUM(X32:X37)</f>
        <v>858177.7</v>
      </c>
      <c r="Y31" s="239">
        <f t="shared" si="19"/>
        <v>1148077.23</v>
      </c>
      <c r="Z31" s="239">
        <f t="shared" si="19"/>
        <v>877374.32</v>
      </c>
      <c r="AA31" s="240">
        <f t="shared" si="19"/>
        <v>698586.6399999999</v>
      </c>
      <c r="AB31" s="241">
        <f t="shared" si="19"/>
        <v>38567831</v>
      </c>
      <c r="AC31" s="241">
        <f t="shared" ref="AC31:AN31" si="20">SUM(AC32:AC37)</f>
        <v>1141413.3600000001</v>
      </c>
      <c r="AD31" s="241">
        <f t="shared" si="20"/>
        <v>2491640.62</v>
      </c>
      <c r="AE31" s="241">
        <f t="shared" si="20"/>
        <v>788570.59</v>
      </c>
      <c r="AF31" s="241">
        <f t="shared" si="20"/>
        <v>635003.37</v>
      </c>
      <c r="AG31" s="241">
        <f t="shared" si="20"/>
        <v>601975.05000000005</v>
      </c>
      <c r="AH31" s="241">
        <f t="shared" si="20"/>
        <v>561390.01</v>
      </c>
      <c r="AI31" s="241">
        <f t="shared" si="20"/>
        <v>823691.67999999993</v>
      </c>
      <c r="AJ31" s="241">
        <f t="shared" si="20"/>
        <v>530977.57000000007</v>
      </c>
      <c r="AK31" s="241">
        <f t="shared" si="20"/>
        <v>550266.51</v>
      </c>
      <c r="AL31" s="241">
        <f t="shared" si="20"/>
        <v>569290.59</v>
      </c>
      <c r="AM31" s="242">
        <f t="shared" si="20"/>
        <v>546221.64999999991</v>
      </c>
      <c r="AN31" s="243">
        <f t="shared" si="20"/>
        <v>1434873</v>
      </c>
      <c r="AO31" s="244">
        <f t="shared" ref="AO31:AY31" si="21">SUM(AO32:AO37)</f>
        <v>38044180</v>
      </c>
      <c r="AP31" s="239">
        <f t="shared" si="21"/>
        <v>2393593.5299999998</v>
      </c>
      <c r="AQ31" s="239">
        <f t="shared" si="21"/>
        <v>408197.5</v>
      </c>
      <c r="AR31" s="239">
        <f t="shared" si="21"/>
        <v>257646.02</v>
      </c>
      <c r="AS31" s="244">
        <f t="shared" si="21"/>
        <v>3022996.89</v>
      </c>
      <c r="AT31" s="244">
        <f t="shared" si="21"/>
        <v>5666354.79</v>
      </c>
      <c r="AU31" s="244">
        <f t="shared" si="21"/>
        <v>5889595.1400000006</v>
      </c>
      <c r="AV31" s="244">
        <f t="shared" si="21"/>
        <v>6139421.8899999997</v>
      </c>
      <c r="AW31" s="239">
        <f t="shared" si="21"/>
        <v>1275988.1600000001</v>
      </c>
      <c r="AX31" s="239">
        <f t="shared" si="21"/>
        <v>6623445.6799999997</v>
      </c>
      <c r="AY31" s="239">
        <f t="shared" si="21"/>
        <v>0</v>
      </c>
    </row>
    <row r="32" spans="1:51" ht="14.25">
      <c r="A32" s="15">
        <v>10.1</v>
      </c>
      <c r="B32" s="8" t="s">
        <v>36</v>
      </c>
      <c r="C32" s="10"/>
      <c r="D32" s="17">
        <v>0</v>
      </c>
      <c r="E32" s="17">
        <v>0</v>
      </c>
      <c r="F32" s="17">
        <v>0</v>
      </c>
      <c r="G32" s="17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76">
        <v>467101.2</v>
      </c>
      <c r="O32" s="209">
        <v>2502451.0265399986</v>
      </c>
      <c r="P32" s="236">
        <v>549156</v>
      </c>
      <c r="Q32" s="212">
        <v>494222.15</v>
      </c>
      <c r="R32" s="211">
        <v>800000</v>
      </c>
      <c r="S32" s="212">
        <v>802990</v>
      </c>
      <c r="T32" s="212">
        <v>396965.5</v>
      </c>
      <c r="U32" s="212">
        <v>406179.7</v>
      </c>
      <c r="V32" s="212">
        <v>415749.2</v>
      </c>
      <c r="W32" s="213">
        <v>464889.78</v>
      </c>
      <c r="X32" s="214">
        <v>503335.51</v>
      </c>
      <c r="Y32" s="214">
        <v>528088.34</v>
      </c>
      <c r="Z32" s="214">
        <v>523242.23</v>
      </c>
      <c r="AA32" s="215">
        <v>557429.31999999995</v>
      </c>
      <c r="AB32" s="209">
        <v>2305046</v>
      </c>
      <c r="AC32" s="209">
        <v>375280.93</v>
      </c>
      <c r="AD32" s="209">
        <v>2125610.77</v>
      </c>
      <c r="AE32" s="209">
        <v>312540.74</v>
      </c>
      <c r="AF32" s="209">
        <v>354574.44</v>
      </c>
      <c r="AG32" s="209">
        <v>352871.56</v>
      </c>
      <c r="AH32" s="209">
        <v>309051.76</v>
      </c>
      <c r="AI32" s="209">
        <v>313036.77</v>
      </c>
      <c r="AJ32" s="209">
        <v>278640</v>
      </c>
      <c r="AK32" s="209">
        <v>311635.18</v>
      </c>
      <c r="AL32" s="209">
        <v>330659.59999999998</v>
      </c>
      <c r="AM32" s="216">
        <v>307590.65999999997</v>
      </c>
      <c r="AN32" s="217">
        <v>0</v>
      </c>
      <c r="AO32" s="218">
        <v>2148516</v>
      </c>
      <c r="AP32" s="254">
        <v>2148516</v>
      </c>
      <c r="AQ32" s="254">
        <v>148516</v>
      </c>
      <c r="AR32" s="254">
        <v>0</v>
      </c>
      <c r="AS32">
        <v>0</v>
      </c>
      <c r="AT32">
        <v>0</v>
      </c>
      <c r="AU32" s="257">
        <v>0</v>
      </c>
      <c r="AV32" s="257">
        <v>0</v>
      </c>
      <c r="AW32" s="254">
        <v>0</v>
      </c>
      <c r="AX32" s="361">
        <v>0</v>
      </c>
      <c r="AY32" s="254"/>
    </row>
    <row r="33" spans="1:51" ht="14.25">
      <c r="A33" s="15">
        <v>10.199999999999999</v>
      </c>
      <c r="B33" s="8" t="s">
        <v>37</v>
      </c>
      <c r="C33" s="10"/>
      <c r="O33" s="209"/>
      <c r="P33" s="236">
        <v>0</v>
      </c>
      <c r="Q33" s="212">
        <v>0</v>
      </c>
      <c r="R33" s="211"/>
      <c r="S33" s="212">
        <v>0</v>
      </c>
      <c r="T33" s="212">
        <v>0</v>
      </c>
      <c r="U33" s="212">
        <v>0</v>
      </c>
      <c r="V33" s="212">
        <v>0</v>
      </c>
      <c r="W33" s="213">
        <v>0</v>
      </c>
      <c r="X33" s="214">
        <v>0</v>
      </c>
      <c r="Y33" s="214">
        <v>0</v>
      </c>
      <c r="Z33" s="214">
        <v>0</v>
      </c>
      <c r="AA33" s="215">
        <v>0</v>
      </c>
      <c r="AB33" s="209">
        <f>27065843+600000+7887856</f>
        <v>35553699</v>
      </c>
      <c r="AC33" s="209">
        <v>0</v>
      </c>
      <c r="AD33" s="209">
        <v>0</v>
      </c>
      <c r="AE33" s="209">
        <v>0</v>
      </c>
      <c r="AF33" s="209">
        <v>0</v>
      </c>
      <c r="AG33" s="209">
        <v>0</v>
      </c>
      <c r="AH33" s="209">
        <v>0</v>
      </c>
      <c r="AI33" s="209">
        <v>0</v>
      </c>
      <c r="AJ33" s="209">
        <v>0</v>
      </c>
      <c r="AK33" s="209">
        <v>0</v>
      </c>
      <c r="AL33" s="209">
        <v>0</v>
      </c>
      <c r="AM33" s="216">
        <v>0</v>
      </c>
      <c r="AN33" s="217">
        <v>0</v>
      </c>
      <c r="AO33" s="218">
        <f>24763989+600000+9096803</f>
        <v>34460792</v>
      </c>
      <c r="AP33" s="254">
        <v>0</v>
      </c>
      <c r="AQ33" s="254">
        <v>0</v>
      </c>
      <c r="AR33" s="254">
        <v>0</v>
      </c>
      <c r="AS33">
        <v>0</v>
      </c>
      <c r="AT33">
        <v>0</v>
      </c>
      <c r="AU33" s="259">
        <v>0</v>
      </c>
      <c r="AV33" s="259">
        <v>0</v>
      </c>
      <c r="AW33" s="254">
        <v>0</v>
      </c>
      <c r="AX33" s="363">
        <v>0</v>
      </c>
      <c r="AY33" s="254"/>
    </row>
    <row r="34" spans="1:51" ht="14.25">
      <c r="A34" s="15">
        <v>10.3</v>
      </c>
      <c r="B34" s="8" t="s">
        <v>38</v>
      </c>
      <c r="C34" s="10"/>
      <c r="D34" s="11">
        <v>275464.3</v>
      </c>
      <c r="E34" s="11">
        <v>274313</v>
      </c>
      <c r="F34" s="11">
        <v>274313</v>
      </c>
      <c r="G34" s="11">
        <v>548625.19999999995</v>
      </c>
      <c r="H34" s="12">
        <v>274312</v>
      </c>
      <c r="I34" s="12">
        <v>274312</v>
      </c>
      <c r="J34" s="12">
        <v>11542</v>
      </c>
      <c r="K34" s="12">
        <v>257795.20000000001</v>
      </c>
      <c r="L34" s="12">
        <v>11543.8</v>
      </c>
      <c r="M34" s="12">
        <v>266863</v>
      </c>
      <c r="N34" s="76"/>
      <c r="O34" s="209"/>
      <c r="P34" s="236">
        <v>0</v>
      </c>
      <c r="Q34" s="212">
        <v>0</v>
      </c>
      <c r="R34" s="211"/>
      <c r="S34" s="212">
        <v>0</v>
      </c>
      <c r="T34" s="212">
        <v>0</v>
      </c>
      <c r="U34" s="212">
        <v>0</v>
      </c>
      <c r="V34" s="212">
        <v>0</v>
      </c>
      <c r="W34" s="213">
        <v>0</v>
      </c>
      <c r="X34" s="214">
        <v>0</v>
      </c>
      <c r="Y34" s="214">
        <v>0</v>
      </c>
      <c r="Z34" s="214">
        <v>0</v>
      </c>
      <c r="AA34" s="215">
        <v>0</v>
      </c>
      <c r="AB34" s="209"/>
      <c r="AC34" s="209">
        <v>0</v>
      </c>
      <c r="AD34" s="209">
        <v>0</v>
      </c>
      <c r="AE34" s="209">
        <v>0</v>
      </c>
      <c r="AF34" s="209">
        <v>0</v>
      </c>
      <c r="AG34" s="209">
        <v>0</v>
      </c>
      <c r="AH34" s="209">
        <v>0</v>
      </c>
      <c r="AI34" s="209">
        <v>0</v>
      </c>
      <c r="AJ34" s="209">
        <v>0</v>
      </c>
      <c r="AK34" s="209">
        <v>0</v>
      </c>
      <c r="AL34" s="209">
        <v>0</v>
      </c>
      <c r="AM34" s="216">
        <v>0</v>
      </c>
      <c r="AN34" s="217">
        <v>0</v>
      </c>
      <c r="AO34" s="218"/>
      <c r="AP34" s="254">
        <v>0</v>
      </c>
      <c r="AQ34" s="254">
        <v>0</v>
      </c>
      <c r="AR34" s="254">
        <v>0</v>
      </c>
      <c r="AS34">
        <v>0</v>
      </c>
      <c r="AT34">
        <v>0</v>
      </c>
      <c r="AU34" s="259">
        <v>0</v>
      </c>
      <c r="AV34" s="259">
        <v>0</v>
      </c>
      <c r="AW34" s="254">
        <v>0</v>
      </c>
      <c r="AX34" s="363">
        <v>0</v>
      </c>
      <c r="AY34" s="254"/>
    </row>
    <row r="35" spans="1:51" ht="14.25">
      <c r="A35" s="15">
        <v>10.4</v>
      </c>
      <c r="B35" s="8" t="s">
        <v>39</v>
      </c>
      <c r="C35" s="10"/>
      <c r="D35" s="11">
        <v>2863646.79</v>
      </c>
      <c r="E35" s="11">
        <v>1475483</v>
      </c>
      <c r="F35" s="11">
        <v>13295379.800000001</v>
      </c>
      <c r="G35" s="11">
        <v>16572460.789999999</v>
      </c>
      <c r="H35" s="12">
        <v>1423456.26</v>
      </c>
      <c r="I35" s="12">
        <v>0</v>
      </c>
      <c r="J35" s="12">
        <v>1163870.8899999999</v>
      </c>
      <c r="K35" s="12">
        <v>4596806.5</v>
      </c>
      <c r="L35" s="12">
        <v>1524903.01</v>
      </c>
      <c r="M35" s="12">
        <v>2617691.5299999998</v>
      </c>
      <c r="N35" s="76">
        <v>262084.4</v>
      </c>
      <c r="O35" s="209"/>
      <c r="P35" s="236">
        <v>255229</v>
      </c>
      <c r="Q35" s="212">
        <v>483752.93</v>
      </c>
      <c r="R35" s="211">
        <v>243586.49</v>
      </c>
      <c r="S35" s="212">
        <v>243586</v>
      </c>
      <c r="T35" s="212">
        <v>226636.29</v>
      </c>
      <c r="U35" s="212">
        <v>226636.29</v>
      </c>
      <c r="V35" s="212">
        <v>239291.69</v>
      </c>
      <c r="W35" s="213">
        <v>239291.69</v>
      </c>
      <c r="X35" s="214">
        <v>234842.19</v>
      </c>
      <c r="Y35" s="214">
        <v>484988.89</v>
      </c>
      <c r="Z35" s="214">
        <v>226132.09</v>
      </c>
      <c r="AA35" s="215">
        <v>6388.19</v>
      </c>
      <c r="AB35" s="209"/>
      <c r="AC35" s="209">
        <v>264829.84999999998</v>
      </c>
      <c r="AD35" s="209">
        <v>264829.84999999998</v>
      </c>
      <c r="AE35" s="209">
        <v>264829.84999999998</v>
      </c>
      <c r="AF35" s="209">
        <v>280428.93</v>
      </c>
      <c r="AG35" s="209">
        <v>249103.49</v>
      </c>
      <c r="AH35" s="209">
        <v>252338.25</v>
      </c>
      <c r="AI35" s="209">
        <v>510654.91</v>
      </c>
      <c r="AJ35" s="209">
        <v>252337.57</v>
      </c>
      <c r="AK35" s="209">
        <v>238631.33</v>
      </c>
      <c r="AL35" s="209">
        <v>238630.99</v>
      </c>
      <c r="AM35" s="216">
        <v>238630.99</v>
      </c>
      <c r="AN35" s="217">
        <v>0</v>
      </c>
      <c r="AO35" s="218"/>
      <c r="AP35" s="254">
        <v>245077.53</v>
      </c>
      <c r="AQ35" s="254">
        <v>259681.5</v>
      </c>
      <c r="AR35" s="254">
        <v>257646.02</v>
      </c>
      <c r="AS35" s="256">
        <v>259681.5</v>
      </c>
      <c r="AT35" s="256">
        <v>259681.5</v>
      </c>
      <c r="AU35" s="260">
        <v>263144.7</v>
      </c>
      <c r="AV35" s="260">
        <v>259681.5</v>
      </c>
      <c r="AW35" s="254">
        <v>259681.5</v>
      </c>
      <c r="AX35" s="364">
        <v>259681.5</v>
      </c>
      <c r="AY35" s="254"/>
    </row>
    <row r="36" spans="1:51" ht="21" customHeight="1">
      <c r="A36" s="15">
        <v>10.5</v>
      </c>
      <c r="B36" s="8" t="s">
        <v>40</v>
      </c>
      <c r="C36" s="10"/>
      <c r="D36" s="11">
        <v>0</v>
      </c>
      <c r="E36" s="11">
        <v>0</v>
      </c>
      <c r="F36" s="11">
        <v>0</v>
      </c>
      <c r="G36" s="11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76">
        <v>2393252.4</v>
      </c>
      <c r="O36" s="209">
        <v>28127672.97346</v>
      </c>
      <c r="P36" s="236">
        <v>1579519</v>
      </c>
      <c r="Q36" s="212">
        <v>35874405.899999999</v>
      </c>
      <c r="R36" s="211">
        <v>4702326</v>
      </c>
      <c r="S36" s="212">
        <v>1027884.95</v>
      </c>
      <c r="T36" s="212">
        <v>807854.95</v>
      </c>
      <c r="U36" s="212">
        <v>107874.95</v>
      </c>
      <c r="V36" s="212">
        <v>124387</v>
      </c>
      <c r="W36" s="213">
        <v>300380</v>
      </c>
      <c r="X36" s="214">
        <v>120000</v>
      </c>
      <c r="Y36" s="214">
        <v>135000</v>
      </c>
      <c r="Z36" s="214">
        <v>128000</v>
      </c>
      <c r="AA36" s="215">
        <v>134769.13</v>
      </c>
      <c r="AB36" s="245">
        <f>709086</f>
        <v>709086</v>
      </c>
      <c r="AC36" s="209">
        <v>501302.58</v>
      </c>
      <c r="AD36" s="209">
        <v>101200</v>
      </c>
      <c r="AE36" s="209">
        <v>211200</v>
      </c>
      <c r="AF36" s="209">
        <v>0</v>
      </c>
      <c r="AG36" s="209">
        <v>0</v>
      </c>
      <c r="AH36" s="209">
        <v>0</v>
      </c>
      <c r="AI36" s="209">
        <v>0</v>
      </c>
      <c r="AJ36" s="209">
        <v>0</v>
      </c>
      <c r="AK36" s="209">
        <v>0</v>
      </c>
      <c r="AL36" s="209">
        <v>0</v>
      </c>
      <c r="AM36" s="216">
        <v>0</v>
      </c>
      <c r="AN36" s="217">
        <v>1434873</v>
      </c>
      <c r="AO36" s="218">
        <v>1434872</v>
      </c>
      <c r="AP36" s="254">
        <v>0</v>
      </c>
      <c r="AQ36" s="254">
        <v>0</v>
      </c>
      <c r="AR36" s="254">
        <v>0</v>
      </c>
      <c r="AS36" s="256">
        <v>2763315.39</v>
      </c>
      <c r="AT36" s="256">
        <v>5406673.29</v>
      </c>
      <c r="AU36" s="260">
        <v>5626450.4400000004</v>
      </c>
      <c r="AV36" s="260">
        <v>5879740.3899999997</v>
      </c>
      <c r="AW36" s="254">
        <v>1016306.66</v>
      </c>
      <c r="AX36" s="364">
        <v>6363764.1799999997</v>
      </c>
      <c r="AY36" s="254"/>
    </row>
    <row r="37" spans="1:51" ht="14.25">
      <c r="A37" s="15">
        <v>10.6</v>
      </c>
      <c r="B37" s="8" t="s">
        <v>41</v>
      </c>
      <c r="C37" s="10"/>
      <c r="D37" s="11"/>
      <c r="E37" s="11"/>
      <c r="F37" s="11"/>
      <c r="G37" s="11"/>
      <c r="H37" s="12"/>
      <c r="I37" s="12"/>
      <c r="J37" s="12"/>
      <c r="K37" s="12"/>
      <c r="L37" s="12"/>
      <c r="M37" s="12"/>
      <c r="N37" s="76"/>
      <c r="O37" s="209"/>
      <c r="P37" s="236">
        <v>0</v>
      </c>
      <c r="Q37" s="212">
        <v>0</v>
      </c>
      <c r="R37" s="211"/>
      <c r="S37" s="212">
        <v>0</v>
      </c>
      <c r="T37" s="212">
        <v>0</v>
      </c>
      <c r="U37" s="212">
        <v>0</v>
      </c>
      <c r="V37" s="212">
        <v>0</v>
      </c>
      <c r="W37" s="213">
        <v>0</v>
      </c>
      <c r="X37" s="214">
        <v>0</v>
      </c>
      <c r="Y37" s="214">
        <v>0</v>
      </c>
      <c r="Z37" s="214">
        <v>0</v>
      </c>
      <c r="AA37" s="215">
        <v>0</v>
      </c>
      <c r="AB37" s="209"/>
      <c r="AC37" s="209">
        <v>0</v>
      </c>
      <c r="AD37" s="209">
        <v>0</v>
      </c>
      <c r="AE37" s="209">
        <v>0</v>
      </c>
      <c r="AF37" s="209">
        <v>0</v>
      </c>
      <c r="AG37" s="209">
        <v>0</v>
      </c>
      <c r="AH37" s="209">
        <v>0</v>
      </c>
      <c r="AI37" s="209">
        <v>0</v>
      </c>
      <c r="AJ37" s="209">
        <v>0</v>
      </c>
      <c r="AK37" s="209">
        <v>0</v>
      </c>
      <c r="AL37" s="209">
        <v>0</v>
      </c>
      <c r="AM37" s="216">
        <v>0</v>
      </c>
      <c r="AN37" s="217">
        <v>0</v>
      </c>
      <c r="AO37" s="218"/>
      <c r="AP37" s="254">
        <v>0</v>
      </c>
      <c r="AQ37" s="254">
        <v>0</v>
      </c>
      <c r="AR37" s="254">
        <v>0</v>
      </c>
      <c r="AS37">
        <v>0</v>
      </c>
      <c r="AT37">
        <v>0</v>
      </c>
      <c r="AU37" s="259">
        <v>0</v>
      </c>
      <c r="AV37" s="259">
        <v>0</v>
      </c>
      <c r="AW37" s="254">
        <v>0</v>
      </c>
      <c r="AX37" s="363">
        <v>0</v>
      </c>
      <c r="AY37" s="254"/>
    </row>
    <row r="38" spans="1:51">
      <c r="A38" s="15"/>
      <c r="B38" s="13" t="s">
        <v>42</v>
      </c>
      <c r="C38" s="14">
        <f t="shared" ref="C38:AY38" si="22">C30+C31</f>
        <v>0</v>
      </c>
      <c r="D38" s="14">
        <f t="shared" si="22"/>
        <v>405785556.12999994</v>
      </c>
      <c r="E38" s="14">
        <f t="shared" si="22"/>
        <v>413937402.71999997</v>
      </c>
      <c r="F38" s="14">
        <f t="shared" si="22"/>
        <v>446834619.80000001</v>
      </c>
      <c r="G38" s="14">
        <f t="shared" si="22"/>
        <v>460883208.19</v>
      </c>
      <c r="H38" s="14">
        <f t="shared" si="22"/>
        <v>455950279.28999996</v>
      </c>
      <c r="I38" s="14">
        <f t="shared" si="22"/>
        <v>455514210.27999997</v>
      </c>
      <c r="J38" s="14">
        <f t="shared" si="22"/>
        <v>477948513.82999998</v>
      </c>
      <c r="K38" s="14">
        <f t="shared" si="22"/>
        <v>481826802.27999997</v>
      </c>
      <c r="L38" s="14">
        <f t="shared" si="22"/>
        <v>504357797.92000002</v>
      </c>
      <c r="M38" s="14">
        <f t="shared" si="22"/>
        <v>508159145.38999999</v>
      </c>
      <c r="N38" s="77">
        <f t="shared" si="22"/>
        <v>469184028.15999997</v>
      </c>
      <c r="O38" s="228">
        <f>O30+O31</f>
        <v>488036891.90999997</v>
      </c>
      <c r="P38" s="229">
        <f t="shared" ref="P38:R38" si="23">P30+P31</f>
        <v>451148824</v>
      </c>
      <c r="Q38" s="230">
        <f t="shared" si="23"/>
        <v>501713140.51999998</v>
      </c>
      <c r="R38" s="230">
        <f t="shared" si="23"/>
        <v>489423407.28999996</v>
      </c>
      <c r="S38" s="230">
        <f t="shared" si="22"/>
        <v>491953558.86999995</v>
      </c>
      <c r="T38" s="230">
        <f t="shared" si="22"/>
        <v>494967391.34000003</v>
      </c>
      <c r="U38" s="230">
        <f t="shared" si="22"/>
        <v>492794865.73999995</v>
      </c>
      <c r="V38" s="230">
        <f t="shared" si="22"/>
        <v>483808351.49000001</v>
      </c>
      <c r="W38" s="231">
        <f t="shared" si="22"/>
        <v>488214396.35000002</v>
      </c>
      <c r="X38" s="230">
        <f t="shared" si="22"/>
        <v>507645907.69999999</v>
      </c>
      <c r="Y38" s="230">
        <f t="shared" si="22"/>
        <v>499369622.31</v>
      </c>
      <c r="Z38" s="230">
        <f t="shared" si="22"/>
        <v>508875115.01999998</v>
      </c>
      <c r="AA38" s="231">
        <f t="shared" si="22"/>
        <v>508216040.82999998</v>
      </c>
      <c r="AB38" s="232">
        <f t="shared" si="22"/>
        <v>548583954</v>
      </c>
      <c r="AC38" s="232">
        <f t="shared" si="22"/>
        <v>516423003.96000004</v>
      </c>
      <c r="AD38" s="232">
        <f t="shared" si="22"/>
        <v>545655881.22000003</v>
      </c>
      <c r="AE38" s="232">
        <f t="shared" si="22"/>
        <v>537976368.19000006</v>
      </c>
      <c r="AF38" s="232">
        <f t="shared" si="22"/>
        <v>547032479.07000005</v>
      </c>
      <c r="AG38" s="232">
        <f t="shared" si="22"/>
        <v>549242223.44999993</v>
      </c>
      <c r="AH38" s="232">
        <f t="shared" si="22"/>
        <v>540070355.40999997</v>
      </c>
      <c r="AI38" s="232">
        <f t="shared" si="22"/>
        <v>533858197.18000001</v>
      </c>
      <c r="AJ38" s="232">
        <f t="shared" si="22"/>
        <v>524835914.97000003</v>
      </c>
      <c r="AK38" s="232">
        <f t="shared" si="22"/>
        <v>517746470.10999995</v>
      </c>
      <c r="AL38" s="232">
        <f t="shared" si="22"/>
        <v>508841507.61999995</v>
      </c>
      <c r="AM38" s="233">
        <f t="shared" si="22"/>
        <v>533772001.54999995</v>
      </c>
      <c r="AN38" s="234">
        <f t="shared" si="22"/>
        <v>537594090.29999995</v>
      </c>
      <c r="AO38" s="235">
        <f t="shared" si="22"/>
        <v>574203397</v>
      </c>
      <c r="AP38" s="230">
        <f t="shared" si="22"/>
        <v>543883960.23000002</v>
      </c>
      <c r="AQ38" s="230">
        <f t="shared" si="22"/>
        <v>566481198.26999998</v>
      </c>
      <c r="AR38" s="230">
        <f t="shared" si="22"/>
        <v>572279210.04999995</v>
      </c>
      <c r="AS38" s="235">
        <f t="shared" si="22"/>
        <v>571551350.36000001</v>
      </c>
      <c r="AT38" s="235">
        <f t="shared" si="22"/>
        <v>563739147.8599999</v>
      </c>
      <c r="AU38" s="235">
        <f t="shared" si="22"/>
        <v>569817093.93999994</v>
      </c>
      <c r="AV38" s="235">
        <f t="shared" si="22"/>
        <v>566724939.05999994</v>
      </c>
      <c r="AW38" s="230">
        <f t="shared" si="22"/>
        <v>571258341.19999993</v>
      </c>
      <c r="AX38" s="230">
        <f t="shared" si="22"/>
        <v>570585013.37</v>
      </c>
      <c r="AY38" s="230">
        <f t="shared" si="22"/>
        <v>0</v>
      </c>
    </row>
    <row r="39" spans="1:51" ht="14.25">
      <c r="A39" s="15">
        <v>11</v>
      </c>
      <c r="B39" s="8" t="s">
        <v>43</v>
      </c>
      <c r="C39" s="10"/>
      <c r="D39" s="18">
        <v>68778693.920000002</v>
      </c>
      <c r="E39" s="18">
        <v>69235162.769999996</v>
      </c>
      <c r="F39" s="18">
        <v>36509431</v>
      </c>
      <c r="G39" s="18">
        <v>37574872.740000002</v>
      </c>
      <c r="H39" s="12">
        <v>44323527.460000001</v>
      </c>
      <c r="I39" s="12">
        <v>41789787.149999999</v>
      </c>
      <c r="J39" s="12">
        <v>40727168.789999999</v>
      </c>
      <c r="K39" s="12">
        <v>44073271.659999996</v>
      </c>
      <c r="L39" s="12">
        <v>49668586.740000002</v>
      </c>
      <c r="M39" s="12">
        <v>54774835.590000004</v>
      </c>
      <c r="N39" s="76">
        <v>65584942.700000003</v>
      </c>
      <c r="O39" s="209">
        <v>65584842.700000003</v>
      </c>
      <c r="P39" s="236">
        <v>66350370</v>
      </c>
      <c r="Q39" s="212">
        <v>66925037.329999998</v>
      </c>
      <c r="R39" s="211">
        <v>67030633.68</v>
      </c>
      <c r="S39" s="212">
        <v>68143328.680000007</v>
      </c>
      <c r="T39" s="212">
        <v>68697839.079999998</v>
      </c>
      <c r="U39" s="212">
        <v>69091044.650000006</v>
      </c>
      <c r="V39" s="212">
        <v>75685742.700000003</v>
      </c>
      <c r="W39" s="213">
        <v>76189012.530000001</v>
      </c>
      <c r="X39" s="214">
        <v>76696722.790000007</v>
      </c>
      <c r="Y39" s="214">
        <v>77230444.700000003</v>
      </c>
      <c r="Z39" s="214">
        <v>77733989.599999994</v>
      </c>
      <c r="AA39" s="215">
        <v>84253469.079999998</v>
      </c>
      <c r="AB39" s="209">
        <v>84252269</v>
      </c>
      <c r="AC39" s="209">
        <v>84883829.340000004</v>
      </c>
      <c r="AD39" s="209">
        <v>85017696.519999996</v>
      </c>
      <c r="AE39" s="209">
        <v>86737789</v>
      </c>
      <c r="AF39" s="209">
        <v>87494451.810000002</v>
      </c>
      <c r="AG39" s="209">
        <v>88104856.189999998</v>
      </c>
      <c r="AH39" s="209">
        <v>93598607.099999994</v>
      </c>
      <c r="AI39" s="209">
        <v>93598607.099999994</v>
      </c>
      <c r="AJ39" s="209">
        <v>94290447.129999995</v>
      </c>
      <c r="AK39" s="209">
        <v>94398722.230000004</v>
      </c>
      <c r="AL39" s="209">
        <v>94521109.689999998</v>
      </c>
      <c r="AM39" s="216">
        <v>96434299.209999993</v>
      </c>
      <c r="AN39" s="217">
        <v>102243742</v>
      </c>
      <c r="AO39" s="218">
        <v>102243742</v>
      </c>
      <c r="AP39" s="254">
        <v>103610152</v>
      </c>
      <c r="AQ39" s="254">
        <v>103681691.94</v>
      </c>
      <c r="AR39" s="254">
        <v>104784020.20999999</v>
      </c>
      <c r="AS39" s="256">
        <v>106259466.51000001</v>
      </c>
      <c r="AT39" s="256">
        <v>107399135.63</v>
      </c>
      <c r="AU39" s="258">
        <v>108151870.27</v>
      </c>
      <c r="AV39" s="258">
        <v>108873465.20999999</v>
      </c>
      <c r="AW39" s="254">
        <v>109764764.31</v>
      </c>
      <c r="AX39" s="362">
        <v>110486373.59999999</v>
      </c>
      <c r="AY39" s="254"/>
    </row>
    <row r="40" spans="1:51" ht="14.25">
      <c r="A40" s="15">
        <v>12</v>
      </c>
      <c r="B40" s="8" t="s">
        <v>44</v>
      </c>
      <c r="C40" s="10"/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80">
        <v>0</v>
      </c>
      <c r="O40" s="246">
        <v>0</v>
      </c>
      <c r="P40" s="236">
        <v>0</v>
      </c>
      <c r="Q40" s="212">
        <v>0</v>
      </c>
      <c r="R40" s="211"/>
      <c r="S40" s="212">
        <v>0</v>
      </c>
      <c r="T40" s="212">
        <v>0</v>
      </c>
      <c r="U40" s="212">
        <v>0</v>
      </c>
      <c r="V40" s="212">
        <v>0</v>
      </c>
      <c r="W40" s="213">
        <v>0</v>
      </c>
      <c r="X40" s="214">
        <v>0</v>
      </c>
      <c r="Y40" s="214">
        <v>0</v>
      </c>
      <c r="Z40" s="214">
        <v>0</v>
      </c>
      <c r="AA40" s="215">
        <v>0</v>
      </c>
      <c r="AB40" s="209"/>
      <c r="AC40" s="209">
        <v>0</v>
      </c>
      <c r="AD40" s="209">
        <v>0</v>
      </c>
      <c r="AE40" s="209">
        <v>0</v>
      </c>
      <c r="AF40" s="209">
        <v>0</v>
      </c>
      <c r="AG40" s="209">
        <v>0</v>
      </c>
      <c r="AH40" s="209">
        <v>0</v>
      </c>
      <c r="AI40" s="209">
        <v>0</v>
      </c>
      <c r="AJ40" s="209">
        <v>0</v>
      </c>
      <c r="AK40" s="209">
        <v>0</v>
      </c>
      <c r="AL40" s="209">
        <v>0</v>
      </c>
      <c r="AM40" s="216">
        <v>0</v>
      </c>
      <c r="AN40" s="217">
        <v>0</v>
      </c>
      <c r="AO40" s="218">
        <v>0</v>
      </c>
      <c r="AP40" s="254">
        <v>0</v>
      </c>
      <c r="AQ40" s="254">
        <v>0</v>
      </c>
      <c r="AR40" s="254">
        <v>0</v>
      </c>
      <c r="AS40">
        <v>0</v>
      </c>
      <c r="AT40">
        <v>0</v>
      </c>
      <c r="AU40" s="259">
        <v>0</v>
      </c>
      <c r="AV40" s="259">
        <v>0</v>
      </c>
      <c r="AW40" s="254">
        <v>0</v>
      </c>
      <c r="AX40" s="363">
        <v>0</v>
      </c>
      <c r="AY40" s="254"/>
    </row>
    <row r="41" spans="1:51">
      <c r="A41" s="15">
        <v>13</v>
      </c>
      <c r="B41" s="13" t="s">
        <v>45</v>
      </c>
      <c r="C41" s="9">
        <f t="shared" ref="C41:AY41" si="24">SUM(C42+C43)</f>
        <v>0</v>
      </c>
      <c r="D41" s="9">
        <f t="shared" si="24"/>
        <v>14810760</v>
      </c>
      <c r="E41" s="9">
        <f t="shared" si="24"/>
        <v>14810760</v>
      </c>
      <c r="F41" s="9">
        <f t="shared" si="24"/>
        <v>14810760</v>
      </c>
      <c r="G41" s="9">
        <f t="shared" si="24"/>
        <v>14810760</v>
      </c>
      <c r="H41" s="9">
        <f t="shared" si="24"/>
        <v>18119348</v>
      </c>
      <c r="I41" s="9">
        <f t="shared" si="24"/>
        <v>18119348</v>
      </c>
      <c r="J41" s="9">
        <f t="shared" si="24"/>
        <v>18119348</v>
      </c>
      <c r="K41" s="9">
        <f t="shared" si="24"/>
        <v>18119348</v>
      </c>
      <c r="L41" s="9">
        <f t="shared" si="24"/>
        <v>18119348</v>
      </c>
      <c r="M41" s="9">
        <f t="shared" si="24"/>
        <v>18119348</v>
      </c>
      <c r="N41" s="81">
        <f t="shared" si="24"/>
        <v>80614969.900000006</v>
      </c>
      <c r="O41" s="9">
        <f t="shared" si="24"/>
        <v>40458753</v>
      </c>
      <c r="P41" s="247">
        <f t="shared" si="24"/>
        <v>77797721</v>
      </c>
      <c r="Q41" s="202">
        <f t="shared" si="24"/>
        <v>44041693.719999999</v>
      </c>
      <c r="R41" s="202">
        <f t="shared" si="24"/>
        <v>48542963</v>
      </c>
      <c r="S41" s="202">
        <f t="shared" si="24"/>
        <v>52732943</v>
      </c>
      <c r="T41" s="202">
        <f t="shared" si="24"/>
        <v>55666463.299999997</v>
      </c>
      <c r="U41" s="202">
        <f t="shared" si="24"/>
        <v>58597779.700000003</v>
      </c>
      <c r="V41" s="202">
        <f t="shared" si="24"/>
        <v>62002900.399999999</v>
      </c>
      <c r="W41" s="248">
        <f t="shared" si="24"/>
        <v>64041851.100000001</v>
      </c>
      <c r="X41" s="202">
        <f t="shared" si="24"/>
        <v>69535016.900000006</v>
      </c>
      <c r="Y41" s="202">
        <f t="shared" si="24"/>
        <v>74798590.900000006</v>
      </c>
      <c r="Z41" s="202">
        <f t="shared" si="24"/>
        <v>81077059.5</v>
      </c>
      <c r="AA41" s="248">
        <f t="shared" si="24"/>
        <v>89512023.799999997</v>
      </c>
      <c r="AB41" s="93">
        <f t="shared" si="24"/>
        <v>43499943</v>
      </c>
      <c r="AC41" s="93">
        <f t="shared" si="24"/>
        <v>85604234.539999992</v>
      </c>
      <c r="AD41" s="93">
        <f t="shared" si="24"/>
        <v>47822349.200000003</v>
      </c>
      <c r="AE41" s="93">
        <f t="shared" si="24"/>
        <v>49672410</v>
      </c>
      <c r="AF41" s="93">
        <f t="shared" si="24"/>
        <v>46513248.799999997</v>
      </c>
      <c r="AG41" s="93">
        <f t="shared" si="24"/>
        <v>47509689.399999999</v>
      </c>
      <c r="AH41" s="93">
        <f t="shared" si="24"/>
        <v>47960647.200000003</v>
      </c>
      <c r="AI41" s="93">
        <f t="shared" si="24"/>
        <v>48666049</v>
      </c>
      <c r="AJ41" s="93">
        <f t="shared" si="24"/>
        <v>47617665.200000003</v>
      </c>
      <c r="AK41" s="93">
        <f t="shared" si="24"/>
        <v>48988508.700000003</v>
      </c>
      <c r="AL41" s="93">
        <f t="shared" si="24"/>
        <v>61421093.399999999</v>
      </c>
      <c r="AM41" s="93">
        <f t="shared" si="24"/>
        <v>73779931.640000001</v>
      </c>
      <c r="AN41" s="205">
        <f t="shared" si="24"/>
        <v>86220749.039999992</v>
      </c>
      <c r="AO41" s="202">
        <f t="shared" si="24"/>
        <v>48021912</v>
      </c>
      <c r="AP41" s="202">
        <f t="shared" si="24"/>
        <v>50017385.899999999</v>
      </c>
      <c r="AQ41" s="202">
        <f t="shared" si="24"/>
        <v>52957695.200000003</v>
      </c>
      <c r="AR41" s="202">
        <f t="shared" si="24"/>
        <v>53885223.799999997</v>
      </c>
      <c r="AS41" s="202">
        <f t="shared" si="24"/>
        <v>54645024</v>
      </c>
      <c r="AT41" s="202">
        <f t="shared" si="24"/>
        <v>56566109.200000003</v>
      </c>
      <c r="AU41" s="202">
        <f t="shared" si="24"/>
        <v>60426877.5</v>
      </c>
      <c r="AV41" s="202">
        <f t="shared" si="24"/>
        <v>65571545</v>
      </c>
      <c r="AW41" s="202">
        <f t="shared" si="24"/>
        <v>66907720.600000001</v>
      </c>
      <c r="AX41" s="202">
        <f t="shared" si="24"/>
        <v>76419617.799999997</v>
      </c>
      <c r="AY41" s="202">
        <f t="shared" si="24"/>
        <v>0</v>
      </c>
    </row>
    <row r="42" spans="1:51" ht="14.25">
      <c r="A42" s="15">
        <v>13.1</v>
      </c>
      <c r="B42" s="8" t="s">
        <v>46</v>
      </c>
      <c r="C42" s="10"/>
      <c r="D42" s="9">
        <v>14810760</v>
      </c>
      <c r="E42" s="9">
        <v>14810760</v>
      </c>
      <c r="F42" s="9">
        <v>14810760</v>
      </c>
      <c r="G42" s="9">
        <v>14810760</v>
      </c>
      <c r="H42" s="9">
        <v>18119348</v>
      </c>
      <c r="I42" s="9">
        <v>18119348</v>
      </c>
      <c r="J42" s="9">
        <v>18119348</v>
      </c>
      <c r="K42" s="9">
        <v>18119348</v>
      </c>
      <c r="L42" s="9">
        <v>18119348</v>
      </c>
      <c r="M42" s="9">
        <v>18119348</v>
      </c>
      <c r="N42" s="81">
        <v>34136157</v>
      </c>
      <c r="O42" s="209">
        <v>34136157</v>
      </c>
      <c r="P42" s="236">
        <v>75103944</v>
      </c>
      <c r="Q42" s="212">
        <v>40458753</v>
      </c>
      <c r="R42" s="211">
        <v>40458753</v>
      </c>
      <c r="S42" s="212">
        <v>40458753</v>
      </c>
      <c r="T42" s="212">
        <v>40458753</v>
      </c>
      <c r="U42" s="212">
        <v>40458753</v>
      </c>
      <c r="V42" s="212">
        <v>40458753</v>
      </c>
      <c r="W42" s="213">
        <v>40458753</v>
      </c>
      <c r="X42" s="214">
        <v>40458753</v>
      </c>
      <c r="Y42" s="214">
        <v>40458753</v>
      </c>
      <c r="Z42" s="214">
        <v>40458753</v>
      </c>
      <c r="AA42" s="215">
        <v>40458753</v>
      </c>
      <c r="AB42" s="209">
        <v>40458752</v>
      </c>
      <c r="AC42" s="209">
        <v>84249919.939999998</v>
      </c>
      <c r="AD42" s="209">
        <v>43499944</v>
      </c>
      <c r="AE42" s="209">
        <v>43499944</v>
      </c>
      <c r="AF42" s="209">
        <v>43499944</v>
      </c>
      <c r="AG42" s="209">
        <v>43499944</v>
      </c>
      <c r="AH42" s="209">
        <v>43499944</v>
      </c>
      <c r="AI42" s="209">
        <v>43499944</v>
      </c>
      <c r="AJ42" s="209">
        <v>43499944</v>
      </c>
      <c r="AK42" s="209">
        <v>43499944</v>
      </c>
      <c r="AL42" s="209">
        <v>43499944</v>
      </c>
      <c r="AM42" s="216">
        <v>43499944</v>
      </c>
      <c r="AN42" s="217">
        <v>43499943</v>
      </c>
      <c r="AO42" s="218">
        <v>43499943</v>
      </c>
      <c r="AP42" s="254">
        <v>48021913</v>
      </c>
      <c r="AQ42" s="254">
        <v>48021914</v>
      </c>
      <c r="AR42" s="254">
        <v>48021914</v>
      </c>
      <c r="AS42" s="256">
        <v>48021914</v>
      </c>
      <c r="AT42" s="256">
        <v>48021914</v>
      </c>
      <c r="AU42" s="258">
        <v>48021914</v>
      </c>
      <c r="AV42" s="258">
        <v>48021914</v>
      </c>
      <c r="AW42" s="254">
        <v>48021914</v>
      </c>
      <c r="AX42" s="362">
        <v>48021914</v>
      </c>
      <c r="AY42" s="254"/>
    </row>
    <row r="43" spans="1:51" ht="14.25">
      <c r="A43" s="15">
        <v>13.2</v>
      </c>
      <c r="B43" s="8" t="s">
        <v>47</v>
      </c>
      <c r="C43" s="10"/>
      <c r="D43" s="11">
        <v>0</v>
      </c>
      <c r="E43" s="11">
        <v>0</v>
      </c>
      <c r="F43" s="11">
        <v>0</v>
      </c>
      <c r="G43" s="11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76">
        <v>46478812.899999999</v>
      </c>
      <c r="O43" s="209">
        <v>6322596</v>
      </c>
      <c r="P43" s="236">
        <v>2693777</v>
      </c>
      <c r="Q43" s="212">
        <v>3582940.72</v>
      </c>
      <c r="R43" s="211">
        <v>8084210</v>
      </c>
      <c r="S43" s="212">
        <v>12274190</v>
      </c>
      <c r="T43" s="212">
        <v>15207710.300000001</v>
      </c>
      <c r="U43" s="212">
        <v>18139026.699999999</v>
      </c>
      <c r="V43" s="212">
        <v>21544147.399999999</v>
      </c>
      <c r="W43" s="213">
        <v>23583098.100000001</v>
      </c>
      <c r="X43" s="214">
        <v>29076263.899999999</v>
      </c>
      <c r="Y43" s="214">
        <v>34339837.899999999</v>
      </c>
      <c r="Z43" s="214">
        <v>40618306.5</v>
      </c>
      <c r="AA43" s="215">
        <v>49053270.799999997</v>
      </c>
      <c r="AB43" s="209">
        <v>3041191</v>
      </c>
      <c r="AC43" s="209">
        <v>1354314.6</v>
      </c>
      <c r="AD43" s="209">
        <v>4322405.2</v>
      </c>
      <c r="AE43" s="209">
        <v>6172466</v>
      </c>
      <c r="AF43" s="209">
        <v>3013304.8</v>
      </c>
      <c r="AG43" s="209">
        <v>4009745.4</v>
      </c>
      <c r="AH43" s="209">
        <v>4460703.2</v>
      </c>
      <c r="AI43" s="209">
        <v>5166105</v>
      </c>
      <c r="AJ43" s="209">
        <v>4117721.2</v>
      </c>
      <c r="AK43" s="209">
        <v>5488564.7000000002</v>
      </c>
      <c r="AL43" s="209">
        <v>17921149.399999999</v>
      </c>
      <c r="AM43" s="216">
        <v>30279987.640000001</v>
      </c>
      <c r="AN43" s="217">
        <v>42720806.039999999</v>
      </c>
      <c r="AO43" s="218">
        <f>17773464-3554693-9096802-600000</f>
        <v>4521969</v>
      </c>
      <c r="AP43" s="254">
        <v>1995472.9</v>
      </c>
      <c r="AQ43" s="254">
        <v>4935781.2</v>
      </c>
      <c r="AR43" s="254">
        <v>5863309.7999999998</v>
      </c>
      <c r="AS43" s="256">
        <v>6623110</v>
      </c>
      <c r="AT43" s="256">
        <v>8544195.1999999993</v>
      </c>
      <c r="AU43" s="260">
        <v>12404963.5</v>
      </c>
      <c r="AV43" s="260">
        <v>17549631</v>
      </c>
      <c r="AW43" s="254">
        <v>18885806.600000001</v>
      </c>
      <c r="AX43" s="364">
        <v>28397703.800000001</v>
      </c>
      <c r="AY43" s="254"/>
    </row>
    <row r="44" spans="1:51">
      <c r="A44" s="15">
        <v>14</v>
      </c>
      <c r="B44" s="13" t="s">
        <v>48</v>
      </c>
      <c r="C44" s="19">
        <f t="shared" ref="C44:N44" si="25">SUM(C45:C49)</f>
        <v>0</v>
      </c>
      <c r="D44" s="19">
        <f t="shared" si="25"/>
        <v>141477233.25999999</v>
      </c>
      <c r="E44" s="19">
        <f t="shared" si="25"/>
        <v>142523558.44</v>
      </c>
      <c r="F44" s="19">
        <f t="shared" si="25"/>
        <v>110211500</v>
      </c>
      <c r="G44" s="19">
        <f t="shared" si="25"/>
        <v>111789850.93000001</v>
      </c>
      <c r="H44" s="19">
        <f t="shared" si="25"/>
        <v>123957678.45999999</v>
      </c>
      <c r="I44" s="19">
        <f t="shared" si="25"/>
        <v>121497102.15000001</v>
      </c>
      <c r="J44" s="19">
        <f t="shared" si="25"/>
        <v>122195608.39</v>
      </c>
      <c r="K44" s="19">
        <f t="shared" si="25"/>
        <v>126107292.98999999</v>
      </c>
      <c r="L44" s="19">
        <f t="shared" si="25"/>
        <v>132218696.73999999</v>
      </c>
      <c r="M44" s="19">
        <f t="shared" si="25"/>
        <v>137324945.59</v>
      </c>
      <c r="N44" s="82">
        <f t="shared" si="25"/>
        <v>18119348</v>
      </c>
      <c r="O44" s="19">
        <f>SUM(O45:O49)</f>
        <v>21388960.638192002</v>
      </c>
      <c r="P44" s="249">
        <f t="shared" ref="P44:R44" si="26">SUM(P45:P49)</f>
        <v>18119348</v>
      </c>
      <c r="Q44" s="203">
        <f t="shared" si="26"/>
        <v>18119348</v>
      </c>
      <c r="R44" s="203">
        <f t="shared" si="26"/>
        <v>21388961</v>
      </c>
      <c r="S44" s="203">
        <f t="shared" ref="S44:AY44" si="27">SUM(S45:S49)</f>
        <v>21388961</v>
      </c>
      <c r="T44" s="203">
        <f t="shared" si="27"/>
        <v>21388961</v>
      </c>
      <c r="U44" s="203">
        <f t="shared" si="27"/>
        <v>21388961</v>
      </c>
      <c r="V44" s="203">
        <f t="shared" si="27"/>
        <v>27832041.010000002</v>
      </c>
      <c r="W44" s="250">
        <f t="shared" si="27"/>
        <v>21388961</v>
      </c>
      <c r="X44" s="203">
        <f t="shared" si="27"/>
        <v>21388961</v>
      </c>
      <c r="Y44" s="203">
        <f t="shared" si="27"/>
        <v>21388961</v>
      </c>
      <c r="Z44" s="203">
        <f t="shared" si="27"/>
        <v>21388961</v>
      </c>
      <c r="AA44" s="250">
        <f t="shared" si="27"/>
        <v>21388961</v>
      </c>
      <c r="AB44" s="94">
        <f t="shared" si="27"/>
        <v>24271223</v>
      </c>
      <c r="AC44" s="94">
        <f t="shared" si="27"/>
        <v>21388961</v>
      </c>
      <c r="AD44" s="94">
        <f t="shared" si="27"/>
        <v>24271223</v>
      </c>
      <c r="AE44" s="94">
        <f t="shared" si="27"/>
        <v>24271223</v>
      </c>
      <c r="AF44" s="94">
        <f t="shared" si="27"/>
        <v>24271223</v>
      </c>
      <c r="AG44" s="94">
        <f t="shared" si="27"/>
        <v>24271223</v>
      </c>
      <c r="AH44" s="94">
        <f t="shared" si="27"/>
        <v>24271223</v>
      </c>
      <c r="AI44" s="94">
        <f t="shared" si="27"/>
        <v>24271223</v>
      </c>
      <c r="AJ44" s="94">
        <f t="shared" si="27"/>
        <v>24271223</v>
      </c>
      <c r="AK44" s="94">
        <f t="shared" si="27"/>
        <v>24271223</v>
      </c>
      <c r="AL44" s="94">
        <f t="shared" si="27"/>
        <v>24271223</v>
      </c>
      <c r="AM44" s="94">
        <f t="shared" si="27"/>
        <v>24271223</v>
      </c>
      <c r="AN44" s="206">
        <f t="shared" si="27"/>
        <v>30666144</v>
      </c>
      <c r="AO44" s="203">
        <f t="shared" si="27"/>
        <v>34220836</v>
      </c>
      <c r="AP44" s="203">
        <f t="shared" si="27"/>
        <v>68681628</v>
      </c>
      <c r="AQ44" s="203">
        <f t="shared" si="27"/>
        <v>34220837</v>
      </c>
      <c r="AR44" s="203">
        <f t="shared" si="27"/>
        <v>34220837</v>
      </c>
      <c r="AS44" s="203">
        <f t="shared" si="27"/>
        <v>34220837</v>
      </c>
      <c r="AT44" s="203">
        <f t="shared" si="27"/>
        <v>34220837</v>
      </c>
      <c r="AU44" s="203">
        <f t="shared" si="27"/>
        <v>34220837</v>
      </c>
      <c r="AV44" s="203">
        <f t="shared" si="27"/>
        <v>34220837</v>
      </c>
      <c r="AW44" s="203">
        <f t="shared" si="27"/>
        <v>34220837</v>
      </c>
      <c r="AX44" s="203">
        <f t="shared" si="27"/>
        <v>34220837</v>
      </c>
      <c r="AY44" s="203">
        <f t="shared" si="27"/>
        <v>0</v>
      </c>
    </row>
    <row r="45" spans="1:51" ht="14.25">
      <c r="A45" s="15"/>
      <c r="B45" s="8" t="s">
        <v>49</v>
      </c>
      <c r="C45" s="10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82">
        <v>0</v>
      </c>
      <c r="O45" s="209">
        <v>18441996.638192002</v>
      </c>
      <c r="P45" s="236">
        <v>15172384</v>
      </c>
      <c r="Q45" s="212">
        <v>15172384</v>
      </c>
      <c r="R45" s="211">
        <v>18441997</v>
      </c>
      <c r="S45" s="212">
        <v>18441997</v>
      </c>
      <c r="T45" s="212">
        <v>18441997</v>
      </c>
      <c r="U45" s="212">
        <v>18441997</v>
      </c>
      <c r="V45" s="212">
        <v>24885077.010000002</v>
      </c>
      <c r="W45" s="213">
        <v>18441997</v>
      </c>
      <c r="X45" s="214">
        <v>18441997</v>
      </c>
      <c r="Y45" s="214">
        <v>18441997</v>
      </c>
      <c r="Z45" s="214">
        <v>18441997</v>
      </c>
      <c r="AA45" s="215">
        <v>18441997</v>
      </c>
      <c r="AB45" s="209">
        <v>21324259</v>
      </c>
      <c r="AC45" s="209">
        <v>18441997</v>
      </c>
      <c r="AD45" s="209">
        <v>21324259</v>
      </c>
      <c r="AE45" s="209">
        <v>21324259</v>
      </c>
      <c r="AF45" s="209">
        <v>21324259</v>
      </c>
      <c r="AG45" s="209">
        <v>21324259</v>
      </c>
      <c r="AH45" s="209">
        <v>21324259</v>
      </c>
      <c r="AI45" s="209">
        <v>21324259</v>
      </c>
      <c r="AJ45" s="209">
        <v>21324259</v>
      </c>
      <c r="AK45" s="209">
        <v>21324259</v>
      </c>
      <c r="AL45" s="209">
        <v>21324259</v>
      </c>
      <c r="AM45" s="216">
        <v>21324259</v>
      </c>
      <c r="AN45" s="217">
        <v>21324259</v>
      </c>
      <c r="AO45" s="218">
        <v>24878951</v>
      </c>
      <c r="AP45" s="254">
        <v>24878952</v>
      </c>
      <c r="AQ45" s="254">
        <v>24878952</v>
      </c>
      <c r="AR45" s="254">
        <v>24878952</v>
      </c>
      <c r="AS45" s="256">
        <v>24878952</v>
      </c>
      <c r="AT45" s="256">
        <v>24878952</v>
      </c>
      <c r="AU45" s="258">
        <v>24878952</v>
      </c>
      <c r="AV45" s="258">
        <v>24878952</v>
      </c>
      <c r="AW45" s="254">
        <v>24878952</v>
      </c>
      <c r="AX45" s="362">
        <v>24878952</v>
      </c>
      <c r="AY45" s="254"/>
    </row>
    <row r="46" spans="1:51" ht="14.25">
      <c r="A46" s="15"/>
      <c r="B46" s="8" t="s">
        <v>50</v>
      </c>
      <c r="C46" s="10"/>
      <c r="N46">
        <v>15172384</v>
      </c>
      <c r="O46" s="209"/>
      <c r="P46" s="236">
        <v>2946964</v>
      </c>
      <c r="Q46" s="212">
        <v>2946964</v>
      </c>
      <c r="R46" s="211">
        <v>2946964</v>
      </c>
      <c r="S46" s="212">
        <v>2946964</v>
      </c>
      <c r="T46" s="212">
        <v>2946964</v>
      </c>
      <c r="U46" s="212">
        <v>2946964</v>
      </c>
      <c r="V46" s="212">
        <v>2946964</v>
      </c>
      <c r="W46" s="213">
        <v>2946964</v>
      </c>
      <c r="X46" s="214">
        <v>2946964</v>
      </c>
      <c r="Y46" s="214">
        <v>2946964</v>
      </c>
      <c r="Z46" s="214">
        <v>2946964</v>
      </c>
      <c r="AA46" s="215">
        <v>2946964</v>
      </c>
      <c r="AB46" s="209">
        <v>2946964</v>
      </c>
      <c r="AC46" s="209">
        <v>2946964</v>
      </c>
      <c r="AD46" s="209">
        <v>2946964</v>
      </c>
      <c r="AE46" s="209">
        <v>2946964</v>
      </c>
      <c r="AF46" s="209">
        <v>2946964</v>
      </c>
      <c r="AG46" s="209">
        <v>2946964</v>
      </c>
      <c r="AH46" s="209">
        <v>2946964</v>
      </c>
      <c r="AI46" s="209">
        <v>2946964</v>
      </c>
      <c r="AJ46" s="209">
        <v>2946964</v>
      </c>
      <c r="AK46" s="209">
        <v>2946964</v>
      </c>
      <c r="AL46" s="209">
        <v>2946964</v>
      </c>
      <c r="AM46" s="216">
        <v>2946964</v>
      </c>
      <c r="AN46" s="217">
        <v>9341885</v>
      </c>
      <c r="AO46" s="218">
        <f>2946964+6394921</f>
        <v>9341885</v>
      </c>
      <c r="AP46" s="254">
        <v>9341885</v>
      </c>
      <c r="AQ46" s="254">
        <v>9341885</v>
      </c>
      <c r="AR46" s="254">
        <v>9341885</v>
      </c>
      <c r="AS46" s="256">
        <v>9341885</v>
      </c>
      <c r="AT46" s="256">
        <v>9341885</v>
      </c>
      <c r="AU46" s="260">
        <v>9341885</v>
      </c>
      <c r="AV46" s="260">
        <v>9341885</v>
      </c>
      <c r="AW46" s="254">
        <v>9341885</v>
      </c>
      <c r="AX46" s="364">
        <v>9341885</v>
      </c>
      <c r="AY46" s="254"/>
    </row>
    <row r="47" spans="1:51" ht="14.25">
      <c r="A47" s="15"/>
      <c r="B47" s="8" t="s">
        <v>51</v>
      </c>
      <c r="C47" s="10"/>
      <c r="N47">
        <v>2946964</v>
      </c>
      <c r="O47" s="209">
        <v>2946964</v>
      </c>
      <c r="P47" s="236">
        <v>0</v>
      </c>
      <c r="Q47" s="212">
        <v>0</v>
      </c>
      <c r="R47" s="211">
        <v>0</v>
      </c>
      <c r="S47" s="212">
        <v>0</v>
      </c>
      <c r="T47" s="212">
        <v>0</v>
      </c>
      <c r="U47" s="212">
        <v>0</v>
      </c>
      <c r="V47" s="212">
        <v>0</v>
      </c>
      <c r="W47" s="213">
        <v>0</v>
      </c>
      <c r="X47" s="214">
        <v>0</v>
      </c>
      <c r="Y47" s="214">
        <v>0</v>
      </c>
      <c r="Z47" s="214">
        <v>0</v>
      </c>
      <c r="AA47" s="215">
        <v>0</v>
      </c>
      <c r="AB47" s="209"/>
      <c r="AC47" s="209">
        <v>0</v>
      </c>
      <c r="AD47" s="209">
        <v>0</v>
      </c>
      <c r="AE47" s="209">
        <v>0</v>
      </c>
      <c r="AF47" s="209">
        <v>0</v>
      </c>
      <c r="AG47" s="209">
        <v>0</v>
      </c>
      <c r="AH47" s="209">
        <v>0</v>
      </c>
      <c r="AI47" s="209">
        <v>0</v>
      </c>
      <c r="AJ47" s="209">
        <v>0</v>
      </c>
      <c r="AK47" s="209">
        <v>0</v>
      </c>
      <c r="AL47" s="209">
        <v>0</v>
      </c>
      <c r="AM47" s="216">
        <v>0</v>
      </c>
      <c r="AN47" s="217">
        <v>0</v>
      </c>
      <c r="AO47" s="218"/>
      <c r="AP47" s="254">
        <v>0</v>
      </c>
      <c r="AQ47" s="254">
        <v>0</v>
      </c>
      <c r="AR47" s="254">
        <v>0</v>
      </c>
      <c r="AS47">
        <v>0</v>
      </c>
      <c r="AT47">
        <v>0</v>
      </c>
      <c r="AU47" s="259">
        <v>0</v>
      </c>
      <c r="AV47" s="259">
        <v>0</v>
      </c>
      <c r="AW47" s="254">
        <v>0</v>
      </c>
      <c r="AX47" s="363">
        <v>0</v>
      </c>
      <c r="AY47" s="254"/>
    </row>
    <row r="48" spans="1:51" ht="14.25">
      <c r="A48" s="15"/>
      <c r="B48" s="8" t="s">
        <v>52</v>
      </c>
      <c r="C48" s="20"/>
      <c r="D48" s="11">
        <v>141477233.25999999</v>
      </c>
      <c r="E48" s="11">
        <v>142523558.44</v>
      </c>
      <c r="F48" s="11">
        <v>110211500</v>
      </c>
      <c r="G48" s="11">
        <v>111789850.93000001</v>
      </c>
      <c r="H48" s="12">
        <v>123957678.45999999</v>
      </c>
      <c r="I48" s="12">
        <v>121497102.15000001</v>
      </c>
      <c r="J48" s="12">
        <v>122195608.39</v>
      </c>
      <c r="K48" s="12">
        <v>126107292.98999999</v>
      </c>
      <c r="L48" s="12">
        <v>132218696.73999999</v>
      </c>
      <c r="M48" s="12">
        <v>137324945.59</v>
      </c>
      <c r="N48" s="76"/>
      <c r="O48" s="209"/>
      <c r="P48" s="236">
        <v>0</v>
      </c>
      <c r="Q48" s="212">
        <v>0</v>
      </c>
      <c r="R48" s="211"/>
      <c r="S48" s="211">
        <v>0</v>
      </c>
      <c r="T48" s="211">
        <v>0</v>
      </c>
      <c r="U48" s="211">
        <v>0</v>
      </c>
      <c r="V48" s="211">
        <v>0</v>
      </c>
      <c r="W48" s="227">
        <v>0</v>
      </c>
      <c r="X48" s="214">
        <v>0</v>
      </c>
      <c r="Y48" s="214">
        <v>0</v>
      </c>
      <c r="Z48" s="214">
        <v>0</v>
      </c>
      <c r="AA48" s="215">
        <v>0</v>
      </c>
      <c r="AB48" s="209"/>
      <c r="AC48" s="209">
        <v>0</v>
      </c>
      <c r="AD48" s="209">
        <v>0</v>
      </c>
      <c r="AE48" s="209">
        <v>0</v>
      </c>
      <c r="AF48" s="209">
        <v>0</v>
      </c>
      <c r="AG48" s="209">
        <v>0</v>
      </c>
      <c r="AH48" s="209">
        <v>0</v>
      </c>
      <c r="AI48" s="209">
        <v>0</v>
      </c>
      <c r="AJ48" s="209">
        <v>0</v>
      </c>
      <c r="AK48" s="209">
        <v>0</v>
      </c>
      <c r="AL48" s="209"/>
      <c r="AM48" s="216"/>
      <c r="AN48" s="217"/>
      <c r="AO48" s="218"/>
      <c r="AP48" s="254">
        <v>34460791</v>
      </c>
      <c r="AQ48" s="254">
        <v>0</v>
      </c>
      <c r="AR48" s="254">
        <v>0</v>
      </c>
      <c r="AS48">
        <v>0</v>
      </c>
      <c r="AT48">
        <v>0</v>
      </c>
      <c r="AU48" s="259">
        <v>0</v>
      </c>
      <c r="AV48" s="259">
        <v>0</v>
      </c>
      <c r="AW48" s="254">
        <v>0</v>
      </c>
      <c r="AX48" s="363">
        <v>0</v>
      </c>
      <c r="AY48" s="254"/>
    </row>
    <row r="49" spans="1:51" ht="14.25">
      <c r="A49" s="15"/>
      <c r="B49" s="8" t="s">
        <v>53</v>
      </c>
      <c r="C49" s="20"/>
      <c r="D49" s="11">
        <v>0</v>
      </c>
      <c r="E49" s="11">
        <v>0</v>
      </c>
      <c r="F49" s="11">
        <v>0</v>
      </c>
      <c r="G49" s="11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76">
        <v>0</v>
      </c>
      <c r="O49" s="209"/>
      <c r="P49" s="236">
        <v>0</v>
      </c>
      <c r="Q49" s="212">
        <v>0</v>
      </c>
      <c r="R49" s="211">
        <v>0</v>
      </c>
      <c r="S49" s="211">
        <v>0</v>
      </c>
      <c r="T49" s="211">
        <v>0</v>
      </c>
      <c r="U49" s="211">
        <v>0</v>
      </c>
      <c r="V49" s="211">
        <v>0</v>
      </c>
      <c r="W49" s="227">
        <v>0</v>
      </c>
      <c r="X49" s="214"/>
      <c r="Y49" s="214"/>
      <c r="Z49" s="214"/>
      <c r="AA49" s="215"/>
      <c r="AB49" s="209"/>
      <c r="AC49" s="209"/>
      <c r="AD49" s="209"/>
      <c r="AE49" s="209"/>
      <c r="AF49" s="209"/>
      <c r="AG49" s="209"/>
      <c r="AH49" s="209"/>
      <c r="AI49" s="209">
        <v>0</v>
      </c>
      <c r="AJ49" s="209">
        <v>0</v>
      </c>
      <c r="AK49" s="209">
        <v>0</v>
      </c>
      <c r="AL49" s="209"/>
      <c r="AM49" s="216"/>
      <c r="AN49" s="217"/>
      <c r="AO49" s="218"/>
      <c r="AP49" s="254">
        <v>0</v>
      </c>
      <c r="AQ49" s="254">
        <v>0</v>
      </c>
      <c r="AR49" s="254">
        <v>0</v>
      </c>
      <c r="AS49">
        <v>0</v>
      </c>
      <c r="AT49">
        <v>0</v>
      </c>
      <c r="AU49" s="259">
        <v>0</v>
      </c>
      <c r="AV49" s="259">
        <v>0</v>
      </c>
      <c r="AW49" s="254">
        <v>0</v>
      </c>
      <c r="AX49" s="363">
        <v>0</v>
      </c>
      <c r="AY49" s="254"/>
    </row>
    <row r="50" spans="1:51">
      <c r="A50" s="15"/>
      <c r="B50" s="13" t="s">
        <v>54</v>
      </c>
      <c r="C50" s="9">
        <f t="shared" ref="C50" si="28">SUM(C39+C40+C41+C44)</f>
        <v>0</v>
      </c>
      <c r="D50" s="9">
        <f>SUM(D39+D40+D41+D44)</f>
        <v>225066687.18000001</v>
      </c>
      <c r="E50" s="9">
        <f t="shared" ref="E50:M50" si="29">SUM(E39+E40+E41+E44)</f>
        <v>226569481.20999998</v>
      </c>
      <c r="F50" s="9">
        <f t="shared" si="29"/>
        <v>161531691</v>
      </c>
      <c r="G50" s="9">
        <f t="shared" si="29"/>
        <v>164175483.67000002</v>
      </c>
      <c r="H50" s="9">
        <f t="shared" si="29"/>
        <v>186400553.91999999</v>
      </c>
      <c r="I50" s="9">
        <f t="shared" si="29"/>
        <v>181406237.30000001</v>
      </c>
      <c r="J50" s="9">
        <f t="shared" si="29"/>
        <v>181042125.18000001</v>
      </c>
      <c r="K50" s="9">
        <f t="shared" si="29"/>
        <v>188299912.64999998</v>
      </c>
      <c r="L50" s="9">
        <f t="shared" si="29"/>
        <v>200006631.48000002</v>
      </c>
      <c r="M50" s="9">
        <f t="shared" si="29"/>
        <v>210219129.18000001</v>
      </c>
      <c r="N50" s="81">
        <f>SUM(N39+N40+N41+N44)</f>
        <v>164319260.60000002</v>
      </c>
      <c r="O50" s="9">
        <f t="shared" ref="O50:S50" si="30">SUM(O39+O40+O41+O44)</f>
        <v>127432556.338192</v>
      </c>
      <c r="P50" s="247">
        <f t="shared" ref="P50:Q50" si="31">SUM(P39+P40+P41+P44)</f>
        <v>162267439</v>
      </c>
      <c r="Q50" s="202">
        <f t="shared" si="31"/>
        <v>129086079.05</v>
      </c>
      <c r="R50" s="202">
        <f t="shared" si="30"/>
        <v>136962557.68000001</v>
      </c>
      <c r="S50" s="202">
        <f t="shared" si="30"/>
        <v>142265232.68000001</v>
      </c>
      <c r="T50" s="202">
        <f t="shared" ref="T50:W50" si="32">SUM(T39+T40+T41+T44)</f>
        <v>145753263.38</v>
      </c>
      <c r="U50" s="202">
        <f t="shared" si="32"/>
        <v>149077785.35000002</v>
      </c>
      <c r="V50" s="202">
        <f t="shared" si="32"/>
        <v>165520684.10999998</v>
      </c>
      <c r="W50" s="248">
        <f t="shared" si="32"/>
        <v>161619824.63</v>
      </c>
      <c r="X50" s="202">
        <f t="shared" ref="X50:AB50" si="33">SUM(X39+X40+X41+X44)</f>
        <v>167620700.69</v>
      </c>
      <c r="Y50" s="202">
        <f t="shared" si="33"/>
        <v>173417996.60000002</v>
      </c>
      <c r="Z50" s="202">
        <f t="shared" si="33"/>
        <v>180200010.09999999</v>
      </c>
      <c r="AA50" s="248">
        <f t="shared" si="33"/>
        <v>195154453.88</v>
      </c>
      <c r="AB50" s="93">
        <f t="shared" si="33"/>
        <v>152023435</v>
      </c>
      <c r="AC50" s="93">
        <f t="shared" ref="AC50:AN50" si="34">SUM(AC39+AC40+AC41+AC44)</f>
        <v>191877024.88</v>
      </c>
      <c r="AD50" s="93">
        <f t="shared" si="34"/>
        <v>157111268.72</v>
      </c>
      <c r="AE50" s="93">
        <f t="shared" si="34"/>
        <v>160681422</v>
      </c>
      <c r="AF50" s="93">
        <f t="shared" si="34"/>
        <v>158278923.61000001</v>
      </c>
      <c r="AG50" s="93">
        <f t="shared" si="34"/>
        <v>159885768.59</v>
      </c>
      <c r="AH50" s="93">
        <f t="shared" si="34"/>
        <v>165830477.30000001</v>
      </c>
      <c r="AI50" s="93">
        <f t="shared" si="34"/>
        <v>166535879.09999999</v>
      </c>
      <c r="AJ50" s="93">
        <f t="shared" si="34"/>
        <v>166179335.32999998</v>
      </c>
      <c r="AK50" s="93">
        <f t="shared" si="34"/>
        <v>167658453.93000001</v>
      </c>
      <c r="AL50" s="93">
        <f t="shared" si="34"/>
        <v>180213426.09</v>
      </c>
      <c r="AM50" s="93">
        <f t="shared" si="34"/>
        <v>194485453.84999999</v>
      </c>
      <c r="AN50" s="205">
        <f t="shared" si="34"/>
        <v>219130635.03999999</v>
      </c>
      <c r="AO50" s="202">
        <f t="shared" ref="AO50:AY50" si="35">SUM(AO39+AO40+AO41+AO44)</f>
        <v>184486490</v>
      </c>
      <c r="AP50" s="202">
        <f t="shared" si="35"/>
        <v>222309165.90000001</v>
      </c>
      <c r="AQ50" s="202">
        <f t="shared" si="35"/>
        <v>190860224.13999999</v>
      </c>
      <c r="AR50" s="202">
        <f t="shared" si="35"/>
        <v>192890081.00999999</v>
      </c>
      <c r="AS50" s="202">
        <f t="shared" si="35"/>
        <v>195125327.50999999</v>
      </c>
      <c r="AT50" s="202">
        <f t="shared" si="35"/>
        <v>198186081.82999998</v>
      </c>
      <c r="AU50" s="202">
        <f t="shared" si="35"/>
        <v>202799584.76999998</v>
      </c>
      <c r="AV50" s="202">
        <f t="shared" si="35"/>
        <v>208665847.20999998</v>
      </c>
      <c r="AW50" s="202">
        <f t="shared" si="35"/>
        <v>210893321.91</v>
      </c>
      <c r="AX50" s="202">
        <f t="shared" si="35"/>
        <v>221126828.39999998</v>
      </c>
      <c r="AY50" s="202">
        <f t="shared" si="35"/>
        <v>0</v>
      </c>
    </row>
    <row r="51" spans="1:51">
      <c r="A51" s="15"/>
      <c r="B51" s="13" t="s">
        <v>55</v>
      </c>
      <c r="C51" s="9">
        <f t="shared" ref="C51:D51" si="36">SUM(C38+C50)</f>
        <v>0</v>
      </c>
      <c r="D51" s="9">
        <f t="shared" si="36"/>
        <v>630852243.30999994</v>
      </c>
      <c r="E51" s="9">
        <f t="shared" ref="E51:S51" si="37">SUM(E38+E50)</f>
        <v>640506883.92999995</v>
      </c>
      <c r="F51" s="9">
        <f t="shared" si="37"/>
        <v>608366310.79999995</v>
      </c>
      <c r="G51" s="9">
        <f t="shared" si="37"/>
        <v>625058691.86000001</v>
      </c>
      <c r="H51" s="9">
        <f t="shared" si="37"/>
        <v>642350833.20999992</v>
      </c>
      <c r="I51" s="9">
        <f t="shared" si="37"/>
        <v>636920447.57999992</v>
      </c>
      <c r="J51" s="9">
        <f t="shared" si="37"/>
        <v>658990639.00999999</v>
      </c>
      <c r="K51" s="9">
        <f t="shared" si="37"/>
        <v>670126714.92999995</v>
      </c>
      <c r="L51" s="9">
        <f t="shared" si="37"/>
        <v>704364429.4000001</v>
      </c>
      <c r="M51" s="9">
        <f t="shared" si="37"/>
        <v>718378274.56999993</v>
      </c>
      <c r="N51" s="81">
        <f t="shared" si="37"/>
        <v>633503288.75999999</v>
      </c>
      <c r="O51" s="9">
        <f t="shared" si="37"/>
        <v>615469448.24819195</v>
      </c>
      <c r="P51" s="247">
        <f t="shared" ref="P51:Q51" si="38">SUM(P38+P50)</f>
        <v>613416263</v>
      </c>
      <c r="Q51" s="202">
        <f t="shared" si="38"/>
        <v>630799219.56999993</v>
      </c>
      <c r="R51" s="202">
        <f t="shared" si="37"/>
        <v>626385964.97000003</v>
      </c>
      <c r="S51" s="202">
        <f t="shared" si="37"/>
        <v>634218791.54999995</v>
      </c>
      <c r="T51" s="202">
        <f t="shared" ref="T51" si="39">SUM(T38+T50)</f>
        <v>640720654.72000003</v>
      </c>
      <c r="U51" s="202">
        <f t="shared" ref="U51:W51" si="40">SUM(U38+U50)</f>
        <v>641872651.08999991</v>
      </c>
      <c r="V51" s="202">
        <f t="shared" si="40"/>
        <v>649329035.60000002</v>
      </c>
      <c r="W51" s="248">
        <f t="shared" si="40"/>
        <v>649834220.98000002</v>
      </c>
      <c r="X51" s="202">
        <f t="shared" ref="X51:AB51" si="41">SUM(X38+X50)</f>
        <v>675266608.38999999</v>
      </c>
      <c r="Y51" s="202">
        <f t="shared" si="41"/>
        <v>672787618.91000009</v>
      </c>
      <c r="Z51" s="202">
        <f t="shared" si="41"/>
        <v>689075125.12</v>
      </c>
      <c r="AA51" s="248">
        <f t="shared" si="41"/>
        <v>703370494.71000004</v>
      </c>
      <c r="AB51" s="93">
        <f t="shared" si="41"/>
        <v>700607389</v>
      </c>
      <c r="AC51" s="93">
        <f t="shared" ref="AC51:AN51" si="42">SUM(AC38+AC50)</f>
        <v>708300028.84000003</v>
      </c>
      <c r="AD51" s="93">
        <f t="shared" si="42"/>
        <v>702767149.94000006</v>
      </c>
      <c r="AE51" s="93">
        <f t="shared" si="42"/>
        <v>698657790.19000006</v>
      </c>
      <c r="AF51" s="93">
        <f t="shared" si="42"/>
        <v>705311402.68000007</v>
      </c>
      <c r="AG51" s="93">
        <f t="shared" si="42"/>
        <v>709127992.03999996</v>
      </c>
      <c r="AH51" s="93">
        <f t="shared" si="42"/>
        <v>705900832.71000004</v>
      </c>
      <c r="AI51" s="93">
        <f t="shared" si="42"/>
        <v>700394076.27999997</v>
      </c>
      <c r="AJ51" s="93">
        <f t="shared" si="42"/>
        <v>691015250.29999995</v>
      </c>
      <c r="AK51" s="93">
        <f t="shared" si="42"/>
        <v>685404924.03999996</v>
      </c>
      <c r="AL51" s="93">
        <f t="shared" si="42"/>
        <v>689054933.70999992</v>
      </c>
      <c r="AM51" s="93">
        <f t="shared" si="42"/>
        <v>728257455.39999998</v>
      </c>
      <c r="AN51" s="205">
        <f t="shared" si="42"/>
        <v>756724725.33999991</v>
      </c>
      <c r="AO51" s="202">
        <f t="shared" ref="AO51:AY51" si="43">SUM(AO38+AO50)</f>
        <v>758689887</v>
      </c>
      <c r="AP51" s="202">
        <f t="shared" si="43"/>
        <v>766193126.13</v>
      </c>
      <c r="AQ51" s="202">
        <f t="shared" si="43"/>
        <v>757341422.40999997</v>
      </c>
      <c r="AR51" s="202">
        <f t="shared" si="43"/>
        <v>765169291.05999994</v>
      </c>
      <c r="AS51" s="202">
        <f t="shared" si="43"/>
        <v>766676677.87</v>
      </c>
      <c r="AT51" s="202">
        <f t="shared" si="43"/>
        <v>761925229.68999982</v>
      </c>
      <c r="AU51" s="202">
        <f t="shared" si="43"/>
        <v>772616678.70999992</v>
      </c>
      <c r="AV51" s="202">
        <f t="shared" si="43"/>
        <v>775390786.26999998</v>
      </c>
      <c r="AW51" s="202">
        <f t="shared" si="43"/>
        <v>782151663.1099999</v>
      </c>
      <c r="AX51" s="202">
        <f t="shared" si="43"/>
        <v>791711841.76999998</v>
      </c>
      <c r="AY51" s="202">
        <f t="shared" si="43"/>
        <v>0</v>
      </c>
    </row>
    <row r="52" spans="1:51">
      <c r="D52" s="9" t="e">
        <f>SUM(D39+#REF!)</f>
        <v>#REF!</v>
      </c>
      <c r="E52" s="9" t="e">
        <f>SUM(E39+#REF!)</f>
        <v>#REF!</v>
      </c>
      <c r="F52" s="9" t="e">
        <f>SUM(F39+#REF!)</f>
        <v>#REF!</v>
      </c>
      <c r="G52" s="9" t="e">
        <f>SUM(G39+#REF!)</f>
        <v>#REF!</v>
      </c>
      <c r="N52" s="75">
        <f t="shared" ref="N52:O52" si="44">N51-N26</f>
        <v>0</v>
      </c>
      <c r="O52" s="209">
        <f t="shared" si="44"/>
        <v>0.33069193363189697</v>
      </c>
      <c r="P52" s="210">
        <f>P51-P26</f>
        <v>0.24000000953674316</v>
      </c>
      <c r="Q52" s="211">
        <f t="shared" ref="Q52:W52" si="45">Q51-Q26</f>
        <v>0</v>
      </c>
      <c r="R52" s="211">
        <f t="shared" si="45"/>
        <v>-9.9999904632568359E-3</v>
      </c>
      <c r="S52" s="211">
        <f t="shared" si="45"/>
        <v>0</v>
      </c>
      <c r="T52" s="211">
        <f t="shared" si="45"/>
        <v>0</v>
      </c>
      <c r="U52" s="211">
        <f t="shared" si="45"/>
        <v>0</v>
      </c>
      <c r="V52" s="211">
        <f t="shared" si="45"/>
        <v>0</v>
      </c>
      <c r="W52" s="211">
        <f t="shared" si="45"/>
        <v>0</v>
      </c>
      <c r="X52" s="251">
        <f t="shared" ref="X52:AB52" si="46">X51-X26</f>
        <v>0</v>
      </c>
      <c r="Y52" s="251">
        <f t="shared" si="46"/>
        <v>0</v>
      </c>
      <c r="Z52" s="251">
        <f t="shared" si="46"/>
        <v>0</v>
      </c>
      <c r="AA52" s="252">
        <f t="shared" si="46"/>
        <v>0</v>
      </c>
      <c r="AB52" s="253">
        <f t="shared" si="46"/>
        <v>1.3899999856948853</v>
      </c>
      <c r="AC52" s="253">
        <f t="shared" ref="AC52:AN52" si="47">AC51-AC26</f>
        <v>0</v>
      </c>
      <c r="AD52" s="253">
        <f t="shared" si="47"/>
        <v>0</v>
      </c>
      <c r="AE52" s="253">
        <f t="shared" si="47"/>
        <v>0</v>
      </c>
      <c r="AF52" s="253">
        <f t="shared" si="47"/>
        <v>0</v>
      </c>
      <c r="AG52" s="253">
        <f t="shared" si="47"/>
        <v>0</v>
      </c>
      <c r="AH52" s="253">
        <f t="shared" si="47"/>
        <v>0</v>
      </c>
      <c r="AI52" s="253">
        <f t="shared" si="47"/>
        <v>0</v>
      </c>
      <c r="AJ52" s="253">
        <f t="shared" si="47"/>
        <v>0</v>
      </c>
      <c r="AK52" s="253">
        <f t="shared" si="47"/>
        <v>0</v>
      </c>
      <c r="AL52" s="253">
        <f t="shared" si="47"/>
        <v>0</v>
      </c>
      <c r="AM52" s="95">
        <f t="shared" si="47"/>
        <v>0</v>
      </c>
      <c r="AN52" s="207">
        <f t="shared" si="47"/>
        <v>0</v>
      </c>
      <c r="AO52" s="204">
        <f t="shared" ref="AO52" si="48">AO51-AO26</f>
        <v>-0.28999996185302734</v>
      </c>
      <c r="AQ52" s="75">
        <f t="shared" ref="AQ52:AV52" si="49">AQ51-AQ26</f>
        <v>0</v>
      </c>
      <c r="AR52" s="75">
        <f t="shared" si="49"/>
        <v>0</v>
      </c>
      <c r="AS52" s="75">
        <f t="shared" si="49"/>
        <v>0</v>
      </c>
      <c r="AT52" s="75">
        <f t="shared" si="49"/>
        <v>0</v>
      </c>
      <c r="AU52" s="75">
        <f t="shared" si="49"/>
        <v>0</v>
      </c>
      <c r="AV52" s="75">
        <f t="shared" si="49"/>
        <v>0</v>
      </c>
      <c r="AW52" s="75">
        <f>AW51-AW26</f>
        <v>0</v>
      </c>
      <c r="AX52" s="75">
        <f>AX51-AX26</f>
        <v>0</v>
      </c>
    </row>
    <row r="53" spans="1:51"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75"/>
      <c r="AN53" s="75"/>
      <c r="AO53" s="75"/>
    </row>
    <row r="54" spans="1:51">
      <c r="B54" t="s">
        <v>56</v>
      </c>
      <c r="O54" s="254">
        <f>O32+O33+O34+O35+O36+O37+O27+O28</f>
        <v>248962358.53</v>
      </c>
      <c r="P54" s="254">
        <f t="shared" ref="P54:AN54" si="50">P32+P33+P34+P35+P36+P37+P27+P28</f>
        <v>207668912</v>
      </c>
      <c r="Q54" s="254">
        <f t="shared" si="50"/>
        <v>252786014.09999996</v>
      </c>
      <c r="R54" s="254">
        <f t="shared" si="50"/>
        <v>237105441.19</v>
      </c>
      <c r="S54" s="254">
        <f t="shared" si="50"/>
        <v>235287627.71999997</v>
      </c>
      <c r="T54" s="254">
        <f t="shared" si="50"/>
        <v>234346661.34</v>
      </c>
      <c r="U54" s="254">
        <f t="shared" si="50"/>
        <v>227757016.63999999</v>
      </c>
      <c r="V54" s="254">
        <f t="shared" si="50"/>
        <v>219824183.08999997</v>
      </c>
      <c r="W54" s="254">
        <f t="shared" si="50"/>
        <v>220220048.05000001</v>
      </c>
      <c r="X54" s="254">
        <f t="shared" si="50"/>
        <v>236391142.59999996</v>
      </c>
      <c r="Y54" s="254">
        <f t="shared" si="50"/>
        <v>225999909.31</v>
      </c>
      <c r="Z54" s="254">
        <f t="shared" si="50"/>
        <v>232493542.21999997</v>
      </c>
      <c r="AA54" s="254">
        <f t="shared" si="50"/>
        <v>232167032.32999998</v>
      </c>
      <c r="AB54" s="254">
        <f t="shared" si="50"/>
        <v>272426375</v>
      </c>
      <c r="AC54" s="254">
        <f t="shared" si="50"/>
        <v>235585665.96000001</v>
      </c>
      <c r="AD54" s="254">
        <f t="shared" si="50"/>
        <v>258726663.12</v>
      </c>
      <c r="AE54" s="254">
        <f t="shared" si="50"/>
        <v>247058267.69</v>
      </c>
      <c r="AF54" s="254">
        <f t="shared" si="50"/>
        <v>251256629.76999998</v>
      </c>
      <c r="AG54" s="254">
        <f t="shared" si="50"/>
        <v>249134168.84999999</v>
      </c>
      <c r="AH54" s="254">
        <f t="shared" si="50"/>
        <v>242427735.70999998</v>
      </c>
      <c r="AI54" s="254">
        <f t="shared" si="50"/>
        <v>235374519.07999998</v>
      </c>
      <c r="AJ54" s="254">
        <f t="shared" si="50"/>
        <v>223119719.37</v>
      </c>
      <c r="AK54" s="254">
        <f t="shared" si="50"/>
        <v>213809615.01999998</v>
      </c>
      <c r="AL54" s="254">
        <f t="shared" si="50"/>
        <v>204419991.48999998</v>
      </c>
      <c r="AM54" s="75">
        <f t="shared" si="50"/>
        <v>227292904.04999998</v>
      </c>
      <c r="AN54" s="75">
        <f t="shared" si="50"/>
        <v>234415198.13</v>
      </c>
      <c r="AO54" s="75">
        <f t="shared" ref="AO54:AY54" si="51">AO32+AO33+AO34+AO35+AO36+AO37+AO27+AO28</f>
        <v>271024505</v>
      </c>
      <c r="AP54" s="254">
        <f t="shared" si="51"/>
        <v>234424628.43000001</v>
      </c>
      <c r="AQ54" s="254">
        <f t="shared" si="51"/>
        <v>252435994.22000003</v>
      </c>
      <c r="AR54" s="254">
        <f t="shared" si="51"/>
        <v>251972145.05000001</v>
      </c>
      <c r="AS54" s="75">
        <f t="shared" si="51"/>
        <v>247148586.54999998</v>
      </c>
      <c r="AT54" s="75">
        <f t="shared" si="51"/>
        <v>238167841.41</v>
      </c>
      <c r="AU54" s="75">
        <f t="shared" si="51"/>
        <v>240980316.07999998</v>
      </c>
      <c r="AV54" s="75">
        <f t="shared" si="51"/>
        <v>236746442.87999997</v>
      </c>
      <c r="AW54" s="75">
        <f t="shared" si="51"/>
        <v>237683190.30000001</v>
      </c>
      <c r="AX54" s="75">
        <f t="shared" si="51"/>
        <v>234661421.88</v>
      </c>
      <c r="AY54" s="75">
        <f t="shared" si="51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40"/>
  <sheetViews>
    <sheetView tabSelected="1" zoomScale="80" zoomScaleNormal="80" workbookViewId="0">
      <pane xSplit="14" ySplit="4" topLeftCell="AV52" activePane="bottomRight" state="frozen"/>
      <selection pane="bottomRight" activeCell="AX40" sqref="AX40"/>
      <selection pane="bottomLeft"/>
      <selection pane="topRight"/>
    </sheetView>
  </sheetViews>
  <sheetFormatPr defaultColWidth="9.140625" defaultRowHeight="15.6"/>
  <cols>
    <col min="1" max="1" width="4.140625" style="263" bestFit="1" customWidth="1"/>
    <col min="2" max="2" width="49.85546875" style="263" bestFit="1" customWidth="1"/>
    <col min="3" max="3" width="2.140625" style="263" hidden="1" customWidth="1"/>
    <col min="4" max="4" width="14.140625" style="263" hidden="1" customWidth="1"/>
    <col min="5" max="13" width="15.28515625" style="263" hidden="1" customWidth="1"/>
    <col min="14" max="14" width="15.7109375" style="263" hidden="1" customWidth="1"/>
    <col min="15" max="15" width="15.5703125" style="263" customWidth="1"/>
    <col min="16" max="16" width="13.140625" style="263" hidden="1" customWidth="1"/>
    <col min="17" max="18" width="14.28515625" style="263" hidden="1" customWidth="1"/>
    <col min="19" max="19" width="14.7109375" style="263" hidden="1" customWidth="1"/>
    <col min="20" max="21" width="14.28515625" style="263" hidden="1" customWidth="1"/>
    <col min="22" max="22" width="15.28515625" style="263" hidden="1" customWidth="1"/>
    <col min="23" max="23" width="14.28515625" style="263" hidden="1" customWidth="1"/>
    <col min="24" max="24" width="13.42578125" style="263" hidden="1" customWidth="1"/>
    <col min="25" max="25" width="14.85546875" style="263" hidden="1" customWidth="1"/>
    <col min="26" max="26" width="0" style="263" hidden="1" customWidth="1"/>
    <col min="27" max="27" width="16.140625" style="263" hidden="1" customWidth="1"/>
    <col min="28" max="28" width="12.42578125" style="263" customWidth="1"/>
    <col min="29" max="29" width="14.7109375" style="263" hidden="1" customWidth="1"/>
    <col min="30" max="30" width="14.42578125" style="263" hidden="1" customWidth="1"/>
    <col min="31" max="31" width="12.42578125" style="263" customWidth="1"/>
    <col min="32" max="32" width="14.42578125" style="263" hidden="1" customWidth="1"/>
    <col min="33" max="33" width="14.7109375" style="263" hidden="1" customWidth="1"/>
    <col min="34" max="34" width="12.28515625" style="263" customWidth="1"/>
    <col min="35" max="35" width="14.7109375" style="263" hidden="1" customWidth="1"/>
    <col min="36" max="36" width="18.140625" style="263" hidden="1" customWidth="1"/>
    <col min="37" max="37" width="14.28515625" style="263" customWidth="1"/>
    <col min="38" max="38" width="15.28515625" style="263" hidden="1" customWidth="1"/>
    <col min="39" max="39" width="15.5703125" style="263" hidden="1" customWidth="1"/>
    <col min="40" max="40" width="14.28515625" style="263" customWidth="1"/>
    <col min="41" max="41" width="13.7109375" style="263" customWidth="1"/>
    <col min="42" max="42" width="17.140625" style="263" bestFit="1" customWidth="1"/>
    <col min="43" max="44" width="15.7109375" style="263" bestFit="1" customWidth="1"/>
    <col min="45" max="45" width="11.85546875" style="263" customWidth="1"/>
    <col min="46" max="46" width="12.28515625" style="263" customWidth="1"/>
    <col min="47" max="47" width="16" style="263" customWidth="1"/>
    <col min="48" max="48" width="18.140625" style="263" customWidth="1"/>
    <col min="49" max="49" width="17" style="263" bestFit="1" customWidth="1"/>
    <col min="50" max="50" width="17.140625" style="263" customWidth="1"/>
    <col min="51" max="53" width="9.28515625" style="263" bestFit="1" customWidth="1"/>
    <col min="54" max="16384" width="9.140625" style="263"/>
  </cols>
  <sheetData>
    <row r="1" spans="1:52" ht="27.75" customHeight="1">
      <c r="A1" s="334" t="s">
        <v>57</v>
      </c>
      <c r="B1" s="336"/>
      <c r="C1" s="261"/>
      <c r="D1" s="261"/>
      <c r="E1" s="261"/>
      <c r="F1" s="261"/>
      <c r="G1" s="261"/>
      <c r="H1" s="262"/>
      <c r="I1" s="262"/>
      <c r="J1" s="262"/>
      <c r="K1" s="262"/>
      <c r="L1" s="262"/>
      <c r="M1" s="262"/>
      <c r="N1" s="262"/>
      <c r="O1" s="262"/>
      <c r="P1" s="262"/>
      <c r="Q1" s="262"/>
    </row>
    <row r="2" spans="1:52" ht="21.6" customHeight="1">
      <c r="A2" s="334" t="s">
        <v>58</v>
      </c>
      <c r="B2" s="335"/>
      <c r="C2" s="261"/>
      <c r="D2" s="261"/>
      <c r="E2" s="261"/>
      <c r="F2" s="261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</row>
    <row r="3" spans="1:52" ht="21.75" customHeight="1">
      <c r="A3" s="264"/>
      <c r="B3" s="264"/>
      <c r="C3" s="265"/>
      <c r="D3" s="266">
        <v>44216</v>
      </c>
      <c r="E3" s="266">
        <v>44247</v>
      </c>
      <c r="F3" s="266">
        <v>44275</v>
      </c>
      <c r="G3" s="266">
        <v>44306</v>
      </c>
      <c r="H3" s="266">
        <v>44336</v>
      </c>
      <c r="I3" s="266">
        <v>44367</v>
      </c>
      <c r="J3" s="266">
        <v>44428</v>
      </c>
      <c r="K3" s="266">
        <v>44459</v>
      </c>
      <c r="L3" s="266">
        <v>44489</v>
      </c>
      <c r="M3" s="266">
        <v>44520</v>
      </c>
      <c r="N3" s="266">
        <v>44550</v>
      </c>
      <c r="O3" s="267" t="s">
        <v>3</v>
      </c>
      <c r="P3" s="268">
        <v>44197</v>
      </c>
      <c r="Q3" s="268">
        <v>44228</v>
      </c>
      <c r="R3" s="268">
        <v>44256</v>
      </c>
      <c r="S3" s="268">
        <v>44287</v>
      </c>
      <c r="T3" s="268">
        <v>44317</v>
      </c>
      <c r="U3" s="268">
        <v>44348</v>
      </c>
      <c r="V3" s="268">
        <v>44378</v>
      </c>
      <c r="W3" s="269">
        <v>44409</v>
      </c>
      <c r="X3" s="270">
        <v>44440</v>
      </c>
      <c r="Y3" s="270">
        <v>44470</v>
      </c>
      <c r="Z3" s="270">
        <v>44501</v>
      </c>
      <c r="AA3" s="270">
        <v>44531</v>
      </c>
      <c r="AB3" s="271" t="s">
        <v>4</v>
      </c>
      <c r="AC3" s="272">
        <v>44562</v>
      </c>
      <c r="AD3" s="272">
        <v>44593</v>
      </c>
      <c r="AE3" s="272">
        <v>44621</v>
      </c>
      <c r="AF3" s="272">
        <v>44652</v>
      </c>
      <c r="AG3" s="272">
        <v>44682</v>
      </c>
      <c r="AH3" s="272">
        <v>44713</v>
      </c>
      <c r="AI3" s="272">
        <v>44743</v>
      </c>
      <c r="AJ3" s="272">
        <v>44774</v>
      </c>
      <c r="AK3" s="272">
        <v>44805</v>
      </c>
      <c r="AL3" s="272">
        <v>44835</v>
      </c>
      <c r="AM3" s="272">
        <v>44866</v>
      </c>
      <c r="AN3" s="272">
        <v>44896</v>
      </c>
      <c r="AO3" s="273" t="s">
        <v>5</v>
      </c>
      <c r="AP3" s="272">
        <v>44927</v>
      </c>
      <c r="AQ3" s="272">
        <v>44958</v>
      </c>
      <c r="AR3" s="272">
        <v>44986</v>
      </c>
      <c r="AS3" s="272">
        <v>45017</v>
      </c>
      <c r="AT3" s="272">
        <v>45047</v>
      </c>
      <c r="AU3" s="272">
        <v>45078</v>
      </c>
      <c r="AV3" s="272">
        <v>45108</v>
      </c>
      <c r="AW3" s="272">
        <v>45139</v>
      </c>
      <c r="AX3" s="272">
        <v>45170</v>
      </c>
      <c r="AY3" s="272">
        <v>45200</v>
      </c>
      <c r="AZ3" s="272">
        <v>45231</v>
      </c>
    </row>
    <row r="4" spans="1:52">
      <c r="A4" s="274">
        <v>1</v>
      </c>
      <c r="B4" s="275" t="s">
        <v>59</v>
      </c>
      <c r="C4" s="276">
        <f t="shared" ref="C4:W4" si="0">C5+C8</f>
        <v>0</v>
      </c>
      <c r="D4" s="276">
        <v>6043595.29</v>
      </c>
      <c r="E4" s="276">
        <v>13679359.08</v>
      </c>
      <c r="F4" s="276">
        <v>20872470</v>
      </c>
      <c r="G4" s="276">
        <v>27225463.460000001</v>
      </c>
      <c r="H4" s="276">
        <v>33761960.039999999</v>
      </c>
      <c r="I4" s="276">
        <v>40552951.939999998</v>
      </c>
      <c r="J4" s="276">
        <v>54240849.960000001</v>
      </c>
      <c r="K4" s="276">
        <v>61254760.509999998</v>
      </c>
      <c r="L4" s="276">
        <v>68568629.459999993</v>
      </c>
      <c r="M4" s="276">
        <v>75641831.810000002</v>
      </c>
      <c r="N4" s="276">
        <v>96703208.659999996</v>
      </c>
      <c r="O4" s="277">
        <f t="shared" si="0"/>
        <v>25961510.43</v>
      </c>
      <c r="P4" s="278">
        <f t="shared" si="0"/>
        <v>7733033</v>
      </c>
      <c r="Q4" s="278">
        <f t="shared" si="0"/>
        <v>15105750.200000001</v>
      </c>
      <c r="R4" s="278">
        <f t="shared" si="0"/>
        <v>22912608.300000001</v>
      </c>
      <c r="S4" s="278">
        <f t="shared" si="0"/>
        <v>30494902.52</v>
      </c>
      <c r="T4" s="278">
        <f t="shared" si="0"/>
        <v>37810543.520000003</v>
      </c>
      <c r="U4" s="278">
        <f t="shared" si="0"/>
        <v>45193915.519999996</v>
      </c>
      <c r="V4" s="278">
        <f t="shared" si="0"/>
        <v>53010040.019999996</v>
      </c>
      <c r="W4" s="279">
        <f t="shared" si="0"/>
        <v>60774651.25</v>
      </c>
      <c r="X4" s="278">
        <f t="shared" ref="X4:AB4" si="1">X5+X8</f>
        <v>68966916.409999996</v>
      </c>
      <c r="Y4" s="278">
        <f t="shared" si="1"/>
        <v>77051448.420000002</v>
      </c>
      <c r="Z4" s="278">
        <f t="shared" si="1"/>
        <v>85826674.549999997</v>
      </c>
      <c r="AA4" s="278">
        <f t="shared" si="1"/>
        <v>101401816.11999999</v>
      </c>
      <c r="AB4" s="279">
        <f t="shared" si="1"/>
        <v>101408021</v>
      </c>
      <c r="AC4" s="280">
        <f t="shared" ref="AC4:AN4" si="2">AC5+AC8</f>
        <v>8185876.2800000003</v>
      </c>
      <c r="AD4" s="280">
        <f t="shared" si="2"/>
        <v>16771220.710000001</v>
      </c>
      <c r="AE4" s="280">
        <f t="shared" si="2"/>
        <v>25142545.769999996</v>
      </c>
      <c r="AF4" s="280">
        <f t="shared" si="2"/>
        <v>31985088.859999999</v>
      </c>
      <c r="AG4" s="280">
        <f t="shared" si="2"/>
        <v>39933058.799999997</v>
      </c>
      <c r="AH4" s="280">
        <f t="shared" si="2"/>
        <v>47141651.75</v>
      </c>
      <c r="AI4" s="280">
        <f t="shared" si="2"/>
        <v>54225704.450000003</v>
      </c>
      <c r="AJ4" s="280">
        <f t="shared" si="2"/>
        <v>62127657.149999999</v>
      </c>
      <c r="AK4" s="280">
        <f t="shared" si="2"/>
        <v>70143994.079999998</v>
      </c>
      <c r="AL4" s="280">
        <f t="shared" si="2"/>
        <v>78357348.079999998</v>
      </c>
      <c r="AM4" s="280">
        <f t="shared" si="2"/>
        <v>87046568.149999991</v>
      </c>
      <c r="AN4" s="277">
        <f t="shared" si="2"/>
        <v>109911008.2</v>
      </c>
      <c r="AO4" s="278">
        <f t="shared" ref="AO4:AZ4" si="3">AO5+AO8</f>
        <v>111880294.69</v>
      </c>
      <c r="AP4" s="278">
        <f t="shared" si="3"/>
        <v>9124220.3100000005</v>
      </c>
      <c r="AQ4" s="278">
        <f t="shared" si="3"/>
        <v>18768888.129999999</v>
      </c>
      <c r="AR4" s="278">
        <f t="shared" si="3"/>
        <v>28401078.799999997</v>
      </c>
      <c r="AS4" s="278">
        <f t="shared" si="3"/>
        <v>123740796.28999999</v>
      </c>
      <c r="AT4" s="278">
        <f t="shared" si="3"/>
        <v>158571207.96000001</v>
      </c>
      <c r="AU4" s="278">
        <f t="shared" si="3"/>
        <v>57662227.700000003</v>
      </c>
      <c r="AV4" s="278">
        <f t="shared" si="3"/>
        <v>68399404.730000004</v>
      </c>
      <c r="AW4" s="278">
        <f t="shared" si="3"/>
        <v>78281041.069999993</v>
      </c>
      <c r="AX4" s="278">
        <f t="shared" si="3"/>
        <v>76479663.63000001</v>
      </c>
      <c r="AY4" s="278">
        <f t="shared" si="3"/>
        <v>0</v>
      </c>
      <c r="AZ4" s="278">
        <f t="shared" si="3"/>
        <v>0</v>
      </c>
    </row>
    <row r="5" spans="1:52">
      <c r="A5" s="281">
        <v>2</v>
      </c>
      <c r="B5" s="275" t="s">
        <v>60</v>
      </c>
      <c r="C5" s="282"/>
      <c r="D5" s="283">
        <f>D6+D7</f>
        <v>5222453.78</v>
      </c>
      <c r="E5" s="283">
        <f t="shared" ref="E5:W5" si="4">E6+E7</f>
        <v>10608469.880000001</v>
      </c>
      <c r="F5" s="283">
        <f t="shared" si="4"/>
        <v>15967667</v>
      </c>
      <c r="G5" s="283">
        <f t="shared" si="4"/>
        <v>21073369.960000001</v>
      </c>
      <c r="H5" s="283">
        <f t="shared" si="4"/>
        <v>26384513.460000001</v>
      </c>
      <c r="I5" s="283">
        <f t="shared" si="4"/>
        <v>31693722.659999996</v>
      </c>
      <c r="J5" s="283">
        <f t="shared" si="4"/>
        <v>42749477.380000003</v>
      </c>
      <c r="K5" s="283">
        <f t="shared" si="4"/>
        <v>48495226.680000007</v>
      </c>
      <c r="L5" s="283">
        <f t="shared" si="4"/>
        <v>54448181.080000006</v>
      </c>
      <c r="M5" s="283">
        <f t="shared" si="4"/>
        <v>60245673.230000004</v>
      </c>
      <c r="N5" s="283">
        <f t="shared" si="4"/>
        <v>70615501.079999998</v>
      </c>
      <c r="O5" s="284">
        <f t="shared" si="4"/>
        <v>0</v>
      </c>
      <c r="P5" s="285">
        <f t="shared" si="4"/>
        <v>7591473</v>
      </c>
      <c r="Q5" s="285">
        <f t="shared" si="4"/>
        <v>11991616.200000001</v>
      </c>
      <c r="R5" s="285">
        <f t="shared" si="4"/>
        <v>18240192.300000001</v>
      </c>
      <c r="S5" s="285">
        <f t="shared" si="4"/>
        <v>24407289.149999999</v>
      </c>
      <c r="T5" s="285">
        <f t="shared" si="4"/>
        <v>30458980.150000002</v>
      </c>
      <c r="U5" s="285">
        <f t="shared" si="4"/>
        <v>36629435.359999999</v>
      </c>
      <c r="V5" s="285">
        <f t="shared" si="4"/>
        <v>43073189.309999995</v>
      </c>
      <c r="W5" s="286">
        <f t="shared" si="4"/>
        <v>49513176.259999998</v>
      </c>
      <c r="X5" s="285">
        <f t="shared" ref="X5:AB5" si="5">X6+X7</f>
        <v>56239482.560000002</v>
      </c>
      <c r="Y5" s="285">
        <f t="shared" si="5"/>
        <v>62936999.460000001</v>
      </c>
      <c r="Z5" s="285">
        <f t="shared" si="5"/>
        <v>69685208.310000002</v>
      </c>
      <c r="AA5" s="285">
        <f t="shared" si="5"/>
        <v>76640883.559999987</v>
      </c>
      <c r="AB5" s="286">
        <f t="shared" si="5"/>
        <v>77339274</v>
      </c>
      <c r="AC5" s="287">
        <f t="shared" ref="AC5:AO5" si="6">AC6+AC7</f>
        <v>6870360</v>
      </c>
      <c r="AD5" s="287">
        <f t="shared" si="6"/>
        <v>13771215.5</v>
      </c>
      <c r="AE5" s="287">
        <f t="shared" si="6"/>
        <v>20715170.799999997</v>
      </c>
      <c r="AF5" s="287">
        <f t="shared" si="6"/>
        <v>26436965.309999999</v>
      </c>
      <c r="AG5" s="287">
        <f t="shared" si="6"/>
        <v>33334151.309999999</v>
      </c>
      <c r="AH5" s="287">
        <f t="shared" si="6"/>
        <v>38972921.039999999</v>
      </c>
      <c r="AI5" s="287">
        <f t="shared" si="6"/>
        <v>45712696.25</v>
      </c>
      <c r="AJ5" s="287">
        <f t="shared" si="6"/>
        <v>52647435.75</v>
      </c>
      <c r="AK5" s="287">
        <f t="shared" si="6"/>
        <v>59587356.100000001</v>
      </c>
      <c r="AL5" s="287">
        <f t="shared" si="6"/>
        <v>66757046.210000001</v>
      </c>
      <c r="AM5" s="287">
        <f t="shared" si="6"/>
        <v>74310753.75999999</v>
      </c>
      <c r="AN5" s="284">
        <f t="shared" si="6"/>
        <v>88232369.689999998</v>
      </c>
      <c r="AO5" s="285">
        <f t="shared" si="6"/>
        <v>88232370.689999998</v>
      </c>
      <c r="AP5" s="285">
        <f t="shared" ref="AP5:AZ5" si="7">AP6+AP7</f>
        <v>7890064.8800000008</v>
      </c>
      <c r="AQ5" s="285">
        <f t="shared" si="7"/>
        <v>15872049.32</v>
      </c>
      <c r="AR5" s="285">
        <f t="shared" si="7"/>
        <v>23836564.379999999</v>
      </c>
      <c r="AS5" s="285">
        <f t="shared" si="7"/>
        <v>113723279.73999999</v>
      </c>
      <c r="AT5" s="285">
        <f t="shared" si="7"/>
        <v>147626410.91</v>
      </c>
      <c r="AU5" s="285">
        <f t="shared" si="7"/>
        <v>49189777.460000001</v>
      </c>
      <c r="AV5" s="285">
        <f t="shared" si="7"/>
        <v>58434143.539999999</v>
      </c>
      <c r="AW5" s="285">
        <f t="shared" si="7"/>
        <v>66826816.379999995</v>
      </c>
      <c r="AX5" s="285">
        <f t="shared" si="7"/>
        <v>76438649.88000001</v>
      </c>
      <c r="AY5" s="285">
        <f t="shared" si="7"/>
        <v>0</v>
      </c>
      <c r="AZ5" s="285">
        <f t="shared" si="7"/>
        <v>0</v>
      </c>
    </row>
    <row r="6" spans="1:52" ht="15.75">
      <c r="A6" s="274">
        <v>2.1</v>
      </c>
      <c r="B6" s="288" t="s">
        <v>61</v>
      </c>
      <c r="C6" s="289"/>
      <c r="D6" s="290">
        <v>4522149.58</v>
      </c>
      <c r="E6" s="290">
        <v>9208162.8800000008</v>
      </c>
      <c r="F6" s="290">
        <v>14072634</v>
      </c>
      <c r="G6" s="290">
        <v>18817449.379999999</v>
      </c>
      <c r="H6" s="291">
        <v>23574404.379999999</v>
      </c>
      <c r="I6" s="291">
        <v>28401574.579999998</v>
      </c>
      <c r="J6" s="291">
        <v>38200406</v>
      </c>
      <c r="K6" s="291">
        <v>43289789.700000003</v>
      </c>
      <c r="L6" s="291">
        <v>48506553.700000003</v>
      </c>
      <c r="M6" s="291">
        <v>53720913.450000003</v>
      </c>
      <c r="N6" s="291">
        <v>63182271.100000001</v>
      </c>
      <c r="O6" s="292"/>
      <c r="P6" s="293">
        <v>5284408</v>
      </c>
      <c r="Q6" s="293">
        <v>10697906.4</v>
      </c>
      <c r="R6" s="293">
        <v>16202969.5</v>
      </c>
      <c r="S6" s="293">
        <v>21756991.149999999</v>
      </c>
      <c r="T6" s="293">
        <v>27146510.350000001</v>
      </c>
      <c r="U6" s="293">
        <v>32608641.760000002</v>
      </c>
      <c r="V6" s="293">
        <v>38228836.909999996</v>
      </c>
      <c r="W6" s="294">
        <v>43987826.460000001</v>
      </c>
      <c r="X6" s="295">
        <v>50015819.359999999</v>
      </c>
      <c r="Y6" s="295">
        <v>55942947.859999999</v>
      </c>
      <c r="Z6" s="295">
        <v>61992281.009999998</v>
      </c>
      <c r="AA6" s="295">
        <v>68337881.959999993</v>
      </c>
      <c r="AB6" s="296">
        <v>77339274</v>
      </c>
      <c r="AC6" s="297">
        <v>6215531.2000000002</v>
      </c>
      <c r="AD6" s="297">
        <v>12496487.699999999</v>
      </c>
      <c r="AE6" s="297">
        <v>18566796.899999999</v>
      </c>
      <c r="AF6" s="297">
        <v>23466781.609999999</v>
      </c>
      <c r="AG6" s="297">
        <v>29502401.41</v>
      </c>
      <c r="AH6" s="297">
        <v>34600423.740000002</v>
      </c>
      <c r="AI6" s="298">
        <v>40756553.149999999</v>
      </c>
      <c r="AJ6" s="298">
        <v>47285239.649999999</v>
      </c>
      <c r="AK6" s="298">
        <v>53671372</v>
      </c>
      <c r="AL6" s="298">
        <v>60267927.109999999</v>
      </c>
      <c r="AM6" s="298">
        <v>66747662.259999998</v>
      </c>
      <c r="AN6" s="299">
        <v>88232369.689999998</v>
      </c>
      <c r="AO6" s="295">
        <v>88232370.689999998</v>
      </c>
      <c r="AP6" s="300">
        <v>7087584.4800000004</v>
      </c>
      <c r="AQ6" s="300">
        <v>14395324.92</v>
      </c>
      <c r="AR6" s="300">
        <v>21640226.98</v>
      </c>
      <c r="AS6" s="263">
        <v>113254679.73999999</v>
      </c>
      <c r="AT6" s="263">
        <v>147006010.91</v>
      </c>
      <c r="AU6" s="301">
        <v>43973086.060000002</v>
      </c>
      <c r="AV6" s="301">
        <v>52344635.140000001</v>
      </c>
      <c r="AW6" s="300">
        <v>59548815.979999997</v>
      </c>
      <c r="AX6" s="366">
        <v>68233586.680000007</v>
      </c>
      <c r="AY6" s="300"/>
      <c r="AZ6" s="300"/>
    </row>
    <row r="7" spans="1:52" ht="15.75">
      <c r="A7" s="274">
        <v>2.2000000000000002</v>
      </c>
      <c r="B7" s="288" t="s">
        <v>62</v>
      </c>
      <c r="C7" s="289"/>
      <c r="D7" s="290">
        <v>700304.2</v>
      </c>
      <c r="E7" s="290">
        <v>1400307</v>
      </c>
      <c r="F7" s="290">
        <v>1895033</v>
      </c>
      <c r="G7" s="290">
        <v>2255920.58</v>
      </c>
      <c r="H7" s="291">
        <v>2810109.08</v>
      </c>
      <c r="I7" s="291">
        <v>3292148.08</v>
      </c>
      <c r="J7" s="291">
        <v>4549071.38</v>
      </c>
      <c r="K7" s="291">
        <v>5205436.9800000004</v>
      </c>
      <c r="L7" s="291">
        <v>5941627.3799999999</v>
      </c>
      <c r="M7" s="291">
        <v>6524759.7800000003</v>
      </c>
      <c r="N7" s="291">
        <v>7433229.9800000004</v>
      </c>
      <c r="O7" s="292"/>
      <c r="P7" s="293">
        <v>2307065</v>
      </c>
      <c r="Q7" s="293">
        <v>1293709.8</v>
      </c>
      <c r="R7" s="293">
        <v>2037222.8</v>
      </c>
      <c r="S7" s="293">
        <v>2650298</v>
      </c>
      <c r="T7" s="293">
        <v>3312469.8</v>
      </c>
      <c r="U7" s="293">
        <v>4020793.6</v>
      </c>
      <c r="V7" s="293">
        <v>4844352.4000000004</v>
      </c>
      <c r="W7" s="294">
        <v>5525349.7999999998</v>
      </c>
      <c r="X7" s="295">
        <v>6223663.2000000002</v>
      </c>
      <c r="Y7" s="295">
        <v>6994051.5999999996</v>
      </c>
      <c r="Z7" s="295">
        <v>7692927.2999999998</v>
      </c>
      <c r="AA7" s="295">
        <v>8303001.5999999996</v>
      </c>
      <c r="AB7" s="296"/>
      <c r="AC7" s="297">
        <v>654828.80000000005</v>
      </c>
      <c r="AD7" s="297">
        <v>1274727.8</v>
      </c>
      <c r="AE7" s="297">
        <v>2148373.9</v>
      </c>
      <c r="AF7" s="297">
        <v>2970183.7</v>
      </c>
      <c r="AG7" s="297">
        <v>3831749.9</v>
      </c>
      <c r="AH7" s="297">
        <v>4372497.3</v>
      </c>
      <c r="AI7" s="298">
        <v>4956143.0999999996</v>
      </c>
      <c r="AJ7" s="298">
        <v>5362196.0999999996</v>
      </c>
      <c r="AK7" s="298">
        <v>5915984.0999999996</v>
      </c>
      <c r="AL7" s="298">
        <v>6489119.0999999996</v>
      </c>
      <c r="AM7" s="298">
        <v>7563091.5</v>
      </c>
      <c r="AN7" s="299">
        <v>0</v>
      </c>
      <c r="AO7" s="295">
        <v>0</v>
      </c>
      <c r="AP7" s="300">
        <v>802480.4</v>
      </c>
      <c r="AQ7" s="300">
        <v>1476724.4</v>
      </c>
      <c r="AR7" s="300">
        <v>2196337.4</v>
      </c>
      <c r="AS7" s="263">
        <v>468600</v>
      </c>
      <c r="AT7" s="263">
        <v>620400</v>
      </c>
      <c r="AU7" s="302">
        <v>5216691.4000000004</v>
      </c>
      <c r="AV7" s="302">
        <v>6089508.4000000004</v>
      </c>
      <c r="AW7" s="300">
        <v>7278000.4000000004</v>
      </c>
      <c r="AX7" s="368">
        <v>8205063.2000000002</v>
      </c>
      <c r="AY7" s="300"/>
      <c r="AZ7" s="300"/>
    </row>
    <row r="8" spans="1:52">
      <c r="A8" s="274">
        <v>3</v>
      </c>
      <c r="B8" s="275" t="s">
        <v>63</v>
      </c>
      <c r="C8" s="303">
        <f t="shared" ref="C8" si="8">C9+C10+C11+C12</f>
        <v>0</v>
      </c>
      <c r="D8" s="303">
        <v>93917.85</v>
      </c>
      <c r="E8" s="303">
        <v>235212.7</v>
      </c>
      <c r="F8" s="303">
        <v>373017</v>
      </c>
      <c r="G8" s="303">
        <v>373017</v>
      </c>
      <c r="H8" s="303">
        <v>319788.05</v>
      </c>
      <c r="I8" s="303">
        <v>410116.75</v>
      </c>
      <c r="J8" s="303">
        <v>534966.05000000005</v>
      </c>
      <c r="K8" s="303">
        <v>561267.30000000005</v>
      </c>
      <c r="L8" s="303">
        <v>645375.85</v>
      </c>
      <c r="M8" s="303">
        <v>663458.05000000005</v>
      </c>
      <c r="N8" s="303">
        <v>9385105.0500000007</v>
      </c>
      <c r="O8" s="304">
        <f>O9+O10+O11+O12</f>
        <v>25961510.43</v>
      </c>
      <c r="P8" s="305">
        <f t="shared" ref="P8:AZ8" si="9">P9+P10+P11+P12</f>
        <v>141560</v>
      </c>
      <c r="Q8" s="305">
        <f t="shared" si="9"/>
        <v>3114134</v>
      </c>
      <c r="R8" s="305">
        <f t="shared" si="9"/>
        <v>4672416</v>
      </c>
      <c r="S8" s="305">
        <f t="shared" si="9"/>
        <v>6087613.3700000001</v>
      </c>
      <c r="T8" s="305">
        <f t="shared" si="9"/>
        <v>7351563.3700000001</v>
      </c>
      <c r="U8" s="305">
        <f t="shared" si="9"/>
        <v>8564480.1600000001</v>
      </c>
      <c r="V8" s="305">
        <f t="shared" si="9"/>
        <v>9936850.709999999</v>
      </c>
      <c r="W8" s="306">
        <f t="shared" si="9"/>
        <v>11261474.99</v>
      </c>
      <c r="X8" s="305">
        <f t="shared" si="9"/>
        <v>12727433.85</v>
      </c>
      <c r="Y8" s="305">
        <f t="shared" si="9"/>
        <v>14114448.959999999</v>
      </c>
      <c r="Z8" s="305">
        <f t="shared" si="9"/>
        <v>16141466.24</v>
      </c>
      <c r="AA8" s="305">
        <f t="shared" si="9"/>
        <v>24760932.559999999</v>
      </c>
      <c r="AB8" s="306">
        <f t="shared" si="9"/>
        <v>24068747</v>
      </c>
      <c r="AC8" s="307">
        <f t="shared" si="9"/>
        <v>1315516.28</v>
      </c>
      <c r="AD8" s="307">
        <f t="shared" si="9"/>
        <v>3000005.21</v>
      </c>
      <c r="AE8" s="307">
        <f t="shared" si="9"/>
        <v>4427374.97</v>
      </c>
      <c r="AF8" s="307">
        <f t="shared" si="9"/>
        <v>5548123.5499999998</v>
      </c>
      <c r="AG8" s="307">
        <f t="shared" si="9"/>
        <v>6598907.4899999993</v>
      </c>
      <c r="AH8" s="307">
        <f t="shared" si="9"/>
        <v>8168730.71</v>
      </c>
      <c r="AI8" s="307">
        <f t="shared" si="9"/>
        <v>8513008.1999999993</v>
      </c>
      <c r="AJ8" s="307">
        <f t="shared" si="9"/>
        <v>9480221.4000000004</v>
      </c>
      <c r="AK8" s="307">
        <f t="shared" si="9"/>
        <v>10556637.98</v>
      </c>
      <c r="AL8" s="307">
        <f t="shared" si="9"/>
        <v>11600301.869999999</v>
      </c>
      <c r="AM8" s="307">
        <f t="shared" si="9"/>
        <v>12735814.390000001</v>
      </c>
      <c r="AN8" s="304">
        <f t="shared" si="9"/>
        <v>21678638.510000002</v>
      </c>
      <c r="AO8" s="305">
        <f t="shared" si="9"/>
        <v>23647924</v>
      </c>
      <c r="AP8" s="305">
        <f t="shared" si="9"/>
        <v>1234155.43</v>
      </c>
      <c r="AQ8" s="305">
        <f t="shared" si="9"/>
        <v>2896838.81</v>
      </c>
      <c r="AR8" s="305">
        <f t="shared" si="9"/>
        <v>4564514.42</v>
      </c>
      <c r="AS8" s="305">
        <f t="shared" si="9"/>
        <v>10017516.549999999</v>
      </c>
      <c r="AT8" s="305">
        <f t="shared" si="9"/>
        <v>10944797.050000001</v>
      </c>
      <c r="AU8" s="305">
        <f t="shared" si="9"/>
        <v>8472450.2400000002</v>
      </c>
      <c r="AV8" s="305">
        <f t="shared" si="9"/>
        <v>9965261.1899999995</v>
      </c>
      <c r="AW8" s="305">
        <f t="shared" si="9"/>
        <v>11454224.689999999</v>
      </c>
      <c r="AX8" s="305">
        <f t="shared" si="9"/>
        <v>41013.75</v>
      </c>
      <c r="AY8" s="305">
        <f t="shared" si="9"/>
        <v>0</v>
      </c>
      <c r="AZ8" s="305">
        <f t="shared" si="9"/>
        <v>0</v>
      </c>
    </row>
    <row r="9" spans="1:52">
      <c r="A9" s="274">
        <v>3.1</v>
      </c>
      <c r="B9" s="288" t="s">
        <v>64</v>
      </c>
      <c r="C9" s="289"/>
      <c r="D9" s="290">
        <v>0</v>
      </c>
      <c r="E9" s="290">
        <v>0</v>
      </c>
      <c r="F9" s="290">
        <v>0</v>
      </c>
      <c r="G9" s="290">
        <v>0</v>
      </c>
      <c r="H9" s="291">
        <v>0</v>
      </c>
      <c r="I9" s="291">
        <v>0</v>
      </c>
      <c r="J9" s="291">
        <v>0</v>
      </c>
      <c r="K9" s="291">
        <v>0</v>
      </c>
      <c r="L9" s="291">
        <v>0</v>
      </c>
      <c r="M9" s="291">
        <v>0</v>
      </c>
      <c r="N9" s="291">
        <v>0</v>
      </c>
      <c r="O9" s="292"/>
      <c r="P9" s="293">
        <v>0</v>
      </c>
      <c r="Q9" s="293">
        <v>0</v>
      </c>
      <c r="R9" s="293">
        <v>0</v>
      </c>
      <c r="S9" s="293">
        <v>0</v>
      </c>
      <c r="T9" s="293">
        <v>0</v>
      </c>
      <c r="U9" s="293">
        <v>0</v>
      </c>
      <c r="V9" s="293">
        <v>0</v>
      </c>
      <c r="W9" s="294">
        <v>0</v>
      </c>
      <c r="X9" s="295">
        <v>0</v>
      </c>
      <c r="Y9" s="295">
        <v>0</v>
      </c>
      <c r="Z9" s="295">
        <v>0</v>
      </c>
      <c r="AA9" s="295">
        <v>0</v>
      </c>
      <c r="AB9" s="296"/>
      <c r="AC9" s="297">
        <v>0</v>
      </c>
      <c r="AD9" s="297">
        <v>0</v>
      </c>
      <c r="AE9" s="297">
        <v>0</v>
      </c>
      <c r="AF9" s="297">
        <v>0</v>
      </c>
      <c r="AG9" s="297">
        <v>0</v>
      </c>
      <c r="AH9" s="297">
        <v>0</v>
      </c>
      <c r="AI9" s="298">
        <v>0</v>
      </c>
      <c r="AJ9" s="298">
        <v>0</v>
      </c>
      <c r="AK9" s="298">
        <v>0</v>
      </c>
      <c r="AL9" s="298">
        <v>0</v>
      </c>
      <c r="AM9" s="298">
        <v>0</v>
      </c>
      <c r="AN9" s="299">
        <v>0</v>
      </c>
      <c r="AO9" s="295"/>
      <c r="AP9" s="300">
        <v>0</v>
      </c>
      <c r="AQ9" s="300">
        <v>0</v>
      </c>
      <c r="AR9" s="300">
        <v>0</v>
      </c>
      <c r="AS9" s="263">
        <v>0</v>
      </c>
      <c r="AT9" s="263">
        <v>0</v>
      </c>
      <c r="AU9" s="308">
        <v>0</v>
      </c>
      <c r="AV9" s="308">
        <v>0</v>
      </c>
      <c r="AW9" s="300">
        <v>0</v>
      </c>
      <c r="AX9" s="300">
        <v>0</v>
      </c>
      <c r="AY9" s="300"/>
      <c r="AZ9" s="300"/>
    </row>
    <row r="10" spans="1:52">
      <c r="A10" s="274">
        <v>3.2</v>
      </c>
      <c r="B10" s="288" t="s">
        <v>65</v>
      </c>
      <c r="C10" s="289"/>
      <c r="D10" s="290">
        <v>93917.85</v>
      </c>
      <c r="E10" s="290">
        <v>235212.7</v>
      </c>
      <c r="F10" s="290">
        <v>373017</v>
      </c>
      <c r="G10" s="290">
        <v>373017</v>
      </c>
      <c r="H10" s="291">
        <v>319788.05</v>
      </c>
      <c r="I10" s="291">
        <v>410116.75</v>
      </c>
      <c r="J10" s="291">
        <v>534966.05000000005</v>
      </c>
      <c r="K10" s="291">
        <v>561267.30000000005</v>
      </c>
      <c r="L10" s="291">
        <v>645375.85</v>
      </c>
      <c r="M10" s="291">
        <v>663458.05000000005</v>
      </c>
      <c r="N10" s="291">
        <v>9385105.0500000007</v>
      </c>
      <c r="O10" s="292">
        <v>9385105.0500000007</v>
      </c>
      <c r="P10" s="293">
        <v>0</v>
      </c>
      <c r="Q10" s="293">
        <v>0</v>
      </c>
      <c r="R10" s="293">
        <v>0</v>
      </c>
      <c r="S10" s="293">
        <v>163397</v>
      </c>
      <c r="T10" s="293">
        <v>163397</v>
      </c>
      <c r="U10" s="293">
        <v>187232.79</v>
      </c>
      <c r="V10" s="293">
        <v>223890.34</v>
      </c>
      <c r="W10" s="294">
        <v>223890.34</v>
      </c>
      <c r="X10" s="295">
        <v>358931.34</v>
      </c>
      <c r="Y10" s="295">
        <v>391232.04</v>
      </c>
      <c r="Z10" s="295">
        <v>452875.84</v>
      </c>
      <c r="AA10" s="295">
        <v>8956142.6899999995</v>
      </c>
      <c r="AB10" s="296">
        <v>8956143</v>
      </c>
      <c r="AC10" s="297">
        <v>1315516.28</v>
      </c>
      <c r="AD10" s="297">
        <v>5067</v>
      </c>
      <c r="AE10" s="297">
        <v>103368.35</v>
      </c>
      <c r="AF10" s="297">
        <v>103368.35</v>
      </c>
      <c r="AG10" s="297">
        <v>189751.85</v>
      </c>
      <c r="AH10" s="297">
        <v>189751.85</v>
      </c>
      <c r="AI10" s="298">
        <v>274416.2</v>
      </c>
      <c r="AJ10" s="298">
        <v>290854.55</v>
      </c>
      <c r="AK10" s="298">
        <v>318471</v>
      </c>
      <c r="AL10" s="298">
        <v>318471</v>
      </c>
      <c r="AM10" s="298">
        <v>318471</v>
      </c>
      <c r="AN10" s="299">
        <v>8636616.0500000007</v>
      </c>
      <c r="AO10" s="295">
        <v>10601777</v>
      </c>
      <c r="AP10" s="300">
        <v>0</v>
      </c>
      <c r="AQ10" s="300">
        <v>4109.6000000000004</v>
      </c>
      <c r="AR10" s="300">
        <v>10684.95</v>
      </c>
      <c r="AS10" s="263">
        <v>991028.94</v>
      </c>
      <c r="AT10" s="263">
        <v>1043751.92</v>
      </c>
      <c r="AU10" s="302">
        <v>41013.75</v>
      </c>
      <c r="AV10" s="302">
        <v>41013.75</v>
      </c>
      <c r="AW10" s="300">
        <v>41013.75</v>
      </c>
      <c r="AX10" s="300">
        <v>41013.75</v>
      </c>
      <c r="AY10" s="300"/>
      <c r="AZ10" s="300"/>
    </row>
    <row r="11" spans="1:52" ht="30.6">
      <c r="A11" s="274">
        <v>3.3</v>
      </c>
      <c r="B11" s="288" t="s">
        <v>66</v>
      </c>
      <c r="C11" s="289"/>
      <c r="D11" s="290">
        <v>0</v>
      </c>
      <c r="E11" s="290">
        <v>0</v>
      </c>
      <c r="F11" s="290">
        <v>0</v>
      </c>
      <c r="G11" s="290">
        <v>0</v>
      </c>
      <c r="H11" s="291">
        <v>0</v>
      </c>
      <c r="I11" s="291">
        <v>0</v>
      </c>
      <c r="J11" s="291">
        <v>0</v>
      </c>
      <c r="K11" s="291">
        <v>0</v>
      </c>
      <c r="L11" s="291">
        <v>0</v>
      </c>
      <c r="M11" s="291">
        <v>0</v>
      </c>
      <c r="N11" s="291">
        <v>0</v>
      </c>
      <c r="O11" s="292">
        <v>1205672</v>
      </c>
      <c r="P11" s="293">
        <v>0</v>
      </c>
      <c r="Q11" s="293">
        <v>0</v>
      </c>
      <c r="R11" s="293">
        <v>0</v>
      </c>
      <c r="S11" s="293">
        <v>0</v>
      </c>
      <c r="T11" s="293">
        <v>0</v>
      </c>
      <c r="U11" s="293">
        <v>0</v>
      </c>
      <c r="V11" s="293">
        <v>0</v>
      </c>
      <c r="W11" s="294">
        <v>0</v>
      </c>
      <c r="X11" s="295">
        <v>0</v>
      </c>
      <c r="Y11" s="295">
        <v>0</v>
      </c>
      <c r="Z11" s="295">
        <v>0</v>
      </c>
      <c r="AA11" s="295">
        <v>0</v>
      </c>
      <c r="AB11" s="296"/>
      <c r="AC11" s="297">
        <v>0</v>
      </c>
      <c r="AD11" s="297">
        <v>0</v>
      </c>
      <c r="AE11" s="297">
        <v>0</v>
      </c>
      <c r="AF11" s="297">
        <v>0</v>
      </c>
      <c r="AG11" s="297">
        <v>0</v>
      </c>
      <c r="AH11" s="297">
        <v>0</v>
      </c>
      <c r="AI11" s="298">
        <v>0</v>
      </c>
      <c r="AJ11" s="298">
        <v>0</v>
      </c>
      <c r="AK11" s="298">
        <v>0</v>
      </c>
      <c r="AL11" s="298">
        <v>0</v>
      </c>
      <c r="AM11" s="298">
        <v>0</v>
      </c>
      <c r="AN11" s="299">
        <v>0</v>
      </c>
      <c r="AO11" s="295"/>
      <c r="AP11" s="300">
        <v>0</v>
      </c>
      <c r="AQ11" s="300">
        <v>0</v>
      </c>
      <c r="AR11" s="300">
        <v>0</v>
      </c>
      <c r="AS11" s="263">
        <v>0</v>
      </c>
      <c r="AT11" s="263">
        <v>0</v>
      </c>
      <c r="AU11" s="309">
        <v>0</v>
      </c>
      <c r="AV11" s="309">
        <v>0</v>
      </c>
      <c r="AW11" s="300">
        <v>0</v>
      </c>
      <c r="AX11" s="300">
        <v>0</v>
      </c>
      <c r="AY11" s="300"/>
      <c r="AZ11" s="300"/>
    </row>
    <row r="12" spans="1:52" ht="30.6">
      <c r="A12" s="274">
        <v>3.4</v>
      </c>
      <c r="B12" s="288" t="s">
        <v>67</v>
      </c>
      <c r="C12" s="282"/>
      <c r="D12" s="310">
        <v>727223.66</v>
      </c>
      <c r="E12" s="310">
        <v>2835676.5</v>
      </c>
      <c r="F12" s="310">
        <v>4531786</v>
      </c>
      <c r="G12" s="310">
        <v>5779076.5</v>
      </c>
      <c r="H12" s="291">
        <v>7057658.5300000003</v>
      </c>
      <c r="I12" s="291">
        <v>8449112.5299999993</v>
      </c>
      <c r="J12" s="291">
        <v>10956406.529999999</v>
      </c>
      <c r="K12" s="291">
        <v>12198266.529999999</v>
      </c>
      <c r="L12" s="291">
        <v>13475072.529999999</v>
      </c>
      <c r="M12" s="291">
        <v>14732700.529999999</v>
      </c>
      <c r="N12" s="291">
        <v>16702602.529999999</v>
      </c>
      <c r="O12" s="292">
        <v>15370733.379999999</v>
      </c>
      <c r="P12" s="311">
        <v>141560</v>
      </c>
      <c r="Q12" s="311">
        <v>3114134</v>
      </c>
      <c r="R12" s="311">
        <v>4672416</v>
      </c>
      <c r="S12" s="311">
        <v>5924216.3700000001</v>
      </c>
      <c r="T12" s="311">
        <v>7188166.3700000001</v>
      </c>
      <c r="U12" s="311">
        <v>8377247.3700000001</v>
      </c>
      <c r="V12" s="311">
        <v>9712960.3699999992</v>
      </c>
      <c r="W12" s="312">
        <v>11037584.65</v>
      </c>
      <c r="X12" s="295">
        <v>12368502.51</v>
      </c>
      <c r="Y12" s="295">
        <v>13723216.92</v>
      </c>
      <c r="Z12" s="295">
        <v>15688590.4</v>
      </c>
      <c r="AA12" s="295">
        <v>15804789.869999999</v>
      </c>
      <c r="AB12" s="296">
        <v>15112604</v>
      </c>
      <c r="AC12" s="297">
        <v>0</v>
      </c>
      <c r="AD12" s="297">
        <v>2994938.21</v>
      </c>
      <c r="AE12" s="297">
        <v>4324006.62</v>
      </c>
      <c r="AF12" s="297">
        <v>5444755.2000000002</v>
      </c>
      <c r="AG12" s="297">
        <v>6409155.6399999997</v>
      </c>
      <c r="AH12" s="297">
        <v>7978978.8600000003</v>
      </c>
      <c r="AI12" s="298">
        <v>8238592</v>
      </c>
      <c r="AJ12" s="313">
        <v>9189366.8499999996</v>
      </c>
      <c r="AK12" s="298">
        <v>10238166.98</v>
      </c>
      <c r="AL12" s="298">
        <v>11281830.869999999</v>
      </c>
      <c r="AM12" s="298">
        <v>12417343.390000001</v>
      </c>
      <c r="AN12" s="299">
        <v>13042022.460000001</v>
      </c>
      <c r="AO12" s="295">
        <v>13046147</v>
      </c>
      <c r="AP12" s="300">
        <v>1234155.43</v>
      </c>
      <c r="AQ12" s="300">
        <v>2892729.21</v>
      </c>
      <c r="AR12" s="300">
        <v>4553829.47</v>
      </c>
      <c r="AS12" s="263">
        <v>9026487.6099999994</v>
      </c>
      <c r="AT12" s="263">
        <v>9901045.1300000008</v>
      </c>
      <c r="AU12" s="314">
        <v>8431436.4900000002</v>
      </c>
      <c r="AV12" s="314">
        <v>9924247.4399999995</v>
      </c>
      <c r="AW12" s="300">
        <v>11413210.939999999</v>
      </c>
      <c r="AX12" s="300"/>
      <c r="AY12" s="300"/>
      <c r="AZ12" s="300"/>
    </row>
    <row r="13" spans="1:52">
      <c r="A13" s="274">
        <v>4</v>
      </c>
      <c r="B13" s="275" t="s">
        <v>68</v>
      </c>
      <c r="C13" s="303">
        <f t="shared" ref="C13" si="10">C14+C15+C16+C17+C18+C19</f>
        <v>0</v>
      </c>
      <c r="D13" s="303">
        <v>233117</v>
      </c>
      <c r="E13" s="303">
        <v>281033</v>
      </c>
      <c r="F13" s="303">
        <v>429472</v>
      </c>
      <c r="G13" s="303">
        <v>455886</v>
      </c>
      <c r="H13" s="303">
        <v>521206.59</v>
      </c>
      <c r="I13" s="303">
        <v>759467.53</v>
      </c>
      <c r="J13" s="303">
        <v>972670.53</v>
      </c>
      <c r="K13" s="303">
        <v>1053514.23</v>
      </c>
      <c r="L13" s="303">
        <v>1174255.23</v>
      </c>
      <c r="M13" s="303">
        <v>1274233.69</v>
      </c>
      <c r="N13" s="303">
        <v>1691237.34</v>
      </c>
      <c r="O13" s="304">
        <f>O14+O15+O16+O17+O18+O19</f>
        <v>23007203.310000002</v>
      </c>
      <c r="P13" s="305">
        <f t="shared" ref="P13:AZ13" si="11">P14+P15+P16+P17+P18+P19</f>
        <v>358729</v>
      </c>
      <c r="Q13" s="305">
        <f t="shared" si="11"/>
        <v>622500.15</v>
      </c>
      <c r="R13" s="305">
        <f t="shared" si="11"/>
        <v>721788.9</v>
      </c>
      <c r="S13" s="305">
        <f t="shared" si="11"/>
        <v>589158.25</v>
      </c>
      <c r="T13" s="305">
        <f t="shared" si="11"/>
        <v>743648.25</v>
      </c>
      <c r="U13" s="305">
        <f t="shared" si="11"/>
        <v>896755.35</v>
      </c>
      <c r="V13" s="305">
        <f t="shared" si="11"/>
        <v>1110754.3499999999</v>
      </c>
      <c r="W13" s="306">
        <f t="shared" si="11"/>
        <v>1478794.3499999999</v>
      </c>
      <c r="X13" s="305">
        <f t="shared" si="11"/>
        <v>1230721.75</v>
      </c>
      <c r="Y13" s="305">
        <f t="shared" si="11"/>
        <v>1411308.15</v>
      </c>
      <c r="Z13" s="305">
        <f t="shared" si="11"/>
        <v>1630493.75</v>
      </c>
      <c r="AA13" s="305">
        <f t="shared" si="11"/>
        <v>2316052.35</v>
      </c>
      <c r="AB13" s="306">
        <f t="shared" si="11"/>
        <v>30466739.809999999</v>
      </c>
      <c r="AC13" s="307">
        <f t="shared" si="11"/>
        <v>413877</v>
      </c>
      <c r="AD13" s="307">
        <f t="shared" si="11"/>
        <v>482403</v>
      </c>
      <c r="AE13" s="307">
        <f t="shared" si="11"/>
        <v>713659.4</v>
      </c>
      <c r="AF13" s="307">
        <f t="shared" si="11"/>
        <v>784589.81</v>
      </c>
      <c r="AG13" s="307">
        <f t="shared" si="11"/>
        <v>885796.81</v>
      </c>
      <c r="AH13" s="307">
        <f t="shared" si="11"/>
        <v>1102976.8099999998</v>
      </c>
      <c r="AI13" s="307">
        <f t="shared" si="11"/>
        <v>1307841.3099999998</v>
      </c>
      <c r="AJ13" s="307">
        <f t="shared" si="11"/>
        <v>1424493.3099999998</v>
      </c>
      <c r="AK13" s="307">
        <f t="shared" si="11"/>
        <v>1679005.3099999998</v>
      </c>
      <c r="AL13" s="307">
        <f t="shared" si="11"/>
        <v>1773098.3099999998</v>
      </c>
      <c r="AM13" s="307">
        <f t="shared" si="11"/>
        <v>1917524.41</v>
      </c>
      <c r="AN13" s="304">
        <f t="shared" si="11"/>
        <v>2256539.11</v>
      </c>
      <c r="AO13" s="305">
        <f t="shared" si="11"/>
        <v>28305255</v>
      </c>
      <c r="AP13" s="305">
        <f t="shared" si="11"/>
        <v>239924.25999999998</v>
      </c>
      <c r="AQ13" s="305">
        <f t="shared" si="11"/>
        <v>325017.49</v>
      </c>
      <c r="AR13" s="305">
        <f t="shared" si="11"/>
        <v>522307.78</v>
      </c>
      <c r="AS13" s="305">
        <f t="shared" si="11"/>
        <v>64751265.079999998</v>
      </c>
      <c r="AT13" s="305">
        <f t="shared" si="11"/>
        <v>65444533.130000003</v>
      </c>
      <c r="AU13" s="305">
        <f t="shared" si="11"/>
        <v>1139417.08</v>
      </c>
      <c r="AV13" s="305">
        <f t="shared" si="11"/>
        <v>1483082.48</v>
      </c>
      <c r="AW13" s="305">
        <f t="shared" si="11"/>
        <v>1602943.48</v>
      </c>
      <c r="AX13" s="305">
        <f t="shared" si="11"/>
        <v>1770632.26</v>
      </c>
      <c r="AY13" s="305">
        <f t="shared" si="11"/>
        <v>0</v>
      </c>
      <c r="AZ13" s="305">
        <f t="shared" si="11"/>
        <v>0</v>
      </c>
    </row>
    <row r="14" spans="1:52" ht="15.75">
      <c r="A14" s="274">
        <v>4.2</v>
      </c>
      <c r="B14" s="288" t="s">
        <v>69</v>
      </c>
      <c r="C14" s="289"/>
      <c r="D14" s="290">
        <v>233117</v>
      </c>
      <c r="E14" s="290">
        <v>281033</v>
      </c>
      <c r="F14" s="290">
        <v>373017</v>
      </c>
      <c r="G14" s="290">
        <v>399431</v>
      </c>
      <c r="H14" s="291">
        <v>462351.29</v>
      </c>
      <c r="I14" s="291">
        <v>616370.23</v>
      </c>
      <c r="J14" s="291">
        <v>829573.23</v>
      </c>
      <c r="K14" s="291">
        <v>897398.23</v>
      </c>
      <c r="L14" s="291">
        <v>957370.23</v>
      </c>
      <c r="M14" s="291">
        <v>1055499.8899999999</v>
      </c>
      <c r="N14" s="291">
        <v>1457284.94</v>
      </c>
      <c r="O14" s="292">
        <v>21789408.940000001</v>
      </c>
      <c r="P14" s="293">
        <v>115129</v>
      </c>
      <c r="Q14" s="293">
        <v>344582.15</v>
      </c>
      <c r="R14" s="293">
        <v>476988.9</v>
      </c>
      <c r="S14" s="293">
        <v>586938.44999999995</v>
      </c>
      <c r="T14" s="293">
        <v>692728.45</v>
      </c>
      <c r="U14" s="293">
        <v>792352.45</v>
      </c>
      <c r="V14" s="293">
        <v>985597.45</v>
      </c>
      <c r="W14" s="294">
        <v>1360067.45</v>
      </c>
      <c r="X14" s="295">
        <v>1077910.45</v>
      </c>
      <c r="Y14" s="295">
        <v>1255129.45</v>
      </c>
      <c r="Z14" s="295">
        <v>1361156.55</v>
      </c>
      <c r="AA14" s="295">
        <v>2012018.55</v>
      </c>
      <c r="AB14" s="296">
        <v>29077862</v>
      </c>
      <c r="AC14" s="297">
        <v>413877</v>
      </c>
      <c r="AD14" s="297">
        <v>482403</v>
      </c>
      <c r="AE14" s="297">
        <v>712941</v>
      </c>
      <c r="AF14" s="297">
        <v>777441.41</v>
      </c>
      <c r="AG14" s="297">
        <v>838502.41</v>
      </c>
      <c r="AH14" s="297">
        <v>1055682.4099999999</v>
      </c>
      <c r="AI14" s="298">
        <v>1223585.4099999999</v>
      </c>
      <c r="AJ14" s="298">
        <v>1299215.4099999999</v>
      </c>
      <c r="AK14" s="298">
        <v>1553727.41</v>
      </c>
      <c r="AL14" s="298">
        <v>1647820.41</v>
      </c>
      <c r="AM14" s="298">
        <v>1792246.51</v>
      </c>
      <c r="AN14" s="299">
        <v>1989967.51</v>
      </c>
      <c r="AO14" s="295">
        <v>26753957</v>
      </c>
      <c r="AP14" s="300">
        <v>238903.96</v>
      </c>
      <c r="AQ14" s="300">
        <v>308631.28999999998</v>
      </c>
      <c r="AR14" s="300">
        <v>487921.58</v>
      </c>
      <c r="AS14" s="263">
        <v>64479144.079999998</v>
      </c>
      <c r="AT14" s="263">
        <v>65161990.130000003</v>
      </c>
      <c r="AU14" s="301">
        <v>1013484.58</v>
      </c>
      <c r="AV14" s="301">
        <v>1316846.58</v>
      </c>
      <c r="AW14" s="300">
        <v>1415772.58</v>
      </c>
      <c r="AX14" s="366">
        <v>1572212.36</v>
      </c>
      <c r="AY14" s="300"/>
      <c r="AZ14" s="300"/>
    </row>
    <row r="15" spans="1:52" ht="15.75">
      <c r="A15" s="274">
        <v>4.3</v>
      </c>
      <c r="B15" s="288" t="s">
        <v>70</v>
      </c>
      <c r="C15" s="289"/>
      <c r="D15" s="290">
        <v>0</v>
      </c>
      <c r="E15" s="290">
        <v>0</v>
      </c>
      <c r="F15" s="290">
        <v>0</v>
      </c>
      <c r="G15" s="290">
        <v>0</v>
      </c>
      <c r="H15" s="291">
        <v>0</v>
      </c>
      <c r="I15" s="291">
        <v>0</v>
      </c>
      <c r="J15" s="291">
        <v>0</v>
      </c>
      <c r="K15" s="291">
        <v>0</v>
      </c>
      <c r="L15" s="291">
        <v>0</v>
      </c>
      <c r="M15" s="291">
        <v>0</v>
      </c>
      <c r="N15" s="291">
        <v>0</v>
      </c>
      <c r="O15" s="292"/>
      <c r="P15" s="293">
        <v>0</v>
      </c>
      <c r="Q15" s="293">
        <v>0</v>
      </c>
      <c r="R15" s="293">
        <v>0</v>
      </c>
      <c r="S15" s="293">
        <v>0</v>
      </c>
      <c r="T15" s="293">
        <v>0</v>
      </c>
      <c r="U15" s="293">
        <v>0</v>
      </c>
      <c r="V15" s="293">
        <v>0</v>
      </c>
      <c r="W15" s="294">
        <v>0</v>
      </c>
      <c r="X15" s="295">
        <v>0</v>
      </c>
      <c r="Y15" s="295">
        <v>0</v>
      </c>
      <c r="Z15" s="295">
        <v>0</v>
      </c>
      <c r="AA15" s="295">
        <v>0</v>
      </c>
      <c r="AB15" s="296"/>
      <c r="AC15" s="297">
        <v>0</v>
      </c>
      <c r="AD15" s="297">
        <v>0</v>
      </c>
      <c r="AE15" s="297">
        <v>0</v>
      </c>
      <c r="AF15" s="297">
        <v>0</v>
      </c>
      <c r="AG15" s="297">
        <v>0</v>
      </c>
      <c r="AH15" s="297">
        <v>0</v>
      </c>
      <c r="AI15" s="298">
        <v>0</v>
      </c>
      <c r="AJ15" s="298">
        <v>0</v>
      </c>
      <c r="AK15" s="298">
        <v>0</v>
      </c>
      <c r="AL15" s="298">
        <v>0</v>
      </c>
      <c r="AM15" s="298">
        <v>0</v>
      </c>
      <c r="AN15" s="299">
        <v>0</v>
      </c>
      <c r="AO15" s="295"/>
      <c r="AP15" s="300">
        <v>0</v>
      </c>
      <c r="AQ15" s="300">
        <v>0</v>
      </c>
      <c r="AR15" s="300">
        <v>0</v>
      </c>
      <c r="AS15" s="263">
        <v>0</v>
      </c>
      <c r="AT15" s="263">
        <v>0</v>
      </c>
      <c r="AU15" s="309">
        <v>0</v>
      </c>
      <c r="AV15" s="309">
        <v>0</v>
      </c>
      <c r="AW15" s="300">
        <v>0</v>
      </c>
      <c r="AX15" s="367">
        <v>0</v>
      </c>
      <c r="AY15" s="300"/>
      <c r="AZ15" s="300"/>
    </row>
    <row r="16" spans="1:52" ht="15.75">
      <c r="A16" s="274">
        <v>4.4000000000000004</v>
      </c>
      <c r="B16" s="288" t="s">
        <v>71</v>
      </c>
      <c r="C16" s="289"/>
      <c r="D16" s="290">
        <v>0</v>
      </c>
      <c r="E16" s="290">
        <v>0</v>
      </c>
      <c r="F16" s="290">
        <v>0</v>
      </c>
      <c r="G16" s="290">
        <v>0</v>
      </c>
      <c r="H16" s="291">
        <v>0</v>
      </c>
      <c r="I16" s="291">
        <v>0</v>
      </c>
      <c r="J16" s="291">
        <v>0</v>
      </c>
      <c r="K16" s="291">
        <v>0</v>
      </c>
      <c r="L16" s="291">
        <v>0</v>
      </c>
      <c r="M16" s="291">
        <v>0</v>
      </c>
      <c r="N16" s="291">
        <v>0</v>
      </c>
      <c r="O16" s="292"/>
      <c r="P16" s="293">
        <v>0</v>
      </c>
      <c r="Q16" s="293">
        <v>0</v>
      </c>
      <c r="R16" s="293">
        <v>0</v>
      </c>
      <c r="S16" s="293">
        <v>0</v>
      </c>
      <c r="T16" s="293">
        <v>0</v>
      </c>
      <c r="U16" s="293">
        <v>0</v>
      </c>
      <c r="V16" s="293">
        <v>0</v>
      </c>
      <c r="W16" s="294">
        <v>0</v>
      </c>
      <c r="X16" s="295">
        <v>0</v>
      </c>
      <c r="Y16" s="295">
        <v>0</v>
      </c>
      <c r="Z16" s="295">
        <v>0</v>
      </c>
      <c r="AA16" s="295">
        <v>0</v>
      </c>
      <c r="AB16" s="296"/>
      <c r="AC16" s="297">
        <v>0</v>
      </c>
      <c r="AD16" s="297">
        <v>0</v>
      </c>
      <c r="AE16" s="297">
        <v>0</v>
      </c>
      <c r="AF16" s="297">
        <v>0</v>
      </c>
      <c r="AG16" s="297">
        <v>0</v>
      </c>
      <c r="AH16" s="297">
        <v>0</v>
      </c>
      <c r="AI16" s="298">
        <v>0</v>
      </c>
      <c r="AJ16" s="298">
        <v>0</v>
      </c>
      <c r="AK16" s="298">
        <v>0</v>
      </c>
      <c r="AL16" s="298">
        <v>0</v>
      </c>
      <c r="AM16" s="298">
        <v>0</v>
      </c>
      <c r="AN16" s="299">
        <v>0</v>
      </c>
      <c r="AO16" s="295"/>
      <c r="AP16" s="300">
        <v>0</v>
      </c>
      <c r="AQ16" s="300">
        <v>0</v>
      </c>
      <c r="AR16" s="300">
        <v>0</v>
      </c>
      <c r="AS16" s="263">
        <v>0</v>
      </c>
      <c r="AT16" s="263">
        <v>0</v>
      </c>
      <c r="AU16" s="309">
        <v>0</v>
      </c>
      <c r="AV16" s="309">
        <v>0</v>
      </c>
      <c r="AW16" s="300">
        <v>0</v>
      </c>
      <c r="AX16" s="367">
        <v>0</v>
      </c>
      <c r="AY16" s="300"/>
      <c r="AZ16" s="300"/>
    </row>
    <row r="17" spans="1:52" ht="15.75">
      <c r="A17" s="274">
        <v>4.5</v>
      </c>
      <c r="B17" s="288" t="s">
        <v>72</v>
      </c>
      <c r="C17" s="289"/>
      <c r="D17" s="290">
        <v>0</v>
      </c>
      <c r="E17" s="290">
        <v>0</v>
      </c>
      <c r="F17" s="290">
        <v>0</v>
      </c>
      <c r="G17" s="290">
        <v>0</v>
      </c>
      <c r="H17" s="291">
        <v>0</v>
      </c>
      <c r="I17" s="291">
        <v>0</v>
      </c>
      <c r="J17" s="291">
        <v>0</v>
      </c>
      <c r="K17" s="291">
        <v>0</v>
      </c>
      <c r="L17" s="291">
        <v>0</v>
      </c>
      <c r="M17" s="291">
        <v>0</v>
      </c>
      <c r="N17" s="291">
        <v>0</v>
      </c>
      <c r="O17" s="292"/>
      <c r="P17" s="293">
        <v>0</v>
      </c>
      <c r="Q17" s="293">
        <v>0</v>
      </c>
      <c r="R17" s="293">
        <v>0</v>
      </c>
      <c r="S17" s="293">
        <v>0</v>
      </c>
      <c r="T17" s="293">
        <v>0</v>
      </c>
      <c r="U17" s="293">
        <v>0</v>
      </c>
      <c r="V17" s="293">
        <v>0</v>
      </c>
      <c r="W17" s="294">
        <v>0</v>
      </c>
      <c r="X17" s="295">
        <v>0</v>
      </c>
      <c r="Y17" s="295">
        <v>0</v>
      </c>
      <c r="Z17" s="295">
        <v>0</v>
      </c>
      <c r="AA17" s="295">
        <v>0</v>
      </c>
      <c r="AB17" s="296">
        <v>1388877.81</v>
      </c>
      <c r="AC17" s="297">
        <v>0</v>
      </c>
      <c r="AD17" s="297">
        <v>0</v>
      </c>
      <c r="AE17" s="297">
        <v>0</v>
      </c>
      <c r="AF17" s="297">
        <v>0</v>
      </c>
      <c r="AG17" s="297">
        <v>0</v>
      </c>
      <c r="AH17" s="297">
        <v>0</v>
      </c>
      <c r="AI17" s="298">
        <v>0</v>
      </c>
      <c r="AJ17" s="298">
        <v>0</v>
      </c>
      <c r="AK17" s="298">
        <v>0</v>
      </c>
      <c r="AL17" s="298">
        <v>0</v>
      </c>
      <c r="AM17" s="298">
        <v>0</v>
      </c>
      <c r="AN17" s="299">
        <v>0</v>
      </c>
      <c r="AO17" s="295"/>
      <c r="AP17" s="300">
        <v>0</v>
      </c>
      <c r="AQ17" s="300">
        <v>0</v>
      </c>
      <c r="AR17" s="300">
        <v>0</v>
      </c>
      <c r="AS17" s="263">
        <v>0</v>
      </c>
      <c r="AT17" s="263">
        <v>0</v>
      </c>
      <c r="AU17" s="309">
        <v>0</v>
      </c>
      <c r="AV17" s="309">
        <v>0</v>
      </c>
      <c r="AW17" s="300">
        <v>0</v>
      </c>
      <c r="AX17" s="367">
        <v>0</v>
      </c>
      <c r="AY17" s="300"/>
      <c r="AZ17" s="300"/>
    </row>
    <row r="18" spans="1:52" ht="15.75">
      <c r="A18" s="274">
        <v>4.5999999999999996</v>
      </c>
      <c r="B18" s="288" t="s">
        <v>73</v>
      </c>
      <c r="C18" s="289"/>
      <c r="D18" s="290">
        <v>0</v>
      </c>
      <c r="E18" s="290">
        <v>0</v>
      </c>
      <c r="F18" s="290">
        <v>56455</v>
      </c>
      <c r="G18" s="290">
        <v>56455</v>
      </c>
      <c r="H18" s="291">
        <v>58855.3</v>
      </c>
      <c r="I18" s="291">
        <v>143097.29999999999</v>
      </c>
      <c r="J18" s="291">
        <v>143097.29999999999</v>
      </c>
      <c r="K18" s="291">
        <v>156116</v>
      </c>
      <c r="L18" s="291">
        <v>216885</v>
      </c>
      <c r="M18" s="291">
        <v>218733.8</v>
      </c>
      <c r="N18" s="291">
        <v>233952.4</v>
      </c>
      <c r="O18" s="292"/>
      <c r="P18" s="293">
        <v>243600</v>
      </c>
      <c r="Q18" s="293">
        <v>277918</v>
      </c>
      <c r="R18" s="293">
        <v>244800</v>
      </c>
      <c r="S18" s="293">
        <v>2219.8000000000002</v>
      </c>
      <c r="T18" s="293">
        <v>50919.8</v>
      </c>
      <c r="U18" s="293">
        <v>104402.9</v>
      </c>
      <c r="V18" s="293">
        <v>125156.9</v>
      </c>
      <c r="W18" s="294">
        <v>118726.9</v>
      </c>
      <c r="X18" s="295">
        <v>152811.29999999999</v>
      </c>
      <c r="Y18" s="295">
        <v>156178.70000000001</v>
      </c>
      <c r="Z18" s="295">
        <v>269337.2</v>
      </c>
      <c r="AA18" s="295">
        <v>304033.8</v>
      </c>
      <c r="AB18" s="296"/>
      <c r="AC18" s="297">
        <v>0</v>
      </c>
      <c r="AD18" s="297">
        <v>0</v>
      </c>
      <c r="AE18" s="297">
        <v>718.4</v>
      </c>
      <c r="AF18" s="297">
        <v>7148.4</v>
      </c>
      <c r="AG18" s="297">
        <v>47294.400000000001</v>
      </c>
      <c r="AH18" s="297">
        <v>47294.400000000001</v>
      </c>
      <c r="AI18" s="298">
        <v>84255.9</v>
      </c>
      <c r="AJ18" s="298">
        <v>125277.9</v>
      </c>
      <c r="AK18" s="298">
        <v>125277.9</v>
      </c>
      <c r="AL18" s="298">
        <v>125277.9</v>
      </c>
      <c r="AM18" s="298">
        <v>125277.9</v>
      </c>
      <c r="AN18" s="299">
        <v>266571.59999999998</v>
      </c>
      <c r="AO18" s="295">
        <f>266572+210053+1073170+1503</f>
        <v>1551298</v>
      </c>
      <c r="AP18" s="300">
        <v>1020.3</v>
      </c>
      <c r="AQ18" s="300">
        <v>16386.2</v>
      </c>
      <c r="AR18" s="300">
        <v>34386.199999999997</v>
      </c>
      <c r="AS18" s="263">
        <v>272121</v>
      </c>
      <c r="AT18" s="263">
        <v>282543</v>
      </c>
      <c r="AU18" s="302">
        <v>125932.5</v>
      </c>
      <c r="AV18" s="302">
        <v>166235.9</v>
      </c>
      <c r="AW18" s="300">
        <v>187170.9</v>
      </c>
      <c r="AX18" s="368">
        <v>198419.9</v>
      </c>
      <c r="AY18" s="300"/>
      <c r="AZ18" s="300"/>
    </row>
    <row r="19" spans="1:52" ht="15.75">
      <c r="A19" s="274">
        <v>4.7</v>
      </c>
      <c r="B19" s="288" t="s">
        <v>74</v>
      </c>
      <c r="C19" s="289"/>
      <c r="D19" s="290">
        <v>0</v>
      </c>
      <c r="E19" s="290">
        <v>0</v>
      </c>
      <c r="F19" s="290">
        <v>0</v>
      </c>
      <c r="G19" s="290">
        <v>0</v>
      </c>
      <c r="H19" s="291">
        <v>0</v>
      </c>
      <c r="I19" s="291">
        <v>0</v>
      </c>
      <c r="J19" s="291">
        <v>0</v>
      </c>
      <c r="K19" s="291">
        <v>0</v>
      </c>
      <c r="L19" s="291">
        <v>0</v>
      </c>
      <c r="M19" s="291">
        <v>0</v>
      </c>
      <c r="N19" s="291">
        <v>0</v>
      </c>
      <c r="O19" s="292">
        <v>1217794.3699999992</v>
      </c>
      <c r="P19" s="293">
        <v>0</v>
      </c>
      <c r="Q19" s="293">
        <v>0</v>
      </c>
      <c r="R19" s="293">
        <v>0</v>
      </c>
      <c r="S19" s="293">
        <v>0</v>
      </c>
      <c r="T19" s="293">
        <v>0</v>
      </c>
      <c r="U19" s="293">
        <v>0</v>
      </c>
      <c r="V19" s="293">
        <v>0</v>
      </c>
      <c r="W19" s="294">
        <v>0</v>
      </c>
      <c r="X19" s="295">
        <v>0</v>
      </c>
      <c r="Y19" s="295">
        <v>0</v>
      </c>
      <c r="Z19" s="295">
        <v>0</v>
      </c>
      <c r="AA19" s="295">
        <v>0</v>
      </c>
      <c r="AB19" s="296"/>
      <c r="AC19" s="297">
        <v>0</v>
      </c>
      <c r="AD19" s="297">
        <v>0</v>
      </c>
      <c r="AE19" s="297">
        <v>0</v>
      </c>
      <c r="AF19" s="297">
        <v>0</v>
      </c>
      <c r="AG19" s="297">
        <v>0</v>
      </c>
      <c r="AH19" s="297">
        <v>0</v>
      </c>
      <c r="AI19" s="298">
        <v>0</v>
      </c>
      <c r="AJ19" s="298">
        <v>0</v>
      </c>
      <c r="AK19" s="298">
        <v>0</v>
      </c>
      <c r="AL19" s="298">
        <v>0</v>
      </c>
      <c r="AM19" s="298">
        <v>0</v>
      </c>
      <c r="AN19" s="299">
        <v>0</v>
      </c>
      <c r="AO19" s="295"/>
      <c r="AP19" s="300">
        <v>0</v>
      </c>
      <c r="AQ19" s="300">
        <v>0</v>
      </c>
      <c r="AR19" s="300">
        <v>0</v>
      </c>
      <c r="AS19" s="263">
        <v>0</v>
      </c>
      <c r="AT19" s="263">
        <v>0</v>
      </c>
      <c r="AU19" s="309">
        <v>0</v>
      </c>
      <c r="AV19" s="309">
        <v>0</v>
      </c>
      <c r="AW19" s="300">
        <v>0</v>
      </c>
      <c r="AX19" s="367">
        <v>0</v>
      </c>
      <c r="AY19" s="300"/>
      <c r="AZ19" s="300"/>
    </row>
    <row r="20" spans="1:52">
      <c r="A20" s="274">
        <v>5</v>
      </c>
      <c r="B20" s="275" t="s">
        <v>75</v>
      </c>
      <c r="C20" s="303">
        <f t="shared" ref="C20:W20" si="12">C4-C13</f>
        <v>0</v>
      </c>
      <c r="D20" s="303">
        <v>5810478.29</v>
      </c>
      <c r="E20" s="303">
        <v>13398326.08</v>
      </c>
      <c r="F20" s="303">
        <v>20442998</v>
      </c>
      <c r="G20" s="303">
        <v>26769577.460000001</v>
      </c>
      <c r="H20" s="303">
        <v>33240753.449999999</v>
      </c>
      <c r="I20" s="303">
        <v>39793484.409999996</v>
      </c>
      <c r="J20" s="303">
        <v>53268179.43</v>
      </c>
      <c r="K20" s="303">
        <v>60201246.280000001</v>
      </c>
      <c r="L20" s="303">
        <v>67394374.230000004</v>
      </c>
      <c r="M20" s="303">
        <v>74367598.120000005</v>
      </c>
      <c r="N20" s="303">
        <v>95011971.319999993</v>
      </c>
      <c r="O20" s="304">
        <f t="shared" si="12"/>
        <v>2954307.1199999973</v>
      </c>
      <c r="P20" s="305">
        <f t="shared" si="12"/>
        <v>7374304</v>
      </c>
      <c r="Q20" s="305">
        <f t="shared" si="12"/>
        <v>14483250.050000001</v>
      </c>
      <c r="R20" s="305">
        <f t="shared" si="12"/>
        <v>22190819.400000002</v>
      </c>
      <c r="S20" s="305">
        <f t="shared" si="12"/>
        <v>29905744.27</v>
      </c>
      <c r="T20" s="305">
        <f t="shared" si="12"/>
        <v>37066895.270000003</v>
      </c>
      <c r="U20" s="305">
        <f t="shared" si="12"/>
        <v>44297160.169999994</v>
      </c>
      <c r="V20" s="305">
        <f t="shared" si="12"/>
        <v>51899285.669999994</v>
      </c>
      <c r="W20" s="306">
        <f t="shared" si="12"/>
        <v>59295856.899999999</v>
      </c>
      <c r="X20" s="305">
        <f t="shared" ref="X20:AB20" si="13">X4-X13</f>
        <v>67736194.659999996</v>
      </c>
      <c r="Y20" s="305">
        <f t="shared" si="13"/>
        <v>75640140.269999996</v>
      </c>
      <c r="Z20" s="305">
        <f t="shared" si="13"/>
        <v>84196180.799999997</v>
      </c>
      <c r="AA20" s="305">
        <f t="shared" si="13"/>
        <v>99085763.769999996</v>
      </c>
      <c r="AB20" s="306">
        <f t="shared" si="13"/>
        <v>70941281.189999998</v>
      </c>
      <c r="AC20" s="307">
        <f t="shared" ref="AC20:AN20" si="14">AC4-AC13</f>
        <v>7771999.2800000003</v>
      </c>
      <c r="AD20" s="307">
        <f t="shared" si="14"/>
        <v>16288817.710000001</v>
      </c>
      <c r="AE20" s="307">
        <f t="shared" si="14"/>
        <v>24428886.369999997</v>
      </c>
      <c r="AF20" s="307">
        <f t="shared" si="14"/>
        <v>31200499.050000001</v>
      </c>
      <c r="AG20" s="307">
        <f t="shared" si="14"/>
        <v>39047261.989999995</v>
      </c>
      <c r="AH20" s="307">
        <f t="shared" si="14"/>
        <v>46038674.939999998</v>
      </c>
      <c r="AI20" s="307">
        <f t="shared" si="14"/>
        <v>52917863.140000001</v>
      </c>
      <c r="AJ20" s="307">
        <f t="shared" si="14"/>
        <v>60703163.839999996</v>
      </c>
      <c r="AK20" s="307">
        <f t="shared" si="14"/>
        <v>68464988.769999996</v>
      </c>
      <c r="AL20" s="307">
        <f t="shared" si="14"/>
        <v>76584249.769999996</v>
      </c>
      <c r="AM20" s="307">
        <f t="shared" si="14"/>
        <v>85129043.739999995</v>
      </c>
      <c r="AN20" s="304">
        <f t="shared" si="14"/>
        <v>107654469.09</v>
      </c>
      <c r="AO20" s="305">
        <f t="shared" ref="AO20:AZ20" si="15">AO4-AO13</f>
        <v>83575039.689999998</v>
      </c>
      <c r="AP20" s="305">
        <f t="shared" si="15"/>
        <v>8884296.0500000007</v>
      </c>
      <c r="AQ20" s="305">
        <f t="shared" si="15"/>
        <v>18443870.640000001</v>
      </c>
      <c r="AR20" s="305">
        <f t="shared" si="15"/>
        <v>27878771.019999996</v>
      </c>
      <c r="AS20" s="305">
        <f t="shared" si="15"/>
        <v>58989531.209999993</v>
      </c>
      <c r="AT20" s="305">
        <f t="shared" si="15"/>
        <v>93126674.830000013</v>
      </c>
      <c r="AU20" s="305">
        <f t="shared" si="15"/>
        <v>56522810.620000005</v>
      </c>
      <c r="AV20" s="305">
        <f t="shared" si="15"/>
        <v>66916322.250000007</v>
      </c>
      <c r="AW20" s="305">
        <f t="shared" si="15"/>
        <v>76678097.589999989</v>
      </c>
      <c r="AX20" s="305">
        <f t="shared" si="15"/>
        <v>74709031.370000005</v>
      </c>
      <c r="AY20" s="305">
        <f t="shared" si="15"/>
        <v>0</v>
      </c>
      <c r="AZ20" s="305">
        <f t="shared" si="15"/>
        <v>0</v>
      </c>
    </row>
    <row r="21" spans="1:52">
      <c r="A21" s="274">
        <v>6</v>
      </c>
      <c r="B21" s="275" t="s">
        <v>19</v>
      </c>
      <c r="C21" s="303">
        <f t="shared" ref="C21:W21" si="16">C22-C23</f>
        <v>0</v>
      </c>
      <c r="D21" s="303">
        <v>-2332648</v>
      </c>
      <c r="E21" s="303">
        <v>1704002.6</v>
      </c>
      <c r="F21" s="303">
        <v>986558</v>
      </c>
      <c r="G21" s="303">
        <v>3036698.4</v>
      </c>
      <c r="H21" s="303">
        <v>6465591</v>
      </c>
      <c r="I21" s="303">
        <v>10507808.4</v>
      </c>
      <c r="J21" s="303">
        <v>18293579.100000001</v>
      </c>
      <c r="K21" s="303">
        <v>17091213.300000001</v>
      </c>
      <c r="L21" s="303">
        <v>15223048.9</v>
      </c>
      <c r="M21" s="303">
        <v>12802966.300000001</v>
      </c>
      <c r="N21" s="303">
        <v>4054260</v>
      </c>
      <c r="O21" s="304">
        <f t="shared" si="16"/>
        <v>4054259</v>
      </c>
      <c r="P21" s="305">
        <f t="shared" si="16"/>
        <v>1785150</v>
      </c>
      <c r="Q21" s="305">
        <f t="shared" si="16"/>
        <v>2931641.4</v>
      </c>
      <c r="R21" s="305">
        <f t="shared" si="16"/>
        <v>2351461.7999999998</v>
      </c>
      <c r="S21" s="305">
        <f t="shared" si="16"/>
        <v>1933954</v>
      </c>
      <c r="T21" s="305">
        <f t="shared" si="16"/>
        <v>3140253</v>
      </c>
      <c r="U21" s="305">
        <f t="shared" si="16"/>
        <v>3994585.3</v>
      </c>
      <c r="V21" s="305">
        <f t="shared" si="16"/>
        <v>4798428.5999999996</v>
      </c>
      <c r="W21" s="306">
        <f t="shared" si="16"/>
        <v>6610400.5</v>
      </c>
      <c r="X21" s="305">
        <f t="shared" ref="X21:AB21" si="17">X22-X23</f>
        <v>6354946.7000000002</v>
      </c>
      <c r="Y21" s="305">
        <f t="shared" si="17"/>
        <v>4406712</v>
      </c>
      <c r="Z21" s="305">
        <f t="shared" si="17"/>
        <v>3333349.8</v>
      </c>
      <c r="AA21" s="305">
        <f t="shared" si="17"/>
        <v>7274.7</v>
      </c>
      <c r="AB21" s="306">
        <f t="shared" si="17"/>
        <v>7274</v>
      </c>
      <c r="AC21" s="307">
        <f t="shared" ref="AC21:AN21" si="18">AC22-AC23</f>
        <v>3337481.9</v>
      </c>
      <c r="AD21" s="307">
        <f t="shared" si="18"/>
        <v>3903958</v>
      </c>
      <c r="AE21" s="307">
        <f t="shared" si="18"/>
        <v>5627837.9000000004</v>
      </c>
      <c r="AF21" s="307">
        <f t="shared" si="18"/>
        <v>10754881</v>
      </c>
      <c r="AG21" s="307">
        <f t="shared" si="18"/>
        <v>13220506.9</v>
      </c>
      <c r="AH21" s="307">
        <f t="shared" si="18"/>
        <v>15901849</v>
      </c>
      <c r="AI21" s="307">
        <f t="shared" si="18"/>
        <v>18236619</v>
      </c>
      <c r="AJ21" s="307">
        <f t="shared" si="18"/>
        <v>22621894</v>
      </c>
      <c r="AK21" s="307">
        <f t="shared" si="18"/>
        <v>22621894</v>
      </c>
      <c r="AL21" s="307">
        <f t="shared" si="18"/>
        <v>18030303.899999999</v>
      </c>
      <c r="AM21" s="307">
        <f t="shared" si="18"/>
        <v>12744222.6</v>
      </c>
      <c r="AN21" s="304">
        <f t="shared" si="18"/>
        <v>2838709.7</v>
      </c>
      <c r="AO21" s="305">
        <f t="shared" ref="AO21:AZ21" si="19">AO22-AO23</f>
        <v>2838710</v>
      </c>
      <c r="AP21" s="305">
        <f t="shared" si="19"/>
        <v>2641480</v>
      </c>
      <c r="AQ21" s="305">
        <f t="shared" si="19"/>
        <v>3389933.2</v>
      </c>
      <c r="AR21" s="305">
        <f t="shared" si="19"/>
        <v>6873225.2000000002</v>
      </c>
      <c r="AS21" s="305">
        <f t="shared" si="19"/>
        <v>0</v>
      </c>
      <c r="AT21" s="305">
        <f t="shared" si="19"/>
        <v>7703647.9000000004</v>
      </c>
      <c r="AU21" s="305">
        <f t="shared" si="19"/>
        <v>15497451.699999999</v>
      </c>
      <c r="AV21" s="305">
        <f t="shared" si="19"/>
        <v>15865033.6</v>
      </c>
      <c r="AW21" s="305">
        <f t="shared" si="19"/>
        <v>18915406.199999999</v>
      </c>
      <c r="AX21" s="305">
        <f t="shared" si="19"/>
        <v>16188609.199999999</v>
      </c>
      <c r="AY21" s="305">
        <f t="shared" si="19"/>
        <v>0</v>
      </c>
      <c r="AZ21" s="305">
        <f t="shared" si="19"/>
        <v>0</v>
      </c>
    </row>
    <row r="22" spans="1:52" ht="15.75">
      <c r="A22" s="274">
        <v>6.1</v>
      </c>
      <c r="B22" s="288" t="s">
        <v>76</v>
      </c>
      <c r="C22" s="289"/>
      <c r="D22" s="290">
        <v>0</v>
      </c>
      <c r="E22" s="290">
        <v>1704002.6</v>
      </c>
      <c r="F22" s="290">
        <v>986558</v>
      </c>
      <c r="G22" s="290">
        <v>3036698.4</v>
      </c>
      <c r="H22" s="291">
        <v>6465591</v>
      </c>
      <c r="I22" s="291">
        <v>10507808.4</v>
      </c>
      <c r="J22" s="291">
        <v>18293579.100000001</v>
      </c>
      <c r="K22" s="291">
        <v>17091213.300000001</v>
      </c>
      <c r="L22" s="291">
        <v>15223048.9</v>
      </c>
      <c r="M22" s="291">
        <v>12802966.300000001</v>
      </c>
      <c r="N22" s="291">
        <v>4054260</v>
      </c>
      <c r="O22" s="292">
        <v>4054259</v>
      </c>
      <c r="P22" s="293">
        <v>1785150</v>
      </c>
      <c r="Q22" s="293">
        <v>2931641.4</v>
      </c>
      <c r="R22" s="293">
        <v>2351461.7999999998</v>
      </c>
      <c r="S22" s="293">
        <v>1933954</v>
      </c>
      <c r="T22" s="293">
        <v>3140253</v>
      </c>
      <c r="U22" s="293">
        <v>3994585.3</v>
      </c>
      <c r="V22" s="293">
        <v>4798428.5999999996</v>
      </c>
      <c r="W22" s="294">
        <v>6610400.5</v>
      </c>
      <c r="X22" s="295">
        <v>6354946.7000000002</v>
      </c>
      <c r="Y22" s="295">
        <v>4406712</v>
      </c>
      <c r="Z22" s="295">
        <v>3333349.8</v>
      </c>
      <c r="AA22" s="295">
        <v>7274.7</v>
      </c>
      <c r="AB22" s="296">
        <v>7274</v>
      </c>
      <c r="AC22" s="297">
        <v>3337481.9</v>
      </c>
      <c r="AD22" s="297">
        <v>3903958</v>
      </c>
      <c r="AE22" s="297">
        <v>5627837.9000000004</v>
      </c>
      <c r="AF22" s="297">
        <v>10754881</v>
      </c>
      <c r="AG22" s="297">
        <v>13220506.9</v>
      </c>
      <c r="AH22" s="297">
        <v>15901849</v>
      </c>
      <c r="AI22" s="298">
        <v>18236619</v>
      </c>
      <c r="AJ22" s="298">
        <v>22621894</v>
      </c>
      <c r="AK22" s="298">
        <v>22621894</v>
      </c>
      <c r="AL22" s="298">
        <v>18030303.899999999</v>
      </c>
      <c r="AM22" s="298">
        <v>12744222.6</v>
      </c>
      <c r="AN22" s="299">
        <v>2838709.7</v>
      </c>
      <c r="AO22" s="295">
        <v>2838710</v>
      </c>
      <c r="AP22" s="300">
        <v>2641480</v>
      </c>
      <c r="AQ22" s="300">
        <v>3389933.2</v>
      </c>
      <c r="AR22" s="300">
        <v>6873225.2000000002</v>
      </c>
      <c r="AS22" s="263">
        <v>0</v>
      </c>
      <c r="AT22" s="263">
        <v>7703647.9000000004</v>
      </c>
      <c r="AU22" s="301">
        <v>15497451.699999999</v>
      </c>
      <c r="AV22" s="301">
        <v>15865033.6</v>
      </c>
      <c r="AW22" s="300">
        <v>18915406.199999999</v>
      </c>
      <c r="AX22" s="366">
        <v>16188609.199999999</v>
      </c>
      <c r="AY22" s="300"/>
      <c r="AZ22" s="300"/>
    </row>
    <row r="23" spans="1:52" ht="15.75">
      <c r="A23" s="274">
        <v>6.2</v>
      </c>
      <c r="B23" s="288" t="s">
        <v>77</v>
      </c>
      <c r="C23" s="289"/>
      <c r="D23" s="290">
        <v>2332648</v>
      </c>
      <c r="E23" s="290">
        <v>0</v>
      </c>
      <c r="F23" s="290">
        <v>0</v>
      </c>
      <c r="G23" s="290">
        <v>0</v>
      </c>
      <c r="H23" s="291">
        <v>0</v>
      </c>
      <c r="I23" s="291">
        <v>0</v>
      </c>
      <c r="J23" s="291">
        <v>0</v>
      </c>
      <c r="K23" s="291">
        <v>0</v>
      </c>
      <c r="L23" s="291">
        <v>0</v>
      </c>
      <c r="M23" s="291">
        <v>0</v>
      </c>
      <c r="N23" s="291">
        <v>0</v>
      </c>
      <c r="O23" s="292"/>
      <c r="P23" s="293">
        <v>0</v>
      </c>
      <c r="Q23" s="293">
        <v>0</v>
      </c>
      <c r="R23" s="293">
        <v>0</v>
      </c>
      <c r="S23" s="293">
        <v>0</v>
      </c>
      <c r="T23" s="293">
        <v>0</v>
      </c>
      <c r="U23" s="293">
        <v>0</v>
      </c>
      <c r="V23" s="293">
        <v>0</v>
      </c>
      <c r="W23" s="294">
        <v>0</v>
      </c>
      <c r="X23" s="295">
        <v>0</v>
      </c>
      <c r="Y23" s="295">
        <v>0</v>
      </c>
      <c r="Z23" s="295">
        <v>0</v>
      </c>
      <c r="AA23" s="295">
        <v>0</v>
      </c>
      <c r="AB23" s="296"/>
      <c r="AC23" s="297">
        <v>0</v>
      </c>
      <c r="AD23" s="297">
        <v>0</v>
      </c>
      <c r="AE23" s="297">
        <v>0</v>
      </c>
      <c r="AF23" s="297">
        <v>0</v>
      </c>
      <c r="AG23" s="297">
        <v>0</v>
      </c>
      <c r="AH23" s="297">
        <v>0</v>
      </c>
      <c r="AI23" s="298">
        <v>0</v>
      </c>
      <c r="AJ23" s="298">
        <v>0</v>
      </c>
      <c r="AK23" s="298">
        <v>0</v>
      </c>
      <c r="AL23" s="298">
        <v>0</v>
      </c>
      <c r="AM23" s="298">
        <v>0</v>
      </c>
      <c r="AN23" s="299">
        <v>0</v>
      </c>
      <c r="AO23" s="295"/>
      <c r="AP23" s="300">
        <v>0</v>
      </c>
      <c r="AQ23" s="300">
        <v>0</v>
      </c>
      <c r="AR23" s="300">
        <v>0</v>
      </c>
      <c r="AS23" s="263">
        <v>0</v>
      </c>
      <c r="AT23" s="263">
        <v>0</v>
      </c>
      <c r="AU23" s="309">
        <v>0</v>
      </c>
      <c r="AV23" s="309">
        <v>0</v>
      </c>
      <c r="AW23" s="300">
        <v>0</v>
      </c>
      <c r="AX23" s="367">
        <v>0</v>
      </c>
      <c r="AY23" s="300"/>
      <c r="AZ23" s="300"/>
    </row>
    <row r="24" spans="1:52">
      <c r="A24" s="274">
        <v>7</v>
      </c>
      <c r="B24" s="275" t="s">
        <v>78</v>
      </c>
      <c r="C24" s="303">
        <f t="shared" ref="C24" si="20">C25+C26+C27+C28+C29</f>
        <v>0</v>
      </c>
      <c r="D24" s="303">
        <v>3503215.4</v>
      </c>
      <c r="E24" s="303">
        <v>6597943.7000000002</v>
      </c>
      <c r="F24" s="303">
        <v>10180087</v>
      </c>
      <c r="G24" s="303">
        <v>12935662.300000001</v>
      </c>
      <c r="H24" s="303">
        <v>16587792</v>
      </c>
      <c r="I24" s="303">
        <v>21632045.899999999</v>
      </c>
      <c r="J24" s="303">
        <v>28383588.600000001</v>
      </c>
      <c r="K24" s="303">
        <v>33172918.399999999</v>
      </c>
      <c r="L24" s="303">
        <v>36638895.700000003</v>
      </c>
      <c r="M24" s="303">
        <v>40925953.299999997</v>
      </c>
      <c r="N24" s="303">
        <v>44478898.5</v>
      </c>
      <c r="O24" s="304">
        <f>O25+O26+O27+O28+O29</f>
        <v>51931717.1325</v>
      </c>
      <c r="P24" s="305">
        <f t="shared" ref="P24:AZ24" si="21">P25+P26+P27+P28+P29</f>
        <v>2895377</v>
      </c>
      <c r="Q24" s="305">
        <f t="shared" si="21"/>
        <v>7968668</v>
      </c>
      <c r="R24" s="305">
        <f t="shared" si="21"/>
        <v>11755147.4</v>
      </c>
      <c r="S24" s="305">
        <f t="shared" si="21"/>
        <v>15697599.699999999</v>
      </c>
      <c r="T24" s="305">
        <f t="shared" si="21"/>
        <v>18718932</v>
      </c>
      <c r="U24" s="305">
        <f t="shared" si="21"/>
        <v>22163548.199999999</v>
      </c>
      <c r="V24" s="305">
        <f t="shared" si="21"/>
        <v>25556709.800000001</v>
      </c>
      <c r="W24" s="306">
        <f t="shared" si="21"/>
        <v>29102358.399999999</v>
      </c>
      <c r="X24" s="305">
        <f t="shared" si="21"/>
        <v>32304984.100000001</v>
      </c>
      <c r="Y24" s="305">
        <f t="shared" si="21"/>
        <v>36893590.5</v>
      </c>
      <c r="Z24" s="305">
        <f t="shared" si="21"/>
        <v>40244524.600000001</v>
      </c>
      <c r="AA24" s="305">
        <f t="shared" si="21"/>
        <v>50025218.200000003</v>
      </c>
      <c r="AB24" s="306">
        <f t="shared" si="21"/>
        <v>54217652</v>
      </c>
      <c r="AC24" s="307">
        <f t="shared" si="21"/>
        <v>3080202.8</v>
      </c>
      <c r="AD24" s="307">
        <f t="shared" si="21"/>
        <v>8062454.5</v>
      </c>
      <c r="AE24" s="307">
        <f t="shared" si="21"/>
        <v>12628582.5</v>
      </c>
      <c r="AF24" s="307">
        <f t="shared" si="21"/>
        <v>17432313.300000001</v>
      </c>
      <c r="AG24" s="307">
        <f t="shared" si="21"/>
        <v>21817009.699999999</v>
      </c>
      <c r="AH24" s="307">
        <f t="shared" si="21"/>
        <v>25676122.699999999</v>
      </c>
      <c r="AI24" s="307">
        <f t="shared" si="21"/>
        <v>29515139.199999999</v>
      </c>
      <c r="AJ24" s="307">
        <f t="shared" si="21"/>
        <v>33963548.600000001</v>
      </c>
      <c r="AK24" s="307">
        <f t="shared" si="21"/>
        <v>40354530.100000001</v>
      </c>
      <c r="AL24" s="307">
        <f t="shared" si="21"/>
        <v>40632796.5</v>
      </c>
      <c r="AM24" s="307">
        <f t="shared" si="21"/>
        <v>42104833.5</v>
      </c>
      <c r="AN24" s="304">
        <f t="shared" si="21"/>
        <v>57289284.099999994</v>
      </c>
      <c r="AO24" s="305">
        <f t="shared" si="21"/>
        <v>60814351</v>
      </c>
      <c r="AP24" s="305">
        <f t="shared" si="21"/>
        <v>4247343.18</v>
      </c>
      <c r="AQ24" s="305">
        <f t="shared" si="21"/>
        <v>10118156.280000001</v>
      </c>
      <c r="AR24" s="305">
        <f t="shared" si="21"/>
        <v>15142235.98</v>
      </c>
      <c r="AS24" s="305">
        <f t="shared" si="21"/>
        <v>53543549.18</v>
      </c>
      <c r="AT24" s="305">
        <f t="shared" si="21"/>
        <v>59726952.230000004</v>
      </c>
      <c r="AU24" s="305">
        <f t="shared" si="21"/>
        <v>28620395.379999999</v>
      </c>
      <c r="AV24" s="305">
        <f t="shared" si="21"/>
        <v>33501657.68</v>
      </c>
      <c r="AW24" s="305">
        <f t="shared" si="21"/>
        <v>38876884.68</v>
      </c>
      <c r="AX24" s="305">
        <f t="shared" si="21"/>
        <v>43027656.030000001</v>
      </c>
      <c r="AY24" s="305">
        <f t="shared" si="21"/>
        <v>0</v>
      </c>
      <c r="AZ24" s="305">
        <f t="shared" si="21"/>
        <v>0</v>
      </c>
    </row>
    <row r="25" spans="1:52" ht="15.75">
      <c r="A25" s="274">
        <v>7.1</v>
      </c>
      <c r="B25" s="288" t="s">
        <v>79</v>
      </c>
      <c r="C25" s="289"/>
      <c r="D25" s="290">
        <v>2060020.4</v>
      </c>
      <c r="E25" s="290">
        <v>4180835.7</v>
      </c>
      <c r="F25" s="290">
        <v>6568707</v>
      </c>
      <c r="G25" s="290">
        <v>8624245.3000000007</v>
      </c>
      <c r="H25" s="291">
        <v>10720557</v>
      </c>
      <c r="I25" s="291">
        <v>12944256.9</v>
      </c>
      <c r="J25" s="291">
        <v>17200533.600000001</v>
      </c>
      <c r="K25" s="291">
        <v>19177310.899999999</v>
      </c>
      <c r="L25" s="291">
        <v>21331668.199999999</v>
      </c>
      <c r="M25" s="291">
        <v>23369341.800000001</v>
      </c>
      <c r="N25" s="291">
        <v>25696889</v>
      </c>
      <c r="O25" s="292">
        <v>24414791.969999999</v>
      </c>
      <c r="P25" s="293">
        <v>1924654</v>
      </c>
      <c r="Q25" s="293">
        <v>3891667</v>
      </c>
      <c r="R25" s="293">
        <v>6335046.4000000004</v>
      </c>
      <c r="S25" s="293">
        <v>8870800.6999999993</v>
      </c>
      <c r="T25" s="293">
        <v>10952728</v>
      </c>
      <c r="U25" s="293">
        <v>13308666.199999999</v>
      </c>
      <c r="V25" s="293">
        <v>15372310.800000001</v>
      </c>
      <c r="W25" s="294">
        <v>17503976.399999999</v>
      </c>
      <c r="X25" s="295">
        <v>19549077.100000001</v>
      </c>
      <c r="Y25" s="295">
        <v>22033970.5</v>
      </c>
      <c r="Z25" s="295">
        <v>24139659.600000001</v>
      </c>
      <c r="AA25" s="295">
        <v>26740434.199999999</v>
      </c>
      <c r="AB25" s="296">
        <v>26335240</v>
      </c>
      <c r="AC25" s="297">
        <v>2137831.7999999998</v>
      </c>
      <c r="AD25" s="297">
        <v>4442398.5</v>
      </c>
      <c r="AE25" s="297">
        <v>6638180.5</v>
      </c>
      <c r="AF25" s="297">
        <v>8840832.3000000007</v>
      </c>
      <c r="AG25" s="297">
        <v>11125133.699999999</v>
      </c>
      <c r="AH25" s="297">
        <v>13786558.699999999</v>
      </c>
      <c r="AI25" s="298">
        <v>16231473.199999999</v>
      </c>
      <c r="AJ25" s="298">
        <v>18420057.600000001</v>
      </c>
      <c r="AK25" s="298">
        <v>23681678.100000001</v>
      </c>
      <c r="AL25" s="298">
        <v>22787840.199999999</v>
      </c>
      <c r="AM25" s="298">
        <v>23131605.199999999</v>
      </c>
      <c r="AN25" s="299">
        <v>28616323.800000001</v>
      </c>
      <c r="AO25" s="295">
        <v>26925110</v>
      </c>
      <c r="AP25" s="300">
        <v>2087085.7</v>
      </c>
      <c r="AQ25" s="300">
        <v>4306364.8</v>
      </c>
      <c r="AR25" s="300">
        <v>6648726</v>
      </c>
      <c r="AS25" s="263">
        <v>26415522.600000001</v>
      </c>
      <c r="AT25" s="263">
        <v>30150473.699999999</v>
      </c>
      <c r="AU25" s="301">
        <v>13452958.6</v>
      </c>
      <c r="AV25" s="301">
        <v>15966125.9</v>
      </c>
      <c r="AW25" s="300">
        <v>18432915.5</v>
      </c>
      <c r="AX25" s="366">
        <v>20825440.199999999</v>
      </c>
      <c r="AY25" s="300"/>
      <c r="AZ25" s="300"/>
    </row>
    <row r="26" spans="1:52" ht="15.75">
      <c r="A26" s="274">
        <v>7.2</v>
      </c>
      <c r="B26" s="288" t="s">
        <v>80</v>
      </c>
      <c r="C26" s="289"/>
      <c r="D26" s="290">
        <v>126600</v>
      </c>
      <c r="E26" s="290">
        <v>265200</v>
      </c>
      <c r="F26" s="290">
        <v>460330</v>
      </c>
      <c r="G26" s="290">
        <v>487530</v>
      </c>
      <c r="H26" s="291">
        <v>517930</v>
      </c>
      <c r="I26" s="291">
        <v>599330</v>
      </c>
      <c r="J26" s="291">
        <v>829030</v>
      </c>
      <c r="K26" s="291">
        <v>888930</v>
      </c>
      <c r="L26" s="291">
        <v>1158030</v>
      </c>
      <c r="M26" s="291">
        <v>1195130</v>
      </c>
      <c r="N26" s="291">
        <v>1369830</v>
      </c>
      <c r="O26" s="292">
        <v>5182147</v>
      </c>
      <c r="P26" s="293">
        <v>131900</v>
      </c>
      <c r="Q26" s="293">
        <v>339900</v>
      </c>
      <c r="R26" s="293">
        <v>583195</v>
      </c>
      <c r="S26" s="293">
        <v>738295</v>
      </c>
      <c r="T26" s="293">
        <v>835724</v>
      </c>
      <c r="U26" s="293">
        <v>905224</v>
      </c>
      <c r="V26" s="293">
        <v>1049024</v>
      </c>
      <c r="W26" s="294">
        <v>1125824</v>
      </c>
      <c r="X26" s="295">
        <v>1304274</v>
      </c>
      <c r="Y26" s="295">
        <v>1501474</v>
      </c>
      <c r="Z26" s="295">
        <v>1731574</v>
      </c>
      <c r="AA26" s="295">
        <v>2086674</v>
      </c>
      <c r="AB26" s="296">
        <v>3289284</v>
      </c>
      <c r="AC26" s="297">
        <v>128900</v>
      </c>
      <c r="AD26" s="297">
        <v>502243</v>
      </c>
      <c r="AE26" s="297">
        <v>970610</v>
      </c>
      <c r="AF26" s="297">
        <v>1042310</v>
      </c>
      <c r="AG26" s="297">
        <v>1242210</v>
      </c>
      <c r="AH26" s="297">
        <v>1452610</v>
      </c>
      <c r="AI26" s="298">
        <v>1621910</v>
      </c>
      <c r="AJ26" s="298">
        <v>1774110</v>
      </c>
      <c r="AK26" s="298">
        <v>1923285</v>
      </c>
      <c r="AL26" s="298">
        <v>2008685</v>
      </c>
      <c r="AM26" s="298">
        <v>2152785</v>
      </c>
      <c r="AN26" s="299">
        <v>2379885</v>
      </c>
      <c r="AO26" s="295">
        <v>5116292</v>
      </c>
      <c r="AP26" s="300">
        <v>231710</v>
      </c>
      <c r="AQ26" s="300">
        <v>356610</v>
      </c>
      <c r="AR26" s="300">
        <v>678946</v>
      </c>
      <c r="AS26" s="263">
        <v>17108945.5</v>
      </c>
      <c r="AT26" s="263">
        <v>18095005.5</v>
      </c>
      <c r="AU26" s="302">
        <v>2221311</v>
      </c>
      <c r="AV26" s="302">
        <v>2481011</v>
      </c>
      <c r="AW26" s="300">
        <v>2575611</v>
      </c>
      <c r="AX26" s="368">
        <v>2757011</v>
      </c>
      <c r="AY26" s="300"/>
      <c r="AZ26" s="300"/>
    </row>
    <row r="27" spans="1:52" ht="15.75">
      <c r="A27" s="274">
        <v>7.3</v>
      </c>
      <c r="B27" s="288" t="s">
        <v>81</v>
      </c>
      <c r="C27" s="289"/>
      <c r="D27" s="290">
        <v>289567</v>
      </c>
      <c r="E27" s="290">
        <v>357930</v>
      </c>
      <c r="F27" s="290">
        <v>449795</v>
      </c>
      <c r="G27" s="290">
        <v>501255</v>
      </c>
      <c r="H27" s="291">
        <v>507575</v>
      </c>
      <c r="I27" s="291">
        <v>520655</v>
      </c>
      <c r="J27" s="291">
        <v>550755</v>
      </c>
      <c r="K27" s="291">
        <v>1557815</v>
      </c>
      <c r="L27" s="291">
        <v>1578815</v>
      </c>
      <c r="M27" s="291">
        <v>1589465</v>
      </c>
      <c r="N27" s="291">
        <v>1601265</v>
      </c>
      <c r="O27" s="292">
        <v>1601265</v>
      </c>
      <c r="P27" s="293">
        <v>175342</v>
      </c>
      <c r="Q27" s="293">
        <v>446512</v>
      </c>
      <c r="R27" s="293">
        <v>483187</v>
      </c>
      <c r="S27" s="293">
        <v>561217</v>
      </c>
      <c r="T27" s="293">
        <v>704172</v>
      </c>
      <c r="U27" s="293">
        <v>843262</v>
      </c>
      <c r="V27" s="293">
        <v>878712</v>
      </c>
      <c r="W27" s="294">
        <v>891812</v>
      </c>
      <c r="X27" s="295">
        <v>908842</v>
      </c>
      <c r="Y27" s="295">
        <v>1046352</v>
      </c>
      <c r="Z27" s="295">
        <v>1087157</v>
      </c>
      <c r="AA27" s="295">
        <v>1102487</v>
      </c>
      <c r="AB27" s="296"/>
      <c r="AC27" s="297">
        <v>92540</v>
      </c>
      <c r="AD27" s="297">
        <v>265185</v>
      </c>
      <c r="AE27" s="297">
        <v>337045</v>
      </c>
      <c r="AF27" s="297">
        <v>373235</v>
      </c>
      <c r="AG27" s="297">
        <v>642695</v>
      </c>
      <c r="AH27" s="297">
        <v>669165</v>
      </c>
      <c r="AI27" s="298">
        <v>752745</v>
      </c>
      <c r="AJ27" s="298">
        <v>924625</v>
      </c>
      <c r="AK27" s="298">
        <v>940775</v>
      </c>
      <c r="AL27" s="298">
        <v>997585</v>
      </c>
      <c r="AM27" s="298">
        <v>1046935</v>
      </c>
      <c r="AN27" s="299">
        <v>1229525</v>
      </c>
      <c r="AO27" s="295"/>
      <c r="AP27" s="300">
        <v>402785</v>
      </c>
      <c r="AQ27" s="300">
        <v>458130</v>
      </c>
      <c r="AR27" s="300">
        <v>594130</v>
      </c>
      <c r="AS27" s="263">
        <v>1424865</v>
      </c>
      <c r="AT27" s="263">
        <v>1674985</v>
      </c>
      <c r="AU27" s="302">
        <v>987565</v>
      </c>
      <c r="AV27" s="302">
        <v>1328220</v>
      </c>
      <c r="AW27" s="300">
        <v>1566130</v>
      </c>
      <c r="AX27" s="368">
        <v>1611480</v>
      </c>
      <c r="AY27" s="300"/>
      <c r="AZ27" s="300"/>
    </row>
    <row r="28" spans="1:52" ht="15.75">
      <c r="A28" s="274">
        <v>7.4</v>
      </c>
      <c r="B28" s="288" t="s">
        <v>82</v>
      </c>
      <c r="C28" s="289"/>
      <c r="D28" s="290">
        <v>0</v>
      </c>
      <c r="E28" s="290">
        <v>0</v>
      </c>
      <c r="F28" s="290">
        <v>0</v>
      </c>
      <c r="G28" s="290">
        <v>0</v>
      </c>
      <c r="H28" s="291">
        <v>0</v>
      </c>
      <c r="I28" s="291">
        <v>0</v>
      </c>
      <c r="J28" s="291">
        <v>0</v>
      </c>
      <c r="K28" s="291">
        <v>0</v>
      </c>
      <c r="L28" s="291">
        <v>0</v>
      </c>
      <c r="M28" s="291">
        <v>0</v>
      </c>
      <c r="N28" s="291">
        <v>0</v>
      </c>
      <c r="O28" s="292">
        <v>5295193.6624999996</v>
      </c>
      <c r="P28" s="293">
        <v>0</v>
      </c>
      <c r="Q28" s="293">
        <v>0</v>
      </c>
      <c r="R28" s="293">
        <v>0</v>
      </c>
      <c r="S28" s="293">
        <v>0</v>
      </c>
      <c r="T28" s="293">
        <v>0</v>
      </c>
      <c r="U28" s="293">
        <v>0</v>
      </c>
      <c r="V28" s="293">
        <v>0</v>
      </c>
      <c r="W28" s="294">
        <v>0</v>
      </c>
      <c r="X28" s="295">
        <v>1070</v>
      </c>
      <c r="Y28" s="295">
        <v>1070</v>
      </c>
      <c r="Z28" s="295">
        <v>1070</v>
      </c>
      <c r="AA28" s="295">
        <v>4775253</v>
      </c>
      <c r="AB28" s="296">
        <v>4775252</v>
      </c>
      <c r="AC28" s="297">
        <v>0</v>
      </c>
      <c r="AD28" s="297">
        <v>0</v>
      </c>
      <c r="AE28" s="297">
        <v>0</v>
      </c>
      <c r="AF28" s="297">
        <v>0</v>
      </c>
      <c r="AG28" s="297">
        <v>0</v>
      </c>
      <c r="AH28" s="297">
        <v>0</v>
      </c>
      <c r="AI28" s="298">
        <v>0</v>
      </c>
      <c r="AJ28" s="298">
        <v>0</v>
      </c>
      <c r="AK28" s="298">
        <v>0</v>
      </c>
      <c r="AL28" s="298">
        <v>3300</v>
      </c>
      <c r="AM28" s="298">
        <v>3300</v>
      </c>
      <c r="AN28" s="299">
        <v>7093192</v>
      </c>
      <c r="AO28" s="295">
        <v>7093281</v>
      </c>
      <c r="AP28" s="300">
        <v>0</v>
      </c>
      <c r="AQ28" s="300">
        <v>0</v>
      </c>
      <c r="AR28" s="300">
        <v>0</v>
      </c>
      <c r="AS28" s="263">
        <v>0</v>
      </c>
      <c r="AT28" s="263">
        <v>0</v>
      </c>
      <c r="AU28" s="309">
        <v>0</v>
      </c>
      <c r="AV28" s="309">
        <v>0</v>
      </c>
      <c r="AW28" s="300">
        <v>0</v>
      </c>
      <c r="AX28" s="367">
        <v>0</v>
      </c>
      <c r="AY28" s="300"/>
      <c r="AZ28" s="300"/>
    </row>
    <row r="29" spans="1:52" ht="15.75">
      <c r="A29" s="274">
        <v>7.5</v>
      </c>
      <c r="B29" s="288" t="s">
        <v>83</v>
      </c>
      <c r="C29" s="289"/>
      <c r="D29" s="290">
        <v>1027028</v>
      </c>
      <c r="E29" s="290">
        <v>1793978</v>
      </c>
      <c r="F29" s="290">
        <v>2701255</v>
      </c>
      <c r="G29" s="290">
        <v>3322632</v>
      </c>
      <c r="H29" s="291">
        <v>4841730</v>
      </c>
      <c r="I29" s="291">
        <v>7567804</v>
      </c>
      <c r="J29" s="291">
        <v>9803270</v>
      </c>
      <c r="K29" s="291">
        <v>11548862.5</v>
      </c>
      <c r="L29" s="291">
        <v>12570382.5</v>
      </c>
      <c r="M29" s="291">
        <v>14772016.5</v>
      </c>
      <c r="N29" s="291">
        <v>15810914.5</v>
      </c>
      <c r="O29" s="292">
        <v>15438319.5</v>
      </c>
      <c r="P29" s="293">
        <v>663481</v>
      </c>
      <c r="Q29" s="293">
        <v>3290589</v>
      </c>
      <c r="R29" s="293">
        <v>4353719</v>
      </c>
      <c r="S29" s="293">
        <v>5527287</v>
      </c>
      <c r="T29" s="293">
        <v>6226308</v>
      </c>
      <c r="U29" s="293">
        <v>7106396</v>
      </c>
      <c r="V29" s="293">
        <v>8256663</v>
      </c>
      <c r="W29" s="294">
        <v>9580746</v>
      </c>
      <c r="X29" s="295">
        <v>10541721</v>
      </c>
      <c r="Y29" s="295">
        <v>12310724</v>
      </c>
      <c r="Z29" s="295">
        <v>13285064</v>
      </c>
      <c r="AA29" s="295">
        <v>15320370</v>
      </c>
      <c r="AB29" s="296">
        <v>19817876</v>
      </c>
      <c r="AC29" s="297">
        <v>720931</v>
      </c>
      <c r="AD29" s="297">
        <v>2852628</v>
      </c>
      <c r="AE29" s="297">
        <v>4682747</v>
      </c>
      <c r="AF29" s="297">
        <v>7175936</v>
      </c>
      <c r="AG29" s="297">
        <v>8806971</v>
      </c>
      <c r="AH29" s="297">
        <v>9767789</v>
      </c>
      <c r="AI29" s="298">
        <v>10909011</v>
      </c>
      <c r="AJ29" s="298">
        <v>12844756</v>
      </c>
      <c r="AK29" s="298">
        <v>13808792</v>
      </c>
      <c r="AL29" s="298">
        <v>14835386.300000001</v>
      </c>
      <c r="AM29" s="298">
        <v>15770208.300000001</v>
      </c>
      <c r="AN29" s="299">
        <v>17970358.300000001</v>
      </c>
      <c r="AO29" s="295">
        <f>1468503+20211165</f>
        <v>21679668</v>
      </c>
      <c r="AP29" s="300">
        <v>1525762.48</v>
      </c>
      <c r="AQ29" s="300">
        <v>4997051.4800000004</v>
      </c>
      <c r="AR29" s="300">
        <v>7220433.9800000004</v>
      </c>
      <c r="AS29" s="263">
        <v>8594216.0800000001</v>
      </c>
      <c r="AT29" s="263">
        <v>9806488.0299999993</v>
      </c>
      <c r="AU29" s="302">
        <v>11958560.779999999</v>
      </c>
      <c r="AV29" s="302">
        <v>13726300.779999999</v>
      </c>
      <c r="AW29" s="300">
        <v>16302228.18</v>
      </c>
      <c r="AX29" s="368">
        <v>17833724.829999998</v>
      </c>
      <c r="AY29" s="300"/>
      <c r="AZ29" s="300"/>
    </row>
    <row r="30" spans="1:52">
      <c r="A30" s="274">
        <v>8</v>
      </c>
      <c r="B30" s="275" t="s">
        <v>84</v>
      </c>
      <c r="C30" s="315">
        <f t="shared" ref="C30" si="22">C20-C21-C24</f>
        <v>0</v>
      </c>
      <c r="D30" s="315">
        <v>4639910.8899999997</v>
      </c>
      <c r="E30" s="315">
        <v>5096379.78</v>
      </c>
      <c r="F30" s="315">
        <v>9276353</v>
      </c>
      <c r="G30" s="315">
        <v>10797216.76</v>
      </c>
      <c r="H30" s="315">
        <v>10187370.449999999</v>
      </c>
      <c r="I30" s="315">
        <v>7653630.1100000003</v>
      </c>
      <c r="J30" s="315">
        <v>6591011.7300000004</v>
      </c>
      <c r="K30" s="315">
        <v>9937114.5800000001</v>
      </c>
      <c r="L30" s="315">
        <v>15532429.630000001</v>
      </c>
      <c r="M30" s="315">
        <v>20638678.52</v>
      </c>
      <c r="N30" s="315">
        <f>N20-N21-N24</f>
        <v>46478812.819999993</v>
      </c>
      <c r="O30" s="316">
        <f t="shared" ref="O30:AZ30" si="23">O20-O21-O24</f>
        <v>-53031669.012500003</v>
      </c>
      <c r="P30" s="316">
        <f t="shared" si="23"/>
        <v>2693777</v>
      </c>
      <c r="Q30" s="316">
        <f t="shared" si="23"/>
        <v>3582940.6500000004</v>
      </c>
      <c r="R30" s="316">
        <f t="shared" si="23"/>
        <v>8084210.2000000011</v>
      </c>
      <c r="S30" s="316">
        <f t="shared" si="23"/>
        <v>12274190.57</v>
      </c>
      <c r="T30" s="316">
        <f t="shared" si="23"/>
        <v>15207710.270000003</v>
      </c>
      <c r="U30" s="316">
        <f t="shared" si="23"/>
        <v>18139026.669999998</v>
      </c>
      <c r="V30" s="316">
        <f t="shared" si="23"/>
        <v>21544147.269999992</v>
      </c>
      <c r="W30" s="316">
        <f t="shared" si="23"/>
        <v>23583098</v>
      </c>
      <c r="X30" s="317">
        <f t="shared" si="23"/>
        <v>29076263.859999992</v>
      </c>
      <c r="Y30" s="317">
        <f t="shared" si="23"/>
        <v>34339837.769999996</v>
      </c>
      <c r="Z30" s="317">
        <f t="shared" si="23"/>
        <v>40618306.399999999</v>
      </c>
      <c r="AA30" s="317">
        <f t="shared" si="23"/>
        <v>49053270.86999999</v>
      </c>
      <c r="AB30" s="318">
        <f t="shared" si="23"/>
        <v>16716355.189999998</v>
      </c>
      <c r="AC30" s="319">
        <f t="shared" si="23"/>
        <v>1354314.580000001</v>
      </c>
      <c r="AD30" s="319">
        <f t="shared" si="23"/>
        <v>4322405.2100000009</v>
      </c>
      <c r="AE30" s="319">
        <f t="shared" si="23"/>
        <v>6172465.9699999988</v>
      </c>
      <c r="AF30" s="319">
        <f t="shared" si="23"/>
        <v>3013304.75</v>
      </c>
      <c r="AG30" s="319">
        <f t="shared" si="23"/>
        <v>4009745.3899999969</v>
      </c>
      <c r="AH30" s="319">
        <f t="shared" si="23"/>
        <v>4460703.2399999984</v>
      </c>
      <c r="AI30" s="319">
        <f t="shared" si="23"/>
        <v>5166104.9400000013</v>
      </c>
      <c r="AJ30" s="319">
        <f t="shared" si="23"/>
        <v>4117721.2399999946</v>
      </c>
      <c r="AK30" s="319">
        <f t="shared" si="23"/>
        <v>5488564.6699999943</v>
      </c>
      <c r="AL30" s="319">
        <f t="shared" si="23"/>
        <v>17921149.369999997</v>
      </c>
      <c r="AM30" s="319">
        <f t="shared" si="23"/>
        <v>30279987.640000001</v>
      </c>
      <c r="AN30" s="316">
        <f t="shared" si="23"/>
        <v>47526475.290000007</v>
      </c>
      <c r="AO30" s="317">
        <f t="shared" si="23"/>
        <v>19921978.689999998</v>
      </c>
      <c r="AP30" s="317">
        <f t="shared" si="23"/>
        <v>1995472.870000001</v>
      </c>
      <c r="AQ30" s="317">
        <f t="shared" si="23"/>
        <v>4935781.16</v>
      </c>
      <c r="AR30" s="317">
        <f t="shared" si="23"/>
        <v>5863309.8399999961</v>
      </c>
      <c r="AS30" s="317">
        <f t="shared" si="23"/>
        <v>5445982.0299999937</v>
      </c>
      <c r="AT30" s="317">
        <f t="shared" si="23"/>
        <v>25696074.700000003</v>
      </c>
      <c r="AU30" s="317">
        <f t="shared" si="23"/>
        <v>12404963.540000003</v>
      </c>
      <c r="AV30" s="317">
        <f t="shared" si="23"/>
        <v>17549630.970000006</v>
      </c>
      <c r="AW30" s="317">
        <f t="shared" si="23"/>
        <v>18885806.709999986</v>
      </c>
      <c r="AX30" s="317">
        <f t="shared" si="23"/>
        <v>15492766.140000001</v>
      </c>
      <c r="AY30" s="317">
        <f t="shared" si="23"/>
        <v>0</v>
      </c>
      <c r="AZ30" s="317">
        <f t="shared" si="23"/>
        <v>0</v>
      </c>
    </row>
    <row r="31" spans="1:52">
      <c r="A31" s="274">
        <v>9</v>
      </c>
      <c r="B31" s="275" t="s">
        <v>85</v>
      </c>
      <c r="C31" s="282">
        <v>0</v>
      </c>
      <c r="D31" s="310">
        <v>0</v>
      </c>
      <c r="E31" s="310">
        <v>0</v>
      </c>
      <c r="F31" s="310">
        <v>0</v>
      </c>
      <c r="G31" s="310">
        <v>0</v>
      </c>
      <c r="H31" s="291">
        <v>0</v>
      </c>
      <c r="I31" s="291">
        <v>0</v>
      </c>
      <c r="J31" s="291">
        <v>0</v>
      </c>
      <c r="K31" s="291">
        <v>0</v>
      </c>
      <c r="L31" s="291">
        <v>0</v>
      </c>
      <c r="M31" s="291">
        <v>0</v>
      </c>
      <c r="N31" s="291">
        <v>0</v>
      </c>
      <c r="O31" s="320">
        <v>0</v>
      </c>
      <c r="P31" s="320">
        <v>0</v>
      </c>
      <c r="Q31" s="320">
        <v>0</v>
      </c>
      <c r="R31" s="320">
        <v>0</v>
      </c>
      <c r="S31" s="320">
        <v>0</v>
      </c>
      <c r="T31" s="320">
        <v>0</v>
      </c>
      <c r="U31" s="320">
        <v>0</v>
      </c>
      <c r="V31" s="320">
        <v>0</v>
      </c>
      <c r="W31" s="320">
        <v>0</v>
      </c>
      <c r="X31" s="320">
        <v>0</v>
      </c>
      <c r="Y31" s="320">
        <v>0</v>
      </c>
      <c r="Z31" s="320">
        <v>0</v>
      </c>
      <c r="AA31" s="320">
        <v>0</v>
      </c>
      <c r="AB31" s="320">
        <v>0</v>
      </c>
      <c r="AC31" s="320">
        <v>0</v>
      </c>
      <c r="AD31" s="320">
        <v>0</v>
      </c>
      <c r="AE31" s="320">
        <v>0</v>
      </c>
      <c r="AF31" s="320">
        <v>0</v>
      </c>
      <c r="AG31" s="320">
        <v>0</v>
      </c>
      <c r="AH31" s="320">
        <v>0</v>
      </c>
      <c r="AI31" s="320">
        <v>0</v>
      </c>
      <c r="AJ31" s="320">
        <v>0</v>
      </c>
      <c r="AK31" s="320">
        <v>0</v>
      </c>
      <c r="AL31" s="320">
        <v>0</v>
      </c>
      <c r="AM31" s="320">
        <v>0</v>
      </c>
      <c r="AN31" s="320">
        <v>0</v>
      </c>
      <c r="AO31" s="320">
        <v>0</v>
      </c>
      <c r="AP31" s="320">
        <v>0</v>
      </c>
      <c r="AQ31" s="320">
        <v>0</v>
      </c>
      <c r="AR31" s="320">
        <v>0</v>
      </c>
      <c r="AS31" s="320">
        <v>0</v>
      </c>
      <c r="AT31" s="320">
        <v>0</v>
      </c>
      <c r="AU31" s="320">
        <v>0</v>
      </c>
      <c r="AV31" s="320">
        <v>0</v>
      </c>
      <c r="AW31" s="320">
        <v>0</v>
      </c>
      <c r="AX31" s="320">
        <v>0</v>
      </c>
      <c r="AY31" s="320">
        <v>0</v>
      </c>
      <c r="AZ31" s="320">
        <v>0</v>
      </c>
    </row>
    <row r="32" spans="1:52" ht="15.75">
      <c r="A32" s="274">
        <v>9.1</v>
      </c>
      <c r="B32" s="288" t="s">
        <v>86</v>
      </c>
      <c r="C32" s="289">
        <v>0</v>
      </c>
      <c r="D32" s="290">
        <v>0</v>
      </c>
      <c r="E32" s="290">
        <v>0</v>
      </c>
      <c r="F32" s="290">
        <v>0</v>
      </c>
      <c r="G32" s="290">
        <v>0</v>
      </c>
      <c r="H32" s="291">
        <v>0</v>
      </c>
      <c r="I32" s="291">
        <v>0</v>
      </c>
      <c r="J32" s="291">
        <v>0</v>
      </c>
      <c r="K32" s="291">
        <v>0</v>
      </c>
      <c r="L32" s="291">
        <v>0</v>
      </c>
      <c r="M32" s="291">
        <v>0</v>
      </c>
      <c r="N32" s="291">
        <v>0</v>
      </c>
      <c r="O32" s="320">
        <v>0</v>
      </c>
      <c r="P32" s="321">
        <v>0</v>
      </c>
      <c r="Q32" s="321">
        <v>0</v>
      </c>
      <c r="R32" s="321">
        <v>0</v>
      </c>
      <c r="S32" s="321">
        <v>0</v>
      </c>
      <c r="T32" s="321">
        <v>0</v>
      </c>
      <c r="U32" s="321">
        <v>0</v>
      </c>
      <c r="V32" s="321">
        <v>0</v>
      </c>
      <c r="W32" s="322">
        <v>0</v>
      </c>
      <c r="X32" s="295"/>
      <c r="Y32" s="295"/>
      <c r="Z32" s="295"/>
      <c r="AA32" s="295"/>
      <c r="AB32" s="296"/>
      <c r="AC32" s="297">
        <v>0</v>
      </c>
      <c r="AD32" s="297">
        <v>0</v>
      </c>
      <c r="AE32" s="297">
        <v>0</v>
      </c>
      <c r="AF32" s="297">
        <v>0</v>
      </c>
      <c r="AG32" s="297">
        <v>0</v>
      </c>
      <c r="AH32" s="297">
        <v>0</v>
      </c>
      <c r="AI32" s="298">
        <v>0</v>
      </c>
      <c r="AJ32" s="298">
        <v>0</v>
      </c>
      <c r="AK32" s="298">
        <v>0</v>
      </c>
      <c r="AL32" s="298">
        <v>0</v>
      </c>
      <c r="AM32" s="298">
        <v>0</v>
      </c>
      <c r="AN32" s="299">
        <v>0</v>
      </c>
      <c r="AO32" s="295"/>
      <c r="AP32" s="300">
        <v>0</v>
      </c>
      <c r="AQ32" s="300">
        <v>0</v>
      </c>
      <c r="AR32" s="300">
        <v>0</v>
      </c>
      <c r="AS32" s="263">
        <v>0</v>
      </c>
      <c r="AT32" s="263">
        <v>0</v>
      </c>
      <c r="AU32" s="308">
        <v>0</v>
      </c>
      <c r="AV32" s="308">
        <v>0</v>
      </c>
      <c r="AW32" s="300">
        <v>0</v>
      </c>
      <c r="AX32" s="365">
        <v>0</v>
      </c>
      <c r="AY32" s="300"/>
      <c r="AZ32" s="300"/>
    </row>
    <row r="33" spans="1:53" ht="15.75">
      <c r="A33" s="274">
        <v>9.1999999999999993</v>
      </c>
      <c r="B33" s="288" t="s">
        <v>87</v>
      </c>
      <c r="C33" s="289">
        <v>0</v>
      </c>
      <c r="D33" s="290">
        <v>0</v>
      </c>
      <c r="E33" s="290">
        <v>0</v>
      </c>
      <c r="F33" s="290">
        <v>0</v>
      </c>
      <c r="G33" s="290">
        <v>0</v>
      </c>
      <c r="H33" s="291">
        <v>0</v>
      </c>
      <c r="I33" s="291">
        <v>0</v>
      </c>
      <c r="J33" s="291">
        <v>0</v>
      </c>
      <c r="K33" s="291">
        <v>0</v>
      </c>
      <c r="L33" s="291">
        <v>0</v>
      </c>
      <c r="M33" s="291">
        <v>0</v>
      </c>
      <c r="N33" s="291">
        <v>0</v>
      </c>
      <c r="O33" s="320">
        <v>0</v>
      </c>
      <c r="P33" s="321">
        <v>0</v>
      </c>
      <c r="Q33" s="321">
        <v>0</v>
      </c>
      <c r="R33" s="321">
        <v>0</v>
      </c>
      <c r="S33" s="321">
        <v>0</v>
      </c>
      <c r="T33" s="321">
        <v>0</v>
      </c>
      <c r="U33" s="321">
        <v>0</v>
      </c>
      <c r="V33" s="321">
        <v>0</v>
      </c>
      <c r="W33" s="322">
        <v>0</v>
      </c>
      <c r="X33" s="295"/>
      <c r="Y33" s="295"/>
      <c r="Z33" s="295"/>
      <c r="AA33" s="295"/>
      <c r="AB33" s="296"/>
      <c r="AC33" s="298"/>
      <c r="AD33" s="298"/>
      <c r="AE33" s="298"/>
      <c r="AF33" s="298"/>
      <c r="AG33" s="298"/>
      <c r="AH33" s="298"/>
      <c r="AI33" s="298">
        <v>0</v>
      </c>
      <c r="AJ33" s="298">
        <v>0</v>
      </c>
      <c r="AK33" s="298">
        <v>0</v>
      </c>
      <c r="AL33" s="298">
        <v>0</v>
      </c>
      <c r="AM33" s="298">
        <v>0</v>
      </c>
      <c r="AN33" s="299">
        <v>0</v>
      </c>
      <c r="AO33" s="295"/>
      <c r="AP33" s="300">
        <v>0</v>
      </c>
      <c r="AQ33" s="300">
        <v>0</v>
      </c>
      <c r="AR33" s="300">
        <v>0</v>
      </c>
      <c r="AS33" s="263">
        <v>0</v>
      </c>
      <c r="AT33" s="263">
        <v>0</v>
      </c>
      <c r="AU33" s="309">
        <v>0</v>
      </c>
      <c r="AV33" s="309">
        <v>0</v>
      </c>
      <c r="AW33" s="300">
        <v>0</v>
      </c>
      <c r="AX33" s="367">
        <v>0</v>
      </c>
      <c r="AY33" s="300"/>
      <c r="AZ33" s="300"/>
    </row>
    <row r="34" spans="1:53">
      <c r="A34" s="274">
        <v>10</v>
      </c>
      <c r="B34" s="288" t="s">
        <v>88</v>
      </c>
      <c r="C34" s="323">
        <f t="shared" ref="C34" si="24">C30+C31</f>
        <v>0</v>
      </c>
      <c r="D34" s="323">
        <v>4639910.8899999997</v>
      </c>
      <c r="E34" s="323">
        <v>5096379.78</v>
      </c>
      <c r="F34" s="323">
        <v>9276353</v>
      </c>
      <c r="G34" s="323">
        <v>10797216.76</v>
      </c>
      <c r="H34" s="323">
        <v>10187370.449999999</v>
      </c>
      <c r="I34" s="323">
        <v>7653630.1100000003</v>
      </c>
      <c r="J34" s="323">
        <v>6591011.7300000004</v>
      </c>
      <c r="K34" s="323">
        <v>9937114.5800000001</v>
      </c>
      <c r="L34" s="323">
        <v>15532429.630000001</v>
      </c>
      <c r="M34" s="323">
        <v>20638678.52</v>
      </c>
      <c r="N34" s="323">
        <f>N30+N31</f>
        <v>46478812.819999993</v>
      </c>
      <c r="O34" s="324">
        <f t="shared" ref="O34:AN34" si="25">O30+O31</f>
        <v>-53031669.012500003</v>
      </c>
      <c r="P34" s="324">
        <f t="shared" si="25"/>
        <v>2693777</v>
      </c>
      <c r="Q34" s="324">
        <f t="shared" si="25"/>
        <v>3582940.6500000004</v>
      </c>
      <c r="R34" s="324">
        <f t="shared" si="25"/>
        <v>8084210.2000000011</v>
      </c>
      <c r="S34" s="324">
        <f t="shared" si="25"/>
        <v>12274190.57</v>
      </c>
      <c r="T34" s="324">
        <f t="shared" si="25"/>
        <v>15207710.270000003</v>
      </c>
      <c r="U34" s="324">
        <f t="shared" si="25"/>
        <v>18139026.669999998</v>
      </c>
      <c r="V34" s="324">
        <f t="shared" si="25"/>
        <v>21544147.269999992</v>
      </c>
      <c r="W34" s="324">
        <f t="shared" si="25"/>
        <v>23583098</v>
      </c>
      <c r="X34" s="325">
        <f t="shared" si="25"/>
        <v>29076263.859999992</v>
      </c>
      <c r="Y34" s="325">
        <f t="shared" si="25"/>
        <v>34339837.769999996</v>
      </c>
      <c r="Z34" s="325">
        <f t="shared" si="25"/>
        <v>40618306.399999999</v>
      </c>
      <c r="AA34" s="325">
        <f t="shared" si="25"/>
        <v>49053270.86999999</v>
      </c>
      <c r="AB34" s="326">
        <f t="shared" si="25"/>
        <v>16716355.189999998</v>
      </c>
      <c r="AC34" s="327">
        <f t="shared" si="25"/>
        <v>1354314.580000001</v>
      </c>
      <c r="AD34" s="327">
        <f t="shared" si="25"/>
        <v>4322405.2100000009</v>
      </c>
      <c r="AE34" s="327">
        <f t="shared" si="25"/>
        <v>6172465.9699999988</v>
      </c>
      <c r="AF34" s="327">
        <f t="shared" si="25"/>
        <v>3013304.75</v>
      </c>
      <c r="AG34" s="327">
        <f t="shared" si="25"/>
        <v>4009745.3899999969</v>
      </c>
      <c r="AH34" s="327">
        <f t="shared" si="25"/>
        <v>4460703.2399999984</v>
      </c>
      <c r="AI34" s="327">
        <f t="shared" si="25"/>
        <v>5166104.9400000013</v>
      </c>
      <c r="AJ34" s="327">
        <f t="shared" si="25"/>
        <v>4117721.2399999946</v>
      </c>
      <c r="AK34" s="327">
        <f t="shared" si="25"/>
        <v>5488564.6699999943</v>
      </c>
      <c r="AL34" s="327">
        <f t="shared" si="25"/>
        <v>17921149.369999997</v>
      </c>
      <c r="AM34" s="327">
        <f t="shared" si="25"/>
        <v>30279987.640000001</v>
      </c>
      <c r="AN34" s="324">
        <f t="shared" si="25"/>
        <v>47526475.290000007</v>
      </c>
      <c r="AO34" s="325">
        <f t="shared" ref="AO34:AZ34" si="26">AO30+AO31</f>
        <v>19921978.689999998</v>
      </c>
      <c r="AP34" s="325">
        <f t="shared" si="26"/>
        <v>1995472.870000001</v>
      </c>
      <c r="AQ34" s="325">
        <f t="shared" si="26"/>
        <v>4935781.16</v>
      </c>
      <c r="AR34" s="325">
        <f t="shared" si="26"/>
        <v>5863309.8399999961</v>
      </c>
      <c r="AS34" s="325">
        <f t="shared" si="26"/>
        <v>5445982.0299999937</v>
      </c>
      <c r="AT34" s="325">
        <f t="shared" si="26"/>
        <v>25696074.700000003</v>
      </c>
      <c r="AU34" s="325">
        <f t="shared" si="26"/>
        <v>12404963.540000003</v>
      </c>
      <c r="AV34" s="325">
        <f t="shared" si="26"/>
        <v>17549630.970000006</v>
      </c>
      <c r="AW34" s="325">
        <f t="shared" si="26"/>
        <v>18885806.709999986</v>
      </c>
      <c r="AX34" s="325">
        <f t="shared" si="26"/>
        <v>15492766.140000001</v>
      </c>
      <c r="AY34" s="325">
        <f t="shared" si="26"/>
        <v>0</v>
      </c>
      <c r="AZ34" s="325">
        <f t="shared" si="26"/>
        <v>0</v>
      </c>
    </row>
    <row r="35" spans="1:53">
      <c r="A35" s="274">
        <v>11</v>
      </c>
      <c r="B35" s="288" t="s">
        <v>89</v>
      </c>
      <c r="C35" s="289">
        <v>0</v>
      </c>
      <c r="D35" s="290">
        <v>0</v>
      </c>
      <c r="E35" s="290">
        <v>0</v>
      </c>
      <c r="F35" s="290">
        <v>0</v>
      </c>
      <c r="G35" s="290">
        <v>0</v>
      </c>
      <c r="H35" s="291">
        <v>0</v>
      </c>
      <c r="I35" s="291">
        <v>0</v>
      </c>
      <c r="J35" s="291">
        <v>0</v>
      </c>
      <c r="K35" s="291">
        <v>0</v>
      </c>
      <c r="L35" s="291">
        <v>0</v>
      </c>
      <c r="M35" s="291">
        <v>0</v>
      </c>
      <c r="N35" s="291">
        <v>0</v>
      </c>
      <c r="O35" s="292">
        <v>2502451.02654</v>
      </c>
      <c r="P35" s="293">
        <v>0</v>
      </c>
      <c r="Q35" s="293">
        <v>0</v>
      </c>
      <c r="R35" s="293">
        <v>0</v>
      </c>
      <c r="S35" s="293">
        <v>0</v>
      </c>
      <c r="T35" s="293">
        <v>0</v>
      </c>
      <c r="U35" s="293">
        <v>0</v>
      </c>
      <c r="V35" s="293">
        <v>0</v>
      </c>
      <c r="W35" s="294">
        <v>0</v>
      </c>
      <c r="X35" s="295"/>
      <c r="Y35" s="295"/>
      <c r="Z35" s="295"/>
      <c r="AA35" s="295"/>
      <c r="AB35" s="296">
        <v>2305046</v>
      </c>
      <c r="AC35" s="298">
        <v>0</v>
      </c>
      <c r="AD35" s="298">
        <v>0</v>
      </c>
      <c r="AE35" s="298">
        <v>0</v>
      </c>
      <c r="AF35" s="298">
        <v>0</v>
      </c>
      <c r="AG35" s="298">
        <v>0</v>
      </c>
      <c r="AH35" s="297">
        <v>0</v>
      </c>
      <c r="AI35" s="298">
        <v>0</v>
      </c>
      <c r="AJ35" s="298">
        <v>0</v>
      </c>
      <c r="AK35" s="298">
        <v>0</v>
      </c>
      <c r="AL35" s="298"/>
      <c r="AM35" s="298"/>
      <c r="AN35" s="299"/>
      <c r="AO35" s="295">
        <v>2148516</v>
      </c>
      <c r="AP35" s="328">
        <v>0</v>
      </c>
      <c r="AQ35" s="300">
        <v>0</v>
      </c>
      <c r="AR35" s="300">
        <v>0</v>
      </c>
      <c r="AS35" s="263">
        <v>0</v>
      </c>
      <c r="AT35" s="263">
        <v>0</v>
      </c>
      <c r="AU35" s="263">
        <v>0</v>
      </c>
      <c r="AV35" s="263">
        <v>0</v>
      </c>
      <c r="AW35" s="300">
        <v>0</v>
      </c>
      <c r="AX35" s="300">
        <v>0</v>
      </c>
      <c r="AY35" s="300"/>
      <c r="AZ35" s="300"/>
    </row>
    <row r="36" spans="1:53">
      <c r="A36" s="274">
        <v>12</v>
      </c>
      <c r="B36" s="275" t="s">
        <v>90</v>
      </c>
      <c r="C36" s="303">
        <f t="shared" ref="C36" si="27">C34-C35</f>
        <v>0</v>
      </c>
      <c r="D36" s="303">
        <v>4639910.8899999997</v>
      </c>
      <c r="E36" s="303">
        <v>5096379.78</v>
      </c>
      <c r="F36" s="303">
        <v>9276353</v>
      </c>
      <c r="G36" s="303">
        <v>10797216.76</v>
      </c>
      <c r="H36" s="303">
        <v>10187370.449999999</v>
      </c>
      <c r="I36" s="303">
        <v>7653630.1100000003</v>
      </c>
      <c r="J36" s="303">
        <v>6591011.7300000004</v>
      </c>
      <c r="K36" s="303">
        <v>9937114.5800000001</v>
      </c>
      <c r="L36" s="303">
        <v>15532429.630000001</v>
      </c>
      <c r="M36" s="303">
        <v>20638678.52</v>
      </c>
      <c r="N36" s="303">
        <v>46478812.82</v>
      </c>
      <c r="O36" s="304">
        <f>O34-O35</f>
        <v>-55534120.039039999</v>
      </c>
      <c r="P36" s="305">
        <f t="shared" ref="P36:AB36" si="28">P34-P35</f>
        <v>2693777</v>
      </c>
      <c r="Q36" s="305">
        <f t="shared" si="28"/>
        <v>3582940.6500000004</v>
      </c>
      <c r="R36" s="305">
        <f t="shared" si="28"/>
        <v>8084210.2000000011</v>
      </c>
      <c r="S36" s="305">
        <f t="shared" si="28"/>
        <v>12274190.57</v>
      </c>
      <c r="T36" s="305">
        <f t="shared" si="28"/>
        <v>15207710.270000003</v>
      </c>
      <c r="U36" s="305">
        <f t="shared" si="28"/>
        <v>18139026.669999998</v>
      </c>
      <c r="V36" s="305">
        <f t="shared" si="28"/>
        <v>21544147.269999992</v>
      </c>
      <c r="W36" s="306">
        <f t="shared" si="28"/>
        <v>23583098</v>
      </c>
      <c r="X36" s="305">
        <f t="shared" si="28"/>
        <v>29076263.859999992</v>
      </c>
      <c r="Y36" s="305">
        <f t="shared" si="28"/>
        <v>34339837.769999996</v>
      </c>
      <c r="Z36" s="305">
        <f t="shared" si="28"/>
        <v>40618306.399999999</v>
      </c>
      <c r="AA36" s="305">
        <f t="shared" si="28"/>
        <v>49053270.86999999</v>
      </c>
      <c r="AB36" s="306">
        <f t="shared" si="28"/>
        <v>14411309.189999998</v>
      </c>
      <c r="AC36" s="307">
        <f t="shared" ref="AC36:AN36" si="29">AC34-AC35</f>
        <v>1354314.580000001</v>
      </c>
      <c r="AD36" s="307">
        <f t="shared" si="29"/>
        <v>4322405.2100000009</v>
      </c>
      <c r="AE36" s="307">
        <f t="shared" si="29"/>
        <v>6172465.9699999988</v>
      </c>
      <c r="AF36" s="307">
        <f t="shared" si="29"/>
        <v>3013304.75</v>
      </c>
      <c r="AG36" s="307">
        <f t="shared" si="29"/>
        <v>4009745.3899999969</v>
      </c>
      <c r="AH36" s="307">
        <f t="shared" si="29"/>
        <v>4460703.2399999984</v>
      </c>
      <c r="AI36" s="307">
        <f t="shared" si="29"/>
        <v>5166104.9400000013</v>
      </c>
      <c r="AJ36" s="307">
        <f t="shared" si="29"/>
        <v>4117721.2399999946</v>
      </c>
      <c r="AK36" s="307">
        <f t="shared" si="29"/>
        <v>5488564.6699999943</v>
      </c>
      <c r="AL36" s="307">
        <f t="shared" si="29"/>
        <v>17921149.369999997</v>
      </c>
      <c r="AM36" s="307">
        <f t="shared" si="29"/>
        <v>30279987.640000001</v>
      </c>
      <c r="AN36" s="304">
        <f t="shared" si="29"/>
        <v>47526475.290000007</v>
      </c>
      <c r="AO36" s="305">
        <f t="shared" ref="AO36:BA36" si="30">AO34-AO35</f>
        <v>17773462.689999998</v>
      </c>
      <c r="AP36" s="329">
        <f t="shared" si="30"/>
        <v>1995472.870000001</v>
      </c>
      <c r="AQ36" s="329">
        <f t="shared" si="30"/>
        <v>4935781.16</v>
      </c>
      <c r="AR36" s="329">
        <f t="shared" si="30"/>
        <v>5863309.8399999961</v>
      </c>
      <c r="AS36" s="330">
        <f t="shared" si="30"/>
        <v>5445982.0299999937</v>
      </c>
      <c r="AT36" s="330">
        <f t="shared" si="30"/>
        <v>25696074.700000003</v>
      </c>
      <c r="AU36" s="330">
        <f t="shared" si="30"/>
        <v>12404963.540000003</v>
      </c>
      <c r="AV36" s="330">
        <f t="shared" si="30"/>
        <v>17549630.970000006</v>
      </c>
      <c r="AW36" s="329">
        <f t="shared" si="30"/>
        <v>18885806.709999986</v>
      </c>
      <c r="AX36" s="329">
        <f t="shared" si="30"/>
        <v>15492766.140000001</v>
      </c>
      <c r="AY36" s="329">
        <f t="shared" si="30"/>
        <v>0</v>
      </c>
      <c r="AZ36" s="329">
        <f t="shared" si="30"/>
        <v>0</v>
      </c>
      <c r="BA36" s="330">
        <f t="shared" si="30"/>
        <v>0</v>
      </c>
    </row>
    <row r="37" spans="1:53">
      <c r="A37" s="274">
        <v>13</v>
      </c>
      <c r="B37" s="288" t="s">
        <v>91</v>
      </c>
      <c r="C37" s="289">
        <v>0</v>
      </c>
      <c r="D37" s="290">
        <v>0</v>
      </c>
      <c r="E37" s="290">
        <v>0</v>
      </c>
      <c r="F37" s="290">
        <v>0</v>
      </c>
      <c r="G37" s="290">
        <v>0</v>
      </c>
      <c r="H37" s="291">
        <v>0</v>
      </c>
      <c r="I37" s="291">
        <v>0</v>
      </c>
      <c r="J37" s="291">
        <v>0</v>
      </c>
      <c r="K37" s="291">
        <v>0</v>
      </c>
      <c r="L37" s="291">
        <v>0</v>
      </c>
      <c r="M37" s="291">
        <v>0</v>
      </c>
      <c r="N37" s="291">
        <v>0</v>
      </c>
      <c r="O37" s="292"/>
      <c r="P37" s="293">
        <v>0</v>
      </c>
      <c r="Q37" s="293">
        <v>0</v>
      </c>
      <c r="R37" s="293">
        <v>0</v>
      </c>
      <c r="S37" s="293">
        <v>0</v>
      </c>
      <c r="T37" s="293">
        <v>0</v>
      </c>
      <c r="U37" s="293">
        <v>0</v>
      </c>
      <c r="V37" s="293">
        <v>0</v>
      </c>
      <c r="W37" s="294">
        <v>0</v>
      </c>
      <c r="X37" s="295"/>
      <c r="Y37" s="295"/>
      <c r="Z37" s="295"/>
      <c r="AA37" s="295"/>
      <c r="AB37" s="296"/>
      <c r="AC37" s="298">
        <v>0</v>
      </c>
      <c r="AD37" s="298">
        <v>0</v>
      </c>
      <c r="AE37" s="298">
        <v>0</v>
      </c>
      <c r="AF37" s="298">
        <v>0</v>
      </c>
      <c r="AG37" s="298">
        <v>0</v>
      </c>
      <c r="AH37" s="297">
        <v>0</v>
      </c>
      <c r="AI37" s="298">
        <v>0</v>
      </c>
      <c r="AJ37" s="298">
        <v>0</v>
      </c>
      <c r="AK37" s="298">
        <v>0</v>
      </c>
      <c r="AL37" s="298"/>
      <c r="AM37" s="298"/>
      <c r="AN37" s="299"/>
      <c r="AO37" s="295"/>
      <c r="AP37" s="331">
        <v>0</v>
      </c>
      <c r="AQ37" s="263">
        <v>0</v>
      </c>
      <c r="AR37" s="263">
        <v>0</v>
      </c>
      <c r="AS37" s="263">
        <v>0</v>
      </c>
      <c r="AT37" s="263">
        <v>0</v>
      </c>
      <c r="AU37" s="263">
        <v>0</v>
      </c>
      <c r="AV37" s="263">
        <v>0</v>
      </c>
      <c r="AW37" s="300">
        <v>0</v>
      </c>
      <c r="AX37" s="300">
        <v>0</v>
      </c>
      <c r="AY37" s="300"/>
      <c r="AZ37" s="300"/>
    </row>
    <row r="38" spans="1:53">
      <c r="A38" s="274">
        <v>14</v>
      </c>
      <c r="B38" s="275" t="s">
        <v>92</v>
      </c>
      <c r="C38" s="303">
        <f t="shared" ref="C38" si="31">C36-C37</f>
        <v>0</v>
      </c>
      <c r="D38" s="303">
        <v>4639910.8899999997</v>
      </c>
      <c r="E38" s="303">
        <v>5096379.78</v>
      </c>
      <c r="F38" s="303">
        <v>9276353</v>
      </c>
      <c r="G38" s="303">
        <v>10797216.76</v>
      </c>
      <c r="H38" s="303">
        <v>10187370.449999999</v>
      </c>
      <c r="I38" s="303">
        <v>7653630.1100000003</v>
      </c>
      <c r="J38" s="303">
        <v>6591011.7300000004</v>
      </c>
      <c r="K38" s="303">
        <v>9937114.5800000001</v>
      </c>
      <c r="L38" s="303">
        <v>15532429.630000001</v>
      </c>
      <c r="M38" s="303">
        <v>20638678.52</v>
      </c>
      <c r="N38" s="303">
        <v>46478812.82</v>
      </c>
      <c r="O38" s="304">
        <f>O36-O37</f>
        <v>-55534120.039039999</v>
      </c>
      <c r="P38" s="305">
        <f t="shared" ref="P38:AB38" si="32">P36-P37</f>
        <v>2693777</v>
      </c>
      <c r="Q38" s="305">
        <f t="shared" si="32"/>
        <v>3582940.6500000004</v>
      </c>
      <c r="R38" s="305">
        <f t="shared" si="32"/>
        <v>8084210.2000000011</v>
      </c>
      <c r="S38" s="305">
        <f t="shared" si="32"/>
        <v>12274190.57</v>
      </c>
      <c r="T38" s="305">
        <f t="shared" si="32"/>
        <v>15207710.270000003</v>
      </c>
      <c r="U38" s="305">
        <f t="shared" si="32"/>
        <v>18139026.669999998</v>
      </c>
      <c r="V38" s="305">
        <f t="shared" si="32"/>
        <v>21544147.269999992</v>
      </c>
      <c r="W38" s="306">
        <f t="shared" si="32"/>
        <v>23583098</v>
      </c>
      <c r="X38" s="305">
        <f t="shared" si="32"/>
        <v>29076263.859999992</v>
      </c>
      <c r="Y38" s="305">
        <f t="shared" si="32"/>
        <v>34339837.769999996</v>
      </c>
      <c r="Z38" s="305">
        <f t="shared" si="32"/>
        <v>40618306.399999999</v>
      </c>
      <c r="AA38" s="305">
        <f t="shared" si="32"/>
        <v>49053270.86999999</v>
      </c>
      <c r="AB38" s="306">
        <f t="shared" si="32"/>
        <v>14411309.189999998</v>
      </c>
      <c r="AC38" s="307">
        <f t="shared" ref="AC38:AN38" si="33">AC36-AC37</f>
        <v>1354314.580000001</v>
      </c>
      <c r="AD38" s="307">
        <f t="shared" si="33"/>
        <v>4322405.2100000009</v>
      </c>
      <c r="AE38" s="307">
        <f t="shared" si="33"/>
        <v>6172465.9699999988</v>
      </c>
      <c r="AF38" s="307">
        <f t="shared" si="33"/>
        <v>3013304.75</v>
      </c>
      <c r="AG38" s="307">
        <f t="shared" si="33"/>
        <v>4009745.3899999969</v>
      </c>
      <c r="AH38" s="307">
        <f t="shared" si="33"/>
        <v>4460703.2399999984</v>
      </c>
      <c r="AI38" s="307">
        <f t="shared" si="33"/>
        <v>5166104.9400000013</v>
      </c>
      <c r="AJ38" s="307">
        <f t="shared" si="33"/>
        <v>4117721.2399999946</v>
      </c>
      <c r="AK38" s="307">
        <f t="shared" si="33"/>
        <v>5488564.6699999943</v>
      </c>
      <c r="AL38" s="307">
        <f t="shared" si="33"/>
        <v>17921149.369999997</v>
      </c>
      <c r="AM38" s="307">
        <f t="shared" si="33"/>
        <v>30279987.640000001</v>
      </c>
      <c r="AN38" s="304">
        <f t="shared" si="33"/>
        <v>47526475.290000007</v>
      </c>
      <c r="AO38" s="305">
        <f t="shared" ref="AO38:AZ38" si="34">AO36-AO37</f>
        <v>17773462.689999998</v>
      </c>
      <c r="AP38" s="330">
        <f t="shared" si="34"/>
        <v>1995472.870000001</v>
      </c>
      <c r="AQ38" s="330">
        <f t="shared" si="34"/>
        <v>4935781.16</v>
      </c>
      <c r="AR38" s="330">
        <f t="shared" si="34"/>
        <v>5863309.8399999961</v>
      </c>
      <c r="AS38" s="330">
        <f t="shared" si="34"/>
        <v>5445982.0299999937</v>
      </c>
      <c r="AT38" s="330">
        <f t="shared" si="34"/>
        <v>25696074.700000003</v>
      </c>
      <c r="AU38" s="330">
        <f t="shared" si="34"/>
        <v>12404963.540000003</v>
      </c>
      <c r="AV38" s="330">
        <f t="shared" si="34"/>
        <v>17549630.970000006</v>
      </c>
      <c r="AW38" s="329">
        <f t="shared" si="34"/>
        <v>18885806.709999986</v>
      </c>
      <c r="AX38" s="329">
        <f t="shared" si="34"/>
        <v>15492766.140000001</v>
      </c>
      <c r="AY38" s="329">
        <f t="shared" si="34"/>
        <v>0</v>
      </c>
      <c r="AZ38" s="329">
        <f t="shared" si="34"/>
        <v>0</v>
      </c>
    </row>
    <row r="39" spans="1:53"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2"/>
      <c r="AM39" s="332"/>
      <c r="AN39" s="332"/>
      <c r="AO39" s="332"/>
    </row>
    <row r="40" spans="1:53">
      <c r="B40" s="263" t="s">
        <v>93</v>
      </c>
      <c r="O40" s="332">
        <f>O35+O24+O13</f>
        <v>77441371.469040006</v>
      </c>
      <c r="P40" s="332">
        <f t="shared" ref="P40:AB40" si="35">P35+P24+P13</f>
        <v>3254106</v>
      </c>
      <c r="Q40" s="332">
        <f t="shared" si="35"/>
        <v>8591168.1500000004</v>
      </c>
      <c r="R40" s="332">
        <f t="shared" si="35"/>
        <v>12476936.300000001</v>
      </c>
      <c r="S40" s="332">
        <f t="shared" si="35"/>
        <v>16286757.949999999</v>
      </c>
      <c r="T40" s="332">
        <f t="shared" si="35"/>
        <v>19462580.25</v>
      </c>
      <c r="U40" s="332">
        <f t="shared" si="35"/>
        <v>23060303.550000001</v>
      </c>
      <c r="V40" s="332">
        <f t="shared" si="35"/>
        <v>26667464.150000002</v>
      </c>
      <c r="W40" s="332">
        <f t="shared" si="35"/>
        <v>30581152.75</v>
      </c>
      <c r="X40" s="332">
        <f t="shared" si="35"/>
        <v>33535705.850000001</v>
      </c>
      <c r="Y40" s="332">
        <f t="shared" si="35"/>
        <v>38304898.649999999</v>
      </c>
      <c r="Z40" s="332">
        <f t="shared" si="35"/>
        <v>41875018.350000001</v>
      </c>
      <c r="AA40" s="332">
        <f t="shared" si="35"/>
        <v>52341270.550000004</v>
      </c>
      <c r="AB40" s="332">
        <f t="shared" si="35"/>
        <v>86989437.810000002</v>
      </c>
      <c r="AC40" s="332">
        <f t="shared" ref="AC40:AN40" si="36">AC35+AC24+AC13</f>
        <v>3494079.8</v>
      </c>
      <c r="AD40" s="332">
        <f t="shared" si="36"/>
        <v>8544857.5</v>
      </c>
      <c r="AE40" s="332">
        <f t="shared" si="36"/>
        <v>13342241.9</v>
      </c>
      <c r="AF40" s="332">
        <f t="shared" si="36"/>
        <v>18216903.109999999</v>
      </c>
      <c r="AG40" s="332">
        <f t="shared" si="36"/>
        <v>22702806.509999998</v>
      </c>
      <c r="AH40" s="332">
        <f t="shared" si="36"/>
        <v>26779099.509999998</v>
      </c>
      <c r="AI40" s="332">
        <f t="shared" si="36"/>
        <v>30822980.509999998</v>
      </c>
      <c r="AJ40" s="332">
        <f t="shared" si="36"/>
        <v>35388041.910000004</v>
      </c>
      <c r="AK40" s="332">
        <f t="shared" si="36"/>
        <v>42033535.410000004</v>
      </c>
      <c r="AL40" s="332">
        <f t="shared" si="36"/>
        <v>42405894.810000002</v>
      </c>
      <c r="AM40" s="332">
        <f t="shared" si="36"/>
        <v>44022357.909999996</v>
      </c>
      <c r="AN40" s="332">
        <f t="shared" si="36"/>
        <v>59545823.209999993</v>
      </c>
      <c r="AO40" s="332">
        <f t="shared" ref="AO40:AP40" si="37">AO35+AO24+AO13</f>
        <v>91268122</v>
      </c>
      <c r="AP40" s="333">
        <f t="shared" si="37"/>
        <v>4487267.4399999995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49"/>
  <sheetViews>
    <sheetView zoomScale="80" zoomScaleNormal="80" workbookViewId="0">
      <pane xSplit="13" ySplit="4" topLeftCell="AJ5" activePane="bottomRight" state="frozen"/>
      <selection pane="bottomRight" activeCell="AY5" sqref="AY5"/>
      <selection pane="bottomLeft" activeCell="A5" sqref="A5"/>
      <selection pane="topRight" activeCell="N1" sqref="N1"/>
    </sheetView>
  </sheetViews>
  <sheetFormatPr defaultColWidth="9.140625" defaultRowHeight="13.15"/>
  <cols>
    <col min="1" max="1" width="29.85546875" style="22" bestFit="1" customWidth="1"/>
    <col min="2" max="6" width="18.140625" style="22" hidden="1" customWidth="1"/>
    <col min="7" max="13" width="16.42578125" style="22" hidden="1" customWidth="1"/>
    <col min="14" max="14" width="16.42578125" style="22" bestFit="1" customWidth="1"/>
    <col min="15" max="17" width="16.28515625" style="22" hidden="1" customWidth="1"/>
    <col min="18" max="25" width="0" style="22" hidden="1" customWidth="1"/>
    <col min="26" max="26" width="15.42578125" style="22" hidden="1" customWidth="1"/>
    <col min="27" max="27" width="16.28515625" style="22" bestFit="1" customWidth="1"/>
    <col min="28" max="29" width="16.28515625" style="22" hidden="1" customWidth="1"/>
    <col min="30" max="30" width="16.28515625" style="22" bestFit="1" customWidth="1"/>
    <col min="31" max="32" width="16.28515625" style="22" hidden="1" customWidth="1"/>
    <col min="33" max="33" width="16.28515625" style="22" bestFit="1" customWidth="1"/>
    <col min="34" max="35" width="15.42578125" style="22" hidden="1" customWidth="1"/>
    <col min="36" max="39" width="15.42578125" style="22" bestFit="1" customWidth="1"/>
    <col min="40" max="40" width="16.28515625" style="22" customWidth="1"/>
    <col min="41" max="48" width="16.28515625" style="22" bestFit="1" customWidth="1"/>
    <col min="49" max="16384" width="9.140625" style="22"/>
  </cols>
  <sheetData>
    <row r="1" spans="1:52">
      <c r="A1" s="21" t="s">
        <v>94</v>
      </c>
    </row>
    <row r="2" spans="1:52" ht="13.9" thickBot="1">
      <c r="A2" s="23"/>
    </row>
    <row r="3" spans="1:52">
      <c r="A3" s="24" t="s">
        <v>95</v>
      </c>
      <c r="B3" s="25"/>
      <c r="C3" s="26">
        <v>44216</v>
      </c>
      <c r="D3" s="26">
        <v>44247</v>
      </c>
      <c r="E3" s="26">
        <v>44275</v>
      </c>
      <c r="F3" s="26">
        <v>44306</v>
      </c>
      <c r="G3" s="26">
        <v>44336</v>
      </c>
      <c r="H3" s="26">
        <v>44397</v>
      </c>
      <c r="I3" s="26">
        <v>44428</v>
      </c>
      <c r="J3" s="26">
        <v>44459</v>
      </c>
      <c r="K3" s="26">
        <v>44489</v>
      </c>
      <c r="L3" s="26">
        <v>44520</v>
      </c>
      <c r="M3" s="26">
        <v>44550</v>
      </c>
      <c r="N3" s="26" t="s">
        <v>3</v>
      </c>
      <c r="O3" s="89">
        <v>44197</v>
      </c>
      <c r="P3" s="89">
        <v>44228</v>
      </c>
      <c r="Q3" s="89">
        <v>44256</v>
      </c>
      <c r="R3" s="89">
        <v>44287</v>
      </c>
      <c r="S3" s="89">
        <v>44317</v>
      </c>
      <c r="T3" s="89">
        <v>44348</v>
      </c>
      <c r="U3" s="89">
        <v>44378</v>
      </c>
      <c r="V3" s="89">
        <v>44409</v>
      </c>
      <c r="W3" s="89">
        <v>44440</v>
      </c>
      <c r="X3" s="89">
        <v>44470</v>
      </c>
      <c r="Y3" s="89">
        <v>44501</v>
      </c>
      <c r="Z3" s="98">
        <v>44531</v>
      </c>
      <c r="AA3" s="98" t="s">
        <v>96</v>
      </c>
      <c r="AB3" s="98">
        <v>44562</v>
      </c>
      <c r="AC3" s="98">
        <v>44593</v>
      </c>
      <c r="AD3" s="98">
        <v>44621</v>
      </c>
      <c r="AE3" s="98">
        <v>44652</v>
      </c>
      <c r="AF3" s="98">
        <v>44682</v>
      </c>
      <c r="AG3" s="98">
        <v>44713</v>
      </c>
      <c r="AH3" s="98">
        <v>44743</v>
      </c>
      <c r="AI3" s="98">
        <v>44774</v>
      </c>
      <c r="AJ3" s="98">
        <v>44805</v>
      </c>
      <c r="AK3" s="98">
        <v>44835</v>
      </c>
      <c r="AL3" s="98">
        <v>44866</v>
      </c>
      <c r="AM3" s="98">
        <v>44896</v>
      </c>
      <c r="AN3" s="25" t="s">
        <v>5</v>
      </c>
      <c r="AO3" s="98">
        <v>44927</v>
      </c>
      <c r="AP3" s="98">
        <v>44958</v>
      </c>
      <c r="AQ3" s="98">
        <v>44986</v>
      </c>
      <c r="AR3" s="98">
        <v>45017</v>
      </c>
      <c r="AS3" s="98">
        <v>45047</v>
      </c>
      <c r="AT3" s="98">
        <v>45078</v>
      </c>
      <c r="AU3" s="98">
        <v>45108</v>
      </c>
      <c r="AV3" s="98">
        <v>45139</v>
      </c>
      <c r="AW3" s="98">
        <v>45170</v>
      </c>
      <c r="AX3" s="98">
        <v>45200</v>
      </c>
      <c r="AY3" s="98">
        <v>45231</v>
      </c>
      <c r="AZ3" s="98">
        <v>45261</v>
      </c>
    </row>
    <row r="4" spans="1:52">
      <c r="A4" s="27" t="s">
        <v>97</v>
      </c>
      <c r="N4" s="255">
        <v>23855</v>
      </c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>
        <v>26571</v>
      </c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>
        <v>28994</v>
      </c>
    </row>
    <row r="5" spans="1:52">
      <c r="A5" s="28" t="s">
        <v>30</v>
      </c>
      <c r="B5" s="29">
        <f>'[1]Balance Sheet'!C26</f>
        <v>0</v>
      </c>
      <c r="C5" s="29">
        <f>SFP!D26</f>
        <v>528859819.61000001</v>
      </c>
      <c r="D5" s="29">
        <f>SFP!E26</f>
        <v>537317040.77999997</v>
      </c>
      <c r="E5" s="29">
        <f>SFP!F26</f>
        <v>538307018.79999995</v>
      </c>
      <c r="F5" s="29">
        <f>SFP!G26</f>
        <v>553112445.73000002</v>
      </c>
      <c r="G5" s="29">
        <f>SFP!H26</f>
        <v>557821715.75</v>
      </c>
      <c r="H5" s="29">
        <f>SFP!I26</f>
        <v>555147215.58000004</v>
      </c>
      <c r="I5" s="29">
        <f>SFP!J26</f>
        <v>568618735.62</v>
      </c>
      <c r="J5" s="29">
        <f>SFP!K26</f>
        <v>577833765.11000001</v>
      </c>
      <c r="K5" s="29">
        <f>SFP!L26</f>
        <v>599882781.65999997</v>
      </c>
      <c r="L5" s="29">
        <f>SFP!M26</f>
        <v>608384004.63</v>
      </c>
      <c r="M5" s="29">
        <f>SFP!N26</f>
        <v>633503288.75999987</v>
      </c>
      <c r="N5" s="29">
        <f>SFP!O26</f>
        <v>615469447.91750002</v>
      </c>
      <c r="O5" s="29">
        <f>SFP!P26</f>
        <v>613416262.75999999</v>
      </c>
      <c r="P5" s="29">
        <f>SFP!Q26</f>
        <v>630799219.57000005</v>
      </c>
      <c r="Q5" s="29">
        <f>SFP!R26</f>
        <v>626385964.98000002</v>
      </c>
      <c r="R5" s="29">
        <f>SFP!S26</f>
        <v>634218791.55000007</v>
      </c>
      <c r="S5" s="29">
        <f>SFP!T26</f>
        <v>640720654.72000003</v>
      </c>
      <c r="T5" s="29">
        <f>SFP!U26</f>
        <v>641872651.09000003</v>
      </c>
      <c r="U5" s="29">
        <f>SFP!V26</f>
        <v>649329035.60000002</v>
      </c>
      <c r="V5" s="29">
        <f>SFP!W26</f>
        <v>649834220.98000002</v>
      </c>
      <c r="W5" s="29">
        <f>SFP!X26</f>
        <v>675266608.38999999</v>
      </c>
      <c r="X5" s="29">
        <f>SFP!Y26</f>
        <v>672787618.91000009</v>
      </c>
      <c r="Y5" s="29">
        <f>SFP!Z26</f>
        <v>689075125.11999989</v>
      </c>
      <c r="Z5" s="29">
        <f>SFP!AA26</f>
        <v>703370494.71000004</v>
      </c>
      <c r="AA5" s="29">
        <f>SFP!AB26</f>
        <v>700607387.61000001</v>
      </c>
      <c r="AB5" s="29">
        <f>SFP!AC26</f>
        <v>708300028.84000003</v>
      </c>
      <c r="AC5" s="29">
        <f>SFP!AD26</f>
        <v>702767149.93999994</v>
      </c>
      <c r="AD5" s="29">
        <f>SFP!AE26</f>
        <v>698657790.19000006</v>
      </c>
      <c r="AE5" s="29">
        <f>SFP!AF26</f>
        <v>705311402.68000007</v>
      </c>
      <c r="AF5" s="29">
        <f>SFP!AG26</f>
        <v>709127992.03999996</v>
      </c>
      <c r="AG5" s="29">
        <f>SFP!AH26</f>
        <v>705900832.71000004</v>
      </c>
      <c r="AH5" s="29">
        <f>SFP!AI26</f>
        <v>700394076.28000009</v>
      </c>
      <c r="AI5" s="29">
        <f>SFP!AJ26</f>
        <v>691015250.30000007</v>
      </c>
      <c r="AJ5" s="29">
        <f>SFP!AK26</f>
        <v>685404924.04000008</v>
      </c>
      <c r="AK5" s="29">
        <f>SFP!AL26</f>
        <v>689054933.71000004</v>
      </c>
      <c r="AL5" s="29">
        <f>SFP!AM26</f>
        <v>728257455.39999998</v>
      </c>
      <c r="AM5" s="29">
        <f>SFP!AN26</f>
        <v>756724725.34000003</v>
      </c>
      <c r="AN5" s="29">
        <f>SFP!AO26</f>
        <v>758689887.28999996</v>
      </c>
      <c r="AO5" s="29">
        <f>SFP!AP26</f>
        <v>766193126.12999988</v>
      </c>
      <c r="AP5" s="29">
        <f>SFP!AQ26</f>
        <v>757341422.40999997</v>
      </c>
      <c r="AQ5" s="29">
        <f>SFP!AR26</f>
        <v>765169291.05999994</v>
      </c>
      <c r="AR5" s="29">
        <f>SFP!AS26</f>
        <v>766676677.87</v>
      </c>
      <c r="AS5" s="29">
        <f>SFP!AT26</f>
        <v>761925229.68999994</v>
      </c>
      <c r="AT5" s="29">
        <f>SFP!AU26</f>
        <v>772616678.71000004</v>
      </c>
      <c r="AU5" s="29">
        <f>SFP!AV26</f>
        <v>775390786.26999998</v>
      </c>
      <c r="AV5" s="29">
        <f>SFP!AW26</f>
        <v>782151663.1099999</v>
      </c>
      <c r="AW5" s="29">
        <f>SFP!AX26</f>
        <v>791711841.76999998</v>
      </c>
      <c r="AX5" s="29">
        <f>SFP!AY26</f>
        <v>0</v>
      </c>
      <c r="AY5" s="29">
        <f>SFP!AZ26</f>
        <v>0</v>
      </c>
      <c r="AZ5" s="29">
        <f>SFP!BA26</f>
        <v>0</v>
      </c>
    </row>
    <row r="6" spans="1:52">
      <c r="A6" s="30" t="s">
        <v>98</v>
      </c>
      <c r="B6" s="31">
        <f t="shared" ref="B6:N6" si="0">B7+B8</f>
        <v>0</v>
      </c>
      <c r="C6" s="31">
        <f t="shared" si="0"/>
        <v>402646445.03999996</v>
      </c>
      <c r="D6" s="31">
        <f t="shared" si="0"/>
        <v>412187606.71999997</v>
      </c>
      <c r="E6" s="31">
        <f t="shared" si="0"/>
        <v>433264927</v>
      </c>
      <c r="F6" s="31">
        <f t="shared" si="0"/>
        <v>443762122.19999999</v>
      </c>
      <c r="G6" s="31">
        <f t="shared" si="0"/>
        <v>454252511.02999997</v>
      </c>
      <c r="H6" s="31">
        <f t="shared" si="0"/>
        <v>455239898.27999997</v>
      </c>
      <c r="I6" s="31">
        <f t="shared" si="0"/>
        <v>476773100.94</v>
      </c>
      <c r="J6" s="31">
        <f t="shared" si="0"/>
        <v>476972200.57999998</v>
      </c>
      <c r="K6" s="31">
        <f t="shared" si="0"/>
        <v>502821351.11000001</v>
      </c>
      <c r="L6" s="31">
        <f t="shared" si="0"/>
        <v>505274590.86000001</v>
      </c>
      <c r="M6" s="31">
        <f t="shared" si="0"/>
        <v>435531608.96000004</v>
      </c>
      <c r="N6" s="31">
        <f t="shared" si="0"/>
        <v>457406767.90999997</v>
      </c>
      <c r="O6" s="31">
        <f t="shared" ref="O6:U6" si="1">O7+O8</f>
        <v>417842856</v>
      </c>
      <c r="P6" s="31">
        <f t="shared" si="1"/>
        <v>434326528.33999997</v>
      </c>
      <c r="Q6" s="31">
        <f t="shared" si="1"/>
        <v>452052716.60000002</v>
      </c>
      <c r="R6" s="31">
        <f t="shared" si="1"/>
        <v>457953991.72000003</v>
      </c>
      <c r="S6" s="31">
        <f t="shared" si="1"/>
        <v>461934474.89999998</v>
      </c>
      <c r="T6" s="31">
        <f t="shared" si="1"/>
        <v>457620929.10000002</v>
      </c>
      <c r="U6" s="31">
        <f t="shared" si="1"/>
        <v>448503075.89999998</v>
      </c>
      <c r="V6" s="31">
        <f t="shared" ref="V6:AI6" si="2">V7+V8</f>
        <v>455414216.80000001</v>
      </c>
      <c r="W6" s="31">
        <f t="shared" si="2"/>
        <v>476734322.80000001</v>
      </c>
      <c r="X6" s="31">
        <f t="shared" si="2"/>
        <v>465877269</v>
      </c>
      <c r="Y6" s="31">
        <f t="shared" si="2"/>
        <v>476287550</v>
      </c>
      <c r="Z6" s="31">
        <f t="shared" si="2"/>
        <v>477672353.5</v>
      </c>
      <c r="AA6" s="31">
        <f t="shared" si="2"/>
        <v>510016123</v>
      </c>
      <c r="AB6" s="31">
        <f t="shared" si="2"/>
        <v>485007032.89999998</v>
      </c>
      <c r="AC6" s="31">
        <f t="shared" si="2"/>
        <v>512353482.90000004</v>
      </c>
      <c r="AD6" s="31">
        <f t="shared" si="2"/>
        <v>504609079.89999998</v>
      </c>
      <c r="AE6" s="31">
        <f t="shared" si="2"/>
        <v>512553769</v>
      </c>
      <c r="AF6" s="31">
        <f t="shared" si="2"/>
        <v>515163937.70000005</v>
      </c>
      <c r="AG6" s="31">
        <f t="shared" si="2"/>
        <v>507507664.69999999</v>
      </c>
      <c r="AH6" s="31">
        <f t="shared" si="2"/>
        <v>499903132.80000001</v>
      </c>
      <c r="AI6" s="31">
        <f t="shared" si="2"/>
        <v>490593736.70000005</v>
      </c>
      <c r="AJ6" s="31">
        <f t="shared" ref="AJ6:AM6" si="3">AJ7+AJ8</f>
        <v>483142161.28999996</v>
      </c>
      <c r="AK6" s="31">
        <f t="shared" si="3"/>
        <v>475623729.32999998</v>
      </c>
      <c r="AL6" s="31">
        <f t="shared" si="3"/>
        <v>501802393.19999999</v>
      </c>
      <c r="AM6" s="31">
        <f t="shared" si="3"/>
        <v>503394334.60000002</v>
      </c>
      <c r="AN6" s="31">
        <f t="shared" ref="AN6:AQ6" si="4">AN7+AN8</f>
        <v>536159217</v>
      </c>
      <c r="AO6" s="31">
        <f t="shared" si="4"/>
        <v>506319938.5</v>
      </c>
      <c r="AP6" s="31">
        <f t="shared" si="4"/>
        <v>530339459.57000005</v>
      </c>
      <c r="AQ6" s="31">
        <f t="shared" si="4"/>
        <v>536547430.5</v>
      </c>
      <c r="AR6" s="31">
        <f t="shared" ref="AR6:AS6" si="5">AR7+AR8</f>
        <v>533506967.99000001</v>
      </c>
      <c r="AS6" s="31">
        <f t="shared" si="5"/>
        <v>523501596.75</v>
      </c>
      <c r="AT6" s="31">
        <f t="shared" ref="AT6:AY6" si="6">AT7+AT8</f>
        <v>529762852.48000002</v>
      </c>
      <c r="AU6" s="31">
        <f t="shared" si="6"/>
        <v>524492798.69</v>
      </c>
      <c r="AV6" s="31">
        <f t="shared" si="6"/>
        <v>531822851.49000001</v>
      </c>
      <c r="AW6" s="31">
        <f t="shared" si="6"/>
        <v>525814913.69</v>
      </c>
      <c r="AX6" s="31">
        <f t="shared" si="6"/>
        <v>0</v>
      </c>
      <c r="AY6" s="31">
        <f t="shared" si="6"/>
        <v>0</v>
      </c>
      <c r="AZ6" s="31">
        <f t="shared" ref="AZ6" si="7">AZ7+AZ8</f>
        <v>0</v>
      </c>
    </row>
    <row r="7" spans="1:52">
      <c r="A7" s="32" t="s">
        <v>99</v>
      </c>
      <c r="B7" s="29">
        <f>'[1]Balance Sheet'!C29</f>
        <v>0</v>
      </c>
      <c r="C7" s="29">
        <f>SFP!D29</f>
        <v>383811008.33999997</v>
      </c>
      <c r="D7" s="29">
        <f>SFP!E29</f>
        <v>392368988.01999998</v>
      </c>
      <c r="E7" s="29">
        <f>SFP!F29</f>
        <v>413115060</v>
      </c>
      <c r="F7" s="29">
        <f>SFP!G29</f>
        <v>422864802.82999998</v>
      </c>
      <c r="G7" s="29">
        <f>SFP!H29</f>
        <v>430835101.02999997</v>
      </c>
      <c r="H7" s="29">
        <f>SFP!I29</f>
        <v>432651660.57999998</v>
      </c>
      <c r="I7" s="29">
        <f>SFP!J29</f>
        <v>444949020.33999997</v>
      </c>
      <c r="J7" s="29">
        <f>SFP!K29</f>
        <v>446569528.56999999</v>
      </c>
      <c r="K7" s="29">
        <f>SFP!L29</f>
        <v>465815813.41000003</v>
      </c>
      <c r="L7" s="29">
        <f>SFP!M29</f>
        <v>467850324.16000003</v>
      </c>
      <c r="M7" s="29">
        <f>SFP!N29</f>
        <v>238941257.63</v>
      </c>
      <c r="N7" s="29">
        <f>SFP!O29</f>
        <v>239074533.38</v>
      </c>
      <c r="O7" s="29">
        <f>SFP!P29</f>
        <v>243479912</v>
      </c>
      <c r="P7" s="29">
        <f>SFP!Q29</f>
        <v>248927126.41999999</v>
      </c>
      <c r="Q7" s="29">
        <f>SFP!R29</f>
        <v>252317966.09999999</v>
      </c>
      <c r="R7" s="29">
        <f>SFP!S29</f>
        <v>256665931.15000001</v>
      </c>
      <c r="S7" s="29">
        <f>SFP!T29</f>
        <v>260620730</v>
      </c>
      <c r="T7" s="29">
        <f>SFP!U29</f>
        <v>265037849.09999999</v>
      </c>
      <c r="U7" s="29">
        <f>SFP!V29</f>
        <v>263984168.40000001</v>
      </c>
      <c r="V7" s="29">
        <f>SFP!W29</f>
        <v>267994348.30000001</v>
      </c>
      <c r="W7" s="29">
        <f>SFP!X29</f>
        <v>271254765.10000002</v>
      </c>
      <c r="X7" s="29">
        <f>SFP!Y29</f>
        <v>273369713</v>
      </c>
      <c r="Y7" s="29">
        <f>SFP!Z29</f>
        <v>276381572.80000001</v>
      </c>
      <c r="Z7" s="29">
        <f>SFP!AA29</f>
        <v>276049008.5</v>
      </c>
      <c r="AA7" s="29">
        <f>SFP!AB29</f>
        <v>276157579</v>
      </c>
      <c r="AB7" s="29">
        <f>SFP!AC29</f>
        <v>280837338</v>
      </c>
      <c r="AC7" s="29">
        <f>SFP!AD29</f>
        <v>286929218.10000002</v>
      </c>
      <c r="AD7" s="29">
        <f>SFP!AE29</f>
        <v>290918100.5</v>
      </c>
      <c r="AE7" s="29">
        <f>SFP!AF29</f>
        <v>295775849.30000001</v>
      </c>
      <c r="AF7" s="29">
        <f>SFP!AG29</f>
        <v>300108054.60000002</v>
      </c>
      <c r="AG7" s="29">
        <f>SFP!AH29</f>
        <v>297642619.69999999</v>
      </c>
      <c r="AH7" s="29">
        <f>SFP!AI29</f>
        <v>298483678.10000002</v>
      </c>
      <c r="AI7" s="29">
        <f>SFP!AJ29</f>
        <v>301716195.60000002</v>
      </c>
      <c r="AJ7" s="29">
        <f>SFP!AK29</f>
        <v>303936855.08999997</v>
      </c>
      <c r="AK7" s="29">
        <f>SFP!AL29</f>
        <v>304421516.13</v>
      </c>
      <c r="AL7" s="29">
        <f>SFP!AM29</f>
        <v>306479097.5</v>
      </c>
      <c r="AM7" s="29">
        <f>SFP!AN29</f>
        <v>303178892.17000002</v>
      </c>
      <c r="AN7" s="29">
        <f>SFP!AO29</f>
        <v>303178892</v>
      </c>
      <c r="AO7" s="29">
        <f>SFP!AP29</f>
        <v>309459331.80000001</v>
      </c>
      <c r="AP7" s="29">
        <f>SFP!AQ29</f>
        <v>314045204.05000001</v>
      </c>
      <c r="AQ7" s="29">
        <f>SFP!AR29</f>
        <v>320307065</v>
      </c>
      <c r="AR7" s="29">
        <f>SFP!AS29</f>
        <v>324402763.81</v>
      </c>
      <c r="AS7" s="29">
        <f>SFP!AT29</f>
        <v>325571306.44999999</v>
      </c>
      <c r="AT7" s="29">
        <f>SFP!AU29</f>
        <v>328836777.86000001</v>
      </c>
      <c r="AU7" s="29">
        <f>SFP!AV29</f>
        <v>329978496.18000001</v>
      </c>
      <c r="AV7" s="29">
        <f>SFP!AW29</f>
        <v>333575150.89999998</v>
      </c>
      <c r="AW7" s="29">
        <f>SFP!AX29</f>
        <v>335923591.49000001</v>
      </c>
      <c r="AX7" s="29">
        <f>SFP!AY29</f>
        <v>0</v>
      </c>
      <c r="AY7" s="29">
        <f>SFP!AZ29</f>
        <v>0</v>
      </c>
      <c r="AZ7" s="29">
        <f>SFP!BA29</f>
        <v>0</v>
      </c>
    </row>
    <row r="8" spans="1:52">
      <c r="A8" s="32" t="s">
        <v>100</v>
      </c>
      <c r="B8" s="29">
        <f>'[1]Balance Sheet'!C27</f>
        <v>0</v>
      </c>
      <c r="C8" s="29">
        <f>SFP!D27</f>
        <v>18835436.699999999</v>
      </c>
      <c r="D8" s="29">
        <f>SFP!E27</f>
        <v>19818618.699999999</v>
      </c>
      <c r="E8" s="29">
        <f>SFP!F27</f>
        <v>20149867</v>
      </c>
      <c r="F8" s="29">
        <f>SFP!G27</f>
        <v>20897319.370000001</v>
      </c>
      <c r="G8" s="29">
        <f>SFP!H27</f>
        <v>23417410</v>
      </c>
      <c r="H8" s="29">
        <f>SFP!I27</f>
        <v>22588237.699999999</v>
      </c>
      <c r="I8" s="29">
        <f>SFP!J27</f>
        <v>31824080.600000001</v>
      </c>
      <c r="J8" s="29">
        <f>SFP!K27</f>
        <v>30402672.010000002</v>
      </c>
      <c r="K8" s="29">
        <f>SFP!L27</f>
        <v>37005537.700000003</v>
      </c>
      <c r="L8" s="29">
        <f>SFP!M27</f>
        <v>37424266.700000003</v>
      </c>
      <c r="M8" s="29">
        <f>SFP!N27</f>
        <v>196590351.33000001</v>
      </c>
      <c r="N8" s="29">
        <f>SFP!O27</f>
        <v>218332234.53</v>
      </c>
      <c r="O8" s="29">
        <f>SFP!P27</f>
        <v>174362944</v>
      </c>
      <c r="P8" s="29">
        <f>SFP!Q27</f>
        <v>185399401.91999999</v>
      </c>
      <c r="Q8" s="29">
        <f>SFP!R27</f>
        <v>199734750.5</v>
      </c>
      <c r="R8" s="29">
        <f>SFP!S27</f>
        <v>201288060.56999999</v>
      </c>
      <c r="S8" s="29">
        <f>SFP!T27</f>
        <v>201313744.90000001</v>
      </c>
      <c r="T8" s="29">
        <f>SFP!U27</f>
        <v>192583080</v>
      </c>
      <c r="U8" s="29">
        <f>SFP!V27</f>
        <v>184518907.5</v>
      </c>
      <c r="V8" s="29">
        <f>SFP!W27</f>
        <v>187419868.5</v>
      </c>
      <c r="W8" s="29">
        <f>SFP!X27</f>
        <v>205479557.69999999</v>
      </c>
      <c r="X8" s="29">
        <f>SFP!Y27</f>
        <v>192507556</v>
      </c>
      <c r="Y8" s="29">
        <f>SFP!Z27</f>
        <v>199905977.19999999</v>
      </c>
      <c r="Z8" s="29">
        <f>SFP!AA27</f>
        <v>201623345</v>
      </c>
      <c r="AA8" s="29">
        <f>SFP!AB27</f>
        <v>233858544</v>
      </c>
      <c r="AB8" s="29">
        <f>SFP!AC27</f>
        <v>204169694.90000001</v>
      </c>
      <c r="AC8" s="29">
        <f>SFP!AD27</f>
        <v>225424264.80000001</v>
      </c>
      <c r="AD8" s="29">
        <f>SFP!AE27</f>
        <v>213690979.40000001</v>
      </c>
      <c r="AE8" s="29">
        <f>SFP!AF27</f>
        <v>216777919.69999999</v>
      </c>
      <c r="AF8" s="29">
        <f>SFP!AG27</f>
        <v>215055883.09999999</v>
      </c>
      <c r="AG8" s="29">
        <f>SFP!AH27</f>
        <v>209865045</v>
      </c>
      <c r="AH8" s="29">
        <f>SFP!AI27</f>
        <v>201419454.69999999</v>
      </c>
      <c r="AI8" s="29">
        <f>SFP!AJ27</f>
        <v>188877541.09999999</v>
      </c>
      <c r="AJ8" s="29">
        <f>SFP!AK27</f>
        <v>179205306.19999999</v>
      </c>
      <c r="AK8" s="29">
        <f>SFP!AL27</f>
        <v>171202213.19999999</v>
      </c>
      <c r="AL8" s="29">
        <f>SFP!AM27</f>
        <v>195323295.69999999</v>
      </c>
      <c r="AM8" s="29">
        <f>SFP!AN27</f>
        <v>200215442.43000001</v>
      </c>
      <c r="AN8" s="29">
        <f>SFP!AO27</f>
        <v>232980325</v>
      </c>
      <c r="AO8" s="29">
        <f>SFP!AP27</f>
        <v>196860606.69999999</v>
      </c>
      <c r="AP8" s="29">
        <f>SFP!AQ27</f>
        <v>216294255.52000001</v>
      </c>
      <c r="AQ8" s="29">
        <f>SFP!AR27</f>
        <v>216240365.5</v>
      </c>
      <c r="AR8" s="29">
        <f>SFP!AS27</f>
        <v>209104204.18000001</v>
      </c>
      <c r="AS8" s="29">
        <f>SFP!AT27</f>
        <v>197930290.30000001</v>
      </c>
      <c r="AT8" s="29">
        <f>SFP!AU27</f>
        <v>200926074.62</v>
      </c>
      <c r="AU8" s="29">
        <f>SFP!AV27</f>
        <v>194514302.50999999</v>
      </c>
      <c r="AV8" s="29">
        <f>SFP!AW27</f>
        <v>198247700.59</v>
      </c>
      <c r="AW8" s="29">
        <f>SFP!AX27</f>
        <v>189891322.19999999</v>
      </c>
      <c r="AX8" s="29">
        <f>SFP!AY27</f>
        <v>0</v>
      </c>
      <c r="AY8" s="29">
        <f>SFP!AZ27</f>
        <v>0</v>
      </c>
      <c r="AZ8" s="29">
        <f>SFP!BA27</f>
        <v>0</v>
      </c>
    </row>
    <row r="9" spans="1:52">
      <c r="A9" s="32" t="s">
        <v>101</v>
      </c>
      <c r="B9" s="29">
        <f>'[1]Balance Sheet'!C28</f>
        <v>0</v>
      </c>
      <c r="C9" s="29">
        <f>SFP!D28</f>
        <v>202465892.90000001</v>
      </c>
      <c r="D9" s="29">
        <f>SFP!E28</f>
        <v>205071518.63999999</v>
      </c>
      <c r="E9" s="29">
        <f>SFP!F28</f>
        <v>209058011</v>
      </c>
      <c r="F9" s="29">
        <f>SFP!G28</f>
        <v>212663233.94999999</v>
      </c>
      <c r="G9" s="29">
        <f>SFP!H28</f>
        <v>216104793.83000001</v>
      </c>
      <c r="H9" s="29">
        <f>SFP!I28</f>
        <v>220528984.75</v>
      </c>
      <c r="I9" s="29">
        <f>SFP!J28</f>
        <v>227552107.06999999</v>
      </c>
      <c r="J9" s="29">
        <f>SFP!K28</f>
        <v>230535657.56</v>
      </c>
      <c r="K9" s="29">
        <f>SFP!L28</f>
        <v>234433939.74000001</v>
      </c>
      <c r="L9" s="29">
        <f>SFP!M28</f>
        <v>236857261.05000001</v>
      </c>
      <c r="M9" s="29">
        <f>SFP!N28</f>
        <v>30529981.199999999</v>
      </c>
      <c r="N9" s="29">
        <f>SFP!O28</f>
        <v>0</v>
      </c>
      <c r="O9" s="29">
        <f>SFP!P28</f>
        <v>30922064</v>
      </c>
      <c r="P9" s="29">
        <f>SFP!Q28</f>
        <v>30534231.199999999</v>
      </c>
      <c r="Q9" s="29">
        <f>SFP!R28</f>
        <v>31624778.199999999</v>
      </c>
      <c r="R9" s="29">
        <f>SFP!S28</f>
        <v>31925106.199999999</v>
      </c>
      <c r="S9" s="29">
        <f>SFP!T28</f>
        <v>31601459.699999999</v>
      </c>
      <c r="T9" s="29">
        <f>SFP!U28</f>
        <v>34433245.700000003</v>
      </c>
      <c r="U9" s="29">
        <f>SFP!V28</f>
        <v>34525847.700000003</v>
      </c>
      <c r="V9" s="29">
        <f>SFP!W28</f>
        <v>31795618.079999998</v>
      </c>
      <c r="W9" s="29">
        <f>SFP!X28</f>
        <v>30053407.199999999</v>
      </c>
      <c r="X9" s="29">
        <f>SFP!Y28</f>
        <v>32344276.079999998</v>
      </c>
      <c r="Y9" s="29">
        <f>SFP!Z28</f>
        <v>31710190.699999999</v>
      </c>
      <c r="Z9" s="29">
        <f>SFP!AA28</f>
        <v>29845100.690000001</v>
      </c>
      <c r="AA9" s="29">
        <f>SFP!AB28</f>
        <v>0</v>
      </c>
      <c r="AB9" s="29">
        <f>SFP!AC28</f>
        <v>30274557.699999999</v>
      </c>
      <c r="AC9" s="29">
        <f>SFP!AD28</f>
        <v>30810757.699999999</v>
      </c>
      <c r="AD9" s="29">
        <f>SFP!AE28</f>
        <v>32578717.699999999</v>
      </c>
      <c r="AE9" s="29">
        <f>SFP!AF28</f>
        <v>33843706.700000003</v>
      </c>
      <c r="AF9" s="29">
        <f>SFP!AG28</f>
        <v>33476310.699999999</v>
      </c>
      <c r="AG9" s="29">
        <f>SFP!AH28</f>
        <v>32001300.699999999</v>
      </c>
      <c r="AH9" s="29">
        <f>SFP!AI28</f>
        <v>33131372.699999999</v>
      </c>
      <c r="AI9" s="29">
        <f>SFP!AJ28</f>
        <v>33711200.700000003</v>
      </c>
      <c r="AJ9" s="29">
        <f>SFP!AK28</f>
        <v>34054042.310000002</v>
      </c>
      <c r="AK9" s="29">
        <f>SFP!AL28</f>
        <v>32648487.699999999</v>
      </c>
      <c r="AL9" s="29">
        <f>SFP!AM28</f>
        <v>31423386.699999999</v>
      </c>
      <c r="AM9" s="29">
        <f>SFP!AN28</f>
        <v>32764882.699999999</v>
      </c>
      <c r="AN9" s="29">
        <f>SFP!AO28</f>
        <v>0</v>
      </c>
      <c r="AO9" s="29">
        <f>SFP!AP28</f>
        <v>35170428.200000003</v>
      </c>
      <c r="AP9" s="29">
        <f>SFP!AQ28</f>
        <v>35733541.200000003</v>
      </c>
      <c r="AQ9" s="29">
        <f>SFP!AR28</f>
        <v>35474133.530000001</v>
      </c>
      <c r="AR9" s="29">
        <f>SFP!AS28</f>
        <v>35021385.479999997</v>
      </c>
      <c r="AS9" s="29">
        <f>SFP!AT28</f>
        <v>34571196.32</v>
      </c>
      <c r="AT9" s="29">
        <f>SFP!AU28</f>
        <v>34164646.32</v>
      </c>
      <c r="AU9" s="29">
        <f>SFP!AV28</f>
        <v>36092718.479999997</v>
      </c>
      <c r="AV9" s="29">
        <f>SFP!AW28</f>
        <v>38159501.549999997</v>
      </c>
      <c r="AW9" s="29">
        <f>SFP!AX28</f>
        <v>38146654</v>
      </c>
      <c r="AX9" s="29">
        <f>SFP!AY28</f>
        <v>0</v>
      </c>
      <c r="AY9" s="29">
        <f>SFP!AZ28</f>
        <v>0</v>
      </c>
      <c r="AZ9" s="29">
        <f>SFP!BA28</f>
        <v>0</v>
      </c>
    </row>
    <row r="10" spans="1:52">
      <c r="A10" s="28" t="s">
        <v>102</v>
      </c>
      <c r="B10" s="29">
        <f>'[1]Balance Sheet'!C37</f>
        <v>0</v>
      </c>
      <c r="C10" s="29" t="e">
        <f>SFP!#REF!</f>
        <v>#REF!</v>
      </c>
      <c r="D10" s="29" t="e">
        <f>SFP!#REF!</f>
        <v>#REF!</v>
      </c>
      <c r="E10" s="29" t="e">
        <f>SFP!#REF!</f>
        <v>#REF!</v>
      </c>
      <c r="F10" s="29" t="e">
        <f>SFP!#REF!</f>
        <v>#REF!</v>
      </c>
      <c r="G10" s="29" t="e">
        <f>SFP!#REF!</f>
        <v>#REF!</v>
      </c>
      <c r="H10" s="29" t="e">
        <f>SFP!#REF!</f>
        <v>#REF!</v>
      </c>
      <c r="I10" s="29" t="e">
        <f>SFP!#REF!</f>
        <v>#REF!</v>
      </c>
      <c r="J10" s="29" t="e">
        <f>SFP!#REF!</f>
        <v>#REF!</v>
      </c>
      <c r="K10" s="29" t="e">
        <f>SFP!#REF!</f>
        <v>#REF!</v>
      </c>
      <c r="L10" s="29" t="e">
        <f>SFP!#REF!</f>
        <v>#REF!</v>
      </c>
      <c r="M10" s="29" t="e">
        <f>SFP!#REF!</f>
        <v>#REF!</v>
      </c>
      <c r="N10" s="29">
        <f>SFP!O37</f>
        <v>0</v>
      </c>
      <c r="O10" s="29">
        <f>SFP!P37</f>
        <v>0</v>
      </c>
      <c r="P10" s="29">
        <f>SFP!Q37</f>
        <v>0</v>
      </c>
      <c r="Q10" s="29">
        <f>SFP!R37</f>
        <v>0</v>
      </c>
      <c r="R10" s="29">
        <f>SFP!S37</f>
        <v>0</v>
      </c>
      <c r="S10" s="29">
        <f>SFP!T37</f>
        <v>0</v>
      </c>
      <c r="T10" s="29">
        <f>SFP!U37</f>
        <v>0</v>
      </c>
      <c r="U10" s="29">
        <f>SFP!V37</f>
        <v>0</v>
      </c>
      <c r="V10" s="29">
        <f>SFP!W37</f>
        <v>0</v>
      </c>
      <c r="W10" s="29">
        <f>SFP!X37</f>
        <v>0</v>
      </c>
      <c r="X10" s="29">
        <f>SFP!Y37</f>
        <v>0</v>
      </c>
      <c r="Y10" s="29">
        <f>SFP!Z37</f>
        <v>0</v>
      </c>
      <c r="Z10" s="29">
        <f>SFP!AA37</f>
        <v>0</v>
      </c>
      <c r="AA10" s="29">
        <f>SFP!AB37</f>
        <v>0</v>
      </c>
      <c r="AB10" s="29">
        <f>SFP!AC37</f>
        <v>0</v>
      </c>
      <c r="AC10" s="29">
        <f>SFP!AD37</f>
        <v>0</v>
      </c>
      <c r="AD10" s="29">
        <f>SFP!AE37</f>
        <v>0</v>
      </c>
      <c r="AE10" s="29">
        <f>SFP!AF37</f>
        <v>0</v>
      </c>
      <c r="AF10" s="29">
        <f>SFP!AG37</f>
        <v>0</v>
      </c>
      <c r="AG10" s="29">
        <f>SFP!AH37</f>
        <v>0</v>
      </c>
      <c r="AH10" s="29">
        <f>SFP!AI37</f>
        <v>0</v>
      </c>
      <c r="AI10" s="29">
        <f>SFP!AJ37</f>
        <v>0</v>
      </c>
      <c r="AJ10" s="29">
        <f>SFP!AK37</f>
        <v>0</v>
      </c>
      <c r="AK10" s="29">
        <f>SFP!AL37</f>
        <v>0</v>
      </c>
      <c r="AL10" s="29">
        <f>SFP!AM37</f>
        <v>0</v>
      </c>
      <c r="AM10" s="29">
        <f>SFP!AN37</f>
        <v>0</v>
      </c>
      <c r="AN10" s="29">
        <f>SFP!AO37</f>
        <v>0</v>
      </c>
      <c r="AO10" s="29">
        <f>SFP!AP37</f>
        <v>0</v>
      </c>
      <c r="AP10" s="29">
        <f>SFP!AQ37</f>
        <v>0</v>
      </c>
      <c r="AQ10" s="29">
        <f>SFP!AR37</f>
        <v>0</v>
      </c>
      <c r="AR10" s="29">
        <f>SFP!AS37</f>
        <v>0</v>
      </c>
      <c r="AS10" s="29">
        <f>SFP!AT37</f>
        <v>0</v>
      </c>
      <c r="AT10" s="29">
        <f>SFP!AU37</f>
        <v>0</v>
      </c>
      <c r="AU10" s="29">
        <f>SFP!AV37</f>
        <v>0</v>
      </c>
      <c r="AV10" s="29">
        <f>SFP!AW37</f>
        <v>0</v>
      </c>
      <c r="AW10" s="29">
        <f>SFP!AX37</f>
        <v>0</v>
      </c>
      <c r="AX10" s="29">
        <f>SFP!AY37</f>
        <v>0</v>
      </c>
      <c r="AY10" s="29">
        <f>SFP!AZ37</f>
        <v>0</v>
      </c>
      <c r="AZ10" s="29">
        <f>SFP!BA37</f>
        <v>0</v>
      </c>
    </row>
    <row r="11" spans="1:52">
      <c r="A11" s="28"/>
      <c r="B11" s="29"/>
      <c r="C11" s="29"/>
      <c r="D11" s="29"/>
      <c r="E11" s="29"/>
      <c r="F11" s="29"/>
      <c r="G11" s="29"/>
      <c r="H11" s="29"/>
    </row>
    <row r="12" spans="1:52">
      <c r="A12" s="33" t="s">
        <v>103</v>
      </c>
      <c r="B12" s="31"/>
      <c r="C12" s="31"/>
      <c r="D12" s="31"/>
      <c r="E12" s="31"/>
      <c r="F12" s="31"/>
      <c r="G12" s="31"/>
      <c r="H12" s="31"/>
    </row>
    <row r="13" spans="1:52">
      <c r="A13" s="33" t="s">
        <v>104</v>
      </c>
      <c r="B13" s="31">
        <f t="shared" ref="B13:N13" si="8">B15-B28</f>
        <v>0</v>
      </c>
      <c r="C13" s="31">
        <f>C15-C19</f>
        <v>225066687.18000001</v>
      </c>
      <c r="D13" s="31">
        <f t="shared" si="8"/>
        <v>226569481.20999998</v>
      </c>
      <c r="E13" s="31">
        <f t="shared" si="8"/>
        <v>161531691</v>
      </c>
      <c r="F13" s="31">
        <f t="shared" si="8"/>
        <v>164175483.67000002</v>
      </c>
      <c r="G13" s="31">
        <f t="shared" si="8"/>
        <v>186400553.91999999</v>
      </c>
      <c r="H13" s="31">
        <f t="shared" si="8"/>
        <v>181406237.30000001</v>
      </c>
      <c r="I13" s="31">
        <f t="shared" si="8"/>
        <v>181042125.18000001</v>
      </c>
      <c r="J13" s="31">
        <f t="shared" si="8"/>
        <v>188299912.64999998</v>
      </c>
      <c r="K13" s="31">
        <f t="shared" si="8"/>
        <v>200006631.48000002</v>
      </c>
      <c r="L13" s="31">
        <f t="shared" si="8"/>
        <v>210219129.18000001</v>
      </c>
      <c r="M13" s="31">
        <f t="shared" ref="M13" si="9">M15-M28</f>
        <v>99721099.700000003</v>
      </c>
      <c r="N13" s="31">
        <f t="shared" si="8"/>
        <v>106043595.7</v>
      </c>
      <c r="O13" s="31">
        <f t="shared" ref="O13:U13" si="10">O15-O28</f>
        <v>147095055</v>
      </c>
      <c r="P13" s="31">
        <f t="shared" si="10"/>
        <v>113913695.05</v>
      </c>
      <c r="Q13" s="31">
        <f t="shared" si="10"/>
        <v>118520560.68000001</v>
      </c>
      <c r="R13" s="31">
        <f t="shared" si="10"/>
        <v>142265232.68000001</v>
      </c>
      <c r="S13" s="31">
        <f t="shared" si="10"/>
        <v>145753263.38</v>
      </c>
      <c r="T13" s="31">
        <f t="shared" si="10"/>
        <v>149077785.35000002</v>
      </c>
      <c r="U13" s="31">
        <f t="shared" si="10"/>
        <v>165520684.10999998</v>
      </c>
      <c r="V13" s="31">
        <f t="shared" ref="V13:AI13" si="11">V15-V28</f>
        <v>161619824.63</v>
      </c>
      <c r="W13" s="31">
        <f t="shared" si="11"/>
        <v>167620700.69</v>
      </c>
      <c r="X13" s="31">
        <f t="shared" si="11"/>
        <v>173417996.60000002</v>
      </c>
      <c r="Y13" s="31">
        <f t="shared" si="11"/>
        <v>180200010.09999999</v>
      </c>
      <c r="Z13" s="31">
        <f t="shared" si="11"/>
        <v>195154453.88</v>
      </c>
      <c r="AA13" s="31">
        <f>AA15-AA25</f>
        <v>151913435</v>
      </c>
      <c r="AB13" s="31">
        <f t="shared" ref="AB13:AG13" si="12">AB15-AB25</f>
        <v>172647870.58000001</v>
      </c>
      <c r="AC13" s="31">
        <f t="shared" si="12"/>
        <v>133515807.11999999</v>
      </c>
      <c r="AD13" s="31">
        <f t="shared" si="12"/>
        <v>136160930</v>
      </c>
      <c r="AE13" s="31">
        <f t="shared" si="12"/>
        <v>135338012.21000001</v>
      </c>
      <c r="AF13" s="31">
        <f t="shared" si="12"/>
        <v>157770895.88999999</v>
      </c>
      <c r="AG13" s="31">
        <f t="shared" si="12"/>
        <v>163490125.69999999</v>
      </c>
      <c r="AH13" s="31">
        <f t="shared" si="11"/>
        <v>166535879.09999999</v>
      </c>
      <c r="AI13" s="31">
        <f t="shared" si="11"/>
        <v>166179335.32999998</v>
      </c>
      <c r="AJ13" s="31">
        <f t="shared" ref="AJ13:AM13" si="13">AJ15-AJ28</f>
        <v>167658453.93000001</v>
      </c>
      <c r="AK13" s="31">
        <f t="shared" si="13"/>
        <v>180213426.09</v>
      </c>
      <c r="AL13" s="31">
        <f t="shared" si="13"/>
        <v>194485453.84999996</v>
      </c>
      <c r="AM13" s="31">
        <f t="shared" si="13"/>
        <v>219130635.03999999</v>
      </c>
      <c r="AN13" s="31">
        <f t="shared" ref="AN13:AQ13" si="14">AN15-AN28</f>
        <v>184486490</v>
      </c>
      <c r="AO13" s="31">
        <f t="shared" si="14"/>
        <v>187848374.90000001</v>
      </c>
      <c r="AP13" s="31">
        <f t="shared" si="14"/>
        <v>190860224.13999999</v>
      </c>
      <c r="AQ13" s="31">
        <f t="shared" si="14"/>
        <v>192890081.00999999</v>
      </c>
      <c r="AR13" s="31">
        <f t="shared" ref="AR13:AS13" si="15">AR15-AR28</f>
        <v>195125327.50999999</v>
      </c>
      <c r="AS13" s="31">
        <f t="shared" si="15"/>
        <v>198186081.82999998</v>
      </c>
      <c r="AT13" s="31">
        <f t="shared" ref="AT13:AY13" si="16">AT15-AT28</f>
        <v>202799584.76999998</v>
      </c>
      <c r="AU13" s="31">
        <f t="shared" si="16"/>
        <v>208665847.20999998</v>
      </c>
      <c r="AV13" s="31">
        <f t="shared" si="16"/>
        <v>210893321.91</v>
      </c>
      <c r="AW13" s="31">
        <f t="shared" si="16"/>
        <v>221126828.40000001</v>
      </c>
      <c r="AX13" s="31">
        <f t="shared" si="16"/>
        <v>0</v>
      </c>
      <c r="AY13" s="31">
        <f t="shared" si="16"/>
        <v>0</v>
      </c>
      <c r="AZ13" s="31">
        <f t="shared" ref="AZ13" si="17">AZ15-AZ28</f>
        <v>0</v>
      </c>
    </row>
    <row r="14" spans="1:52">
      <c r="A14" s="33" t="s">
        <v>105</v>
      </c>
      <c r="B14" s="31">
        <f t="shared" ref="B14:N14" si="18">B13-B16</f>
        <v>0</v>
      </c>
      <c r="C14" s="31">
        <f t="shared" si="18"/>
        <v>156287993.25999999</v>
      </c>
      <c r="D14" s="31">
        <f t="shared" si="18"/>
        <v>157334318.44</v>
      </c>
      <c r="E14" s="31">
        <f t="shared" si="18"/>
        <v>125022260</v>
      </c>
      <c r="F14" s="31">
        <f t="shared" si="18"/>
        <v>126600610.93000001</v>
      </c>
      <c r="G14" s="31">
        <f t="shared" si="18"/>
        <v>142077026.45999998</v>
      </c>
      <c r="H14" s="31">
        <f t="shared" si="18"/>
        <v>139616450.15000001</v>
      </c>
      <c r="I14" s="31">
        <f t="shared" si="18"/>
        <v>140314956.39000002</v>
      </c>
      <c r="J14" s="31">
        <f t="shared" si="18"/>
        <v>144226640.98999998</v>
      </c>
      <c r="K14" s="31">
        <f t="shared" si="18"/>
        <v>150338044.74000001</v>
      </c>
      <c r="L14" s="31">
        <f t="shared" si="18"/>
        <v>155444293.59</v>
      </c>
      <c r="M14" s="31">
        <f t="shared" ref="M14" si="19">M13-M16</f>
        <v>34136157</v>
      </c>
      <c r="N14" s="31">
        <f t="shared" si="18"/>
        <v>40458753</v>
      </c>
      <c r="O14" s="31">
        <f t="shared" ref="O14:U14" si="20">O13-O16</f>
        <v>80744685</v>
      </c>
      <c r="P14" s="31">
        <f t="shared" si="20"/>
        <v>46988657.719999999</v>
      </c>
      <c r="Q14" s="31">
        <f t="shared" si="20"/>
        <v>51489927.000000007</v>
      </c>
      <c r="R14" s="31">
        <f t="shared" si="20"/>
        <v>74121904</v>
      </c>
      <c r="S14" s="31">
        <f t="shared" si="20"/>
        <v>77055424.299999997</v>
      </c>
      <c r="T14" s="31">
        <f t="shared" si="20"/>
        <v>79986740.700000018</v>
      </c>
      <c r="U14" s="31">
        <f t="shared" si="20"/>
        <v>89834941.409999982</v>
      </c>
      <c r="V14" s="31">
        <f t="shared" ref="V14:AI14" si="21">V13-V16</f>
        <v>85430812.099999994</v>
      </c>
      <c r="W14" s="31">
        <f t="shared" si="21"/>
        <v>90923977.899999991</v>
      </c>
      <c r="X14" s="31">
        <f t="shared" si="21"/>
        <v>96187551.900000021</v>
      </c>
      <c r="Y14" s="31">
        <f t="shared" si="21"/>
        <v>102466020.5</v>
      </c>
      <c r="Z14" s="31">
        <f t="shared" si="21"/>
        <v>110900984.8</v>
      </c>
      <c r="AA14" s="31">
        <f t="shared" si="21"/>
        <v>67661166</v>
      </c>
      <c r="AB14" s="31">
        <f t="shared" si="21"/>
        <v>87764041.24000001</v>
      </c>
      <c r="AC14" s="31">
        <f t="shared" si="21"/>
        <v>48498110.599999994</v>
      </c>
      <c r="AD14" s="31">
        <f t="shared" si="21"/>
        <v>49423141</v>
      </c>
      <c r="AE14" s="31">
        <f t="shared" si="21"/>
        <v>47843560.400000006</v>
      </c>
      <c r="AF14" s="31">
        <f t="shared" si="21"/>
        <v>69666039.699999988</v>
      </c>
      <c r="AG14" s="31">
        <f t="shared" si="21"/>
        <v>69891518.599999994</v>
      </c>
      <c r="AH14" s="31">
        <f t="shared" si="21"/>
        <v>72937272</v>
      </c>
      <c r="AI14" s="31">
        <f t="shared" si="21"/>
        <v>71888888.199999988</v>
      </c>
      <c r="AJ14" s="31">
        <f t="shared" ref="AJ14:AM14" si="22">AJ13-AJ16</f>
        <v>73259731.700000003</v>
      </c>
      <c r="AK14" s="31">
        <f t="shared" si="22"/>
        <v>85692316.400000006</v>
      </c>
      <c r="AL14" s="31">
        <f t="shared" si="22"/>
        <v>98051154.639999971</v>
      </c>
      <c r="AM14" s="31">
        <f t="shared" si="22"/>
        <v>116886893.03999999</v>
      </c>
      <c r="AN14" s="31">
        <f t="shared" ref="AN14:AQ14" si="23">AN13-AN16</f>
        <v>82242748</v>
      </c>
      <c r="AO14" s="31">
        <f t="shared" si="23"/>
        <v>84238222.900000006</v>
      </c>
      <c r="AP14" s="31">
        <f t="shared" si="23"/>
        <v>87178532.199999988</v>
      </c>
      <c r="AQ14" s="31">
        <f t="shared" si="23"/>
        <v>88106060.799999997</v>
      </c>
      <c r="AR14" s="31">
        <f t="shared" ref="AR14:AS14" si="24">AR13-AR16</f>
        <v>88865860.999999985</v>
      </c>
      <c r="AS14" s="31">
        <f t="shared" si="24"/>
        <v>90786946.199999988</v>
      </c>
      <c r="AT14" s="31">
        <f t="shared" ref="AT14:AY14" si="25">AT13-AT16</f>
        <v>94647714.499999985</v>
      </c>
      <c r="AU14" s="31">
        <f t="shared" si="25"/>
        <v>99792381.999999985</v>
      </c>
      <c r="AV14" s="31">
        <f t="shared" si="25"/>
        <v>101128557.59999999</v>
      </c>
      <c r="AW14" s="31">
        <f t="shared" si="25"/>
        <v>110640454.80000001</v>
      </c>
      <c r="AX14" s="31">
        <f t="shared" si="25"/>
        <v>0</v>
      </c>
      <c r="AY14" s="31">
        <f t="shared" si="25"/>
        <v>0</v>
      </c>
      <c r="AZ14" s="31">
        <f t="shared" ref="AZ14" si="26">AZ13-AZ16</f>
        <v>0</v>
      </c>
    </row>
    <row r="15" spans="1:52">
      <c r="A15" s="33" t="s">
        <v>106</v>
      </c>
      <c r="B15" s="31">
        <f t="shared" ref="B15:AA15" si="27">B16+B17+B18+B19+B20+B21</f>
        <v>0</v>
      </c>
      <c r="C15" s="31">
        <f t="shared" si="27"/>
        <v>225066687.18000001</v>
      </c>
      <c r="D15" s="31">
        <f t="shared" si="27"/>
        <v>226569481.20999998</v>
      </c>
      <c r="E15" s="31">
        <f t="shared" si="27"/>
        <v>161531691</v>
      </c>
      <c r="F15" s="31">
        <f t="shared" si="27"/>
        <v>164175483.67000002</v>
      </c>
      <c r="G15" s="31">
        <f t="shared" si="27"/>
        <v>186400553.91999999</v>
      </c>
      <c r="H15" s="31">
        <f t="shared" si="27"/>
        <v>181406237.30000001</v>
      </c>
      <c r="I15" s="31">
        <f t="shared" si="27"/>
        <v>181042125.18000001</v>
      </c>
      <c r="J15" s="31">
        <f t="shared" si="27"/>
        <v>188299912.64999998</v>
      </c>
      <c r="K15" s="31">
        <f t="shared" si="27"/>
        <v>200006631.48000002</v>
      </c>
      <c r="L15" s="31">
        <f t="shared" si="27"/>
        <v>210219129.18000001</v>
      </c>
      <c r="M15" s="31">
        <f t="shared" si="27"/>
        <v>99721099.700000003</v>
      </c>
      <c r="N15" s="31">
        <f t="shared" si="27"/>
        <v>106043595.7</v>
      </c>
      <c r="O15" s="31">
        <f t="shared" si="27"/>
        <v>147095055</v>
      </c>
      <c r="P15" s="31">
        <f t="shared" si="27"/>
        <v>113913695.05</v>
      </c>
      <c r="Q15" s="31">
        <f t="shared" si="27"/>
        <v>118520560.68000001</v>
      </c>
      <c r="R15" s="31">
        <f t="shared" si="27"/>
        <v>142265232.68000001</v>
      </c>
      <c r="S15" s="31">
        <f t="shared" si="27"/>
        <v>145753263.38</v>
      </c>
      <c r="T15" s="31">
        <f t="shared" si="27"/>
        <v>149077785.35000002</v>
      </c>
      <c r="U15" s="31">
        <f t="shared" si="27"/>
        <v>165520684.10999998</v>
      </c>
      <c r="V15" s="31">
        <f t="shared" si="27"/>
        <v>161619824.63</v>
      </c>
      <c r="W15" s="31">
        <f t="shared" si="27"/>
        <v>167620700.69</v>
      </c>
      <c r="X15" s="31">
        <f t="shared" si="27"/>
        <v>173417996.60000002</v>
      </c>
      <c r="Y15" s="31">
        <f t="shared" si="27"/>
        <v>180200010.09999999</v>
      </c>
      <c r="Z15" s="31">
        <f t="shared" si="27"/>
        <v>195154453.88</v>
      </c>
      <c r="AA15" s="31">
        <f t="shared" si="27"/>
        <v>152023435</v>
      </c>
      <c r="AB15" s="31">
        <f t="shared" ref="AB15:AM15" si="28">AB16+AB17+AB18+AB19+AB20+AB21</f>
        <v>172757870.58000001</v>
      </c>
      <c r="AC15" s="31">
        <f t="shared" si="28"/>
        <v>133625807.11999999</v>
      </c>
      <c r="AD15" s="31">
        <f t="shared" si="28"/>
        <v>136270930</v>
      </c>
      <c r="AE15" s="31">
        <f t="shared" si="28"/>
        <v>135448012.21000001</v>
      </c>
      <c r="AF15" s="31">
        <f t="shared" si="28"/>
        <v>157880895.88999999</v>
      </c>
      <c r="AG15" s="31">
        <f t="shared" si="28"/>
        <v>163600125.69999999</v>
      </c>
      <c r="AH15" s="31">
        <f t="shared" si="28"/>
        <v>166535879.09999999</v>
      </c>
      <c r="AI15" s="31">
        <f t="shared" si="28"/>
        <v>166179335.32999998</v>
      </c>
      <c r="AJ15" s="31">
        <f t="shared" si="28"/>
        <v>167658453.93000001</v>
      </c>
      <c r="AK15" s="31">
        <f t="shared" si="28"/>
        <v>180213426.09</v>
      </c>
      <c r="AL15" s="31">
        <f t="shared" si="28"/>
        <v>194485453.84999996</v>
      </c>
      <c r="AM15" s="31">
        <f t="shared" si="28"/>
        <v>219130635.03999999</v>
      </c>
      <c r="AN15" s="31">
        <f t="shared" ref="AN15:AQ15" si="29">AN16+AN17+AN18+AN19+AN20+AN21</f>
        <v>184486490</v>
      </c>
      <c r="AO15" s="31">
        <f t="shared" si="29"/>
        <v>187848374.90000001</v>
      </c>
      <c r="AP15" s="31">
        <f t="shared" si="29"/>
        <v>190860224.13999999</v>
      </c>
      <c r="AQ15" s="31">
        <f t="shared" si="29"/>
        <v>192890081.00999999</v>
      </c>
      <c r="AR15" s="31">
        <f t="shared" ref="AR15:AS15" si="30">AR16+AR17+AR18+AR19+AR20+AR21</f>
        <v>195125327.50999999</v>
      </c>
      <c r="AS15" s="31">
        <f t="shared" si="30"/>
        <v>198186081.82999998</v>
      </c>
      <c r="AT15" s="31">
        <f t="shared" ref="AT15:AY15" si="31">AT16+AT17+AT18+AT19+AT20+AT21</f>
        <v>202799584.76999998</v>
      </c>
      <c r="AU15" s="31">
        <f t="shared" si="31"/>
        <v>208665847.20999998</v>
      </c>
      <c r="AV15" s="31">
        <f t="shared" si="31"/>
        <v>210893321.91</v>
      </c>
      <c r="AW15" s="31">
        <f t="shared" si="31"/>
        <v>221126828.40000001</v>
      </c>
      <c r="AX15" s="31">
        <f t="shared" si="31"/>
        <v>0</v>
      </c>
      <c r="AY15" s="31">
        <f t="shared" si="31"/>
        <v>0</v>
      </c>
      <c r="AZ15" s="31">
        <f t="shared" ref="AZ15" si="32">AZ16+AZ17+AZ18+AZ19+AZ20+AZ21</f>
        <v>0</v>
      </c>
    </row>
    <row r="16" spans="1:52">
      <c r="A16" s="34" t="s">
        <v>107</v>
      </c>
      <c r="B16" s="29">
        <f>'[1]Balance Sheet'!C39</f>
        <v>0</v>
      </c>
      <c r="C16" s="29">
        <f>SFP!D39</f>
        <v>68778693.920000002</v>
      </c>
      <c r="D16" s="29">
        <f>SFP!E39</f>
        <v>69235162.769999996</v>
      </c>
      <c r="E16" s="29">
        <f>SFP!F39</f>
        <v>36509431</v>
      </c>
      <c r="F16" s="29">
        <f>SFP!G39</f>
        <v>37574872.740000002</v>
      </c>
      <c r="G16" s="29">
        <f>SFP!H39</f>
        <v>44323527.460000001</v>
      </c>
      <c r="H16" s="29">
        <f>SFP!I39</f>
        <v>41789787.149999999</v>
      </c>
      <c r="I16" s="29">
        <f>SFP!J39</f>
        <v>40727168.789999999</v>
      </c>
      <c r="J16" s="29">
        <f>SFP!K39</f>
        <v>44073271.659999996</v>
      </c>
      <c r="K16" s="29">
        <f>SFP!L39</f>
        <v>49668586.740000002</v>
      </c>
      <c r="L16" s="29">
        <f>SFP!M39</f>
        <v>54774835.590000004</v>
      </c>
      <c r="M16" s="29">
        <f>SFP!N39</f>
        <v>65584942.700000003</v>
      </c>
      <c r="N16" s="29">
        <f>SFP!O39</f>
        <v>65584842.700000003</v>
      </c>
      <c r="O16" s="29">
        <f>SFP!P39</f>
        <v>66350370</v>
      </c>
      <c r="P16" s="29">
        <f>SFP!Q39</f>
        <v>66925037.329999998</v>
      </c>
      <c r="Q16" s="29">
        <f>SFP!R39</f>
        <v>67030633.68</v>
      </c>
      <c r="R16" s="29">
        <f>SFP!S39</f>
        <v>68143328.680000007</v>
      </c>
      <c r="S16" s="29">
        <f>SFP!T39</f>
        <v>68697839.079999998</v>
      </c>
      <c r="T16" s="29">
        <f>SFP!U39</f>
        <v>69091044.650000006</v>
      </c>
      <c r="U16" s="29">
        <f>SFP!V39</f>
        <v>75685742.700000003</v>
      </c>
      <c r="V16" s="29">
        <f>SFP!W39</f>
        <v>76189012.530000001</v>
      </c>
      <c r="W16" s="29">
        <f>SFP!X39</f>
        <v>76696722.790000007</v>
      </c>
      <c r="X16" s="29">
        <f>SFP!Y39</f>
        <v>77230444.700000003</v>
      </c>
      <c r="Y16" s="29">
        <f>SFP!Z39</f>
        <v>77733989.599999994</v>
      </c>
      <c r="Z16" s="29">
        <f>SFP!AA39</f>
        <v>84253469.079999998</v>
      </c>
      <c r="AA16" s="29">
        <f>SFP!AB39</f>
        <v>84252269</v>
      </c>
      <c r="AB16" s="29">
        <f>SFP!AC39</f>
        <v>84883829.340000004</v>
      </c>
      <c r="AC16" s="29">
        <f>SFP!AD39</f>
        <v>85017696.519999996</v>
      </c>
      <c r="AD16" s="29">
        <f>SFP!AE39</f>
        <v>86737789</v>
      </c>
      <c r="AE16" s="29">
        <f>SFP!AF39</f>
        <v>87494451.810000002</v>
      </c>
      <c r="AF16" s="29">
        <f>SFP!AG39</f>
        <v>88104856.189999998</v>
      </c>
      <c r="AG16" s="29">
        <f>SFP!AH39</f>
        <v>93598607.099999994</v>
      </c>
      <c r="AH16" s="29">
        <f>SFP!AI39</f>
        <v>93598607.099999994</v>
      </c>
      <c r="AI16" s="29">
        <f>SFP!AJ39</f>
        <v>94290447.129999995</v>
      </c>
      <c r="AJ16" s="29">
        <f>SFP!AK39</f>
        <v>94398722.230000004</v>
      </c>
      <c r="AK16" s="29">
        <f>SFP!AL39</f>
        <v>94521109.689999998</v>
      </c>
      <c r="AL16" s="29">
        <f>SFP!AM39</f>
        <v>96434299.209999993</v>
      </c>
      <c r="AM16" s="29">
        <f>SFP!AN39</f>
        <v>102243742</v>
      </c>
      <c r="AN16" s="29">
        <f>SFP!AO39</f>
        <v>102243742</v>
      </c>
      <c r="AO16" s="29">
        <f>SFP!AP39</f>
        <v>103610152</v>
      </c>
      <c r="AP16" s="29">
        <f>SFP!AQ39</f>
        <v>103681691.94</v>
      </c>
      <c r="AQ16" s="29">
        <f>SFP!AR39</f>
        <v>104784020.20999999</v>
      </c>
      <c r="AR16" s="29">
        <f>SFP!AS39</f>
        <v>106259466.51000001</v>
      </c>
      <c r="AS16" s="29">
        <f>SFP!AT39</f>
        <v>107399135.63</v>
      </c>
      <c r="AT16" s="29">
        <f>SFP!AU39</f>
        <v>108151870.27</v>
      </c>
      <c r="AU16" s="29">
        <f>SFP!AV39</f>
        <v>108873465.20999999</v>
      </c>
      <c r="AV16" s="29">
        <f>SFP!AW39</f>
        <v>109764764.31</v>
      </c>
      <c r="AW16" s="29">
        <f>SFP!AX39</f>
        <v>110486373.59999999</v>
      </c>
      <c r="AX16" s="29">
        <f>SFP!AY39</f>
        <v>0</v>
      </c>
      <c r="AY16" s="29">
        <f>SFP!AZ39</f>
        <v>0</v>
      </c>
      <c r="AZ16" s="29">
        <f>SFP!BA39</f>
        <v>0</v>
      </c>
    </row>
    <row r="17" spans="1:52">
      <c r="A17" s="28" t="s">
        <v>108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</row>
    <row r="18" spans="1:52">
      <c r="A18" s="28" t="s">
        <v>45</v>
      </c>
      <c r="B18" s="29">
        <f>'[1]Balance Sheet'!C41</f>
        <v>0</v>
      </c>
      <c r="C18" s="29">
        <f>SFP!D42</f>
        <v>14810760</v>
      </c>
      <c r="D18" s="29">
        <f>SFP!E42</f>
        <v>14810760</v>
      </c>
      <c r="E18" s="29">
        <f>SFP!F42</f>
        <v>14810760</v>
      </c>
      <c r="F18" s="29">
        <f>SFP!G42</f>
        <v>14810760</v>
      </c>
      <c r="G18" s="29">
        <f>SFP!H42</f>
        <v>18119348</v>
      </c>
      <c r="H18" s="29">
        <f>SFP!I42</f>
        <v>18119348</v>
      </c>
      <c r="I18" s="29">
        <f>SFP!J42</f>
        <v>18119348</v>
      </c>
      <c r="J18" s="29">
        <f>SFP!K42</f>
        <v>18119348</v>
      </c>
      <c r="K18" s="29">
        <f>SFP!L42</f>
        <v>18119348</v>
      </c>
      <c r="L18" s="29">
        <f>SFP!M42</f>
        <v>18119348</v>
      </c>
      <c r="M18" s="29">
        <f>SFP!N42</f>
        <v>34136157</v>
      </c>
      <c r="N18" s="29">
        <f>SFP!O41</f>
        <v>40458753</v>
      </c>
      <c r="O18" s="29">
        <f>SFP!P41</f>
        <v>77797721</v>
      </c>
      <c r="P18" s="29">
        <f>SFP!Q41</f>
        <v>44041693.719999999</v>
      </c>
      <c r="Q18" s="29">
        <f>SFP!R41</f>
        <v>48542963</v>
      </c>
      <c r="R18" s="29">
        <f>SFP!S41</f>
        <v>52732943</v>
      </c>
      <c r="S18" s="29">
        <f>SFP!T41</f>
        <v>55666463.299999997</v>
      </c>
      <c r="T18" s="29">
        <f>SFP!U41</f>
        <v>58597779.700000003</v>
      </c>
      <c r="U18" s="29">
        <f>SFP!V41</f>
        <v>62002900.399999999</v>
      </c>
      <c r="V18" s="29">
        <f>SFP!W41</f>
        <v>64041851.100000001</v>
      </c>
      <c r="W18" s="29">
        <f>SFP!X41</f>
        <v>69535016.900000006</v>
      </c>
      <c r="X18" s="29">
        <f>SFP!Y41</f>
        <v>74798590.900000006</v>
      </c>
      <c r="Y18" s="29">
        <f>SFP!Z41</f>
        <v>81077059.5</v>
      </c>
      <c r="Z18" s="29">
        <f>SFP!AA41</f>
        <v>89512023.799999997</v>
      </c>
      <c r="AA18" s="29">
        <f>SFP!AB42</f>
        <v>40458752</v>
      </c>
      <c r="AB18" s="29">
        <f>SFP!AC42</f>
        <v>84249919.939999998</v>
      </c>
      <c r="AC18" s="29">
        <f>SFP!AD42</f>
        <v>43499944</v>
      </c>
      <c r="AD18" s="29">
        <f>SFP!AE42</f>
        <v>43499944</v>
      </c>
      <c r="AE18" s="29">
        <f>SFP!AF42</f>
        <v>43499944</v>
      </c>
      <c r="AF18" s="29">
        <f>SFP!AG42</f>
        <v>43499944</v>
      </c>
      <c r="AG18" s="29">
        <f>SFP!AH42</f>
        <v>43499944</v>
      </c>
      <c r="AH18" s="29">
        <f>SFP!AI42</f>
        <v>43499944</v>
      </c>
      <c r="AI18" s="29">
        <f>SFP!AJ42</f>
        <v>43499944</v>
      </c>
      <c r="AJ18" s="29">
        <f>SFP!AK42</f>
        <v>43499944</v>
      </c>
      <c r="AK18" s="29">
        <f>SFP!AL42</f>
        <v>43499944</v>
      </c>
      <c r="AL18" s="29">
        <f>SFP!AM42</f>
        <v>43499944</v>
      </c>
      <c r="AM18" s="29">
        <f>SFP!AN42</f>
        <v>43499943</v>
      </c>
      <c r="AN18" s="29">
        <f>SFP!AO42</f>
        <v>43499943</v>
      </c>
      <c r="AO18" s="29">
        <f>SFP!AP42</f>
        <v>48021913</v>
      </c>
      <c r="AP18" s="29">
        <f>SFP!AQ42</f>
        <v>48021914</v>
      </c>
      <c r="AQ18" s="29">
        <f>SFP!AR42</f>
        <v>48021914</v>
      </c>
      <c r="AR18" s="29">
        <f>SFP!AS42</f>
        <v>48021914</v>
      </c>
      <c r="AS18" s="29">
        <f>SFP!AT42</f>
        <v>48021914</v>
      </c>
      <c r="AT18" s="29">
        <f>SFP!AU42</f>
        <v>48021914</v>
      </c>
      <c r="AU18" s="29">
        <f>SFP!AV42</f>
        <v>48021914</v>
      </c>
      <c r="AV18" s="29">
        <f>SFP!AW42</f>
        <v>48021914</v>
      </c>
      <c r="AW18" s="29">
        <f>SFP!AX42</f>
        <v>48021914</v>
      </c>
      <c r="AX18" s="29">
        <f>SFP!AY42</f>
        <v>0</v>
      </c>
      <c r="AY18" s="29">
        <f>SFP!AZ42</f>
        <v>0</v>
      </c>
      <c r="AZ18" s="29">
        <f>SFP!BA42</f>
        <v>0</v>
      </c>
    </row>
    <row r="19" spans="1:52">
      <c r="A19" s="28" t="s">
        <v>109</v>
      </c>
      <c r="B19" s="29">
        <f>'[1]Balance Sheet'!C42</f>
        <v>0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>
        <f>SFP!AB43</f>
        <v>3041191</v>
      </c>
      <c r="AB19" s="29">
        <f>SFP!AC43*0.5</f>
        <v>677157.3</v>
      </c>
      <c r="AC19" s="29">
        <f>SFP!AD43*0.5</f>
        <v>2161202.6</v>
      </c>
      <c r="AD19" s="29">
        <f>SFP!AE43*0.5</f>
        <v>3086233</v>
      </c>
      <c r="AE19" s="29">
        <f>SFP!AF43*0.5</f>
        <v>1506652.4</v>
      </c>
      <c r="AF19" s="29">
        <f>SFP!AG43*0.5</f>
        <v>2004872.7</v>
      </c>
      <c r="AG19" s="29">
        <f>SFP!AH43*0.5</f>
        <v>2230351.6</v>
      </c>
      <c r="AH19" s="29">
        <f>SFP!AI43</f>
        <v>5166105</v>
      </c>
      <c r="AI19" s="29">
        <f>SFP!AJ43</f>
        <v>4117721.2</v>
      </c>
      <c r="AJ19" s="29">
        <f>SFP!AK43</f>
        <v>5488564.7000000002</v>
      </c>
      <c r="AK19" s="29">
        <f>SFP!AL43</f>
        <v>17921149.399999999</v>
      </c>
      <c r="AL19" s="29">
        <f>SFP!AM43</f>
        <v>30279987.640000001</v>
      </c>
      <c r="AM19" s="29">
        <f>SFP!AN43</f>
        <v>42720806.039999999</v>
      </c>
      <c r="AN19" s="29">
        <f>SFP!AO43</f>
        <v>4521969</v>
      </c>
      <c r="AO19" s="29">
        <f>SFP!AP43</f>
        <v>1995472.9</v>
      </c>
      <c r="AP19" s="29">
        <f>SFP!AQ43</f>
        <v>4935781.2</v>
      </c>
      <c r="AQ19" s="29">
        <f>SFP!AR43</f>
        <v>5863309.7999999998</v>
      </c>
      <c r="AR19" s="29">
        <f>SFP!AS43</f>
        <v>6623110</v>
      </c>
      <c r="AS19" s="29">
        <f>SFP!AT43</f>
        <v>8544195.1999999993</v>
      </c>
      <c r="AT19" s="29">
        <f>SFP!AU43</f>
        <v>12404963.5</v>
      </c>
      <c r="AU19" s="29">
        <f>SFP!AV43</f>
        <v>17549631</v>
      </c>
      <c r="AV19" s="29">
        <f>SFP!AW43</f>
        <v>18885806.600000001</v>
      </c>
      <c r="AW19" s="29">
        <f>SFP!AX43</f>
        <v>28397703.800000001</v>
      </c>
      <c r="AX19" s="29">
        <f>SFP!AY43</f>
        <v>0</v>
      </c>
      <c r="AY19" s="29">
        <f>SFP!AZ43</f>
        <v>0</v>
      </c>
      <c r="AZ19" s="29">
        <f>SFP!BA43</f>
        <v>0</v>
      </c>
    </row>
    <row r="20" spans="1:52">
      <c r="A20" s="28" t="s">
        <v>110</v>
      </c>
      <c r="B20" s="29">
        <f>'[1]Balance Sheet'!C45</f>
        <v>0</v>
      </c>
      <c r="C20" s="29">
        <f>SFP!D48</f>
        <v>141477233.25999999</v>
      </c>
      <c r="D20" s="29">
        <f>SFP!E48</f>
        <v>142523558.44</v>
      </c>
      <c r="E20" s="29">
        <f>SFP!F48</f>
        <v>110211500</v>
      </c>
      <c r="F20" s="29">
        <f>SFP!G48</f>
        <v>111789850.93000001</v>
      </c>
      <c r="G20" s="29">
        <f>SFP!H48</f>
        <v>123957678.45999999</v>
      </c>
      <c r="H20" s="29">
        <f>SFP!I48</f>
        <v>121497102.15000001</v>
      </c>
      <c r="I20" s="29">
        <f>SFP!J48</f>
        <v>122195608.39</v>
      </c>
      <c r="J20" s="29">
        <f>SFP!K48</f>
        <v>126107292.98999999</v>
      </c>
      <c r="K20" s="29">
        <f>SFP!L48</f>
        <v>132218696.73999999</v>
      </c>
      <c r="L20" s="29">
        <f>SFP!M48</f>
        <v>137324945.59</v>
      </c>
      <c r="M20" s="29">
        <f>SFP!N48</f>
        <v>0</v>
      </c>
      <c r="N20" s="29">
        <f>SFP!O48</f>
        <v>0</v>
      </c>
      <c r="O20" s="29">
        <f>SFP!P48</f>
        <v>0</v>
      </c>
      <c r="P20" s="29">
        <f>SFP!Q48</f>
        <v>0</v>
      </c>
      <c r="Q20" s="29">
        <f>SFP!R48</f>
        <v>0</v>
      </c>
      <c r="R20" s="29">
        <f>SFP!S45</f>
        <v>18441997</v>
      </c>
      <c r="S20" s="29">
        <f>SFP!T45</f>
        <v>18441997</v>
      </c>
      <c r="T20" s="29">
        <f>SFP!U45</f>
        <v>18441997</v>
      </c>
      <c r="U20" s="29">
        <f>SFP!V45</f>
        <v>24885077.010000002</v>
      </c>
      <c r="V20" s="29">
        <f>SFP!W45</f>
        <v>18441997</v>
      </c>
      <c r="W20" s="29">
        <f>SFP!X45</f>
        <v>18441997</v>
      </c>
      <c r="X20" s="29">
        <f>SFP!Y45</f>
        <v>18441997</v>
      </c>
      <c r="Y20" s="29">
        <f>SFP!Z45</f>
        <v>18441997</v>
      </c>
      <c r="Z20" s="29">
        <f>SFP!AA45</f>
        <v>18441997</v>
      </c>
      <c r="AA20" s="29">
        <f>SFP!AB45</f>
        <v>21324259</v>
      </c>
      <c r="AB20" s="29">
        <f>SFP!AC48</f>
        <v>0</v>
      </c>
      <c r="AC20" s="29">
        <f>SFP!AD48</f>
        <v>0</v>
      </c>
      <c r="AD20" s="29">
        <f>SFP!AE48</f>
        <v>0</v>
      </c>
      <c r="AE20" s="29">
        <f>SFP!AF48</f>
        <v>0</v>
      </c>
      <c r="AF20" s="29">
        <f>SFP!AG45</f>
        <v>21324259</v>
      </c>
      <c r="AG20" s="29">
        <f>SFP!AH45</f>
        <v>21324259</v>
      </c>
      <c r="AH20" s="29">
        <f>SFP!AI45</f>
        <v>21324259</v>
      </c>
      <c r="AI20" s="29">
        <f>SFP!AJ45</f>
        <v>21324259</v>
      </c>
      <c r="AJ20" s="29">
        <f>SFP!AK45</f>
        <v>21324259</v>
      </c>
      <c r="AK20" s="29">
        <f>SFP!AL45</f>
        <v>21324259</v>
      </c>
      <c r="AL20" s="29">
        <f>SFP!AM45</f>
        <v>21324259</v>
      </c>
      <c r="AM20" s="29">
        <f>SFP!AN45</f>
        <v>21324259</v>
      </c>
      <c r="AN20" s="29">
        <f>SFP!AO45</f>
        <v>24878951</v>
      </c>
      <c r="AO20" s="29">
        <f>SFP!AP45</f>
        <v>24878952</v>
      </c>
      <c r="AP20" s="29">
        <f>SFP!AQ45</f>
        <v>24878952</v>
      </c>
      <c r="AQ20" s="29">
        <f>SFP!AR45</f>
        <v>24878952</v>
      </c>
      <c r="AR20" s="29">
        <f>SFP!AS45</f>
        <v>24878952</v>
      </c>
      <c r="AS20" s="29">
        <f>SFP!AT45</f>
        <v>24878952</v>
      </c>
      <c r="AT20" s="29">
        <f>SFP!AU45</f>
        <v>24878952</v>
      </c>
      <c r="AU20" s="29">
        <f>SFP!AV45</f>
        <v>24878952</v>
      </c>
      <c r="AV20" s="29">
        <f>SFP!AW45</f>
        <v>24878952</v>
      </c>
      <c r="AW20" s="29">
        <f>SFP!AX45</f>
        <v>24878952</v>
      </c>
      <c r="AX20" s="29">
        <f>SFP!AY45</f>
        <v>0</v>
      </c>
      <c r="AY20" s="29">
        <f>SFP!AZ45</f>
        <v>0</v>
      </c>
      <c r="AZ20" s="29">
        <f>SFP!BA45</f>
        <v>0</v>
      </c>
    </row>
    <row r="21" spans="1:52">
      <c r="A21" s="28" t="s">
        <v>111</v>
      </c>
      <c r="B21" s="29">
        <f>'[1]Balance Sheet'!C46</f>
        <v>0</v>
      </c>
      <c r="C21" s="29">
        <f>SFP!D49</f>
        <v>0</v>
      </c>
      <c r="D21" s="29">
        <f>SFP!E49</f>
        <v>0</v>
      </c>
      <c r="E21" s="29">
        <f>SFP!F49</f>
        <v>0</v>
      </c>
      <c r="F21" s="29">
        <f>SFP!G49</f>
        <v>0</v>
      </c>
      <c r="G21" s="29">
        <f>SFP!H49</f>
        <v>0</v>
      </c>
      <c r="H21" s="29">
        <f>SFP!I49</f>
        <v>0</v>
      </c>
      <c r="I21" s="29">
        <f>SFP!J49</f>
        <v>0</v>
      </c>
      <c r="J21" s="29">
        <f>SFP!K49</f>
        <v>0</v>
      </c>
      <c r="K21" s="29">
        <f>SFP!L49</f>
        <v>0</v>
      </c>
      <c r="L21" s="29">
        <f>SFP!M49</f>
        <v>0</v>
      </c>
      <c r="M21" s="29">
        <f>SFP!N49</f>
        <v>0</v>
      </c>
      <c r="N21" s="29">
        <f>SFP!O46</f>
        <v>0</v>
      </c>
      <c r="O21" s="29">
        <f>SFP!P46</f>
        <v>2946964</v>
      </c>
      <c r="P21" s="29">
        <f>SFP!Q46</f>
        <v>2946964</v>
      </c>
      <c r="Q21" s="29">
        <f>SFP!R46</f>
        <v>2946964</v>
      </c>
      <c r="R21" s="29">
        <f>SFP!S46</f>
        <v>2946964</v>
      </c>
      <c r="S21" s="29">
        <f>SFP!T46</f>
        <v>2946964</v>
      </c>
      <c r="T21" s="29">
        <f>SFP!U46</f>
        <v>2946964</v>
      </c>
      <c r="U21" s="29">
        <f>SFP!V46</f>
        <v>2946964</v>
      </c>
      <c r="V21" s="29">
        <f>SFP!W46</f>
        <v>2946964</v>
      </c>
      <c r="W21" s="29">
        <f>SFP!X46</f>
        <v>2946964</v>
      </c>
      <c r="X21" s="29">
        <f>SFP!Y46</f>
        <v>2946964</v>
      </c>
      <c r="Y21" s="29">
        <f>SFP!Z46</f>
        <v>2946964</v>
      </c>
      <c r="Z21" s="29">
        <f>SFP!AA46</f>
        <v>2946964</v>
      </c>
      <c r="AA21" s="29">
        <f>SFP!AB46</f>
        <v>2946964</v>
      </c>
      <c r="AB21" s="29">
        <f>SFP!AC46</f>
        <v>2946964</v>
      </c>
      <c r="AC21" s="29">
        <f>SFP!AD46</f>
        <v>2946964</v>
      </c>
      <c r="AD21" s="29">
        <f>SFP!AE46</f>
        <v>2946964</v>
      </c>
      <c r="AE21" s="29">
        <f>SFP!AF46</f>
        <v>2946964</v>
      </c>
      <c r="AF21" s="29">
        <f>SFP!AG46</f>
        <v>2946964</v>
      </c>
      <c r="AG21" s="29">
        <f>SFP!AH46</f>
        <v>2946964</v>
      </c>
      <c r="AH21" s="29">
        <f>SFP!AI46</f>
        <v>2946964</v>
      </c>
      <c r="AI21" s="29">
        <f>SFP!AJ46</f>
        <v>2946964</v>
      </c>
      <c r="AJ21" s="29">
        <f>SFP!AK46</f>
        <v>2946964</v>
      </c>
      <c r="AK21" s="29">
        <f>SFP!AL46</f>
        <v>2946964</v>
      </c>
      <c r="AL21" s="29">
        <f>SFP!AM46</f>
        <v>2946964</v>
      </c>
      <c r="AM21" s="29">
        <f>SFP!AN46</f>
        <v>9341885</v>
      </c>
      <c r="AN21" s="29">
        <f>SFP!AO46</f>
        <v>9341885</v>
      </c>
      <c r="AO21" s="29">
        <f>SFP!AP46</f>
        <v>9341885</v>
      </c>
      <c r="AP21" s="29">
        <f>SFP!AQ46</f>
        <v>9341885</v>
      </c>
      <c r="AQ21" s="29">
        <f>SFP!AR46</f>
        <v>9341885</v>
      </c>
      <c r="AR21" s="29">
        <f>SFP!AS46</f>
        <v>9341885</v>
      </c>
      <c r="AS21" s="29">
        <f>SFP!AT46</f>
        <v>9341885</v>
      </c>
      <c r="AT21" s="29">
        <f>SFP!AU46</f>
        <v>9341885</v>
      </c>
      <c r="AU21" s="29">
        <f>SFP!AV46</f>
        <v>9341885</v>
      </c>
      <c r="AV21" s="29">
        <f>SFP!AW46</f>
        <v>9341885</v>
      </c>
      <c r="AW21" s="29">
        <f>SFP!AX46</f>
        <v>9341885</v>
      </c>
      <c r="AX21" s="29">
        <f>SFP!AY46</f>
        <v>0</v>
      </c>
      <c r="AY21" s="29">
        <f>SFP!AZ46</f>
        <v>0</v>
      </c>
      <c r="AZ21" s="29">
        <f>SFP!BA46</f>
        <v>0</v>
      </c>
    </row>
    <row r="22" spans="1:52">
      <c r="A22" s="30" t="s">
        <v>112</v>
      </c>
      <c r="B22" s="29"/>
      <c r="C22" s="29"/>
      <c r="D22" s="29"/>
      <c r="E22" s="29"/>
      <c r="F22" s="29"/>
      <c r="G22" s="29"/>
      <c r="H22" s="29"/>
    </row>
    <row r="23" spans="1:52">
      <c r="A23" s="28" t="s">
        <v>52</v>
      </c>
      <c r="B23" s="29"/>
      <c r="C23" s="29"/>
      <c r="D23" s="29"/>
      <c r="E23" s="29"/>
      <c r="F23" s="29"/>
      <c r="G23" s="29"/>
      <c r="H23" s="29"/>
    </row>
    <row r="24" spans="1:52">
      <c r="A24" s="28" t="s">
        <v>113</v>
      </c>
      <c r="B24" s="29"/>
      <c r="C24" s="29"/>
      <c r="D24" s="29"/>
      <c r="E24" s="29"/>
      <c r="F24" s="29"/>
      <c r="G24" s="29"/>
      <c r="H24" s="29"/>
    </row>
    <row r="25" spans="1:52">
      <c r="A25" s="30" t="s">
        <v>114</v>
      </c>
      <c r="B25" s="35">
        <f t="shared" ref="B25:N25" si="33">B26+B27+B29</f>
        <v>0</v>
      </c>
      <c r="C25" s="35">
        <f t="shared" si="33"/>
        <v>110000</v>
      </c>
      <c r="D25" s="35">
        <f t="shared" si="33"/>
        <v>110000</v>
      </c>
      <c r="E25" s="35">
        <f t="shared" si="33"/>
        <v>110000</v>
      </c>
      <c r="F25" s="35">
        <f t="shared" si="33"/>
        <v>110000</v>
      </c>
      <c r="G25" s="35">
        <f t="shared" si="33"/>
        <v>110000</v>
      </c>
      <c r="H25" s="35">
        <f t="shared" si="33"/>
        <v>110000</v>
      </c>
      <c r="I25" s="35">
        <f t="shared" si="33"/>
        <v>110000</v>
      </c>
      <c r="J25" s="35">
        <f t="shared" si="33"/>
        <v>110000</v>
      </c>
      <c r="K25" s="35">
        <f t="shared" si="33"/>
        <v>110000</v>
      </c>
      <c r="L25" s="35">
        <f t="shared" si="33"/>
        <v>110000</v>
      </c>
      <c r="M25" s="35">
        <f t="shared" si="33"/>
        <v>110000</v>
      </c>
      <c r="N25" s="35">
        <f t="shared" si="33"/>
        <v>110000</v>
      </c>
      <c r="O25" s="35">
        <f t="shared" ref="O25:U25" si="34">O26+O27+O29</f>
        <v>110000</v>
      </c>
      <c r="P25" s="35">
        <f t="shared" si="34"/>
        <v>110000</v>
      </c>
      <c r="Q25" s="35">
        <f t="shared" si="34"/>
        <v>110000</v>
      </c>
      <c r="R25" s="35">
        <f t="shared" si="34"/>
        <v>110000</v>
      </c>
      <c r="S25" s="35">
        <f t="shared" si="34"/>
        <v>110000</v>
      </c>
      <c r="T25" s="35">
        <f t="shared" si="34"/>
        <v>110000</v>
      </c>
      <c r="U25" s="35">
        <f t="shared" si="34"/>
        <v>110000</v>
      </c>
      <c r="V25" s="35">
        <f t="shared" ref="V25:AI25" si="35">V26+V27+V29</f>
        <v>110000</v>
      </c>
      <c r="W25" s="35">
        <f t="shared" si="35"/>
        <v>110000</v>
      </c>
      <c r="X25" s="35">
        <f t="shared" si="35"/>
        <v>110000</v>
      </c>
      <c r="Y25" s="35">
        <f t="shared" si="35"/>
        <v>110000</v>
      </c>
      <c r="Z25" s="35">
        <f t="shared" si="35"/>
        <v>110000</v>
      </c>
      <c r="AA25" s="35">
        <f t="shared" si="35"/>
        <v>110000</v>
      </c>
      <c r="AB25" s="35">
        <f t="shared" si="35"/>
        <v>110000</v>
      </c>
      <c r="AC25" s="35">
        <f t="shared" si="35"/>
        <v>110000</v>
      </c>
      <c r="AD25" s="35">
        <f t="shared" si="35"/>
        <v>110000</v>
      </c>
      <c r="AE25" s="35">
        <f t="shared" si="35"/>
        <v>110000</v>
      </c>
      <c r="AF25" s="35">
        <f t="shared" si="35"/>
        <v>110000</v>
      </c>
      <c r="AG25" s="35">
        <f t="shared" si="35"/>
        <v>110000</v>
      </c>
      <c r="AH25" s="35">
        <f t="shared" si="35"/>
        <v>110000</v>
      </c>
      <c r="AI25" s="35">
        <f t="shared" si="35"/>
        <v>110000</v>
      </c>
      <c r="AJ25" s="35">
        <f t="shared" ref="AJ25:AM25" si="36">AJ26+AJ27+AJ29</f>
        <v>115067</v>
      </c>
      <c r="AK25" s="35">
        <f t="shared" si="36"/>
        <v>115067</v>
      </c>
      <c r="AL25" s="35">
        <f t="shared" si="36"/>
        <v>115067</v>
      </c>
      <c r="AM25" s="35">
        <f t="shared" si="36"/>
        <v>115067</v>
      </c>
      <c r="AN25" s="35">
        <f t="shared" ref="AN25:AQ25" si="37">AN26+AN27+AN29</f>
        <v>115067</v>
      </c>
      <c r="AO25" s="35">
        <f t="shared" si="37"/>
        <v>115067</v>
      </c>
      <c r="AP25" s="35">
        <f t="shared" si="37"/>
        <v>115067</v>
      </c>
      <c r="AQ25" s="35">
        <f t="shared" si="37"/>
        <v>115067</v>
      </c>
      <c r="AR25" s="35">
        <f t="shared" ref="AR25:AS25" si="38">AR26+AR27+AR29</f>
        <v>115067</v>
      </c>
      <c r="AS25" s="35">
        <f t="shared" si="38"/>
        <v>115067</v>
      </c>
      <c r="AT25" s="35">
        <f t="shared" ref="AT25:AY25" si="39">AT26+AT27+AT29</f>
        <v>115067</v>
      </c>
      <c r="AU25" s="35">
        <f t="shared" si="39"/>
        <v>115067</v>
      </c>
      <c r="AV25" s="35">
        <f t="shared" si="39"/>
        <v>115067</v>
      </c>
      <c r="AW25" s="35">
        <f t="shared" si="39"/>
        <v>115067</v>
      </c>
      <c r="AX25" s="35">
        <f t="shared" si="39"/>
        <v>0</v>
      </c>
      <c r="AY25" s="35">
        <f t="shared" si="39"/>
        <v>0</v>
      </c>
      <c r="AZ25" s="35">
        <f t="shared" ref="AZ25" si="40">AZ26+AZ27+AZ29</f>
        <v>0</v>
      </c>
    </row>
    <row r="26" spans="1:52">
      <c r="A26" s="28" t="s">
        <v>115</v>
      </c>
      <c r="B26" s="29">
        <f>'[1]Balance Sheet'!C9</f>
        <v>0</v>
      </c>
      <c r="C26" s="29">
        <f>SFP!D9</f>
        <v>0</v>
      </c>
      <c r="D26" s="29">
        <f>SFP!E9</f>
        <v>0</v>
      </c>
      <c r="E26" s="29">
        <f>SFP!F9</f>
        <v>0</v>
      </c>
      <c r="F26" s="29">
        <f>SFP!G9</f>
        <v>0</v>
      </c>
      <c r="G26" s="29">
        <f>SFP!H9</f>
        <v>0</v>
      </c>
      <c r="H26" s="29">
        <f>SFP!I9</f>
        <v>0</v>
      </c>
      <c r="I26" s="29">
        <f>SFP!J9</f>
        <v>0</v>
      </c>
      <c r="J26" s="29">
        <f>SFP!K9</f>
        <v>0</v>
      </c>
      <c r="K26" s="29">
        <f>SFP!L9</f>
        <v>0</v>
      </c>
      <c r="L26" s="29">
        <f>SFP!M9</f>
        <v>0</v>
      </c>
      <c r="M26" s="29">
        <f>SFP!N9</f>
        <v>0</v>
      </c>
      <c r="N26" s="29">
        <f>SFP!O9</f>
        <v>0</v>
      </c>
      <c r="O26" s="29">
        <f>SFP!P9</f>
        <v>0</v>
      </c>
      <c r="P26" s="29">
        <f>SFP!Q9</f>
        <v>0</v>
      </c>
      <c r="Q26" s="29">
        <f>SFP!R9</f>
        <v>0</v>
      </c>
      <c r="R26" s="29">
        <f>SFP!S9</f>
        <v>0</v>
      </c>
      <c r="S26" s="29">
        <f>SFP!T9</f>
        <v>0</v>
      </c>
      <c r="T26" s="29">
        <f>SFP!U9</f>
        <v>0</v>
      </c>
      <c r="U26" s="29">
        <f>SFP!V9</f>
        <v>0</v>
      </c>
      <c r="V26" s="29">
        <f>SFP!W9</f>
        <v>0</v>
      </c>
      <c r="W26" s="29">
        <f>SFP!X9</f>
        <v>0</v>
      </c>
      <c r="X26" s="29">
        <f>SFP!Y9</f>
        <v>0</v>
      </c>
      <c r="Y26" s="29">
        <f>SFP!Z9</f>
        <v>0</v>
      </c>
      <c r="Z26" s="29">
        <f>SFP!AA9</f>
        <v>0</v>
      </c>
      <c r="AA26" s="29">
        <f>SFP!AB9</f>
        <v>0</v>
      </c>
      <c r="AB26" s="29">
        <f>SFP!AC9</f>
        <v>0</v>
      </c>
      <c r="AC26" s="29">
        <f>SFP!AD9</f>
        <v>0</v>
      </c>
      <c r="AD26" s="29">
        <f>SFP!AE9</f>
        <v>0</v>
      </c>
      <c r="AE26" s="29">
        <f>SFP!AF9</f>
        <v>0</v>
      </c>
      <c r="AF26" s="29">
        <f>SFP!AG9</f>
        <v>0</v>
      </c>
      <c r="AG26" s="29">
        <f>SFP!AH9</f>
        <v>0</v>
      </c>
      <c r="AH26" s="29">
        <f>SFP!AI9</f>
        <v>0</v>
      </c>
      <c r="AI26" s="29">
        <f>SFP!AJ9</f>
        <v>0</v>
      </c>
      <c r="AJ26" s="29">
        <f>SFP!AK9</f>
        <v>0</v>
      </c>
      <c r="AK26" s="29">
        <f>SFP!AL9</f>
        <v>0</v>
      </c>
      <c r="AL26" s="29">
        <f>SFP!AM9</f>
        <v>0</v>
      </c>
      <c r="AM26" s="29">
        <f>SFP!AN9</f>
        <v>0</v>
      </c>
      <c r="AN26" s="29">
        <f>SFP!AO9</f>
        <v>0</v>
      </c>
      <c r="AO26" s="29">
        <f>SFP!AP9</f>
        <v>0</v>
      </c>
      <c r="AP26" s="29">
        <f>SFP!AQ9</f>
        <v>0</v>
      </c>
      <c r="AQ26" s="29">
        <f>SFP!AR9</f>
        <v>0</v>
      </c>
      <c r="AR26" s="29">
        <f>SFP!AS9</f>
        <v>0</v>
      </c>
      <c r="AS26" s="29">
        <f>SFP!AT9</f>
        <v>0</v>
      </c>
      <c r="AT26" s="29">
        <f>SFP!AU9</f>
        <v>0</v>
      </c>
      <c r="AU26" s="29">
        <f>SFP!AV9</f>
        <v>0</v>
      </c>
      <c r="AV26" s="29">
        <f>SFP!AW9</f>
        <v>0</v>
      </c>
      <c r="AW26" s="29">
        <f>SFP!AX9</f>
        <v>0</v>
      </c>
      <c r="AX26" s="29">
        <f>SFP!AY9</f>
        <v>0</v>
      </c>
      <c r="AY26" s="29">
        <f>SFP!AZ9</f>
        <v>0</v>
      </c>
      <c r="AZ26" s="29">
        <f>SFP!BA9</f>
        <v>0</v>
      </c>
    </row>
    <row r="27" spans="1:52">
      <c r="A27" s="28" t="s">
        <v>116</v>
      </c>
      <c r="B27" s="29">
        <f>'[1]Balance Sheet'!C12</f>
        <v>0</v>
      </c>
      <c r="C27" s="29">
        <f>SFP!D12</f>
        <v>110000</v>
      </c>
      <c r="D27" s="29">
        <f>SFP!E12</f>
        <v>110000</v>
      </c>
      <c r="E27" s="29">
        <f>SFP!F12</f>
        <v>110000</v>
      </c>
      <c r="F27" s="29">
        <f>SFP!G12</f>
        <v>110000</v>
      </c>
      <c r="G27" s="29">
        <f>SFP!H12</f>
        <v>110000</v>
      </c>
      <c r="H27" s="29">
        <f>SFP!I12</f>
        <v>110000</v>
      </c>
      <c r="I27" s="29">
        <f>SFP!J12</f>
        <v>110000</v>
      </c>
      <c r="J27" s="29">
        <f>SFP!K12</f>
        <v>110000</v>
      </c>
      <c r="K27" s="29">
        <f>SFP!L12</f>
        <v>110000</v>
      </c>
      <c r="L27" s="29">
        <f>SFP!M12</f>
        <v>110000</v>
      </c>
      <c r="M27" s="29">
        <f>SFP!N12</f>
        <v>110000</v>
      </c>
      <c r="N27" s="29">
        <f>SFP!O12</f>
        <v>110000</v>
      </c>
      <c r="O27" s="29">
        <f>SFP!P12</f>
        <v>110000</v>
      </c>
      <c r="P27" s="29">
        <f>SFP!Q12</f>
        <v>110000</v>
      </c>
      <c r="Q27" s="29">
        <f>SFP!R12</f>
        <v>110000</v>
      </c>
      <c r="R27" s="29">
        <f>SFP!S12</f>
        <v>110000</v>
      </c>
      <c r="S27" s="29">
        <f>SFP!T12</f>
        <v>110000</v>
      </c>
      <c r="T27" s="29">
        <f>SFP!U12</f>
        <v>110000</v>
      </c>
      <c r="U27" s="29">
        <f>SFP!V12</f>
        <v>110000</v>
      </c>
      <c r="V27" s="29">
        <f>SFP!W12</f>
        <v>110000</v>
      </c>
      <c r="W27" s="29">
        <f>SFP!X12</f>
        <v>110000</v>
      </c>
      <c r="X27" s="29">
        <f>SFP!Y12</f>
        <v>110000</v>
      </c>
      <c r="Y27" s="29">
        <f>SFP!Z12</f>
        <v>110000</v>
      </c>
      <c r="Z27" s="29">
        <f>SFP!AA12</f>
        <v>110000</v>
      </c>
      <c r="AA27" s="29">
        <f>SFP!AB12</f>
        <v>0</v>
      </c>
      <c r="AB27" s="29">
        <f>SFP!AC12</f>
        <v>0</v>
      </c>
      <c r="AC27" s="29">
        <f>SFP!AD12</f>
        <v>0</v>
      </c>
      <c r="AD27" s="29">
        <f>SFP!AE12</f>
        <v>0</v>
      </c>
      <c r="AE27" s="29">
        <f>SFP!AF12</f>
        <v>0</v>
      </c>
      <c r="AF27" s="29">
        <f>SFP!AG12</f>
        <v>0</v>
      </c>
      <c r="AG27" s="29">
        <f>SFP!AH12</f>
        <v>0</v>
      </c>
      <c r="AH27" s="29">
        <f>SFP!AI12</f>
        <v>110000</v>
      </c>
      <c r="AI27" s="29">
        <f>SFP!AJ12</f>
        <v>110000</v>
      </c>
      <c r="AJ27" s="29">
        <f>SFP!AK12</f>
        <v>115067</v>
      </c>
      <c r="AK27" s="29">
        <f>SFP!AL12</f>
        <v>115067</v>
      </c>
      <c r="AL27" s="29">
        <f>SFP!AM12</f>
        <v>115067</v>
      </c>
      <c r="AM27" s="29">
        <f>SFP!AN12</f>
        <v>115067</v>
      </c>
      <c r="AN27" s="29">
        <f>SFP!AO12</f>
        <v>0</v>
      </c>
      <c r="AO27" s="29">
        <f>SFP!AP12</f>
        <v>115067</v>
      </c>
      <c r="AP27" s="29">
        <f>SFP!AQ12</f>
        <v>115067</v>
      </c>
      <c r="AQ27" s="29">
        <f>SFP!AR12</f>
        <v>115067</v>
      </c>
      <c r="AR27" s="29">
        <f>SFP!AS12</f>
        <v>115067</v>
      </c>
      <c r="AS27" s="29">
        <f>SFP!AT12</f>
        <v>115067</v>
      </c>
      <c r="AT27" s="29">
        <f>SFP!AU12</f>
        <v>115067</v>
      </c>
      <c r="AU27" s="29">
        <f>SFP!AV12</f>
        <v>0</v>
      </c>
      <c r="AV27" s="29">
        <f>SFP!AW12</f>
        <v>0</v>
      </c>
      <c r="AW27" s="29">
        <f>SFP!AX12</f>
        <v>0</v>
      </c>
      <c r="AX27" s="29">
        <f>SFP!AY12</f>
        <v>0</v>
      </c>
      <c r="AY27" s="29">
        <f>SFP!AZ12</f>
        <v>0</v>
      </c>
      <c r="AZ27" s="29">
        <f>SFP!BA12</f>
        <v>0</v>
      </c>
    </row>
    <row r="28" spans="1:52">
      <c r="A28" s="28" t="s">
        <v>117</v>
      </c>
      <c r="B28" s="29">
        <f>'[1]Balance Sheet'!C10</f>
        <v>0</v>
      </c>
      <c r="C28" s="29">
        <f>SFP!D10</f>
        <v>0</v>
      </c>
      <c r="D28" s="29">
        <f>SFP!E10</f>
        <v>0</v>
      </c>
      <c r="E28" s="29">
        <f>SFP!F10</f>
        <v>0</v>
      </c>
      <c r="F28" s="29">
        <f>SFP!G10</f>
        <v>0</v>
      </c>
      <c r="G28" s="29">
        <f>SFP!H10</f>
        <v>0</v>
      </c>
      <c r="H28" s="29">
        <f>SFP!I10</f>
        <v>0</v>
      </c>
      <c r="I28" s="29">
        <f>SFP!J10</f>
        <v>0</v>
      </c>
      <c r="J28" s="29">
        <f>SFP!K10</f>
        <v>0</v>
      </c>
      <c r="K28" s="29">
        <f>SFP!L10</f>
        <v>0</v>
      </c>
      <c r="L28" s="29">
        <f>SFP!M10</f>
        <v>0</v>
      </c>
      <c r="M28" s="29">
        <f>SFP!N10</f>
        <v>0</v>
      </c>
      <c r="N28" s="29">
        <f>SFP!O10</f>
        <v>0</v>
      </c>
      <c r="O28" s="29">
        <f>SFP!P10</f>
        <v>0</v>
      </c>
      <c r="P28" s="29">
        <f>SFP!Q10</f>
        <v>0</v>
      </c>
      <c r="Q28" s="29">
        <f>SFP!R10</f>
        <v>0</v>
      </c>
      <c r="R28" s="29">
        <f>SFP!S10</f>
        <v>0</v>
      </c>
      <c r="S28" s="29">
        <f>SFP!T10</f>
        <v>0</v>
      </c>
      <c r="T28" s="29">
        <f>SFP!U10</f>
        <v>0</v>
      </c>
      <c r="U28" s="29">
        <f>SFP!V10</f>
        <v>0</v>
      </c>
      <c r="V28" s="29">
        <f>SFP!W10</f>
        <v>0</v>
      </c>
      <c r="W28" s="29">
        <f>SFP!X10</f>
        <v>0</v>
      </c>
      <c r="X28" s="29">
        <f>SFP!Y10</f>
        <v>0</v>
      </c>
      <c r="Y28" s="29">
        <f>SFP!Z10</f>
        <v>0</v>
      </c>
      <c r="Z28" s="29">
        <f>SFP!AA10</f>
        <v>0</v>
      </c>
      <c r="AA28" s="29">
        <f>SFP!AB10</f>
        <v>0</v>
      </c>
      <c r="AB28" s="29">
        <f>SFP!AC10</f>
        <v>0</v>
      </c>
      <c r="AC28" s="29">
        <f>SFP!AD10</f>
        <v>0</v>
      </c>
      <c r="AD28" s="29">
        <f>SFP!AE10</f>
        <v>0</v>
      </c>
      <c r="AE28" s="29">
        <f>SFP!AF10</f>
        <v>0</v>
      </c>
      <c r="AF28" s="29">
        <f>SFP!AG10</f>
        <v>0</v>
      </c>
      <c r="AG28" s="29">
        <f>SFP!AH10</f>
        <v>0</v>
      </c>
      <c r="AH28" s="29">
        <f>SFP!AI10</f>
        <v>0</v>
      </c>
      <c r="AI28" s="29">
        <f>SFP!AJ10</f>
        <v>0</v>
      </c>
      <c r="AJ28" s="29">
        <f>SFP!AK10</f>
        <v>0</v>
      </c>
      <c r="AK28" s="29">
        <f>SFP!AL10</f>
        <v>0</v>
      </c>
      <c r="AL28" s="29">
        <f>SFP!AM10</f>
        <v>0</v>
      </c>
      <c r="AM28" s="29">
        <f>SFP!AN10</f>
        <v>0</v>
      </c>
      <c r="AN28" s="29">
        <f>SFP!AO10</f>
        <v>0</v>
      </c>
      <c r="AO28" s="29">
        <f>SFP!AP10</f>
        <v>0</v>
      </c>
      <c r="AP28" s="29">
        <f>SFP!AQ10</f>
        <v>0</v>
      </c>
      <c r="AQ28" s="29">
        <f>SFP!AR10</f>
        <v>0</v>
      </c>
      <c r="AR28" s="29">
        <f>SFP!AS10</f>
        <v>0</v>
      </c>
      <c r="AS28" s="29">
        <f>SFP!AT10</f>
        <v>0</v>
      </c>
      <c r="AT28" s="29">
        <f>SFP!AU10</f>
        <v>0</v>
      </c>
      <c r="AU28" s="29">
        <f>SFP!AV10</f>
        <v>0</v>
      </c>
      <c r="AV28" s="29">
        <f>SFP!AW10</f>
        <v>0</v>
      </c>
      <c r="AW28" s="29">
        <f>SFP!AX10</f>
        <v>0</v>
      </c>
      <c r="AX28" s="29">
        <f>SFP!AY10</f>
        <v>0</v>
      </c>
      <c r="AY28" s="29">
        <f>SFP!AZ10</f>
        <v>0</v>
      </c>
      <c r="AZ28" s="29">
        <f>SFP!BA10</f>
        <v>0</v>
      </c>
    </row>
    <row r="29" spans="1:52">
      <c r="A29" s="28" t="s">
        <v>118</v>
      </c>
      <c r="B29" s="29">
        <f>'[1]Balance Sheet'!C11</f>
        <v>0</v>
      </c>
      <c r="C29" s="29">
        <f>SFP!D11</f>
        <v>0</v>
      </c>
      <c r="D29" s="29">
        <f>SFP!E11</f>
        <v>0</v>
      </c>
      <c r="E29" s="29">
        <f>SFP!F11</f>
        <v>0</v>
      </c>
      <c r="F29" s="29">
        <f>SFP!G11</f>
        <v>0</v>
      </c>
      <c r="G29" s="29">
        <f>SFP!H11</f>
        <v>0</v>
      </c>
      <c r="H29" s="29">
        <f>SFP!I11</f>
        <v>0</v>
      </c>
      <c r="I29" s="29">
        <f>SFP!J11</f>
        <v>0</v>
      </c>
      <c r="J29" s="29">
        <f>SFP!K11</f>
        <v>0</v>
      </c>
      <c r="K29" s="29">
        <f>SFP!L11</f>
        <v>0</v>
      </c>
      <c r="L29" s="29">
        <f>SFP!M11</f>
        <v>0</v>
      </c>
      <c r="M29" s="29">
        <f>SFP!N11</f>
        <v>0</v>
      </c>
      <c r="N29" s="29">
        <f>SFP!O11</f>
        <v>0</v>
      </c>
      <c r="O29" s="29">
        <f>SFP!P11</f>
        <v>0</v>
      </c>
      <c r="P29" s="29">
        <f>SFP!Q11</f>
        <v>0</v>
      </c>
      <c r="Q29" s="29">
        <f>SFP!R11</f>
        <v>0</v>
      </c>
      <c r="R29" s="29">
        <f>SFP!S11</f>
        <v>0</v>
      </c>
      <c r="S29" s="29">
        <f>SFP!T11</f>
        <v>0</v>
      </c>
      <c r="T29" s="29">
        <f>SFP!U11</f>
        <v>0</v>
      </c>
      <c r="U29" s="29">
        <f>SFP!V11</f>
        <v>0</v>
      </c>
      <c r="V29" s="29">
        <f>SFP!W11</f>
        <v>0</v>
      </c>
      <c r="W29" s="29">
        <f>SFP!X11</f>
        <v>0</v>
      </c>
      <c r="X29" s="29">
        <f>SFP!Y11</f>
        <v>0</v>
      </c>
      <c r="Y29" s="29">
        <f>SFP!Z11</f>
        <v>0</v>
      </c>
      <c r="Z29" s="29">
        <f>SFP!AA11</f>
        <v>0</v>
      </c>
      <c r="AA29" s="29">
        <f>SFP!AB11</f>
        <v>110000</v>
      </c>
      <c r="AB29" s="29">
        <f>SFP!AC11</f>
        <v>110000</v>
      </c>
      <c r="AC29" s="29">
        <f>SFP!AD11</f>
        <v>110000</v>
      </c>
      <c r="AD29" s="29">
        <f>SFP!AE11</f>
        <v>110000</v>
      </c>
      <c r="AE29" s="29">
        <f>SFP!AF11</f>
        <v>110000</v>
      </c>
      <c r="AF29" s="29">
        <f>SFP!AG11</f>
        <v>110000</v>
      </c>
      <c r="AG29" s="29">
        <f>SFP!AH11</f>
        <v>110000</v>
      </c>
      <c r="AH29" s="29">
        <f>SFP!AI11</f>
        <v>0</v>
      </c>
      <c r="AI29" s="29">
        <f>SFP!AJ11</f>
        <v>0</v>
      </c>
      <c r="AJ29" s="29">
        <f>SFP!AK11</f>
        <v>0</v>
      </c>
      <c r="AK29" s="29">
        <f>SFP!AL11</f>
        <v>0</v>
      </c>
      <c r="AL29" s="29">
        <f>SFP!AM11</f>
        <v>0</v>
      </c>
      <c r="AM29" s="29">
        <f>SFP!AN11</f>
        <v>0</v>
      </c>
      <c r="AN29" s="29">
        <f>SFP!AO11</f>
        <v>115067</v>
      </c>
      <c r="AO29" s="29">
        <f>SFP!AP11</f>
        <v>0</v>
      </c>
      <c r="AP29" s="29">
        <f>SFP!AQ11</f>
        <v>0</v>
      </c>
      <c r="AQ29" s="29">
        <f>SFP!AR11</f>
        <v>0</v>
      </c>
      <c r="AR29" s="29">
        <f>SFP!AS11</f>
        <v>0</v>
      </c>
      <c r="AS29" s="29">
        <f>SFP!AT11</f>
        <v>0</v>
      </c>
      <c r="AT29" s="29">
        <f>SFP!AU11</f>
        <v>0</v>
      </c>
      <c r="AU29" s="29">
        <f>SFP!AV11</f>
        <v>115067</v>
      </c>
      <c r="AV29" s="29">
        <f>SFP!AW11</f>
        <v>115067</v>
      </c>
      <c r="AW29" s="29">
        <f>SFP!AX11</f>
        <v>115067</v>
      </c>
      <c r="AX29" s="29">
        <f>SFP!AY11</f>
        <v>0</v>
      </c>
      <c r="AY29" s="29">
        <f>SFP!AZ11</f>
        <v>0</v>
      </c>
      <c r="AZ29" s="29">
        <f>SFP!BA11</f>
        <v>0</v>
      </c>
    </row>
    <row r="30" spans="1:52">
      <c r="A30" s="30" t="s">
        <v>119</v>
      </c>
      <c r="B30" s="35">
        <f t="shared" ref="B30:H30" si="41">B31-B32</f>
        <v>0</v>
      </c>
      <c r="C30" s="35">
        <f t="shared" si="41"/>
        <v>359733421.38</v>
      </c>
      <c r="D30" s="35">
        <f t="shared" si="41"/>
        <v>368393117.5</v>
      </c>
      <c r="E30" s="35">
        <f t="shared" si="41"/>
        <v>367009867</v>
      </c>
      <c r="F30" s="35">
        <f t="shared" si="41"/>
        <v>364201591.12</v>
      </c>
      <c r="G30" s="35">
        <f t="shared" si="41"/>
        <v>373764060</v>
      </c>
      <c r="H30" s="35">
        <f t="shared" si="41"/>
        <v>357429286.64000005</v>
      </c>
    </row>
    <row r="31" spans="1:52">
      <c r="A31" s="28" t="s">
        <v>120</v>
      </c>
      <c r="B31" s="29">
        <f>'[1]Balance Sheet'!C14</f>
        <v>0</v>
      </c>
      <c r="C31" s="29">
        <f>SFP!D14</f>
        <v>376748738.13</v>
      </c>
      <c r="D31" s="29">
        <f>SFP!E14</f>
        <v>384779788.13999999</v>
      </c>
      <c r="E31" s="29">
        <f>SFP!F14</f>
        <v>382679093</v>
      </c>
      <c r="F31" s="29">
        <f>SFP!G14</f>
        <v>381920957.56999999</v>
      </c>
      <c r="G31" s="29">
        <f>SFP!H14</f>
        <v>394912319</v>
      </c>
      <c r="H31" s="29">
        <f>SFP!I14</f>
        <v>382619763.04000002</v>
      </c>
      <c r="I31" s="29">
        <f>SFP!J14</f>
        <v>411822844.13999999</v>
      </c>
      <c r="J31" s="29">
        <f>SFP!K14</f>
        <v>422079766.17000002</v>
      </c>
      <c r="K31" s="29">
        <f>SFP!L14</f>
        <v>432390467.73000002</v>
      </c>
      <c r="L31" s="29">
        <f>SFP!M14</f>
        <v>432893498.42000002</v>
      </c>
      <c r="M31" s="29">
        <f>SFP!N14</f>
        <v>443112754.13999999</v>
      </c>
      <c r="N31" s="29">
        <f>SFP!O14</f>
        <v>443356055</v>
      </c>
      <c r="O31" s="29">
        <f>SFP!P14</f>
        <v>444621203</v>
      </c>
      <c r="P31" s="29">
        <f>SFP!Q14</f>
        <v>454175144.31</v>
      </c>
      <c r="Q31" s="29">
        <f>SFP!R14</f>
        <v>455922783.20999998</v>
      </c>
      <c r="R31" s="29">
        <f>SFP!S14</f>
        <v>456056799.06</v>
      </c>
      <c r="S31" s="29">
        <f>SFP!T14</f>
        <v>464207778.13</v>
      </c>
      <c r="T31" s="29">
        <f>SFP!U14</f>
        <v>467884013.67000002</v>
      </c>
      <c r="U31" s="29">
        <f>SFP!V14</f>
        <v>482876432.75999999</v>
      </c>
      <c r="V31" s="29">
        <f>SFP!W14</f>
        <v>488952626.64999998</v>
      </c>
      <c r="W31" s="29">
        <f>SFP!X14</f>
        <v>489834714.85000002</v>
      </c>
      <c r="X31" s="29">
        <f>SFP!Y14</f>
        <v>498347375.43000001</v>
      </c>
      <c r="Y31" s="29">
        <f>SFP!Z14</f>
        <v>498529095.80000001</v>
      </c>
      <c r="Z31" s="29">
        <f>SFP!AA14</f>
        <v>495289690.25999999</v>
      </c>
      <c r="AA31" s="29">
        <f>SFP!AB14</f>
        <v>495289689.75999999</v>
      </c>
      <c r="AB31" s="29">
        <f>SFP!AC14</f>
        <v>497401429.68000001</v>
      </c>
      <c r="AC31" s="29">
        <f>SFP!AD14</f>
        <v>497243039.95999998</v>
      </c>
      <c r="AD31" s="29">
        <f>SFP!AE14</f>
        <v>501830045.79000002</v>
      </c>
      <c r="AE31" s="29">
        <f>SFP!AF14</f>
        <v>514342929.22000003</v>
      </c>
      <c r="AF31" s="29">
        <f>SFP!AG14</f>
        <v>523646104.51999998</v>
      </c>
      <c r="AG31" s="29">
        <f>SFP!AH14</f>
        <v>518466249.29000002</v>
      </c>
      <c r="AH31" s="29">
        <f>SFP!AI14</f>
        <v>519538454.92000002</v>
      </c>
      <c r="AI31" s="29">
        <f>SFP!AJ14</f>
        <v>511035643.55000001</v>
      </c>
      <c r="AJ31" s="29">
        <f>SFP!AK14</f>
        <v>512367094.56999999</v>
      </c>
      <c r="AK31" s="29">
        <f>SFP!AL14</f>
        <v>509721759.63999999</v>
      </c>
      <c r="AL31" s="29">
        <f>SFP!AM14</f>
        <v>553781740.53999996</v>
      </c>
      <c r="AM31" s="29">
        <f>SFP!AN14</f>
        <v>560820730.07000005</v>
      </c>
      <c r="AN31" s="29">
        <f>SFP!AO14</f>
        <v>560820732</v>
      </c>
      <c r="AO31" s="29">
        <f>SFP!AP14</f>
        <v>564676307.40999997</v>
      </c>
      <c r="AP31" s="29">
        <f>SFP!AQ14</f>
        <v>561252395.65999997</v>
      </c>
      <c r="AQ31" s="29">
        <f>SFP!AR14</f>
        <v>563430781.42999995</v>
      </c>
      <c r="AR31" s="29">
        <f>SFP!AS14</f>
        <v>565823538.32000005</v>
      </c>
      <c r="AS31" s="29">
        <f>SFP!AT14</f>
        <v>570722559.41999996</v>
      </c>
      <c r="AT31" s="29">
        <f>SFP!AU14</f>
        <v>572426101.51999998</v>
      </c>
      <c r="AU31" s="29">
        <f>SFP!AV14</f>
        <v>572349811.73000002</v>
      </c>
      <c r="AV31" s="29">
        <f>SFP!AW14</f>
        <v>582687903.05999994</v>
      </c>
      <c r="AW31" s="29">
        <f>SFP!AX14</f>
        <v>580409315.72000003</v>
      </c>
      <c r="AX31" s="29">
        <f>SFP!AY14</f>
        <v>0</v>
      </c>
      <c r="AY31" s="29">
        <f>SFP!AZ14</f>
        <v>0</v>
      </c>
      <c r="AZ31" s="29">
        <f>SFP!BA14</f>
        <v>0</v>
      </c>
    </row>
    <row r="32" spans="1:52">
      <c r="A32" s="28" t="s">
        <v>121</v>
      </c>
      <c r="B32" s="29">
        <f>'[1]Balance Sheet'!C15</f>
        <v>0</v>
      </c>
      <c r="C32" s="29">
        <f>SFP!D15</f>
        <v>17015316.75</v>
      </c>
      <c r="D32" s="29">
        <f>SFP!E15</f>
        <v>16386670.640000001</v>
      </c>
      <c r="E32" s="29">
        <f>SFP!F15</f>
        <v>15669226</v>
      </c>
      <c r="F32" s="29">
        <f>SFP!G15</f>
        <v>17719366.449999999</v>
      </c>
      <c r="G32" s="29">
        <f>SFP!H15</f>
        <v>21148259</v>
      </c>
      <c r="H32" s="29">
        <f>SFP!I15</f>
        <v>25190476.399999999</v>
      </c>
      <c r="I32" s="29">
        <f>SFP!J15</f>
        <v>32976247.079999998</v>
      </c>
      <c r="J32" s="29">
        <f>SFP!K15</f>
        <v>31773881.25</v>
      </c>
      <c r="K32" s="29">
        <f>SFP!L15</f>
        <v>29905716.870000001</v>
      </c>
      <c r="L32" s="29">
        <f>SFP!M15</f>
        <v>27485634.25</v>
      </c>
      <c r="M32" s="29">
        <f>SFP!N15</f>
        <v>18736927.98</v>
      </c>
      <c r="N32" s="29">
        <f>SFP!O15</f>
        <v>18736927.34</v>
      </c>
      <c r="O32" s="29">
        <f>SFP!P15</f>
        <v>20522070</v>
      </c>
      <c r="P32" s="29">
        <f>SFP!Q15</f>
        <v>21668568.690000001</v>
      </c>
      <c r="Q32" s="29">
        <f>SFP!R15</f>
        <v>21088389.18</v>
      </c>
      <c r="R32" s="29">
        <f>SFP!S15</f>
        <v>20670874.52</v>
      </c>
      <c r="S32" s="29">
        <f>SFP!T15</f>
        <v>21877180.129999999</v>
      </c>
      <c r="T32" s="29">
        <f>SFP!U15</f>
        <v>22731512.649999999</v>
      </c>
      <c r="U32" s="29">
        <f>SFP!V15</f>
        <v>23535355.93</v>
      </c>
      <c r="V32" s="29">
        <f>SFP!W15</f>
        <v>25347327.82</v>
      </c>
      <c r="W32" s="29">
        <f>SFP!X15</f>
        <v>25091873.989999998</v>
      </c>
      <c r="X32" s="29">
        <f>SFP!Y15</f>
        <v>23143639.289999999</v>
      </c>
      <c r="Y32" s="29">
        <f>SFP!Z15</f>
        <v>22070277.100000001</v>
      </c>
      <c r="Z32" s="29">
        <f>SFP!AA15</f>
        <v>18744202.02</v>
      </c>
      <c r="AA32" s="29">
        <f>SFP!AB15</f>
        <v>18744202</v>
      </c>
      <c r="AB32" s="29">
        <f>SFP!AC15</f>
        <v>22081683.879999999</v>
      </c>
      <c r="AC32" s="29">
        <f>SFP!AD15</f>
        <v>22648160.460000001</v>
      </c>
      <c r="AD32" s="29">
        <f>SFP!AE15</f>
        <v>24372039.949999999</v>
      </c>
      <c r="AE32" s="29">
        <f>SFP!AF15</f>
        <v>29499082.739999998</v>
      </c>
      <c r="AF32" s="29">
        <f>SFP!AG15</f>
        <v>31964708.920000002</v>
      </c>
      <c r="AG32" s="29">
        <f>SFP!AH15</f>
        <v>34646051.039999999</v>
      </c>
      <c r="AH32" s="29">
        <f>SFP!AI15</f>
        <v>36980821.57</v>
      </c>
      <c r="AI32" s="29">
        <f>SFP!AJ15</f>
        <v>41366096.07</v>
      </c>
      <c r="AJ32" s="29">
        <f>SFP!AK15</f>
        <v>42425880.090000004</v>
      </c>
      <c r="AK32" s="29">
        <f>SFP!AL15</f>
        <v>36593374.390000001</v>
      </c>
      <c r="AL32" s="29">
        <f>SFP!AM15</f>
        <v>31488424.640000001</v>
      </c>
      <c r="AM32" s="29">
        <f>SFP!AN15</f>
        <v>21582911.73</v>
      </c>
      <c r="AN32" s="29">
        <f>SFP!AO15</f>
        <v>21582912</v>
      </c>
      <c r="AO32" s="29">
        <f>SFP!AP15</f>
        <v>24224391.710000001</v>
      </c>
      <c r="AP32" s="29">
        <f>SFP!AQ15</f>
        <v>24972844.899999999</v>
      </c>
      <c r="AQ32" s="29">
        <f>SFP!AR15</f>
        <v>28456136.890000001</v>
      </c>
      <c r="AR32" s="29">
        <f>SFP!AS15</f>
        <v>32474936.710000001</v>
      </c>
      <c r="AS32" s="29">
        <f>SFP!AT15</f>
        <v>35289401.060000002</v>
      </c>
      <c r="AT32" s="29">
        <f>SFP!AU15</f>
        <v>37080363.450000003</v>
      </c>
      <c r="AU32" s="29">
        <f>SFP!AV15</f>
        <v>37447945.350000001</v>
      </c>
      <c r="AV32" s="29">
        <f>SFP!AW15</f>
        <v>40498317.969999999</v>
      </c>
      <c r="AW32" s="29">
        <f>SFP!AX15</f>
        <v>37771520.969999999</v>
      </c>
      <c r="AX32" s="29">
        <f>SFP!AY15</f>
        <v>0</v>
      </c>
      <c r="AY32" s="29">
        <f>SFP!AZ15</f>
        <v>0</v>
      </c>
      <c r="AZ32" s="29">
        <f>SFP!BA15</f>
        <v>0</v>
      </c>
    </row>
    <row r="33" spans="1:52">
      <c r="A33" s="28"/>
      <c r="B33" s="29"/>
      <c r="C33" s="29"/>
      <c r="D33" s="29"/>
      <c r="E33" s="29"/>
      <c r="F33" s="29"/>
      <c r="G33" s="29"/>
      <c r="H33" s="29"/>
    </row>
    <row r="34" spans="1:52">
      <c r="A34" s="28" t="s">
        <v>122</v>
      </c>
      <c r="B34" s="29">
        <f>'[1]Balance Sheet'!C7+'[1]Balance Sheet'!C16+'[1]Balance Sheet'!C20</f>
        <v>0</v>
      </c>
      <c r="C34" s="29">
        <f>SFP!D7+SFP!D16+SFP!D20</f>
        <v>40490726.369999997</v>
      </c>
      <c r="D34" s="29">
        <f>SFP!E7+SFP!E16+SFP!E20</f>
        <v>42976665.450000003</v>
      </c>
      <c r="E34" s="29">
        <f>SFP!F7+SFP!F16+SFP!F20</f>
        <v>43861914.799999997</v>
      </c>
      <c r="F34" s="29">
        <f>SFP!G7+SFP!G16+SFP!G20</f>
        <v>41556061.609999999</v>
      </c>
      <c r="G34" s="29">
        <f>SFP!H7+SFP!H16+SFP!H20</f>
        <v>44097506.75</v>
      </c>
      <c r="H34" s="29">
        <f>SFP!I7+SFP!I16+SFP!I20</f>
        <v>43527568.219999999</v>
      </c>
      <c r="I34" s="29">
        <f>SFP!J7+SFP!J16+SFP!J20</f>
        <v>50354276.799999997</v>
      </c>
      <c r="J34" s="29">
        <f>SFP!K7+SFP!K16+SFP!K20</f>
        <v>46777044.170000002</v>
      </c>
      <c r="K34" s="29">
        <f>SFP!L7+SFP!L16+SFP!L20</f>
        <v>51600925.130000003</v>
      </c>
      <c r="L34" s="29">
        <f>SFP!M7+SFP!M16+SFP!M20</f>
        <v>45908527.510000005</v>
      </c>
      <c r="M34" s="29">
        <f>SFP!N7+SFP!N16+SFP!N20</f>
        <v>47478779.090000004</v>
      </c>
      <c r="N34" s="29">
        <f>SFP!O7+SFP!O16+SFP!O20</f>
        <v>43461266.087499999</v>
      </c>
      <c r="O34" s="29">
        <f>SFP!P7+SFP!P16+SFP!P20</f>
        <v>46870436.939999998</v>
      </c>
      <c r="P34" s="29">
        <f>SFP!Q7+SFP!Q16+SFP!Q20</f>
        <v>47620174.950000003</v>
      </c>
      <c r="Q34" s="29">
        <f>SFP!R7+SFP!R16+SFP!R20</f>
        <v>46391197.950000003</v>
      </c>
      <c r="R34" s="29">
        <f>SFP!S7+SFP!S16+SFP!S20</f>
        <v>44487045.359999999</v>
      </c>
      <c r="S34" s="29">
        <f>SFP!T7+SFP!T16+SFP!T20</f>
        <v>47077998.359999999</v>
      </c>
      <c r="T34" s="29">
        <f>SFP!U7+SFP!U16+SFP!U20</f>
        <v>51400889.359999999</v>
      </c>
      <c r="U34" s="29">
        <f>SFP!V7+SFP!V16+SFP!V20</f>
        <v>53060254.32</v>
      </c>
      <c r="V34" s="29">
        <f>SFP!W7+SFP!W16+SFP!W20</f>
        <v>53060254.32</v>
      </c>
      <c r="W34" s="29">
        <f>SFP!X7+SFP!X16+SFP!X20</f>
        <v>53817054.32</v>
      </c>
      <c r="X34" s="29">
        <f>SFP!Y7+SFP!Y16+SFP!Y20</f>
        <v>53817054.270000003</v>
      </c>
      <c r="Y34" s="29">
        <f>SFP!Z7+SFP!Z16+SFP!Z20</f>
        <v>59072180.260000005</v>
      </c>
      <c r="Z34" s="29">
        <f>SFP!AA7+SFP!AA16+SFP!AA20</f>
        <v>56093843.359999999</v>
      </c>
      <c r="AA34" s="29">
        <f>SFP!AB7+SFP!AB16+SFP!AB20</f>
        <v>55151716</v>
      </c>
      <c r="AB34" s="29">
        <f>SFP!AC7+SFP!AC16+SFP!AC20</f>
        <v>56920379.629999995</v>
      </c>
      <c r="AC34" s="29">
        <f>SFP!AD7+SFP!AD16+SFP!AD20</f>
        <v>57897987.620000005</v>
      </c>
      <c r="AD34" s="29">
        <f>SFP!AE7+SFP!AE16+SFP!AE20</f>
        <v>59193070.519999996</v>
      </c>
      <c r="AE34" s="29">
        <f>SFP!AF7+SFP!AF16+SFP!AF20</f>
        <v>59950422.629999995</v>
      </c>
      <c r="AF34" s="29">
        <f>SFP!AG7+SFP!AG16+SFP!AG20</f>
        <v>62120723.340000004</v>
      </c>
      <c r="AG34" s="29">
        <f>SFP!AH7+SFP!AH16+SFP!AH20</f>
        <v>64427448.170000002</v>
      </c>
      <c r="AH34" s="29">
        <f>SFP!AI7+SFP!AI16+SFP!AI20</f>
        <v>70088232.689999998</v>
      </c>
      <c r="AI34" s="29">
        <f>SFP!AJ7+SFP!AJ16+SFP!AJ20</f>
        <v>68767886.039999992</v>
      </c>
      <c r="AJ34" s="29">
        <f>SFP!AK7+SFP!AK16+SFP!AK20</f>
        <v>67907656.810000002</v>
      </c>
      <c r="AK34" s="29">
        <f>SFP!AL7+SFP!AL16+SFP!AL20</f>
        <v>73022077.159999996</v>
      </c>
      <c r="AL34" s="29">
        <f>SFP!AM7+SFP!AM16+SFP!AM20</f>
        <v>69924128.819999993</v>
      </c>
      <c r="AM34" s="29">
        <f>SFP!AN7+SFP!AN16+SFP!AN20</f>
        <v>63939267</v>
      </c>
      <c r="AN34" s="29">
        <f>SFP!AO7+SFP!AO16+SFP!AO20</f>
        <v>63934960.289999999</v>
      </c>
      <c r="AO34" s="29">
        <f>SFP!AP7+SFP!AP16+SFP!AP20</f>
        <v>64429122.040000007</v>
      </c>
      <c r="AP34" s="29">
        <f>SFP!AQ7+SFP!AQ16+SFP!AQ20</f>
        <v>62373741.800000004</v>
      </c>
      <c r="AQ34" s="29">
        <f>SFP!AR7+SFP!AR16+SFP!AR20</f>
        <v>65035660.590000004</v>
      </c>
      <c r="AR34" s="29">
        <f>SFP!AS7+SFP!AS16+SFP!AS20</f>
        <v>66892464.569999993</v>
      </c>
      <c r="AS34" s="29">
        <f>SFP!AT7+SFP!AT16+SFP!AT20</f>
        <v>68085041.489999995</v>
      </c>
      <c r="AT34" s="29">
        <f>SFP!AU7+SFP!AU16+SFP!AU20</f>
        <v>70586184.149999991</v>
      </c>
      <c r="AU34" s="29">
        <f>SFP!AV7+SFP!AV16+SFP!AV20</f>
        <v>74370095.479999989</v>
      </c>
      <c r="AV34" s="29">
        <f>SFP!AW7+SFP!AW16+SFP!AW20</f>
        <v>76552594.61999999</v>
      </c>
      <c r="AW34" s="29">
        <f>SFP!AX7+SFP!AX16+SFP!AX20</f>
        <v>78221128.61999999</v>
      </c>
      <c r="AX34" s="29">
        <f>SFP!AY7+SFP!AY16+SFP!AY20</f>
        <v>0</v>
      </c>
      <c r="AY34" s="29">
        <f>SFP!AZ7+SFP!AZ16+SFP!AZ20</f>
        <v>0</v>
      </c>
      <c r="AZ34" s="29">
        <f>SFP!BA7+SFP!BA16+SFP!BA20</f>
        <v>0</v>
      </c>
    </row>
    <row r="35" spans="1:52">
      <c r="A35" s="28" t="s">
        <v>123</v>
      </c>
      <c r="B35" s="29">
        <f>'[1]Balance Sheet'!C20</f>
        <v>0</v>
      </c>
      <c r="C35" s="29">
        <f>SFP!D20</f>
        <v>26908963.399999999</v>
      </c>
      <c r="D35" s="29">
        <f>SFP!E20</f>
        <v>26908963.399999999</v>
      </c>
      <c r="E35" s="29">
        <f>SFP!F20</f>
        <v>27794212.75</v>
      </c>
      <c r="F35" s="29">
        <f>SFP!G20</f>
        <v>27794212.75</v>
      </c>
      <c r="G35" s="29">
        <f>SFP!H20</f>
        <v>27899222.75</v>
      </c>
      <c r="H35" s="29">
        <f>SFP!I20</f>
        <v>26884218.260000002</v>
      </c>
      <c r="I35" s="29">
        <f>SFP!J20</f>
        <v>32145040.260000002</v>
      </c>
      <c r="J35" s="29">
        <f>SFP!K20</f>
        <v>32361040.260000002</v>
      </c>
      <c r="K35" s="29">
        <f>SFP!L20</f>
        <v>32123112.260000002</v>
      </c>
      <c r="L35" s="29">
        <f>SFP!M20</f>
        <v>31723012.260000002</v>
      </c>
      <c r="M35" s="29">
        <f>SFP!N20</f>
        <v>34927390.140000001</v>
      </c>
      <c r="N35" s="29">
        <f>SFP!O20</f>
        <v>29969037.4375</v>
      </c>
      <c r="O35" s="29">
        <f>SFP!P20</f>
        <v>32582074.359999999</v>
      </c>
      <c r="P35" s="29">
        <f>SFP!Q20</f>
        <v>31226879.609999999</v>
      </c>
      <c r="Q35" s="29">
        <f>SFP!R20</f>
        <v>31411679.609999999</v>
      </c>
      <c r="R35" s="29">
        <f>SFP!S20</f>
        <v>31411680.359999999</v>
      </c>
      <c r="S35" s="29">
        <f>SFP!T20</f>
        <v>31411680.359999999</v>
      </c>
      <c r="T35" s="29">
        <f>SFP!U20</f>
        <v>32980310.359999999</v>
      </c>
      <c r="U35" s="29">
        <f>SFP!V20</f>
        <v>33162010.359999999</v>
      </c>
      <c r="V35" s="29">
        <f>SFP!W20</f>
        <v>33162010.359999999</v>
      </c>
      <c r="W35" s="29">
        <f>SFP!X20</f>
        <v>33918810.359999999</v>
      </c>
      <c r="X35" s="29">
        <f>SFP!Y20</f>
        <v>33918810.310000002</v>
      </c>
      <c r="Y35" s="29">
        <f>SFP!Z20</f>
        <v>39342590.310000002</v>
      </c>
      <c r="Z35" s="29">
        <f>SFP!AA20</f>
        <v>36004432.359999999</v>
      </c>
      <c r="AA35" s="29">
        <f>SFP!AB20</f>
        <v>35062305</v>
      </c>
      <c r="AB35" s="29">
        <f>SFP!AC20</f>
        <v>36004432.359999999</v>
      </c>
      <c r="AC35" s="29">
        <f>SFP!AD20</f>
        <v>36004432.359999999</v>
      </c>
      <c r="AD35" s="29">
        <f>SFP!AE20</f>
        <v>36004432.359999999</v>
      </c>
      <c r="AE35" s="29">
        <f>SFP!AF20</f>
        <v>36004432.359999999</v>
      </c>
      <c r="AF35" s="29">
        <f>SFP!AG20</f>
        <v>35555120.359999999</v>
      </c>
      <c r="AG35" s="29">
        <f>SFP!AH20</f>
        <v>35945120.359999999</v>
      </c>
      <c r="AH35" s="29">
        <f>SFP!AI20</f>
        <v>35945120.359999999</v>
      </c>
      <c r="AI35" s="29">
        <f>SFP!AJ20</f>
        <v>35945120.359999999</v>
      </c>
      <c r="AJ35" s="29">
        <f>SFP!AK20</f>
        <v>36161120.359999999</v>
      </c>
      <c r="AK35" s="29">
        <f>SFP!AL20</f>
        <v>36161120.359999999</v>
      </c>
      <c r="AL35" s="29">
        <f>SFP!AM20</f>
        <v>37110120.359999999</v>
      </c>
      <c r="AM35" s="29">
        <f>SFP!AN20</f>
        <v>40703581</v>
      </c>
      <c r="AN35" s="29">
        <f>SFP!AO20</f>
        <v>39769354</v>
      </c>
      <c r="AO35" s="29">
        <f>SFP!AP20</f>
        <v>40928358.130000003</v>
      </c>
      <c r="AP35" s="29">
        <f>SFP!AQ20</f>
        <v>41295758.130000003</v>
      </c>
      <c r="AQ35" s="29">
        <f>SFP!AR20</f>
        <v>42690266.130000003</v>
      </c>
      <c r="AR35" s="29">
        <f>SFP!AS20</f>
        <v>42915471.129999995</v>
      </c>
      <c r="AS35" s="29">
        <f>SFP!AT20</f>
        <v>43219976.129999995</v>
      </c>
      <c r="AT35" s="29">
        <f>SFP!AU20</f>
        <v>44087281.129999995</v>
      </c>
      <c r="AU35" s="29">
        <f>SFP!AV20</f>
        <v>47336541.129999995</v>
      </c>
      <c r="AV35" s="29">
        <f>SFP!AW20</f>
        <v>48950819.129999995</v>
      </c>
      <c r="AW35" s="29">
        <f>SFP!AX20</f>
        <v>50619353.129999995</v>
      </c>
      <c r="AX35" s="29">
        <f>SFP!AY20</f>
        <v>0</v>
      </c>
      <c r="AY35" s="29">
        <f>SFP!AZ20</f>
        <v>0</v>
      </c>
      <c r="AZ35" s="29">
        <f>SFP!BA20</f>
        <v>0</v>
      </c>
    </row>
    <row r="36" spans="1:52">
      <c r="A36" s="28"/>
      <c r="B36" s="29"/>
      <c r="C36" s="29"/>
      <c r="D36" s="29"/>
      <c r="E36" s="29"/>
      <c r="F36" s="29"/>
      <c r="G36" s="29"/>
      <c r="H36" s="29"/>
    </row>
    <row r="37" spans="1:52">
      <c r="A37" s="28"/>
      <c r="B37" s="29"/>
      <c r="C37" s="29"/>
      <c r="D37" s="29"/>
      <c r="E37" s="29"/>
      <c r="F37" s="29"/>
      <c r="G37" s="29"/>
      <c r="H37" s="29"/>
    </row>
    <row r="38" spans="1:52">
      <c r="A38" s="30" t="s">
        <v>124</v>
      </c>
      <c r="B38" s="35">
        <f t="shared" ref="B38:H38" si="42">B39+B41+B42</f>
        <v>0</v>
      </c>
      <c r="C38" s="35">
        <f t="shared" si="42"/>
        <v>5316371.63</v>
      </c>
      <c r="D38" s="35">
        <f t="shared" si="42"/>
        <v>10843682.58</v>
      </c>
      <c r="E38" s="35">
        <f t="shared" si="42"/>
        <v>16340684</v>
      </c>
      <c r="F38" s="35">
        <f t="shared" si="42"/>
        <v>21446386.960000001</v>
      </c>
      <c r="G38" s="35">
        <f t="shared" si="42"/>
        <v>26704301.509999998</v>
      </c>
      <c r="H38" s="35">
        <f t="shared" si="42"/>
        <v>32103839.409999996</v>
      </c>
    </row>
    <row r="39" spans="1:52">
      <c r="A39" s="28" t="s">
        <v>125</v>
      </c>
      <c r="B39" s="36">
        <f>'[1]Income Statement'!C6</f>
        <v>0</v>
      </c>
      <c r="C39" s="36">
        <f>SCI!D6</f>
        <v>4522149.58</v>
      </c>
      <c r="D39" s="36">
        <f>SCI!E6</f>
        <v>9208162.8800000008</v>
      </c>
      <c r="E39" s="36">
        <f>SCI!F6</f>
        <v>14072634</v>
      </c>
      <c r="F39" s="36">
        <f>SCI!G6</f>
        <v>18817449.379999999</v>
      </c>
      <c r="G39" s="36">
        <f>SCI!H6</f>
        <v>23574404.379999999</v>
      </c>
      <c r="H39" s="36">
        <f>SCI!I6</f>
        <v>28401574.579999998</v>
      </c>
      <c r="I39" s="36">
        <f>SCI!J6</f>
        <v>38200406</v>
      </c>
      <c r="J39" s="36">
        <f>SCI!K6</f>
        <v>43289789.700000003</v>
      </c>
      <c r="K39" s="36">
        <f>SCI!L6</f>
        <v>48506553.700000003</v>
      </c>
      <c r="L39" s="36">
        <f>SCI!M6</f>
        <v>53720913.450000003</v>
      </c>
      <c r="M39" s="36">
        <f>SCI!N6</f>
        <v>63182271.100000001</v>
      </c>
      <c r="N39" s="36">
        <f>SCI!O6</f>
        <v>0</v>
      </c>
      <c r="O39" s="36">
        <f>SCI!P6</f>
        <v>5284408</v>
      </c>
      <c r="P39" s="36">
        <f>SCI!Q6</f>
        <v>10697906.4</v>
      </c>
      <c r="Q39" s="36">
        <f>SCI!R6</f>
        <v>16202969.5</v>
      </c>
      <c r="R39" s="36">
        <f>SCI!S6</f>
        <v>21756991.149999999</v>
      </c>
      <c r="S39" s="36">
        <f>SCI!T6</f>
        <v>27146510.350000001</v>
      </c>
      <c r="T39" s="36">
        <f>SCI!U6</f>
        <v>32608641.760000002</v>
      </c>
      <c r="U39" s="36">
        <f>SCI!V6</f>
        <v>38228836.909999996</v>
      </c>
      <c r="V39" s="36">
        <f>SCI!W6</f>
        <v>43987826.460000001</v>
      </c>
      <c r="W39" s="36">
        <f>SCI!X6</f>
        <v>50015819.359999999</v>
      </c>
      <c r="X39" s="36">
        <f>SCI!Y6</f>
        <v>55942947.859999999</v>
      </c>
      <c r="Y39" s="36">
        <f>SCI!Z6</f>
        <v>61992281.009999998</v>
      </c>
      <c r="Z39" s="36">
        <f>SCI!AA6</f>
        <v>68337881.959999993</v>
      </c>
      <c r="AA39" s="36">
        <f>SCI!AB6</f>
        <v>77339274</v>
      </c>
      <c r="AB39" s="36">
        <f>SCI!AC6</f>
        <v>6215531.2000000002</v>
      </c>
      <c r="AC39" s="36">
        <f>SCI!AD6</f>
        <v>12496487.699999999</v>
      </c>
      <c r="AD39" s="36">
        <f>SCI!AE6</f>
        <v>18566796.899999999</v>
      </c>
      <c r="AE39" s="36">
        <f>SCI!AF6</f>
        <v>23466781.609999999</v>
      </c>
      <c r="AF39" s="36">
        <f>SCI!AG6</f>
        <v>29502401.41</v>
      </c>
      <c r="AG39" s="36">
        <f>SCI!AH6</f>
        <v>34600423.740000002</v>
      </c>
      <c r="AH39" s="36">
        <f>SCI!AI6</f>
        <v>40756553.149999999</v>
      </c>
      <c r="AI39" s="36">
        <f>SCI!AJ6</f>
        <v>47285239.649999999</v>
      </c>
      <c r="AJ39" s="36">
        <f>SCI!AK6</f>
        <v>53671372</v>
      </c>
      <c r="AK39" s="36">
        <f>SCI!AL6</f>
        <v>60267927.109999999</v>
      </c>
      <c r="AL39" s="36">
        <f>SCI!AM6</f>
        <v>66747662.259999998</v>
      </c>
      <c r="AM39" s="36">
        <f>SCI!AN6</f>
        <v>88232369.689999998</v>
      </c>
      <c r="AN39" s="36">
        <f>SCI!AO6</f>
        <v>88232370.689999998</v>
      </c>
      <c r="AO39" s="36">
        <f>SCI!AP6</f>
        <v>7087584.4800000004</v>
      </c>
      <c r="AP39" s="36">
        <f>SCI!AQ6</f>
        <v>14395324.92</v>
      </c>
      <c r="AQ39" s="36">
        <f>SCI!AR6</f>
        <v>21640226.98</v>
      </c>
      <c r="AR39" s="36">
        <f>SCI!AS6</f>
        <v>113254679.73999999</v>
      </c>
      <c r="AS39" s="36">
        <f>SCI!AT6</f>
        <v>147006010.91</v>
      </c>
      <c r="AT39" s="36">
        <f>SCI!AU6</f>
        <v>43973086.060000002</v>
      </c>
      <c r="AU39" s="36">
        <f>SCI!AV6</f>
        <v>52344635.140000001</v>
      </c>
      <c r="AV39" s="36">
        <f>SCI!AW6</f>
        <v>59548815.979999997</v>
      </c>
      <c r="AW39" s="36">
        <f>SCI!AX6</f>
        <v>68233586.680000007</v>
      </c>
      <c r="AX39" s="36">
        <f>SCI!AY6</f>
        <v>0</v>
      </c>
      <c r="AY39" s="36">
        <f>SCI!AZ6</f>
        <v>0</v>
      </c>
      <c r="AZ39" s="36">
        <f>SCI!BA6</f>
        <v>0</v>
      </c>
    </row>
    <row r="40" spans="1:52">
      <c r="A40" s="28" t="s">
        <v>126</v>
      </c>
      <c r="B40" s="36" t="e">
        <f>'[1]Income Statement'!C6/'[1]Income Statement'!C14</f>
        <v>#DIV/0!</v>
      </c>
      <c r="C40" s="36">
        <f>SCI!D6/SCI!D14</f>
        <v>19.398626355006286</v>
      </c>
      <c r="D40" s="36">
        <f>SCI!E6/SCI!E14</f>
        <v>32.765415022435093</v>
      </c>
      <c r="E40" s="36">
        <f>SCI!F6/SCI!F14</f>
        <v>37.726521847529739</v>
      </c>
      <c r="F40" s="36">
        <f>SCI!G6/SCI!G14</f>
        <v>47.110638333028731</v>
      </c>
      <c r="G40" s="36">
        <f>SCI!H6/SCI!H14</f>
        <v>50.988079605012025</v>
      </c>
      <c r="H40" s="36">
        <f>SCI!I6/SCI!I14</f>
        <v>46.07875785954166</v>
      </c>
      <c r="I40" s="36">
        <f>SCI!J6/SCI!J14</f>
        <v>46.048262671156834</v>
      </c>
      <c r="J40" s="36">
        <f>SCI!K6/SCI!K14</f>
        <v>48.239218947423154</v>
      </c>
      <c r="K40" s="36">
        <f>SCI!L6/SCI!L14</f>
        <v>50.666452935349788</v>
      </c>
      <c r="L40" s="36">
        <f>SCI!M6/SCI!M14</f>
        <v>50.89618100291797</v>
      </c>
      <c r="M40" s="36">
        <f>SCI!N6/SCI!N14</f>
        <v>43.356154562332883</v>
      </c>
      <c r="N40" s="36">
        <f>SCI!O6/SCI!O14</f>
        <v>0</v>
      </c>
      <c r="O40" s="36">
        <f>SCI!P6/SCI!P14</f>
        <v>45.899886214594062</v>
      </c>
      <c r="P40" s="36">
        <f>SCI!Q6/SCI!Q14</f>
        <v>31.046026034720601</v>
      </c>
      <c r="Q40" s="36">
        <f>SCI!R6/SCI!R14</f>
        <v>33.969279997920289</v>
      </c>
      <c r="R40" s="36">
        <f>SCI!S6/SCI!S14</f>
        <v>37.068607704947595</v>
      </c>
      <c r="S40" s="36">
        <f>SCI!T6/SCI!T14</f>
        <v>39.187809234628666</v>
      </c>
      <c r="T40" s="36">
        <f>SCI!U6/SCI!U14</f>
        <v>41.154213330191638</v>
      </c>
      <c r="U40" s="36">
        <f>SCI!V6/SCI!V14</f>
        <v>38.787475464754905</v>
      </c>
      <c r="V40" s="36">
        <f>SCI!W6/SCI!W14</f>
        <v>32.342386004458824</v>
      </c>
      <c r="W40" s="36">
        <f>SCI!X6/SCI!X14</f>
        <v>46.400718501244704</v>
      </c>
      <c r="X40" s="36">
        <f>SCI!Y6/SCI!Y14</f>
        <v>44.571456641384678</v>
      </c>
      <c r="Y40" s="36">
        <f>SCI!Z6/SCI!Z14</f>
        <v>45.54382889315707</v>
      </c>
      <c r="Z40" s="36">
        <f>SCI!AA6/SCI!AA14</f>
        <v>33.964836934530247</v>
      </c>
      <c r="AA40" s="36">
        <f>SCI!AB6/SCI!AB14</f>
        <v>2.659730416218359</v>
      </c>
      <c r="AB40" s="36">
        <f>SCI!AC6/SCI!AC14</f>
        <v>15.017822203214966</v>
      </c>
      <c r="AC40" s="36">
        <f>SCI!AD6/SCI!AD14</f>
        <v>25.904664150098569</v>
      </c>
      <c r="AD40" s="36">
        <f>SCI!AE6/SCI!AE14</f>
        <v>26.042543352114688</v>
      </c>
      <c r="AE40" s="36">
        <f>SCI!AF6/SCI!AF14</f>
        <v>30.184630389060441</v>
      </c>
      <c r="AF40" s="36">
        <f>SCI!AG6/SCI!AG14</f>
        <v>35.184635199796261</v>
      </c>
      <c r="AG40" s="36">
        <f>SCI!AH6/SCI!AH14</f>
        <v>32.775409926551681</v>
      </c>
      <c r="AH40" s="36">
        <f>SCI!AI6/SCI!AI14</f>
        <v>33.309119916688118</v>
      </c>
      <c r="AI40" s="36">
        <f>SCI!AJ6/SCI!AJ14</f>
        <v>36.395226908523199</v>
      </c>
      <c r="AJ40" s="36">
        <f>SCI!AK6/SCI!AK14</f>
        <v>34.543621779833316</v>
      </c>
      <c r="AK40" s="36">
        <f>SCI!AL6/SCI!AL14</f>
        <v>36.57432978997997</v>
      </c>
      <c r="AL40" s="36">
        <f>SCI!AM6/SCI!AM14</f>
        <v>37.242456262336368</v>
      </c>
      <c r="AM40" s="36">
        <f>SCI!AN6/SCI!AN14</f>
        <v>44.33859811610693</v>
      </c>
      <c r="AN40" s="36">
        <f>SCI!AO6/SCI!AO14</f>
        <v>3.2979185355646643</v>
      </c>
      <c r="AO40" s="36">
        <f>SCI!AP6/SCI!AP14</f>
        <v>29.667086640171224</v>
      </c>
      <c r="AP40" s="36">
        <f>SCI!AQ6/SCI!AQ14</f>
        <v>46.64246752168259</v>
      </c>
      <c r="AQ40" s="36">
        <f>SCI!AR6/SCI!AR14</f>
        <v>44.351854615653608</v>
      </c>
      <c r="AR40" s="36">
        <f>SCI!AS6/SCI!AS14</f>
        <v>1.7564544529233148</v>
      </c>
      <c r="AS40" s="36">
        <f>SCI!AT6/SCI!AT14</f>
        <v>2.2560086120254903</v>
      </c>
      <c r="AT40" s="36">
        <f>SCI!AU6/SCI!AU14</f>
        <v>43.388016875402293</v>
      </c>
      <c r="AU40" s="36">
        <f>SCI!AV6/SCI!AV14</f>
        <v>39.749987534614696</v>
      </c>
      <c r="AV40" s="36">
        <f>SCI!AW6/SCI!AW14</f>
        <v>42.061003879592015</v>
      </c>
      <c r="AW40" s="36">
        <f>SCI!AX6/SCI!AX14</f>
        <v>43.399726662879054</v>
      </c>
      <c r="AX40" s="36" t="e">
        <f>SCI!AY6/SCI!AY14</f>
        <v>#DIV/0!</v>
      </c>
      <c r="AY40" s="36" t="e">
        <f>SCI!AZ6/SCI!AZ14</f>
        <v>#DIV/0!</v>
      </c>
      <c r="AZ40" s="36" t="e">
        <f>SCI!BA6/SCI!BA14</f>
        <v>#DIV/0!</v>
      </c>
    </row>
    <row r="41" spans="1:52">
      <c r="A41" s="28" t="s">
        <v>127</v>
      </c>
      <c r="B41" s="29">
        <f>'[1]Income Statement'!C8</f>
        <v>0</v>
      </c>
      <c r="C41" s="29">
        <f>SCI!D8</f>
        <v>93917.85</v>
      </c>
      <c r="D41" s="29">
        <f>SCI!E8</f>
        <v>235212.7</v>
      </c>
      <c r="E41" s="29">
        <f>SCI!F8</f>
        <v>373017</v>
      </c>
      <c r="F41" s="29">
        <f>SCI!G8</f>
        <v>373017</v>
      </c>
      <c r="G41" s="29">
        <f>SCI!H8</f>
        <v>319788.05</v>
      </c>
      <c r="H41" s="29">
        <f>SCI!I8</f>
        <v>410116.75</v>
      </c>
      <c r="I41" s="29">
        <f>SCI!J8</f>
        <v>534966.05000000005</v>
      </c>
      <c r="J41" s="29">
        <f>SCI!K8</f>
        <v>561267.30000000005</v>
      </c>
      <c r="K41" s="29">
        <f>SCI!L8</f>
        <v>645375.85</v>
      </c>
      <c r="L41" s="29">
        <f>SCI!M8</f>
        <v>663458.05000000005</v>
      </c>
      <c r="M41" s="29">
        <f>SCI!N8</f>
        <v>9385105.0500000007</v>
      </c>
      <c r="N41" s="29">
        <f>SCI!O8</f>
        <v>25961510.43</v>
      </c>
      <c r="O41" s="29">
        <f>SCI!P8</f>
        <v>141560</v>
      </c>
      <c r="P41" s="29">
        <f>SCI!Q8</f>
        <v>3114134</v>
      </c>
      <c r="Q41" s="29">
        <f>SCI!R8</f>
        <v>4672416</v>
      </c>
      <c r="R41" s="29">
        <f>SCI!S8</f>
        <v>6087613.3700000001</v>
      </c>
      <c r="S41" s="29">
        <f>SCI!T8</f>
        <v>7351563.3700000001</v>
      </c>
      <c r="T41" s="29">
        <f>SCI!U8</f>
        <v>8564480.1600000001</v>
      </c>
      <c r="U41" s="29">
        <f>SCI!V8</f>
        <v>9936850.709999999</v>
      </c>
      <c r="V41" s="29">
        <f>SCI!W8</f>
        <v>11261474.99</v>
      </c>
      <c r="W41" s="29">
        <f>SCI!X8</f>
        <v>12727433.85</v>
      </c>
      <c r="X41" s="29">
        <f>SCI!Y8</f>
        <v>14114448.959999999</v>
      </c>
      <c r="Y41" s="29">
        <f>SCI!Z8</f>
        <v>16141466.24</v>
      </c>
      <c r="Z41" s="29">
        <f>SCI!AA8</f>
        <v>24760932.559999999</v>
      </c>
      <c r="AA41" s="29">
        <f>SCI!AB8</f>
        <v>24068747</v>
      </c>
      <c r="AB41" s="29">
        <f>SCI!AC8</f>
        <v>1315516.28</v>
      </c>
      <c r="AC41" s="29">
        <f>SCI!AD8</f>
        <v>3000005.21</v>
      </c>
      <c r="AD41" s="29">
        <f>SCI!AE8</f>
        <v>4427374.97</v>
      </c>
      <c r="AE41" s="29">
        <f>SCI!AF8</f>
        <v>5548123.5499999998</v>
      </c>
      <c r="AF41" s="29">
        <f>SCI!AG8</f>
        <v>6598907.4899999993</v>
      </c>
      <c r="AG41" s="29">
        <f>SCI!AH8</f>
        <v>8168730.71</v>
      </c>
      <c r="AH41" s="29">
        <f>SCI!AI8</f>
        <v>8513008.1999999993</v>
      </c>
      <c r="AI41" s="29">
        <f>SCI!AJ8</f>
        <v>9480221.4000000004</v>
      </c>
      <c r="AJ41" s="29">
        <f>SCI!AK8</f>
        <v>10556637.98</v>
      </c>
      <c r="AK41" s="29">
        <f>SCI!AL8</f>
        <v>11600301.869999999</v>
      </c>
      <c r="AL41" s="29">
        <f>SCI!AM8</f>
        <v>12735814.390000001</v>
      </c>
      <c r="AM41" s="29">
        <f>SCI!AN8</f>
        <v>21678638.510000002</v>
      </c>
      <c r="AN41" s="29">
        <f>SCI!AO8</f>
        <v>23647924</v>
      </c>
      <c r="AO41" s="29">
        <f>SCI!AP8</f>
        <v>1234155.43</v>
      </c>
      <c r="AP41" s="29">
        <f>SCI!AQ8</f>
        <v>2896838.81</v>
      </c>
      <c r="AQ41" s="29">
        <f>SCI!AR8</f>
        <v>4564514.42</v>
      </c>
      <c r="AR41" s="29">
        <f>SCI!AS8</f>
        <v>10017516.549999999</v>
      </c>
      <c r="AS41" s="29">
        <f>SCI!AT8</f>
        <v>10944797.050000001</v>
      </c>
      <c r="AT41" s="29">
        <f>SCI!AU8</f>
        <v>8472450.2400000002</v>
      </c>
      <c r="AU41" s="29">
        <f>SCI!AV8</f>
        <v>9965261.1899999995</v>
      </c>
      <c r="AV41" s="29">
        <f>SCI!AW8</f>
        <v>11454224.689999999</v>
      </c>
      <c r="AW41" s="29">
        <f>SCI!AX8</f>
        <v>41013.75</v>
      </c>
      <c r="AX41" s="29">
        <f>SCI!AY8</f>
        <v>0</v>
      </c>
      <c r="AY41" s="29">
        <f>SCI!AZ8</f>
        <v>0</v>
      </c>
      <c r="AZ41" s="29">
        <f>SCI!BA8</f>
        <v>0</v>
      </c>
    </row>
    <row r="42" spans="1:52">
      <c r="A42" s="28" t="s">
        <v>128</v>
      </c>
      <c r="B42" s="29">
        <f>'[1]Income Statement'!C7</f>
        <v>0</v>
      </c>
      <c r="C42" s="29">
        <f>SCI!D7</f>
        <v>700304.2</v>
      </c>
      <c r="D42" s="29">
        <f>SCI!E7</f>
        <v>1400307</v>
      </c>
      <c r="E42" s="29">
        <f>SCI!F7</f>
        <v>1895033</v>
      </c>
      <c r="F42" s="29">
        <f>SCI!G7</f>
        <v>2255920.58</v>
      </c>
      <c r="G42" s="29">
        <f>SCI!H7</f>
        <v>2810109.08</v>
      </c>
      <c r="H42" s="29">
        <f>SCI!I7</f>
        <v>3292148.08</v>
      </c>
      <c r="I42" s="29">
        <f>SCI!J7</f>
        <v>4549071.38</v>
      </c>
      <c r="J42" s="29">
        <f>SCI!K7</f>
        <v>5205436.9800000004</v>
      </c>
      <c r="K42" s="29">
        <f>SCI!L7</f>
        <v>5941627.3799999999</v>
      </c>
      <c r="L42" s="29">
        <f>SCI!M7</f>
        <v>6524759.7800000003</v>
      </c>
      <c r="M42" s="29">
        <f>SCI!N7</f>
        <v>7433229.9800000004</v>
      </c>
      <c r="N42" s="29">
        <f>SCI!O7</f>
        <v>0</v>
      </c>
      <c r="O42" s="29">
        <f>SCI!P7</f>
        <v>2307065</v>
      </c>
      <c r="P42" s="29">
        <f>SCI!Q7</f>
        <v>1293709.8</v>
      </c>
      <c r="Q42" s="29">
        <f>SCI!R7</f>
        <v>2037222.8</v>
      </c>
      <c r="R42" s="29">
        <f>SCI!S7</f>
        <v>2650298</v>
      </c>
      <c r="S42" s="29">
        <f>SCI!T7</f>
        <v>3312469.8</v>
      </c>
      <c r="T42" s="29">
        <f>SCI!U7</f>
        <v>4020793.6</v>
      </c>
      <c r="U42" s="29">
        <f>SCI!V7</f>
        <v>4844352.4000000004</v>
      </c>
      <c r="V42" s="29">
        <f>SCI!W7</f>
        <v>5525349.7999999998</v>
      </c>
      <c r="W42" s="29">
        <f>SCI!X7</f>
        <v>6223663.2000000002</v>
      </c>
      <c r="X42" s="29">
        <f>SCI!Y7</f>
        <v>6994051.5999999996</v>
      </c>
      <c r="Y42" s="29">
        <f>SCI!Z7</f>
        <v>7692927.2999999998</v>
      </c>
      <c r="Z42" s="29">
        <f>SCI!AA7</f>
        <v>8303001.5999999996</v>
      </c>
      <c r="AA42" s="29">
        <f>SCI!AB7</f>
        <v>0</v>
      </c>
      <c r="AB42" s="29">
        <f>SCI!AC7</f>
        <v>654828.80000000005</v>
      </c>
      <c r="AC42" s="29">
        <f>SCI!AD7</f>
        <v>1274727.8</v>
      </c>
      <c r="AD42" s="29">
        <f>SCI!AE7</f>
        <v>2148373.9</v>
      </c>
      <c r="AE42" s="29">
        <f>SCI!AF7</f>
        <v>2970183.7</v>
      </c>
      <c r="AF42" s="29">
        <f>SCI!AG7</f>
        <v>3831749.9</v>
      </c>
      <c r="AG42" s="29">
        <f>SCI!AH7</f>
        <v>4372497.3</v>
      </c>
      <c r="AH42" s="29">
        <f>SCI!AI7</f>
        <v>4956143.0999999996</v>
      </c>
      <c r="AI42" s="29">
        <f>SCI!AJ7</f>
        <v>5362196.0999999996</v>
      </c>
      <c r="AJ42" s="29">
        <f>SCI!AK7</f>
        <v>5915984.0999999996</v>
      </c>
      <c r="AK42" s="29">
        <f>SCI!AL7</f>
        <v>6489119.0999999996</v>
      </c>
      <c r="AL42" s="29">
        <f>SCI!AM7</f>
        <v>7563091.5</v>
      </c>
      <c r="AM42" s="29">
        <f>SCI!AN7</f>
        <v>0</v>
      </c>
      <c r="AN42" s="29">
        <f>SCI!AO7</f>
        <v>0</v>
      </c>
      <c r="AO42" s="29">
        <f>SCI!AP7</f>
        <v>802480.4</v>
      </c>
      <c r="AP42" s="29">
        <f>SCI!AQ7</f>
        <v>1476724.4</v>
      </c>
      <c r="AQ42" s="29">
        <f>SCI!AR7</f>
        <v>2196337.4</v>
      </c>
      <c r="AR42" s="29">
        <f>SCI!AS7</f>
        <v>468600</v>
      </c>
      <c r="AS42" s="29">
        <f>SCI!AT7</f>
        <v>620400</v>
      </c>
      <c r="AT42" s="29">
        <f>SCI!AU7</f>
        <v>5216691.4000000004</v>
      </c>
      <c r="AU42" s="29">
        <f>SCI!AV7</f>
        <v>6089508.4000000004</v>
      </c>
      <c r="AV42" s="29">
        <f>SCI!AW7</f>
        <v>7278000.4000000004</v>
      </c>
      <c r="AW42" s="29">
        <f>SCI!AX7</f>
        <v>8205063.2000000002</v>
      </c>
      <c r="AX42" s="29">
        <f>SCI!AY7</f>
        <v>0</v>
      </c>
      <c r="AY42" s="29">
        <f>SCI!AZ7</f>
        <v>0</v>
      </c>
      <c r="AZ42" s="29">
        <f>SCI!BA7</f>
        <v>0</v>
      </c>
    </row>
    <row r="43" spans="1:52">
      <c r="A43" s="28"/>
      <c r="B43" s="29"/>
      <c r="C43" s="29"/>
      <c r="D43" s="29"/>
      <c r="E43" s="29"/>
      <c r="F43" s="29"/>
      <c r="G43" s="29"/>
      <c r="H43" s="29"/>
    </row>
    <row r="44" spans="1:52">
      <c r="A44" s="30" t="s">
        <v>129</v>
      </c>
      <c r="B44" s="35">
        <f t="shared" ref="B44:H44" si="43">B45+B46+B47+B48</f>
        <v>0</v>
      </c>
      <c r="C44" s="35">
        <f t="shared" si="43"/>
        <v>4873027.8899999997</v>
      </c>
      <c r="D44" s="35">
        <f t="shared" si="43"/>
        <v>5377412.7800000003</v>
      </c>
      <c r="E44" s="35">
        <f t="shared" si="43"/>
        <v>9649370</v>
      </c>
      <c r="F44" s="35">
        <f t="shared" si="43"/>
        <v>11196647.76</v>
      </c>
      <c r="G44" s="35">
        <f t="shared" si="43"/>
        <v>10649721.739999998</v>
      </c>
      <c r="H44" s="35">
        <f t="shared" si="43"/>
        <v>8270000.3399999999</v>
      </c>
    </row>
    <row r="45" spans="1:52">
      <c r="A45" s="28" t="s">
        <v>130</v>
      </c>
      <c r="B45" s="29">
        <f>'[1]Income Statement'!C14</f>
        <v>0</v>
      </c>
      <c r="C45" s="29">
        <f>SCI!D14</f>
        <v>233117</v>
      </c>
      <c r="D45" s="29">
        <f>SCI!E14</f>
        <v>281033</v>
      </c>
      <c r="E45" s="29">
        <f>SCI!F14</f>
        <v>373017</v>
      </c>
      <c r="F45" s="29">
        <f>SCI!G14</f>
        <v>399431</v>
      </c>
      <c r="G45" s="29">
        <f>SCI!H14</f>
        <v>462351.29</v>
      </c>
      <c r="H45" s="29">
        <f>SCI!I14</f>
        <v>616370.23</v>
      </c>
      <c r="I45" s="29">
        <f>SCI!J14</f>
        <v>829573.23</v>
      </c>
      <c r="J45" s="29">
        <f>SCI!K14</f>
        <v>897398.23</v>
      </c>
      <c r="K45" s="29">
        <f>SCI!L14</f>
        <v>957370.23</v>
      </c>
      <c r="L45" s="29">
        <f>SCI!M14</f>
        <v>1055499.8899999999</v>
      </c>
      <c r="M45" s="29">
        <f>SCI!N14</f>
        <v>1457284.94</v>
      </c>
      <c r="N45" s="29">
        <f>SCI!O14</f>
        <v>21789408.940000001</v>
      </c>
      <c r="O45" s="29">
        <f>SCI!P14</f>
        <v>115129</v>
      </c>
      <c r="P45" s="29">
        <f>SCI!Q14</f>
        <v>344582.15</v>
      </c>
      <c r="Q45" s="29">
        <f>SCI!R14</f>
        <v>476988.9</v>
      </c>
      <c r="R45" s="29">
        <f>SCI!S14</f>
        <v>586938.44999999995</v>
      </c>
      <c r="S45" s="29">
        <f>SCI!T14</f>
        <v>692728.45</v>
      </c>
      <c r="T45" s="29">
        <f>SCI!U14</f>
        <v>792352.45</v>
      </c>
      <c r="U45" s="29">
        <f>SCI!V14</f>
        <v>985597.45</v>
      </c>
      <c r="V45" s="29">
        <f>SCI!W14</f>
        <v>1360067.45</v>
      </c>
      <c r="W45" s="29">
        <f>SCI!X14</f>
        <v>1077910.45</v>
      </c>
      <c r="X45" s="29">
        <f>SCI!Y14</f>
        <v>1255129.45</v>
      </c>
      <c r="Y45" s="29">
        <f>SCI!Z14</f>
        <v>1361156.55</v>
      </c>
      <c r="Z45" s="29">
        <f>SCI!AA14</f>
        <v>2012018.55</v>
      </c>
      <c r="AA45" s="29">
        <f>SCI!AB14</f>
        <v>29077862</v>
      </c>
      <c r="AB45" s="29">
        <f>SCI!AC14</f>
        <v>413877</v>
      </c>
      <c r="AC45" s="29">
        <f>SCI!AD14</f>
        <v>482403</v>
      </c>
      <c r="AD45" s="29">
        <f>SCI!AE14</f>
        <v>712941</v>
      </c>
      <c r="AE45" s="29">
        <f>SCI!AF14</f>
        <v>777441.41</v>
      </c>
      <c r="AF45" s="29">
        <f>SCI!AG14</f>
        <v>838502.41</v>
      </c>
      <c r="AG45" s="29">
        <f>SCI!AH14</f>
        <v>1055682.4099999999</v>
      </c>
      <c r="AH45" s="29">
        <f>SCI!AI14</f>
        <v>1223585.4099999999</v>
      </c>
      <c r="AI45" s="29">
        <f>SCI!AJ14</f>
        <v>1299215.4099999999</v>
      </c>
      <c r="AJ45" s="29">
        <f>SCI!AK14</f>
        <v>1553727.41</v>
      </c>
      <c r="AK45" s="29">
        <f>SCI!AL14</f>
        <v>1647820.41</v>
      </c>
      <c r="AL45" s="29">
        <f>SCI!AM14</f>
        <v>1792246.51</v>
      </c>
      <c r="AM45" s="29">
        <f>SCI!AN14</f>
        <v>1989967.51</v>
      </c>
      <c r="AN45" s="29">
        <f>SCI!AO14</f>
        <v>26753957</v>
      </c>
      <c r="AO45" s="29">
        <f>SCI!AP14</f>
        <v>238903.96</v>
      </c>
      <c r="AP45" s="29">
        <f>SCI!AQ14</f>
        <v>308631.28999999998</v>
      </c>
      <c r="AQ45" s="29">
        <f>SCI!AR14</f>
        <v>487921.58</v>
      </c>
      <c r="AR45" s="29">
        <f>SCI!AS14</f>
        <v>64479144.079999998</v>
      </c>
      <c r="AS45" s="29">
        <f>SCI!AT14</f>
        <v>65161990.130000003</v>
      </c>
      <c r="AT45" s="29">
        <f>SCI!AU14</f>
        <v>1013484.58</v>
      </c>
      <c r="AU45" s="29">
        <f>SCI!AV14</f>
        <v>1316846.58</v>
      </c>
      <c r="AV45" s="29">
        <f>SCI!AW14</f>
        <v>1415772.58</v>
      </c>
      <c r="AW45" s="29">
        <f>SCI!AX14</f>
        <v>1572212.36</v>
      </c>
      <c r="AX45" s="29">
        <f>SCI!AY14</f>
        <v>0</v>
      </c>
      <c r="AY45" s="29">
        <f>SCI!AZ14</f>
        <v>0</v>
      </c>
      <c r="AZ45" s="29">
        <f>SCI!BA14</f>
        <v>0</v>
      </c>
    </row>
    <row r="46" spans="1:52">
      <c r="A46" s="28" t="s">
        <v>131</v>
      </c>
      <c r="B46" s="29">
        <f>'[1]Income Statement'!C16</f>
        <v>0</v>
      </c>
      <c r="C46" s="29">
        <f>SCI!D16</f>
        <v>0</v>
      </c>
      <c r="D46" s="29">
        <f>SCI!E16</f>
        <v>0</v>
      </c>
      <c r="E46" s="29">
        <f>SCI!F16</f>
        <v>0</v>
      </c>
      <c r="F46" s="29">
        <f>SCI!G16</f>
        <v>0</v>
      </c>
      <c r="G46" s="29">
        <f>SCI!H16</f>
        <v>0</v>
      </c>
      <c r="H46" s="29">
        <f>SCI!I16</f>
        <v>0</v>
      </c>
      <c r="I46" s="29">
        <f>SCI!J16</f>
        <v>0</v>
      </c>
      <c r="J46" s="29">
        <f>SCI!K16</f>
        <v>0</v>
      </c>
      <c r="K46" s="29">
        <f>SCI!L16</f>
        <v>0</v>
      </c>
      <c r="L46" s="29">
        <f>SCI!M16</f>
        <v>0</v>
      </c>
      <c r="M46" s="29">
        <f>SCI!N16</f>
        <v>0</v>
      </c>
      <c r="N46" s="29">
        <f>SCI!O16</f>
        <v>0</v>
      </c>
      <c r="O46" s="29">
        <f>SCI!P16</f>
        <v>0</v>
      </c>
      <c r="P46" s="29">
        <f>SCI!Q16</f>
        <v>0</v>
      </c>
      <c r="Q46" s="29">
        <f>SCI!R16</f>
        <v>0</v>
      </c>
      <c r="R46" s="29">
        <f>SCI!S16</f>
        <v>0</v>
      </c>
      <c r="S46" s="29">
        <f>SCI!T16</f>
        <v>0</v>
      </c>
      <c r="T46" s="29">
        <f>SCI!U16</f>
        <v>0</v>
      </c>
      <c r="U46" s="29">
        <f>SCI!V16</f>
        <v>0</v>
      </c>
      <c r="V46" s="29">
        <f>SCI!W16</f>
        <v>0</v>
      </c>
      <c r="W46" s="29">
        <f>SCI!X16</f>
        <v>0</v>
      </c>
      <c r="X46" s="29">
        <f>SCI!Y16</f>
        <v>0</v>
      </c>
      <c r="Y46" s="29">
        <f>SCI!Z16</f>
        <v>0</v>
      </c>
      <c r="Z46" s="29">
        <f>SCI!AA16</f>
        <v>0</v>
      </c>
      <c r="AA46" s="29">
        <f>SCI!AB16</f>
        <v>0</v>
      </c>
      <c r="AB46" s="29">
        <f>SCI!AC16</f>
        <v>0</v>
      </c>
      <c r="AC46" s="29">
        <f>SCI!AD16</f>
        <v>0</v>
      </c>
      <c r="AD46" s="29">
        <f>SCI!AE16</f>
        <v>0</v>
      </c>
      <c r="AE46" s="29">
        <f>SCI!AF16</f>
        <v>0</v>
      </c>
      <c r="AF46" s="29">
        <f>SCI!AG16</f>
        <v>0</v>
      </c>
      <c r="AG46" s="29">
        <f>SCI!AH16</f>
        <v>0</v>
      </c>
      <c r="AH46" s="29">
        <f>SCI!AI16</f>
        <v>0</v>
      </c>
      <c r="AI46" s="29">
        <f>SCI!AJ16</f>
        <v>0</v>
      </c>
      <c r="AJ46" s="29">
        <f>SCI!AK16</f>
        <v>0</v>
      </c>
      <c r="AK46" s="29">
        <f>SCI!AL16</f>
        <v>0</v>
      </c>
      <c r="AL46" s="29">
        <f>SCI!AM16</f>
        <v>0</v>
      </c>
      <c r="AM46" s="29">
        <f>SCI!AN16</f>
        <v>0</v>
      </c>
      <c r="AN46" s="29">
        <f>SCI!AO16</f>
        <v>0</v>
      </c>
      <c r="AO46" s="29">
        <f>SCI!AP16</f>
        <v>0</v>
      </c>
      <c r="AP46" s="29">
        <f>SCI!AQ16</f>
        <v>0</v>
      </c>
      <c r="AQ46" s="29">
        <f>SCI!AR16</f>
        <v>0</v>
      </c>
      <c r="AR46" s="29">
        <f>SCI!AS16</f>
        <v>0</v>
      </c>
      <c r="AS46" s="29">
        <f>SCI!AT16</f>
        <v>0</v>
      </c>
      <c r="AT46" s="29">
        <f>SCI!AU16</f>
        <v>0</v>
      </c>
      <c r="AU46" s="29">
        <f>SCI!AV16</f>
        <v>0</v>
      </c>
      <c r="AV46" s="29">
        <f>SCI!AW16</f>
        <v>0</v>
      </c>
      <c r="AW46" s="29">
        <f>SCI!AX16</f>
        <v>0</v>
      </c>
      <c r="AX46" s="29">
        <f>SCI!AY16</f>
        <v>0</v>
      </c>
      <c r="AY46" s="29">
        <f>SCI!AZ16</f>
        <v>0</v>
      </c>
      <c r="AZ46" s="29">
        <f>SCI!BA16</f>
        <v>0</v>
      </c>
    </row>
    <row r="47" spans="1:52">
      <c r="A47" s="28" t="s">
        <v>132</v>
      </c>
      <c r="B47" s="29">
        <f>'[1]Income Statement'!C15</f>
        <v>0</v>
      </c>
      <c r="C47" s="29">
        <f>SCI!D15</f>
        <v>0</v>
      </c>
      <c r="D47" s="29">
        <f>SCI!E15</f>
        <v>0</v>
      </c>
      <c r="E47" s="29">
        <f>SCI!F15</f>
        <v>0</v>
      </c>
      <c r="F47" s="29">
        <f>SCI!G15</f>
        <v>0</v>
      </c>
      <c r="G47" s="29">
        <f>SCI!H15</f>
        <v>0</v>
      </c>
      <c r="H47" s="29">
        <f>SCI!I15</f>
        <v>0</v>
      </c>
      <c r="I47" s="29">
        <f>SCI!J15</f>
        <v>0</v>
      </c>
      <c r="J47" s="29">
        <f>SCI!K15</f>
        <v>0</v>
      </c>
      <c r="K47" s="29">
        <f>SCI!L15</f>
        <v>0</v>
      </c>
      <c r="L47" s="29">
        <f>SCI!M15</f>
        <v>0</v>
      </c>
      <c r="M47" s="29">
        <f>SCI!N15</f>
        <v>0</v>
      </c>
      <c r="N47" s="29">
        <f>SCI!O15</f>
        <v>0</v>
      </c>
      <c r="O47" s="29">
        <f>SCI!P15</f>
        <v>0</v>
      </c>
      <c r="P47" s="29">
        <f>SCI!Q15</f>
        <v>0</v>
      </c>
      <c r="Q47" s="29">
        <f>SCI!R15</f>
        <v>0</v>
      </c>
      <c r="R47" s="29">
        <f>SCI!S15</f>
        <v>0</v>
      </c>
      <c r="S47" s="29">
        <f>SCI!T15</f>
        <v>0</v>
      </c>
      <c r="T47" s="29">
        <f>SCI!U15</f>
        <v>0</v>
      </c>
      <c r="U47" s="29">
        <f>SCI!V15</f>
        <v>0</v>
      </c>
      <c r="V47" s="29">
        <f>SCI!W15</f>
        <v>0</v>
      </c>
      <c r="W47" s="29">
        <f>SCI!X15</f>
        <v>0</v>
      </c>
      <c r="X47" s="29">
        <f>SCI!Y15</f>
        <v>0</v>
      </c>
      <c r="Y47" s="29">
        <f>SCI!Z15</f>
        <v>0</v>
      </c>
      <c r="Z47" s="29">
        <f>SCI!AA15</f>
        <v>0</v>
      </c>
      <c r="AA47" s="29">
        <f>SCI!AB15</f>
        <v>0</v>
      </c>
      <c r="AB47" s="29">
        <f>SCI!AC15</f>
        <v>0</v>
      </c>
      <c r="AC47" s="29">
        <f>SCI!AD15</f>
        <v>0</v>
      </c>
      <c r="AD47" s="29">
        <f>SCI!AE15</f>
        <v>0</v>
      </c>
      <c r="AE47" s="29">
        <f>SCI!AF15</f>
        <v>0</v>
      </c>
      <c r="AF47" s="29">
        <f>SCI!AG15</f>
        <v>0</v>
      </c>
      <c r="AG47" s="29">
        <f>SCI!AH15</f>
        <v>0</v>
      </c>
      <c r="AH47" s="29">
        <f>SCI!AI15</f>
        <v>0</v>
      </c>
      <c r="AI47" s="29">
        <f>SCI!AJ15</f>
        <v>0</v>
      </c>
      <c r="AJ47" s="29">
        <f>SCI!AK15</f>
        <v>0</v>
      </c>
      <c r="AK47" s="29">
        <f>SCI!AL15</f>
        <v>0</v>
      </c>
      <c r="AL47" s="29">
        <f>SCI!AM15</f>
        <v>0</v>
      </c>
      <c r="AM47" s="29">
        <f>SCI!AN15</f>
        <v>0</v>
      </c>
      <c r="AN47" s="29">
        <f>SCI!AO15</f>
        <v>0</v>
      </c>
      <c r="AO47" s="29">
        <f>SCI!AP15</f>
        <v>0</v>
      </c>
      <c r="AP47" s="29">
        <f>SCI!AQ15</f>
        <v>0</v>
      </c>
      <c r="AQ47" s="29">
        <f>SCI!AR15</f>
        <v>0</v>
      </c>
      <c r="AR47" s="29">
        <f>SCI!AS15</f>
        <v>0</v>
      </c>
      <c r="AS47" s="29">
        <f>SCI!AT15</f>
        <v>0</v>
      </c>
      <c r="AT47" s="29">
        <f>SCI!AU15</f>
        <v>0</v>
      </c>
      <c r="AU47" s="29">
        <f>SCI!AV15</f>
        <v>0</v>
      </c>
      <c r="AV47" s="29">
        <f>SCI!AW15</f>
        <v>0</v>
      </c>
      <c r="AW47" s="29">
        <f>SCI!AX15</f>
        <v>0</v>
      </c>
      <c r="AX47" s="29">
        <f>SCI!AY15</f>
        <v>0</v>
      </c>
      <c r="AY47" s="29">
        <f>SCI!AZ15</f>
        <v>0</v>
      </c>
      <c r="AZ47" s="29">
        <f>SCI!BA15</f>
        <v>0</v>
      </c>
    </row>
    <row r="48" spans="1:52" ht="13.9" thickBot="1">
      <c r="A48" s="37" t="s">
        <v>133</v>
      </c>
      <c r="B48" s="29">
        <f>'[1]Income Statement'!C30</f>
        <v>0</v>
      </c>
      <c r="C48" s="29">
        <f>SCI!D30</f>
        <v>4639910.8899999997</v>
      </c>
      <c r="D48" s="29">
        <f>SCI!E30</f>
        <v>5096379.78</v>
      </c>
      <c r="E48" s="29">
        <f>SCI!F30</f>
        <v>9276353</v>
      </c>
      <c r="F48" s="29">
        <f>SCI!G30</f>
        <v>10797216.76</v>
      </c>
      <c r="G48" s="29">
        <f>SCI!H30</f>
        <v>10187370.449999999</v>
      </c>
      <c r="H48" s="29">
        <f>SCI!I30</f>
        <v>7653630.1100000003</v>
      </c>
      <c r="I48" s="29">
        <f>SCI!J30</f>
        <v>6591011.7300000004</v>
      </c>
      <c r="J48" s="29">
        <f>SCI!K30</f>
        <v>9937114.5800000001</v>
      </c>
      <c r="K48" s="29">
        <f>SCI!L30</f>
        <v>15532429.630000001</v>
      </c>
      <c r="L48" s="29">
        <f>SCI!M30</f>
        <v>20638678.52</v>
      </c>
      <c r="M48" s="29">
        <f>SCI!N30</f>
        <v>46478812.819999993</v>
      </c>
      <c r="N48" s="29">
        <f>SCI!O30</f>
        <v>-53031669.012500003</v>
      </c>
      <c r="O48" s="29">
        <f>SCI!P30</f>
        <v>2693777</v>
      </c>
      <c r="P48" s="29">
        <f>SCI!Q30</f>
        <v>3582940.6500000004</v>
      </c>
      <c r="Q48" s="29">
        <f>SCI!R30</f>
        <v>8084210.2000000011</v>
      </c>
      <c r="R48" s="29">
        <f>SCI!S30</f>
        <v>12274190.57</v>
      </c>
      <c r="S48" s="29">
        <f>SCI!T30</f>
        <v>15207710.270000003</v>
      </c>
      <c r="T48" s="29">
        <f>SCI!U30</f>
        <v>18139026.669999998</v>
      </c>
      <c r="U48" s="29">
        <f>SCI!V30</f>
        <v>21544147.269999992</v>
      </c>
      <c r="V48" s="29">
        <f>SCI!W30</f>
        <v>23583098</v>
      </c>
      <c r="W48" s="29">
        <f>SCI!X30</f>
        <v>29076263.859999992</v>
      </c>
      <c r="X48" s="29">
        <f>SCI!Y30</f>
        <v>34339837.769999996</v>
      </c>
      <c r="Y48" s="29">
        <f>SCI!Z30</f>
        <v>40618306.399999999</v>
      </c>
      <c r="Z48" s="29">
        <f>SCI!AA30</f>
        <v>49053270.86999999</v>
      </c>
      <c r="AA48" s="29">
        <f>SCI!AB30</f>
        <v>16716355.189999998</v>
      </c>
      <c r="AB48" s="29">
        <f>SCI!AC30</f>
        <v>1354314.580000001</v>
      </c>
      <c r="AC48" s="29">
        <f>SCI!AD30</f>
        <v>4322405.2100000009</v>
      </c>
      <c r="AD48" s="29">
        <f>SCI!AE30</f>
        <v>6172465.9699999988</v>
      </c>
      <c r="AE48" s="29">
        <f>SCI!AF30</f>
        <v>3013304.75</v>
      </c>
      <c r="AF48" s="29">
        <f>SCI!AG30</f>
        <v>4009745.3899999969</v>
      </c>
      <c r="AG48" s="29">
        <f>SCI!AH30</f>
        <v>4460703.2399999984</v>
      </c>
      <c r="AH48" s="29">
        <f>SCI!AI30</f>
        <v>5166104.9400000013</v>
      </c>
      <c r="AI48" s="29">
        <f>SCI!AJ30</f>
        <v>4117721.2399999946</v>
      </c>
      <c r="AJ48" s="29">
        <f>SCI!AK30</f>
        <v>5488564.6699999943</v>
      </c>
      <c r="AK48" s="29">
        <f>SCI!AL30</f>
        <v>17921149.369999997</v>
      </c>
      <c r="AL48" s="29">
        <f>SCI!AM30</f>
        <v>30279987.640000001</v>
      </c>
      <c r="AM48" s="29">
        <f>SCI!AN30</f>
        <v>47526475.290000007</v>
      </c>
      <c r="AN48" s="29">
        <f>SCI!AO30</f>
        <v>19921978.689999998</v>
      </c>
      <c r="AO48" s="29">
        <f>SCI!AP30</f>
        <v>1995472.870000001</v>
      </c>
      <c r="AP48" s="29">
        <f>SCI!AQ30</f>
        <v>4935781.16</v>
      </c>
      <c r="AQ48" s="29">
        <f>SCI!AR30</f>
        <v>5863309.8399999961</v>
      </c>
      <c r="AR48" s="29">
        <f>SCI!AS30</f>
        <v>5445982.0299999937</v>
      </c>
      <c r="AS48" s="29">
        <f>SCI!AT30</f>
        <v>25696074.700000003</v>
      </c>
      <c r="AT48" s="29">
        <f>SCI!AU30</f>
        <v>12404963.540000003</v>
      </c>
      <c r="AU48" s="29">
        <f>SCI!AV30</f>
        <v>17549630.970000006</v>
      </c>
      <c r="AV48" s="29">
        <f>SCI!AW30</f>
        <v>18885806.709999986</v>
      </c>
      <c r="AW48" s="29">
        <f>SCI!AX30</f>
        <v>15492766.140000001</v>
      </c>
      <c r="AX48" s="29">
        <f>SCI!AY30</f>
        <v>0</v>
      </c>
      <c r="AY48" s="29">
        <f>SCI!AZ30</f>
        <v>0</v>
      </c>
      <c r="AZ48" s="29">
        <f>SCI!BA30</f>
        <v>0</v>
      </c>
    </row>
    <row r="49" spans="1:8">
      <c r="A49" s="38" t="s">
        <v>134</v>
      </c>
      <c r="B49" s="36">
        <f t="shared" ref="B49:H49" si="44">B38-B44</f>
        <v>0</v>
      </c>
      <c r="C49" s="36">
        <f t="shared" si="44"/>
        <v>443343.74000000022</v>
      </c>
      <c r="D49" s="36">
        <f t="shared" si="44"/>
        <v>5466269.7999999998</v>
      </c>
      <c r="E49" s="36">
        <f t="shared" si="44"/>
        <v>6691314</v>
      </c>
      <c r="F49" s="36">
        <f t="shared" si="44"/>
        <v>10249739.200000001</v>
      </c>
      <c r="G49" s="36">
        <f t="shared" si="44"/>
        <v>16054579.77</v>
      </c>
      <c r="H49" s="36">
        <f t="shared" si="44"/>
        <v>23833839.069999997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19"/>
  <sheetViews>
    <sheetView topLeftCell="B1" zoomScale="90" zoomScaleNormal="90" workbookViewId="0">
      <pane xSplit="1" ySplit="3" topLeftCell="C4" activePane="bottomRight" state="frozen"/>
      <selection pane="bottomRight" activeCell="H18" sqref="H18"/>
      <selection pane="bottomLeft" activeCell="B4" sqref="B4"/>
      <selection pane="topRight" activeCell="C1" sqref="C1"/>
    </sheetView>
  </sheetViews>
  <sheetFormatPr defaultRowHeight="14.45"/>
  <cols>
    <col min="2" max="2" width="31.42578125" bestFit="1" customWidth="1"/>
    <col min="3" max="3" width="12.28515625" customWidth="1"/>
    <col min="4" max="4" width="20.7109375" customWidth="1"/>
    <col min="5" max="5" width="12.85546875" customWidth="1"/>
    <col min="6" max="6" width="18.7109375" customWidth="1"/>
    <col min="7" max="7" width="11.7109375" customWidth="1"/>
    <col min="8" max="8" width="23.85546875" customWidth="1"/>
    <col min="9" max="9" width="13.28515625" customWidth="1"/>
    <col min="10" max="10" width="16.85546875" customWidth="1"/>
    <col min="11" max="11" width="12.42578125" bestFit="1" customWidth="1"/>
    <col min="12" max="12" width="18.7109375" customWidth="1"/>
    <col min="13" max="13" width="14.5703125" customWidth="1"/>
    <col min="14" max="14" width="16.42578125" bestFit="1" customWidth="1"/>
    <col min="15" max="15" width="14.42578125" customWidth="1"/>
    <col min="16" max="16" width="19.42578125" customWidth="1"/>
    <col min="17" max="17" width="12.140625" bestFit="1" customWidth="1"/>
    <col min="18" max="18" width="16.42578125" bestFit="1" customWidth="1"/>
    <col min="19" max="19" width="16.28515625" customWidth="1"/>
    <col min="20" max="20" width="18.7109375" customWidth="1"/>
    <col min="21" max="21" width="13.5703125" customWidth="1"/>
    <col min="22" max="22" width="16.42578125" bestFit="1" customWidth="1"/>
  </cols>
  <sheetData>
    <row r="1" spans="2:22" ht="15" thickBot="1"/>
    <row r="2" spans="2:22" ht="15" thickBot="1">
      <c r="B2" s="69"/>
      <c r="C2" s="340" t="s">
        <v>4</v>
      </c>
      <c r="D2" s="341"/>
      <c r="E2" s="341"/>
      <c r="F2" s="342"/>
      <c r="G2" s="337">
        <v>44621</v>
      </c>
      <c r="H2" s="338"/>
      <c r="I2" s="338"/>
      <c r="J2" s="339"/>
      <c r="K2" s="343">
        <v>44713</v>
      </c>
      <c r="L2" s="344"/>
      <c r="M2" s="344"/>
      <c r="N2" s="345"/>
      <c r="O2" s="343">
        <v>44805</v>
      </c>
      <c r="P2" s="344"/>
      <c r="Q2" s="344"/>
      <c r="R2" s="345"/>
      <c r="S2" s="343">
        <v>44896</v>
      </c>
      <c r="T2" s="344"/>
      <c r="U2" s="344"/>
      <c r="V2" s="345"/>
    </row>
    <row r="3" spans="2:22" ht="42">
      <c r="B3" s="175" t="s">
        <v>135</v>
      </c>
      <c r="C3" s="176" t="s">
        <v>136</v>
      </c>
      <c r="D3" s="174" t="s">
        <v>137</v>
      </c>
      <c r="E3" s="173" t="s">
        <v>138</v>
      </c>
      <c r="F3" s="177" t="s">
        <v>139</v>
      </c>
      <c r="G3" s="176" t="s">
        <v>136</v>
      </c>
      <c r="H3" s="174" t="s">
        <v>137</v>
      </c>
      <c r="I3" s="173" t="s">
        <v>138</v>
      </c>
      <c r="J3" s="177" t="s">
        <v>139</v>
      </c>
      <c r="K3" s="191" t="s">
        <v>136</v>
      </c>
      <c r="L3" s="102" t="s">
        <v>137</v>
      </c>
      <c r="M3" s="101" t="s">
        <v>138</v>
      </c>
      <c r="N3" s="192" t="s">
        <v>139</v>
      </c>
      <c r="O3" s="191" t="s">
        <v>136</v>
      </c>
      <c r="P3" s="102" t="s">
        <v>137</v>
      </c>
      <c r="Q3" s="101" t="s">
        <v>138</v>
      </c>
      <c r="R3" s="192" t="s">
        <v>139</v>
      </c>
      <c r="S3" s="191" t="s">
        <v>136</v>
      </c>
      <c r="T3" s="102" t="s">
        <v>137</v>
      </c>
      <c r="U3" s="101" t="s">
        <v>138</v>
      </c>
      <c r="V3" s="192" t="s">
        <v>139</v>
      </c>
    </row>
    <row r="4" spans="2:22">
      <c r="B4" s="99" t="s">
        <v>140</v>
      </c>
      <c r="C4" s="178"/>
      <c r="D4" s="104"/>
      <c r="E4" s="105">
        <v>0.01</v>
      </c>
      <c r="F4" s="179">
        <f>D4*E4</f>
        <v>0</v>
      </c>
      <c r="G4" s="193">
        <v>8972</v>
      </c>
      <c r="H4" s="104">
        <v>416090312.54000002</v>
      </c>
      <c r="I4" s="105">
        <v>0.01</v>
      </c>
      <c r="J4" s="179">
        <f>H4*I4</f>
        <v>4160903.1254000003</v>
      </c>
      <c r="K4" s="193">
        <v>8308</v>
      </c>
      <c r="L4" s="104">
        <v>359411336.62</v>
      </c>
      <c r="M4" s="105">
        <v>0.01</v>
      </c>
      <c r="N4" s="179">
        <f>L4*M4</f>
        <v>3594113.3662</v>
      </c>
      <c r="O4" s="178"/>
      <c r="P4" s="104"/>
      <c r="Q4" s="105">
        <v>0.01</v>
      </c>
      <c r="R4" s="179">
        <f>P4*Q4</f>
        <v>0</v>
      </c>
      <c r="S4" s="178"/>
      <c r="T4" s="104"/>
      <c r="U4" s="105">
        <v>0.01</v>
      </c>
      <c r="V4" s="179">
        <f>T4*U4</f>
        <v>0</v>
      </c>
    </row>
    <row r="5" spans="2:22">
      <c r="B5" s="99" t="s">
        <v>141</v>
      </c>
      <c r="C5" s="178"/>
      <c r="D5" s="104"/>
      <c r="E5" s="105">
        <v>0.05</v>
      </c>
      <c r="F5" s="179">
        <f>D5*E5</f>
        <v>0</v>
      </c>
      <c r="G5" s="193">
        <v>890</v>
      </c>
      <c r="H5" s="104">
        <v>51709049.280000001</v>
      </c>
      <c r="I5" s="105">
        <v>0.05</v>
      </c>
      <c r="J5" s="179">
        <f>H5*I5</f>
        <v>2585452.4640000002</v>
      </c>
      <c r="K5" s="193">
        <v>1654</v>
      </c>
      <c r="L5" s="104">
        <v>100125662.84999999</v>
      </c>
      <c r="M5" s="105">
        <v>0.05</v>
      </c>
      <c r="N5" s="179">
        <f>L5*M5</f>
        <v>5006283.1425000001</v>
      </c>
      <c r="O5" s="178"/>
      <c r="P5" s="104"/>
      <c r="Q5" s="105">
        <v>0.05</v>
      </c>
      <c r="R5" s="179">
        <f>P5*Q5</f>
        <v>0</v>
      </c>
      <c r="S5" s="178"/>
      <c r="T5" s="104"/>
      <c r="U5" s="105">
        <v>0.05</v>
      </c>
      <c r="V5" s="179">
        <f>T5*U5</f>
        <v>0</v>
      </c>
    </row>
    <row r="6" spans="2:22">
      <c r="B6" s="99" t="s">
        <v>142</v>
      </c>
      <c r="C6" s="178"/>
      <c r="D6" s="104"/>
      <c r="E6" s="105">
        <v>0.25</v>
      </c>
      <c r="F6" s="179">
        <f>D6*E6</f>
        <v>0</v>
      </c>
      <c r="G6" s="193">
        <v>275</v>
      </c>
      <c r="H6" s="104">
        <v>18285800.670000002</v>
      </c>
      <c r="I6" s="105">
        <v>0.25</v>
      </c>
      <c r="J6" s="179">
        <f>H6*I6</f>
        <v>4571450.1675000004</v>
      </c>
      <c r="K6" s="193">
        <v>451</v>
      </c>
      <c r="L6" s="104">
        <v>37276455.399999999</v>
      </c>
      <c r="M6" s="105">
        <v>0.25</v>
      </c>
      <c r="N6" s="179">
        <f>L6*M6</f>
        <v>9319113.8499999996</v>
      </c>
      <c r="O6" s="178"/>
      <c r="P6" s="104"/>
      <c r="Q6" s="105">
        <v>0.25</v>
      </c>
      <c r="R6" s="179">
        <f>P6*Q6</f>
        <v>0</v>
      </c>
      <c r="S6" s="178"/>
      <c r="T6" s="104"/>
      <c r="U6" s="105">
        <v>0.25</v>
      </c>
      <c r="V6" s="179">
        <f>T6*U6</f>
        <v>0</v>
      </c>
    </row>
    <row r="7" spans="2:22">
      <c r="B7" s="99" t="s">
        <v>143</v>
      </c>
      <c r="C7" s="178"/>
      <c r="D7" s="104"/>
      <c r="E7" s="105">
        <v>0.5</v>
      </c>
      <c r="F7" s="179">
        <f>D7*E7</f>
        <v>0</v>
      </c>
      <c r="G7" s="193">
        <v>111</v>
      </c>
      <c r="H7" s="104">
        <v>5381298.2199999997</v>
      </c>
      <c r="I7" s="105">
        <v>0.5</v>
      </c>
      <c r="J7" s="179">
        <f>H7*I7</f>
        <v>2690649.11</v>
      </c>
      <c r="K7" s="193">
        <v>165</v>
      </c>
      <c r="L7" s="104">
        <v>9852507.4800000004</v>
      </c>
      <c r="M7" s="105">
        <v>0.5</v>
      </c>
      <c r="N7" s="179">
        <f>L7*M7</f>
        <v>4926253.74</v>
      </c>
      <c r="O7" s="178"/>
      <c r="P7" s="104"/>
      <c r="Q7" s="105">
        <v>0.5</v>
      </c>
      <c r="R7" s="179">
        <f>P7*Q7</f>
        <v>0</v>
      </c>
      <c r="S7" s="178"/>
      <c r="T7" s="104"/>
      <c r="U7" s="105">
        <v>0.5</v>
      </c>
      <c r="V7" s="179">
        <f>T7*U7</f>
        <v>0</v>
      </c>
    </row>
    <row r="8" spans="2:22">
      <c r="B8" s="99" t="s">
        <v>144</v>
      </c>
      <c r="C8" s="178"/>
      <c r="D8" s="104"/>
      <c r="E8" s="105">
        <v>1</v>
      </c>
      <c r="F8" s="179">
        <f>D8*E8</f>
        <v>0</v>
      </c>
      <c r="G8" s="193">
        <v>59</v>
      </c>
      <c r="H8" s="104">
        <v>10363585.08</v>
      </c>
      <c r="I8" s="105">
        <v>1</v>
      </c>
      <c r="J8" s="179">
        <f>H8*I8</f>
        <v>10363585.08</v>
      </c>
      <c r="K8" s="193">
        <v>78</v>
      </c>
      <c r="L8" s="104">
        <v>11800286.939999999</v>
      </c>
      <c r="M8" s="105">
        <v>1</v>
      </c>
      <c r="N8" s="179">
        <f>L8*M8</f>
        <v>11800286.939999999</v>
      </c>
      <c r="O8" s="178"/>
      <c r="P8" s="104"/>
      <c r="Q8" s="105">
        <v>1</v>
      </c>
      <c r="R8" s="179">
        <f>P8*Q8</f>
        <v>0</v>
      </c>
      <c r="S8" s="178"/>
      <c r="T8" s="104"/>
      <c r="U8" s="105">
        <v>1</v>
      </c>
      <c r="V8" s="179">
        <f>T8*U8</f>
        <v>0</v>
      </c>
    </row>
    <row r="9" spans="2:22">
      <c r="B9" s="100" t="s">
        <v>145</v>
      </c>
      <c r="C9" s="180">
        <f>SUM(C4:C8)</f>
        <v>0</v>
      </c>
      <c r="D9" s="106">
        <f>SUM(D4:D8)</f>
        <v>0</v>
      </c>
      <c r="E9" s="106"/>
      <c r="F9" s="181">
        <f>SUM(F4:F8)</f>
        <v>0</v>
      </c>
      <c r="G9" s="194">
        <f>SUM(G4:G8)</f>
        <v>10307</v>
      </c>
      <c r="H9" s="106">
        <f>SUM(H4:H8)</f>
        <v>501830045.79000008</v>
      </c>
      <c r="I9" s="106"/>
      <c r="J9" s="181">
        <f>SUM(J4:J8)</f>
        <v>24372039.946900003</v>
      </c>
      <c r="K9" s="194">
        <f>SUM(K4:K8)</f>
        <v>10656</v>
      </c>
      <c r="L9" s="106">
        <f>SUM(L4:L8)</f>
        <v>518466249.29000002</v>
      </c>
      <c r="M9" s="106"/>
      <c r="N9" s="181">
        <f>SUM(N4:N8)</f>
        <v>34646051.038699999</v>
      </c>
      <c r="O9" s="180">
        <f>SUM(O4:O8)</f>
        <v>0</v>
      </c>
      <c r="P9" s="106">
        <f>SUM(P4:P8)</f>
        <v>0</v>
      </c>
      <c r="Q9" s="106"/>
      <c r="R9" s="181">
        <f>SUM(R4:R8)</f>
        <v>0</v>
      </c>
      <c r="S9" s="180">
        <f>SUM(S4:S8)</f>
        <v>0</v>
      </c>
      <c r="T9" s="106">
        <f>SUM(T4:T8)</f>
        <v>0</v>
      </c>
      <c r="U9" s="106"/>
      <c r="V9" s="181">
        <f>SUM(V4:V8)</f>
        <v>0</v>
      </c>
    </row>
    <row r="10" spans="2:22">
      <c r="B10" s="99" t="s">
        <v>146</v>
      </c>
      <c r="C10" s="182"/>
      <c r="D10" s="103"/>
      <c r="E10" s="103"/>
      <c r="F10" s="183"/>
      <c r="G10" s="197"/>
      <c r="H10" s="103"/>
      <c r="I10" s="103"/>
      <c r="J10" s="183"/>
      <c r="K10" s="182"/>
      <c r="L10" s="103"/>
      <c r="M10" s="103"/>
      <c r="N10" s="183"/>
      <c r="O10" s="182"/>
      <c r="P10" s="103"/>
      <c r="Q10" s="103"/>
      <c r="R10" s="183"/>
      <c r="S10" s="182"/>
      <c r="T10" s="103"/>
      <c r="U10" s="103"/>
      <c r="V10" s="183"/>
    </row>
    <row r="11" spans="2:22">
      <c r="B11" s="99" t="s">
        <v>140</v>
      </c>
      <c r="C11" s="184">
        <v>0</v>
      </c>
      <c r="D11" s="72"/>
      <c r="E11" s="70">
        <v>0.01</v>
      </c>
      <c r="F11" s="185">
        <f>D11*E11</f>
        <v>0</v>
      </c>
      <c r="G11" s="198">
        <v>0</v>
      </c>
      <c r="H11" s="72"/>
      <c r="I11" s="70">
        <v>0.01</v>
      </c>
      <c r="J11" s="185">
        <f>H11*I11</f>
        <v>0</v>
      </c>
      <c r="K11" s="184">
        <v>0</v>
      </c>
      <c r="L11" s="72"/>
      <c r="M11" s="70">
        <v>0.01</v>
      </c>
      <c r="N11" s="185">
        <f>L11*M11</f>
        <v>0</v>
      </c>
      <c r="O11" s="184">
        <v>0</v>
      </c>
      <c r="P11" s="72"/>
      <c r="Q11" s="70">
        <v>0.01</v>
      </c>
      <c r="R11" s="185">
        <f>P11*Q11</f>
        <v>0</v>
      </c>
      <c r="S11" s="184">
        <v>0</v>
      </c>
      <c r="T11" s="72"/>
      <c r="U11" s="70">
        <v>0.01</v>
      </c>
      <c r="V11" s="185">
        <f>T11*U11</f>
        <v>0</v>
      </c>
    </row>
    <row r="12" spans="2:22">
      <c r="B12" s="99" t="s">
        <v>141</v>
      </c>
      <c r="C12" s="184">
        <v>0</v>
      </c>
      <c r="D12" s="73"/>
      <c r="E12" s="70">
        <v>0.05</v>
      </c>
      <c r="F12" s="185">
        <f>D12*E12</f>
        <v>0</v>
      </c>
      <c r="G12" s="198">
        <v>0</v>
      </c>
      <c r="H12" s="73"/>
      <c r="I12" s="70">
        <v>0.05</v>
      </c>
      <c r="J12" s="185">
        <f>H12*I12</f>
        <v>0</v>
      </c>
      <c r="K12" s="184">
        <v>0</v>
      </c>
      <c r="L12" s="73"/>
      <c r="M12" s="70">
        <v>0.05</v>
      </c>
      <c r="N12" s="185">
        <f>L12*M12</f>
        <v>0</v>
      </c>
      <c r="O12" s="184">
        <v>0</v>
      </c>
      <c r="P12" s="73"/>
      <c r="Q12" s="70">
        <v>0.05</v>
      </c>
      <c r="R12" s="185">
        <f>P12*Q12</f>
        <v>0</v>
      </c>
      <c r="S12" s="184">
        <v>0</v>
      </c>
      <c r="T12" s="73"/>
      <c r="U12" s="70">
        <v>0.05</v>
      </c>
      <c r="V12" s="185">
        <f>T12*U12</f>
        <v>0</v>
      </c>
    </row>
    <row r="13" spans="2:22">
      <c r="B13" s="99" t="s">
        <v>142</v>
      </c>
      <c r="C13" s="184">
        <v>0</v>
      </c>
      <c r="D13" s="72"/>
      <c r="E13" s="70">
        <v>0.25</v>
      </c>
      <c r="F13" s="185">
        <f>D13*E13</f>
        <v>0</v>
      </c>
      <c r="G13" s="198">
        <v>0</v>
      </c>
      <c r="H13" s="72"/>
      <c r="I13" s="70">
        <v>0.25</v>
      </c>
      <c r="J13" s="185">
        <f>H13*I13</f>
        <v>0</v>
      </c>
      <c r="K13" s="184">
        <v>0</v>
      </c>
      <c r="L13" s="72"/>
      <c r="M13" s="70">
        <v>0.25</v>
      </c>
      <c r="N13" s="185">
        <f>L13*M13</f>
        <v>0</v>
      </c>
      <c r="O13" s="184">
        <v>0</v>
      </c>
      <c r="P13" s="72"/>
      <c r="Q13" s="70">
        <v>0.25</v>
      </c>
      <c r="R13" s="185">
        <f>P13*Q13</f>
        <v>0</v>
      </c>
      <c r="S13" s="184">
        <v>0</v>
      </c>
      <c r="T13" s="72"/>
      <c r="U13" s="70">
        <v>0.25</v>
      </c>
      <c r="V13" s="185">
        <f>T13*U13</f>
        <v>0</v>
      </c>
    </row>
    <row r="14" spans="2:22">
      <c r="B14" s="99" t="s">
        <v>143</v>
      </c>
      <c r="C14" s="184">
        <v>0</v>
      </c>
      <c r="D14" s="72"/>
      <c r="E14" s="70">
        <v>0.5</v>
      </c>
      <c r="F14" s="185">
        <f>D14*E14</f>
        <v>0</v>
      </c>
      <c r="G14" s="198">
        <v>0</v>
      </c>
      <c r="H14" s="72"/>
      <c r="I14" s="70">
        <v>0.5</v>
      </c>
      <c r="J14" s="185">
        <f>H14*I14</f>
        <v>0</v>
      </c>
      <c r="K14" s="184">
        <v>0</v>
      </c>
      <c r="L14" s="72"/>
      <c r="M14" s="70">
        <v>0.5</v>
      </c>
      <c r="N14" s="185">
        <f>L14*M14</f>
        <v>0</v>
      </c>
      <c r="O14" s="184">
        <v>0</v>
      </c>
      <c r="P14" s="72"/>
      <c r="Q14" s="70">
        <v>0.5</v>
      </c>
      <c r="R14" s="185">
        <f>P14*Q14</f>
        <v>0</v>
      </c>
      <c r="S14" s="184">
        <v>0</v>
      </c>
      <c r="T14" s="72"/>
      <c r="U14" s="70">
        <v>0.5</v>
      </c>
      <c r="V14" s="185">
        <f>T14*U14</f>
        <v>0</v>
      </c>
    </row>
    <row r="15" spans="2:22">
      <c r="B15" s="99" t="s">
        <v>144</v>
      </c>
      <c r="C15" s="184">
        <v>0</v>
      </c>
      <c r="D15" s="72"/>
      <c r="E15" s="70">
        <v>1</v>
      </c>
      <c r="F15" s="185">
        <f>D15*E15</f>
        <v>0</v>
      </c>
      <c r="G15" s="198">
        <v>0</v>
      </c>
      <c r="H15" s="72"/>
      <c r="I15" s="70">
        <v>1</v>
      </c>
      <c r="J15" s="185">
        <f>H15*I15</f>
        <v>0</v>
      </c>
      <c r="K15" s="184">
        <v>0</v>
      </c>
      <c r="L15" s="72"/>
      <c r="M15" s="70">
        <v>1</v>
      </c>
      <c r="N15" s="185">
        <f>L15*M15</f>
        <v>0</v>
      </c>
      <c r="O15" s="184">
        <v>0</v>
      </c>
      <c r="P15" s="72"/>
      <c r="Q15" s="70">
        <v>1</v>
      </c>
      <c r="R15" s="185">
        <f>P15*Q15</f>
        <v>0</v>
      </c>
      <c r="S15" s="184">
        <v>0</v>
      </c>
      <c r="T15" s="72"/>
      <c r="U15" s="70">
        <v>1</v>
      </c>
      <c r="V15" s="185">
        <f>T15*U15</f>
        <v>0</v>
      </c>
    </row>
    <row r="16" spans="2:22">
      <c r="B16" s="100" t="s">
        <v>145</v>
      </c>
      <c r="C16" s="186">
        <f>SUM(C10:C15)</f>
        <v>0</v>
      </c>
      <c r="D16" s="71">
        <f>SUM(D10:D15)</f>
        <v>0</v>
      </c>
      <c r="E16" s="71"/>
      <c r="F16" s="187">
        <f>SUM(F10:F15)</f>
        <v>0</v>
      </c>
      <c r="G16" s="199">
        <f>SUM(G10:G15)</f>
        <v>0</v>
      </c>
      <c r="H16" s="71">
        <f>SUM(H10:H15)</f>
        <v>0</v>
      </c>
      <c r="I16" s="71"/>
      <c r="J16" s="187">
        <f>SUM(J10:J15)</f>
        <v>0</v>
      </c>
      <c r="K16" s="186">
        <f>SUM(K10:K15)</f>
        <v>0</v>
      </c>
      <c r="L16" s="71">
        <f>SUM(L10:L15)</f>
        <v>0</v>
      </c>
      <c r="M16" s="71"/>
      <c r="N16" s="187">
        <f>SUM(N10:N15)</f>
        <v>0</v>
      </c>
      <c r="O16" s="186">
        <f>SUM(O10:O15)</f>
        <v>0</v>
      </c>
      <c r="P16" s="71">
        <f>SUM(P10:P15)</f>
        <v>0</v>
      </c>
      <c r="Q16" s="71"/>
      <c r="R16" s="187">
        <f>SUM(R10:R15)</f>
        <v>0</v>
      </c>
      <c r="S16" s="186">
        <f>SUM(S10:S15)</f>
        <v>0</v>
      </c>
      <c r="T16" s="71">
        <f>SUM(T10:T15)</f>
        <v>0</v>
      </c>
      <c r="U16" s="71"/>
      <c r="V16" s="187">
        <f>SUM(V10:V15)</f>
        <v>0</v>
      </c>
    </row>
    <row r="17" spans="2:22" ht="15" thickBot="1">
      <c r="B17" s="100" t="s">
        <v>147</v>
      </c>
      <c r="C17" s="188">
        <f>C9+C16</f>
        <v>0</v>
      </c>
      <c r="D17" s="189">
        <f>D9+D16</f>
        <v>0</v>
      </c>
      <c r="E17" s="189"/>
      <c r="F17" s="190">
        <f>F9+F16</f>
        <v>0</v>
      </c>
      <c r="G17" s="200">
        <f>G9+G16</f>
        <v>10307</v>
      </c>
      <c r="H17" s="189">
        <f>H9+H16</f>
        <v>501830045.79000008</v>
      </c>
      <c r="I17" s="189"/>
      <c r="J17" s="190">
        <f>J9+J16</f>
        <v>24372039.946900003</v>
      </c>
      <c r="K17" s="188">
        <f>K9+K16</f>
        <v>10656</v>
      </c>
      <c r="L17" s="189">
        <f>L9+L16</f>
        <v>518466249.29000002</v>
      </c>
      <c r="M17" s="189"/>
      <c r="N17" s="190">
        <f>N9+N16</f>
        <v>34646051.038699999</v>
      </c>
      <c r="O17" s="188">
        <f>O9+O16</f>
        <v>0</v>
      </c>
      <c r="P17" s="189">
        <f>P9+P16</f>
        <v>0</v>
      </c>
      <c r="Q17" s="189"/>
      <c r="R17" s="190">
        <f>R9+R16</f>
        <v>0</v>
      </c>
      <c r="S17" s="188">
        <f>S9+S16</f>
        <v>0</v>
      </c>
      <c r="T17" s="189">
        <f>T9+T16</f>
        <v>0</v>
      </c>
      <c r="U17" s="189"/>
      <c r="V17" s="190">
        <f>V9+V16</f>
        <v>0</v>
      </c>
    </row>
    <row r="18" spans="2:22">
      <c r="H18" s="195">
        <f>SUM(H6:H8)</f>
        <v>34030683.969999999</v>
      </c>
      <c r="L18" s="195">
        <f>SUM(L6:L8)</f>
        <v>58929249.819999993</v>
      </c>
    </row>
    <row r="19" spans="2:22">
      <c r="H19" s="196">
        <f>H18/H9</f>
        <v>6.7813165543780057E-2</v>
      </c>
      <c r="L19" s="196">
        <f>L18/L17</f>
        <v>0.11366072507265247</v>
      </c>
    </row>
  </sheetData>
  <mergeCells count="5">
    <mergeCell ref="G2:J2"/>
    <mergeCell ref="C2:F2"/>
    <mergeCell ref="K2:N2"/>
    <mergeCell ref="O2:R2"/>
    <mergeCell ref="S2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8"/>
  <sheetViews>
    <sheetView topLeftCell="I1" zoomScale="80" zoomScaleNormal="80" workbookViewId="0">
      <selection activeCell="T10" sqref="T10"/>
    </sheetView>
  </sheetViews>
  <sheetFormatPr defaultRowHeight="14.45"/>
  <cols>
    <col min="4" max="4" width="7.5703125" bestFit="1" customWidth="1"/>
    <col min="5" max="15" width="12.28515625" bestFit="1" customWidth="1"/>
    <col min="16" max="16" width="11.28515625" bestFit="1" customWidth="1"/>
    <col min="17" max="26" width="11" bestFit="1" customWidth="1"/>
    <col min="27" max="28" width="12" bestFit="1" customWidth="1"/>
    <col min="29" max="40" width="11" bestFit="1" customWidth="1"/>
    <col min="41" max="41" width="12" bestFit="1" customWidth="1"/>
    <col min="42" max="47" width="11" bestFit="1" customWidth="1"/>
  </cols>
  <sheetData>
    <row r="1" spans="1:59">
      <c r="A1" s="39" t="s">
        <v>148</v>
      </c>
      <c r="B1" s="39"/>
      <c r="C1" s="39"/>
      <c r="D1" s="22"/>
      <c r="E1" s="22"/>
      <c r="F1" s="22"/>
      <c r="G1" s="22"/>
      <c r="H1" s="22"/>
      <c r="I1" s="40"/>
    </row>
    <row r="2" spans="1:59" ht="15" thickBot="1">
      <c r="A2" s="41"/>
      <c r="B2" s="41"/>
      <c r="C2" s="41" t="s">
        <v>149</v>
      </c>
      <c r="D2" s="25"/>
      <c r="E2" s="26">
        <v>44216</v>
      </c>
      <c r="F2" s="26">
        <v>44247</v>
      </c>
      <c r="G2" s="26">
        <v>44275</v>
      </c>
      <c r="H2" s="26">
        <v>44306</v>
      </c>
      <c r="I2" s="26">
        <v>44336</v>
      </c>
      <c r="J2" s="26">
        <v>44367</v>
      </c>
      <c r="K2" s="26">
        <v>44428</v>
      </c>
      <c r="L2" s="26">
        <v>44459</v>
      </c>
      <c r="M2" s="26">
        <v>44489</v>
      </c>
      <c r="N2" s="26">
        <v>44520</v>
      </c>
      <c r="O2" s="26">
        <v>44550</v>
      </c>
      <c r="P2" s="26" t="s">
        <v>3</v>
      </c>
      <c r="Q2" s="26">
        <v>44216</v>
      </c>
      <c r="R2" s="26">
        <v>44242</v>
      </c>
      <c r="S2" s="26">
        <v>44270</v>
      </c>
      <c r="T2" s="26">
        <v>44301</v>
      </c>
      <c r="U2" s="26">
        <v>44331</v>
      </c>
      <c r="V2" s="26">
        <v>44362</v>
      </c>
      <c r="W2" s="26">
        <v>44392</v>
      </c>
      <c r="X2" s="26">
        <v>44423</v>
      </c>
      <c r="Y2" s="26">
        <v>44454</v>
      </c>
      <c r="Z2" s="26">
        <v>44484</v>
      </c>
      <c r="AA2" s="26">
        <v>44515</v>
      </c>
      <c r="AB2" s="26">
        <v>44545</v>
      </c>
      <c r="AC2" t="s">
        <v>4</v>
      </c>
      <c r="AD2" s="26">
        <v>44576</v>
      </c>
      <c r="AE2" s="26">
        <v>44607</v>
      </c>
      <c r="AF2" s="26">
        <v>44635</v>
      </c>
      <c r="AG2" s="26">
        <v>44666</v>
      </c>
      <c r="AH2" s="26">
        <v>44696</v>
      </c>
      <c r="AI2" s="26">
        <v>44727</v>
      </c>
      <c r="AJ2" s="26">
        <v>44757</v>
      </c>
      <c r="AK2" s="26">
        <v>44788</v>
      </c>
      <c r="AL2" s="26">
        <v>44819</v>
      </c>
      <c r="AM2" s="26">
        <v>44849</v>
      </c>
      <c r="AN2" s="26">
        <v>44880</v>
      </c>
      <c r="AO2" s="26">
        <v>44910</v>
      </c>
      <c r="AP2" s="26" t="s">
        <v>150</v>
      </c>
      <c r="AQ2" s="26">
        <v>44941</v>
      </c>
      <c r="AR2" s="26">
        <v>44972</v>
      </c>
      <c r="AS2" s="26">
        <v>45000</v>
      </c>
      <c r="AT2" s="26">
        <v>45031</v>
      </c>
      <c r="AU2" s="26">
        <v>45061</v>
      </c>
    </row>
    <row r="3" spans="1:59">
      <c r="A3" s="346" t="s">
        <v>151</v>
      </c>
      <c r="B3" s="42" t="s">
        <v>104</v>
      </c>
      <c r="C3" s="43" t="s">
        <v>152</v>
      </c>
      <c r="D3" s="44">
        <f>Financials!B14</f>
        <v>0</v>
      </c>
      <c r="E3" s="44">
        <f>Financials!C14</f>
        <v>156287993.25999999</v>
      </c>
      <c r="F3" s="44">
        <f>Financials!D14</f>
        <v>157334318.44</v>
      </c>
      <c r="G3" s="44">
        <f>Financials!E14</f>
        <v>125022260</v>
      </c>
      <c r="H3" s="44">
        <f>Financials!F14</f>
        <v>126600610.93000001</v>
      </c>
      <c r="I3" s="44">
        <f>Financials!G14</f>
        <v>142077026.45999998</v>
      </c>
      <c r="J3" s="44">
        <f>Financials!H14</f>
        <v>139616450.15000001</v>
      </c>
      <c r="K3" s="44">
        <f>Financials!I14</f>
        <v>140314956.39000002</v>
      </c>
      <c r="L3" s="44">
        <f>Financials!J14</f>
        <v>144226640.98999998</v>
      </c>
      <c r="M3" s="44">
        <f>Financials!K14</f>
        <v>150338044.74000001</v>
      </c>
      <c r="N3" s="44">
        <f>Financials!L14</f>
        <v>155444293.59</v>
      </c>
      <c r="O3" s="44">
        <f>Financials!M14</f>
        <v>34136157</v>
      </c>
      <c r="P3" s="44">
        <f>Financials!N14</f>
        <v>40458753</v>
      </c>
      <c r="Q3" s="44">
        <f>Financials!O14</f>
        <v>80744685</v>
      </c>
      <c r="R3" s="44">
        <f>Financials!P14</f>
        <v>46988657.719999999</v>
      </c>
      <c r="S3" s="44">
        <f>Financials!Q14</f>
        <v>51489927.000000007</v>
      </c>
      <c r="T3" s="44">
        <f>Financials!R14</f>
        <v>74121904</v>
      </c>
      <c r="U3" s="44">
        <f>Financials!S14</f>
        <v>77055424.299999997</v>
      </c>
      <c r="V3" s="44">
        <f>Financials!T14</f>
        <v>79986740.700000018</v>
      </c>
      <c r="W3" s="44">
        <f>Financials!U14</f>
        <v>89834941.409999982</v>
      </c>
      <c r="X3" s="44">
        <f>Financials!V14</f>
        <v>85430812.099999994</v>
      </c>
      <c r="Y3" s="44">
        <f>Financials!W14</f>
        <v>90923977.899999991</v>
      </c>
      <c r="Z3" s="44">
        <f>Financials!X14</f>
        <v>96187551.900000021</v>
      </c>
      <c r="AA3" s="44">
        <f>Financials!Y14</f>
        <v>102466020.5</v>
      </c>
      <c r="AB3" s="44">
        <f>Financials!Z14</f>
        <v>110900984.8</v>
      </c>
      <c r="AC3" s="44">
        <f>Financials!AA14</f>
        <v>67661166</v>
      </c>
      <c r="AD3" s="44">
        <f>Financials!AB14</f>
        <v>87764041.24000001</v>
      </c>
      <c r="AE3" s="44">
        <f>Financials!AC14</f>
        <v>48498110.599999994</v>
      </c>
      <c r="AF3" s="44">
        <f>Financials!AD14</f>
        <v>49423141</v>
      </c>
      <c r="AG3" s="44">
        <f>Financials!AE14</f>
        <v>47843560.400000006</v>
      </c>
      <c r="AH3" s="44">
        <f>Financials!AF14</f>
        <v>69666039.699999988</v>
      </c>
      <c r="AI3" s="44">
        <f>Financials!AG14</f>
        <v>69891518.599999994</v>
      </c>
      <c r="AJ3" s="44">
        <f>Financials!AH14</f>
        <v>72937272</v>
      </c>
      <c r="AK3" s="44">
        <f>Financials!AI14</f>
        <v>71888888.199999988</v>
      </c>
      <c r="AL3" s="44">
        <f>Financials!AJ14</f>
        <v>73259731.700000003</v>
      </c>
      <c r="AM3" s="44">
        <f>Financials!AK14</f>
        <v>85692316.400000006</v>
      </c>
      <c r="AN3" s="44">
        <f>Financials!AL14</f>
        <v>98051154.639999971</v>
      </c>
      <c r="AO3" s="44">
        <f>Financials!AM14</f>
        <v>116886893.03999999</v>
      </c>
      <c r="AP3" s="44">
        <f>Financials!AN14</f>
        <v>82242748</v>
      </c>
      <c r="AQ3" s="44">
        <f>Financials!AO14</f>
        <v>84238222.900000006</v>
      </c>
      <c r="AR3" s="44">
        <f>Financials!AP14</f>
        <v>87178532.199999988</v>
      </c>
      <c r="AS3" s="44">
        <f>Financials!AQ14</f>
        <v>88106060.799999997</v>
      </c>
      <c r="AT3" s="44">
        <f>Financials!AR14</f>
        <v>88865860.999999985</v>
      </c>
      <c r="AU3" s="44">
        <f>Financials!AS14</f>
        <v>90786946.199999988</v>
      </c>
      <c r="AV3" s="44">
        <f>Financials!AT14</f>
        <v>94647714.499999985</v>
      </c>
      <c r="AW3" s="44">
        <f>Financials!AU14</f>
        <v>99792381.999999985</v>
      </c>
      <c r="AX3" s="44">
        <f>Financials!AV14</f>
        <v>101128557.59999999</v>
      </c>
      <c r="AY3" s="44">
        <f>Financials!AW14</f>
        <v>110640454.80000001</v>
      </c>
      <c r="AZ3" s="44">
        <f>Financials!AX14</f>
        <v>0</v>
      </c>
      <c r="BA3" s="44">
        <f>Financials!AY14</f>
        <v>0</v>
      </c>
      <c r="BB3" s="44">
        <f>Financials!AZ14</f>
        <v>0</v>
      </c>
      <c r="BC3" s="44">
        <f>Financials!BA14</f>
        <v>0</v>
      </c>
      <c r="BD3" s="44">
        <f>Financials!BB14</f>
        <v>0</v>
      </c>
      <c r="BE3" s="44">
        <f>Financials!BC14</f>
        <v>0</v>
      </c>
      <c r="BF3" s="44">
        <f>Financials!BD14</f>
        <v>0</v>
      </c>
      <c r="BG3" s="44">
        <f>Financials!BE14</f>
        <v>0</v>
      </c>
    </row>
    <row r="4" spans="1:59">
      <c r="A4" s="347"/>
      <c r="B4" s="45" t="s">
        <v>153</v>
      </c>
      <c r="C4" s="46">
        <v>0.1</v>
      </c>
      <c r="D4" s="47" t="e">
        <f>Financials!B13/Financials!B5</f>
        <v>#DIV/0!</v>
      </c>
      <c r="E4" s="47">
        <f>Financials!C13/Financials!C5</f>
        <v>0.42556964782458262</v>
      </c>
      <c r="F4" s="47">
        <f>Financials!D13/Financials!D5</f>
        <v>0.42166814750765924</v>
      </c>
      <c r="G4" s="47">
        <f>Financials!E13/Financials!E5</f>
        <v>0.30007353677105725</v>
      </c>
      <c r="H4" s="47">
        <f>Financials!F13/Financials!F5</f>
        <v>0.2968211706994236</v>
      </c>
      <c r="I4" s="47">
        <f>Financials!G13/Financials!G5</f>
        <v>0.33415793730687149</v>
      </c>
      <c r="J4" s="47">
        <f>Financials!H13/Financials!H5</f>
        <v>0.32677140803178228</v>
      </c>
      <c r="K4" s="47">
        <f>Financials!I13/Financials!I5</f>
        <v>0.31838930699777002</v>
      </c>
      <c r="L4" s="47">
        <f>Financials!J13/Financials!J5</f>
        <v>0.32587211758757995</v>
      </c>
      <c r="M4" s="47">
        <f>Financials!K13/Financials!K5</f>
        <v>0.33340952198451207</v>
      </c>
      <c r="N4" s="47">
        <f>Financials!L13/Financials!L5</f>
        <v>0.34553691020829624</v>
      </c>
      <c r="O4" s="47">
        <f>Financials!M13/Financials!M5</f>
        <v>0.15741212629723053</v>
      </c>
      <c r="P4" s="47">
        <f>Financials!N13/Financials!N5</f>
        <v>0.17229709136466267</v>
      </c>
      <c r="Q4" s="47">
        <f>Financials!O13/Financials!O5</f>
        <v>0.23979647089589987</v>
      </c>
      <c r="R4" s="47">
        <f>Financials!P13/Financials!P5</f>
        <v>0.1805862967421743</v>
      </c>
      <c r="S4" s="47">
        <f>Financials!Q13/Financials!Q5</f>
        <v>0.18921330825760801</v>
      </c>
      <c r="T4" s="47">
        <f>Financials!R13/Financials!R5</f>
        <v>0.22431570078885657</v>
      </c>
      <c r="U4" s="47">
        <f>Financials!S13/Financials!S5</f>
        <v>0.22748332257791085</v>
      </c>
      <c r="V4" s="47">
        <f>Financials!T13/Financials!T5</f>
        <v>0.23225445903769643</v>
      </c>
      <c r="W4" s="47">
        <f>Financials!U13/Financials!U5</f>
        <v>0.25491033826487336</v>
      </c>
      <c r="X4" s="47">
        <f>Financials!V13/Financials!V5</f>
        <v>0.24870931602565477</v>
      </c>
      <c r="Y4" s="47">
        <f>Financials!W13/Financials!W5</f>
        <v>0.24822891967018562</v>
      </c>
      <c r="Z4" s="47">
        <f>Financials!X13/Financials!X5</f>
        <v>0.25776038637714355</v>
      </c>
      <c r="AA4" s="47">
        <f>Financials!Y13/Financials!Y5</f>
        <v>0.26150996245673336</v>
      </c>
      <c r="AB4" s="47">
        <f>Financials!Z13/Financials!Z5</f>
        <v>0.27745612781278556</v>
      </c>
      <c r="AC4" s="47">
        <f>Financials!AA13/Financials!AA5</f>
        <v>0.21683104929599187</v>
      </c>
      <c r="AD4" s="47">
        <f>Financials!AB13/Financials!AB5</f>
        <v>0.24374963087711513</v>
      </c>
      <c r="AE4" s="47">
        <f>Financials!AC13/Financials!AC5</f>
        <v>0.18998583973567795</v>
      </c>
      <c r="AF4" s="47">
        <f>Financials!AD13/Financials!AD5</f>
        <v>0.19488930333542981</v>
      </c>
      <c r="AG4" s="47">
        <f>Financials!AE13/Financials!AE5</f>
        <v>0.19188405532045949</v>
      </c>
      <c r="AH4" s="47">
        <f>Financials!AF13/Financials!AF5</f>
        <v>0.22248578206048389</v>
      </c>
      <c r="AI4" s="47">
        <f>Financials!AG13/Financials!AG5</f>
        <v>0.23160494806664353</v>
      </c>
      <c r="AJ4" s="47">
        <f>Financials!AH13/Financials!AH5</f>
        <v>0.23777453970559154</v>
      </c>
      <c r="AK4" s="47">
        <f>Financials!AI13/Financials!AI5</f>
        <v>0.24048577112857383</v>
      </c>
      <c r="AL4" s="47">
        <f>Financials!AJ13/Financials!AJ5</f>
        <v>0.24461226940385317</v>
      </c>
      <c r="AM4" s="47">
        <f>Financials!AK13/Financials!AK5</f>
        <v>0.2615370956270458</v>
      </c>
      <c r="AN4" s="47">
        <f>Financials!AL13/Financials!AL5</f>
        <v>0.26705590503454252</v>
      </c>
      <c r="AO4" s="47">
        <f>Financials!AM13/Financials!AM5</f>
        <v>0.28957773904049922</v>
      </c>
      <c r="AP4" s="47">
        <f>Financials!AN13/Financials!AN5</f>
        <v>0.24316455654757171</v>
      </c>
      <c r="AQ4" s="47">
        <f>Financials!AO13/Financials!AO5</f>
        <v>0.24517105217167898</v>
      </c>
      <c r="AR4" s="47">
        <f>Financials!AP13/Financials!AP5</f>
        <v>0.2520134492744997</v>
      </c>
      <c r="AS4" s="47">
        <f>Financials!AQ13/Financials!AQ5</f>
        <v>0.25208811077975518</v>
      </c>
      <c r="AT4" s="47">
        <f>Financials!AR13/Financials!AR5</f>
        <v>0.25450797336382003</v>
      </c>
      <c r="AU4" s="47">
        <f>Financials!AS13/Financials!AS5</f>
        <v>0.26011224475482297</v>
      </c>
      <c r="AV4" s="47">
        <f>Financials!AT13/Financials!AT5</f>
        <v>0.26248408862801725</v>
      </c>
      <c r="AW4" s="47">
        <f>Financials!AU13/Financials!AU5</f>
        <v>0.2691105580629638</v>
      </c>
      <c r="AX4" s="47">
        <f>Financials!AV13/Financials!AV5</f>
        <v>0.26963226169134985</v>
      </c>
      <c r="AY4" s="47">
        <f>Financials!AW13/Financials!AW5</f>
        <v>0.27930216113180167</v>
      </c>
      <c r="AZ4" s="47" t="e">
        <f>Financials!AX13/Financials!AX5</f>
        <v>#DIV/0!</v>
      </c>
      <c r="BA4" s="47" t="e">
        <f>Financials!AY13/Financials!AY5</f>
        <v>#DIV/0!</v>
      </c>
      <c r="BB4" s="47" t="e">
        <f>Financials!AZ13/Financials!AZ5</f>
        <v>#DIV/0!</v>
      </c>
      <c r="BC4" s="47" t="e">
        <f>Financials!BA13/Financials!BA5</f>
        <v>#DIV/0!</v>
      </c>
      <c r="BD4" s="47" t="e">
        <f>Financials!BB13/Financials!BB5</f>
        <v>#DIV/0!</v>
      </c>
      <c r="BE4" s="47" t="e">
        <f>Financials!BC13/Financials!BC5</f>
        <v>#DIV/0!</v>
      </c>
      <c r="BF4" s="47" t="e">
        <f>Financials!BD13/Financials!BD5</f>
        <v>#DIV/0!</v>
      </c>
      <c r="BG4" s="47" t="e">
        <f>Financials!BE13/Financials!BE5</f>
        <v>#DIV/0!</v>
      </c>
    </row>
    <row r="5" spans="1:59">
      <c r="A5" s="347"/>
      <c r="B5" s="45" t="s">
        <v>154</v>
      </c>
      <c r="C5" s="46">
        <v>0.08</v>
      </c>
      <c r="D5" s="47" t="e">
        <f>Financials!B13/Financials!B6</f>
        <v>#DIV/0!</v>
      </c>
      <c r="E5" s="47">
        <f>Financials!C13/Financials!C6</f>
        <v>0.55896851928654501</v>
      </c>
      <c r="F5" s="47">
        <f>Financials!D13/Financials!D6</f>
        <v>0.54967562710809292</v>
      </c>
      <c r="G5" s="47">
        <f>Financials!E13/Financials!E6</f>
        <v>0.37282429509924303</v>
      </c>
      <c r="H5" s="47">
        <f>Financials!F13/Financials!F6</f>
        <v>0.36996281443779344</v>
      </c>
      <c r="I5" s="47">
        <f>Financials!G13/Financials!G6</f>
        <v>0.41034567645502706</v>
      </c>
      <c r="J5" s="47">
        <f>Financials!H13/Financials!H6</f>
        <v>0.39848492626721449</v>
      </c>
      <c r="K5" s="47">
        <f>Financials!I13/Financials!I6</f>
        <v>0.37972386618091408</v>
      </c>
      <c r="L5" s="47">
        <f>Financials!J13/Financials!J6</f>
        <v>0.39478173449317711</v>
      </c>
      <c r="M5" s="47">
        <f>Financials!K13/Financials!K6</f>
        <v>0.39776877222591417</v>
      </c>
      <c r="N5" s="47">
        <f>Financials!L13/Financials!L6</f>
        <v>0.41604927891227939</v>
      </c>
      <c r="O5" s="47">
        <f>Financials!M13/Financials!M6</f>
        <v>0.22896409272824686</v>
      </c>
      <c r="P5" s="47">
        <f>Financials!N13/Financials!N6</f>
        <v>0.23183652525418097</v>
      </c>
      <c r="Q5" s="47">
        <f>Financials!O13/Financials!O6</f>
        <v>0.35203439017274951</v>
      </c>
      <c r="R5" s="47">
        <f>Financials!P13/Financials!P6</f>
        <v>0.2622766228104445</v>
      </c>
      <c r="S5" s="47">
        <f>Financials!Q13/Financials!Q6</f>
        <v>0.26218305150651983</v>
      </c>
      <c r="T5" s="47">
        <f>Financials!R13/Financials!R6</f>
        <v>0.31065398544878964</v>
      </c>
      <c r="U5" s="47">
        <f>Financials!S13/Financials!S6</f>
        <v>0.31552800516037</v>
      </c>
      <c r="V5" s="47">
        <f>Financials!T13/Financials!T6</f>
        <v>0.32576697408309163</v>
      </c>
      <c r="W5" s="47">
        <f>Financials!U13/Financials!U6</f>
        <v>0.36905139118132857</v>
      </c>
      <c r="X5" s="47">
        <f>Financials!V13/Financials!V6</f>
        <v>0.35488533003126921</v>
      </c>
      <c r="Y5" s="47">
        <f>Financials!W13/Financials!W6</f>
        <v>0.35160191467967866</v>
      </c>
      <c r="Z5" s="47">
        <f>Financials!X13/Financials!X6</f>
        <v>0.37223966082792509</v>
      </c>
      <c r="AA5" s="47">
        <f>Financials!Y13/Financials!Y6</f>
        <v>0.37834289411931932</v>
      </c>
      <c r="AB5" s="47">
        <f>Financials!Z13/Financials!Z6</f>
        <v>0.40855295988990076</v>
      </c>
      <c r="AC5" s="47">
        <f>Financials!AA13/Financials!AA6</f>
        <v>0.2978600639258614</v>
      </c>
      <c r="AD5" s="47">
        <f>Financials!AB13/Financials!AB6</f>
        <v>0.35596982903049368</v>
      </c>
      <c r="AE5" s="47">
        <f>Financials!AC13/Financials!AC6</f>
        <v>0.26059314823875079</v>
      </c>
      <c r="AF5" s="47">
        <f>Financials!AD13/Financials!AD6</f>
        <v>0.26983448261966164</v>
      </c>
      <c r="AG5" s="47">
        <f>Financials!AE13/Financials!AE6</f>
        <v>0.26404646769849432</v>
      </c>
      <c r="AH5" s="47">
        <f>Financials!AF13/Financials!AF6</f>
        <v>0.30625376573209612</v>
      </c>
      <c r="AI5" s="47">
        <f>Financials!AG13/Financials!AG6</f>
        <v>0.32214316565375017</v>
      </c>
      <c r="AJ5" s="47">
        <f>Financials!AH13/Financials!AH6</f>
        <v>0.33313629816084239</v>
      </c>
      <c r="AK5" s="47">
        <f>Financials!AI13/Financials!AI6</f>
        <v>0.33873105769309747</v>
      </c>
      <c r="AL5" s="47">
        <f>Financials!AJ13/Financials!AJ6</f>
        <v>0.34701681484875657</v>
      </c>
      <c r="AM5" s="47">
        <f>Financials!AK13/Financials!AK6</f>
        <v>0.37889914858508517</v>
      </c>
      <c r="AN5" s="47">
        <f>Financials!AL13/Financials!AL6</f>
        <v>0.38757378698368466</v>
      </c>
      <c r="AO5" s="47">
        <f>Financials!AM13/Financials!AM6</f>
        <v>0.43530612082498393</v>
      </c>
      <c r="AP5" s="47">
        <f>Financials!AN13/Financials!AN6</f>
        <v>0.34408900220398525</v>
      </c>
      <c r="AQ5" s="47">
        <f>Financials!AO13/Financials!AO6</f>
        <v>0.37100726362171493</v>
      </c>
      <c r="AR5" s="47">
        <f>Financials!AP13/Financials!AP6</f>
        <v>0.35988312899581282</v>
      </c>
      <c r="AS5" s="47">
        <f>Financials!AQ13/Financials!AQ6</f>
        <v>0.3595023851484086</v>
      </c>
      <c r="AT5" s="47">
        <f>Financials!AR13/Financials!AR6</f>
        <v>0.36574091664657959</v>
      </c>
      <c r="AU5" s="47">
        <f>Financials!AS13/Financials!AS6</f>
        <v>0.37857779815835868</v>
      </c>
      <c r="AV5" s="47">
        <f>Financials!AT13/Financials!AT6</f>
        <v>0.38281201450918306</v>
      </c>
      <c r="AW5" s="47">
        <f>Financials!AU13/Financials!AU6</f>
        <v>0.39784311191912347</v>
      </c>
      <c r="AX5" s="47">
        <f>Financials!AV13/Financials!AV6</f>
        <v>0.39654806355000238</v>
      </c>
      <c r="AY5" s="47">
        <f>Financials!AW13/Financials!AW6</f>
        <v>0.42054118786438183</v>
      </c>
      <c r="AZ5" s="47" t="e">
        <f>Financials!AX13/Financials!AX6</f>
        <v>#DIV/0!</v>
      </c>
      <c r="BA5" s="47" t="e">
        <f>Financials!AY13/Financials!AY6</f>
        <v>#DIV/0!</v>
      </c>
      <c r="BB5" s="47" t="e">
        <f>Financials!AZ13/Financials!AZ6</f>
        <v>#DIV/0!</v>
      </c>
      <c r="BC5" s="47" t="e">
        <f>Financials!BA13/Financials!BA6</f>
        <v>#DIV/0!</v>
      </c>
      <c r="BD5" s="47" t="e">
        <f>Financials!BB13/Financials!BB6</f>
        <v>#DIV/0!</v>
      </c>
      <c r="BE5" s="47" t="e">
        <f>Financials!BC13/Financials!BC6</f>
        <v>#DIV/0!</v>
      </c>
      <c r="BF5" s="47" t="e">
        <f>Financials!BD13/Financials!BD6</f>
        <v>#DIV/0!</v>
      </c>
      <c r="BG5" s="47" t="e">
        <f>Financials!BE13/Financials!BE6</f>
        <v>#DIV/0!</v>
      </c>
    </row>
    <row r="6" spans="1:59" ht="15" thickBot="1">
      <c r="A6" s="348"/>
      <c r="B6" s="48" t="s">
        <v>155</v>
      </c>
      <c r="C6" s="49">
        <v>0.08</v>
      </c>
      <c r="D6" s="50" t="e">
        <f>(Financials!B15-Financials!B16)/Financials!B5</f>
        <v>#DIV/0!</v>
      </c>
      <c r="E6" s="51">
        <f>(Financials!C15-Financials!C16)/Financials!C5</f>
        <v>0.29551875083883722</v>
      </c>
      <c r="F6" s="51">
        <f>(Financials!D15-Financials!D16)/Financials!D5</f>
        <v>0.29281468202014316</v>
      </c>
      <c r="G6" s="51">
        <f>(Financials!E15-Financials!E16)/Financials!E5</f>
        <v>0.23225084502650742</v>
      </c>
      <c r="H6" s="51">
        <f>(Financials!F15-Financials!F16)/Financials!F5</f>
        <v>0.22888765549817275</v>
      </c>
      <c r="I6" s="51">
        <f>(Financials!G15-Financials!G16)/Financials!G5</f>
        <v>0.25469970502846989</v>
      </c>
      <c r="J6" s="51">
        <f>(Financials!H15-Financials!H16)/Financials!H5</f>
        <v>0.25149446170622186</v>
      </c>
      <c r="K6" s="51">
        <f>(Financials!I15-Financials!I16)/Financials!I5</f>
        <v>0.24676456753927742</v>
      </c>
      <c r="L6" s="51">
        <f>(Financials!J15-Financials!J16)/Financials!J5</f>
        <v>0.2495988460669897</v>
      </c>
      <c r="M6" s="51">
        <f>(Financials!K15-Financials!K16)/Financials!K5</f>
        <v>0.25061236850970031</v>
      </c>
      <c r="N6" s="51">
        <f>(Financials!L15-Financials!L16)/Financials!L5</f>
        <v>0.25550358393221784</v>
      </c>
      <c r="O6" s="51">
        <f>(Financials!M15-Financials!M16)/Financials!M5</f>
        <v>5.3884735258150088E-2</v>
      </c>
      <c r="P6" s="51">
        <f>(Financials!N15-Financials!N16)/Financials!N5</f>
        <v>6.5736411672254524E-2</v>
      </c>
      <c r="Q6" s="51">
        <f>(Financials!O15-Financials!O16)/Financials!O5</f>
        <v>0.13163114495318079</v>
      </c>
      <c r="R6" s="51">
        <f>(Financials!P15-Financials!P16)/Financials!P5</f>
        <v>7.4490671932078451E-2</v>
      </c>
      <c r="S6" s="51">
        <f>(Financials!Q15-Financials!Q16)/Financials!Q5</f>
        <v>8.2201597543208105E-2</v>
      </c>
      <c r="T6" s="51">
        <f>(Financials!R15-Financials!R16)/Financials!R5</f>
        <v>0.1168711885985744</v>
      </c>
      <c r="U6" s="51">
        <f>(Financials!S15-Financials!S16)/Financials!S5</f>
        <v>0.12026368079810666</v>
      </c>
      <c r="V6" s="51">
        <f>(Financials!T15-Financials!T16)/Financials!T5</f>
        <v>0.12461465769599318</v>
      </c>
      <c r="W6" s="51">
        <f>(Financials!U15-Financials!U16)/Financials!U5</f>
        <v>0.1383504147893059</v>
      </c>
      <c r="X6" s="51">
        <f>(Financials!V15-Financials!V16)/Financials!V5</f>
        <v>0.1314655481996066</v>
      </c>
      <c r="Y6" s="51">
        <f>(Financials!W15-Financials!W16)/Financials!W5</f>
        <v>0.13464900643730168</v>
      </c>
      <c r="Z6" s="51">
        <f>(Financials!X15-Financials!X16)/Financials!X5</f>
        <v>0.14296867123660192</v>
      </c>
      <c r="AA6" s="51">
        <f>(Financials!Y15-Financials!Y16)/Financials!Y5</f>
        <v>0.14870079729282917</v>
      </c>
      <c r="AB6" s="51">
        <f>(Financials!Z15-Financials!Z16)/Financials!Z5</f>
        <v>0.15767079460124997</v>
      </c>
      <c r="AC6" s="51">
        <f>(Financials!AA15-Financials!AA16)/Financials!AA5</f>
        <v>9.6732017387355165E-2</v>
      </c>
      <c r="AD6" s="51">
        <f>(Financials!AB15-Financials!AB16)/Financials!AB5</f>
        <v>0.12406330320770061</v>
      </c>
      <c r="AE6" s="51">
        <f>(Financials!AC15-Financials!AC16)/Financials!AC5</f>
        <v>6.9166736954267144E-2</v>
      </c>
      <c r="AF6" s="51">
        <f>(Financials!AD15-Financials!AD16)/Financials!AD5</f>
        <v>7.0897572023822214E-2</v>
      </c>
      <c r="AG6" s="51">
        <f>(Financials!AE15-Financials!AE16)/Financials!AE5</f>
        <v>6.7989203375684745E-2</v>
      </c>
      <c r="AH6" s="51">
        <f>(Financials!AF15-Financials!AF16)/Financials!AF5</f>
        <v>9.8396961455815876E-2</v>
      </c>
      <c r="AI6" s="51">
        <f>(Financials!AG15-Financials!AG16)/Financials!AG5</f>
        <v>9.9166221877454844E-2</v>
      </c>
      <c r="AJ6" s="51">
        <f>(Financials!AH15-Financials!AH16)/Financials!AH5</f>
        <v>0.10413747698637231</v>
      </c>
      <c r="AK6" s="51">
        <f>(Financials!AI15-Financials!AI16)/Financials!AI5</f>
        <v>0.10403372164187384</v>
      </c>
      <c r="AL6" s="51">
        <f>(Financials!AJ15-Financials!AJ16)/Financials!AJ5</f>
        <v>0.10688533030691297</v>
      </c>
      <c r="AM6" s="51">
        <f>(Financials!AK15-Financials!AK16)/Financials!AK5</f>
        <v>0.12436209684852936</v>
      </c>
      <c r="AN6" s="51">
        <f>(Financials!AL15-Financials!AL16)/Financials!AL5</f>
        <v>0.13463803756893195</v>
      </c>
      <c r="AO6" s="51">
        <f>(Financials!AM15-Financials!AM16)/Financials!AM5</f>
        <v>0.15446421813094868</v>
      </c>
      <c r="AP6" s="51">
        <f>(Financials!AN15-Financials!AN16)/Financials!AN5</f>
        <v>0.10840100728608197</v>
      </c>
      <c r="AQ6" s="51">
        <f>(Financials!AO15-Financials!AO16)/Financials!AO5</f>
        <v>0.10994385100461906</v>
      </c>
      <c r="AR6" s="51">
        <f>(Financials!AP15-Financials!AP16)/Financials!AP5</f>
        <v>0.11511126900015825</v>
      </c>
      <c r="AS6" s="51">
        <f>(Financials!AQ15-Financials!AQ16)/Financials!AQ5</f>
        <v>0.11514584005056634</v>
      </c>
      <c r="AT6" s="51">
        <f>(Financials!AR15-Financials!AR16)/Financials!AR5</f>
        <v>0.11591047903907721</v>
      </c>
      <c r="AU6" s="51">
        <f>(Financials!AS15-Financials!AS16)/Financials!AS5</f>
        <v>0.11915466592035276</v>
      </c>
      <c r="AV6" s="51">
        <f>(Financials!AT15-Financials!AT16)/Financials!AT5</f>
        <v>0.12250281039496663</v>
      </c>
      <c r="AW6" s="51">
        <f>(Financials!AU15-Financials!AU16)/Financials!AU5</f>
        <v>0.12869946840618135</v>
      </c>
      <c r="AX6" s="51">
        <f>(Financials!AV15-Financials!AV16)/Financials!AV5</f>
        <v>0.12929533026611684</v>
      </c>
      <c r="AY6" s="51">
        <f>(Financials!AW15-Financials!AW16)/Financials!AW5</f>
        <v>0.1397483894552409</v>
      </c>
      <c r="AZ6" s="51" t="e">
        <f>(Financials!AX15-Financials!AX16)/Financials!AX5</f>
        <v>#DIV/0!</v>
      </c>
      <c r="BA6" s="51" t="e">
        <f>(Financials!AY15-Financials!AY16)/Financials!AY5</f>
        <v>#DIV/0!</v>
      </c>
      <c r="BB6" s="51" t="e">
        <f>(Financials!AZ15-Financials!AZ16)/Financials!AZ5</f>
        <v>#DIV/0!</v>
      </c>
      <c r="BC6" s="51" t="e">
        <f>(Financials!BA15-Financials!BA16)/Financials!BA5</f>
        <v>#DIV/0!</v>
      </c>
      <c r="BD6" s="51" t="e">
        <f>(Financials!BB15-Financials!BB16)/Financials!BB5</f>
        <v>#DIV/0!</v>
      </c>
      <c r="BE6" s="51" t="e">
        <f>(Financials!BC15-Financials!BC16)/Financials!BC5</f>
        <v>#DIV/0!</v>
      </c>
      <c r="BF6" s="51" t="e">
        <f>(Financials!BD15-Financials!BD16)/Financials!BD5</f>
        <v>#DIV/0!</v>
      </c>
      <c r="BG6" s="51" t="e">
        <f>(Financials!BE15-Financials!BE16)/Financials!BE5</f>
        <v>#DIV/0!</v>
      </c>
    </row>
    <row r="7" spans="1:59">
      <c r="A7" s="346" t="s">
        <v>156</v>
      </c>
      <c r="B7" s="42" t="s">
        <v>157</v>
      </c>
      <c r="C7" s="52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</row>
    <row r="8" spans="1:59">
      <c r="A8" s="347"/>
      <c r="B8" s="45" t="s">
        <v>158</v>
      </c>
      <c r="C8" s="54"/>
      <c r="D8" s="55">
        <f t="shared" ref="D8:O8" si="0">6.5%</f>
        <v>6.5000000000000002E-2</v>
      </c>
      <c r="E8" s="55">
        <f t="shared" si="0"/>
        <v>6.5000000000000002E-2</v>
      </c>
      <c r="F8" s="55">
        <f t="shared" si="0"/>
        <v>6.5000000000000002E-2</v>
      </c>
      <c r="G8" s="55">
        <f t="shared" si="0"/>
        <v>6.5000000000000002E-2</v>
      </c>
      <c r="H8" s="55">
        <f t="shared" si="0"/>
        <v>6.5000000000000002E-2</v>
      </c>
      <c r="I8" s="55">
        <f t="shared" si="0"/>
        <v>6.5000000000000002E-2</v>
      </c>
      <c r="J8" s="55">
        <f t="shared" si="0"/>
        <v>6.5000000000000002E-2</v>
      </c>
      <c r="K8" s="55">
        <f t="shared" si="0"/>
        <v>6.5000000000000002E-2</v>
      </c>
      <c r="L8" s="55">
        <f t="shared" si="0"/>
        <v>6.5000000000000002E-2</v>
      </c>
      <c r="M8" s="55">
        <f t="shared" si="0"/>
        <v>6.5000000000000002E-2</v>
      </c>
      <c r="N8" s="55">
        <f t="shared" si="0"/>
        <v>6.5000000000000002E-2</v>
      </c>
      <c r="O8" s="55">
        <f t="shared" si="0"/>
        <v>6.5000000000000002E-2</v>
      </c>
      <c r="P8" s="55">
        <f>'[1]FORM 4'!F22</f>
        <v>0.16358977696968297</v>
      </c>
      <c r="Q8" s="55">
        <v>0</v>
      </c>
      <c r="R8" s="55">
        <v>1</v>
      </c>
      <c r="S8" s="55">
        <v>2</v>
      </c>
      <c r="T8" s="55">
        <v>3</v>
      </c>
      <c r="U8" s="55">
        <v>4</v>
      </c>
      <c r="V8" s="55">
        <v>5</v>
      </c>
      <c r="W8" s="55">
        <v>6</v>
      </c>
      <c r="X8" s="55">
        <v>7</v>
      </c>
      <c r="Y8" s="55">
        <v>8</v>
      </c>
      <c r="Z8" s="55">
        <v>9</v>
      </c>
      <c r="AA8" s="55">
        <v>10</v>
      </c>
      <c r="AB8" s="55">
        <v>11</v>
      </c>
      <c r="AC8" s="55">
        <v>12</v>
      </c>
      <c r="AD8" s="55">
        <v>13</v>
      </c>
      <c r="AE8" s="55">
        <v>14</v>
      </c>
      <c r="AF8" s="55">
        <v>15</v>
      </c>
      <c r="AG8" s="55">
        <v>16</v>
      </c>
      <c r="AH8" s="55">
        <v>17</v>
      </c>
      <c r="AI8" s="55">
        <v>18</v>
      </c>
      <c r="AJ8" s="55">
        <v>19</v>
      </c>
      <c r="AK8" s="55">
        <v>20</v>
      </c>
      <c r="AL8" s="55">
        <v>21</v>
      </c>
      <c r="AM8" s="55">
        <v>22</v>
      </c>
      <c r="AN8" s="55">
        <v>23</v>
      </c>
      <c r="AO8" s="55">
        <v>24</v>
      </c>
      <c r="AP8" s="55">
        <v>25</v>
      </c>
      <c r="AQ8" s="55">
        <v>26</v>
      </c>
      <c r="AR8" s="55">
        <v>27</v>
      </c>
      <c r="AS8" s="55">
        <v>28</v>
      </c>
      <c r="AT8" s="55">
        <v>29</v>
      </c>
      <c r="AU8" s="55">
        <v>30</v>
      </c>
      <c r="AV8" s="55">
        <v>31</v>
      </c>
      <c r="AW8" s="55">
        <v>32</v>
      </c>
      <c r="AX8" s="55">
        <v>33</v>
      </c>
      <c r="AY8" s="55">
        <v>34</v>
      </c>
      <c r="AZ8" s="55">
        <v>35</v>
      </c>
      <c r="BA8" s="55">
        <v>36</v>
      </c>
      <c r="BB8" s="55">
        <v>37</v>
      </c>
      <c r="BC8" s="55">
        <v>38</v>
      </c>
      <c r="BD8" s="55">
        <v>39</v>
      </c>
      <c r="BE8" s="55">
        <v>40</v>
      </c>
      <c r="BF8" s="55">
        <v>41</v>
      </c>
      <c r="BG8" s="55">
        <v>42</v>
      </c>
    </row>
    <row r="9" spans="1:59">
      <c r="A9" s="347"/>
      <c r="B9" s="45" t="s">
        <v>159</v>
      </c>
      <c r="C9" s="56" t="s">
        <v>160</v>
      </c>
      <c r="D9" s="47" t="e">
        <f>('[1]Balance Sheet'!C7+'[1]Balance Sheet'!C20)/'[1]Balance Sheet'!C26</f>
        <v>#DIV/0!</v>
      </c>
      <c r="E9" s="47">
        <f>(SFP!D7+SFP!D20)/SFP!D26</f>
        <v>7.6562304165703671E-2</v>
      </c>
      <c r="F9" s="47">
        <f>(SFP!E7+SFP!E20)/SFP!E26</f>
        <v>7.9983812513395508E-2</v>
      </c>
      <c r="G9" s="47">
        <f>(SFP!F7+SFP!F20)/SFP!F26</f>
        <v>8.1481224037868699E-2</v>
      </c>
      <c r="H9" s="47">
        <f>(SFP!G7+SFP!G20)/SFP!G26</f>
        <v>7.5131308164932256E-2</v>
      </c>
      <c r="I9" s="47">
        <f>(SFP!H7+SFP!H20)/SFP!H26</f>
        <v>7.90530477837533E-2</v>
      </c>
      <c r="J9" s="47">
        <f>(SFP!I7+SFP!I20)/SFP!I26</f>
        <v>7.8407253064439478E-2</v>
      </c>
      <c r="K9" s="47">
        <f>(SFP!J7+SFP!J20)/SFP!J26</f>
        <v>8.8555430283343783E-2</v>
      </c>
      <c r="L9" s="47">
        <f>(SFP!K7+SFP!K20)/SFP!K26</f>
        <v>8.095242437259656E-2</v>
      </c>
      <c r="M9" s="47">
        <f>(SFP!L7+SFP!L20)/SFP!L26</f>
        <v>8.6018346763028525E-2</v>
      </c>
      <c r="N9" s="47">
        <f>(SFP!M7+SFP!M20)/SFP!M26</f>
        <v>7.5459787174911225E-2</v>
      </c>
      <c r="O9" s="47">
        <f>(SFP!N7+SFP!N20)/SFP!N26</f>
        <v>7.4946381388064337E-2</v>
      </c>
      <c r="P9" s="47">
        <f>(SFP!O7+SFP!O20)/SFP!O26</f>
        <v>7.0614822936468036E-2</v>
      </c>
      <c r="Q9" s="47">
        <f>(SFP!P7+SFP!P20)/SFP!P26</f>
        <v>7.6408859343101779E-2</v>
      </c>
      <c r="R9" s="47">
        <f>(SFP!Q7+SFP!Q20)/SFP!Q26</f>
        <v>7.5491810187180444E-2</v>
      </c>
      <c r="S9" s="47">
        <f>(SFP!R7+SFP!R20)/SFP!R26</f>
        <v>7.4061681684520556E-2</v>
      </c>
      <c r="T9" s="47">
        <f>(SFP!S7+SFP!S20)/SFP!S26</f>
        <v>7.014463455312607E-2</v>
      </c>
      <c r="U9" s="47">
        <f>(SFP!T7+SFP!T20)/SFP!T26</f>
        <v>7.3476636055339051E-2</v>
      </c>
      <c r="V9" s="47">
        <f>(SFP!U7+SFP!U20)/SFP!U26</f>
        <v>8.0079575399751426E-2</v>
      </c>
      <c r="W9" s="47">
        <f>(SFP!V7+SFP!V20)/SFP!V26</f>
        <v>8.171551156798447E-2</v>
      </c>
      <c r="X9" s="47">
        <f>(SFP!W7+SFP!W20)/SFP!W26</f>
        <v>8.1651985394030263E-2</v>
      </c>
      <c r="Y9" s="47">
        <f>(SFP!X7+SFP!X20)/SFP!X26</f>
        <v>7.9697490815239566E-2</v>
      </c>
      <c r="Z9" s="47">
        <f>(SFP!Y7+SFP!Y20)/SFP!Y26</f>
        <v>7.9991148406075532E-2</v>
      </c>
      <c r="AA9" s="47">
        <f>(SFP!Z7+SFP!Z20)/SFP!Z26</f>
        <v>8.5726763463871675E-2</v>
      </c>
      <c r="AB9" s="47">
        <f>(SFP!AA7+SFP!AA20)/SFP!AA26</f>
        <v>7.9750065977856402E-2</v>
      </c>
      <c r="AC9" s="47">
        <f>(SFP!AB7+SFP!AB20)/SFP!AB26</f>
        <v>7.871986075987647E-2</v>
      </c>
      <c r="AD9" s="47">
        <f>(SFP!AC7+SFP!AC20)/SFP!AC26</f>
        <v>8.0361961474461424E-2</v>
      </c>
      <c r="AE9" s="47">
        <f>(SFP!AD7+SFP!AD20)/SFP!AD26</f>
        <v>8.2385734200784932E-2</v>
      </c>
      <c r="AF9" s="47">
        <f>(SFP!AE7+SFP!AE20)/SFP!AE26</f>
        <v>8.4723982686720545E-2</v>
      </c>
      <c r="AG9" s="47">
        <f>(SFP!AF7+SFP!AF20)/SFP!AF26</f>
        <v>8.4998516119552253E-2</v>
      </c>
      <c r="AH9" s="47">
        <f>(SFP!AG7+SFP!AG20)/SFP!AG26</f>
        <v>8.7601567047568954E-2</v>
      </c>
      <c r="AI9" s="47">
        <f>(SFP!AH7+SFP!AH20)/SFP!AH26</f>
        <v>9.1269828826605517E-2</v>
      </c>
      <c r="AJ9" s="47">
        <f>(SFP!AI7+SFP!AI20)/SFP!AI26</f>
        <v>0.10006971084372859</v>
      </c>
      <c r="AK9" s="47">
        <f>(SFP!AJ7+SFP!AJ20)/SFP!AJ26</f>
        <v>9.9517175648648606E-2</v>
      </c>
      <c r="AL9" s="47">
        <f>(SFP!AK7+SFP!AK20)/SFP!AK26</f>
        <v>9.9076698208892533E-2</v>
      </c>
      <c r="AM9" s="47">
        <f>(SFP!AL7+SFP!AL20)/SFP!AL26</f>
        <v>0.10597424615601479</v>
      </c>
      <c r="AN9" s="47">
        <f>(SFP!AM7+SFP!AM20)/SFP!AM26</f>
        <v>9.6015671795071048E-2</v>
      </c>
      <c r="AO9" s="47">
        <f>(SFP!AN7+SFP!AN20)/SFP!AN26</f>
        <v>8.4494750678685407E-2</v>
      </c>
      <c r="AP9" s="47">
        <f>(SFP!AO7+SFP!AO20)/SFP!AO26</f>
        <v>8.4270215487347921E-2</v>
      </c>
      <c r="AQ9" s="47">
        <f>(SFP!AP7+SFP!AP20)/SFP!AP26</f>
        <v>8.4089924384245035E-2</v>
      </c>
      <c r="AR9" s="47">
        <f>(SFP!AQ7+SFP!AQ20)/SFP!AQ26</f>
        <v>8.2358814603742739E-2</v>
      </c>
      <c r="AS9" s="47">
        <f>(SFP!AR7+SFP!AR20)/SFP!AR26</f>
        <v>8.4995126372498786E-2</v>
      </c>
      <c r="AT9" s="47">
        <f>(SFP!AS7+SFP!AS20)/SFP!AS26</f>
        <v>8.7249901426299126E-2</v>
      </c>
      <c r="AU9" s="47">
        <f>(SFP!AT7+SFP!AT20)/SFP!AT26</f>
        <v>8.9359216412483622E-2</v>
      </c>
      <c r="AV9" s="47">
        <f>(SFP!AU7+SFP!AU20)/SFP!AU26</f>
        <v>9.1359902128768766E-2</v>
      </c>
      <c r="AW9" s="47">
        <f>(SFP!AV7+SFP!AV20)/SFP!AV26</f>
        <v>9.5913050292686181E-2</v>
      </c>
      <c r="AX9" s="47">
        <f>(SFP!AW7+SFP!AW20)/SFP!AW26</f>
        <v>9.7874361496094936E-2</v>
      </c>
      <c r="AY9" s="47">
        <f>(SFP!AX7+SFP!AX20)/SFP!AX26</f>
        <v>9.8799998298780015E-2</v>
      </c>
      <c r="AZ9" s="47" t="e">
        <f>(SFP!AY7+SFP!AY20)/SFP!AY26</f>
        <v>#DIV/0!</v>
      </c>
      <c r="BA9" s="47" t="e">
        <f>(SFP!AZ7+SFP!AZ20)/SFP!AZ26</f>
        <v>#DIV/0!</v>
      </c>
      <c r="BB9" s="47" t="e">
        <f>(SFP!BA7+SFP!BA20)/SFP!BA26</f>
        <v>#DIV/0!</v>
      </c>
      <c r="BC9" s="47" t="e">
        <f>(SFP!BB7+SFP!BB20)/SFP!BB26</f>
        <v>#DIV/0!</v>
      </c>
      <c r="BD9" s="47" t="e">
        <f>(SFP!BC7+SFP!BC20)/SFP!BC26</f>
        <v>#DIV/0!</v>
      </c>
      <c r="BE9" s="47" t="e">
        <f>(SFP!BD7+SFP!BD20)/SFP!BD26</f>
        <v>#DIV/0!</v>
      </c>
      <c r="BF9" s="47" t="e">
        <f>(SFP!BE7+SFP!BE20)/SFP!BE26</f>
        <v>#DIV/0!</v>
      </c>
      <c r="BG9" s="47" t="e">
        <f>(SFP!BF7+SFP!BF20)/SFP!BF26</f>
        <v>#DIV/0!</v>
      </c>
    </row>
    <row r="10" spans="1:59" ht="15" thickBot="1">
      <c r="A10" s="348"/>
      <c r="B10" s="48" t="s">
        <v>161</v>
      </c>
      <c r="C10" s="57" t="s">
        <v>162</v>
      </c>
      <c r="D10" s="51" t="e">
        <f>('[1]Balance Sheet'!C22+'[1]Balance Sheet'!C23)/'[1]Balance Sheet'!C26</f>
        <v>#DIV/0!</v>
      </c>
      <c r="E10" s="51">
        <f>(SFP!D22+SFP!D23)/SFP!D26</f>
        <v>4.697242393706378E-2</v>
      </c>
      <c r="F10" s="51">
        <f>(SFP!E22+SFP!E23)/SFP!E26</f>
        <v>4.6233091014456176E-2</v>
      </c>
      <c r="G10" s="51">
        <f>(SFP!F22+SFP!F23)/SFP!F26</f>
        <v>4.7792572085259243E-2</v>
      </c>
      <c r="H10" s="51">
        <f>(SFP!G22+SFP!G23)/SFP!G26</f>
        <v>4.6513285315873343E-2</v>
      </c>
      <c r="I10" s="51">
        <f>(SFP!H22+SFP!H23)/SFP!H26</f>
        <v>4.6308858674080758E-2</v>
      </c>
      <c r="J10" s="51">
        <f>(SFP!I22+SFP!I23)/SFP!I26</f>
        <v>4.4703606203035547E-2</v>
      </c>
      <c r="K10" s="51">
        <f>(SFP!J22+SFP!J23)/SFP!J26</f>
        <v>5.2896435917125048E-2</v>
      </c>
      <c r="L10" s="51">
        <f>(SFP!K22+SFP!K23)/SFP!K26</f>
        <v>5.2426677600318258E-2</v>
      </c>
      <c r="M10" s="51">
        <f>(SFP!L22+SFP!L23)/SFP!L26</f>
        <v>5.0103082516935869E-2</v>
      </c>
      <c r="N10" s="51">
        <f>(SFP!M22+SFP!M23)/SFP!M26</f>
        <v>4.8745325788168564E-2</v>
      </c>
      <c r="O10" s="51">
        <f>(SFP!N22+SFP!N23)/SFP!N26</f>
        <v>5.1870692659417232E-2</v>
      </c>
      <c r="P10" s="51">
        <f>(SFP!O22+SFP!O23)/SFP!O26</f>
        <v>2.49174638796298E-2</v>
      </c>
      <c r="Q10" s="51">
        <f>(SFP!P22+SFP!P23)/SFP!P26</f>
        <v>5.0756855092023614E-2</v>
      </c>
      <c r="R10" s="51">
        <f>(SFP!Q22+SFP!Q23)/SFP!Q26</f>
        <v>4.7209769267470239E-2</v>
      </c>
      <c r="S10" s="51">
        <f>(SFP!R22+SFP!R23)/SFP!R26</f>
        <v>4.7837415404026092E-2</v>
      </c>
      <c r="T10" s="51">
        <f>(SFP!S22+SFP!S23)/SFP!S26</f>
        <v>4.724660639078157E-2</v>
      </c>
      <c r="U10" s="51">
        <f>(SFP!T22+SFP!T23)/SFP!T26</f>
        <v>4.6767160367406607E-2</v>
      </c>
      <c r="V10" s="51">
        <f>(SFP!U22+SFP!U23)/SFP!U26</f>
        <v>4.912705901466826E-2</v>
      </c>
      <c r="W10" s="51">
        <f>(SFP!V22+SFP!V23)/SFP!V26</f>
        <v>4.8842749778922716E-2</v>
      </c>
      <c r="X10" s="51">
        <f>(SFP!W22+SFP!W23)/SFP!W26</f>
        <v>4.8804779105309837E-2</v>
      </c>
      <c r="Y10" s="51">
        <f>(SFP!X22+SFP!X23)/SFP!X26</f>
        <v>4.8087400156540706E-2</v>
      </c>
      <c r="Z10" s="51">
        <f>(SFP!Y22+SFP!Y23)/SFP!Y26</f>
        <v>4.8264585579931442E-2</v>
      </c>
      <c r="AA10" s="51">
        <f>(SFP!Z22+SFP!Z23)/SFP!Z26</f>
        <v>5.499486808989168E-2</v>
      </c>
      <c r="AB10" s="51">
        <f>(SFP!AA22+SFP!AA23)/SFP!AA26</f>
        <v>4.9514959572421836E-2</v>
      </c>
      <c r="AC10" s="51">
        <f>(SFP!AB22+SFP!AB23)/SFP!AB26</f>
        <v>2.1003050010930214E-2</v>
      </c>
      <c r="AD10" s="51">
        <f>(SFP!AC22+SFP!AC23)/SFP!AC26</f>
        <v>4.9170351816923689E-2</v>
      </c>
      <c r="AE10" s="51">
        <f>(SFP!AD22+SFP!AD23)/SFP!AD26</f>
        <v>4.9557469516003205E-2</v>
      </c>
      <c r="AF10" s="51">
        <f>(SFP!AE22+SFP!AE23)/SFP!AE26</f>
        <v>4.9848956240119639E-2</v>
      </c>
      <c r="AG10" s="51">
        <f>(SFP!AF22+SFP!AF23)/SFP!AF26</f>
        <v>4.9378702056517267E-2</v>
      </c>
      <c r="AH10" s="51">
        <f>(SFP!AG22+SFP!AG23)/SFP!AG26</f>
        <v>4.8479329536974231E-2</v>
      </c>
      <c r="AI10" s="51">
        <f>(SFP!AH22+SFP!AH23)/SFP!AH26</f>
        <v>4.925344750837473E-2</v>
      </c>
      <c r="AJ10" s="51">
        <f>(SFP!AI22+SFP!AI23)/SFP!AI26</f>
        <v>4.964069627011037E-2</v>
      </c>
      <c r="AK10" s="51">
        <f>(SFP!AJ22+SFP!AJ23)/SFP!AJ26</f>
        <v>5.0314446164401817E-2</v>
      </c>
      <c r="AL10" s="51">
        <f>(SFP!AK22+SFP!AK23)/SFP!AK26</f>
        <v>5.1041433148441076E-2</v>
      </c>
      <c r="AM10" s="51">
        <f>(SFP!AL22+SFP!AL23)/SFP!AL26</f>
        <v>5.0771060329891787E-2</v>
      </c>
      <c r="AN10" s="51">
        <f>(SFP!AM22+SFP!AM23)/SFP!AM26</f>
        <v>4.9341135258633977E-2</v>
      </c>
      <c r="AO10" s="51">
        <f>(SFP!AN22+SFP!AN23)/SFP!AN26</f>
        <v>2.983528123764689E-2</v>
      </c>
      <c r="AP10" s="51">
        <f>(SFP!AO22+SFP!AO23)/SFP!AO26</f>
        <v>2.0287311400681265E-2</v>
      </c>
      <c r="AQ10" s="51">
        <f>(SFP!AP22+SFP!AP23)/SFP!AP26</f>
        <v>4.5865425023452248E-2</v>
      </c>
      <c r="AR10" s="51">
        <f>(SFP!AQ22+SFP!AQ23)/SFP!AQ26</f>
        <v>4.6886611941815183E-2</v>
      </c>
      <c r="AS10" s="51">
        <f>(SFP!AR22+SFP!AR23)/SFP!AR26</f>
        <v>4.8229433422343447E-2</v>
      </c>
      <c r="AT10" s="51">
        <f>(SFP!AS22+SFP!AS23)/SFP!AS26</f>
        <v>3.2331750196010429E-2</v>
      </c>
      <c r="AU10" s="51">
        <f>(SFP!AT22+SFP!AT23)/SFP!AT26</f>
        <v>3.2670533616701296E-2</v>
      </c>
      <c r="AV10" s="51">
        <f>(SFP!AU22+SFP!AU23)/SFP!AU26</f>
        <v>3.3085622578948787E-2</v>
      </c>
      <c r="AW10" s="51">
        <f>(SFP!AV22+SFP!AV23)/SFP!AV26</f>
        <v>2.8959815137886934E-2</v>
      </c>
      <c r="AX10" s="51">
        <f>(SFP!AW22+SFP!AW23)/SFP!AW26</f>
        <v>3.0012659867858147E-2</v>
      </c>
      <c r="AY10" s="51">
        <f>(SFP!AX22+SFP!AX23)/SFP!AX26</f>
        <v>2.9942020037243125E-2</v>
      </c>
      <c r="AZ10" s="51" t="e">
        <f>(SFP!AY22+SFP!AY23)/SFP!AY26</f>
        <v>#DIV/0!</v>
      </c>
      <c r="BA10" s="51" t="e">
        <f>(SFP!AZ22+SFP!AZ23)/SFP!AZ26</f>
        <v>#DIV/0!</v>
      </c>
      <c r="BB10" s="51" t="e">
        <f>(SFP!BA22+SFP!BA23)/SFP!BA26</f>
        <v>#DIV/0!</v>
      </c>
      <c r="BC10" s="51" t="e">
        <f>(SFP!BB22+SFP!BB23)/SFP!BB26</f>
        <v>#DIV/0!</v>
      </c>
      <c r="BD10" s="51" t="e">
        <f>(SFP!BC22+SFP!BC23)/SFP!BC26</f>
        <v>#DIV/0!</v>
      </c>
      <c r="BE10" s="51" t="e">
        <f>(SFP!BD22+SFP!BD23)/SFP!BD26</f>
        <v>#DIV/0!</v>
      </c>
      <c r="BF10" s="51" t="e">
        <f>(SFP!BE22+SFP!BE23)/SFP!BE26</f>
        <v>#DIV/0!</v>
      </c>
      <c r="BG10" s="51" t="e">
        <f>(SFP!BF22+SFP!BF23)/SFP!BF26</f>
        <v>#DIV/0!</v>
      </c>
    </row>
    <row r="11" spans="1:59">
      <c r="A11" s="346" t="s">
        <v>163</v>
      </c>
      <c r="B11" s="42" t="s">
        <v>164</v>
      </c>
      <c r="C11" s="58" t="s">
        <v>162</v>
      </c>
      <c r="D11" s="59" t="e">
        <f>'[1]Balance Sheet'!C12/'[1]Balance Sheet'!C30</f>
        <v>#DIV/0!</v>
      </c>
      <c r="E11" s="59">
        <f>SFP!D12/SFP!D30</f>
        <v>2.7319252747673537E-4</v>
      </c>
      <c r="F11" s="59">
        <f>SFP!E12/SFP!E30</f>
        <v>2.6686877093498655E-4</v>
      </c>
      <c r="G11" s="59">
        <f>SFP!F12/SFP!F30</f>
        <v>2.5388623252211689E-4</v>
      </c>
      <c r="H11" s="59">
        <f>SFP!G12/SFP!G30</f>
        <v>2.4788055243350375E-4</v>
      </c>
      <c r="I11" s="59">
        <f>SFP!H12/SFP!H30</f>
        <v>2.4215606370690007E-4</v>
      </c>
      <c r="J11" s="59">
        <f>SFP!I12/SFP!I30</f>
        <v>2.4163084214631682E-4</v>
      </c>
      <c r="K11" s="59">
        <f>SFP!J12/SFP!J30</f>
        <v>2.307177141141674E-4</v>
      </c>
      <c r="L11" s="59">
        <f>SFP!K12/SFP!K30</f>
        <v>2.3062140700493569E-4</v>
      </c>
      <c r="M11" s="59">
        <f>SFP!L12/SFP!L30</f>
        <v>2.1876557102670801E-4</v>
      </c>
      <c r="N11" s="59">
        <f>SFP!M12/SFP!M30</f>
        <v>2.1770340719642179E-4</v>
      </c>
      <c r="O11" s="59">
        <f>SFP!N12/SFP!N30</f>
        <v>2.3602030787870068E-4</v>
      </c>
      <c r="P11" s="59">
        <f>SFP!O12/SFP!O30</f>
        <v>2.4048616618117851E-4</v>
      </c>
      <c r="Q11" s="59">
        <f>SFP!P12/SFP!P30</f>
        <v>2.451171985546464E-4</v>
      </c>
      <c r="R11" s="59">
        <f>SFP!Q12/SFP!Q30</f>
        <v>2.3662999670879902E-4</v>
      </c>
      <c r="S11" s="59">
        <f>SFP!R12/SFP!R30</f>
        <v>2.2742426758037371E-4</v>
      </c>
      <c r="T11" s="59">
        <f>SFP!S12/SFP!S30</f>
        <v>2.2454519996271331E-4</v>
      </c>
      <c r="U11" s="59">
        <f>SFP!T12/SFP!T30</f>
        <v>2.22881440414572E-4</v>
      </c>
      <c r="V11" s="59">
        <f>SFP!U12/SFP!U30</f>
        <v>2.2355262008438509E-4</v>
      </c>
      <c r="W11" s="59">
        <f>SFP!V12/SFP!V30</f>
        <v>2.2772963403552176E-4</v>
      </c>
      <c r="X11" s="59">
        <f>SFP!W12/SFP!W30</f>
        <v>2.257754095360022E-4</v>
      </c>
      <c r="Y11" s="59">
        <f>SFP!X12/SFP!X30</f>
        <v>2.1705340024708174E-4</v>
      </c>
      <c r="Z11" s="59">
        <f>SFP!Y12/SFP!Y30</f>
        <v>2.2078531345395185E-4</v>
      </c>
      <c r="AA11" s="59">
        <f>SFP!Z12/SFP!Z30</f>
        <v>2.1653639610370024E-4</v>
      </c>
      <c r="AB11" s="59">
        <f>SFP!AA12/SFP!AA30</f>
        <v>2.1674131419885934E-4</v>
      </c>
      <c r="AC11" s="59">
        <f>SFP!AB12/SFP!AB30</f>
        <v>0</v>
      </c>
      <c r="AD11" s="59">
        <f>SFP!AC12/SFP!AC30</f>
        <v>0</v>
      </c>
      <c r="AE11" s="59">
        <f>SFP!AD12/SFP!AD30</f>
        <v>0</v>
      </c>
      <c r="AF11" s="59">
        <f>SFP!AE12/SFP!AE30</f>
        <v>0</v>
      </c>
      <c r="AG11" s="59">
        <f>SFP!AF12/SFP!AF30</f>
        <v>0</v>
      </c>
      <c r="AH11" s="59">
        <f>SFP!AG12/SFP!AG30</f>
        <v>0</v>
      </c>
      <c r="AI11" s="59">
        <f>SFP!AH12/SFP!AH30</f>
        <v>0</v>
      </c>
      <c r="AJ11" s="59">
        <f>SFP!AI12/SFP!AI30</f>
        <v>2.0636562711229582E-4</v>
      </c>
      <c r="AK11" s="59">
        <f>SFP!AJ12/SFP!AJ30</f>
        <v>2.0980157185908658E-4</v>
      </c>
      <c r="AL11" s="59">
        <f>SFP!AK12/SFP!AK30</f>
        <v>2.2248229820533047E-4</v>
      </c>
      <c r="AM11" s="59">
        <f>SFP!AL12/SFP!AL30</f>
        <v>2.2638852989520839E-4</v>
      </c>
      <c r="AN11" s="59">
        <f>SFP!AM12/SFP!AM30</f>
        <v>2.1579414262674887E-4</v>
      </c>
      <c r="AO11" s="59">
        <f>SFP!AN12/SFP!AN30</f>
        <v>2.1461348846981763E-4</v>
      </c>
      <c r="AP11" s="59">
        <f>SFP!AO12/SFP!AO30</f>
        <v>0</v>
      </c>
      <c r="AQ11" s="59">
        <f>SFP!AP12/SFP!AP30</f>
        <v>2.1250054862702693E-4</v>
      </c>
      <c r="AR11" s="59">
        <f>SFP!AQ12/SFP!AQ30</f>
        <v>2.0327236918821472E-4</v>
      </c>
      <c r="AS11" s="59">
        <f>SFP!AR12/SFP!AR30</f>
        <v>2.0115850037073996E-4</v>
      </c>
      <c r="AT11" s="59">
        <f>SFP!AS12/SFP!AS30</f>
        <v>2.0239447918066206E-4</v>
      </c>
      <c r="AU11" s="59">
        <f>SFP!AT12/SFP!AT30</f>
        <v>2.0618636390963959E-4</v>
      </c>
      <c r="AV11" s="59">
        <f>SFP!AU12/SFP!AU30</f>
        <v>2.0404573326332709E-4</v>
      </c>
      <c r="AW11" s="59">
        <f>SFP!AV12/SFP!AV30</f>
        <v>0</v>
      </c>
      <c r="AX11" s="59">
        <f>SFP!AW12/SFP!AW30</f>
        <v>0</v>
      </c>
      <c r="AY11" s="59">
        <f>SFP!AX12/SFP!AX30</f>
        <v>0</v>
      </c>
      <c r="AZ11" s="59" t="e">
        <f>SFP!AY12/SFP!AY30</f>
        <v>#DIV/0!</v>
      </c>
      <c r="BA11" s="59" t="e">
        <f>SFP!AZ12/SFP!AZ30</f>
        <v>#DIV/0!</v>
      </c>
      <c r="BB11" s="59" t="e">
        <f>SFP!BA12/SFP!BA30</f>
        <v>#DIV/0!</v>
      </c>
      <c r="BC11" s="59" t="e">
        <f>SFP!BB12/SFP!BB30</f>
        <v>#DIV/0!</v>
      </c>
      <c r="BD11" s="59" t="e">
        <f>SFP!BC12/SFP!BC30</f>
        <v>#DIV/0!</v>
      </c>
      <c r="BE11" s="59" t="e">
        <f>SFP!BD12/SFP!BD30</f>
        <v>#DIV/0!</v>
      </c>
      <c r="BF11" s="59" t="e">
        <f>SFP!BE12/SFP!BE30</f>
        <v>#DIV/0!</v>
      </c>
      <c r="BG11" s="59" t="e">
        <f>SFP!BF12/SFP!BF30</f>
        <v>#DIV/0!</v>
      </c>
    </row>
    <row r="12" spans="1:59">
      <c r="A12" s="347"/>
      <c r="B12" s="60" t="s">
        <v>165</v>
      </c>
      <c r="C12" s="61" t="s">
        <v>166</v>
      </c>
      <c r="D12" s="62" t="e">
        <f>'[1]Balance Sheet'!C12/[1]Financials!B13</f>
        <v>#DIV/0!</v>
      </c>
      <c r="E12" s="63">
        <f>SFP!D12/Financials!C13</f>
        <v>4.8874403128360824E-4</v>
      </c>
      <c r="F12" s="63">
        <f>SFP!E12/Financials!D13</f>
        <v>4.8550228129817948E-4</v>
      </c>
      <c r="G12" s="63">
        <f>SFP!F12/Financials!E13</f>
        <v>6.8098092280851567E-4</v>
      </c>
      <c r="H12" s="63">
        <f>SFP!G12/Financials!F13</f>
        <v>6.7001477651258126E-4</v>
      </c>
      <c r="I12" s="63">
        <f>SFP!H12/Financials!G13</f>
        <v>5.9012700169984564E-4</v>
      </c>
      <c r="J12" s="63">
        <f>SFP!I12/Financials!H13</f>
        <v>6.063738581275341E-4</v>
      </c>
      <c r="K12" s="63">
        <f>SFP!J12/Financials!I13</f>
        <v>6.0759339789362942E-4</v>
      </c>
      <c r="L12" s="63">
        <f>SFP!K12/Financials!J13</f>
        <v>5.841744611133255E-4</v>
      </c>
      <c r="M12" s="63">
        <f>SFP!L12/Financials!K13</f>
        <v>5.4998176403465711E-4</v>
      </c>
      <c r="N12" s="63">
        <f>SFP!M12/Financials!L13</f>
        <v>5.2326351283575416E-4</v>
      </c>
      <c r="O12" s="63">
        <f>SFP!N12/Financials!M13</f>
        <v>1.1030764836220514E-3</v>
      </c>
      <c r="P12" s="63">
        <f>SFP!O12/Financials!N13</f>
        <v>1.0373092243231054E-3</v>
      </c>
      <c r="Q12" s="63">
        <f>SFP!P12/Financials!O13</f>
        <v>7.4781575764052712E-4</v>
      </c>
      <c r="R12" s="63">
        <f>SFP!Q12/Financials!P13</f>
        <v>9.6564333157411698E-4</v>
      </c>
      <c r="S12" s="63">
        <f>SFP!R12/Financials!Q13</f>
        <v>9.2810900799731178E-4</v>
      </c>
      <c r="T12" s="63">
        <f>SFP!S12/Financials!R13</f>
        <v>7.7320366984831189E-4</v>
      </c>
      <c r="U12" s="63">
        <f>SFP!T12/Financials!S13</f>
        <v>7.547000832030359E-4</v>
      </c>
      <c r="V12" s="63">
        <f>SFP!U12/Financials!T13</f>
        <v>7.3786982910797568E-4</v>
      </c>
      <c r="W12" s="63">
        <f>SFP!V12/Financials!U13</f>
        <v>6.6456951039966323E-4</v>
      </c>
      <c r="X12" s="63">
        <f>SFP!W12/Financials!V13</f>
        <v>6.806095740533412E-4</v>
      </c>
      <c r="Y12" s="63">
        <f>SFP!X12/Financials!W13</f>
        <v>6.5624352807971791E-4</v>
      </c>
      <c r="Z12" s="63">
        <f>SFP!Y12/Financials!X13</f>
        <v>6.3430556318628346E-4</v>
      </c>
      <c r="AA12" s="63">
        <f>SFP!Z12/Financials!Y13</f>
        <v>6.1043281817218945E-4</v>
      </c>
      <c r="AB12" s="63">
        <f>SFP!AA12/Financials!Z13</f>
        <v>5.6365610834400288E-4</v>
      </c>
      <c r="AC12" s="63">
        <f>SFP!AB12/Financials!AA13</f>
        <v>0</v>
      </c>
      <c r="AD12" s="63">
        <f>SFP!AC12/Financials!AB13</f>
        <v>0</v>
      </c>
      <c r="AE12" s="63">
        <f>SFP!AD12/Financials!AC13</f>
        <v>0</v>
      </c>
      <c r="AF12" s="63">
        <f>SFP!AE12/Financials!AD13</f>
        <v>0</v>
      </c>
      <c r="AG12" s="63">
        <f>SFP!AF12/Financials!AE13</f>
        <v>0</v>
      </c>
      <c r="AH12" s="63">
        <f>SFP!AG12/Financials!AF13</f>
        <v>0</v>
      </c>
      <c r="AI12" s="63">
        <f>SFP!AH12/Financials!AG13</f>
        <v>0</v>
      </c>
      <c r="AJ12" s="63">
        <f>SFP!AI12/Financials!AH13</f>
        <v>6.6051832550719099E-4</v>
      </c>
      <c r="AK12" s="63">
        <f>SFP!AJ12/Financials!AI13</f>
        <v>6.6193549144700397E-4</v>
      </c>
      <c r="AL12" s="63">
        <f>SFP!AK12/Financials!AJ13</f>
        <v>6.863179118187637E-4</v>
      </c>
      <c r="AM12" s="63">
        <f>SFP!AL12/Financials!AK13</f>
        <v>6.3850403655571497E-4</v>
      </c>
      <c r="AN12" s="63">
        <f>SFP!AM12/Financials!AL13</f>
        <v>5.9164836095529935E-4</v>
      </c>
      <c r="AO12" s="63">
        <f>SFP!AN12/Financials!AM13</f>
        <v>5.2510686138885023E-4</v>
      </c>
      <c r="AP12" s="63">
        <f>SFP!AO12/Financials!AN13</f>
        <v>0</v>
      </c>
      <c r="AQ12" s="63">
        <f>SFP!AP12/Financials!AO13</f>
        <v>6.1255254436592944E-4</v>
      </c>
      <c r="AR12" s="63">
        <f>SFP!AQ12/Financials!AP13</f>
        <v>6.0288622481966664E-4</v>
      </c>
      <c r="AS12" s="63">
        <f>SFP!AR12/Financials!AQ13</f>
        <v>5.9654182007438006E-4</v>
      </c>
      <c r="AT12" s="63">
        <f>SFP!AS12/Financials!AR13</f>
        <v>5.897081709912975E-4</v>
      </c>
      <c r="AU12" s="63">
        <f>SFP!AT12/Financials!AS13</f>
        <v>5.8060081181029728E-4</v>
      </c>
      <c r="AV12" s="63">
        <f>SFP!AU12/Financials!AT13</f>
        <v>5.6739268046579255E-4</v>
      </c>
      <c r="AW12" s="63">
        <f>SFP!AV12/Financials!AU13</f>
        <v>0</v>
      </c>
      <c r="AX12" s="63">
        <f>SFP!AW12/Financials!AV13</f>
        <v>0</v>
      </c>
      <c r="AY12" s="63">
        <f>SFP!AX12/Financials!AW13</f>
        <v>0</v>
      </c>
      <c r="AZ12" s="63" t="e">
        <f>SFP!AY12/Financials!AX13</f>
        <v>#DIV/0!</v>
      </c>
      <c r="BA12" s="63" t="e">
        <f>SFP!AZ12/Financials!AY13</f>
        <v>#DIV/0!</v>
      </c>
      <c r="BB12" s="63" t="e">
        <f>SFP!BA12/Financials!AZ13</f>
        <v>#DIV/0!</v>
      </c>
      <c r="BC12" s="63" t="e">
        <f>SFP!BB12/Financials!BA13</f>
        <v>#DIV/0!</v>
      </c>
      <c r="BD12" s="63" t="e">
        <f>SFP!BC12/Financials!BB13</f>
        <v>#DIV/0!</v>
      </c>
      <c r="BE12" s="63" t="e">
        <f>SFP!BD12/Financials!BC13</f>
        <v>#DIV/0!</v>
      </c>
      <c r="BF12" s="63" t="e">
        <f>SFP!BE12/Financials!BD13</f>
        <v>#DIV/0!</v>
      </c>
      <c r="BG12" s="63" t="e">
        <f>SFP!BF12/Financials!BE13</f>
        <v>#DIV/0!</v>
      </c>
    </row>
    <row r="13" spans="1:59">
      <c r="A13" s="347"/>
      <c r="B13" s="64" t="s">
        <v>167</v>
      </c>
      <c r="C13" s="65"/>
      <c r="D13" s="47" t="e">
        <f>[1]Financials!B31/[1]Financials!B5</f>
        <v>#DIV/0!</v>
      </c>
      <c r="E13" s="47">
        <f>Financials!C31/Financials!C5</f>
        <v>0.71237920552903389</v>
      </c>
      <c r="F13" s="47">
        <f>Financials!D31/Financials!D5</f>
        <v>0.71611313049262637</v>
      </c>
      <c r="G13" s="47">
        <f>Financials!E31/Financials!E5</f>
        <v>0.71089374582756237</v>
      </c>
      <c r="H13" s="47">
        <f>Financials!F31/Financials!F5</f>
        <v>0.69049423949580302</v>
      </c>
      <c r="I13" s="47">
        <f>Financials!G31/Financials!G5</f>
        <v>0.70795436579415738</v>
      </c>
      <c r="J13" s="47">
        <f>Financials!H31/Financials!H5</f>
        <v>0.68922215999994008</v>
      </c>
      <c r="K13" s="47">
        <f>Financials!I31/Financials!I5</f>
        <v>0.72425127478602014</v>
      </c>
      <c r="L13" s="47">
        <f>Financials!J31/Financials!J5</f>
        <v>0.73045189058768534</v>
      </c>
      <c r="M13" s="47">
        <f>Financials!K31/Financials!K5</f>
        <v>0.72079159620732236</v>
      </c>
      <c r="N13" s="47">
        <f>Financials!L31/Financials!L5</f>
        <v>0.7115464823623564</v>
      </c>
      <c r="O13" s="47">
        <f>Financials!M31/Financials!M5</f>
        <v>0.69946401542340131</v>
      </c>
      <c r="P13" s="47">
        <f>Financials!N31/Financials!N5</f>
        <v>0.72035428647211941</v>
      </c>
      <c r="Q13" s="47">
        <f>Financials!O31/Financials!O5</f>
        <v>0.72482786973966928</v>
      </c>
      <c r="R13" s="47">
        <f>Financials!P31/Financials!P5</f>
        <v>0.71999953427272745</v>
      </c>
      <c r="S13" s="47">
        <f>Financials!Q31/Financials!Q5</f>
        <v>0.7278623862917446</v>
      </c>
      <c r="T13" s="47">
        <f>Financials!R31/Financials!R5</f>
        <v>0.7190843367245856</v>
      </c>
      <c r="U13" s="47">
        <f>Financials!S31/Financials!S5</f>
        <v>0.72450883971090718</v>
      </c>
      <c r="V13" s="47">
        <f>Financials!T31/Financials!T5</f>
        <v>0.72893589230739131</v>
      </c>
      <c r="W13" s="47">
        <f>Financials!U31/Financials!U5</f>
        <v>0.74365445911995498</v>
      </c>
      <c r="X13" s="47">
        <f>Financials!V31/Financials!V5</f>
        <v>0.75242671263545002</v>
      </c>
      <c r="Y13" s="47">
        <f>Financials!W31/Financials!W5</f>
        <v>0.72539454604142983</v>
      </c>
      <c r="Z13" s="47">
        <f>Financials!X31/Financials!X5</f>
        <v>0.74072019374759746</v>
      </c>
      <c r="AA13" s="47">
        <f>Financials!Y31/Financials!Y5</f>
        <v>0.72347568157126996</v>
      </c>
      <c r="AB13" s="47">
        <f>Financials!Z31/Financials!Z5</f>
        <v>0.7041661457013606</v>
      </c>
      <c r="AC13" s="47">
        <f>Financials!AA31/Financials!AA5</f>
        <v>0.70694328738038925</v>
      </c>
      <c r="AD13" s="47">
        <f>Financials!AB31/Financials!AB5</f>
        <v>0.70224680139376283</v>
      </c>
      <c r="AE13" s="47">
        <f>Financials!AC31/Financials!AC5</f>
        <v>0.70755020350973008</v>
      </c>
      <c r="AF13" s="47">
        <f>Financials!AD31/Financials!AD5</f>
        <v>0.71827732093780461</v>
      </c>
      <c r="AG13" s="47">
        <f>Financials!AE31/Financials!AE5</f>
        <v>0.72924232794993893</v>
      </c>
      <c r="AH13" s="47">
        <f>Financials!AF31/Financials!AF5</f>
        <v>0.73843665797705893</v>
      </c>
      <c r="AI13" s="47">
        <f>Financials!AG31/Financials!AG5</f>
        <v>0.73447462485569504</v>
      </c>
      <c r="AJ13" s="47">
        <f>Financials!AH31/Financials!AH5</f>
        <v>0.74178019562846997</v>
      </c>
      <c r="AK13" s="47">
        <f>Financials!AI31/Financials!AI5</f>
        <v>0.73954322039656428</v>
      </c>
      <c r="AL13" s="47">
        <f>Financials!AJ31/Financials!AJ5</f>
        <v>0.74753926708016816</v>
      </c>
      <c r="AM13" s="47">
        <f>Financials!AK31/Financials!AK5</f>
        <v>0.73974038164934564</v>
      </c>
      <c r="AN13" s="47">
        <f>Financials!AL31/Financials!AL5</f>
        <v>0.76042028328543765</v>
      </c>
      <c r="AO13" s="47">
        <f>Financials!AM31/Financials!AM5</f>
        <v>0.74111590554678997</v>
      </c>
      <c r="AP13" s="47">
        <f>Financials!AN31/Financials!AN5</f>
        <v>0.73919626634700764</v>
      </c>
      <c r="AQ13" s="47">
        <f>Financials!AO31/Financials!AO5</f>
        <v>0.73698952411926422</v>
      </c>
      <c r="AR13" s="47">
        <f>Financials!AP31/Financials!AP5</f>
        <v>0.74108239567035883</v>
      </c>
      <c r="AS13" s="47">
        <f>Financials!AQ31/Financials!AQ5</f>
        <v>0.73634787492513099</v>
      </c>
      <c r="AT13" s="47">
        <f>Financials!AR31/Financials!AR5</f>
        <v>0.73802106501007037</v>
      </c>
      <c r="AU13" s="47">
        <f>Financials!AS31/Financials!AS5</f>
        <v>0.7490532366964755</v>
      </c>
      <c r="AV13" s="47">
        <f>Financials!AT31/Financials!AT5</f>
        <v>0.740892757422415</v>
      </c>
      <c r="AW13" s="47">
        <f>Financials!AU31/Financials!AU5</f>
        <v>0.73814368427470745</v>
      </c>
      <c r="AX13" s="47">
        <f>Financials!AV31/Financials!AV5</f>
        <v>0.74498071223566797</v>
      </c>
      <c r="AY13" s="47">
        <f>Financials!AW31/Financials!AW5</f>
        <v>0.7331067758471328</v>
      </c>
      <c r="AZ13" s="47" t="e">
        <f>Financials!AX31/Financials!AX5</f>
        <v>#DIV/0!</v>
      </c>
      <c r="BA13" s="47" t="e">
        <f>Financials!AY31/Financials!AY5</f>
        <v>#DIV/0!</v>
      </c>
      <c r="BB13" s="47" t="e">
        <f>Financials!AZ31/Financials!AZ5</f>
        <v>#DIV/0!</v>
      </c>
      <c r="BC13" s="47" t="e">
        <f>Financials!BA31/Financials!BA5</f>
        <v>#DIV/0!</v>
      </c>
      <c r="BD13" s="47" t="e">
        <f>Financials!BB31/Financials!BB5</f>
        <v>#DIV/0!</v>
      </c>
      <c r="BE13" s="47" t="e">
        <f>Financials!BC31/Financials!BC5</f>
        <v>#DIV/0!</v>
      </c>
      <c r="BF13" s="47" t="e">
        <f>Financials!BD31/Financials!BD5</f>
        <v>#DIV/0!</v>
      </c>
      <c r="BG13" s="47" t="e">
        <f>Financials!BE31/Financials!BE5</f>
        <v>#DIV/0!</v>
      </c>
    </row>
    <row r="14" spans="1:59">
      <c r="A14" s="347"/>
      <c r="B14" s="45" t="s">
        <v>168</v>
      </c>
      <c r="C14" s="54"/>
      <c r="D14" s="47" t="e">
        <f>'[1]Income Statement'!C38/[1]Financials!B5</f>
        <v>#DIV/0!</v>
      </c>
      <c r="E14" s="47">
        <f>SCI!D38/Financials!C5</f>
        <v>8.7734229713681677E-3</v>
      </c>
      <c r="F14" s="47">
        <f>SCI!E38/Financials!D5</f>
        <v>9.4848653461684484E-3</v>
      </c>
      <c r="G14" s="47">
        <f>SCI!F38/Financials!E5</f>
        <v>1.7232457828023403E-2</v>
      </c>
      <c r="H14" s="47">
        <f>SCI!G38/Financials!F5</f>
        <v>1.9520834946589911E-2</v>
      </c>
      <c r="I14" s="47">
        <f>SCI!H38/Financials!G5</f>
        <v>1.8262771352138777E-2</v>
      </c>
      <c r="J14" s="47">
        <f>SCI!I38/Financials!H5</f>
        <v>1.3786667563492564E-2</v>
      </c>
      <c r="K14" s="47">
        <f>SCI!J38/Financials!I5</f>
        <v>1.1591267253643013E-2</v>
      </c>
      <c r="L14" s="47">
        <f>SCI!K38/Financials!J5</f>
        <v>1.7197185730585179E-2</v>
      </c>
      <c r="M14" s="47">
        <f>SCI!L38/Financials!K5</f>
        <v>2.5892441164953175E-2</v>
      </c>
      <c r="N14" s="47">
        <f>SCI!M38/Financials!L5</f>
        <v>3.3923769137473948E-2</v>
      </c>
      <c r="O14" s="47">
        <f>SCI!N38/Financials!M5</f>
        <v>7.3367910861167299E-2</v>
      </c>
      <c r="P14" s="47">
        <f>SCI!O38/Financials!N5</f>
        <v>-9.0230506529519916E-2</v>
      </c>
      <c r="Q14" s="47">
        <f>SCI!P38/Financials!O5</f>
        <v>4.3914339471204144E-3</v>
      </c>
      <c r="R14" s="47">
        <f>SCI!Q38/Financials!P5</f>
        <v>5.6800017166197527E-3</v>
      </c>
      <c r="S14" s="47">
        <f>SCI!R38/Financials!Q5</f>
        <v>1.2906116439339638E-2</v>
      </c>
      <c r="T14" s="47">
        <f>SCI!S38/Financials!R5</f>
        <v>1.9353243286914398E-2</v>
      </c>
      <c r="U14" s="47">
        <f>SCI!T38/Financials!S5</f>
        <v>2.3735320779764611E-2</v>
      </c>
      <c r="V14" s="47">
        <f>SCI!U38/Financials!T5</f>
        <v>2.825954126445035E-2</v>
      </c>
      <c r="W14" s="47">
        <f>SCI!V38/Financials!U5</f>
        <v>3.3179091167689023E-2</v>
      </c>
      <c r="X14" s="47">
        <f>SCI!W38/Financials!V5</f>
        <v>3.6290945042006056E-2</v>
      </c>
      <c r="Y14" s="47">
        <f>SCI!X38/Financials!W5</f>
        <v>4.3058939237829164E-2</v>
      </c>
      <c r="Z14" s="47">
        <f>SCI!Y38/Financials!X5</f>
        <v>5.1041126211024544E-2</v>
      </c>
      <c r="AA14" s="47">
        <f>SCI!Z38/Financials!Y5</f>
        <v>5.8946122010900437E-2</v>
      </c>
      <c r="AB14" s="47">
        <f>SCI!AA38/Financials!Z5</f>
        <v>6.9740302214730626E-2</v>
      </c>
      <c r="AC14" s="47">
        <f>SCI!AB38/Financials!AA5</f>
        <v>2.0569736267214749E-2</v>
      </c>
      <c r="AD14" s="47">
        <f>SCI!AC38/Financials!AB5</f>
        <v>1.9120634263110148E-3</v>
      </c>
      <c r="AE14" s="47">
        <f>SCI!AD38/Financials!AC5</f>
        <v>6.1505510187393284E-3</v>
      </c>
      <c r="AF14" s="47">
        <f>SCI!AE38/Financials!AD5</f>
        <v>8.8347486518706043E-3</v>
      </c>
      <c r="AG14" s="47">
        <f>SCI!AF38/Financials!AE5</f>
        <v>4.2723040327296924E-3</v>
      </c>
      <c r="AH14" s="47">
        <f>SCI!AG38/Financials!AF5</f>
        <v>5.6544734307622966E-3</v>
      </c>
      <c r="AI14" s="47">
        <f>SCI!AH38/Financials!AG5</f>
        <v>6.3191641563519101E-3</v>
      </c>
      <c r="AJ14" s="47">
        <f>SCI!AI38/Financials!AH5</f>
        <v>7.3759974776467429E-3</v>
      </c>
      <c r="AK14" s="47">
        <f>SCI!AJ38/Financials!AI5</f>
        <v>5.9589440872865121E-3</v>
      </c>
      <c r="AL14" s="47">
        <f>SCI!AK38/Financials!AJ5</f>
        <v>8.0077695351947649E-3</v>
      </c>
      <c r="AM14" s="47">
        <f>SCI!AL38/Financials!AK5</f>
        <v>2.6008302811953168E-2</v>
      </c>
      <c r="AN14" s="47">
        <f>SCI!AM38/Financials!AL5</f>
        <v>4.1578685416091658E-2</v>
      </c>
      <c r="AO14" s="47">
        <f>SCI!AN38/Financials!AM5</f>
        <v>6.2805500730329825E-2</v>
      </c>
      <c r="AP14" s="47">
        <f>SCI!AO38/Financials!AN5</f>
        <v>2.3426518512703345E-2</v>
      </c>
      <c r="AQ14" s="47">
        <f>SCI!AP38/Financials!AO5</f>
        <v>2.6043993373825042E-3</v>
      </c>
      <c r="AR14" s="47">
        <f>SCI!AQ38/Financials!AP5</f>
        <v>6.5172470618250818E-3</v>
      </c>
      <c r="AS14" s="47">
        <f>SCI!AR38/Financials!AQ5</f>
        <v>7.6627615725109264E-3</v>
      </c>
      <c r="AT14" s="47">
        <f>SCI!AS38/Financials!AR5</f>
        <v>7.1033620653887042E-3</v>
      </c>
      <c r="AU14" s="47">
        <f>SCI!AT38/Financials!AS5</f>
        <v>3.3725192051265729E-2</v>
      </c>
      <c r="AV14" s="47">
        <f>SCI!AU38/Financials!AT5</f>
        <v>1.6055780158295261E-2</v>
      </c>
      <c r="AW14" s="47">
        <f>SCI!AV38/Financials!AU5</f>
        <v>2.2633272513363376E-2</v>
      </c>
      <c r="AX14" s="47">
        <f>SCI!AW38/Financials!AV5</f>
        <v>2.4145965035612196E-2</v>
      </c>
      <c r="AY14" s="47">
        <f>SCI!AX38/Financials!AW5</f>
        <v>1.9568693207068135E-2</v>
      </c>
      <c r="AZ14" s="47" t="e">
        <f>SCI!AY38/Financials!AX5</f>
        <v>#DIV/0!</v>
      </c>
      <c r="BA14" s="47" t="e">
        <f>SCI!AZ38/Financials!AY5</f>
        <v>#DIV/0!</v>
      </c>
      <c r="BB14" s="47" t="e">
        <f>SCI!BA38/Financials!AZ5</f>
        <v>#DIV/0!</v>
      </c>
      <c r="BC14" s="47" t="e">
        <f>SCI!BB38/Financials!BA5</f>
        <v>#DIV/0!</v>
      </c>
      <c r="BD14" s="47" t="e">
        <f>SCI!BC38/Financials!BB5</f>
        <v>#DIV/0!</v>
      </c>
      <c r="BE14" s="47" t="e">
        <f>SCI!BD38/Financials!BC5</f>
        <v>#DIV/0!</v>
      </c>
      <c r="BF14" s="47" t="e">
        <f>SCI!BE38/Financials!BD5</f>
        <v>#DIV/0!</v>
      </c>
      <c r="BG14" s="47" t="e">
        <f>SCI!BF38/Financials!BE5</f>
        <v>#DIV/0!</v>
      </c>
    </row>
    <row r="15" spans="1:59">
      <c r="A15" s="347"/>
      <c r="B15" s="45" t="s">
        <v>169</v>
      </c>
      <c r="C15" s="54"/>
      <c r="D15" s="47" t="e">
        <f>'[1]Income Statement'!C24/('[1]Income Statement'!C20-'[1]Income Statement'!C22)</f>
        <v>#DIV/0!</v>
      </c>
      <c r="E15" s="47">
        <f>SCI!D24/(SCI!D20-SCI!D22)</f>
        <v>0.60291343072895298</v>
      </c>
      <c r="F15" s="47">
        <f>SCI!E24/(SCI!E20-SCI!E22)</f>
        <v>0.56420054663991559</v>
      </c>
      <c r="G15" s="47">
        <f>SCI!F24/(SCI!F20-SCI!F22)</f>
        <v>0.52322454673105667</v>
      </c>
      <c r="H15" s="47">
        <f>SCI!G24/(SCI!G20-SCI!G22)</f>
        <v>0.54505238354338958</v>
      </c>
      <c r="I15" s="47">
        <f>SCI!H24/(SCI!H20-SCI!H22)</f>
        <v>0.61952161937303207</v>
      </c>
      <c r="J15" s="47">
        <f>SCI!I24/(SCI!I20-SCI!I22)</f>
        <v>0.7386561912592845</v>
      </c>
      <c r="K15" s="47">
        <f>SCI!J24/(SCI!J20-SCI!J22)</f>
        <v>0.81154861906037401</v>
      </c>
      <c r="L15" s="47">
        <f>SCI!K24/(SCI!K20-SCI!K22)</f>
        <v>0.76949415500076002</v>
      </c>
      <c r="M15" s="47">
        <f>SCI!L24/(SCI!L20-SCI!L22)</f>
        <v>0.70228033250540389</v>
      </c>
      <c r="N15" s="47">
        <f>SCI!M24/(SCI!M20-SCI!M22)</f>
        <v>0.66476403886662583</v>
      </c>
      <c r="O15" s="47">
        <f>SCI!N24/(SCI!N20-SCI!N22)</f>
        <v>0.48900635091309597</v>
      </c>
      <c r="P15" s="47">
        <f>SCI!O24/(SCI!O20-SCI!O22)</f>
        <v>-47.212717280414005</v>
      </c>
      <c r="Q15" s="47">
        <f>SCI!P24/(SCI!P20-SCI!P22)</f>
        <v>0.51803492979438392</v>
      </c>
      <c r="R15" s="47">
        <f>SCI!Q24/(SCI!Q20-SCI!Q22)</f>
        <v>0.68983188761333247</v>
      </c>
      <c r="S15" s="47">
        <f>SCI!R24/(SCI!R20-SCI!R22)</f>
        <v>0.5925165339022872</v>
      </c>
      <c r="T15" s="47">
        <f>SCI!S24/(SCI!S20-SCI!S22)</f>
        <v>0.56119395821567486</v>
      </c>
      <c r="U15" s="47">
        <f>SCI!T24/(SCI!T20-SCI!T22)</f>
        <v>0.55174726255042383</v>
      </c>
      <c r="V15" s="47">
        <f>SCI!U24/(SCI!U20-SCI!U22)</f>
        <v>0.54992883882706622</v>
      </c>
      <c r="W15" s="47">
        <f>SCI!V24/(SCI!V20-SCI!V22)</f>
        <v>0.54259543010052502</v>
      </c>
      <c r="X15" s="47">
        <f>SCI!W24/(SCI!W20-SCI!W22)</f>
        <v>0.55237935454232867</v>
      </c>
      <c r="Y15" s="47">
        <f>SCI!X24/(SCI!X20-SCI!X22)</f>
        <v>0.52630054248900293</v>
      </c>
      <c r="Z15" s="47">
        <f>SCI!Y24/(SCI!Y20-SCI!Y22)</f>
        <v>0.51792524094390324</v>
      </c>
      <c r="AA15" s="47">
        <f>SCI!Z24/(SCI!Z20-SCI!Z22)</f>
        <v>0.4976887910342887</v>
      </c>
      <c r="AB15" s="47">
        <f>SCI!AA24/(SCI!AA20-SCI!AA22)</f>
        <v>0.5049049361729433</v>
      </c>
      <c r="AC15" s="47">
        <f>SCI!AB24/(SCI!AB20-SCI!AB22)</f>
        <v>0.76433933662841758</v>
      </c>
      <c r="AD15" s="47">
        <f>SCI!AC24/(SCI!AC20-SCI!AC22)</f>
        <v>0.69459707473285381</v>
      </c>
      <c r="AE15" s="47">
        <f>SCI!AD24/(SCI!AD20-SCI!AD22)</f>
        <v>0.65099279998222925</v>
      </c>
      <c r="AF15" s="47">
        <f>SCI!AE24/(SCI!AE20-SCI!AE22)</f>
        <v>0.67169565145001731</v>
      </c>
      <c r="AG15" s="47">
        <f>SCI!AF24/(SCI!AF20-SCI!AF22)</f>
        <v>0.85261855412583143</v>
      </c>
      <c r="AH15" s="47">
        <f>SCI!AG24/(SCI!AG20-SCI!AG22)</f>
        <v>0.84474451490220104</v>
      </c>
      <c r="AI15" s="47">
        <f>SCI!AH24/(SCI!AH20-SCI!AH22)</f>
        <v>0.85198496852717998</v>
      </c>
      <c r="AJ15" s="47">
        <f>SCI!AI24/(SCI!AI20-SCI!AI22)</f>
        <v>0.85104038023706263</v>
      </c>
      <c r="AK15" s="47">
        <f>SCI!AJ24/(SCI!AJ20-SCI!AJ22)</f>
        <v>0.89187016984200451</v>
      </c>
      <c r="AL15" s="47">
        <f>SCI!AK24/(SCI!AK20-SCI!AK22)</f>
        <v>0.8802749967571617</v>
      </c>
      <c r="AM15" s="47">
        <f>SCI!AL24/(SCI!AL20-SCI!AL22)</f>
        <v>0.69393780207762457</v>
      </c>
      <c r="AN15" s="47">
        <f>SCI!AM24/(SCI!AM20-SCI!AM22)</f>
        <v>0.58168042466478909</v>
      </c>
      <c r="AO15" s="47">
        <f>SCI!AN24/(SCI!AN20-SCI!AN22)</f>
        <v>0.54657128311055969</v>
      </c>
      <c r="AP15" s="47">
        <f>SCI!AO24/(SCI!AO20-SCI!AO22)</f>
        <v>0.75324641624788236</v>
      </c>
      <c r="AQ15" s="47">
        <f>SCI!AP24/(SCI!AP20-SCI!AP22)</f>
        <v>0.68035693283001653</v>
      </c>
      <c r="AR15" s="47">
        <f>SCI!AQ24/(SCI!AQ20-SCI!AQ22)</f>
        <v>0.67212689838307182</v>
      </c>
      <c r="AS15" s="47">
        <f>SCI!AR24/(SCI!AR20-SCI!AR22)</f>
        <v>0.7208684844353167</v>
      </c>
      <c r="AT15" s="47">
        <f>SCI!AS24/(SCI!AS20-SCI!AS22)</f>
        <v>0.90767883862964516</v>
      </c>
      <c r="AU15" s="47">
        <f>SCI!AT24/(SCI!AT20-SCI!AT22)</f>
        <v>0.69919030472829435</v>
      </c>
      <c r="AV15" s="47">
        <f>SCI!AU24/(SCI!AU20-SCI!AU22)</f>
        <v>0.69762693449703028</v>
      </c>
      <c r="AW15" s="47">
        <f>SCI!AV24/(SCI!AV20-SCI!AV22)</f>
        <v>0.6562352991651661</v>
      </c>
      <c r="AX15" s="47">
        <f>SCI!AW24/(SCI!AW20-SCI!AW22)</f>
        <v>0.67304489705149817</v>
      </c>
      <c r="AY15" s="47">
        <f>SCI!AX24/(SCI!AX20-SCI!AX22)</f>
        <v>0.73525881110368618</v>
      </c>
      <c r="AZ15" s="47" t="e">
        <f>SCI!AY24/(SCI!AY20-SCI!AY22)</f>
        <v>#DIV/0!</v>
      </c>
      <c r="BA15" s="47" t="e">
        <f>SCI!AZ24/(SCI!AZ20-SCI!AZ22)</f>
        <v>#DIV/0!</v>
      </c>
      <c r="BB15" s="47" t="e">
        <f>SCI!BA24/(SCI!BA20-SCI!BA22)</f>
        <v>#DIV/0!</v>
      </c>
      <c r="BC15" s="47" t="e">
        <f>SCI!BB24/(SCI!BB20-SCI!BB22)</f>
        <v>#DIV/0!</v>
      </c>
      <c r="BD15" s="47" t="e">
        <f>SCI!BC24/(SCI!BC20-SCI!BC22)</f>
        <v>#DIV/0!</v>
      </c>
      <c r="BE15" s="47" t="e">
        <f>SCI!BD24/(SCI!BD20-SCI!BD22)</f>
        <v>#DIV/0!</v>
      </c>
      <c r="BF15" s="47" t="e">
        <f>SCI!BE24/(SCI!BE20-SCI!BE22)</f>
        <v>#DIV/0!</v>
      </c>
      <c r="BG15" s="47" t="e">
        <f>SCI!BF24/(SCI!BF20-SCI!BF22)</f>
        <v>#DIV/0!</v>
      </c>
    </row>
    <row r="16" spans="1:59" ht="15" thickBot="1">
      <c r="A16" s="348"/>
      <c r="B16" s="48" t="s">
        <v>170</v>
      </c>
      <c r="C16" s="48"/>
      <c r="D16" s="51" t="e">
        <f>'[1]Income Statement'!C24/'[1]Income Statement'!C4</f>
        <v>#DIV/0!</v>
      </c>
      <c r="E16" s="51">
        <f>SCI!D24/SCI!D4</f>
        <v>0.57965751045517144</v>
      </c>
      <c r="F16" s="51">
        <f>SCI!E24/SCI!E4</f>
        <v>0.48232842353312944</v>
      </c>
      <c r="G16" s="51">
        <f>SCI!F24/SCI!F4</f>
        <v>0.48772794978265627</v>
      </c>
      <c r="H16" s="51">
        <f>SCI!G24/SCI!G4</f>
        <v>0.47513102280169595</v>
      </c>
      <c r="I16" s="51">
        <f>SCI!H24/SCI!H4</f>
        <v>0.49131602490931686</v>
      </c>
      <c r="J16" s="51">
        <f>SCI!I24/SCI!I4</f>
        <v>0.53342715795401596</v>
      </c>
      <c r="K16" s="51">
        <f>SCI!J24/SCI!J4</f>
        <v>0.52328804989102351</v>
      </c>
      <c r="L16" s="51">
        <f>SCI!K24/SCI!K4</f>
        <v>0.54155657656329315</v>
      </c>
      <c r="M16" s="51">
        <f>SCI!L24/SCI!L4</f>
        <v>0.53433904087835926</v>
      </c>
      <c r="N16" s="51">
        <f>SCI!M24/SCI!M4</f>
        <v>0.54104920942157175</v>
      </c>
      <c r="O16" s="51">
        <f>SCI!N24/SCI!N4</f>
        <v>0.4599526646151309</v>
      </c>
      <c r="P16" s="51">
        <f>SCI!O24/SCI!O4</f>
        <v>2.0003349678950095</v>
      </c>
      <c r="Q16" s="51">
        <f>SCI!P24/SCI!P4</f>
        <v>0.37441673920181123</v>
      </c>
      <c r="R16" s="51">
        <f>SCI!Q24/SCI!Q4</f>
        <v>0.5275254717240061</v>
      </c>
      <c r="S16" s="51">
        <f>SCI!R24/SCI!R4</f>
        <v>0.51304274249736992</v>
      </c>
      <c r="T16" s="51">
        <f>SCI!S24/SCI!S4</f>
        <v>0.51476143233134686</v>
      </c>
      <c r="U16" s="51">
        <f>SCI!T24/SCI!T4</f>
        <v>0.49507175135153936</v>
      </c>
      <c r="V16" s="51">
        <f>SCI!U24/SCI!U4</f>
        <v>0.49041000198780743</v>
      </c>
      <c r="W16" s="51">
        <f>SCI!V24/SCI!V4</f>
        <v>0.4821107433678184</v>
      </c>
      <c r="X16" s="51">
        <f>SCI!W24/SCI!W4</f>
        <v>0.47885685563683095</v>
      </c>
      <c r="Y16" s="51">
        <f>SCI!X24/SCI!X4</f>
        <v>0.46841276631755968</v>
      </c>
      <c r="Z16" s="51">
        <f>SCI!Y24/SCI!Y4</f>
        <v>0.47881761156385538</v>
      </c>
      <c r="AA16" s="51">
        <f>SCI!Z24/SCI!Z4</f>
        <v>0.46890462447726283</v>
      </c>
      <c r="AB16" s="51">
        <f>SCI!AA24/SCI!AA4</f>
        <v>0.49333651125932132</v>
      </c>
      <c r="AC16" s="51">
        <f>SCI!AB24/SCI!AB4</f>
        <v>0.53464855605455508</v>
      </c>
      <c r="AD16" s="51">
        <f>SCI!AC24/SCI!AC4</f>
        <v>0.3762825987885563</v>
      </c>
      <c r="AE16" s="51">
        <f>SCI!AD24/SCI!AD4</f>
        <v>0.4807315245212106</v>
      </c>
      <c r="AF16" s="51">
        <f>SCI!AE24/SCI!AE4</f>
        <v>0.50227938791577675</v>
      </c>
      <c r="AG16" s="51">
        <f>SCI!AF24/SCI!AF4</f>
        <v>0.54501375238636751</v>
      </c>
      <c r="AH16" s="51">
        <f>SCI!AG24/SCI!AG4</f>
        <v>0.54633955814073532</v>
      </c>
      <c r="AI16" s="51">
        <f>SCI!AH24/SCI!AH4</f>
        <v>0.54465895332146474</v>
      </c>
      <c r="AJ16" s="51">
        <f>SCI!AI24/SCI!AI4</f>
        <v>0.54430162778641411</v>
      </c>
      <c r="AK16" s="51">
        <f>SCI!AJ24/SCI!AJ4</f>
        <v>0.54667357756625146</v>
      </c>
      <c r="AL16" s="51">
        <f>SCI!AK24/SCI!AK4</f>
        <v>0.57530984126702589</v>
      </c>
      <c r="AM16" s="51">
        <f>SCI!AL24/SCI!AL4</f>
        <v>0.51855757622776355</v>
      </c>
      <c r="AN16" s="51">
        <f>SCI!AM24/SCI!AM4</f>
        <v>0.48370469272773969</v>
      </c>
      <c r="AO16" s="51">
        <f>SCI!AN24/SCI!AN4</f>
        <v>0.52123335995383935</v>
      </c>
      <c r="AP16" s="51">
        <f>SCI!AO24/SCI!AO4</f>
        <v>0.54356623897448197</v>
      </c>
      <c r="AQ16" s="51">
        <f>SCI!AP24/SCI!AP4</f>
        <v>0.46550204134647855</v>
      </c>
      <c r="AR16" s="51">
        <f>SCI!AQ24/SCI!AQ4</f>
        <v>0.5390919382074234</v>
      </c>
      <c r="AS16" s="51">
        <f>SCI!AR24/SCI!AR4</f>
        <v>0.53315707078000152</v>
      </c>
      <c r="AT16" s="51">
        <f>SCI!AS24/SCI!AS4</f>
        <v>0.43270732681010776</v>
      </c>
      <c r="AU16" s="51">
        <f>SCI!AT24/SCI!AT4</f>
        <v>0.37665697952598232</v>
      </c>
      <c r="AV16" s="51">
        <f>SCI!AU24/SCI!AU4</f>
        <v>0.49634564118652663</v>
      </c>
      <c r="AW16" s="51">
        <f>SCI!AV24/SCI!AV4</f>
        <v>0.48979457953244671</v>
      </c>
      <c r="AX16" s="51">
        <f>SCI!AW24/SCI!AW4</f>
        <v>0.49663218767409789</v>
      </c>
      <c r="AY16" s="51">
        <f>SCI!AX24/SCI!AX4</f>
        <v>0.56260257940153802</v>
      </c>
      <c r="AZ16" s="51" t="e">
        <f>SCI!AY24/SCI!AY4</f>
        <v>#DIV/0!</v>
      </c>
      <c r="BA16" s="51" t="e">
        <f>SCI!AZ24/SCI!AZ4</f>
        <v>#DIV/0!</v>
      </c>
      <c r="BB16" s="51" t="e">
        <f>SCI!BA24/SCI!BA4</f>
        <v>#DIV/0!</v>
      </c>
      <c r="BC16" s="51" t="e">
        <f>SCI!BB24/SCI!BB4</f>
        <v>#DIV/0!</v>
      </c>
      <c r="BD16" s="51" t="e">
        <f>SCI!BC24/SCI!BC4</f>
        <v>#DIV/0!</v>
      </c>
      <c r="BE16" s="51" t="e">
        <f>SCI!BD24/SCI!BD4</f>
        <v>#DIV/0!</v>
      </c>
      <c r="BF16" s="51" t="e">
        <f>SCI!BE24/SCI!BE4</f>
        <v>#DIV/0!</v>
      </c>
      <c r="BG16" s="51" t="e">
        <f>SCI!BF24/SCI!BF4</f>
        <v>#DIV/0!</v>
      </c>
    </row>
    <row r="17" spans="1:59">
      <c r="A17" s="346" t="s">
        <v>171</v>
      </c>
      <c r="B17" s="42" t="s">
        <v>172</v>
      </c>
      <c r="C17" s="43" t="s">
        <v>173</v>
      </c>
      <c r="D17" s="66" t="e">
        <f>'[1]Balance Sheet'!C5/'[1]Balance Sheet'!C28</f>
        <v>#DIV/0!</v>
      </c>
      <c r="E17" s="66">
        <f>SFP!D5/SFP!D28</f>
        <v>5.28774691216152E-2</v>
      </c>
      <c r="F17" s="66">
        <f>SFP!E5/SFP!E28</f>
        <v>5.3447738977547565E-2</v>
      </c>
      <c r="G17" s="66">
        <f>SFP!F5/SFP!F28</f>
        <v>5.457870734262367E-2</v>
      </c>
      <c r="H17" s="66">
        <f>SFP!G5/SFP!G28</f>
        <v>5.4494525380558857E-2</v>
      </c>
      <c r="I17" s="66">
        <f>SFP!H5/SFP!H28</f>
        <v>6.5724192176750657E-2</v>
      </c>
      <c r="J17" s="66">
        <f>SFP!I5/SFP!I28</f>
        <v>8.0537381606024916E-2</v>
      </c>
      <c r="K17" s="66">
        <f>SFP!J5/SFP!J28</f>
        <v>5.5305816158092498E-2</v>
      </c>
      <c r="L17" s="66">
        <f>SFP!K5/SFP!K28</f>
        <v>6.4009737826173016E-2</v>
      </c>
      <c r="M17" s="66">
        <f>SFP!L5/SFP!L28</f>
        <v>4.7035804680112911E-2</v>
      </c>
      <c r="N17" s="66">
        <f>SFP!M5/SFP!M28</f>
        <v>4.964816340385525E-2</v>
      </c>
      <c r="O17" s="66">
        <f>SFP!N5/SFP!N28</f>
        <v>0.54072692976306191</v>
      </c>
      <c r="P17" s="66" t="e">
        <f>SFP!O5/SFP!O28</f>
        <v>#DIV/0!</v>
      </c>
      <c r="Q17" s="66">
        <f>SFP!P5/SFP!P29</f>
        <v>3.6689408693395618E-2</v>
      </c>
      <c r="R17" s="66">
        <f>SFP!Q5/SFP!Q29</f>
        <v>4.031079354151812E-2</v>
      </c>
      <c r="S17" s="66">
        <f>SFP!R5/SFP!R29</f>
        <v>5.8309862858394373E-2</v>
      </c>
      <c r="T17" s="66">
        <f>SFP!S5/SFP!S29</f>
        <v>0.10521949726244374</v>
      </c>
      <c r="U17" s="66">
        <f>SFP!T5/SFP!T29</f>
        <v>7.9513948334040824E-2</v>
      </c>
      <c r="V17" s="66">
        <f>SFP!U5/SFP!U29</f>
        <v>9.569463152574309E-2</v>
      </c>
      <c r="W17" s="66">
        <f>SFP!V5/SFP!V29</f>
        <v>6.1894014701830126E-2</v>
      </c>
      <c r="X17" s="66">
        <f>SFP!W5/SFP!W29</f>
        <v>7.9983977893462163E-2</v>
      </c>
      <c r="Y17" s="66">
        <f>SFP!X5/SFP!X29</f>
        <v>0.10928820733921919</v>
      </c>
      <c r="Z17" s="66">
        <f>SFP!Y5/SFP!Y29</f>
        <v>4.469326124653758E-2</v>
      </c>
      <c r="AA17" s="66">
        <f>SFP!Z5/SFP!Z29</f>
        <v>9.3455572085810193E-2</v>
      </c>
      <c r="AB17" s="66">
        <f>SFP!AA5/SFP!AA29</f>
        <v>7.8880964066204942E-2</v>
      </c>
      <c r="AC17" s="66">
        <f>SFP!AB5/SFP!AB29</f>
        <v>5.8198507744015242E-2</v>
      </c>
      <c r="AD17" s="66">
        <f>SFP!AC5/SFP!AC29</f>
        <v>7.1909188229095089E-2</v>
      </c>
      <c r="AE17" s="66">
        <f>SFP!AD5/SFP!AD29</f>
        <v>4.9469254800858495E-2</v>
      </c>
      <c r="AF17" s="66">
        <f>SFP!AE5/SFP!AE29</f>
        <v>6.6544003163529528E-2</v>
      </c>
      <c r="AG17" s="66">
        <f>SFP!AF5/SFP!AF29</f>
        <v>5.2255692973510126E-2</v>
      </c>
      <c r="AH17" s="66">
        <f>SFP!AG5/SFP!AG29</f>
        <v>3.0750528213247093E-2</v>
      </c>
      <c r="AI17" s="66">
        <f>SFP!AH5/SFP!AH29</f>
        <v>8.3489864842094724E-2</v>
      </c>
      <c r="AJ17" s="66">
        <f>SFP!AI5/SFP!AI29</f>
        <v>6.8477646650924193E-2</v>
      </c>
      <c r="AK17" s="66">
        <f>SFP!AJ5/SFP!AJ29</f>
        <v>6.9254086239711285E-2</v>
      </c>
      <c r="AL17" s="66">
        <f>SFP!AK5/SFP!AK29</f>
        <v>3.4401473776202195E-2</v>
      </c>
      <c r="AM17" s="66">
        <f>SFP!AL5/SFP!AL29</f>
        <v>5.5849092554744448E-2</v>
      </c>
      <c r="AN17" s="66">
        <f>SFP!AM5/SFP!AM29</f>
        <v>7.5909807780610544E-2</v>
      </c>
      <c r="AO17" s="66">
        <f>SFP!AN5/SFP!AN29</f>
        <v>5.4943254396020567E-2</v>
      </c>
      <c r="AP17" s="66">
        <f>SFP!AO5/SFP!AO29</f>
        <v>5.4943254426828632E-2</v>
      </c>
      <c r="AQ17" s="66">
        <f>SFP!AP5/SFP!AP29</f>
        <v>5.0270531218150838E-2</v>
      </c>
      <c r="AR17" s="66">
        <f>SFP!AQ5/SFP!AQ29</f>
        <v>4.7689612217786073E-2</v>
      </c>
      <c r="AS17" s="66">
        <f>SFP!AR5/SFP!AR29</f>
        <v>6.3606114963464827E-2</v>
      </c>
      <c r="AT17" s="66">
        <f>SFP!AS5/SFP!AS29</f>
        <v>3.9593195351204549E-2</v>
      </c>
      <c r="AU17" s="66">
        <f>SFP!AT5/SFP!AT29</f>
        <v>7.6248377876667758E-2</v>
      </c>
      <c r="AV17" s="66">
        <f>SFP!AU5/SFP!AU29</f>
        <v>5.9226307126423926E-2</v>
      </c>
      <c r="AW17" s="66">
        <f>SFP!AV5/SFP!AV29</f>
        <v>7.5171240814641382E-2</v>
      </c>
      <c r="AX17" s="66">
        <f>SFP!AW5/SFP!AW29</f>
        <v>5.3516678181318333E-2</v>
      </c>
      <c r="AY17" s="66">
        <f>SFP!AX5/SFP!AX29</f>
        <v>4.765633735038393E-2</v>
      </c>
      <c r="AZ17" s="66" t="e">
        <f>SFP!AY5/SFP!AY29</f>
        <v>#DIV/0!</v>
      </c>
      <c r="BA17" s="66" t="e">
        <f>SFP!AZ5/SFP!AZ29</f>
        <v>#DIV/0!</v>
      </c>
      <c r="BB17" s="66" t="e">
        <f>SFP!BA5/SFP!BA29</f>
        <v>#DIV/0!</v>
      </c>
      <c r="BC17" s="66" t="e">
        <f>SFP!BB5/SFP!BB29</f>
        <v>#DIV/0!</v>
      </c>
      <c r="BD17" s="66" t="e">
        <f>SFP!BC5/SFP!BC29</f>
        <v>#DIV/0!</v>
      </c>
      <c r="BE17" s="66" t="e">
        <f>SFP!BD5/SFP!BD29</f>
        <v>#DIV/0!</v>
      </c>
      <c r="BF17" s="66" t="e">
        <f>SFP!BE5/SFP!BE29</f>
        <v>#DIV/0!</v>
      </c>
      <c r="BG17" s="66" t="e">
        <f>SFP!BF5/SFP!BF29</f>
        <v>#DIV/0!</v>
      </c>
    </row>
    <row r="18" spans="1:59" ht="15" thickBot="1">
      <c r="A18" s="348"/>
      <c r="B18" s="48" t="s">
        <v>174</v>
      </c>
      <c r="C18" s="48"/>
      <c r="D18" s="51" t="e">
        <f>'[1]Balance Sheet'!C5/'[1]Balance Sheet'!C30</f>
        <v>#DIV/0!</v>
      </c>
      <c r="E18" s="51">
        <f>SFP!D5/SFP!D30</f>
        <v>2.6588795534843102E-2</v>
      </c>
      <c r="F18" s="51">
        <f>SFP!E5/SFP!E30</f>
        <v>2.6591311386626838E-2</v>
      </c>
      <c r="G18" s="51">
        <f>SFP!F5/SFP!F30</f>
        <v>2.6335194217093877E-2</v>
      </c>
      <c r="H18" s="51">
        <f>SFP!G5/SFP!G30</f>
        <v>2.6115302366381193E-2</v>
      </c>
      <c r="I18" s="51">
        <f>SFP!H5/SFP!H30</f>
        <v>3.1267439706154927E-2</v>
      </c>
      <c r="J18" s="51">
        <f>SFP!I5/SFP!I30</f>
        <v>3.9014214411136741E-2</v>
      </c>
      <c r="K18" s="51">
        <f>SFP!J5/SFP!J30</f>
        <v>2.6396109543906015E-2</v>
      </c>
      <c r="L18" s="51">
        <f>SFP!K5/SFP!K30</f>
        <v>3.0937918356784753E-2</v>
      </c>
      <c r="M18" s="51">
        <f>SFP!L5/SFP!L30</f>
        <v>2.1929834474327479E-2</v>
      </c>
      <c r="N18" s="51">
        <f>SFP!M5/SFP!M30</f>
        <v>2.3273539205652033E-2</v>
      </c>
      <c r="O18" s="51">
        <f>SFP!N5/SFP!N30</f>
        <v>3.5421033074904622E-2</v>
      </c>
      <c r="P18" s="51">
        <f>SFP!O5/SFP!O30</f>
        <v>3.6145886243758273E-2</v>
      </c>
      <c r="Q18" s="51">
        <f>SFP!P5/SFP!P30</f>
        <v>1.9906043458120568E-2</v>
      </c>
      <c r="R18" s="51">
        <f>SFP!Q5/SFP!Q30</f>
        <v>2.1585926095223713E-2</v>
      </c>
      <c r="S18" s="51">
        <f>SFP!R5/SFP!R30</f>
        <v>3.0418256293036031E-2</v>
      </c>
      <c r="T18" s="51">
        <f>SFP!S5/SFP!S30</f>
        <v>5.5128419143962486E-2</v>
      </c>
      <c r="U18" s="51">
        <f>SFP!T5/SFP!T30</f>
        <v>4.1988803260689662E-2</v>
      </c>
      <c r="V18" s="51">
        <f>SFP!U5/SFP!U30</f>
        <v>5.1544526210572053E-2</v>
      </c>
      <c r="W18" s="51">
        <f>SFP!V5/SFP!V30</f>
        <v>3.3826214542652285E-2</v>
      </c>
      <c r="X18" s="51">
        <f>SFP!W5/SFP!W30</f>
        <v>4.3995938701195378E-2</v>
      </c>
      <c r="Y18" s="51">
        <f>SFP!X5/SFP!X30</f>
        <v>5.8495786806045995E-2</v>
      </c>
      <c r="Z18" s="51">
        <f>SFP!Y5/SFP!Y30</f>
        <v>2.4522793365024342E-2</v>
      </c>
      <c r="AA18" s="51">
        <f>SFP!Z5/SFP!Z30</f>
        <v>5.0845497785892022E-2</v>
      </c>
      <c r="AB18" s="51">
        <f>SFP!AA5/SFP!AA30</f>
        <v>4.2904951820332986E-2</v>
      </c>
      <c r="AC18" s="51">
        <f>SFP!AB5/SFP!AB30</f>
        <v>3.1512648865808505E-2</v>
      </c>
      <c r="AD18" s="51">
        <f>SFP!AC5/SFP!AC30</f>
        <v>3.9191745578344747E-2</v>
      </c>
      <c r="AE18" s="51">
        <f>SFP!AD5/SFP!AD30</f>
        <v>2.6132380482780992E-2</v>
      </c>
      <c r="AF18" s="51">
        <f>SFP!AE5/SFP!AE30</f>
        <v>3.6037406446106507E-2</v>
      </c>
      <c r="AG18" s="51">
        <f>SFP!AF5/SFP!AF30</f>
        <v>2.828704863652429E-2</v>
      </c>
      <c r="AH18" s="51">
        <f>SFP!AG5/SFP!AG30</f>
        <v>1.6820641990654216E-2</v>
      </c>
      <c r="AI18" s="51">
        <f>SFP!AH5/SFP!AH30</f>
        <v>4.6060665686205482E-2</v>
      </c>
      <c r="AJ18" s="51">
        <f>SFP!AI5/SFP!AI30</f>
        <v>3.8345472251983509E-2</v>
      </c>
      <c r="AK18" s="51">
        <f>SFP!AJ5/SFP!AJ30</f>
        <v>3.9852913713949702E-2</v>
      </c>
      <c r="AL18" s="51">
        <f>SFP!AK5/SFP!AK30</f>
        <v>2.0216458816249519E-2</v>
      </c>
      <c r="AM18" s="51">
        <f>SFP!AL5/SFP!AL30</f>
        <v>3.3449920850181947E-2</v>
      </c>
      <c r="AN18" s="51">
        <f>SFP!AM5/SFP!AM30</f>
        <v>4.3630241179192467E-2</v>
      </c>
      <c r="AO18" s="51">
        <f>SFP!AN5/SFP!AN30</f>
        <v>3.106844844314122E-2</v>
      </c>
      <c r="AP18" s="51">
        <f>SFP!AO5/SFP!AO30</f>
        <v>3.1068448460525113E-2</v>
      </c>
      <c r="AQ18" s="51">
        <f>SFP!AP5/SFP!AP30</f>
        <v>2.8729384596086108E-2</v>
      </c>
      <c r="AR18" s="51">
        <f>SFP!AQ5/SFP!AQ30</f>
        <v>2.6457177748502356E-2</v>
      </c>
      <c r="AS18" s="51">
        <f>SFP!AR5/SFP!AR30</f>
        <v>3.5616643289572737E-2</v>
      </c>
      <c r="AT18" s="51">
        <f>SFP!AS5/SFP!AS30</f>
        <v>2.2591911065835271E-2</v>
      </c>
      <c r="AU18" s="51">
        <f>SFP!AT5/SFP!AT30</f>
        <v>4.4482161302721403E-2</v>
      </c>
      <c r="AV18" s="51">
        <f>SFP!AU5/SFP!AU30</f>
        <v>3.4535978545900271E-2</v>
      </c>
      <c r="AW18" s="51">
        <f>SFP!AV5/SFP!AV30</f>
        <v>4.4248187368846725E-2</v>
      </c>
      <c r="AX18" s="51">
        <f>SFP!AW5/SFP!AW30</f>
        <v>3.1319976670834235E-2</v>
      </c>
      <c r="AY18" s="51">
        <f>SFP!AX5/SFP!AX30</f>
        <v>2.838648751469499E-2</v>
      </c>
      <c r="AZ18" s="51" t="e">
        <f>SFP!AY5/SFP!AY30</f>
        <v>#DIV/0!</v>
      </c>
      <c r="BA18" s="51" t="e">
        <f>SFP!AZ5/SFP!AZ30</f>
        <v>#DIV/0!</v>
      </c>
      <c r="BB18" s="51" t="e">
        <f>SFP!BA5/SFP!BA30</f>
        <v>#DIV/0!</v>
      </c>
      <c r="BC18" s="51" t="e">
        <f>SFP!BB5/SFP!BB30</f>
        <v>#DIV/0!</v>
      </c>
      <c r="BD18" s="51" t="e">
        <f>SFP!BC5/SFP!BC30</f>
        <v>#DIV/0!</v>
      </c>
      <c r="BE18" s="51" t="e">
        <f>SFP!BD5/SFP!BD30</f>
        <v>#DIV/0!</v>
      </c>
      <c r="BF18" s="51" t="e">
        <f>SFP!BE5/SFP!BE30</f>
        <v>#DIV/0!</v>
      </c>
      <c r="BG18" s="51" t="e">
        <f>SFP!BF5/SFP!BF30</f>
        <v>#DIV/0!</v>
      </c>
    </row>
  </sheetData>
  <mergeCells count="4">
    <mergeCell ref="A3:A6"/>
    <mergeCell ref="A7:A10"/>
    <mergeCell ref="A11:A16"/>
    <mergeCell ref="A17:A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FC0B-FCFE-4896-A632-CEE1A7781D8E}">
  <sheetPr>
    <pageSetUpPr fitToPage="1"/>
  </sheetPr>
  <dimension ref="A1:AC59"/>
  <sheetViews>
    <sheetView zoomScale="80" zoomScaleNormal="80" workbookViewId="0">
      <pane xSplit="1" ySplit="4" topLeftCell="B32" activePane="bottomRight" state="frozen"/>
      <selection pane="bottomRight" activeCell="AE40" sqref="AE40"/>
      <selection pane="bottomLeft" activeCell="A5" sqref="A5"/>
      <selection pane="topRight" activeCell="B1" sqref="B1"/>
    </sheetView>
  </sheetViews>
  <sheetFormatPr defaultRowHeight="14.45"/>
  <cols>
    <col min="1" max="1" width="49.5703125" style="107" customWidth="1"/>
    <col min="2" max="2" width="12.28515625" style="138" customWidth="1"/>
    <col min="3" max="4" width="16.28515625" style="107" hidden="1" customWidth="1"/>
    <col min="5" max="10" width="14.7109375" style="107" hidden="1" customWidth="1"/>
    <col min="11" max="13" width="14.85546875" style="107" hidden="1" customWidth="1"/>
    <col min="14" max="14" width="14.7109375" style="107" hidden="1" customWidth="1"/>
    <col min="15" max="15" width="14.5703125" style="107" hidden="1" customWidth="1"/>
    <col min="16" max="16" width="15.85546875" style="107" hidden="1" customWidth="1"/>
    <col min="17" max="17" width="15.85546875" style="107" bestFit="1" customWidth="1"/>
    <col min="18" max="22" width="14.85546875" style="107" bestFit="1" customWidth="1"/>
    <col min="23" max="254" width="8.85546875" style="107"/>
    <col min="255" max="255" width="39.28515625" style="107" bestFit="1" customWidth="1"/>
    <col min="256" max="256" width="15.140625" style="107" customWidth="1"/>
    <col min="257" max="257" width="12.7109375" style="107" bestFit="1" customWidth="1"/>
    <col min="258" max="258" width="27.28515625" style="107" bestFit="1" customWidth="1"/>
    <col min="259" max="259" width="14.28515625" style="107" bestFit="1" customWidth="1"/>
    <col min="260" max="260" width="8.85546875" style="107"/>
    <col min="261" max="261" width="13.7109375" style="107" bestFit="1" customWidth="1"/>
    <col min="262" max="510" width="8.85546875" style="107"/>
    <col min="511" max="511" width="39.28515625" style="107" bestFit="1" customWidth="1"/>
    <col min="512" max="512" width="15.140625" style="107" customWidth="1"/>
    <col min="513" max="513" width="12.7109375" style="107" bestFit="1" customWidth="1"/>
    <col min="514" max="514" width="27.28515625" style="107" bestFit="1" customWidth="1"/>
    <col min="515" max="515" width="14.28515625" style="107" bestFit="1" customWidth="1"/>
    <col min="516" max="516" width="8.85546875" style="107"/>
    <col min="517" max="517" width="13.7109375" style="107" bestFit="1" customWidth="1"/>
    <col min="518" max="766" width="8.85546875" style="107"/>
    <col min="767" max="767" width="39.28515625" style="107" bestFit="1" customWidth="1"/>
    <col min="768" max="768" width="15.140625" style="107" customWidth="1"/>
    <col min="769" max="769" width="12.7109375" style="107" bestFit="1" customWidth="1"/>
    <col min="770" max="770" width="27.28515625" style="107" bestFit="1" customWidth="1"/>
    <col min="771" max="771" width="14.28515625" style="107" bestFit="1" customWidth="1"/>
    <col min="772" max="772" width="8.85546875" style="107"/>
    <col min="773" max="773" width="13.7109375" style="107" bestFit="1" customWidth="1"/>
    <col min="774" max="1022" width="8.85546875" style="107"/>
    <col min="1023" max="1023" width="39.28515625" style="107" bestFit="1" customWidth="1"/>
    <col min="1024" max="1024" width="15.140625" style="107" customWidth="1"/>
    <col min="1025" max="1025" width="12.7109375" style="107" bestFit="1" customWidth="1"/>
    <col min="1026" max="1026" width="27.28515625" style="107" bestFit="1" customWidth="1"/>
    <col min="1027" max="1027" width="14.28515625" style="107" bestFit="1" customWidth="1"/>
    <col min="1028" max="1028" width="8.85546875" style="107"/>
    <col min="1029" max="1029" width="13.7109375" style="107" bestFit="1" customWidth="1"/>
    <col min="1030" max="1278" width="8.85546875" style="107"/>
    <col min="1279" max="1279" width="39.28515625" style="107" bestFit="1" customWidth="1"/>
    <col min="1280" max="1280" width="15.140625" style="107" customWidth="1"/>
    <col min="1281" max="1281" width="12.7109375" style="107" bestFit="1" customWidth="1"/>
    <col min="1282" max="1282" width="27.28515625" style="107" bestFit="1" customWidth="1"/>
    <col min="1283" max="1283" width="14.28515625" style="107" bestFit="1" customWidth="1"/>
    <col min="1284" max="1284" width="8.85546875" style="107"/>
    <col min="1285" max="1285" width="13.7109375" style="107" bestFit="1" customWidth="1"/>
    <col min="1286" max="1534" width="8.85546875" style="107"/>
    <col min="1535" max="1535" width="39.28515625" style="107" bestFit="1" customWidth="1"/>
    <col min="1536" max="1536" width="15.140625" style="107" customWidth="1"/>
    <col min="1537" max="1537" width="12.7109375" style="107" bestFit="1" customWidth="1"/>
    <col min="1538" max="1538" width="27.28515625" style="107" bestFit="1" customWidth="1"/>
    <col min="1539" max="1539" width="14.28515625" style="107" bestFit="1" customWidth="1"/>
    <col min="1540" max="1540" width="8.85546875" style="107"/>
    <col min="1541" max="1541" width="13.7109375" style="107" bestFit="1" customWidth="1"/>
    <col min="1542" max="1790" width="8.85546875" style="107"/>
    <col min="1791" max="1791" width="39.28515625" style="107" bestFit="1" customWidth="1"/>
    <col min="1792" max="1792" width="15.140625" style="107" customWidth="1"/>
    <col min="1793" max="1793" width="12.7109375" style="107" bestFit="1" customWidth="1"/>
    <col min="1794" max="1794" width="27.28515625" style="107" bestFit="1" customWidth="1"/>
    <col min="1795" max="1795" width="14.28515625" style="107" bestFit="1" customWidth="1"/>
    <col min="1796" max="1796" width="8.85546875" style="107"/>
    <col min="1797" max="1797" width="13.7109375" style="107" bestFit="1" customWidth="1"/>
    <col min="1798" max="2046" width="8.85546875" style="107"/>
    <col min="2047" max="2047" width="39.28515625" style="107" bestFit="1" customWidth="1"/>
    <col min="2048" max="2048" width="15.140625" style="107" customWidth="1"/>
    <col min="2049" max="2049" width="12.7109375" style="107" bestFit="1" customWidth="1"/>
    <col min="2050" max="2050" width="27.28515625" style="107" bestFit="1" customWidth="1"/>
    <col min="2051" max="2051" width="14.28515625" style="107" bestFit="1" customWidth="1"/>
    <col min="2052" max="2052" width="8.85546875" style="107"/>
    <col min="2053" max="2053" width="13.7109375" style="107" bestFit="1" customWidth="1"/>
    <col min="2054" max="2302" width="8.85546875" style="107"/>
    <col min="2303" max="2303" width="39.28515625" style="107" bestFit="1" customWidth="1"/>
    <col min="2304" max="2304" width="15.140625" style="107" customWidth="1"/>
    <col min="2305" max="2305" width="12.7109375" style="107" bestFit="1" customWidth="1"/>
    <col min="2306" max="2306" width="27.28515625" style="107" bestFit="1" customWidth="1"/>
    <col min="2307" max="2307" width="14.28515625" style="107" bestFit="1" customWidth="1"/>
    <col min="2308" max="2308" width="8.85546875" style="107"/>
    <col min="2309" max="2309" width="13.7109375" style="107" bestFit="1" customWidth="1"/>
    <col min="2310" max="2558" width="8.85546875" style="107"/>
    <col min="2559" max="2559" width="39.28515625" style="107" bestFit="1" customWidth="1"/>
    <col min="2560" max="2560" width="15.140625" style="107" customWidth="1"/>
    <col min="2561" max="2561" width="12.7109375" style="107" bestFit="1" customWidth="1"/>
    <col min="2562" max="2562" width="27.28515625" style="107" bestFit="1" customWidth="1"/>
    <col min="2563" max="2563" width="14.28515625" style="107" bestFit="1" customWidth="1"/>
    <col min="2564" max="2564" width="8.85546875" style="107"/>
    <col min="2565" max="2565" width="13.7109375" style="107" bestFit="1" customWidth="1"/>
    <col min="2566" max="2814" width="8.85546875" style="107"/>
    <col min="2815" max="2815" width="39.28515625" style="107" bestFit="1" customWidth="1"/>
    <col min="2816" max="2816" width="15.140625" style="107" customWidth="1"/>
    <col min="2817" max="2817" width="12.7109375" style="107" bestFit="1" customWidth="1"/>
    <col min="2818" max="2818" width="27.28515625" style="107" bestFit="1" customWidth="1"/>
    <col min="2819" max="2819" width="14.28515625" style="107" bestFit="1" customWidth="1"/>
    <col min="2820" max="2820" width="8.85546875" style="107"/>
    <col min="2821" max="2821" width="13.7109375" style="107" bestFit="1" customWidth="1"/>
    <col min="2822" max="3070" width="8.85546875" style="107"/>
    <col min="3071" max="3071" width="39.28515625" style="107" bestFit="1" customWidth="1"/>
    <col min="3072" max="3072" width="15.140625" style="107" customWidth="1"/>
    <col min="3073" max="3073" width="12.7109375" style="107" bestFit="1" customWidth="1"/>
    <col min="3074" max="3074" width="27.28515625" style="107" bestFit="1" customWidth="1"/>
    <col min="3075" max="3075" width="14.28515625" style="107" bestFit="1" customWidth="1"/>
    <col min="3076" max="3076" width="8.85546875" style="107"/>
    <col min="3077" max="3077" width="13.7109375" style="107" bestFit="1" customWidth="1"/>
    <col min="3078" max="3326" width="8.85546875" style="107"/>
    <col min="3327" max="3327" width="39.28515625" style="107" bestFit="1" customWidth="1"/>
    <col min="3328" max="3328" width="15.140625" style="107" customWidth="1"/>
    <col min="3329" max="3329" width="12.7109375" style="107" bestFit="1" customWidth="1"/>
    <col min="3330" max="3330" width="27.28515625" style="107" bestFit="1" customWidth="1"/>
    <col min="3331" max="3331" width="14.28515625" style="107" bestFit="1" customWidth="1"/>
    <col min="3332" max="3332" width="8.85546875" style="107"/>
    <col min="3333" max="3333" width="13.7109375" style="107" bestFit="1" customWidth="1"/>
    <col min="3334" max="3582" width="8.85546875" style="107"/>
    <col min="3583" max="3583" width="39.28515625" style="107" bestFit="1" customWidth="1"/>
    <col min="3584" max="3584" width="15.140625" style="107" customWidth="1"/>
    <col min="3585" max="3585" width="12.7109375" style="107" bestFit="1" customWidth="1"/>
    <col min="3586" max="3586" width="27.28515625" style="107" bestFit="1" customWidth="1"/>
    <col min="3587" max="3587" width="14.28515625" style="107" bestFit="1" customWidth="1"/>
    <col min="3588" max="3588" width="8.85546875" style="107"/>
    <col min="3589" max="3589" width="13.7109375" style="107" bestFit="1" customWidth="1"/>
    <col min="3590" max="3838" width="8.85546875" style="107"/>
    <col min="3839" max="3839" width="39.28515625" style="107" bestFit="1" customWidth="1"/>
    <col min="3840" max="3840" width="15.140625" style="107" customWidth="1"/>
    <col min="3841" max="3841" width="12.7109375" style="107" bestFit="1" customWidth="1"/>
    <col min="3842" max="3842" width="27.28515625" style="107" bestFit="1" customWidth="1"/>
    <col min="3843" max="3843" width="14.28515625" style="107" bestFit="1" customWidth="1"/>
    <col min="3844" max="3844" width="8.85546875" style="107"/>
    <col min="3845" max="3845" width="13.7109375" style="107" bestFit="1" customWidth="1"/>
    <col min="3846" max="4094" width="8.85546875" style="107"/>
    <col min="4095" max="4095" width="39.28515625" style="107" bestFit="1" customWidth="1"/>
    <col min="4096" max="4096" width="15.140625" style="107" customWidth="1"/>
    <col min="4097" max="4097" width="12.7109375" style="107" bestFit="1" customWidth="1"/>
    <col min="4098" max="4098" width="27.28515625" style="107" bestFit="1" customWidth="1"/>
    <col min="4099" max="4099" width="14.28515625" style="107" bestFit="1" customWidth="1"/>
    <col min="4100" max="4100" width="8.85546875" style="107"/>
    <col min="4101" max="4101" width="13.7109375" style="107" bestFit="1" customWidth="1"/>
    <col min="4102" max="4350" width="8.85546875" style="107"/>
    <col min="4351" max="4351" width="39.28515625" style="107" bestFit="1" customWidth="1"/>
    <col min="4352" max="4352" width="15.140625" style="107" customWidth="1"/>
    <col min="4353" max="4353" width="12.7109375" style="107" bestFit="1" customWidth="1"/>
    <col min="4354" max="4354" width="27.28515625" style="107" bestFit="1" customWidth="1"/>
    <col min="4355" max="4355" width="14.28515625" style="107" bestFit="1" customWidth="1"/>
    <col min="4356" max="4356" width="8.85546875" style="107"/>
    <col min="4357" max="4357" width="13.7109375" style="107" bestFit="1" customWidth="1"/>
    <col min="4358" max="4606" width="8.85546875" style="107"/>
    <col min="4607" max="4607" width="39.28515625" style="107" bestFit="1" customWidth="1"/>
    <col min="4608" max="4608" width="15.140625" style="107" customWidth="1"/>
    <col min="4609" max="4609" width="12.7109375" style="107" bestFit="1" customWidth="1"/>
    <col min="4610" max="4610" width="27.28515625" style="107" bestFit="1" customWidth="1"/>
    <col min="4611" max="4611" width="14.28515625" style="107" bestFit="1" customWidth="1"/>
    <col min="4612" max="4612" width="8.85546875" style="107"/>
    <col min="4613" max="4613" width="13.7109375" style="107" bestFit="1" customWidth="1"/>
    <col min="4614" max="4862" width="8.85546875" style="107"/>
    <col min="4863" max="4863" width="39.28515625" style="107" bestFit="1" customWidth="1"/>
    <col min="4864" max="4864" width="15.140625" style="107" customWidth="1"/>
    <col min="4865" max="4865" width="12.7109375" style="107" bestFit="1" customWidth="1"/>
    <col min="4866" max="4866" width="27.28515625" style="107" bestFit="1" customWidth="1"/>
    <col min="4867" max="4867" width="14.28515625" style="107" bestFit="1" customWidth="1"/>
    <col min="4868" max="4868" width="8.85546875" style="107"/>
    <col min="4869" max="4869" width="13.7109375" style="107" bestFit="1" customWidth="1"/>
    <col min="4870" max="5118" width="8.85546875" style="107"/>
    <col min="5119" max="5119" width="39.28515625" style="107" bestFit="1" customWidth="1"/>
    <col min="5120" max="5120" width="15.140625" style="107" customWidth="1"/>
    <col min="5121" max="5121" width="12.7109375" style="107" bestFit="1" customWidth="1"/>
    <col min="5122" max="5122" width="27.28515625" style="107" bestFit="1" customWidth="1"/>
    <col min="5123" max="5123" width="14.28515625" style="107" bestFit="1" customWidth="1"/>
    <col min="5124" max="5124" width="8.85546875" style="107"/>
    <col min="5125" max="5125" width="13.7109375" style="107" bestFit="1" customWidth="1"/>
    <col min="5126" max="5374" width="8.85546875" style="107"/>
    <col min="5375" max="5375" width="39.28515625" style="107" bestFit="1" customWidth="1"/>
    <col min="5376" max="5376" width="15.140625" style="107" customWidth="1"/>
    <col min="5377" max="5377" width="12.7109375" style="107" bestFit="1" customWidth="1"/>
    <col min="5378" max="5378" width="27.28515625" style="107" bestFit="1" customWidth="1"/>
    <col min="5379" max="5379" width="14.28515625" style="107" bestFit="1" customWidth="1"/>
    <col min="5380" max="5380" width="8.85546875" style="107"/>
    <col min="5381" max="5381" width="13.7109375" style="107" bestFit="1" customWidth="1"/>
    <col min="5382" max="5630" width="8.85546875" style="107"/>
    <col min="5631" max="5631" width="39.28515625" style="107" bestFit="1" customWidth="1"/>
    <col min="5632" max="5632" width="15.140625" style="107" customWidth="1"/>
    <col min="5633" max="5633" width="12.7109375" style="107" bestFit="1" customWidth="1"/>
    <col min="5634" max="5634" width="27.28515625" style="107" bestFit="1" customWidth="1"/>
    <col min="5635" max="5635" width="14.28515625" style="107" bestFit="1" customWidth="1"/>
    <col min="5636" max="5636" width="8.85546875" style="107"/>
    <col min="5637" max="5637" width="13.7109375" style="107" bestFit="1" customWidth="1"/>
    <col min="5638" max="5886" width="8.85546875" style="107"/>
    <col min="5887" max="5887" width="39.28515625" style="107" bestFit="1" customWidth="1"/>
    <col min="5888" max="5888" width="15.140625" style="107" customWidth="1"/>
    <col min="5889" max="5889" width="12.7109375" style="107" bestFit="1" customWidth="1"/>
    <col min="5890" max="5890" width="27.28515625" style="107" bestFit="1" customWidth="1"/>
    <col min="5891" max="5891" width="14.28515625" style="107" bestFit="1" customWidth="1"/>
    <col min="5892" max="5892" width="8.85546875" style="107"/>
    <col min="5893" max="5893" width="13.7109375" style="107" bestFit="1" customWidth="1"/>
    <col min="5894" max="6142" width="8.85546875" style="107"/>
    <col min="6143" max="6143" width="39.28515625" style="107" bestFit="1" customWidth="1"/>
    <col min="6144" max="6144" width="15.140625" style="107" customWidth="1"/>
    <col min="6145" max="6145" width="12.7109375" style="107" bestFit="1" customWidth="1"/>
    <col min="6146" max="6146" width="27.28515625" style="107" bestFit="1" customWidth="1"/>
    <col min="6147" max="6147" width="14.28515625" style="107" bestFit="1" customWidth="1"/>
    <col min="6148" max="6148" width="8.85546875" style="107"/>
    <col min="6149" max="6149" width="13.7109375" style="107" bestFit="1" customWidth="1"/>
    <col min="6150" max="6398" width="8.85546875" style="107"/>
    <col min="6399" max="6399" width="39.28515625" style="107" bestFit="1" customWidth="1"/>
    <col min="6400" max="6400" width="15.140625" style="107" customWidth="1"/>
    <col min="6401" max="6401" width="12.7109375" style="107" bestFit="1" customWidth="1"/>
    <col min="6402" max="6402" width="27.28515625" style="107" bestFit="1" customWidth="1"/>
    <col min="6403" max="6403" width="14.28515625" style="107" bestFit="1" customWidth="1"/>
    <col min="6404" max="6404" width="8.85546875" style="107"/>
    <col min="6405" max="6405" width="13.7109375" style="107" bestFit="1" customWidth="1"/>
    <col min="6406" max="6654" width="8.85546875" style="107"/>
    <col min="6655" max="6655" width="39.28515625" style="107" bestFit="1" customWidth="1"/>
    <col min="6656" max="6656" width="15.140625" style="107" customWidth="1"/>
    <col min="6657" max="6657" width="12.7109375" style="107" bestFit="1" customWidth="1"/>
    <col min="6658" max="6658" width="27.28515625" style="107" bestFit="1" customWidth="1"/>
    <col min="6659" max="6659" width="14.28515625" style="107" bestFit="1" customWidth="1"/>
    <col min="6660" max="6660" width="8.85546875" style="107"/>
    <col min="6661" max="6661" width="13.7109375" style="107" bestFit="1" customWidth="1"/>
    <col min="6662" max="6910" width="8.85546875" style="107"/>
    <col min="6911" max="6911" width="39.28515625" style="107" bestFit="1" customWidth="1"/>
    <col min="6912" max="6912" width="15.140625" style="107" customWidth="1"/>
    <col min="6913" max="6913" width="12.7109375" style="107" bestFit="1" customWidth="1"/>
    <col min="6914" max="6914" width="27.28515625" style="107" bestFit="1" customWidth="1"/>
    <col min="6915" max="6915" width="14.28515625" style="107" bestFit="1" customWidth="1"/>
    <col min="6916" max="6916" width="8.85546875" style="107"/>
    <col min="6917" max="6917" width="13.7109375" style="107" bestFit="1" customWidth="1"/>
    <col min="6918" max="7166" width="8.85546875" style="107"/>
    <col min="7167" max="7167" width="39.28515625" style="107" bestFit="1" customWidth="1"/>
    <col min="7168" max="7168" width="15.140625" style="107" customWidth="1"/>
    <col min="7169" max="7169" width="12.7109375" style="107" bestFit="1" customWidth="1"/>
    <col min="7170" max="7170" width="27.28515625" style="107" bestFit="1" customWidth="1"/>
    <col min="7171" max="7171" width="14.28515625" style="107" bestFit="1" customWidth="1"/>
    <col min="7172" max="7172" width="8.85546875" style="107"/>
    <col min="7173" max="7173" width="13.7109375" style="107" bestFit="1" customWidth="1"/>
    <col min="7174" max="7422" width="8.85546875" style="107"/>
    <col min="7423" max="7423" width="39.28515625" style="107" bestFit="1" customWidth="1"/>
    <col min="7424" max="7424" width="15.140625" style="107" customWidth="1"/>
    <col min="7425" max="7425" width="12.7109375" style="107" bestFit="1" customWidth="1"/>
    <col min="7426" max="7426" width="27.28515625" style="107" bestFit="1" customWidth="1"/>
    <col min="7427" max="7427" width="14.28515625" style="107" bestFit="1" customWidth="1"/>
    <col min="7428" max="7428" width="8.85546875" style="107"/>
    <col min="7429" max="7429" width="13.7109375" style="107" bestFit="1" customWidth="1"/>
    <col min="7430" max="7678" width="8.85546875" style="107"/>
    <col min="7679" max="7679" width="39.28515625" style="107" bestFit="1" customWidth="1"/>
    <col min="7680" max="7680" width="15.140625" style="107" customWidth="1"/>
    <col min="7681" max="7681" width="12.7109375" style="107" bestFit="1" customWidth="1"/>
    <col min="7682" max="7682" width="27.28515625" style="107" bestFit="1" customWidth="1"/>
    <col min="7683" max="7683" width="14.28515625" style="107" bestFit="1" customWidth="1"/>
    <col min="7684" max="7684" width="8.85546875" style="107"/>
    <col min="7685" max="7685" width="13.7109375" style="107" bestFit="1" customWidth="1"/>
    <col min="7686" max="7934" width="8.85546875" style="107"/>
    <col min="7935" max="7935" width="39.28515625" style="107" bestFit="1" customWidth="1"/>
    <col min="7936" max="7936" width="15.140625" style="107" customWidth="1"/>
    <col min="7937" max="7937" width="12.7109375" style="107" bestFit="1" customWidth="1"/>
    <col min="7938" max="7938" width="27.28515625" style="107" bestFit="1" customWidth="1"/>
    <col min="7939" max="7939" width="14.28515625" style="107" bestFit="1" customWidth="1"/>
    <col min="7940" max="7940" width="8.85546875" style="107"/>
    <col min="7941" max="7941" width="13.7109375" style="107" bestFit="1" customWidth="1"/>
    <col min="7942" max="8190" width="8.85546875" style="107"/>
    <col min="8191" max="8191" width="39.28515625" style="107" bestFit="1" customWidth="1"/>
    <col min="8192" max="8192" width="15.140625" style="107" customWidth="1"/>
    <col min="8193" max="8193" width="12.7109375" style="107" bestFit="1" customWidth="1"/>
    <col min="8194" max="8194" width="27.28515625" style="107" bestFit="1" customWidth="1"/>
    <col min="8195" max="8195" width="14.28515625" style="107" bestFit="1" customWidth="1"/>
    <col min="8196" max="8196" width="8.85546875" style="107"/>
    <col min="8197" max="8197" width="13.7109375" style="107" bestFit="1" customWidth="1"/>
    <col min="8198" max="8446" width="8.85546875" style="107"/>
    <col min="8447" max="8447" width="39.28515625" style="107" bestFit="1" customWidth="1"/>
    <col min="8448" max="8448" width="15.140625" style="107" customWidth="1"/>
    <col min="8449" max="8449" width="12.7109375" style="107" bestFit="1" customWidth="1"/>
    <col min="8450" max="8450" width="27.28515625" style="107" bestFit="1" customWidth="1"/>
    <col min="8451" max="8451" width="14.28515625" style="107" bestFit="1" customWidth="1"/>
    <col min="8452" max="8452" width="8.85546875" style="107"/>
    <col min="8453" max="8453" width="13.7109375" style="107" bestFit="1" customWidth="1"/>
    <col min="8454" max="8702" width="8.85546875" style="107"/>
    <col min="8703" max="8703" width="39.28515625" style="107" bestFit="1" customWidth="1"/>
    <col min="8704" max="8704" width="15.140625" style="107" customWidth="1"/>
    <col min="8705" max="8705" width="12.7109375" style="107" bestFit="1" customWidth="1"/>
    <col min="8706" max="8706" width="27.28515625" style="107" bestFit="1" customWidth="1"/>
    <col min="8707" max="8707" width="14.28515625" style="107" bestFit="1" customWidth="1"/>
    <col min="8708" max="8708" width="8.85546875" style="107"/>
    <col min="8709" max="8709" width="13.7109375" style="107" bestFit="1" customWidth="1"/>
    <col min="8710" max="8958" width="8.85546875" style="107"/>
    <col min="8959" max="8959" width="39.28515625" style="107" bestFit="1" customWidth="1"/>
    <col min="8960" max="8960" width="15.140625" style="107" customWidth="1"/>
    <col min="8961" max="8961" width="12.7109375" style="107" bestFit="1" customWidth="1"/>
    <col min="8962" max="8962" width="27.28515625" style="107" bestFit="1" customWidth="1"/>
    <col min="8963" max="8963" width="14.28515625" style="107" bestFit="1" customWidth="1"/>
    <col min="8964" max="8964" width="8.85546875" style="107"/>
    <col min="8965" max="8965" width="13.7109375" style="107" bestFit="1" customWidth="1"/>
    <col min="8966" max="9214" width="8.85546875" style="107"/>
    <col min="9215" max="9215" width="39.28515625" style="107" bestFit="1" customWidth="1"/>
    <col min="9216" max="9216" width="15.140625" style="107" customWidth="1"/>
    <col min="9217" max="9217" width="12.7109375" style="107" bestFit="1" customWidth="1"/>
    <col min="9218" max="9218" width="27.28515625" style="107" bestFit="1" customWidth="1"/>
    <col min="9219" max="9219" width="14.28515625" style="107" bestFit="1" customWidth="1"/>
    <col min="9220" max="9220" width="8.85546875" style="107"/>
    <col min="9221" max="9221" width="13.7109375" style="107" bestFit="1" customWidth="1"/>
    <col min="9222" max="9470" width="8.85546875" style="107"/>
    <col min="9471" max="9471" width="39.28515625" style="107" bestFit="1" customWidth="1"/>
    <col min="9472" max="9472" width="15.140625" style="107" customWidth="1"/>
    <col min="9473" max="9473" width="12.7109375" style="107" bestFit="1" customWidth="1"/>
    <col min="9474" max="9474" width="27.28515625" style="107" bestFit="1" customWidth="1"/>
    <col min="9475" max="9475" width="14.28515625" style="107" bestFit="1" customWidth="1"/>
    <col min="9476" max="9476" width="8.85546875" style="107"/>
    <col min="9477" max="9477" width="13.7109375" style="107" bestFit="1" customWidth="1"/>
    <col min="9478" max="9726" width="8.85546875" style="107"/>
    <col min="9727" max="9727" width="39.28515625" style="107" bestFit="1" customWidth="1"/>
    <col min="9728" max="9728" width="15.140625" style="107" customWidth="1"/>
    <col min="9729" max="9729" width="12.7109375" style="107" bestFit="1" customWidth="1"/>
    <col min="9730" max="9730" width="27.28515625" style="107" bestFit="1" customWidth="1"/>
    <col min="9731" max="9731" width="14.28515625" style="107" bestFit="1" customWidth="1"/>
    <col min="9732" max="9732" width="8.85546875" style="107"/>
    <col min="9733" max="9733" width="13.7109375" style="107" bestFit="1" customWidth="1"/>
    <col min="9734" max="9982" width="8.85546875" style="107"/>
    <col min="9983" max="9983" width="39.28515625" style="107" bestFit="1" customWidth="1"/>
    <col min="9984" max="9984" width="15.140625" style="107" customWidth="1"/>
    <col min="9985" max="9985" width="12.7109375" style="107" bestFit="1" customWidth="1"/>
    <col min="9986" max="9986" width="27.28515625" style="107" bestFit="1" customWidth="1"/>
    <col min="9987" max="9987" width="14.28515625" style="107" bestFit="1" customWidth="1"/>
    <col min="9988" max="9988" width="8.85546875" style="107"/>
    <col min="9989" max="9989" width="13.7109375" style="107" bestFit="1" customWidth="1"/>
    <col min="9990" max="10238" width="8.85546875" style="107"/>
    <col min="10239" max="10239" width="39.28515625" style="107" bestFit="1" customWidth="1"/>
    <col min="10240" max="10240" width="15.140625" style="107" customWidth="1"/>
    <col min="10241" max="10241" width="12.7109375" style="107" bestFit="1" customWidth="1"/>
    <col min="10242" max="10242" width="27.28515625" style="107" bestFit="1" customWidth="1"/>
    <col min="10243" max="10243" width="14.28515625" style="107" bestFit="1" customWidth="1"/>
    <col min="10244" max="10244" width="8.85546875" style="107"/>
    <col min="10245" max="10245" width="13.7109375" style="107" bestFit="1" customWidth="1"/>
    <col min="10246" max="10494" width="8.85546875" style="107"/>
    <col min="10495" max="10495" width="39.28515625" style="107" bestFit="1" customWidth="1"/>
    <col min="10496" max="10496" width="15.140625" style="107" customWidth="1"/>
    <col min="10497" max="10497" width="12.7109375" style="107" bestFit="1" customWidth="1"/>
    <col min="10498" max="10498" width="27.28515625" style="107" bestFit="1" customWidth="1"/>
    <col min="10499" max="10499" width="14.28515625" style="107" bestFit="1" customWidth="1"/>
    <col min="10500" max="10500" width="8.85546875" style="107"/>
    <col min="10501" max="10501" width="13.7109375" style="107" bestFit="1" customWidth="1"/>
    <col min="10502" max="10750" width="8.85546875" style="107"/>
    <col min="10751" max="10751" width="39.28515625" style="107" bestFit="1" customWidth="1"/>
    <col min="10752" max="10752" width="15.140625" style="107" customWidth="1"/>
    <col min="10753" max="10753" width="12.7109375" style="107" bestFit="1" customWidth="1"/>
    <col min="10754" max="10754" width="27.28515625" style="107" bestFit="1" customWidth="1"/>
    <col min="10755" max="10755" width="14.28515625" style="107" bestFit="1" customWidth="1"/>
    <col min="10756" max="10756" width="8.85546875" style="107"/>
    <col min="10757" max="10757" width="13.7109375" style="107" bestFit="1" customWidth="1"/>
    <col min="10758" max="11006" width="8.85546875" style="107"/>
    <col min="11007" max="11007" width="39.28515625" style="107" bestFit="1" customWidth="1"/>
    <col min="11008" max="11008" width="15.140625" style="107" customWidth="1"/>
    <col min="11009" max="11009" width="12.7109375" style="107" bestFit="1" customWidth="1"/>
    <col min="11010" max="11010" width="27.28515625" style="107" bestFit="1" customWidth="1"/>
    <col min="11011" max="11011" width="14.28515625" style="107" bestFit="1" customWidth="1"/>
    <col min="11012" max="11012" width="8.85546875" style="107"/>
    <col min="11013" max="11013" width="13.7109375" style="107" bestFit="1" customWidth="1"/>
    <col min="11014" max="11262" width="8.85546875" style="107"/>
    <col min="11263" max="11263" width="39.28515625" style="107" bestFit="1" customWidth="1"/>
    <col min="11264" max="11264" width="15.140625" style="107" customWidth="1"/>
    <col min="11265" max="11265" width="12.7109375" style="107" bestFit="1" customWidth="1"/>
    <col min="11266" max="11266" width="27.28515625" style="107" bestFit="1" customWidth="1"/>
    <col min="11267" max="11267" width="14.28515625" style="107" bestFit="1" customWidth="1"/>
    <col min="11268" max="11268" width="8.85546875" style="107"/>
    <col min="11269" max="11269" width="13.7109375" style="107" bestFit="1" customWidth="1"/>
    <col min="11270" max="11518" width="8.85546875" style="107"/>
    <col min="11519" max="11519" width="39.28515625" style="107" bestFit="1" customWidth="1"/>
    <col min="11520" max="11520" width="15.140625" style="107" customWidth="1"/>
    <col min="11521" max="11521" width="12.7109375" style="107" bestFit="1" customWidth="1"/>
    <col min="11522" max="11522" width="27.28515625" style="107" bestFit="1" customWidth="1"/>
    <col min="11523" max="11523" width="14.28515625" style="107" bestFit="1" customWidth="1"/>
    <col min="11524" max="11524" width="8.85546875" style="107"/>
    <col min="11525" max="11525" width="13.7109375" style="107" bestFit="1" customWidth="1"/>
    <col min="11526" max="11774" width="8.85546875" style="107"/>
    <col min="11775" max="11775" width="39.28515625" style="107" bestFit="1" customWidth="1"/>
    <col min="11776" max="11776" width="15.140625" style="107" customWidth="1"/>
    <col min="11777" max="11777" width="12.7109375" style="107" bestFit="1" customWidth="1"/>
    <col min="11778" max="11778" width="27.28515625" style="107" bestFit="1" customWidth="1"/>
    <col min="11779" max="11779" width="14.28515625" style="107" bestFit="1" customWidth="1"/>
    <col min="11780" max="11780" width="8.85546875" style="107"/>
    <col min="11781" max="11781" width="13.7109375" style="107" bestFit="1" customWidth="1"/>
    <col min="11782" max="12030" width="8.85546875" style="107"/>
    <col min="12031" max="12031" width="39.28515625" style="107" bestFit="1" customWidth="1"/>
    <col min="12032" max="12032" width="15.140625" style="107" customWidth="1"/>
    <col min="12033" max="12033" width="12.7109375" style="107" bestFit="1" customWidth="1"/>
    <col min="12034" max="12034" width="27.28515625" style="107" bestFit="1" customWidth="1"/>
    <col min="12035" max="12035" width="14.28515625" style="107" bestFit="1" customWidth="1"/>
    <col min="12036" max="12036" width="8.85546875" style="107"/>
    <col min="12037" max="12037" width="13.7109375" style="107" bestFit="1" customWidth="1"/>
    <col min="12038" max="12286" width="8.85546875" style="107"/>
    <col min="12287" max="12287" width="39.28515625" style="107" bestFit="1" customWidth="1"/>
    <col min="12288" max="12288" width="15.140625" style="107" customWidth="1"/>
    <col min="12289" max="12289" width="12.7109375" style="107" bestFit="1" customWidth="1"/>
    <col min="12290" max="12290" width="27.28515625" style="107" bestFit="1" customWidth="1"/>
    <col min="12291" max="12291" width="14.28515625" style="107" bestFit="1" customWidth="1"/>
    <col min="12292" max="12292" width="8.85546875" style="107"/>
    <col min="12293" max="12293" width="13.7109375" style="107" bestFit="1" customWidth="1"/>
    <col min="12294" max="12542" width="8.85546875" style="107"/>
    <col min="12543" max="12543" width="39.28515625" style="107" bestFit="1" customWidth="1"/>
    <col min="12544" max="12544" width="15.140625" style="107" customWidth="1"/>
    <col min="12545" max="12545" width="12.7109375" style="107" bestFit="1" customWidth="1"/>
    <col min="12546" max="12546" width="27.28515625" style="107" bestFit="1" customWidth="1"/>
    <col min="12547" max="12547" width="14.28515625" style="107" bestFit="1" customWidth="1"/>
    <col min="12548" max="12548" width="8.85546875" style="107"/>
    <col min="12549" max="12549" width="13.7109375" style="107" bestFit="1" customWidth="1"/>
    <col min="12550" max="12798" width="8.85546875" style="107"/>
    <col min="12799" max="12799" width="39.28515625" style="107" bestFit="1" customWidth="1"/>
    <col min="12800" max="12800" width="15.140625" style="107" customWidth="1"/>
    <col min="12801" max="12801" width="12.7109375" style="107" bestFit="1" customWidth="1"/>
    <col min="12802" max="12802" width="27.28515625" style="107" bestFit="1" customWidth="1"/>
    <col min="12803" max="12803" width="14.28515625" style="107" bestFit="1" customWidth="1"/>
    <col min="12804" max="12804" width="8.85546875" style="107"/>
    <col min="12805" max="12805" width="13.7109375" style="107" bestFit="1" customWidth="1"/>
    <col min="12806" max="13054" width="8.85546875" style="107"/>
    <col min="13055" max="13055" width="39.28515625" style="107" bestFit="1" customWidth="1"/>
    <col min="13056" max="13056" width="15.140625" style="107" customWidth="1"/>
    <col min="13057" max="13057" width="12.7109375" style="107" bestFit="1" customWidth="1"/>
    <col min="13058" max="13058" width="27.28515625" style="107" bestFit="1" customWidth="1"/>
    <col min="13059" max="13059" width="14.28515625" style="107" bestFit="1" customWidth="1"/>
    <col min="13060" max="13060" width="8.85546875" style="107"/>
    <col min="13061" max="13061" width="13.7109375" style="107" bestFit="1" customWidth="1"/>
    <col min="13062" max="13310" width="8.85546875" style="107"/>
    <col min="13311" max="13311" width="39.28515625" style="107" bestFit="1" customWidth="1"/>
    <col min="13312" max="13312" width="15.140625" style="107" customWidth="1"/>
    <col min="13313" max="13313" width="12.7109375" style="107" bestFit="1" customWidth="1"/>
    <col min="13314" max="13314" width="27.28515625" style="107" bestFit="1" customWidth="1"/>
    <col min="13315" max="13315" width="14.28515625" style="107" bestFit="1" customWidth="1"/>
    <col min="13316" max="13316" width="8.85546875" style="107"/>
    <col min="13317" max="13317" width="13.7109375" style="107" bestFit="1" customWidth="1"/>
    <col min="13318" max="13566" width="8.85546875" style="107"/>
    <col min="13567" max="13567" width="39.28515625" style="107" bestFit="1" customWidth="1"/>
    <col min="13568" max="13568" width="15.140625" style="107" customWidth="1"/>
    <col min="13569" max="13569" width="12.7109375" style="107" bestFit="1" customWidth="1"/>
    <col min="13570" max="13570" width="27.28515625" style="107" bestFit="1" customWidth="1"/>
    <col min="13571" max="13571" width="14.28515625" style="107" bestFit="1" customWidth="1"/>
    <col min="13572" max="13572" width="8.85546875" style="107"/>
    <col min="13573" max="13573" width="13.7109375" style="107" bestFit="1" customWidth="1"/>
    <col min="13574" max="13822" width="8.85546875" style="107"/>
    <col min="13823" max="13823" width="39.28515625" style="107" bestFit="1" customWidth="1"/>
    <col min="13824" max="13824" width="15.140625" style="107" customWidth="1"/>
    <col min="13825" max="13825" width="12.7109375" style="107" bestFit="1" customWidth="1"/>
    <col min="13826" max="13826" width="27.28515625" style="107" bestFit="1" customWidth="1"/>
    <col min="13827" max="13827" width="14.28515625" style="107" bestFit="1" customWidth="1"/>
    <col min="13828" max="13828" width="8.85546875" style="107"/>
    <col min="13829" max="13829" width="13.7109375" style="107" bestFit="1" customWidth="1"/>
    <col min="13830" max="14078" width="8.85546875" style="107"/>
    <col min="14079" max="14079" width="39.28515625" style="107" bestFit="1" customWidth="1"/>
    <col min="14080" max="14080" width="15.140625" style="107" customWidth="1"/>
    <col min="14081" max="14081" width="12.7109375" style="107" bestFit="1" customWidth="1"/>
    <col min="14082" max="14082" width="27.28515625" style="107" bestFit="1" customWidth="1"/>
    <col min="14083" max="14083" width="14.28515625" style="107" bestFit="1" customWidth="1"/>
    <col min="14084" max="14084" width="8.85546875" style="107"/>
    <col min="14085" max="14085" width="13.7109375" style="107" bestFit="1" customWidth="1"/>
    <col min="14086" max="14334" width="8.85546875" style="107"/>
    <col min="14335" max="14335" width="39.28515625" style="107" bestFit="1" customWidth="1"/>
    <col min="14336" max="14336" width="15.140625" style="107" customWidth="1"/>
    <col min="14337" max="14337" width="12.7109375" style="107" bestFit="1" customWidth="1"/>
    <col min="14338" max="14338" width="27.28515625" style="107" bestFit="1" customWidth="1"/>
    <col min="14339" max="14339" width="14.28515625" style="107" bestFit="1" customWidth="1"/>
    <col min="14340" max="14340" width="8.85546875" style="107"/>
    <col min="14341" max="14341" width="13.7109375" style="107" bestFit="1" customWidth="1"/>
    <col min="14342" max="14590" width="8.85546875" style="107"/>
    <col min="14591" max="14591" width="39.28515625" style="107" bestFit="1" customWidth="1"/>
    <col min="14592" max="14592" width="15.140625" style="107" customWidth="1"/>
    <col min="14593" max="14593" width="12.7109375" style="107" bestFit="1" customWidth="1"/>
    <col min="14594" max="14594" width="27.28515625" style="107" bestFit="1" customWidth="1"/>
    <col min="14595" max="14595" width="14.28515625" style="107" bestFit="1" customWidth="1"/>
    <col min="14596" max="14596" width="8.85546875" style="107"/>
    <col min="14597" max="14597" width="13.7109375" style="107" bestFit="1" customWidth="1"/>
    <col min="14598" max="14846" width="8.85546875" style="107"/>
    <col min="14847" max="14847" width="39.28515625" style="107" bestFit="1" customWidth="1"/>
    <col min="14848" max="14848" width="15.140625" style="107" customWidth="1"/>
    <col min="14849" max="14849" width="12.7109375" style="107" bestFit="1" customWidth="1"/>
    <col min="14850" max="14850" width="27.28515625" style="107" bestFit="1" customWidth="1"/>
    <col min="14851" max="14851" width="14.28515625" style="107" bestFit="1" customWidth="1"/>
    <col min="14852" max="14852" width="8.85546875" style="107"/>
    <col min="14853" max="14853" width="13.7109375" style="107" bestFit="1" customWidth="1"/>
    <col min="14854" max="15102" width="8.85546875" style="107"/>
    <col min="15103" max="15103" width="39.28515625" style="107" bestFit="1" customWidth="1"/>
    <col min="15104" max="15104" width="15.140625" style="107" customWidth="1"/>
    <col min="15105" max="15105" width="12.7109375" style="107" bestFit="1" customWidth="1"/>
    <col min="15106" max="15106" width="27.28515625" style="107" bestFit="1" customWidth="1"/>
    <col min="15107" max="15107" width="14.28515625" style="107" bestFit="1" customWidth="1"/>
    <col min="15108" max="15108" width="8.85546875" style="107"/>
    <col min="15109" max="15109" width="13.7109375" style="107" bestFit="1" customWidth="1"/>
    <col min="15110" max="15358" width="8.85546875" style="107"/>
    <col min="15359" max="15359" width="39.28515625" style="107" bestFit="1" customWidth="1"/>
    <col min="15360" max="15360" width="15.140625" style="107" customWidth="1"/>
    <col min="15361" max="15361" width="12.7109375" style="107" bestFit="1" customWidth="1"/>
    <col min="15362" max="15362" width="27.28515625" style="107" bestFit="1" customWidth="1"/>
    <col min="15363" max="15363" width="14.28515625" style="107" bestFit="1" customWidth="1"/>
    <col min="15364" max="15364" width="8.85546875" style="107"/>
    <col min="15365" max="15365" width="13.7109375" style="107" bestFit="1" customWidth="1"/>
    <col min="15366" max="15614" width="8.85546875" style="107"/>
    <col min="15615" max="15615" width="39.28515625" style="107" bestFit="1" customWidth="1"/>
    <col min="15616" max="15616" width="15.140625" style="107" customWidth="1"/>
    <col min="15617" max="15617" width="12.7109375" style="107" bestFit="1" customWidth="1"/>
    <col min="15618" max="15618" width="27.28515625" style="107" bestFit="1" customWidth="1"/>
    <col min="15619" max="15619" width="14.28515625" style="107" bestFit="1" customWidth="1"/>
    <col min="15620" max="15620" width="8.85546875" style="107"/>
    <col min="15621" max="15621" width="13.7109375" style="107" bestFit="1" customWidth="1"/>
    <col min="15622" max="15870" width="8.85546875" style="107"/>
    <col min="15871" max="15871" width="39.28515625" style="107" bestFit="1" customWidth="1"/>
    <col min="15872" max="15872" width="15.140625" style="107" customWidth="1"/>
    <col min="15873" max="15873" width="12.7109375" style="107" bestFit="1" customWidth="1"/>
    <col min="15874" max="15874" width="27.28515625" style="107" bestFit="1" customWidth="1"/>
    <col min="15875" max="15875" width="14.28515625" style="107" bestFit="1" customWidth="1"/>
    <col min="15876" max="15876" width="8.85546875" style="107"/>
    <col min="15877" max="15877" width="13.7109375" style="107" bestFit="1" customWidth="1"/>
    <col min="15878" max="16126" width="8.85546875" style="107"/>
    <col min="16127" max="16127" width="39.28515625" style="107" bestFit="1" customWidth="1"/>
    <col min="16128" max="16128" width="15.140625" style="107" customWidth="1"/>
    <col min="16129" max="16129" width="12.7109375" style="107" bestFit="1" customWidth="1"/>
    <col min="16130" max="16130" width="27.28515625" style="107" bestFit="1" customWidth="1"/>
    <col min="16131" max="16131" width="14.28515625" style="107" bestFit="1" customWidth="1"/>
    <col min="16132" max="16132" width="8.85546875" style="107"/>
    <col min="16133" max="16133" width="13.7109375" style="107" bestFit="1" customWidth="1"/>
    <col min="16134" max="16384" width="8.85546875" style="107"/>
  </cols>
  <sheetData>
    <row r="1" spans="1:29">
      <c r="A1" s="349" t="s">
        <v>175</v>
      </c>
      <c r="B1" s="350"/>
      <c r="C1" s="350"/>
      <c r="D1" s="351"/>
    </row>
    <row r="2" spans="1:29">
      <c r="A2" s="352" t="s">
        <v>176</v>
      </c>
      <c r="B2" s="353"/>
      <c r="C2" s="353"/>
      <c r="D2" s="354"/>
    </row>
    <row r="3" spans="1:29">
      <c r="A3" s="108"/>
      <c r="B3" s="355" t="s">
        <v>177</v>
      </c>
      <c r="C3" s="109" t="s">
        <v>178</v>
      </c>
      <c r="D3" s="357" t="s">
        <v>4</v>
      </c>
    </row>
    <row r="4" spans="1:29" ht="21.75" customHeight="1">
      <c r="A4" s="110"/>
      <c r="B4" s="356"/>
      <c r="C4" s="111">
        <v>2020</v>
      </c>
      <c r="D4" s="358"/>
      <c r="E4" s="145">
        <v>44562</v>
      </c>
      <c r="F4" s="145">
        <v>44593</v>
      </c>
      <c r="G4" s="145">
        <v>44621</v>
      </c>
      <c r="H4" s="145">
        <v>44652</v>
      </c>
      <c r="I4" s="145">
        <v>44682</v>
      </c>
      <c r="J4" s="145">
        <v>44713</v>
      </c>
      <c r="K4" s="145">
        <v>44743</v>
      </c>
      <c r="L4" s="145">
        <v>44774</v>
      </c>
      <c r="M4" s="145">
        <v>44805</v>
      </c>
      <c r="N4" s="145">
        <v>44835</v>
      </c>
      <c r="O4" s="145">
        <v>44866</v>
      </c>
      <c r="P4" s="145">
        <v>44896</v>
      </c>
      <c r="Q4" s="201" t="s">
        <v>5</v>
      </c>
      <c r="R4" s="145">
        <v>44927</v>
      </c>
      <c r="S4" s="145">
        <v>44958</v>
      </c>
      <c r="T4" s="145">
        <v>44986</v>
      </c>
      <c r="U4" s="145">
        <v>45017</v>
      </c>
      <c r="V4" s="145">
        <v>45047</v>
      </c>
      <c r="W4" s="145">
        <v>45078</v>
      </c>
      <c r="X4" s="145">
        <v>45108</v>
      </c>
      <c r="Y4" s="145">
        <v>45139</v>
      </c>
      <c r="Z4" s="145">
        <v>45170</v>
      </c>
      <c r="AA4" s="145">
        <v>45200</v>
      </c>
      <c r="AB4" s="145">
        <v>45231</v>
      </c>
      <c r="AC4" s="145">
        <v>45261</v>
      </c>
    </row>
    <row r="5" spans="1:29">
      <c r="A5" s="139" t="s">
        <v>179</v>
      </c>
      <c r="B5" s="140"/>
      <c r="C5" s="140"/>
      <c r="D5" s="141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</row>
    <row r="6" spans="1:29">
      <c r="A6" s="112" t="s">
        <v>180</v>
      </c>
      <c r="B6" s="113" t="s">
        <v>181</v>
      </c>
      <c r="C6" s="114">
        <f>C34</f>
        <v>124485592.3382</v>
      </c>
      <c r="D6" s="144">
        <f t="shared" ref="D6:E6" si="0">D34</f>
        <v>152023435</v>
      </c>
      <c r="E6" s="114">
        <f t="shared" si="0"/>
        <v>172647870.58000001</v>
      </c>
      <c r="F6" s="114">
        <f t="shared" ref="F6:P6" si="1">F34</f>
        <v>133515807.11999999</v>
      </c>
      <c r="G6" s="114">
        <f t="shared" si="1"/>
        <v>136160930</v>
      </c>
      <c r="H6" s="114">
        <f t="shared" si="1"/>
        <v>135338012.21000001</v>
      </c>
      <c r="I6" s="114">
        <f t="shared" si="1"/>
        <v>157770895.88999999</v>
      </c>
      <c r="J6" s="114">
        <f t="shared" si="1"/>
        <v>163490125.69999999</v>
      </c>
      <c r="K6" s="114">
        <f t="shared" si="1"/>
        <v>166535879.09999999</v>
      </c>
      <c r="L6" s="114">
        <f t="shared" si="1"/>
        <v>166179335.32999998</v>
      </c>
      <c r="M6" s="114">
        <f t="shared" si="1"/>
        <v>167658453.93000001</v>
      </c>
      <c r="N6" s="114">
        <f t="shared" si="1"/>
        <v>180213426.09</v>
      </c>
      <c r="O6" s="114">
        <f t="shared" si="1"/>
        <v>194485453.84999996</v>
      </c>
      <c r="P6" s="114">
        <f t="shared" si="1"/>
        <v>219130635.03999999</v>
      </c>
      <c r="Q6" s="114">
        <f t="shared" ref="Q6:T6" si="2">Q34</f>
        <v>184486490</v>
      </c>
      <c r="R6" s="114">
        <f t="shared" si="2"/>
        <v>187848374.90000001</v>
      </c>
      <c r="S6" s="114">
        <f t="shared" si="2"/>
        <v>190860224.13999999</v>
      </c>
      <c r="T6" s="114">
        <f t="shared" si="2"/>
        <v>192890081.00999999</v>
      </c>
      <c r="U6" s="114">
        <f t="shared" ref="U6:AC6" si="3">U34</f>
        <v>195125327.50999999</v>
      </c>
      <c r="V6" s="114">
        <f t="shared" si="3"/>
        <v>198186081.82999998</v>
      </c>
      <c r="W6" s="114">
        <f t="shared" si="3"/>
        <v>202799584.76999998</v>
      </c>
      <c r="X6" s="114">
        <f t="shared" si="3"/>
        <v>208665847.20999998</v>
      </c>
      <c r="Y6" s="114">
        <f t="shared" si="3"/>
        <v>210893321.91</v>
      </c>
      <c r="Z6" s="114">
        <f t="shared" si="3"/>
        <v>221126828.40000001</v>
      </c>
      <c r="AA6" s="114">
        <f t="shared" si="3"/>
        <v>0</v>
      </c>
      <c r="AB6" s="114">
        <f t="shared" si="3"/>
        <v>0</v>
      </c>
      <c r="AC6" s="114">
        <f t="shared" si="3"/>
        <v>0</v>
      </c>
    </row>
    <row r="7" spans="1:29">
      <c r="A7" s="112" t="s">
        <v>182</v>
      </c>
      <c r="B7" s="115" t="s">
        <v>183</v>
      </c>
      <c r="C7" s="116">
        <f>C34/C30</f>
        <v>0.20226120526276156</v>
      </c>
      <c r="D7" s="116">
        <f t="shared" ref="D7:E7" si="4">D34/D30</f>
        <v>0.21698805579823546</v>
      </c>
      <c r="E7" s="116">
        <f t="shared" si="4"/>
        <v>0.24374963087711513</v>
      </c>
      <c r="F7" s="116">
        <f t="shared" ref="F7:P7" si="5">F34/F30</f>
        <v>0.18998583973567795</v>
      </c>
      <c r="G7" s="116">
        <f t="shared" si="5"/>
        <v>0.19488930333542981</v>
      </c>
      <c r="H7" s="116">
        <f t="shared" si="5"/>
        <v>0.19188405532045949</v>
      </c>
      <c r="I7" s="116">
        <f t="shared" si="5"/>
        <v>0.22248578206048389</v>
      </c>
      <c r="J7" s="116">
        <f t="shared" si="5"/>
        <v>0.23160494806664353</v>
      </c>
      <c r="K7" s="116">
        <f t="shared" si="5"/>
        <v>0.23777453970559154</v>
      </c>
      <c r="L7" s="116">
        <f t="shared" si="5"/>
        <v>0.24048577112857383</v>
      </c>
      <c r="M7" s="116">
        <f t="shared" si="5"/>
        <v>0.24461226940385317</v>
      </c>
      <c r="N7" s="116">
        <f t="shared" si="5"/>
        <v>0.2615370956270458</v>
      </c>
      <c r="O7" s="116">
        <f t="shared" si="5"/>
        <v>0.26705590503454252</v>
      </c>
      <c r="P7" s="116">
        <f t="shared" si="5"/>
        <v>0.28957773904049922</v>
      </c>
      <c r="Q7" s="116">
        <f t="shared" ref="Q7:T7" si="6">Q34/Q30</f>
        <v>0.24316455654757171</v>
      </c>
      <c r="R7" s="116">
        <f t="shared" si="6"/>
        <v>0.24517105217167898</v>
      </c>
      <c r="S7" s="116">
        <f t="shared" si="6"/>
        <v>0.2520134492744997</v>
      </c>
      <c r="T7" s="116">
        <f t="shared" si="6"/>
        <v>0.25208811077975518</v>
      </c>
      <c r="U7" s="116">
        <f t="shared" ref="U7:AC7" si="7">U34/U30</f>
        <v>0.25450797336382003</v>
      </c>
      <c r="V7" s="116">
        <f t="shared" si="7"/>
        <v>0.26011224475482297</v>
      </c>
      <c r="W7" s="116">
        <f t="shared" si="7"/>
        <v>0.26248408862801725</v>
      </c>
      <c r="X7" s="116">
        <f t="shared" si="7"/>
        <v>0.2691105580629638</v>
      </c>
      <c r="Y7" s="116">
        <f t="shared" si="7"/>
        <v>0.26963226169134985</v>
      </c>
      <c r="Z7" s="116">
        <f t="shared" si="7"/>
        <v>0.27930216113180167</v>
      </c>
      <c r="AA7" s="116" t="e">
        <f t="shared" si="7"/>
        <v>#DIV/0!</v>
      </c>
      <c r="AB7" s="116" t="e">
        <f t="shared" si="7"/>
        <v>#DIV/0!</v>
      </c>
      <c r="AC7" s="116" t="e">
        <f t="shared" si="7"/>
        <v>#DIV/0!</v>
      </c>
    </row>
    <row r="8" spans="1:29">
      <c r="A8" s="112" t="s">
        <v>184</v>
      </c>
      <c r="B8" s="115"/>
      <c r="C8" s="116"/>
      <c r="D8" s="116">
        <f>D34/D32</f>
        <v>0.29807574338194009</v>
      </c>
      <c r="E8" s="116">
        <f>E34/E32</f>
        <v>0.35596982903049368</v>
      </c>
      <c r="F8" s="116">
        <f t="shared" ref="F8:P8" si="8">F34/F32</f>
        <v>0.26059314823875079</v>
      </c>
      <c r="G8" s="116">
        <f t="shared" si="8"/>
        <v>0.26983448261966164</v>
      </c>
      <c r="H8" s="116">
        <f t="shared" si="8"/>
        <v>0.26404646769849432</v>
      </c>
      <c r="I8" s="116">
        <f t="shared" si="8"/>
        <v>0.30625376573209612</v>
      </c>
      <c r="J8" s="116">
        <f t="shared" si="8"/>
        <v>0.32214316565375017</v>
      </c>
      <c r="K8" s="116">
        <f t="shared" si="8"/>
        <v>0.33313629816084239</v>
      </c>
      <c r="L8" s="116">
        <f t="shared" si="8"/>
        <v>0.33873105769309747</v>
      </c>
      <c r="M8" s="116">
        <f t="shared" si="8"/>
        <v>0.34701681484875657</v>
      </c>
      <c r="N8" s="116">
        <f t="shared" si="8"/>
        <v>0.37889914858508517</v>
      </c>
      <c r="O8" s="116">
        <f t="shared" si="8"/>
        <v>0.38757378698368466</v>
      </c>
      <c r="P8" s="116">
        <f t="shared" si="8"/>
        <v>0.43530612082498393</v>
      </c>
      <c r="Q8" s="116">
        <f t="shared" ref="Q8:T8" si="9">Q34/Q32</f>
        <v>0.34408900220398525</v>
      </c>
      <c r="R8" s="116">
        <f t="shared" si="9"/>
        <v>0.37100726362171493</v>
      </c>
      <c r="S8" s="116">
        <f t="shared" si="9"/>
        <v>0.35988312899581282</v>
      </c>
      <c r="T8" s="116">
        <f t="shared" si="9"/>
        <v>0.3595023851484086</v>
      </c>
      <c r="U8" s="116">
        <f t="shared" ref="U8:AC8" si="10">U34/U32</f>
        <v>0.36574091664657959</v>
      </c>
      <c r="V8" s="116">
        <f t="shared" si="10"/>
        <v>0.37857779815835868</v>
      </c>
      <c r="W8" s="116">
        <f t="shared" si="10"/>
        <v>0.38281201450918306</v>
      </c>
      <c r="X8" s="116">
        <f t="shared" si="10"/>
        <v>0.39784311191912347</v>
      </c>
      <c r="Y8" s="116">
        <f t="shared" si="10"/>
        <v>0.39654806355000238</v>
      </c>
      <c r="Z8" s="116">
        <f t="shared" si="10"/>
        <v>0.42054118786438183</v>
      </c>
      <c r="AA8" s="116" t="e">
        <f t="shared" si="10"/>
        <v>#DIV/0!</v>
      </c>
      <c r="AB8" s="116" t="e">
        <f t="shared" si="10"/>
        <v>#DIV/0!</v>
      </c>
      <c r="AC8" s="116" t="e">
        <f t="shared" si="10"/>
        <v>#DIV/0!</v>
      </c>
    </row>
    <row r="9" spans="1:29">
      <c r="A9" s="112" t="s">
        <v>185</v>
      </c>
      <c r="B9" s="115" t="s">
        <v>186</v>
      </c>
      <c r="C9" s="117">
        <f>C35/C30</f>
        <v>9.5700525570353398E-2</v>
      </c>
      <c r="D9" s="116">
        <f t="shared" ref="D9:E9" si="11">D35/D30</f>
        <v>9.6732017333508336E-2</v>
      </c>
      <c r="E9" s="117">
        <f t="shared" si="11"/>
        <v>0.1239080017880746</v>
      </c>
      <c r="F9" s="116">
        <f t="shared" ref="F9:P9" si="12">F35/F30</f>
        <v>6.9010212848082911E-2</v>
      </c>
      <c r="G9" s="117">
        <f t="shared" si="12"/>
        <v>7.0740127275413858E-2</v>
      </c>
      <c r="H9" s="116">
        <f t="shared" si="12"/>
        <v>6.783324389511769E-2</v>
      </c>
      <c r="I9" s="117">
        <f t="shared" si="12"/>
        <v>9.824184136292044E-2</v>
      </c>
      <c r="J9" s="116">
        <f t="shared" si="12"/>
        <v>9.9010392623680332E-2</v>
      </c>
      <c r="K9" s="117">
        <f t="shared" si="12"/>
        <v>0.10413747698637231</v>
      </c>
      <c r="L9" s="116">
        <f t="shared" si="12"/>
        <v>0.10403372164187384</v>
      </c>
      <c r="M9" s="117">
        <f t="shared" si="12"/>
        <v>0.10688533030691297</v>
      </c>
      <c r="N9" s="116">
        <f t="shared" si="12"/>
        <v>0.12436209684852936</v>
      </c>
      <c r="O9" s="117">
        <f t="shared" si="12"/>
        <v>0.13463803756893195</v>
      </c>
      <c r="P9" s="116">
        <f t="shared" si="12"/>
        <v>0.15446421813094868</v>
      </c>
      <c r="Q9" s="116">
        <f t="shared" ref="Q9:T9" si="13">Q35/Q30</f>
        <v>0.10840100728608197</v>
      </c>
      <c r="R9" s="116">
        <f t="shared" si="13"/>
        <v>0.10994385100461906</v>
      </c>
      <c r="S9" s="116">
        <f t="shared" si="13"/>
        <v>0.11511126900015825</v>
      </c>
      <c r="T9" s="116">
        <f t="shared" si="13"/>
        <v>0.11514584005056634</v>
      </c>
      <c r="U9" s="116">
        <f t="shared" ref="U9:AC9" si="14">U35/U30</f>
        <v>0.11591047903907721</v>
      </c>
      <c r="V9" s="116">
        <f t="shared" si="14"/>
        <v>0.11915466592035276</v>
      </c>
      <c r="W9" s="116">
        <f t="shared" si="14"/>
        <v>0.12250281039496663</v>
      </c>
      <c r="X9" s="116">
        <f t="shared" si="14"/>
        <v>0.12869946840618135</v>
      </c>
      <c r="Y9" s="116">
        <f t="shared" si="14"/>
        <v>0.12929533026611684</v>
      </c>
      <c r="Z9" s="116">
        <f t="shared" si="14"/>
        <v>0.1397483894552409</v>
      </c>
      <c r="AA9" s="116" t="e">
        <f t="shared" si="14"/>
        <v>#DIV/0!</v>
      </c>
      <c r="AB9" s="116" t="e">
        <f t="shared" si="14"/>
        <v>#DIV/0!</v>
      </c>
      <c r="AC9" s="116" t="e">
        <f t="shared" si="14"/>
        <v>#DIV/0!</v>
      </c>
    </row>
    <row r="10" spans="1:29">
      <c r="A10" s="139" t="s">
        <v>187</v>
      </c>
      <c r="B10" s="140"/>
      <c r="C10" s="140"/>
      <c r="D10" s="141"/>
      <c r="E10" s="140"/>
      <c r="F10" s="141"/>
      <c r="G10" s="140"/>
      <c r="H10" s="141"/>
      <c r="I10" s="140"/>
      <c r="J10" s="141"/>
      <c r="K10" s="140"/>
      <c r="L10" s="141"/>
      <c r="M10" s="140"/>
      <c r="N10" s="141"/>
      <c r="O10" s="140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</row>
    <row r="11" spans="1:29">
      <c r="A11" s="112" t="s">
        <v>188</v>
      </c>
      <c r="B11" s="113" t="s">
        <v>189</v>
      </c>
      <c r="C11" s="117">
        <f>C36/C33</f>
        <v>0</v>
      </c>
      <c r="D11" s="117">
        <f t="shared" ref="D11:E11" si="15">D36/D33</f>
        <v>4.0754247963007299E-2</v>
      </c>
      <c r="E11" s="117">
        <f t="shared" si="15"/>
        <v>0</v>
      </c>
      <c r="F11" s="117">
        <f t="shared" ref="F11:P11" si="16">F36/F33</f>
        <v>0</v>
      </c>
      <c r="G11" s="117">
        <f t="shared" si="16"/>
        <v>6.7813165543780057E-2</v>
      </c>
      <c r="H11" s="117">
        <f t="shared" si="16"/>
        <v>0</v>
      </c>
      <c r="I11" s="117">
        <f t="shared" si="16"/>
        <v>0</v>
      </c>
      <c r="J11" s="117">
        <f t="shared" si="16"/>
        <v>0.11366072507265247</v>
      </c>
      <c r="K11" s="117">
        <f t="shared" si="16"/>
        <v>0</v>
      </c>
      <c r="L11" s="117">
        <f t="shared" si="16"/>
        <v>0</v>
      </c>
      <c r="M11" s="117">
        <f t="shared" si="16"/>
        <v>0</v>
      </c>
      <c r="N11" s="117">
        <f t="shared" si="16"/>
        <v>0</v>
      </c>
      <c r="O11" s="117">
        <f t="shared" si="16"/>
        <v>0</v>
      </c>
      <c r="P11" s="117">
        <f t="shared" si="16"/>
        <v>0</v>
      </c>
      <c r="Q11" s="117">
        <f t="shared" ref="Q11:T11" si="17">Q36/Q33</f>
        <v>3.9027271177984907E-2</v>
      </c>
      <c r="R11" s="117">
        <f t="shared" si="17"/>
        <v>0</v>
      </c>
      <c r="S11" s="117">
        <f t="shared" si="17"/>
        <v>0</v>
      </c>
      <c r="T11" s="117">
        <f t="shared" si="17"/>
        <v>7.1778047442415893E-2</v>
      </c>
      <c r="U11" s="117">
        <f t="shared" ref="U11:AC11" si="18">U36/U33</f>
        <v>7.1474513909543569E-2</v>
      </c>
      <c r="V11" s="117">
        <f>V36/V33</f>
        <v>7.0860986117491795E-2</v>
      </c>
      <c r="W11" s="117">
        <f t="shared" si="18"/>
        <v>7.0650105319467166E-2</v>
      </c>
      <c r="X11" s="117">
        <f t="shared" si="18"/>
        <v>7.0659524177633645E-2</v>
      </c>
      <c r="Y11" s="117">
        <f t="shared" si="18"/>
        <v>6.940587945556792E-2</v>
      </c>
      <c r="Z11" s="117">
        <f t="shared" si="18"/>
        <v>6.9678356746965001E-2</v>
      </c>
      <c r="AA11" s="117" t="e">
        <f t="shared" si="18"/>
        <v>#DIV/0!</v>
      </c>
      <c r="AB11" s="117" t="e">
        <f t="shared" si="18"/>
        <v>#DIV/0!</v>
      </c>
      <c r="AC11" s="117" t="e">
        <f t="shared" si="18"/>
        <v>#DIV/0!</v>
      </c>
    </row>
    <row r="12" spans="1:29">
      <c r="A12" s="112" t="s">
        <v>122</v>
      </c>
      <c r="B12" s="113" t="s">
        <v>190</v>
      </c>
      <c r="C12" s="116">
        <f>C37/C30</f>
        <v>7.0614822936468036E-2</v>
      </c>
      <c r="D12" s="116">
        <f t="shared" ref="D12:E12" si="19">D37/D30</f>
        <v>7.8719860716056286E-2</v>
      </c>
      <c r="E12" s="116">
        <f t="shared" si="19"/>
        <v>8.0361961474461424E-2</v>
      </c>
      <c r="F12" s="116">
        <f t="shared" ref="F12:P12" si="20">F37/F30</f>
        <v>8.2385734200784932E-2</v>
      </c>
      <c r="G12" s="116">
        <f t="shared" si="20"/>
        <v>8.4723982686720545E-2</v>
      </c>
      <c r="H12" s="116">
        <f t="shared" si="20"/>
        <v>8.4998516119552253E-2</v>
      </c>
      <c r="I12" s="116">
        <f t="shared" si="20"/>
        <v>8.7601567047568954E-2</v>
      </c>
      <c r="J12" s="116">
        <f t="shared" si="20"/>
        <v>9.1269828826605517E-2</v>
      </c>
      <c r="K12" s="116">
        <f t="shared" si="20"/>
        <v>0.10006971084372859</v>
      </c>
      <c r="L12" s="116">
        <f t="shared" si="20"/>
        <v>9.9517175648648606E-2</v>
      </c>
      <c r="M12" s="116">
        <f t="shared" si="20"/>
        <v>9.9076698208892533E-2</v>
      </c>
      <c r="N12" s="116">
        <f t="shared" si="20"/>
        <v>0.10597424615601479</v>
      </c>
      <c r="O12" s="116">
        <f t="shared" si="20"/>
        <v>9.6015671795071048E-2</v>
      </c>
      <c r="P12" s="116">
        <f t="shared" si="20"/>
        <v>8.4494750678685407E-2</v>
      </c>
      <c r="Q12" s="116">
        <f t="shared" ref="Q12:T12" si="21">Q37/Q30</f>
        <v>8.4270215487347921E-2</v>
      </c>
      <c r="R12" s="116">
        <f t="shared" si="21"/>
        <v>8.4089924384245035E-2</v>
      </c>
      <c r="S12" s="116">
        <f t="shared" si="21"/>
        <v>8.2358814603742739E-2</v>
      </c>
      <c r="T12" s="116">
        <f t="shared" si="21"/>
        <v>8.4995126372498786E-2</v>
      </c>
      <c r="U12" s="116">
        <f t="shared" ref="U12:AC12" si="22">U37/U30</f>
        <v>8.7249901426299126E-2</v>
      </c>
      <c r="V12" s="116">
        <f t="shared" si="22"/>
        <v>8.9359216412483622E-2</v>
      </c>
      <c r="W12" s="116">
        <f t="shared" si="22"/>
        <v>9.1359902128768766E-2</v>
      </c>
      <c r="X12" s="116">
        <f t="shared" si="22"/>
        <v>9.5913050292686181E-2</v>
      </c>
      <c r="Y12" s="116">
        <f t="shared" si="22"/>
        <v>9.7874361496094936E-2</v>
      </c>
      <c r="Z12" s="116">
        <f t="shared" si="22"/>
        <v>9.8799998298780015E-2</v>
      </c>
      <c r="AA12" s="116" t="e">
        <f t="shared" si="22"/>
        <v>#DIV/0!</v>
      </c>
      <c r="AB12" s="116" t="e">
        <f t="shared" si="22"/>
        <v>#DIV/0!</v>
      </c>
      <c r="AC12" s="116" t="e">
        <f t="shared" si="22"/>
        <v>#DIV/0!</v>
      </c>
    </row>
    <row r="13" spans="1:29">
      <c r="A13" s="112" t="s">
        <v>191</v>
      </c>
      <c r="B13" s="113" t="s">
        <v>189</v>
      </c>
      <c r="C13" s="118">
        <f>C39/C32</f>
        <v>0</v>
      </c>
      <c r="D13" s="118">
        <f t="shared" ref="D13:E13" si="23">D39/D32</f>
        <v>2.1567945607868557E-4</v>
      </c>
      <c r="E13" s="118">
        <f t="shared" si="23"/>
        <v>0</v>
      </c>
      <c r="F13" s="118">
        <f t="shared" ref="F13:P13" si="24">F39/F32</f>
        <v>0</v>
      </c>
      <c r="G13" s="118">
        <f t="shared" si="24"/>
        <v>0</v>
      </c>
      <c r="H13" s="118">
        <f t="shared" si="24"/>
        <v>0</v>
      </c>
      <c r="I13" s="118">
        <f t="shared" si="24"/>
        <v>0</v>
      </c>
      <c r="J13" s="118">
        <f t="shared" si="24"/>
        <v>0</v>
      </c>
      <c r="K13" s="118">
        <f t="shared" si="24"/>
        <v>0</v>
      </c>
      <c r="L13" s="118">
        <f t="shared" si="24"/>
        <v>0</v>
      </c>
      <c r="M13" s="118">
        <f t="shared" si="24"/>
        <v>0</v>
      </c>
      <c r="N13" s="118">
        <f t="shared" si="24"/>
        <v>0</v>
      </c>
      <c r="O13" s="118">
        <f t="shared" si="24"/>
        <v>0</v>
      </c>
      <c r="P13" s="118">
        <f t="shared" si="24"/>
        <v>0</v>
      </c>
      <c r="Q13" s="118">
        <f t="shared" ref="Q13:T13" si="25">Q39/Q32</f>
        <v>0</v>
      </c>
      <c r="R13" s="118">
        <f t="shared" si="25"/>
        <v>0</v>
      </c>
      <c r="S13" s="118">
        <f t="shared" si="25"/>
        <v>0</v>
      </c>
      <c r="T13" s="118">
        <f t="shared" si="25"/>
        <v>0</v>
      </c>
      <c r="U13" s="118">
        <f t="shared" ref="U13:AC13" si="26">U39/U32</f>
        <v>0</v>
      </c>
      <c r="V13" s="118">
        <f t="shared" si="26"/>
        <v>0</v>
      </c>
      <c r="W13" s="118">
        <f t="shared" si="26"/>
        <v>0</v>
      </c>
      <c r="X13" s="118">
        <f t="shared" si="26"/>
        <v>0</v>
      </c>
      <c r="Y13" s="118">
        <f t="shared" si="26"/>
        <v>0</v>
      </c>
      <c r="Z13" s="118">
        <f t="shared" si="26"/>
        <v>0</v>
      </c>
      <c r="AA13" s="118" t="e">
        <f t="shared" si="26"/>
        <v>#DIV/0!</v>
      </c>
      <c r="AB13" s="118" t="e">
        <f t="shared" si="26"/>
        <v>#DIV/0!</v>
      </c>
      <c r="AC13" s="118" t="e">
        <f t="shared" si="26"/>
        <v>#DIV/0!</v>
      </c>
    </row>
    <row r="14" spans="1:29" s="121" customFormat="1">
      <c r="A14" s="119" t="s">
        <v>192</v>
      </c>
      <c r="B14" s="113" t="s">
        <v>193</v>
      </c>
      <c r="C14" s="120">
        <f>C39/C34</f>
        <v>0</v>
      </c>
      <c r="D14" s="120">
        <f t="shared" ref="D14:E14" si="27">D39/D34</f>
        <v>7.2357265180858466E-4</v>
      </c>
      <c r="E14" s="120">
        <f t="shared" si="27"/>
        <v>0</v>
      </c>
      <c r="F14" s="120">
        <f t="shared" ref="F14:P14" si="28">F39/F34</f>
        <v>0</v>
      </c>
      <c r="G14" s="120">
        <f t="shared" si="28"/>
        <v>0</v>
      </c>
      <c r="H14" s="120">
        <f t="shared" si="28"/>
        <v>0</v>
      </c>
      <c r="I14" s="120">
        <f t="shared" si="28"/>
        <v>0</v>
      </c>
      <c r="J14" s="120">
        <f t="shared" si="28"/>
        <v>0</v>
      </c>
      <c r="K14" s="120">
        <f t="shared" si="28"/>
        <v>0</v>
      </c>
      <c r="L14" s="120">
        <f t="shared" si="28"/>
        <v>0</v>
      </c>
      <c r="M14" s="120">
        <f t="shared" si="28"/>
        <v>0</v>
      </c>
      <c r="N14" s="120">
        <f t="shared" si="28"/>
        <v>0</v>
      </c>
      <c r="O14" s="120">
        <f t="shared" si="28"/>
        <v>0</v>
      </c>
      <c r="P14" s="120">
        <f t="shared" si="28"/>
        <v>0</v>
      </c>
      <c r="Q14" s="120">
        <f t="shared" ref="Q14:T14" si="29">Q39/Q34</f>
        <v>0</v>
      </c>
      <c r="R14" s="120">
        <f t="shared" si="29"/>
        <v>0</v>
      </c>
      <c r="S14" s="120">
        <f t="shared" si="29"/>
        <v>0</v>
      </c>
      <c r="T14" s="120">
        <f t="shared" si="29"/>
        <v>0</v>
      </c>
      <c r="U14" s="120">
        <f t="shared" ref="U14:AC14" si="30">U39/U34</f>
        <v>0</v>
      </c>
      <c r="V14" s="120">
        <f t="shared" si="30"/>
        <v>0</v>
      </c>
      <c r="W14" s="120">
        <f t="shared" si="30"/>
        <v>0</v>
      </c>
      <c r="X14" s="120">
        <f t="shared" si="30"/>
        <v>0</v>
      </c>
      <c r="Y14" s="120">
        <f t="shared" si="30"/>
        <v>0</v>
      </c>
      <c r="Z14" s="120">
        <f t="shared" si="30"/>
        <v>0</v>
      </c>
      <c r="AA14" s="120" t="e">
        <f t="shared" si="30"/>
        <v>#DIV/0!</v>
      </c>
      <c r="AB14" s="120" t="e">
        <f t="shared" si="30"/>
        <v>#DIV/0!</v>
      </c>
      <c r="AC14" s="120" t="e">
        <f t="shared" si="30"/>
        <v>#DIV/0!</v>
      </c>
    </row>
    <row r="15" spans="1:29">
      <c r="A15" s="139" t="s">
        <v>194</v>
      </c>
      <c r="B15" s="140"/>
      <c r="C15" s="140"/>
      <c r="D15" s="141"/>
      <c r="E15" s="140"/>
      <c r="F15" s="141"/>
      <c r="G15" s="140"/>
      <c r="H15" s="141"/>
      <c r="I15" s="140"/>
      <c r="J15" s="141"/>
      <c r="K15" s="140"/>
      <c r="L15" s="141"/>
      <c r="M15" s="140"/>
      <c r="N15" s="141"/>
      <c r="O15" s="140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</row>
    <row r="16" spans="1:29">
      <c r="A16" s="112" t="s">
        <v>195</v>
      </c>
      <c r="B16" s="113"/>
      <c r="C16" s="117">
        <f>C49/C33</f>
        <v>0.16213195335744315</v>
      </c>
      <c r="D16" s="117">
        <f t="shared" ref="D16:E16" si="31">D49/D33</f>
        <v>0.1561495738735767</v>
      </c>
      <c r="E16" s="117">
        <f t="shared" si="31"/>
        <v>2.6447778424085531E-3</v>
      </c>
      <c r="F16" s="117">
        <f t="shared" ref="F16:P16" si="32">F49/F33</f>
        <v>6.0332774295671007E-3</v>
      </c>
      <c r="G16" s="117">
        <f t="shared" si="32"/>
        <v>8.8224589323468213E-3</v>
      </c>
      <c r="H16" s="117">
        <f t="shared" si="32"/>
        <v>1.0786817966786707E-2</v>
      </c>
      <c r="I16" s="117">
        <f t="shared" si="32"/>
        <v>1.2601845851691927E-2</v>
      </c>
      <c r="J16" s="117">
        <f t="shared" si="32"/>
        <v>1.5755568894188297E-2</v>
      </c>
      <c r="K16" s="117">
        <f t="shared" si="32"/>
        <v>1.6385713356503816E-2</v>
      </c>
      <c r="L16" s="117">
        <f t="shared" si="32"/>
        <v>1.8550998388574144E-2</v>
      </c>
      <c r="M16" s="117">
        <f t="shared" si="32"/>
        <v>2.0603661109149827E-2</v>
      </c>
      <c r="N16" s="117">
        <f t="shared" si="32"/>
        <v>2.2758106065930789E-2</v>
      </c>
      <c r="O16" s="117">
        <f t="shared" si="32"/>
        <v>2.2997895123051795E-2</v>
      </c>
      <c r="P16" s="117">
        <f t="shared" si="32"/>
        <v>3.8655201827675192E-2</v>
      </c>
      <c r="Q16" s="117">
        <f t="shared" ref="Q16:T16" si="33">Q49/Q33</f>
        <v>4.2166636592885443E-2</v>
      </c>
      <c r="R16" s="117">
        <f t="shared" si="33"/>
        <v>2.1855980387431146E-3</v>
      </c>
      <c r="S16" s="117">
        <f t="shared" si="33"/>
        <v>5.1613834210782958E-3</v>
      </c>
      <c r="T16" s="117">
        <f t="shared" si="33"/>
        <v>8.1012869201344661E-3</v>
      </c>
      <c r="U16" s="117">
        <f t="shared" ref="U16:AC16" si="34">U49/U33</f>
        <v>1.7704312160189098E-2</v>
      </c>
      <c r="V16" s="117">
        <f t="shared" si="34"/>
        <v>1.9177088533389522E-2</v>
      </c>
      <c r="W16" s="117">
        <f t="shared" si="34"/>
        <v>1.4800950231833518E-2</v>
      </c>
      <c r="X16" s="117">
        <f t="shared" si="34"/>
        <v>1.7411137359997955E-2</v>
      </c>
      <c r="Y16" s="117">
        <f t="shared" si="34"/>
        <v>1.9657563903159574E-2</v>
      </c>
      <c r="Z16" s="117">
        <f t="shared" si="34"/>
        <v>7.0663493657268896E-5</v>
      </c>
      <c r="AA16" s="117" t="e">
        <f t="shared" si="34"/>
        <v>#DIV/0!</v>
      </c>
      <c r="AB16" s="117" t="e">
        <f t="shared" si="34"/>
        <v>#DIV/0!</v>
      </c>
      <c r="AC16" s="117" t="e">
        <f t="shared" si="34"/>
        <v>#DIV/0!</v>
      </c>
    </row>
    <row r="17" spans="1:29">
      <c r="A17" s="112" t="s">
        <v>196</v>
      </c>
      <c r="B17" s="113"/>
      <c r="C17" s="117">
        <f>C50/C45</f>
        <v>0.77835077523891594</v>
      </c>
      <c r="D17" s="117">
        <f t="shared" ref="D17:E17" si="35">D50/D45</f>
        <v>0.84795499371790328</v>
      </c>
      <c r="E17" s="117">
        <f t="shared" si="35"/>
        <v>0.42684248826687615</v>
      </c>
      <c r="F17" s="117">
        <f t="shared" ref="F17:P17" si="36">F50/F45</f>
        <v>0.50949526261407119</v>
      </c>
      <c r="G17" s="117">
        <f t="shared" si="36"/>
        <v>0.53066392011583485</v>
      </c>
      <c r="H17" s="117">
        <f t="shared" si="36"/>
        <v>0.56954361420523503</v>
      </c>
      <c r="I17" s="117">
        <f t="shared" si="36"/>
        <v>0.56852160070442692</v>
      </c>
      <c r="J17" s="117">
        <f t="shared" si="36"/>
        <v>0.56805602934776245</v>
      </c>
      <c r="K17" s="117">
        <f t="shared" si="36"/>
        <v>0.56842010302366841</v>
      </c>
      <c r="L17" s="117">
        <f t="shared" si="36"/>
        <v>0.56960206666991631</v>
      </c>
      <c r="M17" s="117">
        <f t="shared" si="36"/>
        <v>0.59924639252877865</v>
      </c>
      <c r="N17" s="117">
        <f t="shared" si="36"/>
        <v>0.54118593659786862</v>
      </c>
      <c r="O17" s="117">
        <f t="shared" si="36"/>
        <v>0.50573341196105503</v>
      </c>
      <c r="P17" s="117">
        <f t="shared" si="36"/>
        <v>0.54176396145550043</v>
      </c>
      <c r="Q17" s="117">
        <f t="shared" ref="Q17:T17" si="37">Q50/Q45</f>
        <v>0.81576583484059828</v>
      </c>
      <c r="R17" s="117">
        <f t="shared" si="37"/>
        <v>0.49179735775143718</v>
      </c>
      <c r="S17" s="117">
        <f t="shared" si="37"/>
        <v>0</v>
      </c>
      <c r="T17" s="117">
        <f t="shared" si="37"/>
        <v>0</v>
      </c>
      <c r="U17" s="117">
        <f t="shared" ref="U17:AC17" si="38">U50/U45</f>
        <v>0</v>
      </c>
      <c r="V17" s="117">
        <f t="shared" si="38"/>
        <v>0</v>
      </c>
      <c r="W17" s="117">
        <f t="shared" si="38"/>
        <v>0</v>
      </c>
      <c r="X17" s="117">
        <f t="shared" si="38"/>
        <v>0</v>
      </c>
      <c r="Y17" s="117">
        <f t="shared" si="38"/>
        <v>0</v>
      </c>
      <c r="Z17" s="117">
        <f t="shared" si="38"/>
        <v>0</v>
      </c>
      <c r="AA17" s="117" t="e">
        <f t="shared" si="38"/>
        <v>#DIV/0!</v>
      </c>
      <c r="AB17" s="117" t="e">
        <f t="shared" si="38"/>
        <v>#DIV/0!</v>
      </c>
      <c r="AC17" s="117" t="e">
        <f t="shared" si="38"/>
        <v>#DIV/0!</v>
      </c>
    </row>
    <row r="18" spans="1:29">
      <c r="A18" s="112" t="s">
        <v>197</v>
      </c>
      <c r="B18" s="113"/>
      <c r="C18" s="120">
        <f>C51/C31</f>
        <v>2.837565611983384E-2</v>
      </c>
      <c r="D18" s="120">
        <f t="shared" ref="D18:E18" si="39">D51/D31</f>
        <v>2.1900407022897243E-2</v>
      </c>
      <c r="E18" s="120">
        <f t="shared" si="39"/>
        <v>1.9225033012283462E-3</v>
      </c>
      <c r="F18" s="120">
        <f t="shared" ref="F18:P18" si="40">F51/F31</f>
        <v>6.1264343399116206E-3</v>
      </c>
      <c r="G18" s="120">
        <f t="shared" si="40"/>
        <v>8.8088427617499417E-3</v>
      </c>
      <c r="H18" s="120">
        <f t="shared" si="40"/>
        <v>4.2925510977063373E-3</v>
      </c>
      <c r="I18" s="120">
        <f t="shared" si="40"/>
        <v>5.66973092656792E-3</v>
      </c>
      <c r="J18" s="120">
        <f t="shared" si="40"/>
        <v>6.3047524714390079E-3</v>
      </c>
      <c r="K18" s="120">
        <f t="shared" si="40"/>
        <v>7.3471146158244904E-3</v>
      </c>
      <c r="L18" s="120">
        <f t="shared" si="40"/>
        <v>5.9187776901296245E-3</v>
      </c>
      <c r="M18" s="120">
        <f t="shared" si="40"/>
        <v>7.9751296476481635E-3</v>
      </c>
      <c r="N18" s="120">
        <f t="shared" si="40"/>
        <v>2.6077370348723081E-2</v>
      </c>
      <c r="O18" s="120">
        <f t="shared" si="40"/>
        <v>4.2728741909910613E-2</v>
      </c>
      <c r="P18" s="120">
        <f t="shared" si="40"/>
        <v>6.400948901126409E-2</v>
      </c>
      <c r="Q18" s="120">
        <f t="shared" ref="Q18:T18" si="41">Q51/Q31</f>
        <v>2.345689759339746E-2</v>
      </c>
      <c r="R18" s="120">
        <f t="shared" si="41"/>
        <v>2.6172143730876308E-3</v>
      </c>
      <c r="S18" s="120">
        <f t="shared" si="41"/>
        <v>6.4793819933127855E-3</v>
      </c>
      <c r="T18" s="120">
        <f t="shared" si="41"/>
        <v>7.7021590562561639E-3</v>
      </c>
      <c r="U18" s="120">
        <f t="shared" ref="U18:AC18" si="42">U51/U31</f>
        <v>7.1103520072635408E-3</v>
      </c>
      <c r="V18" s="120">
        <f t="shared" si="42"/>
        <v>3.3620361943701674E-2</v>
      </c>
      <c r="W18" s="120">
        <f t="shared" si="42"/>
        <v>1.6167643870911439E-2</v>
      </c>
      <c r="X18" s="120">
        <f t="shared" si="42"/>
        <v>2.2673832480810091E-2</v>
      </c>
      <c r="Y18" s="120">
        <f t="shared" si="42"/>
        <v>2.4250776237293215E-2</v>
      </c>
      <c r="Z18" s="120">
        <f t="shared" si="42"/>
        <v>1.9687560060910436E-2</v>
      </c>
      <c r="AA18" s="120">
        <f t="shared" si="42"/>
        <v>0</v>
      </c>
      <c r="AB18" s="120" t="e">
        <f t="shared" si="42"/>
        <v>#DIV/0!</v>
      </c>
      <c r="AC18" s="120" t="e">
        <f t="shared" si="42"/>
        <v>#DIV/0!</v>
      </c>
    </row>
    <row r="19" spans="1:29">
      <c r="A19" s="119" t="s">
        <v>198</v>
      </c>
      <c r="B19" s="122"/>
      <c r="C19" s="120">
        <f>C48/C45</f>
        <v>0.53076202655389415</v>
      </c>
      <c r="D19" s="120">
        <f t="shared" ref="D19:E19" si="43">D48/D45</f>
        <v>0.52478740315817818</v>
      </c>
      <c r="E19" s="120">
        <f t="shared" si="43"/>
        <v>0.3762825987885563</v>
      </c>
      <c r="F19" s="120">
        <f t="shared" ref="F19:P19" si="44">F48/F45</f>
        <v>0.4807315245212106</v>
      </c>
      <c r="G19" s="120">
        <f t="shared" si="44"/>
        <v>0.50227938791577675</v>
      </c>
      <c r="H19" s="120">
        <f t="shared" si="44"/>
        <v>0.54501375238636751</v>
      </c>
      <c r="I19" s="120">
        <f t="shared" si="44"/>
        <v>0.54633955814073532</v>
      </c>
      <c r="J19" s="120">
        <f t="shared" si="44"/>
        <v>0.54465895332146474</v>
      </c>
      <c r="K19" s="120">
        <f t="shared" si="44"/>
        <v>0.54430162778641411</v>
      </c>
      <c r="L19" s="120">
        <f t="shared" si="44"/>
        <v>0.54667357756625146</v>
      </c>
      <c r="M19" s="120">
        <f t="shared" si="44"/>
        <v>0.57530984126702589</v>
      </c>
      <c r="N19" s="120">
        <f t="shared" si="44"/>
        <v>0.51855757622776355</v>
      </c>
      <c r="O19" s="120">
        <f t="shared" si="44"/>
        <v>0.48370469272773969</v>
      </c>
      <c r="P19" s="120">
        <f t="shared" si="44"/>
        <v>0.52123335995383935</v>
      </c>
      <c r="Q19" s="120">
        <f t="shared" ref="Q19:T19" si="45">Q48/Q45</f>
        <v>0.54356623897448197</v>
      </c>
      <c r="R19" s="120">
        <f t="shared" si="45"/>
        <v>0.46550204134647855</v>
      </c>
      <c r="S19" s="120">
        <f t="shared" si="45"/>
        <v>0.5390919382074234</v>
      </c>
      <c r="T19" s="120">
        <f t="shared" si="45"/>
        <v>0.53315707078000152</v>
      </c>
      <c r="U19" s="120">
        <f t="shared" ref="U19:AC19" si="46">U48/U45</f>
        <v>0.43270732681010776</v>
      </c>
      <c r="V19" s="120">
        <f t="shared" si="46"/>
        <v>0.37665697952598232</v>
      </c>
      <c r="W19" s="120">
        <f t="shared" si="46"/>
        <v>0.49634564118652663</v>
      </c>
      <c r="X19" s="120">
        <f t="shared" si="46"/>
        <v>0.48979457953244671</v>
      </c>
      <c r="Y19" s="120">
        <f t="shared" si="46"/>
        <v>0.49663218767409789</v>
      </c>
      <c r="Z19" s="120">
        <f t="shared" si="46"/>
        <v>0.56260257940153802</v>
      </c>
      <c r="AA19" s="120" t="e">
        <f t="shared" si="46"/>
        <v>#DIV/0!</v>
      </c>
      <c r="AB19" s="120" t="e">
        <f t="shared" si="46"/>
        <v>#DIV/0!</v>
      </c>
      <c r="AC19" s="120" t="e">
        <f t="shared" si="46"/>
        <v>#DIV/0!</v>
      </c>
    </row>
    <row r="20" spans="1:29">
      <c r="A20" s="139" t="s">
        <v>199</v>
      </c>
      <c r="B20" s="140"/>
      <c r="C20" s="140"/>
      <c r="D20" s="141"/>
      <c r="E20" s="140"/>
      <c r="F20" s="141"/>
      <c r="G20" s="140"/>
      <c r="H20" s="141"/>
      <c r="I20" s="140"/>
      <c r="J20" s="141"/>
      <c r="K20" s="140"/>
      <c r="L20" s="141"/>
      <c r="M20" s="140"/>
      <c r="N20" s="141"/>
      <c r="O20" s="140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</row>
    <row r="21" spans="1:29">
      <c r="A21" s="112" t="s">
        <v>200</v>
      </c>
      <c r="B21" s="123" t="s">
        <v>201</v>
      </c>
      <c r="C21" s="116">
        <f>C41/C42</f>
        <v>0.19372841121356965</v>
      </c>
      <c r="D21" s="116">
        <f t="shared" ref="D21:E21" si="47">D41/D42</f>
        <v>0.61961762696434952</v>
      </c>
      <c r="E21" s="116">
        <f t="shared" si="47"/>
        <v>0.74686166789058572</v>
      </c>
      <c r="F21" s="116">
        <f t="shared" ref="F21:P21" si="48">F41/F42</f>
        <v>0.65769905879811119</v>
      </c>
      <c r="G21" s="116">
        <f t="shared" si="48"/>
        <v>0.65529769695115936</v>
      </c>
      <c r="H21" s="116">
        <f t="shared" si="48"/>
        <v>0.63841950644978596</v>
      </c>
      <c r="I21" s="116">
        <f t="shared" si="48"/>
        <v>0.62302121710753045</v>
      </c>
      <c r="J21" s="116">
        <f t="shared" si="48"/>
        <v>0.64985627914480182</v>
      </c>
      <c r="K21" s="116">
        <f t="shared" si="48"/>
        <v>0.62724805903828607</v>
      </c>
      <c r="L21" s="116">
        <f t="shared" si="48"/>
        <v>0.68334532335603304</v>
      </c>
      <c r="M21" s="116">
        <f t="shared" si="48"/>
        <v>0.68959006233750619</v>
      </c>
      <c r="N21" s="116">
        <f t="shared" si="48"/>
        <v>0.69850998064925141</v>
      </c>
      <c r="O21" s="116">
        <f t="shared" si="48"/>
        <v>0.59801666157646161</v>
      </c>
      <c r="P21" s="116">
        <f t="shared" si="48"/>
        <v>0.65453338445620179</v>
      </c>
      <c r="Q21" s="116">
        <f t="shared" ref="Q21:T21" si="49">Q41/Q42</f>
        <v>0.65691410584175269</v>
      </c>
      <c r="R21" s="116">
        <f t="shared" si="49"/>
        <v>0.68762835402396294</v>
      </c>
      <c r="S21" s="116">
        <f t="shared" si="49"/>
        <v>0.62817136415103414</v>
      </c>
      <c r="T21" s="116">
        <f t="shared" si="49"/>
        <v>0.65500858794232819</v>
      </c>
      <c r="U21" s="116">
        <f t="shared" ref="U21:AC21" si="50">U41/U42</f>
        <v>0.67295770132333788</v>
      </c>
      <c r="V21" s="116">
        <f t="shared" si="50"/>
        <v>0.66462357765381241</v>
      </c>
      <c r="W21" s="116">
        <f t="shared" si="50"/>
        <v>0.69121699315350993</v>
      </c>
      <c r="X21" s="116">
        <f t="shared" si="50"/>
        <v>0.70118796882681178</v>
      </c>
      <c r="Y21" s="116">
        <f t="shared" si="50"/>
        <v>0.68702551574594894</v>
      </c>
      <c r="Z21" s="116">
        <f t="shared" si="50"/>
        <v>0.72759233295411929</v>
      </c>
      <c r="AA21" s="116" t="e">
        <f t="shared" si="50"/>
        <v>#DIV/0!</v>
      </c>
      <c r="AB21" s="116" t="e">
        <f t="shared" si="50"/>
        <v>#DIV/0!</v>
      </c>
      <c r="AC21" s="116" t="e">
        <f t="shared" si="50"/>
        <v>#DIV/0!</v>
      </c>
    </row>
    <row r="22" spans="1:29">
      <c r="A22" s="112" t="s">
        <v>202</v>
      </c>
      <c r="B22" s="113" t="s">
        <v>203</v>
      </c>
      <c r="C22" s="116">
        <f>C43/C30</f>
        <v>0</v>
      </c>
      <c r="D22" s="116">
        <f t="shared" ref="D22:E22" si="51">D43/D30</f>
        <v>0</v>
      </c>
      <c r="E22" s="116">
        <f t="shared" si="51"/>
        <v>0</v>
      </c>
      <c r="F22" s="116">
        <f t="shared" ref="F22:P22" si="52">F43/F30</f>
        <v>0</v>
      </c>
      <c r="G22" s="116">
        <f t="shared" si="52"/>
        <v>0</v>
      </c>
      <c r="H22" s="116">
        <f t="shared" si="52"/>
        <v>0</v>
      </c>
      <c r="I22" s="116">
        <f t="shared" si="52"/>
        <v>0</v>
      </c>
      <c r="J22" s="116">
        <f t="shared" si="52"/>
        <v>0</v>
      </c>
      <c r="K22" s="116">
        <f t="shared" si="52"/>
        <v>0</v>
      </c>
      <c r="L22" s="116">
        <f t="shared" si="52"/>
        <v>0</v>
      </c>
      <c r="M22" s="116">
        <f t="shared" si="52"/>
        <v>0</v>
      </c>
      <c r="N22" s="116">
        <f t="shared" si="52"/>
        <v>0</v>
      </c>
      <c r="O22" s="116">
        <f t="shared" si="52"/>
        <v>0</v>
      </c>
      <c r="P22" s="116">
        <f t="shared" si="52"/>
        <v>0</v>
      </c>
      <c r="Q22" s="116">
        <f t="shared" ref="Q22:T22" si="53">Q43/Q30</f>
        <v>0</v>
      </c>
      <c r="R22" s="116">
        <f t="shared" si="53"/>
        <v>0</v>
      </c>
      <c r="S22" s="116">
        <f t="shared" si="53"/>
        <v>0</v>
      </c>
      <c r="T22" s="116">
        <f t="shared" si="53"/>
        <v>0</v>
      </c>
      <c r="U22" s="116">
        <f t="shared" ref="U22:AC22" si="54">U43/U30</f>
        <v>0</v>
      </c>
      <c r="V22" s="116">
        <f t="shared" si="54"/>
        <v>0</v>
      </c>
      <c r="W22" s="116">
        <f t="shared" si="54"/>
        <v>0</v>
      </c>
      <c r="X22" s="116">
        <f t="shared" si="54"/>
        <v>0</v>
      </c>
      <c r="Y22" s="116">
        <f t="shared" si="54"/>
        <v>0</v>
      </c>
      <c r="Z22" s="116">
        <f t="shared" si="54"/>
        <v>0</v>
      </c>
      <c r="AA22" s="116" t="e">
        <f t="shared" si="54"/>
        <v>#DIV/0!</v>
      </c>
      <c r="AB22" s="116" t="e">
        <f t="shared" si="54"/>
        <v>#DIV/0!</v>
      </c>
      <c r="AC22" s="116" t="e">
        <f t="shared" si="54"/>
        <v>#DIV/0!</v>
      </c>
    </row>
    <row r="23" spans="1:29">
      <c r="A23" s="112" t="s">
        <v>204</v>
      </c>
      <c r="B23" s="113"/>
      <c r="C23" s="116">
        <f>C41/C30</f>
        <v>7.8364705726977194E-2</v>
      </c>
      <c r="D23" s="116">
        <f t="shared" ref="D23:E23" si="55">D41/D30</f>
        <v>0.24093406220260982</v>
      </c>
      <c r="E23" s="116">
        <f t="shared" si="55"/>
        <v>0.24841154347848521</v>
      </c>
      <c r="F23" s="116">
        <f t="shared" ref="F23:P23" si="56">F41/F30</f>
        <v>0.24213465702619721</v>
      </c>
      <c r="G23" s="116">
        <f t="shared" si="56"/>
        <v>0.23172533979184887</v>
      </c>
      <c r="H23" s="116">
        <f t="shared" si="56"/>
        <v>0.22742739300753478</v>
      </c>
      <c r="I23" s="116">
        <f t="shared" si="56"/>
        <v>0.2188827332192588</v>
      </c>
      <c r="J23" s="116">
        <f t="shared" si="56"/>
        <v>0.2231803377893482</v>
      </c>
      <c r="K23" s="116">
        <f t="shared" si="56"/>
        <v>0.21079305956462421</v>
      </c>
      <c r="L23" s="116">
        <f t="shared" si="56"/>
        <v>0.22064320102024815</v>
      </c>
      <c r="M23" s="116">
        <f t="shared" si="56"/>
        <v>0.21511515394569208</v>
      </c>
      <c r="N23" s="116">
        <f t="shared" si="56"/>
        <v>0.20722499370434122</v>
      </c>
      <c r="O23" s="116">
        <f t="shared" si="56"/>
        <v>0.18664408125467438</v>
      </c>
      <c r="P23" s="116">
        <f t="shared" si="56"/>
        <v>0.2027587679668614</v>
      </c>
      <c r="Q23" s="116">
        <f t="shared" ref="Q23:T23" si="57">Q41/Q30</f>
        <v>0.20482946010403255</v>
      </c>
      <c r="R23" s="116">
        <f t="shared" si="57"/>
        <v>0.21038693234458711</v>
      </c>
      <c r="S23" s="116">
        <f t="shared" si="57"/>
        <v>0.20938120926410084</v>
      </c>
      <c r="T23" s="116">
        <f t="shared" si="57"/>
        <v>0.21569595233149297</v>
      </c>
      <c r="U23" s="116">
        <f t="shared" ref="U23:AC23" si="58">U41/U30</f>
        <v>0.21693700811674071</v>
      </c>
      <c r="V23" s="116">
        <f t="shared" si="58"/>
        <v>0.20775262016773394</v>
      </c>
      <c r="W23" s="116">
        <f t="shared" si="58"/>
        <v>0.21559163046818147</v>
      </c>
      <c r="X23" s="116">
        <f t="shared" si="58"/>
        <v>0.21409044361818813</v>
      </c>
      <c r="Y23" s="116">
        <f t="shared" si="58"/>
        <v>0.20877589871855157</v>
      </c>
      <c r="Z23" s="116">
        <f t="shared" si="58"/>
        <v>0.21565655885389803</v>
      </c>
      <c r="AA23" s="116" t="e">
        <f t="shared" si="58"/>
        <v>#DIV/0!</v>
      </c>
      <c r="AB23" s="116" t="e">
        <f t="shared" si="58"/>
        <v>#DIV/0!</v>
      </c>
      <c r="AC23" s="116" t="e">
        <f t="shared" si="58"/>
        <v>#DIV/0!</v>
      </c>
    </row>
    <row r="24" spans="1:29">
      <c r="A24" s="139" t="s">
        <v>205</v>
      </c>
      <c r="B24" s="140"/>
      <c r="C24" s="140"/>
      <c r="D24" s="141"/>
      <c r="E24" s="140"/>
      <c r="F24" s="141"/>
      <c r="G24" s="140"/>
      <c r="H24" s="141"/>
      <c r="I24" s="140"/>
      <c r="J24" s="141"/>
      <c r="K24" s="140"/>
      <c r="L24" s="141"/>
      <c r="M24" s="140"/>
      <c r="N24" s="141"/>
      <c r="O24" s="140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</row>
    <row r="25" spans="1:29">
      <c r="A25" s="124" t="s">
        <v>206</v>
      </c>
      <c r="B25" s="122" t="s">
        <v>207</v>
      </c>
      <c r="C25" s="120">
        <f>C33/C30</f>
        <v>0.72035428647211941</v>
      </c>
      <c r="D25" s="120">
        <f t="shared" ref="D25:E25" si="59">D33/D30</f>
        <v>0.70694328698686226</v>
      </c>
      <c r="E25" s="120">
        <f t="shared" si="59"/>
        <v>0.70224680139376283</v>
      </c>
      <c r="F25" s="120">
        <f t="shared" ref="F25:P25" si="60">F33/F30</f>
        <v>0.70755020350973008</v>
      </c>
      <c r="G25" s="120">
        <f t="shared" si="60"/>
        <v>0.71827732093780461</v>
      </c>
      <c r="H25" s="120">
        <f t="shared" si="60"/>
        <v>0.72924232794993893</v>
      </c>
      <c r="I25" s="120">
        <f t="shared" si="60"/>
        <v>0.73843665797705893</v>
      </c>
      <c r="J25" s="120">
        <f t="shared" si="60"/>
        <v>0.73447462485569504</v>
      </c>
      <c r="K25" s="120">
        <f t="shared" si="60"/>
        <v>0.74178019562846997</v>
      </c>
      <c r="L25" s="120">
        <f t="shared" si="60"/>
        <v>0.73954322039656428</v>
      </c>
      <c r="M25" s="120">
        <f t="shared" si="60"/>
        <v>0.74753926708016816</v>
      </c>
      <c r="N25" s="120">
        <f t="shared" si="60"/>
        <v>0.73974038164934564</v>
      </c>
      <c r="O25" s="120">
        <f t="shared" si="60"/>
        <v>0.76042028328543765</v>
      </c>
      <c r="P25" s="120">
        <f t="shared" si="60"/>
        <v>0.74111590554678997</v>
      </c>
      <c r="Q25" s="120">
        <f t="shared" ref="Q25:T25" si="61">Q33/Q30</f>
        <v>0.73919626634700764</v>
      </c>
      <c r="R25" s="120">
        <f t="shared" si="61"/>
        <v>0.73698952411926422</v>
      </c>
      <c r="S25" s="120">
        <f t="shared" si="61"/>
        <v>0.74108239567035883</v>
      </c>
      <c r="T25" s="120">
        <f t="shared" si="61"/>
        <v>0.73634787492513099</v>
      </c>
      <c r="U25" s="120">
        <f t="shared" ref="U25:AC25" si="62">U33/U30</f>
        <v>0.73802106501007037</v>
      </c>
      <c r="V25" s="120">
        <f t="shared" si="62"/>
        <v>0.7490532366964755</v>
      </c>
      <c r="W25" s="120">
        <f t="shared" si="62"/>
        <v>0.740892757422415</v>
      </c>
      <c r="X25" s="120">
        <f t="shared" si="62"/>
        <v>0.73814368427470745</v>
      </c>
      <c r="Y25" s="120">
        <f t="shared" si="62"/>
        <v>0.74498071223566797</v>
      </c>
      <c r="Z25" s="120">
        <f t="shared" si="62"/>
        <v>0.7331067758471328</v>
      </c>
      <c r="AA25" s="120" t="e">
        <f t="shared" si="62"/>
        <v>#DIV/0!</v>
      </c>
      <c r="AB25" s="120" t="e">
        <f t="shared" si="62"/>
        <v>#DIV/0!</v>
      </c>
      <c r="AC25" s="120" t="e">
        <f t="shared" si="62"/>
        <v>#DIV/0!</v>
      </c>
    </row>
    <row r="26" spans="1:29">
      <c r="A26" s="124" t="s">
        <v>208</v>
      </c>
      <c r="B26" s="125" t="s">
        <v>209</v>
      </c>
      <c r="C26" s="120">
        <f>C33/C32</f>
        <v>0.96928179927419733</v>
      </c>
      <c r="D26" s="120">
        <f t="shared" ref="D26:E26" si="63">D33/D32</f>
        <v>0.97112555353470653</v>
      </c>
      <c r="E26" s="120">
        <f t="shared" si="63"/>
        <v>1.025555086708517</v>
      </c>
      <c r="F26" s="120">
        <f t="shared" ref="F26:P26" si="64">F33/F32</f>
        <v>0.97050777745381445</v>
      </c>
      <c r="G26" s="120">
        <f t="shared" si="64"/>
        <v>0.99449269896104386</v>
      </c>
      <c r="H26" s="120">
        <f t="shared" si="64"/>
        <v>1.003490678106788</v>
      </c>
      <c r="I26" s="120">
        <f t="shared" si="64"/>
        <v>1.0164649856080172</v>
      </c>
      <c r="J26" s="120">
        <f t="shared" si="64"/>
        <v>1.0215929440129301</v>
      </c>
      <c r="K26" s="120">
        <f t="shared" si="64"/>
        <v>1.0392782537889309</v>
      </c>
      <c r="L26" s="120">
        <f t="shared" si="64"/>
        <v>1.0416676881924816</v>
      </c>
      <c r="M26" s="120">
        <f t="shared" si="64"/>
        <v>1.0604893044357149</v>
      </c>
      <c r="N26" s="120">
        <f t="shared" si="64"/>
        <v>1.0716911882383016</v>
      </c>
      <c r="O26" s="120">
        <f t="shared" si="64"/>
        <v>1.1035852918287756</v>
      </c>
      <c r="P26" s="120">
        <f t="shared" si="64"/>
        <v>1.1140783507538505</v>
      </c>
      <c r="Q26" s="120">
        <f t="shared" ref="Q26:T26" si="65">Q33/Q32</f>
        <v>1.0459966260358069</v>
      </c>
      <c r="R26" s="120">
        <f t="shared" si="65"/>
        <v>1.1152559172030314</v>
      </c>
      <c r="S26" s="120">
        <f t="shared" si="65"/>
        <v>1.0582889610270829</v>
      </c>
      <c r="T26" s="120">
        <f t="shared" si="65"/>
        <v>1.0501043326308501</v>
      </c>
      <c r="U26" s="120">
        <f t="shared" ref="U26:AC26" si="66">U33/U32</f>
        <v>1.0605738486448517</v>
      </c>
      <c r="V26" s="120">
        <f t="shared" si="66"/>
        <v>1.0902021368476369</v>
      </c>
      <c r="W26" s="120">
        <f t="shared" si="66"/>
        <v>1.0805327305232497</v>
      </c>
      <c r="X26" s="120">
        <f t="shared" si="66"/>
        <v>1.0912443662897378</v>
      </c>
      <c r="Y26" s="120">
        <f t="shared" si="66"/>
        <v>1.0956428469132007</v>
      </c>
      <c r="Z26" s="120">
        <f t="shared" si="66"/>
        <v>1.1038281733906596</v>
      </c>
      <c r="AA26" s="120" t="e">
        <f t="shared" si="66"/>
        <v>#DIV/0!</v>
      </c>
      <c r="AB26" s="120" t="e">
        <f t="shared" si="66"/>
        <v>#DIV/0!</v>
      </c>
      <c r="AC26" s="120" t="e">
        <f t="shared" si="66"/>
        <v>#DIV/0!</v>
      </c>
    </row>
    <row r="27" spans="1:29">
      <c r="A27" s="124" t="s">
        <v>210</v>
      </c>
      <c r="B27" s="125"/>
      <c r="C27" s="120">
        <f>C40/C32</f>
        <v>0.21678291393255128</v>
      </c>
      <c r="D27" s="120">
        <f t="shared" ref="D27:E27" si="67">D40/D32</f>
        <v>2.1567945607868557E-4</v>
      </c>
      <c r="E27" s="120">
        <f t="shared" si="67"/>
        <v>2.2680083491218175E-4</v>
      </c>
      <c r="F27" s="120">
        <f t="shared" ref="F27:P27" si="68">F40/F32</f>
        <v>2.1469552500625734E-4</v>
      </c>
      <c r="G27" s="120">
        <f t="shared" si="68"/>
        <v>2.1799052847364353E-4</v>
      </c>
      <c r="H27" s="120">
        <f t="shared" si="68"/>
        <v>2.1461163033609454E-4</v>
      </c>
      <c r="I27" s="120">
        <f t="shared" si="68"/>
        <v>2.1352426276401604E-4</v>
      </c>
      <c r="J27" s="120">
        <f t="shared" si="68"/>
        <v>2.1674549499665913E-4</v>
      </c>
      <c r="K27" s="120">
        <f t="shared" si="68"/>
        <v>2.2004262982686391E-4</v>
      </c>
      <c r="L27" s="120">
        <f t="shared" si="68"/>
        <v>2.242181091424439E-4</v>
      </c>
      <c r="M27" s="120">
        <f t="shared" si="68"/>
        <v>2.3816385573299716E-4</v>
      </c>
      <c r="N27" s="120">
        <f t="shared" si="68"/>
        <v>2.419286358191005E-4</v>
      </c>
      <c r="O27" s="120">
        <f t="shared" si="68"/>
        <v>2.2930739581813537E-4</v>
      </c>
      <c r="P27" s="120">
        <f t="shared" si="68"/>
        <v>2.285822308497629E-4</v>
      </c>
      <c r="Q27" s="120">
        <f t="shared" ref="Q27:T27" si="69">Q40/Q32</f>
        <v>2.1461348858990145E-4</v>
      </c>
      <c r="R27" s="120">
        <f t="shared" si="69"/>
        <v>2.2726144330972262E-4</v>
      </c>
      <c r="S27" s="120">
        <f t="shared" si="69"/>
        <v>2.169685810165747E-4</v>
      </c>
      <c r="T27" s="120">
        <f t="shared" si="69"/>
        <v>2.1445820715751242E-4</v>
      </c>
      <c r="U27" s="120">
        <f t="shared" ref="U27:AC27" si="70">U40/U32</f>
        <v>2.1568040701233504E-4</v>
      </c>
      <c r="V27" s="120">
        <f t="shared" si="70"/>
        <v>2.1980257694409792E-4</v>
      </c>
      <c r="W27" s="120">
        <f t="shared" si="70"/>
        <v>2.1720473502687525E-4</v>
      </c>
      <c r="X27" s="120">
        <f t="shared" si="70"/>
        <v>2.1938718755986204E-4</v>
      </c>
      <c r="Y27" s="120">
        <f t="shared" si="70"/>
        <v>2.1636339934927304E-4</v>
      </c>
      <c r="Z27" s="120">
        <f t="shared" si="70"/>
        <v>2.1883555791998518E-4</v>
      </c>
      <c r="AA27" s="120" t="e">
        <f t="shared" si="70"/>
        <v>#DIV/0!</v>
      </c>
      <c r="AB27" s="120" t="e">
        <f t="shared" si="70"/>
        <v>#DIV/0!</v>
      </c>
      <c r="AC27" s="120" t="e">
        <f t="shared" si="70"/>
        <v>#DIV/0!</v>
      </c>
    </row>
    <row r="28" spans="1:29">
      <c r="A28" s="124" t="s">
        <v>211</v>
      </c>
      <c r="B28" s="126"/>
      <c r="C28" s="120">
        <f>C47/C45</f>
        <v>0.22269609951272562</v>
      </c>
      <c r="D28" s="120">
        <f t="shared" ref="D28:E28" si="71">D47/D45</f>
        <v>0.35060046187076266</v>
      </c>
      <c r="E28" s="120">
        <f t="shared" si="71"/>
        <v>5.0559889478319846E-2</v>
      </c>
      <c r="F28" s="120">
        <f t="shared" ref="F28:P28" si="72">F47/F45</f>
        <v>2.8763738092860622E-2</v>
      </c>
      <c r="G28" s="120">
        <f t="shared" si="72"/>
        <v>2.8355959118932135E-2</v>
      </c>
      <c r="H28" s="120">
        <f t="shared" si="72"/>
        <v>2.4306370177769144E-2</v>
      </c>
      <c r="I28" s="120">
        <f t="shared" si="72"/>
        <v>2.0997700531770937E-2</v>
      </c>
      <c r="J28" s="120">
        <f t="shared" si="72"/>
        <v>2.2393835829055353E-2</v>
      </c>
      <c r="K28" s="120">
        <f t="shared" si="72"/>
        <v>2.2564675229405893E-2</v>
      </c>
      <c r="L28" s="120">
        <f t="shared" si="72"/>
        <v>2.0912029675659513E-2</v>
      </c>
      <c r="M28" s="120">
        <f t="shared" si="72"/>
        <v>2.2150540903444375E-2</v>
      </c>
      <c r="N28" s="120">
        <f t="shared" si="72"/>
        <v>2.1029558176441032E-2</v>
      </c>
      <c r="O28" s="120">
        <f t="shared" si="72"/>
        <v>2.0589513729152114E-2</v>
      </c>
      <c r="P28" s="120">
        <f t="shared" si="72"/>
        <v>1.8105261179835123E-2</v>
      </c>
      <c r="Q28" s="120">
        <f t="shared" ref="Q28:T28" si="73">Q47/Q45</f>
        <v>0.239130197807669</v>
      </c>
      <c r="R28" s="120">
        <f t="shared" si="73"/>
        <v>2.6183493151537018E-2</v>
      </c>
      <c r="S28" s="120">
        <f t="shared" si="73"/>
        <v>1.6443770555949283E-2</v>
      </c>
      <c r="T28" s="120">
        <f t="shared" si="73"/>
        <v>1.7179684737891016E-2</v>
      </c>
      <c r="U28" s="120">
        <f t="shared" ref="U28:AC28" si="74">U47/U45</f>
        <v>0.52108234319816504</v>
      </c>
      <c r="V28" s="120">
        <f t="shared" si="74"/>
        <v>0.41093204099471375</v>
      </c>
      <c r="W28" s="120">
        <f t="shared" si="74"/>
        <v>1.7576230062994944E-2</v>
      </c>
      <c r="X28" s="120">
        <f t="shared" si="74"/>
        <v>1.9252310531036401E-2</v>
      </c>
      <c r="Y28" s="120">
        <f t="shared" si="74"/>
        <v>1.8085765859117746E-2</v>
      </c>
      <c r="Z28" s="120">
        <f t="shared" si="74"/>
        <v>2.0557260392856672E-2</v>
      </c>
      <c r="AA28" s="120" t="e">
        <f t="shared" si="74"/>
        <v>#DIV/0!</v>
      </c>
      <c r="AB28" s="120" t="e">
        <f t="shared" si="74"/>
        <v>#DIV/0!</v>
      </c>
      <c r="AC28" s="120" t="e">
        <f t="shared" si="74"/>
        <v>#DIV/0!</v>
      </c>
    </row>
    <row r="29" spans="1:29">
      <c r="A29" s="139" t="s">
        <v>212</v>
      </c>
      <c r="B29" s="140"/>
      <c r="C29" s="140"/>
      <c r="D29" s="141"/>
      <c r="E29" s="140"/>
      <c r="F29" s="141"/>
      <c r="G29" s="140"/>
      <c r="H29" s="141"/>
      <c r="I29" s="140"/>
      <c r="J29" s="141"/>
      <c r="K29" s="140"/>
      <c r="L29" s="141"/>
      <c r="M29" s="140"/>
      <c r="N29" s="141"/>
      <c r="O29" s="140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</row>
    <row r="30" spans="1:29">
      <c r="A30" s="127" t="s">
        <v>30</v>
      </c>
      <c r="B30" s="128"/>
      <c r="C30" s="129">
        <v>615469447.91750002</v>
      </c>
      <c r="D30" s="129">
        <v>700607388</v>
      </c>
      <c r="E30" s="146">
        <f>Financials!AB5</f>
        <v>708300028.84000003</v>
      </c>
      <c r="F30" s="146">
        <f>Financials!AC5</f>
        <v>702767149.93999994</v>
      </c>
      <c r="G30" s="146">
        <f>Financials!AD5</f>
        <v>698657790.19000006</v>
      </c>
      <c r="H30" s="146">
        <f>Financials!AE5</f>
        <v>705311402.68000007</v>
      </c>
      <c r="I30" s="146">
        <f>Financials!AF5</f>
        <v>709127992.03999996</v>
      </c>
      <c r="J30" s="146">
        <f>Financials!AG5</f>
        <v>705900832.71000004</v>
      </c>
      <c r="K30" s="146">
        <f>Financials!AH5</f>
        <v>700394076.28000009</v>
      </c>
      <c r="L30" s="146">
        <f>Financials!AI5</f>
        <v>691015250.30000007</v>
      </c>
      <c r="M30" s="146">
        <f>Financials!AJ5</f>
        <v>685404924.04000008</v>
      </c>
      <c r="N30" s="146">
        <f>Financials!AK5</f>
        <v>689054933.71000004</v>
      </c>
      <c r="O30" s="146">
        <f>Financials!AL5</f>
        <v>728257455.39999998</v>
      </c>
      <c r="P30" s="146">
        <f>Financials!AM5</f>
        <v>756724725.34000003</v>
      </c>
      <c r="Q30" s="146">
        <f>Financials!AN5</f>
        <v>758689887.28999996</v>
      </c>
      <c r="R30" s="146">
        <f>Financials!AO5</f>
        <v>766193126.12999988</v>
      </c>
      <c r="S30" s="146">
        <f>Financials!AP5</f>
        <v>757341422.40999997</v>
      </c>
      <c r="T30" s="146">
        <f>Financials!AQ5</f>
        <v>765169291.05999994</v>
      </c>
      <c r="U30" s="146">
        <f>Financials!AR5</f>
        <v>766676677.87</v>
      </c>
      <c r="V30" s="146">
        <f>Financials!AS5</f>
        <v>761925229.68999994</v>
      </c>
      <c r="W30" s="146">
        <f>Financials!AT5</f>
        <v>772616678.71000004</v>
      </c>
      <c r="X30" s="146">
        <f>Financials!AU5</f>
        <v>775390786.26999998</v>
      </c>
      <c r="Y30" s="146">
        <f>Financials!AV5</f>
        <v>782151663.1099999</v>
      </c>
      <c r="Z30" s="146">
        <f>Financials!AW5</f>
        <v>791711841.76999998</v>
      </c>
      <c r="AA30" s="146">
        <f>Financials!AX5</f>
        <v>0</v>
      </c>
      <c r="AB30" s="146">
        <f>Financials!AY5</f>
        <v>0</v>
      </c>
      <c r="AC30" s="146">
        <f>Financials!AZ5</f>
        <v>0</v>
      </c>
    </row>
    <row r="31" spans="1:29">
      <c r="A31" s="127" t="s">
        <v>213</v>
      </c>
      <c r="B31" s="128"/>
      <c r="C31" s="129">
        <v>576129874.2119</v>
      </c>
      <c r="D31" s="129">
        <f>(D30+C30)/2</f>
        <v>658038417.95875001</v>
      </c>
      <c r="E31" s="146">
        <f>(E30+D30)/2</f>
        <v>704453708.42000008</v>
      </c>
      <c r="F31" s="146">
        <f t="shared" ref="F31:Q31" si="75">(F30+E30)/2</f>
        <v>705533589.38999999</v>
      </c>
      <c r="G31" s="146">
        <f t="shared" si="75"/>
        <v>700712470.06500006</v>
      </c>
      <c r="H31" s="146">
        <f t="shared" si="75"/>
        <v>701984596.43500006</v>
      </c>
      <c r="I31" s="146">
        <f t="shared" si="75"/>
        <v>707219697.36000001</v>
      </c>
      <c r="J31" s="146">
        <f t="shared" si="75"/>
        <v>707514412.375</v>
      </c>
      <c r="K31" s="146">
        <f t="shared" si="75"/>
        <v>703147454.49500012</v>
      </c>
      <c r="L31" s="146">
        <f t="shared" si="75"/>
        <v>695704663.29000008</v>
      </c>
      <c r="M31" s="146">
        <f t="shared" si="75"/>
        <v>688210087.17000008</v>
      </c>
      <c r="N31" s="146">
        <f t="shared" si="75"/>
        <v>687229928.875</v>
      </c>
      <c r="O31" s="146">
        <f t="shared" si="75"/>
        <v>708656194.55500007</v>
      </c>
      <c r="P31" s="146">
        <f t="shared" si="75"/>
        <v>742491090.37</v>
      </c>
      <c r="Q31" s="146">
        <f t="shared" si="75"/>
        <v>757707306.31500006</v>
      </c>
      <c r="R31" s="146">
        <f t="shared" ref="R31" si="76">(R30+Q30)/2</f>
        <v>762441506.70999992</v>
      </c>
      <c r="S31" s="146">
        <f t="shared" ref="S31" si="77">(S30+R30)/2</f>
        <v>761767274.26999998</v>
      </c>
      <c r="T31" s="146">
        <f t="shared" ref="T31" si="78">(T30+S30)/2</f>
        <v>761255356.7349999</v>
      </c>
      <c r="U31" s="146">
        <f t="shared" ref="U31" si="79">(U30+T30)/2</f>
        <v>765922984.46499991</v>
      </c>
      <c r="V31" s="146">
        <f t="shared" ref="V31" si="80">(V30+U30)/2</f>
        <v>764300953.77999997</v>
      </c>
      <c r="W31" s="146">
        <f t="shared" ref="W31" si="81">(W30+V30)/2</f>
        <v>767270954.20000005</v>
      </c>
      <c r="X31" s="146">
        <f t="shared" ref="X31" si="82">(X30+W30)/2</f>
        <v>774003732.49000001</v>
      </c>
      <c r="Y31" s="146">
        <f t="shared" ref="Y31" si="83">(Y30+X30)/2</f>
        <v>778771224.68999994</v>
      </c>
      <c r="Z31" s="146">
        <f t="shared" ref="Z31" si="84">(Z30+Y30)/2</f>
        <v>786931752.43999994</v>
      </c>
      <c r="AA31" s="146">
        <f t="shared" ref="AA31" si="85">(AA30+Z30)/2</f>
        <v>395855920.88499999</v>
      </c>
      <c r="AB31" s="146">
        <f t="shared" ref="AB31" si="86">(AB30+AA30)/2</f>
        <v>0</v>
      </c>
      <c r="AC31" s="146">
        <f t="shared" ref="AC31" si="87">(AC30+AB30)/2</f>
        <v>0</v>
      </c>
    </row>
    <row r="32" spans="1:29">
      <c r="A32" s="127" t="s">
        <v>98</v>
      </c>
      <c r="B32" s="128"/>
      <c r="C32" s="130">
        <v>457406767.91000003</v>
      </c>
      <c r="D32" s="130">
        <v>510016123</v>
      </c>
      <c r="E32" s="146">
        <f>Financials!AB6</f>
        <v>485007032.89999998</v>
      </c>
      <c r="F32" s="146">
        <f>Financials!AC6</f>
        <v>512353482.90000004</v>
      </c>
      <c r="G32" s="146">
        <f>Financials!AD6</f>
        <v>504609079.89999998</v>
      </c>
      <c r="H32" s="146">
        <f>Financials!AE6</f>
        <v>512553769</v>
      </c>
      <c r="I32" s="146">
        <f>Financials!AF6</f>
        <v>515163937.70000005</v>
      </c>
      <c r="J32" s="146">
        <f>Financials!AG6</f>
        <v>507507664.69999999</v>
      </c>
      <c r="K32" s="146">
        <f>Financials!AH6</f>
        <v>499903132.80000001</v>
      </c>
      <c r="L32" s="146">
        <f>Financials!AI6</f>
        <v>490593736.70000005</v>
      </c>
      <c r="M32" s="146">
        <f>Financials!AJ6</f>
        <v>483142161.28999996</v>
      </c>
      <c r="N32" s="146">
        <f>Financials!AK6</f>
        <v>475623729.32999998</v>
      </c>
      <c r="O32" s="146">
        <f>Financials!AL6</f>
        <v>501802393.19999999</v>
      </c>
      <c r="P32" s="146">
        <f>Financials!AM6</f>
        <v>503394334.60000002</v>
      </c>
      <c r="Q32" s="146">
        <f>Financials!AN6</f>
        <v>536159217</v>
      </c>
      <c r="R32" s="146">
        <f>Financials!AO6</f>
        <v>506319938.5</v>
      </c>
      <c r="S32" s="146">
        <f>Financials!AP6</f>
        <v>530339459.57000005</v>
      </c>
      <c r="T32" s="146">
        <f>Financials!AQ6</f>
        <v>536547430.5</v>
      </c>
      <c r="U32" s="146">
        <f>Financials!AR6</f>
        <v>533506967.99000001</v>
      </c>
      <c r="V32" s="146">
        <f>Financials!AS6</f>
        <v>523501596.75</v>
      </c>
      <c r="W32" s="146">
        <f>Financials!AT6</f>
        <v>529762852.48000002</v>
      </c>
      <c r="X32" s="146">
        <f>Financials!AU6</f>
        <v>524492798.69</v>
      </c>
      <c r="Y32" s="146">
        <f>Financials!AV6</f>
        <v>531822851.49000001</v>
      </c>
      <c r="Z32" s="146">
        <f>Financials!AW6</f>
        <v>525814913.69</v>
      </c>
      <c r="AA32" s="146">
        <f>Financials!AX6</f>
        <v>0</v>
      </c>
      <c r="AB32" s="146">
        <f>Financials!AY6</f>
        <v>0</v>
      </c>
      <c r="AC32" s="146">
        <f>Financials!AZ6</f>
        <v>0</v>
      </c>
    </row>
    <row r="33" spans="1:29">
      <c r="A33" s="127" t="s">
        <v>214</v>
      </c>
      <c r="B33" s="128"/>
      <c r="C33" s="131">
        <v>443356055</v>
      </c>
      <c r="D33" s="131">
        <v>495289689.75999999</v>
      </c>
      <c r="E33" s="146">
        <f>SFP!AC14</f>
        <v>497401429.68000001</v>
      </c>
      <c r="F33" s="146">
        <f>SFP!AD14</f>
        <v>497243039.95999998</v>
      </c>
      <c r="G33" s="146">
        <f>SFP!AE14</f>
        <v>501830045.79000002</v>
      </c>
      <c r="H33" s="146">
        <f>SFP!AF14</f>
        <v>514342929.22000003</v>
      </c>
      <c r="I33" s="146">
        <f>SFP!AG14</f>
        <v>523646104.51999998</v>
      </c>
      <c r="J33" s="146">
        <f>SFP!AH14</f>
        <v>518466249.29000002</v>
      </c>
      <c r="K33" s="146">
        <f>SFP!AI14</f>
        <v>519538454.92000002</v>
      </c>
      <c r="L33" s="146">
        <f>SFP!AJ14</f>
        <v>511035643.55000001</v>
      </c>
      <c r="M33" s="146">
        <f>SFP!AK14</f>
        <v>512367094.56999999</v>
      </c>
      <c r="N33" s="146">
        <f>SFP!AL14</f>
        <v>509721759.63999999</v>
      </c>
      <c r="O33" s="146">
        <f>SFP!AM14</f>
        <v>553781740.53999996</v>
      </c>
      <c r="P33" s="146">
        <f>SFP!AN14</f>
        <v>560820730.07000005</v>
      </c>
      <c r="Q33" s="146">
        <f>SFP!AO14</f>
        <v>560820732</v>
      </c>
      <c r="R33" s="146">
        <f>SFP!AP14</f>
        <v>564676307.40999997</v>
      </c>
      <c r="S33" s="146">
        <f>SFP!AQ14</f>
        <v>561252395.65999997</v>
      </c>
      <c r="T33" s="146">
        <f>SFP!AR14</f>
        <v>563430781.42999995</v>
      </c>
      <c r="U33" s="146">
        <f>SFP!AS14</f>
        <v>565823538.32000005</v>
      </c>
      <c r="V33" s="146">
        <f>SFP!AT14</f>
        <v>570722559.41999996</v>
      </c>
      <c r="W33" s="146">
        <f>SFP!AU14</f>
        <v>572426101.51999998</v>
      </c>
      <c r="X33" s="146">
        <f>SFP!AV14</f>
        <v>572349811.73000002</v>
      </c>
      <c r="Y33" s="146">
        <f>SFP!AW14</f>
        <v>582687903.05999994</v>
      </c>
      <c r="Z33" s="146">
        <f>SFP!AX14</f>
        <v>580409315.72000003</v>
      </c>
      <c r="AA33" s="146">
        <f>SFP!AY14</f>
        <v>0</v>
      </c>
      <c r="AB33" s="146">
        <f>SFP!AZ14</f>
        <v>0</v>
      </c>
      <c r="AC33" s="146">
        <f>SFP!BA14</f>
        <v>0</v>
      </c>
    </row>
    <row r="34" spans="1:29">
      <c r="A34" s="127" t="s">
        <v>104</v>
      </c>
      <c r="B34" s="128"/>
      <c r="C34" s="129">
        <v>124485592.3382</v>
      </c>
      <c r="D34" s="129">
        <v>152023435</v>
      </c>
      <c r="E34" s="146">
        <f>Financials!AB13</f>
        <v>172647870.58000001</v>
      </c>
      <c r="F34" s="146">
        <f>Financials!AC13</f>
        <v>133515807.11999999</v>
      </c>
      <c r="G34" s="146">
        <f>Financials!AD13</f>
        <v>136160930</v>
      </c>
      <c r="H34" s="146">
        <f>Financials!AE13</f>
        <v>135338012.21000001</v>
      </c>
      <c r="I34" s="146">
        <f>Financials!AF13</f>
        <v>157770895.88999999</v>
      </c>
      <c r="J34" s="146">
        <f>Financials!AG13</f>
        <v>163490125.69999999</v>
      </c>
      <c r="K34" s="146">
        <f>Financials!AH13</f>
        <v>166535879.09999999</v>
      </c>
      <c r="L34" s="146">
        <f>Financials!AI13</f>
        <v>166179335.32999998</v>
      </c>
      <c r="M34" s="146">
        <f>Financials!AJ13</f>
        <v>167658453.93000001</v>
      </c>
      <c r="N34" s="146">
        <f>Financials!AK13</f>
        <v>180213426.09</v>
      </c>
      <c r="O34" s="146">
        <f>Financials!AL13</f>
        <v>194485453.84999996</v>
      </c>
      <c r="P34" s="146">
        <f>Financials!AM13</f>
        <v>219130635.03999999</v>
      </c>
      <c r="Q34" s="146">
        <f>Financials!AN13</f>
        <v>184486490</v>
      </c>
      <c r="R34" s="146">
        <f>Financials!AO13</f>
        <v>187848374.90000001</v>
      </c>
      <c r="S34" s="146">
        <f>Financials!AP13</f>
        <v>190860224.13999999</v>
      </c>
      <c r="T34" s="146">
        <f>Financials!AQ13</f>
        <v>192890081.00999999</v>
      </c>
      <c r="U34" s="146">
        <f>Financials!AR13</f>
        <v>195125327.50999999</v>
      </c>
      <c r="V34" s="146">
        <f>Financials!AS13</f>
        <v>198186081.82999998</v>
      </c>
      <c r="W34" s="146">
        <f>Financials!AT13</f>
        <v>202799584.76999998</v>
      </c>
      <c r="X34" s="146">
        <f>Financials!AU13</f>
        <v>208665847.20999998</v>
      </c>
      <c r="Y34" s="146">
        <f>Financials!AV13</f>
        <v>210893321.91</v>
      </c>
      <c r="Z34" s="146">
        <f>Financials!AW13</f>
        <v>221126828.40000001</v>
      </c>
      <c r="AA34" s="146">
        <f>Financials!AX13</f>
        <v>0</v>
      </c>
      <c r="AB34" s="146">
        <f>Financials!AY13</f>
        <v>0</v>
      </c>
      <c r="AC34" s="146">
        <f>Financials!AZ13</f>
        <v>0</v>
      </c>
    </row>
    <row r="35" spans="1:29">
      <c r="A35" s="127" t="s">
        <v>105</v>
      </c>
      <c r="B35" s="128"/>
      <c r="C35" s="129">
        <v>58900749.6382</v>
      </c>
      <c r="D35" s="129">
        <v>67771166</v>
      </c>
      <c r="E35" s="146">
        <f>Financials!AB14</f>
        <v>87764041.24000001</v>
      </c>
      <c r="F35" s="146">
        <f>Financials!AC14</f>
        <v>48498110.599999994</v>
      </c>
      <c r="G35" s="146">
        <f>Financials!AD14</f>
        <v>49423141</v>
      </c>
      <c r="H35" s="146">
        <f>Financials!AE14</f>
        <v>47843560.400000006</v>
      </c>
      <c r="I35" s="146">
        <f>Financials!AF14</f>
        <v>69666039.699999988</v>
      </c>
      <c r="J35" s="146">
        <f>Financials!AG14</f>
        <v>69891518.599999994</v>
      </c>
      <c r="K35" s="146">
        <f>Financials!AH14</f>
        <v>72937272</v>
      </c>
      <c r="L35" s="146">
        <f>Financials!AI14</f>
        <v>71888888.199999988</v>
      </c>
      <c r="M35" s="146">
        <f>Financials!AJ14</f>
        <v>73259731.700000003</v>
      </c>
      <c r="N35" s="146">
        <f>Financials!AK14</f>
        <v>85692316.400000006</v>
      </c>
      <c r="O35" s="146">
        <f>Financials!AL14</f>
        <v>98051154.639999971</v>
      </c>
      <c r="P35" s="146">
        <f>Financials!AM14</f>
        <v>116886893.03999999</v>
      </c>
      <c r="Q35" s="146">
        <f>Financials!AN14</f>
        <v>82242748</v>
      </c>
      <c r="R35" s="146">
        <f>Financials!AO14</f>
        <v>84238222.900000006</v>
      </c>
      <c r="S35" s="146">
        <f>Financials!AP14</f>
        <v>87178532.199999988</v>
      </c>
      <c r="T35" s="146">
        <f>Financials!AQ14</f>
        <v>88106060.799999997</v>
      </c>
      <c r="U35" s="146">
        <f>Financials!AR14</f>
        <v>88865860.999999985</v>
      </c>
      <c r="V35" s="146">
        <f>Financials!AS14</f>
        <v>90786946.199999988</v>
      </c>
      <c r="W35" s="146">
        <f>Financials!AT14</f>
        <v>94647714.499999985</v>
      </c>
      <c r="X35" s="146">
        <f>Financials!AU14</f>
        <v>99792381.999999985</v>
      </c>
      <c r="Y35" s="146">
        <f>Financials!AV14</f>
        <v>101128557.59999999</v>
      </c>
      <c r="Z35" s="146">
        <f>Financials!AW14</f>
        <v>110640454.80000001</v>
      </c>
      <c r="AA35" s="146">
        <f>Financials!AX14</f>
        <v>0</v>
      </c>
      <c r="AB35" s="146">
        <f>Financials!AY14</f>
        <v>0</v>
      </c>
      <c r="AC35" s="146">
        <f>Financials!AZ14</f>
        <v>0</v>
      </c>
    </row>
    <row r="36" spans="1:29">
      <c r="A36" s="127" t="s">
        <v>215</v>
      </c>
      <c r="B36" s="128"/>
      <c r="C36" s="130">
        <v>0</v>
      </c>
      <c r="D36" s="130">
        <f>6183609.4+6802169.91+7199379.52</f>
        <v>20185158.829999998</v>
      </c>
      <c r="E36" s="146">
        <v>0</v>
      </c>
      <c r="F36" s="146">
        <v>0</v>
      </c>
      <c r="G36" s="146">
        <v>34030683.969999999</v>
      </c>
      <c r="H36" s="146">
        <v>0</v>
      </c>
      <c r="I36" s="146">
        <v>0</v>
      </c>
      <c r="J36" s="146">
        <v>58929249.819999993</v>
      </c>
      <c r="K36" s="146">
        <v>0</v>
      </c>
      <c r="L36" s="146">
        <v>0</v>
      </c>
      <c r="M36" s="146">
        <v>0</v>
      </c>
      <c r="N36" s="146">
        <v>0</v>
      </c>
      <c r="O36" s="146">
        <v>0</v>
      </c>
      <c r="P36" s="146">
        <v>0</v>
      </c>
      <c r="Q36" s="146">
        <v>21887302.789999999</v>
      </c>
      <c r="R36" s="146"/>
      <c r="S36" s="146"/>
      <c r="T36" s="146">
        <v>40441961.359999999</v>
      </c>
      <c r="U36" s="146">
        <v>40441962.359999999</v>
      </c>
      <c r="V36" s="146">
        <v>40441963.359999999</v>
      </c>
      <c r="W36" s="146">
        <v>40441964.359999999</v>
      </c>
      <c r="X36" s="146">
        <v>40441965.359999999</v>
      </c>
      <c r="Y36" s="146">
        <v>40441966.359999999</v>
      </c>
      <c r="Z36" s="146">
        <v>40441967.359999999</v>
      </c>
      <c r="AA36" s="146">
        <v>40441968.359999999</v>
      </c>
      <c r="AB36" s="146">
        <v>40441969.359999999</v>
      </c>
      <c r="AC36" s="146">
        <v>40441970.359999999</v>
      </c>
    </row>
    <row r="37" spans="1:29">
      <c r="A37" s="127" t="s">
        <v>122</v>
      </c>
      <c r="B37" s="128"/>
      <c r="C37" s="131">
        <v>43461266.087499999</v>
      </c>
      <c r="D37" s="131">
        <v>55151716</v>
      </c>
      <c r="E37" s="146">
        <f>Financials!AB34</f>
        <v>56920379.629999995</v>
      </c>
      <c r="F37" s="146">
        <f>Financials!AC34</f>
        <v>57897987.620000005</v>
      </c>
      <c r="G37" s="146">
        <f>Financials!AD34</f>
        <v>59193070.519999996</v>
      </c>
      <c r="H37" s="146">
        <f>Financials!AE34</f>
        <v>59950422.629999995</v>
      </c>
      <c r="I37" s="146">
        <f>Financials!AF34</f>
        <v>62120723.340000004</v>
      </c>
      <c r="J37" s="146">
        <f>Financials!AG34</f>
        <v>64427448.170000002</v>
      </c>
      <c r="K37" s="146">
        <f>Financials!AH34</f>
        <v>70088232.689999998</v>
      </c>
      <c r="L37" s="146">
        <f>Financials!AI34</f>
        <v>68767886.039999992</v>
      </c>
      <c r="M37" s="146">
        <f>Financials!AJ34</f>
        <v>67907656.810000002</v>
      </c>
      <c r="N37" s="146">
        <f>Financials!AK34</f>
        <v>73022077.159999996</v>
      </c>
      <c r="O37" s="146">
        <f>Financials!AL34</f>
        <v>69924128.819999993</v>
      </c>
      <c r="P37" s="146">
        <f>Financials!AM34</f>
        <v>63939267</v>
      </c>
      <c r="Q37" s="146">
        <f>Financials!AN34</f>
        <v>63934960.289999999</v>
      </c>
      <c r="R37" s="146">
        <f>Financials!AO34</f>
        <v>64429122.040000007</v>
      </c>
      <c r="S37" s="146">
        <f>Financials!AP34</f>
        <v>62373741.800000004</v>
      </c>
      <c r="T37" s="146">
        <f>Financials!AQ34</f>
        <v>65035660.590000004</v>
      </c>
      <c r="U37" s="146">
        <f>Financials!AR34</f>
        <v>66892464.569999993</v>
      </c>
      <c r="V37" s="146">
        <f>Financials!AS34</f>
        <v>68085041.489999995</v>
      </c>
      <c r="W37" s="146">
        <f>Financials!AT34</f>
        <v>70586184.149999991</v>
      </c>
      <c r="X37" s="146">
        <f>Financials!AU34</f>
        <v>74370095.479999989</v>
      </c>
      <c r="Y37" s="146">
        <f>Financials!AV34</f>
        <v>76552594.61999999</v>
      </c>
      <c r="Z37" s="146">
        <f>Financials!AW34</f>
        <v>78221128.61999999</v>
      </c>
      <c r="AA37" s="146">
        <f>Financials!AX34</f>
        <v>0</v>
      </c>
      <c r="AB37" s="146">
        <f>Financials!AY34</f>
        <v>0</v>
      </c>
      <c r="AC37" s="146">
        <f>Financials!AZ34</f>
        <v>0</v>
      </c>
    </row>
    <row r="38" spans="1:29">
      <c r="A38" s="127" t="s">
        <v>123</v>
      </c>
      <c r="B38" s="128"/>
      <c r="C38" s="129">
        <v>29969037.4375</v>
      </c>
      <c r="D38" s="129">
        <v>35062305</v>
      </c>
      <c r="E38" s="146">
        <f>Financials!AB35</f>
        <v>36004432.359999999</v>
      </c>
      <c r="F38" s="146">
        <f>Financials!AC35</f>
        <v>36004432.359999999</v>
      </c>
      <c r="G38" s="146">
        <f>Financials!AD35</f>
        <v>36004432.359999999</v>
      </c>
      <c r="H38" s="146">
        <f>Financials!AE35</f>
        <v>36004432.359999999</v>
      </c>
      <c r="I38" s="146">
        <f>Financials!AF35</f>
        <v>35555120.359999999</v>
      </c>
      <c r="J38" s="146">
        <f>Financials!AG35</f>
        <v>35945120.359999999</v>
      </c>
      <c r="K38" s="146">
        <f>Financials!AH35</f>
        <v>35945120.359999999</v>
      </c>
      <c r="L38" s="146">
        <f>Financials!AI35</f>
        <v>35945120.359999999</v>
      </c>
      <c r="M38" s="146">
        <f>Financials!AJ35</f>
        <v>36161120.359999999</v>
      </c>
      <c r="N38" s="146">
        <f>Financials!AK35</f>
        <v>36161120.359999999</v>
      </c>
      <c r="O38" s="146">
        <f>Financials!AL35</f>
        <v>37110120.359999999</v>
      </c>
      <c r="P38" s="146">
        <f>Financials!AM35</f>
        <v>40703581</v>
      </c>
      <c r="Q38" s="146">
        <f>Financials!AN35</f>
        <v>39769354</v>
      </c>
      <c r="R38" s="146">
        <f>Financials!AO35</f>
        <v>40928358.130000003</v>
      </c>
      <c r="S38" s="146">
        <f>Financials!AP35</f>
        <v>41295758.130000003</v>
      </c>
      <c r="T38" s="146">
        <f>Financials!AQ35</f>
        <v>42690266.130000003</v>
      </c>
      <c r="U38" s="146">
        <f>Financials!AR35</f>
        <v>42915471.129999995</v>
      </c>
      <c r="V38" s="146">
        <f>Financials!AS35</f>
        <v>43219976.129999995</v>
      </c>
      <c r="W38" s="146">
        <f>Financials!AT35</f>
        <v>44087281.129999995</v>
      </c>
      <c r="X38" s="146">
        <f>Financials!AU35</f>
        <v>47336541.129999995</v>
      </c>
      <c r="Y38" s="146">
        <f>Financials!AV35</f>
        <v>48950819.129999995</v>
      </c>
      <c r="Z38" s="146">
        <f>Financials!AW35</f>
        <v>50619353.129999995</v>
      </c>
      <c r="AA38" s="146">
        <f>Financials!AX35</f>
        <v>0</v>
      </c>
      <c r="AB38" s="146">
        <f>Financials!AY35</f>
        <v>0</v>
      </c>
      <c r="AC38" s="146">
        <f>Financials!AZ35</f>
        <v>0</v>
      </c>
    </row>
    <row r="39" spans="1:29">
      <c r="A39" s="127" t="s">
        <v>216</v>
      </c>
      <c r="B39" s="128"/>
      <c r="C39" s="129">
        <v>0</v>
      </c>
      <c r="D39" s="129">
        <v>110000</v>
      </c>
      <c r="E39" s="146">
        <f>Financials!AB28</f>
        <v>0</v>
      </c>
      <c r="F39" s="146">
        <f>Financials!AC28</f>
        <v>0</v>
      </c>
      <c r="G39" s="146">
        <f>Financials!AD28</f>
        <v>0</v>
      </c>
      <c r="H39" s="146">
        <f>Financials!AE28</f>
        <v>0</v>
      </c>
      <c r="I39" s="146">
        <f>Financials!AF28</f>
        <v>0</v>
      </c>
      <c r="J39" s="146">
        <f>Financials!AG28</f>
        <v>0</v>
      </c>
      <c r="K39" s="146">
        <f>Financials!AH28</f>
        <v>0</v>
      </c>
      <c r="L39" s="146">
        <f>Financials!AI28</f>
        <v>0</v>
      </c>
      <c r="M39" s="146">
        <f>Financials!AJ28</f>
        <v>0</v>
      </c>
      <c r="N39" s="146">
        <f>Financials!AK28</f>
        <v>0</v>
      </c>
      <c r="O39" s="146">
        <f>Financials!AL28</f>
        <v>0</v>
      </c>
      <c r="P39" s="146">
        <f>Financials!AM28</f>
        <v>0</v>
      </c>
      <c r="Q39" s="146">
        <f>Financials!AN28</f>
        <v>0</v>
      </c>
      <c r="R39" s="146">
        <f>Financials!AO28</f>
        <v>0</v>
      </c>
      <c r="S39" s="146">
        <f>Financials!AP28</f>
        <v>0</v>
      </c>
      <c r="T39" s="146">
        <f>Financials!AQ28</f>
        <v>0</v>
      </c>
      <c r="U39" s="146">
        <f>Financials!AR28</f>
        <v>0</v>
      </c>
      <c r="V39" s="146">
        <f>Financials!AS28</f>
        <v>0</v>
      </c>
      <c r="W39" s="146">
        <f>Financials!AT28</f>
        <v>0</v>
      </c>
      <c r="X39" s="146">
        <f>Financials!AU28</f>
        <v>0</v>
      </c>
      <c r="Y39" s="146">
        <f>Financials!AV28</f>
        <v>0</v>
      </c>
      <c r="Z39" s="146">
        <f>Financials!AW28</f>
        <v>0</v>
      </c>
      <c r="AA39" s="146">
        <f>Financials!AX28</f>
        <v>0</v>
      </c>
      <c r="AB39" s="146">
        <f>Financials!AY28</f>
        <v>0</v>
      </c>
      <c r="AC39" s="146">
        <f>Financials!AZ28</f>
        <v>0</v>
      </c>
    </row>
    <row r="40" spans="1:29">
      <c r="A40" s="127" t="s">
        <v>10</v>
      </c>
      <c r="B40" s="128"/>
      <c r="C40" s="129">
        <v>99157972</v>
      </c>
      <c r="D40" s="129">
        <v>110000</v>
      </c>
      <c r="E40" s="146">
        <f>Financials!AB25</f>
        <v>110000</v>
      </c>
      <c r="F40" s="146">
        <f>Financials!AC25</f>
        <v>110000</v>
      </c>
      <c r="G40" s="146">
        <f>Financials!AD25</f>
        <v>110000</v>
      </c>
      <c r="H40" s="146">
        <f>Financials!AE25</f>
        <v>110000</v>
      </c>
      <c r="I40" s="146">
        <f>Financials!AF25</f>
        <v>110000</v>
      </c>
      <c r="J40" s="146">
        <f>Financials!AG25</f>
        <v>110000</v>
      </c>
      <c r="K40" s="146">
        <f>Financials!AH25</f>
        <v>110000</v>
      </c>
      <c r="L40" s="146">
        <f>Financials!AI25</f>
        <v>110000</v>
      </c>
      <c r="M40" s="146">
        <f>Financials!AJ25</f>
        <v>115067</v>
      </c>
      <c r="N40" s="146">
        <f>Financials!AK25</f>
        <v>115067</v>
      </c>
      <c r="O40" s="146">
        <f>Financials!AL25</f>
        <v>115067</v>
      </c>
      <c r="P40" s="146">
        <f>Financials!AM25</f>
        <v>115067</v>
      </c>
      <c r="Q40" s="146">
        <f>Financials!AN25</f>
        <v>115067</v>
      </c>
      <c r="R40" s="146">
        <f>Financials!AO25</f>
        <v>115067</v>
      </c>
      <c r="S40" s="146">
        <f>Financials!AP25</f>
        <v>115067</v>
      </c>
      <c r="T40" s="146">
        <f>Financials!AQ25</f>
        <v>115067</v>
      </c>
      <c r="U40" s="146">
        <f>Financials!AR25</f>
        <v>115067</v>
      </c>
      <c r="V40" s="146">
        <f>Financials!AS25</f>
        <v>115067</v>
      </c>
      <c r="W40" s="146">
        <f>Financials!AT25</f>
        <v>115067</v>
      </c>
      <c r="X40" s="146">
        <f>Financials!AU25</f>
        <v>115067</v>
      </c>
      <c r="Y40" s="146">
        <f>Financials!AV25</f>
        <v>115067</v>
      </c>
      <c r="Z40" s="146">
        <f>Financials!AW25</f>
        <v>115067</v>
      </c>
      <c r="AA40" s="146">
        <f>Financials!AX25</f>
        <v>0</v>
      </c>
      <c r="AB40" s="146">
        <f>Financials!AY25</f>
        <v>0</v>
      </c>
      <c r="AC40" s="146">
        <f>Financials!AZ25</f>
        <v>0</v>
      </c>
    </row>
    <row r="41" spans="1:29">
      <c r="A41" s="127" t="s">
        <v>217</v>
      </c>
      <c r="B41" s="128"/>
      <c r="C41" s="129">
        <v>48231082.170000002</v>
      </c>
      <c r="D41" s="129">
        <v>168800184</v>
      </c>
      <c r="E41" s="146">
        <f>SFP!AC4</f>
        <v>175949903.41</v>
      </c>
      <c r="F41" s="146">
        <f>SFP!AD4</f>
        <v>170164282.81999999</v>
      </c>
      <c r="G41" s="146">
        <f>SFP!AE4</f>
        <v>161896713.83000001</v>
      </c>
      <c r="H41" s="146">
        <f>SFP!AF4</f>
        <v>160407133.56999999</v>
      </c>
      <c r="I41" s="146">
        <f>SFP!AG4</f>
        <v>155215873.09999999</v>
      </c>
      <c r="J41" s="146">
        <f>SFP!AH4</f>
        <v>157543186.28999999</v>
      </c>
      <c r="K41" s="146">
        <f>SFP!AI4</f>
        <v>147638210.24000001</v>
      </c>
      <c r="L41" s="146">
        <f>SFP!AJ4</f>
        <v>152467816.78</v>
      </c>
      <c r="M41" s="146">
        <f>SFP!AK4</f>
        <v>147440985.75</v>
      </c>
      <c r="N41" s="146">
        <f>SFP!AL4</f>
        <v>142789404.30000001</v>
      </c>
      <c r="O41" s="146">
        <f>SFP!AM4</f>
        <v>135924943.68000001</v>
      </c>
      <c r="P41" s="146">
        <f>SFP!AN4</f>
        <v>153432573</v>
      </c>
      <c r="Q41" s="146">
        <f>SFP!AO4</f>
        <v>155402040</v>
      </c>
      <c r="R41" s="146">
        <f>SFP!AP4</f>
        <v>161197021.38999999</v>
      </c>
      <c r="S41" s="146">
        <f>SFP!AQ4</f>
        <v>158573062.84999999</v>
      </c>
      <c r="T41" s="146">
        <f>SFP!AR4</f>
        <v>165043918.93000001</v>
      </c>
      <c r="U41" s="146">
        <f>SFP!AS4</f>
        <v>166320544.69</v>
      </c>
      <c r="V41" s="146">
        <f>SFP!AT4</f>
        <v>158291962.84</v>
      </c>
      <c r="W41" s="146">
        <f>SFP!AU4</f>
        <v>166569689.49000001</v>
      </c>
      <c r="X41" s="146">
        <f>SFP!AV4</f>
        <v>166003757.41</v>
      </c>
      <c r="Y41" s="146">
        <f>SFP!AW4</f>
        <v>163294416.40000001</v>
      </c>
      <c r="Z41" s="146">
        <f>SFP!AX4</f>
        <v>170737851.40000001</v>
      </c>
      <c r="AA41" s="146">
        <f>SFP!AY4</f>
        <v>0</v>
      </c>
      <c r="AB41" s="146">
        <f>SFP!AZ4</f>
        <v>0</v>
      </c>
      <c r="AC41" s="146">
        <f>SFP!BA4</f>
        <v>0</v>
      </c>
    </row>
    <row r="42" spans="1:29">
      <c r="A42" s="127" t="s">
        <v>218</v>
      </c>
      <c r="B42" s="128"/>
      <c r="C42" s="129">
        <v>248962358.53</v>
      </c>
      <c r="D42" s="129">
        <v>272426375</v>
      </c>
      <c r="E42" s="146">
        <f>SFP!AC27+SFP!AC28+SFP!AC32+SFP!AC35+SFP!AC36</f>
        <v>235585665.96000001</v>
      </c>
      <c r="F42" s="146">
        <f>SFP!AD27+SFP!AD28+SFP!AD32+SFP!AD35+SFP!AD36</f>
        <v>258726663.12</v>
      </c>
      <c r="G42" s="146">
        <f>SFP!AE27+SFP!AE28+SFP!AE32+SFP!AE35+SFP!AE36</f>
        <v>247058267.69</v>
      </c>
      <c r="H42" s="146">
        <f>SFP!AF27+SFP!AF28+SFP!AF32+SFP!AF35+SFP!AF36</f>
        <v>251256629.76999998</v>
      </c>
      <c r="I42" s="146">
        <f>SFP!AG27+SFP!AG28+SFP!AG32+SFP!AG35+SFP!AG36</f>
        <v>249134168.84999999</v>
      </c>
      <c r="J42" s="146">
        <f>SFP!AH27+SFP!AH28+SFP!AH32+SFP!AH35+SFP!AH36</f>
        <v>242427735.70999998</v>
      </c>
      <c r="K42" s="146">
        <f>SFP!AI27+SFP!AI28+SFP!AI32+SFP!AI35+SFP!AI36</f>
        <v>235374519.07999998</v>
      </c>
      <c r="L42" s="146">
        <f>SFP!AJ27+SFP!AJ28+SFP!AJ32+SFP!AJ35+SFP!AJ36</f>
        <v>223119719.37</v>
      </c>
      <c r="M42" s="146">
        <f>SFP!AK27+SFP!AK28+SFP!AK32+SFP!AK35+SFP!AK36</f>
        <v>213809615.02000001</v>
      </c>
      <c r="N42" s="146">
        <f>SFP!AL27+SFP!AL28+SFP!AL32+SFP!AL35+SFP!AL36</f>
        <v>204419991.48999998</v>
      </c>
      <c r="O42" s="146">
        <f>SFP!AM27+SFP!AM28+SFP!AM32+SFP!AM35+SFP!AM36</f>
        <v>227292904.04999998</v>
      </c>
      <c r="P42" s="146">
        <f>SFP!AN27+SFP!AN28+SFP!AN32+SFP!AN35+SFP!AN36</f>
        <v>234415198.13</v>
      </c>
      <c r="Q42" s="146">
        <f>SFP!AO27+SFP!AO28+SFP!AO32+SFP!AO35+SFP!AO36</f>
        <v>236563713</v>
      </c>
      <c r="R42" s="146">
        <f>SFP!AP27+SFP!AP28+SFP!AP32+SFP!AP35+SFP!AP36</f>
        <v>234424628.42999998</v>
      </c>
      <c r="S42" s="146">
        <f>SFP!AQ27+SFP!AQ28+SFP!AQ32+SFP!AQ35+SFP!AQ36</f>
        <v>252435994.22000003</v>
      </c>
      <c r="T42" s="146">
        <f>SFP!AR27+SFP!AR28+SFP!AR32+SFP!AR35+SFP!AR36</f>
        <v>251972145.05000001</v>
      </c>
      <c r="U42" s="146">
        <f>SFP!AS27+SFP!AS28+SFP!AS32+SFP!AS35+SFP!AS36</f>
        <v>247148586.54999998</v>
      </c>
      <c r="V42" s="146">
        <f>SFP!AT27+SFP!AT28+SFP!AT32+SFP!AT35+SFP!AT36</f>
        <v>238167841.41</v>
      </c>
      <c r="W42" s="146">
        <f>SFP!AU27+SFP!AU28+SFP!AU32+SFP!AU35+SFP!AU36</f>
        <v>240980316.07999998</v>
      </c>
      <c r="X42" s="146">
        <f>SFP!AV27+SFP!AV28+SFP!AV32+SFP!AV35+SFP!AV36</f>
        <v>236746442.87999997</v>
      </c>
      <c r="Y42" s="146">
        <f>SFP!AW27+SFP!AW28+SFP!AW32+SFP!AW35+SFP!AW36</f>
        <v>237683190.29999998</v>
      </c>
      <c r="Z42" s="146">
        <f>SFP!AX27+SFP!AX28+SFP!AX32+SFP!AX35+SFP!AX36</f>
        <v>234661421.88</v>
      </c>
      <c r="AA42" s="146">
        <f>SFP!AY27+SFP!AY28+SFP!AY32+SFP!AY35+SFP!AY36</f>
        <v>0</v>
      </c>
      <c r="AB42" s="146">
        <f>SFP!AZ27+SFP!AZ28+SFP!AZ32+SFP!AZ35+SFP!AZ36</f>
        <v>0</v>
      </c>
      <c r="AC42" s="146">
        <f>SFP!BA27+SFP!BA28+SFP!BA32+SFP!BA35+SFP!BA36</f>
        <v>0</v>
      </c>
    </row>
    <row r="43" spans="1:29">
      <c r="A43" s="127" t="s">
        <v>102</v>
      </c>
      <c r="B43" s="128"/>
      <c r="C43" s="129">
        <v>0</v>
      </c>
      <c r="D43" s="129">
        <v>0</v>
      </c>
      <c r="E43" s="146">
        <f>SFP!AC37</f>
        <v>0</v>
      </c>
      <c r="F43" s="146">
        <f>SFP!AD37</f>
        <v>0</v>
      </c>
      <c r="G43" s="146">
        <f>SFP!AE37</f>
        <v>0</v>
      </c>
      <c r="H43" s="146">
        <f>SFP!AF37</f>
        <v>0</v>
      </c>
      <c r="I43" s="146">
        <f>SFP!AG37</f>
        <v>0</v>
      </c>
      <c r="J43" s="146">
        <f>SFP!AH37</f>
        <v>0</v>
      </c>
      <c r="K43" s="146">
        <f>SFP!AI37</f>
        <v>0</v>
      </c>
      <c r="L43" s="146">
        <f>SFP!AJ37</f>
        <v>0</v>
      </c>
      <c r="M43" s="146">
        <f>SFP!AK37</f>
        <v>0</v>
      </c>
      <c r="N43" s="146">
        <f>SFP!AL37</f>
        <v>0</v>
      </c>
      <c r="O43" s="146">
        <f>SFP!AM37</f>
        <v>0</v>
      </c>
      <c r="P43" s="146">
        <f>SFP!AN37</f>
        <v>0</v>
      </c>
      <c r="Q43" s="146">
        <f>SFP!AO37</f>
        <v>0</v>
      </c>
      <c r="R43" s="146">
        <f>SFP!AP37</f>
        <v>0</v>
      </c>
      <c r="S43" s="146">
        <f>SFP!AQ37</f>
        <v>0</v>
      </c>
      <c r="T43" s="146">
        <f>SFP!AR37</f>
        <v>0</v>
      </c>
      <c r="U43" s="146">
        <f>SFP!AS37</f>
        <v>0</v>
      </c>
      <c r="V43" s="146">
        <f>SFP!AT37</f>
        <v>0</v>
      </c>
      <c r="W43" s="146">
        <f>SFP!AU37</f>
        <v>0</v>
      </c>
      <c r="X43" s="146">
        <f>SFP!AV37</f>
        <v>0</v>
      </c>
      <c r="Y43" s="146">
        <f>SFP!AW37</f>
        <v>0</v>
      </c>
      <c r="Z43" s="146">
        <f>SFP!AX37</f>
        <v>0</v>
      </c>
      <c r="AA43" s="146">
        <f>SFP!AY37</f>
        <v>0</v>
      </c>
      <c r="AB43" s="146">
        <f>SFP!AZ37</f>
        <v>0</v>
      </c>
      <c r="AC43" s="146">
        <f>SFP!BA37</f>
        <v>0</v>
      </c>
    </row>
    <row r="44" spans="1:29">
      <c r="A44" s="127" t="s">
        <v>219</v>
      </c>
      <c r="B44" s="128"/>
      <c r="C44" s="129">
        <v>405729742.5</v>
      </c>
      <c r="D44" s="129">
        <f>(D33+C33)/2</f>
        <v>469322872.38</v>
      </c>
      <c r="E44" s="146">
        <f>(E33+D33)/2</f>
        <v>496345559.72000003</v>
      </c>
      <c r="F44" s="146">
        <f t="shared" ref="F44:Q44" si="88">(F33+E33)/2</f>
        <v>497322234.81999999</v>
      </c>
      <c r="G44" s="146">
        <f t="shared" si="88"/>
        <v>499536542.875</v>
      </c>
      <c r="H44" s="146">
        <f t="shared" si="88"/>
        <v>508086487.505</v>
      </c>
      <c r="I44" s="146">
        <f t="shared" si="88"/>
        <v>518994516.87</v>
      </c>
      <c r="J44" s="146">
        <f t="shared" si="88"/>
        <v>521056176.90499997</v>
      </c>
      <c r="K44" s="146">
        <f t="shared" si="88"/>
        <v>519002352.10500002</v>
      </c>
      <c r="L44" s="146">
        <f t="shared" si="88"/>
        <v>515287049.23500001</v>
      </c>
      <c r="M44" s="146">
        <f t="shared" si="88"/>
        <v>511701369.06</v>
      </c>
      <c r="N44" s="146">
        <f t="shared" si="88"/>
        <v>511044427.10500002</v>
      </c>
      <c r="O44" s="146">
        <f t="shared" si="88"/>
        <v>531751750.08999997</v>
      </c>
      <c r="P44" s="146">
        <f t="shared" si="88"/>
        <v>557301235.30500007</v>
      </c>
      <c r="Q44" s="146">
        <f t="shared" si="88"/>
        <v>560820731.03500009</v>
      </c>
      <c r="R44" s="146">
        <f t="shared" ref="R44" si="89">(R33+Q33)/2</f>
        <v>562748519.70499992</v>
      </c>
      <c r="S44" s="146">
        <f t="shared" ref="S44" si="90">(S33+R33)/2</f>
        <v>562964351.53499997</v>
      </c>
      <c r="T44" s="146">
        <f t="shared" ref="T44" si="91">(T33+S33)/2</f>
        <v>562341588.54499996</v>
      </c>
      <c r="U44" s="146">
        <f t="shared" ref="U44" si="92">(U33+T33)/2</f>
        <v>564627159.875</v>
      </c>
      <c r="V44" s="146">
        <f t="shared" ref="V44" si="93">(V33+U33)/2</f>
        <v>568273048.87</v>
      </c>
      <c r="W44" s="146">
        <f t="shared" ref="W44" si="94">(W33+V33)/2</f>
        <v>571574330.47000003</v>
      </c>
      <c r="X44" s="146">
        <f t="shared" ref="X44" si="95">(X33+W33)/2</f>
        <v>572387956.625</v>
      </c>
      <c r="Y44" s="146">
        <f t="shared" ref="Y44" si="96">(Y33+X33)/2</f>
        <v>577518857.39499998</v>
      </c>
      <c r="Z44" s="146">
        <f t="shared" ref="Z44" si="97">(Z33+Y33)/2</f>
        <v>581548609.38999999</v>
      </c>
      <c r="AA44" s="146">
        <f t="shared" ref="AA44" si="98">(AA33+Z33)/2</f>
        <v>290204657.86000001</v>
      </c>
      <c r="AB44" s="146">
        <f t="shared" ref="AB44" si="99">(AB33+AA33)/2</f>
        <v>0</v>
      </c>
      <c r="AC44" s="146">
        <f t="shared" ref="AC44" si="100">(AC33+AB33)/2</f>
        <v>0</v>
      </c>
    </row>
    <row r="45" spans="1:29">
      <c r="A45" s="127" t="s">
        <v>220</v>
      </c>
      <c r="B45" s="128"/>
      <c r="C45" s="129">
        <v>97843693.659999996</v>
      </c>
      <c r="D45" s="129">
        <v>101408021</v>
      </c>
      <c r="E45" s="146">
        <f>SCI!AC31+SCI!AC4</f>
        <v>8185876.2800000003</v>
      </c>
      <c r="F45" s="146">
        <f>SCI!AD31+SCI!AD4</f>
        <v>16771220.710000001</v>
      </c>
      <c r="G45" s="146">
        <f>SCI!AE31+SCI!AE4</f>
        <v>25142545.769999996</v>
      </c>
      <c r="H45" s="146">
        <f>SCI!AF31+SCI!AF4</f>
        <v>31985088.859999999</v>
      </c>
      <c r="I45" s="146">
        <f>SCI!AG31+SCI!AG4</f>
        <v>39933058.799999997</v>
      </c>
      <c r="J45" s="146">
        <f>SCI!AH31+SCI!AH4</f>
        <v>47141651.75</v>
      </c>
      <c r="K45" s="146">
        <f>SCI!AI31+SCI!AI4</f>
        <v>54225704.450000003</v>
      </c>
      <c r="L45" s="146">
        <f>SCI!AJ31+SCI!AJ4</f>
        <v>62127657.149999999</v>
      </c>
      <c r="M45" s="146">
        <f>SCI!AK31+SCI!AK4</f>
        <v>70143994.079999998</v>
      </c>
      <c r="N45" s="146">
        <f>SCI!AL31+SCI!AL4</f>
        <v>78357348.079999998</v>
      </c>
      <c r="O45" s="146">
        <f>SCI!AM31+SCI!AM4</f>
        <v>87046568.149999991</v>
      </c>
      <c r="P45" s="146">
        <f>SCI!AN31+SCI!AN4</f>
        <v>109911008.2</v>
      </c>
      <c r="Q45" s="146">
        <f>SCI!AO31+SCI!AO4</f>
        <v>111880294.69</v>
      </c>
      <c r="R45" s="146">
        <f>SCI!AP31+SCI!AP4</f>
        <v>9124220.3100000005</v>
      </c>
      <c r="S45" s="146">
        <f>SCI!AQ31+SCI!AQ4</f>
        <v>18768888.129999999</v>
      </c>
      <c r="T45" s="146">
        <f>SCI!AR31+SCI!AR4</f>
        <v>28401078.799999997</v>
      </c>
      <c r="U45" s="146">
        <f>SCI!AS31+SCI!AS4</f>
        <v>123740796.28999999</v>
      </c>
      <c r="V45" s="146">
        <f>SCI!AT31+SCI!AT4</f>
        <v>158571207.96000001</v>
      </c>
      <c r="W45" s="146">
        <f>SCI!AU31+SCI!AU4</f>
        <v>57662227.700000003</v>
      </c>
      <c r="X45" s="146">
        <f>SCI!AV31+SCI!AV4</f>
        <v>68399404.730000004</v>
      </c>
      <c r="Y45" s="146">
        <f>SCI!AW31+SCI!AW4</f>
        <v>78281041.069999993</v>
      </c>
      <c r="Z45" s="146">
        <f>SCI!AX31+SCI!AX4</f>
        <v>76479663.63000001</v>
      </c>
      <c r="AA45" s="146">
        <f>SCI!AY31+SCI!AY4</f>
        <v>0</v>
      </c>
      <c r="AB45" s="146">
        <f>SCI!AZ31+SCI!AZ4</f>
        <v>0</v>
      </c>
      <c r="AC45" s="146">
        <f>SCI!BA31+SCI!BA4</f>
        <v>0</v>
      </c>
    </row>
    <row r="46" spans="1:29">
      <c r="A46" s="127" t="s">
        <v>221</v>
      </c>
      <c r="B46" s="128"/>
      <c r="C46" s="129">
        <v>74836490.349999994</v>
      </c>
      <c r="D46" s="129">
        <v>70941281.189999998</v>
      </c>
      <c r="E46" s="146">
        <f>SCI!AC20</f>
        <v>7771999.2800000003</v>
      </c>
      <c r="F46" s="146">
        <f>SCI!AD20</f>
        <v>16288817.710000001</v>
      </c>
      <c r="G46" s="146">
        <f>SCI!AE20</f>
        <v>24428886.369999997</v>
      </c>
      <c r="H46" s="146">
        <f>SCI!AF20</f>
        <v>31200499.050000001</v>
      </c>
      <c r="I46" s="146">
        <f>SCI!AG20</f>
        <v>39047261.989999995</v>
      </c>
      <c r="J46" s="146">
        <f>SCI!AH20</f>
        <v>46038674.939999998</v>
      </c>
      <c r="K46" s="146">
        <f>SCI!AI20</f>
        <v>52917863.140000001</v>
      </c>
      <c r="L46" s="146">
        <f>SCI!AJ20</f>
        <v>60703163.839999996</v>
      </c>
      <c r="M46" s="146">
        <f>SCI!AK20</f>
        <v>68464988.769999996</v>
      </c>
      <c r="N46" s="146">
        <f>SCI!AL20</f>
        <v>76584249.769999996</v>
      </c>
      <c r="O46" s="146">
        <f>SCI!AM20</f>
        <v>85129043.739999995</v>
      </c>
      <c r="P46" s="146">
        <f>SCI!AN20</f>
        <v>107654469.09</v>
      </c>
      <c r="Q46" s="146">
        <f>SCI!AO20</f>
        <v>83575039.689999998</v>
      </c>
      <c r="R46" s="146">
        <f>SCI!AP20</f>
        <v>8884296.0500000007</v>
      </c>
      <c r="S46" s="146">
        <f>SCI!AQ20</f>
        <v>18443870.640000001</v>
      </c>
      <c r="T46" s="146">
        <f>SCI!AR20</f>
        <v>27878771.019999996</v>
      </c>
      <c r="U46" s="146">
        <f>SCI!AS20</f>
        <v>58989531.209999993</v>
      </c>
      <c r="V46" s="146">
        <f>SCI!AT20</f>
        <v>93126674.830000013</v>
      </c>
      <c r="W46" s="146">
        <f>SCI!AU20</f>
        <v>56522810.620000005</v>
      </c>
      <c r="X46" s="146">
        <f>SCI!AV20</f>
        <v>66916322.250000007</v>
      </c>
      <c r="Y46" s="146">
        <f>SCI!AW20</f>
        <v>76678097.589999989</v>
      </c>
      <c r="Z46" s="146">
        <f>SCI!AX20</f>
        <v>74709031.370000005</v>
      </c>
      <c r="AA46" s="146">
        <f>SCI!AY20</f>
        <v>0</v>
      </c>
      <c r="AB46" s="146">
        <f>SCI!AZ20</f>
        <v>0</v>
      </c>
      <c r="AC46" s="146">
        <f>SCI!BA20</f>
        <v>0</v>
      </c>
    </row>
    <row r="47" spans="1:29">
      <c r="A47" s="127" t="s">
        <v>222</v>
      </c>
      <c r="B47" s="128"/>
      <c r="C47" s="129">
        <v>21789408.940000001</v>
      </c>
      <c r="D47" s="129">
        <v>35553699</v>
      </c>
      <c r="E47" s="146">
        <f>SCI!AC14</f>
        <v>413877</v>
      </c>
      <c r="F47" s="146">
        <f>SCI!AD14</f>
        <v>482403</v>
      </c>
      <c r="G47" s="146">
        <f>SCI!AE14</f>
        <v>712941</v>
      </c>
      <c r="H47" s="146">
        <f>SCI!AF14</f>
        <v>777441.41</v>
      </c>
      <c r="I47" s="146">
        <f>SCI!AG14</f>
        <v>838502.41</v>
      </c>
      <c r="J47" s="146">
        <f>SCI!AH14</f>
        <v>1055682.4099999999</v>
      </c>
      <c r="K47" s="146">
        <f>SCI!AI14</f>
        <v>1223585.4099999999</v>
      </c>
      <c r="L47" s="146">
        <f>SCI!AJ14</f>
        <v>1299215.4099999999</v>
      </c>
      <c r="M47" s="146">
        <f>SCI!AK14</f>
        <v>1553727.41</v>
      </c>
      <c r="N47" s="146">
        <f>SCI!AL14</f>
        <v>1647820.41</v>
      </c>
      <c r="O47" s="146">
        <f>SCI!AM14</f>
        <v>1792246.51</v>
      </c>
      <c r="P47" s="146">
        <f>SCI!AN14</f>
        <v>1989967.51</v>
      </c>
      <c r="Q47" s="146">
        <f>SCI!AO14</f>
        <v>26753957</v>
      </c>
      <c r="R47" s="146">
        <f>SCI!AP14</f>
        <v>238903.96</v>
      </c>
      <c r="S47" s="146">
        <f>SCI!AQ14</f>
        <v>308631.28999999998</v>
      </c>
      <c r="T47" s="146">
        <f>SCI!AR14</f>
        <v>487921.58</v>
      </c>
      <c r="U47" s="146">
        <f>SCI!AS14</f>
        <v>64479144.079999998</v>
      </c>
      <c r="V47" s="146">
        <f>SCI!AT14</f>
        <v>65161990.130000003</v>
      </c>
      <c r="W47" s="146">
        <f>SCI!AU14</f>
        <v>1013484.58</v>
      </c>
      <c r="X47" s="146">
        <f>SCI!AV14</f>
        <v>1316846.58</v>
      </c>
      <c r="Y47" s="146">
        <f>SCI!AW14</f>
        <v>1415772.58</v>
      </c>
      <c r="Z47" s="146">
        <f>SCI!AX14</f>
        <v>1572212.36</v>
      </c>
      <c r="AA47" s="146">
        <f>SCI!AY14</f>
        <v>0</v>
      </c>
      <c r="AB47" s="146">
        <f>SCI!AZ14</f>
        <v>0</v>
      </c>
      <c r="AC47" s="146">
        <f>SCI!BA14</f>
        <v>0</v>
      </c>
    </row>
    <row r="48" spans="1:29">
      <c r="A48" s="127" t="s">
        <v>78</v>
      </c>
      <c r="B48" s="128"/>
      <c r="C48" s="129">
        <v>51931717.1325</v>
      </c>
      <c r="D48" s="129">
        <v>53217652</v>
      </c>
      <c r="E48" s="146">
        <f>SCI!AC24</f>
        <v>3080202.8</v>
      </c>
      <c r="F48" s="146">
        <f>SCI!AD24</f>
        <v>8062454.5</v>
      </c>
      <c r="G48" s="146">
        <f>SCI!AE24</f>
        <v>12628582.5</v>
      </c>
      <c r="H48" s="146">
        <f>SCI!AF24</f>
        <v>17432313.300000001</v>
      </c>
      <c r="I48" s="146">
        <f>SCI!AG24</f>
        <v>21817009.699999999</v>
      </c>
      <c r="J48" s="146">
        <f>SCI!AH24</f>
        <v>25676122.699999999</v>
      </c>
      <c r="K48" s="146">
        <f>SCI!AI24</f>
        <v>29515139.199999999</v>
      </c>
      <c r="L48" s="146">
        <f>SCI!AJ24</f>
        <v>33963548.600000001</v>
      </c>
      <c r="M48" s="146">
        <f>SCI!AK24</f>
        <v>40354530.100000001</v>
      </c>
      <c r="N48" s="146">
        <f>SCI!AL24</f>
        <v>40632796.5</v>
      </c>
      <c r="O48" s="146">
        <f>SCI!AM24</f>
        <v>42104833.5</v>
      </c>
      <c r="P48" s="146">
        <f>SCI!AN24</f>
        <v>57289284.099999994</v>
      </c>
      <c r="Q48" s="146">
        <f>SCI!AO24</f>
        <v>60814351</v>
      </c>
      <c r="R48" s="146">
        <f>SCI!AP24</f>
        <v>4247343.18</v>
      </c>
      <c r="S48" s="146">
        <f>SCI!AQ24</f>
        <v>10118156.280000001</v>
      </c>
      <c r="T48" s="146">
        <f>SCI!AR24</f>
        <v>15142235.98</v>
      </c>
      <c r="U48" s="146">
        <f>SCI!AS24</f>
        <v>53543549.18</v>
      </c>
      <c r="V48" s="146">
        <f>SCI!AT24</f>
        <v>59726952.230000004</v>
      </c>
      <c r="W48" s="146">
        <f>SCI!AU24</f>
        <v>28620395.379999999</v>
      </c>
      <c r="X48" s="146">
        <f>SCI!AV24</f>
        <v>33501657.68</v>
      </c>
      <c r="Y48" s="146">
        <f>SCI!AW24</f>
        <v>38876884.68</v>
      </c>
      <c r="Z48" s="146">
        <f>SCI!AX24</f>
        <v>43027656.030000001</v>
      </c>
      <c r="AA48" s="146">
        <f>SCI!AY24</f>
        <v>0</v>
      </c>
      <c r="AB48" s="146">
        <f>SCI!AZ24</f>
        <v>0</v>
      </c>
      <c r="AC48" s="146">
        <f>SCI!BA24</f>
        <v>0</v>
      </c>
    </row>
    <row r="49" spans="1:29">
      <c r="A49" s="127" t="s">
        <v>223</v>
      </c>
      <c r="B49" s="128"/>
      <c r="C49" s="129">
        <v>71882183.230000004</v>
      </c>
      <c r="D49" s="129">
        <v>77339274</v>
      </c>
      <c r="E49" s="146">
        <f>SCI!AC8</f>
        <v>1315516.28</v>
      </c>
      <c r="F49" s="146">
        <f>SCI!AD8</f>
        <v>3000005.21</v>
      </c>
      <c r="G49" s="146">
        <f>SCI!AE8</f>
        <v>4427374.97</v>
      </c>
      <c r="H49" s="146">
        <f>SCI!AF8</f>
        <v>5548123.5499999998</v>
      </c>
      <c r="I49" s="146">
        <f>SCI!AG8</f>
        <v>6598907.4899999993</v>
      </c>
      <c r="J49" s="146">
        <f>SCI!AH8</f>
        <v>8168730.71</v>
      </c>
      <c r="K49" s="146">
        <f>SCI!AI8</f>
        <v>8513008.1999999993</v>
      </c>
      <c r="L49" s="146">
        <f>SCI!AJ8</f>
        <v>9480221.4000000004</v>
      </c>
      <c r="M49" s="146">
        <f>SCI!AK8</f>
        <v>10556637.98</v>
      </c>
      <c r="N49" s="146">
        <f>SCI!AL8</f>
        <v>11600301.869999999</v>
      </c>
      <c r="O49" s="146">
        <f>SCI!AM8</f>
        <v>12735814.390000001</v>
      </c>
      <c r="P49" s="146">
        <f>SCI!AN8</f>
        <v>21678638.510000002</v>
      </c>
      <c r="Q49" s="146">
        <f>SCI!AO8</f>
        <v>23647924</v>
      </c>
      <c r="R49" s="146">
        <f>SCI!AP8</f>
        <v>1234155.43</v>
      </c>
      <c r="S49" s="146">
        <f>SCI!AQ8</f>
        <v>2896838.81</v>
      </c>
      <c r="T49" s="146">
        <f>SCI!AR8</f>
        <v>4564514.42</v>
      </c>
      <c r="U49" s="146">
        <f>SCI!AS8</f>
        <v>10017516.549999999</v>
      </c>
      <c r="V49" s="146">
        <f>SCI!AT8</f>
        <v>10944797.050000001</v>
      </c>
      <c r="W49" s="146">
        <f>SCI!AU8</f>
        <v>8472450.2400000002</v>
      </c>
      <c r="X49" s="146">
        <f>SCI!AV8</f>
        <v>9965261.1899999995</v>
      </c>
      <c r="Y49" s="146">
        <f>SCI!AW8</f>
        <v>11454224.689999999</v>
      </c>
      <c r="Z49" s="146">
        <f>SCI!AX8</f>
        <v>41013.75</v>
      </c>
      <c r="AA49" s="146">
        <f>SCI!AY8</f>
        <v>0</v>
      </c>
      <c r="AB49" s="146">
        <f>SCI!AZ8</f>
        <v>0</v>
      </c>
      <c r="AC49" s="146">
        <f>SCI!BA8</f>
        <v>0</v>
      </c>
    </row>
    <row r="50" spans="1:29" ht="15" customHeight="1">
      <c r="A50" s="127" t="s">
        <v>224</v>
      </c>
      <c r="B50" s="128"/>
      <c r="C50" s="129">
        <v>76156714.8125</v>
      </c>
      <c r="D50" s="129">
        <v>85989437.810000002</v>
      </c>
      <c r="E50" s="146">
        <f>SCI!AC40</f>
        <v>3494079.8</v>
      </c>
      <c r="F50" s="146">
        <f>SCI!AD40</f>
        <v>8544857.5</v>
      </c>
      <c r="G50" s="146">
        <f>SCI!AE40</f>
        <v>13342241.9</v>
      </c>
      <c r="H50" s="146">
        <f>SCI!AF40</f>
        <v>18216903.109999999</v>
      </c>
      <c r="I50" s="146">
        <f>SCI!AG40</f>
        <v>22702806.509999998</v>
      </c>
      <c r="J50" s="146">
        <f>SCI!AH40</f>
        <v>26779099.509999998</v>
      </c>
      <c r="K50" s="146">
        <f>SCI!AI40</f>
        <v>30822980.509999998</v>
      </c>
      <c r="L50" s="146">
        <f>SCI!AJ40</f>
        <v>35388041.910000004</v>
      </c>
      <c r="M50" s="146">
        <f>SCI!AK40</f>
        <v>42033535.410000004</v>
      </c>
      <c r="N50" s="146">
        <f>SCI!AL40</f>
        <v>42405894.810000002</v>
      </c>
      <c r="O50" s="146">
        <f>SCI!AM40</f>
        <v>44022357.909999996</v>
      </c>
      <c r="P50" s="146">
        <f>SCI!AN40</f>
        <v>59545823.209999993</v>
      </c>
      <c r="Q50" s="146">
        <f>SCI!AO40</f>
        <v>91268122</v>
      </c>
      <c r="R50" s="146">
        <f>SCI!AP40</f>
        <v>4487267.4399999995</v>
      </c>
      <c r="S50" s="146">
        <f>SCI!AQ40</f>
        <v>0</v>
      </c>
      <c r="T50" s="146">
        <f>SCI!AR40</f>
        <v>0</v>
      </c>
      <c r="U50" s="146">
        <f>SCI!AS40</f>
        <v>0</v>
      </c>
      <c r="V50" s="146">
        <f>SCI!AT40</f>
        <v>0</v>
      </c>
      <c r="W50" s="146">
        <f>SCI!AU40</f>
        <v>0</v>
      </c>
      <c r="X50" s="146">
        <f>SCI!AV40</f>
        <v>0</v>
      </c>
      <c r="Y50" s="146">
        <f>SCI!AW40</f>
        <v>0</v>
      </c>
      <c r="Z50" s="146">
        <f>SCI!AX40</f>
        <v>0</v>
      </c>
      <c r="AA50" s="146">
        <f>SCI!AY40</f>
        <v>0</v>
      </c>
      <c r="AB50" s="146">
        <f>SCI!AZ40</f>
        <v>0</v>
      </c>
      <c r="AC50" s="146">
        <f>SCI!BA40</f>
        <v>0</v>
      </c>
    </row>
    <row r="51" spans="1:29">
      <c r="A51" s="127" t="s">
        <v>225</v>
      </c>
      <c r="B51" s="128"/>
      <c r="C51" s="129">
        <v>16348063.191</v>
      </c>
      <c r="D51" s="129">
        <v>14411309.189999999</v>
      </c>
      <c r="E51" s="146">
        <f>SCI!AC38</f>
        <v>1354314.580000001</v>
      </c>
      <c r="F51" s="146">
        <f>SCI!AD38</f>
        <v>4322405.2100000009</v>
      </c>
      <c r="G51" s="146">
        <f>SCI!AE38</f>
        <v>6172465.9699999988</v>
      </c>
      <c r="H51" s="146">
        <f>SCI!AF38</f>
        <v>3013304.75</v>
      </c>
      <c r="I51" s="146">
        <f>SCI!AG38</f>
        <v>4009745.3899999969</v>
      </c>
      <c r="J51" s="146">
        <f>SCI!AH38</f>
        <v>4460703.2399999984</v>
      </c>
      <c r="K51" s="146">
        <f>SCI!AI38</f>
        <v>5166104.9400000013</v>
      </c>
      <c r="L51" s="146">
        <f>SCI!AJ38</f>
        <v>4117721.2399999946</v>
      </c>
      <c r="M51" s="146">
        <f>SCI!AK38</f>
        <v>5488564.6699999943</v>
      </c>
      <c r="N51" s="146">
        <f>SCI!AL38</f>
        <v>17921149.369999997</v>
      </c>
      <c r="O51" s="146">
        <f>SCI!AM38</f>
        <v>30279987.640000001</v>
      </c>
      <c r="P51" s="146">
        <f>SCI!AN38</f>
        <v>47526475.290000007</v>
      </c>
      <c r="Q51" s="146">
        <f>SCI!AO38</f>
        <v>17773462.689999998</v>
      </c>
      <c r="R51" s="146">
        <f>SCI!AP38</f>
        <v>1995472.870000001</v>
      </c>
      <c r="S51" s="146">
        <f>SCI!AQ38</f>
        <v>4935781.16</v>
      </c>
      <c r="T51" s="146">
        <f>SCI!AR38</f>
        <v>5863309.8399999961</v>
      </c>
      <c r="U51" s="146">
        <f>SCI!AS38</f>
        <v>5445982.0299999937</v>
      </c>
      <c r="V51" s="146">
        <f>SCI!AT38</f>
        <v>25696074.700000003</v>
      </c>
      <c r="W51" s="146">
        <f>SCI!AU38</f>
        <v>12404963.540000003</v>
      </c>
      <c r="X51" s="146">
        <f>SCI!AV38</f>
        <v>17549630.970000006</v>
      </c>
      <c r="Y51" s="146">
        <f>SCI!AW38</f>
        <v>18885806.709999986</v>
      </c>
      <c r="Z51" s="146">
        <f>SCI!AX38</f>
        <v>15492766.140000001</v>
      </c>
      <c r="AA51" s="146">
        <f>SCI!AY38</f>
        <v>0</v>
      </c>
      <c r="AB51" s="146">
        <f>SCI!AZ38</f>
        <v>0</v>
      </c>
      <c r="AC51" s="146">
        <f>SCI!BA38</f>
        <v>0</v>
      </c>
    </row>
    <row r="52" spans="1:29">
      <c r="A52" s="142" t="s">
        <v>226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</row>
    <row r="53" spans="1:29">
      <c r="A53" s="132">
        <v>1</v>
      </c>
      <c r="B53" s="133"/>
      <c r="C53" s="134"/>
      <c r="D53" s="135"/>
      <c r="E53" s="134"/>
      <c r="F53" s="135"/>
      <c r="G53" s="134"/>
      <c r="H53" s="135"/>
      <c r="I53" s="134"/>
      <c r="J53" s="135"/>
      <c r="K53" s="134"/>
      <c r="L53" s="135"/>
      <c r="M53" s="134"/>
      <c r="N53" s="135"/>
      <c r="O53" s="134"/>
      <c r="P53" s="135"/>
      <c r="Q53" s="135"/>
    </row>
    <row r="54" spans="1:29">
      <c r="A54" s="132">
        <v>2</v>
      </c>
      <c r="B54" s="133"/>
      <c r="C54" s="134"/>
      <c r="D54" s="135"/>
      <c r="E54" s="134"/>
      <c r="F54" s="135"/>
      <c r="G54" s="134"/>
      <c r="H54" s="135"/>
      <c r="I54" s="134"/>
      <c r="J54" s="135"/>
      <c r="K54" s="134"/>
      <c r="L54" s="135"/>
      <c r="M54" s="134"/>
      <c r="N54" s="135"/>
      <c r="O54" s="134"/>
      <c r="P54" s="135"/>
      <c r="Q54" s="135"/>
    </row>
    <row r="55" spans="1:29">
      <c r="A55" s="132">
        <v>3</v>
      </c>
      <c r="B55" s="133"/>
      <c r="C55" s="134"/>
      <c r="D55" s="135"/>
      <c r="E55" s="134"/>
      <c r="F55" s="135"/>
      <c r="G55" s="134"/>
      <c r="H55" s="135"/>
      <c r="I55" s="134"/>
      <c r="J55" s="135"/>
      <c r="K55" s="134"/>
      <c r="L55" s="135"/>
      <c r="M55" s="134"/>
      <c r="N55" s="135"/>
      <c r="O55" s="134"/>
      <c r="P55" s="135"/>
      <c r="Q55" s="135"/>
    </row>
    <row r="56" spans="1:29">
      <c r="A56" s="136">
        <v>4</v>
      </c>
      <c r="B56" s="134"/>
      <c r="C56" s="134"/>
      <c r="D56" s="135"/>
      <c r="E56" s="134"/>
      <c r="F56" s="135"/>
      <c r="G56" s="134"/>
      <c r="H56" s="135"/>
      <c r="I56" s="134"/>
      <c r="J56" s="135"/>
      <c r="K56" s="134"/>
      <c r="L56" s="135"/>
      <c r="M56" s="134"/>
      <c r="N56" s="135"/>
      <c r="O56" s="134"/>
      <c r="P56" s="135"/>
      <c r="Q56" s="135"/>
    </row>
    <row r="57" spans="1:29">
      <c r="A57" s="137" t="s">
        <v>227</v>
      </c>
    </row>
    <row r="58" spans="1:29">
      <c r="A58" s="121"/>
    </row>
    <row r="59" spans="1:29">
      <c r="A59" s="121"/>
    </row>
  </sheetData>
  <mergeCells count="4">
    <mergeCell ref="A1:D1"/>
    <mergeCell ref="A2:D2"/>
    <mergeCell ref="B3:B4"/>
    <mergeCell ref="D3:D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34F3-A019-4087-BCF4-C77058B93171}">
  <dimension ref="A1:O4"/>
  <sheetViews>
    <sheetView workbookViewId="0">
      <selection activeCell="K11" sqref="K11"/>
    </sheetView>
  </sheetViews>
  <sheetFormatPr defaultRowHeight="14.45"/>
  <cols>
    <col min="1" max="1" width="10.85546875" bestFit="1" customWidth="1"/>
    <col min="2" max="2" width="14.7109375" bestFit="1" customWidth="1"/>
    <col min="3" max="3" width="10" bestFit="1" customWidth="1"/>
  </cols>
  <sheetData>
    <row r="1" spans="1:15" s="147" customFormat="1">
      <c r="A1" s="147" t="s">
        <v>228</v>
      </c>
      <c r="B1" s="147" t="s">
        <v>229</v>
      </c>
      <c r="C1" s="147" t="s">
        <v>230</v>
      </c>
      <c r="D1" s="84">
        <v>44562</v>
      </c>
      <c r="E1" s="84">
        <v>44593</v>
      </c>
      <c r="F1" s="84">
        <v>44621</v>
      </c>
      <c r="G1" s="84">
        <v>44652</v>
      </c>
      <c r="H1" s="84">
        <v>44682</v>
      </c>
      <c r="I1" s="84">
        <v>44713</v>
      </c>
      <c r="J1" s="84">
        <v>44743</v>
      </c>
      <c r="K1" s="84">
        <v>44774</v>
      </c>
      <c r="L1" s="84">
        <v>44805</v>
      </c>
      <c r="M1" s="84">
        <v>44835</v>
      </c>
      <c r="N1" s="84">
        <v>44866</v>
      </c>
      <c r="O1" s="84">
        <v>44896</v>
      </c>
    </row>
    <row r="2" spans="1:15">
      <c r="A2" s="147" t="s">
        <v>231</v>
      </c>
      <c r="B2" s="88">
        <f>'Performance Tool'!C30/1000000</f>
        <v>615.46944791750002</v>
      </c>
      <c r="C2" s="88">
        <f>'Performance Tool'!D30/1000000</f>
        <v>700.60738800000001</v>
      </c>
      <c r="D2" s="88">
        <f>'Performance Tool'!E30/1000000</f>
        <v>708.30002883999998</v>
      </c>
      <c r="E2" s="88">
        <f>'Performance Tool'!F30/1000000</f>
        <v>702.76714993999997</v>
      </c>
      <c r="F2" s="88">
        <f>'Performance Tool'!G30/1000000</f>
        <v>698.65779019000001</v>
      </c>
      <c r="G2" s="88">
        <f>'Performance Tool'!H30/1000000</f>
        <v>705.31140268000001</v>
      </c>
      <c r="H2" s="88">
        <f>'Performance Tool'!I30/1000000</f>
        <v>709.12799203999998</v>
      </c>
      <c r="I2" s="88">
        <f>'Performance Tool'!J30/1000000</f>
        <v>705.90083271000003</v>
      </c>
      <c r="J2" s="88">
        <f>'Performance Tool'!K30/1000000</f>
        <v>700.39407628000004</v>
      </c>
      <c r="K2" s="88">
        <f>'Performance Tool'!L30/1000000</f>
        <v>691.01525030000005</v>
      </c>
      <c r="L2" s="88">
        <f>'Performance Tool'!M30/1000000</f>
        <v>685.40492404000008</v>
      </c>
      <c r="M2" s="88">
        <f>'Performance Tool'!N30/1000000</f>
        <v>689.05493371</v>
      </c>
      <c r="N2" s="88">
        <f>'Performance Tool'!O30/1000000</f>
        <v>728.25745540000003</v>
      </c>
      <c r="O2" s="88">
        <f>'Performance Tool'!P30/1000000</f>
        <v>756.72472534000008</v>
      </c>
    </row>
    <row r="3" spans="1:15">
      <c r="A3" s="147" t="s">
        <v>232</v>
      </c>
      <c r="B3" s="88">
        <f>'Performance Tool'!C32/1000000</f>
        <v>457.40676791000004</v>
      </c>
      <c r="C3" s="88">
        <f>'Performance Tool'!D32/1000000</f>
        <v>510.01612299999999</v>
      </c>
      <c r="D3" s="88">
        <f>'Performance Tool'!E32/1000000</f>
        <v>485.00703289999996</v>
      </c>
      <c r="E3" s="88">
        <f>'Performance Tool'!F32/1000000</f>
        <v>512.35348290000002</v>
      </c>
      <c r="F3" s="88">
        <f>'Performance Tool'!G32/1000000</f>
        <v>504.60907989999998</v>
      </c>
      <c r="G3" s="88">
        <f>'Performance Tool'!H32/1000000</f>
        <v>512.55376899999999</v>
      </c>
      <c r="H3" s="88">
        <f>'Performance Tool'!I32/1000000</f>
        <v>515.16393770000002</v>
      </c>
      <c r="I3" s="88">
        <f>'Performance Tool'!J32/1000000</f>
        <v>507.50766469999996</v>
      </c>
      <c r="J3" s="88">
        <f>'Performance Tool'!K32/1000000</f>
        <v>499.90313280000004</v>
      </c>
      <c r="K3" s="88">
        <f>'Performance Tool'!L32/1000000</f>
        <v>490.59373670000002</v>
      </c>
      <c r="L3" s="88">
        <f>'Performance Tool'!M32/1000000</f>
        <v>483.14216128999999</v>
      </c>
      <c r="M3" s="88">
        <f>'Performance Tool'!N32/1000000</f>
        <v>475.62372933</v>
      </c>
      <c r="N3" s="88">
        <f>'Performance Tool'!O32/1000000</f>
        <v>501.80239319999998</v>
      </c>
      <c r="O3" s="88">
        <f>'Performance Tool'!P32/1000000</f>
        <v>503.39433460000004</v>
      </c>
    </row>
    <row r="4" spans="1:15">
      <c r="A4" s="147" t="s">
        <v>214</v>
      </c>
      <c r="B4" s="88">
        <f>'Performance Tool'!C33/1000000</f>
        <v>443.35605500000003</v>
      </c>
      <c r="C4" s="88">
        <f>'Performance Tool'!D33/1000000</f>
        <v>495.28968975999999</v>
      </c>
      <c r="D4" s="88">
        <f>'Performance Tool'!E33/1000000</f>
        <v>497.40142968000004</v>
      </c>
      <c r="E4" s="88">
        <f>'Performance Tool'!F33/1000000</f>
        <v>497.24303995999998</v>
      </c>
      <c r="F4" s="88">
        <f>'Performance Tool'!G33/1000000</f>
        <v>501.83004579000004</v>
      </c>
      <c r="G4" s="88">
        <f>'Performance Tool'!H33/1000000</f>
        <v>514.34292921999997</v>
      </c>
      <c r="H4" s="88">
        <f>'Performance Tool'!I33/1000000</f>
        <v>523.64610451999999</v>
      </c>
      <c r="I4" s="88">
        <f>'Performance Tool'!J33/1000000</f>
        <v>518.46624929000006</v>
      </c>
      <c r="J4" s="88">
        <f>'Performance Tool'!K33/1000000</f>
        <v>519.53845492000005</v>
      </c>
      <c r="K4" s="88">
        <f>'Performance Tool'!L33/1000000</f>
        <v>511.03564355000003</v>
      </c>
      <c r="L4" s="88">
        <f>'Performance Tool'!M33/1000000</f>
        <v>512.36709456999995</v>
      </c>
      <c r="M4" s="88">
        <f>'Performance Tool'!N33/1000000</f>
        <v>509.72175963999996</v>
      </c>
      <c r="N4" s="88">
        <f>'Performance Tool'!O33/1000000</f>
        <v>553.78174053999999</v>
      </c>
      <c r="O4" s="88">
        <f>'Performance Tool'!P33/1000000</f>
        <v>560.82073007000008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9675-8F98-4B06-97F8-E0768EEFAF8E}">
  <dimension ref="B1:D111"/>
  <sheetViews>
    <sheetView topLeftCell="C12" workbookViewId="0">
      <selection activeCell="D12" sqref="D12"/>
    </sheetView>
  </sheetViews>
  <sheetFormatPr defaultRowHeight="14.45"/>
  <cols>
    <col min="3" max="3" width="91.7109375" bestFit="1" customWidth="1"/>
    <col min="4" max="4" width="23.140625" bestFit="1" customWidth="1"/>
  </cols>
  <sheetData>
    <row r="1" spans="2:4">
      <c r="B1" s="149" t="s">
        <v>233</v>
      </c>
      <c r="C1" s="148" t="s">
        <v>234</v>
      </c>
      <c r="D1" s="163"/>
    </row>
    <row r="2" spans="2:4">
      <c r="B2" s="149"/>
      <c r="C2" s="148" t="s">
        <v>235</v>
      </c>
      <c r="D2" s="163"/>
    </row>
    <row r="3" spans="2:4">
      <c r="B3" s="359" t="s">
        <v>236</v>
      </c>
      <c r="C3" s="360"/>
      <c r="D3" s="167">
        <v>12444</v>
      </c>
    </row>
    <row r="4" spans="2:4">
      <c r="B4" s="151"/>
      <c r="C4" s="168" t="s">
        <v>237</v>
      </c>
      <c r="D4" s="167">
        <v>2022</v>
      </c>
    </row>
    <row r="5" spans="2:4">
      <c r="B5" s="150"/>
      <c r="C5" s="150"/>
      <c r="D5" s="163"/>
    </row>
    <row r="6" spans="2:4" ht="15" thickBot="1">
      <c r="B6" s="152" t="s">
        <v>238</v>
      </c>
      <c r="C6" s="152"/>
      <c r="D6" s="169">
        <v>44621</v>
      </c>
    </row>
    <row r="7" spans="2:4" ht="15" thickTop="1">
      <c r="B7" s="153"/>
      <c r="C7" s="154"/>
      <c r="D7" s="171" t="s">
        <v>239</v>
      </c>
    </row>
    <row r="8" spans="2:4" ht="15" thickBot="1">
      <c r="B8" s="155" t="s">
        <v>240</v>
      </c>
      <c r="C8" s="156" t="s">
        <v>241</v>
      </c>
      <c r="D8" s="172" t="s">
        <v>242</v>
      </c>
    </row>
    <row r="9" spans="2:4">
      <c r="B9" s="157">
        <v>0</v>
      </c>
      <c r="C9" s="158" t="s">
        <v>243</v>
      </c>
      <c r="D9" s="164">
        <v>0</v>
      </c>
    </row>
    <row r="10" spans="2:4">
      <c r="B10" s="157">
        <v>1000</v>
      </c>
      <c r="C10" s="159" t="s">
        <v>244</v>
      </c>
      <c r="D10" s="165">
        <v>0</v>
      </c>
    </row>
    <row r="11" spans="2:4">
      <c r="B11" s="157"/>
      <c r="C11" s="158" t="s">
        <v>245</v>
      </c>
      <c r="D11" s="165">
        <v>0</v>
      </c>
    </row>
    <row r="12" spans="2:4">
      <c r="B12" s="157"/>
      <c r="C12" s="158" t="s">
        <v>246</v>
      </c>
      <c r="D12" s="165">
        <v>0</v>
      </c>
    </row>
    <row r="13" spans="2:4">
      <c r="B13" s="157"/>
      <c r="C13" s="158" t="s">
        <v>247</v>
      </c>
      <c r="D13" s="165">
        <v>0</v>
      </c>
    </row>
    <row r="14" spans="2:4">
      <c r="B14" s="157"/>
      <c r="C14" s="158" t="s">
        <v>248</v>
      </c>
      <c r="D14" s="165">
        <v>0</v>
      </c>
    </row>
    <row r="15" spans="2:4">
      <c r="B15" s="157"/>
      <c r="C15" s="158" t="s">
        <v>249</v>
      </c>
      <c r="D15" s="165">
        <v>9162916.2100000009</v>
      </c>
    </row>
    <row r="16" spans="2:4">
      <c r="B16" s="157"/>
      <c r="C16" s="158" t="s">
        <v>250</v>
      </c>
      <c r="D16" s="165">
        <v>1098897.6000000001</v>
      </c>
    </row>
    <row r="17" spans="2:4">
      <c r="B17" s="157"/>
      <c r="C17" s="158" t="s">
        <v>251</v>
      </c>
      <c r="D17" s="165">
        <v>2380401.4500000002</v>
      </c>
    </row>
    <row r="18" spans="2:4">
      <c r="B18" s="157"/>
      <c r="C18" s="158" t="s">
        <v>252</v>
      </c>
      <c r="D18" s="165">
        <v>0</v>
      </c>
    </row>
    <row r="19" spans="2:4">
      <c r="B19" s="157"/>
      <c r="C19" s="158" t="s">
        <v>253</v>
      </c>
      <c r="D19" s="165">
        <v>19597551.719999999</v>
      </c>
    </row>
    <row r="20" spans="2:4">
      <c r="B20" s="157"/>
      <c r="C20" s="158" t="s">
        <v>254</v>
      </c>
      <c r="D20" s="165">
        <v>0</v>
      </c>
    </row>
    <row r="21" spans="2:4">
      <c r="B21" s="157"/>
      <c r="C21" s="158" t="s">
        <v>255</v>
      </c>
      <c r="D21" s="165">
        <v>37499.4</v>
      </c>
    </row>
    <row r="22" spans="2:4">
      <c r="B22" s="157"/>
      <c r="C22" s="158" t="s">
        <v>256</v>
      </c>
      <c r="D22" s="165">
        <v>5641225.3700000001</v>
      </c>
    </row>
    <row r="23" spans="2:4">
      <c r="B23" s="157"/>
      <c r="C23" s="158" t="s">
        <v>257</v>
      </c>
      <c r="D23" s="165">
        <v>0</v>
      </c>
    </row>
    <row r="24" spans="2:4">
      <c r="B24" s="157"/>
      <c r="C24" s="158" t="s">
        <v>258</v>
      </c>
      <c r="D24" s="165">
        <v>0</v>
      </c>
    </row>
    <row r="25" spans="2:4">
      <c r="B25" s="157"/>
      <c r="C25" s="158" t="s">
        <v>259</v>
      </c>
      <c r="D25" s="165">
        <v>0</v>
      </c>
    </row>
    <row r="26" spans="2:4">
      <c r="B26" s="157"/>
      <c r="C26" s="158" t="s">
        <v>260</v>
      </c>
      <c r="D26" s="165">
        <v>0</v>
      </c>
    </row>
    <row r="27" spans="2:4">
      <c r="B27" s="157"/>
      <c r="C27" s="158" t="s">
        <v>261</v>
      </c>
      <c r="D27" s="165">
        <v>0</v>
      </c>
    </row>
    <row r="28" spans="2:4">
      <c r="B28" s="157"/>
      <c r="C28" s="158" t="s">
        <v>262</v>
      </c>
      <c r="D28" s="165">
        <v>9652038.6999999993</v>
      </c>
    </row>
    <row r="29" spans="2:4">
      <c r="B29" s="157"/>
      <c r="C29" s="158" t="s">
        <v>263</v>
      </c>
      <c r="D29" s="165">
        <v>0</v>
      </c>
    </row>
    <row r="30" spans="2:4">
      <c r="B30" s="157"/>
      <c r="C30" s="158" t="s">
        <v>264</v>
      </c>
      <c r="D30" s="165">
        <v>6032524.2400000002</v>
      </c>
    </row>
    <row r="31" spans="2:4">
      <c r="B31" s="157"/>
      <c r="C31" s="158" t="s">
        <v>265</v>
      </c>
      <c r="D31" s="165">
        <v>0</v>
      </c>
    </row>
    <row r="32" spans="2:4">
      <c r="B32" s="157"/>
      <c r="C32" s="158" t="s">
        <v>266</v>
      </c>
      <c r="D32" s="165">
        <v>4989060.58</v>
      </c>
    </row>
    <row r="33" spans="2:4">
      <c r="B33" s="157"/>
      <c r="C33" s="158" t="s">
        <v>267</v>
      </c>
      <c r="D33" s="165">
        <v>0</v>
      </c>
    </row>
    <row r="34" spans="2:4">
      <c r="B34" s="157"/>
      <c r="C34" s="158" t="s">
        <v>268</v>
      </c>
      <c r="D34" s="165">
        <v>0</v>
      </c>
    </row>
    <row r="35" spans="2:4">
      <c r="B35" s="157"/>
      <c r="C35" s="158" t="s">
        <v>269</v>
      </c>
      <c r="D35" s="165">
        <v>736946.2</v>
      </c>
    </row>
    <row r="36" spans="2:4">
      <c r="B36" s="157"/>
      <c r="C36" s="158" t="s">
        <v>270</v>
      </c>
      <c r="D36" s="165">
        <v>0</v>
      </c>
    </row>
    <row r="37" spans="2:4">
      <c r="B37" s="157"/>
      <c r="C37" s="158" t="s">
        <v>271</v>
      </c>
      <c r="D37" s="165">
        <v>0</v>
      </c>
    </row>
    <row r="38" spans="2:4">
      <c r="B38" s="157"/>
      <c r="C38" s="158" t="s">
        <v>272</v>
      </c>
      <c r="D38" s="165">
        <v>0</v>
      </c>
    </row>
    <row r="39" spans="2:4">
      <c r="B39" s="157">
        <v>2000</v>
      </c>
      <c r="C39" s="151" t="s">
        <v>273</v>
      </c>
      <c r="D39" s="165">
        <v>0</v>
      </c>
    </row>
    <row r="40" spans="2:4">
      <c r="B40" s="157"/>
      <c r="C40" s="158" t="s">
        <v>274</v>
      </c>
      <c r="D40" s="165">
        <v>0</v>
      </c>
    </row>
    <row r="41" spans="2:4">
      <c r="B41" s="157"/>
      <c r="C41" s="158" t="s">
        <v>275</v>
      </c>
      <c r="D41" s="165">
        <v>0</v>
      </c>
    </row>
    <row r="42" spans="2:4">
      <c r="B42" s="157"/>
      <c r="C42" s="158" t="s">
        <v>276</v>
      </c>
      <c r="D42" s="165">
        <v>0</v>
      </c>
    </row>
    <row r="43" spans="2:4">
      <c r="B43" s="157"/>
      <c r="C43" s="158" t="s">
        <v>277</v>
      </c>
      <c r="D43" s="165">
        <v>0</v>
      </c>
    </row>
    <row r="44" spans="2:4">
      <c r="B44" s="157"/>
      <c r="C44" s="158" t="s">
        <v>278</v>
      </c>
      <c r="D44" s="165">
        <v>0</v>
      </c>
    </row>
    <row r="45" spans="2:4">
      <c r="B45" s="157"/>
      <c r="C45" s="158" t="s">
        <v>279</v>
      </c>
      <c r="D45" s="165">
        <v>0</v>
      </c>
    </row>
    <row r="46" spans="2:4">
      <c r="B46" s="157"/>
      <c r="C46" s="158" t="s">
        <v>280</v>
      </c>
      <c r="D46" s="165">
        <v>0</v>
      </c>
    </row>
    <row r="47" spans="2:4">
      <c r="B47" s="157"/>
      <c r="C47" s="158" t="s">
        <v>281</v>
      </c>
      <c r="D47" s="165">
        <v>0</v>
      </c>
    </row>
    <row r="48" spans="2:4" ht="28.9">
      <c r="B48" s="157"/>
      <c r="C48" s="160" t="s">
        <v>282</v>
      </c>
      <c r="D48" s="165">
        <v>0</v>
      </c>
    </row>
    <row r="49" spans="2:4">
      <c r="B49" s="157"/>
      <c r="C49" s="158" t="s">
        <v>283</v>
      </c>
      <c r="D49" s="165">
        <v>0</v>
      </c>
    </row>
    <row r="50" spans="2:4">
      <c r="B50" s="157"/>
      <c r="C50" s="158" t="s">
        <v>284</v>
      </c>
      <c r="D50" s="165">
        <v>0</v>
      </c>
    </row>
    <row r="51" spans="2:4">
      <c r="B51" s="157"/>
      <c r="C51" s="158" t="s">
        <v>285</v>
      </c>
      <c r="D51" s="165">
        <v>0</v>
      </c>
    </row>
    <row r="52" spans="2:4">
      <c r="B52" s="157"/>
      <c r="C52" s="158" t="s">
        <v>286</v>
      </c>
      <c r="D52" s="165">
        <v>0</v>
      </c>
    </row>
    <row r="53" spans="2:4">
      <c r="B53" s="157"/>
      <c r="C53" s="158" t="s">
        <v>287</v>
      </c>
      <c r="D53" s="165">
        <v>0</v>
      </c>
    </row>
    <row r="54" spans="2:4">
      <c r="B54" s="157">
        <v>3000</v>
      </c>
      <c r="C54" s="159" t="s">
        <v>288</v>
      </c>
      <c r="D54" s="166">
        <v>0</v>
      </c>
    </row>
    <row r="55" spans="2:4">
      <c r="B55" s="157"/>
      <c r="C55" s="158" t="s">
        <v>289</v>
      </c>
      <c r="D55" s="165">
        <v>0</v>
      </c>
    </row>
    <row r="56" spans="2:4">
      <c r="B56" s="157"/>
      <c r="C56" s="158" t="s">
        <v>290</v>
      </c>
      <c r="D56" s="165">
        <v>0</v>
      </c>
    </row>
    <row r="57" spans="2:4">
      <c r="B57" s="157"/>
      <c r="C57" s="158" t="s">
        <v>291</v>
      </c>
      <c r="D57" s="165">
        <v>0</v>
      </c>
    </row>
    <row r="58" spans="2:4">
      <c r="B58" s="157"/>
      <c r="C58" s="158" t="s">
        <v>292</v>
      </c>
      <c r="D58" s="165">
        <v>0</v>
      </c>
    </row>
    <row r="59" spans="2:4">
      <c r="B59" s="157"/>
      <c r="C59" s="158" t="s">
        <v>293</v>
      </c>
      <c r="D59" s="165">
        <v>0</v>
      </c>
    </row>
    <row r="60" spans="2:4">
      <c r="B60" s="157"/>
      <c r="C60" s="158" t="s">
        <v>294</v>
      </c>
      <c r="D60" s="165">
        <v>0</v>
      </c>
    </row>
    <row r="61" spans="2:4">
      <c r="B61" s="157"/>
      <c r="C61" s="158" t="s">
        <v>295</v>
      </c>
      <c r="D61" s="165">
        <v>0</v>
      </c>
    </row>
    <row r="62" spans="2:4">
      <c r="B62" s="157"/>
      <c r="C62" s="158" t="s">
        <v>296</v>
      </c>
      <c r="D62" s="165">
        <v>0</v>
      </c>
    </row>
    <row r="63" spans="2:4">
      <c r="B63" s="157"/>
      <c r="C63" s="158" t="s">
        <v>297</v>
      </c>
      <c r="D63" s="165">
        <v>6655341.5999999996</v>
      </c>
    </row>
    <row r="64" spans="2:4">
      <c r="B64" s="157"/>
      <c r="C64" s="158" t="s">
        <v>298</v>
      </c>
      <c r="D64" s="165">
        <v>0</v>
      </c>
    </row>
    <row r="65" spans="2:4">
      <c r="B65" s="157"/>
      <c r="C65" s="158" t="s">
        <v>299</v>
      </c>
      <c r="D65" s="165">
        <v>0</v>
      </c>
    </row>
    <row r="66" spans="2:4">
      <c r="B66" s="157"/>
      <c r="C66" s="158" t="s">
        <v>300</v>
      </c>
      <c r="D66" s="165">
        <v>0</v>
      </c>
    </row>
    <row r="67" spans="2:4">
      <c r="B67" s="157"/>
      <c r="C67" s="158" t="s">
        <v>301</v>
      </c>
      <c r="D67" s="165">
        <v>0</v>
      </c>
    </row>
    <row r="68" spans="2:4">
      <c r="B68" s="157"/>
      <c r="C68" s="158" t="s">
        <v>302</v>
      </c>
      <c r="D68" s="165">
        <v>0</v>
      </c>
    </row>
    <row r="69" spans="2:4">
      <c r="B69" s="157"/>
      <c r="C69" s="158" t="s">
        <v>303</v>
      </c>
      <c r="D69" s="165">
        <v>0</v>
      </c>
    </row>
    <row r="70" spans="2:4">
      <c r="B70" s="157">
        <v>4000</v>
      </c>
      <c r="C70" s="159" t="s">
        <v>304</v>
      </c>
      <c r="D70" s="165">
        <v>0</v>
      </c>
    </row>
    <row r="71" spans="2:4">
      <c r="B71" s="157"/>
      <c r="C71" s="158" t="s">
        <v>305</v>
      </c>
      <c r="D71" s="165">
        <v>0</v>
      </c>
    </row>
    <row r="72" spans="2:4">
      <c r="B72" s="157"/>
      <c r="C72" s="158" t="s">
        <v>306</v>
      </c>
      <c r="D72" s="165">
        <v>9097698.7100000009</v>
      </c>
    </row>
    <row r="73" spans="2:4">
      <c r="B73" s="157"/>
      <c r="C73" s="158" t="s">
        <v>307</v>
      </c>
      <c r="D73" s="165">
        <v>0</v>
      </c>
    </row>
    <row r="74" spans="2:4">
      <c r="B74" s="157"/>
      <c r="C74" s="158" t="s">
        <v>308</v>
      </c>
      <c r="D74" s="165">
        <v>0</v>
      </c>
    </row>
    <row r="75" spans="2:4">
      <c r="B75" s="157">
        <v>5000</v>
      </c>
      <c r="C75" s="159" t="s">
        <v>309</v>
      </c>
      <c r="D75" s="165">
        <v>0</v>
      </c>
    </row>
    <row r="76" spans="2:4">
      <c r="B76" s="157"/>
      <c r="C76" s="158" t="s">
        <v>310</v>
      </c>
      <c r="D76" s="165">
        <v>0</v>
      </c>
    </row>
    <row r="77" spans="2:4">
      <c r="B77" s="157"/>
      <c r="C77" s="158" t="s">
        <v>311</v>
      </c>
      <c r="D77" s="165">
        <v>69129.399999999994</v>
      </c>
    </row>
    <row r="78" spans="2:4">
      <c r="B78" s="157"/>
      <c r="C78" s="158" t="s">
        <v>312</v>
      </c>
      <c r="D78" s="165">
        <v>10662894</v>
      </c>
    </row>
    <row r="79" spans="2:4">
      <c r="B79" s="157">
        <v>6000</v>
      </c>
      <c r="C79" s="159" t="s">
        <v>313</v>
      </c>
      <c r="D79" s="165">
        <v>0</v>
      </c>
    </row>
    <row r="80" spans="2:4">
      <c r="B80" s="157"/>
      <c r="C80" s="158" t="s">
        <v>314</v>
      </c>
      <c r="D80" s="165">
        <v>0</v>
      </c>
    </row>
    <row r="81" spans="2:4">
      <c r="B81" s="157"/>
      <c r="C81" s="158" t="s">
        <v>315</v>
      </c>
      <c r="D81" s="165">
        <v>0</v>
      </c>
    </row>
    <row r="82" spans="2:4">
      <c r="B82" s="157"/>
      <c r="C82" s="158" t="s">
        <v>316</v>
      </c>
      <c r="D82" s="165">
        <v>0</v>
      </c>
    </row>
    <row r="83" spans="2:4">
      <c r="B83" s="157"/>
      <c r="C83" s="158" t="s">
        <v>317</v>
      </c>
      <c r="D83" s="165">
        <v>0</v>
      </c>
    </row>
    <row r="84" spans="2:4">
      <c r="B84" s="157"/>
      <c r="C84" s="158" t="s">
        <v>318</v>
      </c>
      <c r="D84" s="165">
        <v>0</v>
      </c>
    </row>
    <row r="85" spans="2:4">
      <c r="B85" s="157"/>
      <c r="C85" s="158" t="s">
        <v>319</v>
      </c>
      <c r="D85" s="165">
        <v>19956242.350000001</v>
      </c>
    </row>
    <row r="86" spans="2:4">
      <c r="B86" s="157"/>
      <c r="C86" s="158" t="s">
        <v>320</v>
      </c>
      <c r="D86" s="165">
        <v>15130222.960000001</v>
      </c>
    </row>
    <row r="87" spans="2:4">
      <c r="B87" s="157"/>
      <c r="C87" s="158" t="s">
        <v>321</v>
      </c>
      <c r="D87" s="165">
        <v>0</v>
      </c>
    </row>
    <row r="88" spans="2:4">
      <c r="B88" s="157">
        <v>7000</v>
      </c>
      <c r="C88" s="159" t="s">
        <v>322</v>
      </c>
      <c r="D88" s="165">
        <v>0</v>
      </c>
    </row>
    <row r="89" spans="2:4">
      <c r="B89" s="157"/>
      <c r="C89" s="158" t="s">
        <v>323</v>
      </c>
      <c r="D89" s="165">
        <v>0</v>
      </c>
    </row>
    <row r="90" spans="2:4">
      <c r="B90" s="157"/>
      <c r="C90" s="158" t="s">
        <v>324</v>
      </c>
      <c r="D90" s="165">
        <v>0</v>
      </c>
    </row>
    <row r="91" spans="2:4">
      <c r="B91" s="157"/>
      <c r="C91" s="158" t="s">
        <v>325</v>
      </c>
      <c r="D91" s="165">
        <v>0</v>
      </c>
    </row>
    <row r="92" spans="2:4">
      <c r="B92" s="157"/>
      <c r="C92" s="158" t="s">
        <v>326</v>
      </c>
      <c r="D92" s="165">
        <v>0</v>
      </c>
    </row>
    <row r="93" spans="2:4">
      <c r="B93" s="157"/>
      <c r="C93" s="158" t="s">
        <v>327</v>
      </c>
      <c r="D93" s="165">
        <v>0</v>
      </c>
    </row>
    <row r="94" spans="2:4" ht="28.9">
      <c r="B94" s="157"/>
      <c r="C94" s="160" t="s">
        <v>328</v>
      </c>
      <c r="D94" s="165">
        <v>0</v>
      </c>
    </row>
    <row r="95" spans="2:4">
      <c r="B95" s="157"/>
      <c r="C95" s="158" t="s">
        <v>329</v>
      </c>
      <c r="D95" s="165">
        <v>0</v>
      </c>
    </row>
    <row r="96" spans="2:4">
      <c r="B96" s="157"/>
      <c r="C96" s="158" t="s">
        <v>330</v>
      </c>
      <c r="D96" s="165">
        <v>0</v>
      </c>
    </row>
    <row r="97" spans="2:4">
      <c r="B97" s="157"/>
      <c r="C97" s="158" t="s">
        <v>331</v>
      </c>
      <c r="D97" s="165">
        <v>0</v>
      </c>
    </row>
    <row r="98" spans="2:4">
      <c r="B98" s="157"/>
      <c r="C98" s="158" t="s">
        <v>332</v>
      </c>
      <c r="D98" s="165">
        <v>0</v>
      </c>
    </row>
    <row r="99" spans="2:4" ht="28.9">
      <c r="B99" s="157"/>
      <c r="C99" s="160" t="s">
        <v>333</v>
      </c>
      <c r="D99" s="165">
        <v>0</v>
      </c>
    </row>
    <row r="100" spans="2:4">
      <c r="B100" s="157"/>
      <c r="C100" s="158" t="s">
        <v>334</v>
      </c>
      <c r="D100" s="165">
        <v>0</v>
      </c>
    </row>
    <row r="101" spans="2:4">
      <c r="B101" s="157">
        <v>8000</v>
      </c>
      <c r="C101" s="159" t="s">
        <v>335</v>
      </c>
      <c r="D101" s="165">
        <v>0</v>
      </c>
    </row>
    <row r="102" spans="2:4">
      <c r="B102" s="157"/>
      <c r="C102" s="158" t="s">
        <v>336</v>
      </c>
      <c r="D102" s="165">
        <v>0</v>
      </c>
    </row>
    <row r="103" spans="2:4" ht="28.9">
      <c r="B103" s="157"/>
      <c r="C103" s="160" t="s">
        <v>337</v>
      </c>
      <c r="D103" s="165">
        <v>0</v>
      </c>
    </row>
    <row r="104" spans="2:4">
      <c r="B104" s="157"/>
      <c r="C104" s="158" t="s">
        <v>338</v>
      </c>
      <c r="D104" s="165">
        <v>0</v>
      </c>
    </row>
    <row r="105" spans="2:4">
      <c r="B105" s="157"/>
      <c r="C105" s="158" t="s">
        <v>339</v>
      </c>
      <c r="D105" s="165">
        <v>0</v>
      </c>
    </row>
    <row r="106" spans="2:4">
      <c r="B106" s="157"/>
      <c r="C106" s="158" t="s">
        <v>340</v>
      </c>
      <c r="D106" s="165">
        <v>0</v>
      </c>
    </row>
    <row r="107" spans="2:4" ht="28.9">
      <c r="B107" s="157"/>
      <c r="C107" s="160" t="s">
        <v>341</v>
      </c>
      <c r="D107" s="165">
        <v>0</v>
      </c>
    </row>
    <row r="108" spans="2:4">
      <c r="B108" s="157"/>
      <c r="C108" s="158" t="s">
        <v>342</v>
      </c>
      <c r="D108" s="165">
        <v>0</v>
      </c>
    </row>
    <row r="109" spans="2:4">
      <c r="B109" s="157"/>
      <c r="C109" s="158" t="s">
        <v>343</v>
      </c>
      <c r="D109" s="165">
        <v>0</v>
      </c>
    </row>
    <row r="110" spans="2:4" ht="15" thickBot="1">
      <c r="B110" s="161"/>
      <c r="C110" s="162" t="s">
        <v>344</v>
      </c>
      <c r="D110" s="170">
        <f>SUM(D9:D109)</f>
        <v>120900590.49000001</v>
      </c>
    </row>
    <row r="111" spans="2:4" ht="15" thickTop="1"/>
  </sheetData>
  <mergeCells count="1"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1E2C0D-9EA0-4FD7-AE34-2B443E68F746}"/>
</file>

<file path=customXml/itemProps2.xml><?xml version="1.0" encoding="utf-8"?>
<ds:datastoreItem xmlns:ds="http://schemas.openxmlformats.org/officeDocument/2006/customXml" ds:itemID="{EA01127A-CF32-4493-BDAD-5A3F0D0B4192}"/>
</file>

<file path=customXml/itemProps3.xml><?xml version="1.0" encoding="utf-8"?>
<ds:datastoreItem xmlns:ds="http://schemas.openxmlformats.org/officeDocument/2006/customXml" ds:itemID="{231BC08C-8D09-4909-8CAF-26D2CCC94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Cynthia Jepkoech</cp:lastModifiedBy>
  <cp:revision/>
  <dcterms:created xsi:type="dcterms:W3CDTF">2021-02-25T10:27:16Z</dcterms:created>
  <dcterms:modified xsi:type="dcterms:W3CDTF">2023-11-01T10:08:27Z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2021-09-24T07:50:04Z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3793eae5-51c6-4736-8b34-295d18a20eb8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